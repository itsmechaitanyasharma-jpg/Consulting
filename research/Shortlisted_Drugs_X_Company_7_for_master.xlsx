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4.xml.rels" ContentType="application/vnd.openxmlformats-package.relationships+xml"/>
  <Override PartName="/xl/drawings/_rels/drawing2.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 Option 1" sheetId="1" state="visible" r:id="rId3"/>
    <sheet name="2x2 – Option 1" sheetId="2" state="visible" r:id="rId4"/>
    <sheet name="Summary – Option 2" sheetId="3" state="visible" r:id="rId5"/>
    <sheet name="2x2 – Option 2" sheetId="4" state="visible" r:id="rId6"/>
    <sheet name="Filters, Assumptions &amp; Limits" sheetId="5" state="visible" r:id="rId7"/>
    <sheet name="Scoring" sheetId="6" state="visible" r:id="rId8"/>
    <sheet name="Shortlisted Drugs X Company (7)" sheetId="7" state="visible" r:id="rId9"/>
    <sheet name="Route of Administration" sheetId="8" state="visible" r:id="rId10"/>
    <sheet name="Injectable Value" sheetId="9" state="visible" r:id="rId11"/>
    <sheet name="Drug Use &amp; Market Evidence" sheetId="10" state="visible" r:id="rId12"/>
  </sheets>
  <definedNames>
    <definedName function="false" hidden="true" localSheetId="9" name="_xlnm._FilterDatabase" vbProcedure="false">'Drug Use &amp; Market Evidence'!$A$4:$J$669</definedName>
    <definedName function="false" hidden="true" localSheetId="8" name="_xlnm._FilterDatabase" vbProcedure="false">'Injectable Value'!$A$27:$AA$178</definedName>
    <definedName function="false" hidden="true" localSheetId="7" name="_xlnm._FilterDatabase" vbProcedure="false">'Route of Administration'!$A$4:$I$155</definedName>
    <definedName function="false" hidden="true" localSheetId="5" name="_xlnm._FilterDatabase" vbProcedure="false">Scoring!$A$28:$AS$361</definedName>
    <definedName function="false" hidden="true" localSheetId="6" name="_xlnm._FilterDatabase" vbProcedure="false">'Shortlisted Drugs X Company (7)'!$B$2:$AE$698</definedName>
    <definedName function="false" hidden="true" localSheetId="0" name="_xlnm._FilterDatabase" vbProcedure="false">'Summary – Option 1'!$A$4:$O$337</definedName>
    <definedName function="false" hidden="true" localSheetId="2" name="_xlnm._FilterDatabase" vbProcedure="false">'Summary – Option 2'!$A$4:$O$337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<sst xmlns="http://schemas.openxmlformats.org/spreadsheetml/2006/main" count="22785" uniqueCount="4462">
  <si>
    <t xml:space="preserve">SurTrac co-packaging – priority companies and drugs (Option 1 – injectable shipments)</t>
  </si>
  <si>
    <t xml:space="preserve">2x2: unit price (x) × injectable shipments (#) (y); bubble = injectable export value ($'000). Priority 1 = high price AND high volume (top-right); Priority 2 = one of the two high; Priority 3 = both lower; cut-offs = median of eligible pairs (Scoring C3 / E3). Drugs with an ID / IM / SC route on a label in the 7 geographies only (IV-only drugs removed). Companies ranked by number of Priority 1 drugs, then opportunity of Priority 1 + 2; within a company, drugs by tier, then opportunity. Price ≤ $5 listed last as Excluded.</t>
  </si>
  <si>
    <t xml:space="preserve">Packaging: strength and fill per unit container (no carton sizes). Avg price: average per unit (per dose for multi-dose vaccine vials) of presentations priced &gt; $5; Excluded rows: average of all priced presentations (all ≤ $5). Volume = India FY24 shipments of the molecule (all dosage forms) × injectable share of registered products in the 7 geographies. Volume is molecule-level (same for every company). Markets: countries where the company (or its group entity) holds an authorisation – a proxy for where it is supplied. Filters, assumptions and limitations: see the tab of that name. Live – linked to Scoring; grey helper column O orders the list.</t>
  </si>
  <si>
    <t xml:space="preserve">Company rank</t>
  </si>
  <si>
    <t xml:space="preserve">Company</t>
  </si>
  <si>
    <t xml:space="preserve">Drug rank</t>
  </si>
  <si>
    <t xml:space="preserve">Priority tier</t>
  </si>
  <si>
    <t xml:space="preserve">2x2 quadrant</t>
  </si>
  <si>
    <t xml:space="preserve">Drug (API)</t>
  </si>
  <si>
    <t xml:space="preserve">Product name</t>
  </si>
  <si>
    <t xml:space="preserve">Drug utility</t>
  </si>
  <si>
    <t xml:space="preserve">Presentation</t>
  </si>
  <si>
    <t xml:space="preserve">Packaging (per unit)</t>
  </si>
  <si>
    <t xml:space="preserve">Avg price (USD / unit)</t>
  </si>
  <si>
    <t xml:space="preserve">Injectable shipments (#)</t>
  </si>
  <si>
    <t xml:space="preserve">Injectable export value ($'000)</t>
  </si>
  <si>
    <t xml:space="preserve">Markets where the company holds an authorisation</t>
  </si>
  <si>
    <t xml:space="preserve">Helper: sort key</t>
  </si>
  <si>
    <t xml:space="preserve">2x2 – unit price × injectable shipments (#) (Option 1)</t>
  </si>
  <si>
    <t xml:space="preserve">Pick a company in cell B3. Bubble = injectable export value ($'000). Axes are logarithmic; the axis lines sit at the median cut-offs (price USD 25.09; volume 146), so the top-right quadrant is Priority 1. Unpriced drugs and price ≤ $5 exclusions are listed but not plotted. Linked to Summary – Option 1.</t>
  </si>
  <si>
    <t xml:space="preserve">Company:</t>
  </si>
  <si>
    <t xml:space="preserve">Intas</t>
  </si>
  <si>
    <t xml:space="preserve">Helper: first row in Summary</t>
  </si>
  <si>
    <t xml:space="preserve">#</t>
  </si>
  <si>
    <t xml:space="preserve">Chart label</t>
  </si>
  <si>
    <t xml:space="preserve">Helper: P1 x</t>
  </si>
  <si>
    <t xml:space="preserve">Helper: P1 y</t>
  </si>
  <si>
    <t xml:space="preserve">Helper: P1 bubble</t>
  </si>
  <si>
    <t xml:space="preserve">Helper: P2 x</t>
  </si>
  <si>
    <t xml:space="preserve">Helper: P2 y</t>
  </si>
  <si>
    <t xml:space="preserve">Helper: P2 bubble</t>
  </si>
  <si>
    <t xml:space="preserve">Helper: P3 x</t>
  </si>
  <si>
    <t xml:space="preserve">Helper: P3 y</t>
  </si>
  <si>
    <t xml:space="preserve">Helper: P3 bubble</t>
  </si>
  <si>
    <t xml:space="preserve">Bubble colours: dark blue = Priority 1, light blue = Priority 2, grey = Priority 3. Hidden columns I–Q feed the chart (#N/A = no point to plot). Grey rows = Priority 1.</t>
  </si>
  <si>
    <t xml:space="preserve">SurTrac co-packaging – priority companies and drugs (Option 2 – all shipments)</t>
  </si>
  <si>
    <t xml:space="preserve">2x2: unit price (x) × shipments – all forms (#) (y); bubble = export – all forms ($'000). Priority 1 = high price AND high volume (top-right); Priority 2 = one of the two high; Priority 3 = both lower; cut-offs = median of eligible pairs (Scoring C3 / H3). Drugs with an ID / IM / SC route on a label in the 7 geographies only (IV-only drugs removed). Companies ranked by number of Priority 1 drugs, then opportunity of Priority 1 + 2; within a company, drugs by tier, then opportunity. Price ≤ $5 listed last as Excluded.</t>
  </si>
  <si>
    <t xml:space="preserve">Packaging: strength and fill per unit container (no carton sizes). Avg price: average per unit (per dose for multi-dose vaccine vials) of presentations priced &gt; $5; Excluded rows: average of all priced presentations (all ≤ $5). Volume = India FY24 shipments of the molecule, all dosage forms (tablets, syrups etc. included – oral-heavy molecules look larger than their injectable market). Volume is molecule-level (same for every company). Markets: countries where the company (or its group entity) holds an authorisation – a proxy for where it is supplied. Filters, assumptions and limitations: see the tab of that name. Live – linked to Scoring; grey helper column O orders the list.</t>
  </si>
  <si>
    <t xml:space="preserve">Shipments – all forms (#)</t>
  </si>
  <si>
    <t xml:space="preserve">Export – all forms ($'000)</t>
  </si>
  <si>
    <t xml:space="preserve">2x2 – unit price × shipments – all forms (#) (Option 2)</t>
  </si>
  <si>
    <t xml:space="preserve">Pick a company in cell B3. Bubble = export – all forms ($'000). Axes are logarithmic; the axis lines sit at the median cut-offs (price USD 25.09; volume 286), so the top-right quadrant is Priority 1. Unpriced drugs and price ≤ $5 exclusions are listed but not plotted. Linked to Summary – Option 2.</t>
  </si>
  <si>
    <t xml:space="preserve">Filters, assumptions and limitations</t>
  </si>
  <si>
    <t xml:space="preserve">Everything that shapes the drug list and the ranking, in one place. Counts in column F are live (linked to Scoring and Route of Administration).</t>
  </si>
  <si>
    <t xml:space="preserve">Type</t>
  </si>
  <si>
    <t xml:space="preserve">Topic</t>
  </si>
  <si>
    <t xml:space="preserve">What we did</t>
  </si>
  <si>
    <t xml:space="preserve">Why</t>
  </si>
  <si>
    <t xml:space="preserve">Impact (live)</t>
  </si>
  <si>
    <t xml:space="preserve">Where to see</t>
  </si>
  <si>
    <t xml:space="preserve">F1</t>
  </si>
  <si>
    <t xml:space="preserve">Filter</t>
  </si>
  <si>
    <t xml:space="preserve">Universe</t>
  </si>
  <si>
    <t xml:space="preserve">All drug × company pairs in Shortlisted Drugs X Company (6): 19 Indian injectable makers, 151 molecules, 696 presentations.</t>
  </si>
  <si>
    <t xml:space="preserve">Client shortlist.</t>
  </si>
  <si>
    <t xml:space="preserve">(7), Scoring</t>
  </si>
  <si>
    <t xml:space="preserve">F2</t>
  </si>
  <si>
    <t xml:space="preserve">Route of administration (ID / IM / SC)</t>
  </si>
  <si>
    <t xml:space="preserve">In scope only if a label of the standard formulation, in any of the 7 geographies (US, UK, EU/EEA, Canada, Australia, South Africa, UAE), lists an intradermal, intramuscular or subcutaneous route (IV may also be listed). Excluded: IV-only drugs and drugs labelled only for other routes (epidural, perineural, intrathecal, intravitreal, infiltration without SC). Checked: every US label (DailyMed / NDC route field), every UK injectable SmPC on the MHRA register (section 4.2), and the route / dosage-form fields of the EU, Canada, Australia, South Africa and UAE registers; a route counts only when label text confirms it.</t>
  </si>
  <si>
    <t xml:space="preserve">SurTrac's retractable syringe protects health-care workers from needles that have been in a patient. IV drugs go through a catheter or infusion line with needle-free connectors, so there is no such needle.</t>
  </si>
  <si>
    <t xml:space="preserve">Route of Administration (col I = 7-geography cross-check); Scoring col AE</t>
  </si>
  <si>
    <t xml:space="preserve">F3</t>
  </si>
  <si>
    <t xml:space="preserve">Price cut-off (USD 5)</t>
  </si>
  <si>
    <t xml:space="preserve">Excluded when every priced presentation is ≤ USD 5 per unit, whatever the price confidence. Any presentation above USD 5 clears the cut-off. Where the low price comes only from another market, the Note column says "Low price from another market – confirm with company".</t>
  </si>
  <si>
    <t xml:space="preserve">Low-value injectables cannot absorb the cost of a safety syringe in the pack.</t>
  </si>
  <si>
    <t xml:space="preserve">Scoring col O; Summaries (listed last)</t>
  </si>
  <si>
    <t xml:space="preserve">F4</t>
  </si>
  <si>
    <t xml:space="preserve">Markets</t>
  </si>
  <si>
    <t xml:space="preserve">No market filter. Company-level markets and Tier 1 markets (US, UK, UK-NI, DE, FR, NL, BE, CA – strictest sharps-safety rules) are shown for information only.</t>
  </si>
  <si>
    <t xml:space="preserve">Client steer: the manufacturer decides where to sell.</t>
  </si>
  <si>
    <t xml:space="preserve">—</t>
  </si>
  <si>
    <t xml:space="preserve">(7) cols U–W</t>
  </si>
  <si>
    <t xml:space="preserve">F5</t>
  </si>
  <si>
    <t xml:space="preserve">Unpriced pairs</t>
  </si>
  <si>
    <t xml:space="preserve">Kept. Cannot be placed on the price axis: Priority 2 if volume is at or above the cut-off, otherwise Priority 3; listed in the 2x2 tabs but not plotted.</t>
  </si>
  <si>
    <t xml:space="preserve">No price found is not evidence of a low price.</t>
  </si>
  <si>
    <t xml:space="preserve">Scoring col K "Unpriced"</t>
  </si>
  <si>
    <t xml:space="preserve">A1</t>
  </si>
  <si>
    <t xml:space="preserve">Assumption</t>
  </si>
  <si>
    <t xml:space="preserve">2x2 axes – two options</t>
  </si>
  <si>
    <t xml:space="preserve">x = average unit price (USD). y = volume: Option 1 = injectable shipments = India FY24 shipments of the molecule × injectable share of registered products (7 geographies); Option 2 = all shipments (all dosage forms). Bubble: Option 1 = injectable export value ($'000); Option 2 = export value, all forms ($'000).</t>
  </si>
  <si>
    <t xml:space="preserve">Option 2 is simplest to explain; Option 1 removes oral / topical forms that are not a syringe opportunity (e.g. olanzapine: 3% of registered products are injections).</t>
  </si>
  <si>
    <t xml:space="preserve">Scoring cols D, L–N, F; 2x2 tabs</t>
  </si>
  <si>
    <t xml:space="preserve">A2</t>
  </si>
  <si>
    <t xml:space="preserve">Priority tiers = 2x2 quadrants</t>
  </si>
  <si>
    <t xml:space="preserve">Priority 1 = price at or above the price cut-off AND volume at or above the volume cut-off (top-right); Priority 2 = one of the two; Priority 3 = both below. Cut-offs = median of eligible pairs (overwrite the blue cells to move them).</t>
  </si>
  <si>
    <t xml:space="preserve">Data-driven split; the client sees the same picture as the 2x2 chart.</t>
  </si>
  <si>
    <t xml:space="preserve">Scoring C3, E3, H3</t>
  </si>
  <si>
    <t xml:space="preserve">A3</t>
  </si>
  <si>
    <t xml:space="preserve">Company and drug order</t>
  </si>
  <si>
    <t xml:space="preserve">Companies ranked by number of Priority 1 drugs, then by opportunity (sum of bubble values of Priority 1 + 2 drugs). Within a company: tier, then bubble size.</t>
  </si>
  <si>
    <t xml:space="preserve">Rewards companies with more top-right drugs; ties broken by market size.</t>
  </si>
  <si>
    <t xml:space="preserve">Scoring company blocks</t>
  </si>
  <si>
    <t xml:space="preserve">A4</t>
  </si>
  <si>
    <t xml:space="preserve">Price unit</t>
  </si>
  <si>
    <t xml:space="preserve">Price per unit container (vial, ampoule, prefilled syringe), averaged over the company's presentations priced above USD 5. Multi-dose vaccine vials with a stated number of doses are priced per dose (pack price ÷ doses).</t>
  </si>
  <si>
    <t xml:space="preserve">Like-for-like with one syringe per administration.</t>
  </si>
  <si>
    <t xml:space="preserve">(7) col N; Scoring col D</t>
  </si>
  <si>
    <t xml:space="preserve">A5</t>
  </si>
  <si>
    <t xml:space="preserve">Price source hierarchy</t>
  </si>
  <si>
    <t xml:space="preserve">Exact (company's own product) › Same-market proxy (another maker, in a market where the company holds the licence) › Cross-market proxy (another market). A pair takes its best level. Sources: user country tabs, US CMS ASP and VA FSS, Australia PBS, South Africa SEP, NHS Drug Tariff / dm+d, Italy AIFA, German pharmacy prices.</t>
  </si>
  <si>
    <t xml:space="preserve">Company-level prices first; proxies only where no company price exists.</t>
  </si>
  <si>
    <t xml:space="preserve">(7) cols N–R; Scoring col E</t>
  </si>
  <si>
    <t xml:space="preserve">A6</t>
  </si>
  <si>
    <t xml:space="preserve">FX rates</t>
  </si>
  <si>
    <t xml:space="preserve">USD per GBP 1.322, EUR 1.13, AUD 0.70, ZAR 0.0608 (Oct-2026).</t>
  </si>
  <si>
    <t xml:space="preserve">Single rate set for comparability.</t>
  </si>
  <si>
    <t xml:space="preserve">(7) price notes</t>
  </si>
  <si>
    <t xml:space="preserve">A7</t>
  </si>
  <si>
    <t xml:space="preserve">Injectable share</t>
  </si>
  <si>
    <t xml:space="preserve">Share of a molecule's registered products that are injectable, averaged across the 7 geographies' official registers (EMA Article 57, MHRA, Health Canada DPD, TGA ARTG, South Africa price registry, UAE EDE, FDA NDC); a geography counts if it lists at least 3 products; US unapproved homeopathic listings excluded.</t>
  </si>
  <si>
    <t xml:space="preserve">India export data mixes all dosage forms; the share isolates the injectable part using official data.</t>
  </si>
  <si>
    <t xml:space="preserve">Injectable Value</t>
  </si>
  <si>
    <t xml:space="preserve">A8</t>
  </si>
  <si>
    <t xml:space="preserve">Route evidence rules</t>
  </si>
  <si>
    <t xml:space="preserve">A route counts if any label of the standard formulation lists it. Separate special formulations are ignored (granisetron extended-release SC, trastuzumab SC). Label text overrides route metadata where they conflict (caffeine; EU database entries). Fallback-only routes are flagged, not counted (cyclophosphamide IM "where IV is impracticable", Belgium).</t>
  </si>
  <si>
    <t xml:space="preserve">Keeps the test objective and traceable to a label.</t>
  </si>
  <si>
    <t xml:space="preserve">Route of Administration cols E, I</t>
  </si>
  <si>
    <t xml:space="preserve">L1</t>
  </si>
  <si>
    <t xml:space="preserve">Limitation</t>
  </si>
  <si>
    <t xml:space="preserve">Label route vs real-world use</t>
  </si>
  <si>
    <t xml:space="preserve">The route test reads what the label permits, not how the drug is mostly given. Several in-scope drugs are given mainly IV in hospitals (e.g. cefazolin, cefepime, midazolam, hydrocortisone, ondansetron, phenylephrine, ephedrine).</t>
  </si>
  <si>
    <t xml:space="preserve">Validate the IM / SC share of dual-route drugs in expert interviews (hospital pharmacist, ward / ED nurse).</t>
  </si>
  <si>
    <t xml:space="preserve">Route of Administration col C</t>
  </si>
  <si>
    <t xml:space="preserve">L2</t>
  </si>
  <si>
    <t xml:space="preserve">Co-packaging fit not tested</t>
  </si>
  <si>
    <t xml:space="preserve">The list does not test whether a syringe can go in the pack: prefilled-only products already are the syringe; cytotoxic drugs given SC (bortezomib, azacitidine) are usually prepared in hospital pharmacies; powders and vials above 10 mL may need a transfer device.</t>
  </si>
  <si>
    <t xml:space="preserve">Confirm the pack format and dose preparation with each company.</t>
  </si>
  <si>
    <t xml:space="preserve">Scoring cols J–K</t>
  </si>
  <si>
    <t xml:space="preserve">L3</t>
  </si>
  <si>
    <t xml:space="preserve">Proxy prices</t>
  </si>
  <si>
    <t xml:space="preserve">Proxy prices can over- or under-state the company's real price; the same drug can differ widely across companies because prices come from different markets (e.g. US generic vs EU). Some US prices in the source workbook are Drugs.com discount cash prices, which can sit well below the Medicare payment limit (e.g. per vial: plerixafor USD 344 vs 1,031; bortezomib 3.5 mg USD 22 vs 92; fulvestrant 250 mg USD 30 vs 50).</t>
  </si>
  <si>
    <t xml:space="preserve">Confirm prices of Priority 1 drugs priced by proxy in the company meeting.</t>
  </si>
  <si>
    <t xml:space="preserve">(7) col P</t>
  </si>
  <si>
    <t xml:space="preserve">L4</t>
  </si>
  <si>
    <t xml:space="preserve">Multi-dose vials</t>
  </si>
  <si>
    <t xml:space="preserve">Multi-dose vials without a stated number of doses (e.g. 10 mL testosterone, cyanocobalamin, naloxone, neostigmine) are priced per vial, which overstates the value per administration.</t>
  </si>
  <si>
    <t xml:space="preserve">Dose varies by patient; no objective split.</t>
  </si>
  <si>
    <t xml:space="preserve">(7) col G</t>
  </si>
  <si>
    <t xml:space="preserve">L5</t>
  </si>
  <si>
    <t xml:space="preserve">Volume is molecule-level</t>
  </si>
  <si>
    <t xml:space="preserve">Shipments and export values are India totals for the molecule – the same for every company making it; a market-size proxy, not company sales.</t>
  </si>
  <si>
    <t xml:space="preserve">No public company-by-molecule data; re-pulling shipments by exporter would make volume company-specific.</t>
  </si>
  <si>
    <t xml:space="preserve">Scoring cols L–N</t>
  </si>
  <si>
    <t xml:space="preserve">L6</t>
  </si>
  <si>
    <t xml:space="preserve">Shipments are consignments</t>
  </si>
  <si>
    <t xml:space="preserve">A shipment is one export consignment, not a unit count: one shipment can carry 100 vials or a million. Option 2 also counts tablets, syrups and creams.</t>
  </si>
  <si>
    <t xml:space="preserve">Best available volume proxy; Option 1 removes non-injectable forms.</t>
  </si>
  <si>
    <t xml:space="preserve">Scoring cols L–M</t>
  </si>
  <si>
    <t xml:space="preserve">L7</t>
  </si>
  <si>
    <t xml:space="preserve">Injectable share is a proxy</t>
  </si>
  <si>
    <t xml:space="preserve">Counts registered products, not units sold: five tablet strengths count as five products even if one injection outsells them. Australia and the US include consumer-health / OTC listings, which lowers the share of oral-heavy molecules.</t>
  </si>
  <si>
    <t xml:space="preserve">Official, consistent and verifiable across all 7 geographies.</t>
  </si>
  <si>
    <t xml:space="preserve">L8</t>
  </si>
  <si>
    <t xml:space="preserve">Missing pack details</t>
  </si>
  <si>
    <t xml:space="preserve">Some presentations do not state the container or fill volume in the source data.</t>
  </si>
  <si>
    <t xml:space="preserve">Shown as "(container not stated)" / "Not stated".</t>
  </si>
  <si>
    <t xml:space="preserve">Summary col J</t>
  </si>
  <si>
    <t xml:space="preserve">L9</t>
  </si>
  <si>
    <t xml:space="preserve">Label coverage and judgement calls</t>
  </si>
  <si>
    <t xml:space="preserve">Routes checked in the 7 geographies only; labels elsewhere may differ. Judgement calls kept out but editable (Route of Administration col D): ropivacaine (labelled "infiltration", never SC by name) and cyclophosphamide (IM only as a fallback in Belgium).</t>
  </si>
  <si>
    <t xml:space="preserve">Strict reading of the ID / IM / SC scope.</t>
  </si>
  <si>
    <t xml:space="preserve">Route of Administration col I</t>
  </si>
  <si>
    <t xml:space="preserve">L10</t>
  </si>
  <si>
    <t xml:space="preserve">Authorisation is not launch</t>
  </si>
  <si>
    <t xml:space="preserve">Markets are company-level authorisations (EMA Article 57 and user country tabs); an authorisation does not prove the product is on the market.</t>
  </si>
  <si>
    <t xml:space="preserve">Confirm commercial presence in the company meeting.</t>
  </si>
  <si>
    <t xml:space="preserve">Drug Use &amp; Market Evidence</t>
  </si>
  <si>
    <t xml:space="preserve">L11</t>
  </si>
  <si>
    <t xml:space="preserve">Data dates</t>
  </si>
  <si>
    <t xml:space="preserve">Prices Sep–Oct 2026; EMA Article 57 05-Aug-2026; FDA NDC Directory 07-Oct-2026; MHRA SmPCs and Health Canada DPD checked 08-Oct-2026; India exports and shipments FY24.</t>
  </si>
  <si>
    <t xml:space="preserve">Point-in-time snapshot.</t>
  </si>
  <si>
    <t xml:space="preserve">Source tabs</t>
  </si>
  <si>
    <t xml:space="preserve">Scoring – 2x2 prioritisation (unit price × volume) for two volume options</t>
  </si>
  <si>
    <t xml:space="preserve">Option 1: volume = injectable shipments (India shipments × injectable share); bubble = injectable export value. Option 2: volume = all shipments (all dosage forms); bubble = export value (all forms). Cut-offs (blue) default to the median of eligible pairs – overwrite to move the quadrant lines.</t>
  </si>
  <si>
    <t xml:space="preserve">Cut-offs:</t>
  </si>
  <si>
    <t xml:space="preserve">Price (USD / unit)</t>
  </si>
  <si>
    <t xml:space="preserve">Option 1 volume (injectable shipments)</t>
  </si>
  <si>
    <t xml:space="preserve">Option 2 volume (all shipments)</t>
  </si>
  <si>
    <t xml:space="preserve">Company ranking – Option 1 (injectable shipments)</t>
  </si>
  <si>
    <t xml:space="preserve">Company ranking – Option 2 (all shipments)</t>
  </si>
  <si>
    <t xml:space="preserve">Priority 1 (#)</t>
  </si>
  <si>
    <t xml:space="preserve">Priority 2 (#)</t>
  </si>
  <si>
    <t xml:space="preserve">Priority 3 (#)</t>
  </si>
  <si>
    <t xml:space="preserve">Eligible drugs (#)</t>
  </si>
  <si>
    <t xml:space="preserve">Opportunity – Priority 1 + 2 ($'000)</t>
  </si>
  <si>
    <t xml:space="preserve">Alembic</t>
  </si>
  <si>
    <t xml:space="preserve">Aurobindo</t>
  </si>
  <si>
    <t xml:space="preserve">Cipla</t>
  </si>
  <si>
    <t xml:space="preserve">Dr. Reddy's</t>
  </si>
  <si>
    <t xml:space="preserve">Emcure</t>
  </si>
  <si>
    <t xml:space="preserve">Glenmark</t>
  </si>
  <si>
    <t xml:space="preserve">Hetero</t>
  </si>
  <si>
    <t xml:space="preserve">Lupin</t>
  </si>
  <si>
    <t xml:space="preserve">MSN</t>
  </si>
  <si>
    <t xml:space="preserve">Micro Labs</t>
  </si>
  <si>
    <t xml:space="preserve">OneSource</t>
  </si>
  <si>
    <t xml:space="preserve">Piramal</t>
  </si>
  <si>
    <t xml:space="preserve">Strides</t>
  </si>
  <si>
    <t xml:space="preserve">Sun Pharma</t>
  </si>
  <si>
    <t xml:space="preserve">Torrent</t>
  </si>
  <si>
    <t xml:space="preserve">Venus Remedies</t>
  </si>
  <si>
    <t xml:space="preserve">Wockhardt</t>
  </si>
  <si>
    <t xml:space="preserve">Zydus</t>
  </si>
  <si>
    <t xml:space="preserve">Drug × company scoring</t>
  </si>
  <si>
    <t xml:space="preserve">Therapeutic area</t>
  </si>
  <si>
    <t xml:space="preserve">Price confidence</t>
  </si>
  <si>
    <t xml:space="preserve">Injectable export value ($'000) – Option 1 bubble</t>
  </si>
  <si>
    <t xml:space="preserve">Tier 1 markets (company-level)</t>
  </si>
  <si>
    <t xml:space="preserve">Markets (#)</t>
  </si>
  <si>
    <t xml:space="preserve">Fits 1–10 mL syringe</t>
  </si>
  <si>
    <t xml:space="preserve">Note</t>
  </si>
  <si>
    <t xml:space="preserve">Shipments – all forms (#) – Option 2 volume</t>
  </si>
  <si>
    <t xml:space="preserve">Injectable shipments (#) – Option 1 volume</t>
  </si>
  <si>
    <t xml:space="preserve">Export – all forms ($'000) – Option 2 bubble</t>
  </si>
  <si>
    <t xml:space="preserve">Exclusion reason</t>
  </si>
  <si>
    <t xml:space="preserve">Option 1 – rank in company</t>
  </si>
  <si>
    <t xml:space="preserve">Option 1 – priority</t>
  </si>
  <si>
    <t xml:space="preserve">Pitch angle</t>
  </si>
  <si>
    <t xml:space="preserve">Company (full name)</t>
  </si>
  <si>
    <t xml:space="preserve">Therapeutic area – source URL</t>
  </si>
  <si>
    <t xml:space="preserve">Lookup key</t>
  </si>
  <si>
    <t xml:space="preserve">Helper: # priced</t>
  </si>
  <si>
    <t xml:space="preserve">Helper: # &gt; $5</t>
  </si>
  <si>
    <t xml:space="preserve">Helper: # confirmed (Exact / Same-market)</t>
  </si>
  <si>
    <t xml:space="preserve">Helper: company | rank</t>
  </si>
  <si>
    <t xml:space="preserve">Packaging (per unit, no carton)</t>
  </si>
  <si>
    <t xml:space="preserve">Helper: Option 1 company rank</t>
  </si>
  <si>
    <t xml:space="preserve">Helper: Option 1 sort key</t>
  </si>
  <si>
    <t xml:space="preserve">Helper: Option 1 order value</t>
  </si>
  <si>
    <t xml:space="preserve">Labelled injection routes</t>
  </si>
  <si>
    <t xml:space="preserve">ID / IM / SC route (in scope)</t>
  </si>
  <si>
    <t xml:space="preserve">Helper: avg price of all priced presentations</t>
  </si>
  <si>
    <t xml:space="preserve">Product name(s)</t>
  </si>
  <si>
    <t xml:space="preserve">Markets (short, for Summary)</t>
  </si>
  <si>
    <t xml:space="preserve">Option 1 – 2x2 quadrant</t>
  </si>
  <si>
    <t xml:space="preserve">Option 2 – priority</t>
  </si>
  <si>
    <t xml:space="preserve">Option 2 – 2x2 quadrant</t>
  </si>
  <si>
    <t xml:space="preserve">Option 2 – rank in company</t>
  </si>
  <si>
    <t xml:space="preserve">Helper: price if eligible</t>
  </si>
  <si>
    <t xml:space="preserve">Helper: injectable shipments if eligible</t>
  </si>
  <si>
    <t xml:space="preserve">Helper: shipments if eligible</t>
  </si>
  <si>
    <t xml:space="preserve">Helper: Option 2 order value</t>
  </si>
  <si>
    <t xml:space="preserve">Helper: Option 2 company rank</t>
  </si>
  <si>
    <t xml:space="preserve">Helper: Option 2 sort key</t>
  </si>
  <si>
    <t xml:space="preserve">Carboprost</t>
  </si>
  <si>
    <t xml:space="preserve">Women's health: postpartum haemorrhage, pregnancy termination</t>
  </si>
  <si>
    <t xml:space="preserve">US</t>
  </si>
  <si>
    <t xml:space="preserve">Vial</t>
  </si>
  <si>
    <t xml:space="preserve">Yes</t>
  </si>
  <si>
    <t xml:space="preserve">Differentiation in crowded generic market</t>
  </si>
  <si>
    <t xml:space="preserve">Alembic Pharmaceuticals</t>
  </si>
  <si>
    <t xml:space="preserve">https://dailymed.nlm.nih.gov/dailymed/search.cfm?labeltype=all&amp;query=carboprost</t>
  </si>
  <si>
    <t xml:space="preserve">0.25 mg/1 mL vial</t>
  </si>
  <si>
    <t xml:space="preserve">Carboprost Tromethamine; Carboprost Alembic</t>
  </si>
  <si>
    <t xml:space="preserve">US | EU/EEA (2): Malta, Sweden</t>
  </si>
  <si>
    <t xml:space="preserve">Diazepam</t>
  </si>
  <si>
    <t xml:space="preserve">Neurology: status epilepticus, seizures, acute anxiety and sedation</t>
  </si>
  <si>
    <t xml:space="preserve">Prefilled syringe</t>
  </si>
  <si>
    <t xml:space="preserve">Safety upgrade of existing prefilled syringe</t>
  </si>
  <si>
    <t xml:space="preserve">https://dailymed.nlm.nih.gov/dailymed/search.cfm?labeltype=all&amp;query=diazepam+injection</t>
  </si>
  <si>
    <t xml:space="preserve">10 mg/2 mL pre-filled syringe</t>
  </si>
  <si>
    <t xml:space="preserve">Fulvestrant</t>
  </si>
  <si>
    <t xml:space="preserve">Oncology: hormone receptor-positive advanced breast cancer</t>
  </si>
  <si>
    <t xml:space="preserve">https://dailymed.nlm.nih.gov/dailymed/search.cfm?labeltype=all&amp;query=fulvestrant</t>
  </si>
  <si>
    <t xml:space="preserve">250 mg/5 mL pre-filled syringe</t>
  </si>
  <si>
    <t xml:space="preserve">Methotrexate</t>
  </si>
  <si>
    <t xml:space="preserve">Oncology and immunology: leukaemia, lymphoma, bone cancer, rheumatoid arthritis, psoriasis</t>
  </si>
  <si>
    <t xml:space="preserve">https://dailymed.nlm.nih.gov/dailymed/search.cfm?labeltype=all&amp;query=methotrexate+injection</t>
  </si>
  <si>
    <t xml:space="preserve">1 g/40 mL vial; 50 mg/2 mL vial</t>
  </si>
  <si>
    <t xml:space="preserve">Methotrexate Sodium</t>
  </si>
  <si>
    <t xml:space="preserve">Phytonadione</t>
  </si>
  <si>
    <t xml:space="preserve">Haematology: vitamin K for newborn bleeding prevention, warfarin reversal</t>
  </si>
  <si>
    <t xml:space="preserve">https://dailymed.nlm.nih.gov/dailymed/search.cfm?labeltype=all&amp;query=phytonadione</t>
  </si>
  <si>
    <t xml:space="preserve">1 mg/0.5 mL pre-filled syringe</t>
  </si>
  <si>
    <t xml:space="preserve">Triamcinolone Acetonide</t>
  </si>
  <si>
    <t xml:space="preserve">Musculoskeletal and immunology: joint and soft-tissue injections, allergic and skin conditions</t>
  </si>
  <si>
    <t xml:space="preserve">Not stated</t>
  </si>
  <si>
    <t xml:space="preserve">Confirm presentation with company</t>
  </si>
  <si>
    <t xml:space="preserve">https://dailymed.nlm.nih.gov/dailymed/search.cfm?labeltype=all&amp;query=triamcinolone+acetonide+injectable+suspension</t>
  </si>
  <si>
    <t xml:space="preserve">40 mg/mL (container not stated)</t>
  </si>
  <si>
    <t xml:space="preserve">Ampicillin</t>
  </si>
  <si>
    <t xml:space="preserve">Anti-infective: meningitis, endocarditis, neonatal sepsis</t>
  </si>
  <si>
    <t xml:space="preserve">DE, CA</t>
  </si>
  <si>
    <t xml:space="preserve">No – &gt;10 mL only</t>
  </si>
  <si>
    <t xml:space="preserve">Safety-device mandate compliance</t>
  </si>
  <si>
    <t xml:space="preserve">Aurobindo Pharma</t>
  </si>
  <si>
    <t xml:space="preserve">https://dailymed.nlm.nih.gov/dailymed/search.cfm?labeltype=all&amp;query=ampicillin</t>
  </si>
  <si>
    <t xml:space="preserve">2 g/20 mL vial</t>
  </si>
  <si>
    <t xml:space="preserve">Ampicillin Sodium</t>
  </si>
  <si>
    <t xml:space="preserve">Canada | EU/EEA (1): Germany</t>
  </si>
  <si>
    <t xml:space="preserve">Argatroban</t>
  </si>
  <si>
    <t xml:space="preserve">Haematology: anticoagulant for heparin-induced thrombocytopenia</t>
  </si>
  <si>
    <t xml:space="preserve">https://dailymed.nlm.nih.gov/dailymed/search.cfm?labeltype=all&amp;query=argatroban</t>
  </si>
  <si>
    <t xml:space="preserve">50 mg/50 mL vial</t>
  </si>
  <si>
    <t xml:space="preserve">Argatroban In Sodium Chloride</t>
  </si>
  <si>
    <t xml:space="preserve">Azacitidine</t>
  </si>
  <si>
    <t xml:space="preserve">Oncology: myelodysplastic syndromes, acute myeloid leukaemia</t>
  </si>
  <si>
    <t xml:space="preserve">UK, UK-NI, DE, FR, NL, BE</t>
  </si>
  <si>
    <t xml:space="preserve">Powder – check reconstitution volume</t>
  </si>
  <si>
    <t xml:space="preserve">https://dailymed.nlm.nih.gov/dailymed/search.cfm?labeltype=all&amp;query=azacitidine</t>
  </si>
  <si>
    <t xml:space="preserve">25 mg/mL powder vial; 100 mg powder vial</t>
  </si>
  <si>
    <t xml:space="preserve">Azacitidine; Azacitidin Puren; Azacitidine Eugia</t>
  </si>
  <si>
    <t xml:space="preserve">UK, Australia, UK-NI | EU/EEA (8): Germany, France, Netherlands, Belgium, Italy, Poland, Portugal, Spain</t>
  </si>
  <si>
    <t xml:space="preserve">UK, Australia, UK-NI | EU/EEA (8): Germany, France, Netherlands, Belgium + 4 more</t>
  </si>
  <si>
    <t xml:space="preserve">Bortezomib</t>
  </si>
  <si>
    <t xml:space="preserve">Oncology: multiple myeloma, mantle cell lymphoma</t>
  </si>
  <si>
    <t xml:space="preserve">US, UK, UK-NI, DE, FR, NL, BE</t>
  </si>
  <si>
    <t xml:space="preserve">https://dailymed.nlm.nih.gov/dailymed/search.cfm?labeltype=all&amp;query=bortezomib</t>
  </si>
  <si>
    <t xml:space="preserve">3.5 mg powder vial</t>
  </si>
  <si>
    <t xml:space="preserve">Bortezomib; Bortezomib Milpharm; Bortezomib Arrow (+1 more)</t>
  </si>
  <si>
    <t xml:space="preserve">US, UK, Australia, UK-NI | EU/EEA (8): Germany, France, Netherlands, Belgium, Italy, Poland, Portugal, Spain</t>
  </si>
  <si>
    <t xml:space="preserve">US, UK, Australia, UK-NI | EU/EEA (8): Germany, France, Netherlands, Belgium + 4 more</t>
  </si>
  <si>
    <t xml:space="preserve">Bupivacaine</t>
  </si>
  <si>
    <t xml:space="preserve">Anaesthesia: long-acting local anaesthetic for spinal, epidural and nerve block</t>
  </si>
  <si>
    <t xml:space="preserve">UK-NI, DE, NL</t>
  </si>
  <si>
    <t xml:space="preserve">Ampoule</t>
  </si>
  <si>
    <t xml:space="preserve">https://dailymed.nlm.nih.gov/dailymed/search.cfm?labeltype=all&amp;query=bupivacaine</t>
  </si>
  <si>
    <t xml:space="preserve">25 mg/5 mL ampoule</t>
  </si>
  <si>
    <t xml:space="preserve">Bupivan</t>
  </si>
  <si>
    <t xml:space="preserve">UK-NI | EU/EEA (5): Germany, Netherlands, Italy, Portugal, Spain</t>
  </si>
  <si>
    <t xml:space="preserve">Carboprost Tromethamine</t>
  </si>
  <si>
    <t xml:space="preserve">Cefepime</t>
  </si>
  <si>
    <t xml:space="preserve">Anti-infective: hospital Gram-negative infections, febrile neutropenia</t>
  </si>
  <si>
    <t xml:space="preserve">Check – powder in &gt;10 mL vial</t>
  </si>
  <si>
    <t xml:space="preserve">https://dailymed.nlm.nih.gov/dailymed/search.cfm?labeltype=all&amp;query=cefepime</t>
  </si>
  <si>
    <t xml:space="preserve">1000 mg in 20 mL powder vial; 2000 mg in 50 mL powder vial</t>
  </si>
  <si>
    <t xml:space="preserve">Auro Cefepime</t>
  </si>
  <si>
    <t xml:space="preserve">South Africa</t>
  </si>
  <si>
    <t xml:space="preserve">Ceftazidime</t>
  </si>
  <si>
    <t xml:space="preserve">Anti-infective: Pseudomonas and other hospital Gram-negative infections</t>
  </si>
  <si>
    <t xml:space="preserve">FR</t>
  </si>
  <si>
    <t xml:space="preserve">https://dailymed.nlm.nih.gov/dailymed/search.cfm?labeltype=all&amp;query=ceftazidime</t>
  </si>
  <si>
    <t xml:space="preserve">1 g powder vial</t>
  </si>
  <si>
    <t xml:space="preserve">Ceftazidime Arrow</t>
  </si>
  <si>
    <t xml:space="preserve">EU/EEA (1): France</t>
  </si>
  <si>
    <t xml:space="preserve">Ceftriaxone</t>
  </si>
  <si>
    <t xml:space="preserve">Anti-infective: pneumonia, meningitis, sepsis, gonorrhoea, typhoid</t>
  </si>
  <si>
    <t xml:space="preserve">DE, FR</t>
  </si>
  <si>
    <t xml:space="preserve">Vial, Ampoule</t>
  </si>
  <si>
    <t xml:space="preserve">https://dailymed.nlm.nih.gov/dailymed/search.cfm?labeltype=all&amp;query=ceftriaxone</t>
  </si>
  <si>
    <t xml:space="preserve">Ceftriaxon Puren; Ceftriaxone Almus</t>
  </si>
  <si>
    <t xml:space="preserve">EU/EEA (4): Germany, France, Italy, Portugal</t>
  </si>
  <si>
    <t xml:space="preserve">Chlorpromazine</t>
  </si>
  <si>
    <t xml:space="preserve">Psychiatry: acute psychosis and agitation, severe nausea and vomiting</t>
  </si>
  <si>
    <t xml:space="preserve">https://dailymed.nlm.nih.gov/dailymed/search.cfm?labeltype=all&amp;query=chlorpromazine</t>
  </si>
  <si>
    <t xml:space="preserve">25 mg/1 mL ampoule</t>
  </si>
  <si>
    <t xml:space="preserve">Chlorpromazine Hydrochloride</t>
  </si>
  <si>
    <t xml:space="preserve">Cyclophosphamide</t>
  </si>
  <si>
    <t xml:space="preserve">Oncology: lymphoma, leukaemia, breast cancer, transplant conditioning</t>
  </si>
  <si>
    <t xml:space="preserve">https://dailymed.nlm.nih.gov/dailymed/search.cfm?labeltype=all&amp;query=cyclophosphamide</t>
  </si>
  <si>
    <t xml:space="preserve">1 g/5 mL vial; 2 g/10 mL vial; 500 mg/2.5 mL vial</t>
  </si>
  <si>
    <t xml:space="preserve">Dactinomycin</t>
  </si>
  <si>
    <t xml:space="preserve">Oncology: childhood tumours (Wilms' tumour, rhabdomyosarcoma, Ewing's sarcoma)</t>
  </si>
  <si>
    <t xml:space="preserve">https://dailymed.nlm.nih.gov/dailymed/search.cfm?labeltype=all&amp;query=dactinomycin</t>
  </si>
  <si>
    <t xml:space="preserve">0.5 mg powder vial</t>
  </si>
  <si>
    <t xml:space="preserve">Daptomycin</t>
  </si>
  <si>
    <t xml:space="preserve">Anti-infective: MRSA skin infections and bloodstream infections</t>
  </si>
  <si>
    <t xml:space="preserve">https://dailymed.nlm.nih.gov/dailymed/search.cfm?labeltype=all&amp;query=daptomycin</t>
  </si>
  <si>
    <t xml:space="preserve">350 mg powder vial</t>
  </si>
  <si>
    <t xml:space="preserve">Daptomicina Aurobindo</t>
  </si>
  <si>
    <t xml:space="preserve">EU/EEA (5): Germany, France, Italy, Portugal, Spain</t>
  </si>
  <si>
    <t xml:space="preserve">Doxorubicin</t>
  </si>
  <si>
    <t xml:space="preserve">Oncology: breast cancer, lymphomas, sarcomas, leukaemia</t>
  </si>
  <si>
    <t xml:space="preserve">DE, FR, NL</t>
  </si>
  <si>
    <t xml:space="preserve">https://dailymed.nlm.nih.gov/dailymed/search.cfm?labeltype=all&amp;query=doxorubicin</t>
  </si>
  <si>
    <t xml:space="preserve">10 mg/5 mL vial</t>
  </si>
  <si>
    <t xml:space="preserve">Doxorubicin Aurobindo</t>
  </si>
  <si>
    <t xml:space="preserve">EU/EEA (6): Germany, France, Netherlands, Italy, Portugal, Spain</t>
  </si>
  <si>
    <t xml:space="preserve">Ephedrine</t>
  </si>
  <si>
    <t xml:space="preserve">Anaesthesia: low blood pressure during spinal anaesthesia and caesarean section</t>
  </si>
  <si>
    <t xml:space="preserve">US, FR</t>
  </si>
  <si>
    <t xml:space="preserve">https://dailymed.nlm.nih.gov/dailymed/search.cfm?labeltype=all&amp;query=ephedrine+sulfate+injection</t>
  </si>
  <si>
    <t xml:space="preserve">50 mg/1 mL vial</t>
  </si>
  <si>
    <t xml:space="preserve">Ephedrine Sulfate</t>
  </si>
  <si>
    <t xml:space="preserve">US | EU/EEA (1): France</t>
  </si>
  <si>
    <t xml:space="preserve">Epirubicin</t>
  </si>
  <si>
    <t xml:space="preserve">Oncology: breast cancer after surgery</t>
  </si>
  <si>
    <t xml:space="preserve">BE</t>
  </si>
  <si>
    <t xml:space="preserve">https://dailymed.nlm.nih.gov/dailymed/search.cfm?labeltype=all&amp;query=epirubicin</t>
  </si>
  <si>
    <t xml:space="preserve">50 mg/25 mL vial</t>
  </si>
  <si>
    <t xml:space="preserve">Epirubicin Ab</t>
  </si>
  <si>
    <t xml:space="preserve">EU/EEA (4): Belgium, Luxembourg, Portugal, Spain</t>
  </si>
  <si>
    <t xml:space="preserve">Eptifibatide</t>
  </si>
  <si>
    <t xml:space="preserve">Cardiovascular: antiplatelet for acute coronary syndrome and angioplasty</t>
  </si>
  <si>
    <t xml:space="preserve">https://dailymed.nlm.nih.gov/dailymed/search.cfm?labeltype=all&amp;query=eptifibatide</t>
  </si>
  <si>
    <t xml:space="preserve">20 mg/10 mL vial</t>
  </si>
  <si>
    <t xml:space="preserve">Ertapenem</t>
  </si>
  <si>
    <t xml:space="preserve">Anti-infective: abdominal, skin and urinary infections, pneumonia</t>
  </si>
  <si>
    <t xml:space="preserve">US, UK-NI, FR, CA</t>
  </si>
  <si>
    <t xml:space="preserve">https://dailymed.nlm.nih.gov/dailymed/search.cfm?labeltype=all&amp;query=ertapenem</t>
  </si>
  <si>
    <t xml:space="preserve">1 g powder vial; 1 g in 20 mL powder vial</t>
  </si>
  <si>
    <t xml:space="preserve">Ertapenem Sodium; Ertapenem; Etamep (+1 more)</t>
  </si>
  <si>
    <t xml:space="preserve">US, Canada, South Africa, UK-NI | EU/EEA (6): France, Italy, Poland, Portugal, Romania, Spain</t>
  </si>
  <si>
    <t xml:space="preserve">Esmolol</t>
  </si>
  <si>
    <t xml:space="preserve">Cardiovascular: rapid heart rate control during and after surgery</t>
  </si>
  <si>
    <t xml:space="preserve">Bag</t>
  </si>
  <si>
    <t xml:space="preserve">https://dailymed.nlm.nih.gov/dailymed/search.cfm?labeltype=all&amp;query=esmolol</t>
  </si>
  <si>
    <t xml:space="preserve">1 g/100 mL (container not stated); 2 g/100 mL bag</t>
  </si>
  <si>
    <t xml:space="preserve">Esmolol Hydrochloride</t>
  </si>
  <si>
    <t xml:space="preserve">US | EU/EEA (1): Spain</t>
  </si>
  <si>
    <t xml:space="preserve">Flucloxacillin</t>
  </si>
  <si>
    <t xml:space="preserve">Anti-infective: staphylococcal skin, bone and heart infections</t>
  </si>
  <si>
    <t xml:space="preserve">UK-NI, DE, FR, NL, BE</t>
  </si>
  <si>
    <t xml:space="preserve">https://mhraproducts4853.blob.core.windows.net/docs/b81aa75bd80aa32a460d7fedc1706f40ed574da1</t>
  </si>
  <si>
    <t xml:space="preserve">500 mg powder vial; 1000 mg powder vial; 2000 mg powder vial</t>
  </si>
  <si>
    <t xml:space="preserve">EUG-Flucloxacillin</t>
  </si>
  <si>
    <t xml:space="preserve">Australia, UK-NI | EU/EEA (6): Germany, France, Netherlands, Belgium, Luxembourg, Portugal</t>
  </si>
  <si>
    <t xml:space="preserve">Fluorouracil</t>
  </si>
  <si>
    <t xml:space="preserve">Oncology: colorectal, breast, gastric, pancreatic and head and neck cancers</t>
  </si>
  <si>
    <t xml:space="preserve">https://dailymed.nlm.nih.gov/dailymed/search.cfm?labeltype=all&amp;query=fluorouracil+injection</t>
  </si>
  <si>
    <t xml:space="preserve">1 g/20 mL vial</t>
  </si>
  <si>
    <t xml:space="preserve">Fluphenazine Decanoate</t>
  </si>
  <si>
    <t xml:space="preserve">Psychiatry: long-acting maintenance treatment for schizophrenia</t>
  </si>
  <si>
    <t xml:space="preserve">https://dailymed.nlm.nih.gov/dailymed/search.cfm?labeltype=all&amp;query=fluphenazine+decanoate</t>
  </si>
  <si>
    <t xml:space="preserve">125 mg/5 mL vial</t>
  </si>
  <si>
    <t xml:space="preserve">Folinic Acid (Leucovorin)</t>
  </si>
  <si>
    <t xml:space="preserve">Oncology support: methotrexate rescue, combination therapy in colorectal cancer</t>
  </si>
  <si>
    <t xml:space="preserve">DE</t>
  </si>
  <si>
    <t xml:space="preserve">https://dailymed.nlm.nih.gov/dailymed/search.cfm?labeltype=all&amp;query=leucovorin+calcium+injection</t>
  </si>
  <si>
    <t xml:space="preserve">1000 mg/100 mL vial</t>
  </si>
  <si>
    <t xml:space="preserve">Folinsäure Aurobindo</t>
  </si>
  <si>
    <t xml:space="preserve">EU/EEA (1): Germany</t>
  </si>
  <si>
    <t xml:space="preserve">UK, DE, FR, NL, BE</t>
  </si>
  <si>
    <t xml:space="preserve">Fulvestrant; Fulvestrant Arrow; EUG-Fulvestrant</t>
  </si>
  <si>
    <t xml:space="preserve">UK, Australia | EU/EEA (8): Germany, France, Netherlands, Belgium, Italy, Poland, Portugal, Spain</t>
  </si>
  <si>
    <t xml:space="preserve">UK, Australia | EU/EEA (8): Germany, France, Netherlands, Belgium + 4 more</t>
  </si>
  <si>
    <t xml:space="preserve">Hydralazine</t>
  </si>
  <si>
    <t xml:space="preserve">Cardiovascular: severe high blood pressure in pregnancy, hypertensive emergency</t>
  </si>
  <si>
    <t xml:space="preserve">CA</t>
  </si>
  <si>
    <t xml:space="preserve">https://dailymed.nlm.nih.gov/dailymed/search.cfm?labeltype=all&amp;query=hydralazine+injection</t>
  </si>
  <si>
    <t xml:space="preserve">20 mg/1 mL vial</t>
  </si>
  <si>
    <t xml:space="preserve">Hydralazine Hydrochloride</t>
  </si>
  <si>
    <t xml:space="preserve">Canada</t>
  </si>
  <si>
    <t xml:space="preserve">Ibandronic Acid</t>
  </si>
  <si>
    <t xml:space="preserve">Bone health: postmenopausal osteoporosis</t>
  </si>
  <si>
    <t xml:space="preserve">https://dailymed.nlm.nih.gov/dailymed/search.cfm?labeltype=all&amp;query=ibandronate+injection</t>
  </si>
  <si>
    <t xml:space="preserve">3 mg/3 mL pre-filled syringe</t>
  </si>
  <si>
    <t xml:space="preserve">Ibandronate Sodium</t>
  </si>
  <si>
    <t xml:space="preserve">Medroxyprogesterone Acetate</t>
  </si>
  <si>
    <t xml:space="preserve">Women's health: three-monthly contraceptive injection</t>
  </si>
  <si>
    <t xml:space="preserve">Vial, Prefilled syringe</t>
  </si>
  <si>
    <t xml:space="preserve">https://dailymed.nlm.nih.gov/dailymed/search.cfm?labeltype=all&amp;query=medroxyprogesterone+acetate+injectable</t>
  </si>
  <si>
    <t xml:space="preserve">150 mg/1 mL vial; 150 mg/1 mL pre-filled syringe</t>
  </si>
  <si>
    <t xml:space="preserve">Melphalan</t>
  </si>
  <si>
    <t xml:space="preserve">Oncology: multiple myeloma, stem cell transplant conditioning</t>
  </si>
  <si>
    <t xml:space="preserve">DE, NL</t>
  </si>
  <si>
    <t xml:space="preserve">https://dailymed.nlm.nih.gov/dailymed/search.cfm?labeltype=all&amp;query=melphalan+hydrochloride</t>
  </si>
  <si>
    <t xml:space="preserve">50 mg powder vial</t>
  </si>
  <si>
    <t xml:space="preserve">Melfalan Eugia</t>
  </si>
  <si>
    <t xml:space="preserve">EU/EEA (3): Germany, Netherlands, Portugal</t>
  </si>
  <si>
    <t xml:space="preserve">Meropenem</t>
  </si>
  <si>
    <t xml:space="preserve">Anti-infective: severe hospital infections, sepsis, meningitis</t>
  </si>
  <si>
    <t xml:space="preserve">UK-NI, DE, FR, BE, CA</t>
  </si>
  <si>
    <t xml:space="preserve">https://dailymed.nlm.nih.gov/dailymed/search.cfm?labeltype=all&amp;query=meropenem</t>
  </si>
  <si>
    <t xml:space="preserve">500 mg powder vial; 500 mg/30 mL vial; 1 g/40 mL vial</t>
  </si>
  <si>
    <t xml:space="preserve">Meropenem Arrow; Meropenem Aurovit; Meropenem Aurovitas (+1 more)</t>
  </si>
  <si>
    <t xml:space="preserve">Canada, UK-NI | EU/EEA (8): Germany, France, Belgium, Ireland, Italy, Portugal, Romania, Spain</t>
  </si>
  <si>
    <t xml:space="preserve">Canada, UK-NI | EU/EEA (8): Germany, France, Belgium, Ireland + 4 more</t>
  </si>
  <si>
    <t xml:space="preserve">Mesna</t>
  </si>
  <si>
    <t xml:space="preserve">Oncology support: protects the bladder during ifosfamide and cyclophosphamide therapy</t>
  </si>
  <si>
    <t xml:space="preserve">https://dailymed.nlm.nih.gov/dailymed/search.cfm?labeltype=all&amp;query=mesna</t>
  </si>
  <si>
    <t xml:space="preserve">1000 mg/10 mL vial</t>
  </si>
  <si>
    <t xml:space="preserve">50 mg/2 mL vial; 200 mg/8 mL vial; 250 mg/10 mL vial</t>
  </si>
  <si>
    <t xml:space="preserve">Methotrexate Sodium Preservative Free</t>
  </si>
  <si>
    <t xml:space="preserve">Methylprednisolone Acetate</t>
  </si>
  <si>
    <t xml:space="preserve">Musculoskeletal and immunology: joint injections for arthritis and bursitis, inflammatory conditions</t>
  </si>
  <si>
    <t xml:space="preserve">https://dailymed.nlm.nih.gov/dailymed/search.cfm?labeltype=all&amp;query=methylprednisolone+acetate</t>
  </si>
  <si>
    <t xml:space="preserve">40 mg/mL powder vial; 80 mg/mL powder vial</t>
  </si>
  <si>
    <t xml:space="preserve">Mitomycin</t>
  </si>
  <si>
    <t xml:space="preserve">Oncology: gastric, pancreatic, anal and bladder cancers</t>
  </si>
  <si>
    <t xml:space="preserve">https://dailymed.nlm.nih.gov/dailymed/search.cfm?labeltype=all&amp;query=mitomycin</t>
  </si>
  <si>
    <t xml:space="preserve">20 mg powder vial</t>
  </si>
  <si>
    <t xml:space="preserve">Mitomicina Aurovitas</t>
  </si>
  <si>
    <t xml:space="preserve">EU/EEA (2): Portugal, Spain</t>
  </si>
  <si>
    <t xml:space="preserve">Nafcillin</t>
  </si>
  <si>
    <t xml:space="preserve">Anti-infective: staphylococcal infections</t>
  </si>
  <si>
    <t xml:space="preserve">https://dailymed.nlm.nih.gov/dailymed/search.cfm?labeltype=all&amp;query=nafcillin</t>
  </si>
  <si>
    <t xml:space="preserve">1 g powder vial; 2 g powder vial</t>
  </si>
  <si>
    <t xml:space="preserve">Nafcillin Sodium</t>
  </si>
  <si>
    <t xml:space="preserve">Naloxone</t>
  </si>
  <si>
    <t xml:space="preserve">Critical care: reversal of opioid overdose</t>
  </si>
  <si>
    <t xml:space="preserve">US, CA</t>
  </si>
  <si>
    <t xml:space="preserve">https://dailymed.nlm.nih.gov/dailymed/search.cfm?labeltype=all&amp;query=naloxone+hydrochloride+injection</t>
  </si>
  <si>
    <t xml:space="preserve">2 mg/2 mL pre-filled syringe; 0.4 mg/1 mL vial; 4 mg/10 mL vial</t>
  </si>
  <si>
    <t xml:space="preserve">Naloxone Hydrochloride</t>
  </si>
  <si>
    <t xml:space="preserve">US, Canada</t>
  </si>
  <si>
    <t xml:space="preserve">Ondansetron</t>
  </si>
  <si>
    <t xml:space="preserve">Oncology support: nausea and vomiting from chemotherapy and surgery</t>
  </si>
  <si>
    <t xml:space="preserve">UK, UK-NI, DE, BE, CA</t>
  </si>
  <si>
    <t xml:space="preserve">https://dailymed.nlm.nih.gov/dailymed/search.cfm?labeltype=all&amp;query=ondansetron+injection</t>
  </si>
  <si>
    <t xml:space="preserve">2 mg/mL ampoule; 4 mg/2 mL ampoule; 4 mg/2 mL vial; 8 mg/4 mL vial</t>
  </si>
  <si>
    <t xml:space="preserve">Ondansetron; Ondansetron Ab; Auro-Ondansetron (+1 more)</t>
  </si>
  <si>
    <t xml:space="preserve">UK, Canada, UK-NI | EU/EEA (7): Germany, Belgium, Italy, Luxembourg, Portugal, Romania, Spain</t>
  </si>
  <si>
    <t xml:space="preserve">UK, Canada, UK-NI | EU/EEA (7): Germany, Belgium, Italy, Luxembourg + 3 more</t>
  </si>
  <si>
    <t xml:space="preserve">Oxacillin</t>
  </si>
  <si>
    <t xml:space="preserve">https://dailymed.nlm.nih.gov/dailymed/search.cfm?labeltype=all&amp;query=oxacillin</t>
  </si>
  <si>
    <t xml:space="preserve">Oxacillin Sodium</t>
  </si>
  <si>
    <t xml:space="preserve">Palonosetron</t>
  </si>
  <si>
    <t xml:space="preserve">Oncology support: nausea and vomiting from chemotherapy</t>
  </si>
  <si>
    <t xml:space="preserve">https://dailymed.nlm.nih.gov/dailymed/search.cfm?labeltype=all&amp;query=palonosetron</t>
  </si>
  <si>
    <t xml:space="preserve">0.25 mg/5 mL vial</t>
  </si>
  <si>
    <t xml:space="preserve">Palonosetron Hydrochloride</t>
  </si>
  <si>
    <t xml:space="preserve">Pantoprazole</t>
  </si>
  <si>
    <t xml:space="preserve">Gastroenterology: acid reflux, gastrointestinal bleeding, stress ulcer prevention</t>
  </si>
  <si>
    <t xml:space="preserve">UK, UK-NI, DE, FR, NL, BE, CA</t>
  </si>
  <si>
    <t xml:space="preserve">https://dailymed.nlm.nih.gov/dailymed/search.cfm?labeltype=all&amp;query=pantoprazole+sodium+for+injection</t>
  </si>
  <si>
    <t xml:space="preserve">40 mg vial; 40 mg/10 mL vial</t>
  </si>
  <si>
    <t xml:space="preserve">UK, Canada, UK-NI | EU/EEA (8): Germany, France, Netherlands, Belgium, Italy, Poland, Portugal, Spain</t>
  </si>
  <si>
    <t xml:space="preserve">UK, Canada, UK-NI | EU/EEA (8): Germany, France, Netherlands, Belgium + 4 more</t>
  </si>
  <si>
    <t xml:space="preserve">Plerixafor</t>
  </si>
  <si>
    <t xml:space="preserve">Oncology support: stem cell mobilisation in myeloma and lymphoma</t>
  </si>
  <si>
    <t xml:space="preserve">US, UK, UK-NI, DE, FR, CA</t>
  </si>
  <si>
    <t xml:space="preserve">https://dailymed.nlm.nih.gov/dailymed/search.cfm?labeltype=all&amp;query=plerixafor</t>
  </si>
  <si>
    <t xml:space="preserve">24 mg/1.2 mL vial</t>
  </si>
  <si>
    <t xml:space="preserve">Plerixafor; Plerixafor Arrow; Plerixafor Eugia</t>
  </si>
  <si>
    <t xml:space="preserve">US, UK, Canada, Australia, UK-NI | EU/EEA (5): Germany, France, Italy, Portugal, Spain</t>
  </si>
  <si>
    <t xml:space="preserve">Progesterone</t>
  </si>
  <si>
    <t xml:space="preserve">Women's health: IVF support, absent periods, abnormal uterine bleeding</t>
  </si>
  <si>
    <t xml:space="preserve">https://dailymed.nlm.nih.gov/dailymed/search.cfm?labeltype=all&amp;query=progesterone+injection</t>
  </si>
  <si>
    <t xml:space="preserve">500 mg/10 mL vial</t>
  </si>
  <si>
    <t xml:space="preserve">Regadenoson</t>
  </si>
  <si>
    <t xml:space="preserve">Diagnostics: cardiac stress imaging</t>
  </si>
  <si>
    <t xml:space="preserve">https://dailymed.nlm.nih.gov/dailymed/search.cfm?labeltype=all&amp;query=regadenoson</t>
  </si>
  <si>
    <t xml:space="preserve">0.4 mg/5 mL pre-filled syringe</t>
  </si>
  <si>
    <t xml:space="preserve">Remifentanil</t>
  </si>
  <si>
    <t xml:space="preserve">Anaesthesia: ultra-short-acting opioid pain relief during surgery</t>
  </si>
  <si>
    <t xml:space="preserve">NL</t>
  </si>
  <si>
    <t xml:space="preserve">https://dailymed.nlm.nih.gov/dailymed/search.cfm?labeltype=all&amp;query=remifentanil</t>
  </si>
  <si>
    <t xml:space="preserve">1 mg powder vial</t>
  </si>
  <si>
    <t xml:space="preserve">Remifentanil Hydrochloride Aurobindo</t>
  </si>
  <si>
    <t xml:space="preserve">EU/EEA (1): Netherlands</t>
  </si>
  <si>
    <t xml:space="preserve">Ropivacaine</t>
  </si>
  <si>
    <t xml:space="preserve">Anaesthesia: local anaesthetic for epidural, labour and nerve block</t>
  </si>
  <si>
    <t xml:space="preserve">https://dailymed.nlm.nih.gov/dailymed/search.cfm?labeltype=all&amp;query=ropivacaine</t>
  </si>
  <si>
    <t xml:space="preserve">40 mg/20 mL vial; 100 mg/20 mL vial; 100 mg/10 mL vial; 150 mg/30 mL vial (+2 more)</t>
  </si>
  <si>
    <t xml:space="preserve">Ropivacaine Hydrochloride</t>
  </si>
  <si>
    <t xml:space="preserve">Sildenafil</t>
  </si>
  <si>
    <t xml:space="preserve">Cardiovascular: pulmonary arterial hypertension</t>
  </si>
  <si>
    <t xml:space="preserve">https://dailymed.nlm.nih.gov/dailymed/search.cfm?labeltype=all&amp;query=sildenafil+injection</t>
  </si>
  <si>
    <t xml:space="preserve">10 mg/12.5 mL vial</t>
  </si>
  <si>
    <t xml:space="preserve">Sildenafil Citrate</t>
  </si>
  <si>
    <t xml:space="preserve">Testosterone Cypionate</t>
  </si>
  <si>
    <t xml:space="preserve">Endocrinology: testosterone replacement in male hypogonadism</t>
  </si>
  <si>
    <t xml:space="preserve">https://dailymed.nlm.nih.gov/dailymed/search.cfm?labeltype=all&amp;query=testosterone+cypionate</t>
  </si>
  <si>
    <t xml:space="preserve">1000 mg/10 mL vial; 200 mg/1 mL vial</t>
  </si>
  <si>
    <t xml:space="preserve">Testosterone Enanthate</t>
  </si>
  <si>
    <t xml:space="preserve">Endocrinology: male hypogonadism, delayed puberty</t>
  </si>
  <si>
    <t xml:space="preserve">https://dailymed.nlm.nih.gov/dailymed/search.cfm?labeltype=all&amp;query=testosterone+enanthate</t>
  </si>
  <si>
    <t xml:space="preserve">1000 mg/5 mL vial</t>
  </si>
  <si>
    <t xml:space="preserve">Tirofiban</t>
  </si>
  <si>
    <t xml:space="preserve">Cardiovascular: antiplatelet for acute coronary syndrome</t>
  </si>
  <si>
    <t xml:space="preserve">US, UK-NI, FR, NL</t>
  </si>
  <si>
    <t xml:space="preserve">https://dailymed.nlm.nih.gov/dailymed/search.cfm?labeltype=all&amp;query=tirofiban</t>
  </si>
  <si>
    <t xml:space="preserve">5 mg/100 mL bag; 12.5 mg/250 mL bag</t>
  </si>
  <si>
    <t xml:space="preserve">Tirofiban Hydrochloride</t>
  </si>
  <si>
    <t xml:space="preserve">US, UK-NI | EU/EEA (4): France, Netherlands, Italy, Portugal</t>
  </si>
  <si>
    <t xml:space="preserve">Tranexamic Acid</t>
  </si>
  <si>
    <t xml:space="preserve">Haematology: bleeding control in surgery, trauma and postpartum haemorrhage</t>
  </si>
  <si>
    <t xml:space="preserve">UK-NI, DE, FR, CA</t>
  </si>
  <si>
    <t xml:space="preserve">https://dailymed.nlm.nih.gov/dailymed/search.cfm?labeltype=all&amp;query=tranexamic+acid+injection</t>
  </si>
  <si>
    <t xml:space="preserve">500 mg/5 mL ampoule; 500 mg/5 mL vial</t>
  </si>
  <si>
    <t xml:space="preserve">Canada, UK-NI | EU/EEA (5): Germany, France, Italy, Poland, Portugal</t>
  </si>
  <si>
    <t xml:space="preserve">Vecuronium</t>
  </si>
  <si>
    <t xml:space="preserve">Anaesthesia: muscle relaxant for intubation and surgery</t>
  </si>
  <si>
    <t xml:space="preserve">https://dailymed.nlm.nih.gov/dailymed/search.cfm?labeltype=all&amp;query=vecuronium</t>
  </si>
  <si>
    <t xml:space="preserve">10 mg vial; 20 mg vial</t>
  </si>
  <si>
    <t xml:space="preserve">Vecuronium Bromide</t>
  </si>
  <si>
    <t xml:space="preserve">Verapamil</t>
  </si>
  <si>
    <t xml:space="preserve">Cardiovascular: supraventricular tachycardia, atrial fibrillation rate control</t>
  </si>
  <si>
    <t xml:space="preserve">https://dailymed.nlm.nih.gov/dailymed/search.cfm?labeltype=all&amp;query=verapamil+hydrochloride+injection</t>
  </si>
  <si>
    <t xml:space="preserve">5 mg/2 mL vial</t>
  </si>
  <si>
    <t xml:space="preserve">Verapamil Hydrochloride</t>
  </si>
  <si>
    <t xml:space="preserve">Vinorelbine</t>
  </si>
  <si>
    <t xml:space="preserve">Oncology: non-small cell lung cancer, breast cancer</t>
  </si>
  <si>
    <t xml:space="preserve">DE, FR, BE</t>
  </si>
  <si>
    <t xml:space="preserve">https://dailymed.nlm.nih.gov/dailymed/search.cfm?labeltype=all&amp;query=vinorelbine</t>
  </si>
  <si>
    <t xml:space="preserve">10 mg/1 mL vial</t>
  </si>
  <si>
    <t xml:space="preserve">Vinorelbin Aurobindo; Vinorelbin Eugia</t>
  </si>
  <si>
    <t xml:space="preserve">EU/EEA (7): Germany, France, Belgium, Italy, Luxembourg, Portugal, Spain</t>
  </si>
  <si>
    <t xml:space="preserve">EU/EEA (7): Germany, France, Belgium, Italy + 3 more</t>
  </si>
  <si>
    <t xml:space="preserve">100 mg powder vial</t>
  </si>
  <si>
    <t xml:space="preserve">Azacitidine Cipla</t>
  </si>
  <si>
    <t xml:space="preserve">Australia</t>
  </si>
  <si>
    <t xml:space="preserve">Bleomycin</t>
  </si>
  <si>
    <t xml:space="preserve">Oncology: Hodgkin lymphoma, testicular and squamous cell cancers</t>
  </si>
  <si>
    <t xml:space="preserve">https://dailymed.nlm.nih.gov/dailymed/search.cfm?labeltype=all&amp;query=bleomycin</t>
  </si>
  <si>
    <t xml:space="preserve">15000 IU powder vial; 15 units (15000 IU) in 5 mL powder vial</t>
  </si>
  <si>
    <t xml:space="preserve">Cipla Bleomycin 15K; Cipla Bleomycin</t>
  </si>
  <si>
    <t xml:space="preserve">Australia, South Africa</t>
  </si>
  <si>
    <t xml:space="preserve">3.5 mg/1.4 mL vial</t>
  </si>
  <si>
    <t xml:space="preserve">Onbort</t>
  </si>
  <si>
    <t xml:space="preserve">1 g (container not stated); 2 g (container not stated)</t>
  </si>
  <si>
    <t xml:space="preserve">Cefect</t>
  </si>
  <si>
    <t xml:space="preserve">UK, DE</t>
  </si>
  <si>
    <t xml:space="preserve">350 mg/10 mL vial; 350 mg powder vial; 500 mg powder vial</t>
  </si>
  <si>
    <t xml:space="preserve">Daptomycin; Daptomicina Cipla; Cipla Daptomycin</t>
  </si>
  <si>
    <t xml:space="preserve">UK, Australia | EU/EEA (3): Germany, Portugal, Spain</t>
  </si>
  <si>
    <t xml:space="preserve">10 mg in 5 mL powder vial; 50 mg in 25 mL powder vial</t>
  </si>
  <si>
    <t xml:space="preserve">Cipla Doxorubicin</t>
  </si>
  <si>
    <t xml:space="preserve">Fulvestrant Cipla</t>
  </si>
  <si>
    <t xml:space="preserve">Hydrocortisone</t>
  </si>
  <si>
    <t xml:space="preserve">Endocrinology and critical care: adrenal crisis, anaphylaxis, severe asthma, shock</t>
  </si>
  <si>
    <t xml:space="preserve">https://dailymed.nlm.nih.gov/dailymed/search.cfm?labeltype=all&amp;query=hydrocortisone+sodium+succinate</t>
  </si>
  <si>
    <t xml:space="preserve">Hydrocortisone Sodium Succinate; Cipla Hydrocortisone</t>
  </si>
  <si>
    <t xml:space="preserve">US, Australia</t>
  </si>
  <si>
    <t xml:space="preserve">Isoprenaline (Isoproterenol)</t>
  </si>
  <si>
    <t xml:space="preserve">Cardiovascular: heart block, severe slow heart rate</t>
  </si>
  <si>
    <t xml:space="preserve">https://dailymed.nlm.nih.gov/dailymed/search.cfm?labeltype=all&amp;query=isoproterenol</t>
  </si>
  <si>
    <t xml:space="preserve">0.2 mg/1 mL ampoule; 1 mg/5 mL ampoule</t>
  </si>
  <si>
    <t xml:space="preserve">Cipla Isoprenaline; Isocipraline</t>
  </si>
  <si>
    <t xml:space="preserve">Lanreotide</t>
  </si>
  <si>
    <t xml:space="preserve">Endocrinology and oncology: acromegaly, neuroendocrine tumours</t>
  </si>
  <si>
    <t xml:space="preserve">https://dailymed.nlm.nih.gov/dailymed/search.cfm?labeltype=all&amp;query=lanreotide</t>
  </si>
  <si>
    <t xml:space="preserve">60 mg/0.2 mL pre-filled syringe; 90 mg/0.3 mL pre-filled syringe; 120 mg/0.5 mL pre-filled syringe</t>
  </si>
  <si>
    <t xml:space="preserve">Lanreotide Acetate</t>
  </si>
  <si>
    <t xml:space="preserve">Measles Vaccine</t>
  </si>
  <si>
    <t xml:space="preserve">Vaccines: childhood measles immunisation</t>
  </si>
  <si>
    <t xml:space="preserve">https://www.who.int/news-room/fact-sheets/detail/measles</t>
  </si>
  <si>
    <t xml:space="preserve">1000 CCID50/0.5 mL vial</t>
  </si>
  <si>
    <t xml:space="preserve">Measles Vaccine Cipla</t>
  </si>
  <si>
    <t xml:space="preserve">150 mg/1 mL vial</t>
  </si>
  <si>
    <t xml:space="preserve">Cipla Medroxyprogesterone</t>
  </si>
  <si>
    <t xml:space="preserve">250 mcg/5 mL vial</t>
  </si>
  <si>
    <t xml:space="preserve">Palocip</t>
  </si>
  <si>
    <t xml:space="preserve">Phenylephrine</t>
  </si>
  <si>
    <t xml:space="preserve">Anaesthesia: low blood pressure during anaesthesia</t>
  </si>
  <si>
    <t xml:space="preserve">https://dailymed.nlm.nih.gov/dailymed/search.cfm?labeltype=all&amp;query=phenylephrine+hydrochloride+injection</t>
  </si>
  <si>
    <t xml:space="preserve">Phenylephrine Cipla</t>
  </si>
  <si>
    <t xml:space="preserve">1 mg/0.5 mL pre-filled syringe; 10 mg/1 mL vial</t>
  </si>
  <si>
    <t xml:space="preserve">Streptokinase</t>
  </si>
  <si>
    <t xml:space="preserve">Cardiovascular: clot dissolving for heart attack and pulmonary embolism</t>
  </si>
  <si>
    <t xml:space="preserve">https://list.essentialmeds.org/?query=streptokinase</t>
  </si>
  <si>
    <t xml:space="preserve">750000 IU powder vial; 1500000 IU powder vial</t>
  </si>
  <si>
    <t xml:space="preserve">Streptase</t>
  </si>
  <si>
    <t xml:space="preserve">Sugammadex</t>
  </si>
  <si>
    <t xml:space="preserve">Anaesthesia: reversal of rocuronium and vecuronium</t>
  </si>
  <si>
    <t xml:space="preserve">https://dailymed.nlm.nih.gov/dailymed/search.cfm?labeltype=all&amp;query=sugammadex</t>
  </si>
  <si>
    <t xml:space="preserve">200 mg/2 mL vial; 500 mg/5 mL vial</t>
  </si>
  <si>
    <t xml:space="preserve">Sugammadex Cipla; Cipla Sugammadex; Senuom</t>
  </si>
  <si>
    <t xml:space="preserve">Australia, South Africa | EU/EEA (2): Germany, Spain</t>
  </si>
  <si>
    <t xml:space="preserve">Teicoplanin</t>
  </si>
  <si>
    <t xml:space="preserve">Anti-infective: MRSA and serious Gram-positive infections</t>
  </si>
  <si>
    <t xml:space="preserve">https://mhraproducts4853.blob.core.windows.net/docs/45a310f5c66d09f20d9d1eb3a5d48c17c486ac7b</t>
  </si>
  <si>
    <t xml:space="preserve">400 mg in 3 mL powder vial</t>
  </si>
  <si>
    <t xml:space="preserve">Cipla Teicoplanin</t>
  </si>
  <si>
    <t xml:space="preserve">Testosterone Undecanoate</t>
  </si>
  <si>
    <t xml:space="preserve">Endocrinology: long-acting testosterone replacement in male hypogonadism</t>
  </si>
  <si>
    <t xml:space="preserve">https://dailymed.nlm.nih.gov/dailymed/search.cfm?labeltype=all&amp;query=testosterone+undecanoate</t>
  </si>
  <si>
    <t xml:space="preserve">1000 mg/4 mL vial</t>
  </si>
  <si>
    <t xml:space="preserve">Testosterone Cipla</t>
  </si>
  <si>
    <t xml:space="preserve">Trastuzumab</t>
  </si>
  <si>
    <t xml:space="preserve">Oncology: HER2-positive breast and gastric cancer</t>
  </si>
  <si>
    <t xml:space="preserve">https://dailymed.nlm.nih.gov/dailymed/search.cfm?labeltype=all&amp;query=trastuzumab</t>
  </si>
  <si>
    <t xml:space="preserve">150 mg powder vial</t>
  </si>
  <si>
    <t xml:space="preserve">Trastucip</t>
  </si>
  <si>
    <t xml:space="preserve">Vinblastine</t>
  </si>
  <si>
    <t xml:space="preserve">Oncology: Hodgkin lymphoma, testicular cancer, Kaposi's sarcoma</t>
  </si>
  <si>
    <t xml:space="preserve">https://dailymed.nlm.nih.gov/dailymed/search.cfm?labeltype=all&amp;query=vinblastine</t>
  </si>
  <si>
    <t xml:space="preserve">10 mg/10 mL vial</t>
  </si>
  <si>
    <t xml:space="preserve">Cytoblastin Aqueous</t>
  </si>
  <si>
    <t xml:space="preserve">10 mg/1 mL vial; 250 mg/5 mL vial</t>
  </si>
  <si>
    <t xml:space="preserve">Cipla Vinorelbine</t>
  </si>
  <si>
    <t xml:space="preserve">UK, DE, FR, NL, BE, CA</t>
  </si>
  <si>
    <t xml:space="preserve">Dr. Reddy's Laboratories</t>
  </si>
  <si>
    <t xml:space="preserve">25 mg/mL vial; 100 mg powder vial; 100 mg in 30 mL powder vial</t>
  </si>
  <si>
    <t xml:space="preserve">Azacitidine Betapharm; Azacitidine; Reddaza (+1 more)</t>
  </si>
  <si>
    <t xml:space="preserve">UK, Canada, Australia, South Africa | EU/EEA (30): Germany, France, Netherlands, Belgium, Austria, Bulgaria, Croatia, Cyprus, Czech Republic, Denmark, Estonia, Finland, Greece, Hungary, Iceland, Ireland, Italy, Latvia, Liechtenstein, Lithuania, Luxembourg, Malta, Norway, Poland, Portugal, Romania, Slovakia, Slovenia, Spain, Sweden</t>
  </si>
  <si>
    <t xml:space="preserve">UK, Canada, Australia, South Africa | EU/EEA: all 30 countries</t>
  </si>
  <si>
    <t xml:space="preserve">Bivalirudin</t>
  </si>
  <si>
    <t xml:space="preserve">Cardiovascular: anticoagulant during coronary angioplasty</t>
  </si>
  <si>
    <t xml:space="preserve">https://dailymed.nlm.nih.gov/dailymed/search.cfm?labeltype=all&amp;query=bivalirudin</t>
  </si>
  <si>
    <t xml:space="preserve">` powder vial</t>
  </si>
  <si>
    <t xml:space="preserve">US, UK, UK-NI, DE, FR, NL, CA</t>
  </si>
  <si>
    <t xml:space="preserve">3.5 mg powder vial; 3.5 mg in 10 mL powder vial</t>
  </si>
  <si>
    <t xml:space="preserve">Bortezomib; Bortezomib Dr. Reddy's; Bertred</t>
  </si>
  <si>
    <t xml:space="preserve">US, UK, Canada, South Africa, UK-NI | EU/EEA (13): Germany, France, Netherlands, Finland, Ireland, Italy, Malta, Norway, Poland, Portugal, Romania, Spain, Sweden</t>
  </si>
  <si>
    <t xml:space="preserve">US, UK, Canada, South Africa, UK-NI | EU/EEA (13): Germany, France, Netherlands, Finland + 9 more</t>
  </si>
  <si>
    <t xml:space="preserve">0.25 mg/1 mL pre-filled syringe; 250 mcg/1 mL vial</t>
  </si>
  <si>
    <t xml:space="preserve">Carboprost Tromethamine; Carboprost Dr. Reddy's</t>
  </si>
  <si>
    <t xml:space="preserve">US, DE, FR</t>
  </si>
  <si>
    <t xml:space="preserve">1 g/5 mL vial; 2 g/10 mL vial; 500 mg/2.5 mL vial; 500 mg/1 mL vial</t>
  </si>
  <si>
    <t xml:space="preserve">Cyclophosphamide; Ciclofosfamida Dr. Reddy</t>
  </si>
  <si>
    <t xml:space="preserve">US | EU/EEA (4): Germany, France, Romania, Spain</t>
  </si>
  <si>
    <t xml:space="preserve">UK, UK-NI, DE, FR, CA</t>
  </si>
  <si>
    <t xml:space="preserve">350 mg powder vial; 500 mg powder vial</t>
  </si>
  <si>
    <t xml:space="preserve">Daptomycin Dr. Reddy's; Daptomicina Dr. Reddy's; Daptomycin (+1 more)</t>
  </si>
  <si>
    <t xml:space="preserve">UK, Canada, Australia, UK-NI | EU/EEA (11): Germany, France, Austria, Finland, Ireland, Italy, Malta, Portugal, Romania, Spain, Sweden</t>
  </si>
  <si>
    <t xml:space="preserve">UK, Canada, Australia, UK-NI | EU/EEA (11): Germany, France, Austria, Finland + 7 more</t>
  </si>
  <si>
    <t xml:space="preserve">Desmopressin</t>
  </si>
  <si>
    <t xml:space="preserve">Endocrinology and haematology: diabetes insipidus, haemophilia A, von Willebrand disease</t>
  </si>
  <si>
    <t xml:space="preserve">https://dailymed.nlm.nih.gov/dailymed/search.cfm?labeltype=all&amp;query=desmopressin</t>
  </si>
  <si>
    <t xml:space="preserve">0.04 mg/10 mL vial</t>
  </si>
  <si>
    <t xml:space="preserve">Desmopressin Acetate</t>
  </si>
  <si>
    <t xml:space="preserve">Eribulin</t>
  </si>
  <si>
    <t xml:space="preserve">Oncology: metastatic breast cancer, liposarcoma</t>
  </si>
  <si>
    <t xml:space="preserve">US, UK, UK-NI, DE, CA</t>
  </si>
  <si>
    <t xml:space="preserve">https://dailymed.nlm.nih.gov/dailymed/search.cfm?labeltype=all&amp;query=eribulin</t>
  </si>
  <si>
    <t xml:space="preserve">1 mg/2 mL vial; 0.88 mg/2 mL vial; 880 mcg/2 mL vial</t>
  </si>
  <si>
    <t xml:space="preserve">Eribulin Mesylate; Eribulin; Eribulin Beta (+2 more)</t>
  </si>
  <si>
    <t xml:space="preserve">US, UK, Canada, Australia, South Africa, UK-NI | EU/EEA (2): Germany, Romania</t>
  </si>
  <si>
    <t xml:space="preserve">1 g vial</t>
  </si>
  <si>
    <t xml:space="preserve">Ferric Carboxymaltose</t>
  </si>
  <si>
    <t xml:space="preserve">Haematology and nephrology: IV iron for iron-deficiency anaemia in kidney disease and heart failure</t>
  </si>
  <si>
    <t xml:space="preserve">https://dailymed.nlm.nih.gov/dailymed/search.cfm?labeltype=all&amp;query=ferric+carboxymaltose</t>
  </si>
  <si>
    <t xml:space="preserve">500 mg/10 mL vial; 1000 mg/20 mL vial; 100 mg/2 mL vial</t>
  </si>
  <si>
    <t xml:space="preserve">Ferricarbo</t>
  </si>
  <si>
    <t xml:space="preserve">US, UK, UK-NI, DE</t>
  </si>
  <si>
    <t xml:space="preserve">Fulvestrant; Fulvestrant Dr. Reddy's; Fulvestrant Beta (+1 more)</t>
  </si>
  <si>
    <t xml:space="preserve">US, UK, South Africa, UK-NI | EU/EEA (10): Germany, Denmark, Ireland, Italy, Norway, Poland, Portugal, Romania, Spain, Sweden</t>
  </si>
  <si>
    <t xml:space="preserve">US, UK, South Africa, UK-NI | EU/EEA (10): Germany, Denmark, Ireland, Italy + 6 more</t>
  </si>
  <si>
    <t xml:space="preserve">3 mg pre-filled syringe</t>
  </si>
  <si>
    <t xml:space="preserve">Ibandronsäure Beta</t>
  </si>
  <si>
    <t xml:space="preserve">2 mg/2 mL pre-filled syringe</t>
  </si>
  <si>
    <t xml:space="preserve">Neostigmine</t>
  </si>
  <si>
    <t xml:space="preserve">Anaesthesia and neurology: reversal of muscle relaxants after surgery, myasthenia gravis</t>
  </si>
  <si>
    <t xml:space="preserve">https://dailymed.nlm.nih.gov/dailymed/search.cfm?labeltype=all&amp;query=neostigmine</t>
  </si>
  <si>
    <t xml:space="preserve">3 mg/3 mL pre-filled syringe; 5 mg/10 mL vial; 10 mg/10 mL vial</t>
  </si>
  <si>
    <t xml:space="preserve">Neostigmine Methylsulfate</t>
  </si>
  <si>
    <t xml:space="preserve">US, DE</t>
  </si>
  <si>
    <t xml:space="preserve">0.25 mg/5 mL vial; 250 mcg/5 mL vial</t>
  </si>
  <si>
    <t xml:space="preserve">Palonosetron Hydrochloride; Palonosetron Beta; Palonoset</t>
  </si>
  <si>
    <t xml:space="preserve">US, Australia | EU/EEA (3): Germany, Italy, Romania</t>
  </si>
  <si>
    <t xml:space="preserve">1 mg/0.5 mL in 1 mL ampoule; 10 mg/1 mL ampoule</t>
  </si>
  <si>
    <t xml:space="preserve">Succinylcholine (Suxamethonium)</t>
  </si>
  <si>
    <t xml:space="preserve">Anaesthesia: muscle relaxant for rapid intubation</t>
  </si>
  <si>
    <t xml:space="preserve">https://dailymed.nlm.nih.gov/dailymed/search.cfm?labeltype=all&amp;query=succinylcholine</t>
  </si>
  <si>
    <t xml:space="preserve">200 mg/10 mL vial</t>
  </si>
  <si>
    <t xml:space="preserve">Succinylcholine Chloride</t>
  </si>
  <si>
    <t xml:space="preserve">US, UK, UK-NI, DE, FR, NL</t>
  </si>
  <si>
    <t xml:space="preserve">Sugammadex Sodium; Sugammadex; Sugammadex-Reddy's (+2 more)</t>
  </si>
  <si>
    <t xml:space="preserve">US, UK, Australia, South Africa, UK-NI | EU/EEA (16): Germany, France, Netherlands, Austria, Czech Republic, Denmark, Finland, Ireland, Italy, Norway, Poland, Portugal, Romania, Slovakia, Spain, Sweden</t>
  </si>
  <si>
    <t xml:space="preserve">US, UK, Australia, South Africa, UK-NI | EU/EEA (16): Germany, France, Netherlands, Austria + 12 more</t>
  </si>
  <si>
    <t xml:space="preserve">Thiotepa</t>
  </si>
  <si>
    <t xml:space="preserve">Oncology: stem cell transplant conditioning, breast, ovarian and bladder cancers</t>
  </si>
  <si>
    <t xml:space="preserve">https://dailymed.nlm.nih.gov/dailymed/search.cfm?labeltype=all&amp;query=thiotepa</t>
  </si>
  <si>
    <t xml:space="preserve">15 mg powder vial</t>
  </si>
  <si>
    <t xml:space="preserve">10 mg/mL (container not stated); 40 mg/mL (container not stated)</t>
  </si>
  <si>
    <t xml:space="preserve">Acetazolamide</t>
  </si>
  <si>
    <t xml:space="preserve">Ophthalmology: acute angle-closure glaucoma, raised eye pressure, oedema</t>
  </si>
  <si>
    <t xml:space="preserve">UK, UK-NI</t>
  </si>
  <si>
    <t xml:space="preserve">Emcure Pharmaceuticals</t>
  </si>
  <si>
    <t xml:space="preserve">https://dailymed.nlm.nih.gov/dailymed/search.cfm?labeltype=all&amp;query=acetazolamide</t>
  </si>
  <si>
    <t xml:space="preserve">500 mg powder vial</t>
  </si>
  <si>
    <t xml:space="preserve">Acetazolamide Tillomed</t>
  </si>
  <si>
    <t xml:space="preserve">Amikacin</t>
  </si>
  <si>
    <t xml:space="preserve">Anti-infective: serious and drug-resistant Gram-negative infections, resistant TB</t>
  </si>
  <si>
    <t xml:space="preserve">UK, UK-NI, CA</t>
  </si>
  <si>
    <t xml:space="preserve">https://dailymed.nlm.nih.gov/dailymed/search.cfm?labeltype=all&amp;query=amikacin</t>
  </si>
  <si>
    <t xml:space="preserve">500 mg/2 mL vial</t>
  </si>
  <si>
    <t xml:space="preserve">Amikacin; Amikacin Tillomed Laboratories; Amikacin Sulfate (+1 more)</t>
  </si>
  <si>
    <t xml:space="preserve">UK, Canada, Australia, UK-NI | EU/EEA (1): Malta</t>
  </si>
  <si>
    <t xml:space="preserve">Ampicillina Tillomed</t>
  </si>
  <si>
    <t xml:space="preserve">EU/EEA (1): Italy</t>
  </si>
  <si>
    <t xml:space="preserve">UK, UK-NI, DE, FR, NL</t>
  </si>
  <si>
    <t xml:space="preserve">Azacitidine Tillomed; Azacitidin Tillomed</t>
  </si>
  <si>
    <t xml:space="preserve">UK, UK-NI | EU/EEA (9): Germany, France, Netherlands, Austria, Denmark, Finland, Italy, Norway, Sweden</t>
  </si>
  <si>
    <t xml:space="preserve">UK, UK-NI | EU/EEA (9): Germany, France, Netherlands, Austria + 5 more</t>
  </si>
  <si>
    <t xml:space="preserve">Bortezomib Tillomed; Bortezomib</t>
  </si>
  <si>
    <t xml:space="preserve">Canada, UK-NI | EU/EEA (2): Germany, France</t>
  </si>
  <si>
    <t xml:space="preserve">Colistimethate Sodium</t>
  </si>
  <si>
    <t xml:space="preserve">Anti-infective: last-line treatment for drug-resistant Gram-negative infections</t>
  </si>
  <si>
    <t xml:space="preserve">https://dailymed.nlm.nih.gov/dailymed/search.cfm?labeltype=all&amp;query=colistimethate</t>
  </si>
  <si>
    <t xml:space="preserve">150 mg/10 mL vial</t>
  </si>
  <si>
    <t xml:space="preserve">Colistimethate</t>
  </si>
  <si>
    <t xml:space="preserve">1000 mg/100 mL vial; 2000 mg/100 mL vial</t>
  </si>
  <si>
    <t xml:space="preserve">UK, DE, FR</t>
  </si>
  <si>
    <t xml:space="preserve">Daptomycin Tillomed; Daptomicina Tillomed</t>
  </si>
  <si>
    <t xml:space="preserve">UK | EU/EEA (4): Germany, France, Italy, Spain</t>
  </si>
  <si>
    <t xml:space="preserve">FR, NL</t>
  </si>
  <si>
    <t xml:space="preserve">0.88 mg/2 mL vial</t>
  </si>
  <si>
    <t xml:space="preserve">Eribulin Tillomed</t>
  </si>
  <si>
    <t xml:space="preserve">EU/EEA (7): France, Netherlands, Denmark, Ireland, Malta, Norway, Spain</t>
  </si>
  <si>
    <t xml:space="preserve">EU/EEA (7): France, Netherlands, Denmark, Ireland + 3 more</t>
  </si>
  <si>
    <t xml:space="preserve">Esomeprazole</t>
  </si>
  <si>
    <t xml:space="preserve">Gastroenterology: acid reflux, prevention of ulcer re-bleeding</t>
  </si>
  <si>
    <t xml:space="preserve">UK-NI, DE, FR, NL</t>
  </si>
  <si>
    <t xml:space="preserve">https://dailymed.nlm.nih.gov/dailymed/search.cfm?labeltype=all&amp;query=esomeprazole+sodium</t>
  </si>
  <si>
    <t xml:space="preserve">40 mg powder vial</t>
  </si>
  <si>
    <t xml:space="preserve">Esomeprazol Tillomed</t>
  </si>
  <si>
    <t xml:space="preserve">UK-NI | EU/EEA (7): Germany, France, Netherlands, Austria, Ireland, Italy, Poland</t>
  </si>
  <si>
    <t xml:space="preserve">UK-NI | EU/EEA (7): Germany, France, Netherlands, Austria + 3 more</t>
  </si>
  <si>
    <t xml:space="preserve">FR, CA</t>
  </si>
  <si>
    <t xml:space="preserve">0.2 mg/1 mL vial; 1 mg/5 mL vial</t>
  </si>
  <si>
    <t xml:space="preserve">Isoproterenol Hydrochloride</t>
  </si>
  <si>
    <t xml:space="preserve">Canada | EU/EEA (2): France, Portugal</t>
  </si>
  <si>
    <t xml:space="preserve">Melphalan; Melfalan Tillomed; Melphalan Tillomed (+1 more)</t>
  </si>
  <si>
    <t xml:space="preserve">UK, Canada, Australia, UK-NI | EU/EEA (14): Germany, France, Netherlands, Belgium, Austria, Croatia, Cyprus, Greece, Ireland, Italy, Latvia, Portugal, Slovakia, Slovenia</t>
  </si>
  <si>
    <t xml:space="preserve">UK, Canada, Australia, UK-NI | EU/EEA (14): Germany, France, Netherlands, Belgium + 10 more</t>
  </si>
  <si>
    <t xml:space="preserve">Milrinone</t>
  </si>
  <si>
    <t xml:space="preserve">Cardiovascular: acute heart failure</t>
  </si>
  <si>
    <t xml:space="preserve">https://dailymed.nlm.nih.gov/dailymed/search.cfm?labeltype=all&amp;query=milrinone</t>
  </si>
  <si>
    <t xml:space="preserve">Milrinone; Milrinon Tillomed</t>
  </si>
  <si>
    <t xml:space="preserve">UK, UK-NI | EU/EEA (5): Germany, France, Netherlands, Austria, Malta</t>
  </si>
  <si>
    <t xml:space="preserve">5 mg/10 mL vial; 10 mg/10 mL vial</t>
  </si>
  <si>
    <t xml:space="preserve">4 mg/2 mL ampoule</t>
  </si>
  <si>
    <t xml:space="preserve">Ondansetron Tillomed</t>
  </si>
  <si>
    <t xml:space="preserve">UK, UK-NI, DE, FR</t>
  </si>
  <si>
    <t xml:space="preserve">UK, UK-NI | EU/EEA (3): Germany, France, Italy</t>
  </si>
  <si>
    <t xml:space="preserve">Pentamidine</t>
  </si>
  <si>
    <t xml:space="preserve">Anti-infective: Pneumocystis pneumonia, leishmaniasis</t>
  </si>
  <si>
    <t xml:space="preserve">UK, UK-NI, DE, FR, NL, CA</t>
  </si>
  <si>
    <t xml:space="preserve">https://dailymed.nlm.nih.gov/dailymed/search.cfm?labeltype=all&amp;query=pentamidine</t>
  </si>
  <si>
    <t xml:space="preserve">300 mg powder vial; 300 mg in 20 mL powder vial</t>
  </si>
  <si>
    <t xml:space="preserve">Pentamidine Isetionate Tillomed; Pentamidindiisetionat Tillomed; Pentamidine Isetionate (+1 more)</t>
  </si>
  <si>
    <t xml:space="preserve">UK, Canada, Australia, UK-NI | EU/EEA (8): Germany, France, Netherlands, Denmark, Finland, Ireland, Norway, Sweden</t>
  </si>
  <si>
    <t xml:space="preserve">UK, Canada, Australia, UK-NI | EU/EEA (8): Germany, France, Netherlands, Denmark + 4 more</t>
  </si>
  <si>
    <t xml:space="preserve">Plerixafor; Plerixafor Tillomed</t>
  </si>
  <si>
    <t xml:space="preserve">UK | EU/EEA (3): Germany, France, Italy</t>
  </si>
  <si>
    <t xml:space="preserve">Propofol</t>
  </si>
  <si>
    <t xml:space="preserve">Anaesthesia: general anaesthesia, ICU sedation</t>
  </si>
  <si>
    <t xml:space="preserve">https://dailymed.nlm.nih.gov/dailymed/search.cfm?labeltype=all&amp;query=propofol</t>
  </si>
  <si>
    <t xml:space="preserve">200 mg/20 mL vial</t>
  </si>
  <si>
    <t xml:space="preserve">200 mg/2 mL vial</t>
  </si>
  <si>
    <t xml:space="preserve">Sugammadex; Sugammadex Tillomed</t>
  </si>
  <si>
    <t xml:space="preserve">UK, UK-NI | EU/EEA (5): Germany, France, Netherlands, Italy, Spain</t>
  </si>
  <si>
    <t xml:space="preserve">Glenmark Pharmaceuticals</t>
  </si>
  <si>
    <t xml:space="preserve">Azacitidina Glenmark</t>
  </si>
  <si>
    <t xml:space="preserve">EU/EEA (3): Iceland, Slovakia, Spain</t>
  </si>
  <si>
    <t xml:space="preserve">1 mg powder vial; 2.5 mg/1 mL vial; 3.5 mg/1.4 mL vial</t>
  </si>
  <si>
    <t xml:space="preserve">Bortezomib Glenmark; Bortraczo</t>
  </si>
  <si>
    <t xml:space="preserve">Australia | EU/EEA (11): Germany, France, Netherlands, Denmark, Finland, Italy, Norway, Poland, Slovakia, Spain, Sweden</t>
  </si>
  <si>
    <t xml:space="preserve">Australia | EU/EEA (11): Germany, France, Netherlands, Denmark + 7 more</t>
  </si>
  <si>
    <t xml:space="preserve">US, UK, UK-NI</t>
  </si>
  <si>
    <t xml:space="preserve">1 mg/2 mL vial; 0.44 mg/mL vial; 880 mcg/2 mL vial</t>
  </si>
  <si>
    <t xml:space="preserve">Eribulin Mesylate; Eribulin; Eribulin Glenmark Pharmaceuticals Europe</t>
  </si>
  <si>
    <t xml:space="preserve">US, UK, UK-NI | EU/EEA (6): Denmark, Finland, Italy, Norway, Spain, Sweden</t>
  </si>
  <si>
    <t xml:space="preserve">US, UK, UK-NI, DE, NL</t>
  </si>
  <si>
    <t xml:space="preserve">250 mg/5 mL pre-filled syringe; 250 mg pre-filled syringe</t>
  </si>
  <si>
    <t xml:space="preserve">Fulvestrant; Fulvestrant Glenmark</t>
  </si>
  <si>
    <t xml:space="preserve">US, UK, UK-NI | EU/EEA (5): Germany, Netherlands, Denmark, Spain, Sweden</t>
  </si>
  <si>
    <t xml:space="preserve">Plerixafor Glenmark</t>
  </si>
  <si>
    <t xml:space="preserve">EU/EEA (1): Spain</t>
  </si>
  <si>
    <t xml:space="preserve">UK, UK-NI, DE</t>
  </si>
  <si>
    <t xml:space="preserve">100 mg/mL vial; 200 mg/2 mL vial</t>
  </si>
  <si>
    <t xml:space="preserve">Sugammadex; Sugammadex Glenmark</t>
  </si>
  <si>
    <t xml:space="preserve">UK, UK-NI | EU/EEA (7): Germany, Denmark, Finland, Italy, Norway, Spain, Sweden</t>
  </si>
  <si>
    <t xml:space="preserve">UK, UK-NI | EU/EEA (7): Germany, Denmark, Finland, Italy + 3 more</t>
  </si>
  <si>
    <t xml:space="preserve">Hetero Labs</t>
  </si>
  <si>
    <t xml:space="preserve">25 mg/mL powder vial</t>
  </si>
  <si>
    <t xml:space="preserve">Azacitidine; Azacitidine Amarox</t>
  </si>
  <si>
    <t xml:space="preserve">3.5 mg powder vial; 1 mg/0.4 mL vial; 3.5 mg/1.4 mL vial; 2.5 mg/1 mL vial (+1 more)</t>
  </si>
  <si>
    <t xml:space="preserve">Bortezomib; Bortezomib Amarox; Bortezomib Hetero (+1 more)</t>
  </si>
  <si>
    <t xml:space="preserve">US, UK, Australia, South Africa, UK-NI | EU/EEA (3): Germany, Netherlands, Spain</t>
  </si>
  <si>
    <t xml:space="preserve">Brivaracetam</t>
  </si>
  <si>
    <t xml:space="preserve">Neurology: epilepsy (partial-onset seizures)</t>
  </si>
  <si>
    <t xml:space="preserve">https://dailymed.nlm.nih.gov/dailymed/search.cfm?labeltype=all&amp;query=brivaracetam</t>
  </si>
  <si>
    <t xml:space="preserve">50 mg/5 mL vial</t>
  </si>
  <si>
    <t xml:space="preserve">Brivaracetam; Brivaracetam Amarox</t>
  </si>
  <si>
    <t xml:space="preserve">UK, UK-NI | EU/EEA (3): Germany, Italy, Spain</t>
  </si>
  <si>
    <t xml:space="preserve">25 mg/1 mL vial</t>
  </si>
  <si>
    <t xml:space="preserve">Cyanocobalamin</t>
  </si>
  <si>
    <t xml:space="preserve">Haematology: vitamin B12 deficiency, pernicious anaemia</t>
  </si>
  <si>
    <t xml:space="preserve">https://dailymed.nlm.nih.gov/dailymed/search.cfm?labeltype=all&amp;query=cyanocobalamin+injection</t>
  </si>
  <si>
    <t xml:space="preserve">1 mg/mL (container not stated)</t>
  </si>
  <si>
    <t xml:space="preserve">UK, UK-NI, DE, NL</t>
  </si>
  <si>
    <t xml:space="preserve">Daptomycin; Daptomicin Tarbis</t>
  </si>
  <si>
    <t xml:space="preserve">UK, UK-NI | EU/EEA (3): Germany, Netherlands, Spain</t>
  </si>
  <si>
    <t xml:space="preserve">Glycopyrrolate</t>
  </si>
  <si>
    <t xml:space="preserve">Anaesthesia: reduces secretions, reversal of muscle relaxants</t>
  </si>
  <si>
    <t xml:space="preserve">https://dailymed.nlm.nih.gov/dailymed/search.cfm?labeltype=all&amp;query=glycopyrrolate+injection</t>
  </si>
  <si>
    <t xml:space="preserve">5 mg/5 mL vial</t>
  </si>
  <si>
    <t xml:space="preserve">Glyopy</t>
  </si>
  <si>
    <t xml:space="preserve">0.2 mg/mL (container not stated)</t>
  </si>
  <si>
    <t xml:space="preserve">Lidocaine</t>
  </si>
  <si>
    <t xml:space="preserve">Anaesthesia: local anaesthetic, ventricular arrhythmias</t>
  </si>
  <si>
    <t xml:space="preserve">https://dailymed.nlm.nih.gov/dailymed/search.cfm?labeltype=all&amp;query=lidocaine+hydrochloride+injection</t>
  </si>
  <si>
    <t xml:space="preserve">1% in 20 mL vial</t>
  </si>
  <si>
    <t xml:space="preserve">Lidocaine Hydrochloride</t>
  </si>
  <si>
    <t xml:space="preserve">Magnesium Sulfate</t>
  </si>
  <si>
    <t xml:space="preserve">Women's health and critical care: eclampsia seizures, low magnesium</t>
  </si>
  <si>
    <t xml:space="preserve">https://dailymed.nlm.nih.gov/dailymed/search.cfm?labeltype=all&amp;query=magnesium+sulfate+injection</t>
  </si>
  <si>
    <t xml:space="preserve">25 g/50 mL vial</t>
  </si>
  <si>
    <t xml:space="preserve">Melphalan; Melfalan Amarox; Melfalán Tarbis</t>
  </si>
  <si>
    <t xml:space="preserve">50 mg/2 mL (container not stated)</t>
  </si>
  <si>
    <t xml:space="preserve">Hetnoset</t>
  </si>
  <si>
    <t xml:space="preserve">Pantoprazole; Pantoprazol Amarox</t>
  </si>
  <si>
    <t xml:space="preserve">Plerixafor; Plerixafor Amarox; Heterix</t>
  </si>
  <si>
    <t xml:space="preserve">US, UK, South Africa, UK-NI | EU/EEA (3): Germany, Netherlands, Spain</t>
  </si>
  <si>
    <t xml:space="preserve">10 mg/mL (container not stated)</t>
  </si>
  <si>
    <t xml:space="preserve">Rocuronium</t>
  </si>
  <si>
    <t xml:space="preserve">UK-NI</t>
  </si>
  <si>
    <t xml:space="preserve">https://dailymed.nlm.nih.gov/dailymed/search.cfm?labeltype=all&amp;query=rocuronium</t>
  </si>
  <si>
    <t xml:space="preserve">Rocuronium Bromide Amarox</t>
  </si>
  <si>
    <t xml:space="preserve">Sodium Bicarbonate</t>
  </si>
  <si>
    <t xml:space="preserve">Critical care: metabolic acidosis, cardiac arrest, overdose</t>
  </si>
  <si>
    <t xml:space="preserve">https://dailymed.nlm.nih.gov/dailymed/search.cfm?labeltype=all&amp;query=sodium+bicarbonate+injection</t>
  </si>
  <si>
    <t xml:space="preserve">5MEQ/10 mL vial</t>
  </si>
  <si>
    <t xml:space="preserve">Sugammadex Sodium; Sugammadex; Sugammadex Amarox (+1 more)</t>
  </si>
  <si>
    <t xml:space="preserve">400 mg powder vial</t>
  </si>
  <si>
    <t xml:space="preserve">Teicoplanin; Teicoplanin Amarox</t>
  </si>
  <si>
    <t xml:space="preserve">2.5 mg/mL (container not stated)</t>
  </si>
  <si>
    <t xml:space="preserve">Amiodarone</t>
  </si>
  <si>
    <t xml:space="preserve">Cardiovascular: ventricular arrhythmias, cardiac arrest</t>
  </si>
  <si>
    <t xml:space="preserve">Intas Pharmaceuticals</t>
  </si>
  <si>
    <t xml:space="preserve">https://dailymed.nlm.nih.gov/dailymed/search.cfm?labeltype=all&amp;query=amiodarone</t>
  </si>
  <si>
    <t xml:space="preserve">300 mg/10 mL pre-filled syringe</t>
  </si>
  <si>
    <t xml:space="preserve">Amiodarone Accord; Amiodarone Prefilled Syringe Accord</t>
  </si>
  <si>
    <t xml:space="preserve">South Africa, UK-NI</t>
  </si>
  <si>
    <t xml:space="preserve">Amoxicillin</t>
  </si>
  <si>
    <t xml:space="preserve">Anti-infective: serious bacterial infections when oral treatment is not possible</t>
  </si>
  <si>
    <t xml:space="preserve">https://mhraproducts4853.blob.core.windows.net/docs/dd5428de28a35789b58d7a7229157959b1e135fb</t>
  </si>
  <si>
    <t xml:space="preserve">500 mg (container not stated)</t>
  </si>
  <si>
    <t xml:space="preserve">Amoxicillin Accord Healthcare</t>
  </si>
  <si>
    <t xml:space="preserve">UK-NI | EU/EEA (1): Portugal</t>
  </si>
  <si>
    <t xml:space="preserve">US, UK-NI, DE, FR</t>
  </si>
  <si>
    <t xml:space="preserve">US, UK-NI | EU/EEA (3): Germany, France, Austria</t>
  </si>
  <si>
    <t xml:space="preserve">Atracurium</t>
  </si>
  <si>
    <t xml:space="preserve">https://mhraproducts4853.blob.core.windows.net/docs/924d70784a8c922753ed49a78a38c605f536521c</t>
  </si>
  <si>
    <t xml:space="preserve">Atracurium Accord Healthcare</t>
  </si>
  <si>
    <t xml:space="preserve">Atropine</t>
  </si>
  <si>
    <t xml:space="preserve">Critical care: slow heart rate, pre-anaesthesia, organophosphate poisoning</t>
  </si>
  <si>
    <t xml:space="preserve">https://dailymed.nlm.nih.gov/dailymed/search.cfm?labeltype=all&amp;query=atropine</t>
  </si>
  <si>
    <t xml:space="preserve">0.25 mg/5 mL pre-filled syringe; 0.4 mg/1 mL vial; 0.5 mg/5 mL pre-filled syringe; 1 mg/10 mL pre-filled syringe (+3 more)</t>
  </si>
  <si>
    <t xml:space="preserve">Atropine Sulfate; Atropin Accord; Atropina Accord</t>
  </si>
  <si>
    <t xml:space="preserve">US, UK, UK-NI | EU/EEA (13): Germany, France, Netherlands, Austria, Czech Republic, Denmark, Finland, Italy, Norway, Portugal, Romania, Spain, Sweden</t>
  </si>
  <si>
    <t xml:space="preserve">US, UK, UK-NI | EU/EEA (13): Germany, France, Netherlands, Austria + 9 more</t>
  </si>
  <si>
    <t xml:space="preserve">25 mg/mL vial; 100 mg powder vial</t>
  </si>
  <si>
    <t xml:space="preserve">Azacitidine Accord; Azaccord</t>
  </si>
  <si>
    <t xml:space="preserve">UK, Australia | EU/EEA (30): Germany, France, Netherlands, Belgium, Austria, Bulgaria, Croatia, Cyprus, Czech Republic, Denmark, Estonia, Finland, Greece, Hungary, Iceland, Ireland, Italy, Latvia, Liechtenstein, Lithuania, Luxembourg, Malta, Norway, Poland, Portugal, Romania, Slovakia, Slovenia, Spain, Sweden</t>
  </si>
  <si>
    <t xml:space="preserve">UK, Australia | EU/EEA: all 30 countries</t>
  </si>
  <si>
    <t xml:space="preserve">250 mg powder vial</t>
  </si>
  <si>
    <t xml:space="preserve">Bivalirudin; Bivalirudin Accord</t>
  </si>
  <si>
    <t xml:space="preserve">US, UK, UK-NI | EU/EEA (9): Germany, France, Netherlands, Belgium, Austria, Italy, Poland, Portugal, Slovenia</t>
  </si>
  <si>
    <t xml:space="preserve">US, UK, UK-NI | EU/EEA (9): Germany, France, Netherlands, Belgium + 5 more</t>
  </si>
  <si>
    <t xml:space="preserve">15000 IU powder vial</t>
  </si>
  <si>
    <t xml:space="preserve">Bleomycin; Bleomicina Accord; Bleomycin Accord</t>
  </si>
  <si>
    <t xml:space="preserve">UK, Australia, UK-NI | EU/EEA (14): Germany, France, Netherlands, Belgium, Austria, Czech Republic, Denmark, Finland, Norway, Poland, Portugal, Romania, Spain, Sweden</t>
  </si>
  <si>
    <t xml:space="preserve">UK, Australia, UK-NI | EU/EEA (14): Germany, France, Netherlands, Belgium + 10 more</t>
  </si>
  <si>
    <t xml:space="preserve">2 mg pre-filled syringe; 3.5 mg/1.4 mL vial; 2.5 mg/1 mL vial; 1 mg powder vial (+2 more)</t>
  </si>
  <si>
    <t xml:space="preserve">Bortezomib; Bortezomib Accord; Bortezomib Intas (+1 more)</t>
  </si>
  <si>
    <t xml:space="preserve">UK, Australia, South Africa, UK-NI | EU/EEA (30): Germany, France, Netherlands, Belgium, Austria, Bulgaria, Croatia, Cyprus, Czech Republic, Denmark, Estonia, Finland, Greece, Hungary, Iceland, Ireland, Italy, Latvia, Liechtenstein, Lithuania, Luxembourg, Malta, Norway, Poland, Portugal, Romania, Slovakia, Slovenia, Spain, Sweden</t>
  </si>
  <si>
    <t xml:space="preserve">UK, Australia, South Africa, UK-NI | EU/EEA: all 30 countries</t>
  </si>
  <si>
    <t xml:space="preserve">Cefepim Accord; Cefepime Accord</t>
  </si>
  <si>
    <t xml:space="preserve">EU/EEA (4): Germany, France, Croatia, Portugal</t>
  </si>
  <si>
    <t xml:space="preserve">1 g (container not stated)</t>
  </si>
  <si>
    <t xml:space="preserve">Ceftriaxone Accord</t>
  </si>
  <si>
    <t xml:space="preserve">Cisatracurium</t>
  </si>
  <si>
    <t xml:space="preserve">Anaesthesia: muscle relaxant for surgery and ICU ventilation</t>
  </si>
  <si>
    <t xml:space="preserve">UK, UK-NI, FR, NL</t>
  </si>
  <si>
    <t xml:space="preserve">https://dailymed.nlm.nih.gov/dailymed/search.cfm?labeltype=all&amp;query=cisatracurium</t>
  </si>
  <si>
    <t xml:space="preserve">150 mg/30 mL vial; 10 mg/5 mL vial; 50 mg/25 mL vial; 20 mg/10 mL vial (+1 more)</t>
  </si>
  <si>
    <t xml:space="preserve">Cisatracurium; Cisatracurium Accord</t>
  </si>
  <si>
    <t xml:space="preserve">UK, Australia, UK-NI | EU/EEA (12): France, Netherlands, Austria, Croatia, Cyprus, Denmark, Finland, Hungary, Norway, Poland, Portugal, Spain</t>
  </si>
  <si>
    <t xml:space="preserve">UK, Australia, UK-NI | EU/EEA (12): France, Netherlands, Austria, Croatia + 8 more</t>
  </si>
  <si>
    <t xml:space="preserve">UK, UK-NI, FR, NL, BE</t>
  </si>
  <si>
    <t xml:space="preserve">2 MIU powder vial; 1 MIU powder vial</t>
  </si>
  <si>
    <t xml:space="preserve">Colistimethate Sodium; Colistimetato Accord</t>
  </si>
  <si>
    <t xml:space="preserve">UK, UK-NI | EU/EEA (20): France, Netherlands, Belgium, Austria, Bulgaria, Croatia, Cyprus, Czech Republic, Denmark, Estonia, Hungary, Ireland, Italy, Lithuania, Poland, Portugal, Romania, Slovenia, Spain, Sweden</t>
  </si>
  <si>
    <t xml:space="preserve">UK, UK-NI | EU/EEA (20): France, Netherlands, Belgium, Austria + 16 more</t>
  </si>
  <si>
    <t xml:space="preserve">2000 mg powder vial; 500 mg powder vial; 1000 mg powder vial</t>
  </si>
  <si>
    <t xml:space="preserve">Cyclophosphamide Accord; Cyclophosphamide Intas</t>
  </si>
  <si>
    <t xml:space="preserve">UK, Australia, UK-NI | EU/EEA (20): Germany, France, Netherlands, Belgium, Bulgaria, Croatia, Cyprus, Czech Republic, Denmark, Estonia, Finland, Italy, Latvia, Lithuania, Norway, Poland, Portugal, Romania, Spain, Sweden</t>
  </si>
  <si>
    <t xml:space="preserve">UK, Australia, UK-NI | EU/EEA (20): Germany, France, Netherlands, Belgium + 16 more</t>
  </si>
  <si>
    <t xml:space="preserve">Cytarabine</t>
  </si>
  <si>
    <t xml:space="preserve">Oncology: acute myeloid and acute lymphoblastic leukaemia</t>
  </si>
  <si>
    <t xml:space="preserve">https://dailymed.nlm.nih.gov/dailymed/search.cfm?labeltype=all&amp;query=cytarabine</t>
  </si>
  <si>
    <t xml:space="preserve">100 mg/5 mL vial; 4000 mg/40 mL vial; 2000 mg/20 mL vial; 500 mg/5 mL vial (+3 more)</t>
  </si>
  <si>
    <t xml:space="preserve">Cytarabine; Cytarabine Accord; Cytarabine ACC</t>
  </si>
  <si>
    <t xml:space="preserve">UK, Australia, UK-NI | EU/EEA (25): Germany, France, Netherlands, Belgium, Austria, Bulgaria, Cyprus, Czech Republic, Denmark, Estonia, Finland, Hungary, Ireland, Italy, Latvia, Lithuania, Malta, Norway, Poland, Portugal, Romania, Slovakia, Slovenia, Spain, Sweden</t>
  </si>
  <si>
    <t xml:space="preserve">UK, Australia, UK-NI | EU/EEA (25): Germany, France, Netherlands, Belgium + 21 more</t>
  </si>
  <si>
    <t xml:space="preserve">350 mg powder vial; 500 mg powder vial; 500 mg/20 mL vial</t>
  </si>
  <si>
    <t xml:space="preserve">Daptomycin; Daptomicin Accord Healthcare; Daptomycin Accord (+1 more)</t>
  </si>
  <si>
    <t xml:space="preserve">UK, Australia, South Africa, UK-NI | EU/EEA (17): Germany, France, Netherlands, Austria, Croatia, Czech Republic, Denmark, Finland, Greece, Ireland, Italy, Norway, Poland, Portugal, Slovenia, Spain, Sweden</t>
  </si>
  <si>
    <t xml:space="preserve">UK, Australia, South Africa, UK-NI | EU/EEA (17): Germany, France, Netherlands, Austria + 13 more</t>
  </si>
  <si>
    <t xml:space="preserve">Degarelix</t>
  </si>
  <si>
    <t xml:space="preserve">Oncology: hormone therapy for advanced prostate cancer</t>
  </si>
  <si>
    <t xml:space="preserve">https://dailymed.nlm.nih.gov/dailymed/search.cfm?labeltype=all&amp;query=degarelix</t>
  </si>
  <si>
    <t xml:space="preserve">80 mg powder vial</t>
  </si>
  <si>
    <t xml:space="preserve">Degarelix; Degarelix Accord</t>
  </si>
  <si>
    <t xml:space="preserve">UK | EU/EEA (30): Germany, France, Netherlands, Belgium, Austria, Bulgaria, Croatia, Cyprus, Czech Republic, Denmark, Estonia, Finland, Greece, Hungary, Iceland, Ireland, Italy, Latvia, Liechtenstein, Lithuania, Luxembourg, Malta, Norway, Poland, Portugal, Romania, Slovakia, Slovenia, Spain, Sweden</t>
  </si>
  <si>
    <t xml:space="preserve">UK | EU/EEA: all 30 countries</t>
  </si>
  <si>
    <t xml:space="preserve">Denosumab</t>
  </si>
  <si>
    <t xml:space="preserve">Bone health and oncology: bone metastases, osteoporosis</t>
  </si>
  <si>
    <t xml:space="preserve">https://dailymed.nlm.nih.gov/dailymed/search.cfm?labeltype=all&amp;query=denosumab</t>
  </si>
  <si>
    <t xml:space="preserve">120 mg/1.7 mL vial</t>
  </si>
  <si>
    <t xml:space="preserve">Jubereq; Dostiva</t>
  </si>
  <si>
    <t xml:space="preserve">UK-NI, DE, FR, NL, BE, CA</t>
  </si>
  <si>
    <t xml:space="preserve">10 mg/5 mL vial; 200 mg/100 mL vial; 50 mg/25 mL vial</t>
  </si>
  <si>
    <t xml:space="preserve">Doxorubicin Accord; Doxorubicin; Rubexet</t>
  </si>
  <si>
    <t xml:space="preserve">Canada, Australia, South Africa, UK-NI | EU/EEA (30): Germany, France, Netherlands, Belgium, Austria, Bulgaria, Croatia, Cyprus, Czech Republic, Denmark, Estonia, Finland, Greece, Hungary, Iceland, Ireland, Italy, Latvia, Liechtenstein, Lithuania, Luxembourg, Malta, Norway, Poland, Portugal, Romania, Slovakia, Slovenia, Spain, Sweden</t>
  </si>
  <si>
    <t xml:space="preserve">Canada, Australia, South Africa, UK-NI | EU/EEA: all 30 countries</t>
  </si>
  <si>
    <t xml:space="preserve">Epinephrine (Adrenaline)</t>
  </si>
  <si>
    <t xml:space="preserve">Critical care: anaphylaxis, cardiac arrest, shock</t>
  </si>
  <si>
    <t xml:space="preserve">https://dailymed.nlm.nih.gov/dailymed/search.cfm?labeltype=all&amp;query=epinephrine+injection</t>
  </si>
  <si>
    <t xml:space="preserve">1 mg/10 mL pre-filled syringe</t>
  </si>
  <si>
    <t xml:space="preserve">Adrenaline Accord</t>
  </si>
  <si>
    <t xml:space="preserve">EU/EEA (3): France, Netherlands, Portugal</t>
  </si>
  <si>
    <t xml:space="preserve">10 mg/5 mL vial; 20 mg/10 mL vial; 50 mg/25 mL vial; 200 mg/100 mL vial</t>
  </si>
  <si>
    <t xml:space="preserve">Epirubicin Hydrochloride; Epirubicin Hydrochloride Accord Healthcare; Epirubicin Accord (+2 more)</t>
  </si>
  <si>
    <t xml:space="preserve">UK, Australia, South Africa, UK-NI | EU/EEA (20): France, Netherlands, Belgium, Austria, Czech Republic, Denmark, Estonia, Finland, Hungary, Ireland, Italy, Latvia, Lithuania, Malta, Norway, Poland, Portugal, Slovakia, Spain, Sweden</t>
  </si>
  <si>
    <t xml:space="preserve">UK, Australia, South Africa, UK-NI | EU/EEA (20): France, Netherlands, Belgium, Austria + 16 more</t>
  </si>
  <si>
    <t xml:space="preserve">DE, FR, NL, BE</t>
  </si>
  <si>
    <t xml:space="preserve">Eptifibatide Accord</t>
  </si>
  <si>
    <t xml:space="preserve">EU/EEA (30): Germany, France, Netherlands, Belgium, Austria, Bulgaria, Croatia, Cyprus, Czech Republic, Denmark, Estonia, Finland, Greece, Hungary, Iceland, Ireland, Italy, Latvia, Liechtenstein, Lithuania, Luxembourg, Malta, Norway, Poland, Portugal, Romania, Slovakia, Slovenia, Spain, Sweden</t>
  </si>
  <si>
    <t xml:space="preserve">EU/EEA: all 30 countries</t>
  </si>
  <si>
    <t xml:space="preserve">880 mcg/2 mL vial</t>
  </si>
  <si>
    <t xml:space="preserve">Eribuline Accord</t>
  </si>
  <si>
    <t xml:space="preserve">EU/EEA (9): France, Austria, Croatia, Czech Republic, Denmark, Estonia, Lithuania, Norway, Sweden</t>
  </si>
  <si>
    <t xml:space="preserve">EU/EEA (9): France, Austria, Croatia, Czech Republic + 5 more</t>
  </si>
  <si>
    <t xml:space="preserve">UK, UK-NI, NL</t>
  </si>
  <si>
    <t xml:space="preserve">Esomeprazole; Esomeprazol Accord</t>
  </si>
  <si>
    <t xml:space="preserve">UK, UK-NI | EU/EEA (4): Netherlands, Ireland, Italy, Portugal</t>
  </si>
  <si>
    <t xml:space="preserve">Floxapen</t>
  </si>
  <si>
    <t xml:space="preserve">Fludarabine Phosphate</t>
  </si>
  <si>
    <t xml:space="preserve">Oncology: chronic lymphocytic leukaemia, transplant conditioning</t>
  </si>
  <si>
    <t xml:space="preserve">https://dailymed.nlm.nih.gov/dailymed/search.cfm?labeltype=all&amp;query=fludarabine</t>
  </si>
  <si>
    <t xml:space="preserve">50 mg/2 mL vial</t>
  </si>
  <si>
    <t xml:space="preserve">Fludarabine Phosphate; Fludarabin Accord</t>
  </si>
  <si>
    <t xml:space="preserve">UK, UK-NI | EU/EEA (21): Germany, France, Netherlands, Belgium, Austria, Bulgaria, Croatia, Cyprus, Czech Republic, Estonia, Finland, Hungary, Ireland, Italy, Lithuania, Poland, Portugal, Romania, Slovenia, Spain, Sweden</t>
  </si>
  <si>
    <t xml:space="preserve">UK, UK-NI | EU/EEA (21): Germany, France, Netherlands, Belgium + 17 more</t>
  </si>
  <si>
    <t xml:space="preserve">500 mg/10 mL vial; 5000 mg/100 mL vial</t>
  </si>
  <si>
    <t xml:space="preserve">UK, Canada, UK-NI | EU/EEA (27): Germany, France, Netherlands, Belgium, Austria, Bulgaria, Croatia, Cyprus, Czech Republic, Denmark, Estonia, Finland, Hungary, Iceland, Ireland, Italy, Latvia, Lithuania, Luxembourg, Norway, Poland, Portugal, Romania, Slovakia, Slovenia, Spain, Sweden</t>
  </si>
  <si>
    <t xml:space="preserve">UK, Canada, UK-NI | EU/EEA (27): Germany, France, Netherlands, Belgium + 23 more</t>
  </si>
  <si>
    <t xml:space="preserve">Fulvestrant; Fulvestrant Accord; Fulvestrant Intas (+1 more)</t>
  </si>
  <si>
    <t xml:space="preserve">US, UK, Australia, South Africa, UK-NI | EU/EEA (25): Germany, France, Netherlands, Belgium, Austria, Bulgaria, Croatia, Cyprus, Czech Republic, Denmark, Estonia, Finland, Greece, Hungary, Iceland, Ireland, Italy, Norway, Poland, Portugal, Romania, Slovakia, Slovenia, Spain, Sweden</t>
  </si>
  <si>
    <t xml:space="preserve">US, UK, Australia, South Africa, UK-NI | EU/EEA (25): Germany, France, Netherlands, Belgium + 21 more</t>
  </si>
  <si>
    <t xml:space="preserve">UK-NI, DE</t>
  </si>
  <si>
    <t xml:space="preserve">0.6 mg/3 mL ampoule</t>
  </si>
  <si>
    <t xml:space="preserve">Glycopyrrolate Accord</t>
  </si>
  <si>
    <t xml:space="preserve">Australia, UK-NI | EU/EEA (6): Germany, Austria, Cyprus, Finland, Italy, Sweden</t>
  </si>
  <si>
    <t xml:space="preserve">Hydroxocobalamin</t>
  </si>
  <si>
    <t xml:space="preserve">Haematology: vitamin B12 deficiency, cyanide poisoning</t>
  </si>
  <si>
    <t xml:space="preserve">https://mhraproducts4853.blob.core.windows.net/docs/263d32f81753d60c17b4d841aa3115ebcf5eabd7</t>
  </si>
  <si>
    <t xml:space="preserve">Hydroxocobalamin Accord Healthcare</t>
  </si>
  <si>
    <t xml:space="preserve">US, UK, DE, FR, NL, BE</t>
  </si>
  <si>
    <t xml:space="preserve">Ibandronate Sodium; Ibandronic Acid Accord</t>
  </si>
  <si>
    <t xml:space="preserve">US, UK | EU/EEA (30): Germany, France, Netherlands, Belgium, Austria, Bulgaria, Croatia, Cyprus, Czech Republic, Denmark, Estonia, Finland, Greece, Hungary, Iceland, Ireland, Italy, Latvia, Liechtenstein, Lithuania, Luxembourg, Malta, Norway, Poland, Portugal, Romania, Slovakia, Slovenia, Spain, Sweden</t>
  </si>
  <si>
    <t xml:space="preserve">US, UK | EU/EEA: all 30 countries</t>
  </si>
  <si>
    <t xml:space="preserve">Idarubicin</t>
  </si>
  <si>
    <t xml:space="preserve">Oncology: acute myeloid leukaemia</t>
  </si>
  <si>
    <t xml:space="preserve">UK-NI, FR</t>
  </si>
  <si>
    <t xml:space="preserve">https://dailymed.nlm.nih.gov/dailymed/search.cfm?labeltype=all&amp;query=idarubicin</t>
  </si>
  <si>
    <t xml:space="preserve">Idarubicin Accord Healthcare</t>
  </si>
  <si>
    <t xml:space="preserve">UK-NI | EU/EEA (4): France, Finland, Poland, Portugal</t>
  </si>
  <si>
    <t xml:space="preserve">Leuprorelin</t>
  </si>
  <si>
    <t xml:space="preserve">https://dailymed.nlm.nih.gov/dailymed/search.cfm?labeltype=all&amp;query=leuprolide</t>
  </si>
  <si>
    <t xml:space="preserve">21 mg pre-filled syringe; 21 mg/0.25 mL pre-filled syringe</t>
  </si>
  <si>
    <t xml:space="preserve">Camcevi</t>
  </si>
  <si>
    <t xml:space="preserve">100 mg/5 mL ampoule; 400 mg/20 mL vial; 40 mg/2 mL ampoule; 200 mg/20 mL vial</t>
  </si>
  <si>
    <t xml:space="preserve">Lidocaine Accord; Lidocaine Intas</t>
  </si>
  <si>
    <t xml:space="preserve">Australia, UK-NI | EU/EEA (7): Austria, Cyprus, Estonia, Lithuania, Norway, Portugal, Sweden</t>
  </si>
  <si>
    <t xml:space="preserve">Australia, UK-NI | EU/EEA (7): Austria, Cyprus, Estonia, Lithuania + 3 more</t>
  </si>
  <si>
    <t xml:space="preserve">50 mg/1 mL vial; 50 mg powder vial</t>
  </si>
  <si>
    <t xml:space="preserve">Melphalan; Melphalan Accord</t>
  </si>
  <si>
    <t xml:space="preserve">50 mg/2 mL vial; 500 mg/20 mL vial; 1000 mg/40 mL vial; 10 mg/0.2 mL pre-filled syringe (+2 more)</t>
  </si>
  <si>
    <t xml:space="preserve">Methotrexate; Methotrexate Subcutaneous; Methotrexate Intas</t>
  </si>
  <si>
    <t xml:space="preserve">UK, Canada, Australia, UK-NI | EU/EEA (25): Germany, France, Netherlands, Belgium, Austria, Bulgaria, Croatia, Cyprus, Czech Republic, Denmark, Estonia, Finland, Greece, Hungary, Ireland, Italy, Latvia, Lithuania, Norway, Poland, Portugal, Slovakia, Slovenia, Spain, Sweden</t>
  </si>
  <si>
    <t xml:space="preserve">UK, Canada, Australia, UK-NI | EU/EEA (25): Germany, France, Netherlands, Belgium + 21 more</t>
  </si>
  <si>
    <t xml:space="preserve">Midazolam</t>
  </si>
  <si>
    <t xml:space="preserve">Anaesthesia: sedation for procedures and ICU, anaesthesia induction, seizures</t>
  </si>
  <si>
    <t xml:space="preserve">Ampoule, Prefilled syringe</t>
  </si>
  <si>
    <t xml:space="preserve">https://dailymed.nlm.nih.gov/dailymed/search.cfm?labeltype=all&amp;query=midazolam+injection</t>
  </si>
  <si>
    <t xml:space="preserve">50 mg/10 mL pre-filled syringe; 5 mg/5 mL pre-filled syringe; 15 mg/3 mL ampoule</t>
  </si>
  <si>
    <t xml:space="preserve">Midazolam Accord; Intas Midazolam</t>
  </si>
  <si>
    <t xml:space="preserve">Australia, UK-NI | EU/EEA (22): Germany, France, Netherlands, Belgium, Austria, Cyprus, Czech Republic, Denmark, Finland, Greece, Hungary, Iceland, Ireland, Italy, Malta, Norway, Poland, Portugal, Slovakia, Slovenia, Spain, Sweden</t>
  </si>
  <si>
    <t xml:space="preserve">Australia, UK-NI | EU/EEA (22): Germany, France, Netherlands, Belgium + 18 more</t>
  </si>
  <si>
    <t xml:space="preserve">40 mg powder vial; 10 mg powder vial; 20 mg vial</t>
  </si>
  <si>
    <t xml:space="preserve">Mitomycin; Mitomicina Accord</t>
  </si>
  <si>
    <t xml:space="preserve">UK, Canada, UK-NI | EU/EEA (16): Germany, France, Netherlands, Belgium, Bulgaria, Cyprus, Czech Republic, Estonia, Finland, Italy, Poland, Portugal, Romania, Slovakia, Slovenia, Spain</t>
  </si>
  <si>
    <t xml:space="preserve">UK, Canada, UK-NI | EU/EEA (16): Germany, France, Netherlands, Belgium + 12 more</t>
  </si>
  <si>
    <t xml:space="preserve">Mitoxantrone</t>
  </si>
  <si>
    <t xml:space="preserve">Oncology and neurology: acute myeloid leukaemia, prostate cancer, multiple sclerosis</t>
  </si>
  <si>
    <t xml:space="preserve">UK-NI, FR, NL</t>
  </si>
  <si>
    <t xml:space="preserve">https://dailymed.nlm.nih.gov/dailymed/search.cfm?labeltype=all&amp;query=mitoxantrone</t>
  </si>
  <si>
    <t xml:space="preserve">Mitoxantron Accord</t>
  </si>
  <si>
    <t xml:space="preserve">UK-NI | EU/EEA (3): France, Netherlands, Spain</t>
  </si>
  <si>
    <t xml:space="preserve">0.4 mg/mL (container not stated); 1 mg/mL (container not stated); 400 mcg/mL pre-filled syringe</t>
  </si>
  <si>
    <t xml:space="preserve">Naloxone Hydrochloride; Naloxone</t>
  </si>
  <si>
    <t xml:space="preserve">US, UK, UK-NI | EU/EEA (12): Germany, France, Netherlands, Austria, Czech Republic, Denmark, Finland, Ireland, Italy, Norway, Portugal, Sweden</t>
  </si>
  <si>
    <t xml:space="preserve">US, UK, UK-NI | EU/EEA (12): Germany, France, Netherlands, Austria + 8 more</t>
  </si>
  <si>
    <t xml:space="preserve">Vial, Ampoule, Prefilled syringe</t>
  </si>
  <si>
    <t xml:space="preserve">40 mg/20 mL vial; 8 mg/4 mL pre-filled syringe; 4 mg/2 mL ampoule; 4 mg/2 mL pre-filled syringe</t>
  </si>
  <si>
    <t xml:space="preserve">Ondansetron Hydrochloride; Ondansetron; Ondansetron Accord</t>
  </si>
  <si>
    <t xml:space="preserve">US, UK, Australia, UK-NI | EU/EEA (23): Germany, France, Netherlands, Belgium, Austria, Bulgaria, Cyprus, Czech Republic, Denmark, Estonia, Finland, Ireland, Italy, Latvia, Lithuania, Malta, Norway, Poland, Portugal, Slovakia, Slovenia, Spain, Sweden</t>
  </si>
  <si>
    <t xml:space="preserve">US, UK, Australia, UK-NI | EU/EEA (23): Germany, France, Netherlands, Belgium + 19 more</t>
  </si>
  <si>
    <t xml:space="preserve">Paclitaxel</t>
  </si>
  <si>
    <t xml:space="preserve">Oncology: breast, ovarian and lung cancers</t>
  </si>
  <si>
    <t xml:space="preserve">https://dailymed.nlm.nih.gov/dailymed/search.cfm?labeltype=all&amp;query=paclitaxel</t>
  </si>
  <si>
    <t xml:space="preserve">30 mg/5 mL vial</t>
  </si>
  <si>
    <t xml:space="preserve">Canada, UK-NI | EU/EEA (30): Germany, France, Netherlands, Belgium, Austria, Bulgaria, Croatia, Cyprus, Czech Republic, Denmark, Estonia, Finland, Greece, Hungary, Iceland, Ireland, Italy, Latvia, Liechtenstein, Lithuania, Luxembourg, Malta, Norway, Poland, Portugal, Romania, Slovakia, Slovenia, Spain, Sweden</t>
  </si>
  <si>
    <t xml:space="preserve">Canada, UK-NI | EU/EEA: all 30 countries</t>
  </si>
  <si>
    <t xml:space="preserve">250 mcg/6 mL vial; 250 mcg/5 mL vial; 0.25 mg/5 mL vial</t>
  </si>
  <si>
    <t xml:space="preserve">Palonosetron Accord; Palcita</t>
  </si>
  <si>
    <t xml:space="preserve">UK, South Africa | EU/EEA (30): Germany, France, Netherlands, Belgium, Austria, Bulgaria, Croatia, Cyprus, Czech Republic, Denmark, Estonia, Finland, Greece, Hungary, Iceland, Ireland, Italy, Latvia, Liechtenstein, Lithuania, Luxembourg, Malta, Norway, Poland, Portugal, Romania, Slovakia, Slovenia, Spain, Sweden</t>
  </si>
  <si>
    <t xml:space="preserve">UK, South Africa | EU/EEA: all 30 countries</t>
  </si>
  <si>
    <t xml:space="preserve">UK, UK-NI, NL, BE</t>
  </si>
  <si>
    <t xml:space="preserve">Pantoprazole; Pantoprazol Accord</t>
  </si>
  <si>
    <t xml:space="preserve">UK, UK-NI | EU/EEA (12): Netherlands, Belgium, Bulgaria, Cyprus, Denmark, Finland, Hungary, Poland, Portugal, Slovakia, Slovenia, Sweden</t>
  </si>
  <si>
    <t xml:space="preserve">UK, UK-NI | EU/EEA (12): Netherlands, Belgium, Bulgaria, Cyprus + 8 more</t>
  </si>
  <si>
    <t xml:space="preserve">Paricalcitol</t>
  </si>
  <si>
    <t xml:space="preserve">Nephrology: secondary hyperparathyroidism in dialysis patients</t>
  </si>
  <si>
    <t xml:space="preserve">US, DE, NL</t>
  </si>
  <si>
    <t xml:space="preserve">https://dailymed.nlm.nih.gov/dailymed/search.cfm?labeltype=all&amp;query=paricalcitol+injection</t>
  </si>
  <si>
    <t xml:space="preserve">0.005 mg/1 mL vial; 0.01 mg/2 mL vial</t>
  </si>
  <si>
    <t xml:space="preserve">US | EU/EEA (5): Germany, Netherlands, Czech Republic, Finland, Portugal</t>
  </si>
  <si>
    <t xml:space="preserve">Pegfilgrastim</t>
  </si>
  <si>
    <t xml:space="preserve">Oncology support: prevents low white cell counts after chemotherapy</t>
  </si>
  <si>
    <t xml:space="preserve">https://dailymed.nlm.nih.gov/dailymed/search.cfm?labeltype=all&amp;query=pegfilgrastim</t>
  </si>
  <si>
    <t xml:space="preserve">6 mg/0.6 mL pre-filled syringe</t>
  </si>
  <si>
    <t xml:space="preserve">Pelgraz</t>
  </si>
  <si>
    <t xml:space="preserve">10 mg/1 mL vial; 100 mg/10 mL vial</t>
  </si>
  <si>
    <t xml:space="preserve">Phenylephrine Accord; Phenylcord</t>
  </si>
  <si>
    <t xml:space="preserve">Phenytoin</t>
  </si>
  <si>
    <t xml:space="preserve">Neurology: status epilepticus, seizure prevention</t>
  </si>
  <si>
    <t xml:space="preserve">https://dailymed.nlm.nih.gov/dailymed/search.cfm?labeltype=all&amp;query=phenytoin+sodium+injection</t>
  </si>
  <si>
    <t xml:space="preserve">100 mg/2 mL (container not stated)</t>
  </si>
  <si>
    <t xml:space="preserve">Phenytoin Accord</t>
  </si>
  <si>
    <t xml:space="preserve">Plerixafor; Plerixafor Accord</t>
  </si>
  <si>
    <t xml:space="preserve">50 mg/mL (container not stated)</t>
  </si>
  <si>
    <t xml:space="preserve">Ranibizumab</t>
  </si>
  <si>
    <t xml:space="preserve">Ophthalmology: wet macular degeneration, diabetic macular oedema, retinal vein occlusion</t>
  </si>
  <si>
    <t xml:space="preserve">UK</t>
  </si>
  <si>
    <t xml:space="preserve">https://dailymed.nlm.nih.gov/dailymed/search.cfm?labeltype=all&amp;query=ranibizumab</t>
  </si>
  <si>
    <t xml:space="preserve">2.3 mg/0.23 mL vial</t>
  </si>
  <si>
    <t xml:space="preserve">Fovlussea</t>
  </si>
  <si>
    <t xml:space="preserve">50 mg/5 mL ampoule</t>
  </si>
  <si>
    <t xml:space="preserve">Rocuronio Accord</t>
  </si>
  <si>
    <t xml:space="preserve">UK-NI | EU/EEA (11): Germany, Netherlands, Austria, Czech Republic, Denmark, Finland, Ireland, Italy, Norway, Portugal, Sweden</t>
  </si>
  <si>
    <t xml:space="preserve">UK-NI | EU/EEA (11): Germany, Netherlands, Austria, Czech Republic + 7 more</t>
  </si>
  <si>
    <t xml:space="preserve">100 mg/2 mL pre-filled syringe</t>
  </si>
  <si>
    <t xml:space="preserve">Suxamethonium Intas</t>
  </si>
  <si>
    <t xml:space="preserve">100 mg/mL vial; 200 mg/2 mL vial; 500 mg/5 mL vial</t>
  </si>
  <si>
    <t xml:space="preserve">Sugammadex; Sugammadex Accord</t>
  </si>
  <si>
    <t xml:space="preserve">UK, Australia, UK-NI | EU/EEA (18): France, Netherlands, Austria, Croatia, Cyprus, Denmark, Estonia, Finland, Ireland, Italy, Lithuania, Norway, Poland, Portugal, Romania, Slovakia, Spain, Sweden</t>
  </si>
  <si>
    <t xml:space="preserve">UK, Australia, UK-NI | EU/EEA (18): France, Netherlands, Austria, Croatia + 14 more</t>
  </si>
  <si>
    <t xml:space="preserve">200 mg powder vial</t>
  </si>
  <si>
    <t xml:space="preserve">Teicoplanina Accord</t>
  </si>
  <si>
    <t xml:space="preserve">EU/EEA (3): Austria, Portugal, Spain</t>
  </si>
  <si>
    <t xml:space="preserve">Tigecycline</t>
  </si>
  <si>
    <t xml:space="preserve">Anti-infective: complicated skin and abdominal infections, drug-resistant bacteria</t>
  </si>
  <si>
    <t xml:space="preserve">https://dailymed.nlm.nih.gov/dailymed/search.cfm?labeltype=all&amp;query=tigecycline</t>
  </si>
  <si>
    <t xml:space="preserve">Tigecycline Accord</t>
  </si>
  <si>
    <t xml:space="preserve">Australia | EU/EEA (30): Germany, France, Netherlands, Belgium, Austria, Bulgaria, Croatia, Cyprus, Czech Republic, Denmark, Estonia, Finland, Greece, Hungary, Iceland, Ireland, Italy, Latvia, Liechtenstein, Lithuania, Luxembourg, Malta, Norway, Poland, Portugal, Romania, Slovakia, Slovenia, Spain, Sweden</t>
  </si>
  <si>
    <t xml:space="preserve">Australia | EU/EEA: all 30 countries</t>
  </si>
  <si>
    <t xml:space="preserve">Ustekinumab</t>
  </si>
  <si>
    <t xml:space="preserve">Immunology: psoriasis, psoriatic arthritis, Crohn's disease, ulcerative colitis</t>
  </si>
  <si>
    <t xml:space="preserve">https://dailymed.nlm.nih.gov/dailymed/search.cfm?labeltype=all&amp;query=ustekinumab</t>
  </si>
  <si>
    <t xml:space="preserve">45 mg/0.5 mL pre-filled syringe</t>
  </si>
  <si>
    <t xml:space="preserve">Imuldosa</t>
  </si>
  <si>
    <t xml:space="preserve">UK, UK-NI | EU/EEA (30): Germany, France, Netherlands, Belgium, Austria, Bulgaria, Croatia, Cyprus, Czech Republic, Denmark, Estonia, Finland, Greece, Hungary, Iceland, Ireland, Italy, Latvia, Liechtenstein, Lithuania, Luxembourg, Malta, Norway, Poland, Portugal, Romania, Slovakia, Slovenia, Spain, Sweden</t>
  </si>
  <si>
    <t xml:space="preserve">UK, UK-NI | EU/EEA: all 30 countries</t>
  </si>
  <si>
    <t xml:space="preserve">Vincristine</t>
  </si>
  <si>
    <t xml:space="preserve">Oncology: acute lymphoblastic leukaemia, lymphomas, childhood tumours</t>
  </si>
  <si>
    <t xml:space="preserve">https://dailymed.nlm.nih.gov/dailymed/search.cfm?labeltype=all&amp;query=vincristine</t>
  </si>
  <si>
    <t xml:space="preserve">2 mg/2 mL vial</t>
  </si>
  <si>
    <t xml:space="preserve">Accord-Vincristine</t>
  </si>
  <si>
    <t xml:space="preserve">Vinorelbin Accord; Vinorelbine Accord</t>
  </si>
  <si>
    <t xml:space="preserve">UK-NI | EU/EEA (21): Germany, France, Netherlands, Belgium, Austria, Cyprus, Czech Republic, Denmark, Estonia, Finland, Italy, Latvia, Lithuania, Norway, Poland, Portugal, Romania, Slovakia, Slovenia, Spain, Sweden</t>
  </si>
  <si>
    <t xml:space="preserve">UK-NI | EU/EEA (21): Germany, France, Netherlands, Belgium + 17 more</t>
  </si>
  <si>
    <t xml:space="preserve">Alfentanil</t>
  </si>
  <si>
    <t xml:space="preserve">Anaesthesia: short-acting opioid pain relief during surgery</t>
  </si>
  <si>
    <t xml:space="preserve">https://dailymed.nlm.nih.gov/dailymed/search.cfm?labeltype=all&amp;query=alfentanil</t>
  </si>
  <si>
    <t xml:space="preserve">5 mg/10 mL ampoule</t>
  </si>
  <si>
    <t xml:space="preserve">Alfentanil GH</t>
  </si>
  <si>
    <t xml:space="preserve">Cefazolin</t>
  </si>
  <si>
    <t xml:space="preserve">Anti-infective: surgical infection prevention, staphylococcal infections</t>
  </si>
  <si>
    <t xml:space="preserve">https://dailymed.nlm.nih.gov/dailymed/search.cfm?labeltype=all&amp;query=cefazolin</t>
  </si>
  <si>
    <t xml:space="preserve">1000 mg powder vial</t>
  </si>
  <si>
    <t xml:space="preserve">Cefazolin SXP</t>
  </si>
  <si>
    <t xml:space="preserve">10 mg/5 mL vial; 150 mg/30 mL vial</t>
  </si>
  <si>
    <t xml:space="preserve">Cisatracurium AJS</t>
  </si>
  <si>
    <t xml:space="preserve">Daptomycin Lupin</t>
  </si>
  <si>
    <t xml:space="preserve">10 mg/2 mL (container not stated)</t>
  </si>
  <si>
    <t xml:space="preserve">Droperidol</t>
  </si>
  <si>
    <t xml:space="preserve">Anaesthesia: post-operative nausea and vomiting</t>
  </si>
  <si>
    <t xml:space="preserve">https://dailymed.nlm.nih.gov/dailymed/search.cfm?labeltype=all&amp;query=droperidol</t>
  </si>
  <si>
    <t xml:space="preserve">2.5 mg/1 mL ampoule; 5 mg/2 mL ampoule</t>
  </si>
  <si>
    <t xml:space="preserve">Droperidol Lupin; Droperidol AJS</t>
  </si>
  <si>
    <t xml:space="preserve">Elemental Iron</t>
  </si>
  <si>
    <t xml:space="preserve">Haematology and nephrology: IV iron for iron-deficiency anaemia</t>
  </si>
  <si>
    <t xml:space="preserve">https://dailymed.nlm.nih.gov/dailymed/search.cfm?labeltype=all&amp;query=iron+sucrose</t>
  </si>
  <si>
    <t xml:space="preserve">100 mg/5 mL vial</t>
  </si>
  <si>
    <t xml:space="preserve">Sucrofer</t>
  </si>
  <si>
    <t xml:space="preserve">30 mg/mL ampoule</t>
  </si>
  <si>
    <t xml:space="preserve">Ephedrine Hydrochloride AJS</t>
  </si>
  <si>
    <t xml:space="preserve">1 g in 20 mL powder vial</t>
  </si>
  <si>
    <t xml:space="preserve">Invabex</t>
  </si>
  <si>
    <t xml:space="preserve">Famotidine</t>
  </si>
  <si>
    <t xml:space="preserve">Gastroenterology: ulcers, acid reflux, excess acid secretion</t>
  </si>
  <si>
    <t xml:space="preserve">https://dailymed.nlm.nih.gov/dailymed/search.cfm?labeltype=all&amp;query=famotidine+injection</t>
  </si>
  <si>
    <t xml:space="preserve">Fentanyl</t>
  </si>
  <si>
    <t xml:space="preserve">Anaesthesia and pain: opioid pain relief in surgery and ICU</t>
  </si>
  <si>
    <t xml:space="preserve">https://dailymed.nlm.nih.gov/dailymed/search.cfm?labeltype=all&amp;query=fentanyl+citrate+injection</t>
  </si>
  <si>
    <t xml:space="preserve">500 mcg/10 mL ampoule; 100 mcg/2 mL ampoule</t>
  </si>
  <si>
    <t xml:space="preserve">Fentanyl GH</t>
  </si>
  <si>
    <t xml:space="preserve">500 mg powder vial; 1 g powder vial; 1000 mg/30 mL powder vial</t>
  </si>
  <si>
    <t xml:space="preserve">Meropenem GH; Meroject</t>
  </si>
  <si>
    <t xml:space="preserve">10 mg/10 mL ampoule</t>
  </si>
  <si>
    <t xml:space="preserve">Milrinone GH</t>
  </si>
  <si>
    <t xml:space="preserve">Olanzapine</t>
  </si>
  <si>
    <t xml:space="preserve">Psychiatry: acute agitation in schizophrenia and bipolar mania</t>
  </si>
  <si>
    <t xml:space="preserve">https://dailymed.nlm.nih.gov/dailymed/search.cfm?labeltype=all&amp;query=olanzapine+for+injection</t>
  </si>
  <si>
    <t xml:space="preserve">10 mg powder vial</t>
  </si>
  <si>
    <t xml:space="preserve">Olanzapine GH IM</t>
  </si>
  <si>
    <t xml:space="preserve">Oxytocin</t>
  </si>
  <si>
    <t xml:space="preserve">Women's health: labour induction, postpartum haemorrhage</t>
  </si>
  <si>
    <t xml:space="preserve">https://dailymed.nlm.nih.gov/dailymed/search.cfm?labeltype=all&amp;query=oxytocin</t>
  </si>
  <si>
    <t xml:space="preserve">10 IU/1 mL ampoule</t>
  </si>
  <si>
    <t xml:space="preserve">Oxytocin GH</t>
  </si>
  <si>
    <t xml:space="preserve">10 mg/5 mL powder vial; 50 mg/10 mL powder vial</t>
  </si>
  <si>
    <t xml:space="preserve">Altirem IV</t>
  </si>
  <si>
    <t xml:space="preserve">Sugammadex Sodium; Sugammadex Lupin; Sugammadex LAPL</t>
  </si>
  <si>
    <t xml:space="preserve">400 mg powder vial; 200 mg in 20 mL powder vial; 400 mg in 20 mL powder vial</t>
  </si>
  <si>
    <t xml:space="preserve">Teicoplanin SXP; Dyna Teicoplanin; Teicoplanin PD</t>
  </si>
  <si>
    <t xml:space="preserve">Testosterone PD</t>
  </si>
  <si>
    <t xml:space="preserve">MSN Laboratories</t>
  </si>
  <si>
    <t xml:space="preserve">Bortezomib; Bortezomib MSN Laboratories Europe; MSN-Bortezomib</t>
  </si>
  <si>
    <t xml:space="preserve">US, UK, Australia, UK-NI | EU/EEA (1): Ireland</t>
  </si>
  <si>
    <t xml:space="preserve">Gadobutrol</t>
  </si>
  <si>
    <t xml:space="preserve">Diagnostics: MRI contrast agent</t>
  </si>
  <si>
    <t xml:space="preserve">https://dailymed.nlm.nih.gov/dailymed/search.cfm?labeltype=all&amp;query=gadobutrol</t>
  </si>
  <si>
    <t xml:space="preserve">2 mmol/2 mL vial; 1 mmol/mL (container not stated)</t>
  </si>
  <si>
    <t xml:space="preserve">Gadobutrol; Gadobutrol MSN Laboratories Europe</t>
  </si>
  <si>
    <t xml:space="preserve">US | EU/EEA (8): Bulgaria, Croatia, Czech Republic, Hungary, Ireland, Poland, Romania, Slovakia</t>
  </si>
  <si>
    <t xml:space="preserve">US | EU/EEA (8): Bulgaria, Croatia, Czech Republic, Hungary + 4 more</t>
  </si>
  <si>
    <t xml:space="preserve">US, UK</t>
  </si>
  <si>
    <t xml:space="preserve">Sugammadex Sodium; Sugammadex; Sugammadex MSN</t>
  </si>
  <si>
    <t xml:space="preserve">US, UK, Australia | EU/EEA (8): Croatia, Cyprus, Estonia, Ireland, Latvia, Lithuania, Poland, Slovenia</t>
  </si>
  <si>
    <t xml:space="preserve">US, UK, Australia | EU/EEA (8): Croatia, Cyprus, Estonia, Ireland + 4 more</t>
  </si>
  <si>
    <t xml:space="preserve">Caffeine</t>
  </si>
  <si>
    <t xml:space="preserve">Neonatology: breathing pauses in premature babies</t>
  </si>
  <si>
    <t xml:space="preserve">https://dailymed.nlm.nih.gov/dailymed/search.cfm?labeltype=all&amp;query=caffeine+citrate</t>
  </si>
  <si>
    <t xml:space="preserve">60 mg caffeine citrate/3 mL vial</t>
  </si>
  <si>
    <t xml:space="preserve">Caffeine Citrate Brown &amp; Burk</t>
  </si>
  <si>
    <t xml:space="preserve">Cyclizine</t>
  </si>
  <si>
    <t xml:space="preserve">Gastroenterology: nausea and vomiting after surgery or with opioids</t>
  </si>
  <si>
    <t xml:space="preserve">https://mhraproducts4853.blob.core.windows.net/docs/925bc4c8a8d4a507b955b633951acf444692f0ea</t>
  </si>
  <si>
    <t xml:space="preserve">50 mg/1 mL ampoule</t>
  </si>
  <si>
    <t xml:space="preserve">Cyclact</t>
  </si>
  <si>
    <t xml:space="preserve">Australia, UK-NI</t>
  </si>
  <si>
    <t xml:space="preserve">Diphenhydramine</t>
  </si>
  <si>
    <t xml:space="preserve">Allergy: acute allergic reactions, drug-induced dystonia</t>
  </si>
  <si>
    <t xml:space="preserve">https://dailymed.nlm.nih.gov/dailymed/search.cfm?labeltype=all&amp;query=diphenhydramine+injection</t>
  </si>
  <si>
    <t xml:space="preserve">Diphenhydramine Hydrochloride</t>
  </si>
  <si>
    <t xml:space="preserve">Isoproterenol Hydrochloride; Isoprika</t>
  </si>
  <si>
    <t xml:space="preserve">Levetiracetam</t>
  </si>
  <si>
    <t xml:space="preserve">Neurology: epilepsy and status epilepticus when oral treatment is not possible</t>
  </si>
  <si>
    <t xml:space="preserve">https://dailymed.nlm.nih.gov/dailymed/search.cfm?labeltype=all&amp;query=levetiracetam+injection</t>
  </si>
  <si>
    <t xml:space="preserve">500 mg/5 mL vial</t>
  </si>
  <si>
    <t xml:space="preserve">Levetiracetam WP</t>
  </si>
  <si>
    <t xml:space="preserve">Australia | EU/EEA (2): Germany, Luxembourg</t>
  </si>
  <si>
    <t xml:space="preserve">Lincomycin</t>
  </si>
  <si>
    <t xml:space="preserve">Anti-infective: serious Gram-positive infections in penicillin-allergic patients</t>
  </si>
  <si>
    <t xml:space="preserve">https://dailymed.nlm.nih.gov/dailymed/search.cfm?labeltype=all&amp;query=lincomycin</t>
  </si>
  <si>
    <t xml:space="preserve">600 mg/2 mL vial</t>
  </si>
  <si>
    <t xml:space="preserve">Lincomycin Hydrochloride</t>
  </si>
  <si>
    <t xml:space="preserve">5 mg/2 mL vial; 10 mg/4 mL vial</t>
  </si>
  <si>
    <t xml:space="preserve">OneSource Specialty Pharma</t>
  </si>
  <si>
    <t xml:space="preserve">0.25% in 10 mL vial; 0.5% in 30 mL vial</t>
  </si>
  <si>
    <t xml:space="preserve">Bupivacaine Hydrochloride</t>
  </si>
  <si>
    <t xml:space="preserve">500 mg powder vial; 2 g powder vial</t>
  </si>
  <si>
    <t xml:space="preserve">Meropenem Steriscience</t>
  </si>
  <si>
    <t xml:space="preserve">EU/EEA (23): Germany, France, Netherlands, Belgium, Austria, Bulgaria, Croatia, Cyprus, Czech Republic, Denmark, Estonia, Finland, Greece, Hungary, Ireland, Italy, Latvia, Lithuania, Luxembourg, Malta, Portugal, Slovakia, Spain</t>
  </si>
  <si>
    <t xml:space="preserve">EU/EEA (23): Germany, France, Netherlands, Belgium + 19 more</t>
  </si>
  <si>
    <t xml:space="preserve">Methohexital</t>
  </si>
  <si>
    <t xml:space="preserve">Anaesthesia: short procedures and electroconvulsive therapy</t>
  </si>
  <si>
    <t xml:space="preserve">https://dailymed.nlm.nih.gov/dailymed/search.cfm?labeltype=all&amp;query=methohexital</t>
  </si>
  <si>
    <t xml:space="preserve">500 mg vial</t>
  </si>
  <si>
    <t xml:space="preserve">Methohexital Sodium</t>
  </si>
  <si>
    <t xml:space="preserve">Piramal Pharma</t>
  </si>
  <si>
    <t xml:space="preserve">2 mL ampoule; 5 mg/10 mL ampoule; 1 mg/2 mL ampoule</t>
  </si>
  <si>
    <t xml:space="preserve">Rapifen; Alfentanil Piramal</t>
  </si>
  <si>
    <t xml:space="preserve">UK, Australia, South Africa, UK-NI | EU/EEA (15): Germany, France, Netherlands, Belgium, Austria, Czech Republic, Denmark, Finland, Ireland, Italy, Luxembourg, Norway, Portugal, Spain, Sweden</t>
  </si>
  <si>
    <t xml:space="preserve">UK, Australia, South Africa, UK-NI | EU/EEA (15): Germany, France, Netherlands, Belgium + 11 more</t>
  </si>
  <si>
    <t xml:space="preserve">Baclofen</t>
  </si>
  <si>
    <t xml:space="preserve">Neurology: severe spasticity via intrathecal pump</t>
  </si>
  <si>
    <t xml:space="preserve">https://dailymed.nlm.nih.gov/dailymed/search.cfm?labeltype=all&amp;query=baclofen</t>
  </si>
  <si>
    <t xml:space="preserve">0.05 mg/1 mL pre-filled syringe; 2 mg/mL pre-filled syringe</t>
  </si>
  <si>
    <t xml:space="preserve">Gablofen</t>
  </si>
  <si>
    <t xml:space="preserve">US, UK, UK-NI | EU/EEA (6): Germany, France, Netherlands, Belgium, Denmark, Sweden</t>
  </si>
  <si>
    <t xml:space="preserve">10 mg/5 mL vial; 200 mg/20 mL vial</t>
  </si>
  <si>
    <t xml:space="preserve">Cisatracurium Besylate</t>
  </si>
  <si>
    <t xml:space="preserve">Etomidate</t>
  </si>
  <si>
    <t xml:space="preserve">Anaesthesia: induction of general anaesthesia in unstable patients</t>
  </si>
  <si>
    <t xml:space="preserve">https://dailymed.nlm.nih.gov/dailymed/search.cfm?labeltype=all&amp;query=etomidate</t>
  </si>
  <si>
    <t xml:space="preserve">20 mg/10 mL ampoule</t>
  </si>
  <si>
    <t xml:space="preserve">Hypnomidate</t>
  </si>
  <si>
    <t xml:space="preserve">South Africa, UK-NI | EU/EEA (10): Germany, France, Netherlands, Belgium, Austria, Croatia, Czech Republic, Luxembourg, Poland, Spain</t>
  </si>
  <si>
    <t xml:space="preserve">South Africa, UK-NI | EU/EEA (10): Germany, France, Netherlands, Belgium + 6 more</t>
  </si>
  <si>
    <t xml:space="preserve">100 mcg/2 mL ampoule; 500 mcg/10 mL ampoule</t>
  </si>
  <si>
    <t xml:space="preserve">Sublimaze</t>
  </si>
  <si>
    <t xml:space="preserve">South Africa, UK-NI | EU/EEA (16): Germany, France, Netherlands, Belgium, Austria, Croatia, Czech Republic, Denmark, Finland, Iceland, Ireland, Italy, Luxembourg, Norway, Portugal, Sweden</t>
  </si>
  <si>
    <t xml:space="preserve">South Africa, UK-NI | EU/EEA (16): Germany, France, Netherlands, Belgium + 12 more</t>
  </si>
  <si>
    <t xml:space="preserve">1 mg (container not stated)</t>
  </si>
  <si>
    <t xml:space="preserve">Remifentanil Piramal</t>
  </si>
  <si>
    <t xml:space="preserve">Sugammadex; Sugammadex Piramal</t>
  </si>
  <si>
    <t xml:space="preserve">Strides Pharma Science</t>
  </si>
  <si>
    <t xml:space="preserve">Bindozef</t>
  </si>
  <si>
    <t xml:space="preserve">2 g powder vial; 1 g powder vial</t>
  </si>
  <si>
    <t xml:space="preserve">Zetaf</t>
  </si>
  <si>
    <t xml:space="preserve">Cortaject</t>
  </si>
  <si>
    <t xml:space="preserve">Meropenem; Meropenem Strides Pharma</t>
  </si>
  <si>
    <t xml:space="preserve">Piperacillin + Tazobactam</t>
  </si>
  <si>
    <t xml:space="preserve">Anti-infective: broad-spectrum hospital infections including pneumonia and sepsis</t>
  </si>
  <si>
    <t xml:space="preserve">https://dailymed.nlm.nih.gov/dailymed/search.cfm?labeltype=all&amp;query=piperacillin+and+tazobactam</t>
  </si>
  <si>
    <t xml:space="preserve">2 g + 250 mg powder vial; 4 g + 500 mg powder vial</t>
  </si>
  <si>
    <t xml:space="preserve">Auro Piptaz; Auro-Piptaz</t>
  </si>
  <si>
    <t xml:space="preserve">Aripiprazole</t>
  </si>
  <si>
    <t xml:space="preserve">Psychiatry: long-acting injection for schizophrenia and bipolar disorder</t>
  </si>
  <si>
    <t xml:space="preserve">https://dailymed.nlm.nih.gov/dailymed/search.cfm?labeltype=all&amp;query=aripiprazole</t>
  </si>
  <si>
    <t xml:space="preserve">300 mg powder vial; 400 mg powder vial</t>
  </si>
  <si>
    <t xml:space="preserve">Aripiprazole; Aripena</t>
  </si>
  <si>
    <t xml:space="preserve">UK, Australia</t>
  </si>
  <si>
    <t xml:space="preserve">3.5 mg powder vial; 3.5 mg/10 mL vial; 3.5 mg in 10 mL powder vial</t>
  </si>
  <si>
    <t xml:space="preserve">Bortezomib Sun; Taro-Bortezomib; Botigen</t>
  </si>
  <si>
    <t xml:space="preserve">UK, Canada, South Africa, UK-NI | EU/EEA (30): Germany, France, Netherlands, Belgium, Austria, Bulgaria, Croatia, Cyprus, Czech Republic, Denmark, Estonia, Finland, Greece, Hungary, Iceland, Ireland, Italy, Latvia, Liechtenstein, Lithuania, Luxembourg, Malta, Norway, Poland, Portugal, Romania, Slovakia, Slovenia, Spain, Sweden</t>
  </si>
  <si>
    <t xml:space="preserve">UK, Canada, South Africa, UK-NI | EU/EEA: all 30 countries</t>
  </si>
  <si>
    <t xml:space="preserve">Chlorothiazide</t>
  </si>
  <si>
    <t xml:space="preserve">Cardiovascular and renal: IV diuretic for oedema</t>
  </si>
  <si>
    <t xml:space="preserve">https://dailymed.nlm.nih.gov/dailymed/search.cfm?labeltype=all&amp;query=chlorothiazide</t>
  </si>
  <si>
    <t xml:space="preserve">500 mg in 18 mL powder vial</t>
  </si>
  <si>
    <t xml:space="preserve">Chlorothiazide Sodium</t>
  </si>
  <si>
    <t xml:space="preserve">US, UK-NI</t>
  </si>
  <si>
    <t xml:space="preserve">Doxorubicin Hydrochloride</t>
  </si>
  <si>
    <t xml:space="preserve">Esomeprazol Sun; Esomeprazole Sun</t>
  </si>
  <si>
    <t xml:space="preserve">Australia, UK-NI | EU/EEA (8): Germany, France, Netherlands, Denmark, Italy, Poland, Romania, Sweden</t>
  </si>
  <si>
    <t xml:space="preserve">Australia, UK-NI | EU/EEA (8): Germany, France, Netherlands, Denmark + 4 more</t>
  </si>
  <si>
    <t xml:space="preserve">Fulvestrant Sun</t>
  </si>
  <si>
    <t xml:space="preserve">UK, UK-NI | EU/EEA (5): Netherlands, Poland, Romania, Spain, Sweden</t>
  </si>
  <si>
    <t xml:space="preserve">UK-NI, FR, NL, CA</t>
  </si>
  <si>
    <t xml:space="preserve">Melfalan Sun; Taro-Melphalan</t>
  </si>
  <si>
    <t xml:space="preserve">Canada, UK-NI | EU/EEA (7): France, Netherlands, Austria, Denmark, Italy, Norway, Sweden</t>
  </si>
  <si>
    <t xml:space="preserve">Canada, UK-NI | EU/EEA (7): France, Netherlands, Austria, Denmark + 3 more</t>
  </si>
  <si>
    <t xml:space="preserve">UK, UK-NI, DE, NL, CA</t>
  </si>
  <si>
    <t xml:space="preserve">500 mg powder vial; 500 mg/30 mL vial; 1 g/40 mL vial; 1 g powder vial (+1 more)</t>
  </si>
  <si>
    <t xml:space="preserve">Meropenem; Meropenem Basics; Meropenem Ranbaxy (+2 more)</t>
  </si>
  <si>
    <t xml:space="preserve">UK, Canada, Australia, South Africa, UK-NI | EU/EEA (13): Germany, Netherlands, Denmark, Estonia, Finland, Iceland, Latvia, Lithuania, Norway, Poland, Romania, Spain, Sweden</t>
  </si>
  <si>
    <t xml:space="preserve">UK, Canada, Australia, South Africa, UK-NI | EU/EEA (13): Germany, Netherlands, Denmark, Estonia + 9 more</t>
  </si>
  <si>
    <t xml:space="preserve">Octreotide</t>
  </si>
  <si>
    <t xml:space="preserve">Endocrinology and oncology: acromegaly, carcinoid and neuroendocrine tumours</t>
  </si>
  <si>
    <t xml:space="preserve">https://dailymed.nlm.nih.gov/dailymed/search.cfm?labeltype=all&amp;query=octreotide</t>
  </si>
  <si>
    <t xml:space="preserve">500 mcg/1 mL ampoule</t>
  </si>
  <si>
    <t xml:space="preserve">Octreotide Sun</t>
  </si>
  <si>
    <t xml:space="preserve">Australia, UK-NI | EU/EEA (5): Germany, Denmark, Italy, Spain, Sweden</t>
  </si>
  <si>
    <t xml:space="preserve">Pantoprazole; Pantoprazol Sun</t>
  </si>
  <si>
    <t xml:space="preserve">UK, UK-NI | EU/EEA (12): Germany, France, Netherlands, Belgium, Austria, Denmark, Finland, Italy, Norway, Poland, Romania, Sweden</t>
  </si>
  <si>
    <t xml:space="preserve">UK, UK-NI | EU/EEA (12): Germany, France, Netherlands, Belgium + 8 more</t>
  </si>
  <si>
    <t xml:space="preserve">2 mcg/1 mL vial</t>
  </si>
  <si>
    <t xml:space="preserve">Paricalcitol Sun</t>
  </si>
  <si>
    <t xml:space="preserve">EU/EEA (2): Germany, Spain</t>
  </si>
  <si>
    <t xml:space="preserve">US, UK, UK-NI, NL</t>
  </si>
  <si>
    <t xml:space="preserve">Sugammadex Sodium; Sugammadex Sun; Sumabid IV</t>
  </si>
  <si>
    <t xml:space="preserve">US, UK, South Africa, UK-NI | EU/EEA (3): Netherlands, Poland, Romania</t>
  </si>
  <si>
    <t xml:space="preserve">400 mg/20 mL vial; 400 mg powder vial</t>
  </si>
  <si>
    <t xml:space="preserve">Teicoplanin; Teicoplanin Ranbaxy</t>
  </si>
  <si>
    <t xml:space="preserve">UK, UK-NI | EU/EEA (2): Netherlands, Italy</t>
  </si>
  <si>
    <t xml:space="preserve">Terlipressin</t>
  </si>
  <si>
    <t xml:space="preserve">Hepatology: hepatorenal syndrome, variceal bleeding</t>
  </si>
  <si>
    <t xml:space="preserve">https://dailymed.nlm.nih.gov/dailymed/search.cfm?labeltype=all&amp;query=terlipressin</t>
  </si>
  <si>
    <t xml:space="preserve">1.02 mg/8.5 mL ampoule; 850 mcg/8.5 mL ampoule</t>
  </si>
  <si>
    <t xml:space="preserve">Terlipressin Acetate Sun; Terlipresina Sun</t>
  </si>
  <si>
    <t xml:space="preserve">UK, UK-NI | EU/EEA (9): Germany, France, Netherlands, Denmark, Finland, Italy, Poland, Spain, Sweden</t>
  </si>
  <si>
    <t xml:space="preserve">UK, UK-NI | EU/EEA (9): Germany, France, Netherlands, Denmark + 5 more</t>
  </si>
  <si>
    <t xml:space="preserve">Taro-Testosterone Cypionate</t>
  </si>
  <si>
    <t xml:space="preserve">UK, DE, FR, NL</t>
  </si>
  <si>
    <t xml:space="preserve">Testosterone; Testosteron Basics; Testosterone Sun</t>
  </si>
  <si>
    <t xml:space="preserve">UK, Australia | EU/EEA (10): Germany, France, Netherlands, Finland, Hungary, Italy, Norway, Slovakia, Spain, Sweden</t>
  </si>
  <si>
    <t xml:space="preserve">UK, Australia | EU/EEA (10): Germany, France, Netherlands, Finland + 6 more</t>
  </si>
  <si>
    <t xml:space="preserve">10 mg/10 mL vial; 10 mg powder vial; 4 mg/2 mL powder vial</t>
  </si>
  <si>
    <t xml:space="preserve">Vecuronium Sun; Muscuron</t>
  </si>
  <si>
    <t xml:space="preserve">UK, Australia, South Africa, UK-NI | EU/EEA (1): Netherlands</t>
  </si>
  <si>
    <t xml:space="preserve">Torrent Pharmaceuticals</t>
  </si>
  <si>
    <t xml:space="preserve">Fulvestrant Heumann</t>
  </si>
  <si>
    <t xml:space="preserve">Granisetron</t>
  </si>
  <si>
    <t xml:space="preserve">https://dailymed.nlm.nih.gov/dailymed/search.cfm?labeltype=all&amp;query=granisetron</t>
  </si>
  <si>
    <t xml:space="preserve">3 mg/3 mL ampoule</t>
  </si>
  <si>
    <t xml:space="preserve">Granisetron; Granisetron Torrent Pharma</t>
  </si>
  <si>
    <t xml:space="preserve">Levetiracetam Heumann</t>
  </si>
  <si>
    <t xml:space="preserve">Meropenem Heumann</t>
  </si>
  <si>
    <t xml:space="preserve">Paliperidone</t>
  </si>
  <si>
    <t xml:space="preserve">Psychiatry: long-acting injection for schizophrenia</t>
  </si>
  <si>
    <t xml:space="preserve">https://dailymed.nlm.nih.gov/dailymed/search.cfm?labeltype=all&amp;query=paliperidone+palmitate</t>
  </si>
  <si>
    <t xml:space="preserve">50 mg/0.5 mL pre-filled syringe</t>
  </si>
  <si>
    <t xml:space="preserve">Paliperidon Heumann</t>
  </si>
  <si>
    <t xml:space="preserve">EU/EEA (2): Germany, Sweden</t>
  </si>
  <si>
    <t xml:space="preserve">Rocuronium IV Biotech</t>
  </si>
  <si>
    <t xml:space="preserve">Voriconazole</t>
  </si>
  <si>
    <t xml:space="preserve">Anti-infective: invasive aspergillosis and other serious fungal infections</t>
  </si>
  <si>
    <t xml:space="preserve">https://dailymed.nlm.nih.gov/dailymed/search.cfm?labeltype=all&amp;query=voriconazole</t>
  </si>
  <si>
    <t xml:space="preserve">Voriconazol Heumann</t>
  </si>
  <si>
    <t xml:space="preserve">Bleomycin Venus Pharma</t>
  </si>
  <si>
    <t xml:space="preserve">2 g vial</t>
  </si>
  <si>
    <t xml:space="preserve">Ceftazidime Venus Pharma</t>
  </si>
  <si>
    <t xml:space="preserve">2 g powder vial</t>
  </si>
  <si>
    <t xml:space="preserve">Meropenem Venus Pharma; Meropenem Venus</t>
  </si>
  <si>
    <t xml:space="preserve">UK, UK-NI | EU/EEA (8): Germany, France, Netherlands, Belgium, Cyprus, Ireland, Italy, Spain</t>
  </si>
  <si>
    <t xml:space="preserve">UK, UK-NI | EU/EEA (8): Germany, France, Netherlands, Belgium + 4 more</t>
  </si>
  <si>
    <t xml:space="preserve">Adenosine</t>
  </si>
  <si>
    <t xml:space="preserve">Cardiovascular: rapid heart rhythm conversion, cardiac stress imaging</t>
  </si>
  <si>
    <t xml:space="preserve">https://dailymed.nlm.nih.gov/dailymed/search.cfm?labeltype=all&amp;query=adenosine</t>
  </si>
  <si>
    <t xml:space="preserve">6 mg/2 mL vial</t>
  </si>
  <si>
    <t xml:space="preserve">Adenosine; Adenosine Wockhardt</t>
  </si>
  <si>
    <t xml:space="preserve">Amikacin Wockhardt</t>
  </si>
  <si>
    <t xml:space="preserve">10 mg/1 mL ampoule; 10 mg/mL (container not stated)</t>
  </si>
  <si>
    <t xml:space="preserve">Caffeine Citrate</t>
  </si>
  <si>
    <t xml:space="preserve">UK, UK-NI | EU/EEA (2): Ireland, Malta</t>
  </si>
  <si>
    <t xml:space="preserve">250 mg vial; 500 mg vial; 2 g powder vial</t>
  </si>
  <si>
    <t xml:space="preserve">US, UK, UK-NI | EU/EEA (2): Ireland, Malta</t>
  </si>
  <si>
    <t xml:space="preserve">Chlorphenamine</t>
  </si>
  <si>
    <t xml:space="preserve">Allergy: anaphylaxis support, acute allergic reactions</t>
  </si>
  <si>
    <t xml:space="preserve">https://mhraproducts4853.blob.core.windows.net/docs/468e5b0a68665f15d3d30982865bab14c0c28588</t>
  </si>
  <si>
    <t xml:space="preserve">10 mg/1 mL ampoule</t>
  </si>
  <si>
    <t xml:space="preserve">Daptomycin; Daptomycin Wockhardt; Daptomycin WKT</t>
  </si>
  <si>
    <t xml:space="preserve">UK, Australia, UK-NI</t>
  </si>
  <si>
    <t xml:space="preserve">Haloperidol</t>
  </si>
  <si>
    <t xml:space="preserve">Psychiatry: acute agitation, psychosis, delirium</t>
  </si>
  <si>
    <t xml:space="preserve">https://dailymed.nlm.nih.gov/dailymed/search.cfm?labeltype=all&amp;query=haloperidol+lactate</t>
  </si>
  <si>
    <t xml:space="preserve">5 mg/1 mL ampoule</t>
  </si>
  <si>
    <t xml:space="preserve">Hyaluronidase</t>
  </si>
  <si>
    <t xml:space="preserve">Anaesthesia: improves spread of injected drugs and fluids</t>
  </si>
  <si>
    <t xml:space="preserve">https://mhraproducts4853.blob.core.windows.net/docs/04229266643a571563250bd73f7732fba1560cbb</t>
  </si>
  <si>
    <t xml:space="preserve">1500 IU powder ampoule</t>
  </si>
  <si>
    <t xml:space="preserve">Hyalase</t>
  </si>
  <si>
    <t xml:space="preserve">UK-NI | EU/EEA (2): Ireland, Malta</t>
  </si>
  <si>
    <t xml:space="preserve">Hyoscine Hydrobromide</t>
  </si>
  <si>
    <t xml:space="preserve">Palliative care and anaesthesia: reduces secretions, nausea</t>
  </si>
  <si>
    <t xml:space="preserve">https://mhraproducts4853.blob.core.windows.net/docs/a59d41ba1edb90eeb695d447eeb35327147df3f6</t>
  </si>
  <si>
    <t xml:space="preserve">600 mcg/1 mL ampoule</t>
  </si>
  <si>
    <t xml:space="preserve">Metaraminol</t>
  </si>
  <si>
    <t xml:space="preserve">https://mhraproducts4853.blob.core.windows.net/docs/a53d61c3e391300f35f11ce363395170f019a5c5</t>
  </si>
  <si>
    <t xml:space="preserve">10 mg/1 mL ampoule; 5 mg/10 mL ampoule</t>
  </si>
  <si>
    <t xml:space="preserve">Metaraminol Wockhardt</t>
  </si>
  <si>
    <t xml:space="preserve">Milrinone; Milrinone Wockhardt</t>
  </si>
  <si>
    <t xml:space="preserve">UK, UK-NI | EU/EEA (1): Ireland</t>
  </si>
  <si>
    <t xml:space="preserve">Morphine</t>
  </si>
  <si>
    <t xml:space="preserve">Pain management: severe acute and palliative pain</t>
  </si>
  <si>
    <t xml:space="preserve">https://dailymed.nlm.nih.gov/dailymed/search.cfm?labeltype=all&amp;query=morphine+sulfate+injection</t>
  </si>
  <si>
    <t xml:space="preserve">30 mg/1 mL ampoule</t>
  </si>
  <si>
    <t xml:space="preserve">Morphine Sulfate</t>
  </si>
  <si>
    <t xml:space="preserve">Ondansetron Wockhardt</t>
  </si>
  <si>
    <t xml:space="preserve">Protamine</t>
  </si>
  <si>
    <t xml:space="preserve">Haematology: heparin reversal in cardiac surgery</t>
  </si>
  <si>
    <t xml:space="preserve">https://dailymed.nlm.nih.gov/dailymed/search.cfm?labeltype=all&amp;query=protamine</t>
  </si>
  <si>
    <t xml:space="preserve">Protamine Sulfate; Prosulf</t>
  </si>
  <si>
    <t xml:space="preserve">5 mg powder vial</t>
  </si>
  <si>
    <t xml:space="preserve">Remifentanil; Remifentanil Wockhardt</t>
  </si>
  <si>
    <t xml:space="preserve">Sodium Valproate</t>
  </si>
  <si>
    <t xml:space="preserve">https://dailymed.nlm.nih.gov/dailymed/search.cfm?labeltype=all&amp;query=valproate+sodium+injection</t>
  </si>
  <si>
    <t xml:space="preserve">400 mg/4 mL ampoule; 400 mg/4 mL vial; 1000 mg/10 mL ampoule</t>
  </si>
  <si>
    <t xml:space="preserve">Sodium Valproate; Sodium Valproate Wockhardt</t>
  </si>
  <si>
    <t xml:space="preserve">500 mg/5 mL vial; 200 mg/2 mL ampoule</t>
  </si>
  <si>
    <t xml:space="preserve">Vancomycin</t>
  </si>
  <si>
    <t xml:space="preserve">https://dailymed.nlm.nih.gov/dailymed/search.cfm?labeltype=all&amp;query=vancomycin+injection</t>
  </si>
  <si>
    <t xml:space="preserve">Vancomycin Wockhardt</t>
  </si>
  <si>
    <t xml:space="preserve">Zydus Lifesciences</t>
  </si>
  <si>
    <t xml:space="preserve">Acetazolamide Sodium</t>
  </si>
  <si>
    <t xml:space="preserve">US, UK, UK-NI, FR</t>
  </si>
  <si>
    <t xml:space="preserve">Bortezomib; Bortezomib Combix; Zymib</t>
  </si>
  <si>
    <t xml:space="preserve">US, UK, South Africa, UK-NI | EU/EEA (2): France, Spain</t>
  </si>
  <si>
    <t xml:space="preserve">Ceftriaxone Zydus</t>
  </si>
  <si>
    <t xml:space="preserve">1 mg/1 mL vial</t>
  </si>
  <si>
    <t xml:space="preserve">Ethacrynate Sodium</t>
  </si>
  <si>
    <t xml:space="preserve">Cardiovascular and renal: loop diuretic for patients allergic to sulfa drugs</t>
  </si>
  <si>
    <t xml:space="preserve">https://dailymed.nlm.nih.gov/dailymed/search.cfm?labeltype=all&amp;query=ethacrynate+sodium</t>
  </si>
  <si>
    <t xml:space="preserve">50 mg (container not stated)</t>
  </si>
  <si>
    <t xml:space="preserve">2 mg/mL (container not stated)</t>
  </si>
  <si>
    <t xml:space="preserve">Fluorescein Sodium</t>
  </si>
  <si>
    <t xml:space="preserve">Ophthalmology: diagnostic imaging of the retina</t>
  </si>
  <si>
    <t xml:space="preserve">https://dailymed.nlm.nih.gov/dailymed/search.cfm?labeltype=all&amp;query=fluorescein</t>
  </si>
  <si>
    <t xml:space="preserve">500 mg/5 mL vial; 500 mg/2 mL in 5 mL vial</t>
  </si>
  <si>
    <t xml:space="preserve">Haloperidol Decanoate</t>
  </si>
  <si>
    <t xml:space="preserve">https://dailymed.nlm.nih.gov/dailymed/search.cfm?labeltype=all&amp;query=haloperidol+decanoate</t>
  </si>
  <si>
    <t xml:space="preserve">50 mg/1 mL vial; 100 mg/1 mL vial</t>
  </si>
  <si>
    <t xml:space="preserve">100 mg/2 mL vial</t>
  </si>
  <si>
    <t xml:space="preserve">Hydrocortisone Sodium Succinate</t>
  </si>
  <si>
    <t xml:space="preserve">Indocyanine Green</t>
  </si>
  <si>
    <t xml:space="preserve">Diagnostics: lymph node mapping in cancer surgery, cardiac output, liver function, eye imaging</t>
  </si>
  <si>
    <t xml:space="preserve">https://dailymed.nlm.nih.gov/dailymed/search.cfm?labeltype=all&amp;query=indocyanine+green</t>
  </si>
  <si>
    <t xml:space="preserve">25 mg (container not stated)</t>
  </si>
  <si>
    <t xml:space="preserve">Iron Sucrose</t>
  </si>
  <si>
    <t xml:space="preserve">Haematology and nephrology: IV iron for iron-deficiency anaemia in kidney disease</t>
  </si>
  <si>
    <t xml:space="preserve">Zypiron</t>
  </si>
  <si>
    <t xml:space="preserve">8 mg vial</t>
  </si>
  <si>
    <t xml:space="preserve">Zydus-Ondansetron</t>
  </si>
  <si>
    <t xml:space="preserve">Sugammadex Sodium</t>
  </si>
  <si>
    <t xml:space="preserve">2.5 mg/mL vial</t>
  </si>
  <si>
    <t xml:space="preserve">2x2 tiers (each option): Priority 1 = price at or above the price cut-off AND volume at or above the volume cut-off (top-right quadrant); Priority 2 = one of the two at or above its cut-off; Priority 3 = both below. Unpriced pairs: Priority 2 if volume is at or above the cut-off, else Priority 3. Within a company, drugs are ordered by tier, then by bubble size (opportunity). Company rank = number of Priority 1 drugs, then opportunity of Priority 1 + 2 drugs. Exclusions: (1) no ID / IM / SC route on any label in the 7 geographies (col AE, from Route of Administration); (2) every priced presentation ≤ $5. Grey columns are helpers.</t>
  </si>
  <si>
    <t xml:space="preserve">FY24</t>
  </si>
  <si>
    <t xml:space="preserve">FY24 (HS3002+HS3004)</t>
  </si>
  <si>
    <t xml:space="preserve">Added columns (green). Inputs: Updated price (col N) and Price confidence (col P) feed the Scoring tab; cols S–T link to Injectable Value; cols Z–AC link to Scoring (Option 1 and Option 2 priority, injectable shipments); cols AD–AE link to Route of Administration (ID / IM / SC = in scope; IV-only drugs are excluded).</t>
  </si>
  <si>
    <t xml:space="preserve">S.No.</t>
  </si>
  <si>
    <t xml:space="preserve">Active Ingredient</t>
  </si>
  <si>
    <t xml:space="preserve">Product Name</t>
  </si>
  <si>
    <t xml:space="preserve">Updated Parent Company Name</t>
  </si>
  <si>
    <t xml:space="preserve">Strength</t>
  </si>
  <si>
    <t xml:space="preserve">Packaging</t>
  </si>
  <si>
    <t xml:space="preserve">Pre-filled Type</t>
  </si>
  <si>
    <t xml:space="preserve">Price (USD / presentation)</t>
  </si>
  <si>
    <t xml:space="preserve">Country Count</t>
  </si>
  <si>
    <t xml:space="preserve">Shipment</t>
  </si>
  <si>
    <t xml:space="preserve">Export ('000 USD)</t>
  </si>
  <si>
    <t xml:space="preserve">Drug Utility</t>
  </si>
  <si>
    <t xml:space="preserve">Updated price (USD / presentation)</t>
  </si>
  <si>
    <t xml:space="preserve">Price status</t>
  </si>
  <si>
    <t xml:space="preserve">Price source</t>
  </si>
  <si>
    <t xml:space="preserve">Pricing URL</t>
  </si>
  <si>
    <t xml:space="preserve">Injectable share (avg)</t>
  </si>
  <si>
    <t xml:space="preserve">Injectable value ($'000)</t>
  </si>
  <si>
    <t xml:space="preserve">Markets tapped (company-level)</t>
  </si>
  <si>
    <t xml:space="preserve">Tier 1 markets</t>
  </si>
  <si>
    <t xml:space="preserve">Priority – Option 1 (injectable shipments)</t>
  </si>
  <si>
    <t xml:space="preserve">Priority – Option 2 (all shipments)</t>
  </si>
  <si>
    <t xml:space="preserve">EQ 0.25MG BASE/ML</t>
  </si>
  <si>
    <t xml:space="preserve">1 mL Single-Dose Vial x 10-Vial Carton</t>
  </si>
  <si>
    <t xml:space="preserve">No</t>
  </si>
  <si>
    <t xml:space="preserve">As in (6)</t>
  </si>
  <si>
    <t xml:space="preserve">Same-market proxy</t>
  </si>
  <si>
    <t xml:space="preserve">User workbook (country tabs)</t>
  </si>
  <si>
    <t xml:space="preserve">https://www.drugs.com/price-guide/carboprost</t>
  </si>
  <si>
    <t xml:space="preserve">10MG/2ML (5MG/ML)</t>
  </si>
  <si>
    <t xml:space="preserve">10 × 2 mL pre-filled syringes</t>
  </si>
  <si>
    <t xml:space="preserve">Syringe</t>
  </si>
  <si>
    <t xml:space="preserve">New – added</t>
  </si>
  <si>
    <t xml:space="preserve">CMS ASP payment limit Oct-2026 (US Medicare Part B, 106% of ASP)</t>
  </si>
  <si>
    <t xml:space="preserve">https://www.cms.gov/files/zip/october-2026-medicare-part-b-payment-limit-files-final.zip</t>
  </si>
  <si>
    <t xml:space="preserve">EQ 1GM BASE/40ML (EQ 25MG BASE/ML)</t>
  </si>
  <si>
    <t xml:space="preserve">1 single dose vial</t>
  </si>
  <si>
    <t xml:space="preserve">https://www.drugs.com/price-guide/methotrexate</t>
  </si>
  <si>
    <t xml:space="preserve">No – &gt;10 mL</t>
  </si>
  <si>
    <t xml:space="preserve">EQ 50MG BASE/2ML (EQ 25MG BASE/ML)</t>
  </si>
  <si>
    <t xml:space="preserve">5 multiple-dose vials</t>
  </si>
  <si>
    <t xml:space="preserve">1MG/0.5ML</t>
  </si>
  <si>
    <t xml:space="preserve">1 Prefilled Syringe (0.5 mL)</t>
  </si>
  <si>
    <t xml:space="preserve">40MG/ML</t>
  </si>
  <si>
    <t xml:space="preserve">-</t>
  </si>
  <si>
    <t xml:space="preserve">250MG/5ML (50MG/ML)</t>
  </si>
  <si>
    <t xml:space="preserve">2 × 5 mL single-dose syringes + safety needles; NDC 62332-650-10</t>
  </si>
  <si>
    <t xml:space="preserve">Prefilled glass syringe</t>
  </si>
  <si>
    <t xml:space="preserve">https://www.drugs.com/price-guide/fulvestrant</t>
  </si>
  <si>
    <t xml:space="preserve">Carboprost Alembic</t>
  </si>
  <si>
    <t xml:space="preserve">0.25 mg/mL (250 mcg/1 mL)</t>
  </si>
  <si>
    <t xml:space="preserve">1 x 1 mL glass vial</t>
  </si>
  <si>
    <t xml:space="preserve">Cross-market proxy</t>
  </si>
  <si>
    <t xml:space="preserve">https://www.medicinpriser.dk/Default.aspx?VirksomtStof=Carboprost&amp;lng=2</t>
  </si>
  <si>
    <t xml:space="preserve">25MG/ML</t>
  </si>
  <si>
    <t xml:space="preserve">1mL or 2 mL Single-Dose Ampule x 25-Ampule Carton</t>
  </si>
  <si>
    <t xml:space="preserve">https://www.drugs.com/price-guide/chlorpromazine</t>
  </si>
  <si>
    <t xml:space="preserve">0.5MG/VIAL</t>
  </si>
  <si>
    <t xml:space="preserve">1 × 0.5 mg single-dose vial (lyophilized powder)</t>
  </si>
  <si>
    <t xml:space="preserve">https://www.drugs.com/price-guide/dactinomycin</t>
  </si>
  <si>
    <t xml:space="preserve">2MG/ML</t>
  </si>
  <si>
    <t xml:space="preserve">1 × 10 mL single-dose vial; 1 × 100 mL single-dose vial</t>
  </si>
  <si>
    <t xml:space="preserve">https://www.drugs.com/price-guide/eptifibatide</t>
  </si>
  <si>
    <t xml:space="preserve">1GM/100ML</t>
  </si>
  <si>
    <t xml:space="preserve">No price found</t>
  </si>
  <si>
    <t xml:space="preserve">2GM/100ML</t>
  </si>
  <si>
    <t xml:space="preserve">10 × 100 mL bags</t>
  </si>
  <si>
    <t xml:space="preserve">https://www.drugs.com/price-guide/esmolol</t>
  </si>
  <si>
    <t xml:space="preserve">1GM/20ML (50MG/ML)</t>
  </si>
  <si>
    <t xml:space="preserve">10 × 20 mL single-dose vials</t>
  </si>
  <si>
    <t xml:space="preserve">https://www.drugs.com/price-guide/fluorouracil</t>
  </si>
  <si>
    <t xml:space="preserve">1 × 5 mL multi-dose vial</t>
  </si>
  <si>
    <t xml:space="preserve">https://www.drugs.com/price-guide/fluphenazine</t>
  </si>
  <si>
    <t xml:space="preserve">150MG/ML</t>
  </si>
  <si>
    <t xml:space="preserve">1 Single-dose Vial (1 mL) / 25 Single-dose Vials (1 mL)</t>
  </si>
  <si>
    <t xml:space="preserve">https://www.drugs.com/price-guide/medroxyprogesterone</t>
  </si>
  <si>
    <t xml:space="preserve">1 Prefilled Syringe (1 mL)</t>
  </si>
  <si>
    <t xml:space="preserve">https://www.mountainside-medical.com/products/medroxyprogesterone-acetate-injection-prefilled-syringe-150-mg-ml</t>
  </si>
  <si>
    <t xml:space="preserve">2ml single-dose vial</t>
  </si>
  <si>
    <t xml:space="preserve">EQ 200MG BASE/8ML (EQ 25MG BASE/ML)</t>
  </si>
  <si>
    <t xml:space="preserve">Single-Dose Vials in a carton of 10</t>
  </si>
  <si>
    <t xml:space="preserve">EQ 250MG BASE/10ML (EQ 25MG BASE/ML)</t>
  </si>
  <si>
    <t xml:space="preserve">Single-Dose Vial </t>
  </si>
  <si>
    <t xml:space="preserve">Single-Dose Vials in a Carton of 25, powder form </t>
  </si>
  <si>
    <t xml:space="preserve">80MG/ML</t>
  </si>
  <si>
    <t xml:space="preserve">Powder Vial </t>
  </si>
  <si>
    <t xml:space="preserve">EQ 1GM BASE/VIAL</t>
  </si>
  <si>
    <t xml:space="preserve">Powder Vial (1 g) </t>
  </si>
  <si>
    <t xml:space="preserve">https://www.drugs.com/price-guide/nafcillin</t>
  </si>
  <si>
    <t xml:space="preserve">EQ 2GM BASE/VIAL</t>
  </si>
  <si>
    <t xml:space="preserve">Powder Vial (2 g) </t>
  </si>
  <si>
    <t xml:space="preserve">1MG/ML</t>
  </si>
  <si>
    <t xml:space="preserve">1 Prefilled Syringe (2 mL)</t>
  </si>
  <si>
    <t xml:space="preserve">0.4MG/ML</t>
  </si>
  <si>
    <t xml:space="preserve">10 or 25 Single-dose Vials (1 mL) / 10 or 25 Multi-dose Vials (10 mL)</t>
  </si>
  <si>
    <t xml:space="preserve">https://www.drugs.com/price-guide/naloxone</t>
  </si>
  <si>
    <t xml:space="preserve">10 Vials, powder (1 g)</t>
  </si>
  <si>
    <t xml:space="preserve">https://www.drugs.com/price-guide/oxacillin</t>
  </si>
  <si>
    <t xml:space="preserve">50MG/ML</t>
  </si>
  <si>
    <t xml:space="preserve">10 mL (500 mg/10 mL) Multiple-Dose Vial, packaged individually </t>
  </si>
  <si>
    <t xml:space="preserve">https://www.drugs.com/price-guide/progesterone</t>
  </si>
  <si>
    <t xml:space="preserve">100MG/ML</t>
  </si>
  <si>
    <t xml:space="preserve">1,000 mg per 10 mL (100 mg/mL) 10 mL multiple-dose vial, packaged individually (NDC 55150-276-01)</t>
  </si>
  <si>
    <t xml:space="preserve">https://www.drugs.com/price-guide/testosterone</t>
  </si>
  <si>
    <t xml:space="preserve">200MG/ML</t>
  </si>
  <si>
    <t xml:space="preserve">200 mg/mL: 1 mL single-dose vial, packaged individually (NDC 55150-277-01); 2,000 mg per 10 mL 10 mL multiple-dose vial, packaged individually (NDC 55150-278-01)</t>
  </si>
  <si>
    <t xml:space="preserve">1,000 mg per 5 mL (200 mg/mL) 5 mL multiple-dose vial, packaged individually</t>
  </si>
  <si>
    <t xml:space="preserve">10MG/VIAL</t>
  </si>
  <si>
    <t xml:space="preserve">10 mg per vial, 10 vials in a carton</t>
  </si>
  <si>
    <t xml:space="preserve">South Africa SEP price registry (user DB), ZAR→USD 0.0608</t>
  </si>
  <si>
    <t xml:space="preserve">https://medicineprices.org.za/#search:norcuron</t>
  </si>
  <si>
    <t xml:space="preserve">20MG/VIAL</t>
  </si>
  <si>
    <t xml:space="preserve">20 mg per vial, 10 vials in a carton</t>
  </si>
  <si>
    <t xml:space="preserve">2.5MG/ML</t>
  </si>
  <si>
    <t xml:space="preserve">Single-dose vials: 2 mL (5 mg per 2 mL) and 4 mL (10 mg per 4 mL); available as 1-unit, 5-pack and 25-pack cartons</t>
  </si>
  <si>
    <t xml:space="preserve">https://www.drugs.com/price-guide/verapamil</t>
  </si>
  <si>
    <t xml:space="preserve">Ertapenem Sodium</t>
  </si>
  <si>
    <t xml:space="preserve">1 gram/vial Single-Dose Vials in a carton of 10 (NDC 55150-282-20)</t>
  </si>
  <si>
    <t xml:space="preserve">https://www.drugs.com/price-guide/ertapenem</t>
  </si>
  <si>
    <t xml:space="preserve">EQ 3MG BASE/3ML</t>
  </si>
  <si>
    <t xml:space="preserve">3 mg per 3 mL (1 mg/mL) single-dose prefilled syringe, packaged in a carton with 1 needle (NDC 55150-191-83)</t>
  </si>
  <si>
    <t xml:space="preserve">https://www.drugs.com/price-guide/ibandronate</t>
  </si>
  <si>
    <t xml:space="preserve">1 g per 10 mL (100 mg/mL) multiple-dose vial, 1 x 10 mL vial per carton</t>
  </si>
  <si>
    <t xml:space="preserve">https://www.drugs.com/price-guide/mesna</t>
  </si>
  <si>
    <t xml:space="preserve">EQ 0.25MG BASE/5ML (EQ 0.05MG BASE/ML)</t>
  </si>
  <si>
    <t xml:space="preserve">0.25 mg (free base)/5 mL (0.05 mg/mL) 5 mL Single-Dose Vials, packaged in cartons of 1 (NDC 55150-186-05)</t>
  </si>
  <si>
    <t xml:space="preserve">https://www.drugs.com/price-guide/palonosetron</t>
  </si>
  <si>
    <t xml:space="preserve">3.5MG/VIAL</t>
  </si>
  <si>
    <t xml:space="preserve">3.5 mg/vial single-dose vial, lyophilized powder, 1 vial per carton </t>
  </si>
  <si>
    <t xml:space="preserve">https://www.drugs.com/price-guide/bortezomib</t>
  </si>
  <si>
    <t xml:space="preserve">40MG/20ML (2MG/ML)</t>
  </si>
  <si>
    <t xml:space="preserve">25 × 20 mL single-dose vials; NDC 55150-195-20</t>
  </si>
  <si>
    <t xml:space="preserve">https://www.drugs.com/price-guide/ropivacaine</t>
  </si>
  <si>
    <t xml:space="preserve">100MG/20ML (5MG/ML)</t>
  </si>
  <si>
    <t xml:space="preserve">25 × 20 mL single-dose vials; NDC 55150-197-20</t>
  </si>
  <si>
    <t xml:space="preserve">100MG/10ML (10MG/ML)</t>
  </si>
  <si>
    <t xml:space="preserve">25 × 10 mL single-dose vials; NDC 55150-200-10</t>
  </si>
  <si>
    <t xml:space="preserve">150MG/30ML (5MG/ML)</t>
  </si>
  <si>
    <t xml:space="preserve">25 × 30 mL single-dose vials; NDC 55150-198-30</t>
  </si>
  <si>
    <t xml:space="preserve">150MG/20ML (7.5MG/ML)</t>
  </si>
  <si>
    <t xml:space="preserve">25 × 20 mL single-dose vials; NDC 55150-199-20</t>
  </si>
  <si>
    <t xml:space="preserve">200MG/20ML (10MG/ML)</t>
  </si>
  <si>
    <t xml:space="preserve">25 × 20 mL single-dose vials; NDC 55150-201-20</t>
  </si>
  <si>
    <t xml:space="preserve">50MG/50ML (1MG/ML)</t>
  </si>
  <si>
    <t xml:space="preserve">1 × 50 mL single-dose vial; NDC 55150-241-01</t>
  </si>
  <si>
    <t xml:space="preserve">https://www.drugs.com/price-guide/argatroban</t>
  </si>
  <si>
    <t xml:space="preserve">1GM/5ML (200MG/ML)</t>
  </si>
  <si>
    <t xml:space="preserve">1 × 5 mL multidose vial; NDC 55150-271-99</t>
  </si>
  <si>
    <t xml:space="preserve">https://www.drugs.com/price-guide/cyclophosphamide</t>
  </si>
  <si>
    <t xml:space="preserve">2GM/10ML (200MG/ML)</t>
  </si>
  <si>
    <t xml:space="preserve">1 × 10 mL multidose vial; NDC 55150-272-01</t>
  </si>
  <si>
    <t xml:space="preserve">500MG/2.5ML (200MG/ML)</t>
  </si>
  <si>
    <t xml:space="preserve">1 × 2.5 mL multidose vial; NDC 55150-270-99</t>
  </si>
  <si>
    <t xml:space="preserve">50MG/ML (50MG/ML)</t>
  </si>
  <si>
    <t xml:space="preserve">25 × 1 mL single-dose vials; NDC 55150-373-25</t>
  </si>
  <si>
    <t xml:space="preserve">https://www.drugs.com/price-guide/ephedrine</t>
  </si>
  <si>
    <t xml:space="preserve">0.4MG/5ML (0.08MG/ML)</t>
  </si>
  <si>
    <t xml:space="preserve">5 mL single-dose prefilled syringe; 1 per carton; NDC 55150-443-01</t>
  </si>
  <si>
    <t xml:space="preserve">Yes — prefilled syringe</t>
  </si>
  <si>
    <t xml:space="preserve">EQ 10MG BASE/12.5ML (EQ 0.8MG BASE/ML)</t>
  </si>
  <si>
    <t xml:space="preserve">12.5 mL single-dose glass vial (in a 20 mL container); NDC 55150-166-13</t>
  </si>
  <si>
    <t xml:space="preserve">https://www.drugs.com/price-guide/sildenafil</t>
  </si>
  <si>
    <t xml:space="preserve">EQ 5MG BASE/100ML (EQ 0.05MG BASE/ML)</t>
  </si>
  <si>
    <t xml:space="preserve">1 × 100 mL bag</t>
  </si>
  <si>
    <t xml:space="preserve">https://www.drugs.com/price-guide/tirofiban</t>
  </si>
  <si>
    <t xml:space="preserve">EQ 12.5MG BASE/250ML (EQ 0.05MG BASE/ML)</t>
  </si>
  <si>
    <t xml:space="preserve">1 × 250 mL bag</t>
  </si>
  <si>
    <t xml:space="preserve">24MG/1.2ML (20MG/ML)</t>
  </si>
  <si>
    <t xml:space="preserve">1 × 1.2 mL single-dose vial</t>
  </si>
  <si>
    <t xml:space="preserve">https://www.drugs.com/price-guide/plerixafor</t>
  </si>
  <si>
    <t xml:space="preserve">Bortezomib Milpharm</t>
  </si>
  <si>
    <t xml:space="preserve">3.5 MG</t>
  </si>
  <si>
    <t xml:space="preserve">1 x 3.5 mg vial (powder)</t>
  </si>
  <si>
    <t xml:space="preserve">https://dmd-browser.nhsbsa.nhs.uk/ampp/view/187562</t>
  </si>
  <si>
    <t xml:space="preserve">250 MG</t>
  </si>
  <si>
    <t xml:space="preserve">2 x 5 mL pre-filled syringes (250 mg each; priced pack)</t>
  </si>
  <si>
    <t xml:space="preserve">https://www.nhsbsa.nhs.uk/sites/default/files/2026-08/Part%20VIIIA%20Sep%2026.xls.xlsx</t>
  </si>
  <si>
    <t xml:space="preserve">20 MG/ML</t>
  </si>
  <si>
    <t xml:space="preserve">1 x 1.2 mL vial</t>
  </si>
  <si>
    <t xml:space="preserve">https://dmd-browser.nhsbsa.nhs.uk/ampp/view/190293</t>
  </si>
  <si>
    <t xml:space="preserve">25 MG/ML</t>
  </si>
  <si>
    <t xml:space="preserve">1 x 100 mg vial (powder)</t>
  </si>
  <si>
    <t xml:space="preserve">https://dmd-browser.nhsbsa.nhs.uk/ampp/view/185061</t>
  </si>
  <si>
    <t xml:space="preserve">40 MG</t>
  </si>
  <si>
    <t xml:space="preserve">1 x vial (priced pack)</t>
  </si>
  <si>
    <t xml:space="preserve">https://dmd-browser.nhsbsa.nhs.uk/ampp/view/194984</t>
  </si>
  <si>
    <t xml:space="preserve">2 MG/ML</t>
  </si>
  <si>
    <t xml:space="preserve">5 ampoules (priced pack)</t>
  </si>
  <si>
    <t xml:space="preserve">https://dmd-browser.nhsbsa.nhs.uk/ampp/view/47382</t>
  </si>
  <si>
    <t xml:space="preserve">Azacitidin Puren</t>
  </si>
  <si>
    <t xml:space="preserve">100 mg</t>
  </si>
  <si>
    <t xml:space="preserve">Exact</t>
  </si>
  <si>
    <t xml:space="preserve">https://www.aifa.gov.it/documents/20142/3815901/Classe_H_per_principio_attivo_30-04-2026.csv</t>
  </si>
  <si>
    <t xml:space="preserve">Bortezomib Arrow</t>
  </si>
  <si>
    <t xml:space="preserve">3.5 mg</t>
  </si>
  <si>
    <t xml:space="preserve">5 mg/mL (25 mg/5 mL)</t>
  </si>
  <si>
    <t xml:space="preserve">5 x 5 mL glass ampoules</t>
  </si>
  <si>
    <t xml:space="preserve">https://www.aponeo.de/rx/12675950-bupivan-0-5-5-mg-ml-inj-l-25mg-5ml-glasamp.html</t>
  </si>
  <si>
    <t xml:space="preserve">1 g</t>
  </si>
  <si>
    <t xml:space="preserve">1 x 1 g vial (powder)</t>
  </si>
  <si>
    <t xml:space="preserve">https://base-donnees-publique.medicaments.gouv.fr/medicament/64318859/extrait</t>
  </si>
  <si>
    <t xml:space="preserve">Ceftriaxon Puren</t>
  </si>
  <si>
    <t xml:space="preserve">1 x 1 g powder vial + 1 x 3.5 mL solvent ampoule</t>
  </si>
  <si>
    <t xml:space="preserve">https://www.dovesalute.it/it/farmaci/med/36138/ceftriaxone-aurobindo</t>
  </si>
  <si>
    <t xml:space="preserve">Ceftriaxone Almus</t>
  </si>
  <si>
    <t xml:space="preserve">1 x 1 g powder (IM) + 1 x 3.5 mL solvent ampoule</t>
  </si>
  <si>
    <t xml:space="preserve">https://www.aifa.gov.it/documents/20142/3815901/Classe_A_per_principio_attivo_30-04-2026.csv</t>
  </si>
  <si>
    <t xml:space="preserve">350 mg</t>
  </si>
  <si>
    <t xml:space="preserve">1 x 350 mg vial (powder)</t>
  </si>
  <si>
    <t xml:space="preserve">10 mg/5 mL</t>
  </si>
  <si>
    <t xml:space="preserve">1 x 5 mL vial</t>
  </si>
  <si>
    <t xml:space="preserve">50 mg/25 mL</t>
  </si>
  <si>
    <t xml:space="preserve">1 x 25 mL vial (50 mg)</t>
  </si>
  <si>
    <t xml:space="preserve">10 mg/mL</t>
  </si>
  <si>
    <t xml:space="preserve">1 x 100 mL vial</t>
  </si>
  <si>
    <t xml:space="preserve">https://www.medicinpriser.dk/Default.aspx?id=15&amp;vnr=540548</t>
  </si>
  <si>
    <t xml:space="preserve">Fulvestrant Arrow</t>
  </si>
  <si>
    <t xml:space="preserve">250 mg/5 mL</t>
  </si>
  <si>
    <t xml:space="preserve">2 x 5 mL pre-filled syringes</t>
  </si>
  <si>
    <t xml:space="preserve">50 mg</t>
  </si>
  <si>
    <t xml:space="preserve">1 x 50 mg vial (powder) + 1 solvent vial</t>
  </si>
  <si>
    <t xml:space="preserve">Meropenem Arrow</t>
  </si>
  <si>
    <t xml:space="preserve">500 mg</t>
  </si>
  <si>
    <t xml:space="preserve">10 x 500 mg vials (powder)</t>
  </si>
  <si>
    <t xml:space="preserve">Meropenem Aurovit</t>
  </si>
  <si>
    <t xml:space="preserve">Meropenem Aurovitas</t>
  </si>
  <si>
    <t xml:space="preserve">20 mg</t>
  </si>
  <si>
    <t xml:space="preserve">1 x 20 mg vial (powder)</t>
  </si>
  <si>
    <t xml:space="preserve">Ondansetron Ab</t>
  </si>
  <si>
    <t xml:space="preserve">4 mg/2 mL</t>
  </si>
  <si>
    <t xml:space="preserve">10 x 2 mL ampoules</t>
  </si>
  <si>
    <t xml:space="preserve">Plerixafor Arrow</t>
  </si>
  <si>
    <t xml:space="preserve">24 mg/1.2 mL</t>
  </si>
  <si>
    <t xml:space="preserve">1 mg</t>
  </si>
  <si>
    <t xml:space="preserve">5 x 1 mg vials (powder)</t>
  </si>
  <si>
    <t xml:space="preserve">https://www.medicinpriser.dk/Default.aspx?VirksomtStof=Remifentanil</t>
  </si>
  <si>
    <t xml:space="preserve">Vinorelbin Aurobindo</t>
  </si>
  <si>
    <t xml:space="preserve">10 mg/1 mL</t>
  </si>
  <si>
    <t xml:space="preserve">1 x 1 mL vial</t>
  </si>
  <si>
    <t xml:space="preserve">Vinorelbin Eugia</t>
  </si>
  <si>
    <t xml:space="preserve">40 MG/VIAL</t>
  </si>
  <si>
    <t xml:space="preserve">40 mg vial; 10 vials/carton</t>
  </si>
  <si>
    <t xml:space="preserve">https://www.ab.bluecross.ca/dbl/pdfs/ABCDPL_2026_03_03.pdf</t>
  </si>
  <si>
    <t xml:space="preserve">2 G/VIAL</t>
  </si>
  <si>
    <t xml:space="preserve">20 mL vial; 10 vials/carton</t>
  </si>
  <si>
    <t xml:space="preserve">https://www.ab.bluecross.ca/dbl/pdfs/ABCDPL_2026_01_07.pdf</t>
  </si>
  <si>
    <t xml:space="preserve">500 MG/VIAL</t>
  </si>
  <si>
    <t xml:space="preserve">30 mL vial; 10 vials/carton</t>
  </si>
  <si>
    <t xml:space="preserve">https://www.ab.bluecross.ca/dbl/pdfs/ABCDPL_2024_12_05.pdf</t>
  </si>
  <si>
    <t xml:space="preserve">1 G/VIAL</t>
  </si>
  <si>
    <t xml:space="preserve">40 mL vial; 10 vials/carton</t>
  </si>
  <si>
    <t xml:space="preserve">100 MG/ML</t>
  </si>
  <si>
    <t xml:space="preserve">5 mL single-use ampoule; 10 ampoules/carton</t>
  </si>
  <si>
    <t xml:space="preserve">https://www.ab.bluecross.ca/dbl/pdfs/ABCDPL_2026_04_07.pdf</t>
  </si>
  <si>
    <t xml:space="preserve">Auro-Ondansetron</t>
  </si>
  <si>
    <t xml:space="preserve">2 mL single-use vial (4 mg/2 mL, preservative-free); 10 vials/carton</t>
  </si>
  <si>
    <t xml:space="preserve">https://www.formulary.health.gov.on.ca/formulary/detail.xhtml?drugId=02491524</t>
  </si>
  <si>
    <t xml:space="preserve">4 mL fill in 5 mL single-use vial (8 mg/4 mL, preservative-free); 5 vials/carton</t>
  </si>
  <si>
    <t xml:space="preserve">https://www.formulary.health.gov.on.ca/formulary/detail.xhtml?drugId=02491532</t>
  </si>
  <si>
    <t xml:space="preserve">Lyophilized powder, 1 g single-dose glass vial</t>
  </si>
  <si>
    <t xml:space="preserve">https://www.ab.bluecross.ca/dbl/pdfs/ABCDPL_2026_09_04.pdf</t>
  </si>
  <si>
    <t xml:space="preserve">1 mL single-use vial; 10 vials/carton</t>
  </si>
  <si>
    <t xml:space="preserve">https://www.formulary.health.gov.on.ca/formulary/detail.xhtml?drugId=02516160</t>
  </si>
  <si>
    <t xml:space="preserve">30 mL single-use vial; 10 vials/box</t>
  </si>
  <si>
    <t xml:space="preserve">40 mL single-use vial; 10 vials/box</t>
  </si>
  <si>
    <t xml:space="preserve">10 mL single-use glass vial; 10 vials/pack</t>
  </si>
  <si>
    <t xml:space="preserve">20 mL clear glass vial; 10 × 10 vials/pack</t>
  </si>
  <si>
    <t xml:space="preserve">5 mL (500 mg) / 10 mL (1000 mg) single-use glass ampoules; 10 ampoules/carton</t>
  </si>
  <si>
    <t xml:space="preserve">5 mL (500 mg) / 10 mL (1000 mg) single-use glass vials; 10 vials/carton</t>
  </si>
  <si>
    <t xml:space="preserve">4 MG/10 ML</t>
  </si>
  <si>
    <t xml:space="preserve">10 mL multidose vial; 1 vial/box</t>
  </si>
  <si>
    <t xml:space="preserve">1 g single-dose glass vial</t>
  </si>
  <si>
    <t xml:space="preserve">1 mL single-use glass vial; 10 vials/carton</t>
  </si>
  <si>
    <t xml:space="preserve">1.2 mL (24 mg) single-use glass vial</t>
  </si>
  <si>
    <t xml:space="preserve">Eugia-Ondansetron</t>
  </si>
  <si>
    <t xml:space="preserve">4 mL preservative-free single-use vial (8 mg/4 mL); 5 vials/carton</t>
  </si>
  <si>
    <t xml:space="preserve">500 mg/vial</t>
  </si>
  <si>
    <t xml:space="preserve">1 × 500 mg vial (powder)</t>
  </si>
  <si>
    <t xml:space="preserve">UK NHS dm+d price from user workbook UK tab (GBP→USD 1.322)</t>
  </si>
  <si>
    <t xml:space="preserve">https://dmd-browser.nhsbsa.nhs.uk/ampp/view/171701</t>
  </si>
  <si>
    <t xml:space="preserve">1000 mg/vial</t>
  </si>
  <si>
    <t xml:space="preserve">1 × 1000 mg vial (powder)</t>
  </si>
  <si>
    <t xml:space="preserve">Italy AIFA Class H public price from user workbook EU tab (EUR→USD 1.13)</t>
  </si>
  <si>
    <t xml:space="preserve">2000 mg/vial</t>
  </si>
  <si>
    <t xml:space="preserve">1 × 2000 mg vial (powder)</t>
  </si>
  <si>
    <t xml:space="preserve">EUG-Fulvestrant</t>
  </si>
  <si>
    <t xml:space="preserve">250 mg/5 mL (50 mg/mL)</t>
  </si>
  <si>
    <t xml:space="preserve">1 × 5 mL pre-filled syringe</t>
  </si>
  <si>
    <t xml:space="preserve">https://www.pbs.gov.au/industry/pricing/ex-manufacturer-price/2026/09/ex-manufacturer-prices-non-efc-2026-09-01.XLSX</t>
  </si>
  <si>
    <t xml:space="preserve">Azacitidine Eugia</t>
  </si>
  <si>
    <t xml:space="preserve">100 mg/vial</t>
  </si>
  <si>
    <t xml:space="preserve">1 × 100 mg vial (powder)</t>
  </si>
  <si>
    <t xml:space="preserve">EUG-Bortezomib</t>
  </si>
  <si>
    <t xml:space="preserve">3.5 mg/vial</t>
  </si>
  <si>
    <t xml:space="preserve">1 × 3.5 mg vial (powder)</t>
  </si>
  <si>
    <t xml:space="preserve">https://www.pbs.gov.au/industry/pricing/ex-manufacturer-price/2026/09/ex-manufacturer-prices-efc-2026-09-01.XLSX</t>
  </si>
  <si>
    <t xml:space="preserve">Plerixafor Eugia</t>
  </si>
  <si>
    <t xml:space="preserve">24 mg/1.2 mL (20 mg/mL)</t>
  </si>
  <si>
    <t xml:space="preserve">1 × 1.2 mL vial</t>
  </si>
  <si>
    <t xml:space="preserve">https://www.pbs.gov.au/industry/pricing/price-disclosure-spd/current-price-disclosure-cycle</t>
  </si>
  <si>
    <t xml:space="preserve">Etamep</t>
  </si>
  <si>
    <t xml:space="preserve">1g</t>
  </si>
  <si>
    <t xml:space="preserve">1 x 20 mL vial (powder)</t>
  </si>
  <si>
    <t xml:space="preserve">https://www.health.gov.za/nhi-pee/</t>
  </si>
  <si>
    <t xml:space="preserve">10 x 20 mL vials (powder)</t>
  </si>
  <si>
    <t xml:space="preserve">1000mg</t>
  </si>
  <si>
    <t xml:space="preserve">2000mg</t>
  </si>
  <si>
    <t xml:space="preserve">1 x 50 mL vial (powder)</t>
  </si>
  <si>
    <t xml:space="preserve">10 x 50 mL vials (powder)</t>
  </si>
  <si>
    <t xml:space="preserve">Iverzam</t>
  </si>
  <si>
    <t xml:space="preserve">EQ 100MG BASE/VIAL</t>
  </si>
  <si>
    <t xml:space="preserve">Vial (100 mg / 2 mL) - pack count not verified</t>
  </si>
  <si>
    <t xml:space="preserve">10 Prefilled Syringes (0.5 mL)</t>
  </si>
  <si>
    <t xml:space="preserve">10MG/ML</t>
  </si>
  <si>
    <t xml:space="preserve">0.5ml single dose vial</t>
  </si>
  <si>
    <t xml:space="preserve">No </t>
  </si>
  <si>
    <t xml:space="preserve">1,000 mg/10 mL (100 mg/mL) multiple-dose vial, one 10 mL vial per carton (NDC 69097-536-37)</t>
  </si>
  <si>
    <t xml:space="preserve">200 mg/mL: 1 mL single-dose vial, one vial per carton (NDC 69097-537-31); 2,000 mg/10 mL multiple-dose vial, one 10 mL vial per carton (NDC 69097-537-37)</t>
  </si>
  <si>
    <t xml:space="preserve">EQ 60MG BASE/0.2ML (EQ 60MG BASE/0.2ML)</t>
  </si>
  <si>
    <t xml:space="preserve">1 × 0.2 mL pre-filled syringe</t>
  </si>
  <si>
    <t xml:space="preserve">https://www.drugs.com/price-guide/somatuline-depot</t>
  </si>
  <si>
    <t xml:space="preserve">EQ 90MG BASE/0.3ML (EQ 90MG BASE/0.3ML)</t>
  </si>
  <si>
    <t xml:space="preserve">1 × 0.3 mL pre-filled syringe</t>
  </si>
  <si>
    <t xml:space="preserve">EQ 120MG BASE/0.5ML (EQ 120MG BASE/0.5ML)</t>
  </si>
  <si>
    <t xml:space="preserve">1 × 0.5 mL pre-filled syringe</t>
  </si>
  <si>
    <t xml:space="preserve">https://www.drugs.com/price-guide/lanreotide</t>
  </si>
  <si>
    <t xml:space="preserve">350 MG</t>
  </si>
  <si>
    <t xml:space="preserve">10mL x 1 vial / pack of 5</t>
  </si>
  <si>
    <t xml:space="preserve">https://dmd-browser.nhsbsa.nhs.uk/ampp/view/193506</t>
  </si>
  <si>
    <t xml:space="preserve">Daptomicina Cipla</t>
  </si>
  <si>
    <t xml:space="preserve">1 x 5 mL pre-filled syringe (250 mg) + safety needle</t>
  </si>
  <si>
    <t xml:space="preserve">Sugammadex Cipla</t>
  </si>
  <si>
    <t xml:space="preserve">100 mg/mL</t>
  </si>
  <si>
    <t xml:space="preserve">10 x 2 mL vials (200 mg each)</t>
  </si>
  <si>
    <t xml:space="preserve">https://www.aponeo.de/rx/18660518-sugammadex-amarox-100-mg-ml-injektionsloesung.html</t>
  </si>
  <si>
    <t xml:space="preserve">Cipla Sugammadex</t>
  </si>
  <si>
    <t xml:space="preserve">200 mg/2 mL (100 mg/mL)</t>
  </si>
  <si>
    <t xml:space="preserve">1 × 2 mL vial</t>
  </si>
  <si>
    <t xml:space="preserve">500 mg/5 mL (100 mg/mL)</t>
  </si>
  <si>
    <t xml:space="preserve">1 × 5 mL vial</t>
  </si>
  <si>
    <t xml:space="preserve">Cipla Daptomycin</t>
  </si>
  <si>
    <t xml:space="preserve">350 mg/vial</t>
  </si>
  <si>
    <t xml:space="preserve">1 × 350 mg vial (powder)</t>
  </si>
  <si>
    <t xml:space="preserve">150 mg/vial</t>
  </si>
  <si>
    <t xml:space="preserve">1 × 150 mg vial (powder)</t>
  </si>
  <si>
    <t xml:space="preserve">PBS ex-manufacturer price (AEMP) Oct-2026, AUD→USD 0.70</t>
  </si>
  <si>
    <t xml:space="preserve">https://www.pbs.gov.au/industry/pricing/ex-manufacturer-price/2026/10/ex-manufacturer-prices-efc-2026-10-01.XLSX</t>
  </si>
  <si>
    <t xml:space="preserve">Cipla Hydrocortisone</t>
  </si>
  <si>
    <t xml:space="preserve">Cipla Isoprenaline</t>
  </si>
  <si>
    <t xml:space="preserve">0.2 mg/1 mL</t>
  </si>
  <si>
    <t xml:space="preserve">1 × 1 mL ampoule</t>
  </si>
  <si>
    <t xml:space="preserve">VA Federal Supply Schedule price list 1-Oct-2026 (US)</t>
  </si>
  <si>
    <t xml:space="preserve">https://department.va.gov/procurement-acquisition-and-logistics/wp-content/uploads/sites/56/2026/10/TPharmPrices2026-10-01.xlsx</t>
  </si>
  <si>
    <t xml:space="preserve">Isocipraline</t>
  </si>
  <si>
    <t xml:space="preserve">1 mg/5 mL (0.2 mg/mL)</t>
  </si>
  <si>
    <t xml:space="preserve">1 × 5 mL ampoule</t>
  </si>
  <si>
    <t xml:space="preserve">150 mg/1 mL</t>
  </si>
  <si>
    <t xml:space="preserve">1 × 1 mL vial</t>
  </si>
  <si>
    <t xml:space="preserve">https://www.pbs.gov.au/medicine/item/14160G</t>
  </si>
  <si>
    <t xml:space="preserve">250 microgram/5 mL (50 microgram/mL)</t>
  </si>
  <si>
    <t xml:space="preserve">Cipla Bleomycin 15K</t>
  </si>
  <si>
    <t xml:space="preserve">15000 IU/vial</t>
  </si>
  <si>
    <t xml:space="preserve">1 × 15000 IU vial (powder)</t>
  </si>
  <si>
    <t xml:space="preserve">750000iu</t>
  </si>
  <si>
    <t xml:space="preserve">1 vial (powder)</t>
  </si>
  <si>
    <t xml:space="preserve">South Africa SEP price database (user file)</t>
  </si>
  <si>
    <t xml:space="preserve">https://medicineprices.org.za/#search:streptase</t>
  </si>
  <si>
    <t xml:space="preserve">1500000iu</t>
  </si>
  <si>
    <t xml:space="preserve">https://medicineprices.org.za/#search:cefect</t>
  </si>
  <si>
    <t xml:space="preserve">2g</t>
  </si>
  <si>
    <t xml:space="preserve">1000mg/4ml</t>
  </si>
  <si>
    <t xml:space="preserve">1 x 4 mL vial</t>
  </si>
  <si>
    <t xml:space="preserve">Senuom</t>
  </si>
  <si>
    <t xml:space="preserve">100 mg/ml</t>
  </si>
  <si>
    <t xml:space="preserve">10 x 2 mL vials</t>
  </si>
  <si>
    <t xml:space="preserve">https://medicineprices.org.za/#search:senuom</t>
  </si>
  <si>
    <t xml:space="preserve">3.5mg</t>
  </si>
  <si>
    <t xml:space="preserve">1 x 1.4 mL vial</t>
  </si>
  <si>
    <t xml:space="preserve">10mg/ml</t>
  </si>
  <si>
    <t xml:space="preserve">50mg/ml</t>
  </si>
  <si>
    <t xml:space="preserve">10mg/10ml</t>
  </si>
  <si>
    <t xml:space="preserve">1 x 10 mL ampoule/vial</t>
  </si>
  <si>
    <t xml:space="preserve">10mg</t>
  </si>
  <si>
    <t xml:space="preserve">1 x 5 mL vial (powder)</t>
  </si>
  <si>
    <t xml:space="preserve">50mg</t>
  </si>
  <si>
    <t xml:space="preserve">1 x 25 mL vial (powder)</t>
  </si>
  <si>
    <t xml:space="preserve">400mg</t>
  </si>
  <si>
    <t xml:space="preserve">1 x 3 mL vial (powder)</t>
  </si>
  <si>
    <t xml:space="preserve">1000ccid50/0.5ml</t>
  </si>
  <si>
    <t xml:space="preserve">1 vial</t>
  </si>
  <si>
    <t xml:space="preserve">1 x 10-dose vial (0.5 mL per dose)</t>
  </si>
  <si>
    <t xml:space="preserve">Updated – per dose</t>
  </si>
  <si>
    <t xml:space="preserve">Cipla Bleomycin</t>
  </si>
  <si>
    <t xml:space="preserve">15iu/vial</t>
  </si>
  <si>
    <t xml:space="preserve">1 mL Single-Dose Vial x 10-Vial Carton or 1mL Preefilled Single Dose Syringe x 10</t>
  </si>
  <si>
    <t xml:space="preserve">0.004MG/ML</t>
  </si>
  <si>
    <t xml:space="preserve">1 × 10 mL vial</t>
  </si>
  <si>
    <t xml:space="preserve">https://www.drugs.com/price-guide/desmopressin</t>
  </si>
  <si>
    <t xml:space="preserve">1 Prefilled Syringe (2 mL) / 10 Prefilled Syringes (2 mL)</t>
  </si>
  <si>
    <t xml:space="preserve">25 x 1ml single dose ampules</t>
  </si>
  <si>
    <t xml:space="preserve">https://www.drugs.com/price-guide/phytonadione</t>
  </si>
  <si>
    <t xml:space="preserve">20MG/ML</t>
  </si>
  <si>
    <t xml:space="preserve">25 x 10 ml (Multi Dose Vial)</t>
  </si>
  <si>
    <t xml:space="preserve">15MG/VIAL</t>
  </si>
  <si>
    <t xml:space="preserve">15 mg thiotepa sterile lyophilized powder in a single-dose vial</t>
  </si>
  <si>
    <t xml:space="preserve">https://www.drugs.com/price-guide/thiotepa</t>
  </si>
  <si>
    <t xml:space="preserve">`</t>
  </si>
  <si>
    <t xml:space="preserve">250 mg/vial, sterile lyophilized powder (NDC 55111-0652-37)</t>
  </si>
  <si>
    <t xml:space="preserve">https://www.drugs.com/price-guide/bivalirudin</t>
  </si>
  <si>
    <t xml:space="preserve">0.25 mg palonosetron in 5 mL (0.05 mg/mL) single-dose vial, individually packaged in a carton (NDC 55111-694-07)</t>
  </si>
  <si>
    <t xml:space="preserve">Single-dose vial, lyophilized powder, 1 vial per carton </t>
  </si>
  <si>
    <t xml:space="preserve">2 × 5 mL single-dose syringes + safety needles; NDC 43598-262-23</t>
  </si>
  <si>
    <t xml:space="preserve">1 × 5 mL multidose vial; NDC 75907-190-07</t>
  </si>
  <si>
    <t xml:space="preserve">1 × 10 mL multidose vial; NDC 75907-189-35</t>
  </si>
  <si>
    <t xml:space="preserve">1 × 2.5 mL multidose vial; NDC 75907-191-02</t>
  </si>
  <si>
    <t xml:space="preserve">25 × 1 mL single-dose vials; NDC 43598-725-25</t>
  </si>
  <si>
    <t xml:space="preserve">Eribulin Mesylate</t>
  </si>
  <si>
    <t xml:space="preserve">1MG/2ML (0.5MG/ML)</t>
  </si>
  <si>
    <t xml:space="preserve">2 mL single-dose vial, 1 mg; U.S. NDC 43598-125-11</t>
  </si>
  <si>
    <t xml:space="preserve">https://www.drugs.com/price-guide/eribulin</t>
  </si>
  <si>
    <t xml:space="preserve">3MG/3ML (1MG/ML)</t>
  </si>
  <si>
    <t xml:space="preserve">10 × 3 mL single-dose prefilled syringes; NDC 43598-945-58</t>
  </si>
  <si>
    <t xml:space="preserve">Yes—single-dose prefilled syringe</t>
  </si>
  <si>
    <t xml:space="preserve">https://www.drugs.com/price-guide/neostigmine</t>
  </si>
  <si>
    <t xml:space="preserve">5MG/10ML (0.5MG/ML)</t>
  </si>
  <si>
    <t xml:space="preserve">10 mL multidose vial (0.5 mg/mL), carton of 1; NDC 43598-528-11</t>
  </si>
  <si>
    <t xml:space="preserve">10MG/10ML (1MG/ML)</t>
  </si>
  <si>
    <t xml:space="preserve">10 mL multidose vial (1 mg/mL), carton of 1; NDC 43598-529 </t>
  </si>
  <si>
    <t xml:space="preserve">5 mL single-dose prefilled plastic syringe with Luer lock; NDC 43598-616-11</t>
  </si>
  <si>
    <t xml:space="preserve">EQ 200MG BASE/2ML (EQ 100MG BASE/ML)</t>
  </si>
  <si>
    <t xml:space="preserve">2 mL single-dose vial; carton of 10; NDC 43598-924-26</t>
  </si>
  <si>
    <t xml:space="preserve">https://www.drugs.com/price-guide/sugammadex</t>
  </si>
  <si>
    <t xml:space="preserve">EQ 500MG BASE/5ML (EQ 100MG BASE/ML)</t>
  </si>
  <si>
    <t xml:space="preserve">5 mL single-dose vial; carton/NDC not independently verified</t>
  </si>
  <si>
    <t xml:space="preserve">Bortezomib Dr. Reddy's</t>
  </si>
  <si>
    <t xml:space="preserve">https://dmd-browser.nhsbsa.nhs.uk/ampp/view/175945</t>
  </si>
  <si>
    <t xml:space="preserve">Daptomycin Dr. Reddy's</t>
  </si>
  <si>
    <t xml:space="preserve">https://dmd-browser.nhsbsa.nhs.uk/ampp/view/169812</t>
  </si>
  <si>
    <t xml:space="preserve">Fulvestrant Dr. Reddy's</t>
  </si>
  <si>
    <t xml:space="preserve">https://dmd-browser.nhsbsa.nhs.uk/ampp/view/183157</t>
  </si>
  <si>
    <t xml:space="preserve">https://dmd-browser.nhsbsa.nhs.uk/ampp/view/195075</t>
  </si>
  <si>
    <t xml:space="preserve">0.44 MG/ML</t>
  </si>
  <si>
    <t xml:space="preserve">1 x 2 mL vial (0.88 mg eribulin)</t>
  </si>
  <si>
    <t xml:space="preserve">https://dmd-browser.nhsbsa.nhs.uk/ampp/view/211180</t>
  </si>
  <si>
    <t xml:space="preserve">Azacitidine Betapharm</t>
  </si>
  <si>
    <t xml:space="preserve">Ciclofosfamida Dr. Reddy</t>
  </si>
  <si>
    <t xml:space="preserve">500 mg/1 mL</t>
  </si>
  <si>
    <t xml:space="preserve">https://www.boe.es/boe/dias/2025/10/13/pdfs/BOE-A-2025-20356.pdf</t>
  </si>
  <si>
    <t xml:space="preserve">Daptomicina Dr. Reddy's</t>
  </si>
  <si>
    <t xml:space="preserve">Source not found</t>
  </si>
  <si>
    <t xml:space="preserve">Eribulin Beta</t>
  </si>
  <si>
    <t xml:space="preserve">880 mcg/2 mL</t>
  </si>
  <si>
    <t xml:space="preserve">1 x 2 mL vial (Advanz comparator pack; Betapharm pack not confirmed from an EU leaflet)</t>
  </si>
  <si>
    <t xml:space="preserve">Fulvestrant Beta</t>
  </si>
  <si>
    <t xml:space="preserve">3 mg</t>
  </si>
  <si>
    <t xml:space="preserve">1 x 3 mg pre-filled syringe</t>
  </si>
  <si>
    <t xml:space="preserve">https://www.docmorris.de/ibandronsaeure-beta-3-mg-injektionslsgfertigspr/08881520</t>
  </si>
  <si>
    <t xml:space="preserve">Palonosetron Beta</t>
  </si>
  <si>
    <t xml:space="preserve">250 mcg/5 mL</t>
  </si>
  <si>
    <t xml:space="preserve">200 mg/2 mL</t>
  </si>
  <si>
    <t xml:space="preserve">3.5 MG/VIAL</t>
  </si>
  <si>
    <t xml:space="preserve">3.5 mg single-use vial</t>
  </si>
  <si>
    <t xml:space="preserve">100 MG/VIAL</t>
  </si>
  <si>
    <t xml:space="preserve">100 mg single-use vial</t>
  </si>
  <si>
    <t xml:space="preserve">500 mg vial; powder for solution for injection</t>
  </si>
  <si>
    <t xml:space="preserve">https://www.formulary.health.gov.on.ca/formulary/detail.xhtml?drugId=02490463</t>
  </si>
  <si>
    <t xml:space="preserve">10 mL multi-dose vial (200 mg/10 mL)</t>
  </si>
  <si>
    <t xml:space="preserve">0.5 MG/ML</t>
  </si>
  <si>
    <t xml:space="preserve">2 mL single-use vial (1 mg); 1 vial/carton</t>
  </si>
  <si>
    <t xml:space="preserve">500 mg/10 mL (50 mg/mL)</t>
  </si>
  <si>
    <t xml:space="preserve">1000 mg/20 mL (50 mg/mL)</t>
  </si>
  <si>
    <t xml:space="preserve">1 × 20 mL vial</t>
  </si>
  <si>
    <t xml:space="preserve">100 mg/2 mL (50 mg/mL)</t>
  </si>
  <si>
    <t xml:space="preserve">https://www.pbs.gov.au/publication/schedule/2026/10/2026-10-01-PBS-API-CSV-files.zip?variant=3</t>
  </si>
  <si>
    <t xml:space="preserve">Eribulin-RZ</t>
  </si>
  <si>
    <t xml:space="preserve">1 mg/2 mL (0.5 mg/mL)</t>
  </si>
  <si>
    <t xml:space="preserve">Carboprost Dr. Reddy's</t>
  </si>
  <si>
    <t xml:space="preserve">250 microgram/1 mL</t>
  </si>
  <si>
    <t xml:space="preserve">Daptomycin-DRLA</t>
  </si>
  <si>
    <t xml:space="preserve">Sugammadex-Reddy's</t>
  </si>
  <si>
    <t xml:space="preserve">Sugammadex-DRLA</t>
  </si>
  <si>
    <t xml:space="preserve">Palonoset</t>
  </si>
  <si>
    <t xml:space="preserve">Reddaza</t>
  </si>
  <si>
    <t xml:space="preserve">Eribulin DRL</t>
  </si>
  <si>
    <t xml:space="preserve">1mg/2ml</t>
  </si>
  <si>
    <t xml:space="preserve">1 x 2 mL vial</t>
  </si>
  <si>
    <t xml:space="preserve">Neuvysi</t>
  </si>
  <si>
    <t xml:space="preserve">https://medicineprices.org.za/#search:neuvysi</t>
  </si>
  <si>
    <t xml:space="preserve">Eranfu</t>
  </si>
  <si>
    <t xml:space="preserve">250mg/5ml</t>
  </si>
  <si>
    <t xml:space="preserve">https://medicineprices.org.za/#search:eranfu</t>
  </si>
  <si>
    <t xml:space="preserve">Bertred</t>
  </si>
  <si>
    <t xml:space="preserve">1 x 10 mL vial (powder)</t>
  </si>
  <si>
    <t xml:space="preserve">https://medicineprices.org.za/#search:bertred</t>
  </si>
  <si>
    <t xml:space="preserve">Azacitidine DRL</t>
  </si>
  <si>
    <t xml:space="preserve">100mg</t>
  </si>
  <si>
    <t xml:space="preserve">1 x 30 mL vial (powder)</t>
  </si>
  <si>
    <t xml:space="preserve">Azacitidine Tillomed</t>
  </si>
  <si>
    <t xml:space="preserve">https://dmd-browser.nhsbsa.nhs.uk/ampp/view/190490</t>
  </si>
  <si>
    <t xml:space="preserve">https://dmd-browser.nhsbsa.nhs.uk/ampp/view/195295</t>
  </si>
  <si>
    <t xml:space="preserve">Daptomycin Tillomed</t>
  </si>
  <si>
    <t xml:space="preserve">350 mg vial x 1 vial/ pack of 10</t>
  </si>
  <si>
    <t xml:space="preserve">https://dmd-browser.nhsbsa.nhs.uk/ampp/view/194983</t>
  </si>
  <si>
    <t xml:space="preserve">https://dmd-browser.nhsbsa.nhs.uk/ampp/view/198696</t>
  </si>
  <si>
    <t xml:space="preserve">Pentamidine Isetionate Tillomed</t>
  </si>
  <si>
    <t xml:space="preserve">300 MG</t>
  </si>
  <si>
    <t xml:space="preserve">5 x 300 mg vials (powder)</t>
  </si>
  <si>
    <t xml:space="preserve">https://dmd-browser.nhsbsa.nhs.uk/ampp/view/197400</t>
  </si>
  <si>
    <t xml:space="preserve">1 x 40 mg vial (powder)</t>
  </si>
  <si>
    <t xml:space="preserve">1 MG/ML</t>
  </si>
  <si>
    <t xml:space="preserve">10 x 10 mL vials</t>
  </si>
  <si>
    <t xml:space="preserve">https://dmd-browser.nhsbsa.nhs.uk/ampp/view/190885</t>
  </si>
  <si>
    <t xml:space="preserve">50 MG</t>
  </si>
  <si>
    <t xml:space="preserve">1 x 50 mg vial (powder) + 1 x 10 mL solvent vial</t>
  </si>
  <si>
    <t xml:space="preserve">https://dmd-browser.nhsbsa.nhs.uk/ampp/view/169622</t>
  </si>
  <si>
    <t xml:space="preserve">250 MG/ML</t>
  </si>
  <si>
    <t xml:space="preserve">5 x 2 mL vials</t>
  </si>
  <si>
    <t xml:space="preserve">https://dmd-browser.nhsbsa.nhs.uk/ampp/view/184215</t>
  </si>
  <si>
    <t xml:space="preserve">500 MG</t>
  </si>
  <si>
    <t xml:space="preserve">https://dmd-browser.nhsbsa.nhs.uk/ampp/view/210747</t>
  </si>
  <si>
    <t xml:space="preserve">https://www.medicijnkosten.nl/medicijn?artikel=DIAMOX+INJECTIEPOEDER+FLACON+500MG&amp;id=eccf17da767207477dcc6b1f5efd1f4a</t>
  </si>
  <si>
    <t xml:space="preserve">Amikacin Tillomed Laboratories</t>
  </si>
  <si>
    <t xml:space="preserve">500 mg/2 mL</t>
  </si>
  <si>
    <t xml:space="preserve">50 x 1 g glass vials</t>
  </si>
  <si>
    <t xml:space="preserve">https://mediately.co/it/drugs/EW7GuNfn2hkEMxRggSwwiF1PMll/ampicillina-tillomed-1-g-polvere-per-soluzione-iniettabile-per-infusione</t>
  </si>
  <si>
    <t xml:space="preserve">Azacitidin Tillomed</t>
  </si>
  <si>
    <t xml:space="preserve">Bortezomib Tillomed</t>
  </si>
  <si>
    <t xml:space="preserve">Daptomicina Tillomed</t>
  </si>
  <si>
    <t xml:space="preserve">0.44 mg/mL</t>
  </si>
  <si>
    <t xml:space="preserve">https://www.medicinpriser.dk/Default.aspx?VirksomtStof=Eribulin</t>
  </si>
  <si>
    <t xml:space="preserve">40 mg</t>
  </si>
  <si>
    <t xml:space="preserve">10 x 40 mg vials (powder)</t>
  </si>
  <si>
    <t xml:space="preserve">Melfalan Tillomed</t>
  </si>
  <si>
    <t xml:space="preserve">Melphalan Tillomed</t>
  </si>
  <si>
    <t xml:space="preserve">Milrinon Tillomed</t>
  </si>
  <si>
    <t xml:space="preserve">10 mg/10 mL</t>
  </si>
  <si>
    <t xml:space="preserve">https://mediately.co/de/drugs/2JLSD2rNCbtip2an1uWLKQBCmLc/milrinon-carinopharm-1-mg-ml-injektions-infusionslosung</t>
  </si>
  <si>
    <t xml:space="preserve">5 x 2 mL ampoules</t>
  </si>
  <si>
    <t xml:space="preserve">Pentamidindiisetionat Tillomed</t>
  </si>
  <si>
    <t xml:space="preserve">300 mg</t>
  </si>
  <si>
    <t xml:space="preserve">1 x 300 mg vial (powder)</t>
  </si>
  <si>
    <t xml:space="preserve">https://base-donnees-publique.medicaments.gouv.fr/medicament/61094142/extrait</t>
  </si>
  <si>
    <t xml:space="preserve">Plerixafor Tillomed</t>
  </si>
  <si>
    <t xml:space="preserve">Sugammadex Tillomed</t>
  </si>
  <si>
    <t xml:space="preserve">50 MG/VIAL</t>
  </si>
  <si>
    <t xml:space="preserve">1 × 50 mg powder vial + 1 × 10 mL diluent vial</t>
  </si>
  <si>
    <t xml:space="preserve">10 × 10 mL multidose vials</t>
  </si>
  <si>
    <t xml:space="preserve">Amikacin Sulfate</t>
  </si>
  <si>
    <t xml:space="preserve">500 MG/2 ML</t>
  </si>
  <si>
    <t xml:space="preserve">2 mL vial; 10 vials/pack</t>
  </si>
  <si>
    <t xml:space="preserve">Lyophilized powder, 3.5 mg in 10 mL single-use vial; 1 vial/carton</t>
  </si>
  <si>
    <t xml:space="preserve">0.2 MG/ML</t>
  </si>
  <si>
    <t xml:space="preserve">1 mL single-use vial; 10 vials/box</t>
  </si>
  <si>
    <t xml:space="preserve">1 MG/5 ML</t>
  </si>
  <si>
    <t xml:space="preserve">5 mL single-use vial; 10 vials/box</t>
  </si>
  <si>
    <t xml:space="preserve">Pentamidine Isetionate</t>
  </si>
  <si>
    <t xml:space="preserve">300 MG/VIAL</t>
  </si>
  <si>
    <t xml:space="preserve">20 mL single-dose vial (lyophilized powder); 5 vials/pack</t>
  </si>
  <si>
    <t xml:space="preserve">10 MG/ML</t>
  </si>
  <si>
    <t xml:space="preserve">20 mL / 50 mL / 100 mL single-use glass vials</t>
  </si>
  <si>
    <t xml:space="preserve">150 MG/VIAL</t>
  </si>
  <si>
    <t xml:space="preserve">150 mg single vial (10 mL vial); 1 vial/pack</t>
  </si>
  <si>
    <t xml:space="preserve">1000 MG/VIAL</t>
  </si>
  <si>
    <t xml:space="preserve">1000 mg single-use 100 mL vial; 1 vial/carton</t>
  </si>
  <si>
    <t xml:space="preserve">2000 MG/VIAL</t>
  </si>
  <si>
    <t xml:space="preserve">2000 mg single-use 100 mL vial; 1 vial/carton</t>
  </si>
  <si>
    <t xml:space="preserve">Pentamidine-EMC</t>
  </si>
  <si>
    <t xml:space="preserve">300 mg/vial</t>
  </si>
  <si>
    <t xml:space="preserve">1 × 300 mg vial (powder)</t>
  </si>
  <si>
    <t xml:space="preserve">Amikacin EMC</t>
  </si>
  <si>
    <t xml:space="preserve">500 mg/2 mL (250 mg/mL)</t>
  </si>
  <si>
    <t xml:space="preserve">Melpha</t>
  </si>
  <si>
    <t xml:space="preserve">50 mg/vial</t>
  </si>
  <si>
    <t xml:space="preserve">1 × 50 mg powder vial + diluent (composite pack)</t>
  </si>
  <si>
    <t xml:space="preserve">2 × 5 mL single-dose syringes + safety needles; NDC 68462-317-32</t>
  </si>
  <si>
    <t xml:space="preserve">2 mL single-dose vial, 1 mg; U.S. NDC 68462-770-20</t>
  </si>
  <si>
    <t xml:space="preserve">1 x pre-filled syringe (price normalized per unit; marketed pack unconfirmed)</t>
  </si>
  <si>
    <t xml:space="preserve">10 vials (priced pack)</t>
  </si>
  <si>
    <t xml:space="preserve">https://dmd-browser.nhsbsa.nhs.uk/ampp/view/195045</t>
  </si>
  <si>
    <t xml:space="preserve">https://dmd-browser.nhsbsa.nhs.uk/ampp/view/204041</t>
  </si>
  <si>
    <t xml:space="preserve">Bortezomib Glenmark</t>
  </si>
  <si>
    <t xml:space="preserve">1 x 1 mg vial (powder)</t>
  </si>
  <si>
    <t xml:space="preserve">Eribulin Glenmark Pharmaceuticals Europe</t>
  </si>
  <si>
    <t xml:space="preserve">Fulvestrant Glenmark</t>
  </si>
  <si>
    <t xml:space="preserve">250 mg</t>
  </si>
  <si>
    <t xml:space="preserve">1 x 250 mg pre-filled syringe</t>
  </si>
  <si>
    <t xml:space="preserve">20 mg/mL</t>
  </si>
  <si>
    <t xml:space="preserve">1 x 1.2 mL vial (24 mg)</t>
  </si>
  <si>
    <t xml:space="preserve">Sugammadex Glenmark</t>
  </si>
  <si>
    <t xml:space="preserve">Bortraczo</t>
  </si>
  <si>
    <t xml:space="preserve">2.5 mg/1 mL</t>
  </si>
  <si>
    <t xml:space="preserve">3.5 mg/1.4 mL (2.5 mg/mL)</t>
  </si>
  <si>
    <t xml:space="preserve">1 × 1.4 mL vial</t>
  </si>
  <si>
    <t xml:space="preserve">1mL or 2 mL Single-Dose Vial x 25-Unit Carton</t>
  </si>
  <si>
    <t xml:space="preserve">0.2MG/ML</t>
  </si>
  <si>
    <t xml:space="preserve">1%</t>
  </si>
  <si>
    <t xml:space="preserve">10 or 25 × 20 mL multi-dose vials; 10 or 25 × 50 mL multi-dose vials (1%)</t>
  </si>
  <si>
    <t xml:space="preserve">10 mL (200 mg/10 mL) Multiple-dose Fliptop Vial (NDC 31722-981-10); 25 vials in a carton (NDC 31722-981-31)</t>
  </si>
  <si>
    <t xml:space="preserve">1 × 3.5 mg single-dose powder vial; NDC 31722-303-31 (Camber / Hetero)</t>
  </si>
  <si>
    <t xml:space="preserve">25GM/50ML (500MG/ML)</t>
  </si>
  <si>
    <t xml:space="preserve">25 × 50 mL single-dose vials; NDC 31722-394-35; Camber / Aspiro</t>
  </si>
  <si>
    <t xml:space="preserve">https://www.drugs.com/price-guide/magnesium-sulfate</t>
  </si>
  <si>
    <t xml:space="preserve">5MEQ/10ML (0.5MEQ/ML)</t>
  </si>
  <si>
    <t xml:space="preserve">10 mL vial, 0.5 mEq/mL</t>
  </si>
  <si>
    <t xml:space="preserve">https://www.drugs.com/price-guide/sodium-bicarbonate</t>
  </si>
  <si>
    <t xml:space="preserve">2 mL single-dose vial; carton/NDC not independently verified</t>
  </si>
  <si>
    <t xml:space="preserve">1 × 1.2 mL single-use vial</t>
  </si>
  <si>
    <t xml:space="preserve">https://dmd-browser.nhsbsa.nhs.uk/ampp/view/210375</t>
  </si>
  <si>
    <t xml:space="preserve">10 x 5 mL vials</t>
  </si>
  <si>
    <t xml:space="preserve">https://dmd-browser.nhsbsa.nhs.uk/ampp/view/148217</t>
  </si>
  <si>
    <t xml:space="preserve">2.5 MG/ML</t>
  </si>
  <si>
    <t xml:space="preserve">1 x 0.4 mL vial (1 mg bortezomib; calibrated priced presentation)</t>
  </si>
  <si>
    <t xml:space="preserve">https://dmd-browser.nhsbsa.nhs.uk/ampp/view/174545</t>
  </si>
  <si>
    <t xml:space="preserve">400 MG</t>
  </si>
  <si>
    <t xml:space="preserve">1/5 x 400 mg vial (powder) </t>
  </si>
  <si>
    <t xml:space="preserve">https://dmd-browser.nhsbsa.nhs.uk/ampp/view/101360</t>
  </si>
  <si>
    <t xml:space="preserve">Azacitidine Amarox</t>
  </si>
  <si>
    <t xml:space="preserve">Bortezomib Amarox</t>
  </si>
  <si>
    <t xml:space="preserve">2.5 mg/mL (3.5 mg/1.4 mL)</t>
  </si>
  <si>
    <t xml:space="preserve">1 x 1.4 mL vial (3.5 mg; ready solution)</t>
  </si>
  <si>
    <t xml:space="preserve">Brivaracetam Amarox</t>
  </si>
  <si>
    <t xml:space="preserve">https://www.medicijnkosten.nl/medicijn?artikel=BRIVIACT+INF%2FINJVLST+10MG%2FML+FLACON+5ML&amp;id=8aa63cad90cad7246d95c19b8f6d410d</t>
  </si>
  <si>
    <t xml:space="preserve">Daptomicin Tarbis</t>
  </si>
  <si>
    <t xml:space="preserve">Melfalan Amarox</t>
  </si>
  <si>
    <t xml:space="preserve">1 x 50 mg vial (powder) + 10 mL solvent vial</t>
  </si>
  <si>
    <t xml:space="preserve">https://www.medicijnkosten.nl/medicijn?artikel=MELFALAN+AMAROX+INJ%2FINFUSIEPOEDER+FL50MG%2BSV+10ML&amp;id=35352a89252a9fdd69fd915f3d070528</t>
  </si>
  <si>
    <t xml:space="preserve">Melfalán Tarbis</t>
  </si>
  <si>
    <t xml:space="preserve">Pantoprazol Amarox</t>
  </si>
  <si>
    <t xml:space="preserve">Plerixafor Amarox</t>
  </si>
  <si>
    <t xml:space="preserve">50 mg/5 mL</t>
  </si>
  <si>
    <t xml:space="preserve">Sugammadex Amarox</t>
  </si>
  <si>
    <t xml:space="preserve">10 x 2 mL (100 mg/mL solution for injection)</t>
  </si>
  <si>
    <t xml:space="preserve">Teicoplanin Amarox</t>
  </si>
  <si>
    <t xml:space="preserve">400 mg</t>
  </si>
  <si>
    <t xml:space="preserve">1 x 400 mg vial (powder) + 1 x 3 mL solvent ampoule</t>
  </si>
  <si>
    <t xml:space="preserve">Bortezomib Hetero</t>
  </si>
  <si>
    <t xml:space="preserve">1mg/mL</t>
  </si>
  <si>
    <t xml:space="preserve">1 x 5 mL ampoule/vial</t>
  </si>
  <si>
    <t xml:space="preserve">Bortiv</t>
  </si>
  <si>
    <t xml:space="preserve">2.5mg/1.0ml</t>
  </si>
  <si>
    <t xml:space="preserve">https://medicineprices.org.za/#search:bortiv</t>
  </si>
  <si>
    <t xml:space="preserve">3.5mg/1.4ml</t>
  </si>
  <si>
    <t xml:space="preserve">1mg/0.4ml</t>
  </si>
  <si>
    <t xml:space="preserve">1 x 0.4 mL vial</t>
  </si>
  <si>
    <t xml:space="preserve">0.25mg / 5ml</t>
  </si>
  <si>
    <t xml:space="preserve">Sugmasol</t>
  </si>
  <si>
    <t xml:space="preserve">100mgmg/ml</t>
  </si>
  <si>
    <t xml:space="preserve">10 x 2 mL ampoules/vials</t>
  </si>
  <si>
    <t xml:space="preserve">https://medicineprices.org.za/#search:sugmasol</t>
  </si>
  <si>
    <t xml:space="preserve">Heterix</t>
  </si>
  <si>
    <t xml:space="preserve">20mg/ml</t>
  </si>
  <si>
    <t xml:space="preserve">https://medicineprices.org.za/#search:heterix</t>
  </si>
  <si>
    <t xml:space="preserve">3.5mg/10ml</t>
  </si>
  <si>
    <t xml:space="preserve">Ondansetron Hydrochloride</t>
  </si>
  <si>
    <t xml:space="preserve">EQ 2MG BASE/ML</t>
  </si>
  <si>
    <t xml:space="preserve">20ml multi-dose vial</t>
  </si>
  <si>
    <t xml:space="preserve">https://www.drugs.com/price-guide/ondansetron</t>
  </si>
  <si>
    <t xml:space="preserve">250MG/VIAL</t>
  </si>
  <si>
    <t xml:space="preserve">250 mg bivalirudin lyophilized powder in a single-dose glass vial</t>
  </si>
  <si>
    <t xml:space="preserve">Kit containing one 3 mg/3 mL single-dose glass prefilled syringe, a 25-gauge 3/4 inch needle with wings and 9 cm tubing</t>
  </si>
  <si>
    <t xml:space="preserve">2 × 5 mL single-dose syringes + safety needles; NDC 16729-436-30</t>
  </si>
  <si>
    <t xml:space="preserve">1 × 50 mL single-dose vial; NDC 16729-430-11</t>
  </si>
  <si>
    <t xml:space="preserve">Atropine Sulfate</t>
  </si>
  <si>
    <t xml:space="preserve">0.25MG/5ML (0.05MG/ML)</t>
  </si>
  <si>
    <t xml:space="preserve">10 × 5 mL single-dose syringes; NDC 16729-483-03</t>
  </si>
  <si>
    <t xml:space="preserve">https://www.drugs.com/price-guide/atropine</t>
  </si>
  <si>
    <t xml:space="preserve">0.4MG/ML (0.4MG/ML)</t>
  </si>
  <si>
    <t xml:space="preserve">25 × 1 mL single-dose vials; NDC 16729-525-08</t>
  </si>
  <si>
    <t xml:space="preserve">0.5MG/5ML (0.1MG/ML)</t>
  </si>
  <si>
    <t xml:space="preserve">10 × 5 mL single-dose syringes; NDC 16729-484-90</t>
  </si>
  <si>
    <t xml:space="preserve">1MG/10ML (0.1MG/ML)</t>
  </si>
  <si>
    <t xml:space="preserve">10 × 10 mL single-dose syringes; NDC 16729-484-45</t>
  </si>
  <si>
    <t xml:space="preserve">1MG/ML (1MG/ML)</t>
  </si>
  <si>
    <t xml:space="preserve">25 × 1 mL single-dose vials; NDC 16729-526-08</t>
  </si>
  <si>
    <t xml:space="preserve">0.005MG/ML (0.005MG/ML)</t>
  </si>
  <si>
    <t xml:space="preserve">1 or 25 × 1 mL single-dose vials (5 mcg/mL); NDC 16729-311-63 / -08</t>
  </si>
  <si>
    <t xml:space="preserve">https://www.drugs.com/price-guide/paricalcitol</t>
  </si>
  <si>
    <t xml:space="preserve">0.01MG/2ML (0.005MG/ML)</t>
  </si>
  <si>
    <t xml:space="preserve">1 or 25 × 2 mL multidose vials (10 mcg/2 mL); NDC 16729-311-30 / -93</t>
  </si>
  <si>
    <t xml:space="preserve">5 mL single-dose glass prefilled syringe; NDC 16729-477-31</t>
  </si>
  <si>
    <t xml:space="preserve">https://dmd-browser.nhsbsa.nhs.uk/ampp/view/163290</t>
  </si>
  <si>
    <t xml:space="preserve">5 x 250 mg vials (powder)</t>
  </si>
  <si>
    <t xml:space="preserve">https://dmd-browser.nhsbsa.nhs.uk/ampp/view/173756</t>
  </si>
  <si>
    <t xml:space="preserve">2.0 MG</t>
  </si>
  <si>
    <t xml:space="preserve">Pre-filled Syringe</t>
  </si>
  <si>
    <t xml:space="preserve">Jubereq</t>
  </si>
  <si>
    <t xml:space="preserve">120 MG</t>
  </si>
  <si>
    <t xml:space="preserve">1 x 1.7 mL vial</t>
  </si>
  <si>
    <t xml:space="preserve">UAE price database (user file)</t>
  </si>
  <si>
    <t xml:space="preserve">1 x 0.23 mL vial</t>
  </si>
  <si>
    <t xml:space="preserve">Ibandronic Acid Accord</t>
  </si>
  <si>
    <t xml:space="preserve">3 MG</t>
  </si>
  <si>
    <t xml:space="preserve">3 mL pre-filled syringe x 1 / pack of 10</t>
  </si>
  <si>
    <t xml:space="preserve">https://dmd-browser.nhsbsa.nhs.uk/amp/view/140839?ref=bmFtZT1sZXZvdGh5cm94aW5lK3NvZGl1bSZzaG93SW52YWxpZEl0ZW1zPWZhbHNlJnNvcnRPcmRlcj1hbHBoYSZwYWdlPTExOCZzaXplPTEwMA%3D%3D</t>
  </si>
  <si>
    <t xml:space="preserve">Palonosetron Accord</t>
  </si>
  <si>
    <t xml:space="preserve">250 MICROGRAMS</t>
  </si>
  <si>
    <t xml:space="preserve">1 x 6 mL vial</t>
  </si>
  <si>
    <t xml:space="preserve">https://dmd-browser.nhsbsa.nhs.uk/ampp/view/161756</t>
  </si>
  <si>
    <t xml:space="preserve">6 MG</t>
  </si>
  <si>
    <t xml:space="preserve">1 x 0.6 mL pre-filled syringe (6 mg; priced pack)</t>
  </si>
  <si>
    <t xml:space="preserve">Azacitidine Accord</t>
  </si>
  <si>
    <t xml:space="preserve">100mg/150mg vial (priced pack)</t>
  </si>
  <si>
    <t xml:space="preserve">https://dmd-browser.nhsbsa.nhs.uk/ampp/view/198886</t>
  </si>
  <si>
    <t xml:space="preserve">80 MG</t>
  </si>
  <si>
    <t xml:space="preserve">80 mg vial/ pack of 3</t>
  </si>
  <si>
    <t xml:space="preserve">https://dmd-browser.nhsbsa.nhs.uk/ampp/view/208291</t>
  </si>
  <si>
    <t xml:space="preserve">45 MG</t>
  </si>
  <si>
    <t xml:space="preserve">1 x 0.5 mL pre-filled syringe (45 mg; priced pack)</t>
  </si>
  <si>
    <t xml:space="preserve">8 MG</t>
  </si>
  <si>
    <t xml:space="preserve">1 x 4 mL pre-filled syringe (8 mg; priced pack)</t>
  </si>
  <si>
    <t xml:space="preserve">https://dmd-browser.nhsbsa.nhs.uk/ampp/view/197033</t>
  </si>
  <si>
    <t xml:space="preserve">400 MICROGRAMS/ML</t>
  </si>
  <si>
    <t xml:space="preserve">10 pre-filled syringes (priced pack)</t>
  </si>
  <si>
    <t xml:space="preserve">https://dmd-browser.nhsbsa.nhs.uk/ampp/view/47446</t>
  </si>
  <si>
    <t xml:space="preserve">https://dmd-browser.nhsbsa.nhs.uk/ampp/view/180360</t>
  </si>
  <si>
    <t xml:space="preserve">https://dmd-browser.nhsbsa.nhs.uk/ampp/view/133567</t>
  </si>
  <si>
    <t xml:space="preserve">1 x 1 mL concentrate vial + 1 x 9 mL solvent vial</t>
  </si>
  <si>
    <t xml:space="preserve">50 MG/ML</t>
  </si>
  <si>
    <t xml:space="preserve">1 x 10 mL vial</t>
  </si>
  <si>
    <t xml:space="preserve">https://dmd-browser.nhsbsa.nhs.uk/ampp/view/90576</t>
  </si>
  <si>
    <t xml:space="preserve">https://dmd-browser.nhsbsa.nhs.uk/ampp/view/105990</t>
  </si>
  <si>
    <t xml:space="preserve">https://dmd-browser.nhsbsa.nhs.uk/ampp/view/189948</t>
  </si>
  <si>
    <t xml:space="preserve">Epirubicin Hydrochloride</t>
  </si>
  <si>
    <t xml:space="preserve">https://dmd-browser.nhsbsa.nhs.uk/ampp/view/90547</t>
  </si>
  <si>
    <t xml:space="preserve">5 x 5 mL vials</t>
  </si>
  <si>
    <t xml:space="preserve">https://dmd-browser.nhsbsa.nhs.uk/ampp/view/183004\</t>
  </si>
  <si>
    <t xml:space="preserve">Cyclophosphamide Accord</t>
  </si>
  <si>
    <t xml:space="preserve">2000 MG</t>
  </si>
  <si>
    <t xml:space="preserve">1 x 2000 mg vial (powder)</t>
  </si>
  <si>
    <t xml:space="preserve">https://dmd-browser.nhsbsa.nhs.uk/ampp/view/209804</t>
  </si>
  <si>
    <t xml:space="preserve">2 MILLION INTERNATIONAL UNITS (IU)</t>
  </si>
  <si>
    <t xml:space="preserve">Packs of 1 vial &amp; 10 x 2 million IU vials (powder)</t>
  </si>
  <si>
    <t xml:space="preserve">5 MG/ML</t>
  </si>
  <si>
    <t xml:space="preserve">1 x 30 mL vial</t>
  </si>
  <si>
    <t xml:space="preserve">https://dmd-browser.nhsbsa.nhs.uk/ampp/view/161747</t>
  </si>
  <si>
    <t xml:space="preserve">15000 IU</t>
  </si>
  <si>
    <t xml:space="preserve">1 x 15,000 units vial (powder)</t>
  </si>
  <si>
    <t xml:space="preserve">https://dmd-browser.nhsbsa.nhs.uk/ampp/view/197277</t>
  </si>
  <si>
    <t xml:space="preserve">0.1 MG/ML</t>
  </si>
  <si>
    <t xml:space="preserve">1 x pre-filled syringe (priced pack)</t>
  </si>
  <si>
    <t xml:space="preserve">Pre filled Syringe</t>
  </si>
  <si>
    <t xml:space="preserve">https://dmd-browser.nhsbsa.nhs.uk/ampp/view/190887</t>
  </si>
  <si>
    <t xml:space="preserve">21 MG</t>
  </si>
  <si>
    <t xml:space="preserve">1 x 21 mg pre-filled syringe (with safety needle)</t>
  </si>
  <si>
    <t xml:space="preserve">1 mg/10 mL</t>
  </si>
  <si>
    <t xml:space="preserve">1 x 10 mL pre-filled syringe</t>
  </si>
  <si>
    <t xml:space="preserve">https://www.my-marien-apotheke.de/produkt/adrenalin-1-10-000-aguettant-inj-lsg-i-e-fert-s-11587497</t>
  </si>
  <si>
    <t xml:space="preserve">Amiodarone Accord</t>
  </si>
  <si>
    <t xml:space="preserve">300 mg/10 mL</t>
  </si>
  <si>
    <t xml:space="preserve">NHS Drug Tariff Part VIIIA Oct-2026 (England &amp; Wales), GBP→USD 1.322</t>
  </si>
  <si>
    <t xml:space="preserve">https://www.nhsbsa.nhs.uk/sites/default/files/2026-09/Part%20VIIIA%20Oct%202026.xlsx</t>
  </si>
  <si>
    <t xml:space="preserve">https://www.aponeo.de/rx/04262642-atracurium-hikma-25-mg-2-5-ml-ampullen.html</t>
  </si>
  <si>
    <t xml:space="preserve">Atropin Accord</t>
  </si>
  <si>
    <t xml:space="preserve">500 mcg/5 mL</t>
  </si>
  <si>
    <t xml:space="preserve">1 x 5 mL pre-filled syringe</t>
  </si>
  <si>
    <t xml:space="preserve">https://www.aponeo.de/rx/17518273-atropin-accord-100-ug-ml-inj-lsg-i-e-fertigspr.html</t>
  </si>
  <si>
    <t xml:space="preserve">Atropina Accord</t>
  </si>
  <si>
    <t xml:space="preserve">0.1 mg/mL (500 mcg/5 mL)</t>
  </si>
  <si>
    <t xml:space="preserve">Bivalirudin Accord</t>
  </si>
  <si>
    <t xml:space="preserve">10 x 250 mg vials</t>
  </si>
  <si>
    <t xml:space="preserve">Bleomicina Accord</t>
  </si>
  <si>
    <t xml:space="preserve">1 x 15000 IU vial (powder)</t>
  </si>
  <si>
    <t xml:space="preserve">https://www.kuchler-apotheken.de/bleomycin-accord-15.000-i.e.-p.z.h.e.inj.-inf.-l./15883146</t>
  </si>
  <si>
    <t xml:space="preserve">Bortezomib Accord</t>
  </si>
  <si>
    <t xml:space="preserve">21 mg</t>
  </si>
  <si>
    <t xml:space="preserve">1 x 0.25 mL pre-filled syringe + 1 safety needle</t>
  </si>
  <si>
    <t xml:space="preserve">https://www.aponeo.de/rx/17518209-camcevi-21-mg-3-monats-depot-inj-susp-fertigspr.html</t>
  </si>
  <si>
    <t xml:space="preserve">Cefepim Accord</t>
  </si>
  <si>
    <t xml:space="preserve">10 x 1 g vials (powder)</t>
  </si>
  <si>
    <t xml:space="preserve">Cefepime Accord</t>
  </si>
  <si>
    <t xml:space="preserve">1 g, assumed</t>
  </si>
  <si>
    <t xml:space="preserve">Italy AIFA Class A public price list 31-May-2026 (EUR→USD 1.13)</t>
  </si>
  <si>
    <t xml:space="preserve">https://www.aifa.gov.it/documents/20142/3815901/Classe_A_per_principio_attivo_31-05-2026.csv</t>
  </si>
  <si>
    <t xml:space="preserve">Colistimetato Accord</t>
  </si>
  <si>
    <t xml:space="preserve">1 MU (approx. 80 mg colistimetato de sodio)</t>
  </si>
  <si>
    <t xml:space="preserve">10 x 1 MU vials (powder)</t>
  </si>
  <si>
    <t xml:space="preserve">https://www.medicinpriser.dk/Default.aspx?VirksomtStof=Colistin</t>
  </si>
  <si>
    <t xml:space="preserve">Daptomicin Accord Healthcare</t>
  </si>
  <si>
    <t xml:space="preserve">Degarelix Accord</t>
  </si>
  <si>
    <t xml:space="preserve">80 mg</t>
  </si>
  <si>
    <t xml:space="preserve">1 x 80 mg drug-powder vial + 1 x 4.2 mL solvent PFS, adaptor, plunger and needle</t>
  </si>
  <si>
    <t xml:space="preserve">https://base-donnees-publique.medicaments.gouv.fr/medicament/65505947/extrait</t>
  </si>
  <si>
    <t xml:space="preserve">Doxorubicin Accord</t>
  </si>
  <si>
    <t xml:space="preserve">Epirubicin Hydrochloride Accord Healthcare</t>
  </si>
  <si>
    <t xml:space="preserve">20 mg/10 mL</t>
  </si>
  <si>
    <t xml:space="preserve">https://www.medicinpriser.dk/Default.aspx?VirksomtStof=Eptifibatid</t>
  </si>
  <si>
    <t xml:space="preserve">1 x 2 mL vial (Advanz comparator pack; Accord pack not confirmed from an EU leaflet)</t>
  </si>
  <si>
    <t xml:space="preserve">Esomeprazol Accord</t>
  </si>
  <si>
    <t xml:space="preserve">10 x 500 mg powder vials</t>
  </si>
  <si>
    <t xml:space="preserve">https://www.aponeo.de/rx/08630485-staphylex-injektion-500-mg-plv-z-h-e-inj-inf-l.html</t>
  </si>
  <si>
    <t xml:space="preserve">Fludarabin Accord</t>
  </si>
  <si>
    <t xml:space="preserve">50 mg/2 mL</t>
  </si>
  <si>
    <t xml:space="preserve">Fulvestrant Accord</t>
  </si>
  <si>
    <t xml:space="preserve">1 mg/mL</t>
  </si>
  <si>
    <t xml:space="preserve">3 x 1 mL (1 mg/mL) injection solution (priced comparator pack)</t>
  </si>
  <si>
    <t xml:space="preserve">https://www.apoteket.dk/medicin/laegemidler/hydroxocobalamin-alternova</t>
  </si>
  <si>
    <t xml:space="preserve">3 mg/3 mL</t>
  </si>
  <si>
    <t xml:space="preserve">1 x 3 mL pre-filled syringe</t>
  </si>
  <si>
    <t xml:space="preserve">5 mg/5 mL</t>
  </si>
  <si>
    <t xml:space="preserve">Melphalan Accord</t>
  </si>
  <si>
    <t xml:space="preserve">Mitomicina Accord</t>
  </si>
  <si>
    <t xml:space="preserve">10 mg</t>
  </si>
  <si>
    <t xml:space="preserve">1 x 10 mg vial (powder)</t>
  </si>
  <si>
    <t xml:space="preserve">Ondansetron Accord</t>
  </si>
  <si>
    <t xml:space="preserve">Pantoprazol Accord</t>
  </si>
  <si>
    <t xml:space="preserve">100 mg/2 mL</t>
  </si>
  <si>
    <t xml:space="preserve">UK NHS dm+d indicative price (GBP→USD 1.322)</t>
  </si>
  <si>
    <t xml:space="preserve">https://openprescribing.net/dmd/ampp/23595411000001105</t>
  </si>
  <si>
    <t xml:space="preserve">Plerixafor Accord</t>
  </si>
  <si>
    <t xml:space="preserve">10 x 5 mL ampoules</t>
  </si>
  <si>
    <t xml:space="preserve">Sugammadex Accord</t>
  </si>
  <si>
    <t xml:space="preserve">200 mg</t>
  </si>
  <si>
    <t xml:space="preserve">1 x 200 mg vial (powder)</t>
  </si>
  <si>
    <t xml:space="preserve">Vinorelbin Accord</t>
  </si>
  <si>
    <t xml:space="preserve">Vinorelbine Accord</t>
  </si>
  <si>
    <t xml:space="preserve">2 mL preservative-free single-use vial</t>
  </si>
  <si>
    <t xml:space="preserve">5 mL / 25 mL / 100 mL vials</t>
  </si>
  <si>
    <t xml:space="preserve">https://www.ncbi.nlm.nih.gov/books/NBK611313/table/tr8269868067037182_ch02_t09/</t>
  </si>
  <si>
    <t xml:space="preserve">6 MG/ML</t>
  </si>
  <si>
    <t xml:space="preserve">5 mL / 16.7 mL multidose vials; 50 mL pharmacy bulk vial</t>
  </si>
  <si>
    <t xml:space="preserve">100 mL pharmacy bulk vial</t>
  </si>
  <si>
    <t xml:space="preserve">https://www.ncbi.nlm.nih.gov/books/NBK601789/table/tr826986112990278_ch02_t06/</t>
  </si>
  <si>
    <t xml:space="preserve">2 mL multidose vial (50 mg/2 mL), with preservative; 10 vials/carton</t>
  </si>
  <si>
    <t xml:space="preserve">https://www.formulary.health.gov.on.ca/formulary/detail.xhtml?drugId=02464365</t>
  </si>
  <si>
    <t xml:space="preserve">20 MG/VIAL</t>
  </si>
  <si>
    <t xml:space="preserve">20 mg single-use vial; individually packaged</t>
  </si>
  <si>
    <t xml:space="preserve">20 mL preservative-free single-use vial</t>
  </si>
  <si>
    <t xml:space="preserve">40 mL preservative-free single-use vial</t>
  </si>
  <si>
    <t xml:space="preserve">Methotrexate Subcutaneous</t>
  </si>
  <si>
    <t xml:space="preserve">10 MG/0.2 ML</t>
  </si>
  <si>
    <t xml:space="preserve">0.2 mL single-use pre-filled syringe</t>
  </si>
  <si>
    <t xml:space="preserve">https://www.formulary.health.gov.on.ca/formulary/detail.xhtml?drugId=02491281</t>
  </si>
  <si>
    <t xml:space="preserve">12.5 MG/0.25 ML</t>
  </si>
  <si>
    <t xml:space="preserve">0.25 mL single-use pre-filled syringe</t>
  </si>
  <si>
    <t xml:space="preserve">https://www.formulary.health.gov.on.ca/formulary/detail.xhtml?drugId=02491303</t>
  </si>
  <si>
    <t xml:space="preserve">Dostiva</t>
  </si>
  <si>
    <t xml:space="preserve">120 mg/1.7 mL (70 mg/mL)</t>
  </si>
  <si>
    <t xml:space="preserve">1 × 1.7 mL vial</t>
  </si>
  <si>
    <t xml:space="preserve">Bleomycin Accord</t>
  </si>
  <si>
    <t xml:space="preserve">15,000 IU/vial</t>
  </si>
  <si>
    <t xml:space="preserve">1 × 15,000 IU vial (powder)</t>
  </si>
  <si>
    <t xml:space="preserve">Bortezomib Intas</t>
  </si>
  <si>
    <t xml:space="preserve">Cyclophosphamide Intas</t>
  </si>
  <si>
    <t xml:space="preserve">1 × 2 mL pre-filled syringe</t>
  </si>
  <si>
    <t xml:space="preserve">1 × 50 mg vial (powder)</t>
  </si>
  <si>
    <t xml:space="preserve">1 mg/vial</t>
  </si>
  <si>
    <t xml:space="preserve">1 × 1 mg vial (powder)</t>
  </si>
  <si>
    <t xml:space="preserve">Fulvestrant Intas</t>
  </si>
  <si>
    <t xml:space="preserve">Phenylephrine Accord</t>
  </si>
  <si>
    <t xml:space="preserve">4 mg/2 mL (2 mg/mL)</t>
  </si>
  <si>
    <t xml:space="preserve">8 mg/4 mL (2 mg/mL)</t>
  </si>
  <si>
    <t xml:space="preserve">1 × 4 mL pre-filled syringe</t>
  </si>
  <si>
    <t xml:space="preserve">Midazolam Accord</t>
  </si>
  <si>
    <t xml:space="preserve">50 mg/10 mL (5 mg/mL)</t>
  </si>
  <si>
    <t xml:space="preserve">1 × 10 mL syringe</t>
  </si>
  <si>
    <t xml:space="preserve">https://www.chemistwarehouse.com.au/buy/90218/midazolam-5mg-ml-injection-10-midazolam</t>
  </si>
  <si>
    <t xml:space="preserve">5 mg/5 mL (1 mg/mL)</t>
  </si>
  <si>
    <t xml:space="preserve">1 × 5 mL syringe</t>
  </si>
  <si>
    <t xml:space="preserve">Daptomycin Accord</t>
  </si>
  <si>
    <t xml:space="preserve">Lidocaine Accord</t>
  </si>
  <si>
    <t xml:space="preserve">100 mg/5 mL (20 mg/mL)</t>
  </si>
  <si>
    <t xml:space="preserve">400 mg/20 mL (20 mg/mL)</t>
  </si>
  <si>
    <t xml:space="preserve">Lidocaine Intas</t>
  </si>
  <si>
    <t xml:space="preserve">40 mg/2 mL (20 mg/mL)</t>
  </si>
  <si>
    <t xml:space="preserve">1 × 2 mL ampoule</t>
  </si>
  <si>
    <t xml:space="preserve">200 mg/20 mL (10 mg/mL)</t>
  </si>
  <si>
    <t xml:space="preserve">Cytarabine Accord</t>
  </si>
  <si>
    <t xml:space="preserve">4000 mg/40 mL (100 mg/mL)</t>
  </si>
  <si>
    <t xml:space="preserve">1 × 40 mL vial</t>
  </si>
  <si>
    <t xml:space="preserve">Cytarabine ACC</t>
  </si>
  <si>
    <t xml:space="preserve">2000 mg/20 mL (100 mg/mL)</t>
  </si>
  <si>
    <t xml:space="preserve">1000 mg/10 mL (100 mg/mL)</t>
  </si>
  <si>
    <t xml:space="preserve">5000 mg/50 mL (100 mg/mL)</t>
  </si>
  <si>
    <t xml:space="preserve">1 × 50 mL vial</t>
  </si>
  <si>
    <t xml:space="preserve">Azaccord</t>
  </si>
  <si>
    <t xml:space="preserve">0.6 mg/3 mL (0.2 mg/mL)</t>
  </si>
  <si>
    <t xml:space="preserve">1 × 3 mL ampoule</t>
  </si>
  <si>
    <t xml:space="preserve">Cisatracurium Accord</t>
  </si>
  <si>
    <t xml:space="preserve">10 mg/5 mL (2 mg/mL)</t>
  </si>
  <si>
    <t xml:space="preserve">50 mg/25 mL (2 mg/mL)</t>
  </si>
  <si>
    <t xml:space="preserve">1 × 25 mL vial</t>
  </si>
  <si>
    <t xml:space="preserve">20 mg/10 mL (2 mg/mL)</t>
  </si>
  <si>
    <t xml:space="preserve">5 mg/2.5 mL (2 mg/mL)</t>
  </si>
  <si>
    <t xml:space="preserve">1 × 2.5 mL vial</t>
  </si>
  <si>
    <t xml:space="preserve">150 mg/30 mL (5 mg/mL)</t>
  </si>
  <si>
    <t xml:space="preserve">1 × 30 mL vial</t>
  </si>
  <si>
    <t xml:space="preserve">Methotrexate Intas</t>
  </si>
  <si>
    <t xml:space="preserve">1 × 10 mL glass vial</t>
  </si>
  <si>
    <t xml:space="preserve">Epirubicin Accord</t>
  </si>
  <si>
    <t xml:space="preserve">1 × 25 mL glass vial</t>
  </si>
  <si>
    <t xml:space="preserve">200 mg/100 mL (2 mg/mL)</t>
  </si>
  <si>
    <t xml:space="preserve">1 × 100 mL glass vial</t>
  </si>
  <si>
    <t xml:space="preserve">Intas Midazolam</t>
  </si>
  <si>
    <t xml:space="preserve">15 mg/3 mL (5 mg/mL)</t>
  </si>
  <si>
    <t xml:space="preserve">1 × 100 mL vial</t>
  </si>
  <si>
    <t xml:space="preserve">Amiodarone Prefilled Syringe Accord</t>
  </si>
  <si>
    <t xml:space="preserve">300mg/10ml</t>
  </si>
  <si>
    <t xml:space="preserve">Phenylcord</t>
  </si>
  <si>
    <t xml:space="preserve">https://medicineprices.org.za/#search:phenylcord</t>
  </si>
  <si>
    <t xml:space="preserve">Dabucor</t>
  </si>
  <si>
    <t xml:space="preserve">500mg</t>
  </si>
  <si>
    <t xml:space="preserve">1 x 20 mL vial</t>
  </si>
  <si>
    <t xml:space="preserve">https://medicineprices.org.za/#search:dabucor</t>
  </si>
  <si>
    <t xml:space="preserve">Fuldexa</t>
  </si>
  <si>
    <t xml:space="preserve">Palcita</t>
  </si>
  <si>
    <t xml:space="preserve">Valtib</t>
  </si>
  <si>
    <t xml:space="preserve">1mg/ml</t>
  </si>
  <si>
    <t xml:space="preserve">1 vial (powder for solution for injection)</t>
  </si>
  <si>
    <t xml:space="preserve">https://medicineprices.org.za/#search:valtib</t>
  </si>
  <si>
    <t xml:space="preserve">2mg/2ml</t>
  </si>
  <si>
    <t xml:space="preserve">Accord Epirubicin</t>
  </si>
  <si>
    <t xml:space="preserve">2mg/ml</t>
  </si>
  <si>
    <t xml:space="preserve">1 x 25 mL vial</t>
  </si>
  <si>
    <t xml:space="preserve">Epicord</t>
  </si>
  <si>
    <t xml:space="preserve">Rubexet</t>
  </si>
  <si>
    <t xml:space="preserve">50mg/25ml</t>
  </si>
  <si>
    <t xml:space="preserve">https://medicineprices.org.za/#search:rubexet</t>
  </si>
  <si>
    <t xml:space="preserve">200mg/100ml</t>
  </si>
  <si>
    <t xml:space="preserve">2 mL single-dose vial; carton of 10; NDC 70748-370-02</t>
  </si>
  <si>
    <t xml:space="preserve">10 × 5 mL single-dose vials</t>
  </si>
  <si>
    <t xml:space="preserve">10 mg/vial</t>
  </si>
  <si>
    <t xml:space="preserve">1 × 10 mg vial (powder)</t>
  </si>
  <si>
    <t xml:space="preserve">https://michaelschemist.com.au/products/zyprexavl10mg1</t>
  </si>
  <si>
    <t xml:space="preserve">Sugammadex Lupin</t>
  </si>
  <si>
    <t xml:space="preserve">Sugammadex LAPL</t>
  </si>
  <si>
    <t xml:space="preserve">https://www.pbs.gov.au/industry/pricing/ex-manufacturer-price/2026/10/ex-manufacturer-prices-non-efc-2026-10-01.XLSX</t>
  </si>
  <si>
    <t xml:space="preserve">Teicoplanin SXP</t>
  </si>
  <si>
    <t xml:space="preserve">400 mg/vial</t>
  </si>
  <si>
    <t xml:space="preserve">1 × 400 mg powder vial + 1 diluent ampoule</t>
  </si>
  <si>
    <t xml:space="preserve">https://michaelschemist.com.au/products/teicoplaninpwdrforinj400mg1</t>
  </si>
  <si>
    <t xml:space="preserve">Droperidol Lupin</t>
  </si>
  <si>
    <t xml:space="preserve">1 × 1 mL glass ampoule</t>
  </si>
  <si>
    <t xml:space="preserve">Droperidol AJS</t>
  </si>
  <si>
    <t xml:space="preserve">5 mg/2 mL (2.5 mg/mL)</t>
  </si>
  <si>
    <t xml:space="preserve">1 × 2 mL glass ampoule</t>
  </si>
  <si>
    <t xml:space="preserve">30 mg/mL</t>
  </si>
  <si>
    <t xml:space="preserve">1 × ampoule</t>
  </si>
  <si>
    <t xml:space="preserve">Meropenem GH</t>
  </si>
  <si>
    <t xml:space="preserve">https://michaelschemist.com.au/products/meropenemran500mginj5</t>
  </si>
  <si>
    <t xml:space="preserve">1 g/vial</t>
  </si>
  <si>
    <t xml:space="preserve">1 × 1 g vial (powder)</t>
  </si>
  <si>
    <t xml:space="preserve">https://www.medshop.com.au/products/meropenem-ranbaxy-1g-vial-5-meropenem-1000mg-vial</t>
  </si>
  <si>
    <t xml:space="preserve">500 microgram/10 mL (50 microgram/mL)</t>
  </si>
  <si>
    <t xml:space="preserve">1 × 10 mL glass ampoule</t>
  </si>
  <si>
    <t xml:space="preserve">100 microgram/2 mL (50 microgram/mL)</t>
  </si>
  <si>
    <t xml:space="preserve">10 IU/1 mL</t>
  </si>
  <si>
    <t xml:space="preserve">https://www.healthylife.com.au/products/oxytocin-generic-10iu1ml-x-5-ampoules</t>
  </si>
  <si>
    <t xml:space="preserve">10 mg/10 mL (1 mg/mL)</t>
  </si>
  <si>
    <t xml:space="preserve">1 × 10 mL ampoule</t>
  </si>
  <si>
    <t xml:space="preserve">5 mg/10 mL (0.5 mg/mL)</t>
  </si>
  <si>
    <t xml:space="preserve">https://michaelschemist.com.au/products/rapifenalfentanil1mg2f2mlampx5</t>
  </si>
  <si>
    <t xml:space="preserve">https://medicineprices.org.za/#search:cistrax</t>
  </si>
  <si>
    <t xml:space="preserve">5 x 5 mL vials (powder)</t>
  </si>
  <si>
    <t xml:space="preserve">https://medicineprices.org.za/#search:altirem</t>
  </si>
  <si>
    <t xml:space="preserve">5mg/ml</t>
  </si>
  <si>
    <t xml:space="preserve">5 x 10 mL vials (powder)</t>
  </si>
  <si>
    <t xml:space="preserve">Meroject</t>
  </si>
  <si>
    <t xml:space="preserve">1000mg/30ml</t>
  </si>
  <si>
    <t xml:space="preserve">10 x 30 mL vials (powder)</t>
  </si>
  <si>
    <t xml:space="preserve">https://medicineprices.org.za/#search:meroject</t>
  </si>
  <si>
    <t xml:space="preserve">Dyna Teicoplanin</t>
  </si>
  <si>
    <t xml:space="preserve">200mg</t>
  </si>
  <si>
    <t xml:space="preserve">1 x 20 mL vial (powder) + 1 x 3.2 mL solvent ampoule</t>
  </si>
  <si>
    <t xml:space="preserve">Teicoplanin PD</t>
  </si>
  <si>
    <t xml:space="preserve">5 x 5 mL ampoules/vials</t>
  </si>
  <si>
    <t xml:space="preserve">https://www.mountainside-medical.com/products/diphenhydramine-injection-50-mg-ml-single-dose-vials-1-ml-x-25-pack</t>
  </si>
  <si>
    <t xml:space="preserve">1ml single dose ampul</t>
  </si>
  <si>
    <t xml:space="preserve">https://www.drugs.com/price-guide/isoproterenol</t>
  </si>
  <si>
    <t xml:space="preserve">EQ 300MG BASE/ML</t>
  </si>
  <si>
    <t xml:space="preserve">2ml multi-dose vial</t>
  </si>
  <si>
    <t xml:space="preserve">https://www.drugs.com/price-guide/lincomycin</t>
  </si>
  <si>
    <t xml:space="preserve">25 x 10 mL (200 mg/10 mL) Multi-Dose Vials (NDC 42571-371-87)</t>
  </si>
  <si>
    <t xml:space="preserve">50MG/5ML (10MG/ML)</t>
  </si>
  <si>
    <t xml:space="preserve">10 × 5 mL single-dose vials; NDC 42571-370-99</t>
  </si>
  <si>
    <t xml:space="preserve">Vial single dose</t>
  </si>
  <si>
    <t xml:space="preserve">https://www.drugs.com/price-guide/brivaracetam</t>
  </si>
  <si>
    <t xml:space="preserve">5MG/2ML (2.5MG/ML)</t>
  </si>
  <si>
    <t xml:space="preserve">10MG/4ML (2.5MG/ML)</t>
  </si>
  <si>
    <t xml:space="preserve">1 × 4 mL vial; 5 × 4 mL vials</t>
  </si>
  <si>
    <t xml:space="preserve">60 mg caffeine citrate/3 mL (= 30 mg caffeine base)</t>
  </si>
  <si>
    <t xml:space="preserve">10 x 3 mL vials</t>
  </si>
  <si>
    <t xml:space="preserve">https://www.medicinpriser.dk/Default.aspx?VirksomtStof=Caffein&amp;lng=2</t>
  </si>
  <si>
    <t xml:space="preserve">1 x 3 mL fill in a 5 mL vial</t>
  </si>
  <si>
    <t xml:space="preserve">50 mg/1 mL</t>
  </si>
  <si>
    <t xml:space="preserve">https://michaelschemist.com.au/products/valoidinj50mg2f1ml5</t>
  </si>
  <si>
    <t xml:space="preserve">https://www.medshop.com.au/products/levetiracetam-500mg5ml-vial-10-levetiracetam-500mg5ml-vial</t>
  </si>
  <si>
    <t xml:space="preserve">Isoprika</t>
  </si>
  <si>
    <t xml:space="preserve">1mL or 2 mL Single-Dose Vial x 25-Vial Carton</t>
  </si>
  <si>
    <t xml:space="preserve">1 Multi-dose Vial (5 mL)</t>
  </si>
  <si>
    <t xml:space="preserve">1 × 3.5 mg single-dose powder vial; NDC 72205-183-01 (Novadoz / MSN)</t>
  </si>
  <si>
    <t xml:space="preserve">10 × 5 mL single-dose vials; NDC 72205-272-07 (Novadoz / MSN)</t>
  </si>
  <si>
    <t xml:space="preserve">10 × 2 mL single-dose vials</t>
  </si>
  <si>
    <t xml:space="preserve">https://dmd-browser.nhsbsa.nhs.uk/ampp/view/208635</t>
  </si>
  <si>
    <t xml:space="preserve">https://dmd-browser.nhsbsa.nhs.uk/ampp/view/203257</t>
  </si>
  <si>
    <t xml:space="preserve">1.0 MMOL/ML</t>
  </si>
  <si>
    <t xml:space="preserve">2ml, 7.5ml, 15ml, 30ml, 67ml vial x 1 vial/ pack of 10</t>
  </si>
  <si>
    <t xml:space="preserve">https://dmd-browser.nhsbsa.nhs.uk/ampp/view/204692</t>
  </si>
  <si>
    <t xml:space="preserve">Bortezomib MSN Laboratories Europe</t>
  </si>
  <si>
    <t xml:space="preserve">https://zoek.officielebekendmakingen.nl/stcrt-2026-7257.html</t>
  </si>
  <si>
    <t xml:space="preserve">Gadobutrol MSN Laboratories Europe</t>
  </si>
  <si>
    <t xml:space="preserve">1 mmol/mL</t>
  </si>
  <si>
    <t xml:space="preserve">Sugammadex MSN</t>
  </si>
  <si>
    <t xml:space="preserve">MSN-Bortezomib</t>
  </si>
  <si>
    <t xml:space="preserve">0.25%</t>
  </si>
  <si>
    <t xml:space="preserve">10 × 10 mL vials; 1 × 30 mL single-dose vial</t>
  </si>
  <si>
    <t xml:space="preserve">https://www.drugs.com/price-guide/bupivacaine</t>
  </si>
  <si>
    <t xml:space="preserve">0.5%</t>
  </si>
  <si>
    <t xml:space="preserve">1 × 30 mL single-dose vial; 10 × 10 mL vials</t>
  </si>
  <si>
    <t xml:space="preserve">500MG/VIAL</t>
  </si>
  <si>
    <t xml:space="preserve">multi dose vial</t>
  </si>
  <si>
    <t xml:space="preserve">Powder Vial (1 g) - pack count not verified</t>
  </si>
  <si>
    <t xml:space="preserve">Powder Vial (2 g) - pack count not verified</t>
  </si>
  <si>
    <t xml:space="preserve">https://www.aponeo.de/rx/19949801-meropenem-hexal-500-mg-plv-z-her-e-inj-o-inf-lsg.html</t>
  </si>
  <si>
    <t xml:space="preserve">2 g</t>
  </si>
  <si>
    <t xml:space="preserve">1 x 2 g vial (powder)</t>
  </si>
  <si>
    <t xml:space="preserve">10 × 5 mL single-dose vials; 10 × 10 mL multi-dose vials</t>
  </si>
  <si>
    <t xml:space="preserve">https://www.drugs.com/price-guide/cisatracurium</t>
  </si>
  <si>
    <t xml:space="preserve">EQ 10MG BASE/ML</t>
  </si>
  <si>
    <t xml:space="preserve">0.05MG/ML</t>
  </si>
  <si>
    <t xml:space="preserve">1 mL single-dose syringe, 50 mcg per mL (NDC 66794-151-01)</t>
  </si>
  <si>
    <t xml:space="preserve">Rapifen</t>
  </si>
  <si>
    <t xml:space="preserve">10 x 2 mL ampoules (1 mg/2 mL; current Sep-2026 tariff pack); 5 x 10 mL Rapifen pack deleted Sep-2026</t>
  </si>
  <si>
    <t xml:space="preserve">https://medicineprices.org.za/#search:rapifen</t>
  </si>
  <si>
    <t xml:space="preserve">Alfentanil Piramal</t>
  </si>
  <si>
    <t xml:space="preserve">0.5 mg/mL</t>
  </si>
  <si>
    <t xml:space="preserve">5 x 10 mL ampoules</t>
  </si>
  <si>
    <t xml:space="preserve">https://mediately.co/it/drugs/3ytjMRFtaIbVwcIRVFvxl1oiBXA/alfentanil-piramal-5-fiale-ev-10-ml-0-5-mg-ml</t>
  </si>
  <si>
    <t xml:space="preserve">2 mg/mL</t>
  </si>
  <si>
    <t xml:space="preserve">https://www.shop-apotheke.com/arzneimittel/1854738/hypnomidate-2-mg-ml.htm</t>
  </si>
  <si>
    <t xml:space="preserve">Sugammadex Piramal</t>
  </si>
  <si>
    <t xml:space="preserve">0.5mg/ml</t>
  </si>
  <si>
    <t xml:space="preserve">50mcg/ml</t>
  </si>
  <si>
    <t xml:space="preserve">https://medicineprices.org.za/#search:sublimaze</t>
  </si>
  <si>
    <t xml:space="preserve">1 x vial (price normalized per unit; marketed pack unconfirmed)</t>
  </si>
  <si>
    <t xml:space="preserve">https://dmd-browser.nhsbsa.nhs.uk/ampp/view/175452</t>
  </si>
  <si>
    <t xml:space="preserve">Meropenem Strides Pharma</t>
  </si>
  <si>
    <t xml:space="preserve">10 x 500 mg vials (powder) (priced comparator pack)</t>
  </si>
  <si>
    <t xml:space="preserve">2 g/vial</t>
  </si>
  <si>
    <t xml:space="preserve">1 × 2 g vial (powder)</t>
  </si>
  <si>
    <t xml:space="preserve">https://www.healthylife.com.au/products/ceftazidime-1g-x-1-vial</t>
  </si>
  <si>
    <t xml:space="preserve">https://michaelschemist.com.au/products/cefepimepwdrforinj1gvial1</t>
  </si>
  <si>
    <t xml:space="preserve">https://michaelschemist.com.au/collections/prescriptions/products/cefepimepwdrforinj2gvial1</t>
  </si>
  <si>
    <t xml:space="preserve">Auro Piptaz</t>
  </si>
  <si>
    <t xml:space="preserve">2 g + 250 mg/vial</t>
  </si>
  <si>
    <t xml:space="preserve">1 × 2 g/250 mg vial (powder)</t>
  </si>
  <si>
    <t xml:space="preserve">https://michaelschemist.com.au/products/piperacillinsodium4gtazobactamsodium05gvial</t>
  </si>
  <si>
    <t xml:space="preserve">Auro-Piptaz</t>
  </si>
  <si>
    <t xml:space="preserve">4 g + 500 mg/vial</t>
  </si>
  <si>
    <t xml:space="preserve">1 × 4 g/500 mg vial (powder)</t>
  </si>
  <si>
    <t xml:space="preserve">100mg /5ml</t>
  </si>
  <si>
    <t xml:space="preserve">100 mg vial (current SA pack count unresolved)</t>
  </si>
  <si>
    <t xml:space="preserve">https://medicineprices.org.za/#search:cortaject</t>
  </si>
  <si>
    <t xml:space="preserve">EQ 500MG BASE/VIAL</t>
  </si>
  <si>
    <t xml:space="preserve">1 Single-Dose Vial (18mL fill, lyophilized)</t>
  </si>
  <si>
    <t xml:space="preserve">https://www.drugs.com/price-guide/chlorothiazide</t>
  </si>
  <si>
    <t xml:space="preserve">1 × 25 mL single-dose vial; 1 × 100 mL multi-dose vial</t>
  </si>
  <si>
    <t xml:space="preserve">https://www.drugs.com/price-guide/doxorubicin</t>
  </si>
  <si>
    <t xml:space="preserve">Sugammadex Sun</t>
  </si>
  <si>
    <t xml:space="preserve">https://dmd-browser.nhsbsa.nhs.uk/ampp/view/195579</t>
  </si>
  <si>
    <t xml:space="preserve">1 x 300 mg vial (powder) + 1 x 2 mL solvent vial</t>
  </si>
  <si>
    <t xml:space="preserve">https://www.nhsbsa.nhs.uk/sites/default/files/2022-06/Drug%20Tariff%20Part%20VIIIA%20July%202022.pdf</t>
  </si>
  <si>
    <t xml:space="preserve">Bortezomib Sun</t>
  </si>
  <si>
    <t xml:space="preserve">https://dmd-browser.nhsbsa.nhs.uk/ampp/view/193706</t>
  </si>
  <si>
    <t xml:space="preserve">Vecuronium Sun</t>
  </si>
  <si>
    <t xml:space="preserve">10 MG</t>
  </si>
  <si>
    <t xml:space="preserve">1/4/10/20 x 10mL vial </t>
  </si>
  <si>
    <t xml:space="preserve">https://dmd-browser.nhsbsa.nhs.uk/ampp/view/211689</t>
  </si>
  <si>
    <t xml:space="preserve">Testosterone</t>
  </si>
  <si>
    <t xml:space="preserve">1000 MG/4 ML</t>
  </si>
  <si>
    <t xml:space="preserve">Terlipressin Acetate Sun</t>
  </si>
  <si>
    <t xml:space="preserve">0.12 MG/ML</t>
  </si>
  <si>
    <t xml:space="preserve">5 x 8.5 mL ampoules</t>
  </si>
  <si>
    <t xml:space="preserve">https://dmd-browser.nhsbsa.nhs.uk/ampp/view/212956</t>
  </si>
  <si>
    <t xml:space="preserve">1/5/10/24 x 20mL vial </t>
  </si>
  <si>
    <t xml:space="preserve">https://dmd-browser.nhsbsa.nhs.uk/ampp/view/198278</t>
  </si>
  <si>
    <t xml:space="preserve">https://dmd-browser.nhsbsa.nhs.uk/ampp/view/96481</t>
  </si>
  <si>
    <t xml:space="preserve">Esomeprazol Sun</t>
  </si>
  <si>
    <t xml:space="preserve">Melfalan Sun</t>
  </si>
  <si>
    <t xml:space="preserve">Meropenem Basics</t>
  </si>
  <si>
    <t xml:space="preserve">500 mg (powder)</t>
  </si>
  <si>
    <t xml:space="preserve">10 x 500 mg powder vials (30 mL container capacity)</t>
  </si>
  <si>
    <t xml:space="preserve">Meropenem Ranbaxy</t>
  </si>
  <si>
    <t xml:space="preserve">Pantoprazol Sun</t>
  </si>
  <si>
    <t xml:space="preserve">2 mcg/mL</t>
  </si>
  <si>
    <t xml:space="preserve">5 x 1 mL vials</t>
  </si>
  <si>
    <t xml:space="preserve">https://www.aponeo.de/rx/10735547-paricalcitol-hexal-2-mikrogramm-ml-injektionslsg.html</t>
  </si>
  <si>
    <t xml:space="preserve">Teicoplanin Ranbaxy</t>
  </si>
  <si>
    <t xml:space="preserve">1 x 400 mg powder vial + 1 x 3 mL solvent ampoule</t>
  </si>
  <si>
    <t xml:space="preserve">Terlipresina Sun</t>
  </si>
  <si>
    <t xml:space="preserve">850 mcg/8.5 mL</t>
  </si>
  <si>
    <t xml:space="preserve">Testosteron Basics</t>
  </si>
  <si>
    <t xml:space="preserve">1 g/4 mL</t>
  </si>
  <si>
    <t xml:space="preserve">https://base-donnees-publique.medicaments.gouv.fr/medicament/61614600/extrait</t>
  </si>
  <si>
    <t xml:space="preserve">10 x 10 mg vials (powder)</t>
  </si>
  <si>
    <t xml:space="preserve">https://www.aliva.de/p/vecuronium-inresa-10-mg-pulver-z-herst-e-inj-lsg-10-pulver-zur-herstellung-einer-injektionsloesung-03379371</t>
  </si>
  <si>
    <t xml:space="preserve">Taro-Meropenem</t>
  </si>
  <si>
    <t xml:space="preserve">30 mL single-use vial; 10 vials/carton</t>
  </si>
  <si>
    <t xml:space="preserve">https://idbl.ab.bluecross.ca/idbl/drugsList?ptc=08120708</t>
  </si>
  <si>
    <t xml:space="preserve">40 mL single-use vial; 10 vials/carton</t>
  </si>
  <si>
    <t xml:space="preserve">Taro-Melphalan</t>
  </si>
  <si>
    <t xml:space="preserve">Kit containing 50 mg melphalan vial + 10 mL buffer/solvent vial</t>
  </si>
  <si>
    <t xml:space="preserve">10 mL multi-dose vial (contains benzyl alcohol preservative)</t>
  </si>
  <si>
    <t xml:space="preserve">https://www.formulary.health.gov.on.ca/formulary/detail.xhtml?drugId=02496003</t>
  </si>
  <si>
    <t xml:space="preserve">Taro-Bortezomib</t>
  </si>
  <si>
    <t xml:space="preserve">3.5 mg in 10 mL single-use vial; 1 vial/carton</t>
  </si>
  <si>
    <t xml:space="preserve">Aripena</t>
  </si>
  <si>
    <t xml:space="preserve">1 × 300 mg powder vial + diluent (kit)</t>
  </si>
  <si>
    <t xml:space="preserve">Empty Syringes</t>
  </si>
  <si>
    <t xml:space="preserve">1 × 400 mg powder vial + diluent (kit)</t>
  </si>
  <si>
    <t xml:space="preserve">Testosterone Sun</t>
  </si>
  <si>
    <t xml:space="preserve">1000 mg/4 mL (250 mg/mL)</t>
  </si>
  <si>
    <t xml:space="preserve">1 × 4 mL vial</t>
  </si>
  <si>
    <t xml:space="preserve">500 microgram/1 mL</t>
  </si>
  <si>
    <t xml:space="preserve">1 × 10 mg powder vial</t>
  </si>
  <si>
    <t xml:space="preserve">Esomeprazole Sun</t>
  </si>
  <si>
    <t xml:space="preserve">40 mg/vial</t>
  </si>
  <si>
    <t xml:space="preserve">1 × 40 mg glass vial (powder)</t>
  </si>
  <si>
    <t xml:space="preserve">Sumabid IV</t>
  </si>
  <si>
    <t xml:space="preserve">100mg/ml</t>
  </si>
  <si>
    <t xml:space="preserve">https://medicineprices.org.za/#search:sumabid</t>
  </si>
  <si>
    <t xml:space="preserve">Botigen</t>
  </si>
  <si>
    <t xml:space="preserve">https://medicineprices.org.za/#search:botigen</t>
  </si>
  <si>
    <t xml:space="preserve">Muscuron</t>
  </si>
  <si>
    <t xml:space="preserve">4mg/2ml</t>
  </si>
  <si>
    <t xml:space="preserve">5 x 2 mL vials (powder)</t>
  </si>
  <si>
    <t xml:space="preserve">10 x 2 mL vials (powder)</t>
  </si>
  <si>
    <t xml:space="preserve">Mercide</t>
  </si>
  <si>
    <t xml:space="preserve">1 x 40 mL vial (powder)</t>
  </si>
  <si>
    <t xml:space="preserve">https://medicineprices.org.za/#search:mercide</t>
  </si>
  <si>
    <t xml:space="preserve">3 MG/3 ML</t>
  </si>
  <si>
    <t xml:space="preserve">5 x 3 mL ampoules</t>
  </si>
  <si>
    <t xml:space="preserve">https://dmd-browser.nhsbsa.nhs.uk/ampp/view/168374</t>
  </si>
  <si>
    <t xml:space="preserve">Granisetron Torrent Pharma</t>
  </si>
  <si>
    <t xml:space="preserve">5 x 3 mL ampoules (priced comparator pack)</t>
  </si>
  <si>
    <t xml:space="preserve">German pharmacy price (Apothekenverkaufspreis, incl. VAT) via mycare.de, EUR→USD 1.13</t>
  </si>
  <si>
    <t xml:space="preserve">https://www.mycare.de/online-kaufen/levetiracetam-till100mgml-infusionsloesungs--konzentrat-15576734</t>
  </si>
  <si>
    <t xml:space="preserve">1 x 0.5 mL pre-filled syringe</t>
  </si>
  <si>
    <t xml:space="preserve">https://www.sanidad.gob.es/profesionales/nomenclator.do?metodo=buscarProductos&amp;especialidad=XEPLION%25</t>
  </si>
  <si>
    <t xml:space="preserve">Meropenem Venus Pharma</t>
  </si>
  <si>
    <t xml:space="preserve">2 G</t>
  </si>
  <si>
    <t xml:space="preserve">10 x 2 g vials (powder)</t>
  </si>
  <si>
    <t xml:space="preserve">https://dmd-browser.nhsbsa.nhs.uk/ampp/view/190496</t>
  </si>
  <si>
    <t xml:space="preserve">https://dmd-browser.nhsbsa.nhs.uk/ampp/view/170191</t>
  </si>
  <si>
    <t xml:space="preserve">15,000 IU</t>
  </si>
  <si>
    <t xml:space="preserve">1 x 15,000 IU vial (powder)</t>
  </si>
  <si>
    <t xml:space="preserve">https://dmd-browser.nhsbsa.nhs.uk/ampp/view/208581</t>
  </si>
  <si>
    <t xml:space="preserve">Meropenem Venus</t>
  </si>
  <si>
    <t xml:space="preserve">1 gram powder vial, packaged in carton of ten vials</t>
  </si>
  <si>
    <t xml:space="preserve">EQ 250MG BASE/VIAL</t>
  </si>
  <si>
    <t xml:space="preserve">250 mg vials (glass); Box of 1 (NDC 64679-701-01), Box of 10 (NDC 64679-701-02), Box of 25 (NDC 64679-701-03)</t>
  </si>
  <si>
    <t xml:space="preserve">https://www.drugs.com/price-guide/ceftriaxone</t>
  </si>
  <si>
    <t xml:space="preserve">500 mg vials (glass); Box of 1 (NDC 64679-702-01) and Box of 10 (NDC 64679-702-02)</t>
  </si>
  <si>
    <t xml:space="preserve">https://dmd-browser.nhsbsa.nhs.uk/ampp/view/197707</t>
  </si>
  <si>
    <t xml:space="preserve">https://dmd-browser.nhsbsa.nhs.uk/ampp/view/197725</t>
  </si>
  <si>
    <t xml:space="preserve">5 x 4 mL ampoules</t>
  </si>
  <si>
    <t xml:space="preserve">https://dmd-browser.nhsbsa.nhs.uk/ampp/view/102025</t>
  </si>
  <si>
    <t xml:space="preserve">5 MG</t>
  </si>
  <si>
    <t xml:space="preserve">5 x 5 mg vials (powder)</t>
  </si>
  <si>
    <t xml:space="preserve">https://dmd-browser.nhsbsa.nhs.uk/ampp/view/87654</t>
  </si>
  <si>
    <t xml:space="preserve">Protamine Sulfate</t>
  </si>
  <si>
    <t xml:space="preserve">https://dmd-browser.nhsbsa.nhs.uk/ampp/view/64125</t>
  </si>
  <si>
    <t xml:space="preserve">30 MG/ML</t>
  </si>
  <si>
    <t xml:space="preserve">10 x 1 mL ampoules</t>
  </si>
  <si>
    <t xml:space="preserve">10 x 10 mL ampoules</t>
  </si>
  <si>
    <t xml:space="preserve">https://dmd-browser.nhsbsa.nhs.uk/ampp/view/162030</t>
  </si>
  <si>
    <t xml:space="preserve">600 MCG/ML</t>
  </si>
  <si>
    <t xml:space="preserve">https://dmd-browser.nhsbsa.nhs.uk/ampp/view/210923</t>
  </si>
  <si>
    <t xml:space="preserve">5 x 1 mL ampoules</t>
  </si>
  <si>
    <t xml:space="preserve">https://dmd-browser.nhsbsa.nhs.uk/ampp/view/110861</t>
  </si>
  <si>
    <t xml:space="preserve">https://dmd-browser.nhsbsa.nhs.uk/ampp/view/110863</t>
  </si>
  <si>
    <t xml:space="preserve">https://dmd-browser.nhsbsa.nhs.uk/ampp/view/59566</t>
  </si>
  <si>
    <t xml:space="preserve">3 MG/ML</t>
  </si>
  <si>
    <t xml:space="preserve">6 x 2 mL vials</t>
  </si>
  <si>
    <t xml:space="preserve">https://dmd-browser.nhsbsa.nhs.uk/ampp/view/87667</t>
  </si>
  <si>
    <t xml:space="preserve">Adenosine Wockhardt</t>
  </si>
  <si>
    <t xml:space="preserve">3 mg/mL</t>
  </si>
  <si>
    <t xml:space="preserve">https://www.aponeo.de/rx/17923772-adenosin-baxter-6-mg-2-ml-injektionsloesung.html</t>
  </si>
  <si>
    <t xml:space="preserve">Ceftazadime</t>
  </si>
  <si>
    <t xml:space="preserve">Daptomycin Wockhardt</t>
  </si>
  <si>
    <t xml:space="preserve">1500 IU</t>
  </si>
  <si>
    <t xml:space="preserve">10 x 1500 IU ampoules (powder)</t>
  </si>
  <si>
    <t xml:space="preserve">https://www.medicijnkosten.nl/medicijn?artikel=HYALURONIDASE+INJ%2FINFUSIEPOEDER+AMPUL+1500IE&amp;id=b89726bfa881dc7b75ae7c2517d4b5b7</t>
  </si>
  <si>
    <t xml:space="preserve">https://mediately.co/gr/drugs/YCsx3j2n2qawnnaJDmFwug8Ahhz/metaraminol-so-inj-inf-10mg-ml</t>
  </si>
  <si>
    <t xml:space="preserve">Milrinone Wockhardt</t>
  </si>
  <si>
    <t xml:space="preserve">Prosulf</t>
  </si>
  <si>
    <t xml:space="preserve">5 x 5 mL ampoules</t>
  </si>
  <si>
    <t xml:space="preserve">https://www.medicinpriser.dk/Default.aspx?VirksomtStof=Protamin</t>
  </si>
  <si>
    <t xml:space="preserve">Remifentanil Wockhardt</t>
  </si>
  <si>
    <t xml:space="preserve">5 mg</t>
  </si>
  <si>
    <t xml:space="preserve">Sodium Valproate Wockhardt</t>
  </si>
  <si>
    <t xml:space="preserve">400 mg/4 mL</t>
  </si>
  <si>
    <t xml:space="preserve">5 x 4 mL vials</t>
  </si>
  <si>
    <t xml:space="preserve">Daptomycin WKT</t>
  </si>
  <si>
    <t xml:space="preserve">400 mg/4 mL (100 mg/mL)</t>
  </si>
  <si>
    <t xml:space="preserve">1 × 4 mL ampoule</t>
  </si>
  <si>
    <t xml:space="preserve">https://www.medshop.com.au/products/sodium-valproate-juno-400mg-4ml</t>
  </si>
  <si>
    <t xml:space="preserve">https://www.drugs.com/price-guide/acetazolamide</t>
  </si>
  <si>
    <t xml:space="preserve">1 mL or 2mL Single-Dose Vial x 25-Vial Carton</t>
  </si>
  <si>
    <t xml:space="preserve">5mL Single-Dose Vial x 10-Vial Carton</t>
  </si>
  <si>
    <t xml:space="preserve">20mL Single-Dose Vial x 10-Vial Carton</t>
  </si>
  <si>
    <t xml:space="preserve">25 × 1 mL multi-dose vials; 10 × 10 mL multi-dose vials; 25 × 10 mL multi-dose vials; 1 × 30 mL multi-dose vial; 5 × 30 mL multi-dose vials</t>
  </si>
  <si>
    <t xml:space="preserve">https://www.drugs.com/price-guide/cyanocobalamin</t>
  </si>
  <si>
    <t xml:space="preserve">EQ 50MG BASE/VIAL</t>
  </si>
  <si>
    <t xml:space="preserve">https://www.drugs.com/price-guide/sodium-edecrin</t>
  </si>
  <si>
    <t xml:space="preserve">EQ 50MG BASE/ML</t>
  </si>
  <si>
    <t xml:space="preserve">1 mL Single-Dose Vial,5 mL Multiple-Dose Vial</t>
  </si>
  <si>
    <t xml:space="preserve">https://www.drugs.com/price-guide/haloperidol</t>
  </si>
  <si>
    <t xml:space="preserve">EQ 100MG BASE/ML</t>
  </si>
  <si>
    <t xml:space="preserve">Single -dose, 2 mL in 1 VIAL</t>
  </si>
  <si>
    <t xml:space="preserve">25MG/VIAL</t>
  </si>
  <si>
    <t xml:space="preserve">Not found (not in current FDA NDC listing)</t>
  </si>
  <si>
    <t xml:space="preserve">https://www.drugs.com/price-guide/indocyanine-green</t>
  </si>
  <si>
    <t xml:space="preserve">25 × 10 mL multi-dose vials</t>
  </si>
  <si>
    <t xml:space="preserve">Single-dose fliptop vial (verapamil hydrochloride injection 2.5 mg/mL)</t>
  </si>
  <si>
    <t xml:space="preserve">5 ml single dose vial</t>
  </si>
  <si>
    <t xml:space="preserve">https://www.drugs.com/price-guide/fluorescein</t>
  </si>
  <si>
    <t xml:space="preserve">EQ 500MG BASE/2ML (EQ 250MG BASE/ML)</t>
  </si>
  <si>
    <t xml:space="preserve">1 × 3.5 mg single-dose powder vial; NDC 70710-1411-1 (Zydus)</t>
  </si>
  <si>
    <t xml:space="preserve">2 × 5 mL single-dose syringes + safety needles; NDC 70710-1688-8</t>
  </si>
  <si>
    <t xml:space="preserve">Bortezomib Combix</t>
  </si>
  <si>
    <t xml:space="preserve">https://base-donnees-publique.medicaments.gouv.fr/medicament/66127233/extrait</t>
  </si>
  <si>
    <t xml:space="preserve">Zymib</t>
  </si>
  <si>
    <t xml:space="preserve">8mg</t>
  </si>
  <si>
    <t xml:space="preserve">5 ampoules/vials</t>
  </si>
  <si>
    <t xml:space="preserve">100mg/5ml</t>
  </si>
  <si>
    <t xml:space="preserve">Route of administration – scope check (ID / IM / SC)</t>
  </si>
  <si>
    <t xml:space="preserve">SurTrac's retractable safety syringe is for intradermal (ID), intramuscular (IM) and subcutaneous (SC) injection. A drug is in scope if its label lists at least one of these routes; IV-only drugs (given through a catheter or infusion line, where a needle-free connector is used) are excluded. Col D drives the exclusion in every tab – overwrite Yes / No to change it.</t>
  </si>
  <si>
    <t xml:space="preserve">Label checked</t>
  </si>
  <si>
    <t xml:space="preserve">Source URL</t>
  </si>
  <si>
    <t xml:space="preserve">How to check</t>
  </si>
  <si>
    <t xml:space="preserve">Second source URL</t>
  </si>
  <si>
    <t xml:space="preserve">Cross-check – 7 geographies (US, UK, EU/EEA, Canada, Australia, South Africa, UAE)</t>
  </si>
  <si>
    <t xml:space="preserve">IV, IM</t>
  </si>
  <si>
    <t xml:space="preserve">UK SmPC (MHRA, Acetazolamide 500mg powder for solution for injection, diamox sodium 5) – intravenous or intramuscular injection (IV preferred)</t>
  </si>
  <si>
    <t xml:space="preserve">https://mhraproducts4853.blob.core.windows.net/docs/8e489e2a01676dd3c6dd0b4247f5687d5a33a616</t>
  </si>
  <si>
    <t xml:space="preserve">MHRA SmPC (PDF, permanent link) → section 4.2 Posology and method of administration</t>
  </si>
  <si>
    <t xml:space="preserve">https://dailymed.nlm.nih.gov/dailymed/drugInfo.cfm?setid=2b9fb0dd-e42e-4f9b-bf24-98b268d877e5</t>
  </si>
  <si>
    <t xml:space="preserve">Consistent with the decision in col D across the 7 geographies.</t>
  </si>
  <si>
    <t xml:space="preserve">IV</t>
  </si>
  <si>
    <t xml:space="preserve">US FDA label (DailyMed) – Adenosine (Eugia US LLC): route IV; no US label lists ID / IM / SC (UK SmPC also checked: no ID / IM / SC route)</t>
  </si>
  <si>
    <t xml:space="preserve">https://dailymed.nlm.nih.gov/dailymed/drugInfo.cfm?setid=61d9b8f6-f93f-46ee-bec2-db8d46999792</t>
  </si>
  <si>
    <t xml:space="preserve">DailyMed label → product table at the end ("Route of Administration") and section 2 Dosage and Administration</t>
  </si>
  <si>
    <t xml:space="preserve">https://mhraproducts4853.blob.core.windows.net/docs/4d30849abb087d68fb87b3d040af01db85eeea0c</t>
  </si>
  <si>
    <t xml:space="preserve">No ID / IM / SC product found in the 7 geographies.</t>
  </si>
  <si>
    <t xml:space="preserve">UK SmPC (MHRA, Alfentanil 500 micrograms/mL solution for injection) – intravenous only; no current US label</t>
  </si>
  <si>
    <t xml:space="preserve">https://mhraproducts4853.blob.core.windows.net/docs/643a51399a50b9e99afd935c92f31c50fff13070</t>
  </si>
  <si>
    <t xml:space="preserve">EU database lists IM / SC for one product (Rapifen, Luxembourg); not supported by the UK labels (IV only). Kept out.</t>
  </si>
  <si>
    <t xml:space="preserve">US FDA label (DailyMed) – Amikacin Sulfate (Heritage Pharmaceuticals Inc. d/b/a Avet Pharmaceuticals Inc.): route IM, IV</t>
  </si>
  <si>
    <t xml:space="preserve">https://dailymed.nlm.nih.gov/dailymed/drugInfo.cfm?setid=7791d3e1-9287-4f75-b4f0-e5d35cacfd6e</t>
  </si>
  <si>
    <t xml:space="preserve">US FDA label (DailyMed) – Amiodarone hydrochloride (Gland Pharma Limited): route IV; no US label lists ID / IM / SC (UK SmPC also checked: no ID / IM / SC route)</t>
  </si>
  <si>
    <t xml:space="preserve">https://dailymed.nlm.nih.gov/dailymed/drugInfo.cfm?setid=1f00c333-9667-4ebc-8849-009a3779c0c9</t>
  </si>
  <si>
    <t xml:space="preserve">https://mhraproducts4853.blob.core.windows.net/docs/5a2e115532e171705b28998071f74799e829e4f9</t>
  </si>
  <si>
    <t xml:space="preserve">UK SmPC (MHRA, Amoxicillin 1 g powder for solution for injection) – intravenous or intramuscular; no US injectable label</t>
  </si>
  <si>
    <t xml:space="preserve">US FDA label (DailyMed) – Ampicillin (Eugia US LLC): route IM, IV</t>
  </si>
  <si>
    <t xml:space="preserve">https://dailymed.nlm.nih.gov/dailymed/drugInfo.cfm?setid=b7bf2897-8272-4c7d-84e9-6fbba0ea63fa</t>
  </si>
  <si>
    <t xml:space="preserve">US FDA label (DailyMed) – ARGATROBAN (Accord Healthcare Inc.): route IV; no US label lists ID / IM / SC (UK SmPC also checked: no ID / IM / SC route)</t>
  </si>
  <si>
    <t xml:space="preserve">https://dailymed.nlm.nih.gov/dailymed/drugInfo.cfm?setid=46cdf9e6-839c-49c8-9ee1-c30cfdd9368d</t>
  </si>
  <si>
    <t xml:space="preserve">https://mhraproducts4853.blob.core.windows.net/docs/247aff47b4c3ceb1b47b5c6aee30a185233aad14</t>
  </si>
  <si>
    <t xml:space="preserve">IM</t>
  </si>
  <si>
    <t xml:space="preserve">US FDA label (DailyMed) – Abilify Asimtufii (Otsuka America Pharmaceutical, Inc): route IM</t>
  </si>
  <si>
    <t xml:space="preserve">https://dailymed.nlm.nih.gov/dailymed/drugInfo.cfm?setid=da4c07fd-1130-4341-bb44-63acfa4162be</t>
  </si>
  <si>
    <t xml:space="preserve">US FDA label (DailyMed) – Atracurium Besylate (AuroMedics Pharma LLC): route IV; no US label lists ID / IM / SC (UK SmPC also checked: no ID / IM / SC route)</t>
  </si>
  <si>
    <t xml:space="preserve">https://dailymed.nlm.nih.gov/dailymed/drugInfo.cfm?setid=71d4bc78-57df-474b-8b19-811a959f1fce</t>
  </si>
  <si>
    <t xml:space="preserve">IV, IM, SC</t>
  </si>
  <si>
    <t xml:space="preserve">US FDA label (DailyMed) – Atropine Sulfate (Accord Healthcare Inc.): route IM, IV, SC</t>
  </si>
  <si>
    <t xml:space="preserve">https://dailymed.nlm.nih.gov/dailymed/drugInfo.cfm?setid=f3cb74e9-b4ac-4efe-bd8e-8a71970ee7c7</t>
  </si>
  <si>
    <t xml:space="preserve">IV, SC</t>
  </si>
  <si>
    <t xml:space="preserve">US FDA label (DailyMed) – Azacitidine (Accord Healthcare Inc.): route IV, SC</t>
  </si>
  <si>
    <t xml:space="preserve">https://dailymed.nlm.nih.gov/dailymed/drugInfo.cfm?setid=70140e11-33f1-2240-e053-2991aa0a0480</t>
  </si>
  <si>
    <t xml:space="preserve">Intrathecal</t>
  </si>
  <si>
    <t xml:space="preserve">UK SmPC (MHRA, Baclofen 2 mg/mL solution for infusion) – intrathecal infusion via implanted pump</t>
  </si>
  <si>
    <t xml:space="preserve">https://mhraproducts4853.blob.core.windows.net/docs/38cffb86d463a85be1de8ce8a70b2775c027a0cb</t>
  </si>
  <si>
    <t xml:space="preserve">US FDA label (DailyMed) – Bivalirudin (Accord Healthcare, Inc.): route IV; no US label lists ID / IM / SC</t>
  </si>
  <si>
    <t xml:space="preserve">https://dailymed.nlm.nih.gov/dailymed/drugInfo.cfm?setid=c20969cb-72d4-469b-9bd8-332250d896c3</t>
  </si>
  <si>
    <t xml:space="preserve">US FDA label (DailyMed) – Bleomycin (Fresenius Kabi USA, LLC): route IM, IV, SC</t>
  </si>
  <si>
    <t xml:space="preserve">https://dailymed.nlm.nih.gov/dailymed/drugInfo.cfm?setid=b5806c40-12ce-48e3-8abd-9f8997ef4428</t>
  </si>
  <si>
    <t xml:space="preserve">US FDA label (DailyMed) – Bortezomib (Camber Pharmaceuticals, Inc.): route IV, SC</t>
  </si>
  <si>
    <t xml:space="preserve">https://dailymed.nlm.nih.gov/dailymed/drugInfo.cfm?setid=04aafa6a-a50d-4a47-a831-be8e8bb992ac</t>
  </si>
  <si>
    <t xml:space="preserve">US FDA label (DailyMed) – BRIVARACETAM (Micro Labs Limited): route IV; no US label lists ID / IM / SC (UK SmPC also checked: no ID / IM / SC route)</t>
  </si>
  <si>
    <t xml:space="preserve">https://dailymed.nlm.nih.gov/dailymed/drugInfo.cfm?setid=c054a1c9-2aa7-473b-a04b-622596f36c95</t>
  </si>
  <si>
    <t xml:space="preserve">https://mhraproducts4853.blob.core.windows.net/docs/da6e39cbeb26faea8c72a05b7312c32134b623cd</t>
  </si>
  <si>
    <t xml:space="preserve">Epidural, intra-articular, SC, perineural</t>
  </si>
  <si>
    <t xml:space="preserve">UK SmPC (MHRA, Bupivacaine hydrochloride 2.5 mg/mL solution for injection) – epidural, intra-articular, subcutaneous or perineural use</t>
  </si>
  <si>
    <t xml:space="preserve">https://mhraproducts4853.blob.core.windows.net/docs/a9d1ffc9d457cfc0e43514aa459052215983758a</t>
  </si>
  <si>
    <t xml:space="preserve">US FDA label (DailyMed) – route metadata lists IM for one label, but the label text gives intravenous use only (UK SmPC also checked: no ID / IM / SC route)</t>
  </si>
  <si>
    <t xml:space="preserve">https://dailymed.nlm.nih.gov/dailymed/drugInfo.cfm?setid=21489401-f2a7-47d3-897a-4b7efa04dd7a</t>
  </si>
  <si>
    <t xml:space="preserve">https://mhraproducts4853.blob.core.windows.net/docs/5f7fabf03215a8e9cbd05bcdca2305b6839d7d56</t>
  </si>
  <si>
    <t xml:space="preserve">Caffeine and sodium benzoate (a different US product) is IM / IV; caffeine citrate labels say not IM. Kept out.</t>
  </si>
  <si>
    <t xml:space="preserve">US FDA label (DailyMed) – CARBOPROST TROMETHAMINE (Alembic Pharmaceuticals Inc.): route IM</t>
  </si>
  <si>
    <t xml:space="preserve">https://dailymed.nlm.nih.gov/dailymed/drugInfo.cfm?setid=c1cde9c7-b005-484f-8497-343c5ecd4f0a</t>
  </si>
  <si>
    <t xml:space="preserve">US FDA label (DailyMed) – Cefazolin (A-S Medication Solutions): route IM, IV</t>
  </si>
  <si>
    <t xml:space="preserve">https://dailymed.nlm.nih.gov/dailymed/drugInfo.cfm?setid=8a772acc-726d-40e6-88ee-b6075cbf9b28</t>
  </si>
  <si>
    <t xml:space="preserve">US FDA label (DailyMed) – Cefepime (Apotex Corp.): route IM, IV</t>
  </si>
  <si>
    <t xml:space="preserve">https://dailymed.nlm.nih.gov/dailymed/drugInfo.cfm?setid=02aa374f-37b4-456a-b5de-cfd3bbb6ce6e</t>
  </si>
  <si>
    <t xml:space="preserve">US FDA label (DailyMed) – TAZICEF (Hospira, Inc.): route IM, IV</t>
  </si>
  <si>
    <t xml:space="preserve">https://dailymed.nlm.nih.gov/dailymed/drugInfo.cfm?setid=40d48c5d-650e-461b-a67b-7e65772d1b92</t>
  </si>
  <si>
    <t xml:space="preserve">US FDA label (DailyMed) – Ceftriaxone Sodium (A-S Medication Solutions): route IM, IV</t>
  </si>
  <si>
    <t xml:space="preserve">https://dailymed.nlm.nih.gov/dailymed/drugInfo.cfm?setid=1aa0a4ee-1b39-4c3d-a7a3-33dded6fe28c</t>
  </si>
  <si>
    <t xml:space="preserve">US FDA label (DailyMed) – Chlorothiazide sodium (Gland Pharma Limited): route IV; no US label lists ID / IM / SC</t>
  </si>
  <si>
    <t xml:space="preserve">https://dailymed.nlm.nih.gov/dailymed/drugInfo.cfm?setid=bf921935-9740-458e-b786-69f76d8ad139</t>
  </si>
  <si>
    <t xml:space="preserve">UK SmPC (MHRA, Chlorphenamine 10 mg/mL solution for injection) – intramuscular, subcutaneous or intravenous; no US injectable label</t>
  </si>
  <si>
    <t xml:space="preserve">US FDA label (DailyMed) – CHLORPROMAZINE HYDROCHLORIDE (Camber Pharmaceuticals, Inc.): route IM</t>
  </si>
  <si>
    <t xml:space="preserve">https://dailymed.nlm.nih.gov/dailymed/drugInfo.cfm?setid=6564346c-661c-41cf-9cef-db6aa15710cd</t>
  </si>
  <si>
    <t xml:space="preserve">US FDA label (DailyMed) – Cisatracurium Besylate (Camber Pharmaceuticals Inc.): route IV; no US label lists ID / IM / SC (UK SmPC also checked: no ID / IM / SC route)</t>
  </si>
  <si>
    <t xml:space="preserve">https://dailymed.nlm.nih.gov/dailymed/drugInfo.cfm?setid=d8b5eb77-b393-4cd7-86c5-d2a9d131f96d</t>
  </si>
  <si>
    <t xml:space="preserve">https://mhraproducts4853.blob.core.windows.net/docs/d0f3c58f2a4c68c9ea1ecb8d0bc40104cd51541d</t>
  </si>
  <si>
    <t xml:space="preserve">US FDA label (DailyMed) – COLISTIMETHATE SODIUM (Heritage Pharmaceuticals Inc. d/b/a Avet Pharmaceuticals Inc.): route IM, IV</t>
  </si>
  <si>
    <t xml:space="preserve">https://dailymed.nlm.nih.gov/dailymed/drugInfo.cfm?setid=6a335659-03b0-4a2d-9cd4-7dcf7da96fe6</t>
  </si>
  <si>
    <t xml:space="preserve">IM, SC</t>
  </si>
  <si>
    <t xml:space="preserve">US FDA label (DailyMed) – Cyanocobalamin (Gland Pharma Limited): route IM, SC</t>
  </si>
  <si>
    <t xml:space="preserve">https://dailymed.nlm.nih.gov/dailymed/drugInfo.cfm?setid=cd8d188a-fa5d-4580-bcb1-ac8617118cbb</t>
  </si>
  <si>
    <t xml:space="preserve">UK SmPC (MHRA, Cyclizine lactate 50 mg/mL solution for injection) – intramuscular or intravenous use; no US label</t>
  </si>
  <si>
    <t xml:space="preserve">US FDA label (DailyMed) – CYCLOPHOSPHAMIDE (Dr. Reddy's Labratories Inc.): route IV; no US label lists ID / IM / SC (UK SmPC also checked: no ID / IM / SC route)</t>
  </si>
  <si>
    <t xml:space="preserve">https://dailymed.nlm.nih.gov/dailymed/drugInfo.cfm?setid=a5818647-d840-e9d7-c7b8-6541b485e44e</t>
  </si>
  <si>
    <t xml:space="preserve">https://mhraproducts4853.blob.core.windows.net/docs/4b78838f8f40ca9a987ad8fa476d2a1fdd3a37ff</t>
  </si>
  <si>
    <t xml:space="preserve">Borderline – kept out: Belgian Endoxan SmPC allows IM only "where the IV route is impracticable (inaccessible veins)"; all UK, US, Canada and Australia labels are IV only. Overwrite col D to "Yes" to include.</t>
  </si>
  <si>
    <t xml:space="preserve">US FDA label (DailyMed) – Cytarabine (Gland Pharma Limited): route IV, SC</t>
  </si>
  <si>
    <t xml:space="preserve">https://dailymed.nlm.nih.gov/dailymed/drugInfo.cfm?setid=7ab50348-ca78-46a5-aba6-c35b6b21fbfe</t>
  </si>
  <si>
    <t xml:space="preserve">US FDA label (DailyMed) – DACTINOMYCIN (Eugia US LLC): route IV; no US label lists ID / IM / SC</t>
  </si>
  <si>
    <t xml:space="preserve">https://dailymed.nlm.nih.gov/dailymed/drugInfo.cfm?setid=5da55538-2602-4704-a9da-603c9f7ff7dc</t>
  </si>
  <si>
    <t xml:space="preserve">US FDA label (DailyMed) – DAPTOMYCIN (Accord Healthcare Inc.): route IV; no US label lists ID / IM / SC (UK SmPC also checked: no ID / IM / SC route)</t>
  </si>
  <si>
    <t xml:space="preserve">https://dailymed.nlm.nih.gov/dailymed/drugInfo.cfm?setid=956b068f-5958-49eb-9c9f-3b6e324e77d2</t>
  </si>
  <si>
    <t xml:space="preserve">https://mhraproducts4853.blob.core.windows.net/docs/455258e3132909d570c60c827b6b3eba6db4e889</t>
  </si>
  <si>
    <t xml:space="preserve">SC</t>
  </si>
  <si>
    <t xml:space="preserve">UK SmPC (MHRA, Degarelix aspire 120 mg powder and solvent for solution for injection,) – subcutaneous use only</t>
  </si>
  <si>
    <t xml:space="preserve">https://mhraproducts4853.blob.core.windows.net/docs/dd69aaa9ebc36b426539f90970d2d38630d8622a</t>
  </si>
  <si>
    <t xml:space="preserve">US FDA label (DailyMed) – OSVYRTI (Accord BioPharma Inc.): route SC</t>
  </si>
  <si>
    <t xml:space="preserve">https://dailymed.nlm.nih.gov/dailymed/drugInfo.cfm?setid=5f3be096-5100-4d0e-b765-481bbb2672e1</t>
  </si>
  <si>
    <t xml:space="preserve">US FDA label (DailyMed) – Desmopressin Acetate (Dr. Reddy's Laboratories Inc.): route IV, SC</t>
  </si>
  <si>
    <t xml:space="preserve">https://dailymed.nlm.nih.gov/dailymed/drugInfo.cfm?setid=60dd8694-58d8-d88e-26f2-f28baa53787e</t>
  </si>
  <si>
    <t xml:space="preserve">US FDA label (DailyMed) – Diazepam (Alembic Pharmaceuticals Inc.): route IM, IV</t>
  </si>
  <si>
    <t xml:space="preserve">https://dailymed.nlm.nih.gov/dailymed/drugInfo.cfm?setid=6b6ca65b-4ede-47b9-bbf3-05bb67c0c71d</t>
  </si>
  <si>
    <t xml:space="preserve">US FDA label (DailyMed) – Diphenhydramine Hydrochloride (Gland Pharma Limited): route IM, IV</t>
  </si>
  <si>
    <t xml:space="preserve">https://dailymed.nlm.nih.gov/dailymed/drugInfo.cfm?setid=eeb70724-065c-4a73-8e2e-d6b2a625e8d4</t>
  </si>
  <si>
    <t xml:space="preserve">US FDA label (DailyMed) – doxorubicin hydrochloride (Alembic Pharmaceuticals Limited): route IV; no US label lists ID / IM / SC (UK SmPC also checked: no ID / IM / SC route)</t>
  </si>
  <si>
    <t xml:space="preserve">https://dailymed.nlm.nih.gov/dailymed/drugInfo.cfm?setid=f8e001f5-441c-47cd-86f6-5d5e3de16bc0</t>
  </si>
  <si>
    <t xml:space="preserve">https://mhraproducts4853.blob.core.windows.net/docs/8472f5b9e8869716ad12ef052d8bedebf43a4b5a</t>
  </si>
  <si>
    <t xml:space="preserve">EU database route field lists IM / SC for one or a few products (data-entry noise, e.g. vincristine listed as epidural); UK, US, Canada and Australia labels say IV only / must not be given IM or SC. Kept out.</t>
  </si>
  <si>
    <t xml:space="preserve">US FDA label (DailyMed) – Droperidol (American Regent, Inc.): route IM, IV</t>
  </si>
  <si>
    <t xml:space="preserve">https://dailymed.nlm.nih.gov/dailymed/drugInfo.cfm?setid=147e033d-d997-4ef6-8bb5-a9ba372590b2</t>
  </si>
  <si>
    <t xml:space="preserve">UK SmPC (MHRA, Venofer 20 mg/mL soln for inj or conc. for soln for infusion) – Product is iron sucrose (Sucrofer); US iron sucrose and UK iron SmPCs: intravenous only</t>
  </si>
  <si>
    <t xml:space="preserve">https://mhraproducts4853.blob.core.windows.net/docs/1dd806a3b43b1cb3206cd238b17c784533bc42fe</t>
  </si>
  <si>
    <t xml:space="preserve">Health Canada DPD – Ephedrine Sulfate Injection USP, Sandoz (DIN 00876534, marketed): routes intravenous, intramuscular, subcutaneous; also IM / SC in Australia (DBL Ephedrine Sulfate 30 mg/mL, ARTG 16325), EU (Norway, Portugal) and the Pfizer Ephedrine Sulphate 50 mg/mL label. US and UK labels: IV only.</t>
  </si>
  <si>
    <t xml:space="preserve">https://health-products.canada.ca/dpd-bdpp/info?lang=eng&amp;code=11096</t>
  </si>
  <si>
    <t xml:space="preserve">Health Canada product page → "Route(s) of administration" (second link: Pfizer label PDF, section "Description")</t>
  </si>
  <si>
    <t xml:space="preserve">https://labeling.pfizer.com/ShowLabeling.aspx?id=7153</t>
  </si>
  <si>
    <t xml:space="preserve">Reinstated after the 7-geography check (was IV only on US and UK labels).</t>
  </si>
  <si>
    <t xml:space="preserve">US FDA label (DailyMed) – epinephrine (GLENMARK PHARMACEUTICALS INC., USA): route IM, IV, SC</t>
  </si>
  <si>
    <t xml:space="preserve">https://dailymed.nlm.nih.gov/dailymed/drugInfo.cfm?setid=01fd19cd-190c-4989-b733-60ba95941297</t>
  </si>
  <si>
    <t xml:space="preserve">US FDA label (DailyMed) – Ellence (Pharmacia &amp; Upjohn Company LLC): route IV; no US label lists ID / IM / SC (UK SmPC also checked: no ID / IM / SC route)</t>
  </si>
  <si>
    <t xml:space="preserve">https://dailymed.nlm.nih.gov/dailymed/drugInfo.cfm?setid=0a03c798-a652-4895-b29c-3b521a89ba42</t>
  </si>
  <si>
    <t xml:space="preserve">https://mhraproducts4853.blob.core.windows.net/docs/8aeba99a8f543f374d08351b5b996fa2b4d7f66c</t>
  </si>
  <si>
    <t xml:space="preserve">US FDA label (DailyMed) – Eptifibatide (Eugia US LLC): route IV; no US label lists ID / IM / SC</t>
  </si>
  <si>
    <t xml:space="preserve">https://dailymed.nlm.nih.gov/dailymed/drugInfo.cfm?setid=00ad7bbe-cadd-4647-b74b-adfc9f2b5e94</t>
  </si>
  <si>
    <t xml:space="preserve">US FDA label (DailyMed) – Eribulin Mesylate (Dr. Reddys Laboratories Inc): route IV; no US label lists ID / IM / SC (UK SmPC also checked: no ID / IM / SC route)</t>
  </si>
  <si>
    <t xml:space="preserve">https://dailymed.nlm.nih.gov/dailymed/drugInfo.cfm?setid=1038e984-3bf7-5bbf-f1ec-ce15ae330efc</t>
  </si>
  <si>
    <t xml:space="preserve">https://mhraproducts4853.blob.core.windows.net/docs/95551de6e371d1b1bed01d2b0a696de15b3e865e</t>
  </si>
  <si>
    <t xml:space="preserve">US FDA label (DailyMed) – ERTAPENEM SODIUM (Dr.Reddys Laboratories Inc.,): route IM, IV</t>
  </si>
  <si>
    <t xml:space="preserve">https://dailymed.nlm.nih.gov/dailymed/drugInfo.cfm?setid=32d9f095-ca39-7e22-6264-b54f2daaee57</t>
  </si>
  <si>
    <t xml:space="preserve">US FDA label (DailyMed) – Esmolol Hydrochloride (Gland Pharma Limited): route IV; no US label lists ID / IM / SC (UK SmPC also checked: no ID / IM / SC route)</t>
  </si>
  <si>
    <t xml:space="preserve">https://dailymed.nlm.nih.gov/dailymed/drugInfo.cfm?setid=017023a9-00f0-4284-861f-a3634d4fdb17</t>
  </si>
  <si>
    <t xml:space="preserve">https://mhraproducts4853.blob.core.windows.net/docs/1e3efe74f99ebfa44e3ae295aff22c617a4e3f30</t>
  </si>
  <si>
    <t xml:space="preserve">US FDA label (DailyMed) – Esomeprazole Sodium (Eugia US LLC): route IV; no US label lists ID / IM / SC (UK SmPC also checked: no ID / IM / SC route)</t>
  </si>
  <si>
    <t xml:space="preserve">https://dailymed.nlm.nih.gov/dailymed/drugInfo.cfm?setid=45a15ba2-2aae-4edc-beaa-4a2357d87f32</t>
  </si>
  <si>
    <t xml:space="preserve">https://mhraproducts4853.blob.core.windows.net/docs/4113c6c3738a47332b81c6a02b324e142668494a</t>
  </si>
  <si>
    <t xml:space="preserve">US FDA label (DailyMed) – ETHACRYNATE SODIUM (Leading Pharma, LLC): route IV; no US label lists ID / IM / SC</t>
  </si>
  <si>
    <t xml:space="preserve">https://dailymed.nlm.nih.gov/dailymed/drugInfo.cfm?setid=e24e7440-a958-6fd0-6bfe-1bd29e638657</t>
  </si>
  <si>
    <t xml:space="preserve">US FDA label (DailyMed) – ETOMIDATE (Eugia US LLC): route IV; no US label lists ID / IM / SC (UK SmPC also checked: no ID / IM / SC route)</t>
  </si>
  <si>
    <t xml:space="preserve">https://dailymed.nlm.nih.gov/dailymed/drugInfo.cfm?setid=0820f15a-046b-4185-a2b3-2e4051ee3d82</t>
  </si>
  <si>
    <t xml:space="preserve">https://mhraproducts4853.blob.core.windows.net/docs/82a8e8a12348001cf20937cfdc9b77351ca8477f</t>
  </si>
  <si>
    <t xml:space="preserve">US FDA label (DailyMed) – Famotidine (Baxter Healthcare Corporation): route IV; no US label lists ID / IM / SC</t>
  </si>
  <si>
    <t xml:space="preserve">https://dailymed.nlm.nih.gov/dailymed/drugInfo.cfm?setid=97c33213-f415-4718-8466-9aa50371af70</t>
  </si>
  <si>
    <t xml:space="preserve">US FDA label (DailyMed) – Fentanyl Citrate (Civica, Inc.): route IM, IV</t>
  </si>
  <si>
    <t xml:space="preserve">https://dailymed.nlm.nih.gov/dailymed/drugInfo.cfm?setid=aacf276b-e133-4199-ad3f-67b894744c04</t>
  </si>
  <si>
    <t xml:space="preserve">US FDA label (DailyMed) – Ferric Carboxymaltose (Mylan Institutional LLC): route IV; no US label lists ID / IM / SC</t>
  </si>
  <si>
    <t xml:space="preserve">https://dailymed.nlm.nih.gov/dailymed/drugInfo.cfm?setid=7f05ab1e-aed4-4f87-b939-2dc9719aa34c</t>
  </si>
  <si>
    <t xml:space="preserve">IV, IM (also intra-articular, intrapleural)</t>
  </si>
  <si>
    <t xml:space="preserve">UK SmPC (MHRA, Flucloxacillin 1 g powder for solution for injection or infusion) – intravenous, intramuscular, intra-articular or intrapleural; no US label</t>
  </si>
  <si>
    <t xml:space="preserve">https://mhraproducts4853.blob.core.windows.net/docs/4daaeae927ce26807b7140b5958b51d0a2647d2e</t>
  </si>
  <si>
    <t xml:space="preserve">US FDA label (DailyMed) – Fludarabine phosphate (Actavis Pharma, Inc.): route IV; no US label lists ID / IM / SC</t>
  </si>
  <si>
    <t xml:space="preserve">https://dailymed.nlm.nih.gov/dailymed/drugInfo.cfm?setid=3adca34b-4f65-4e21-8058-3c01fc7fc9bb</t>
  </si>
  <si>
    <t xml:space="preserve">UK SmPC (MHRA, Fluorescein sodium 100 mg/mL solution for injection) – intravenous injection</t>
  </si>
  <si>
    <t xml:space="preserve">https://mhraproducts4853.blob.core.windows.net/docs/06788ea06546464bce35c66ad15e26a8abc06138</t>
  </si>
  <si>
    <t xml:space="preserve">US FDA label (DailyMed) – Fluorouracil (Accord Healthcare, Inc.): route IV; no US label lists ID / IM / SC (UK SmPC also checked: no ID / IM / SC route)</t>
  </si>
  <si>
    <t xml:space="preserve">https://dailymed.nlm.nih.gov/dailymed/drugInfo.cfm?setid=66d451fe-2436-494c-80c5-4528c8e34369</t>
  </si>
  <si>
    <t xml:space="preserve">https://mhraproducts4853.blob.core.windows.net/docs/34e104c5c0cb13b29bac10c994d30a1b4eac42e2</t>
  </si>
  <si>
    <t xml:space="preserve">US FDA label (DailyMed) – FLUPHENAZINE DECANOATE (Eugia US LLC): route IM, SC</t>
  </si>
  <si>
    <t xml:space="preserve">https://dailymed.nlm.nih.gov/dailymed/drugInfo.cfm?setid=1f532edc-1a2c-4221-80dd-1ac158dd3a72</t>
  </si>
  <si>
    <t xml:space="preserve">US FDA label (DailyMed) – Leucovorin Calcium (GLENMARK PHARMACEUTICALS INC., USA): route IM, IV</t>
  </si>
  <si>
    <t xml:space="preserve">https://dailymed.nlm.nih.gov/dailymed/drugInfo.cfm?setid=79d023ab-7d77-48c1-8f47-ea322fd58c2b</t>
  </si>
  <si>
    <t xml:space="preserve">US FDA label (DailyMed) – FULVESTRANT (Accord Healthcare Inc.): route IM</t>
  </si>
  <si>
    <t xml:space="preserve">https://dailymed.nlm.nih.gov/dailymed/drugInfo.cfm?setid=b471eb51-488e-5312-e053-2a95a90a8116</t>
  </si>
  <si>
    <t xml:space="preserve">US FDA label (DailyMed) – gadobutrol (Zydus Pharmaceuticals USA Inc.): route IV; no US label lists ID / IM / SC (UK SmPC also checked: no ID / IM / SC route)</t>
  </si>
  <si>
    <t xml:space="preserve">https://dailymed.nlm.nih.gov/dailymed/drugInfo.cfm?setid=4ea8ae43-22ca-40c0-be72-c91a321cafd1</t>
  </si>
  <si>
    <t xml:space="preserve">https://mhraproducts4853.blob.core.windows.net/docs/c43283f4f5fe3bb7b26cf8988a8af88d32c13c93</t>
  </si>
  <si>
    <t xml:space="preserve">US FDA label (DailyMed) – Glycopyrrolate (Accord Healthcare, Inc.,): route IM, IV</t>
  </si>
  <si>
    <t xml:space="preserve">https://dailymed.nlm.nih.gov/dailymed/drugInfo.cfm?setid=871797f0-697a-4a29-a37b-d06219e8f266</t>
  </si>
  <si>
    <t xml:space="preserve">US FDA label (DailyMed) – SC only for an extended-release product (Sustol), not the standard IV solution (UK SmPC also checked: no ID / IM / SC route)</t>
  </si>
  <si>
    <t xml:space="preserve">https://dailymed.nlm.nih.gov/dailymed/drugInfo.cfm?setid=783e9d68-2371-4fd4-8d7a-a5e36f8718d0</t>
  </si>
  <si>
    <t xml:space="preserve">https://mhraproducts4853.blob.core.windows.net/docs/6d5a76e0c14be3696eb7d7a5c38ab7fba2abf796</t>
  </si>
  <si>
    <t xml:space="preserve">SC only for the extended-release product (Sustol, US); standard granisetron is IV.</t>
  </si>
  <si>
    <t xml:space="preserve">US FDA label (DailyMed) – Haloperidol Lactate (Henry Schein, Inc.): route IM</t>
  </si>
  <si>
    <t xml:space="preserve">https://dailymed.nlm.nih.gov/dailymed/drugInfo.cfm?setid=65df5d2d-79aa-41d4-866a-566e520320f7</t>
  </si>
  <si>
    <t xml:space="preserve">US FDA label (DailyMed) – Haloperidol Decanoate (Gland Pharma Limited): route IM</t>
  </si>
  <si>
    <t xml:space="preserve">https://dailymed.nlm.nih.gov/dailymed/drugInfo.cfm?setid=1a0e38cb-fd9f-4962-9f81-5c0023ca6b4c</t>
  </si>
  <si>
    <t xml:space="preserve">US FDA label (DailyMed) – AMPHADASE (Amphastar Pharmaceuticals, Inc.): route SC</t>
  </si>
  <si>
    <t xml:space="preserve">https://dailymed.nlm.nih.gov/dailymed/drugInfo.cfm?setid=8396ea96-7cb5-4e26-87a4-90bca9c3c6dd</t>
  </si>
  <si>
    <t xml:space="preserve">US FDA label (DailyMed) – HYDRALAZINE HYDROCHLORIDE (Eugia US LLC): route IM, IV</t>
  </si>
  <si>
    <t xml:space="preserve">https://dailymed.nlm.nih.gov/dailymed/drugInfo.cfm?setid=e08d8b6c-a184-4dd5-84ef-bac90e4b1c33</t>
  </si>
  <si>
    <t xml:space="preserve">US FDA label (DailyMed) – Hydrocortisone sodium succinate (Cipla USA Inc.): route IM, IV</t>
  </si>
  <si>
    <t xml:space="preserve">https://dailymed.nlm.nih.gov/dailymed/drugInfo.cfm?setid=451d6d04-b7d9-47d9-ba71-43cc5b9b3054</t>
  </si>
  <si>
    <t xml:space="preserve">US FDA label (DailyMed) – Hydroxocobalamin (Actavis Pharma, Inc.): route IM</t>
  </si>
  <si>
    <t xml:space="preserve">https://dailymed.nlm.nih.gov/dailymed/drugInfo.cfm?setid=a3087a39-f218-4f16-a1e7-17c39bb2eb69</t>
  </si>
  <si>
    <t xml:space="preserve">SC, IM (IV if required)</t>
  </si>
  <si>
    <t xml:space="preserve">UK SmPC (MHRA, Hyoscine 400 micrograms/mL solution for injection) – subcutaneous or intramuscular injection; no US injectable label</t>
  </si>
  <si>
    <t xml:space="preserve">https://mhraproducts4853.blob.core.windows.net/docs/51e482dd059a807e5b4653144bcf38d462300c8b</t>
  </si>
  <si>
    <t xml:space="preserve">UK SmPC (MHRA, Bonviva 3 mg solution for injection) – intravenous injection</t>
  </si>
  <si>
    <t xml:space="preserve">https://mhraproducts4853.blob.core.windows.net/docs/13be69adbff91eaa9def74b5879135500983c712</t>
  </si>
  <si>
    <t xml:space="preserve">US FDA label (DailyMed) – Idarubicin Hydrochloride (Hikma Pharmaceuticals USA Inc.): route IV; no US label lists ID / IM / SC (UK SmPC also checked: no ID / IM / SC route)</t>
  </si>
  <si>
    <t xml:space="preserve">https://dailymed.nlm.nih.gov/dailymed/drugInfo.cfm?setid=7c20b574-285b-49eb-a98e-6752e4bb481d</t>
  </si>
  <si>
    <t xml:space="preserve">https://mhraproducts4853.blob.core.windows.net/docs/201d2a0d9aa57a3569065fb673031d38f685075d</t>
  </si>
  <si>
    <t xml:space="preserve">IV, ID, SC</t>
  </si>
  <si>
    <t xml:space="preserve">UK SmPC (MHRA, Zyogreen 2.5 mg/mL  solution for injection) – intravenous, intradermal, subcutaneous or peritumoral injection (lymphatic mapping); US label IV only</t>
  </si>
  <si>
    <t xml:space="preserve">https://mhraproducts4853.blob.core.windows.net/docs/1ed164cb6fbb995109a5ba6e7b3165176762216e</t>
  </si>
  <si>
    <t xml:space="preserve">https://dailymed.nlm.nih.gov/dailymed/drugInfo.cfm?setid=b2de0c9a-0065-4f2c-9983-add39525f3a3</t>
  </si>
  <si>
    <t xml:space="preserve">US FDA label (DailyMed) – Venofer (American Regent, Inc.): route IV; no US label lists ID / IM / SC</t>
  </si>
  <si>
    <t xml:space="preserve">https://dailymed.nlm.nih.gov/dailymed/drugInfo.cfm?setid=626dc9e5-c6b4-4f9c-9bf4-774fd3ae619a</t>
  </si>
  <si>
    <t xml:space="preserve">US FDA label (DailyMed) – ISOPROTERENOL (Cipla USA Inc.): route IM, IV, SC</t>
  </si>
  <si>
    <t xml:space="preserve">https://dailymed.nlm.nih.gov/dailymed/drugInfo.cfm?setid=f724120d-da28-4065-9e05-d7dd6afbb546</t>
  </si>
  <si>
    <t xml:space="preserve">US FDA label (DailyMed) – Lanreotide Acetate (Cipla USA Inc.): route SC</t>
  </si>
  <si>
    <t xml:space="preserve">https://dailymed.nlm.nih.gov/dailymed/drugInfo.cfm?setid=11da176a-99bc-4ada-8b3f-6bd2b37a6313</t>
  </si>
  <si>
    <t xml:space="preserve">SC (some depots IM)</t>
  </si>
  <si>
    <t xml:space="preserve">UK SmPC (MHRA, Prostap 3 dcs 11.25mg powder for prolonged-release suspension for inje) – subcutaneous depot injection; US leuprolide labels also SC</t>
  </si>
  <si>
    <t xml:space="preserve">https://mhraproducts4853.blob.core.windows.net/docs/2570307a3085ad81ffb51a26c670a4968681f7e9</t>
  </si>
  <si>
    <t xml:space="preserve">US FDA label (DailyMed) – Levetiracetam (Dr.Reddy's Laboratories Inc): route IV; no US label lists ID / IM / SC (UK SmPC also checked: no ID / IM / SC route)</t>
  </si>
  <si>
    <t xml:space="preserve">https://dailymed.nlm.nih.gov/dailymed/drugInfo.cfm?setid=0a9234b7-46b1-8e6c-a992-90f86cfb6e00</t>
  </si>
  <si>
    <t xml:space="preserve">https://mhraproducts4853.blob.core.windows.net/docs/7a8fe1e86f394f14dd27119a87ad9196daa418be</t>
  </si>
  <si>
    <t xml:space="preserve">IV, infiltration (ID, SC), perineural</t>
  </si>
  <si>
    <t xml:space="preserve">UK SmPC (MHRA, Lidocaine 10 mg/mL (1% w/v) solution for injection in pre-filled syrin) – infiltration (intradermal, subcutaneous or submucosal use); US labels list infiltration / IV only</t>
  </si>
  <si>
    <t xml:space="preserve">https://mhraproducts4853.blob.core.windows.net/docs/4d6a2b8a7eed24427d497672070733ad0dc2f1aa</t>
  </si>
  <si>
    <t xml:space="preserve">https://dailymed.nlm.nih.gov/dailymed/drugInfo.cfm?setid=2177b6fe-aa37-6f6b-e063-6294a90af09a</t>
  </si>
  <si>
    <t xml:space="preserve">US FDA label (DailyMed) – lincomycin hydrochloride (Gland Pharma Limited): route IM, IV</t>
  </si>
  <si>
    <t xml:space="preserve">https://dailymed.nlm.nih.gov/dailymed/drugInfo.cfm?setid=c2b5be20-cc6f-4221-9d3e-3f8b5886cd05</t>
  </si>
  <si>
    <t xml:space="preserve">US FDA label (DailyMed) – Magnesium Sulfate (Camber Pharmaceuticals, Inc.): route IM, IV</t>
  </si>
  <si>
    <t xml:space="preserve">https://dailymed.nlm.nih.gov/dailymed/drugInfo.cfm?setid=647ca293-9e68-4773-947a-0fb064aa6fd1</t>
  </si>
  <si>
    <t xml:space="preserve">SC, IM</t>
  </si>
  <si>
    <t xml:space="preserve">UK SmPC (MHRA, Priorix powder and solvent for solution for injection) – subcutaneous or intramuscular injection</t>
  </si>
  <si>
    <t xml:space="preserve">https://mhraproducts4853.blob.core.windows.net/docs/6137d0826ea9251c4cd7449204eef9e37c09728b</t>
  </si>
  <si>
    <t xml:space="preserve">US FDA label (DailyMed) – MEDROXYPROGESTERONE ACETATE (Eugia US LLC): route IM</t>
  </si>
  <si>
    <t xml:space="preserve">https://dailymed.nlm.nih.gov/dailymed/drugInfo.cfm?setid=0655670a-d127-4e08-8a23-ace64b2503b2</t>
  </si>
  <si>
    <t xml:space="preserve">US FDA label (DailyMed) – Melphalan Hydrochloride (Dr.Reddy's Laboratories Inc): route IV; no US label lists ID / IM / SC (UK SmPC also checked: no ID / IM / SC route)</t>
  </si>
  <si>
    <t xml:space="preserve">https://dailymed.nlm.nih.gov/dailymed/drugInfo.cfm?setid=bd5e4db5-8787-4428-2cb6-ef6f8a5e08af</t>
  </si>
  <si>
    <t xml:space="preserve">https://mhraproducts4853.blob.core.windows.net/docs/b72d32face7ce61d71696787ed3106ac25618280</t>
  </si>
  <si>
    <t xml:space="preserve">US FDA label (DailyMed) – Meropenem (Eugia US LLC): route IV; no US label lists ID / IM / SC (UK SmPC also checked: no ID / IM / SC route)</t>
  </si>
  <si>
    <t xml:space="preserve">https://dailymed.nlm.nih.gov/dailymed/drugInfo.cfm?setid=bf1d3433-9e3f-40a0-8bff-c8ceaa8bab7c</t>
  </si>
  <si>
    <t xml:space="preserve">https://mhraproducts4853.blob.core.windows.net/docs/9ae7aeea49bf816c85c6e16440c212622827183e</t>
  </si>
  <si>
    <t xml:space="preserve">EU database lists IM for one Italian product; label text found says IV. Kept out.</t>
  </si>
  <si>
    <t xml:space="preserve">US FDA label (DailyMed) – MESNA (Eugia US LLC): route IV; no US label lists ID / IM / SC (UK SmPC also checked: no ID / IM / SC route)</t>
  </si>
  <si>
    <t xml:space="preserve">https://dailymed.nlm.nih.gov/dailymed/drugInfo.cfm?setid=49e9c804-9e88-4774-8faf-35bd61b3a8e9</t>
  </si>
  <si>
    <t xml:space="preserve">https://mhraproducts4853.blob.core.windows.net/docs/23dcd067131a54c6fa73c5557a0dab034764ccf5</t>
  </si>
  <si>
    <t xml:space="preserve">UK SmPC (MHRA, Metaraminol 10mg/mL solution for injection/infusion) – intravenous infusion or direct intravenous injection; no US label</t>
  </si>
  <si>
    <t xml:space="preserve">https://mhraproducts4853.blob.core.windows.net/docs/6bf77bfee94fc37f9ea2cc41e9601b5d4e59322f</t>
  </si>
  <si>
    <t xml:space="preserve">US FDA label (DailyMed) – Methohexital Sodium (Heritage Pharmaceuticals Inc. d/b/a Avet Pharmaceuticals Inc.): route IM, IV</t>
  </si>
  <si>
    <t xml:space="preserve">https://dailymed.nlm.nih.gov/dailymed/drugInfo.cfm?setid=f76d4ab9-2f6c-420b-afec-b9cdfdc083ce</t>
  </si>
  <si>
    <t xml:space="preserve">US FDA label (DailyMed) – Methotrexate (Accord Healthcare, Inc.): route IM, IV</t>
  </si>
  <si>
    <t xml:space="preserve">https://dailymed.nlm.nih.gov/dailymed/drugInfo.cfm?setid=dd035a9f-cd40-4314-b9d8-2294b8a924e2</t>
  </si>
  <si>
    <t xml:space="preserve">US FDA label (DailyMed) – Methylprednisolone Acetate (Eugia US LLC): route IM</t>
  </si>
  <si>
    <t xml:space="preserve">https://dailymed.nlm.nih.gov/dailymed/drugInfo.cfm?setid=a0cbcdb5-f657-49f7-8f86-cc5959d69db0</t>
  </si>
  <si>
    <t xml:space="preserve">US FDA label (DailyMed) – Midazolam hydrochloride (Gland Pharma Limited): route IM, IV</t>
  </si>
  <si>
    <t xml:space="preserve">https://dailymed.nlm.nih.gov/dailymed/drugInfo.cfm?setid=23f4df96-1151-4815-8f01-4d79e5aa2145</t>
  </si>
  <si>
    <t xml:space="preserve">US FDA label (DailyMed) – Milrinone Lactate (Eugia US LLC): route IV; no US label lists ID / IM / SC (UK SmPC also checked: no ID / IM / SC route)</t>
  </si>
  <si>
    <t xml:space="preserve">https://dailymed.nlm.nih.gov/dailymed/drugInfo.cfm?setid=4e489fab-75bc-4514-9bf2-85b8ed08a1b0</t>
  </si>
  <si>
    <t xml:space="preserve">https://mhraproducts4853.blob.core.windows.net/docs/d43a7f71f48565822fee9785a9f23d1c36290a30</t>
  </si>
  <si>
    <t xml:space="preserve">US FDA label (DailyMed) – MUTAMYCIN (Accord BioPharma Inc.): route IV; no US label lists ID / IM / SC (UK SmPC also checked: no ID / IM / SC route)</t>
  </si>
  <si>
    <t xml:space="preserve">https://dailymed.nlm.nih.gov/dailymed/drugInfo.cfm?setid=cbf0f6ba-3a53-4791-9a85-5c6b271eeb8e</t>
  </si>
  <si>
    <t xml:space="preserve">https://mhraproducts4853.blob.core.windows.net/docs/deb4340f48c538ddac710a914581a07ba8ad754b</t>
  </si>
  <si>
    <t xml:space="preserve">US FDA label (DailyMed) – Mitoxantrone (Fresenius Kabi USA, LLC): route IV; no US label lists ID / IM / SC</t>
  </si>
  <si>
    <t xml:space="preserve">https://dailymed.nlm.nih.gov/dailymed/drugInfo.cfm?setid=fcb8ef8a-f770-4416-8fc5-fa01d98c8eee</t>
  </si>
  <si>
    <t xml:space="preserve">US FDA label (DailyMed) – Morphine Sulfate (Fresenius Kabi USA, LLC): route IM, IV</t>
  </si>
  <si>
    <t xml:space="preserve">https://dailymed.nlm.nih.gov/dailymed/drugInfo.cfm?setid=582f42e5-444e-4246-af8c-e7e28097c69a</t>
  </si>
  <si>
    <t xml:space="preserve">US FDA label (DailyMed) – Nafcillin (Eugia US LLC): route IM, IV</t>
  </si>
  <si>
    <t xml:space="preserve">https://dailymed.nlm.nih.gov/dailymed/drugInfo.cfm?setid=34821770-929c-40ea-a9e4-d4405dc869e1</t>
  </si>
  <si>
    <t xml:space="preserve">US FDA label (DailyMed) – Naloxone Hydrochloride (Dr. Reddy's Laboratories, Inc.): route IM, IV, SC</t>
  </si>
  <si>
    <t xml:space="preserve">https://dailymed.nlm.nih.gov/dailymed/drugInfo.cfm?setid=b1303f15-c48b-a44d-b28a-72f370094e02</t>
  </si>
  <si>
    <t xml:space="preserve">IV, SC, IM</t>
  </si>
  <si>
    <t xml:space="preserve">UK SmPC (MHRA, Neostigmine methylsulfate injection bp 2.5mg in 1ml) – subcutaneous or intramuscular injection (myasthenia gravis, urinary retention); US label IV only</t>
  </si>
  <si>
    <t xml:space="preserve">https://mhraproducts4853.blob.core.windows.net/docs/c1a527395c406fbf88130971c80a4e1c80383b39</t>
  </si>
  <si>
    <t xml:space="preserve">https://dailymed.nlm.nih.gov/dailymed/drugInfo.cfm?setid=088f96eb-20b8-48f8-ac83-329f75a44ce1</t>
  </si>
  <si>
    <t xml:space="preserve">IV, SC (IM for long-acting depot)</t>
  </si>
  <si>
    <t xml:space="preserve">US FDA label (DailyMed) – Octreotide Acetate (GLENMARK PHARMACEUTICALS INC., USA): route IV, SC</t>
  </si>
  <si>
    <t xml:space="preserve">https://dailymed.nlm.nih.gov/dailymed/drugInfo.cfm?setid=387d7f8d-9762-4f6b-99e1-bdc50b8a1633</t>
  </si>
  <si>
    <t xml:space="preserve">US FDA label (DailyMed) – Olanzapine (Camber Pharmaceuticals, Inc.): route IM</t>
  </si>
  <si>
    <t xml:space="preserve">https://dailymed.nlm.nih.gov/dailymed/drugInfo.cfm?setid=c1387008-6dc4-4f1e-ae29-fa7a0f0be684</t>
  </si>
  <si>
    <t xml:space="preserve">US FDA label (DailyMed) – ondansetron (Accord Healthcare, Inc.): route IM, IV</t>
  </si>
  <si>
    <t xml:space="preserve">https://dailymed.nlm.nih.gov/dailymed/drugInfo.cfm?setid=35e0d160-813f-41d7-a382-d2cab6485d9c</t>
  </si>
  <si>
    <t xml:space="preserve">US FDA label (DailyMed) – Oxacillin (Eugia US LLC): route IM, IV</t>
  </si>
  <si>
    <t xml:space="preserve">https://dailymed.nlm.nih.gov/dailymed/drugInfo.cfm?setid=81e90279-9889-47bd-974b-334c181f295c</t>
  </si>
  <si>
    <t xml:space="preserve">US FDA label (DailyMed) – Oxytocin (Cardinal Health 107, LLC): route IM, IV</t>
  </si>
  <si>
    <t xml:space="preserve">https://dailymed.nlm.nih.gov/dailymed/drugInfo.cfm?setid=18fe8365-86e3-414e-84dc-c98e097a2f36</t>
  </si>
  <si>
    <t xml:space="preserve">US FDA label (DailyMed) – Paclitaxel (Alembic Pharmaceuticals Inc.): route IV; no US label lists ID / IM / SC (UK SmPC also checked: no ID / IM / SC route)</t>
  </si>
  <si>
    <t xml:space="preserve">https://dailymed.nlm.nih.gov/dailymed/drugInfo.cfm?setid=0c12c77c-5fd4-48dc-a318-e96892233992</t>
  </si>
  <si>
    <t xml:space="preserve">https://mhraproducts4853.blob.core.windows.net/docs/83e81cb065e8691917e531d50b1da4f1dae928b6</t>
  </si>
  <si>
    <t xml:space="preserve">US FDA label (DailyMed) – INVEGA HAFYERA (Janssen Pharmaceuticals, Inc): route IM</t>
  </si>
  <si>
    <t xml:space="preserve">https://dailymed.nlm.nih.gov/dailymed/drugInfo.cfm?setid=6cd61892-d2cb-434d-83ed-5c1b2c4e7a0b</t>
  </si>
  <si>
    <t xml:space="preserve">US FDA label (DailyMed) – palonosetron hydrochloride (Cipla USA Inc.): route IV; no US label lists ID / IM / SC (UK SmPC also checked: no ID / IM / SC route)</t>
  </si>
  <si>
    <t xml:space="preserve">https://dailymed.nlm.nih.gov/dailymed/drugInfo.cfm?setid=37e7ef89-fd77-44e0-9271-ae91f8822603</t>
  </si>
  <si>
    <t xml:space="preserve">https://mhraproducts4853.blob.core.windows.net/docs/f22c15840604c663970f7da2a79614ac40bca62c</t>
  </si>
  <si>
    <t xml:space="preserve">US FDA label (DailyMed) – PANTOPRAZOLE SODIUM (Alembic Pharmaceuticals Inc.): route IV; no US label lists ID / IM / SC (UK SmPC also checked: no ID / IM / SC route)</t>
  </si>
  <si>
    <t xml:space="preserve">https://dailymed.nlm.nih.gov/dailymed/drugInfo.cfm?setid=a9e5fac6-2db6-4311-a98b-eb3f0dde19d6</t>
  </si>
  <si>
    <t xml:space="preserve">https://mhraproducts4853.blob.core.windows.net/docs/9fc4a882e1f84fc1af4503edf9a3e048a47e9f53</t>
  </si>
  <si>
    <t xml:space="preserve">US FDA label (DailyMed) – Paricalcitol (Accord Healthcare, Inc.): route IV; no US label lists ID / IM / SC (UK SmPC also checked: no ID / IM / SC route)</t>
  </si>
  <si>
    <t xml:space="preserve">https://dailymed.nlm.nih.gov/dailymed/drugInfo.cfm?setid=2b7c7587-2042-0d9c-e054-00144ff88e88</t>
  </si>
  <si>
    <t xml:space="preserve">https://mhraproducts4853.blob.core.windows.net/docs/5c26c6a145bca6fbb3eda47073599ced86713a2f</t>
  </si>
  <si>
    <t xml:space="preserve">US FDA label (DailyMed) – UDENYCA (Accord BioPharma, Inc.): route SC</t>
  </si>
  <si>
    <t xml:space="preserve">https://dailymed.nlm.nih.gov/dailymed/drugInfo.cfm?setid=77a8576f-b91e-42ce-b613-2fa3c3d4a571</t>
  </si>
  <si>
    <t xml:space="preserve">US FDA label (DailyMed) – pentamidine isethionate (Heritage Pharmaceuticals Inc. d/b/a Avet Pharmaceuticals Inc.): route IM, IV</t>
  </si>
  <si>
    <t xml:space="preserve">https://dailymed.nlm.nih.gov/dailymed/drugInfo.cfm?setid=5c14fbf2-e21f-44b3-b35c-06919d40d7e0</t>
  </si>
  <si>
    <t xml:space="preserve">UK SmPC (MHRA) – Phenylephrine 10 mg/mL Injection (PL 20072/0226): "For subcutaneous, intramuscular, slow intravenous injection or intravenous infusion"; also IM / SC / IV in Health Canada (Sandoz, Omega – marketed), Australia (Phenylephrine Accord, Baxter, AFT) and EU (Biorphen, Austria). US labels: IV only.</t>
  </si>
  <si>
    <t xml:space="preserve">https://mhraproducts4853.blob.core.windows.net/docs/55fa24b0655197623f40fdf9c0e1d849154bfa80</t>
  </si>
  <si>
    <t xml:space="preserve">https://health-products.canada.ca/dpd-bdpp/info?lang=eng&amp;code=12889</t>
  </si>
  <si>
    <t xml:space="preserve">Reinstated after the 7-geography check (was IV only on the US label).</t>
  </si>
  <si>
    <t xml:space="preserve">US FDA label (DailyMed) – PHENYTOIN SODIUM (Acella Pharmaceuticals, LLC): route IM, IV</t>
  </si>
  <si>
    <t xml:space="preserve">https://dailymed.nlm.nih.gov/dailymed/drugInfo.cfm?setid=6922f32f-8bed-4c09-8103-27987bcbd104</t>
  </si>
  <si>
    <t xml:space="preserve">US FDA label (DailyMed) – Phytonadione (Alembic Pharmaceuticals Inc.): route IM, IV, SC</t>
  </si>
  <si>
    <t xml:space="preserve">https://dailymed.nlm.nih.gov/dailymed/drugInfo.cfm?setid=b1e53422-c85d-4bb6-af4f-24934cc319b0</t>
  </si>
  <si>
    <t xml:space="preserve">US FDA label (DailyMed) – piperacillin and tazobactam (ONESOURCE SPECIALTY PHARMA LIMITED): route IV; no US label lists ID / IM / SC (UK SmPC also checked: no ID / IM / SC route)</t>
  </si>
  <si>
    <t xml:space="preserve">https://dailymed.nlm.nih.gov/dailymed/drugInfo.cfm?setid=28258745-12e4-4f0f-b318-4a1a1bebc928</t>
  </si>
  <si>
    <t xml:space="preserve">https://mhraproducts4853.blob.core.windows.net/docs/fb177071badddaa7979eeae36ea28ab48a60b768</t>
  </si>
  <si>
    <t xml:space="preserve">EU database lists IM for some Italian products; label text found says IV infusion. Kept out.</t>
  </si>
  <si>
    <t xml:space="preserve">US FDA label (DailyMed) – Plerixafor (Camber Pharmaceuticals, Inc.): route SC</t>
  </si>
  <si>
    <t xml:space="preserve">https://dailymed.nlm.nih.gov/dailymed/drugInfo.cfm?setid=bb8e1167-8378-4e73-9bcb-d69093ec829b</t>
  </si>
  <si>
    <t xml:space="preserve">US FDA label (DailyMed) – Progesterone (Eugia US LLC): route IM</t>
  </si>
  <si>
    <t xml:space="preserve">https://dailymed.nlm.nih.gov/dailymed/drugInfo.cfm?setid=7d19df3b-94ed-4681-beae-9caaf137d014</t>
  </si>
  <si>
    <t xml:space="preserve">US FDA label (DailyMed) – Propofol Injectable Emulsion (Dr. Reddy's Laboratories, Inc.): route IV; no US label lists ID / IM / SC (UK SmPC also checked: no ID / IM / SC route)</t>
  </si>
  <si>
    <t xml:space="preserve">https://dailymed.nlm.nih.gov/dailymed/drugInfo.cfm?setid=800646b8-83a8-01d9-3dc8-bb2ddcb8570c</t>
  </si>
  <si>
    <t xml:space="preserve">https://mhraproducts4853.blob.core.windows.net/docs/20e325341d4d11f3fa15c459435ae46791d8ba4f</t>
  </si>
  <si>
    <t xml:space="preserve">US FDA label (DailyMed) – Protamine Sulfate (Fresenius Kabi USA, LLC): route IV; no US label lists ID / IM / SC</t>
  </si>
  <si>
    <t xml:space="preserve">https://dailymed.nlm.nih.gov/dailymed/drugInfo.cfm?setid=7a31fc4c-579f-45cc-9559-39cfad9a57b3</t>
  </si>
  <si>
    <t xml:space="preserve">IM / SC hits are insulin–protamine combinations, not protamine sulfate. Kept out.</t>
  </si>
  <si>
    <t xml:space="preserve">Intravitreal</t>
  </si>
  <si>
    <t xml:space="preserve">UK SmPC (MHRA, Lucentis 10 mg/mL solution for injection) – intravitreal injection only</t>
  </si>
  <si>
    <t xml:space="preserve">https://mhraproducts4853.blob.core.windows.net/docs/832a62b9cb979c15814e955526cafbf58d1a120a</t>
  </si>
  <si>
    <t xml:space="preserve">US FDA label (DailyMed) – Regadenoson (Dr. Reddy's Laboratories Inc.): route IV; no US label lists ID / IM / SC</t>
  </si>
  <si>
    <t xml:space="preserve">https://dailymed.nlm.nih.gov/dailymed/drugInfo.cfm?setid=03ef6420-8190-a404-f7f6-def1864a77de</t>
  </si>
  <si>
    <t xml:space="preserve">US FDA label (DailyMed) – Remifentanil Hydrochloride (Fresenius Kabi USA, LLC): route IV; no US label lists ID / IM / SC (UK SmPC also checked: no ID / IM / SC route)</t>
  </si>
  <si>
    <t xml:space="preserve">https://dailymed.nlm.nih.gov/dailymed/drugInfo.cfm?setid=5b8025d2-3424-477b-9cff-3990a98c2a65</t>
  </si>
  <si>
    <t xml:space="preserve">https://mhraproducts4853.blob.core.windows.net/docs/30aabc766650f3de9340032eb4a1823e8a92d0ac</t>
  </si>
  <si>
    <t xml:space="preserve">US FDA label (DailyMed) – Rocuronium Bromide (Eugia US LLC): route IV; no US label lists ID / IM / SC (UK SmPC also checked: no ID / IM / SC route)</t>
  </si>
  <si>
    <t xml:space="preserve">https://dailymed.nlm.nih.gov/dailymed/drugInfo.cfm?setid=116385ea-69fc-4f44-b463-6210291032df</t>
  </si>
  <si>
    <t xml:space="preserve">https://mhraproducts4853.blob.core.windows.net/docs/2db067f28b4a5cee9ffbcda6966ba8e62c165c64</t>
  </si>
  <si>
    <t xml:space="preserve">Epidural, perineural, infiltration</t>
  </si>
  <si>
    <t xml:space="preserve">UK SmPC (MHRA, Ropivacaine altan 10 mg/mL solution for injection) – epidural, perineural and infiltration – no ID / IM / SC route listed</t>
  </si>
  <si>
    <t xml:space="preserve">https://mhraproducts4853.blob.core.windows.net/docs/e2acf7eb6316bc8cbbaaf53631abd625c75878c8</t>
  </si>
  <si>
    <t xml:space="preserve">Kept out: labels list epidural, perineural and "infiltration" but never SC / ID / IM by name (unlike lidocaine and bupivacaine, whose UK labels name SC). Overwrite col D to "Yes" to treat infiltration as SC.</t>
  </si>
  <si>
    <t xml:space="preserve">US FDA label (DailyMed) – Sildenafil (Eugia US LLC): route IV; no US label lists ID / IM / SC (UK SmPC also checked: no ID / IM / SC route)</t>
  </si>
  <si>
    <t xml:space="preserve">https://dailymed.nlm.nih.gov/dailymed/drugInfo.cfm?setid=bb92d686-a81e-4b91-8048-693af0534cb3</t>
  </si>
  <si>
    <t xml:space="preserve">https://mhraproducts4853.blob.core.windows.net/docs/02230fedf0f6e67657137dc1b732971ab3782ab2</t>
  </si>
  <si>
    <t xml:space="preserve">US FDA label (DailyMed) – SODIUM BICARBONATE (Glenmark Pharmaceuticals Inc., USA): route IV; no US label lists ID / IM / SC (UK SmPC also checked: no ID / IM / SC route)</t>
  </si>
  <si>
    <t xml:space="preserve">https://dailymed.nlm.nih.gov/dailymed/drugInfo.cfm?setid=f38d0dfc-9bcc-4224-a202-885c9ad0beae</t>
  </si>
  <si>
    <t xml:space="preserve">https://mhraproducts4853.blob.core.windows.net/docs/acf0dbbc5df81cd92e3a113a48e28dc68e8a0cf5</t>
  </si>
  <si>
    <t xml:space="preserve">One US listing (route metadata IM) and one Polish product (SC) – not supported by label text; standard 8.4% is IV. Kept out.</t>
  </si>
  <si>
    <t xml:space="preserve">UK SmPC (MHRA, Sodium valproate 100mg/mL solution for injection or infusion) – intravenous injection or infusion</t>
  </si>
  <si>
    <t xml:space="preserve">https://mhraproducts4853.blob.core.windows.net/docs/0abd36d989a97b306126883cf229d48c54e4d739</t>
  </si>
  <si>
    <t xml:space="preserve">IV, intracoronary</t>
  </si>
  <si>
    <t xml:space="preserve">Health Canada product monograph (Streptase): intravenous or intracoronary infusion; no US or UK label</t>
  </si>
  <si>
    <t xml:space="preserve">https://pdf.hres.ca/dpd_pm/00003639.PDF</t>
  </si>
  <si>
    <t xml:space="preserve">Product monograph → Indications and Dosage and Administration (route)</t>
  </si>
  <si>
    <t xml:space="preserve">US FDA label (DailyMed) – Succinylcholine Chloride (Camber Pharmaceuticals, Inc.): route IM, IV</t>
  </si>
  <si>
    <t xml:space="preserve">https://dailymed.nlm.nih.gov/dailymed/drugInfo.cfm?setid=3deac02b-392c-4ee4-9abf-7fe5b8975147</t>
  </si>
  <si>
    <t xml:space="preserve">US FDA label (DailyMed) – sugammadex (Accord Healthcare Inc.): route IV; no US label lists ID / IM / SC (UK SmPC also checked: no ID / IM / SC route)</t>
  </si>
  <si>
    <t xml:space="preserve">https://dailymed.nlm.nih.gov/dailymed/drugInfo.cfm?setid=57bf9b96-0550-b8e4-e063-6294a90a317b</t>
  </si>
  <si>
    <t xml:space="preserve">https://mhraproducts4853.blob.core.windows.net/docs/3489692807cabc9ee757ad292940e8a021f68d01</t>
  </si>
  <si>
    <t xml:space="preserve">UK SmPC (MHRA, Teicoplanin 200 mg powder for solution for injection/infusion or oral) – intravenous or intramuscular; no US label</t>
  </si>
  <si>
    <t xml:space="preserve">US FDA label (DailyMed) – Terlivaz (Mallinckrodt Hospital Products Inc.): route IV; no US label lists ID / IM / SC (UK SmPC also checked: no ID / IM / SC route)</t>
  </si>
  <si>
    <t xml:space="preserve">https://dailymed.nlm.nih.gov/dailymed/drugInfo.cfm?setid=3a35b86c-f451-4fac-8499-43019e4da354</t>
  </si>
  <si>
    <t xml:space="preserve">https://mhraproducts4853.blob.core.windows.net/docs/87e83833753716c061280fd48b95d5801f88bfa9</t>
  </si>
  <si>
    <t xml:space="preserve">US FDA label (DailyMed) – TESTOSTERONE CYPIONATE (Cipla USA Inc.): route IM</t>
  </si>
  <si>
    <t xml:space="preserve">https://dailymed.nlm.nih.gov/dailymed/drugInfo.cfm?setid=78d55bad-4a5b-4e21-aeb8-a4c6346208be</t>
  </si>
  <si>
    <t xml:space="preserve">US FDA label (DailyMed) – TESTOSTERONE ENANTHATE (Eugia US LLC): route IM</t>
  </si>
  <si>
    <t xml:space="preserve">https://dailymed.nlm.nih.gov/dailymed/drugInfo.cfm?setid=82a98132-9d5f-40a5-8c4f-f52f2a5de60e</t>
  </si>
  <si>
    <t xml:space="preserve">US FDA label (DailyMed) – Aveed (Endo USA, Inc.): route IM</t>
  </si>
  <si>
    <t xml:space="preserve">https://dailymed.nlm.nih.gov/dailymed/drugInfo.cfm?setid=f80f025b-17d8-40af-8739-20ce07902045</t>
  </si>
  <si>
    <t xml:space="preserve">US FDA label (DailyMed) – Thiotepa (Dr.Reddy's Laboratories Inc.,): route IV; no US label lists ID / IM / SC (UK SmPC also checked: no ID / IM / SC route)</t>
  </si>
  <si>
    <t xml:space="preserve">https://dailymed.nlm.nih.gov/dailymed/drugInfo.cfm?setid=0def6a5e-4bf5-b1fd-47b7-0f17ecfd9bc2</t>
  </si>
  <si>
    <t xml:space="preserve">https://mhraproducts4853.blob.core.windows.net/docs/e04df231228d42c83cc4a6259d7c5c571353c022</t>
  </si>
  <si>
    <t xml:space="preserve">US FDA label (DailyMed) – Tigecycline (Eugia US LLC): route IV; no US label lists ID / IM / SC (UK SmPC also checked: no ID / IM / SC route)</t>
  </si>
  <si>
    <t xml:space="preserve">https://dailymed.nlm.nih.gov/dailymed/drugInfo.cfm?setid=dd58e0c3-d8a8-4cf2-96f8-9dd08f309579</t>
  </si>
  <si>
    <t xml:space="preserve">https://mhraproducts4853.blob.core.windows.net/docs/42d7e79466d433c5192ed2f92d3a915eca41853d</t>
  </si>
  <si>
    <t xml:space="preserve">US FDA label (DailyMed) – Tirofiban (Eugia US LLC): route IV; no US label lists ID / IM / SC (UK SmPC also checked: no ID / IM / SC route)</t>
  </si>
  <si>
    <t xml:space="preserve">https://dailymed.nlm.nih.gov/dailymed/drugInfo.cfm?setid=d554acff-22e9-4f28-b826-ee1b91daa2df</t>
  </si>
  <si>
    <t xml:space="preserve">https://mhraproducts4853.blob.core.windows.net/docs/e43f2440514458537140b935827096caf459e80d</t>
  </si>
  <si>
    <t xml:space="preserve">US FDA label (DailyMed) – Tranexamic Acid (Emcure Pharmaceuticals Limited): route IV; no US label lists ID / IM / SC (UK SmPC also checked: no ID / IM / SC route)</t>
  </si>
  <si>
    <t xml:space="preserve">https://dailymed.nlm.nih.gov/dailymed/drugInfo.cfm?setid=ceea739a-21dd-4c3a-9ef6-2b7ab2bdd95a</t>
  </si>
  <si>
    <t xml:space="preserve">https://mhraproducts4853.blob.core.windows.net/docs/65edc2e1545faa366d2c4975093e7970d753f777</t>
  </si>
  <si>
    <t xml:space="preserve">US FDA label (DailyMed) – SC trastuzumab is a separate product (Herceptin SC with hyaluronidase); standard vial is IV infusion only (UK SmPC also checked: no ID / IM / SC route)</t>
  </si>
  <si>
    <t xml:space="preserve">https://dailymed.nlm.nih.gov/dailymed/drugInfo.cfm?setid=ae71c003-883a-4cd8-ad50-e8cc9a54e971</t>
  </si>
  <si>
    <t xml:space="preserve">https://mhraproducts4853.blob.core.windows.net/docs/493d4bfda677fb5e534ce5b3f4ea9f88534240a7</t>
  </si>
  <si>
    <t xml:space="preserve">SC trastuzumab (Herceptin SC, Phesgo) is a separate product; the IV biosimilars made by these companies are IV only.</t>
  </si>
  <si>
    <t xml:space="preserve">US FDA label (DailyMed) – Triamcinolone Acetonide (Alembic Pharmaceuticals Inc.): route IM</t>
  </si>
  <si>
    <t xml:space="preserve">https://dailymed.nlm.nih.gov/dailymed/drugInfo.cfm?setid=05c2a9cf-a018-48c0-9c73-2d59d52211d2</t>
  </si>
  <si>
    <t xml:space="preserve">US FDA label (DailyMed) – IMULDOSA (Accord BioPharma Inc.): route SC, IV</t>
  </si>
  <si>
    <t xml:space="preserve">https://dailymed.nlm.nih.gov/dailymed/drugInfo.cfm?setid=2539a6cf-0fe5-1565-e063-6294a90a3618</t>
  </si>
  <si>
    <t xml:space="preserve">US FDA label (DailyMed) – VANCOMYCIN HYDROCHLORIDE (Camber Pharmaceuticals, Inc.): route IV; no US label lists ID / IM / SC (UK SmPC also checked: no ID / IM / SC route)</t>
  </si>
  <si>
    <t xml:space="preserve">https://dailymed.nlm.nih.gov/dailymed/drugInfo.cfm?setid=3f5dacea-af40-4103-b128-c5e0c0c52fa1</t>
  </si>
  <si>
    <t xml:space="preserve">https://mhraproducts4853.blob.core.windows.net/docs/0605730a38f8b988fbfaf3fc09d20f3c7376c587</t>
  </si>
  <si>
    <t xml:space="preserve">US FDA label (DailyMed) – VECURONIUM BROMIDE (Eugia US LLC): route IV; no US label lists ID / IM / SC (UK SmPC also checked: no ID / IM / SC route)</t>
  </si>
  <si>
    <t xml:space="preserve">https://dailymed.nlm.nih.gov/dailymed/drugInfo.cfm?setid=387b57ce-e50e-4e03-86d9-12638242bd36</t>
  </si>
  <si>
    <t xml:space="preserve">https://mhraproducts4853.blob.core.windows.net/docs/1e3206a2f7a9a0bc0b5e1387ff816310bd3a6274</t>
  </si>
  <si>
    <t xml:space="preserve">US FDA label (DailyMed) – VERAPAMIL HYDROCHLORIDE (Eugia US LLC): route IV; no US label lists ID / IM / SC (UK SmPC also checked: no ID / IM / SC route)</t>
  </si>
  <si>
    <t xml:space="preserve">https://dailymed.nlm.nih.gov/dailymed/drugInfo.cfm?setid=def3b9ba-523d-4b83-a80d-fa6f362e111c</t>
  </si>
  <si>
    <t xml:space="preserve">https://mhraproducts4853.blob.core.windows.net/docs/2b86e6e4cadbc2aee6c9bef4810ef2d6c504c961</t>
  </si>
  <si>
    <t xml:space="preserve">US FDA label (DailyMed) – Vinblastine Sulfate (Fresenius Kabi USA, LLC): route IV; no US label lists ID / IM / SC</t>
  </si>
  <si>
    <t xml:space="preserve">https://dailymed.nlm.nih.gov/dailymed/drugInfo.cfm?setid=f073b58e-56d6-4c8d-a2ce-b37719402d77</t>
  </si>
  <si>
    <t xml:space="preserve">US FDA label (DailyMed) – VinCRIStine Sulfate (Hospira, Inc.): route IV; no US label lists ID / IM / SC</t>
  </si>
  <si>
    <t xml:space="preserve">https://dailymed.nlm.nih.gov/dailymed/drugInfo.cfm?setid=49596de6-ab18-49d1-9e5b-30968fc21c36</t>
  </si>
  <si>
    <t xml:space="preserve">US FDA label (DailyMed) – Vinorelbine (Actavis Pharma, Inc.): route IV; no US label lists ID / IM / SC (UK SmPC also checked: no ID / IM / SC route)</t>
  </si>
  <si>
    <t xml:space="preserve">https://dailymed.nlm.nih.gov/dailymed/drugInfo.cfm?setid=dd3dcc9a-e40c-4677-9ee6-f318e7c7d835</t>
  </si>
  <si>
    <t xml:space="preserve">https://mhraproducts4853.blob.core.windows.net/docs/3d797cdc3f406c382dd7a59f87e1c4e1c4dd3b8b</t>
  </si>
  <si>
    <t xml:space="preserve">US FDA label (DailyMed) – Voriconazole (Camber Pharmaceuticals, Inc.): route IV; no US label lists ID / IM / SC (UK SmPC also checked: no ID / IM / SC route)</t>
  </si>
  <si>
    <t xml:space="preserve">https://dailymed.nlm.nih.gov/dailymed/drugInfo.cfm?setid=fff10d69-e334-42bd-baed-7d9d5feef6aa</t>
  </si>
  <si>
    <t xml:space="preserve">https://mhraproducts4853.blob.core.windows.net/docs/e80e715a9abfb407b9d6e8113150fe6a6bc5aea8</t>
  </si>
  <si>
    <t xml:space="preserve">Injectable value – methodology and calculation</t>
  </si>
  <si>
    <t xml:space="preserve">Injectable value ($'000) = India FY24 export of the API × average injectable share of registered products across 7 regulators. It is the volume input of the Scoring tab (col E).</t>
  </si>
  <si>
    <t xml:space="preserve">Minimum records per market for a share to count</t>
  </si>
  <si>
    <t xml:space="preserve">Methodology</t>
  </si>
  <si>
    <t xml:space="preserve">Why this is needed</t>
  </si>
  <si>
    <t xml:space="preserve">India's export figure for an API (HS 3002 + 3004) covers every dosage form – tablets, capsules, syrups, creams and injectables – and every exporter. For molecules sold mainly as oral products (e.g. pantoprazole, caffeine) most of that export is not an injectable opportunity for SurTrac. The injectable share isolates the injectable part so drugs can be compared on a like-for-like basis.</t>
  </si>
  <si>
    <t xml:space="preserve">Step 1 – Count registrations</t>
  </si>
  <si>
    <t xml:space="preserve">For each API, count in each of 7 regulator databases (EU/EEA, UK, Canada, Australia, South Africa, UAE, USA): Total = all registered products containing the API; Injectable = those that are injectable under the market's rule (table below).</t>
  </si>
  <si>
    <t xml:space="preserve">Step 2 – Share per market</t>
  </si>
  <si>
    <t xml:space="preserve">Injectable share = Injectable ÷ Total, calculated only where the market has at least 3 records (cell C3); smaller counts are too thin to be meaningful and are left blank.</t>
  </si>
  <si>
    <t xml:space="preserve">Step 3 – Average share</t>
  </si>
  <si>
    <t xml:space="preserve">Simple average of the available market shares – each market weighs the same, so one large database (e.g. the US) does not dominate.</t>
  </si>
  <si>
    <t xml:space="preserve">Step 4 – Injectable value</t>
  </si>
  <si>
    <t xml:space="preserve">Injectable value ($'000) = India FY24 export of the API × average injectable share. In Scoring, the volume score is the percentile rank of this value across all 333 drug × company pairs.</t>
  </si>
  <si>
    <t xml:space="preserve">Worked example – low share</t>
  </si>
  <si>
    <t xml:space="preserve">Pantoprazole: EU/EEA 254/665 = 38%; UK 16/54 = 30%; Canada 5/39 = 13%; Australia 10/80 = 12%; South Africa 16/66 = 24%; UAE 14/60 = 23%; USA 16/45 = 36% → average 25% (of 7 markets). India export $140,085k × 25% = injectable value $35,277k.</t>
  </si>
  <si>
    <t xml:space="preserve">Worked example – high share</t>
  </si>
  <si>
    <t xml:space="preserve">Adenosine: EU/EEA 64/67 = 96%; UK 10/10 = 100%; Canada 3/3 = 100%; Australia 10/11 = 91%; UAE 2/27 = 7%; USA 12/86 = 14% → average 68% (of 6 markets). India export $4,230k × 68% = injectable value $2,875k.</t>
  </si>
  <si>
    <t xml:space="preserve">Limitations</t>
  </si>
  <si>
    <t xml:space="preserve">1) Counts registered products, not units sold – a proxy for how the market splits between forms. 2) Molecule-level: the same value applies to every company making the API. 3) Australia includes listed (complementary) medicines and the US includes OTC listings, which lowers the share for vitamins, caffeine and similar molecules. 4) Brazil's file has no dosage-form field and is not used.</t>
  </si>
  <si>
    <t xml:space="preserve">Data sources</t>
  </si>
  <si>
    <t xml:space="preserve">Input</t>
  </si>
  <si>
    <t xml:space="preserve">Database</t>
  </si>
  <si>
    <t xml:space="preserve">Injectable rule</t>
  </si>
  <si>
    <t xml:space="preserve">India export (col C)</t>
  </si>
  <si>
    <t xml:space="preserve">User workbook, Shortlisted Drugs X Company (6), col "Export ('000 USD)" – FY24 India exports, HS 3002 + 3004 (user's trade database)</t>
  </si>
  <si>
    <t xml:space="preserve">All dosage forms, all exporters</t>
  </si>
  <si>
    <t xml:space="preserve">Same value as Shortlist (6) col L for the API</t>
  </si>
  <si>
    <t xml:space="preserve">No public URL – user file</t>
  </si>
  <si>
    <t xml:space="preserve">EU/EEA</t>
  </si>
  <si>
    <t xml:space="preserve">EMA Article 57 product data (05-Aug-2026); 1 record = product × authorisation country</t>
  </si>
  <si>
    <t xml:space="preserve">Parenteral route (IV, IM, SC, intradermal, intrathecal, intravitreal, etc.)</t>
  </si>
  <si>
    <t xml:space="preserve">Filter "Active substance" contains the API → Total = rows; Injectable = rows with a parenteral "Route of administration"</t>
  </si>
  <si>
    <t xml:space="preserve">https://www.ema.europa.eu/en/documents/other/article-57-product-data_en.xlsx</t>
  </si>
  <si>
    <t xml:space="preserve">MHRA licensed products (user file UK_Master)</t>
  </si>
  <si>
    <t xml:space="preserve">Product name states injection / infusion / pre-filled syringe / vial / ampoule</t>
  </si>
  <si>
    <t xml:space="preserve">Search the API on the MHRA products site; count licences whose name states an injectable form</t>
  </si>
  <si>
    <t xml:space="preserve">https://products.mhra.gov.uk/</t>
  </si>
  <si>
    <t xml:space="preserve">Health Canada Drug Product Database (human, marketed)</t>
  </si>
  <si>
    <t xml:space="preserve">Parenteral route</t>
  </si>
  <si>
    <t xml:space="preserve">Search the API (Active ingredient) in DPD; count products with a parenteral route</t>
  </si>
  <si>
    <t xml:space="preserve">https://www.canada.ca/en/health-canada/services/drugs-health-products/drug-products/drug-product-database.html</t>
  </si>
  <si>
    <t xml:space="preserve">TGA ARTG (export-only listings excluded)</t>
  </si>
  <si>
    <t xml:space="preserve">Parenteral route or "Injection…" dosage form</t>
  </si>
  <si>
    <t xml:space="preserve">Search the API in ARTG; count entries with an injection dosage form</t>
  </si>
  <si>
    <t xml:space="preserve">https://www.tga.gov.au/resources/artg</t>
  </si>
  <si>
    <t xml:space="preserve">NDoH Single Exit Price registry (user file; discontinued excluded)</t>
  </si>
  <si>
    <t xml:space="preserve">Dosage form INJ, INF, PFS, PFP, POI, VAC, CAT, TPN</t>
  </si>
  <si>
    <t xml:space="preserve">Search the API on the public SEP viewer; count products with an injectable dosage form</t>
  </si>
  <si>
    <t xml:space="preserve">https://medicineprices.org.za/</t>
  </si>
  <si>
    <t xml:space="preserve">UAE</t>
  </si>
  <si>
    <t xml:space="preserve">Emirates Drug Establishment directory (user file; active registrations)</t>
  </si>
  <si>
    <t xml:space="preserve">Form = injection / infusion, or pack shows vial / ampoule / syringe</t>
  </si>
  <si>
    <t xml:space="preserve">Filter the user's UAE file by API; public URL not confirmed</t>
  </si>
  <si>
    <t xml:space="preserve">USA</t>
  </si>
  <si>
    <t xml:space="preserve">FDA NDC Directory, product.txt (07-Oct-2026); repackager copies collapsed; unapproved homeopathic products excluded</t>
  </si>
  <si>
    <t xml:space="preserve">Parenteral route or dosage form contains "INJECTION"</t>
  </si>
  <si>
    <t xml:space="preserve">Open zip → product.txt → filter "SUBSTANCENAME" contains the API → count by "ROUTENAME"</t>
  </si>
  <si>
    <t xml:space="preserve">https://www.accessdata.fda.gov/cder/ndctext.zip</t>
  </si>
  <si>
    <t xml:space="preserve">Calculation</t>
  </si>
  <si>
    <t xml:space="preserve">Result</t>
  </si>
  <si>
    <t xml:space="preserve">India export FY24 ($'000)</t>
  </si>
  <si>
    <t xml:space="preserve">Total</t>
  </si>
  <si>
    <t xml:space="preserve">Inject-able</t>
  </si>
  <si>
    <t xml:space="preserve">Share</t>
  </si>
  <si>
    <t xml:space="preserve">Markets with data</t>
  </si>
  <si>
    <t xml:space="preserve">Avg injectable share</t>
  </si>
  <si>
    <t xml:space="preserve">Ophthalmology</t>
  </si>
  <si>
    <t xml:space="preserve">Cardiovascular</t>
  </si>
  <si>
    <t xml:space="preserve">Anaesthesia</t>
  </si>
  <si>
    <t xml:space="preserve">Anti-infective</t>
  </si>
  <si>
    <t xml:space="preserve">Haematology</t>
  </si>
  <si>
    <t xml:space="preserve">Psychiatry</t>
  </si>
  <si>
    <t xml:space="preserve">Critical care</t>
  </si>
  <si>
    <t xml:space="preserve">Oncology</t>
  </si>
  <si>
    <t xml:space="preserve">Neurology</t>
  </si>
  <si>
    <t xml:space="preserve">Neonatology</t>
  </si>
  <si>
    <t xml:space="preserve">Women's health</t>
  </si>
  <si>
    <t xml:space="preserve">Cardiovascular and renal</t>
  </si>
  <si>
    <t xml:space="preserve">Allergy</t>
  </si>
  <si>
    <t xml:space="preserve">Gastroenterology</t>
  </si>
  <si>
    <t xml:space="preserve">Bone health and oncology</t>
  </si>
  <si>
    <t xml:space="preserve">Endocrinology and haematology</t>
  </si>
  <si>
    <t xml:space="preserve">Haematology and nephrology</t>
  </si>
  <si>
    <t xml:space="preserve">Anaesthesia and pain</t>
  </si>
  <si>
    <t xml:space="preserve">Oncology support</t>
  </si>
  <si>
    <t xml:space="preserve">Diagnostics</t>
  </si>
  <si>
    <t xml:space="preserve">Endocrinology and critical care</t>
  </si>
  <si>
    <t xml:space="preserve">Palliative care and anaesthesia</t>
  </si>
  <si>
    <t xml:space="preserve">Bone health</t>
  </si>
  <si>
    <t xml:space="preserve">Endocrinology and oncology</t>
  </si>
  <si>
    <t xml:space="preserve">Women's health and critical care</t>
  </si>
  <si>
    <t xml:space="preserve">Vaccines</t>
  </si>
  <si>
    <t xml:space="preserve">Oncology and immunology</t>
  </si>
  <si>
    <t xml:space="preserve">Musculoskeletal and immunology</t>
  </si>
  <si>
    <t xml:space="preserve">Oncology and neurology</t>
  </si>
  <si>
    <t xml:space="preserve">Pain management</t>
  </si>
  <si>
    <t xml:space="preserve">Anaesthesia and neurology</t>
  </si>
  <si>
    <t xml:space="preserve">Nephrology</t>
  </si>
  <si>
    <t xml:space="preserve">Hepatology</t>
  </si>
  <si>
    <t xml:space="preserve">Endocrinology</t>
  </si>
  <si>
    <t xml:space="preserve">Immunology</t>
  </si>
  <si>
    <t xml:space="preserve">Blue = hard-coded counts / inputs from source databases; black = formulas. Share shown only where the market has at least the minimum number of records (cell C3); average weights each market equally. Scoring col E = col AA rounded to $0.1k.</t>
  </si>
  <si>
    <t xml:space="preserve">Drug use and markets tapped – evidence</t>
  </si>
  <si>
    <t xml:space="preserve">One row per drug × company × market. Open the Evidence URL in a browser and look for the product / holder shown. Markets are company-level: the company's own group entity holds the licence.</t>
  </si>
  <si>
    <t xml:space="preserve">Drug utility – source URL</t>
  </si>
  <si>
    <t xml:space="preserve">Market</t>
  </si>
  <si>
    <t xml:space="preserve">Product / licence holder to look for</t>
  </si>
  <si>
    <t xml:space="preserve">Evidence URL</t>
  </si>
  <si>
    <t xml:space="preserve">Source type</t>
  </si>
  <si>
    <t xml:space="preserve">Additional URL</t>
  </si>
  <si>
    <t xml:space="preserve">CARBOPROST TROMETHAMINE – ALEMBIC PHARMACEUTICALS LTD</t>
  </si>
  <si>
    <t xml:space="preserve">https://dailymed.nlm.nih.gov/dailymed/lookup.cfm?setid=c1cde9c7-b005-484f-8497-343c5ecd4f0a</t>
  </si>
  <si>
    <t xml:space="preserve">DailyMed label</t>
  </si>
  <si>
    <t xml:space="preserve">US label page (FDA-listed) shows the product, the labeler and the injectable dosage form</t>
  </si>
  <si>
    <t xml:space="preserve">EU/EEA (2): Malta, Sweden</t>
  </si>
  <si>
    <t xml:space="preserve">Alembic Pharmaceuticals Europe Ltd</t>
  </si>
  <si>
    <t xml:space="preserve">EMA Article 57 file (download)</t>
  </si>
  <si>
    <t xml:space="preserve">Article 57 file: filter "Active substance" contains "carboprost" and "Marketing authorisation holder" contains "Alembic" → "Product authorisation country"</t>
  </si>
  <si>
    <t xml:space="preserve">DIAZEPAM – ALEMBIC PHARMACEUTICALS LTD</t>
  </si>
  <si>
    <t xml:space="preserve">https://dailymed.nlm.nih.gov/dailymed/drugInfo.cfm?setid=7a912f1a-deee-46df-a8df-22a0afb06529</t>
  </si>
  <si>
    <t xml:space="preserve">FULVESTRANT – ALEMBIC PHARMACEUTICALS LTD</t>
  </si>
  <si>
    <t xml:space="preserve">https://dailymed.nlm.nih.gov/dailymed/drugInfo.cfm?setid=b02915fe-6c44-48c1-aaeb-997ddc59a595</t>
  </si>
  <si>
    <t xml:space="preserve">METHOTREXATE SODIUM – ALEMBIC PHARMACEUTICALS LTD</t>
  </si>
  <si>
    <t xml:space="preserve">https://dailymed.nlm.nih.gov/dailymed/drugInfo.cfm?setid=a63364d5-4dfa-49d7-8a5e-c8959ae1d37a</t>
  </si>
  <si>
    <t xml:space="preserve">PHYTONADIONE – ALEMBIC PHARMACEUTICALS LTD</t>
  </si>
  <si>
    <t xml:space="preserve">https://dailymed.nlm.nih.gov/dailymed/search.cfm?searchdb=ndc&amp;query=62332-826-05</t>
  </si>
  <si>
    <t xml:space="preserve">TRIAMCINOLONE ACETONIDE – ALEMBIC PHARMACEUTICALS LTD</t>
  </si>
  <si>
    <t xml:space="preserve">https://dailymed.nlm.nih.gov/dailymed/drugInfo.cfm?setid=1034d417-493a-443a-a62e-30786f673ee3</t>
  </si>
  <si>
    <t xml:space="preserve">AMPICILLIN SODIUM FOR INJECTION BP – AURO PHARMA INC</t>
  </si>
  <si>
    <t xml:space="preserve">https://health-products.canada.ca/dpd-bdpp/info?code=95007&amp;lang=eng</t>
  </si>
  <si>
    <t xml:space="preserve">Health Canada DPD</t>
  </si>
  <si>
    <t xml:space="preserve">Health Canada record shows the product, the company and the status (Marketed)</t>
  </si>
  <si>
    <t xml:space="preserve">Eugia Pharma (Malta) Limited</t>
  </si>
  <si>
    <t xml:space="preserve">Article 57 file: filter "Active substance" contains "ampicillin" and "Marketing authorisation holder" contains "Eugia" → "Product authorisation country"</t>
  </si>
  <si>
    <t xml:space="preserve">ARGATROBAN IN SODIUM CHLORIDE – EUGIA PHARMA SPECIALITIES LTD</t>
  </si>
  <si>
    <t xml:space="preserve">https://dailymed.nlm.nih.gov/dailymed/drugInfo.cfm?setid=d9b975bd-e3f4-466e-96ca-7bef7899506d</t>
  </si>
  <si>
    <t xml:space="preserve">UK (GB)</t>
  </si>
  <si>
    <t xml:space="preserve">AZACITIDINE 25 MG/ML POWDER FOR SUSPENSION FOR INJECTION – EUGIA (UK) LIMITED</t>
  </si>
  <si>
    <t xml:space="preserve">https://mhraproducts4853.blob.core.windows.net/docs/2efde25ac4cbefa21bb4640027e6b7243ef5b3f8</t>
  </si>
  <si>
    <t xml:space="preserve">MHRA licence document</t>
  </si>
  <si>
    <t xml:space="preserve">UK licence document (SmPC/PIL) shows the product name and the licence holder</t>
  </si>
  <si>
    <t xml:space="preserve">Eugia (Uk) Limited ; Eugia Pharma (Malta) Limited</t>
  </si>
  <si>
    <t xml:space="preserve">Article 57 file: filter "Active substance" contains "azacitidine" and "Marketing authorisation holder" contains "Eugia" → country "United Kingdom (Northern Ireland)"</t>
  </si>
  <si>
    <t xml:space="preserve">EU/EEA (8): Germany, France, Netherlands, Belgium, Italy, Poland, Portugal, Spain</t>
  </si>
  <si>
    <t xml:space="preserve">https://base-donnees-publique.medicaments.gouv.fr/index.php?page=1&amp;choixRecherche=medicament&amp;txtCaracteres=Azacitidine%20Arrow&amp;action=show</t>
  </si>
  <si>
    <t xml:space="preserve">France register (BDPM) search</t>
  </si>
  <si>
    <t xml:space="preserve">French register shows the product and holder (France). For the other countries: Article 57 file: filter "Active substance" contains "azacitidine" and "Marketing authorisation holder" contains "Eugia" → "Product authorisation country"</t>
  </si>
  <si>
    <t xml:space="preserve">AZACITIDINE EUGIA azacitidine 100 mg powder for injection vial – Eugia Pharma (Australia) Pty Ltd</t>
  </si>
  <si>
    <t xml:space="preserve">https://www.ebs.tga.gov.au/ebs/picmi/picmirepository.nsf/pdf?OpenAgent&amp;id=CP-2024-PI-01359-1</t>
  </si>
  <si>
    <t xml:space="preserve">TGA ARTG</t>
  </si>
  <si>
    <t xml:space="preserve">ARTG public summary shows the product and the sponsor</t>
  </si>
  <si>
    <t xml:space="preserve">BORTEZOMIB – EUGIA PHARMA SPECIALITIES LTD</t>
  </si>
  <si>
    <t xml:space="preserve">https://dailymed.nlm.nih.gov/dailymed/search.cfm?labeltype=all&amp;query=Bortezomib</t>
  </si>
  <si>
    <t xml:space="preserve">DailyMed search</t>
  </si>
  <si>
    <t xml:space="preserve">Search lists the US labels; open the one from the holder shown</t>
  </si>
  <si>
    <t xml:space="preserve">BORTEZOMIB MILPHARM 3.5 MG POWDER FOR SOLUTION FOR INJECTION – MILPHARM LIMITED</t>
  </si>
  <si>
    <t xml:space="preserve">https://mhraproducts4853.blob.core.windows.net/docs/0c08f164559c903dce45f10a6de733bdd83f7e40</t>
  </si>
  <si>
    <t xml:space="preserve">Eugia Pharma (Malta) Limited ; Milpharm Limited</t>
  </si>
  <si>
    <t xml:space="preserve">Article 57 file: filter "Active substance" contains "bortezomib" and "Marketing authorisation holder" contains "Eugia" or "Milpharm" → country "United Kingdom (Northern Ireland)"</t>
  </si>
  <si>
    <t xml:space="preserve">https://base-donnees-publique.medicaments.gouv.fr/index.php?page=1&amp;choixRecherche=medicament&amp;txtCaracteres=Bortezomib%20Arrow&amp;action=show</t>
  </si>
  <si>
    <t xml:space="preserve">French register shows the product and holder (France). For the other countries: Article 57 file: filter "Active substance" contains "bortezomib" and "Marketing authorisation holder" contains "Eugia" or "Milpharm" → "Product authorisation country"</t>
  </si>
  <si>
    <t xml:space="preserve">EUG-BORTEZOMIB bortezomib 3.5 mg powder for injection vial – Eugia Pharma (Australia) Pty Ltd</t>
  </si>
  <si>
    <t xml:space="preserve">https://www.ebs.tga.gov.au/servlet/xmlmillr6?dbid=ebs/PublicHTML/pdfStore.nsf&amp;docid=401630&amp;agid=(PrintDetailsPublic)&amp;actionid=1</t>
  </si>
  <si>
    <t xml:space="preserve">Article 57 file: filter "Active substance" contains "bupivacaine" and "Marketing authorisation holder" contains "Eugia" → country "United Kingdom (Northern Ireland)"</t>
  </si>
  <si>
    <t xml:space="preserve">EU/EEA (5): Germany, Netherlands, Italy, Portugal, Spain</t>
  </si>
  <si>
    <t xml:space="preserve">Article 57 file: filter "Active substance" contains "bupivacaine" and "Marketing authorisation holder" contains "Eugia" → "Product authorisation country"</t>
  </si>
  <si>
    <t xml:space="preserve">CARBOPROST TROMETHAMINE – EUGIA PHARMA SPECIALITIES LTD</t>
  </si>
  <si>
    <t xml:space="preserve">Auro Cefepime Injection 1000 mg – Aurogen South Africa (Pty) Ltd</t>
  </si>
  <si>
    <t xml:space="preserve">https://pi-pil-repository.sahpra.org.za/wp-content/uploads/2022/08/1.3.1.1-Auro-Cefepime-Injection.pdf</t>
  </si>
  <si>
    <t xml:space="preserve">SAHPRA</t>
  </si>
  <si>
    <t xml:space="preserve">SAHPRA professional information shows the product and the applicant</t>
  </si>
  <si>
    <t xml:space="preserve">https://base-donnees-publique.medicaments.gouv.fr/index.php?page=1&amp;choixRecherche=medicament&amp;txtCaracteres=Ceftazidime%20Arrow&amp;action=show</t>
  </si>
  <si>
    <t xml:space="preserve">French register shows the product and holder (France). For the other countries: Article 57 file: filter "Active substance" contains "ceftazidime" and "Marketing authorisation holder" contains "Eugia" → "Product authorisation country"</t>
  </si>
  <si>
    <t xml:space="preserve">Arrow Generiques ; Eugia Pharma (Malta) Limited</t>
  </si>
  <si>
    <t xml:space="preserve">https://base-donnees-publique.medicaments.gouv.fr/index.php?page=1&amp;choixRecherche=medicament&amp;txtCaracteres=Ceftriaxone%20Almus&amp;action=show</t>
  </si>
  <si>
    <t xml:space="preserve">French register shows the product and holder (France). For the other countries: Article 57 file: filter "Active substance" contains "ceftriaxone" and "Marketing authorisation holder" contains "Eugia" or "Arrow" → "Product authorisation country"</t>
  </si>
  <si>
    <t xml:space="preserve">CHLORPROMAZINE HYDROCHLORIDE – EUGIA PHARMA SPECIALITIES LTD</t>
  </si>
  <si>
    <t xml:space="preserve">https://dailymed.nlm.nih.gov/dailymed/lookup.cfm?setid=07e6144a-b460-4887-b8e2-dd371c14a55c</t>
  </si>
  <si>
    <t xml:space="preserve">CYCLOPHOSPHAMIDE – EUGIA PHARMA SPECIALITIES LTD</t>
  </si>
  <si>
    <t xml:space="preserve">https://dailymed.nlm.nih.gov/dailymed/drugInfo.cfm?setid=3c1eb470-0bba-457d-94e3-b9508f0d398a</t>
  </si>
  <si>
    <t xml:space="preserve">DACTINOMYCIN – EUGIA PHARMA SPECIALITIES LTD</t>
  </si>
  <si>
    <t xml:space="preserve">https://dailymed.nlm.nih.gov/dailymed/drugInfo.cfm?setid=aa047ee8-f2e8-4720-84b1-d1c4532d6c63</t>
  </si>
  <si>
    <t xml:space="preserve">Article 57 file: filter "Active substance" contains "daptomycin" and "Marketing authorisation holder" contains "Eugia" → "Product authorisation country"</t>
  </si>
  <si>
    <t xml:space="preserve">https://base-donnees-publique.medicaments.gouv.fr/index.php?page=1&amp;choixRecherche=medicament&amp;txtCaracteres=Doxorubicine%20Arrow&amp;action=show</t>
  </si>
  <si>
    <t xml:space="preserve">French register shows the product and holder (France). For the other countries: Article 57 file: filter "Active substance" contains "doxorubicin" and "Marketing authorisation holder" contains "Eugia" → "Product authorisation country"</t>
  </si>
  <si>
    <t xml:space="preserve">EPHEDRINE SULFATE – EUGIA PHARMA SPECIALITIES LTD</t>
  </si>
  <si>
    <t xml:space="preserve">https://dailymed.nlm.nih.gov/dailymed/drugInfo.cfm?setid=a5862de7-4118-4bda-8075-0b2524e04585</t>
  </si>
  <si>
    <t xml:space="preserve">https://base-donnees-publique.medicaments.gouv.fr/index.php?page=1&amp;choixRecherche=medicament&amp;txtCaracteres=Ephedrine%20Arrow&amp;action=show</t>
  </si>
  <si>
    <t xml:space="preserve">French register shows the product and holder (France). For the other countries: Article 57 file: filter "Active substance" contains "ephedrine" and "Marketing authorisation holder" contains "Eugia" → "Product authorisation country"</t>
  </si>
  <si>
    <t xml:space="preserve">Aurobindo N.V. ; Eugia Pharma (Malta) Limited</t>
  </si>
  <si>
    <t xml:space="preserve">Article 57 file: filter "Active substance" contains "epirubicin" and "Marketing authorisation holder" contains "Eugia" or "Aurobindo" → "Product authorisation country"</t>
  </si>
  <si>
    <t xml:space="preserve">EPTIFIBATIDE – EUGIA PHARMA SPECIALITIES LTD</t>
  </si>
  <si>
    <t xml:space="preserve">ERTAPENEM SODIUM – EUGIA PHARMA SPECIALITIES LTD</t>
  </si>
  <si>
    <t xml:space="preserve">https://dailymed.nlm.nih.gov/dailymed/drugInfo.cfm?setid=f725a68c-31a2-482a-9744-19adc47506b5</t>
  </si>
  <si>
    <t xml:space="preserve">Aurobindo Pharma România S.R.L. ; Eugia Pharma (Malta) Limited ; Milpharm Limited</t>
  </si>
  <si>
    <t xml:space="preserve">Article 57 file: filter "Active substance" contains "ertapenem" and "Marketing authorisation holder" contains "Eugia" or "Aurobindo" or "Milpharm" → country "United Kingdom (Northern Ireland)"</t>
  </si>
  <si>
    <t xml:space="preserve">ERTAPENEM FOR INJECTION – AURO PHARMA INC</t>
  </si>
  <si>
    <t xml:space="preserve">https://health-products.canada.ca/dpd-bdpp/info?code=98213&amp;lang=eng</t>
  </si>
  <si>
    <t xml:space="preserve">EU/EEA (6): France, Italy, Poland, Portugal, Romania, Spain</t>
  </si>
  <si>
    <t xml:space="preserve">https://base-donnees-publique.medicaments.gouv.fr/index.php?page=1&amp;choixRecherche=medicament&amp;txtCaracteres=Ertapenem%20Arrow&amp;action=show</t>
  </si>
  <si>
    <t xml:space="preserve">French register shows the product and holder (France). For the other countries: Article 57 file: filter "Active substance" contains "ertapenem" and "Marketing authorisation holder" contains "Eugia" or "Aurobindo" or "Milpharm" → "Product authorisation country"</t>
  </si>
  <si>
    <t xml:space="preserve">Etamep – Aurogen South Africa (Pty) Ltd</t>
  </si>
  <si>
    <t xml:space="preserve">https://pi-pil-repository.sahpra.org.za/wp-content/uploads/2023/07/pil_ETAMEP.pdf</t>
  </si>
  <si>
    <t xml:space="preserve">ESMOLOL HYDROCHLORIDE – EUGIA PHARMA SPECIALITIES LTD</t>
  </si>
  <si>
    <t xml:space="preserve">https://dailymed.nlm.nih.gov/dailymed/drugInfo.cfm?setid=ac22475d-2d78-469f-9435-b403ac4ee380</t>
  </si>
  <si>
    <t xml:space="preserve">Article 57 file: filter "Active substance" contains "esmolol" and "Marketing authorisation holder" contains "Eugia" → "Product authorisation country"</t>
  </si>
  <si>
    <t xml:space="preserve">Article 57 file: filter "Active substance" contains "flucloxacillin" and "Marketing authorisation holder" contains "Eugia" → country "United Kingdom (Northern Ireland)"</t>
  </si>
  <si>
    <t xml:space="preserve">EU/EEA (6): Germany, France, Netherlands, Belgium, Luxembourg, Portugal</t>
  </si>
  <si>
    <t xml:space="preserve">https://base-donnees-publique.medicaments.gouv.fr/index.php?page=1&amp;choixRecherche=medicament&amp;txtCaracteres=Flucloxacilline&amp;action=show</t>
  </si>
  <si>
    <t xml:space="preserve">French register shows the product and holder (France). For the other countries: Article 57 file: filter "Active substance" contains "flucloxacillin" and "Marketing authorisation holder" contains "Eugia" → "Product authorisation country"</t>
  </si>
  <si>
    <t xml:space="preserve">EUG-FLUCLOXACILLIN flucloxacillin (as sodium) 500 mg powder for injection vial – Eugia Pharma (Australia) Pty Ltd</t>
  </si>
  <si>
    <t xml:space="preserve">https://www.ebs.tga.gov.au/ebs/picmi/picmirepository.nsf/pdf?OpenAgent&amp;id=CP-2024-PI-02513-1</t>
  </si>
  <si>
    <t xml:space="preserve">FLUOROURACIL – EUGIA PHARMA SPECIALITIES LTD</t>
  </si>
  <si>
    <t xml:space="preserve">https://dailymed.nlm.nih.gov/dailymed/drugInfo.cfm?setid=199ef964-8a9b-403e-a2ae-759280b3d1d1</t>
  </si>
  <si>
    <t xml:space="preserve">FLUPHENAZINE DECANOATE – EUGIA PHARMA SPECIALITIES LTD</t>
  </si>
  <si>
    <t xml:space="preserve">Article 57 file: filter "Active substance" contains "folinic" and "Marketing authorisation holder" contains "Eugia" → "Product authorisation country"</t>
  </si>
  <si>
    <t xml:space="preserve">FULVESTRANT 250 MG SOLUTION FOR INJECTION IN PRE-FILLED SYRINGE – MILPHARM LIMITED</t>
  </si>
  <si>
    <t xml:space="preserve">https://mhraproducts4853.blob.core.windows.net/docs/662771b8a40d902278b3bdf8028b29838cd8e06c</t>
  </si>
  <si>
    <t xml:space="preserve">https://base-donnees-publique.medicaments.gouv.fr/index.php?page=1&amp;choixRecherche=medicament&amp;txtCaracteres=Fulvestrant%20Arrow&amp;action=show</t>
  </si>
  <si>
    <t xml:space="preserve">French register shows the product and holder (France). For the other countries: Article 57 file: filter "Active substance" contains "fulvestrant" and "Marketing authorisation holder" contains "Eugia" → "Product authorisation country"</t>
  </si>
  <si>
    <t xml:space="preserve">EUG-FULVESTRANT fulvestrant 250 mg/5 mL solution for injection pre-filled syringe – Eugia Pharma (Australia) Pty Ltd</t>
  </si>
  <si>
    <t xml:space="preserve">https://www.tga.gov.au/resources/artg/408393</t>
  </si>
  <si>
    <t xml:space="preserve">HYDRALAZINE HYDROCHLORIDE INJECTION, USP – AURO PHARMA INC</t>
  </si>
  <si>
    <t xml:space="preserve">https://health-products.canada.ca/dpd-bdpp/info?code=100550&amp;lang=eng</t>
  </si>
  <si>
    <t xml:space="preserve">IBANDRONATE SODIUM – EUGIA PHARMA SPECIALITIES LTD</t>
  </si>
  <si>
    <t xml:space="preserve">https://dailymed.nlm.nih.gov/dailymed/lookup.cfm?setid=e81f2c5b-bead-48ac-be3e-016cf963d7ed</t>
  </si>
  <si>
    <t xml:space="preserve">MEDROXYPROGESTERONE ACETATE – EUGIA PHARMA SPECIALITIES LTD</t>
  </si>
  <si>
    <t xml:space="preserve">https://dailymed.nlm.nih.gov/dailymed/search.cfm?searchdb=ndc&amp;query=55150-329-25</t>
  </si>
  <si>
    <t xml:space="preserve">Article 57 file: filter "Active substance" contains "melphalan" and "Marketing authorisation holder" contains "Eugia" → "Product authorisation country"</t>
  </si>
  <si>
    <t xml:space="preserve">Article 57 file: filter "Active substance" contains "meropenem" and "Marketing authorisation holder" contains "Eugia" or "Aurobindo" or "Milpharm" → country "United Kingdom (Northern Ireland)"</t>
  </si>
  <si>
    <t xml:space="preserve">MEROPENEM FOR INJECTION – AURO PHARMA INC</t>
  </si>
  <si>
    <t xml:space="preserve">https://health-products.canada.ca/dpd-bdpp/info?code=95075&amp;lang=eng</t>
  </si>
  <si>
    <t xml:space="preserve">EU/EEA (8): Germany, France, Belgium, Ireland, Italy, Portugal, Romania, Spain</t>
  </si>
  <si>
    <t xml:space="preserve">https://base-donnees-publique.medicaments.gouv.fr/index.php?page=1&amp;choixRecherche=medicament&amp;txtCaracteres=Meropenem&amp;action=show</t>
  </si>
  <si>
    <t xml:space="preserve">French register shows the product and holder (France). For the other countries: Article 57 file: filter "Active substance" contains "meropenem" and "Marketing authorisation holder" contains "Eugia" or "Aurobindo" or "Milpharm" → "Product authorisation country"</t>
  </si>
  <si>
    <t xml:space="preserve">MESNA – EUGIA PHARMA SPECIALITIES LTD</t>
  </si>
  <si>
    <t xml:space="preserve">METHOTREXATE SODIUM PRESERVATIVE FREE – EUGIA PHARMA SPECIALITIES LTD</t>
  </si>
  <si>
    <t xml:space="preserve">https://dailymed.nlm.nih.gov/dailymed/search.cfm?searchdb=ndc&amp;query=55150-510</t>
  </si>
  <si>
    <t xml:space="preserve">METHYLPREDNISOLONE ACETATE – EUGIA PHARMA SPECIALITIES LTD</t>
  </si>
  <si>
    <t xml:space="preserve">https://dailymed.nlm.nih.gov/dailymed/search.cfm?searchdb=ndc&amp;query=55150-262</t>
  </si>
  <si>
    <t xml:space="preserve">Article 57 file: filter "Active substance" contains "mitomycin" and "Marketing authorisation holder" contains "Eugia" → "Product authorisation country"</t>
  </si>
  <si>
    <t xml:space="preserve">NAFCILLIN SODIUM – EUGIA PHARMA SPECIALITIES LTD</t>
  </si>
  <si>
    <t xml:space="preserve">https://dailymed.nlm.nih.gov/dailymed/search.cfm?searchdb=ndc&amp;query=55150-122</t>
  </si>
  <si>
    <t xml:space="preserve">NALOXONE HYDROCHLORIDE – EUGIA PHARMA SPECIALITIES LTD</t>
  </si>
  <si>
    <t xml:space="preserve">https://dailymed.nlm.nih.gov/dailymed/search.cfm?searchdb=ndc&amp;query=55150-345-01</t>
  </si>
  <si>
    <t xml:space="preserve">NALOXONE HYDROCHLORIDE INJECTION, USP – EUGIA PHARMA INC.</t>
  </si>
  <si>
    <t xml:space="preserve">https://health-products.canada.ca/dpd-bdpp/info?code=102386&amp;lang=eng</t>
  </si>
  <si>
    <t xml:space="preserve">ONDANSETRON 2MG/ML SOLUTION FOR INJECTION OR INFUSION – EUGIA (UK) LIMITED</t>
  </si>
  <si>
    <t xml:space="preserve">NHS dm+d</t>
  </si>
  <si>
    <t xml:space="preserve">NHS dictionary of medicines page shows the product pack and the supplier</t>
  </si>
  <si>
    <t xml:space="preserve">Aurobindo Pharma B.V. ; Aurobindo Pharma România S.R.L. ; Eugia (Uk) Limited ; Eugia Pharma (Malta) Limited</t>
  </si>
  <si>
    <t xml:space="preserve">Article 57 file: filter "Active substance" contains "ondansetron" and "Marketing authorisation holder" contains "Eugia" or "Aurobindo" → country "United Kingdom (Northern Ireland)"</t>
  </si>
  <si>
    <t xml:space="preserve">AURO-ONDANSETRON INJECTION – AURO PHARMA INC</t>
  </si>
  <si>
    <t xml:space="preserve">https://health-products.canada.ca/dpd-bdpp/info?code=98138&amp;lang=eng</t>
  </si>
  <si>
    <t xml:space="preserve">EU/EEA (7): Germany, Belgium, Italy, Luxembourg, Portugal, Romania, Spain</t>
  </si>
  <si>
    <t xml:space="preserve">Article 57 file: filter "Active substance" contains "ondansetron" and "Marketing authorisation holder" contains "Eugia" or "Aurobindo" → "Product authorisation country"</t>
  </si>
  <si>
    <t xml:space="preserve">OXACILLIN SODIUM – EUGIA PHARMA SPECIALITIES LTD</t>
  </si>
  <si>
    <t xml:space="preserve">PALONOSETRON HYDROCHLORIDE – EUGIA PHARMA SPECIALITIES LTD</t>
  </si>
  <si>
    <t xml:space="preserve">https://dailymed.nlm.nih.gov/dailymed/drugInfo.cfm?setid=42e2d437-0712-4e9c-9c2a-00093c406d62</t>
  </si>
  <si>
    <t xml:space="preserve">PANTOPRAZOLE 40 MG POWDER FOR SOLUTION FOR INJECTION – EUGIA (UK) LIMITED</t>
  </si>
  <si>
    <t xml:space="preserve">Article 57 file: filter "Active substance" contains "pantoprazole" and "Marketing authorisation holder" contains "Eugia" → country "United Kingdom (Northern Ireland)"</t>
  </si>
  <si>
    <t xml:space="preserve">PANTOPRAZOLE FOR INJECTION – AURO PHARMA INC</t>
  </si>
  <si>
    <t xml:space="preserve">https://health-products.canada.ca/dpd-bdpp/info?code=94611&amp;lang=eng</t>
  </si>
  <si>
    <t xml:space="preserve">https://base-donnees-publique.medicaments.gouv.fr/index.php?page=1&amp;choixRecherche=medicament&amp;txtCaracteres=Pantoprazole%20Arrow&amp;action=show</t>
  </si>
  <si>
    <t xml:space="preserve">French register shows the product and holder (France). For the other countries: Article 57 file: filter "Active substance" contains "pantoprazole" and "Marketing authorisation holder" contains "Eugia" → "Product authorisation country"</t>
  </si>
  <si>
    <t xml:space="preserve">PLERIXAFOR – EUGIA PHARMA SPECIALITIES LTD</t>
  </si>
  <si>
    <t xml:space="preserve">https://dailymed.nlm.nih.gov/dailymed/drugInfo.cfm?setid=58c9fa02-3701-d411-f946-790a62ddc064</t>
  </si>
  <si>
    <t xml:space="preserve">PLERIXAFOR 20 MG/ML SOLUTION FOR INJECTION – EUGIA (UK) LIMITED</t>
  </si>
  <si>
    <t xml:space="preserve">https://mhraproducts4853.blob.core.windows.net/docs/bb7448515c77d7fb12fb87b29dc3839d02e684f3</t>
  </si>
  <si>
    <t xml:space="preserve">Article 57 file: filter "Active substance" contains "plerixafor" and "Marketing authorisation holder" contains "Eugia" → country "United Kingdom (Northern Ireland)"</t>
  </si>
  <si>
    <t xml:space="preserve">PLERIXAFOR INJECTION – EUGIA PHARMA INC.</t>
  </si>
  <si>
    <t xml:space="preserve">https://health-products.canada.ca/dpd-bdpp/info?code=102820&amp;lang=eng</t>
  </si>
  <si>
    <t xml:space="preserve">https://base-donnees-publique.medicaments.gouv.fr/index.php?page=1&amp;choixRecherche=medicament&amp;txtCaracteres=Plerixafor%20Arrow&amp;action=show</t>
  </si>
  <si>
    <t xml:space="preserve">French register shows the product and holder (France). For the other countries: Article 57 file: filter "Active substance" contains "plerixafor" and "Marketing authorisation holder" contains "Eugia" → "Product authorisation country"</t>
  </si>
  <si>
    <t xml:space="preserve">PLERIXAFOR EUGIA plerixafor 24 mg/ 1.2 mL solution for injection vial – Eugia Pharma (Australia) Pty Ltd</t>
  </si>
  <si>
    <t xml:space="preserve">https://www.ebs.tga.gov.au/ebs/picmi/picmirepository.nsf/pdf?OpenAgent&amp;id=CP-2024-PI-01246-1</t>
  </si>
  <si>
    <t xml:space="preserve">PROGESTERONE – EUGIA PHARMA SPECIALITIES LTD</t>
  </si>
  <si>
    <t xml:space="preserve">REGADENOSON – EUGIA PHARMA SPECIALITIES LTD</t>
  </si>
  <si>
    <t xml:space="preserve">https://dailymed.nlm.nih.gov/dailymed/drugInfo.cfm?setid=b553eb2d-0c3f-444e-ad4c-282328683110</t>
  </si>
  <si>
    <t xml:space="preserve">Aurobindo Pharma B.V.</t>
  </si>
  <si>
    <t xml:space="preserve">Article 57 file: filter "Active substance" contains "remifentanil" and "Marketing authorisation holder" contains "Aurobindo" → "Product authorisation country"</t>
  </si>
  <si>
    <t xml:space="preserve">ROPIVACAINE HYDROCHLORIDE – EUGIA PHARMA SPECIALITIES LTD</t>
  </si>
  <si>
    <t xml:space="preserve">https://dailymed.nlm.nih.gov/dailymed/drugInfo.cfm?setid=3763b7b6-da49-4658-b93d-28f5da24d09e</t>
  </si>
  <si>
    <t xml:space="preserve">SILDENAFIL CITRATE – EUGIA PHARMA SPECIALITIES LTD</t>
  </si>
  <si>
    <t xml:space="preserve">TESTOSTERONE CYPIONATE – EUGIA PHARMA SPECIALITIES LTD</t>
  </si>
  <si>
    <t xml:space="preserve">https://dailymed.nlm.nih.gov/dailymed/drugInfo.cfm?setid=f901e2b2-f143-4237-8e95-0d134585490b</t>
  </si>
  <si>
    <t xml:space="preserve">TESTOSTERONE ENANTHATE – EUGIA PHARMA SPECIALITIES LTD</t>
  </si>
  <si>
    <t xml:space="preserve">TIROFIBAN HYDROCHLORIDE – EUGIA PHARMA SPECIALITIES LTD</t>
  </si>
  <si>
    <t xml:space="preserve">Article 57 file: filter "Active substance" contains "tirofiban" and "Marketing authorisation holder" contains "Eugia" → country "United Kingdom (Northern Ireland)"</t>
  </si>
  <si>
    <t xml:space="preserve">EU/EEA (4): France, Netherlands, Italy, Portugal</t>
  </si>
  <si>
    <t xml:space="preserve">Article 57 file: filter "Active substance" contains "tirofiban" and "Marketing authorisation holder" contains "Eugia" → "Product authorisation country"</t>
  </si>
  <si>
    <t xml:space="preserve">Article 57 file: filter "Active substance" contains "tranexamic" and "Marketing authorisation holder" contains "Eugia" → country "United Kingdom (Northern Ireland)"</t>
  </si>
  <si>
    <t xml:space="preserve">TRANEXAMIC ACID INJECTION – AURO PHARMA INC</t>
  </si>
  <si>
    <t xml:space="preserve">https://health-products.canada.ca/dpd-bdpp/info?code=95428&amp;lang=eng</t>
  </si>
  <si>
    <t xml:space="preserve">EU/EEA (5): Germany, France, Italy, Poland, Portugal</t>
  </si>
  <si>
    <t xml:space="preserve">https://base-donnees-publique.medicaments.gouv.fr/index.php?page=1&amp;choixRecherche=medicament&amp;txtCaracteres=Acide%20Tranexamique&amp;action=show</t>
  </si>
  <si>
    <t xml:space="preserve">French register shows the product and holder (France). For the other countries: Article 57 file: filter "Active substance" contains "tranexamic" and "Marketing authorisation holder" contains "Eugia" → "Product authorisation country"</t>
  </si>
  <si>
    <t xml:space="preserve">TRIAMCINOLONE ACETONIDE – EUGIA PHARMA SPECIALITIES LTD</t>
  </si>
  <si>
    <t xml:space="preserve">VECURONIUM BROMIDE – EUGIA PHARMA SPECIALITIES LTD</t>
  </si>
  <si>
    <t xml:space="preserve">https://dailymed.nlm.nih.gov/dailymed/lookup.cfm?setid=86d81719-534c-4e50-ae39-d8b20e50dfad</t>
  </si>
  <si>
    <t xml:space="preserve">VERAPAMIL HYDROCHLORIDE – EUGIA PHARMA SPECIALITIES LTD</t>
  </si>
  <si>
    <t xml:space="preserve">Aurobindo Pharma B.V. ; Eugia Pharma (Malta) Limited</t>
  </si>
  <si>
    <t xml:space="preserve">https://base-donnees-publique.medicaments.gouv.fr/index.php?page=1&amp;choixRecherche=medicament&amp;txtCaracteres=Vinorelbine&amp;action=show</t>
  </si>
  <si>
    <t xml:space="preserve">French register shows the product and holder (France). For the other countries: Article 57 file: filter "Active substance" contains "vinorelbine" and "Marketing authorisation holder" contains "Eugia" or "Aurobindo" → "Product authorisation country"</t>
  </si>
  <si>
    <t xml:space="preserve">AZACITIDINE CIPLA azacitidine 100 mg powder for injection vial – Cipla Australia Pty Ltd</t>
  </si>
  <si>
    <t xml:space="preserve">https://www.ebs.tga.gov.au/servlet/xmlmillr6?dbid=ebs/PublicHTML/pdfStore.nsf&amp;docid=285655&amp;agid=(PrintDetailsPublic)&amp;actionid=1</t>
  </si>
  <si>
    <t xml:space="preserve">CIPLA BLEOMYCIN 15K bleomycin sulfate 15000 IU powder for injection vial – Cipla Australia Pty Ltd</t>
  </si>
  <si>
    <t xml:space="preserve">https://www.healthdirect.gov.au/medicines/brand/amt%2C765691000168104/bleomycin-15k-cipla</t>
  </si>
  <si>
    <t xml:space="preserve">Consumer medicine page (healthdirect / other)</t>
  </si>
  <si>
    <t xml:space="preserve">Page shows the Australian product and its sponsor</t>
  </si>
  <si>
    <t xml:space="preserve">Cipla Bleomycin – Cipla Medpro (Pty) Ltd</t>
  </si>
  <si>
    <t xml:space="preserve">https://medsinfoportal.sahpra.org.za/pil/da701bba09930b6759e3519933be7136.pdf</t>
  </si>
  <si>
    <t xml:space="preserve">Onbort – Cipla Medpro (Pty) Ltd</t>
  </si>
  <si>
    <t xml:space="preserve">https://pi-pil-repository.sahpra.org.za/wp-content/uploads/2025/08/Final_PI-_ONBORT.pdf</t>
  </si>
  <si>
    <t xml:space="preserve">Cefect 1 g – Actor Pharma (Pty) Ltd</t>
  </si>
  <si>
    <t xml:space="preserve">SEP registry viewer</t>
  </si>
  <si>
    <t xml:space="preserve">Search shows the product on the South African registered price list (only registered products are listed)</t>
  </si>
  <si>
    <t xml:space="preserve">DAPTOMYCIN 350 MG POWDER FOR SOLUTION FOR INJECTION OR INFUSION – CIPLA (EU) LIMITED</t>
  </si>
  <si>
    <t xml:space="preserve">https://mhraproducts4853.blob.core.windows.net/docs/a63e0068e2c1943c944704ec48517d5eb5a0e436</t>
  </si>
  <si>
    <t xml:space="preserve">EU/EEA (3): Germany, Portugal, Spain</t>
  </si>
  <si>
    <t xml:space="preserve">Cipla Europe Nv</t>
  </si>
  <si>
    <t xml:space="preserve">Article 57 file: filter "Active substance" contains "daptomycin" and "Marketing authorisation holder" contains "Cipla" → "Product authorisation country"</t>
  </si>
  <si>
    <t xml:space="preserve">CIPLA DAPTOMYCIN daptomycin 350 mg powder for injection vial – Cipla Australia Pty Ltd</t>
  </si>
  <si>
    <t xml:space="preserve">https://www.ebs.tga.gov.au/ebs/picmi/picmirepository.nsf/pdf?OpenAgent&amp;id=CP-2023-PI-01892-1</t>
  </si>
  <si>
    <t xml:space="preserve">Cipla Doxorubicin 10 – Cipla Medpro (Pty) Ltd</t>
  </si>
  <si>
    <t xml:space="preserve">https://medsinfoportal.sahpra.org.za/pi/630dc9c6196521be5b9372d6e0896f56.pdf</t>
  </si>
  <si>
    <t xml:space="preserve">Article 57 file: filter "Active substance" contains "fulvestrant" and "Marketing authorisation holder" contains "Cipla" → "Product authorisation country"</t>
  </si>
  <si>
    <t xml:space="preserve">HYDROCORTISONE SODIUM SUCCINATE – CIPLA LTD</t>
  </si>
  <si>
    <t xml:space="preserve">https://dailymed.nlm.nih.gov/dailymed/search.cfm?searchdb=ndc&amp;query=69097-004</t>
  </si>
  <si>
    <t xml:space="preserve">CIPLA HYDROCORTISONE hydrocortisone (as sodium succinate) 100 mg powder for injection vial – Cipla Australia Pty Ltd</t>
  </si>
  <si>
    <t xml:space="preserve">https://www.ebs.tga.gov.au/ebs/picmi/picmirepository.nsf/pdf?OpenAgent&amp;id=CP-2022-PI-01547-1</t>
  </si>
  <si>
    <t xml:space="preserve">CIPLA ISOPRENALINE isoprenaline hydrochloride 0.2 mg/1 mL injection solution ampoule – Cipla Australia Pty Ltd</t>
  </si>
  <si>
    <t xml:space="preserve">https://www.ebs.tga.gov.au/ebs/picmi/picmirepository.nsf/pdf?OpenAgent&amp;id=CP-2022-PI-01316-1</t>
  </si>
  <si>
    <t xml:space="preserve">LANREOTIDE ACETATE – INVAGEN PHARMACEUTICALS INC</t>
  </si>
  <si>
    <t xml:space="preserve">https://dailymed.nlm.nih.gov/dailymed/drugInfo.cfm?setid=2892b4c3-0329-4d29-97ff-3b45283bbab1</t>
  </si>
  <si>
    <t xml:space="preserve">Measles Vaccine Cipla – Cipla Medpro (Pty) Ltd</t>
  </si>
  <si>
    <t xml:space="preserve">https://medicineprices.org.za/#search:measles</t>
  </si>
  <si>
    <t xml:space="preserve">CIPLA MEDROXYPROGESTERONE medroxyprogesterone acetate 150 mg/1 mL injection suspension vial – Cipla Australia Pty Ltd</t>
  </si>
  <si>
    <t xml:space="preserve">https://www.tga.gov.au/resources/annual-charge-exemptions/cipla-medroxyprogesterone-medroxyprogesterone-acetate-150-mg1-ml-injection-suspension-vial-2024-25</t>
  </si>
  <si>
    <t xml:space="preserve">PALOCIP palonosetron hydrochloride 250 microgram/5 mL solution for injection – Cipla Australia Pty Ltd</t>
  </si>
  <si>
    <t xml:space="preserve">https://www.ebs.tga.gov.au/servlet/xmlmillr6?dbid=ebs/PublicHTML/pdfStore.nsf&amp;docid=267130&amp;agid=(PrintDetailsPublic)&amp;actionid=1</t>
  </si>
  <si>
    <t xml:space="preserve">PHENYLEPHRINE CIPLA phenylephrine hydrochloride 10 mg / 1 mL injection USP vial – Cipla Australia Pty Ltd</t>
  </si>
  <si>
    <t xml:space="preserve">https://www.ebs.tga.gov.au/servlet/xmlmillr6?dbid=ebs/PublicHTML/pdfStore.nsf&amp;docid=304362&amp;agid=(PrintDetailsPublic)&amp;actionid=1</t>
  </si>
  <si>
    <t xml:space="preserve">PHYTONADIONE – CIPLA LTD</t>
  </si>
  <si>
    <t xml:space="preserve">https://dailymed.nlm.nih.gov/dailymed/search.cfm?searchdb=ndc&amp;query=69097-003-96</t>
  </si>
  <si>
    <t xml:space="preserve">Streptase 750 000 Iu – Actor Pharma (Pty) Ltd</t>
  </si>
  <si>
    <t xml:space="preserve">Article 57 file: filter "Active substance" contains "sugammadex" and "Marketing authorisation holder" contains "Cipla" → "Product authorisation country"</t>
  </si>
  <si>
    <t xml:space="preserve">CIPLA SUGAMMADEX sugammadex (as sodium) 200 mg/2 mL solution for injection vial – Cipla Australia Pty Ltd</t>
  </si>
  <si>
    <t xml:space="preserve">TGA ARTG search</t>
  </si>
  <si>
    <t xml:space="preserve">Search the product name in the ARTG; sponsor = holder shown</t>
  </si>
  <si>
    <t xml:space="preserve">Senuom 2 ml – Cipla Medpro (Pty) Ltd</t>
  </si>
  <si>
    <t xml:space="preserve">https://pi-pil-repository.sahpra.org.za/wp-content/uploads/2023/04/Final_PI_SENUOM_Applicant.pdf</t>
  </si>
  <si>
    <t xml:space="preserve">Cipla Teicoplanin 400 mg – Cipla Medpro (Pty) Ltd</t>
  </si>
  <si>
    <t xml:space="preserve">https://medsinfoportal.sahpra.org.za/pil/4482c47ecb020931a053f527db2883e0.pdf</t>
  </si>
  <si>
    <t xml:space="preserve">TESTOSTERONE CYPIONATE – CIPLA LTD</t>
  </si>
  <si>
    <t xml:space="preserve">Testosterone Cipla – Cipla Medpro (Pty) Ltd</t>
  </si>
  <si>
    <t xml:space="preserve">https://pi-pil-repository.sahpra.org.za/wp-content/uploads/2025/10/570491_Testosterone-cipla_PI_Applicant.pdf</t>
  </si>
  <si>
    <t xml:space="preserve">TRASTUCIP trastuzumab 150 mg powder for injection vial – Cipla Australia Pty Ltd</t>
  </si>
  <si>
    <t xml:space="preserve">https://www.ebs.tga.gov.au/servlet/xmlmillr6?dbid=ebs/PublicHTML/pdfStore.nsf&amp;docid=368972&amp;agid=(PrintDetailsPublic)&amp;actionid=1</t>
  </si>
  <si>
    <t xml:space="preserve">Cytoblastin Aqueous – Cipla Medpro (Pty) Ltd</t>
  </si>
  <si>
    <t xml:space="preserve">https://medicineprices.org.za/#search:cytoblastin</t>
  </si>
  <si>
    <t xml:space="preserve">Cipla Vinorelbine 10 – Cipla Medpro (Pty) Ltd</t>
  </si>
  <si>
    <t xml:space="preserve">https://medsinfoportal.sahpra.org.za/pil/36f7abdc01fd9359da933b04b2161e20.pdf</t>
  </si>
  <si>
    <t xml:space="preserve">AZACITIDINE BETAPHARM 25 MG/ML POWDER FOR SUSPENSION FOR INJECTION – DR REDDY'S LABORATORIES (UK) LIMITED</t>
  </si>
  <si>
    <t xml:space="preserve">https://mhraproducts4853.blob.core.windows.net/docs/11c1ec30fc299931e4de1e6eb1da508221e64e2f</t>
  </si>
  <si>
    <t xml:space="preserve">AZACITIDINE FOR INJECTION – DR REDDY'S LABORATORIES LTD</t>
  </si>
  <si>
    <t xml:space="preserve">https://health-products.canada.ca/dpd-bdpp/info?code=95068&amp;lang=eng</t>
  </si>
  <si>
    <t xml:space="preserve">Betapharm Arzneimittel Gmbh ; Reddy Pharma Sas</t>
  </si>
  <si>
    <t xml:space="preserve">https://www.ema.europa.eu/en/medicines/human/EPAR/azacitidine-betapharm</t>
  </si>
  <si>
    <t xml:space="preserve">EMA EU-wide authorisation page</t>
  </si>
  <si>
    <t xml:space="preserve">Page shows the EU-wide (central) authorisation – valid in all EU/EEA countries – and the holder. Article 57 file: filter "Active substance" contains "azacitidine" and "Marketing authorisation holder" contains "Reddy" or "Betapharm" → "Product authorisation country"</t>
  </si>
  <si>
    <t xml:space="preserve">REDDAZA azacitidine 100 mg powder for injection vial – Dr Reddys Laboratories Australia Pty Ltd</t>
  </si>
  <si>
    <t xml:space="preserve">https://www.ebs.tga.gov.au/ebs/picmi/picmirepository.nsf/pdf?OpenAgent&amp;id=CP-2016-PI-01288-1</t>
  </si>
  <si>
    <t xml:space="preserve">Azacitidine DRL – Dr Reddy's Laboratories (Pty) Ltd</t>
  </si>
  <si>
    <t xml:space="preserve">https://pi-pil-repository.sahpra.org.za/wp-content/uploads/2023/07/approved-pil.pdf</t>
  </si>
  <si>
    <t xml:space="preserve">BIVALIRUDIN – DR REDDYS LABORATORIES LTD</t>
  </si>
  <si>
    <t xml:space="preserve">https://dailymed.nlm.nih.gov/dailymed/search.cfm?labeltype=all&amp;query=Bivalirudin</t>
  </si>
  <si>
    <t xml:space="preserve">BORTEZOMIB – DR REDDYS LABORATORIES LTD</t>
  </si>
  <si>
    <t xml:space="preserve">BORTEZOMIB DR. REDDY'S 3.5 MG POWDER FOR SOLUTION FOR INJECTION – DR REDDY'S LABORATORIES (UK) LIMITED</t>
  </si>
  <si>
    <t xml:space="preserve">https://mhraproducts4853.blob.core.windows.net/docs/3f37ca6630cfcad926467080f4d6bb4a305ed4fa</t>
  </si>
  <si>
    <t xml:space="preserve">Betapharm Arzneimittel Gmbh ; Dr. Reddy's Laboratories (Uk) Ltd ; Dr. Reddy's Laboratories Romania S.R.L. ; Dr. Reddy’s S.R.L. ; Reddy Holding Gmbh ; Reddy Pharma Iberia, S.A. ; Reddy Pharma Sas</t>
  </si>
  <si>
    <t xml:space="preserve">Article 57 file: filter "Active substance" contains "bortezomib" and "Marketing authorisation holder" contains "Reddy" or "Betapharm" → country "United Kingdom (Northern Ireland)"</t>
  </si>
  <si>
    <t xml:space="preserve">BORTEZOMIB FOR INJECTION – DR REDDY'S LABORATORIES LTD</t>
  </si>
  <si>
    <t xml:space="preserve">https://health-products.canada.ca/dpd-bdpp/info?code=93883&amp;lang=eng</t>
  </si>
  <si>
    <t xml:space="preserve">EU/EEA (13): Germany, France, Netherlands, Finland, Ireland, Italy, Malta, Norway, Poland, Portugal, Romania, Spain, Sweden</t>
  </si>
  <si>
    <t xml:space="preserve">https://base-donnees-publique.medicaments.gouv.fr/index.php?page=1&amp;choixRecherche=medicament&amp;txtCaracteres=Bortezomib&amp;action=show</t>
  </si>
  <si>
    <t xml:space="preserve">French register shows the product and holder (France). For the other countries: Article 57 file: filter "Active substance" contains "bortezomib" and "Marketing authorisation holder" contains "Reddy" or "Betapharm" → "Product authorisation country"</t>
  </si>
  <si>
    <t xml:space="preserve">Bertred 3,5 – Dr Reddy's Laboratories (Pty) Ltd</t>
  </si>
  <si>
    <t xml:space="preserve">https://pi-pil-repository.sahpra.org.za/wp-content/uploads/2025/04/pil-approved-5.pdf</t>
  </si>
  <si>
    <t xml:space="preserve">CARBOPROST TROMETHAMINE – DR REDDYS LABORATORIES LTD</t>
  </si>
  <si>
    <t xml:space="preserve">https://dailymed.nlm.nih.gov/dailymed/lookup.cfm?setid=ce9f0ea6-69f9-6b68-2811-3b51e34acea6</t>
  </si>
  <si>
    <t xml:space="preserve">CARBOPROST DR.REDDY'S carboprost (as trometamol) 250 microgram /1 mL injection vial – Dr Reddys Laboratories Australia Pty Ltd</t>
  </si>
  <si>
    <t xml:space="preserve">https://www.ebs.tga.gov.au/ebs/picmi/picmirepository.nsf/pdf?OpenAgent&amp;id=CP-2023-PI-01598-1</t>
  </si>
  <si>
    <t xml:space="preserve">CYCLOPHOSPHAMIDE – DR REDDYS LABORATORIES INC</t>
  </si>
  <si>
    <t xml:space="preserve">EU/EEA (4): Germany, France, Romania, Spain</t>
  </si>
  <si>
    <t xml:space="preserve">Betapharm Arzneimittel Gmbh ; Dr. Reddy's Laboratories Romania Srl ; Reddy Pharma Iberia, S.A. ; Reddy Pharma Sas</t>
  </si>
  <si>
    <t xml:space="preserve">https://base-donnees-publique.medicaments.gouv.fr/index.php?page=1&amp;choixRecherche=medicament&amp;txtCaracteres=Cyclophosphamide%20Reddy&amp;action=show</t>
  </si>
  <si>
    <t xml:space="preserve">French register shows the product and holder (France). For the other countries: Article 57 file: filter "Active substance" contains "cyclophosphamide" and "Marketing authorisation holder" contains "Reddy" or "Betapharm" → "Product authorisation country"</t>
  </si>
  <si>
    <t xml:space="preserve">DAPTOMYCIN DR. REDDY'S 350 MG POWDER FOR SOLUTION FOR INJECTION/INFUSION – DR REDDY'S LABORATORIES (UK) LIMITED</t>
  </si>
  <si>
    <t xml:space="preserve">https://mhraproducts4853.blob.core.windows.net/docs/60c8a02705c24afc73bb76255b45928c586ba95b</t>
  </si>
  <si>
    <t xml:space="preserve">Article 57 file: filter "Active substance" contains "daptomycin" and "Marketing authorisation holder" contains "Reddy" or "Betapharm" → country "United Kingdom (Northern Ireland)"</t>
  </si>
  <si>
    <t xml:space="preserve">DAPTOMYCIN FOR INJECTION – DR REDDY'S LABORATORIES LTD</t>
  </si>
  <si>
    <t xml:space="preserve">https://health-products.canada.ca/dpd-bdpp/info?code=98052&amp;lang=eng</t>
  </si>
  <si>
    <t xml:space="preserve">EU/EEA (11): Germany, France, Austria, Finland, Ireland, Italy, Malta, Portugal, Romania, Spain, Sweden</t>
  </si>
  <si>
    <t xml:space="preserve">https://base-donnees-publique.medicaments.gouv.fr/index.php?page=1&amp;choixRecherche=medicament&amp;txtCaracteres=Daptomycine%20Reddy&amp;action=show</t>
  </si>
  <si>
    <t xml:space="preserve">French register shows the product and holder (France). For the other countries: Article 57 file: filter "Active substance" contains "daptomycin" and "Marketing authorisation holder" contains "Reddy" or "Betapharm" → "Product authorisation country"</t>
  </si>
  <si>
    <t xml:space="preserve">DAPTOMYCIN-DRLA daptomycin 350 mg powder for injection vial – Dr Reddys Laboratories Australia Pty Ltd</t>
  </si>
  <si>
    <t xml:space="preserve">https://www.ebs.tga.gov.au/ebs/picmi/picmirepository.nsf/pdf?OpenAgent&amp;id=CP-2021-PI-01507-1</t>
  </si>
  <si>
    <t xml:space="preserve">DESMOPRESSIN ACETATE – DR REDDYS LABORATORIES LTD</t>
  </si>
  <si>
    <t xml:space="preserve">DIAZEPAM – DR REDDYS LABORATORIES LTD</t>
  </si>
  <si>
    <t xml:space="preserve">EPHEDRINE SULFATE – DR REDDYS LABORATORIES LTD</t>
  </si>
  <si>
    <t xml:space="preserve">https://dailymed.nlm.nih.gov/dailymed/drugInfo.cfm?setid=1d1c41c1-8f5f-ee76-c890-4f1f2a3b2e96</t>
  </si>
  <si>
    <t xml:space="preserve">ERIBULIN MESYLATE – DR REDDYS LABORATORIES LTD</t>
  </si>
  <si>
    <t xml:space="preserve">ERIBULIN 0.44 MG/ML SOLUTION FOR INJECTION – DR REDDY'S LABORATORIES (UK) LIMITED</t>
  </si>
  <si>
    <t xml:space="preserve">Betapharm Arzneimittel Gmbh ; Dr. Reddy's Laboratories (Uk) Ltd ; Dr. Reddy's Laboratories Romania S.R.L.</t>
  </si>
  <si>
    <t xml:space="preserve">Article 57 file: filter "Active substance" contains "eribulin" and "Marketing authorisation holder" contains "Reddy" or "Betapharm" → country "United Kingdom (Northern Ireland)"</t>
  </si>
  <si>
    <t xml:space="preserve">ERIBULIN MESYLATE INJECTION – DR REDDY'S LABORATORIES LTD</t>
  </si>
  <si>
    <t xml:space="preserve">https://health-products.canada.ca/dpd-bdpp/info?code=103467&amp;lang=eng</t>
  </si>
  <si>
    <t xml:space="preserve">EU/EEA (2): Germany, Romania</t>
  </si>
  <si>
    <t xml:space="preserve">Article 57 file: filter "Active substance" contains "eribulin" and "Marketing authorisation holder" contains "Reddy" or "Betapharm" → "Product authorisation country"</t>
  </si>
  <si>
    <t xml:space="preserve">ERIBULIN-RZ eribulin mesilate 1 mg/2 ml solution for injection vial – Dr Reddys Laboratories Australia Pty Ltd</t>
  </si>
  <si>
    <t xml:space="preserve">https://www.ebs.tga.gov.au/ebs/picmi/picmirepository.nsf/pdf?OpenAgent&amp;id=CP-2024-PI-02722-1</t>
  </si>
  <si>
    <t xml:space="preserve">ERIBULIN DRL – Dr Reddy's Laboratories (Pty) Ltd</t>
  </si>
  <si>
    <t xml:space="preserve">https://medicineprices.org.za/#search:eribulin</t>
  </si>
  <si>
    <t xml:space="preserve">ERTAPENEM FOR INJECTION – DR REDDY'S LABORATORIES LTD</t>
  </si>
  <si>
    <t xml:space="preserve">https://health-products.canada.ca/dpd-bdpp/info?code=100038&amp;lang=eng</t>
  </si>
  <si>
    <t xml:space="preserve">FERRICARBO iron (as ferric carboxymaltose) 500 mg/10 mL solution for injection vial – Dr Reddys Laboratories Australia Pty Ltd</t>
  </si>
  <si>
    <t xml:space="preserve">https://www.tga.gov.au/resources/artg/431990</t>
  </si>
  <si>
    <t xml:space="preserve">FULVESTRANT – DR REDDYS LABORATORIES LTD</t>
  </si>
  <si>
    <t xml:space="preserve">https://dailymed.nlm.nih.gov/dailymed/drugInfo.cfm?setid=2fc17ba3-83c7-a2b4-8a75-6a0cb1e07682</t>
  </si>
  <si>
    <t xml:space="preserve">FULVESTRANT DR. REDDY'S 250 MG SOLUTION FOR INJECTION IN PRE-FILLED SYRINGE – DR REDDY'S LABORATORIES (UK) LIMITED</t>
  </si>
  <si>
    <t xml:space="preserve">https://mhraproducts4853.blob.core.windows.net/docs/15cb9531a83993d5871cb4fbb39a9f60d681facb</t>
  </si>
  <si>
    <t xml:space="preserve">Betapharm Arzneimittel Gmbh ; Dr. Reddy's Laboratories (Uk) Ltd ; Dr. Reddy's Laboratories Romania S.R.L. ; Dr. Reddy’s S.R.L. ; Reddy Holding Gmbh ; Reddy Pharma Iberia, S.A.</t>
  </si>
  <si>
    <t xml:space="preserve">Article 57 file: filter "Active substance" contains "fulvestrant" and "Marketing authorisation holder" contains "Reddy" or "Betapharm" → country "United Kingdom (Northern Ireland)"</t>
  </si>
  <si>
    <t xml:space="preserve">EU/EEA (10): Germany, Denmark, Ireland, Italy, Norway, Poland, Portugal, Romania, Spain, Sweden</t>
  </si>
  <si>
    <t xml:space="preserve">Article 57 file: filter "Active substance" contains "fulvestrant" and "Marketing authorisation holder" contains "Reddy" or "Betapharm" → "Product authorisation country"</t>
  </si>
  <si>
    <t xml:space="preserve">Eranfu 250 – Dr Reddy's Laboratories (Pty) Ltd</t>
  </si>
  <si>
    <t xml:space="preserve">https://pi-pil-repository.sahpra.org.za/wp-content/uploads/2025/02/approved-pi.pdf</t>
  </si>
  <si>
    <t xml:space="preserve">Betapharm Arzneimittel Gmbh</t>
  </si>
  <si>
    <t xml:space="preserve">Article 57 file: filter "Active substance" contains "ibandron" and "Marketing authorisation holder" contains "Betapharm" → "Product authorisation country"</t>
  </si>
  <si>
    <t xml:space="preserve">NALOXONE HYDROCHLORIDE – DR REDDYS LABORATORIES LTD</t>
  </si>
  <si>
    <t xml:space="preserve">https://dailymed.nlm.nih.gov/dailymed/search.cfm?searchdb=ndc&amp;query=43598-750-11</t>
  </si>
  <si>
    <t xml:space="preserve">NEOSTIGMINE METHYLSULFATE – DR REDDYS LABORATORIES LTD</t>
  </si>
  <si>
    <t xml:space="preserve">https://dailymed.nlm.nih.gov/dailymed/drugInfo.cfm?setid=12575d1a-a2c2-37b2-0dcf-31e58bbc2a10</t>
  </si>
  <si>
    <t xml:space="preserve">PALONOSETRON HYDROCHLORIDE – DR REDDYS LABORATORIES LTD</t>
  </si>
  <si>
    <t xml:space="preserve">https://dailymed.nlm.nih.gov/dailymed/lookup.cfm?setid=991b8452-852c-c55c-7b1b-e97c4964777a</t>
  </si>
  <si>
    <t xml:space="preserve">EU/EEA (3): Germany, Italy, Romania</t>
  </si>
  <si>
    <t xml:space="preserve">Betapharm Arzneimittel Gmbh ; Dr. Reddy's Laboratories Romania Srl ; Dr. Reddy’s S.R.L.</t>
  </si>
  <si>
    <t xml:space="preserve">Article 57 file: filter "Active substance" contains "palonosetron" and "Marketing authorisation holder" contains "Reddy" or "Betapharm" → "Product authorisation country"</t>
  </si>
  <si>
    <t xml:space="preserve">PALONOSET palonosetron (as hydrochloride) 250 microgram/5 mL solution for injection vial – Dr Reddys Laboratories Australia Pty Ltd</t>
  </si>
  <si>
    <t xml:space="preserve">https://www.ebs.tga.gov.au/ebs/picmi/picmirepository.nsf/pdf?OpenAgent&amp;id=CP-2016-PI-02208-1</t>
  </si>
  <si>
    <t xml:space="preserve">PHYTONADIONE – DR REDDYS LABORATORIES LTD</t>
  </si>
  <si>
    <t xml:space="preserve">https://dailymed.nlm.nih.gov/dailymed/drugInfo.cfm?setid=02445c07-7b4b-cd70-54e8-ebefc814f547</t>
  </si>
  <si>
    <t xml:space="preserve">PLERIXAFOR – DR REDDYS LABORATORIES LTD</t>
  </si>
  <si>
    <t xml:space="preserve">REGADENOSON – DR REDDYS LABORATORIES LTD</t>
  </si>
  <si>
    <t xml:space="preserve">https://dailymed.nlm.nih.gov/dailymed/search.cfm?labeltype=all&amp;query=Regadenoson</t>
  </si>
  <si>
    <t xml:space="preserve">SUCCINYLCHOLINE CHLORIDE – DR REDDYS LABORATORIES LTD</t>
  </si>
  <si>
    <t xml:space="preserve">https://dailymed.nlm.nih.gov/dailymed/drugInfo.cfm?setid=6e6e0ce7-c73c-407f-9678-724425f24976</t>
  </si>
  <si>
    <t xml:space="preserve">SUCCINYLCHOLINE CHLORIDE INJECTION, USP – DR REDDY'S LABORATORIES LTD</t>
  </si>
  <si>
    <t xml:space="preserve">https://pdf.hres.ca/dpd_pm/00069183.PDF</t>
  </si>
  <si>
    <t xml:space="preserve">Product monograph</t>
  </si>
  <si>
    <t xml:space="preserve">Canadian product monograph shows the product and the manufacturer</t>
  </si>
  <si>
    <t xml:space="preserve">SUGAMMADEX SODIUM – DR REDDYS LABORATORIES LTD</t>
  </si>
  <si>
    <t xml:space="preserve">https://dailymed.nlm.nih.gov/dailymed/drugInfo.cfm?setid=4f90c37e-3505-0968-38fd-fc7e4dd66e82</t>
  </si>
  <si>
    <t xml:space="preserve">SUGAMMADEX 100MG/ML SOLUTION FOR INJECTION – DR REDDY'S LABORATORIES (UK) LIMITED</t>
  </si>
  <si>
    <t xml:space="preserve">Betapharm Arzneimittel Gmbh ; Dr. Reddy's Laboratories (Uk) Ltd ; Dr. Reddy's Laboratories Romania Srl ; Dr. Reddy’s S.R.L. ; Reddy Holding Gmbh ; Reddy Pharma Iberia, S.A. ; Reddy Pharma Sas</t>
  </si>
  <si>
    <t xml:space="preserve">Article 57 file: filter "Active substance" contains "sugammadex" and "Marketing authorisation holder" contains "Reddy" or "Betapharm" → country "United Kingdom (Northern Ireland)"</t>
  </si>
  <si>
    <t xml:space="preserve">EU/EEA (16): Germany, France, Netherlands, Austria, Czech Republic, Denmark, Finland, Ireland, Italy, Norway, Poland, Portugal, Romania, Slovakia, Spain, Sweden</t>
  </si>
  <si>
    <t xml:space="preserve">https://base-donnees-publique.medicaments.gouv.fr/index.php?page=1&amp;choixRecherche=medicament&amp;txtCaracteres=Sugammadex&amp;action=show</t>
  </si>
  <si>
    <t xml:space="preserve">French register shows the product and holder (France). For the other countries: Article 57 file: filter "Active substance" contains "sugammadex" and "Marketing authorisation holder" contains "Reddy" or "Betapharm" → "Product authorisation country"</t>
  </si>
  <si>
    <t xml:space="preserve">SUGAMMADEX-REDDY'S sugammadex (as sodium) 200 mg/2 mL injection vial – Dr Reddys Laboratories Australia Pty Ltd</t>
  </si>
  <si>
    <t xml:space="preserve">https://www.ebs.tga.gov.au/ebs/picmi/picmirepository.nsf/pdf?OpenAgent&amp;id=CP-2021-PI-01471-1</t>
  </si>
  <si>
    <t xml:space="preserve">Neuvysi 200 – Dr Reddy's Laboratories (Pty) Ltd</t>
  </si>
  <si>
    <t xml:space="preserve">https://pi-pil-repository.sahpra.org.za/wp-content/uploads/2023/11/Final_PI_Neuvysi_Applicant.pdf</t>
  </si>
  <si>
    <t xml:space="preserve">THIOTEPA – DR REDDYS LABORATORIES LTD</t>
  </si>
  <si>
    <t xml:space="preserve">TRIAMCINOLONE ACETONIDE – DR REDDYS LABORATORIES LTD</t>
  </si>
  <si>
    <t xml:space="preserve">ACETAZOLAMIDE TILLOMED 500 MG POWDER FOR SOLUTION FOR INJECTION – TILLOMED LABORATORIES LIMITED</t>
  </si>
  <si>
    <t xml:space="preserve">Tillomed Laboratories Ltd</t>
  </si>
  <si>
    <t xml:space="preserve">Article 57 file: filter "Active substance" contains "acetazolamide" and "Marketing authorisation holder" contains "Tillomed" → country "United Kingdom (Northern Ireland)"</t>
  </si>
  <si>
    <t xml:space="preserve">AMIKACIN 250 MG/ML SOLUTION FOR INJECTION/INFUSION – TILLOMED LABORATORIES LIMITED</t>
  </si>
  <si>
    <t xml:space="preserve">Tillomed Laboratories Ltd ; Tillomed Malta Ltd</t>
  </si>
  <si>
    <t xml:space="preserve">Article 57 file: filter "Active substance" contains "amikacin" and "Marketing authorisation holder" contains "Tillomed" → country "United Kingdom (Northern Ireland)"</t>
  </si>
  <si>
    <t xml:space="preserve">AMIKACIN SULFATE INJECTION USP – MARCAN PHARMACEUTICALS INC</t>
  </si>
  <si>
    <t xml:space="preserve">https://health-products.canada.ca/dpd-bdpp/info?code=97163&amp;lang=eng</t>
  </si>
  <si>
    <t xml:space="preserve">EU/EEA (1): Malta</t>
  </si>
  <si>
    <t xml:space="preserve">Article 57 file: filter "Active substance" contains "amikacin" and "Marketing authorisation holder" contains "Tillomed" → "Product authorisation country"</t>
  </si>
  <si>
    <t xml:space="preserve">AMIKACIN EMC amikacin (as sulfate) 500 mg/2 mL solution for injection vial – Emcure Pharmaceuticals Pty Ltd</t>
  </si>
  <si>
    <t xml:space="preserve">https://www.ebs.tga.gov.au/ebs/picmi/picmirepository.nsf/pdf?OpenAgent&amp;id=CP-2019-PI-02339-1</t>
  </si>
  <si>
    <t xml:space="preserve">Tillomed Italia S.R.L.</t>
  </si>
  <si>
    <t xml:space="preserve">Article 57 file: filter "Active substance" contains "ampicillin" and "Marketing authorisation holder" contains "Tillomed" → "Product authorisation country"</t>
  </si>
  <si>
    <t xml:space="preserve">AZACITIDINE TILLOMED 25 MG/ML POWDER FOR SUSPENSION FOR INJECTION – TILLOMED LABORATORIES LIMITED</t>
  </si>
  <si>
    <t xml:space="preserve">https://mhraproducts4853.blob.core.windows.net/docs/e4d662e29a638c2305c604ee1f25827e963a09f4</t>
  </si>
  <si>
    <t xml:space="preserve">Tillomed Italia S.R.L. ; Tillomed Laboratories Ltd ; Tillomed Pharma Gmbh</t>
  </si>
  <si>
    <t xml:space="preserve">Article 57 file: filter "Active substance" contains "azacitidine" and "Marketing authorisation holder" contains "Tillomed" → country "United Kingdom (Northern Ireland)"</t>
  </si>
  <si>
    <t xml:space="preserve">EU/EEA (9): Germany, France, Netherlands, Austria, Denmark, Finland, Italy, Norway, Sweden</t>
  </si>
  <si>
    <t xml:space="preserve">https://base-donnees-publique.medicaments.gouv.fr/index.php?page=1&amp;choixRecherche=medicament&amp;txtCaracteres=Azacitidine%20Tillomed&amp;action=show</t>
  </si>
  <si>
    <t xml:space="preserve">French register shows the product and holder (France). For the other countries: Article 57 file: filter "Active substance" contains "azacitidine" and "Marketing authorisation holder" contains "Tillomed" → "Product authorisation country"</t>
  </si>
  <si>
    <t xml:space="preserve">Tillomed Laboratories Ltd ; Tillomed Pharma Gmbh</t>
  </si>
  <si>
    <t xml:space="preserve">Article 57 file: filter "Active substance" contains "bortezomib" and "Marketing authorisation holder" contains "Tillomed" → country "United Kingdom (Northern Ireland)"</t>
  </si>
  <si>
    <t xml:space="preserve">BORTEZOMIB FOR INJECTION – MARCAN PHARMACEUTICALS INC</t>
  </si>
  <si>
    <t xml:space="preserve">https://health-products.canada.ca/dpd-bdpp/info?code=98328&amp;lang=eng</t>
  </si>
  <si>
    <t xml:space="preserve">EU/EEA (2): Germany, France</t>
  </si>
  <si>
    <t xml:space="preserve">https://base-donnees-publique.medicaments.gouv.fr/index.php?page=1&amp;choixRecherche=medicament&amp;txtCaracteres=Bortezomib%20Tillomed&amp;action=show</t>
  </si>
  <si>
    <t xml:space="preserve">French register shows the product and holder (France). For the other countries: Article 57 file: filter "Active substance" contains "bortezomib" and "Marketing authorisation holder" contains "Tillomed" → "Product authorisation country"</t>
  </si>
  <si>
    <t xml:space="preserve">COLISTIMETHATE FOR INJECTION USP – MARCAN PHARMACEUTICALS INC</t>
  </si>
  <si>
    <t xml:space="preserve">https://health-products.canada.ca/dpd-bdpp/info?code=103531&amp;lang=eng</t>
  </si>
  <si>
    <t xml:space="preserve">CYCLOPHOSPHAMIDE FOR INJECTION USP – MARCAN PHARMACEUTICALS INC</t>
  </si>
  <si>
    <t xml:space="preserve">https://health-products.canada.ca/dpd-bdpp/info?code=106329&amp;lang=eng</t>
  </si>
  <si>
    <t xml:space="preserve">DAPTOMYCIN TILLOMED 350 MG POWDER FOR SOLUTION FOR INJECTION /INFUSION – TILLOMED LABORATORIES LIMITED</t>
  </si>
  <si>
    <t xml:space="preserve">https://mhraproducts4853.blob.core.windows.net/docs/9afd4b27b19aa5c9bee689358bc17d6502fcab14</t>
  </si>
  <si>
    <t xml:space="preserve">EU/EEA (4): Germany, France, Italy, Spain</t>
  </si>
  <si>
    <t xml:space="preserve">Laboratorios Tillomed Spain, S.L.U ; Tillomed Italia S.R.L. ; Tillomed Pharma Gmbh</t>
  </si>
  <si>
    <t xml:space="preserve">https://base-donnees-publique.medicaments.gouv.fr/index.php?page=1&amp;choixRecherche=medicament&amp;txtCaracteres=Daptomycin%20Tillomed&amp;action=show</t>
  </si>
  <si>
    <t xml:space="preserve">French register shows the product and holder (France). For the other countries: Article 57 file: filter "Active substance" contains "daptomycin" and "Marketing authorisation holder" contains "Tillomed" → "Product authorisation country"</t>
  </si>
  <si>
    <t xml:space="preserve">Tillomed Malta Ltd</t>
  </si>
  <si>
    <t xml:space="preserve">https://base-donnees-publique.medicaments.gouv.fr/index.php?page=1&amp;choixRecherche=medicament&amp;txtCaracteres=Eribuline%20Tillomed&amp;action=show</t>
  </si>
  <si>
    <t xml:space="preserve">French register shows the product and holder (France). For the other countries: Article 57 file: filter "Active substance" contains "eribulin" and "Marketing authorisation holder" contains "Tillomed" → "Product authorisation country"</t>
  </si>
  <si>
    <t xml:space="preserve">Laboratorios Tillomed Spain, S.L.U ; Tillomed Italia S.R.L. ; Tillomed Laboratories Ltd ; Tillomed Malta Ltd ; Tillomed Pharma Gmbh</t>
  </si>
  <si>
    <t xml:space="preserve">Article 57 file: filter "Active substance" contains "esomeprazole" and "Marketing authorisation holder" contains "Tillomed" → country "United Kingdom (Northern Ireland)"</t>
  </si>
  <si>
    <t xml:space="preserve">EU/EEA (7): Germany, France, Netherlands, Austria, Ireland, Italy, Poland</t>
  </si>
  <si>
    <t xml:space="preserve">https://base-donnees-publique.medicaments.gouv.fr/index.php?page=1&amp;choixRecherche=medicament&amp;txtCaracteres=Esomeprazole%20Tillomed&amp;action=show</t>
  </si>
  <si>
    <t xml:space="preserve">French register shows the product and holder (France). For the other countries: Article 57 file: filter "Active substance" contains "esomeprazole" and "Marketing authorisation holder" contains "Tillomed" → "Product authorisation country"</t>
  </si>
  <si>
    <t xml:space="preserve">ISOPROTERENOL HYDROCHLORIDE INJECTION USP – MARCAN PHARMACEUTICALS INC</t>
  </si>
  <si>
    <t xml:space="preserve">https://health-products.canada.ca/dpd-bdpp/info?code=99218&amp;lang=eng</t>
  </si>
  <si>
    <t xml:space="preserve">EU/EEA (2): France, Portugal</t>
  </si>
  <si>
    <t xml:space="preserve">Laboratorios Tillomed Spain, S.L.U ; Tillomed Pharma Gmbh</t>
  </si>
  <si>
    <t xml:space="preserve">https://base-donnees-publique.medicaments.gouv.fr/index.php?page=1&amp;choixRecherche=medicament&amp;txtCaracteres=Isoprenaline%20Chlorhydrate&amp;action=show</t>
  </si>
  <si>
    <t xml:space="preserve">French register shows the product and holder (France). For the other countries: Article 57 file: filter "Active substance" contains "isoprenaline" and "Marketing authorisation holder" contains "Tillomed" → "Product authorisation country"</t>
  </si>
  <si>
    <t xml:space="preserve">MELPHALAN 50 MG POWDER AND SOLVENT FOR SOLUTION FOR INJECTION/INFUSION – TILLOMED LABORATORIES LIMITED</t>
  </si>
  <si>
    <t xml:space="preserve">Tillomed Italia S.R.L. ; Tillomed Laboratories Ltd ; Tillomed Malta Ltd ; Tillomed Pharma Gmbh</t>
  </si>
  <si>
    <t xml:space="preserve">Article 57 file: filter "Active substance" contains "melphalan" and "Marketing authorisation holder" contains "Tillomed" → country "United Kingdom (Northern Ireland)"</t>
  </si>
  <si>
    <t xml:space="preserve">MELPHALAN FOR INJECTION – Marcan Pharmaceuticals Inc.</t>
  </si>
  <si>
    <t xml:space="preserve">https://health-products.canada.ca/dpd-bdpp/info?code=96274&amp;lang=eng</t>
  </si>
  <si>
    <t xml:space="preserve">EU/EEA (14): Germany, France, Netherlands, Belgium, Austria, Croatia, Cyprus, Greece, Ireland, Italy, Latvia, Portugal, Slovakia, Slovenia</t>
  </si>
  <si>
    <t xml:space="preserve">https://base-donnees-publique.medicaments.gouv.fr/index.php?page=1&amp;choixRecherche=medicament&amp;txtCaracteres=Melphalan%20Tillomed&amp;action=show</t>
  </si>
  <si>
    <t xml:space="preserve">French register shows the product and holder (France). For the other countries: Article 57 file: filter "Active substance" contains "melphalan" and "Marketing authorisation holder" contains "Tillomed" → "Product authorisation country"</t>
  </si>
  <si>
    <t xml:space="preserve">MELPHA melphalan (as hydrochloride) 50 mg powder for injection vial with diluent composite pack – Emcure Pharmaceuticals Pty Ltd</t>
  </si>
  <si>
    <t xml:space="preserve">https://www.ebs.tga.gov.au/ebs/picmi/picmirepository.nsf/pdf?OpenAgent&amp;id=CP-2018-PI-01539-1</t>
  </si>
  <si>
    <t xml:space="preserve">MILRINONE 1 MG/ML SOLUTION FOR INJECTION AND INFUSION – TILLOMED LABORATORIES LIMITED</t>
  </si>
  <si>
    <t xml:space="preserve">Article 57 file: filter "Active substance" contains "milrinone" and "Marketing authorisation holder" contains "Tillomed" → country "United Kingdom (Northern Ireland)"</t>
  </si>
  <si>
    <t xml:space="preserve">EU/EEA (5): Germany, France, Netherlands, Austria, Malta</t>
  </si>
  <si>
    <t xml:space="preserve">https://base-donnees-publique.medicaments.gouv.fr/index.php?page=1&amp;choixRecherche=medicament&amp;txtCaracteres=Milrinone%20Tillomed&amp;action=show</t>
  </si>
  <si>
    <t xml:space="preserve">French register shows the product and holder (France). For the other countries: Article 57 file: filter "Active substance" contains "milrinone" and "Marketing authorisation holder" contains "Tillomed" → "Product authorisation country"</t>
  </si>
  <si>
    <t xml:space="preserve">NEOSTIGMINE METHYLSULFATE INJECTION USP – Marcan Pharmaceuticals Inc.</t>
  </si>
  <si>
    <t xml:space="preserve">https://health-products.canada.ca/dpd-bdpp/info?code=96586&amp;lang=eng</t>
  </si>
  <si>
    <t xml:space="preserve">Tillomed Pharma Gmbh</t>
  </si>
  <si>
    <t xml:space="preserve">Article 57 file: filter "Active substance" contains "ondansetron" and "Marketing authorisation holder" contains "Tillomed" → "Product authorisation country"</t>
  </si>
  <si>
    <t xml:space="preserve">PANTOPRAZOLE 40 MG POWDER FOR SOLUTION FOR INJECTION – TILLOMED LABORATORIES LIMITED</t>
  </si>
  <si>
    <t xml:space="preserve">Article 57 file: filter "Active substance" contains "pantoprazole" and "Marketing authorisation holder" contains "Tillomed" → country "United Kingdom (Northern Ireland)"</t>
  </si>
  <si>
    <t xml:space="preserve">EU/EEA (3): Germany, France, Italy</t>
  </si>
  <si>
    <t xml:space="preserve">https://base-donnees-publique.medicaments.gouv.fr/index.php?page=1&amp;choixRecherche=medicament&amp;txtCaracteres=Pantoprazole%20Tillomed&amp;action=show</t>
  </si>
  <si>
    <t xml:space="preserve">French register shows the product and holder (France). For the other countries: Article 57 file: filter "Active substance" contains "pantoprazole" and "Marketing authorisation holder" contains "Tillomed" → "Product authorisation country"</t>
  </si>
  <si>
    <t xml:space="preserve">PENTAMIDINE ISETIONATE TILLOMED 300 MG POWDER FOR SOLUTION FOR INJECTION/INFUSION – TILLOMED LABORATORIES LIMITED</t>
  </si>
  <si>
    <t xml:space="preserve">Article 57 file: filter "Active substance" contains "pentamidine" and "Marketing authorisation holder" contains "Tillomed" → country "United Kingdom (Northern Ireland)"</t>
  </si>
  <si>
    <t xml:space="preserve">PENTAMIDINE ISETIONATE FOR INJECTION BP – MARCAN PHARMACEUTICALS INC</t>
  </si>
  <si>
    <t xml:space="preserve">https://health-products.canada.ca/dpd-bdpp/info?code=100704&amp;lang=eng</t>
  </si>
  <si>
    <t xml:space="preserve">EU/EEA (8): Germany, France, Netherlands, Denmark, Finland, Ireland, Norway, Sweden</t>
  </si>
  <si>
    <t xml:space="preserve">https://base-donnees-publique.medicaments.gouv.fr/index.php?page=1&amp;choixRecherche=medicament&amp;txtCaracteres=Pentamidine%20Tillomed&amp;action=show</t>
  </si>
  <si>
    <t xml:space="preserve">French register shows the product and holder (France). For the other countries: Article 57 file: filter "Active substance" contains "pentamidine" and "Marketing authorisation holder" contains "Tillomed" → "Product authorisation country"</t>
  </si>
  <si>
    <t xml:space="preserve">PENTAMIDINE-EMC pentamidine isetionate 300 mg powder for injection vial – Emcure Pharmaceuticals Pty Ltd</t>
  </si>
  <si>
    <t xml:space="preserve">https://www.ebs.tga.gov.au/ebs/picmi/picmirepository.nsf/pdf?OpenAgent&amp;id=CP-2023-PI-02341-1</t>
  </si>
  <si>
    <t xml:space="preserve">PLERIXAFOR 20 MG/ML SOLUTION FOR INJECTION – TILLOMED LABORATORIES LIMITED</t>
  </si>
  <si>
    <t xml:space="preserve">https://mhraproducts4853.blob.core.windows.net/docs/07357ed28124fa9adf67221cff8397b75709ff50</t>
  </si>
  <si>
    <t xml:space="preserve">Tillomed Italia S.R.L. ; Tillomed Pharma Gmbh</t>
  </si>
  <si>
    <t xml:space="preserve">https://base-donnees-publique.medicaments.gouv.fr/index.php?page=1&amp;choixRecherche=medicament&amp;txtCaracteres=Plerixafor%20Tillomed&amp;action=show</t>
  </si>
  <si>
    <t xml:space="preserve">French register shows the product and holder (France). For the other countries: Article 57 file: filter "Active substance" contains "plerixafor" and "Marketing authorisation holder" contains "Tillomed" → "Product authorisation country"</t>
  </si>
  <si>
    <t xml:space="preserve">PROPOFOL INJECTION – MARCAN PHARMACEUTICALS INC</t>
  </si>
  <si>
    <t xml:space="preserve">https://health-products.canada.ca/dpd-bdpp/info?code=101486&amp;lang=eng</t>
  </si>
  <si>
    <t xml:space="preserve">SUGAMMADEX 100 MG/ML SOLUTION FOR INJECTION – TILLOMED LABORATORIES LIMITED</t>
  </si>
  <si>
    <t xml:space="preserve">Laboratorios Tillomed Spain, S.L.U ; Tillomed Italia S.R.L. ; Tillomed Laboratories Ltd ; Tillomed Pharma Gmbh</t>
  </si>
  <si>
    <t xml:space="preserve">Article 57 file: filter "Active substance" contains "sugammadex" and "Marketing authorisation holder" contains "Tillomed" → country "United Kingdom (Northern Ireland)"</t>
  </si>
  <si>
    <t xml:space="preserve">EU/EEA (5): Germany, France, Netherlands, Italy, Spain</t>
  </si>
  <si>
    <t xml:space="preserve">Article 57 file: filter "Active substance" contains "sugammadex" and "Marketing authorisation holder" contains "Tillomed" → "Product authorisation country"</t>
  </si>
  <si>
    <t xml:space="preserve">Glenmark Arzneimittel Gmbh ; Glenmark Pharmaceuticals S.R.O.</t>
  </si>
  <si>
    <t xml:space="preserve">Article 57 file: filter "Active substance" contains "azacitidine" and "Marketing authorisation holder" contains "Glenmark" → "Product authorisation country"</t>
  </si>
  <si>
    <t xml:space="preserve">EU/EEA (11): Germany, France, Netherlands, Denmark, Finland, Italy, Norway, Poland, Slovakia, Spain, Sweden</t>
  </si>
  <si>
    <t xml:space="preserve">Article 57 file: filter "Active substance" contains "bortezomib" and "Marketing authorisation holder" contains "Glenmark" → "Product authorisation country"</t>
  </si>
  <si>
    <t xml:space="preserve">BORTRACZO bortezomib 2.5 mg/1 mL solution for injection – Glenmark Pharmaceuticals Australia Pty Ltd</t>
  </si>
  <si>
    <t xml:space="preserve">https://www.tga.gov.au/resources/artg/444811</t>
  </si>
  <si>
    <t xml:space="preserve">ERIBULIN MESYLATE – GLENMARK PHARMACEUTICALS INC USA</t>
  </si>
  <si>
    <t xml:space="preserve">https://dailymed.nlm.nih.gov/dailymed/drugInfo.cfm?setid=55f4017d-5ea8-4622-bf59-9b9c329097fd</t>
  </si>
  <si>
    <t xml:space="preserve">ERIBULIN 0.44 MG/ML SOLUTION FOR INJECTION – GLENMARK PHARMACEUTICALS EUROPE LIMITED</t>
  </si>
  <si>
    <t xml:space="preserve">https://mhraproducts4853.blob.core.windows.net/docs/b0ceabb0dd6b7d5e0d5eaf6156cd2acdc6593ea6</t>
  </si>
  <si>
    <t xml:space="preserve">Glenmark Arzneimittel Gmbh ; Glenmark Pharmaceuticals Europe Limited ; Glenmark Pharmaceuticals S.R.O.</t>
  </si>
  <si>
    <t xml:space="preserve">Article 57 file: filter "Active substance" contains "eribulin" and "Marketing authorisation holder" contains "Glenmark" → country "United Kingdom (Northern Ireland)"</t>
  </si>
  <si>
    <t xml:space="preserve">EU/EEA (6): Denmark, Finland, Italy, Norway, Spain, Sweden</t>
  </si>
  <si>
    <t xml:space="preserve">Article 57 file: filter "Active substance" contains "eribulin" and "Marketing authorisation holder" contains "Glenmark" → "Product authorisation country"</t>
  </si>
  <si>
    <t xml:space="preserve">FULVESTRANT – GLENMARK PHARMACEUTICALS INC USA</t>
  </si>
  <si>
    <t xml:space="preserve">https://dailymed.nlm.nih.gov/dailymed/drugInfo.cfm?setid=99cf8b69-4c23-4886-80e9-b23e348b5bd7</t>
  </si>
  <si>
    <t xml:space="preserve">FULVESTRANT 250 MG SOLUTION FOR INJECTION IN PRE-FILLED SYRINGE – GLENMARK PHARMACEUTICALS EUROPE LIMITED</t>
  </si>
  <si>
    <t xml:space="preserve">https://mhraproducts4853.blob.core.windows.net/docs/4e24a9a4b6a719b2aafafdba94273597a32d78e1</t>
  </si>
  <si>
    <t xml:space="preserve">Glenmark Arzneimittel Gmbh ; Glenmark Pharmaceuticals Europe Limited</t>
  </si>
  <si>
    <t xml:space="preserve">Article 57 file: filter "Active substance" contains "fulvestrant" and "Marketing authorisation holder" contains "Glenmark" → country "United Kingdom (Northern Ireland)"</t>
  </si>
  <si>
    <t xml:space="preserve">EU/EEA (5): Germany, Netherlands, Denmark, Spain, Sweden</t>
  </si>
  <si>
    <t xml:space="preserve">Article 57 file: filter "Active substance" contains "fulvestrant" and "Marketing authorisation holder" contains "Glenmark" → "Product authorisation country"</t>
  </si>
  <si>
    <t xml:space="preserve">Glenmark Arzneimittel Gmbh</t>
  </si>
  <si>
    <t xml:space="preserve">Article 57 file: filter "Active substance" contains "plerixafor" and "Marketing authorisation holder" contains "Glenmark" → "Product authorisation country"</t>
  </si>
  <si>
    <t xml:space="preserve">SUGAMMADEX 100 MG/ML SOLUTION FOR INJECTION – GLENMARK PHARMACEUTICALS EUROPE LIMITED</t>
  </si>
  <si>
    <t xml:space="preserve">https://mhraproducts4853.blob.core.windows.net/docs/e45682bfe340af873ea832a08fc0d30da2179c79</t>
  </si>
  <si>
    <t xml:space="preserve">Article 57 file: filter "Active substance" contains "sugammadex" and "Marketing authorisation holder" contains "Glenmark" → country "United Kingdom (Northern Ireland)"</t>
  </si>
  <si>
    <t xml:space="preserve">EU/EEA (7): Germany, Denmark, Finland, Italy, Norway, Spain, Sweden</t>
  </si>
  <si>
    <t xml:space="preserve">Article 57 file: filter "Active substance" contains "sugammadex" and "Marketing authorisation holder" contains "Glenmark" → "Product authorisation country"</t>
  </si>
  <si>
    <t xml:space="preserve">AZACITIDINE 25 MG/ML POWDER FOR SUSPENSION FOR INJECTION – AMAROX LIMITED</t>
  </si>
  <si>
    <t xml:space="preserve">https://mhraproducts4853.blob.core.windows.net/docs/f9227b59e7a18d99e840d90e17567148b1e67b9a</t>
  </si>
  <si>
    <t xml:space="preserve">Amarox Limited</t>
  </si>
  <si>
    <t xml:space="preserve">Article 57 file: filter "Active substance" contains "azacitidine" and "Marketing authorisation holder" contains "Amarox" → country "United Kingdom (Northern Ireland)"</t>
  </si>
  <si>
    <t xml:space="preserve">BORTEZOMIB – HETERO LABS LTD UNIT VI</t>
  </si>
  <si>
    <t xml:space="preserve">BORTEZOMIB 2.5 MG/ML SOLUTION FOR INJECTION – AMAROX LIMITED</t>
  </si>
  <si>
    <t xml:space="preserve">https://mhraproducts4853.blob.core.windows.net/docs/7e2b44fca58941c5658f914dc653e9323cf4a2cd</t>
  </si>
  <si>
    <t xml:space="preserve">Amarox Limited ; Amarox Pharma B.V. ; Amarox Pharma Gmbh ; Tarbis Farma, S.L.</t>
  </si>
  <si>
    <t xml:space="preserve">Article 57 file: filter "Active substance" contains "bortezomib" and "Marketing authorisation holder" contains "Amarox" or "Tarbis" → country "United Kingdom (Northern Ireland)"</t>
  </si>
  <si>
    <t xml:space="preserve">EU/EEA (3): Germany, Netherlands, Spain</t>
  </si>
  <si>
    <t xml:space="preserve">Article 57 file: filter "Active substance" contains "bortezomib" and "Marketing authorisation holder" contains "Amarox" or "Tarbis" → "Product authorisation country"</t>
  </si>
  <si>
    <t xml:space="preserve">BORTEZOMIB HETERO bortezomib 3.5 mg powder for injection vial – Hetero Australia Pty Ltd</t>
  </si>
  <si>
    <t xml:space="preserve">https://www.ebs.tga.gov.au/servlet/xmlmillr6?dbid=ebs/PublicHTML/pdfStore.nsf&amp;docid=214243&amp;agid=(PrintDetailsPublic)&amp;actionid=1</t>
  </si>
  <si>
    <t xml:space="preserve">Bortiv – Hetero Drugs South Africa (Pty) Ltd</t>
  </si>
  <si>
    <t xml:space="preserve">BRIVARACETAM 10 MG / ML SOLUTION FOR INJECTION / INFUSION – AMAROX LIMITED</t>
  </si>
  <si>
    <t xml:space="preserve">Amarox Limited ; Amarox Pharma Gmbh ; Amarox Pharma S.R.L. ; Tarbis Farma, S.L.</t>
  </si>
  <si>
    <t xml:space="preserve">Article 57 file: filter "Active substance" contains "brivaracetam" and "Marketing authorisation holder" contains "Amarox" or "Tarbis" → country "United Kingdom (Northern Ireland)"</t>
  </si>
  <si>
    <t xml:space="preserve">EU/EEA (3): Germany, Italy, Spain</t>
  </si>
  <si>
    <t xml:space="preserve">Article 57 file: filter "Active substance" contains "brivaracetam" and "Marketing authorisation holder" contains "Amarox" or "Tarbis" → "Product authorisation country"</t>
  </si>
  <si>
    <t xml:space="preserve">CHLORPROMAZINE HYDROCHLORIDE – ASPIRO PHARMA LTD</t>
  </si>
  <si>
    <t xml:space="preserve">CYANOCOBALAMIN – ASPIRO PHARMA LTD</t>
  </si>
  <si>
    <t xml:space="preserve">https://dailymed.nlm.nih.gov/dailymed/search.cfm?labeltype=all&amp;query=Cyanocobalamin</t>
  </si>
  <si>
    <t xml:space="preserve">DAPTOMYCIN 350 MG POWDER FOR SOLUTION FOR INJECTION OR INFUSION – AMAROX LIMITED</t>
  </si>
  <si>
    <t xml:space="preserve">https://mhraproducts4853.blob.core.windows.net/docs/767f850723d94449fe9c9148dd21c9b7daf22e18</t>
  </si>
  <si>
    <t xml:space="preserve">Article 57 file: filter "Active substance" contains "daptomycin" and "Marketing authorisation holder" contains "Amarox" or "Tarbis" → country "United Kingdom (Northern Ireland)"</t>
  </si>
  <si>
    <t xml:space="preserve">Article 57 file: filter "Active substance" contains "daptomycin" and "Marketing authorisation holder" contains "Amarox" or "Tarbis" → "Product authorisation country"</t>
  </si>
  <si>
    <t xml:space="preserve">GLYOPY 1 mg/5 ml VIAL – Hetero Drugs South Africa (Pty) Ltd</t>
  </si>
  <si>
    <t xml:space="preserve">SEP registry (NDoH)</t>
  </si>
  <si>
    <t xml:space="preserve">Download the Single Exit Price database and find the product (not on the public viewer)</t>
  </si>
  <si>
    <t xml:space="preserve">ISOPROTERENOL HYDROCHLORIDE – ASPIRO PHARMA LTD</t>
  </si>
  <si>
    <t xml:space="preserve">https://dailymed.nlm.nih.gov/dailymed/search.cfm?labeltype=all&amp;query=Isoproterenol+Hydrochloride</t>
  </si>
  <si>
    <t xml:space="preserve">LIDOCAINE HYDROCHLORIDE – ASPIRO PHARMA LTD</t>
  </si>
  <si>
    <t xml:space="preserve">https://dailymed.nlm.nih.gov/dailymed/drugInfo.cfm?setid=cfbca641-aeee-4dc8-a340-30c53d3b023b</t>
  </si>
  <si>
    <t xml:space="preserve">MAGNESIUM SULFATE – ASPIRO PHARMA LTD</t>
  </si>
  <si>
    <t xml:space="preserve">https://dailymed.nlm.nih.gov/dailymed/drugInfo.cfm?setid=5a0f9db9-b8be-c923-e063-6394a90a7dd7</t>
  </si>
  <si>
    <t xml:space="preserve">MELPHALAN 50 MG POWDER AND SOLVENT FOR SOLUTION FOR INJECTION/INFUSION – AMAROX LIMITED</t>
  </si>
  <si>
    <t xml:space="preserve">https://mhraproducts4853.blob.core.windows.net/docs/703e9b8af2577bc6d1c69e9d1f96615cbdcb7a07</t>
  </si>
  <si>
    <t xml:space="preserve">Article 57 file: filter "Active substance" contains "melphalan" and "Marketing authorisation holder" contains "Amarox" or "Tarbis" → country "United Kingdom (Northern Ireland)"</t>
  </si>
  <si>
    <t xml:space="preserve">Article 57 file: filter "Active substance" contains "melphalan" and "Marketing authorisation holder" contains "Amarox" or "Tarbis" → "Product authorisation country"</t>
  </si>
  <si>
    <t xml:space="preserve">METHOTREXATE SODIUM – HETERO LABS LTD UNIT VI</t>
  </si>
  <si>
    <t xml:space="preserve">https://dailymed.nlm.nih.gov/dailymed/search.cfm?labeltype=all&amp;query=Methotrexate+Sodium</t>
  </si>
  <si>
    <t xml:space="preserve">Hetnoset – Hetero Drugs South Africa (Pty) Ltd</t>
  </si>
  <si>
    <t xml:space="preserve">https://medicineprices.org.za/#search:hetnoset</t>
  </si>
  <si>
    <t xml:space="preserve">PANTOPRAZOLE 40 MG POWDER FOR SOLUTION FOR INJECTION – AMAROX LIMITED</t>
  </si>
  <si>
    <t xml:space="preserve">Article 57 file: filter "Active substance" contains "pantoprazole" and "Marketing authorisation holder" contains "Amarox" or "Tarbis" → country "United Kingdom (Northern Ireland)"</t>
  </si>
  <si>
    <t xml:space="preserve">Article 57 file: filter "Active substance" contains "pantoprazole" and "Marketing authorisation holder" contains "Amarox" or "Tarbis" → "Product authorisation country"</t>
  </si>
  <si>
    <t xml:space="preserve">PLERIXAFOR – HETERO LABS LTD UNIT VI</t>
  </si>
  <si>
    <t xml:space="preserve">PLERIXAFOR 20 MG/ML SOLUTION FOR INJECTION – AMAROX LIMITED</t>
  </si>
  <si>
    <t xml:space="preserve">https://mhraproducts4853.blob.core.windows.net/docs/04f9e2d2b4b82a0ffe5f86e1d5d606b552cb19c3</t>
  </si>
  <si>
    <t xml:space="preserve">Article 57 file: filter "Active substance" contains "plerixafor" and "Marketing authorisation holder" contains "Amarox" or "Tarbis" → country "United Kingdom (Northern Ireland)"</t>
  </si>
  <si>
    <t xml:space="preserve">Article 57 file: filter "Active substance" contains "plerixafor" and "Marketing authorisation holder" contains "Amarox" or "Tarbis" → "Product authorisation country"</t>
  </si>
  <si>
    <t xml:space="preserve">Heterix 24 – Hetero Drugs South Africa (Pty) Ltd</t>
  </si>
  <si>
    <t xml:space="preserve">PROPOFOL – ASPIRO PHARMA LTD</t>
  </si>
  <si>
    <t xml:space="preserve">https://dailymed.nlm.nih.gov/dailymed/search.cfm?labeltype=all&amp;query=Propofol</t>
  </si>
  <si>
    <t xml:space="preserve">Article 57 file: filter "Active substance" contains "rocuronium" and "Marketing authorisation holder" contains "Amarox" → country "United Kingdom (Northern Ireland)"</t>
  </si>
  <si>
    <t xml:space="preserve">SODIUM BICARBONATE – ASPIRO PHARMA LTD</t>
  </si>
  <si>
    <t xml:space="preserve">https://dailymed.nlm.nih.gov/dailymed/search.cfm?labeltype=all&amp;query=Sodium+Bicarbonate</t>
  </si>
  <si>
    <t xml:space="preserve">SUCCINYLCHOLINE CHLORIDE – ASPIRO PHARMA LTD</t>
  </si>
  <si>
    <t xml:space="preserve">https://dailymed.nlm.nih.gov/dailymed/drugInfo.cfm?setid=7d0f0431-e616-49c2-80d8-0752a45428db</t>
  </si>
  <si>
    <t xml:space="preserve">SUGAMMADEX SODIUM – ASPIRO PHARMA LTD</t>
  </si>
  <si>
    <t xml:space="preserve">https://dailymed.nlm.nih.gov/dailymed/drugInfo.cfm?setid=9adda802-fab2-40c1-9c2f-358debdfb249</t>
  </si>
  <si>
    <t xml:space="preserve">SUGAMMADEX 100 MG/ML SOLUTION FOR INJECTION – AMAROX LIMITED</t>
  </si>
  <si>
    <t xml:space="preserve">Article 57 file: filter "Active substance" contains "sugammadex" and "Marketing authorisation holder" contains "Amarox" or "Tarbis" → country "United Kingdom (Northern Ireland)"</t>
  </si>
  <si>
    <t xml:space="preserve">Article 57 file: filter "Active substance" contains "sugammadex" and "Marketing authorisation holder" contains "Amarox" or "Tarbis" → "Product authorisation country"</t>
  </si>
  <si>
    <t xml:space="preserve">Sugmasol 200mg/2ml – Hetero Drugs South Africa (Pty) Ltd</t>
  </si>
  <si>
    <t xml:space="preserve">TEICOPLANIN 400 MG POWDER AND SOLVENT FOR SOLUTION FOR INJECTION/ INFUSION OR ORAL SOLUTION – AMAROX LIMITED</t>
  </si>
  <si>
    <t xml:space="preserve">https://mhraproducts4853.blob.core.windows.net/docs/cdd932519ea5620f679cbc05a39d576016396f04</t>
  </si>
  <si>
    <t xml:space="preserve">Article 57 file: filter "Active substance" contains "teicoplanin" and "Marketing authorisation holder" contains "Amarox" → country "United Kingdom (Northern Ireland)"</t>
  </si>
  <si>
    <t xml:space="preserve">VERAPAMIL HYDROCHLORIDE – ASPIRO PHARMA LTD</t>
  </si>
  <si>
    <t xml:space="preserve">https://dailymed.nlm.nih.gov/dailymed/search.cfm?labeltype=all&amp;query=Verapamil+Hydrochloride</t>
  </si>
  <si>
    <t xml:space="preserve">Accord-Uk Limited</t>
  </si>
  <si>
    <t xml:space="preserve">Article 57 file: filter "Active substance" contains "amiodarone" and "Marketing authorisation holder" contains "Accord" → country "United Kingdom (Northern Ireland)"</t>
  </si>
  <si>
    <t xml:space="preserve">AMIODARONE 30 mg/ml PREFILLED SYRINGE ACCORD – Accord Healthcare (Pty) Ltd</t>
  </si>
  <si>
    <t xml:space="preserve">https://pi-pil-repository.sahpra.org.za/wp-content/uploads/2023/08/Final_PI_Amiodarone_Applicant.pdf</t>
  </si>
  <si>
    <t xml:space="preserve">Accord Healthcare Limited ; Accord Healthcare S.L.U.</t>
  </si>
  <si>
    <t xml:space="preserve">Article 57 file: filter "Active substance" contains "amoxicill" and "Marketing authorisation holder" contains "Accord" → country "United Kingdom (Northern Ireland)"</t>
  </si>
  <si>
    <t xml:space="preserve">EU/EEA (1): Portugal</t>
  </si>
  <si>
    <t xml:space="preserve">Article 57 file: filter "Active substance" contains "amoxicill" and "Marketing authorisation holder" contains "Accord" → "Product authorisation country"</t>
  </si>
  <si>
    <t xml:space="preserve">ARGATROBAN IN SODIUM CHLORIDE – ACCORD HEALTHCARE INC</t>
  </si>
  <si>
    <t xml:space="preserve">Accord Healthcare B.V. ; Accord Healthcare France Sas ; Accord Healthcare Limited</t>
  </si>
  <si>
    <t xml:space="preserve">Article 57 file: filter "Active substance" contains "argatroban" and "Marketing authorisation holder" contains "Accord" → country "United Kingdom (Northern Ireland)"</t>
  </si>
  <si>
    <t xml:space="preserve">EU/EEA (3): Germany, France, Austria</t>
  </si>
  <si>
    <t xml:space="preserve">https://base-donnees-publique.medicaments.gouv.fr/index.php?page=1&amp;choixRecherche=medicament&amp;txtCaracteres=Argatroban%20Accord&amp;action=show</t>
  </si>
  <si>
    <t xml:space="preserve">French register shows the product and holder (France). For the other countries: Article 57 file: filter "Active substance" contains "argatroban" and "Marketing authorisation holder" contains "Accord" → "Product authorisation country"</t>
  </si>
  <si>
    <t xml:space="preserve">Accord Healthcare Limited</t>
  </si>
  <si>
    <t xml:space="preserve">Article 57 file: filter "Active substance" contains "atracurium" and "Marketing authorisation holder" contains "Accord" → country "United Kingdom (Northern Ireland)"</t>
  </si>
  <si>
    <t xml:space="preserve">ATROPINE SULFATE – ACCORD HEALTHCARE INC</t>
  </si>
  <si>
    <t xml:space="preserve">https://dailymed.nlm.nih.gov/dailymed/drugInfo.cfm?setid=c82cb295-ffce-47d6-97ad-a8aa723f4e4f</t>
  </si>
  <si>
    <t xml:space="preserve">ATROPINE SULFATE 0.1 MG/ML, SOLUTION FOR INJECTION IN PRE-FILLED SYRINGE – ACCORD-UK LIMITED</t>
  </si>
  <si>
    <t xml:space="preserve">https://mhraproducts4853.blob.core.windows.net/docs/83f16d64af85ebcff9e5a6717926b9a997285ef9</t>
  </si>
  <si>
    <t xml:space="preserve">Accord Healthcare B.V. ; Accord Healthcare France Sas ; Accord Healthcare Polska Sp. Z O.O. ; Accord Healthcare S.L.U. ; Accord-Uk Limited</t>
  </si>
  <si>
    <t xml:space="preserve">Article 57 file: filter "Active substance" contains "atropin" and "Marketing authorisation holder" contains "Accord" → country "United Kingdom (Northern Ireland)"</t>
  </si>
  <si>
    <t xml:space="preserve">EU/EEA (13): Germany, France, Netherlands, Austria, Czech Republic, Denmark, Finland, Italy, Norway, Portugal, Romania, Spain, Sweden</t>
  </si>
  <si>
    <t xml:space="preserve">https://base-donnees-publique.medicaments.gouv.fr/index.php?page=1&amp;choixRecherche=medicament&amp;txtCaracteres=Atropine%20Sulfate&amp;action=show</t>
  </si>
  <si>
    <t xml:space="preserve">French register shows the product and holder (France). For the other countries: Article 57 file: filter "Active substance" contains "atropin" and "Marketing authorisation holder" contains "Accord" → "Product authorisation country"</t>
  </si>
  <si>
    <t xml:space="preserve">AZACITIDINE ACCORD 25 MG/ML POWDER FOR SUSPENSION FOR INJECTION – ACCORD HEALTHCARE LIMITED</t>
  </si>
  <si>
    <t xml:space="preserve">https://mhraproducts4853.blob.core.windows.net/docs/a2a772c860b9386451c6a3574cfdaf10ef66ccc2</t>
  </si>
  <si>
    <t xml:space="preserve">Accord Healthcare S.L.U.</t>
  </si>
  <si>
    <t xml:space="preserve">https://www.ema.europa.eu/en/medicines/human/EPAR/azacitidine-accord</t>
  </si>
  <si>
    <t xml:space="preserve">Page shows the EU-wide (central) authorisation – valid in all EU/EEA countries – and the holder. Article 57 file: filter "Active substance" contains "azacitidine" and "Marketing authorisation holder" contains "Accord" → "Product authorisation country"</t>
  </si>
  <si>
    <t xml:space="preserve">AZACCORD azacitidine 100mg powder for injection vial – Accord Healthcare Pty Ltd</t>
  </si>
  <si>
    <t xml:space="preserve">https://www.ebs.tga.gov.au/servlet/xmlmillr6?dbid=ebs/PublicHTML/pdfStore.nsf&amp;docid=265773&amp;agid=(PrintDetailsPublic)&amp;actionid=1</t>
  </si>
  <si>
    <t xml:space="preserve">BIVALIRUDIN – ACCORD HEALTHCARE INC</t>
  </si>
  <si>
    <t xml:space="preserve">BIVALIRUDIN 250 MG POWDER FOR CONCENTRATE FOR SOLUTION FOR INJECTION OR INFUSION – ACCORD HEALTHCARE LIMITED</t>
  </si>
  <si>
    <t xml:space="preserve">https://mhraproducts4853.blob.core.windows.net/docs/30f752c59283a6203a2ee801fcc269de3749bd69</t>
  </si>
  <si>
    <t xml:space="preserve">Accord Healthcare B.V. ; Accord Healthcare France Sas ; Accord Healthcare Limited ; Accord Healthcare Polska Sp. Z O.O. ; Accord Healthcare S.L.U.</t>
  </si>
  <si>
    <t xml:space="preserve">Article 57 file: filter "Active substance" contains "bivalirudin" and "Marketing authorisation holder" contains "Accord" → country "United Kingdom (Northern Ireland)"</t>
  </si>
  <si>
    <t xml:space="preserve">EU/EEA (9): Germany, France, Netherlands, Belgium, Austria, Italy, Poland, Portugal, Slovenia</t>
  </si>
  <si>
    <t xml:space="preserve">https://base-donnees-publique.medicaments.gouv.fr/index.php?page=1&amp;choixRecherche=medicament&amp;txtCaracteres=Bivalirudine%20Accord&amp;action=show</t>
  </si>
  <si>
    <t xml:space="preserve">French register shows the product and holder (France). For the other countries: Article 57 file: filter "Active substance" contains "bivalirudin" and "Marketing authorisation holder" contains "Accord" → "Product authorisation country"</t>
  </si>
  <si>
    <t xml:space="preserve">BLEOMYCIN 15000 IU POWDER FOR SOLUTION FOR INJECTION/ INFUSION – ACCORD HEALTHCARE LIMITED</t>
  </si>
  <si>
    <t xml:space="preserve">Article 57 file: filter "Active substance" contains "bleomycin" and "Marketing authorisation holder" contains "Accord" → country "United Kingdom (Northern Ireland)"</t>
  </si>
  <si>
    <t xml:space="preserve">EU/EEA (14): Germany, France, Netherlands, Belgium, Austria, Czech Republic, Denmark, Finland, Norway, Poland, Portugal, Romania, Spain, Sweden</t>
  </si>
  <si>
    <t xml:space="preserve">https://base-donnees-publique.medicaments.gouv.fr/index.php?page=1&amp;choixRecherche=medicament&amp;txtCaracteres=Bleomycine%20Accord&amp;action=show</t>
  </si>
  <si>
    <t xml:space="preserve">French register shows the product and holder (France). For the other countries: Article 57 file: filter "Active substance" contains "bleomycin" and "Marketing authorisation holder" contains "Accord" → "Product authorisation country"</t>
  </si>
  <si>
    <t xml:space="preserve">BLEOMYCIN ACCORD bleomycin (as sulfate) 15,000 IU powder for injection vial – Accord Healthcare Pty Ltd</t>
  </si>
  <si>
    <t xml:space="preserve">https://www.tga.gov.au/resources/artg/455447</t>
  </si>
  <si>
    <t xml:space="preserve">BORTEZOMIB 2.0 MG SOLUTION FOR INJECTION IN PRE-FILLED SYRINGE – ACCORD HEALTHCARE LIMITED</t>
  </si>
  <si>
    <t xml:space="preserve">https://mhraproducts4853.blob.core.windows.net/docs/12980f46e6a82ae30e1d8b52c7aa037faf108ac2</t>
  </si>
  <si>
    <t xml:space="preserve">https://www.ema.europa.eu/en/medicines/human/EPAR/bortezomib-accord</t>
  </si>
  <si>
    <t xml:space="preserve">EU-wide (central) authorisation also covers Northern Ireland; page shows the product and the holder. Or: Article 57 file: filter "Active substance" contains "bortezomib" and "Marketing authorisation holder" contains "Accord" → country "United Kingdom (Northern Ireland)"</t>
  </si>
  <si>
    <t xml:space="preserve">Page shows the EU-wide (central) authorisation – valid in all EU/EEA countries – and the holder. Article 57 file: filter "Active substance" contains "bortezomib" and "Marketing authorisation holder" contains "Accord" → "Product authorisation country"</t>
  </si>
  <si>
    <t xml:space="preserve">BORTEZOMIB ACCORD bortezomib 2.5 mg/1 mL solution for injection vial – Accord Healthcare Pty Ltd</t>
  </si>
  <si>
    <t xml:space="preserve">https://www.ebs.tga.gov.au/ebs/picmi/picmirepository.nsf/pdf?OpenAgent&amp;id=CP-2021-PI-01166-1</t>
  </si>
  <si>
    <t xml:space="preserve">Valtib – Accord Healthcare (Pty) Ltd</t>
  </si>
  <si>
    <t xml:space="preserve">Accord Healthcare B.V. ; Accord Healthcare France Sas ; Accord Healthcare Polska Sp. Z O.O. ; Accord Healthcare S.L.U.</t>
  </si>
  <si>
    <t xml:space="preserve">https://base-donnees-publique.medicaments.gouv.fr/index.php?page=1&amp;choixRecherche=medicament&amp;txtCaracteres=Cefepime%20Accord&amp;action=show</t>
  </si>
  <si>
    <t xml:space="preserve">French register shows the product and holder (France). For the other countries: Article 57 file: filter "Active substance" contains "cefepime" and "Marketing authorisation holder" contains "Accord" → "Product authorisation country"</t>
  </si>
  <si>
    <t xml:space="preserve">Article 57 file: filter "Active substance" contains "ceftriaxone" and "Marketing authorisation holder" contains "Accord" → "Product authorisation country"</t>
  </si>
  <si>
    <t xml:space="preserve">CISATRACURIUM 5 MG/ML SOLUTION FOR INJECTION/INFUSION – ACCORD HEALTHCARE LIMITED</t>
  </si>
  <si>
    <t xml:space="preserve">Article 57 file: filter "Active substance" contains "cisatracurium" and "Marketing authorisation holder" contains "Accord" → country "United Kingdom (Northern Ireland)"</t>
  </si>
  <si>
    <t xml:space="preserve">EU/EEA (12): France, Netherlands, Austria, Croatia, Cyprus, Denmark, Finland, Hungary, Norway, Poland, Portugal, Spain</t>
  </si>
  <si>
    <t xml:space="preserve">https://base-donnees-publique.medicaments.gouv.fr/index.php?page=1&amp;choixRecherche=medicament&amp;txtCaracteres=Cisatracurium%20Accord&amp;action=show</t>
  </si>
  <si>
    <t xml:space="preserve">French register shows the product and holder (France). For the other countries: Article 57 file: filter "Active substance" contains "cisatracurium" and "Marketing authorisation holder" contains "Accord" → "Product authorisation country"</t>
  </si>
  <si>
    <t xml:space="preserve">CISATRACURIUM ACCORD cisatracurium (as besilate) 10 mg / 5 mL solution for injection vial – Accord Healthcare Pty Ltd</t>
  </si>
  <si>
    <t xml:space="preserve">https://www.healthdirect.gov.au/medicines/brand/amt%2C747971000168108/cisatracurium-accord</t>
  </si>
  <si>
    <t xml:space="preserve">COLISTIMETHATE SODIUM 2 MILLION INTERNATIONAL UNITS (IU) POWDER FOR SOLUTION FOR INJECTION/INFUSION – ACCORD-UK LIMITED</t>
  </si>
  <si>
    <t xml:space="preserve">https://mhraproducts4853.blob.core.windows.net/docs/8aa64ad76fd15cb2547c7efd93adab9ba205d731</t>
  </si>
  <si>
    <t xml:space="preserve">Accord Healthcare B.V. ; Accord Healthcare France Sas ; Accord Healthcare Ireland Limited ; Accord Healthcare Polska Sp. Z O.O. ; Accord Healthcare S.L.U. ; Accord-Uk Limited</t>
  </si>
  <si>
    <t xml:space="preserve">Article 57 file: filter "Active substance" contains "colisti" and "Marketing authorisation holder" contains "Accord" → country "United Kingdom (Northern Ireland)"</t>
  </si>
  <si>
    <t xml:space="preserve">EU/EEA (20): France, Netherlands, Belgium, Austria, Bulgaria, Croatia, Cyprus, Czech Republic, Denmark, Estonia, Hungary, Ireland, Italy, Lithuania, Poland, Portugal, Romania, Slovenia, Spain, Sweden</t>
  </si>
  <si>
    <t xml:space="preserve">https://base-donnees-publique.medicaments.gouv.fr/index.php?page=1&amp;choixRecherche=medicament&amp;txtCaracteres=Colistimethate%20Sodique&amp;action=show</t>
  </si>
  <si>
    <t xml:space="preserve">French register shows the product and holder (France). For the other countries: Article 57 file: filter "Active substance" contains "colisti" and "Marketing authorisation holder" contains "Accord" → "Product authorisation country"</t>
  </si>
  <si>
    <t xml:space="preserve">CYCLOPHOSPHAMIDE ACCORD 2000 MG POWDER FOR SOLUTION FOR INJECTION/INFUSION – ACCORD HEALTHCARE LIMITED</t>
  </si>
  <si>
    <t xml:space="preserve">https://mhraproducts4853.blob.core.windows.net/docs/d3c74c787031827e9a6482db982411c9ea5b4974</t>
  </si>
  <si>
    <t xml:space="preserve">Accord Healthcare B.V. ; Accord Healthcare France Sas ; Accord Healthcare Limited ; Accord Healthcare Polska Sp. Z O.O. ; Accord Healthcare S.L.U. ; Accord-Uk Limited</t>
  </si>
  <si>
    <t xml:space="preserve">Article 57 file: filter "Active substance" contains "cyclophosphamide" and "Marketing authorisation holder" contains "Accord" → country "United Kingdom (Northern Ireland)"</t>
  </si>
  <si>
    <t xml:space="preserve">EU/EEA (20): Germany, France, Netherlands, Belgium, Bulgaria, Croatia, Cyprus, Czech Republic, Denmark, Estonia, Finland, Italy, Latvia, Lithuania, Norway, Poland, Portugal, Romania, Spain, Sweden</t>
  </si>
  <si>
    <t xml:space="preserve">Article 57 file: filter "Active substance" contains "cyclophosphamide" and "Marketing authorisation holder" contains "Accord" → "Product authorisation country"</t>
  </si>
  <si>
    <t xml:space="preserve">CYCLOPHOSPHAMIDE INTAS cyclophosphamide (as monohydrate) 500 mg powder for injection vial – Accord Healthcare Pty Ltd</t>
  </si>
  <si>
    <t xml:space="preserve">https://www.ebs.tga.gov.au/servlet/xmlmillr6?dbid=ebs/PublicHTML/pdfStore.nsf&amp;docid=361544&amp;agid=(PrintDetailsPublic)&amp;actionid=1</t>
  </si>
  <si>
    <t xml:space="preserve">CYTARABINE 20MG/ML SOLUTION FOR INJECTION/INFUSION – ACCORD HEALTHCARE LIMITED</t>
  </si>
  <si>
    <t xml:space="preserve">Accord Healthcare B.V. ; Accord Healthcare France Sas ; Accord Healthcare Ireland Limited ; Accord Healthcare Limited ; Accord Healthcare Polska Sp. Z O.O. ; Accord Healthcare S.L.U.</t>
  </si>
  <si>
    <t xml:space="preserve">Article 57 file: filter "Active substance" contains "cytarabine" and "Marketing authorisation holder" contains "Accord" → country "United Kingdom (Northern Ireland)"</t>
  </si>
  <si>
    <t xml:space="preserve">EU/EEA (25): Germany, France, Netherlands, Belgium, Austria, Bulgaria, Cyprus, Czech Republic, Denmark, Estonia, Finland, Hungary, Ireland, Italy, Latvia, Lithuania, Malta, Norway, Poland, Portugal, Romania, Slovakia, Slovenia, Spain, Sweden</t>
  </si>
  <si>
    <t xml:space="preserve">https://base-donnees-publique.medicaments.gouv.fr/index.php?page=1&amp;choixRecherche=medicament&amp;txtCaracteres=Cytarabine%20Accord&amp;action=show</t>
  </si>
  <si>
    <t xml:space="preserve">French register shows the product and holder (France). For the other countries: Article 57 file: filter "Active substance" contains "cytarabine" and "Marketing authorisation holder" contains "Accord" → "Product authorisation country"</t>
  </si>
  <si>
    <t xml:space="preserve">CYTARABINE ACCORD cytarabine 4000 mg/40 mL injection vial – Accord Healthcare Pty Ltd</t>
  </si>
  <si>
    <t xml:space="preserve">https://www.ebs.tga.gov.au/ebs/picmi/picmirepository.nsf/pdf?OpenAgent&amp;id=CP-2019-PI-01435-1</t>
  </si>
  <si>
    <t xml:space="preserve">DAPTOMYCIN 350 MG POWDER FOR SOLUTION FOR INJECTION/INFUSION – ACCORD-UK LIMITED</t>
  </si>
  <si>
    <t xml:space="preserve">https://mhraproducts4853.blob.core.windows.net/docs/0183f536246db149ed7afbe39d17c1895384ae38</t>
  </si>
  <si>
    <t xml:space="preserve">Accord Healthcare B.V. ; Accord Healthcare France Sas ; Accord Healthcare Ireland Limited ; Accord Healthcare Limited ; Accord Healthcare Polska Sp. Z O.O. ; Accord Healthcare S.L.U. ; Accord-Uk Limited</t>
  </si>
  <si>
    <t xml:space="preserve">Article 57 file: filter "Active substance" contains "daptomycin" and "Marketing authorisation holder" contains "Accord" → country "United Kingdom (Northern Ireland)"</t>
  </si>
  <si>
    <t xml:space="preserve">EU/EEA (17): Germany, France, Netherlands, Austria, Croatia, Czech Republic, Denmark, Finland, Greece, Ireland, Italy, Norway, Poland, Portugal, Slovenia, Spain, Sweden</t>
  </si>
  <si>
    <t xml:space="preserve">https://base-donnees-publique.medicaments.gouv.fr/index.php?page=1&amp;choixRecherche=medicament&amp;txtCaracteres=Daptomycine&amp;action=show</t>
  </si>
  <si>
    <t xml:space="preserve">French register shows the product and holder (France). For the other countries: Article 57 file: filter "Active substance" contains "daptomycin" and "Marketing authorisation holder" contains "Accord" → "Product authorisation country"</t>
  </si>
  <si>
    <t xml:space="preserve">DAPTOMYCIN ACCORD daptomycin 350 mg powder for injection vial – Accord Healthcare Pty Ltd</t>
  </si>
  <si>
    <t xml:space="preserve">https://www.ebs.tga.gov.au/servlet/xmlmillr6?dbid=ebs/PublicHTML/pdfStore.nsf&amp;docid=315391&amp;agid=(PrintDetailsPublic)&amp;actionid=1</t>
  </si>
  <si>
    <t xml:space="preserve">DABUCOR 500 – Accord Healthcare (Pty) Ltd</t>
  </si>
  <si>
    <t xml:space="preserve">https://pi-pil-repository.sahpra.org.za/wp-content/uploads/2023/04/Final_PIL_Dabucor_Applicant.pdf</t>
  </si>
  <si>
    <t xml:space="preserve">DEGARELIX 80 MG POWDER AND SOLVENT FOR SOLUTION FOR INJECTION – ACCORD HEALTHCARE LIMITED</t>
  </si>
  <si>
    <t xml:space="preserve">https://mhraproducts4853.blob.core.windows.net/docs/7a814678d4b4e608757e54abcf1f8525475a6699</t>
  </si>
  <si>
    <t xml:space="preserve">https://www.ema.europa.eu/en/medicines/human/EPAR/degarelix-accord</t>
  </si>
  <si>
    <t xml:space="preserve">Page shows the EU-wide (central) authorisation – valid in all EU/EEA countries – and the holder. Article 57 file: filter "Active substance" contains "degarelix" and "Marketing authorisation holder" contains "Accord" → "Product authorisation country"</t>
  </si>
  <si>
    <t xml:space="preserve">JUBEREQ 120 MG SOLUTION FOR INJECTION – ACCORD HEALTHCARE LIMITED</t>
  </si>
  <si>
    <t xml:space="preserve">https://dmd-browser.nhsbsa.nhs.uk/ampp/view/212227</t>
  </si>
  <si>
    <t xml:space="preserve">https://www.ema.europa.eu/en/medicines/human/EPAR/jubereq</t>
  </si>
  <si>
    <t xml:space="preserve">Page shows the EU-wide (central) authorisation – valid in all EU/EEA countries – and the holder. Article 57 file: filter "Active substance" contains "denosumab" and "Marketing authorisation holder" contains "Accord" → "Product authorisation country"</t>
  </si>
  <si>
    <t xml:space="preserve">DOSTIVA denosumab 70mg/mL (120mg/1.7mL) solution for injection vial – Accord Healthcare Pty Ltd</t>
  </si>
  <si>
    <t xml:space="preserve">https://www.tga.gov.au/resources/artg/450305</t>
  </si>
  <si>
    <t xml:space="preserve">https://www.ema.europa.eu/en/medicines/human/EPAR/zolsketil-pegylated-liposomal</t>
  </si>
  <si>
    <t xml:space="preserve">EU-wide (central) authorisation also covers Northern Ireland; page shows the product and the holder. Or: Article 57 file: filter "Active substance" contains "doxorubicin" and "Marketing authorisation holder" contains "Accord" → country "United Kingdom (Northern Ireland)"</t>
  </si>
  <si>
    <t xml:space="preserve">DOXORUBICIN INJECTION, BP – ACCORD HEALTHCARE INC</t>
  </si>
  <si>
    <t xml:space="preserve">https://health-products.canada.ca/dpd-bdpp/info?code=86785&amp;lang=eng</t>
  </si>
  <si>
    <t xml:space="preserve">Page shows the EU-wide (central) authorisation – valid in all EU/EEA countries – and the holder. Article 57 file: filter "Active substance" contains "doxorubicin" and "Marketing authorisation holder" contains "Accord" → "Product authorisation country"</t>
  </si>
  <si>
    <t xml:space="preserve">DOXORUBICIN ACCORD doxorubicin hydrochloride 200 mg/100 mL concentrated solution for injection vial – Accord Healthcare Pty Ltd</t>
  </si>
  <si>
    <t xml:space="preserve">https://www.tga.gov.au/resources/artg/174248</t>
  </si>
  <si>
    <t xml:space="preserve">Rubexet 50mg/25ml – Accord Healthcare (Pty) Ltd</t>
  </si>
  <si>
    <t xml:space="preserve">https://www.sahpra.org.za/wp-content/uploads/2020/02/Rubexet_PI_Accord_MCC-format-02-October-2014.pdf</t>
  </si>
  <si>
    <t xml:space="preserve">Accord Healthcare B.V. ; Accord Healthcare France Sas ; Accord Healthcare S.L.U.</t>
  </si>
  <si>
    <t xml:space="preserve">https://base-donnees-publique.medicaments.gouv.fr/index.php?page=1&amp;choixRecherche=medicament&amp;txtCaracteres=Adrenaline%20Accord&amp;action=show</t>
  </si>
  <si>
    <t xml:space="preserve">French register shows the product and holder (France). For the other countries: Article 57 file: filter "Active substance" contains "adrenaline" and "Marketing authorisation holder" contains "Accord" → "Product authorisation country"</t>
  </si>
  <si>
    <t xml:space="preserve">EPIRUBICIN HYDROCHLORIDE 2 MG/ML SOLUTION FOR INJECTION OR INFUSION – ACCORD HEALTHCARE LIMITED</t>
  </si>
  <si>
    <t xml:space="preserve">Article 57 file: filter "Active substance" contains "epirubicin" and "Marketing authorisation holder" contains "Accord" → country "United Kingdom (Northern Ireland)"</t>
  </si>
  <si>
    <t xml:space="preserve">EU/EEA (20): France, Netherlands, Belgium, Austria, Czech Republic, Denmark, Estonia, Finland, Hungary, Ireland, Italy, Latvia, Lithuania, Malta, Norway, Poland, Portugal, Slovakia, Spain, Sweden</t>
  </si>
  <si>
    <t xml:space="preserve">https://base-donnees-publique.medicaments.gouv.fr/index.php?page=1&amp;choixRecherche=medicament&amp;txtCaracteres=Epirubicine%20Accord&amp;action=show</t>
  </si>
  <si>
    <t xml:space="preserve">French register shows the product and holder (France). For the other countries: Article 57 file: filter "Active substance" contains "epirubicin" and "Marketing authorisation holder" contains "Accord" → "Product authorisation country"</t>
  </si>
  <si>
    <t xml:space="preserve">EPIRUBICIN ACCORD epirubicin hydrochloride 20mg/10mL concentrated injection vial – Accord Healthcare Pty Ltd</t>
  </si>
  <si>
    <t xml:space="preserve">https://www.safetyandquality.gov.au/medicine-finder/epirubicin-accord-solution-for-injection</t>
  </si>
  <si>
    <t xml:space="preserve">Accord Epirubicin 10 – Accord Healthcare (Pty) Ltd</t>
  </si>
  <si>
    <t xml:space="preserve">https://medicineprices.org.za/#search:accord</t>
  </si>
  <si>
    <t xml:space="preserve">https://www.ema.europa.eu/en/medicines/human/EPAR/eptifibatide-accord</t>
  </si>
  <si>
    <t xml:space="preserve">Page shows the EU-wide (central) authorisation – valid in all EU/EEA countries – and the holder. Article 57 file: filter "Active substance" contains "eptifibatide" and "Marketing authorisation holder" contains "Accord" → "Product authorisation country"</t>
  </si>
  <si>
    <t xml:space="preserve">Accord Healthcare B.V. ; Accord Healthcare France Sas ; Accord Healthcare Polska Sp. Z O.O.</t>
  </si>
  <si>
    <t xml:space="preserve">Article 57 file: filter "Active substance" contains "eribulin" and "Marketing authorisation holder" contains "Accord" → "Product authorisation country"</t>
  </si>
  <si>
    <t xml:space="preserve">ESOMEPRAZOLE 40 MG POWDER FOR SOLUTION FOR INJECTION/INFUSION – ACCORD HEALTHCARE LIMITED</t>
  </si>
  <si>
    <t xml:space="preserve">Accord Healthcare B.V. ; Accord Healthcare Ireland Limited ; Accord Healthcare Limited ; Accord Healthcare S.L.U.</t>
  </si>
  <si>
    <t xml:space="preserve">Article 57 file: filter "Active substance" contains "esomeprazole" and "Marketing authorisation holder" contains "Accord" → country "United Kingdom (Northern Ireland)"</t>
  </si>
  <si>
    <t xml:space="preserve">EU/EEA (4): Netherlands, Ireland, Italy, Portugal</t>
  </si>
  <si>
    <t xml:space="preserve">Article 57 file: filter "Active substance" contains "esomeprazole" and "Marketing authorisation holder" contains "Accord" → "Product authorisation country"</t>
  </si>
  <si>
    <t xml:space="preserve">Article 57 file: filter "Active substance" contains "flucloxacillin" and "Marketing authorisation holder" contains "Accord" → country "United Kingdom (Northern Ireland)"</t>
  </si>
  <si>
    <t xml:space="preserve">FLUDARABINE PHOSPHATE 25MG/ML CONCENTRATE FOR SOLUTION FOR INJECTION/INFUSION – ACCORD-UK LIMITED</t>
  </si>
  <si>
    <t xml:space="preserve">Article 57 file: filter "Active substance" contains "fludarabine" and "Marketing authorisation holder" contains "Accord" → country "United Kingdom (Northern Ireland)"</t>
  </si>
  <si>
    <t xml:space="preserve">EU/EEA (21): Germany, France, Netherlands, Belgium, Austria, Bulgaria, Croatia, Cyprus, Czech Republic, Estonia, Finland, Hungary, Ireland, Italy, Lithuania, Poland, Portugal, Romania, Slovenia, Spain, Sweden</t>
  </si>
  <si>
    <t xml:space="preserve">https://base-donnees-publique.medicaments.gouv.fr/index.php?page=1&amp;choixRecherche=medicament&amp;txtCaracteres=Fludarabine%20Accord&amp;action=show</t>
  </si>
  <si>
    <t xml:space="preserve">French register shows the product and holder (France). For the other countries: Article 57 file: filter "Active substance" contains "fludarabine" and "Marketing authorisation holder" contains "Accord" → "Product authorisation country"</t>
  </si>
  <si>
    <t xml:space="preserve">FLUOROURACIL 50 MG/ML, SOLUTION FOR INJECTION OR INFUSION – ACCORD HEALTHCARE LIMITED</t>
  </si>
  <si>
    <t xml:space="preserve">Article 57 file: filter "Active substance" contains "fluorouracil" and "Marketing authorisation holder" contains "Accord" → country "United Kingdom (Northern Ireland)"</t>
  </si>
  <si>
    <t xml:space="preserve">FLUOROURACIL INJECTION USP – ACCORD HEALTHCARE INC</t>
  </si>
  <si>
    <t xml:space="preserve">https://health-products.canada.ca/dpd-bdpp/info?code=89810&amp;lang=eng</t>
  </si>
  <si>
    <t xml:space="preserve">EU/EEA (27): Germany, France, Netherlands, Belgium, Austria, Bulgaria, Croatia, Cyprus, Czech Republic, Denmark, Estonia, Finland, Hungary, Iceland, Ireland, Italy, Latvia, Lithuania, Luxembourg, Norway, Poland, Portugal, Romania, Slovakia, Slovenia, Spain, Sweden</t>
  </si>
  <si>
    <t xml:space="preserve">https://base-donnees-publique.medicaments.gouv.fr/index.php?page=1&amp;choixRecherche=medicament&amp;txtCaracteres=Fluorouracile%20Accord&amp;action=show</t>
  </si>
  <si>
    <t xml:space="preserve">French register shows the product and holder (France). For the other countries: Article 57 file: filter "Active substance" contains "fluorouracil" and "Marketing authorisation holder" contains "Accord" → "Product authorisation country"</t>
  </si>
  <si>
    <t xml:space="preserve">FULVESTRANT – ACCORD HEALTHCARE INC</t>
  </si>
  <si>
    <t xml:space="preserve">FULVESTRANT 250MG SOLUTION FOR INJECTION IN PRE-FILLED SYRINGE – ACCORD HEALTHCARE LIMITED</t>
  </si>
  <si>
    <t xml:space="preserve">https://mhraproducts4853.blob.core.windows.net/docs/b46086f37376e5481490ddb82a9d2e3645873236</t>
  </si>
  <si>
    <t xml:space="preserve">Article 57 file: filter "Active substance" contains "fulvestrant" and "Marketing authorisation holder" contains "Accord" → country "United Kingdom (Northern Ireland)"</t>
  </si>
  <si>
    <t xml:space="preserve">EU/EEA (25): Germany, France, Netherlands, Belgium, Austria, Bulgaria, Croatia, Cyprus, Czech Republic, Denmark, Estonia, Finland, Greece, Hungary, Iceland, Ireland, Italy, Norway, Poland, Portugal, Romania, Slovakia, Slovenia, Spain, Sweden</t>
  </si>
  <si>
    <t xml:space="preserve">https://base-donnees-publique.medicaments.gouv.fr/index.php?page=1&amp;choixRecherche=medicament&amp;txtCaracteres=Fulvestrant%20Accord&amp;action=show</t>
  </si>
  <si>
    <t xml:space="preserve">French register shows the product and holder (France). For the other countries: Article 57 file: filter "Active substance" contains "fulvestrant" and "Marketing authorisation holder" contains "Accord" → "Product authorisation country"</t>
  </si>
  <si>
    <t xml:space="preserve">FULVESTRANT INTAS fulvestrant 250 mg/5 mL solution for injection pre-filled syringe – Accord Healthcare Pty Ltd</t>
  </si>
  <si>
    <t xml:space="preserve">https://www.ebs.tga.gov.au/ebs/picmi/picmirepository.nsf/pdf?OpenAgent&amp;id=CP-2021-PI-01020-1</t>
  </si>
  <si>
    <t xml:space="preserve">Fuldexa – Accord Healthcare (Pty) Ltd</t>
  </si>
  <si>
    <t xml:space="preserve">https://medicineprices.org.za/#search:fuldexa</t>
  </si>
  <si>
    <t xml:space="preserve">Accord Healthcare B.V. ; Accord Healthcare Limited ; Accord Healthcare S.L.U.</t>
  </si>
  <si>
    <t xml:space="preserve">Article 57 file: filter "Active substance" contains "glycopyrr" and "Marketing authorisation holder" contains "Accord" → country "United Kingdom (Northern Ireland)"</t>
  </si>
  <si>
    <t xml:space="preserve">EU/EEA (6): Germany, Austria, Cyprus, Finland, Italy, Sweden</t>
  </si>
  <si>
    <t xml:space="preserve">Article 57 file: filter "Active substance" contains "glycopyrr" and "Marketing authorisation holder" contains "Accord" → "Product authorisation country"</t>
  </si>
  <si>
    <t xml:space="preserve">GLYCOPYRROLATE ACCORD glycopyrronium bromide 0.6 mg/3 mL injection ampoules – Accord Healthcare Pty Ltd</t>
  </si>
  <si>
    <t xml:space="preserve">https://www.ebs.tga.gov.au/ebs/picmi/picmirepository.nsf/pdf?OpenAgent&amp;id=CP-2016-PI-02612-1</t>
  </si>
  <si>
    <t xml:space="preserve">Article 57 file: filter "Active substance" contains "hydroxocobalamin" and "Marketing authorisation holder" contains "Accord" → country "United Kingdom (Northern Ireland)"</t>
  </si>
  <si>
    <t xml:space="preserve">IBANDRONATE SODIUM – ACCORD HEALTHCARE INC</t>
  </si>
  <si>
    <t xml:space="preserve">https://dailymed.nlm.nih.gov/dailymed/fda/fdaDrugXsl.cfm?setid=2b84257d-d8b3-56fe-e054-00144ff88e88</t>
  </si>
  <si>
    <t xml:space="preserve">IBANDRONIC ACID ACCORD 3 MG SOLUTION FOR INJECTION IN PRE-FILLED SYRINGE – ACCORD HEALTHCARE LIMITED</t>
  </si>
  <si>
    <t xml:space="preserve">https://mhraproducts4853.blob.core.windows.net/docs/77d3cbbc5361b04cb13407c5649837410927261d</t>
  </si>
  <si>
    <t xml:space="preserve">https://www.ema.europa.eu/en/medicines/human/EPAR/ibandronic-acid-accord</t>
  </si>
  <si>
    <t xml:space="preserve">Page shows the EU-wide (central) authorisation – valid in all EU/EEA countries – and the holder. Article 57 file: filter "Active substance" contains "ibandron" and "Marketing authorisation holder" contains "Accord" → "Product authorisation country"</t>
  </si>
  <si>
    <t xml:space="preserve">Article 57 file: filter "Active substance" contains "idarubicin" and "Marketing authorisation holder" contains "Accord" → country "United Kingdom (Northern Ireland)"</t>
  </si>
  <si>
    <t xml:space="preserve">EU/EEA (4): France, Finland, Poland, Portugal</t>
  </si>
  <si>
    <t xml:space="preserve">https://base-donnees-publique.medicaments.gouv.fr/index.php?page=1&amp;choixRecherche=medicament&amp;txtCaracteres=Idarubicine%20Accord&amp;action=show</t>
  </si>
  <si>
    <t xml:space="preserve">French register shows the product and holder (France). For the other countries: Article 57 file: filter "Active substance" contains "idarubicin" and "Marketing authorisation holder" contains "Accord" → "Product authorisation country"</t>
  </si>
  <si>
    <t xml:space="preserve">CAMCEVI 21MG PROLONGED-RELEASE SUSPENSION FOR INJECTION – ACCORD HEALTHCARE LIMITED</t>
  </si>
  <si>
    <t xml:space="preserve">https://mhraproducts4853.blob.core.windows.net/docs/9139290e853308d1ca62298463423a242ccfa099</t>
  </si>
  <si>
    <t xml:space="preserve">https://www.ema.europa.eu/en/medicines/human/EPAR/camcevi</t>
  </si>
  <si>
    <t xml:space="preserve">Page shows the EU-wide (central) authorisation – valid in all EU/EEA countries – and the holder. Article 57 file: filter "Active substance" contains "leuprorelin" and "Marketing authorisation holder" contains "Accord" → "Product authorisation country"</t>
  </si>
  <si>
    <t xml:space="preserve">Article 57 file: filter "Active substance" contains "lidocaine" and "Marketing authorisation holder" contains "Accord" → country "United Kingdom (Northern Ireland)"</t>
  </si>
  <si>
    <t xml:space="preserve">EU/EEA (7): Austria, Cyprus, Estonia, Lithuania, Norway, Portugal, Sweden</t>
  </si>
  <si>
    <t xml:space="preserve">Article 57 file: filter "Active substance" contains "lidocaine" and "Marketing authorisation holder" contains "Accord" → "Product authorisation country"</t>
  </si>
  <si>
    <t xml:space="preserve">LIDOCAINE ACCORD 2% lidocaine hydrochloride 100 mg/5 mL injection ampoule – Accord Healthcare Pty Ltd</t>
  </si>
  <si>
    <t xml:space="preserve">https://www.ebs.tga.gov.au/ebs/picmi/picmirepository.nsf/pdf?OpenAgent&amp;id=CP-2019-PI-01963-1</t>
  </si>
  <si>
    <t xml:space="preserve">MELPHALAN 50 MG CONCENTRATE AND SOLVENT FOR SOLUTION FOR INJECTION/INFUSION – ACCORD-UK LIMITED</t>
  </si>
  <si>
    <t xml:space="preserve">https://mhraproducts4853.blob.core.windows.net/docs/1740a36db8ba332d071a925f2871b14576fa46c7</t>
  </si>
  <si>
    <t xml:space="preserve">Article 57 file: filter "Active substance" contains "melphalan" and "Marketing authorisation holder" contains "Accord" → country "United Kingdom (Northern Ireland)"</t>
  </si>
  <si>
    <t xml:space="preserve">METHOTREXATE 25 MG/ML SOLUTION FOR INJECTION – ACCORD HEALTHCARE LIMITED</t>
  </si>
  <si>
    <t xml:space="preserve">Article 57 file: filter "Active substance" contains "methotrexate" and "Marketing authorisation holder" contains "Accord" → country "United Kingdom (Northern Ireland)"</t>
  </si>
  <si>
    <t xml:space="preserve">METHOTREXATE INJECTION BP – ACCORD HEALTHCARE INC</t>
  </si>
  <si>
    <t xml:space="preserve">https://produits-sante.canada.ca/dpd-bdpp/info?code=81253&amp;lang=eng</t>
  </si>
  <si>
    <t xml:space="preserve">EU/EEA (25): Germany, France, Netherlands, Belgium, Austria, Bulgaria, Croatia, Cyprus, Czech Republic, Denmark, Estonia, Finland, Greece, Hungary, Ireland, Italy, Latvia, Lithuania, Norway, Poland, Portugal, Slovakia, Slovenia, Spain, Sweden</t>
  </si>
  <si>
    <t xml:space="preserve">https://base-donnees-publique.medicaments.gouv.fr/index.php?page=1&amp;choixRecherche=medicament&amp;txtCaracteres=Izixate&amp;action=show</t>
  </si>
  <si>
    <t xml:space="preserve">French register shows the product and holder (France). For the other countries: Article 57 file: filter "Active substance" contains "methotrexate" and "Marketing authorisation holder" contains "Accord" → "Product authorisation country"</t>
  </si>
  <si>
    <t xml:space="preserve">METHOTREXATE INTAS methotrexate 1000mg/10mL injection vial – Accord Healthcare Pty Ltd</t>
  </si>
  <si>
    <t xml:space="preserve">https://www.healthdirect.gov.au/medicines/brand/amt%2C933505761000036101/methotrexate-intas</t>
  </si>
  <si>
    <t xml:space="preserve">Article 57 file: filter "Active substance" contains "midazolam" and "Marketing authorisation holder" contains "Accord" → country "United Kingdom (Northern Ireland)"</t>
  </si>
  <si>
    <t xml:space="preserve">EU/EEA (22): Germany, France, Netherlands, Belgium, Austria, Cyprus, Czech Republic, Denmark, Finland, Greece, Hungary, Iceland, Ireland, Italy, Malta, Norway, Poland, Portugal, Slovakia, Slovenia, Spain, Sweden</t>
  </si>
  <si>
    <t xml:space="preserve">https://base-donnees-publique.medicaments.gouv.fr/index.php?page=1&amp;choixRecherche=medicament&amp;txtCaracteres=Midazolam%20Accord&amp;action=show</t>
  </si>
  <si>
    <t xml:space="preserve">French register shows the product and holder (France). For the other countries: Article 57 file: filter "Active substance" contains "midazolam" and "Marketing authorisation holder" contains "Accord" → "Product authorisation country"</t>
  </si>
  <si>
    <t xml:space="preserve">MIDAZOLAM ACCORD midazolam (as hydrochloride) 50 mg/10 mL solution for injection syringe – Accord Healthcare Pty Ltd</t>
  </si>
  <si>
    <t xml:space="preserve">https://www.ebs.tga.gov.au/ebs/picmi/picmirepository.nsf/pdf?OpenAgent&amp;id=CP-2016-PI-02501-1</t>
  </si>
  <si>
    <t xml:space="preserve">MITOMYCIN 40 MG, POWDER FOR SOLUTION FOR INJECTION/INFUSION – ACCORD HEALTHCARE LIMITED</t>
  </si>
  <si>
    <t xml:space="preserve">Article 57 file: filter "Active substance" contains "mitomycin" and "Marketing authorisation holder" contains "Accord" → country "United Kingdom (Northern Ireland)"</t>
  </si>
  <si>
    <t xml:space="preserve">MITOMYCIN FOR INJECTION USP – ACCORD HEALTHCARE INC</t>
  </si>
  <si>
    <t xml:space="preserve">https://health-products.canada.ca/dpd-bdpp/info?code=95282&amp;lang=eng</t>
  </si>
  <si>
    <t xml:space="preserve">EU/EEA (16): Germany, France, Netherlands, Belgium, Bulgaria, Cyprus, Czech Republic, Estonia, Finland, Italy, Poland, Portugal, Romania, Slovakia, Slovenia, Spain</t>
  </si>
  <si>
    <t xml:space="preserve">https://base-donnees-publique.medicaments.gouv.fr/index.php?page=1&amp;choixRecherche=medicament&amp;txtCaracteres=Mitomycine%20Accord&amp;action=show</t>
  </si>
  <si>
    <t xml:space="preserve">French register shows the product and holder (France). For the other countries: Article 57 file: filter "Active substance" contains "mitomycin" and "Marketing authorisation holder" contains "Accord" → "Product authorisation country"</t>
  </si>
  <si>
    <t xml:space="preserve">Accord Healthcare B.V. ; Accord Healthcare France Sas ; Accord Healthcare Limited ; Accord Healthcare S.L.U.</t>
  </si>
  <si>
    <t xml:space="preserve">Article 57 file: filter "Active substance" contains "mitoxantrone" and "Marketing authorisation holder" contains "Accord" → country "United Kingdom (Northern Ireland)"</t>
  </si>
  <si>
    <t xml:space="preserve">EU/EEA (3): France, Netherlands, Spain</t>
  </si>
  <si>
    <t xml:space="preserve">https://base-donnees-publique.medicaments.gouv.fr/index.php?page=1&amp;choixRecherche=medicament&amp;txtCaracteres=Mitoxantrone%20Accord&amp;action=show</t>
  </si>
  <si>
    <t xml:space="preserve">French register shows the product and holder (France). For the other countries: Article 57 file: filter "Active substance" contains "mitoxantrone" and "Marketing authorisation holder" contains "Accord" → "Product authorisation country"</t>
  </si>
  <si>
    <t xml:space="preserve">NALOXONE HYDROCHLORIDE – ACCORD HEALTHCARE INC</t>
  </si>
  <si>
    <t xml:space="preserve">https://dailymed.nlm.nih.gov/dailymed/search.cfm?labeltype=all&amp;query=Naloxone+Hydrochloride</t>
  </si>
  <si>
    <t xml:space="preserve">NALOXONE 400MICROGRAMS/ML SOLUTION FOR INJECTION IN PRE-FILLED SYRINGE – ACCORD-UK LIMITED</t>
  </si>
  <si>
    <t xml:space="preserve">https://mhraproducts4853.blob.core.windows.net/docs/1b85c921ff22e65de2c4cb817669b364513ade84</t>
  </si>
  <si>
    <t xml:space="preserve">Article 57 file: filter "Active substance" contains "naloxone" and "Marketing authorisation holder" contains "Accord" → country "United Kingdom (Northern Ireland)"</t>
  </si>
  <si>
    <t xml:space="preserve">EU/EEA (12): Germany, France, Netherlands, Austria, Czech Republic, Denmark, Finland, Ireland, Italy, Norway, Portugal, Sweden</t>
  </si>
  <si>
    <t xml:space="preserve">Article 57 file: filter "Active substance" contains "naloxone" and "Marketing authorisation holder" contains "Accord" → "Product authorisation country"</t>
  </si>
  <si>
    <t xml:space="preserve">ONDANSETRON HYDROCHLORIDE – ACCORD HEALTHCARE INC</t>
  </si>
  <si>
    <t xml:space="preserve">https://dailymed.nlm.nih.gov/dailymed/search.cfm?searchdb=ndc&amp;query=16729-298</t>
  </si>
  <si>
    <t xml:space="preserve">ONDANSETRON 8 MG SOLUTION FOR INJECTION/INFUSION IN PRE-FILLED SYRINGE – ACCORD-UK LIMITED</t>
  </si>
  <si>
    <t xml:space="preserve">Article 57 file: filter "Active substance" contains "ondansetron" and "Marketing authorisation holder" contains "Accord" → country "United Kingdom (Northern Ireland)"</t>
  </si>
  <si>
    <t xml:space="preserve">EU/EEA (23): Germany, France, Netherlands, Belgium, Austria, Bulgaria, Cyprus, Czech Republic, Denmark, Estonia, Finland, Ireland, Italy, Latvia, Lithuania, Malta, Norway, Poland, Portugal, Slovakia, Slovenia, Spain, Sweden</t>
  </si>
  <si>
    <t xml:space="preserve">https://base-donnees-publique.medicaments.gouv.fr/index.php?page=1&amp;choixRecherche=medicament&amp;txtCaracteres=Ondansetron%20Accord&amp;action=show</t>
  </si>
  <si>
    <t xml:space="preserve">French register shows the product and holder (France). For the other countries: Article 57 file: filter "Active substance" contains "ondansetron" and "Marketing authorisation holder" contains "Accord" → "Product authorisation country"</t>
  </si>
  <si>
    <t xml:space="preserve">ONDANSETRON ACCORD ondansetron (as hydrochloride dihydrate) 4 mg/2 mL solution for injection pre-filled syringe – Accord Healthcare Pty Ltd</t>
  </si>
  <si>
    <t xml:space="preserve">https://www.ebs.tga.gov.au/ebs/picmi/picmirepository.nsf/pdf?OpenAgent&amp;id=CP-2016-PI-02393-1</t>
  </si>
  <si>
    <t xml:space="preserve">https://www.ema.europa.eu/en/medicines/human/EPAR/naveruclif</t>
  </si>
  <si>
    <t xml:space="preserve">EU-wide (central) authorisation also covers Northern Ireland; page shows the product and the holder. Or: Article 57 file: filter "Active substance" contains "paclitaxel" and "Marketing authorisation holder" contains "Accord" → country "United Kingdom (Northern Ireland)"</t>
  </si>
  <si>
    <t xml:space="preserve">PACLITAXEL INJECTION USP – ACCORD HEALTHCARE INC</t>
  </si>
  <si>
    <t xml:space="preserve">https://health-products.canada.ca/dpd-bdpp/info?code=87681&amp;lang=eng</t>
  </si>
  <si>
    <t xml:space="preserve">Page shows the EU-wide (central) authorisation – valid in all EU/EEA countries – and the holder. Article 57 file: filter "Active substance" contains "paclitaxel" and "Marketing authorisation holder" contains "Accord" → "Product authorisation country"</t>
  </si>
  <si>
    <t xml:space="preserve">PALONOSETRON ACCORD 250 MICROGRAMS SOLUTION FOR INJECTION – ACCORD HEALTHCARE LIMITED</t>
  </si>
  <si>
    <t xml:space="preserve">https://mhraproducts4853.blob.core.windows.net/docs/f5e999c5eaed01985040c89afd30ed8456f534a6</t>
  </si>
  <si>
    <t xml:space="preserve">https://www.ema.europa.eu/en/medicines/human/EPAR/palonosetron-accord</t>
  </si>
  <si>
    <t xml:space="preserve">Page shows the EU-wide (central) authorisation – valid in all EU/EEA countries – and the holder. Article 57 file: filter "Active substance" contains "palonosetron" and "Marketing authorisation holder" contains "Accord" → "Product authorisation country"</t>
  </si>
  <si>
    <t xml:space="preserve">Palcita – Accord Healthcare (Pty) Ltd</t>
  </si>
  <si>
    <t xml:space="preserve">https://medicineprices.org.za/#search:palcita</t>
  </si>
  <si>
    <t xml:space="preserve">PANTOPRAZOLE 40 MG POWDER FOR SOLUTION FOR INJECTION – ACCORD HEALTHCARE LIMITED</t>
  </si>
  <si>
    <t xml:space="preserve">Accord Healthcare B.V. ; Accord Healthcare Limited ; Accord Healthcare Polska Sp. Z O.O. ; Accord Healthcare S.L.U.</t>
  </si>
  <si>
    <t xml:space="preserve">Article 57 file: filter "Active substance" contains "pantoprazole" and "Marketing authorisation holder" contains "Accord" → country "United Kingdom (Northern Ireland)"</t>
  </si>
  <si>
    <t xml:space="preserve">EU/EEA (12): Netherlands, Belgium, Bulgaria, Cyprus, Denmark, Finland, Hungary, Poland, Portugal, Slovakia, Slovenia, Sweden</t>
  </si>
  <si>
    <t xml:space="preserve">Article 57 file: filter "Active substance" contains "pantoprazole" and "Marketing authorisation holder" contains "Accord" → "Product authorisation country"</t>
  </si>
  <si>
    <t xml:space="preserve">PARICALCITOL – ACCORD HEALTHCARE INC</t>
  </si>
  <si>
    <t xml:space="preserve">EU/EEA (5): Germany, Netherlands, Czech Republic, Finland, Portugal</t>
  </si>
  <si>
    <t xml:space="preserve">Accord Healthcare B.V. ; Accord Healthcare Polska Sp. Z O.O. ; Accord Healthcare S.L.U.</t>
  </si>
  <si>
    <t xml:space="preserve">Article 57 file: filter "Active substance" contains "paricalcitol" and "Marketing authorisation holder" contains "Accord" → "Product authorisation country"</t>
  </si>
  <si>
    <t xml:space="preserve">PELGRAZ 6 MG SOLUTION FOR INJECTION IN PRE-FILLED SYRINGE – ACCORD HEALTHCARE LIMITED</t>
  </si>
  <si>
    <t xml:space="preserve">https://mhraproducts4853.blob.core.windows.net/docs/558dcfb1d7c94ccfc6b14703ecd62a427ca2264d</t>
  </si>
  <si>
    <t xml:space="preserve">https://www.ema.europa.eu/en/medicines/human/EPAR/pelgraz</t>
  </si>
  <si>
    <t xml:space="preserve">Page shows the EU-wide (central) authorisation – valid in all EU/EEA countries – and the holder. Article 57 file: filter "Active substance" contains "pegfilgrastim" and "Marketing authorisation holder" contains "Accord" → "Product authorisation country"</t>
  </si>
  <si>
    <t xml:space="preserve">PHENYLEPHRINE ACCORD phenylephrine hydrochloride 10 mg/1 mL solution for injection vial – Accord Healthcare Pty Ltd</t>
  </si>
  <si>
    <t xml:space="preserve">https://www.ebs.tga.gov.au/ebs/picmi/picmirepository.nsf/pdf?OpenAgent&amp;id=CP-2020-PI-02525-1</t>
  </si>
  <si>
    <t xml:space="preserve">PHENYLCORD 10 mg/ml – Accord Healthcare (Pty) Ltd</t>
  </si>
  <si>
    <t xml:space="preserve">Article 57 file: filter "Active substance" contains "phenytoin" and "Marketing authorisation holder" contains "Accord" → country "United Kingdom (Northern Ireland)"</t>
  </si>
  <si>
    <t xml:space="preserve">Article 57 file: filter "Active substance" contains "phenytoin" and "Marketing authorisation holder" contains "Accord" → "Product authorisation country"</t>
  </si>
  <si>
    <t xml:space="preserve">PLERIXAFOR 20 MG/ML SOLUTION FOR INJECTION – ACCORD HEALTHCARE LIMITED</t>
  </si>
  <si>
    <t xml:space="preserve">https://www.ema.europa.eu/en/medicines/human/EPAR/plerixafor-accord</t>
  </si>
  <si>
    <t xml:space="preserve">Page shows the EU-wide (central) authorisation – valid in all EU/EEA countries – and the holder. Article 57 file: filter "Active substance" contains "plerixafor" and "Marketing authorisation holder" contains "Accord" → "Product authorisation country"</t>
  </si>
  <si>
    <t xml:space="preserve">PLERIXAFOR ACCORD plerixafor 24 mg/1.2 mL solution for injection vial – Accord Healthcare Pty Ltd</t>
  </si>
  <si>
    <t xml:space="preserve">http://tga.gov.au/resources/artg/398073</t>
  </si>
  <si>
    <t xml:space="preserve">PROGESTERONE – ACCORD HEALTHCARE INC</t>
  </si>
  <si>
    <t xml:space="preserve">https://dailymed.nlm.nih.gov/dailymed/search.cfm?labeltype=all&amp;query=Progesterone</t>
  </si>
  <si>
    <t xml:space="preserve">FOVLUSSEA 10 MG/ML SOLUTION FOR INJECTION – ACCORD HEALTHCARE LIMITED</t>
  </si>
  <si>
    <t xml:space="preserve">https://mhraproducts4853.blob.core.windows.net/docs/0cd995a5637a3bd404fb0dc96033abecfd8ffc95</t>
  </si>
  <si>
    <t xml:space="preserve">REGADENOSON – ACCORD HEALTHCARE INC</t>
  </si>
  <si>
    <t xml:space="preserve">Accord Healthcare B.V. ; Accord Healthcare Ireland Limited ; Accord Healthcare Polska Sp. Z O.O. ; Accord Healthcare S.L.U. ; Accord-Uk Limited</t>
  </si>
  <si>
    <t xml:space="preserve">Article 57 file: filter "Active substance" contains "rocuronium" and "Marketing authorisation holder" contains "Accord" → country "United Kingdom (Northern Ireland)"</t>
  </si>
  <si>
    <t xml:space="preserve">EU/EEA (11): Germany, Netherlands, Austria, Czech Republic, Denmark, Finland, Ireland, Italy, Norway, Portugal, Sweden</t>
  </si>
  <si>
    <t xml:space="preserve">Article 57 file: filter "Active substance" contains "rocuronium" and "Marketing authorisation holder" contains "Accord" → "Product authorisation country"</t>
  </si>
  <si>
    <t xml:space="preserve">Suxamethonium Intas – Accord Healthcare Pty Ltd</t>
  </si>
  <si>
    <t xml:space="preserve">SUGAMMADEX 100 MG/ML SOLUTION FOR INJECTION – ACCORD HEALTHCARE LIMITED</t>
  </si>
  <si>
    <t xml:space="preserve">https://mhraproducts4853.blob.core.windows.net/docs/44089c416fe7066a241a329bc84997950abfd99d</t>
  </si>
  <si>
    <t xml:space="preserve">Article 57 file: filter "Active substance" contains "sugammadex" and "Marketing authorisation holder" contains "Accord" → country "United Kingdom (Northern Ireland)"</t>
  </si>
  <si>
    <t xml:space="preserve">EU/EEA (18): France, Netherlands, Austria, Croatia, Cyprus, Denmark, Estonia, Finland, Ireland, Italy, Lithuania, Norway, Poland, Portugal, Romania, Slovakia, Spain, Sweden</t>
  </si>
  <si>
    <t xml:space="preserve">https://base-donnees-publique.medicaments.gouv.fr/index.php?page=1&amp;choixRecherche=medicament&amp;txtCaracteres=Sugammadex%20Accord&amp;action=show</t>
  </si>
  <si>
    <t xml:space="preserve">French register shows the product and holder (France). For the other countries: Article 57 file: filter "Active substance" contains "sugammadex" and "Marketing authorisation holder" contains "Accord" → "Product authorisation country"</t>
  </si>
  <si>
    <t xml:space="preserve">SUGAMMADEX ACCORD sugammadex (as sodium) 200 mg/2 mL solution for injection vial – Accord Healthcare Pty Ltd</t>
  </si>
  <si>
    <t xml:space="preserve">https://www.ebs.tga.gov.au/servlet/xmlmillr6?dbid=ebs/PublicHTML/pdfStore.nsf&amp;docid=372777&amp;agid=(PrintDetailsPublic)&amp;actionid=1</t>
  </si>
  <si>
    <t xml:space="preserve">Accord Healthcare B.V. ; Accord Healthcare S.L.U.</t>
  </si>
  <si>
    <t xml:space="preserve">Article 57 file: filter "Active substance" contains "teicoplanin" and "Marketing authorisation holder" contains "Accord" → "Product authorisation country"</t>
  </si>
  <si>
    <t xml:space="preserve">https://www.ema.europa.eu/en/medicines/human/EPAR/tigecycline-accord</t>
  </si>
  <si>
    <t xml:space="preserve">Page shows the EU-wide (central) authorisation – valid in all EU/EEA countries – and the holder. Article 57 file: filter "Active substance" contains "tigecycline" and "Marketing authorisation holder" contains "Accord" → "Product authorisation country"</t>
  </si>
  <si>
    <t xml:space="preserve">TIGECYCLINE ACCORD tigecycline 50 mg powder for injection vial – Accord Healthcare Pty Ltd</t>
  </si>
  <si>
    <t xml:space="preserve">https://www.ebs.tga.gov.au/servlet/xmlmillr6?dbid=ebs/PublicHTML/pdfStore.nsf&amp;docid=331680&amp;agid=(PrintDetailsPublic)&amp;actionid=1</t>
  </si>
  <si>
    <t xml:space="preserve">IMULDOSA 45 MG SOLUTION FOR INJECTION IN PRE-FILLED SYRINGE – ACCORD HEALTHCARE LIMITED</t>
  </si>
  <si>
    <t xml:space="preserve">https://mhraproducts4853.blob.core.windows.net/docs/7f0af292cea25f881c619785dd36da19d641eb1a</t>
  </si>
  <si>
    <t xml:space="preserve">https://www.ema.europa.eu/en/medicines/human/EPAR/imuldosa</t>
  </si>
  <si>
    <t xml:space="preserve">EU-wide (central) authorisation also covers Northern Ireland; page shows the product and the holder. Or: Article 57 file: filter "Active substance" contains "ustekinumab" and "Marketing authorisation holder" contains "Accord" → country "United Kingdom (Northern Ireland)"</t>
  </si>
  <si>
    <t xml:space="preserve">Page shows the EU-wide (central) authorisation – valid in all EU/EEA countries – and the holder. Article 57 file: filter "Active substance" contains "ustekinumab" and "Marketing authorisation holder" contains "Accord" → "Product authorisation country"</t>
  </si>
  <si>
    <t xml:space="preserve">Accord-Vincristine 1mg/ml – Accord Healthcare (Pty) Ltd</t>
  </si>
  <si>
    <t xml:space="preserve">https://www.sahpra.org.za/document-category/product-recall/page/7/</t>
  </si>
  <si>
    <t xml:space="preserve">Article 57 file: filter "Active substance" contains "vinorelbine" and "Marketing authorisation holder" contains "Accord" → country "United Kingdom (Northern Ireland)"</t>
  </si>
  <si>
    <t xml:space="preserve">EU/EEA (21): Germany, France, Netherlands, Belgium, Austria, Cyprus, Czech Republic, Denmark, Estonia, Finland, Italy, Latvia, Lithuania, Norway, Poland, Portugal, Romania, Slovakia, Slovenia, Spain, Sweden</t>
  </si>
  <si>
    <t xml:space="preserve">https://base-donnees-publique.medicaments.gouv.fr/index.php?page=1&amp;choixRecherche=medicament&amp;txtCaracteres=Vinorelbine%20Accord&amp;action=show</t>
  </si>
  <si>
    <t xml:space="preserve">French register shows the product and holder (France). For the other countries: Article 57 file: filter "Active substance" contains "vinorelbine" and "Marketing authorisation holder" contains "Accord" → "Product authorisation country"</t>
  </si>
  <si>
    <t xml:space="preserve">ALFENTANIL GH injection alfentanil (as hydrochloride) 5 mg/10 mL injection ampoule – Generic Health Pty Ltd</t>
  </si>
  <si>
    <t xml:space="preserve">https://www.nps.org.au/assets/medicines/8bd3b47f-93b8-42ea-9c27-a53300ffa94f.pdf</t>
  </si>
  <si>
    <t xml:space="preserve">CEFAZOLIN SXP cefazolin (as sodium) 1000 mg powder for injection vial – Southern Cross Pharma Pty Ltd</t>
  </si>
  <si>
    <t xml:space="preserve">https://www.ebs.tga.gov.au/servlet/xmlmillr6?dbid=ebs/PublicHTML/pdfStore.nsf&amp;docid=322861&amp;agid=(PrintDetailsPublic)&amp;actionid=1</t>
  </si>
  <si>
    <t xml:space="preserve">CISATRACURIUM AJS cisatracurium (as besilate) 10mg/5mL injection solution in vial – Southern Cross Pharma Pty Ltd</t>
  </si>
  <si>
    <t xml:space="preserve">https://www.healthdirect.gov.au/medicines/brand/amt%2C913251000168100/cisatracurium-ajs</t>
  </si>
  <si>
    <t xml:space="preserve">DAPTOMYCIN LUPIN daptomycin 350 mg powder for injection vial – Southern Cross Pharma Pty Ltd</t>
  </si>
  <si>
    <t xml:space="preserve">https://www.ebs.tga.gov.au/ebs/picmi/picmirepository.nsf/pdf?OpenAgent&amp;id=CP-2023-PI-01405-1</t>
  </si>
  <si>
    <t xml:space="preserve">DIAZEPAM – LUPIN LTD</t>
  </si>
  <si>
    <t xml:space="preserve">https://dailymed.nlm.nih.gov/dailymed/search.cfm?labeltype=all&amp;query=Diazepam</t>
  </si>
  <si>
    <t xml:space="preserve">DROPERIDOL LUPIN droperidol 2.5 mg/1 mL solution for injection glass ampoule – Southern Cross Pharma Pty Ltd</t>
  </si>
  <si>
    <t xml:space="preserve">https://www.ebs.tga.gov.au/ebs/picmi/picmirepository.nsf/pdf?OpenAgent&amp;id=CP-2017-PI-01601-1</t>
  </si>
  <si>
    <t xml:space="preserve">Sucrofer – Pharma Dynamics (Pty) Ltd</t>
  </si>
  <si>
    <t xml:space="preserve">https://medicineprices.org.za/#search:sucrofer</t>
  </si>
  <si>
    <t xml:space="preserve">EPHEDRINE HYDROCHLORIDE AJS ephedrine hydrochloride 30mg / mL solution for injection ampoule – Southern Cross Pharma Pty Ltd</t>
  </si>
  <si>
    <t xml:space="preserve">https://www.ebs.tga.gov.au/servlet/xmlmillr6?dbid=ebs/PublicHTML/pdfStore.nsf&amp;docid=259539&amp;agid=(PrintDetailsPublic)&amp;actionid=1</t>
  </si>
  <si>
    <t xml:space="preserve">INVABEX – Pharma Dynamics (Pty) Ltd</t>
  </si>
  <si>
    <t xml:space="preserve">https://medicineprices.org.za/#search:invabex</t>
  </si>
  <si>
    <t xml:space="preserve">FAMOTIDINE – LUPIN LTD</t>
  </si>
  <si>
    <t xml:space="preserve">https://dailymed.nlm.nih.gov/dailymed/search.cfm?labeltype=all&amp;query=Famotidine</t>
  </si>
  <si>
    <t xml:space="preserve">Fentanyl GH Solution for Injection 500 microgram/10 mL ampoule – Generic Health Pty Ltd</t>
  </si>
  <si>
    <t xml:space="preserve">https://www.safetyandquality.gov.au/medicine-finder/fentanyl-gh</t>
  </si>
  <si>
    <t xml:space="preserve">MEROPENEM GH meropenem (as trihydrate) 500 mg powder for injection vial – Lupin Australia Pty Limited</t>
  </si>
  <si>
    <t xml:space="preserve">https://www.healthdirect.gov.au/medicines/brand/amt%2C1310041000168105/meropenem-gh</t>
  </si>
  <si>
    <t xml:space="preserve">MEROJECT 1 g – Pharma Dynamics (Pty) Ltd</t>
  </si>
  <si>
    <t xml:space="preserve">https://pi-pil-repository.sahpra.org.za/wp-content/uploads/2025/02/Approved-PIL-25-November-2024.pdf</t>
  </si>
  <si>
    <t xml:space="preserve">Milrinone GH 10mg/10 mL Concentrated Injection milrinone (as lactate) 10mg/10 mL ampoule – Generic Health Pty Ltd</t>
  </si>
  <si>
    <t xml:space="preserve">https://www.safetyandquality.gov.au/medicine-finder/milrinone-gh-concentrate-for-infusion</t>
  </si>
  <si>
    <t xml:space="preserve">OLANZAPINE GH IM olanzapine 10 mg powder for injection vial – Generic Health Pty Ltd</t>
  </si>
  <si>
    <t xml:space="preserve">https://www.tga.gov.au/resources/artg/484114</t>
  </si>
  <si>
    <t xml:space="preserve">OXYTOCIN GH Solution for Injection 10 IU/1 mL ampoule – Generic Health Pty Ltd</t>
  </si>
  <si>
    <t xml:space="preserve">https://www.safetyandquality.gov.au/medicine-finder/oxytocin-gh</t>
  </si>
  <si>
    <t xml:space="preserve">Altirem IV 2 mg – Pharma Dynamics (Pty) Ltd</t>
  </si>
  <si>
    <t xml:space="preserve">https://pi-pil-repository.sahpra.org.za/wp-content/uploads/2025/05/Approved-PI-12-May-2025.pdf</t>
  </si>
  <si>
    <t xml:space="preserve">SUGAMMADEX SODIUM – LUPIN LTD</t>
  </si>
  <si>
    <t xml:space="preserve">https://dailymed.nlm.nih.gov/dailymed/drugInfo.cfm?setid=9f2e66d7-a5d2-4593-bb30-6d4a418381aa</t>
  </si>
  <si>
    <t xml:space="preserve">SUGAMMADEX LUPIN sugammadex (as sodium) 200 mg/2 mL solution for injection vial – Lupin Australia Pty Limited</t>
  </si>
  <si>
    <t xml:space="preserve">https://www.ebs.tga.gov.au/ebs/picmi/picmirepository.nsf/pdf?OpenAgent&amp;id=CP-2023-PI-02604-1&amp;d=20260925172310101</t>
  </si>
  <si>
    <t xml:space="preserve">TEICOPLANIN SXP teicoplanin 400 mg powder for injection with diluent ampoule – Southern Cross Pharma Pty Ltd</t>
  </si>
  <si>
    <t xml:space="preserve">https://www.ebs.tga.gov.au/servlet/xmlmillr6?dbid=ebs/PublicHTML/pdfStore.nsf&amp;docid=259192&amp;agid=(PrintDetailsPublic)&amp;actionid=1</t>
  </si>
  <si>
    <t xml:space="preserve">Dyna Teicoplanin 200mg – Pharma Dynamics (Pty) Ltd</t>
  </si>
  <si>
    <t xml:space="preserve">https://medicineprices.org.za/#search:dyna</t>
  </si>
  <si>
    <t xml:space="preserve">Testosterone PD – Pharma Dynamics (Pty) Ltd</t>
  </si>
  <si>
    <t xml:space="preserve">https://medicineprices.org.za/#search:testosterone</t>
  </si>
  <si>
    <t xml:space="preserve">BORTEZOMIB – MSN LABORATORIES PRIVATE LTD</t>
  </si>
  <si>
    <t xml:space="preserve">https://dailymed.nlm.nih.gov/dailymed/drugInfo.cfm?setid=d41340c2-7fe8-42b2-aaa5-c9f9b0e9b50e</t>
  </si>
  <si>
    <t xml:space="preserve">BORTEZOMIB 3.5 MG POWDER FOR SOLUTION FOR INJECTION – MSN LABORATORIES EUROPE LIMITED</t>
  </si>
  <si>
    <t xml:space="preserve">https://mhraproducts4853.blob.core.windows.net/docs/8703115c833741c52c0b5e3efbbb2258862cffa1</t>
  </si>
  <si>
    <t xml:space="preserve">Msn Laboratories Europe Ltd ; Msn Labs Europe Limited</t>
  </si>
  <si>
    <t xml:space="preserve">Article 57 file: filter "Active substance" contains "bortezomib" and "Marketing authorisation holder" contains "MSN" → country "United Kingdom (Northern Ireland)"</t>
  </si>
  <si>
    <t xml:space="preserve">EU/EEA (1): Ireland</t>
  </si>
  <si>
    <t xml:space="preserve">Article 57 file: filter "Active substance" contains "bortezomib" and "Marketing authorisation holder" contains "MSN" → "Product authorisation country"</t>
  </si>
  <si>
    <t xml:space="preserve">MSN-BORTEZOMIB bortezomib 3.5 mg powder for injection vial – MSN Laboratories Australia Pty Ltd</t>
  </si>
  <si>
    <t xml:space="preserve">https://www.tga.gov.au/resources/artg/306550</t>
  </si>
  <si>
    <t xml:space="preserve">BRIVARACETAM – MSN LABORATORIES PRIVATE LTD</t>
  </si>
  <si>
    <t xml:space="preserve">https://dailymed.nlm.nih.gov/dailymed/drugInfo.cfm?setid=2c6af271-3222-4602-98a6-14754f0a29ba</t>
  </si>
  <si>
    <t xml:space="preserve">CHLORPROMAZINE HYDROCHLORIDE – MSN LABORATORIES PRIVATE LTD</t>
  </si>
  <si>
    <t xml:space="preserve">https://dailymed.nlm.nih.gov/dailymed/drugInfo.cfm?setid=867d5c7f-52d4-4794-b1d4-6747f3262fba</t>
  </si>
  <si>
    <t xml:space="preserve">FLUPHENAZINE DECANOATE – MSN LABORATORIES PRIVATE LTD</t>
  </si>
  <si>
    <t xml:space="preserve">https://dailymed.nlm.nih.gov/dailymed/search.cfm?labeltype=all&amp;query=Fluphenazine+Decanoate</t>
  </si>
  <si>
    <t xml:space="preserve">GADOBUTROL 1.0 MMOL/ML SOLUTION FOR INJECTION – MSN LABORATORIES EUROPE LIMITED</t>
  </si>
  <si>
    <t xml:space="preserve">https://mhraproducts4853.blob.core.windows.net/docs/a892ae362be90b720fee33b3e1c9cf5f06e6ed09</t>
  </si>
  <si>
    <t xml:space="preserve">Msn Laboratories Europe Ltd</t>
  </si>
  <si>
    <t xml:space="preserve">Article 57 file: filter "Active substance" contains "gadobutrol" and "Marketing authorisation holder" contains "MSN" → country "United Kingdom (Northern Ireland)"</t>
  </si>
  <si>
    <t xml:space="preserve">PLERIXAFOR – MSN LABORATORIES PRIVATE LTD</t>
  </si>
  <si>
    <t xml:space="preserve">EU/EEA (8): Bulgaria, Croatia, Czech Republic, Hungary, Ireland, Poland, Romania, Slovakia</t>
  </si>
  <si>
    <t xml:space="preserve">Msn Labs Europe Limited</t>
  </si>
  <si>
    <t xml:space="preserve">Article 57 file: filter "Active substance" contains "plerixafor" and "Marketing authorisation holder" contains "MSN" → "Product authorisation country"</t>
  </si>
  <si>
    <t xml:space="preserve">SUGAMMADEX SODIUM – MSN LABORATORIES PRIVATE LTD</t>
  </si>
  <si>
    <t xml:space="preserve">https://dailymed.nlm.nih.gov/dailymed/drugInfo.cfm?setid=ab41ea1c-266f-421c-8fc4-6e7ff518a75d</t>
  </si>
  <si>
    <t xml:space="preserve">SUGAMMADEX 100 MG/ML SOLUTION FOR INJECTION – MSN LABORATORIES EUROPE LIMITED</t>
  </si>
  <si>
    <t xml:space="preserve">https://mhraproducts4853.blob.core.windows.net/docs/7aa20df6854ee9b7ef3bc783930d858a9979d943</t>
  </si>
  <si>
    <t xml:space="preserve">EU/EEA (8): Croatia, Cyprus, Estonia, Ireland, Latvia, Lithuania, Poland, Slovenia</t>
  </si>
  <si>
    <t xml:space="preserve">Article 57 file: filter "Active substance" contains "sugammadex" and "Marketing authorisation holder" contains "MSN" → "Product authorisation country"</t>
  </si>
  <si>
    <t xml:space="preserve">SUGAMMADEX MSN sugammadex (as sodium) 200 mg/2 mL solution for injection vial – MSN Laboratories Australia Pty Ltd</t>
  </si>
  <si>
    <t xml:space="preserve">https://www.ebs.tga.gov.au/ebs/picmi/picmirepository.nsf/pdf?OpenAgent&amp;id=CP-2026-PI-01917-1</t>
  </si>
  <si>
    <t xml:space="preserve">BRIVARACETAM – MICRO LABS LTD</t>
  </si>
  <si>
    <t xml:space="preserve">Brown &amp; Burk Uk Limited</t>
  </si>
  <si>
    <t xml:space="preserve">Article 57 file: filter "Active substance" contains "caffeine" and "Marketing authorisation holder" contains "Brown &amp; Burk" → country "United Kingdom (Northern Ireland)"</t>
  </si>
  <si>
    <t xml:space="preserve">CARBOPROST TROMETHAMINE – MICRO LABS LTD</t>
  </si>
  <si>
    <t xml:space="preserve">Article 57 file: filter "Active substance" contains "cyclizine" and "Marketing authorisation holder" contains "Brown &amp; Burk" → country "United Kingdom (Northern Ireland)"</t>
  </si>
  <si>
    <t xml:space="preserve">CYCLACT cyclizine lactate 50 mg/1 mL injection ampoule – Micro Labs Pty Ltd</t>
  </si>
  <si>
    <t xml:space="preserve">https://www.ebs.tga.gov.au/servlet/xmlmillr6?dbid=ebs/PublicHTML/pdfStore.nsf&amp;docid=394390&amp;agid=(PrintDetailsPublic)&amp;actionid=1</t>
  </si>
  <si>
    <t xml:space="preserve">DIPHENHYDRAMINE HYDROCHLORIDE – MICRO LABS LTD</t>
  </si>
  <si>
    <t xml:space="preserve">https://dailymed.nlm.nih.gov/dailymed/drugInfo.cfm?setid=c2981222-1671-4ecd-a5a2-286f0663f1ae</t>
  </si>
  <si>
    <t xml:space="preserve">ISOPROTERENOL HYDROCHLORIDE – MICRO LABS LTD</t>
  </si>
  <si>
    <t xml:space="preserve">https://dailymed.nlm.nih.gov/dailymed/drugInfo.cfm?setid=0f6a7651-e7b4-4ada-8ccd-2123d094a113</t>
  </si>
  <si>
    <t xml:space="preserve">ISOPRIKA isoprenaline hydrochloride 1.0 mg/5 mL injection solution ampoule – Micro Labs Pty Ltd</t>
  </si>
  <si>
    <t xml:space="preserve">https://www.ebs.tga.gov.au/servlet/xmlmillr6?dbid=ebs/PublicHTML/pdfStore.nsf&amp;docid=358311&amp;agid=(PrintDetailsPublic)&amp;actionid=1</t>
  </si>
  <si>
    <t xml:space="preserve">EU/EEA (2): Germany, Luxembourg</t>
  </si>
  <si>
    <t xml:space="preserve">Micro Labs Gmbh</t>
  </si>
  <si>
    <t xml:space="preserve">Article 57 file: filter "Active substance" contains "levetiracetam" and "Marketing authorisation holder" contains "Micro Labs" → "Product authorisation country"</t>
  </si>
  <si>
    <t xml:space="preserve">LEVETIRACETAM WP levetiracetam 500 mg/5 mL concentrated injection for IV infusion vial – Micro Labs Pty Ltd</t>
  </si>
  <si>
    <t xml:space="preserve">https://www.ebs.tga.gov.au/servlet/xmlmillr6?dbid=ebs/PublicHTML/pdfStore.nsf&amp;docid=397976&amp;agid=(PrintDetailsPublic)&amp;actionid=1</t>
  </si>
  <si>
    <t xml:space="preserve">LINCOMYCIN HYDROCHLORIDE – MICRO LABS LTD</t>
  </si>
  <si>
    <t xml:space="preserve">https://dailymed.nlm.nih.gov/dailymed/search.cfm?searchdb=ndc&amp;query=68083-478</t>
  </si>
  <si>
    <t xml:space="preserve">SUCCINYLCHOLINE CHLORIDE – MICRO LABS LTD</t>
  </si>
  <si>
    <t xml:space="preserve">https://dailymed.nlm.nih.gov/dailymed/drugInfo.cfm?setid=204f1c24-4bf6-40d5-95f3-a732db28e033</t>
  </si>
  <si>
    <t xml:space="preserve">VERAPAMIL HYDROCHLORIDE – MICRO LABS LTD</t>
  </si>
  <si>
    <t xml:space="preserve">https://dailymed.nlm.nih.gov/dailymed/drugInfo.cfm?setid=9f19a5b4-286c-2c3f-e053-2a95a90a51df</t>
  </si>
  <si>
    <t xml:space="preserve">BUPIVACAINE HYDROCHLORIDE – ONESOURCE SPECIALTY PTE LTD</t>
  </si>
  <si>
    <t xml:space="preserve">https://dailymed.nlm.nih.gov/dailymed/drugInfo.cfm?setid=f29c905e-9a55-446f-a89d-860ad9ade7ad</t>
  </si>
  <si>
    <t xml:space="preserve">CARBOPROST TROMETHAMINE – ONESOURCE SPECIALTY PTE LTD</t>
  </si>
  <si>
    <t xml:space="preserve">Steriscience B.V.</t>
  </si>
  <si>
    <t xml:space="preserve">https://base-donnees-publique.medicaments.gouv.fr/index.php?page=1&amp;choixRecherche=medicament&amp;txtCaracteres=Meropenem%20Steriscience&amp;action=show</t>
  </si>
  <si>
    <t xml:space="preserve">French register shows the product and holder (France). For the other countries: Article 57 file: filter "Active substance" contains "meropenem" and "Marketing authorisation holder" contains "Steriscience" → "Product authorisation country"</t>
  </si>
  <si>
    <t xml:space="preserve">METHOHEXITAL SODIUM – ONESOURCE SPECIALTY PTE LTD</t>
  </si>
  <si>
    <t xml:space="preserve">https://dailymed.nlm.nih.gov/dailymed/search.cfm?searchdb=ndc&amp;query=83270-003</t>
  </si>
  <si>
    <t xml:space="preserve">NAFCILLIN SODIUM – ONESOURCE SPECIALTY PTE LTD</t>
  </si>
  <si>
    <t xml:space="preserve">https://dailymed.nlm.nih.gov/dailymed/search.cfm?searchdb=ndc&amp;query=83270-310</t>
  </si>
  <si>
    <t xml:space="preserve">RAPIFEN SOLUTION FOR INJECTION OR INFUSION – PIRAMAL CRITICAL CARE LIMITED</t>
  </si>
  <si>
    <t xml:space="preserve">https://dmd-browser.nhsbsa.nhs.uk/ampp/view/20811</t>
  </si>
  <si>
    <t xml:space="preserve">Piramal Critical Care B.V. ; Piramal Critical Care Italia Spa ; Piramal Critical Care Limited</t>
  </si>
  <si>
    <t xml:space="preserve">Article 57 file: filter "Active substance" contains "alfentanil" and "Marketing authorisation holder" contains "Piramal" → country "United Kingdom (Northern Ireland)"</t>
  </si>
  <si>
    <t xml:space="preserve">EU/EEA (15): Germany, France, Netherlands, Belgium, Austria, Czech Republic, Denmark, Finland, Ireland, Italy, Luxembourg, Norway, Portugal, Spain, Sweden</t>
  </si>
  <si>
    <t xml:space="preserve">https://base-donnees-publique.medicaments.gouv.fr/index.php?page=1&amp;choixRecherche=medicament&amp;txtCaracteres=Rapifen&amp;action=show</t>
  </si>
  <si>
    <t xml:space="preserve">French register shows the product and holder (France). For the other countries: Article 57 file: filter "Active substance" contains "alfentanil" and "Marketing authorisation holder" contains "Piramal" → "Product authorisation country"</t>
  </si>
  <si>
    <t xml:space="preserve">RAPIFEN alfentanil 1mg/2mL (as hydrochloride) injection – Piramal Critical Care Pty Ltd</t>
  </si>
  <si>
    <t xml:space="preserve">https://www.safetyandquality.gov.au/medicine-finder/rapifen</t>
  </si>
  <si>
    <t xml:space="preserve">Rapifen 2ml – Piramal Critical Care South Africa (Pty) Ltd</t>
  </si>
  <si>
    <t xml:space="preserve">https://www.sahpra.org.za/wp-content/uploads/2020/02/Rapifen_PI_Piramal-Critical-Care_MCC-format-01-February-2010.pdf</t>
  </si>
  <si>
    <t xml:space="preserve">GABLOFEN – PIRAMAL CRITICAL CARE INC</t>
  </si>
  <si>
    <t xml:space="preserve">https://dailymed.nlm.nih.gov/dailymed/lookup.cfm?setid=00d3e846-dd92-448d-9ab8-6a07be823cc1</t>
  </si>
  <si>
    <t xml:space="preserve">GABLOFEN 2 MG/ML SOLUTION FOR INJECTION/INFUSION IN PRE-FILLED SYRINGE – PIRAMAL CRITICAL CARE LIMITED</t>
  </si>
  <si>
    <t xml:space="preserve">https://products.mhra.gov.uk/search/?search=baclofen</t>
  </si>
  <si>
    <t xml:space="preserve">MHRA search</t>
  </si>
  <si>
    <t xml:space="preserve">Click the substance in the results, then find the product of the holder shown</t>
  </si>
  <si>
    <t xml:space="preserve">Piramal Critical Care B.V. ; Piramal Critical Care Limited</t>
  </si>
  <si>
    <t xml:space="preserve">Article 57 file: filter "Active substance" contains "baclofen" and "Marketing authorisation holder" contains "Piramal" → country "United Kingdom (Northern Ireland)"</t>
  </si>
  <si>
    <t xml:space="preserve">EU/EEA (6): Germany, France, Netherlands, Belgium, Denmark, Sweden</t>
  </si>
  <si>
    <t xml:space="preserve">https://base-donnees-publique.medicaments.gouv.fr/index.php?page=1&amp;choixRecherche=medicament&amp;txtCaracteres=Spacyr&amp;action=show</t>
  </si>
  <si>
    <t xml:space="preserve">French register shows the product and holder (France). For the other countries: Article 57 file: filter "Active substance" contains "baclofen" and "Marketing authorisation holder" contains "Piramal" → "Product authorisation country"</t>
  </si>
  <si>
    <t xml:space="preserve">CISATRACURIUM BESYLATE – PIRAMAL HEALTHCARE UK LTD</t>
  </si>
  <si>
    <t xml:space="preserve">Article 57 file: filter "Active substance" contains "etomidate" and "Marketing authorisation holder" contains "Piramal" → country "United Kingdom (Northern Ireland)"</t>
  </si>
  <si>
    <t xml:space="preserve">EU/EEA (10): Germany, France, Netherlands, Belgium, Austria, Croatia, Czech Republic, Luxembourg, Poland, Spain</t>
  </si>
  <si>
    <t xml:space="preserve">https://base-donnees-publique.medicaments.gouv.fr/index.php?page=1&amp;choixRecherche=medicament&amp;txtCaracteres=Hypnomidate&amp;action=show</t>
  </si>
  <si>
    <t xml:space="preserve">French register shows the product and holder (France). For the other countries: Article 57 file: filter "Active substance" contains "etomidate" and "Marketing authorisation holder" contains "Piramal" → "Product authorisation country"</t>
  </si>
  <si>
    <t xml:space="preserve">Hypnomidate – Piramal Critical Care South Africa (Pty) Ltd</t>
  </si>
  <si>
    <t xml:space="preserve">https://medicineprices.org.za/#search:hypnomidate</t>
  </si>
  <si>
    <t xml:space="preserve">Article 57 file: filter "Active substance" contains "fentanyl" and "Marketing authorisation holder" contains "Piramal" → country "United Kingdom (Northern Ireland)"</t>
  </si>
  <si>
    <t xml:space="preserve">EU/EEA (16): Germany, France, Netherlands, Belgium, Austria, Croatia, Czech Republic, Denmark, Finland, Iceland, Ireland, Italy, Luxembourg, Norway, Portugal, Sweden</t>
  </si>
  <si>
    <t xml:space="preserve">https://base-donnees-publique.medicaments.gouv.fr/index.php?page=1&amp;choixRecherche=medicament&amp;txtCaracteres=Fentanyl%20Piramal&amp;action=show</t>
  </si>
  <si>
    <t xml:space="preserve">French register shows the product and holder (France). For the other countries: Article 57 file: filter "Active substance" contains "fentanyl" and "Marketing authorisation holder" contains "Piramal" → "Product authorisation country"</t>
  </si>
  <si>
    <t xml:space="preserve">Piramal Critical Care B.V.</t>
  </si>
  <si>
    <t xml:space="preserve">Article 57 file: filter "Active substance" contains "remifentanil" and "Marketing authorisation holder" contains "Piramal" → "Product authorisation country"</t>
  </si>
  <si>
    <t xml:space="preserve">SUGAMMADEX 100 MG/ ML SOLUTION FOR INJECTION – PIRAMAL CRITICAL CARE LIMITED</t>
  </si>
  <si>
    <t xml:space="preserve">https://mhraproducts4853.blob.core.windows.net/docs/65c89059d784c50dab28071e95ac40d97f54368d</t>
  </si>
  <si>
    <t xml:space="preserve">https://www.ema.europa.eu/en/medicines/human/EPAR/sugammadex-piramal</t>
  </si>
  <si>
    <t xml:space="preserve">EU-wide (central) authorisation also covers Northern Ireland; page shows the product and the holder. Or: Article 57 file: filter "Active substance" contains "sugammadex" and "Marketing authorisation holder" contains "Piramal" → country "United Kingdom (Northern Ireland)"</t>
  </si>
  <si>
    <t xml:space="preserve">Page shows the EU-wide (central) authorisation – valid in all EU/EEA countries – and the holder. Article 57 file: filter "Active substance" contains "sugammadex" and "Marketing authorisation holder" contains "Piramal" → "Product authorisation country"</t>
  </si>
  <si>
    <t xml:space="preserve">BINDOZEF INJECTION 1g cefepime (as hydrochloride) 1 g powder for injection vial – Strides Pharma Science Pty Ltd</t>
  </si>
  <si>
    <t xml:space="preserve">https://www.healthdirect.gov.au/medicines/brand/amt%2C888961000168107/bindozef</t>
  </si>
  <si>
    <t xml:space="preserve">ZETAF 2g ceftazidime (as pentahydrate) 2g powder for injection vial – Strides Pharma Science Pty Ltd</t>
  </si>
  <si>
    <t xml:space="preserve">https://www.healthdirect.gov.au/medicines/brand/amt%2C933507581000036107/zetaf</t>
  </si>
  <si>
    <t xml:space="preserve">CORTAJECT 100 mg – Strides S.A. Pharmaceuticals (Pty) Ltd</t>
  </si>
  <si>
    <t xml:space="preserve">MEROPENEM 500MG POWDER FOR SOLUTION FOR INJECTION OR INFUSION – STRIDES PHARMA UK LIMITED</t>
  </si>
  <si>
    <t xml:space="preserve">Strides Pharma Uk Limited</t>
  </si>
  <si>
    <t xml:space="preserve">Article 57 file: filter "Active substance" contains "meropenem" and "Marketing authorisation holder" contains "Strides" → country "United Kingdom (Northern Ireland)"</t>
  </si>
  <si>
    <t xml:space="preserve">AURO PIPTAZ 2 g/0.25 g piperacillin 2g (as sodium) and tazobactam 250mg (as sodium) powder for injection vial – Strides Pharma Science Pty Ltd</t>
  </si>
  <si>
    <t xml:space="preserve">https://www.healthdirect.gov.au/medicines/brand/amt%2C933703631000036101/piptaz-2-g-0.25-g-auro</t>
  </si>
  <si>
    <t xml:space="preserve">ARIPIPRAZOLE 300 MG POWDER AND SOLVENT FOR PROLONGED-RELEASE SUSPENSION FOR INJECTION – SUN PHARMA UK LIMITED</t>
  </si>
  <si>
    <t xml:space="preserve">https://mhraproducts4853.blob.core.windows.net/docs/3f1e00ed4b97700f12503d40822ed0706e54eaed</t>
  </si>
  <si>
    <t xml:space="preserve">ARIPENA aripiprazole 300 mg powder and diluent for prolonged release suspension for injection vial kit – Sun Pharma ANZ Pty Ltd</t>
  </si>
  <si>
    <t xml:space="preserve">https://www.ebs.tga.gov.au/ebs/picmi/picmirepository.nsf/pdf?OpenAgent&amp;id=CP-2025-PI-01168-1</t>
  </si>
  <si>
    <t xml:space="preserve">BORTEZOMIB SUN 3.5 MG POWDER FOR SOLUTION FOR INJECTION – SUN PHARMACEUTICAL INDUSTRIES EUROPE BV</t>
  </si>
  <si>
    <t xml:space="preserve">https://mhraproducts4853.blob.core.windows.net/docs/300ac5b7309146ded231acf96131c8ba8ea5dc2e</t>
  </si>
  <si>
    <t xml:space="preserve">Sun Pharmaceutical Industries Europe B.V.</t>
  </si>
  <si>
    <t xml:space="preserve">https://www.ema.europa.eu/en/medicines/human/EPAR/bortezomib-sun</t>
  </si>
  <si>
    <t xml:space="preserve">EU-wide (central) authorisation also covers Northern Ireland; page shows the product and the holder. Or: Article 57 file: filter "Active substance" contains "bortezomib" and "Marketing authorisation holder" contains "Sun Pharm" → country "United Kingdom (Northern Ireland)"</t>
  </si>
  <si>
    <t xml:space="preserve">TARO-BORTEZOMIB – TARO PHARMACEUTICALS INC</t>
  </si>
  <si>
    <t xml:space="preserve">https://pdf.hres.ca/dpd_pm/00067579.PDF</t>
  </si>
  <si>
    <t xml:space="preserve">Page shows the EU-wide (central) authorisation – valid in all EU/EEA countries – and the holder. Article 57 file: filter "Active substance" contains "bortezomib" and "Marketing authorisation holder" contains "Sun Pharm" → "Product authorisation country"</t>
  </si>
  <si>
    <t xml:space="preserve">BOTIGEN 3,5 – Ranbaxy Pharmaceuticals (Pty) Ltd</t>
  </si>
  <si>
    <t xml:space="preserve">https://pi-pil-repository.sahpra.org.za/wp-content/uploads/2026/02/Botigen-pil.pdf</t>
  </si>
  <si>
    <t xml:space="preserve">CHLOROTHIAZIDE SODIUM – SUN PHARMACEUTICAL INDUSTRIES LTD</t>
  </si>
  <si>
    <t xml:space="preserve">DOXORUBICIN HYDROCHLORIDE – SUN PHARMACEUTICAL INDUSTRIES LTD</t>
  </si>
  <si>
    <t xml:space="preserve">https://dailymed.nlm.nih.gov/dailymed/drugInfo.cfm?setid=6bcde92b-e584-4919-866a-68847ea201ba</t>
  </si>
  <si>
    <t xml:space="preserve">Article 57 file: filter "Active substance" contains "doxorubicin" and "Marketing authorisation holder" contains "Sun Pharm" → country "United Kingdom (Northern Ireland)"</t>
  </si>
  <si>
    <t xml:space="preserve">Sun Pharmaceutical Industries Europe B.V. ; Sun Pharmaceuticals Germany Gmbh</t>
  </si>
  <si>
    <t xml:space="preserve">Article 57 file: filter "Active substance" contains "esomeprazole" and "Marketing authorisation holder" contains "Sun Pharm" → country "United Kingdom (Northern Ireland)"</t>
  </si>
  <si>
    <t xml:space="preserve">EU/EEA (8): Germany, France, Netherlands, Denmark, Italy, Poland, Romania, Sweden</t>
  </si>
  <si>
    <t xml:space="preserve">https://base-donnees-publique.medicaments.gouv.fr/index.php?page=1&amp;choixRecherche=medicament&amp;txtCaracteres=Esomeprazole%20Sun&amp;action=show</t>
  </si>
  <si>
    <t xml:space="preserve">French register shows the product and holder (France). For the other countries: Article 57 file: filter "Active substance" contains "esomeprazole" and "Marketing authorisation holder" contains "Sun Pharm" → "Product authorisation country"</t>
  </si>
  <si>
    <t xml:space="preserve">ESOMEPRAZOLE SUN esomeprazole sodium 40mg powder for injection glass vial – Sun Pharma ANZ Pty Ltd</t>
  </si>
  <si>
    <t xml:space="preserve">https://www.safetyandquality.gov.au/medicine-finder/esomeprazole-sun</t>
  </si>
  <si>
    <t xml:space="preserve">FULVESTRANT SUN 250 MG SOLUTION FOR INJECTION IN PRE-FILLED SYRINGE – SUN PHARMACEUTICAL INDUSTRIES EUROPE BV</t>
  </si>
  <si>
    <t xml:space="preserve">https://mhraproducts4853.blob.core.windows.net/docs/aecc2774280857fc21e451486124f7b54d8cd890</t>
  </si>
  <si>
    <t xml:space="preserve">Article 57 file: filter "Active substance" contains "fulvestrant" and "Marketing authorisation holder" contains "Sun Pharm" → country "United Kingdom (Northern Ireland)"</t>
  </si>
  <si>
    <t xml:space="preserve">EU/EEA (5): Netherlands, Poland, Romania, Spain, Sweden</t>
  </si>
  <si>
    <t xml:space="preserve">Article 57 file: filter "Active substance" contains "fulvestrant" and "Marketing authorisation holder" contains "Sun Pharm" → "Product authorisation country"</t>
  </si>
  <si>
    <t xml:space="preserve">Article 57 file: filter "Active substance" contains "melphalan" and "Marketing authorisation holder" contains "Sun Pharm" → country "United Kingdom (Northern Ireland)"</t>
  </si>
  <si>
    <t xml:space="preserve">TARO-MELPHALAN – TARO PHARMACEUTICALS INC</t>
  </si>
  <si>
    <t xml:space="preserve">https://health-products.canada.ca/dpd-bdpp/info?code=97057&amp;lang=eng</t>
  </si>
  <si>
    <t xml:space="preserve">EU/EEA (7): France, Netherlands, Austria, Denmark, Italy, Norway, Sweden</t>
  </si>
  <si>
    <t xml:space="preserve">https://base-donnees-publique.medicaments.gouv.fr/index.php?page=1&amp;choixRecherche=medicament&amp;txtCaracteres=Melphalan%20Sun&amp;action=show</t>
  </si>
  <si>
    <t xml:space="preserve">French register shows the product and holder (France). For the other countries: Article 57 file: filter "Active substance" contains "melphalan" and "Marketing authorisation holder" contains "Sun Pharm" → "Product authorisation country"</t>
  </si>
  <si>
    <t xml:space="preserve">MEROPENEM 500MG POWDER FOR SOLUTION FOR INJECTION OR INFUSION – SUN PHARMA UK LIMITED</t>
  </si>
  <si>
    <t xml:space="preserve">Basics Gmbh ; Ranbaxy Poland Sp. Zo.O ; Sun Pharma Uk Limited ; Sun Pharmaceutical Industries Europe B.V. ; Terapia S.A.</t>
  </si>
  <si>
    <t xml:space="preserve">Article 57 file: filter "Active substance" contains "meropenem" and "Marketing authorisation holder" contains "Sun Pharm" or "Basics" or "Ranbaxy" or "Terapia" → country "United Kingdom (Northern Ireland)"</t>
  </si>
  <si>
    <t xml:space="preserve">TARO-MEROPENEM – SUN PHARMA CANADA INC</t>
  </si>
  <si>
    <t xml:space="preserve">https://health-products.canada.ca/dpd-bdpp/info?code=90612&amp;lang=eng</t>
  </si>
  <si>
    <t xml:space="preserve">EU/EEA (13): Germany, Netherlands, Denmark, Estonia, Finland, Iceland, Latvia, Lithuania, Norway, Poland, Romania, Spain, Sweden</t>
  </si>
  <si>
    <t xml:space="preserve">Article 57 file: filter "Active substance" contains "meropenem" and "Marketing authorisation holder" contains "Sun Pharm" or "Basics" or "Ranbaxy" or "Terapia" → "Product authorisation country"</t>
  </si>
  <si>
    <t xml:space="preserve">MEROPENEM RANBAXY meropenem (as trihydrate) 1g powder for injection vial – Sun Pharma ANZ Pty Ltd</t>
  </si>
  <si>
    <t xml:space="preserve">https://www.tga.gov.au/resources/artg/167024</t>
  </si>
  <si>
    <t xml:space="preserve">Mercide 1 g – Ranbaxy Pharmaceuticals (Pty) Ltd</t>
  </si>
  <si>
    <t xml:space="preserve">https://medsinfoportal.sahpra.org.za/pil/0d412c0ea487c6e954a1603a1de0815a.pdf</t>
  </si>
  <si>
    <t xml:space="preserve">Article 57 file: filter "Active substance" contains "octreotide" and "Marketing authorisation holder" contains "Sun Pharm" → country "United Kingdom (Northern Ireland)"</t>
  </si>
  <si>
    <t xml:space="preserve">EU/EEA (5): Germany, Denmark, Italy, Spain, Sweden</t>
  </si>
  <si>
    <t xml:space="preserve">Article 57 file: filter "Active substance" contains "octreotide" and "Marketing authorisation holder" contains "Sun Pharm" → "Product authorisation country"</t>
  </si>
  <si>
    <t xml:space="preserve">OCTREOTIDE SUN octreotide (as acetate) 500 microgram/1 mL solution for injection ampoule – Sun Pharma ANZ Pty Ltd</t>
  </si>
  <si>
    <t xml:space="preserve">https://www.ebs.tga.gov.au/servlet/xmlmillr6?dbid=ebs/PublicHTML/pdfStore.nsf&amp;docid=311224&amp;agid=(PrintDetailsPublic)&amp;actionid=1</t>
  </si>
  <si>
    <t xml:space="preserve">PANTOPRAZOLE 40 MG POWDER FOR SOLUTION FOR INJECTION/INFUSION – SUN PHARMACEUTICAL INDUSTRIES EUROPE BV</t>
  </si>
  <si>
    <t xml:space="preserve">Sun Pharma Italia S.R.L. ; Sun Pharmaceutical Industries Europe B.V. ; Sun Pharmaceuticals Germany Gmbh</t>
  </si>
  <si>
    <t xml:space="preserve">Article 57 file: filter "Active substance" contains "pantoprazole" and "Marketing authorisation holder" contains "Sun Pharm" → country "United Kingdom (Northern Ireland)"</t>
  </si>
  <si>
    <t xml:space="preserve">EU/EEA (12): Germany, France, Netherlands, Belgium, Austria, Denmark, Finland, Italy, Norway, Poland, Romania, Sweden</t>
  </si>
  <si>
    <t xml:space="preserve">https://base-donnees-publique.medicaments.gouv.fr/index.php?page=1&amp;choixRecherche=medicament&amp;txtCaracteres=Pantoprazole%20Sun&amp;action=show</t>
  </si>
  <si>
    <t xml:space="preserve">French register shows the product and holder (France). For the other countries: Article 57 file: filter "Active substance" contains "pantoprazole" and "Marketing authorisation holder" contains "Sun Pharm" → "Product authorisation country"</t>
  </si>
  <si>
    <t xml:space="preserve">Article 57 file: filter "Active substance" contains "paricalcitol" and "Marketing authorisation holder" contains "Sun Pharm" → "Product authorisation country"</t>
  </si>
  <si>
    <t xml:space="preserve">SUGAMMADEX SODIUM – SUN PHARMACEUTICAL INDUSTRIES INC</t>
  </si>
  <si>
    <t xml:space="preserve">SUGAMMADEX SUN 100 MG/ML SOLUTION FOR INJECTION – SUN PHARMA UK LIMITED</t>
  </si>
  <si>
    <t xml:space="preserve">Ranbaxy Poland Sp. Zo.O ; Sun Pharma Uk Limited ; Sun Pharmaceutical Industries Europe B.V. ; Terapia S.A.</t>
  </si>
  <si>
    <t xml:space="preserve">Article 57 file: filter "Active substance" contains "sugammadex" and "Marketing authorisation holder" contains "Sun Pharm" or "Ranbaxy" or "Terapia" → country "United Kingdom (Northern Ireland)"</t>
  </si>
  <si>
    <t xml:space="preserve">EU/EEA (3): Netherlands, Poland, Romania</t>
  </si>
  <si>
    <t xml:space="preserve">Article 57 file: filter "Active substance" contains "sugammadex" and "Marketing authorisation holder" contains "Sun Pharm" or "Ranbaxy" or "Terapia" → "Product authorisation country"</t>
  </si>
  <si>
    <t xml:space="preserve">SUMABID 100 IV – Ranbaxy Pharmaceuticals (Pty) Ltd</t>
  </si>
  <si>
    <t xml:space="preserve">https://pi-pil-repository.sahpra.org.za/wp-content/uploads/2022/08/Final_PIL_Sumabid_Applicant.pdf</t>
  </si>
  <si>
    <t xml:space="preserve">TEICOPLANIN 400 MG POWDER FOR SOLUTION FOR INJECTION/INFUSION OR ORAL SOLUTION – SUN PHARMA UK LIMITED</t>
  </si>
  <si>
    <t xml:space="preserve">https://mhraproducts4853.blob.core.windows.net/docs/bb7e0f317f1d83fcc56a50c2ee7913094c687d19</t>
  </si>
  <si>
    <t xml:space="preserve">Sun Pharma Uk Limited ; Sun Pharmaceutical Industries Europe B.V.</t>
  </si>
  <si>
    <t xml:space="preserve">Article 57 file: filter "Active substance" contains "teicoplanin" and "Marketing authorisation holder" contains "Sun Pharm" → country "United Kingdom (Northern Ireland)"</t>
  </si>
  <si>
    <t xml:space="preserve">EU/EEA (2): Netherlands, Italy</t>
  </si>
  <si>
    <t xml:space="preserve">Article 57 file: filter "Active substance" contains "teicoplanin" and "Marketing authorisation holder" contains "Sun Pharm" → "Product authorisation country"</t>
  </si>
  <si>
    <t xml:space="preserve">TERLIPRESSIN ACETATE SUN 0.12 MG/ML SOLUTION FOR INJECTION – SUN PHARMACEUTICAL INDUSTRIES EUROPE BV</t>
  </si>
  <si>
    <t xml:space="preserve">Article 57 file: filter "Active substance" contains "terlipressin" and "Marketing authorisation holder" contains "Sun Pharm" → country "United Kingdom (Northern Ireland)"</t>
  </si>
  <si>
    <t xml:space="preserve">EU/EEA (9): Germany, France, Netherlands, Denmark, Finland, Italy, Poland, Spain, Sweden</t>
  </si>
  <si>
    <t xml:space="preserve">https://base-donnees-publique.medicaments.gouv.fr/index.php?page=1&amp;choixRecherche=medicament&amp;txtCaracteres=Terlipressine%20Sun&amp;action=show</t>
  </si>
  <si>
    <t xml:space="preserve">French register shows the product and holder (France). For the other countries: Article 57 file: filter "Active substance" contains "terlipressin" and "Marketing authorisation holder" contains "Sun Pharm" → "Product authorisation country"</t>
  </si>
  <si>
    <t xml:space="preserve">TARO-TESTOSTERONE CYPIONATE INJECTION – TARO PHARMACEUTICALS INC</t>
  </si>
  <si>
    <t xml:space="preserve">https://health-products.canada.ca/dpd-bdpp/info?code=98589&amp;lang=eng</t>
  </si>
  <si>
    <t xml:space="preserve">TESTOSTERONE 1000 MG/4 ML SOLUTION FOR INJECTION – SUN PHARMA UK LIMITED</t>
  </si>
  <si>
    <t xml:space="preserve">https://mhraproducts4853.blob.core.windows.net/docs/f8741f99ca6de4849059aed1dc8b234fa8b588e0</t>
  </si>
  <si>
    <t xml:space="preserve">EU/EEA (10): Germany, France, Netherlands, Finland, Hungary, Italy, Norway, Slovakia, Spain, Sweden</t>
  </si>
  <si>
    <t xml:space="preserve">Basics Gmbh ; Sun Pharmaceutical Industries Europe B.V.</t>
  </si>
  <si>
    <t xml:space="preserve">https://base-donnees-publique.medicaments.gouv.fr/index.php?page=1&amp;choixRecherche=medicament&amp;txtCaracteres=Undecanoate&amp;action=show</t>
  </si>
  <si>
    <t xml:space="preserve">French register shows the product and holder (France). For the other countries: Article 57 file: filter "Active substance" contains "testosterone undecanoate" and "Marketing authorisation holder" contains "Sun Pharm" or "Basics" → "Product authorisation country"</t>
  </si>
  <si>
    <t xml:space="preserve">TESTOSTERONE SUN testosterone undecanoate 1000 mg/4 mL oily solution for injection vial – Sun Pharma ANZ Pty Ltd</t>
  </si>
  <si>
    <t xml:space="preserve">https://www.tga.gov.au/resources/artg/414397</t>
  </si>
  <si>
    <t xml:space="preserve">VECURONIUM SUN 10 MG POWDER FOR SOLUTION FOR INJECTION/INFUSION – SUN PHARMACEUTICAL INDUSTRIES EUROPE BV</t>
  </si>
  <si>
    <t xml:space="preserve">https://mhraproducts4853.blob.core.windows.net/docs/f13255972d04925e4d0ad2e36748738836fae19e</t>
  </si>
  <si>
    <t xml:space="preserve">Article 57 file: filter "Active substance" contains "vecuronium" and "Marketing authorisation holder" contains "Sun Pharm" → country "United Kingdom (Northern Ireland)"</t>
  </si>
  <si>
    <t xml:space="preserve">Article 57 file: filter "Active substance" contains "vecuronium" and "Marketing authorisation holder" contains "Sun Pharm" → "Product authorisation country"</t>
  </si>
  <si>
    <t xml:space="preserve">VECURONIUM SUN vecuronium bromide 10mg powder for injection glass vial – Sun Pharma ANZ Pty Ltd</t>
  </si>
  <si>
    <t xml:space="preserve">https://www.healthdirect.gov.au/medicines/brand/amt%2C1305051000168103/vecuronium-sun</t>
  </si>
  <si>
    <t xml:space="preserve">Muscuron – Ranbaxy Pharmaceuticals (Pty) Ltd</t>
  </si>
  <si>
    <t xml:space="preserve">https://pi-pil-repository.sahpra.org.za/wp-content/uploads/2024/01/2024-01-08-Muscuron-approved-pil.pdf</t>
  </si>
  <si>
    <t xml:space="preserve">Heumann Pharma Gmbh &amp; Co. Generica Kg</t>
  </si>
  <si>
    <t xml:space="preserve">Article 57 file: filter "Active substance" contains "fulvestrant" and "Marketing authorisation holder" contains "Heumann" → "Product authorisation country"</t>
  </si>
  <si>
    <t xml:space="preserve">GRANISETRON 3MG/3ML CONCENTRATE FOR SOLUTION FOR INFUSION OR INJECTION – TORRENT PHARMA (UK) LTD</t>
  </si>
  <si>
    <t xml:space="preserve">https://mhraproducts4853.blob.core.windows.net/docs/e257ce9e9b4060c3c4a0c73cd7f61f9b6423679a</t>
  </si>
  <si>
    <t xml:space="preserve">Torrent Pharma (Uk) Ltd.</t>
  </si>
  <si>
    <t xml:space="preserve">Article 57 file: filter "Active substance" contains "granisetron" and "Marketing authorisation holder" contains "Torrent" → country "United Kingdom (Northern Ireland)"</t>
  </si>
  <si>
    <t xml:space="preserve">Article 57 file: filter "Active substance" contains "levetiracetam" and "Marketing authorisation holder" contains "Heumann" → "Product authorisation country"</t>
  </si>
  <si>
    <t xml:space="preserve">Article 57 file: filter "Active substance" contains "meropenem" and "Marketing authorisation holder" contains "Heumann" → "Product authorisation country"</t>
  </si>
  <si>
    <t xml:space="preserve">Article 57 file: filter "Active substance" contains "paliperidone" and "Marketing authorisation holder" contains "Heumann" → "Product authorisation country"</t>
  </si>
  <si>
    <t xml:space="preserve">ROCURONIUM 50 IV BIOTECH – Biotech Laboratories (Pty) Ltd</t>
  </si>
  <si>
    <t xml:space="preserve">https://medicineprices.org.za/#search:rocuronium</t>
  </si>
  <si>
    <t xml:space="preserve">Article 57 file: filter "Active substance" contains "voriconazole" and "Marketing authorisation holder" contains "Heumann" → "Product authorisation country"</t>
  </si>
  <si>
    <t xml:space="preserve">BLEOMYCIN VENUS PHARMA 15,000 IU POWDER FOR SOLUTION FOR INJECTION / INFUSION – VENUS PHARMA GMBH</t>
  </si>
  <si>
    <t xml:space="preserve">https://mhraproducts4853.blob.core.windows.net/docs/bb8555ee31d8ac21ce7ea2481563ab908752699c</t>
  </si>
  <si>
    <t xml:space="preserve">CEFTAZIDIME VENUS PHARMA 2 G POWDER FOR SOLUTION FOR INJECTION/INFUSION – VENUS PHARMA GMBH</t>
  </si>
  <si>
    <t xml:space="preserve">CEFTRIAXONE 2G POWDER FOR SOLUTION FOR INJECTION OR INFUSION – VENUS PHARMA GMBH</t>
  </si>
  <si>
    <t xml:space="preserve">https://mhraproducts4853.blob.core.windows.net/docs/620992012871d9e5a72bdb1e861678d5901cf630</t>
  </si>
  <si>
    <t xml:space="preserve">MEROPENEM VENUS PHARMA 500 MG POWDER FOR SOLUTION FOR INJECTION/INFUSION – VENUS PHARMA GMBH</t>
  </si>
  <si>
    <t xml:space="preserve">https://mhraproducts4853.blob.core.windows.net/docs/acbc6e7bb34bb7ce66320f7e651ff6f476c3ade3</t>
  </si>
  <si>
    <t xml:space="preserve">Venus Pharma Gmbh</t>
  </si>
  <si>
    <t xml:space="preserve">Article 57 file: filter "Active substance" contains "meropenem" and "Marketing authorisation holder" contains "Venus" → country "United Kingdom (Northern Ireland)"</t>
  </si>
  <si>
    <t xml:space="preserve">EU/EEA (8): Germany, France, Netherlands, Belgium, Cyprus, Ireland, Italy, Spain</t>
  </si>
  <si>
    <t xml:space="preserve">https://base-donnees-publique.medicaments.gouv.fr/index.php?page=1&amp;choixRecherche=medicament&amp;txtCaracteres=Meropenem%20Venus&amp;action=show</t>
  </si>
  <si>
    <t xml:space="preserve">French register shows the product and holder (France). For the other countries: Article 57 file: filter "Active substance" contains "meropenem" and "Marketing authorisation holder" contains "Venus" → "Product authorisation country"</t>
  </si>
  <si>
    <t xml:space="preserve">ADENOSINE 3MG/ML SOLUTION FOR INJECTION – WOCKHARDT UK LIMITED</t>
  </si>
  <si>
    <t xml:space="preserve">https://mhraproducts4853.blob.core.windows.net/docs/ce49908fa961f98a13c36c78620a967d33be1b8b</t>
  </si>
  <si>
    <t xml:space="preserve">Wockhardt Uk Ltd</t>
  </si>
  <si>
    <t xml:space="preserve">Article 57 file: filter "Active substance" contains "adenosine" and "Marketing authorisation holder" contains "Wockhardt" → country "United Kingdom (Northern Ireland)"</t>
  </si>
  <si>
    <t xml:space="preserve">AMIKACIN WOCKHARDT amikacin (as sulfate) 500mg/2mL solution for injection infusion vial – Wockhardt Bio Pty Ltd</t>
  </si>
  <si>
    <t xml:space="preserve">https://www.ebs.tga.gov.au/ebs/picmi/picmirepository.nsf/pdf?OpenAgent&amp;id=CP-2018-PI-01293-1</t>
  </si>
  <si>
    <t xml:space="preserve">CAFFEINE CITRATE 10MG/ML SOLUTION FOR INJECTION – WOCKHARDT UK LIMITED</t>
  </si>
  <si>
    <t xml:space="preserve">https://mhraproducts4853.blob.core.windows.net/docs/eadef0847539ae80277f0273fc908c29f79089c5</t>
  </si>
  <si>
    <t xml:space="preserve">Article 57 file: filter "Active substance" contains "caffeine" and "Marketing authorisation holder" contains "Wockhardt" → country "United Kingdom (Northern Ireland)"</t>
  </si>
  <si>
    <t xml:space="preserve">CEFTAZIDIME 2G POWDER FOR SOLUTION FOR INJECTION OR INFUSION – WOCKHARDT UK LIMITED</t>
  </si>
  <si>
    <t xml:space="preserve">Pinewood Laboratories Limited ; Wockhardt Uk Ltd</t>
  </si>
  <si>
    <t xml:space="preserve">Article 57 file: filter "Active substance" contains "ceftazidime" and "Marketing authorisation holder" contains "Wockhardt" or "Pinewood" → country "United Kingdom (Northern Ireland)"</t>
  </si>
  <si>
    <t xml:space="preserve">EU/EEA (2): Ireland, Malta</t>
  </si>
  <si>
    <t xml:space="preserve">Article 57 file: filter "Active substance" contains "ceftazidime" and "Marketing authorisation holder" contains "Wockhardt" or "Pinewood" → "Product authorisation country"</t>
  </si>
  <si>
    <t xml:space="preserve">CEFTRIAXONE – WOCKHARDT BIO AG</t>
  </si>
  <si>
    <t xml:space="preserve">https://dailymed.nlm.nih.gov/dailymed/drugInfo.cfm?setid=3b36beb7-db94-4b07-8c81-bd2b601a6601</t>
  </si>
  <si>
    <t xml:space="preserve">CEFTRIAXONE 2G POWDER FOR SOLUTION FOR INJECTION/INFUSION – WOCKHARDT UK LIMITED</t>
  </si>
  <si>
    <t xml:space="preserve">Article 57 file: filter "Active substance" contains "ceftriaxone" and "Marketing authorisation holder" contains "Wockhardt" or "Pinewood" → country "United Kingdom (Northern Ireland)"</t>
  </si>
  <si>
    <t xml:space="preserve">Article 57 file: filter "Active substance" contains "ceftriaxone" and "Marketing authorisation holder" contains "Wockhardt" or "Pinewood" → "Product authorisation country"</t>
  </si>
  <si>
    <t xml:space="preserve">CHLORPHENAMINE 10MG/ML SOLUTION FOR INJECTION – WOCKHARDT UK LIMITED</t>
  </si>
  <si>
    <t xml:space="preserve">https://mhraproducts4853.blob.core.windows.net/docs/f4594f4c3cc23114acb072e65ac513664e1ab8d4</t>
  </si>
  <si>
    <t xml:space="preserve">Article 57 file: filter "Active substance" contains "chlorphenamine" and "Marketing authorisation holder" contains "Wockhardt" → country "United Kingdom (Northern Ireland)"</t>
  </si>
  <si>
    <t xml:space="preserve">DAPTOMYCIN 350 MG POWDER FOR SOLUTION FOR INJECTION OR INFUSION – WOCKHARDT UK LIMITED</t>
  </si>
  <si>
    <t xml:space="preserve">Article 57 file: filter "Active substance" contains "daptomycin" and "Marketing authorisation holder" contains "Wockhardt" → country "United Kingdom (Northern Ireland)"</t>
  </si>
  <si>
    <t xml:space="preserve">DAPTOMYCIN WKT daptomycin 500 mg powder for injection vial – Wockhardt Bio Pty Ltd</t>
  </si>
  <si>
    <t xml:space="preserve">https://www.ebs.tga.gov.au/ebs/picmi/picmirepository.nsf/pdf?OpenAgent&amp;id=CP-2023-PI-01384-1</t>
  </si>
  <si>
    <t xml:space="preserve">HALOPERIDOL 5MG/ML SOLUTION FOR INJECTION – WOCKHARDT UK LIMITED</t>
  </si>
  <si>
    <t xml:space="preserve">https://mhraproducts4853.blob.core.windows.net/docs/c39d08ff0acc6dc6d5b1523ab09699a21e4f0137</t>
  </si>
  <si>
    <t xml:space="preserve">Article 57 file: filter "Active substance" contains "haloperidol" and "Marketing authorisation holder" contains "Wockhardt" → country "United Kingdom (Northern Ireland)"</t>
  </si>
  <si>
    <t xml:space="preserve">Article 57 file: filter "Active substance" contains "hyaluronidase" and "Marketing authorisation holder" contains "Wockhardt" or "Pinewood" → country "United Kingdom (Northern Ireland)"</t>
  </si>
  <si>
    <t xml:space="preserve">Article 57 file: filter "Active substance" contains "hyaluronidase" and "Marketing authorisation holder" contains "Wockhardt" or "Pinewood" → "Product authorisation country"</t>
  </si>
  <si>
    <t xml:space="preserve">HYOSCINE HYDROBROMIDE 600 MCG/ML SOLUTION FOR INJECTION – WOCKHARDT UK LIMITED</t>
  </si>
  <si>
    <t xml:space="preserve">https://products.mhra.gov.uk/search/?search=hyoscine</t>
  </si>
  <si>
    <t xml:space="preserve">Article 57 file: filter "Active substance" contains "hyoscine hydrobromide" and "Marketing authorisation holder" contains "Wockhardt" → country "United Kingdom (Northern Ireland)"</t>
  </si>
  <si>
    <t xml:space="preserve">Article 57 file: filter "Active substance" contains "metaraminol" and "Marketing authorisation holder" contains "Wockhardt" → country "United Kingdom (Northern Ireland)"</t>
  </si>
  <si>
    <t xml:space="preserve">METARAMINOL WOCKHARDT metaraminol (as tartrate) 5mg in 10mL solution for injection ampoule – Wockhardt Bio Pty Ltd</t>
  </si>
  <si>
    <t xml:space="preserve">https://www.ebs.tga.gov.au/ebs/picmi/picmirepository.nsf/pdf?OpenAgent&amp;id=CP-2023-PI-01637-1</t>
  </si>
  <si>
    <t xml:space="preserve">MILRINONE 1MG/ML SOLUTION FOR INJECTION/INFUSION – WOCKHARDT UK LIMITED</t>
  </si>
  <si>
    <t xml:space="preserve">https://mhraproducts4853.blob.core.windows.net/docs/8d4555c20d185d4c32c594d228e76e53b76b0650</t>
  </si>
  <si>
    <t xml:space="preserve">Article 57 file: filter "Active substance" contains "milrinone" and "Marketing authorisation holder" contains "Wockhardt" or "Pinewood" → country "United Kingdom (Northern Ireland)"</t>
  </si>
  <si>
    <t xml:space="preserve">Article 57 file: filter "Active substance" contains "milrinone" and "Marketing authorisation holder" contains "Wockhardt" or "Pinewood" → "Product authorisation country"</t>
  </si>
  <si>
    <t xml:space="preserve">MORPHINE SULFATE 30MG/ML SOLUTION FOR INJECTION – WOCKHARDT UK LIMITED</t>
  </si>
  <si>
    <t xml:space="preserve">https://products.mhra.gov.uk/search/?search=morphine</t>
  </si>
  <si>
    <t xml:space="preserve">Article 57 file: filter "Active substance" contains "morphine" and "Marketing authorisation holder" contains "Wockhardt" → country "United Kingdom (Northern Ireland)"</t>
  </si>
  <si>
    <t xml:space="preserve">Article 57 file: filter "Active substance" contains "ondansetron" and "Marketing authorisation holder" contains "Wockhardt" → country "United Kingdom (Northern Ireland)"</t>
  </si>
  <si>
    <t xml:space="preserve">OXACILLIN SODIUM – WOCKHARDT BIO AG</t>
  </si>
  <si>
    <t xml:space="preserve">https://dailymed.nlm.nih.gov/dailymed/search.cfm?searchdb=ndc&amp;query=64679-698</t>
  </si>
  <si>
    <t xml:space="preserve">PROTAMINE SULFATE 10MG/ML SOLUTION FOR INJECTION – WOCKHARDT UK LIMITED</t>
  </si>
  <si>
    <t xml:space="preserve">Article 57 file: filter "Active substance" contains "protamine" and "Marketing authorisation holder" contains "Wockhardt" → country "United Kingdom (Northern Ireland)"</t>
  </si>
  <si>
    <t xml:space="preserve">REMIFENTANIL 5MG POWDER FOR CONCENTRATE FOR SOLUTION FOR INJECTION OR INFUSION – WOCKHARDT UK LIMITED</t>
  </si>
  <si>
    <t xml:space="preserve">Article 57 file: filter "Active substance" contains "remifentanil" and "Marketing authorisation holder" contains "Wockhardt" → country "United Kingdom (Northern Ireland)"</t>
  </si>
  <si>
    <t xml:space="preserve">SODIUM VALPROATE 100MG/ML SOLUTION FOR INJECTION OR INFUSION – WOCKHARDT UK LIMITED</t>
  </si>
  <si>
    <t xml:space="preserve">Article 57 file: filter "Active substance" contains "valpro" and "Marketing authorisation holder" contains "Wockhardt" → country "United Kingdom (Northern Ireland)"</t>
  </si>
  <si>
    <t xml:space="preserve">SODIUM VALPROATE WOCKHARDT sodium valproate 400 mg/4 mL solution for injection ampoule – Wockhardt Bio Pty Ltd</t>
  </si>
  <si>
    <t xml:space="preserve">https://www.tga.gov.au/resources/artg/279248</t>
  </si>
  <si>
    <t xml:space="preserve">SUGAMMADEX 100 MG/ML SOLUTION FOR INJECTION – WOCKHARDT UK LIMITED</t>
  </si>
  <si>
    <t xml:space="preserve">Article 57 file: filter "Active substance" contains "sugammadex" and "Marketing authorisation holder" contains "Wockhardt" → country "United Kingdom (Northern Ireland)"</t>
  </si>
  <si>
    <t xml:space="preserve">Article 57 file: filter "Active substance" contains "vancomycin" and "Marketing authorisation holder" contains "Wockhardt" → country "United Kingdom (Northern Ireland)"</t>
  </si>
  <si>
    <t xml:space="preserve">ACETAZOLAMIDE SODIUM – ZYDUS PHARMACEUTICALS USA INC</t>
  </si>
  <si>
    <t xml:space="preserve">https://dailymed.nlm.nih.gov/dailymed/search.cfm?labeltype=all&amp;query=Acetazolamide+Sodium</t>
  </si>
  <si>
    <t xml:space="preserve">BORTEZOMIB – ZYDUS PHARMACEUTICALS USA INC</t>
  </si>
  <si>
    <t xml:space="preserve">https://dailymed.nlm.nih.gov/dailymed/drugInfo.cfm?setid=0eb8daef-18da-43bb-b7c6-38c4c8b5dd80</t>
  </si>
  <si>
    <t xml:space="preserve">BORTEZOMIB 3.5 MG POWDER FOR SOLUTION FOR INJECTION – ZYDUS PHARMACEUTICALS UK LTD</t>
  </si>
  <si>
    <t xml:space="preserve">https://mhraproducts4853.blob.core.windows.net/docs/fd1559e1fe8ad5d4484aa5c74fde8d60c48452b0</t>
  </si>
  <si>
    <t xml:space="preserve">Laboratorios Combix, S.L.U. ; Zydus France ; Zydus Pharmaceuticals Uk Limited</t>
  </si>
  <si>
    <t xml:space="preserve">Article 57 file: filter "Active substance" contains "bortezomib" and "Marketing authorisation holder" contains "Zydus" or "Combix" → country "United Kingdom (Northern Ireland)"</t>
  </si>
  <si>
    <t xml:space="preserve">EU/EEA (2): France, Spain</t>
  </si>
  <si>
    <t xml:space="preserve">Article 57 file: filter "Active substance" contains "bortezomib" and "Marketing authorisation holder" contains "Zydus" or "Combix" → "Product authorisation country"</t>
  </si>
  <si>
    <t xml:space="preserve">Zymib – Zydus Healthcare SA (Pty) Ltd</t>
  </si>
  <si>
    <t xml:space="preserve">https://pi-pil-repository.sahpra.org.za/wp-content/uploads/2025/01/1.3.2-Bortezomib-Zydus-PIL-for-repository.pdf</t>
  </si>
  <si>
    <t xml:space="preserve">Zydus France</t>
  </si>
  <si>
    <t xml:space="preserve">https://base-donnees-publique.medicaments.gouv.fr/index.php?page=1&amp;choixRecherche=medicament&amp;txtCaracteres=Ceftriaxone%20Zydus&amp;action=show</t>
  </si>
  <si>
    <t xml:space="preserve">French register shows the product and holder (France). For the other countries: Article 57 file: filter "Active substance" contains "ceftriaxone" and "Marketing authorisation holder" contains "Zydus" → "Product authorisation country"</t>
  </si>
  <si>
    <t xml:space="preserve">CHLORPROMAZINE HYDROCHLORIDE – ZYDUS PHARMACEUTICALS USA INC</t>
  </si>
  <si>
    <t xml:space="preserve">https://dailymed.nlm.nih.gov/dailymed/lookup.cfm?setid=7cd6dc0d-e98d-40ae-80d4-c15f63056abf</t>
  </si>
  <si>
    <t xml:space="preserve">CISATRACURIUM BESYLATE – ZYDUS PHARMACEUTICALS USA INC</t>
  </si>
  <si>
    <t xml:space="preserve">https://dailymed.nlm.nih.gov/dailymed/fda/fdaDrugXsl.cfm?setid=e145a40e-b046-4064-b35e-0da40ff3703e&amp;type=display</t>
  </si>
  <si>
    <t xml:space="preserve">CYANOCOBALAMIN – ZYDUS PHARMACEUTICALS USA INC</t>
  </si>
  <si>
    <t xml:space="preserve">https://dailymed.nlm.nih.gov/dailymed/drugInfo.cfm?setid=e6712877-ace0-441c-99a9-adf567c0b9a2</t>
  </si>
  <si>
    <t xml:space="preserve">ETHACRYNATE SODIUM – ZYDUS PHARMACEUTICALS USA INC</t>
  </si>
  <si>
    <t xml:space="preserve">https://dailymed.nlm.nih.gov/dailymed/search.cfm?labeltype=all&amp;query=Ethacrynate+Sodium</t>
  </si>
  <si>
    <t xml:space="preserve">ETOMIDATE – ZYDUS PHARMACEUTICALS USA INC</t>
  </si>
  <si>
    <t xml:space="preserve">https://dailymed.nlm.nih.gov/dailymed/search.cfm?labeltype=all&amp;query=Etomidate</t>
  </si>
  <si>
    <t xml:space="preserve">FLUORESCEIN SODIUM – ZYDUS LIFESCIENCES GLOBAL FZE</t>
  </si>
  <si>
    <t xml:space="preserve">https://dailymed.nlm.nih.gov/dailymed/drugInfo.cfm?setid=19aea137-3f47-4b69-9884-3bff5f79b04a</t>
  </si>
  <si>
    <t xml:space="preserve">FULVESTRANT – ZYDUS PHARMACEUTICALS USA INC</t>
  </si>
  <si>
    <t xml:space="preserve">https://dailymed.nlm.nih.gov/dailymed/drugInfo.cfm?setid=994edf79-20a5-4e3a-bb35-c4fe3e65acba</t>
  </si>
  <si>
    <t xml:space="preserve">HALOPERIDOL DECANOATE – ZYDUS PHARMACEUTICALS USA INC</t>
  </si>
  <si>
    <t xml:space="preserve">https://dailymed.nlm.nih.gov/dailymed/search.cfm?searchdb=ndc&amp;query=70710-1461</t>
  </si>
  <si>
    <t xml:space="preserve">HYDROCORTISONE SODIUM SUCCINATE – ZYDUS PHARMACEUTICALS USA INC</t>
  </si>
  <si>
    <t xml:space="preserve">https://dailymed.nlm.nih.gov/dailymed/drugInfo.cfm?setid=37534164-9de5-4bb3-9f87-341dfcf90883</t>
  </si>
  <si>
    <t xml:space="preserve">INDOCYANINE GREEN – ZYDUS LIFESCIENCES GLOBAL FZE</t>
  </si>
  <si>
    <t xml:space="preserve">https://dailymed.nlm.nih.gov/dailymed/search.cfm?labeltype=all&amp;query=Indocyanine+Green</t>
  </si>
  <si>
    <t xml:space="preserve">Zypiron 20 – Zydus Healthcare SA (Pty) Ltd</t>
  </si>
  <si>
    <t xml:space="preserve">https://medicineprices.org.za/#search:zypiron</t>
  </si>
  <si>
    <t xml:space="preserve">Zydus-Ondansetron 8 mg Injection – Zydus Healthcare SA (Pty) Ltd</t>
  </si>
  <si>
    <t xml:space="preserve">https://medicineprices.org.za/#search:zydus-ondansetron</t>
  </si>
  <si>
    <t xml:space="preserve">SUCCINYLCHOLINE CHLORIDE – ZYDUS PHARMACEUTICALS USA INC</t>
  </si>
  <si>
    <t xml:space="preserve">https://dailymed.nlm.nih.gov/dailymed/drugInfo.cfm?setid=017e5ad4-028e-4e34-ac09-d0c8d64c880a</t>
  </si>
  <si>
    <t xml:space="preserve">SUGAMMADEX SODIUM – ZYDUS PHARMACEUTICALS USA INC</t>
  </si>
  <si>
    <t xml:space="preserve">VERAPAMIL HYDROCHLORIDE – ZYDUS PHARMACEUTICALS USA INC</t>
  </si>
  <si>
    <t xml:space="preserve">https://dailymed.nlm.nih.gov/dailymed/fda/fdaDrugXsl.cfm?setid=c87c7f7e-cdf5-42c7-a831-a7515d2d51d6&amp;type=display</t>
  </si>
</sst>
</file>

<file path=xl/styles.xml><?xml version="1.0" encoding="utf-8"?>
<styleSheet xmlns="http://schemas.openxmlformats.org/spreadsheetml/2006/main">
  <numFmts count="5">
    <numFmt numFmtId="164" formatCode="General"/>
    <numFmt numFmtId="165" formatCode="General"/>
    <numFmt numFmtId="166" formatCode="#,##0.00"/>
    <numFmt numFmtId="167" formatCode="#,##0"/>
    <numFmt numFmtId="168" formatCode="0%"/>
  </numFmts>
  <fonts count="23">
    <font>
      <sz val="11"/>
      <color theme="1"/>
      <name val="Calibri"/>
      <family val="2"/>
      <charset val="1"/>
    </font>
    <font>
      <sz val="10"/>
      <name val="Arial"/>
      <family val="0"/>
    </font>
    <font>
      <sz val="10"/>
      <name val="Arial"/>
      <family val="0"/>
    </font>
    <font>
      <sz val="10"/>
      <name val="Arial"/>
      <family val="0"/>
    </font>
    <font>
      <b val="true"/>
      <sz val="14"/>
      <color rgb="FF1F3864"/>
      <name val="Calibri"/>
      <family val="0"/>
      <charset val="1"/>
    </font>
    <font>
      <i val="true"/>
      <sz val="11"/>
      <color rgb="FF595959"/>
      <name val="Calibri"/>
      <family val="0"/>
      <charset val="1"/>
    </font>
    <font>
      <b val="true"/>
      <sz val="11"/>
      <name val="Calibri"/>
      <family val="0"/>
      <charset val="1"/>
    </font>
    <font>
      <sz val="11"/>
      <name val="Calibri"/>
      <family val="0"/>
      <charset val="1"/>
    </font>
    <font>
      <sz val="11"/>
      <color rgb="FF808080"/>
      <name val="Calibri"/>
      <family val="0"/>
      <charset val="1"/>
    </font>
    <font>
      <b val="true"/>
      <sz val="11"/>
      <color rgb="FF0000FF"/>
      <name val="Calibri"/>
      <family val="0"/>
      <charset val="1"/>
    </font>
    <font>
      <i val="true"/>
      <sz val="11"/>
      <color rgb="FF808080"/>
      <name val="Calibri"/>
      <family val="0"/>
      <charset val="1"/>
    </font>
    <font>
      <b val="true"/>
      <sz val="18"/>
      <color rgb="FF000000"/>
      <name val="Calibri"/>
      <family val="2"/>
    </font>
    <font>
      <sz val="10"/>
      <color rgb="FF000000"/>
      <name val="Calibri"/>
      <family val="2"/>
    </font>
    <font>
      <b val="true"/>
      <sz val="10"/>
      <color rgb="FF000000"/>
      <name val="Calibri"/>
      <family val="2"/>
    </font>
    <font>
      <b val="true"/>
      <sz val="11"/>
      <color rgb="FFC00000"/>
      <name val="Calibri"/>
      <family val="0"/>
      <charset val="1"/>
    </font>
    <font>
      <b val="true"/>
      <sz val="11"/>
      <color rgb="FF1F3864"/>
      <name val="Calibri"/>
      <family val="0"/>
      <charset val="1"/>
    </font>
    <font>
      <b val="true"/>
      <sz val="11"/>
      <color rgb="FF7F6000"/>
      <name val="Calibri"/>
      <family val="0"/>
      <charset val="1"/>
    </font>
    <font>
      <b val="true"/>
      <sz val="12"/>
      <color rgb="FF1F3864"/>
      <name val="Calibri"/>
      <family val="0"/>
      <charset val="1"/>
    </font>
    <font>
      <u val="single"/>
      <sz val="11"/>
      <color rgb="FF0563C1"/>
      <name val="Calibri"/>
      <family val="0"/>
      <charset val="1"/>
    </font>
    <font>
      <i val="true"/>
      <sz val="11"/>
      <name val="Calibri"/>
      <family val="0"/>
      <charset val="1"/>
    </font>
    <font>
      <b val="true"/>
      <sz val="15"/>
      <color rgb="FF1F3864"/>
      <name val="Calibri"/>
      <family val="0"/>
      <charset val="1"/>
    </font>
    <font>
      <b val="true"/>
      <sz val="11"/>
      <color rgb="FFFFFFFF"/>
      <name val="Calibri"/>
      <family val="0"/>
      <charset val="1"/>
    </font>
    <font>
      <sz val="11"/>
      <color rgb="FF0000FF"/>
      <name val="Calibri"/>
      <family val="0"/>
      <charset val="1"/>
    </font>
  </fonts>
  <fills count="9">
    <fill>
      <patternFill patternType="none"/>
    </fill>
    <fill>
      <patternFill patternType="gray125"/>
    </fill>
    <fill>
      <patternFill patternType="solid">
        <fgColor theme="4"/>
        <bgColor rgb="FF2F75B5"/>
      </patternFill>
    </fill>
    <fill>
      <patternFill patternType="solid">
        <fgColor rgb="FFF2F2F2"/>
        <bgColor rgb="FFDDEBF7"/>
      </patternFill>
    </fill>
    <fill>
      <patternFill patternType="solid">
        <fgColor rgb="FFFFF2CC"/>
        <bgColor rgb="FFFCE4D6"/>
      </patternFill>
    </fill>
    <fill>
      <patternFill patternType="solid">
        <fgColor rgb="FFDDEBF7"/>
        <bgColor rgb="FFF2F2F2"/>
      </patternFill>
    </fill>
    <fill>
      <patternFill patternType="solid">
        <fgColor rgb="FFFCE4D6"/>
        <bgColor rgb="FFFFF2CC"/>
      </patternFill>
    </fill>
    <fill>
      <patternFill patternType="solid">
        <fgColor theme="9" tint="0.4"/>
        <bgColor rgb="FFD9D9D9"/>
      </patternFill>
    </fill>
    <fill>
      <patternFill patternType="solid">
        <fgColor rgb="FF1F3864"/>
        <bgColor rgb="FF333333"/>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6" fillId="3" borderId="1" xfId="0" applyFont="true" applyBorder="true" applyAlignment="true" applyProtection="false">
      <alignment horizontal="general" vertical="center" textRotation="0" wrapText="true" indent="0" shrinkToFit="false"/>
      <protection locked="true" hidden="false"/>
    </xf>
    <xf numFmtId="165" fontId="7" fillId="0" borderId="0" xfId="0" applyFont="true" applyBorder="true" applyAlignment="true" applyProtection="false">
      <alignment horizontal="center" vertical="top" textRotation="0" wrapText="false" indent="0" shrinkToFit="false"/>
      <protection locked="true" hidden="false"/>
    </xf>
    <xf numFmtId="164" fontId="7" fillId="0" borderId="0" xfId="0" applyFont="true" applyBorder="true" applyAlignment="true" applyProtection="false">
      <alignment horizontal="general" vertical="top"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6" fontId="7" fillId="0" borderId="0" xfId="0" applyFont="true" applyBorder="true" applyAlignment="true" applyProtection="false">
      <alignment horizontal="general" vertical="top" textRotation="0" wrapText="false" indent="0" shrinkToFit="false"/>
      <protection locked="true" hidden="false"/>
    </xf>
    <xf numFmtId="167" fontId="7" fillId="0" borderId="0" xfId="0" applyFont="true" applyBorder="true" applyAlignment="true" applyProtection="false">
      <alignment horizontal="general" vertical="top" textRotation="0" wrapText="false" indent="0" shrinkToFit="false"/>
      <protection locked="true" hidden="false"/>
    </xf>
    <xf numFmtId="165" fontId="8" fillId="0" borderId="0" xfId="0" applyFont="true" applyBorder="true" applyAlignment="true" applyProtection="false">
      <alignment horizontal="center" vertical="top"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general" vertical="top" textRotation="0" wrapText="false" indent="0" shrinkToFit="false"/>
      <protection locked="true" hidden="false"/>
    </xf>
    <xf numFmtId="167" fontId="7" fillId="0" borderId="1" xfId="0" applyFont="true" applyBorder="true" applyAlignment="true" applyProtection="false">
      <alignment horizontal="general" vertical="top" textRotation="0" wrapText="false" indent="0" shrinkToFit="false"/>
      <protection locked="true" hidden="false"/>
    </xf>
    <xf numFmtId="166" fontId="8" fillId="0" borderId="1" xfId="0" applyFont="true" applyBorder="true" applyAlignment="true" applyProtection="false">
      <alignment horizontal="general" vertical="top" textRotation="0" wrapText="false" indent="0" shrinkToFit="false"/>
      <protection locked="true" hidden="false"/>
    </xf>
    <xf numFmtId="167" fontId="8" fillId="0" borderId="1" xfId="0" applyFont="true" applyBorder="true" applyAlignment="true" applyProtection="false">
      <alignment horizontal="general" vertical="top"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14" fillId="0" borderId="1" xfId="0" applyFont="true" applyBorder="true" applyAlignment="true" applyProtection="false">
      <alignment horizontal="general" vertical="top" textRotation="0" wrapText="false" indent="0" shrinkToFit="false"/>
      <protection locked="true" hidden="false"/>
    </xf>
    <xf numFmtId="164" fontId="15" fillId="0" borderId="1" xfId="0" applyFont="true" applyBorder="true" applyAlignment="true" applyProtection="false">
      <alignment horizontal="general" vertical="top" textRotation="0" wrapText="false" indent="0" shrinkToFit="false"/>
      <protection locked="true" hidden="false"/>
    </xf>
    <xf numFmtId="164" fontId="16" fillId="0" borderId="1" xfId="0" applyFont="true" applyBorder="tru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right"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6" fillId="5" borderId="1" xfId="0" applyFont="true" applyBorder="true" applyAlignment="true" applyProtection="false">
      <alignment horizontal="general" vertical="center" textRotation="0" wrapText="true" indent="0" shrinkToFit="false"/>
      <protection locked="true" hidden="false"/>
    </xf>
    <xf numFmtId="164" fontId="6" fillId="6" borderId="1" xfId="0" applyFont="true" applyBorder="true" applyAlignment="true" applyProtection="false">
      <alignment horizontal="general" vertical="center" textRotation="0" wrapText="true" indent="0" shrinkToFit="false"/>
      <protection locked="true" hidden="false"/>
    </xf>
    <xf numFmtId="164" fontId="18"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5" fontId="8" fillId="0" borderId="1" xfId="0" applyFont="true" applyBorder="true" applyAlignment="true" applyProtection="false">
      <alignment horizontal="center" vertical="top"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6" fillId="7" borderId="1" xfId="0" applyFont="true" applyBorder="true" applyAlignment="true" applyProtection="false">
      <alignment horizontal="general" vertical="center" textRotation="0" wrapText="true" indent="0" shrinkToFit="false"/>
      <protection locked="true" hidden="false"/>
    </xf>
    <xf numFmtId="168" fontId="7" fillId="0" borderId="1" xfId="0" applyFont="true" applyBorder="true" applyAlignment="true" applyProtection="false">
      <alignment horizontal="general" vertical="top" textRotation="0" wrapText="false" indent="0" shrinkToFit="false"/>
      <protection locked="true" hidden="false"/>
    </xf>
    <xf numFmtId="166" fontId="6" fillId="0" borderId="1" xfId="0" applyFont="true" applyBorder="true" applyAlignment="true" applyProtection="false">
      <alignment horizontal="general" vertical="top"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21" fillId="8" borderId="0" xfId="0" applyFont="true" applyBorder="false" applyAlignment="true" applyProtection="false">
      <alignment horizontal="center" vertical="center" textRotation="0" wrapText="true" indent="0" shrinkToFit="false"/>
      <protection locked="true" hidden="false"/>
    </xf>
    <xf numFmtId="164" fontId="7" fillId="0" borderId="2" xfId="0" applyFont="true" applyBorder="true" applyAlignment="true" applyProtection="false">
      <alignment horizontal="general" vertical="top" textRotation="0" wrapText="false" indent="0" shrinkToFit="false"/>
      <protection locked="true" hidden="false"/>
    </xf>
    <xf numFmtId="164" fontId="7" fillId="0" borderId="2" xfId="0" applyFont="true" applyBorder="true" applyAlignment="true" applyProtection="false">
      <alignment horizontal="general" vertical="top" textRotation="0" wrapText="true" indent="0" shrinkToFit="false"/>
      <protection locked="true" hidden="false"/>
    </xf>
    <xf numFmtId="164" fontId="9" fillId="0" borderId="2" xfId="0" applyFont="true" applyBorder="true" applyAlignment="true" applyProtection="false">
      <alignment horizontal="center" vertical="top" textRotation="0" wrapText="false" indent="0" shrinkToFit="false"/>
      <protection locked="true" hidden="false"/>
    </xf>
    <xf numFmtId="164" fontId="18" fillId="0" borderId="2" xfId="0" applyFont="true" applyBorder="true" applyAlignment="true" applyProtection="false">
      <alignment horizontal="general" vertical="top" textRotation="0" wrapText="false" indent="0" shrinkToFit="false"/>
      <protection locked="true" hidden="false"/>
    </xf>
    <xf numFmtId="164" fontId="22" fillId="0" borderId="0" xfId="0" applyFont="true" applyBorder="false" applyAlignment="true" applyProtection="false">
      <alignment horizontal="center" vertical="top" textRotation="0" wrapText="false" indent="0" shrinkToFit="false"/>
      <protection locked="true" hidden="false"/>
    </xf>
    <xf numFmtId="164" fontId="6" fillId="0" borderId="2" xfId="0" applyFont="true" applyBorder="true" applyAlignment="true" applyProtection="false">
      <alignment horizontal="general" vertical="top" textRotation="0" wrapText="true" indent="0" shrinkToFit="false"/>
      <protection locked="true" hidden="false"/>
    </xf>
    <xf numFmtId="164" fontId="21" fillId="8" borderId="0" xfId="0" applyFont="true" applyBorder="false" applyAlignment="false" applyProtection="false">
      <alignment horizontal="general" vertical="bottom" textRotation="0" wrapText="false" indent="0" shrinkToFit="false"/>
      <protection locked="true" hidden="false"/>
    </xf>
    <xf numFmtId="164" fontId="21" fillId="8" borderId="0" xfId="0" applyFont="true" applyBorder="true" applyAlignment="false" applyProtection="false">
      <alignment horizontal="general" vertical="bottom" textRotation="0" wrapText="false" indent="0" shrinkToFit="false"/>
      <protection locked="true" hidden="false"/>
    </xf>
    <xf numFmtId="164" fontId="6" fillId="0" borderId="2" xfId="0" applyFont="true" applyBorder="true" applyAlignment="false" applyProtection="false">
      <alignment horizontal="general" vertical="bottom" textRotation="0" wrapText="fals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4" fontId="18" fillId="0" borderId="2" xfId="0" applyFont="true" applyBorder="true" applyAlignment="false" applyProtection="false">
      <alignment horizontal="general" vertical="bottom" textRotation="0" wrapText="false" indent="0" shrinkToFit="false"/>
      <protection locked="true" hidden="false"/>
    </xf>
    <xf numFmtId="164" fontId="21" fillId="8" borderId="0" xfId="0" applyFont="true" applyBorder="true" applyAlignment="true" applyProtection="false">
      <alignment horizontal="center" vertical="bottom" textRotation="0" wrapText="false" indent="0" shrinkToFit="false"/>
      <protection locked="true" hidden="false"/>
    </xf>
    <xf numFmtId="167" fontId="22" fillId="0" borderId="2" xfId="0" applyFont="true" applyBorder="true" applyAlignment="true" applyProtection="false">
      <alignment horizontal="general" vertical="top" textRotation="0" wrapText="false" indent="0" shrinkToFit="false"/>
      <protection locked="true" hidden="false"/>
    </xf>
    <xf numFmtId="164" fontId="22" fillId="0" borderId="2" xfId="0" applyFont="true" applyBorder="true" applyAlignment="true" applyProtection="false">
      <alignment horizontal="center" vertical="top" textRotation="0" wrapText="false" indent="0" shrinkToFit="false"/>
      <protection locked="true" hidden="false"/>
    </xf>
    <xf numFmtId="168" fontId="7" fillId="0" borderId="2" xfId="0" applyFont="true" applyBorder="true" applyAlignment="true" applyProtection="false">
      <alignment horizontal="center" vertical="top" textRotation="0" wrapText="false" indent="0" shrinkToFit="false"/>
      <protection locked="true" hidden="false"/>
    </xf>
    <xf numFmtId="165" fontId="7" fillId="0" borderId="2" xfId="0" applyFont="true" applyBorder="true" applyAlignment="true" applyProtection="false">
      <alignment horizontal="center" vertical="top" textRotation="0" wrapText="false" indent="0" shrinkToFit="false"/>
      <protection locked="true" hidden="false"/>
    </xf>
    <xf numFmtId="168" fontId="7" fillId="0" borderId="2" xfId="0" applyFont="true" applyBorder="true" applyAlignment="true" applyProtection="false">
      <alignment horizontal="general" vertical="top" textRotation="0" wrapText="false" indent="0" shrinkToFit="false"/>
      <protection locked="true" hidden="false"/>
    </xf>
    <xf numFmtId="167" fontId="6" fillId="0" borderId="2"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7">
    <dxf>
      <fill>
        <patternFill patternType="solid">
          <fgColor rgb="FF4F81BD"/>
          <bgColor rgb="FF000000"/>
        </patternFill>
      </fill>
    </dxf>
    <dxf>
      <fill>
        <patternFill patternType="solid">
          <bgColor rgb="FF000000"/>
        </patternFill>
      </fill>
    </dxf>
    <dxf>
      <fill>
        <patternFill patternType="solid">
          <fgColor rgb="FFF2F2F2"/>
          <bgColor rgb="FF000000"/>
        </patternFill>
      </fill>
    </dxf>
    <dxf>
      <fill>
        <patternFill patternType="solid">
          <fgColor rgb="FF808080"/>
          <bgColor rgb="FF000000"/>
        </patternFill>
      </fill>
    </dxf>
    <dxf>
      <font>
        <name val="Calibri"/>
        <charset val="1"/>
        <family val="0"/>
        <b val="1"/>
        <sz val="11"/>
      </font>
      <border diagonalUp="false" diagonalDown="false">
        <left/>
        <right/>
        <top style="medium">
          <color rgb="FF1F3864"/>
        </top>
        <bottom/>
        <diagonal/>
      </border>
    </dxf>
    <dxf>
      <border diagonalUp="false" diagonalDown="false">
        <left style="thin"/>
        <right style="thin"/>
        <top style="thin"/>
        <bottom style="thin"/>
        <diagonal/>
      </border>
    </dxf>
    <dxf>
      <font>
        <name val="Calibri"/>
        <charset val="1"/>
        <family val="0"/>
        <color rgb="FFBFBFBF"/>
        <sz val="11"/>
      </font>
    </dxf>
    <dxf>
      <fill>
        <patternFill>
          <bgColor rgb="FFF2F2F2"/>
        </patternFill>
      </fill>
    </dxf>
    <dxf>
      <font>
        <name val="Calibri"/>
        <charset val="1"/>
        <family val="0"/>
        <color rgb="FFA6A6A6"/>
        <sz val="11"/>
      </font>
    </dxf>
    <dxf>
      <fill>
        <patternFill patternType="solid">
          <fgColor rgb="FFA6A6A6"/>
          <bgColor rgb="FF000000"/>
        </patternFill>
      </fill>
    </dxf>
    <dxf>
      <fill>
        <patternFill patternType="solid">
          <fgColor rgb="FFDDEBF7"/>
          <bgColor rgb="FF000000"/>
        </patternFill>
      </fill>
    </dxf>
    <dxf>
      <fill>
        <patternFill patternType="solid">
          <fgColor rgb="FF0563C1"/>
          <bgColor rgb="FF000000"/>
        </patternFill>
      </fill>
    </dxf>
    <dxf>
      <fill>
        <patternFill patternType="solid">
          <fgColor rgb="FFFCE4D6"/>
          <bgColor rgb="FF000000"/>
        </patternFill>
      </fill>
    </dxf>
    <dxf>
      <fill>
        <patternFill patternType="solid">
          <fgColor rgb="FFFAC090"/>
          <bgColor rgb="FF000000"/>
        </patternFill>
      </fill>
    </dxf>
    <dxf>
      <fill>
        <patternFill patternType="solid">
          <fgColor rgb="FF1F3864"/>
          <bgColor rgb="FF000000"/>
        </patternFill>
      </fill>
    </dxf>
    <dxf>
      <fill>
        <patternFill patternType="solid">
          <fgColor rgb="FFFFFFFF"/>
          <bgColor rgb="FF000000"/>
        </patternFill>
      </fill>
    </dxf>
    <dxf>
      <fill>
        <patternFill patternType="solid">
          <fgColor rgb="FF0000FF"/>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7F6000"/>
      <rgbColor rgb="FF800080"/>
      <rgbColor rgb="FF008080"/>
      <rgbColor rgb="FFBFBFBF"/>
      <rgbColor rgb="FF808080"/>
      <rgbColor rgb="FFA6A6A6"/>
      <rgbColor rgb="FF993366"/>
      <rgbColor rgb="FFFFF2CC"/>
      <rgbColor rgb="FFDDEBF7"/>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F2F2F2"/>
      <rgbColor rgb="FFCCFFCC"/>
      <rgbColor rgb="FFFCE4D6"/>
      <rgbColor rgb="FF99CCFF"/>
      <rgbColor rgb="FFFF99CC"/>
      <rgbColor rgb="FFCC99FF"/>
      <rgbColor rgb="FFFAC090"/>
      <rgbColor rgb="FF2F75B5"/>
      <rgbColor rgb="FF5B9BD5"/>
      <rgbColor rgb="FF70AD47"/>
      <rgbColor rgb="FFFFCC00"/>
      <rgbColor rgb="FFFF9900"/>
      <rgbColor rgb="FFC55A11"/>
      <rgbColor rgb="FF595959"/>
      <rgbColor rgb="FF878787"/>
      <rgbColor rgb="FF1F3864"/>
      <rgbColor rgb="FF4F81BD"/>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Unit price × injectable shipments (#) – bubble = injectable export value ($'000)</a:t>
            </a:r>
          </a:p>
        </c:rich>
      </c:tx>
      <c:overlay val="0"/>
      <c:spPr>
        <a:noFill/>
        <a:ln w="0">
          <a:noFill/>
        </a:ln>
      </c:spPr>
    </c:title>
    <c:autoTitleDeleted val="0"/>
    <c:plotArea>
      <c:bubbleChart>
        <c:varyColors val="0"/>
        <c:ser>
          <c:idx val="0"/>
          <c:order val="0"/>
          <c:tx>
            <c:strRef>
              <c:f>'2x2 – Option 1'!$H$6</c:f>
              <c:strCache>
                <c:ptCount val="1"/>
                <c:pt idx="0">
                  <c:v>Azacitidine (P1)</c:v>
                </c:pt>
              </c:strCache>
            </c:strRef>
          </c:tx>
          <c:spPr>
            <a:solidFill>
              <a:srgbClr val="1f3864"/>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1'!$I$6</c:f>
              <c:numCache>
                <c:formatCode>#,##0.00</c:formatCode>
                <c:ptCount val="1"/>
                <c:pt idx="0">
                  <c:v>256.12</c:v>
                </c:pt>
              </c:numCache>
            </c:numRef>
          </c:xVal>
          <c:yVal>
            <c:numRef>
              <c:f>'2x2 – Option 1'!$J$6</c:f>
              <c:numCache>
                <c:formatCode>#,##0</c:formatCode>
                <c:ptCount val="1"/>
                <c:pt idx="0">
                  <c:v>632</c:v>
                </c:pt>
              </c:numCache>
            </c:numRef>
          </c:yVal>
          <c:bubbleSize>
            <c:numRef>
              <c:f>'2x2 – Option 1'!$K$6</c:f>
              <c:numCache>
                <c:formatCode>#,##0</c:formatCode>
                <c:ptCount val="1"/>
                <c:pt idx="0">
                  <c:v>42181.7</c:v>
                </c:pt>
              </c:numCache>
            </c:numRef>
          </c:bubbleSize>
          <c:bubble3D val="0"/>
        </c:ser>
        <c:ser>
          <c:idx val="1"/>
          <c:order val="1"/>
          <c:tx>
            <c:strRef>
              <c:f>'2x2 – Option 1'!$H$7</c:f>
              <c:strCache>
                <c:ptCount val="1"/>
                <c:pt idx="0">
                  <c:v>Bortezomib (P1)</c:v>
                </c:pt>
              </c:strCache>
            </c:strRef>
          </c:tx>
          <c:spPr>
            <a:solidFill>
              <a:srgbClr val="1f3864"/>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1'!$I$7</c:f>
              <c:numCache>
                <c:formatCode>#,##0.00</c:formatCode>
                <c:ptCount val="1"/>
                <c:pt idx="0">
                  <c:v>569.27</c:v>
                </c:pt>
              </c:numCache>
            </c:numRef>
          </c:xVal>
          <c:yVal>
            <c:numRef>
              <c:f>'2x2 – Option 1'!$J$7</c:f>
              <c:numCache>
                <c:formatCode>#,##0</c:formatCode>
                <c:ptCount val="1"/>
                <c:pt idx="0">
                  <c:v>905</c:v>
                </c:pt>
              </c:numCache>
            </c:numRef>
          </c:yVal>
          <c:bubbleSize>
            <c:numRef>
              <c:f>'2x2 – Option 1'!$K$7</c:f>
              <c:numCache>
                <c:formatCode>#,##0</c:formatCode>
                <c:ptCount val="1"/>
                <c:pt idx="0">
                  <c:v>28093.4</c:v>
                </c:pt>
              </c:numCache>
            </c:numRef>
          </c:bubbleSize>
          <c:bubble3D val="0"/>
        </c:ser>
        <c:ser>
          <c:idx val="2"/>
          <c:order val="2"/>
          <c:tx>
            <c:strRef>
              <c:f>'2x2 – Option 1'!$H$8</c:f>
              <c:strCache>
                <c:ptCount val="1"/>
                <c:pt idx="0">
                  <c:v>Pegfilgrastim (P1)</c:v>
                </c:pt>
              </c:strCache>
            </c:strRef>
          </c:tx>
          <c:spPr>
            <a:solidFill>
              <a:srgbClr val="1f3864"/>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1'!$I$8</c:f>
              <c:numCache>
                <c:formatCode>#,##0.00</c:formatCode>
                <c:ptCount val="1"/>
                <c:pt idx="0">
                  <c:v>907.38</c:v>
                </c:pt>
              </c:numCache>
            </c:numRef>
          </c:xVal>
          <c:yVal>
            <c:numRef>
              <c:f>'2x2 – Option 1'!$J$8</c:f>
              <c:numCache>
                <c:formatCode>#,##0</c:formatCode>
                <c:ptCount val="1"/>
                <c:pt idx="0">
                  <c:v>155</c:v>
                </c:pt>
              </c:numCache>
            </c:numRef>
          </c:yVal>
          <c:bubbleSize>
            <c:numRef>
              <c:f>'2x2 – Option 1'!$K$8</c:f>
              <c:numCache>
                <c:formatCode>#,##0</c:formatCode>
                <c:ptCount val="1"/>
                <c:pt idx="0">
                  <c:v>22036.1</c:v>
                </c:pt>
              </c:numCache>
            </c:numRef>
          </c:bubbleSize>
          <c:bubble3D val="0"/>
        </c:ser>
        <c:ser>
          <c:idx val="3"/>
          <c:order val="3"/>
          <c:tx>
            <c:strRef>
              <c:f>'2x2 – Option 1'!$H$9</c:f>
              <c:strCache>
                <c:ptCount val="1"/>
                <c:pt idx="0">
                  <c:v>Methotrexate (P1)</c:v>
                </c:pt>
              </c:strCache>
            </c:strRef>
          </c:tx>
          <c:spPr>
            <a:solidFill>
              <a:srgbClr val="1f3864"/>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1'!$I$9</c:f>
              <c:numCache>
                <c:formatCode>#,##0.00</c:formatCode>
                <c:ptCount val="1"/>
                <c:pt idx="0">
                  <c:v>50.77</c:v>
                </c:pt>
              </c:numCache>
            </c:numRef>
          </c:xVal>
          <c:yVal>
            <c:numRef>
              <c:f>'2x2 – Option 1'!$J$9</c:f>
              <c:numCache>
                <c:formatCode>#,##0</c:formatCode>
                <c:ptCount val="1"/>
                <c:pt idx="0">
                  <c:v>996</c:v>
                </c:pt>
              </c:numCache>
            </c:numRef>
          </c:yVal>
          <c:bubbleSize>
            <c:numRef>
              <c:f>'2x2 – Option 1'!$K$9</c:f>
              <c:numCache>
                <c:formatCode>#,##0</c:formatCode>
                <c:ptCount val="1"/>
                <c:pt idx="0">
                  <c:v>13045.6</c:v>
                </c:pt>
              </c:numCache>
            </c:numRef>
          </c:bubbleSize>
          <c:bubble3D val="0"/>
        </c:ser>
        <c:ser>
          <c:idx val="4"/>
          <c:order val="4"/>
          <c:tx>
            <c:strRef>
              <c:f>'2x2 – Option 1'!$H$10</c:f>
              <c:strCache>
                <c:ptCount val="1"/>
                <c:pt idx="0">
                  <c:v>Fulvestrant (P1)</c:v>
                </c:pt>
              </c:strCache>
            </c:strRef>
          </c:tx>
          <c:spPr>
            <a:solidFill>
              <a:srgbClr val="1f3864"/>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1'!$I$10</c:f>
              <c:numCache>
                <c:formatCode>#,##0.00</c:formatCode>
                <c:ptCount val="1"/>
                <c:pt idx="0">
                  <c:v>246.46</c:v>
                </c:pt>
              </c:numCache>
            </c:numRef>
          </c:xVal>
          <c:yVal>
            <c:numRef>
              <c:f>'2x2 – Option 1'!$J$10</c:f>
              <c:numCache>
                <c:formatCode>#,##0</c:formatCode>
                <c:ptCount val="1"/>
                <c:pt idx="0">
                  <c:v>146</c:v>
                </c:pt>
              </c:numCache>
            </c:numRef>
          </c:yVal>
          <c:bubbleSize>
            <c:numRef>
              <c:f>'2x2 – Option 1'!$K$10</c:f>
              <c:numCache>
                <c:formatCode>#,##0</c:formatCode>
                <c:ptCount val="1"/>
                <c:pt idx="0">
                  <c:v>11366.1</c:v>
                </c:pt>
              </c:numCache>
            </c:numRef>
          </c:bubbleSize>
          <c:bubble3D val="0"/>
        </c:ser>
        <c:ser>
          <c:idx val="5"/>
          <c:order val="5"/>
          <c:tx>
            <c:strRef>
              <c:f>'2x2 – Option 1'!$H$11</c:f>
              <c:strCache>
                <c:ptCount val="1"/>
                <c:pt idx="0">
                  <c:v>Phenylephrine (P1)</c:v>
                </c:pt>
              </c:strCache>
            </c:strRef>
          </c:tx>
          <c:spPr>
            <a:solidFill>
              <a:srgbClr val="1f3864"/>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1'!$I$11</c:f>
              <c:numCache>
                <c:formatCode>#,##0.00</c:formatCode>
                <c:ptCount val="1"/>
                <c:pt idx="0">
                  <c:v>32.6</c:v>
                </c:pt>
              </c:numCache>
            </c:numRef>
          </c:xVal>
          <c:yVal>
            <c:numRef>
              <c:f>'2x2 – Option 1'!$J$11</c:f>
              <c:numCache>
                <c:formatCode>#,##0</c:formatCode>
                <c:ptCount val="1"/>
                <c:pt idx="0">
                  <c:v>226</c:v>
                </c:pt>
              </c:numCache>
            </c:numRef>
          </c:yVal>
          <c:bubbleSize>
            <c:numRef>
              <c:f>'2x2 – Option 1'!$K$11</c:f>
              <c:numCache>
                <c:formatCode>#,##0</c:formatCode>
                <c:ptCount val="1"/>
                <c:pt idx="0">
                  <c:v>5695.2</c:v>
                </c:pt>
              </c:numCache>
            </c:numRef>
          </c:bubbleSize>
          <c:bubble3D val="0"/>
        </c:ser>
        <c:ser>
          <c:idx val="6"/>
          <c:order val="6"/>
          <c:tx>
            <c:strRef>
              <c:f>'2x2 – Option 1'!$H$12</c:f>
              <c:strCache>
                <c:ptCount val="1"/>
                <c:pt idx="0">
                  <c:v>Epinephrine (Adrenaline) (P1)</c:v>
                </c:pt>
              </c:strCache>
            </c:strRef>
          </c:tx>
          <c:spPr>
            <a:solidFill>
              <a:srgbClr val="1f3864"/>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1'!$I$12</c:f>
              <c:numCache>
                <c:formatCode>#,##0.00</c:formatCode>
                <c:ptCount val="1"/>
                <c:pt idx="0">
                  <c:v>28.67</c:v>
                </c:pt>
              </c:numCache>
            </c:numRef>
          </c:xVal>
          <c:yVal>
            <c:numRef>
              <c:f>'2x2 – Option 1'!$J$12</c:f>
              <c:numCache>
                <c:formatCode>#,##0</c:formatCode>
                <c:ptCount val="1"/>
                <c:pt idx="0">
                  <c:v>799</c:v>
                </c:pt>
              </c:numCache>
            </c:numRef>
          </c:yVal>
          <c:bubbleSize>
            <c:numRef>
              <c:f>'2x2 – Option 1'!$K$12</c:f>
              <c:numCache>
                <c:formatCode>#,##0</c:formatCode>
                <c:ptCount val="1"/>
                <c:pt idx="0">
                  <c:v>4049.5</c:v>
                </c:pt>
              </c:numCache>
            </c:numRef>
          </c:bubbleSize>
          <c:bubble3D val="0"/>
        </c:ser>
        <c:ser>
          <c:idx val="7"/>
          <c:order val="7"/>
          <c:tx>
            <c:strRef>
              <c:f>'2x2 – Option 1'!$H$13</c:f>
              <c:strCache>
                <c:ptCount val="1"/>
                <c:pt idx="0">
                  <c:v>Bleomycin (P1)</c:v>
                </c:pt>
              </c:strCache>
            </c:strRef>
          </c:tx>
          <c:spPr>
            <a:solidFill>
              <a:srgbClr val="1f3864"/>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1'!$I$13</c:f>
              <c:numCache>
                <c:formatCode>#,##0.00</c:formatCode>
                <c:ptCount val="1"/>
                <c:pt idx="0">
                  <c:v>50.27</c:v>
                </c:pt>
              </c:numCache>
            </c:numRef>
          </c:xVal>
          <c:yVal>
            <c:numRef>
              <c:f>'2x2 – Option 1'!$J$13</c:f>
              <c:numCache>
                <c:formatCode>#,##0</c:formatCode>
                <c:ptCount val="1"/>
                <c:pt idx="0">
                  <c:v>441</c:v>
                </c:pt>
              </c:numCache>
            </c:numRef>
          </c:yVal>
          <c:bubbleSize>
            <c:numRef>
              <c:f>'2x2 – Option 1'!$K$13</c:f>
              <c:numCache>
                <c:formatCode>#,##0</c:formatCode>
                <c:ptCount val="1"/>
                <c:pt idx="0">
                  <c:v>3973.7</c:v>
                </c:pt>
              </c:numCache>
            </c:numRef>
          </c:bubbleSize>
          <c:bubble3D val="0"/>
        </c:ser>
        <c:ser>
          <c:idx val="8"/>
          <c:order val="8"/>
          <c:tx>
            <c:strRef>
              <c:f>'2x2 – Option 1'!$H$14</c:f>
              <c:strCache>
                <c:ptCount val="1"/>
                <c:pt idx="0">
                  <c:v>Denosumab (P1)</c:v>
                </c:pt>
              </c:strCache>
            </c:strRef>
          </c:tx>
          <c:spPr>
            <a:solidFill>
              <a:srgbClr val="1f3864"/>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1'!$I$14</c:f>
              <c:numCache>
                <c:formatCode>#,##0.00</c:formatCode>
                <c:ptCount val="1"/>
                <c:pt idx="0">
                  <c:v>162.77</c:v>
                </c:pt>
              </c:numCache>
            </c:numRef>
          </c:xVal>
          <c:yVal>
            <c:numRef>
              <c:f>'2x2 – Option 1'!$J$14</c:f>
              <c:numCache>
                <c:formatCode>#,##0</c:formatCode>
                <c:ptCount val="1"/>
                <c:pt idx="0">
                  <c:v>314</c:v>
                </c:pt>
              </c:numCache>
            </c:numRef>
          </c:yVal>
          <c:bubbleSize>
            <c:numRef>
              <c:f>'2x2 – Option 1'!$K$14</c:f>
              <c:numCache>
                <c:formatCode>#,##0</c:formatCode>
                <c:ptCount val="1"/>
                <c:pt idx="0">
                  <c:v>3429.5</c:v>
                </c:pt>
              </c:numCache>
            </c:numRef>
          </c:bubbleSize>
          <c:bubble3D val="0"/>
        </c:ser>
        <c:ser>
          <c:idx val="9"/>
          <c:order val="9"/>
          <c:tx>
            <c:strRef>
              <c:f>'2x2 – Option 1'!$H$15</c:f>
              <c:strCache>
                <c:ptCount val="1"/>
                <c:pt idx="0">
                  <c:v>Ceftriaxone (P2)</c:v>
                </c:pt>
              </c:strCache>
            </c:strRef>
          </c:tx>
          <c:spPr>
            <a:solidFill>
              <a:srgbClr val="1f3864"/>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1'!$I$15</c:f>
              <c:numCache>
                <c:formatCode>#,##0.00</c:formatCode>
                <c:ptCount val="1"/>
              </c:numCache>
            </c:numRef>
          </c:xVal>
          <c:yVal>
            <c:numRef>
              <c:f>'2x2 – Option 1'!$J$15</c:f>
              <c:numCache>
                <c:formatCode>#,##0</c:formatCode>
                <c:ptCount val="1"/>
              </c:numCache>
            </c:numRef>
          </c:yVal>
          <c:bubbleSize>
            <c:numRef>
              <c:f>'2x2 – Option 1'!$K$15</c:f>
              <c:numCache>
                <c:formatCode>#,##0</c:formatCode>
                <c:ptCount val="1"/>
              </c:numCache>
            </c:numRef>
          </c:bubbleSize>
          <c:bubble3D val="0"/>
        </c:ser>
        <c:ser>
          <c:idx val="10"/>
          <c:order val="10"/>
          <c:tx>
            <c:strRef>
              <c:f>'2x2 – Option 1'!$H$16</c:f>
              <c:strCache>
                <c:ptCount val="1"/>
                <c:pt idx="0">
                  <c:v>Ondansetron (P2)</c:v>
                </c:pt>
              </c:strCache>
            </c:strRef>
          </c:tx>
          <c:spPr>
            <a:solidFill>
              <a:srgbClr val="1f3864"/>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1'!$I$16</c:f>
              <c:numCache>
                <c:formatCode>#,##0.00</c:formatCode>
                <c:ptCount val="1"/>
              </c:numCache>
            </c:numRef>
          </c:xVal>
          <c:yVal>
            <c:numRef>
              <c:f>'2x2 – Option 1'!$J$16</c:f>
              <c:numCache>
                <c:formatCode>#,##0</c:formatCode>
                <c:ptCount val="1"/>
              </c:numCache>
            </c:numRef>
          </c:yVal>
          <c:bubbleSize>
            <c:numRef>
              <c:f>'2x2 – Option 1'!$K$16</c:f>
              <c:numCache>
                <c:formatCode>#,##0</c:formatCode>
                <c:ptCount val="1"/>
              </c:numCache>
            </c:numRef>
          </c:bubbleSize>
          <c:bubble3D val="0"/>
        </c:ser>
        <c:ser>
          <c:idx val="11"/>
          <c:order val="11"/>
          <c:tx>
            <c:strRef>
              <c:f>'2x2 – Option 1'!$H$17</c:f>
              <c:strCache>
                <c:ptCount val="1"/>
                <c:pt idx="0">
                  <c:v>Plerixafor (P2)</c:v>
                </c:pt>
              </c:strCache>
            </c:strRef>
          </c:tx>
          <c:spPr>
            <a:solidFill>
              <a:srgbClr val="1f3864"/>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1'!$I$17</c:f>
              <c:numCache>
                <c:formatCode>#,##0.00</c:formatCode>
                <c:ptCount val="1"/>
              </c:numCache>
            </c:numRef>
          </c:xVal>
          <c:yVal>
            <c:numRef>
              <c:f>'2x2 – Option 1'!$J$17</c:f>
              <c:numCache>
                <c:formatCode>#,##0</c:formatCode>
                <c:ptCount val="1"/>
              </c:numCache>
            </c:numRef>
          </c:yVal>
          <c:bubbleSize>
            <c:numRef>
              <c:f>'2x2 – Option 1'!$K$17</c:f>
              <c:numCache>
                <c:formatCode>#,##0</c:formatCode>
                <c:ptCount val="1"/>
              </c:numCache>
            </c:numRef>
          </c:bubbleSize>
          <c:bubble3D val="0"/>
        </c:ser>
        <c:ser>
          <c:idx val="12"/>
          <c:order val="12"/>
          <c:tx>
            <c:strRef>
              <c:f>'2x2 – Option 1'!$H$18</c:f>
              <c:strCache>
                <c:ptCount val="1"/>
                <c:pt idx="0">
                  <c:v>Cytarabine (P2)</c:v>
                </c:pt>
              </c:strCache>
            </c:strRef>
          </c:tx>
          <c:spPr>
            <a:solidFill>
              <a:srgbClr val="1f3864"/>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1'!$I$18</c:f>
              <c:numCache>
                <c:formatCode>#,##0.00</c:formatCode>
                <c:ptCount val="1"/>
              </c:numCache>
            </c:numRef>
          </c:xVal>
          <c:yVal>
            <c:numRef>
              <c:f>'2x2 – Option 1'!$J$18</c:f>
              <c:numCache>
                <c:formatCode>#,##0</c:formatCode>
                <c:ptCount val="1"/>
              </c:numCache>
            </c:numRef>
          </c:yVal>
          <c:bubbleSize>
            <c:numRef>
              <c:f>'2x2 – Option 1'!$K$18</c:f>
              <c:numCache>
                <c:formatCode>#,##0</c:formatCode>
                <c:ptCount val="1"/>
              </c:numCache>
            </c:numRef>
          </c:bubbleSize>
          <c:bubble3D val="0"/>
        </c:ser>
        <c:ser>
          <c:idx val="13"/>
          <c:order val="13"/>
          <c:tx>
            <c:strRef>
              <c:f>'2x2 – Option 1'!$H$19</c:f>
              <c:strCache>
                <c:ptCount val="1"/>
                <c:pt idx="0">
                  <c:v>Atropine (P2)</c:v>
                </c:pt>
              </c:strCache>
            </c:strRef>
          </c:tx>
          <c:spPr>
            <a:solidFill>
              <a:srgbClr val="1f3864"/>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1'!$I$19</c:f>
              <c:numCache>
                <c:formatCode>#,##0.00</c:formatCode>
                <c:ptCount val="1"/>
              </c:numCache>
            </c:numRef>
          </c:xVal>
          <c:yVal>
            <c:numRef>
              <c:f>'2x2 – Option 1'!$J$19</c:f>
              <c:numCache>
                <c:formatCode>#,##0</c:formatCode>
                <c:ptCount val="1"/>
              </c:numCache>
            </c:numRef>
          </c:yVal>
          <c:bubbleSize>
            <c:numRef>
              <c:f>'2x2 – Option 1'!$K$19</c:f>
              <c:numCache>
                <c:formatCode>#,##0</c:formatCode>
                <c:ptCount val="1"/>
              </c:numCache>
            </c:numRef>
          </c:bubbleSize>
          <c:bubble3D val="0"/>
        </c:ser>
        <c:ser>
          <c:idx val="14"/>
          <c:order val="14"/>
          <c:tx>
            <c:strRef>
              <c:f>'2x2 – Option 1'!$H$20</c:f>
              <c:strCache>
                <c:ptCount val="1"/>
                <c:pt idx="0">
                  <c:v>Teicoplanin (P2)</c:v>
                </c:pt>
              </c:strCache>
            </c:strRef>
          </c:tx>
          <c:spPr>
            <a:solidFill>
              <a:srgbClr val="1f3864"/>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1'!$I$20</c:f>
              <c:numCache>
                <c:formatCode>#,##0.00</c:formatCode>
                <c:ptCount val="1"/>
              </c:numCache>
            </c:numRef>
          </c:xVal>
          <c:yVal>
            <c:numRef>
              <c:f>'2x2 – Option 1'!$J$20</c:f>
              <c:numCache>
                <c:formatCode>#,##0</c:formatCode>
                <c:ptCount val="1"/>
              </c:numCache>
            </c:numRef>
          </c:yVal>
          <c:bubbleSize>
            <c:numRef>
              <c:f>'2x2 – Option 1'!$K$20</c:f>
              <c:numCache>
                <c:formatCode>#,##0</c:formatCode>
                <c:ptCount val="1"/>
              </c:numCache>
            </c:numRef>
          </c:bubbleSize>
          <c:bubble3D val="0"/>
        </c:ser>
        <c:ser>
          <c:idx val="15"/>
          <c:order val="15"/>
          <c:tx>
            <c:strRef>
              <c:f>'2x2 – Option 1'!$H$21</c:f>
              <c:strCache>
                <c:ptCount val="1"/>
                <c:pt idx="0">
                  <c:v>Cefepime (P2)</c:v>
                </c:pt>
              </c:strCache>
            </c:strRef>
          </c:tx>
          <c:spPr>
            <a:solidFill>
              <a:srgbClr val="1f3864"/>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1'!$I$21</c:f>
              <c:numCache>
                <c:formatCode>#,##0.00</c:formatCode>
                <c:ptCount val="1"/>
              </c:numCache>
            </c:numRef>
          </c:xVal>
          <c:yVal>
            <c:numRef>
              <c:f>'2x2 – Option 1'!$J$21</c:f>
              <c:numCache>
                <c:formatCode>#,##0</c:formatCode>
                <c:ptCount val="1"/>
              </c:numCache>
            </c:numRef>
          </c:yVal>
          <c:bubbleSize>
            <c:numRef>
              <c:f>'2x2 – Option 1'!$K$21</c:f>
              <c:numCache>
                <c:formatCode>#,##0</c:formatCode>
                <c:ptCount val="1"/>
              </c:numCache>
            </c:numRef>
          </c:bubbleSize>
          <c:bubble3D val="0"/>
        </c:ser>
        <c:ser>
          <c:idx val="16"/>
          <c:order val="16"/>
          <c:tx>
            <c:strRef>
              <c:f>'2x2 – Option 1'!$H$22</c:f>
              <c:strCache>
                <c:ptCount val="1"/>
                <c:pt idx="0">
                  <c:v>Midazolam (P2)</c:v>
                </c:pt>
              </c:strCache>
            </c:strRef>
          </c:tx>
          <c:spPr>
            <a:solidFill>
              <a:srgbClr val="1f3864"/>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1'!$I$22</c:f>
              <c:numCache>
                <c:formatCode>#,##0.00</c:formatCode>
                <c:ptCount val="1"/>
              </c:numCache>
            </c:numRef>
          </c:xVal>
          <c:yVal>
            <c:numRef>
              <c:f>'2x2 – Option 1'!$J$22</c:f>
              <c:numCache>
                <c:formatCode>#,##0</c:formatCode>
                <c:ptCount val="1"/>
              </c:numCache>
            </c:numRef>
          </c:yVal>
          <c:bubbleSize>
            <c:numRef>
              <c:f>'2x2 – Option 1'!$K$22</c:f>
              <c:numCache>
                <c:formatCode>#,##0</c:formatCode>
                <c:ptCount val="1"/>
              </c:numCache>
            </c:numRef>
          </c:bubbleSize>
          <c:bubble3D val="0"/>
        </c:ser>
        <c:ser>
          <c:idx val="17"/>
          <c:order val="17"/>
          <c:tx>
            <c:strRef>
              <c:f>'2x2 – Option 1'!$H$23</c:f>
              <c:strCache>
                <c:ptCount val="1"/>
                <c:pt idx="0">
                  <c:v>Succinylcholine (Suxamethonium) (P2)</c:v>
                </c:pt>
              </c:strCache>
            </c:strRef>
          </c:tx>
          <c:spPr>
            <a:solidFill>
              <a:srgbClr val="1f3864"/>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1'!$I$23</c:f>
              <c:numCache>
                <c:formatCode>#,##0.00</c:formatCode>
                <c:ptCount val="1"/>
              </c:numCache>
            </c:numRef>
          </c:xVal>
          <c:yVal>
            <c:numRef>
              <c:f>'2x2 – Option 1'!$J$23</c:f>
              <c:numCache>
                <c:formatCode>#,##0</c:formatCode>
                <c:ptCount val="1"/>
              </c:numCache>
            </c:numRef>
          </c:yVal>
          <c:bubbleSize>
            <c:numRef>
              <c:f>'2x2 – Option 1'!$K$23</c:f>
              <c:numCache>
                <c:formatCode>#,##0</c:formatCode>
                <c:ptCount val="1"/>
              </c:numCache>
            </c:numRef>
          </c:bubbleSize>
          <c:bubble3D val="0"/>
        </c:ser>
        <c:ser>
          <c:idx val="18"/>
          <c:order val="18"/>
          <c:tx>
            <c:strRef>
              <c:f>'2x2 – Option 1'!$H$24</c:f>
              <c:strCache>
                <c:ptCount val="1"/>
                <c:pt idx="0">
                  <c:v>Leuprorelin (P2)</c:v>
                </c:pt>
              </c:strCache>
            </c:strRef>
          </c:tx>
          <c:spPr>
            <a:solidFill>
              <a:srgbClr val="1f3864"/>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1'!$I$24</c:f>
              <c:numCache>
                <c:formatCode>#,##0.00</c:formatCode>
                <c:ptCount val="1"/>
              </c:numCache>
            </c:numRef>
          </c:xVal>
          <c:yVal>
            <c:numRef>
              <c:f>'2x2 – Option 1'!$J$24</c:f>
              <c:numCache>
                <c:formatCode>#,##0</c:formatCode>
                <c:ptCount val="1"/>
              </c:numCache>
            </c:numRef>
          </c:yVal>
          <c:bubbleSize>
            <c:numRef>
              <c:f>'2x2 – Option 1'!$K$24</c:f>
              <c:numCache>
                <c:formatCode>#,##0</c:formatCode>
                <c:ptCount val="1"/>
              </c:numCache>
            </c:numRef>
          </c:bubbleSize>
          <c:bubble3D val="0"/>
        </c:ser>
        <c:ser>
          <c:idx val="19"/>
          <c:order val="19"/>
          <c:tx>
            <c:strRef>
              <c:f>'2x2 – Option 1'!$H$25</c:f>
              <c:strCache>
                <c:ptCount val="1"/>
                <c:pt idx="0">
                  <c:v>Ustekinumab (P2)</c:v>
                </c:pt>
              </c:strCache>
            </c:strRef>
          </c:tx>
          <c:spPr>
            <a:solidFill>
              <a:srgbClr val="1f3864"/>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1'!$I$25</c:f>
              <c:numCache>
                <c:formatCode>#,##0.00</c:formatCode>
                <c:ptCount val="1"/>
              </c:numCache>
            </c:numRef>
          </c:xVal>
          <c:yVal>
            <c:numRef>
              <c:f>'2x2 – Option 1'!$J$25</c:f>
              <c:numCache>
                <c:formatCode>#,##0</c:formatCode>
                <c:ptCount val="1"/>
              </c:numCache>
            </c:numRef>
          </c:yVal>
          <c:bubbleSize>
            <c:numRef>
              <c:f>'2x2 – Option 1'!$K$25</c:f>
              <c:numCache>
                <c:formatCode>#,##0</c:formatCode>
                <c:ptCount val="1"/>
              </c:numCache>
            </c:numRef>
          </c:bubbleSize>
          <c:bubble3D val="0"/>
        </c:ser>
        <c:ser>
          <c:idx val="20"/>
          <c:order val="20"/>
          <c:tx>
            <c:strRef>
              <c:f>'2x2 – Option 1'!$H$26</c:f>
              <c:strCache>
                <c:ptCount val="1"/>
                <c:pt idx="0">
                  <c:v>Degarelix (P2)</c:v>
                </c:pt>
              </c:strCache>
            </c:strRef>
          </c:tx>
          <c:spPr>
            <a:solidFill>
              <a:srgbClr val="1f3864"/>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1'!$I$26</c:f>
              <c:numCache>
                <c:formatCode>#,##0.00</c:formatCode>
                <c:ptCount val="1"/>
              </c:numCache>
            </c:numRef>
          </c:xVal>
          <c:yVal>
            <c:numRef>
              <c:f>'2x2 – Option 1'!$J$26</c:f>
              <c:numCache>
                <c:formatCode>#,##0</c:formatCode>
                <c:ptCount val="1"/>
              </c:numCache>
            </c:numRef>
          </c:yVal>
          <c:bubbleSize>
            <c:numRef>
              <c:f>'2x2 – Option 1'!$K$26</c:f>
              <c:numCache>
                <c:formatCode>#,##0</c:formatCode>
                <c:ptCount val="1"/>
              </c:numCache>
            </c:numRef>
          </c:bubbleSize>
          <c:bubble3D val="0"/>
        </c:ser>
        <c:ser>
          <c:idx val="21"/>
          <c:order val="21"/>
          <c:tx>
            <c:strRef>
              <c:f>'2x2 – Option 1'!$H$27</c:f>
              <c:strCache>
                <c:ptCount val="1"/>
                <c:pt idx="0">
                  <c:v>Flucloxacillin (P3)</c:v>
                </c:pt>
              </c:strCache>
            </c:strRef>
          </c:tx>
          <c:spPr>
            <a:solidFill>
              <a:srgbClr val="1f3864"/>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1'!$I$27</c:f>
              <c:numCache>
                <c:formatCode>#,##0.00</c:formatCode>
                <c:ptCount val="1"/>
              </c:numCache>
            </c:numRef>
          </c:xVal>
          <c:yVal>
            <c:numRef>
              <c:f>'2x2 – Option 1'!$J$27</c:f>
              <c:numCache>
                <c:formatCode>#,##0</c:formatCode>
                <c:ptCount val="1"/>
              </c:numCache>
            </c:numRef>
          </c:yVal>
          <c:bubbleSize>
            <c:numRef>
              <c:f>'2x2 – Option 1'!$K$27</c:f>
              <c:numCache>
                <c:formatCode>#,##0</c:formatCode>
                <c:ptCount val="1"/>
              </c:numCache>
            </c:numRef>
          </c:bubbleSize>
          <c:bubble3D val="0"/>
        </c:ser>
        <c:ser>
          <c:idx val="22"/>
          <c:order val="22"/>
          <c:tx>
            <c:strRef>
              <c:f>'2x2 – Option 1'!$H$28</c:f>
              <c:strCache>
                <c:ptCount val="1"/>
                <c:pt idx="0">
                  <c:v>Progesterone (P3)</c:v>
                </c:pt>
              </c:strCache>
            </c:strRef>
          </c:tx>
          <c:spPr>
            <a:solidFill>
              <a:srgbClr val="1f3864"/>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1'!$I$28</c:f>
              <c:numCache>
                <c:formatCode>#,##0.00</c:formatCode>
                <c:ptCount val="1"/>
              </c:numCache>
            </c:numRef>
          </c:xVal>
          <c:yVal>
            <c:numRef>
              <c:f>'2x2 – Option 1'!$J$28</c:f>
              <c:numCache>
                <c:formatCode>#,##0</c:formatCode>
                <c:ptCount val="1"/>
              </c:numCache>
            </c:numRef>
          </c:yVal>
          <c:bubbleSize>
            <c:numRef>
              <c:f>'2x2 – Option 1'!$K$28</c:f>
              <c:numCache>
                <c:formatCode>#,##0</c:formatCode>
                <c:ptCount val="1"/>
              </c:numCache>
            </c:numRef>
          </c:bubbleSize>
          <c:bubble3D val="0"/>
        </c:ser>
        <c:ser>
          <c:idx val="23"/>
          <c:order val="23"/>
          <c:tx>
            <c:strRef>
              <c:f>'2x2 – Option 1'!$H$29</c:f>
              <c:strCache>
                <c:ptCount val="1"/>
                <c:pt idx="0">
                  <c:v>Colistimethate Sodium (P3)</c:v>
                </c:pt>
              </c:strCache>
            </c:strRef>
          </c:tx>
          <c:spPr>
            <a:solidFill>
              <a:srgbClr val="1f3864"/>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1'!$I$29</c:f>
              <c:numCache>
                <c:formatCode>#,##0.00</c:formatCode>
                <c:ptCount val="1"/>
              </c:numCache>
            </c:numRef>
          </c:xVal>
          <c:yVal>
            <c:numRef>
              <c:f>'2x2 – Option 1'!$J$29</c:f>
              <c:numCache>
                <c:formatCode>#,##0</c:formatCode>
                <c:ptCount val="1"/>
              </c:numCache>
            </c:numRef>
          </c:yVal>
          <c:bubbleSize>
            <c:numRef>
              <c:f>'2x2 – Option 1'!$K$29</c:f>
              <c:numCache>
                <c:formatCode>#,##0</c:formatCode>
                <c:ptCount val="1"/>
              </c:numCache>
            </c:numRef>
          </c:bubbleSize>
          <c:bubble3D val="0"/>
        </c:ser>
        <c:ser>
          <c:idx val="24"/>
          <c:order val="24"/>
          <c:tx>
            <c:strRef>
              <c:f>'2x2 – Option 1'!$H$30</c:f>
              <c:strCache>
                <c:ptCount val="1"/>
                <c:pt idx="0">
                  <c:v>Naloxone (P3)</c:v>
                </c:pt>
              </c:strCache>
            </c:strRef>
          </c:tx>
          <c:spPr>
            <a:solidFill>
              <a:srgbClr val="1f3864"/>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1'!$I$30</c:f>
              <c:numCache>
                <c:formatCode>#,##0.00</c:formatCode>
                <c:ptCount val="1"/>
              </c:numCache>
            </c:numRef>
          </c:xVal>
          <c:yVal>
            <c:numRef>
              <c:f>'2x2 – Option 1'!$J$30</c:f>
              <c:numCache>
                <c:formatCode>#,##0</c:formatCode>
                <c:ptCount val="1"/>
              </c:numCache>
            </c:numRef>
          </c:yVal>
          <c:bubbleSize>
            <c:numRef>
              <c:f>'2x2 – Option 1'!$K$30</c:f>
              <c:numCache>
                <c:formatCode>#,##0</c:formatCode>
                <c:ptCount val="1"/>
              </c:numCache>
            </c:numRef>
          </c:bubbleSize>
          <c:bubble3D val="0"/>
        </c:ser>
        <c:ser>
          <c:idx val="25"/>
          <c:order val="25"/>
          <c:tx>
            <c:strRef>
              <c:f>'2x2 – Option 1'!$H$31</c:f>
              <c:strCache>
                <c:ptCount val="1"/>
                <c:pt idx="0">
                  <c:v>Hydroxocobalamin (P3)</c:v>
                </c:pt>
              </c:strCache>
            </c:strRef>
          </c:tx>
          <c:spPr>
            <a:solidFill>
              <a:srgbClr val="1f3864"/>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1'!$I$31</c:f>
              <c:numCache>
                <c:formatCode>#,##0.00</c:formatCode>
                <c:ptCount val="1"/>
              </c:numCache>
            </c:numRef>
          </c:xVal>
          <c:yVal>
            <c:numRef>
              <c:f>'2x2 – Option 1'!$J$31</c:f>
              <c:numCache>
                <c:formatCode>#,##0</c:formatCode>
                <c:ptCount val="1"/>
              </c:numCache>
            </c:numRef>
          </c:yVal>
          <c:bubbleSize>
            <c:numRef>
              <c:f>'2x2 – Option 1'!$K$31</c:f>
              <c:numCache>
                <c:formatCode>#,##0</c:formatCode>
                <c:ptCount val="1"/>
              </c:numCache>
            </c:numRef>
          </c:bubbleSize>
          <c:bubble3D val="0"/>
        </c:ser>
        <c:ser>
          <c:idx val="26"/>
          <c:order val="26"/>
          <c:tx>
            <c:strRef>
              <c:f>'2x2 – Option 1'!$H$32</c:f>
              <c:strCache>
                <c:ptCount val="1"/>
                <c:pt idx="0">
                  <c:v/>
                </c:pt>
              </c:strCache>
            </c:strRef>
          </c:tx>
          <c:spPr>
            <a:solidFill>
              <a:srgbClr val="1f3864"/>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1'!$I$32</c:f>
              <c:numCache>
                <c:formatCode>#,##0.00</c:formatCode>
                <c:ptCount val="1"/>
              </c:numCache>
            </c:numRef>
          </c:xVal>
          <c:yVal>
            <c:numRef>
              <c:f>'2x2 – Option 1'!$J$32</c:f>
              <c:numCache>
                <c:formatCode>#,##0</c:formatCode>
                <c:ptCount val="1"/>
              </c:numCache>
            </c:numRef>
          </c:yVal>
          <c:bubbleSize>
            <c:numRef>
              <c:f>'2x2 – Option 1'!$K$32</c:f>
              <c:numCache>
                <c:formatCode>#,##0</c:formatCode>
                <c:ptCount val="1"/>
              </c:numCache>
            </c:numRef>
          </c:bubbleSize>
          <c:bubble3D val="0"/>
        </c:ser>
        <c:ser>
          <c:idx val="27"/>
          <c:order val="27"/>
          <c:tx>
            <c:strRef>
              <c:f>'2x2 – Option 1'!$H$33</c:f>
              <c:strCache>
                <c:ptCount val="1"/>
                <c:pt idx="0">
                  <c:v/>
                </c:pt>
              </c:strCache>
            </c:strRef>
          </c:tx>
          <c:spPr>
            <a:solidFill>
              <a:srgbClr val="1f3864"/>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1'!$I$33</c:f>
              <c:numCache>
                <c:formatCode>#,##0.00</c:formatCode>
                <c:ptCount val="1"/>
              </c:numCache>
            </c:numRef>
          </c:xVal>
          <c:yVal>
            <c:numRef>
              <c:f>'2x2 – Option 1'!$J$33</c:f>
              <c:numCache>
                <c:formatCode>#,##0</c:formatCode>
                <c:ptCount val="1"/>
              </c:numCache>
            </c:numRef>
          </c:yVal>
          <c:bubbleSize>
            <c:numRef>
              <c:f>'2x2 – Option 1'!$K$33</c:f>
              <c:numCache>
                <c:formatCode>#,##0</c:formatCode>
                <c:ptCount val="1"/>
              </c:numCache>
            </c:numRef>
          </c:bubbleSize>
          <c:bubble3D val="0"/>
        </c:ser>
        <c:ser>
          <c:idx val="28"/>
          <c:order val="28"/>
          <c:tx>
            <c:strRef>
              <c:f>'2x2 – Option 1'!$H$34</c:f>
              <c:strCache>
                <c:ptCount val="1"/>
                <c:pt idx="0">
                  <c:v/>
                </c:pt>
              </c:strCache>
            </c:strRef>
          </c:tx>
          <c:spPr>
            <a:solidFill>
              <a:srgbClr val="1f3864"/>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1'!$I$34</c:f>
              <c:numCache>
                <c:formatCode>#,##0.00</c:formatCode>
                <c:ptCount val="1"/>
              </c:numCache>
            </c:numRef>
          </c:xVal>
          <c:yVal>
            <c:numRef>
              <c:f>'2x2 – Option 1'!$J$34</c:f>
              <c:numCache>
                <c:formatCode>#,##0</c:formatCode>
                <c:ptCount val="1"/>
              </c:numCache>
            </c:numRef>
          </c:yVal>
          <c:bubbleSize>
            <c:numRef>
              <c:f>'2x2 – Option 1'!$K$34</c:f>
              <c:numCache>
                <c:formatCode>#,##0</c:formatCode>
                <c:ptCount val="1"/>
              </c:numCache>
            </c:numRef>
          </c:bubbleSize>
          <c:bubble3D val="0"/>
        </c:ser>
        <c:ser>
          <c:idx val="29"/>
          <c:order val="29"/>
          <c:tx>
            <c:strRef>
              <c:f>'2x2 – Option 1'!$H$35</c:f>
              <c:strCache>
                <c:ptCount val="1"/>
                <c:pt idx="0">
                  <c:v/>
                </c:pt>
              </c:strCache>
            </c:strRef>
          </c:tx>
          <c:spPr>
            <a:solidFill>
              <a:srgbClr val="1f3864"/>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1'!$I$35</c:f>
              <c:numCache>
                <c:formatCode>#,##0.00</c:formatCode>
                <c:ptCount val="1"/>
              </c:numCache>
            </c:numRef>
          </c:xVal>
          <c:yVal>
            <c:numRef>
              <c:f>'2x2 – Option 1'!$J$35</c:f>
              <c:numCache>
                <c:formatCode>#,##0</c:formatCode>
                <c:ptCount val="1"/>
              </c:numCache>
            </c:numRef>
          </c:yVal>
          <c:bubbleSize>
            <c:numRef>
              <c:f>'2x2 – Option 1'!$K$35</c:f>
              <c:numCache>
                <c:formatCode>#,##0</c:formatCode>
                <c:ptCount val="1"/>
              </c:numCache>
            </c:numRef>
          </c:bubbleSize>
          <c:bubble3D val="0"/>
        </c:ser>
        <c:ser>
          <c:idx val="30"/>
          <c:order val="30"/>
          <c:tx>
            <c:strRef>
              <c:f>'2x2 – Option 1'!$H$6</c:f>
              <c:strCache>
                <c:ptCount val="1"/>
                <c:pt idx="0">
                  <c:v>Azacitidine (P1)</c:v>
                </c:pt>
              </c:strCache>
            </c:strRef>
          </c:tx>
          <c:spPr>
            <a:solidFill>
              <a:srgbClr val="5b9bd5"/>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1'!$L$6</c:f>
              <c:numCache>
                <c:formatCode>#,##0.00</c:formatCode>
                <c:ptCount val="1"/>
              </c:numCache>
            </c:numRef>
          </c:xVal>
          <c:yVal>
            <c:numRef>
              <c:f>'2x2 – Option 1'!$M$6</c:f>
              <c:numCache>
                <c:formatCode>#,##0</c:formatCode>
                <c:ptCount val="1"/>
              </c:numCache>
            </c:numRef>
          </c:yVal>
          <c:bubbleSize>
            <c:numRef>
              <c:f>'2x2 – Option 1'!$N$6</c:f>
              <c:numCache>
                <c:formatCode>#,##0</c:formatCode>
                <c:ptCount val="1"/>
              </c:numCache>
            </c:numRef>
          </c:bubbleSize>
          <c:bubble3D val="0"/>
        </c:ser>
        <c:ser>
          <c:idx val="31"/>
          <c:order val="31"/>
          <c:tx>
            <c:strRef>
              <c:f>'2x2 – Option 1'!$H$7</c:f>
              <c:strCache>
                <c:ptCount val="1"/>
                <c:pt idx="0">
                  <c:v>Bortezomib (P1)</c:v>
                </c:pt>
              </c:strCache>
            </c:strRef>
          </c:tx>
          <c:spPr>
            <a:solidFill>
              <a:srgbClr val="5b9bd5"/>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1'!$L$7</c:f>
              <c:numCache>
                <c:formatCode>#,##0.00</c:formatCode>
                <c:ptCount val="1"/>
              </c:numCache>
            </c:numRef>
          </c:xVal>
          <c:yVal>
            <c:numRef>
              <c:f>'2x2 – Option 1'!$M$7</c:f>
              <c:numCache>
                <c:formatCode>#,##0</c:formatCode>
                <c:ptCount val="1"/>
              </c:numCache>
            </c:numRef>
          </c:yVal>
          <c:bubbleSize>
            <c:numRef>
              <c:f>'2x2 – Option 1'!$N$7</c:f>
              <c:numCache>
                <c:formatCode>#,##0</c:formatCode>
                <c:ptCount val="1"/>
              </c:numCache>
            </c:numRef>
          </c:bubbleSize>
          <c:bubble3D val="0"/>
        </c:ser>
        <c:ser>
          <c:idx val="32"/>
          <c:order val="32"/>
          <c:tx>
            <c:strRef>
              <c:f>'2x2 – Option 1'!$H$8</c:f>
              <c:strCache>
                <c:ptCount val="1"/>
                <c:pt idx="0">
                  <c:v>Pegfilgrastim (P1)</c:v>
                </c:pt>
              </c:strCache>
            </c:strRef>
          </c:tx>
          <c:spPr>
            <a:solidFill>
              <a:srgbClr val="5b9bd5"/>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1'!$L$8</c:f>
              <c:numCache>
                <c:formatCode>#,##0.00</c:formatCode>
                <c:ptCount val="1"/>
              </c:numCache>
            </c:numRef>
          </c:xVal>
          <c:yVal>
            <c:numRef>
              <c:f>'2x2 – Option 1'!$M$8</c:f>
              <c:numCache>
                <c:formatCode>#,##0</c:formatCode>
                <c:ptCount val="1"/>
              </c:numCache>
            </c:numRef>
          </c:yVal>
          <c:bubbleSize>
            <c:numRef>
              <c:f>'2x2 – Option 1'!$N$8</c:f>
              <c:numCache>
                <c:formatCode>#,##0</c:formatCode>
                <c:ptCount val="1"/>
              </c:numCache>
            </c:numRef>
          </c:bubbleSize>
          <c:bubble3D val="0"/>
        </c:ser>
        <c:ser>
          <c:idx val="33"/>
          <c:order val="33"/>
          <c:tx>
            <c:strRef>
              <c:f>'2x2 – Option 1'!$H$9</c:f>
              <c:strCache>
                <c:ptCount val="1"/>
                <c:pt idx="0">
                  <c:v>Methotrexate (P1)</c:v>
                </c:pt>
              </c:strCache>
            </c:strRef>
          </c:tx>
          <c:spPr>
            <a:solidFill>
              <a:srgbClr val="5b9bd5"/>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1'!$L$9</c:f>
              <c:numCache>
                <c:formatCode>#,##0.00</c:formatCode>
                <c:ptCount val="1"/>
              </c:numCache>
            </c:numRef>
          </c:xVal>
          <c:yVal>
            <c:numRef>
              <c:f>'2x2 – Option 1'!$M$9</c:f>
              <c:numCache>
                <c:formatCode>#,##0</c:formatCode>
                <c:ptCount val="1"/>
              </c:numCache>
            </c:numRef>
          </c:yVal>
          <c:bubbleSize>
            <c:numRef>
              <c:f>'2x2 – Option 1'!$N$9</c:f>
              <c:numCache>
                <c:formatCode>#,##0</c:formatCode>
                <c:ptCount val="1"/>
              </c:numCache>
            </c:numRef>
          </c:bubbleSize>
          <c:bubble3D val="0"/>
        </c:ser>
        <c:ser>
          <c:idx val="34"/>
          <c:order val="34"/>
          <c:tx>
            <c:strRef>
              <c:f>'2x2 – Option 1'!$H$10</c:f>
              <c:strCache>
                <c:ptCount val="1"/>
                <c:pt idx="0">
                  <c:v>Fulvestrant (P1)</c:v>
                </c:pt>
              </c:strCache>
            </c:strRef>
          </c:tx>
          <c:spPr>
            <a:solidFill>
              <a:srgbClr val="5b9bd5"/>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1'!$L$10</c:f>
              <c:numCache>
                <c:formatCode>#,##0.00</c:formatCode>
                <c:ptCount val="1"/>
              </c:numCache>
            </c:numRef>
          </c:xVal>
          <c:yVal>
            <c:numRef>
              <c:f>'2x2 – Option 1'!$M$10</c:f>
              <c:numCache>
                <c:formatCode>#,##0</c:formatCode>
                <c:ptCount val="1"/>
              </c:numCache>
            </c:numRef>
          </c:yVal>
          <c:bubbleSize>
            <c:numRef>
              <c:f>'2x2 – Option 1'!$N$10</c:f>
              <c:numCache>
                <c:formatCode>#,##0</c:formatCode>
                <c:ptCount val="1"/>
              </c:numCache>
            </c:numRef>
          </c:bubbleSize>
          <c:bubble3D val="0"/>
        </c:ser>
        <c:ser>
          <c:idx val="35"/>
          <c:order val="35"/>
          <c:tx>
            <c:strRef>
              <c:f>'2x2 – Option 1'!$H$11</c:f>
              <c:strCache>
                <c:ptCount val="1"/>
                <c:pt idx="0">
                  <c:v>Phenylephrine (P1)</c:v>
                </c:pt>
              </c:strCache>
            </c:strRef>
          </c:tx>
          <c:spPr>
            <a:solidFill>
              <a:srgbClr val="5b9bd5"/>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1'!$L$11</c:f>
              <c:numCache>
                <c:formatCode>#,##0.00</c:formatCode>
                <c:ptCount val="1"/>
              </c:numCache>
            </c:numRef>
          </c:xVal>
          <c:yVal>
            <c:numRef>
              <c:f>'2x2 – Option 1'!$M$11</c:f>
              <c:numCache>
                <c:formatCode>#,##0</c:formatCode>
                <c:ptCount val="1"/>
              </c:numCache>
            </c:numRef>
          </c:yVal>
          <c:bubbleSize>
            <c:numRef>
              <c:f>'2x2 – Option 1'!$N$11</c:f>
              <c:numCache>
                <c:formatCode>#,##0</c:formatCode>
                <c:ptCount val="1"/>
              </c:numCache>
            </c:numRef>
          </c:bubbleSize>
          <c:bubble3D val="0"/>
        </c:ser>
        <c:ser>
          <c:idx val="36"/>
          <c:order val="36"/>
          <c:tx>
            <c:strRef>
              <c:f>'2x2 – Option 1'!$H$12</c:f>
              <c:strCache>
                <c:ptCount val="1"/>
                <c:pt idx="0">
                  <c:v>Epinephrine (Adrenaline) (P1)</c:v>
                </c:pt>
              </c:strCache>
            </c:strRef>
          </c:tx>
          <c:spPr>
            <a:solidFill>
              <a:srgbClr val="5b9bd5"/>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1'!$L$12</c:f>
              <c:numCache>
                <c:formatCode>#,##0.00</c:formatCode>
                <c:ptCount val="1"/>
              </c:numCache>
            </c:numRef>
          </c:xVal>
          <c:yVal>
            <c:numRef>
              <c:f>'2x2 – Option 1'!$M$12</c:f>
              <c:numCache>
                <c:formatCode>#,##0</c:formatCode>
                <c:ptCount val="1"/>
              </c:numCache>
            </c:numRef>
          </c:yVal>
          <c:bubbleSize>
            <c:numRef>
              <c:f>'2x2 – Option 1'!$N$12</c:f>
              <c:numCache>
                <c:formatCode>#,##0</c:formatCode>
                <c:ptCount val="1"/>
              </c:numCache>
            </c:numRef>
          </c:bubbleSize>
          <c:bubble3D val="0"/>
        </c:ser>
        <c:ser>
          <c:idx val="37"/>
          <c:order val="37"/>
          <c:tx>
            <c:strRef>
              <c:f>'2x2 – Option 1'!$H$13</c:f>
              <c:strCache>
                <c:ptCount val="1"/>
                <c:pt idx="0">
                  <c:v>Bleomycin (P1)</c:v>
                </c:pt>
              </c:strCache>
            </c:strRef>
          </c:tx>
          <c:spPr>
            <a:solidFill>
              <a:srgbClr val="5b9bd5"/>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1'!$L$13</c:f>
              <c:numCache>
                <c:formatCode>#,##0.00</c:formatCode>
                <c:ptCount val="1"/>
              </c:numCache>
            </c:numRef>
          </c:xVal>
          <c:yVal>
            <c:numRef>
              <c:f>'2x2 – Option 1'!$M$13</c:f>
              <c:numCache>
                <c:formatCode>#,##0</c:formatCode>
                <c:ptCount val="1"/>
              </c:numCache>
            </c:numRef>
          </c:yVal>
          <c:bubbleSize>
            <c:numRef>
              <c:f>'2x2 – Option 1'!$N$13</c:f>
              <c:numCache>
                <c:formatCode>#,##0</c:formatCode>
                <c:ptCount val="1"/>
              </c:numCache>
            </c:numRef>
          </c:bubbleSize>
          <c:bubble3D val="0"/>
        </c:ser>
        <c:ser>
          <c:idx val="38"/>
          <c:order val="38"/>
          <c:tx>
            <c:strRef>
              <c:f>'2x2 – Option 1'!$H$14</c:f>
              <c:strCache>
                <c:ptCount val="1"/>
                <c:pt idx="0">
                  <c:v>Denosumab (P1)</c:v>
                </c:pt>
              </c:strCache>
            </c:strRef>
          </c:tx>
          <c:spPr>
            <a:solidFill>
              <a:srgbClr val="5b9bd5"/>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1'!$L$14</c:f>
              <c:numCache>
                <c:formatCode>#,##0.00</c:formatCode>
                <c:ptCount val="1"/>
              </c:numCache>
            </c:numRef>
          </c:xVal>
          <c:yVal>
            <c:numRef>
              <c:f>'2x2 – Option 1'!$M$14</c:f>
              <c:numCache>
                <c:formatCode>#,##0</c:formatCode>
                <c:ptCount val="1"/>
              </c:numCache>
            </c:numRef>
          </c:yVal>
          <c:bubbleSize>
            <c:numRef>
              <c:f>'2x2 – Option 1'!$N$14</c:f>
              <c:numCache>
                <c:formatCode>#,##0</c:formatCode>
                <c:ptCount val="1"/>
              </c:numCache>
            </c:numRef>
          </c:bubbleSize>
          <c:bubble3D val="0"/>
        </c:ser>
        <c:ser>
          <c:idx val="39"/>
          <c:order val="39"/>
          <c:tx>
            <c:strRef>
              <c:f>'2x2 – Option 1'!$H$15</c:f>
              <c:strCache>
                <c:ptCount val="1"/>
                <c:pt idx="0">
                  <c:v>Ceftriaxone (P2)</c:v>
                </c:pt>
              </c:strCache>
            </c:strRef>
          </c:tx>
          <c:spPr>
            <a:solidFill>
              <a:srgbClr val="5b9bd5"/>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1'!$L$15</c:f>
              <c:numCache>
                <c:formatCode>#,##0.00</c:formatCode>
                <c:ptCount val="1"/>
                <c:pt idx="0">
                  <c:v>5.6</c:v>
                </c:pt>
              </c:numCache>
            </c:numRef>
          </c:xVal>
          <c:yVal>
            <c:numRef>
              <c:f>'2x2 – Option 1'!$M$15</c:f>
              <c:numCache>
                <c:formatCode>#,##0</c:formatCode>
                <c:ptCount val="1"/>
                <c:pt idx="0">
                  <c:v>3110</c:v>
                </c:pt>
              </c:numCache>
            </c:numRef>
          </c:yVal>
          <c:bubbleSize>
            <c:numRef>
              <c:f>'2x2 – Option 1'!$N$15</c:f>
              <c:numCache>
                <c:formatCode>#,##0</c:formatCode>
                <c:ptCount val="1"/>
                <c:pt idx="0">
                  <c:v>93119.2</c:v>
                </c:pt>
              </c:numCache>
            </c:numRef>
          </c:bubbleSize>
          <c:bubble3D val="0"/>
        </c:ser>
        <c:ser>
          <c:idx val="40"/>
          <c:order val="40"/>
          <c:tx>
            <c:strRef>
              <c:f>'2x2 – Option 1'!$H$16</c:f>
              <c:strCache>
                <c:ptCount val="1"/>
                <c:pt idx="0">
                  <c:v>Ondansetron (P2)</c:v>
                </c:pt>
              </c:strCache>
            </c:strRef>
          </c:tx>
          <c:spPr>
            <a:solidFill>
              <a:srgbClr val="5b9bd5"/>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1'!$L$16</c:f>
              <c:numCache>
                <c:formatCode>#,##0.00</c:formatCode>
                <c:ptCount val="1"/>
                <c:pt idx="0">
                  <c:v>24.05</c:v>
                </c:pt>
              </c:numCache>
            </c:numRef>
          </c:xVal>
          <c:yVal>
            <c:numRef>
              <c:f>'2x2 – Option 1'!$M$16</c:f>
              <c:numCache>
                <c:formatCode>#,##0</c:formatCode>
                <c:ptCount val="1"/>
                <c:pt idx="0">
                  <c:v>963</c:v>
                </c:pt>
              </c:numCache>
            </c:numRef>
          </c:yVal>
          <c:bubbleSize>
            <c:numRef>
              <c:f>'2x2 – Option 1'!$N$16</c:f>
              <c:numCache>
                <c:formatCode>#,##0</c:formatCode>
                <c:ptCount val="1"/>
                <c:pt idx="0">
                  <c:v>17590.5</c:v>
                </c:pt>
              </c:numCache>
            </c:numRef>
          </c:bubbleSize>
          <c:bubble3D val="0"/>
        </c:ser>
        <c:ser>
          <c:idx val="41"/>
          <c:order val="41"/>
          <c:tx>
            <c:strRef>
              <c:f>'2x2 – Option 1'!$H$17</c:f>
              <c:strCache>
                <c:ptCount val="1"/>
                <c:pt idx="0">
                  <c:v>Plerixafor (P2)</c:v>
                </c:pt>
              </c:strCache>
            </c:strRef>
          </c:tx>
          <c:spPr>
            <a:solidFill>
              <a:srgbClr val="5b9bd5"/>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1'!$L$17</c:f>
              <c:numCache>
                <c:formatCode>#,##0.00</c:formatCode>
                <c:ptCount val="1"/>
                <c:pt idx="0">
                  <c:v>4779</c:v>
                </c:pt>
              </c:numCache>
            </c:numRef>
          </c:xVal>
          <c:yVal>
            <c:numRef>
              <c:f>'2x2 – Option 1'!$M$17</c:f>
              <c:numCache>
                <c:formatCode>#,##0</c:formatCode>
                <c:ptCount val="1"/>
                <c:pt idx="0">
                  <c:v>47</c:v>
                </c:pt>
              </c:numCache>
            </c:numRef>
          </c:yVal>
          <c:bubbleSize>
            <c:numRef>
              <c:f>'2x2 – Option 1'!$N$17</c:f>
              <c:numCache>
                <c:formatCode>#,##0</c:formatCode>
                <c:ptCount val="1"/>
                <c:pt idx="0">
                  <c:v>7904.7</c:v>
                </c:pt>
              </c:numCache>
            </c:numRef>
          </c:bubbleSize>
          <c:bubble3D val="0"/>
        </c:ser>
        <c:ser>
          <c:idx val="42"/>
          <c:order val="42"/>
          <c:tx>
            <c:strRef>
              <c:f>'2x2 – Option 1'!$H$18</c:f>
              <c:strCache>
                <c:ptCount val="1"/>
                <c:pt idx="0">
                  <c:v>Cytarabine (P2)</c:v>
                </c:pt>
              </c:strCache>
            </c:strRef>
          </c:tx>
          <c:spPr>
            <a:solidFill>
              <a:srgbClr val="5b9bd5"/>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1'!$L$18</c:f>
              <c:numCache>
                <c:formatCode>#,##0.00</c:formatCode>
                <c:ptCount val="1"/>
                <c:pt idx="0">
                  <c:v>6.7</c:v>
                </c:pt>
              </c:numCache>
            </c:numRef>
          </c:xVal>
          <c:yVal>
            <c:numRef>
              <c:f>'2x2 – Option 1'!$M$18</c:f>
              <c:numCache>
                <c:formatCode>#,##0</c:formatCode>
                <c:ptCount val="1"/>
                <c:pt idx="0">
                  <c:v>799</c:v>
                </c:pt>
              </c:numCache>
            </c:numRef>
          </c:yVal>
          <c:bubbleSize>
            <c:numRef>
              <c:f>'2x2 – Option 1'!$N$18</c:f>
              <c:numCache>
                <c:formatCode>#,##0</c:formatCode>
                <c:ptCount val="1"/>
                <c:pt idx="0">
                  <c:v>7739</c:v>
                </c:pt>
              </c:numCache>
            </c:numRef>
          </c:bubbleSize>
          <c:bubble3D val="0"/>
        </c:ser>
        <c:ser>
          <c:idx val="43"/>
          <c:order val="43"/>
          <c:tx>
            <c:strRef>
              <c:f>'2x2 – Option 1'!$H$19</c:f>
              <c:strCache>
                <c:ptCount val="1"/>
                <c:pt idx="0">
                  <c:v>Atropine (P2)</c:v>
                </c:pt>
              </c:strCache>
            </c:strRef>
          </c:tx>
          <c:spPr>
            <a:solidFill>
              <a:srgbClr val="5b9bd5"/>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1'!$L$19</c:f>
              <c:numCache>
                <c:formatCode>#,##0.00</c:formatCode>
                <c:ptCount val="1"/>
                <c:pt idx="0">
                  <c:v>16.48</c:v>
                </c:pt>
              </c:numCache>
            </c:numRef>
          </c:xVal>
          <c:yVal>
            <c:numRef>
              <c:f>'2x2 – Option 1'!$M$19</c:f>
              <c:numCache>
                <c:formatCode>#,##0</c:formatCode>
                <c:ptCount val="1"/>
                <c:pt idx="0">
                  <c:v>715</c:v>
                </c:pt>
              </c:numCache>
            </c:numRef>
          </c:yVal>
          <c:bubbleSize>
            <c:numRef>
              <c:f>'2x2 – Option 1'!$N$19</c:f>
              <c:numCache>
                <c:formatCode>#,##0</c:formatCode>
                <c:ptCount val="1"/>
                <c:pt idx="0">
                  <c:v>6805</c:v>
                </c:pt>
              </c:numCache>
            </c:numRef>
          </c:bubbleSize>
          <c:bubble3D val="0"/>
        </c:ser>
        <c:ser>
          <c:idx val="44"/>
          <c:order val="44"/>
          <c:tx>
            <c:strRef>
              <c:f>'2x2 – Option 1'!$H$20</c:f>
              <c:strCache>
                <c:ptCount val="1"/>
                <c:pt idx="0">
                  <c:v>Teicoplanin (P2)</c:v>
                </c:pt>
              </c:strCache>
            </c:strRef>
          </c:tx>
          <c:spPr>
            <a:solidFill>
              <a:srgbClr val="5b9bd5"/>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1'!$L$20</c:f>
              <c:numCache>
                <c:formatCode>#,##0.00</c:formatCode>
                <c:ptCount val="1"/>
                <c:pt idx="0">
                  <c:v>35.27</c:v>
                </c:pt>
              </c:numCache>
            </c:numRef>
          </c:xVal>
          <c:yVal>
            <c:numRef>
              <c:f>'2x2 – Option 1'!$M$20</c:f>
              <c:numCache>
                <c:formatCode>#,##0</c:formatCode>
                <c:ptCount val="1"/>
                <c:pt idx="0">
                  <c:v>99</c:v>
                </c:pt>
              </c:numCache>
            </c:numRef>
          </c:yVal>
          <c:bubbleSize>
            <c:numRef>
              <c:f>'2x2 – Option 1'!$N$20</c:f>
              <c:numCache>
                <c:formatCode>#,##0</c:formatCode>
                <c:ptCount val="1"/>
                <c:pt idx="0">
                  <c:v>6632.6</c:v>
                </c:pt>
              </c:numCache>
            </c:numRef>
          </c:bubbleSize>
          <c:bubble3D val="0"/>
        </c:ser>
        <c:ser>
          <c:idx val="45"/>
          <c:order val="45"/>
          <c:tx>
            <c:strRef>
              <c:f>'2x2 – Option 1'!$H$21</c:f>
              <c:strCache>
                <c:ptCount val="1"/>
                <c:pt idx="0">
                  <c:v>Cefepime (P2)</c:v>
                </c:pt>
              </c:strCache>
            </c:strRef>
          </c:tx>
          <c:spPr>
            <a:solidFill>
              <a:srgbClr val="5b9bd5"/>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1'!$L$21</c:f>
              <c:numCache>
                <c:formatCode>#,##0.00</c:formatCode>
                <c:ptCount val="1"/>
                <c:pt idx="0">
                  <c:v>9.65</c:v>
                </c:pt>
              </c:numCache>
            </c:numRef>
          </c:xVal>
          <c:yVal>
            <c:numRef>
              <c:f>'2x2 – Option 1'!$M$21</c:f>
              <c:numCache>
                <c:formatCode>#,##0</c:formatCode>
                <c:ptCount val="1"/>
                <c:pt idx="0">
                  <c:v>288</c:v>
                </c:pt>
              </c:numCache>
            </c:numRef>
          </c:yVal>
          <c:bubbleSize>
            <c:numRef>
              <c:f>'2x2 – Option 1'!$N$21</c:f>
              <c:numCache>
                <c:formatCode>#,##0</c:formatCode>
                <c:ptCount val="1"/>
                <c:pt idx="0">
                  <c:v>6294.9</c:v>
                </c:pt>
              </c:numCache>
            </c:numRef>
          </c:bubbleSize>
          <c:bubble3D val="0"/>
        </c:ser>
        <c:ser>
          <c:idx val="46"/>
          <c:order val="46"/>
          <c:tx>
            <c:strRef>
              <c:f>'2x2 – Option 1'!$H$22</c:f>
              <c:strCache>
                <c:ptCount val="1"/>
                <c:pt idx="0">
                  <c:v>Midazolam (P2)</c:v>
                </c:pt>
              </c:strCache>
            </c:strRef>
          </c:tx>
          <c:spPr>
            <a:solidFill>
              <a:srgbClr val="5b9bd5"/>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1'!$L$22</c:f>
              <c:numCache>
                <c:formatCode>#,##0.00</c:formatCode>
                <c:ptCount val="1"/>
                <c:pt idx="0">
                  <c:v>11.33</c:v>
                </c:pt>
              </c:numCache>
            </c:numRef>
          </c:xVal>
          <c:yVal>
            <c:numRef>
              <c:f>'2x2 – Option 1'!$M$22</c:f>
              <c:numCache>
                <c:formatCode>#,##0</c:formatCode>
                <c:ptCount val="1"/>
                <c:pt idx="0">
                  <c:v>177</c:v>
                </c:pt>
              </c:numCache>
            </c:numRef>
          </c:yVal>
          <c:bubbleSize>
            <c:numRef>
              <c:f>'2x2 – Option 1'!$N$22</c:f>
              <c:numCache>
                <c:formatCode>#,##0</c:formatCode>
                <c:ptCount val="1"/>
                <c:pt idx="0">
                  <c:v>4675.1</c:v>
                </c:pt>
              </c:numCache>
            </c:numRef>
          </c:bubbleSize>
          <c:bubble3D val="0"/>
        </c:ser>
        <c:ser>
          <c:idx val="47"/>
          <c:order val="47"/>
          <c:tx>
            <c:strRef>
              <c:f>'2x2 – Option 1'!$H$23</c:f>
              <c:strCache>
                <c:ptCount val="1"/>
                <c:pt idx="0">
                  <c:v>Succinylcholine (Suxamethonium) (P2)</c:v>
                </c:pt>
              </c:strCache>
            </c:strRef>
          </c:tx>
          <c:spPr>
            <a:solidFill>
              <a:srgbClr val="5b9bd5"/>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1'!$L$23</c:f>
              <c:numCache>
                <c:formatCode>#,##0.00</c:formatCode>
                <c:ptCount val="1"/>
                <c:pt idx="0">
                  <c:v>5.12</c:v>
                </c:pt>
              </c:numCache>
            </c:numRef>
          </c:xVal>
          <c:yVal>
            <c:numRef>
              <c:f>'2x2 – Option 1'!$M$23</c:f>
              <c:numCache>
                <c:formatCode>#,##0</c:formatCode>
                <c:ptCount val="1"/>
                <c:pt idx="0">
                  <c:v>286</c:v>
                </c:pt>
              </c:numCache>
            </c:numRef>
          </c:yVal>
          <c:bubbleSize>
            <c:numRef>
              <c:f>'2x2 – Option 1'!$N$23</c:f>
              <c:numCache>
                <c:formatCode>#,##0</c:formatCode>
                <c:ptCount val="1"/>
                <c:pt idx="0">
                  <c:v>3067.4</c:v>
                </c:pt>
              </c:numCache>
            </c:numRef>
          </c:bubbleSize>
          <c:bubble3D val="0"/>
        </c:ser>
        <c:ser>
          <c:idx val="48"/>
          <c:order val="48"/>
          <c:tx>
            <c:strRef>
              <c:f>'2x2 – Option 1'!$H$24</c:f>
              <c:strCache>
                <c:ptCount val="1"/>
                <c:pt idx="0">
                  <c:v>Leuprorelin (P2)</c:v>
                </c:pt>
              </c:strCache>
            </c:strRef>
          </c:tx>
          <c:spPr>
            <a:solidFill>
              <a:srgbClr val="5b9bd5"/>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1'!$L$24</c:f>
              <c:numCache>
                <c:formatCode>#,##0.00</c:formatCode>
                <c:ptCount val="1"/>
                <c:pt idx="0">
                  <c:v>433.94</c:v>
                </c:pt>
              </c:numCache>
            </c:numRef>
          </c:xVal>
          <c:yVal>
            <c:numRef>
              <c:f>'2x2 – Option 1'!$M$24</c:f>
              <c:numCache>
                <c:formatCode>#,##0</c:formatCode>
                <c:ptCount val="1"/>
                <c:pt idx="0">
                  <c:v>111</c:v>
                </c:pt>
              </c:numCache>
            </c:numRef>
          </c:yVal>
          <c:bubbleSize>
            <c:numRef>
              <c:f>'2x2 – Option 1'!$N$24</c:f>
              <c:numCache>
                <c:formatCode>#,##0</c:formatCode>
                <c:ptCount val="1"/>
                <c:pt idx="0">
                  <c:v>2489.4</c:v>
                </c:pt>
              </c:numCache>
            </c:numRef>
          </c:bubbleSize>
          <c:bubble3D val="0"/>
        </c:ser>
        <c:ser>
          <c:idx val="49"/>
          <c:order val="49"/>
          <c:tx>
            <c:strRef>
              <c:f>'2x2 – Option 1'!$H$25</c:f>
              <c:strCache>
                <c:ptCount val="1"/>
                <c:pt idx="0">
                  <c:v>Ustekinumab (P2)</c:v>
                </c:pt>
              </c:strCache>
            </c:strRef>
          </c:tx>
          <c:spPr>
            <a:solidFill>
              <a:srgbClr val="5b9bd5"/>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1'!$L$25</c:f>
              <c:numCache>
                <c:formatCode>#,##0.00</c:formatCode>
                <c:ptCount val="1"/>
                <c:pt idx="0">
                  <c:v>2838.33</c:v>
                </c:pt>
              </c:numCache>
            </c:numRef>
          </c:xVal>
          <c:yVal>
            <c:numRef>
              <c:f>'2x2 – Option 1'!$M$25</c:f>
              <c:numCache>
                <c:formatCode>#,##0</c:formatCode>
                <c:ptCount val="1"/>
                <c:pt idx="0">
                  <c:v>125</c:v>
                </c:pt>
              </c:numCache>
            </c:numRef>
          </c:yVal>
          <c:bubbleSize>
            <c:numRef>
              <c:f>'2x2 – Option 1'!$N$25</c:f>
              <c:numCache>
                <c:formatCode>#,##0</c:formatCode>
                <c:ptCount val="1"/>
                <c:pt idx="0">
                  <c:v>2485.9</c:v>
                </c:pt>
              </c:numCache>
            </c:numRef>
          </c:bubbleSize>
          <c:bubble3D val="0"/>
        </c:ser>
        <c:ser>
          <c:idx val="50"/>
          <c:order val="50"/>
          <c:tx>
            <c:strRef>
              <c:f>'2x2 – Option 1'!$H$26</c:f>
              <c:strCache>
                <c:ptCount val="1"/>
                <c:pt idx="0">
                  <c:v>Degarelix (P2)</c:v>
                </c:pt>
              </c:strCache>
            </c:strRef>
          </c:tx>
          <c:spPr>
            <a:solidFill>
              <a:srgbClr val="5b9bd5"/>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1'!$L$26</c:f>
              <c:numCache>
                <c:formatCode>#,##0.00</c:formatCode>
                <c:ptCount val="1"/>
                <c:pt idx="0">
                  <c:v>92.62</c:v>
                </c:pt>
              </c:numCache>
            </c:numRef>
          </c:xVal>
          <c:yVal>
            <c:numRef>
              <c:f>'2x2 – Option 1'!$M$26</c:f>
              <c:numCache>
                <c:formatCode>#,##0</c:formatCode>
                <c:ptCount val="1"/>
                <c:pt idx="0">
                  <c:v>26</c:v>
                </c:pt>
              </c:numCache>
            </c:numRef>
          </c:yVal>
          <c:bubbleSize>
            <c:numRef>
              <c:f>'2x2 – Option 1'!$N$26</c:f>
              <c:numCache>
                <c:formatCode>#,##0</c:formatCode>
                <c:ptCount val="1"/>
                <c:pt idx="0">
                  <c:v>140.9</c:v>
                </c:pt>
              </c:numCache>
            </c:numRef>
          </c:bubbleSize>
          <c:bubble3D val="0"/>
        </c:ser>
        <c:ser>
          <c:idx val="51"/>
          <c:order val="51"/>
          <c:tx>
            <c:strRef>
              <c:f>'2x2 – Option 1'!$H$27</c:f>
              <c:strCache>
                <c:ptCount val="1"/>
                <c:pt idx="0">
                  <c:v>Flucloxacillin (P3)</c:v>
                </c:pt>
              </c:strCache>
            </c:strRef>
          </c:tx>
          <c:spPr>
            <a:solidFill>
              <a:srgbClr val="5b9bd5"/>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1'!$L$27</c:f>
              <c:numCache>
                <c:formatCode>#,##0.00</c:formatCode>
                <c:ptCount val="1"/>
              </c:numCache>
            </c:numRef>
          </c:xVal>
          <c:yVal>
            <c:numRef>
              <c:f>'2x2 – Option 1'!$M$27</c:f>
              <c:numCache>
                <c:formatCode>#,##0</c:formatCode>
                <c:ptCount val="1"/>
              </c:numCache>
            </c:numRef>
          </c:yVal>
          <c:bubbleSize>
            <c:numRef>
              <c:f>'2x2 – Option 1'!$N$27</c:f>
              <c:numCache>
                <c:formatCode>#,##0</c:formatCode>
                <c:ptCount val="1"/>
              </c:numCache>
            </c:numRef>
          </c:bubbleSize>
          <c:bubble3D val="0"/>
        </c:ser>
        <c:ser>
          <c:idx val="52"/>
          <c:order val="52"/>
          <c:tx>
            <c:strRef>
              <c:f>'2x2 – Option 1'!$H$28</c:f>
              <c:strCache>
                <c:ptCount val="1"/>
                <c:pt idx="0">
                  <c:v>Progesterone (P3)</c:v>
                </c:pt>
              </c:strCache>
            </c:strRef>
          </c:tx>
          <c:spPr>
            <a:solidFill>
              <a:srgbClr val="5b9bd5"/>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1'!$L$28</c:f>
              <c:numCache>
                <c:formatCode>#,##0.00</c:formatCode>
                <c:ptCount val="1"/>
              </c:numCache>
            </c:numRef>
          </c:xVal>
          <c:yVal>
            <c:numRef>
              <c:f>'2x2 – Option 1'!$M$28</c:f>
              <c:numCache>
                <c:formatCode>#,##0</c:formatCode>
                <c:ptCount val="1"/>
              </c:numCache>
            </c:numRef>
          </c:yVal>
          <c:bubbleSize>
            <c:numRef>
              <c:f>'2x2 – Option 1'!$N$28</c:f>
              <c:numCache>
                <c:formatCode>#,##0</c:formatCode>
                <c:ptCount val="1"/>
              </c:numCache>
            </c:numRef>
          </c:bubbleSize>
          <c:bubble3D val="0"/>
        </c:ser>
        <c:ser>
          <c:idx val="53"/>
          <c:order val="53"/>
          <c:tx>
            <c:strRef>
              <c:f>'2x2 – Option 1'!$H$29</c:f>
              <c:strCache>
                <c:ptCount val="1"/>
                <c:pt idx="0">
                  <c:v>Colistimethate Sodium (P3)</c:v>
                </c:pt>
              </c:strCache>
            </c:strRef>
          </c:tx>
          <c:spPr>
            <a:solidFill>
              <a:srgbClr val="5b9bd5"/>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1'!$L$29</c:f>
              <c:numCache>
                <c:formatCode>#,##0.00</c:formatCode>
                <c:ptCount val="1"/>
              </c:numCache>
            </c:numRef>
          </c:xVal>
          <c:yVal>
            <c:numRef>
              <c:f>'2x2 – Option 1'!$M$29</c:f>
              <c:numCache>
                <c:formatCode>#,##0</c:formatCode>
                <c:ptCount val="1"/>
              </c:numCache>
            </c:numRef>
          </c:yVal>
          <c:bubbleSize>
            <c:numRef>
              <c:f>'2x2 – Option 1'!$N$29</c:f>
              <c:numCache>
                <c:formatCode>#,##0</c:formatCode>
                <c:ptCount val="1"/>
              </c:numCache>
            </c:numRef>
          </c:bubbleSize>
          <c:bubble3D val="0"/>
        </c:ser>
        <c:ser>
          <c:idx val="54"/>
          <c:order val="54"/>
          <c:tx>
            <c:strRef>
              <c:f>'2x2 – Option 1'!$H$30</c:f>
              <c:strCache>
                <c:ptCount val="1"/>
                <c:pt idx="0">
                  <c:v>Naloxone (P3)</c:v>
                </c:pt>
              </c:strCache>
            </c:strRef>
          </c:tx>
          <c:spPr>
            <a:solidFill>
              <a:srgbClr val="5b9bd5"/>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1'!$L$30</c:f>
              <c:numCache>
                <c:formatCode>#,##0.00</c:formatCode>
                <c:ptCount val="1"/>
              </c:numCache>
            </c:numRef>
          </c:xVal>
          <c:yVal>
            <c:numRef>
              <c:f>'2x2 – Option 1'!$M$30</c:f>
              <c:numCache>
                <c:formatCode>#,##0</c:formatCode>
                <c:ptCount val="1"/>
              </c:numCache>
            </c:numRef>
          </c:yVal>
          <c:bubbleSize>
            <c:numRef>
              <c:f>'2x2 – Option 1'!$N$30</c:f>
              <c:numCache>
                <c:formatCode>#,##0</c:formatCode>
                <c:ptCount val="1"/>
              </c:numCache>
            </c:numRef>
          </c:bubbleSize>
          <c:bubble3D val="0"/>
        </c:ser>
        <c:ser>
          <c:idx val="55"/>
          <c:order val="55"/>
          <c:tx>
            <c:strRef>
              <c:f>'2x2 – Option 1'!$H$31</c:f>
              <c:strCache>
                <c:ptCount val="1"/>
                <c:pt idx="0">
                  <c:v>Hydroxocobalamin (P3)</c:v>
                </c:pt>
              </c:strCache>
            </c:strRef>
          </c:tx>
          <c:spPr>
            <a:solidFill>
              <a:srgbClr val="5b9bd5"/>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1'!$L$31</c:f>
              <c:numCache>
                <c:formatCode>#,##0.00</c:formatCode>
                <c:ptCount val="1"/>
              </c:numCache>
            </c:numRef>
          </c:xVal>
          <c:yVal>
            <c:numRef>
              <c:f>'2x2 – Option 1'!$M$31</c:f>
              <c:numCache>
                <c:formatCode>#,##0</c:formatCode>
                <c:ptCount val="1"/>
              </c:numCache>
            </c:numRef>
          </c:yVal>
          <c:bubbleSize>
            <c:numRef>
              <c:f>'2x2 – Option 1'!$N$31</c:f>
              <c:numCache>
                <c:formatCode>#,##0</c:formatCode>
                <c:ptCount val="1"/>
              </c:numCache>
            </c:numRef>
          </c:bubbleSize>
          <c:bubble3D val="0"/>
        </c:ser>
        <c:ser>
          <c:idx val="56"/>
          <c:order val="56"/>
          <c:tx>
            <c:strRef>
              <c:f>'2x2 – Option 1'!$H$32</c:f>
              <c:strCache>
                <c:ptCount val="1"/>
                <c:pt idx="0">
                  <c:v/>
                </c:pt>
              </c:strCache>
            </c:strRef>
          </c:tx>
          <c:spPr>
            <a:solidFill>
              <a:srgbClr val="5b9bd5"/>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1'!$L$32</c:f>
              <c:numCache>
                <c:formatCode>#,##0.00</c:formatCode>
                <c:ptCount val="1"/>
              </c:numCache>
            </c:numRef>
          </c:xVal>
          <c:yVal>
            <c:numRef>
              <c:f>'2x2 – Option 1'!$M$32</c:f>
              <c:numCache>
                <c:formatCode>#,##0</c:formatCode>
                <c:ptCount val="1"/>
              </c:numCache>
            </c:numRef>
          </c:yVal>
          <c:bubbleSize>
            <c:numRef>
              <c:f>'2x2 – Option 1'!$N$32</c:f>
              <c:numCache>
                <c:formatCode>#,##0</c:formatCode>
                <c:ptCount val="1"/>
              </c:numCache>
            </c:numRef>
          </c:bubbleSize>
          <c:bubble3D val="0"/>
        </c:ser>
        <c:ser>
          <c:idx val="57"/>
          <c:order val="57"/>
          <c:tx>
            <c:strRef>
              <c:f>'2x2 – Option 1'!$H$33</c:f>
              <c:strCache>
                <c:ptCount val="1"/>
                <c:pt idx="0">
                  <c:v/>
                </c:pt>
              </c:strCache>
            </c:strRef>
          </c:tx>
          <c:spPr>
            <a:solidFill>
              <a:srgbClr val="5b9bd5"/>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1'!$L$33</c:f>
              <c:numCache>
                <c:formatCode>#,##0.00</c:formatCode>
                <c:ptCount val="1"/>
              </c:numCache>
            </c:numRef>
          </c:xVal>
          <c:yVal>
            <c:numRef>
              <c:f>'2x2 – Option 1'!$M$33</c:f>
              <c:numCache>
                <c:formatCode>#,##0</c:formatCode>
                <c:ptCount val="1"/>
              </c:numCache>
            </c:numRef>
          </c:yVal>
          <c:bubbleSize>
            <c:numRef>
              <c:f>'2x2 – Option 1'!$N$33</c:f>
              <c:numCache>
                <c:formatCode>#,##0</c:formatCode>
                <c:ptCount val="1"/>
              </c:numCache>
            </c:numRef>
          </c:bubbleSize>
          <c:bubble3D val="0"/>
        </c:ser>
        <c:ser>
          <c:idx val="58"/>
          <c:order val="58"/>
          <c:tx>
            <c:strRef>
              <c:f>'2x2 – Option 1'!$H$34</c:f>
              <c:strCache>
                <c:ptCount val="1"/>
                <c:pt idx="0">
                  <c:v/>
                </c:pt>
              </c:strCache>
            </c:strRef>
          </c:tx>
          <c:spPr>
            <a:solidFill>
              <a:srgbClr val="5b9bd5"/>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1'!$L$34</c:f>
              <c:numCache>
                <c:formatCode>#,##0.00</c:formatCode>
                <c:ptCount val="1"/>
              </c:numCache>
            </c:numRef>
          </c:xVal>
          <c:yVal>
            <c:numRef>
              <c:f>'2x2 – Option 1'!$M$34</c:f>
              <c:numCache>
                <c:formatCode>#,##0</c:formatCode>
                <c:ptCount val="1"/>
              </c:numCache>
            </c:numRef>
          </c:yVal>
          <c:bubbleSize>
            <c:numRef>
              <c:f>'2x2 – Option 1'!$N$34</c:f>
              <c:numCache>
                <c:formatCode>#,##0</c:formatCode>
                <c:ptCount val="1"/>
              </c:numCache>
            </c:numRef>
          </c:bubbleSize>
          <c:bubble3D val="0"/>
        </c:ser>
        <c:ser>
          <c:idx val="59"/>
          <c:order val="59"/>
          <c:tx>
            <c:strRef>
              <c:f>'2x2 – Option 1'!$H$35</c:f>
              <c:strCache>
                <c:ptCount val="1"/>
                <c:pt idx="0">
                  <c:v/>
                </c:pt>
              </c:strCache>
            </c:strRef>
          </c:tx>
          <c:spPr>
            <a:solidFill>
              <a:srgbClr val="5b9bd5"/>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1'!$L$35</c:f>
              <c:numCache>
                <c:formatCode>#,##0.00</c:formatCode>
                <c:ptCount val="1"/>
              </c:numCache>
            </c:numRef>
          </c:xVal>
          <c:yVal>
            <c:numRef>
              <c:f>'2x2 – Option 1'!$M$35</c:f>
              <c:numCache>
                <c:formatCode>#,##0</c:formatCode>
                <c:ptCount val="1"/>
              </c:numCache>
            </c:numRef>
          </c:yVal>
          <c:bubbleSize>
            <c:numRef>
              <c:f>'2x2 – Option 1'!$N$35</c:f>
              <c:numCache>
                <c:formatCode>#,##0</c:formatCode>
                <c:ptCount val="1"/>
              </c:numCache>
            </c:numRef>
          </c:bubbleSize>
          <c:bubble3D val="0"/>
        </c:ser>
        <c:ser>
          <c:idx val="60"/>
          <c:order val="60"/>
          <c:tx>
            <c:strRef>
              <c:f>'2x2 – Option 1'!$H$6</c:f>
              <c:strCache>
                <c:ptCount val="1"/>
                <c:pt idx="0">
                  <c:v>Azacitidine (P1)</c:v>
                </c:pt>
              </c:strCache>
            </c:strRef>
          </c:tx>
          <c:spPr>
            <a:solidFill>
              <a:srgbClr val="bfbfbf"/>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1'!$O$6</c:f>
              <c:numCache>
                <c:formatCode>#,##0.00</c:formatCode>
                <c:ptCount val="1"/>
              </c:numCache>
            </c:numRef>
          </c:xVal>
          <c:yVal>
            <c:numRef>
              <c:f>'2x2 – Option 1'!$P$6</c:f>
              <c:numCache>
                <c:formatCode>#,##0</c:formatCode>
                <c:ptCount val="1"/>
              </c:numCache>
            </c:numRef>
          </c:yVal>
          <c:bubbleSize>
            <c:numRef>
              <c:f>'2x2 – Option 1'!$Q$6</c:f>
              <c:numCache>
                <c:formatCode>#,##0</c:formatCode>
                <c:ptCount val="1"/>
              </c:numCache>
            </c:numRef>
          </c:bubbleSize>
          <c:bubble3D val="0"/>
        </c:ser>
        <c:ser>
          <c:idx val="61"/>
          <c:order val="61"/>
          <c:tx>
            <c:strRef>
              <c:f>'2x2 – Option 1'!$H$7</c:f>
              <c:strCache>
                <c:ptCount val="1"/>
                <c:pt idx="0">
                  <c:v>Bortezomib (P1)</c:v>
                </c:pt>
              </c:strCache>
            </c:strRef>
          </c:tx>
          <c:spPr>
            <a:solidFill>
              <a:srgbClr val="bfbfbf"/>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1'!$O$7</c:f>
              <c:numCache>
                <c:formatCode>#,##0.00</c:formatCode>
                <c:ptCount val="1"/>
              </c:numCache>
            </c:numRef>
          </c:xVal>
          <c:yVal>
            <c:numRef>
              <c:f>'2x2 – Option 1'!$P$7</c:f>
              <c:numCache>
                <c:formatCode>#,##0</c:formatCode>
                <c:ptCount val="1"/>
              </c:numCache>
            </c:numRef>
          </c:yVal>
          <c:bubbleSize>
            <c:numRef>
              <c:f>'2x2 – Option 1'!$Q$7</c:f>
              <c:numCache>
                <c:formatCode>#,##0</c:formatCode>
                <c:ptCount val="1"/>
              </c:numCache>
            </c:numRef>
          </c:bubbleSize>
          <c:bubble3D val="0"/>
        </c:ser>
        <c:ser>
          <c:idx val="62"/>
          <c:order val="62"/>
          <c:tx>
            <c:strRef>
              <c:f>'2x2 – Option 1'!$H$8</c:f>
              <c:strCache>
                <c:ptCount val="1"/>
                <c:pt idx="0">
                  <c:v>Pegfilgrastim (P1)</c:v>
                </c:pt>
              </c:strCache>
            </c:strRef>
          </c:tx>
          <c:spPr>
            <a:solidFill>
              <a:srgbClr val="bfbfbf"/>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1'!$O$8</c:f>
              <c:numCache>
                <c:formatCode>#,##0.00</c:formatCode>
                <c:ptCount val="1"/>
              </c:numCache>
            </c:numRef>
          </c:xVal>
          <c:yVal>
            <c:numRef>
              <c:f>'2x2 – Option 1'!$P$8</c:f>
              <c:numCache>
                <c:formatCode>#,##0</c:formatCode>
                <c:ptCount val="1"/>
              </c:numCache>
            </c:numRef>
          </c:yVal>
          <c:bubbleSize>
            <c:numRef>
              <c:f>'2x2 – Option 1'!$Q$8</c:f>
              <c:numCache>
                <c:formatCode>#,##0</c:formatCode>
                <c:ptCount val="1"/>
              </c:numCache>
            </c:numRef>
          </c:bubbleSize>
          <c:bubble3D val="0"/>
        </c:ser>
        <c:ser>
          <c:idx val="63"/>
          <c:order val="63"/>
          <c:tx>
            <c:strRef>
              <c:f>'2x2 – Option 1'!$H$9</c:f>
              <c:strCache>
                <c:ptCount val="1"/>
                <c:pt idx="0">
                  <c:v>Methotrexate (P1)</c:v>
                </c:pt>
              </c:strCache>
            </c:strRef>
          </c:tx>
          <c:spPr>
            <a:solidFill>
              <a:srgbClr val="bfbfbf"/>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1'!$O$9</c:f>
              <c:numCache>
                <c:formatCode>#,##0.00</c:formatCode>
                <c:ptCount val="1"/>
              </c:numCache>
            </c:numRef>
          </c:xVal>
          <c:yVal>
            <c:numRef>
              <c:f>'2x2 – Option 1'!$P$9</c:f>
              <c:numCache>
                <c:formatCode>#,##0</c:formatCode>
                <c:ptCount val="1"/>
              </c:numCache>
            </c:numRef>
          </c:yVal>
          <c:bubbleSize>
            <c:numRef>
              <c:f>'2x2 – Option 1'!$Q$9</c:f>
              <c:numCache>
                <c:formatCode>#,##0</c:formatCode>
                <c:ptCount val="1"/>
              </c:numCache>
            </c:numRef>
          </c:bubbleSize>
          <c:bubble3D val="0"/>
        </c:ser>
        <c:ser>
          <c:idx val="64"/>
          <c:order val="64"/>
          <c:tx>
            <c:strRef>
              <c:f>'2x2 – Option 1'!$H$10</c:f>
              <c:strCache>
                <c:ptCount val="1"/>
                <c:pt idx="0">
                  <c:v>Fulvestrant (P1)</c:v>
                </c:pt>
              </c:strCache>
            </c:strRef>
          </c:tx>
          <c:spPr>
            <a:solidFill>
              <a:srgbClr val="bfbfbf"/>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1'!$O$10</c:f>
              <c:numCache>
                <c:formatCode>#,##0.00</c:formatCode>
                <c:ptCount val="1"/>
              </c:numCache>
            </c:numRef>
          </c:xVal>
          <c:yVal>
            <c:numRef>
              <c:f>'2x2 – Option 1'!$P$10</c:f>
              <c:numCache>
                <c:formatCode>#,##0</c:formatCode>
                <c:ptCount val="1"/>
              </c:numCache>
            </c:numRef>
          </c:yVal>
          <c:bubbleSize>
            <c:numRef>
              <c:f>'2x2 – Option 1'!$Q$10</c:f>
              <c:numCache>
                <c:formatCode>#,##0</c:formatCode>
                <c:ptCount val="1"/>
              </c:numCache>
            </c:numRef>
          </c:bubbleSize>
          <c:bubble3D val="0"/>
        </c:ser>
        <c:ser>
          <c:idx val="65"/>
          <c:order val="65"/>
          <c:tx>
            <c:strRef>
              <c:f>'2x2 – Option 1'!$H$11</c:f>
              <c:strCache>
                <c:ptCount val="1"/>
                <c:pt idx="0">
                  <c:v>Phenylephrine (P1)</c:v>
                </c:pt>
              </c:strCache>
            </c:strRef>
          </c:tx>
          <c:spPr>
            <a:solidFill>
              <a:srgbClr val="bfbfbf"/>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1'!$O$11</c:f>
              <c:numCache>
                <c:formatCode>#,##0.00</c:formatCode>
                <c:ptCount val="1"/>
              </c:numCache>
            </c:numRef>
          </c:xVal>
          <c:yVal>
            <c:numRef>
              <c:f>'2x2 – Option 1'!$P$11</c:f>
              <c:numCache>
                <c:formatCode>#,##0</c:formatCode>
                <c:ptCount val="1"/>
              </c:numCache>
            </c:numRef>
          </c:yVal>
          <c:bubbleSize>
            <c:numRef>
              <c:f>'2x2 – Option 1'!$Q$11</c:f>
              <c:numCache>
                <c:formatCode>#,##0</c:formatCode>
                <c:ptCount val="1"/>
              </c:numCache>
            </c:numRef>
          </c:bubbleSize>
          <c:bubble3D val="0"/>
        </c:ser>
        <c:ser>
          <c:idx val="66"/>
          <c:order val="66"/>
          <c:tx>
            <c:strRef>
              <c:f>'2x2 – Option 1'!$H$12</c:f>
              <c:strCache>
                <c:ptCount val="1"/>
                <c:pt idx="0">
                  <c:v>Epinephrine (Adrenaline) (P1)</c:v>
                </c:pt>
              </c:strCache>
            </c:strRef>
          </c:tx>
          <c:spPr>
            <a:solidFill>
              <a:srgbClr val="bfbfbf"/>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1'!$O$12</c:f>
              <c:numCache>
                <c:formatCode>#,##0.00</c:formatCode>
                <c:ptCount val="1"/>
              </c:numCache>
            </c:numRef>
          </c:xVal>
          <c:yVal>
            <c:numRef>
              <c:f>'2x2 – Option 1'!$P$12</c:f>
              <c:numCache>
                <c:formatCode>#,##0</c:formatCode>
                <c:ptCount val="1"/>
              </c:numCache>
            </c:numRef>
          </c:yVal>
          <c:bubbleSize>
            <c:numRef>
              <c:f>'2x2 – Option 1'!$Q$12</c:f>
              <c:numCache>
                <c:formatCode>#,##0</c:formatCode>
                <c:ptCount val="1"/>
              </c:numCache>
            </c:numRef>
          </c:bubbleSize>
          <c:bubble3D val="0"/>
        </c:ser>
        <c:ser>
          <c:idx val="67"/>
          <c:order val="67"/>
          <c:tx>
            <c:strRef>
              <c:f>'2x2 – Option 1'!$H$13</c:f>
              <c:strCache>
                <c:ptCount val="1"/>
                <c:pt idx="0">
                  <c:v>Bleomycin (P1)</c:v>
                </c:pt>
              </c:strCache>
            </c:strRef>
          </c:tx>
          <c:spPr>
            <a:solidFill>
              <a:srgbClr val="bfbfbf"/>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1'!$O$13</c:f>
              <c:numCache>
                <c:formatCode>#,##0.00</c:formatCode>
                <c:ptCount val="1"/>
              </c:numCache>
            </c:numRef>
          </c:xVal>
          <c:yVal>
            <c:numRef>
              <c:f>'2x2 – Option 1'!$P$13</c:f>
              <c:numCache>
                <c:formatCode>#,##0</c:formatCode>
                <c:ptCount val="1"/>
              </c:numCache>
            </c:numRef>
          </c:yVal>
          <c:bubbleSize>
            <c:numRef>
              <c:f>'2x2 – Option 1'!$Q$13</c:f>
              <c:numCache>
                <c:formatCode>#,##0</c:formatCode>
                <c:ptCount val="1"/>
              </c:numCache>
            </c:numRef>
          </c:bubbleSize>
          <c:bubble3D val="0"/>
        </c:ser>
        <c:ser>
          <c:idx val="68"/>
          <c:order val="68"/>
          <c:tx>
            <c:strRef>
              <c:f>'2x2 – Option 1'!$H$14</c:f>
              <c:strCache>
                <c:ptCount val="1"/>
                <c:pt idx="0">
                  <c:v>Denosumab (P1)</c:v>
                </c:pt>
              </c:strCache>
            </c:strRef>
          </c:tx>
          <c:spPr>
            <a:solidFill>
              <a:srgbClr val="bfbfbf"/>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1'!$O$14</c:f>
              <c:numCache>
                <c:formatCode>#,##0.00</c:formatCode>
                <c:ptCount val="1"/>
              </c:numCache>
            </c:numRef>
          </c:xVal>
          <c:yVal>
            <c:numRef>
              <c:f>'2x2 – Option 1'!$P$14</c:f>
              <c:numCache>
                <c:formatCode>#,##0</c:formatCode>
                <c:ptCount val="1"/>
              </c:numCache>
            </c:numRef>
          </c:yVal>
          <c:bubbleSize>
            <c:numRef>
              <c:f>'2x2 – Option 1'!$Q$14</c:f>
              <c:numCache>
                <c:formatCode>#,##0</c:formatCode>
                <c:ptCount val="1"/>
              </c:numCache>
            </c:numRef>
          </c:bubbleSize>
          <c:bubble3D val="0"/>
        </c:ser>
        <c:ser>
          <c:idx val="69"/>
          <c:order val="69"/>
          <c:tx>
            <c:strRef>
              <c:f>'2x2 – Option 1'!$H$15</c:f>
              <c:strCache>
                <c:ptCount val="1"/>
                <c:pt idx="0">
                  <c:v>Ceftriaxone (P2)</c:v>
                </c:pt>
              </c:strCache>
            </c:strRef>
          </c:tx>
          <c:spPr>
            <a:solidFill>
              <a:srgbClr val="bfbfbf"/>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1'!$O$15</c:f>
              <c:numCache>
                <c:formatCode>#,##0.00</c:formatCode>
                <c:ptCount val="1"/>
              </c:numCache>
            </c:numRef>
          </c:xVal>
          <c:yVal>
            <c:numRef>
              <c:f>'2x2 – Option 1'!$P$15</c:f>
              <c:numCache>
                <c:formatCode>#,##0</c:formatCode>
                <c:ptCount val="1"/>
              </c:numCache>
            </c:numRef>
          </c:yVal>
          <c:bubbleSize>
            <c:numRef>
              <c:f>'2x2 – Option 1'!$Q$15</c:f>
              <c:numCache>
                <c:formatCode>#,##0</c:formatCode>
                <c:ptCount val="1"/>
              </c:numCache>
            </c:numRef>
          </c:bubbleSize>
          <c:bubble3D val="0"/>
        </c:ser>
        <c:ser>
          <c:idx val="70"/>
          <c:order val="70"/>
          <c:tx>
            <c:strRef>
              <c:f>'2x2 – Option 1'!$H$16</c:f>
              <c:strCache>
                <c:ptCount val="1"/>
                <c:pt idx="0">
                  <c:v>Ondansetron (P2)</c:v>
                </c:pt>
              </c:strCache>
            </c:strRef>
          </c:tx>
          <c:spPr>
            <a:solidFill>
              <a:srgbClr val="bfbfbf"/>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1'!$O$16</c:f>
              <c:numCache>
                <c:formatCode>#,##0.00</c:formatCode>
                <c:ptCount val="1"/>
              </c:numCache>
            </c:numRef>
          </c:xVal>
          <c:yVal>
            <c:numRef>
              <c:f>'2x2 – Option 1'!$P$16</c:f>
              <c:numCache>
                <c:formatCode>#,##0</c:formatCode>
                <c:ptCount val="1"/>
              </c:numCache>
            </c:numRef>
          </c:yVal>
          <c:bubbleSize>
            <c:numRef>
              <c:f>'2x2 – Option 1'!$Q$16</c:f>
              <c:numCache>
                <c:formatCode>#,##0</c:formatCode>
                <c:ptCount val="1"/>
              </c:numCache>
            </c:numRef>
          </c:bubbleSize>
          <c:bubble3D val="0"/>
        </c:ser>
        <c:ser>
          <c:idx val="71"/>
          <c:order val="71"/>
          <c:tx>
            <c:strRef>
              <c:f>'2x2 – Option 1'!$H$17</c:f>
              <c:strCache>
                <c:ptCount val="1"/>
                <c:pt idx="0">
                  <c:v>Plerixafor (P2)</c:v>
                </c:pt>
              </c:strCache>
            </c:strRef>
          </c:tx>
          <c:spPr>
            <a:solidFill>
              <a:srgbClr val="bfbfbf"/>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1'!$O$17</c:f>
              <c:numCache>
                <c:formatCode>#,##0.00</c:formatCode>
                <c:ptCount val="1"/>
              </c:numCache>
            </c:numRef>
          </c:xVal>
          <c:yVal>
            <c:numRef>
              <c:f>'2x2 – Option 1'!$P$17</c:f>
              <c:numCache>
                <c:formatCode>#,##0</c:formatCode>
                <c:ptCount val="1"/>
              </c:numCache>
            </c:numRef>
          </c:yVal>
          <c:bubbleSize>
            <c:numRef>
              <c:f>'2x2 – Option 1'!$Q$17</c:f>
              <c:numCache>
                <c:formatCode>#,##0</c:formatCode>
                <c:ptCount val="1"/>
              </c:numCache>
            </c:numRef>
          </c:bubbleSize>
          <c:bubble3D val="0"/>
        </c:ser>
        <c:ser>
          <c:idx val="72"/>
          <c:order val="72"/>
          <c:tx>
            <c:strRef>
              <c:f>'2x2 – Option 1'!$H$18</c:f>
              <c:strCache>
                <c:ptCount val="1"/>
                <c:pt idx="0">
                  <c:v>Cytarabine (P2)</c:v>
                </c:pt>
              </c:strCache>
            </c:strRef>
          </c:tx>
          <c:spPr>
            <a:solidFill>
              <a:srgbClr val="bfbfbf"/>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1'!$O$18</c:f>
              <c:numCache>
                <c:formatCode>#,##0.00</c:formatCode>
                <c:ptCount val="1"/>
              </c:numCache>
            </c:numRef>
          </c:xVal>
          <c:yVal>
            <c:numRef>
              <c:f>'2x2 – Option 1'!$P$18</c:f>
              <c:numCache>
                <c:formatCode>#,##0</c:formatCode>
                <c:ptCount val="1"/>
              </c:numCache>
            </c:numRef>
          </c:yVal>
          <c:bubbleSize>
            <c:numRef>
              <c:f>'2x2 – Option 1'!$Q$18</c:f>
              <c:numCache>
                <c:formatCode>#,##0</c:formatCode>
                <c:ptCount val="1"/>
              </c:numCache>
            </c:numRef>
          </c:bubbleSize>
          <c:bubble3D val="0"/>
        </c:ser>
        <c:ser>
          <c:idx val="73"/>
          <c:order val="73"/>
          <c:tx>
            <c:strRef>
              <c:f>'2x2 – Option 1'!$H$19</c:f>
              <c:strCache>
                <c:ptCount val="1"/>
                <c:pt idx="0">
                  <c:v>Atropine (P2)</c:v>
                </c:pt>
              </c:strCache>
            </c:strRef>
          </c:tx>
          <c:spPr>
            <a:solidFill>
              <a:srgbClr val="bfbfbf"/>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1'!$O$19</c:f>
              <c:numCache>
                <c:formatCode>#,##0.00</c:formatCode>
                <c:ptCount val="1"/>
              </c:numCache>
            </c:numRef>
          </c:xVal>
          <c:yVal>
            <c:numRef>
              <c:f>'2x2 – Option 1'!$P$19</c:f>
              <c:numCache>
                <c:formatCode>#,##0</c:formatCode>
                <c:ptCount val="1"/>
              </c:numCache>
            </c:numRef>
          </c:yVal>
          <c:bubbleSize>
            <c:numRef>
              <c:f>'2x2 – Option 1'!$Q$19</c:f>
              <c:numCache>
                <c:formatCode>#,##0</c:formatCode>
                <c:ptCount val="1"/>
              </c:numCache>
            </c:numRef>
          </c:bubbleSize>
          <c:bubble3D val="0"/>
        </c:ser>
        <c:ser>
          <c:idx val="74"/>
          <c:order val="74"/>
          <c:tx>
            <c:strRef>
              <c:f>'2x2 – Option 1'!$H$20</c:f>
              <c:strCache>
                <c:ptCount val="1"/>
                <c:pt idx="0">
                  <c:v>Teicoplanin (P2)</c:v>
                </c:pt>
              </c:strCache>
            </c:strRef>
          </c:tx>
          <c:spPr>
            <a:solidFill>
              <a:srgbClr val="bfbfbf"/>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1'!$O$20</c:f>
              <c:numCache>
                <c:formatCode>#,##0.00</c:formatCode>
                <c:ptCount val="1"/>
              </c:numCache>
            </c:numRef>
          </c:xVal>
          <c:yVal>
            <c:numRef>
              <c:f>'2x2 – Option 1'!$P$20</c:f>
              <c:numCache>
                <c:formatCode>#,##0</c:formatCode>
                <c:ptCount val="1"/>
              </c:numCache>
            </c:numRef>
          </c:yVal>
          <c:bubbleSize>
            <c:numRef>
              <c:f>'2x2 – Option 1'!$Q$20</c:f>
              <c:numCache>
                <c:formatCode>#,##0</c:formatCode>
                <c:ptCount val="1"/>
              </c:numCache>
            </c:numRef>
          </c:bubbleSize>
          <c:bubble3D val="0"/>
        </c:ser>
        <c:ser>
          <c:idx val="75"/>
          <c:order val="75"/>
          <c:tx>
            <c:strRef>
              <c:f>'2x2 – Option 1'!$H$21</c:f>
              <c:strCache>
                <c:ptCount val="1"/>
                <c:pt idx="0">
                  <c:v>Cefepime (P2)</c:v>
                </c:pt>
              </c:strCache>
            </c:strRef>
          </c:tx>
          <c:spPr>
            <a:solidFill>
              <a:srgbClr val="bfbfbf"/>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1'!$O$21</c:f>
              <c:numCache>
                <c:formatCode>#,##0.00</c:formatCode>
                <c:ptCount val="1"/>
              </c:numCache>
            </c:numRef>
          </c:xVal>
          <c:yVal>
            <c:numRef>
              <c:f>'2x2 – Option 1'!$P$21</c:f>
              <c:numCache>
                <c:formatCode>#,##0</c:formatCode>
                <c:ptCount val="1"/>
              </c:numCache>
            </c:numRef>
          </c:yVal>
          <c:bubbleSize>
            <c:numRef>
              <c:f>'2x2 – Option 1'!$Q$21</c:f>
              <c:numCache>
                <c:formatCode>#,##0</c:formatCode>
                <c:ptCount val="1"/>
              </c:numCache>
            </c:numRef>
          </c:bubbleSize>
          <c:bubble3D val="0"/>
        </c:ser>
        <c:ser>
          <c:idx val="76"/>
          <c:order val="76"/>
          <c:tx>
            <c:strRef>
              <c:f>'2x2 – Option 1'!$H$22</c:f>
              <c:strCache>
                <c:ptCount val="1"/>
                <c:pt idx="0">
                  <c:v>Midazolam (P2)</c:v>
                </c:pt>
              </c:strCache>
            </c:strRef>
          </c:tx>
          <c:spPr>
            <a:solidFill>
              <a:srgbClr val="bfbfbf"/>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1'!$O$22</c:f>
              <c:numCache>
                <c:formatCode>#,##0.00</c:formatCode>
                <c:ptCount val="1"/>
              </c:numCache>
            </c:numRef>
          </c:xVal>
          <c:yVal>
            <c:numRef>
              <c:f>'2x2 – Option 1'!$P$22</c:f>
              <c:numCache>
                <c:formatCode>#,##0</c:formatCode>
                <c:ptCount val="1"/>
              </c:numCache>
            </c:numRef>
          </c:yVal>
          <c:bubbleSize>
            <c:numRef>
              <c:f>'2x2 – Option 1'!$Q$22</c:f>
              <c:numCache>
                <c:formatCode>#,##0</c:formatCode>
                <c:ptCount val="1"/>
              </c:numCache>
            </c:numRef>
          </c:bubbleSize>
          <c:bubble3D val="0"/>
        </c:ser>
        <c:ser>
          <c:idx val="77"/>
          <c:order val="77"/>
          <c:tx>
            <c:strRef>
              <c:f>'2x2 – Option 1'!$H$23</c:f>
              <c:strCache>
                <c:ptCount val="1"/>
                <c:pt idx="0">
                  <c:v>Succinylcholine (Suxamethonium) (P2)</c:v>
                </c:pt>
              </c:strCache>
            </c:strRef>
          </c:tx>
          <c:spPr>
            <a:solidFill>
              <a:srgbClr val="bfbfbf"/>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1'!$O$23</c:f>
              <c:numCache>
                <c:formatCode>#,##0.00</c:formatCode>
                <c:ptCount val="1"/>
              </c:numCache>
            </c:numRef>
          </c:xVal>
          <c:yVal>
            <c:numRef>
              <c:f>'2x2 – Option 1'!$P$23</c:f>
              <c:numCache>
                <c:formatCode>#,##0</c:formatCode>
                <c:ptCount val="1"/>
              </c:numCache>
            </c:numRef>
          </c:yVal>
          <c:bubbleSize>
            <c:numRef>
              <c:f>'2x2 – Option 1'!$Q$23</c:f>
              <c:numCache>
                <c:formatCode>#,##0</c:formatCode>
                <c:ptCount val="1"/>
              </c:numCache>
            </c:numRef>
          </c:bubbleSize>
          <c:bubble3D val="0"/>
        </c:ser>
        <c:ser>
          <c:idx val="78"/>
          <c:order val="78"/>
          <c:tx>
            <c:strRef>
              <c:f>'2x2 – Option 1'!$H$24</c:f>
              <c:strCache>
                <c:ptCount val="1"/>
                <c:pt idx="0">
                  <c:v>Leuprorelin (P2)</c:v>
                </c:pt>
              </c:strCache>
            </c:strRef>
          </c:tx>
          <c:spPr>
            <a:solidFill>
              <a:srgbClr val="bfbfbf"/>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1'!$O$24</c:f>
              <c:numCache>
                <c:formatCode>#,##0.00</c:formatCode>
                <c:ptCount val="1"/>
              </c:numCache>
            </c:numRef>
          </c:xVal>
          <c:yVal>
            <c:numRef>
              <c:f>'2x2 – Option 1'!$P$24</c:f>
              <c:numCache>
                <c:formatCode>#,##0</c:formatCode>
                <c:ptCount val="1"/>
              </c:numCache>
            </c:numRef>
          </c:yVal>
          <c:bubbleSize>
            <c:numRef>
              <c:f>'2x2 – Option 1'!$Q$24</c:f>
              <c:numCache>
                <c:formatCode>#,##0</c:formatCode>
                <c:ptCount val="1"/>
              </c:numCache>
            </c:numRef>
          </c:bubbleSize>
          <c:bubble3D val="0"/>
        </c:ser>
        <c:ser>
          <c:idx val="79"/>
          <c:order val="79"/>
          <c:tx>
            <c:strRef>
              <c:f>'2x2 – Option 1'!$H$25</c:f>
              <c:strCache>
                <c:ptCount val="1"/>
                <c:pt idx="0">
                  <c:v>Ustekinumab (P2)</c:v>
                </c:pt>
              </c:strCache>
            </c:strRef>
          </c:tx>
          <c:spPr>
            <a:solidFill>
              <a:srgbClr val="bfbfbf"/>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1'!$O$25</c:f>
              <c:numCache>
                <c:formatCode>#,##0.00</c:formatCode>
                <c:ptCount val="1"/>
              </c:numCache>
            </c:numRef>
          </c:xVal>
          <c:yVal>
            <c:numRef>
              <c:f>'2x2 – Option 1'!$P$25</c:f>
              <c:numCache>
                <c:formatCode>#,##0</c:formatCode>
                <c:ptCount val="1"/>
              </c:numCache>
            </c:numRef>
          </c:yVal>
          <c:bubbleSize>
            <c:numRef>
              <c:f>'2x2 – Option 1'!$Q$25</c:f>
              <c:numCache>
                <c:formatCode>#,##0</c:formatCode>
                <c:ptCount val="1"/>
              </c:numCache>
            </c:numRef>
          </c:bubbleSize>
          <c:bubble3D val="0"/>
        </c:ser>
        <c:ser>
          <c:idx val="80"/>
          <c:order val="80"/>
          <c:tx>
            <c:strRef>
              <c:f>'2x2 – Option 1'!$H$26</c:f>
              <c:strCache>
                <c:ptCount val="1"/>
                <c:pt idx="0">
                  <c:v>Degarelix (P2)</c:v>
                </c:pt>
              </c:strCache>
            </c:strRef>
          </c:tx>
          <c:spPr>
            <a:solidFill>
              <a:srgbClr val="bfbfbf"/>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1'!$O$26</c:f>
              <c:numCache>
                <c:formatCode>#,##0.00</c:formatCode>
                <c:ptCount val="1"/>
              </c:numCache>
            </c:numRef>
          </c:xVal>
          <c:yVal>
            <c:numRef>
              <c:f>'2x2 – Option 1'!$P$26</c:f>
              <c:numCache>
                <c:formatCode>#,##0</c:formatCode>
                <c:ptCount val="1"/>
              </c:numCache>
            </c:numRef>
          </c:yVal>
          <c:bubbleSize>
            <c:numRef>
              <c:f>'2x2 – Option 1'!$Q$26</c:f>
              <c:numCache>
                <c:formatCode>#,##0</c:formatCode>
                <c:ptCount val="1"/>
              </c:numCache>
            </c:numRef>
          </c:bubbleSize>
          <c:bubble3D val="0"/>
        </c:ser>
        <c:ser>
          <c:idx val="81"/>
          <c:order val="81"/>
          <c:tx>
            <c:strRef>
              <c:f>'2x2 – Option 1'!$H$27</c:f>
              <c:strCache>
                <c:ptCount val="1"/>
                <c:pt idx="0">
                  <c:v>Flucloxacillin (P3)</c:v>
                </c:pt>
              </c:strCache>
            </c:strRef>
          </c:tx>
          <c:spPr>
            <a:solidFill>
              <a:srgbClr val="bfbfbf"/>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1'!$O$27</c:f>
              <c:numCache>
                <c:formatCode>#,##0.00</c:formatCode>
                <c:ptCount val="1"/>
                <c:pt idx="0">
                  <c:v>6.07</c:v>
                </c:pt>
              </c:numCache>
            </c:numRef>
          </c:xVal>
          <c:yVal>
            <c:numRef>
              <c:f>'2x2 – Option 1'!$P$27</c:f>
              <c:numCache>
                <c:formatCode>#,##0</c:formatCode>
                <c:ptCount val="1"/>
                <c:pt idx="0">
                  <c:v>116</c:v>
                </c:pt>
              </c:numCache>
            </c:numRef>
          </c:yVal>
          <c:bubbleSize>
            <c:numRef>
              <c:f>'2x2 – Option 1'!$Q$27</c:f>
              <c:numCache>
                <c:formatCode>#,##0</c:formatCode>
                <c:ptCount val="1"/>
                <c:pt idx="0">
                  <c:v>6287.6</c:v>
                </c:pt>
              </c:numCache>
            </c:numRef>
          </c:bubbleSize>
          <c:bubble3D val="0"/>
        </c:ser>
        <c:ser>
          <c:idx val="82"/>
          <c:order val="82"/>
          <c:tx>
            <c:strRef>
              <c:f>'2x2 – Option 1'!$H$28</c:f>
              <c:strCache>
                <c:ptCount val="1"/>
                <c:pt idx="0">
                  <c:v>Progesterone (P3)</c:v>
                </c:pt>
              </c:strCache>
            </c:strRef>
          </c:tx>
          <c:spPr>
            <a:solidFill>
              <a:srgbClr val="bfbfbf"/>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1'!$O$28</c:f>
              <c:numCache>
                <c:formatCode>#,##0.00</c:formatCode>
                <c:ptCount val="1"/>
                <c:pt idx="0">
                  <c:v>6.23</c:v>
                </c:pt>
              </c:numCache>
            </c:numRef>
          </c:xVal>
          <c:yVal>
            <c:numRef>
              <c:f>'2x2 – Option 1'!$P$28</c:f>
              <c:numCache>
                <c:formatCode>#,##0</c:formatCode>
                <c:ptCount val="1"/>
                <c:pt idx="0">
                  <c:v>88</c:v>
                </c:pt>
              </c:numCache>
            </c:numRef>
          </c:yVal>
          <c:bubbleSize>
            <c:numRef>
              <c:f>'2x2 – Option 1'!$Q$28</c:f>
              <c:numCache>
                <c:formatCode>#,##0</c:formatCode>
                <c:ptCount val="1"/>
                <c:pt idx="0">
                  <c:v>2646.6</c:v>
                </c:pt>
              </c:numCache>
            </c:numRef>
          </c:bubbleSize>
          <c:bubble3D val="0"/>
        </c:ser>
        <c:ser>
          <c:idx val="83"/>
          <c:order val="83"/>
          <c:tx>
            <c:strRef>
              <c:f>'2x2 – Option 1'!$H$29</c:f>
              <c:strCache>
                <c:ptCount val="1"/>
                <c:pt idx="0">
                  <c:v>Colistimethate Sodium (P3)</c:v>
                </c:pt>
              </c:strCache>
            </c:strRef>
          </c:tx>
          <c:spPr>
            <a:solidFill>
              <a:srgbClr val="bfbfbf"/>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1'!$O$29</c:f>
              <c:numCache>
                <c:formatCode>#,##0.00</c:formatCode>
                <c:ptCount val="1"/>
                <c:pt idx="0">
                  <c:v>9.75</c:v>
                </c:pt>
              </c:numCache>
            </c:numRef>
          </c:xVal>
          <c:yVal>
            <c:numRef>
              <c:f>'2x2 – Option 1'!$P$29</c:f>
              <c:numCache>
                <c:formatCode>#,##0</c:formatCode>
                <c:ptCount val="1"/>
                <c:pt idx="0">
                  <c:v>83</c:v>
                </c:pt>
              </c:numCache>
            </c:numRef>
          </c:yVal>
          <c:bubbleSize>
            <c:numRef>
              <c:f>'2x2 – Option 1'!$Q$29</c:f>
              <c:numCache>
                <c:formatCode>#,##0</c:formatCode>
                <c:ptCount val="1"/>
                <c:pt idx="0">
                  <c:v>2033.7</c:v>
                </c:pt>
              </c:numCache>
            </c:numRef>
          </c:bubbleSize>
          <c:bubble3D val="0"/>
        </c:ser>
        <c:ser>
          <c:idx val="84"/>
          <c:order val="84"/>
          <c:tx>
            <c:strRef>
              <c:f>'2x2 – Option 1'!$H$30</c:f>
              <c:strCache>
                <c:ptCount val="1"/>
                <c:pt idx="0">
                  <c:v>Naloxone (P3)</c:v>
                </c:pt>
              </c:strCache>
            </c:strRef>
          </c:tx>
          <c:spPr>
            <a:solidFill>
              <a:srgbClr val="bfbfbf"/>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1'!$O$30</c:f>
              <c:numCache>
                <c:formatCode>#,##0.00</c:formatCode>
                <c:ptCount val="1"/>
                <c:pt idx="0">
                  <c:v>5.42</c:v>
                </c:pt>
              </c:numCache>
            </c:numRef>
          </c:xVal>
          <c:yVal>
            <c:numRef>
              <c:f>'2x2 – Option 1'!$P$30</c:f>
              <c:numCache>
                <c:formatCode>#,##0</c:formatCode>
                <c:ptCount val="1"/>
                <c:pt idx="0">
                  <c:v>88</c:v>
                </c:pt>
              </c:numCache>
            </c:numRef>
          </c:yVal>
          <c:bubbleSize>
            <c:numRef>
              <c:f>'2x2 – Option 1'!$Q$30</c:f>
              <c:numCache>
                <c:formatCode>#,##0</c:formatCode>
                <c:ptCount val="1"/>
                <c:pt idx="0">
                  <c:v>1437.9</c:v>
                </c:pt>
              </c:numCache>
            </c:numRef>
          </c:bubbleSize>
          <c:bubble3D val="0"/>
        </c:ser>
        <c:ser>
          <c:idx val="85"/>
          <c:order val="85"/>
          <c:tx>
            <c:strRef>
              <c:f>'2x2 – Option 1'!$H$31</c:f>
              <c:strCache>
                <c:ptCount val="1"/>
                <c:pt idx="0">
                  <c:v>Hydroxocobalamin (P3)</c:v>
                </c:pt>
              </c:strCache>
            </c:strRef>
          </c:tx>
          <c:spPr>
            <a:solidFill>
              <a:srgbClr val="bfbfbf"/>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1'!$O$31</c:f>
              <c:numCache>
                <c:formatCode>#,##0.00</c:formatCode>
                <c:ptCount val="1"/>
                <c:pt idx="0">
                  <c:v>9.83</c:v>
                </c:pt>
              </c:numCache>
            </c:numRef>
          </c:xVal>
          <c:yVal>
            <c:numRef>
              <c:f>'2x2 – Option 1'!$P$31</c:f>
              <c:numCache>
                <c:formatCode>#,##0</c:formatCode>
                <c:ptCount val="1"/>
                <c:pt idx="0">
                  <c:v>22</c:v>
                </c:pt>
              </c:numCache>
            </c:numRef>
          </c:yVal>
          <c:bubbleSize>
            <c:numRef>
              <c:f>'2x2 – Option 1'!$Q$31</c:f>
              <c:numCache>
                <c:formatCode>#,##0</c:formatCode>
                <c:ptCount val="1"/>
                <c:pt idx="0">
                  <c:v>315.7</c:v>
                </c:pt>
              </c:numCache>
            </c:numRef>
          </c:bubbleSize>
          <c:bubble3D val="0"/>
        </c:ser>
        <c:ser>
          <c:idx val="86"/>
          <c:order val="86"/>
          <c:tx>
            <c:strRef>
              <c:f>'2x2 – Option 1'!$H$32</c:f>
              <c:strCache>
                <c:ptCount val="1"/>
                <c:pt idx="0">
                  <c:v/>
                </c:pt>
              </c:strCache>
            </c:strRef>
          </c:tx>
          <c:spPr>
            <a:solidFill>
              <a:srgbClr val="bfbfbf"/>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1'!$O$32</c:f>
              <c:numCache>
                <c:formatCode>#,##0.00</c:formatCode>
                <c:ptCount val="1"/>
              </c:numCache>
            </c:numRef>
          </c:xVal>
          <c:yVal>
            <c:numRef>
              <c:f>'2x2 – Option 1'!$P$32</c:f>
              <c:numCache>
                <c:formatCode>#,##0</c:formatCode>
                <c:ptCount val="1"/>
              </c:numCache>
            </c:numRef>
          </c:yVal>
          <c:bubbleSize>
            <c:numRef>
              <c:f>'2x2 – Option 1'!$Q$32</c:f>
              <c:numCache>
                <c:formatCode>#,##0</c:formatCode>
                <c:ptCount val="1"/>
              </c:numCache>
            </c:numRef>
          </c:bubbleSize>
          <c:bubble3D val="0"/>
        </c:ser>
        <c:ser>
          <c:idx val="87"/>
          <c:order val="87"/>
          <c:tx>
            <c:strRef>
              <c:f>'2x2 – Option 1'!$H$33</c:f>
              <c:strCache>
                <c:ptCount val="1"/>
                <c:pt idx="0">
                  <c:v/>
                </c:pt>
              </c:strCache>
            </c:strRef>
          </c:tx>
          <c:spPr>
            <a:solidFill>
              <a:srgbClr val="bfbfbf"/>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1'!$O$33</c:f>
              <c:numCache>
                <c:formatCode>#,##0.00</c:formatCode>
                <c:ptCount val="1"/>
              </c:numCache>
            </c:numRef>
          </c:xVal>
          <c:yVal>
            <c:numRef>
              <c:f>'2x2 – Option 1'!$P$33</c:f>
              <c:numCache>
                <c:formatCode>#,##0</c:formatCode>
                <c:ptCount val="1"/>
              </c:numCache>
            </c:numRef>
          </c:yVal>
          <c:bubbleSize>
            <c:numRef>
              <c:f>'2x2 – Option 1'!$Q$33</c:f>
              <c:numCache>
                <c:formatCode>#,##0</c:formatCode>
                <c:ptCount val="1"/>
              </c:numCache>
            </c:numRef>
          </c:bubbleSize>
          <c:bubble3D val="0"/>
        </c:ser>
        <c:ser>
          <c:idx val="88"/>
          <c:order val="88"/>
          <c:tx>
            <c:strRef>
              <c:f>'2x2 – Option 1'!$H$34</c:f>
              <c:strCache>
                <c:ptCount val="1"/>
                <c:pt idx="0">
                  <c:v/>
                </c:pt>
              </c:strCache>
            </c:strRef>
          </c:tx>
          <c:spPr>
            <a:solidFill>
              <a:srgbClr val="bfbfbf"/>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1'!$O$34</c:f>
              <c:numCache>
                <c:formatCode>#,##0.00</c:formatCode>
                <c:ptCount val="1"/>
              </c:numCache>
            </c:numRef>
          </c:xVal>
          <c:yVal>
            <c:numRef>
              <c:f>'2x2 – Option 1'!$P$34</c:f>
              <c:numCache>
                <c:formatCode>#,##0</c:formatCode>
                <c:ptCount val="1"/>
              </c:numCache>
            </c:numRef>
          </c:yVal>
          <c:bubbleSize>
            <c:numRef>
              <c:f>'2x2 – Option 1'!$Q$34</c:f>
              <c:numCache>
                <c:formatCode>#,##0</c:formatCode>
                <c:ptCount val="1"/>
              </c:numCache>
            </c:numRef>
          </c:bubbleSize>
          <c:bubble3D val="0"/>
        </c:ser>
        <c:ser>
          <c:idx val="89"/>
          <c:order val="89"/>
          <c:tx>
            <c:strRef>
              <c:f>'2x2 – Option 1'!$H$35</c:f>
              <c:strCache>
                <c:ptCount val="1"/>
                <c:pt idx="0">
                  <c:v/>
                </c:pt>
              </c:strCache>
            </c:strRef>
          </c:tx>
          <c:spPr>
            <a:solidFill>
              <a:srgbClr val="bfbfbf"/>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1'!$O$35</c:f>
              <c:numCache>
                <c:formatCode>#,##0.00</c:formatCode>
                <c:ptCount val="1"/>
              </c:numCache>
            </c:numRef>
          </c:xVal>
          <c:yVal>
            <c:numRef>
              <c:f>'2x2 – Option 1'!$P$35</c:f>
              <c:numCache>
                <c:formatCode>#,##0</c:formatCode>
                <c:ptCount val="1"/>
              </c:numCache>
            </c:numRef>
          </c:yVal>
          <c:bubbleSize>
            <c:numRef>
              <c:f>'2x2 – Option 1'!$Q$35</c:f>
              <c:numCache>
                <c:formatCode>#,##0</c:formatCode>
                <c:ptCount val="1"/>
              </c:numCache>
            </c:numRef>
          </c:bubbleSize>
          <c:bubble3D val="0"/>
        </c:ser>
        <c:axId val="60331179"/>
        <c:axId val="11552575"/>
      </c:bubbleChart>
      <c:valAx>
        <c:axId val="60331179"/>
        <c:scaling>
          <c:logBase val="10"/>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Avg price (USD / unit, log scale)</a:t>
                </a:r>
              </a:p>
            </c:rich>
          </c:tx>
          <c:overlay val="0"/>
          <c:spPr>
            <a:noFill/>
            <a:ln w="0">
              <a:noFill/>
            </a:ln>
          </c:spPr>
        </c:title>
        <c:numFmt formatCode="#,##0" sourceLinked="0"/>
        <c:majorTickMark val="out"/>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11552575"/>
        <c:crossesAt val="146"/>
        <c:crossBetween val="midCat"/>
      </c:valAx>
      <c:valAx>
        <c:axId val="11552575"/>
        <c:scaling>
          <c:logBase val="10"/>
          <c:orientation val="minMax"/>
        </c:scaling>
        <c:delete val="0"/>
        <c:axPos val="l"/>
        <c:title>
          <c:tx>
            <c:rich>
              <a:bodyPr rot="-5400000"/>
              <a:lstStyle/>
              <a:p>
                <a:pPr>
                  <a:defRPr b="1" sz="1000" spc="-1" strike="noStrike">
                    <a:solidFill>
                      <a:srgbClr val="000000"/>
                    </a:solidFill>
                    <a:latin typeface="Calibri"/>
                  </a:defRPr>
                </a:pPr>
                <a:r>
                  <a:rPr b="1" sz="1000" spc="-1" strike="noStrike">
                    <a:solidFill>
                      <a:srgbClr val="000000"/>
                    </a:solidFill>
                    <a:latin typeface="Calibri"/>
                  </a:rPr>
                  <a:t>Injectable shipments (#) (log scale)</a:t>
                </a:r>
              </a:p>
            </c:rich>
          </c:tx>
          <c:overlay val="0"/>
          <c:spPr>
            <a:noFill/>
            <a:ln w="0">
              <a:noFill/>
            </a:ln>
          </c:spPr>
        </c:title>
        <c:numFmt formatCode="#,##0" sourceLinked="0"/>
        <c:majorTickMark val="out"/>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60331179"/>
        <c:crossesAt val="25.095"/>
        <c:crossBetween val="midCat"/>
      </c:valAx>
      <c:spPr>
        <a:noFill/>
        <a:ln w="0">
          <a:noFill/>
        </a:ln>
      </c:spPr>
    </c:plotArea>
    <c:plotVisOnly val="0"/>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Unit price × shipments – all forms (#) – bubble = export – all forms ($'000)</a:t>
            </a:r>
          </a:p>
        </c:rich>
      </c:tx>
      <c:overlay val="0"/>
      <c:spPr>
        <a:noFill/>
        <a:ln w="0">
          <a:noFill/>
        </a:ln>
      </c:spPr>
    </c:title>
    <c:autoTitleDeleted val="0"/>
    <c:plotArea>
      <c:bubbleChart>
        <c:varyColors val="0"/>
        <c:ser>
          <c:idx val="0"/>
          <c:order val="0"/>
          <c:tx>
            <c:strRef>
              <c:f>'2x2 – Option 2'!$H$6</c:f>
              <c:strCache>
                <c:ptCount val="1"/>
                <c:pt idx="0">
                  <c:v>Azacitidine (P1)</c:v>
                </c:pt>
              </c:strCache>
            </c:strRef>
          </c:tx>
          <c:spPr>
            <a:solidFill>
              <a:srgbClr val="1f3864"/>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2'!$I$6</c:f>
              <c:numCache>
                <c:formatCode>#,##0.00</c:formatCode>
                <c:ptCount val="1"/>
                <c:pt idx="0">
                  <c:v>256.12</c:v>
                </c:pt>
              </c:numCache>
            </c:numRef>
          </c:xVal>
          <c:yVal>
            <c:numRef>
              <c:f>'2x2 – Option 2'!$J$6</c:f>
              <c:numCache>
                <c:formatCode>#,##0</c:formatCode>
                <c:ptCount val="1"/>
                <c:pt idx="0">
                  <c:v>762</c:v>
                </c:pt>
              </c:numCache>
            </c:numRef>
          </c:yVal>
          <c:bubbleSize>
            <c:numRef>
              <c:f>'2x2 – Option 2'!$K$6</c:f>
              <c:numCache>
                <c:formatCode>#,##0</c:formatCode>
                <c:ptCount val="1"/>
                <c:pt idx="0">
                  <c:v>50865.56</c:v>
                </c:pt>
              </c:numCache>
            </c:numRef>
          </c:bubbleSize>
          <c:bubble3D val="0"/>
        </c:ser>
        <c:ser>
          <c:idx val="1"/>
          <c:order val="1"/>
          <c:tx>
            <c:strRef>
              <c:f>'2x2 – Option 2'!$H$7</c:f>
              <c:strCache>
                <c:ptCount val="1"/>
                <c:pt idx="0">
                  <c:v>Phenylephrine (P1)</c:v>
                </c:pt>
              </c:strCache>
            </c:strRef>
          </c:tx>
          <c:spPr>
            <a:solidFill>
              <a:srgbClr val="1f3864"/>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2'!$I$7</c:f>
              <c:numCache>
                <c:formatCode>#,##0.00</c:formatCode>
                <c:ptCount val="1"/>
                <c:pt idx="0">
                  <c:v>32.6</c:v>
                </c:pt>
              </c:numCache>
            </c:numRef>
          </c:xVal>
          <c:yVal>
            <c:numRef>
              <c:f>'2x2 – Option 2'!$J$7</c:f>
              <c:numCache>
                <c:formatCode>#,##0</c:formatCode>
                <c:ptCount val="1"/>
                <c:pt idx="0">
                  <c:v>1963</c:v>
                </c:pt>
              </c:numCache>
            </c:numRef>
          </c:yVal>
          <c:bubbleSize>
            <c:numRef>
              <c:f>'2x2 – Option 2'!$K$7</c:f>
              <c:numCache>
                <c:formatCode>#,##0</c:formatCode>
                <c:ptCount val="1"/>
                <c:pt idx="0">
                  <c:v>49365.77</c:v>
                </c:pt>
              </c:numCache>
            </c:numRef>
          </c:bubbleSize>
          <c:bubble3D val="0"/>
        </c:ser>
        <c:ser>
          <c:idx val="2"/>
          <c:order val="2"/>
          <c:tx>
            <c:strRef>
              <c:f>'2x2 – Option 2'!$H$8</c:f>
              <c:strCache>
                <c:ptCount val="1"/>
                <c:pt idx="0">
                  <c:v>Bortezomib (P1)</c:v>
                </c:pt>
              </c:strCache>
            </c:strRef>
          </c:tx>
          <c:spPr>
            <a:solidFill>
              <a:srgbClr val="1f3864"/>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2'!$I$8</c:f>
              <c:numCache>
                <c:formatCode>#,##0.00</c:formatCode>
                <c:ptCount val="1"/>
                <c:pt idx="0">
                  <c:v>569.27</c:v>
                </c:pt>
              </c:numCache>
            </c:numRef>
          </c:xVal>
          <c:yVal>
            <c:numRef>
              <c:f>'2x2 – Option 2'!$J$8</c:f>
              <c:numCache>
                <c:formatCode>#,##0</c:formatCode>
                <c:ptCount val="1"/>
                <c:pt idx="0">
                  <c:v>905</c:v>
                </c:pt>
              </c:numCache>
            </c:numRef>
          </c:yVal>
          <c:bubbleSize>
            <c:numRef>
              <c:f>'2x2 – Option 2'!$K$8</c:f>
              <c:numCache>
                <c:formatCode>#,##0</c:formatCode>
                <c:ptCount val="1"/>
                <c:pt idx="0">
                  <c:v>28093.38</c:v>
                </c:pt>
              </c:numCache>
            </c:numRef>
          </c:bubbleSize>
          <c:bubble3D val="0"/>
        </c:ser>
        <c:ser>
          <c:idx val="3"/>
          <c:order val="3"/>
          <c:tx>
            <c:strRef>
              <c:f>'2x2 – Option 2'!$H$9</c:f>
              <c:strCache>
                <c:ptCount val="1"/>
                <c:pt idx="0">
                  <c:v>Methotrexate (P1)</c:v>
                </c:pt>
              </c:strCache>
            </c:strRef>
          </c:tx>
          <c:spPr>
            <a:solidFill>
              <a:srgbClr val="1f3864"/>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2'!$I$9</c:f>
              <c:numCache>
                <c:formatCode>#,##0.00</c:formatCode>
                <c:ptCount val="1"/>
                <c:pt idx="0">
                  <c:v>50.77</c:v>
                </c:pt>
              </c:numCache>
            </c:numRef>
          </c:xVal>
          <c:yVal>
            <c:numRef>
              <c:f>'2x2 – Option 2'!$J$9</c:f>
              <c:numCache>
                <c:formatCode>#,##0</c:formatCode>
                <c:ptCount val="1"/>
                <c:pt idx="0">
                  <c:v>1282</c:v>
                </c:pt>
              </c:numCache>
            </c:numRef>
          </c:yVal>
          <c:bubbleSize>
            <c:numRef>
              <c:f>'2x2 – Option 2'!$K$9</c:f>
              <c:numCache>
                <c:formatCode>#,##0</c:formatCode>
                <c:ptCount val="1"/>
                <c:pt idx="0">
                  <c:v>16792.84</c:v>
                </c:pt>
              </c:numCache>
            </c:numRef>
          </c:bubbleSize>
          <c:bubble3D val="0"/>
        </c:ser>
        <c:ser>
          <c:idx val="4"/>
          <c:order val="4"/>
          <c:tx>
            <c:strRef>
              <c:f>'2x2 – Option 2'!$H$10</c:f>
              <c:strCache>
                <c:ptCount val="1"/>
                <c:pt idx="0">
                  <c:v>Epinephrine (Adrenaline) (P1)</c:v>
                </c:pt>
              </c:strCache>
            </c:strRef>
          </c:tx>
          <c:spPr>
            <a:solidFill>
              <a:srgbClr val="1f3864"/>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2'!$I$10</c:f>
              <c:numCache>
                <c:formatCode>#,##0.00</c:formatCode>
                <c:ptCount val="1"/>
                <c:pt idx="0">
                  <c:v>28.67</c:v>
                </c:pt>
              </c:numCache>
            </c:numRef>
          </c:xVal>
          <c:yVal>
            <c:numRef>
              <c:f>'2x2 – Option 2'!$J$10</c:f>
              <c:numCache>
                <c:formatCode>#,##0</c:formatCode>
                <c:ptCount val="1"/>
                <c:pt idx="0">
                  <c:v>912</c:v>
                </c:pt>
              </c:numCache>
            </c:numRef>
          </c:yVal>
          <c:bubbleSize>
            <c:numRef>
              <c:f>'2x2 – Option 2'!$K$10</c:f>
              <c:numCache>
                <c:formatCode>#,##0</c:formatCode>
                <c:ptCount val="1"/>
                <c:pt idx="0">
                  <c:v>4620.39</c:v>
                </c:pt>
              </c:numCache>
            </c:numRef>
          </c:bubbleSize>
          <c:bubble3D val="0"/>
        </c:ser>
        <c:ser>
          <c:idx val="5"/>
          <c:order val="5"/>
          <c:tx>
            <c:strRef>
              <c:f>'2x2 – Option 2'!$H$11</c:f>
              <c:strCache>
                <c:ptCount val="1"/>
                <c:pt idx="0">
                  <c:v>Bleomycin (P1)</c:v>
                </c:pt>
              </c:strCache>
            </c:strRef>
          </c:tx>
          <c:spPr>
            <a:solidFill>
              <a:srgbClr val="1f3864"/>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2'!$I$11</c:f>
              <c:numCache>
                <c:formatCode>#,##0.00</c:formatCode>
                <c:ptCount val="1"/>
                <c:pt idx="0">
                  <c:v>50.27</c:v>
                </c:pt>
              </c:numCache>
            </c:numRef>
          </c:xVal>
          <c:yVal>
            <c:numRef>
              <c:f>'2x2 – Option 2'!$J$11</c:f>
              <c:numCache>
                <c:formatCode>#,##0</c:formatCode>
                <c:ptCount val="1"/>
                <c:pt idx="0">
                  <c:v>441</c:v>
                </c:pt>
              </c:numCache>
            </c:numRef>
          </c:yVal>
          <c:bubbleSize>
            <c:numRef>
              <c:f>'2x2 – Option 2'!$K$11</c:f>
              <c:numCache>
                <c:formatCode>#,##0</c:formatCode>
                <c:ptCount val="1"/>
                <c:pt idx="0">
                  <c:v>3973.65</c:v>
                </c:pt>
              </c:numCache>
            </c:numRef>
          </c:bubbleSize>
          <c:bubble3D val="0"/>
        </c:ser>
        <c:ser>
          <c:idx val="6"/>
          <c:order val="6"/>
          <c:tx>
            <c:strRef>
              <c:f>'2x2 – Option 2'!$H$12</c:f>
              <c:strCache>
                <c:ptCount val="1"/>
                <c:pt idx="0">
                  <c:v>Denosumab (P1)</c:v>
                </c:pt>
              </c:strCache>
            </c:strRef>
          </c:tx>
          <c:spPr>
            <a:solidFill>
              <a:srgbClr val="1f3864"/>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2'!$I$12</c:f>
              <c:numCache>
                <c:formatCode>#,##0.00</c:formatCode>
                <c:ptCount val="1"/>
                <c:pt idx="0">
                  <c:v>162.77</c:v>
                </c:pt>
              </c:numCache>
            </c:numRef>
          </c:xVal>
          <c:yVal>
            <c:numRef>
              <c:f>'2x2 – Option 2'!$J$12</c:f>
              <c:numCache>
                <c:formatCode>#,##0</c:formatCode>
                <c:ptCount val="1"/>
                <c:pt idx="0">
                  <c:v>314</c:v>
                </c:pt>
              </c:numCache>
            </c:numRef>
          </c:yVal>
          <c:bubbleSize>
            <c:numRef>
              <c:f>'2x2 – Option 2'!$K$12</c:f>
              <c:numCache>
                <c:formatCode>#,##0</c:formatCode>
                <c:ptCount val="1"/>
                <c:pt idx="0">
                  <c:v>3429.51</c:v>
                </c:pt>
              </c:numCache>
            </c:numRef>
          </c:bubbleSize>
          <c:bubble3D val="0"/>
        </c:ser>
        <c:ser>
          <c:idx val="7"/>
          <c:order val="7"/>
          <c:tx>
            <c:strRef>
              <c:f>'2x2 – Option 2'!$H$13</c:f>
              <c:strCache>
                <c:ptCount val="1"/>
                <c:pt idx="0">
                  <c:v>Ceftriaxone (P2)</c:v>
                </c:pt>
              </c:strCache>
            </c:strRef>
          </c:tx>
          <c:spPr>
            <a:solidFill>
              <a:srgbClr val="1f3864"/>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2'!$I$13</c:f>
              <c:numCache>
                <c:formatCode>#,##0.00</c:formatCode>
                <c:ptCount val="1"/>
              </c:numCache>
            </c:numRef>
          </c:xVal>
          <c:yVal>
            <c:numRef>
              <c:f>'2x2 – Option 2'!$J$13</c:f>
              <c:numCache>
                <c:formatCode>#,##0</c:formatCode>
                <c:ptCount val="1"/>
              </c:numCache>
            </c:numRef>
          </c:yVal>
          <c:bubbleSize>
            <c:numRef>
              <c:f>'2x2 – Option 2'!$K$13</c:f>
              <c:numCache>
                <c:formatCode>#,##0</c:formatCode>
                <c:ptCount val="1"/>
              </c:numCache>
            </c:numRef>
          </c:bubbleSize>
          <c:bubble3D val="0"/>
        </c:ser>
        <c:ser>
          <c:idx val="8"/>
          <c:order val="8"/>
          <c:tx>
            <c:strRef>
              <c:f>'2x2 – Option 2'!$H$14</c:f>
              <c:strCache>
                <c:ptCount val="1"/>
                <c:pt idx="0">
                  <c:v>Ondansetron (P2)</c:v>
                </c:pt>
              </c:strCache>
            </c:strRef>
          </c:tx>
          <c:spPr>
            <a:solidFill>
              <a:srgbClr val="1f3864"/>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2'!$I$14</c:f>
              <c:numCache>
                <c:formatCode>#,##0.00</c:formatCode>
                <c:ptCount val="1"/>
              </c:numCache>
            </c:numRef>
          </c:xVal>
          <c:yVal>
            <c:numRef>
              <c:f>'2x2 – Option 2'!$J$14</c:f>
              <c:numCache>
                <c:formatCode>#,##0</c:formatCode>
                <c:ptCount val="1"/>
              </c:numCache>
            </c:numRef>
          </c:yVal>
          <c:bubbleSize>
            <c:numRef>
              <c:f>'2x2 – Option 2'!$K$14</c:f>
              <c:numCache>
                <c:formatCode>#,##0</c:formatCode>
                <c:ptCount val="1"/>
              </c:numCache>
            </c:numRef>
          </c:bubbleSize>
          <c:bubble3D val="0"/>
        </c:ser>
        <c:ser>
          <c:idx val="9"/>
          <c:order val="9"/>
          <c:tx>
            <c:strRef>
              <c:f>'2x2 – Option 2'!$H$15</c:f>
              <c:strCache>
                <c:ptCount val="1"/>
                <c:pt idx="0">
                  <c:v>Pegfilgrastim (P2)</c:v>
                </c:pt>
              </c:strCache>
            </c:strRef>
          </c:tx>
          <c:spPr>
            <a:solidFill>
              <a:srgbClr val="1f3864"/>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2'!$I$15</c:f>
              <c:numCache>
                <c:formatCode>#,##0.00</c:formatCode>
                <c:ptCount val="1"/>
              </c:numCache>
            </c:numRef>
          </c:xVal>
          <c:yVal>
            <c:numRef>
              <c:f>'2x2 – Option 2'!$J$15</c:f>
              <c:numCache>
                <c:formatCode>#,##0</c:formatCode>
                <c:ptCount val="1"/>
              </c:numCache>
            </c:numRef>
          </c:yVal>
          <c:bubbleSize>
            <c:numRef>
              <c:f>'2x2 – Option 2'!$K$15</c:f>
              <c:numCache>
                <c:formatCode>#,##0</c:formatCode>
                <c:ptCount val="1"/>
              </c:numCache>
            </c:numRef>
          </c:bubbleSize>
          <c:bubble3D val="0"/>
        </c:ser>
        <c:ser>
          <c:idx val="10"/>
          <c:order val="10"/>
          <c:tx>
            <c:strRef>
              <c:f>'2x2 – Option 2'!$H$16</c:f>
              <c:strCache>
                <c:ptCount val="1"/>
                <c:pt idx="0">
                  <c:v>Progesterone (P2)</c:v>
                </c:pt>
              </c:strCache>
            </c:strRef>
          </c:tx>
          <c:spPr>
            <a:solidFill>
              <a:srgbClr val="1f3864"/>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2'!$I$16</c:f>
              <c:numCache>
                <c:formatCode>#,##0.00</c:formatCode>
                <c:ptCount val="1"/>
              </c:numCache>
            </c:numRef>
          </c:xVal>
          <c:yVal>
            <c:numRef>
              <c:f>'2x2 – Option 2'!$J$16</c:f>
              <c:numCache>
                <c:formatCode>#,##0</c:formatCode>
                <c:ptCount val="1"/>
              </c:numCache>
            </c:numRef>
          </c:yVal>
          <c:bubbleSize>
            <c:numRef>
              <c:f>'2x2 – Option 2'!$K$16</c:f>
              <c:numCache>
                <c:formatCode>#,##0</c:formatCode>
                <c:ptCount val="1"/>
              </c:numCache>
            </c:numRef>
          </c:bubbleSize>
          <c:bubble3D val="0"/>
        </c:ser>
        <c:ser>
          <c:idx val="11"/>
          <c:order val="11"/>
          <c:tx>
            <c:strRef>
              <c:f>'2x2 – Option 2'!$H$17</c:f>
              <c:strCache>
                <c:ptCount val="1"/>
                <c:pt idx="0">
                  <c:v>Flucloxacillin (P2)</c:v>
                </c:pt>
              </c:strCache>
            </c:strRef>
          </c:tx>
          <c:spPr>
            <a:solidFill>
              <a:srgbClr val="1f3864"/>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2'!$I$17</c:f>
              <c:numCache>
                <c:formatCode>#,##0.00</c:formatCode>
                <c:ptCount val="1"/>
              </c:numCache>
            </c:numRef>
          </c:xVal>
          <c:yVal>
            <c:numRef>
              <c:f>'2x2 – Option 2'!$J$17</c:f>
              <c:numCache>
                <c:formatCode>#,##0</c:formatCode>
                <c:ptCount val="1"/>
              </c:numCache>
            </c:numRef>
          </c:yVal>
          <c:bubbleSize>
            <c:numRef>
              <c:f>'2x2 – Option 2'!$K$17</c:f>
              <c:numCache>
                <c:formatCode>#,##0</c:formatCode>
                <c:ptCount val="1"/>
              </c:numCache>
            </c:numRef>
          </c:bubbleSize>
          <c:bubble3D val="0"/>
        </c:ser>
        <c:ser>
          <c:idx val="12"/>
          <c:order val="12"/>
          <c:tx>
            <c:strRef>
              <c:f>'2x2 – Option 2'!$H$18</c:f>
              <c:strCache>
                <c:ptCount val="1"/>
                <c:pt idx="0">
                  <c:v>Fulvestrant (P2)</c:v>
                </c:pt>
              </c:strCache>
            </c:strRef>
          </c:tx>
          <c:spPr>
            <a:solidFill>
              <a:srgbClr val="1f3864"/>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2'!$I$18</c:f>
              <c:numCache>
                <c:formatCode>#,##0.00</c:formatCode>
                <c:ptCount val="1"/>
              </c:numCache>
            </c:numRef>
          </c:xVal>
          <c:yVal>
            <c:numRef>
              <c:f>'2x2 – Option 2'!$J$18</c:f>
              <c:numCache>
                <c:formatCode>#,##0</c:formatCode>
                <c:ptCount val="1"/>
              </c:numCache>
            </c:numRef>
          </c:yVal>
          <c:bubbleSize>
            <c:numRef>
              <c:f>'2x2 – Option 2'!$K$18</c:f>
              <c:numCache>
                <c:formatCode>#,##0</c:formatCode>
                <c:ptCount val="1"/>
              </c:numCache>
            </c:numRef>
          </c:bubbleSize>
          <c:bubble3D val="0"/>
        </c:ser>
        <c:ser>
          <c:idx val="13"/>
          <c:order val="13"/>
          <c:tx>
            <c:strRef>
              <c:f>'2x2 – Option 2'!$H$19</c:f>
              <c:strCache>
                <c:ptCount val="1"/>
                <c:pt idx="0">
                  <c:v>Atropine (P2)</c:v>
                </c:pt>
              </c:strCache>
            </c:strRef>
          </c:tx>
          <c:spPr>
            <a:solidFill>
              <a:srgbClr val="1f3864"/>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2'!$I$19</c:f>
              <c:numCache>
                <c:formatCode>#,##0.00</c:formatCode>
                <c:ptCount val="1"/>
              </c:numCache>
            </c:numRef>
          </c:xVal>
          <c:yVal>
            <c:numRef>
              <c:f>'2x2 – Option 2'!$J$19</c:f>
              <c:numCache>
                <c:formatCode>#,##0</c:formatCode>
                <c:ptCount val="1"/>
              </c:numCache>
            </c:numRef>
          </c:yVal>
          <c:bubbleSize>
            <c:numRef>
              <c:f>'2x2 – Option 2'!$K$19</c:f>
              <c:numCache>
                <c:formatCode>#,##0</c:formatCode>
                <c:ptCount val="1"/>
              </c:numCache>
            </c:numRef>
          </c:bubbleSize>
          <c:bubble3D val="0"/>
        </c:ser>
        <c:ser>
          <c:idx val="14"/>
          <c:order val="14"/>
          <c:tx>
            <c:strRef>
              <c:f>'2x2 – Option 2'!$H$20</c:f>
              <c:strCache>
                <c:ptCount val="1"/>
                <c:pt idx="0">
                  <c:v>Plerixafor (P2)</c:v>
                </c:pt>
              </c:strCache>
            </c:strRef>
          </c:tx>
          <c:spPr>
            <a:solidFill>
              <a:srgbClr val="1f3864"/>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2'!$I$20</c:f>
              <c:numCache>
                <c:formatCode>#,##0.00</c:formatCode>
                <c:ptCount val="1"/>
              </c:numCache>
            </c:numRef>
          </c:xVal>
          <c:yVal>
            <c:numRef>
              <c:f>'2x2 – Option 2'!$J$20</c:f>
              <c:numCache>
                <c:formatCode>#,##0</c:formatCode>
                <c:ptCount val="1"/>
              </c:numCache>
            </c:numRef>
          </c:yVal>
          <c:bubbleSize>
            <c:numRef>
              <c:f>'2x2 – Option 2'!$K$20</c:f>
              <c:numCache>
                <c:formatCode>#,##0</c:formatCode>
                <c:ptCount val="1"/>
              </c:numCache>
            </c:numRef>
          </c:bubbleSize>
          <c:bubble3D val="0"/>
        </c:ser>
        <c:ser>
          <c:idx val="15"/>
          <c:order val="15"/>
          <c:tx>
            <c:strRef>
              <c:f>'2x2 – Option 2'!$H$21</c:f>
              <c:strCache>
                <c:ptCount val="1"/>
                <c:pt idx="0">
                  <c:v>Cytarabine (P2)</c:v>
                </c:pt>
              </c:strCache>
            </c:strRef>
          </c:tx>
          <c:spPr>
            <a:solidFill>
              <a:srgbClr val="1f3864"/>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2'!$I$21</c:f>
              <c:numCache>
                <c:formatCode>#,##0.00</c:formatCode>
                <c:ptCount val="1"/>
              </c:numCache>
            </c:numRef>
          </c:xVal>
          <c:yVal>
            <c:numRef>
              <c:f>'2x2 – Option 2'!$J$21</c:f>
              <c:numCache>
                <c:formatCode>#,##0</c:formatCode>
                <c:ptCount val="1"/>
              </c:numCache>
            </c:numRef>
          </c:yVal>
          <c:bubbleSize>
            <c:numRef>
              <c:f>'2x2 – Option 2'!$K$21</c:f>
              <c:numCache>
                <c:formatCode>#,##0</c:formatCode>
                <c:ptCount val="1"/>
              </c:numCache>
            </c:numRef>
          </c:bubbleSize>
          <c:bubble3D val="0"/>
        </c:ser>
        <c:ser>
          <c:idx val="16"/>
          <c:order val="16"/>
          <c:tx>
            <c:strRef>
              <c:f>'2x2 – Option 2'!$H$22</c:f>
              <c:strCache>
                <c:ptCount val="1"/>
                <c:pt idx="0">
                  <c:v>Teicoplanin (P2)</c:v>
                </c:pt>
              </c:strCache>
            </c:strRef>
          </c:tx>
          <c:spPr>
            <a:solidFill>
              <a:srgbClr val="1f3864"/>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2'!$I$22</c:f>
              <c:numCache>
                <c:formatCode>#,##0.00</c:formatCode>
                <c:ptCount val="1"/>
              </c:numCache>
            </c:numRef>
          </c:xVal>
          <c:yVal>
            <c:numRef>
              <c:f>'2x2 – Option 2'!$J$22</c:f>
              <c:numCache>
                <c:formatCode>#,##0</c:formatCode>
                <c:ptCount val="1"/>
              </c:numCache>
            </c:numRef>
          </c:yVal>
          <c:bubbleSize>
            <c:numRef>
              <c:f>'2x2 – Option 2'!$K$22</c:f>
              <c:numCache>
                <c:formatCode>#,##0</c:formatCode>
                <c:ptCount val="1"/>
              </c:numCache>
            </c:numRef>
          </c:bubbleSize>
          <c:bubble3D val="0"/>
        </c:ser>
        <c:ser>
          <c:idx val="17"/>
          <c:order val="17"/>
          <c:tx>
            <c:strRef>
              <c:f>'2x2 – Option 2'!$H$23</c:f>
              <c:strCache>
                <c:ptCount val="1"/>
                <c:pt idx="0">
                  <c:v>Cefepime (P2)</c:v>
                </c:pt>
              </c:strCache>
            </c:strRef>
          </c:tx>
          <c:spPr>
            <a:solidFill>
              <a:srgbClr val="1f3864"/>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2'!$I$23</c:f>
              <c:numCache>
                <c:formatCode>#,##0.00</c:formatCode>
                <c:ptCount val="1"/>
              </c:numCache>
            </c:numRef>
          </c:xVal>
          <c:yVal>
            <c:numRef>
              <c:f>'2x2 – Option 2'!$J$23</c:f>
              <c:numCache>
                <c:formatCode>#,##0</c:formatCode>
                <c:ptCount val="1"/>
              </c:numCache>
            </c:numRef>
          </c:yVal>
          <c:bubbleSize>
            <c:numRef>
              <c:f>'2x2 – Option 2'!$K$23</c:f>
              <c:numCache>
                <c:formatCode>#,##0</c:formatCode>
                <c:ptCount val="1"/>
              </c:numCache>
            </c:numRef>
          </c:bubbleSize>
          <c:bubble3D val="0"/>
        </c:ser>
        <c:ser>
          <c:idx val="18"/>
          <c:order val="18"/>
          <c:tx>
            <c:strRef>
              <c:f>'2x2 – Option 2'!$H$24</c:f>
              <c:strCache>
                <c:ptCount val="1"/>
                <c:pt idx="0">
                  <c:v>Naloxone (P2)</c:v>
                </c:pt>
              </c:strCache>
            </c:strRef>
          </c:tx>
          <c:spPr>
            <a:solidFill>
              <a:srgbClr val="1f3864"/>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2'!$I$24</c:f>
              <c:numCache>
                <c:formatCode>#,##0.00</c:formatCode>
                <c:ptCount val="1"/>
              </c:numCache>
            </c:numRef>
          </c:xVal>
          <c:yVal>
            <c:numRef>
              <c:f>'2x2 – Option 2'!$J$24</c:f>
              <c:numCache>
                <c:formatCode>#,##0</c:formatCode>
                <c:ptCount val="1"/>
              </c:numCache>
            </c:numRef>
          </c:yVal>
          <c:bubbleSize>
            <c:numRef>
              <c:f>'2x2 – Option 2'!$K$24</c:f>
              <c:numCache>
                <c:formatCode>#,##0</c:formatCode>
                <c:ptCount val="1"/>
              </c:numCache>
            </c:numRef>
          </c:bubbleSize>
          <c:bubble3D val="0"/>
        </c:ser>
        <c:ser>
          <c:idx val="19"/>
          <c:order val="19"/>
          <c:tx>
            <c:strRef>
              <c:f>'2x2 – Option 2'!$H$25</c:f>
              <c:strCache>
                <c:ptCount val="1"/>
                <c:pt idx="0">
                  <c:v>Succinylcholine (Suxamethonium) (P2)</c:v>
                </c:pt>
              </c:strCache>
            </c:strRef>
          </c:tx>
          <c:spPr>
            <a:solidFill>
              <a:srgbClr val="1f3864"/>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2'!$I$25</c:f>
              <c:numCache>
                <c:formatCode>#,##0.00</c:formatCode>
                <c:ptCount val="1"/>
              </c:numCache>
            </c:numRef>
          </c:xVal>
          <c:yVal>
            <c:numRef>
              <c:f>'2x2 – Option 2'!$J$25</c:f>
              <c:numCache>
                <c:formatCode>#,##0</c:formatCode>
                <c:ptCount val="1"/>
              </c:numCache>
            </c:numRef>
          </c:yVal>
          <c:bubbleSize>
            <c:numRef>
              <c:f>'2x2 – Option 2'!$K$25</c:f>
              <c:numCache>
                <c:formatCode>#,##0</c:formatCode>
                <c:ptCount val="1"/>
              </c:numCache>
            </c:numRef>
          </c:bubbleSize>
          <c:bubble3D val="0"/>
        </c:ser>
        <c:ser>
          <c:idx val="20"/>
          <c:order val="20"/>
          <c:tx>
            <c:strRef>
              <c:f>'2x2 – Option 2'!$H$26</c:f>
              <c:strCache>
                <c:ptCount val="1"/>
                <c:pt idx="0">
                  <c:v>Leuprorelin (P2)</c:v>
                </c:pt>
              </c:strCache>
            </c:strRef>
          </c:tx>
          <c:spPr>
            <a:solidFill>
              <a:srgbClr val="1f3864"/>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2'!$I$26</c:f>
              <c:numCache>
                <c:formatCode>#,##0.00</c:formatCode>
                <c:ptCount val="1"/>
              </c:numCache>
            </c:numRef>
          </c:xVal>
          <c:yVal>
            <c:numRef>
              <c:f>'2x2 – Option 2'!$J$26</c:f>
              <c:numCache>
                <c:formatCode>#,##0</c:formatCode>
                <c:ptCount val="1"/>
              </c:numCache>
            </c:numRef>
          </c:yVal>
          <c:bubbleSize>
            <c:numRef>
              <c:f>'2x2 – Option 2'!$K$26</c:f>
              <c:numCache>
                <c:formatCode>#,##0</c:formatCode>
                <c:ptCount val="1"/>
              </c:numCache>
            </c:numRef>
          </c:bubbleSize>
          <c:bubble3D val="0"/>
        </c:ser>
        <c:ser>
          <c:idx val="21"/>
          <c:order val="21"/>
          <c:tx>
            <c:strRef>
              <c:f>'2x2 – Option 2'!$H$27</c:f>
              <c:strCache>
                <c:ptCount val="1"/>
                <c:pt idx="0">
                  <c:v>Ustekinumab (P2)</c:v>
                </c:pt>
              </c:strCache>
            </c:strRef>
          </c:tx>
          <c:spPr>
            <a:solidFill>
              <a:srgbClr val="1f3864"/>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2'!$I$27</c:f>
              <c:numCache>
                <c:formatCode>#,##0.00</c:formatCode>
                <c:ptCount val="1"/>
              </c:numCache>
            </c:numRef>
          </c:xVal>
          <c:yVal>
            <c:numRef>
              <c:f>'2x2 – Option 2'!$J$27</c:f>
              <c:numCache>
                <c:formatCode>#,##0</c:formatCode>
                <c:ptCount val="1"/>
              </c:numCache>
            </c:numRef>
          </c:yVal>
          <c:bubbleSize>
            <c:numRef>
              <c:f>'2x2 – Option 2'!$K$27</c:f>
              <c:numCache>
                <c:formatCode>#,##0</c:formatCode>
                <c:ptCount val="1"/>
              </c:numCache>
            </c:numRef>
          </c:bubbleSize>
          <c:bubble3D val="0"/>
        </c:ser>
        <c:ser>
          <c:idx val="22"/>
          <c:order val="22"/>
          <c:tx>
            <c:strRef>
              <c:f>'2x2 – Option 2'!$H$28</c:f>
              <c:strCache>
                <c:ptCount val="1"/>
                <c:pt idx="0">
                  <c:v>Degarelix (P2)</c:v>
                </c:pt>
              </c:strCache>
            </c:strRef>
          </c:tx>
          <c:spPr>
            <a:solidFill>
              <a:srgbClr val="1f3864"/>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2'!$I$28</c:f>
              <c:numCache>
                <c:formatCode>#,##0.00</c:formatCode>
                <c:ptCount val="1"/>
              </c:numCache>
            </c:numRef>
          </c:xVal>
          <c:yVal>
            <c:numRef>
              <c:f>'2x2 – Option 2'!$J$28</c:f>
              <c:numCache>
                <c:formatCode>#,##0</c:formatCode>
                <c:ptCount val="1"/>
              </c:numCache>
            </c:numRef>
          </c:yVal>
          <c:bubbleSize>
            <c:numRef>
              <c:f>'2x2 – Option 2'!$K$28</c:f>
              <c:numCache>
                <c:formatCode>#,##0</c:formatCode>
                <c:ptCount val="1"/>
              </c:numCache>
            </c:numRef>
          </c:bubbleSize>
          <c:bubble3D val="0"/>
        </c:ser>
        <c:ser>
          <c:idx val="23"/>
          <c:order val="23"/>
          <c:tx>
            <c:strRef>
              <c:f>'2x2 – Option 2'!$H$29</c:f>
              <c:strCache>
                <c:ptCount val="1"/>
                <c:pt idx="0">
                  <c:v>Midazolam (P3)</c:v>
                </c:pt>
              </c:strCache>
            </c:strRef>
          </c:tx>
          <c:spPr>
            <a:solidFill>
              <a:srgbClr val="1f3864"/>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2'!$I$29</c:f>
              <c:numCache>
                <c:formatCode>#,##0.00</c:formatCode>
                <c:ptCount val="1"/>
              </c:numCache>
            </c:numRef>
          </c:xVal>
          <c:yVal>
            <c:numRef>
              <c:f>'2x2 – Option 2'!$J$29</c:f>
              <c:numCache>
                <c:formatCode>#,##0</c:formatCode>
                <c:ptCount val="1"/>
              </c:numCache>
            </c:numRef>
          </c:yVal>
          <c:bubbleSize>
            <c:numRef>
              <c:f>'2x2 – Option 2'!$K$29</c:f>
              <c:numCache>
                <c:formatCode>#,##0</c:formatCode>
                <c:ptCount val="1"/>
              </c:numCache>
            </c:numRef>
          </c:bubbleSize>
          <c:bubble3D val="0"/>
        </c:ser>
        <c:ser>
          <c:idx val="24"/>
          <c:order val="24"/>
          <c:tx>
            <c:strRef>
              <c:f>'2x2 – Option 2'!$H$30</c:f>
              <c:strCache>
                <c:ptCount val="1"/>
                <c:pt idx="0">
                  <c:v>Colistimethate Sodium (P3)</c:v>
                </c:pt>
              </c:strCache>
            </c:strRef>
          </c:tx>
          <c:spPr>
            <a:solidFill>
              <a:srgbClr val="1f3864"/>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2'!$I$30</c:f>
              <c:numCache>
                <c:formatCode>#,##0.00</c:formatCode>
                <c:ptCount val="1"/>
              </c:numCache>
            </c:numRef>
          </c:xVal>
          <c:yVal>
            <c:numRef>
              <c:f>'2x2 – Option 2'!$J$30</c:f>
              <c:numCache>
                <c:formatCode>#,##0</c:formatCode>
                <c:ptCount val="1"/>
              </c:numCache>
            </c:numRef>
          </c:yVal>
          <c:bubbleSize>
            <c:numRef>
              <c:f>'2x2 – Option 2'!$K$30</c:f>
              <c:numCache>
                <c:formatCode>#,##0</c:formatCode>
                <c:ptCount val="1"/>
              </c:numCache>
            </c:numRef>
          </c:bubbleSize>
          <c:bubble3D val="0"/>
        </c:ser>
        <c:ser>
          <c:idx val="25"/>
          <c:order val="25"/>
          <c:tx>
            <c:strRef>
              <c:f>'2x2 – Option 2'!$H$31</c:f>
              <c:strCache>
                <c:ptCount val="1"/>
                <c:pt idx="0">
                  <c:v>Hydroxocobalamin (P3)</c:v>
                </c:pt>
              </c:strCache>
            </c:strRef>
          </c:tx>
          <c:spPr>
            <a:solidFill>
              <a:srgbClr val="1f3864"/>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2'!$I$31</c:f>
              <c:numCache>
                <c:formatCode>#,##0.00</c:formatCode>
                <c:ptCount val="1"/>
              </c:numCache>
            </c:numRef>
          </c:xVal>
          <c:yVal>
            <c:numRef>
              <c:f>'2x2 – Option 2'!$J$31</c:f>
              <c:numCache>
                <c:formatCode>#,##0</c:formatCode>
                <c:ptCount val="1"/>
              </c:numCache>
            </c:numRef>
          </c:yVal>
          <c:bubbleSize>
            <c:numRef>
              <c:f>'2x2 – Option 2'!$K$31</c:f>
              <c:numCache>
                <c:formatCode>#,##0</c:formatCode>
                <c:ptCount val="1"/>
              </c:numCache>
            </c:numRef>
          </c:bubbleSize>
          <c:bubble3D val="0"/>
        </c:ser>
        <c:ser>
          <c:idx val="26"/>
          <c:order val="26"/>
          <c:tx>
            <c:strRef>
              <c:f>'2x2 – Option 2'!$H$32</c:f>
              <c:strCache>
                <c:ptCount val="1"/>
                <c:pt idx="0">
                  <c:v/>
                </c:pt>
              </c:strCache>
            </c:strRef>
          </c:tx>
          <c:spPr>
            <a:solidFill>
              <a:srgbClr val="1f3864"/>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2'!$I$32</c:f>
              <c:numCache>
                <c:formatCode>#,##0.00</c:formatCode>
                <c:ptCount val="1"/>
              </c:numCache>
            </c:numRef>
          </c:xVal>
          <c:yVal>
            <c:numRef>
              <c:f>'2x2 – Option 2'!$J$32</c:f>
              <c:numCache>
                <c:formatCode>#,##0</c:formatCode>
                <c:ptCount val="1"/>
              </c:numCache>
            </c:numRef>
          </c:yVal>
          <c:bubbleSize>
            <c:numRef>
              <c:f>'2x2 – Option 2'!$K$32</c:f>
              <c:numCache>
                <c:formatCode>#,##0</c:formatCode>
                <c:ptCount val="1"/>
              </c:numCache>
            </c:numRef>
          </c:bubbleSize>
          <c:bubble3D val="0"/>
        </c:ser>
        <c:ser>
          <c:idx val="27"/>
          <c:order val="27"/>
          <c:tx>
            <c:strRef>
              <c:f>'2x2 – Option 2'!$H$33</c:f>
              <c:strCache>
                <c:ptCount val="1"/>
                <c:pt idx="0">
                  <c:v/>
                </c:pt>
              </c:strCache>
            </c:strRef>
          </c:tx>
          <c:spPr>
            <a:solidFill>
              <a:srgbClr val="1f3864"/>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2'!$I$33</c:f>
              <c:numCache>
                <c:formatCode>#,##0.00</c:formatCode>
                <c:ptCount val="1"/>
              </c:numCache>
            </c:numRef>
          </c:xVal>
          <c:yVal>
            <c:numRef>
              <c:f>'2x2 – Option 2'!$J$33</c:f>
              <c:numCache>
                <c:formatCode>#,##0</c:formatCode>
                <c:ptCount val="1"/>
              </c:numCache>
            </c:numRef>
          </c:yVal>
          <c:bubbleSize>
            <c:numRef>
              <c:f>'2x2 – Option 2'!$K$33</c:f>
              <c:numCache>
                <c:formatCode>#,##0</c:formatCode>
                <c:ptCount val="1"/>
              </c:numCache>
            </c:numRef>
          </c:bubbleSize>
          <c:bubble3D val="0"/>
        </c:ser>
        <c:ser>
          <c:idx val="28"/>
          <c:order val="28"/>
          <c:tx>
            <c:strRef>
              <c:f>'2x2 – Option 2'!$H$34</c:f>
              <c:strCache>
                <c:ptCount val="1"/>
                <c:pt idx="0">
                  <c:v/>
                </c:pt>
              </c:strCache>
            </c:strRef>
          </c:tx>
          <c:spPr>
            <a:solidFill>
              <a:srgbClr val="1f3864"/>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2'!$I$34</c:f>
              <c:numCache>
                <c:formatCode>#,##0.00</c:formatCode>
                <c:ptCount val="1"/>
              </c:numCache>
            </c:numRef>
          </c:xVal>
          <c:yVal>
            <c:numRef>
              <c:f>'2x2 – Option 2'!$J$34</c:f>
              <c:numCache>
                <c:formatCode>#,##0</c:formatCode>
                <c:ptCount val="1"/>
              </c:numCache>
            </c:numRef>
          </c:yVal>
          <c:bubbleSize>
            <c:numRef>
              <c:f>'2x2 – Option 2'!$K$34</c:f>
              <c:numCache>
                <c:formatCode>#,##0</c:formatCode>
                <c:ptCount val="1"/>
              </c:numCache>
            </c:numRef>
          </c:bubbleSize>
          <c:bubble3D val="0"/>
        </c:ser>
        <c:ser>
          <c:idx val="29"/>
          <c:order val="29"/>
          <c:tx>
            <c:strRef>
              <c:f>'2x2 – Option 2'!$H$35</c:f>
              <c:strCache>
                <c:ptCount val="1"/>
                <c:pt idx="0">
                  <c:v/>
                </c:pt>
              </c:strCache>
            </c:strRef>
          </c:tx>
          <c:spPr>
            <a:solidFill>
              <a:srgbClr val="1f3864"/>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2'!$I$35</c:f>
              <c:numCache>
                <c:formatCode>#,##0.00</c:formatCode>
                <c:ptCount val="1"/>
              </c:numCache>
            </c:numRef>
          </c:xVal>
          <c:yVal>
            <c:numRef>
              <c:f>'2x2 – Option 2'!$J$35</c:f>
              <c:numCache>
                <c:formatCode>#,##0</c:formatCode>
                <c:ptCount val="1"/>
              </c:numCache>
            </c:numRef>
          </c:yVal>
          <c:bubbleSize>
            <c:numRef>
              <c:f>'2x2 – Option 2'!$K$35</c:f>
              <c:numCache>
                <c:formatCode>#,##0</c:formatCode>
                <c:ptCount val="1"/>
              </c:numCache>
            </c:numRef>
          </c:bubbleSize>
          <c:bubble3D val="0"/>
        </c:ser>
        <c:ser>
          <c:idx val="30"/>
          <c:order val="30"/>
          <c:tx>
            <c:strRef>
              <c:f>'2x2 – Option 2'!$H$6</c:f>
              <c:strCache>
                <c:ptCount val="1"/>
                <c:pt idx="0">
                  <c:v>Azacitidine (P1)</c:v>
                </c:pt>
              </c:strCache>
            </c:strRef>
          </c:tx>
          <c:spPr>
            <a:solidFill>
              <a:srgbClr val="5b9bd5"/>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2'!$L$6</c:f>
              <c:numCache>
                <c:formatCode>#,##0.00</c:formatCode>
                <c:ptCount val="1"/>
              </c:numCache>
            </c:numRef>
          </c:xVal>
          <c:yVal>
            <c:numRef>
              <c:f>'2x2 – Option 2'!$M$6</c:f>
              <c:numCache>
                <c:formatCode>#,##0</c:formatCode>
                <c:ptCount val="1"/>
              </c:numCache>
            </c:numRef>
          </c:yVal>
          <c:bubbleSize>
            <c:numRef>
              <c:f>'2x2 – Option 2'!$N$6</c:f>
              <c:numCache>
                <c:formatCode>#,##0</c:formatCode>
                <c:ptCount val="1"/>
              </c:numCache>
            </c:numRef>
          </c:bubbleSize>
          <c:bubble3D val="0"/>
        </c:ser>
        <c:ser>
          <c:idx val="31"/>
          <c:order val="31"/>
          <c:tx>
            <c:strRef>
              <c:f>'2x2 – Option 2'!$H$7</c:f>
              <c:strCache>
                <c:ptCount val="1"/>
                <c:pt idx="0">
                  <c:v>Phenylephrine (P1)</c:v>
                </c:pt>
              </c:strCache>
            </c:strRef>
          </c:tx>
          <c:spPr>
            <a:solidFill>
              <a:srgbClr val="5b9bd5"/>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2'!$L$7</c:f>
              <c:numCache>
                <c:formatCode>#,##0.00</c:formatCode>
                <c:ptCount val="1"/>
              </c:numCache>
            </c:numRef>
          </c:xVal>
          <c:yVal>
            <c:numRef>
              <c:f>'2x2 – Option 2'!$M$7</c:f>
              <c:numCache>
                <c:formatCode>#,##0</c:formatCode>
                <c:ptCount val="1"/>
              </c:numCache>
            </c:numRef>
          </c:yVal>
          <c:bubbleSize>
            <c:numRef>
              <c:f>'2x2 – Option 2'!$N$7</c:f>
              <c:numCache>
                <c:formatCode>#,##0</c:formatCode>
                <c:ptCount val="1"/>
              </c:numCache>
            </c:numRef>
          </c:bubbleSize>
          <c:bubble3D val="0"/>
        </c:ser>
        <c:ser>
          <c:idx val="32"/>
          <c:order val="32"/>
          <c:tx>
            <c:strRef>
              <c:f>'2x2 – Option 2'!$H$8</c:f>
              <c:strCache>
                <c:ptCount val="1"/>
                <c:pt idx="0">
                  <c:v>Bortezomib (P1)</c:v>
                </c:pt>
              </c:strCache>
            </c:strRef>
          </c:tx>
          <c:spPr>
            <a:solidFill>
              <a:srgbClr val="5b9bd5"/>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2'!$L$8</c:f>
              <c:numCache>
                <c:formatCode>#,##0.00</c:formatCode>
                <c:ptCount val="1"/>
              </c:numCache>
            </c:numRef>
          </c:xVal>
          <c:yVal>
            <c:numRef>
              <c:f>'2x2 – Option 2'!$M$8</c:f>
              <c:numCache>
                <c:formatCode>#,##0</c:formatCode>
                <c:ptCount val="1"/>
              </c:numCache>
            </c:numRef>
          </c:yVal>
          <c:bubbleSize>
            <c:numRef>
              <c:f>'2x2 – Option 2'!$N$8</c:f>
              <c:numCache>
                <c:formatCode>#,##0</c:formatCode>
                <c:ptCount val="1"/>
              </c:numCache>
            </c:numRef>
          </c:bubbleSize>
          <c:bubble3D val="0"/>
        </c:ser>
        <c:ser>
          <c:idx val="33"/>
          <c:order val="33"/>
          <c:tx>
            <c:strRef>
              <c:f>'2x2 – Option 2'!$H$9</c:f>
              <c:strCache>
                <c:ptCount val="1"/>
                <c:pt idx="0">
                  <c:v>Methotrexate (P1)</c:v>
                </c:pt>
              </c:strCache>
            </c:strRef>
          </c:tx>
          <c:spPr>
            <a:solidFill>
              <a:srgbClr val="5b9bd5"/>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2'!$L$9</c:f>
              <c:numCache>
                <c:formatCode>#,##0.00</c:formatCode>
                <c:ptCount val="1"/>
              </c:numCache>
            </c:numRef>
          </c:xVal>
          <c:yVal>
            <c:numRef>
              <c:f>'2x2 – Option 2'!$M$9</c:f>
              <c:numCache>
                <c:formatCode>#,##0</c:formatCode>
                <c:ptCount val="1"/>
              </c:numCache>
            </c:numRef>
          </c:yVal>
          <c:bubbleSize>
            <c:numRef>
              <c:f>'2x2 – Option 2'!$N$9</c:f>
              <c:numCache>
                <c:formatCode>#,##0</c:formatCode>
                <c:ptCount val="1"/>
              </c:numCache>
            </c:numRef>
          </c:bubbleSize>
          <c:bubble3D val="0"/>
        </c:ser>
        <c:ser>
          <c:idx val="34"/>
          <c:order val="34"/>
          <c:tx>
            <c:strRef>
              <c:f>'2x2 – Option 2'!$H$10</c:f>
              <c:strCache>
                <c:ptCount val="1"/>
                <c:pt idx="0">
                  <c:v>Epinephrine (Adrenaline) (P1)</c:v>
                </c:pt>
              </c:strCache>
            </c:strRef>
          </c:tx>
          <c:spPr>
            <a:solidFill>
              <a:srgbClr val="5b9bd5"/>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2'!$L$10</c:f>
              <c:numCache>
                <c:formatCode>#,##0.00</c:formatCode>
                <c:ptCount val="1"/>
              </c:numCache>
            </c:numRef>
          </c:xVal>
          <c:yVal>
            <c:numRef>
              <c:f>'2x2 – Option 2'!$M$10</c:f>
              <c:numCache>
                <c:formatCode>#,##0</c:formatCode>
                <c:ptCount val="1"/>
              </c:numCache>
            </c:numRef>
          </c:yVal>
          <c:bubbleSize>
            <c:numRef>
              <c:f>'2x2 – Option 2'!$N$10</c:f>
              <c:numCache>
                <c:formatCode>#,##0</c:formatCode>
                <c:ptCount val="1"/>
              </c:numCache>
            </c:numRef>
          </c:bubbleSize>
          <c:bubble3D val="0"/>
        </c:ser>
        <c:ser>
          <c:idx val="35"/>
          <c:order val="35"/>
          <c:tx>
            <c:strRef>
              <c:f>'2x2 – Option 2'!$H$11</c:f>
              <c:strCache>
                <c:ptCount val="1"/>
                <c:pt idx="0">
                  <c:v>Bleomycin (P1)</c:v>
                </c:pt>
              </c:strCache>
            </c:strRef>
          </c:tx>
          <c:spPr>
            <a:solidFill>
              <a:srgbClr val="5b9bd5"/>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2'!$L$11</c:f>
              <c:numCache>
                <c:formatCode>#,##0.00</c:formatCode>
                <c:ptCount val="1"/>
              </c:numCache>
            </c:numRef>
          </c:xVal>
          <c:yVal>
            <c:numRef>
              <c:f>'2x2 – Option 2'!$M$11</c:f>
              <c:numCache>
                <c:formatCode>#,##0</c:formatCode>
                <c:ptCount val="1"/>
              </c:numCache>
            </c:numRef>
          </c:yVal>
          <c:bubbleSize>
            <c:numRef>
              <c:f>'2x2 – Option 2'!$N$11</c:f>
              <c:numCache>
                <c:formatCode>#,##0</c:formatCode>
                <c:ptCount val="1"/>
              </c:numCache>
            </c:numRef>
          </c:bubbleSize>
          <c:bubble3D val="0"/>
        </c:ser>
        <c:ser>
          <c:idx val="36"/>
          <c:order val="36"/>
          <c:tx>
            <c:strRef>
              <c:f>'2x2 – Option 2'!$H$12</c:f>
              <c:strCache>
                <c:ptCount val="1"/>
                <c:pt idx="0">
                  <c:v>Denosumab (P1)</c:v>
                </c:pt>
              </c:strCache>
            </c:strRef>
          </c:tx>
          <c:spPr>
            <a:solidFill>
              <a:srgbClr val="5b9bd5"/>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2'!$L$12</c:f>
              <c:numCache>
                <c:formatCode>#,##0.00</c:formatCode>
                <c:ptCount val="1"/>
              </c:numCache>
            </c:numRef>
          </c:xVal>
          <c:yVal>
            <c:numRef>
              <c:f>'2x2 – Option 2'!$M$12</c:f>
              <c:numCache>
                <c:formatCode>#,##0</c:formatCode>
                <c:ptCount val="1"/>
              </c:numCache>
            </c:numRef>
          </c:yVal>
          <c:bubbleSize>
            <c:numRef>
              <c:f>'2x2 – Option 2'!$N$12</c:f>
              <c:numCache>
                <c:formatCode>#,##0</c:formatCode>
                <c:ptCount val="1"/>
              </c:numCache>
            </c:numRef>
          </c:bubbleSize>
          <c:bubble3D val="0"/>
        </c:ser>
        <c:ser>
          <c:idx val="37"/>
          <c:order val="37"/>
          <c:tx>
            <c:strRef>
              <c:f>'2x2 – Option 2'!$H$13</c:f>
              <c:strCache>
                <c:ptCount val="1"/>
                <c:pt idx="0">
                  <c:v>Ceftriaxone (P2)</c:v>
                </c:pt>
              </c:strCache>
            </c:strRef>
          </c:tx>
          <c:spPr>
            <a:solidFill>
              <a:srgbClr val="5b9bd5"/>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2'!$L$13</c:f>
              <c:numCache>
                <c:formatCode>#,##0.00</c:formatCode>
                <c:ptCount val="1"/>
                <c:pt idx="0">
                  <c:v>5.6</c:v>
                </c:pt>
              </c:numCache>
            </c:numRef>
          </c:xVal>
          <c:yVal>
            <c:numRef>
              <c:f>'2x2 – Option 2'!$M$13</c:f>
              <c:numCache>
                <c:formatCode>#,##0</c:formatCode>
                <c:ptCount val="1"/>
                <c:pt idx="0">
                  <c:v>3110</c:v>
                </c:pt>
              </c:numCache>
            </c:numRef>
          </c:yVal>
          <c:bubbleSize>
            <c:numRef>
              <c:f>'2x2 – Option 2'!$N$13</c:f>
              <c:numCache>
                <c:formatCode>#,##0</c:formatCode>
                <c:ptCount val="1"/>
                <c:pt idx="0">
                  <c:v>93119.22</c:v>
                </c:pt>
              </c:numCache>
            </c:numRef>
          </c:bubbleSize>
          <c:bubble3D val="0"/>
        </c:ser>
        <c:ser>
          <c:idx val="38"/>
          <c:order val="38"/>
          <c:tx>
            <c:strRef>
              <c:f>'2x2 – Option 2'!$H$14</c:f>
              <c:strCache>
                <c:ptCount val="1"/>
                <c:pt idx="0">
                  <c:v>Ondansetron (P2)</c:v>
                </c:pt>
              </c:strCache>
            </c:strRef>
          </c:tx>
          <c:spPr>
            <a:solidFill>
              <a:srgbClr val="5b9bd5"/>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2'!$L$14</c:f>
              <c:numCache>
                <c:formatCode>#,##0.00</c:formatCode>
                <c:ptCount val="1"/>
                <c:pt idx="0">
                  <c:v>24.05</c:v>
                </c:pt>
              </c:numCache>
            </c:numRef>
          </c:xVal>
          <c:yVal>
            <c:numRef>
              <c:f>'2x2 – Option 2'!$M$14</c:f>
              <c:numCache>
                <c:formatCode>#,##0</c:formatCode>
                <c:ptCount val="1"/>
                <c:pt idx="0">
                  <c:v>2546</c:v>
                </c:pt>
              </c:numCache>
            </c:numRef>
          </c:yVal>
          <c:bubbleSize>
            <c:numRef>
              <c:f>'2x2 – Option 2'!$N$14</c:f>
              <c:numCache>
                <c:formatCode>#,##0</c:formatCode>
                <c:ptCount val="1"/>
                <c:pt idx="0">
                  <c:v>46507.62</c:v>
                </c:pt>
              </c:numCache>
            </c:numRef>
          </c:bubbleSize>
          <c:bubble3D val="0"/>
        </c:ser>
        <c:ser>
          <c:idx val="39"/>
          <c:order val="39"/>
          <c:tx>
            <c:strRef>
              <c:f>'2x2 – Option 2'!$H$15</c:f>
              <c:strCache>
                <c:ptCount val="1"/>
                <c:pt idx="0">
                  <c:v>Pegfilgrastim (P2)</c:v>
                </c:pt>
              </c:strCache>
            </c:strRef>
          </c:tx>
          <c:spPr>
            <a:solidFill>
              <a:srgbClr val="5b9bd5"/>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2'!$L$15</c:f>
              <c:numCache>
                <c:formatCode>#,##0.00</c:formatCode>
                <c:ptCount val="1"/>
                <c:pt idx="0">
                  <c:v>907.38</c:v>
                </c:pt>
              </c:numCache>
            </c:numRef>
          </c:xVal>
          <c:yVal>
            <c:numRef>
              <c:f>'2x2 – Option 2'!$M$15</c:f>
              <c:numCache>
                <c:formatCode>#,##0</c:formatCode>
                <c:ptCount val="1"/>
                <c:pt idx="0">
                  <c:v>157</c:v>
                </c:pt>
              </c:numCache>
            </c:numRef>
          </c:yVal>
          <c:bubbleSize>
            <c:numRef>
              <c:f>'2x2 – Option 2'!$N$15</c:f>
              <c:numCache>
                <c:formatCode>#,##0</c:formatCode>
                <c:ptCount val="1"/>
                <c:pt idx="0">
                  <c:v>22355.46</c:v>
                </c:pt>
              </c:numCache>
            </c:numRef>
          </c:bubbleSize>
          <c:bubble3D val="0"/>
        </c:ser>
        <c:ser>
          <c:idx val="40"/>
          <c:order val="40"/>
          <c:tx>
            <c:strRef>
              <c:f>'2x2 – Option 2'!$H$16</c:f>
              <c:strCache>
                <c:ptCount val="1"/>
                <c:pt idx="0">
                  <c:v>Progesterone (P2)</c:v>
                </c:pt>
              </c:strCache>
            </c:strRef>
          </c:tx>
          <c:spPr>
            <a:solidFill>
              <a:srgbClr val="5b9bd5"/>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2'!$L$16</c:f>
              <c:numCache>
                <c:formatCode>#,##0.00</c:formatCode>
                <c:ptCount val="1"/>
                <c:pt idx="0">
                  <c:v>6.23</c:v>
                </c:pt>
              </c:numCache>
            </c:numRef>
          </c:xVal>
          <c:yVal>
            <c:numRef>
              <c:f>'2x2 – Option 2'!$M$16</c:f>
              <c:numCache>
                <c:formatCode>#,##0</c:formatCode>
                <c:ptCount val="1"/>
                <c:pt idx="0">
                  <c:v>736</c:v>
                </c:pt>
              </c:numCache>
            </c:numRef>
          </c:yVal>
          <c:bubbleSize>
            <c:numRef>
              <c:f>'2x2 – Option 2'!$N$16</c:f>
              <c:numCache>
                <c:formatCode>#,##0</c:formatCode>
                <c:ptCount val="1"/>
                <c:pt idx="0">
                  <c:v>22018.81</c:v>
                </c:pt>
              </c:numCache>
            </c:numRef>
          </c:bubbleSize>
          <c:bubble3D val="0"/>
        </c:ser>
        <c:ser>
          <c:idx val="41"/>
          <c:order val="41"/>
          <c:tx>
            <c:strRef>
              <c:f>'2x2 – Option 2'!$H$17</c:f>
              <c:strCache>
                <c:ptCount val="1"/>
                <c:pt idx="0">
                  <c:v>Flucloxacillin (P2)</c:v>
                </c:pt>
              </c:strCache>
            </c:strRef>
          </c:tx>
          <c:spPr>
            <a:solidFill>
              <a:srgbClr val="5b9bd5"/>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2'!$L$17</c:f>
              <c:numCache>
                <c:formatCode>#,##0.00</c:formatCode>
                <c:ptCount val="1"/>
                <c:pt idx="0">
                  <c:v>6.07</c:v>
                </c:pt>
              </c:numCache>
            </c:numRef>
          </c:xVal>
          <c:yVal>
            <c:numRef>
              <c:f>'2x2 – Option 2'!$M$17</c:f>
              <c:numCache>
                <c:formatCode>#,##0</c:formatCode>
                <c:ptCount val="1"/>
                <c:pt idx="0">
                  <c:v>347</c:v>
                </c:pt>
              </c:numCache>
            </c:numRef>
          </c:yVal>
          <c:bubbleSize>
            <c:numRef>
              <c:f>'2x2 – Option 2'!$N$17</c:f>
              <c:numCache>
                <c:formatCode>#,##0</c:formatCode>
                <c:ptCount val="1"/>
                <c:pt idx="0">
                  <c:v>18803.98</c:v>
                </c:pt>
              </c:numCache>
            </c:numRef>
          </c:bubbleSize>
          <c:bubble3D val="0"/>
        </c:ser>
        <c:ser>
          <c:idx val="42"/>
          <c:order val="42"/>
          <c:tx>
            <c:strRef>
              <c:f>'2x2 – Option 2'!$H$18</c:f>
              <c:strCache>
                <c:ptCount val="1"/>
                <c:pt idx="0">
                  <c:v>Fulvestrant (P2)</c:v>
                </c:pt>
              </c:strCache>
            </c:strRef>
          </c:tx>
          <c:spPr>
            <a:solidFill>
              <a:srgbClr val="5b9bd5"/>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2'!$L$18</c:f>
              <c:numCache>
                <c:formatCode>#,##0.00</c:formatCode>
                <c:ptCount val="1"/>
                <c:pt idx="0">
                  <c:v>246.46</c:v>
                </c:pt>
              </c:numCache>
            </c:numRef>
          </c:xVal>
          <c:yVal>
            <c:numRef>
              <c:f>'2x2 – Option 2'!$M$18</c:f>
              <c:numCache>
                <c:formatCode>#,##0</c:formatCode>
                <c:ptCount val="1"/>
                <c:pt idx="0">
                  <c:v>146</c:v>
                </c:pt>
              </c:numCache>
            </c:numRef>
          </c:yVal>
          <c:bubbleSize>
            <c:numRef>
              <c:f>'2x2 – Option 2'!$N$18</c:f>
              <c:numCache>
                <c:formatCode>#,##0</c:formatCode>
                <c:ptCount val="1"/>
                <c:pt idx="0">
                  <c:v>11366.06</c:v>
                </c:pt>
              </c:numCache>
            </c:numRef>
          </c:bubbleSize>
          <c:bubble3D val="0"/>
        </c:ser>
        <c:ser>
          <c:idx val="43"/>
          <c:order val="43"/>
          <c:tx>
            <c:strRef>
              <c:f>'2x2 – Option 2'!$H$19</c:f>
              <c:strCache>
                <c:ptCount val="1"/>
                <c:pt idx="0">
                  <c:v>Atropine (P2)</c:v>
                </c:pt>
              </c:strCache>
            </c:strRef>
          </c:tx>
          <c:spPr>
            <a:solidFill>
              <a:srgbClr val="5b9bd5"/>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2'!$L$19</c:f>
              <c:numCache>
                <c:formatCode>#,##0.00</c:formatCode>
                <c:ptCount val="1"/>
                <c:pt idx="0">
                  <c:v>16.48</c:v>
                </c:pt>
              </c:numCache>
            </c:numRef>
          </c:xVal>
          <c:yVal>
            <c:numRef>
              <c:f>'2x2 – Option 2'!$M$19</c:f>
              <c:numCache>
                <c:formatCode>#,##0</c:formatCode>
                <c:ptCount val="1"/>
                <c:pt idx="0">
                  <c:v>976</c:v>
                </c:pt>
              </c:numCache>
            </c:numRef>
          </c:yVal>
          <c:bubbleSize>
            <c:numRef>
              <c:f>'2x2 – Option 2'!$N$19</c:f>
              <c:numCache>
                <c:formatCode>#,##0</c:formatCode>
                <c:ptCount val="1"/>
                <c:pt idx="0">
                  <c:v>9295.14</c:v>
                </c:pt>
              </c:numCache>
            </c:numRef>
          </c:bubbleSize>
          <c:bubble3D val="0"/>
        </c:ser>
        <c:ser>
          <c:idx val="44"/>
          <c:order val="44"/>
          <c:tx>
            <c:strRef>
              <c:f>'2x2 – Option 2'!$H$20</c:f>
              <c:strCache>
                <c:ptCount val="1"/>
                <c:pt idx="0">
                  <c:v>Plerixafor (P2)</c:v>
                </c:pt>
              </c:strCache>
            </c:strRef>
          </c:tx>
          <c:spPr>
            <a:solidFill>
              <a:srgbClr val="5b9bd5"/>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2'!$L$20</c:f>
              <c:numCache>
                <c:formatCode>#,##0.00</c:formatCode>
                <c:ptCount val="1"/>
                <c:pt idx="0">
                  <c:v>4779</c:v>
                </c:pt>
              </c:numCache>
            </c:numRef>
          </c:xVal>
          <c:yVal>
            <c:numRef>
              <c:f>'2x2 – Option 2'!$M$20</c:f>
              <c:numCache>
                <c:formatCode>#,##0</c:formatCode>
                <c:ptCount val="1"/>
                <c:pt idx="0">
                  <c:v>47</c:v>
                </c:pt>
              </c:numCache>
            </c:numRef>
          </c:yVal>
          <c:bubbleSize>
            <c:numRef>
              <c:f>'2x2 – Option 2'!$N$20</c:f>
              <c:numCache>
                <c:formatCode>#,##0</c:formatCode>
                <c:ptCount val="1"/>
                <c:pt idx="0">
                  <c:v>7904.67</c:v>
                </c:pt>
              </c:numCache>
            </c:numRef>
          </c:bubbleSize>
          <c:bubble3D val="0"/>
        </c:ser>
        <c:ser>
          <c:idx val="45"/>
          <c:order val="45"/>
          <c:tx>
            <c:strRef>
              <c:f>'2x2 – Option 2'!$H$21</c:f>
              <c:strCache>
                <c:ptCount val="1"/>
                <c:pt idx="0">
                  <c:v>Cytarabine (P2)</c:v>
                </c:pt>
              </c:strCache>
            </c:strRef>
          </c:tx>
          <c:spPr>
            <a:solidFill>
              <a:srgbClr val="5b9bd5"/>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2'!$L$21</c:f>
              <c:numCache>
                <c:formatCode>#,##0.00</c:formatCode>
                <c:ptCount val="1"/>
                <c:pt idx="0">
                  <c:v>6.7</c:v>
                </c:pt>
              </c:numCache>
            </c:numRef>
          </c:xVal>
          <c:yVal>
            <c:numRef>
              <c:f>'2x2 – Option 2'!$M$21</c:f>
              <c:numCache>
                <c:formatCode>#,##0</c:formatCode>
                <c:ptCount val="1"/>
                <c:pt idx="0">
                  <c:v>799</c:v>
                </c:pt>
              </c:numCache>
            </c:numRef>
          </c:yVal>
          <c:bubbleSize>
            <c:numRef>
              <c:f>'2x2 – Option 2'!$N$21</c:f>
              <c:numCache>
                <c:formatCode>#,##0</c:formatCode>
                <c:ptCount val="1"/>
                <c:pt idx="0">
                  <c:v>7738.99</c:v>
                </c:pt>
              </c:numCache>
            </c:numRef>
          </c:bubbleSize>
          <c:bubble3D val="0"/>
        </c:ser>
        <c:ser>
          <c:idx val="46"/>
          <c:order val="46"/>
          <c:tx>
            <c:strRef>
              <c:f>'2x2 – Option 2'!$H$22</c:f>
              <c:strCache>
                <c:ptCount val="1"/>
                <c:pt idx="0">
                  <c:v>Teicoplanin (P2)</c:v>
                </c:pt>
              </c:strCache>
            </c:strRef>
          </c:tx>
          <c:spPr>
            <a:solidFill>
              <a:srgbClr val="5b9bd5"/>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2'!$L$22</c:f>
              <c:numCache>
                <c:formatCode>#,##0.00</c:formatCode>
                <c:ptCount val="1"/>
                <c:pt idx="0">
                  <c:v>35.27</c:v>
                </c:pt>
              </c:numCache>
            </c:numRef>
          </c:xVal>
          <c:yVal>
            <c:numRef>
              <c:f>'2x2 – Option 2'!$M$22</c:f>
              <c:numCache>
                <c:formatCode>#,##0</c:formatCode>
                <c:ptCount val="1"/>
                <c:pt idx="0">
                  <c:v>106</c:v>
                </c:pt>
              </c:numCache>
            </c:numRef>
          </c:yVal>
          <c:bubbleSize>
            <c:numRef>
              <c:f>'2x2 – Option 2'!$N$22</c:f>
              <c:numCache>
                <c:formatCode>#,##0</c:formatCode>
                <c:ptCount val="1"/>
                <c:pt idx="0">
                  <c:v>7074.72</c:v>
                </c:pt>
              </c:numCache>
            </c:numRef>
          </c:bubbleSize>
          <c:bubble3D val="0"/>
        </c:ser>
        <c:ser>
          <c:idx val="47"/>
          <c:order val="47"/>
          <c:tx>
            <c:strRef>
              <c:f>'2x2 – Option 2'!$H$23</c:f>
              <c:strCache>
                <c:ptCount val="1"/>
                <c:pt idx="0">
                  <c:v>Cefepime (P2)</c:v>
                </c:pt>
              </c:strCache>
            </c:strRef>
          </c:tx>
          <c:spPr>
            <a:solidFill>
              <a:srgbClr val="5b9bd5"/>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2'!$L$23</c:f>
              <c:numCache>
                <c:formatCode>#,##0.00</c:formatCode>
                <c:ptCount val="1"/>
                <c:pt idx="0">
                  <c:v>9.65</c:v>
                </c:pt>
              </c:numCache>
            </c:numRef>
          </c:xVal>
          <c:yVal>
            <c:numRef>
              <c:f>'2x2 – Option 2'!$M$23</c:f>
              <c:numCache>
                <c:formatCode>#,##0</c:formatCode>
                <c:ptCount val="1"/>
                <c:pt idx="0">
                  <c:v>290</c:v>
                </c:pt>
              </c:numCache>
            </c:numRef>
          </c:yVal>
          <c:bubbleSize>
            <c:numRef>
              <c:f>'2x2 – Option 2'!$N$23</c:f>
              <c:numCache>
                <c:formatCode>#,##0</c:formatCode>
                <c:ptCount val="1"/>
                <c:pt idx="0">
                  <c:v>6348.25</c:v>
                </c:pt>
              </c:numCache>
            </c:numRef>
          </c:bubbleSize>
          <c:bubble3D val="0"/>
        </c:ser>
        <c:ser>
          <c:idx val="48"/>
          <c:order val="48"/>
          <c:tx>
            <c:strRef>
              <c:f>'2x2 – Option 2'!$H$24</c:f>
              <c:strCache>
                <c:ptCount val="1"/>
                <c:pt idx="0">
                  <c:v>Naloxone (P2)</c:v>
                </c:pt>
              </c:strCache>
            </c:strRef>
          </c:tx>
          <c:spPr>
            <a:solidFill>
              <a:srgbClr val="5b9bd5"/>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2'!$L$24</c:f>
              <c:numCache>
                <c:formatCode>#,##0.00</c:formatCode>
                <c:ptCount val="1"/>
                <c:pt idx="0">
                  <c:v>5.42</c:v>
                </c:pt>
              </c:numCache>
            </c:numRef>
          </c:xVal>
          <c:yVal>
            <c:numRef>
              <c:f>'2x2 – Option 2'!$M$24</c:f>
              <c:numCache>
                <c:formatCode>#,##0</c:formatCode>
                <c:ptCount val="1"/>
                <c:pt idx="0">
                  <c:v>365</c:v>
                </c:pt>
              </c:numCache>
            </c:numRef>
          </c:yVal>
          <c:bubbleSize>
            <c:numRef>
              <c:f>'2x2 – Option 2'!$N$24</c:f>
              <c:numCache>
                <c:formatCode>#,##0</c:formatCode>
                <c:ptCount val="1"/>
                <c:pt idx="0">
                  <c:v>5976.94</c:v>
                </c:pt>
              </c:numCache>
            </c:numRef>
          </c:bubbleSize>
          <c:bubble3D val="0"/>
        </c:ser>
        <c:ser>
          <c:idx val="49"/>
          <c:order val="49"/>
          <c:tx>
            <c:strRef>
              <c:f>'2x2 – Option 2'!$H$25</c:f>
              <c:strCache>
                <c:ptCount val="1"/>
                <c:pt idx="0">
                  <c:v>Succinylcholine (Suxamethonium) (P2)</c:v>
                </c:pt>
              </c:strCache>
            </c:strRef>
          </c:tx>
          <c:spPr>
            <a:solidFill>
              <a:srgbClr val="5b9bd5"/>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2'!$L$25</c:f>
              <c:numCache>
                <c:formatCode>#,##0.00</c:formatCode>
                <c:ptCount val="1"/>
                <c:pt idx="0">
                  <c:v>5.12</c:v>
                </c:pt>
              </c:numCache>
            </c:numRef>
          </c:xVal>
          <c:yVal>
            <c:numRef>
              <c:f>'2x2 – Option 2'!$M$25</c:f>
              <c:numCache>
                <c:formatCode>#,##0</c:formatCode>
                <c:ptCount val="1"/>
                <c:pt idx="0">
                  <c:v>286</c:v>
                </c:pt>
              </c:numCache>
            </c:numRef>
          </c:yVal>
          <c:bubbleSize>
            <c:numRef>
              <c:f>'2x2 – Option 2'!$N$25</c:f>
              <c:numCache>
                <c:formatCode>#,##0</c:formatCode>
                <c:ptCount val="1"/>
                <c:pt idx="0">
                  <c:v>3067.39</c:v>
                </c:pt>
              </c:numCache>
            </c:numRef>
          </c:bubbleSize>
          <c:bubble3D val="0"/>
        </c:ser>
        <c:ser>
          <c:idx val="50"/>
          <c:order val="50"/>
          <c:tx>
            <c:strRef>
              <c:f>'2x2 – Option 2'!$H$26</c:f>
              <c:strCache>
                <c:ptCount val="1"/>
                <c:pt idx="0">
                  <c:v>Leuprorelin (P2)</c:v>
                </c:pt>
              </c:strCache>
            </c:strRef>
          </c:tx>
          <c:spPr>
            <a:solidFill>
              <a:srgbClr val="5b9bd5"/>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2'!$L$26</c:f>
              <c:numCache>
                <c:formatCode>#,##0.00</c:formatCode>
                <c:ptCount val="1"/>
                <c:pt idx="0">
                  <c:v>433.94</c:v>
                </c:pt>
              </c:numCache>
            </c:numRef>
          </c:xVal>
          <c:yVal>
            <c:numRef>
              <c:f>'2x2 – Option 2'!$M$26</c:f>
              <c:numCache>
                <c:formatCode>#,##0</c:formatCode>
                <c:ptCount val="1"/>
                <c:pt idx="0">
                  <c:v>121</c:v>
                </c:pt>
              </c:numCache>
            </c:numRef>
          </c:yVal>
          <c:bubbleSize>
            <c:numRef>
              <c:f>'2x2 – Option 2'!$N$26</c:f>
              <c:numCache>
                <c:formatCode>#,##0</c:formatCode>
                <c:ptCount val="1"/>
                <c:pt idx="0">
                  <c:v>2714.83</c:v>
                </c:pt>
              </c:numCache>
            </c:numRef>
          </c:bubbleSize>
          <c:bubble3D val="0"/>
        </c:ser>
        <c:ser>
          <c:idx val="51"/>
          <c:order val="51"/>
          <c:tx>
            <c:strRef>
              <c:f>'2x2 – Option 2'!$H$27</c:f>
              <c:strCache>
                <c:ptCount val="1"/>
                <c:pt idx="0">
                  <c:v>Ustekinumab (P2)</c:v>
                </c:pt>
              </c:strCache>
            </c:strRef>
          </c:tx>
          <c:spPr>
            <a:solidFill>
              <a:srgbClr val="5b9bd5"/>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2'!$L$27</c:f>
              <c:numCache>
                <c:formatCode>#,##0.00</c:formatCode>
                <c:ptCount val="1"/>
                <c:pt idx="0">
                  <c:v>2838.33</c:v>
                </c:pt>
              </c:numCache>
            </c:numRef>
          </c:xVal>
          <c:yVal>
            <c:numRef>
              <c:f>'2x2 – Option 2'!$M$27</c:f>
              <c:numCache>
                <c:formatCode>#,##0</c:formatCode>
                <c:ptCount val="1"/>
                <c:pt idx="0">
                  <c:v>125</c:v>
                </c:pt>
              </c:numCache>
            </c:numRef>
          </c:yVal>
          <c:bubbleSize>
            <c:numRef>
              <c:f>'2x2 – Option 2'!$N$27</c:f>
              <c:numCache>
                <c:formatCode>#,##0</c:formatCode>
                <c:ptCount val="1"/>
                <c:pt idx="0">
                  <c:v>2485.93</c:v>
                </c:pt>
              </c:numCache>
            </c:numRef>
          </c:bubbleSize>
          <c:bubble3D val="0"/>
        </c:ser>
        <c:ser>
          <c:idx val="52"/>
          <c:order val="52"/>
          <c:tx>
            <c:strRef>
              <c:f>'2x2 – Option 2'!$H$28</c:f>
              <c:strCache>
                <c:ptCount val="1"/>
                <c:pt idx="0">
                  <c:v>Degarelix (P2)</c:v>
                </c:pt>
              </c:strCache>
            </c:strRef>
          </c:tx>
          <c:spPr>
            <a:solidFill>
              <a:srgbClr val="5b9bd5"/>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2'!$L$28</c:f>
              <c:numCache>
                <c:formatCode>#,##0.00</c:formatCode>
                <c:ptCount val="1"/>
                <c:pt idx="0">
                  <c:v>92.62</c:v>
                </c:pt>
              </c:numCache>
            </c:numRef>
          </c:xVal>
          <c:yVal>
            <c:numRef>
              <c:f>'2x2 – Option 2'!$M$28</c:f>
              <c:numCache>
                <c:formatCode>#,##0</c:formatCode>
                <c:ptCount val="1"/>
                <c:pt idx="0">
                  <c:v>26</c:v>
                </c:pt>
              </c:numCache>
            </c:numRef>
          </c:yVal>
          <c:bubbleSize>
            <c:numRef>
              <c:f>'2x2 – Option 2'!$N$28</c:f>
              <c:numCache>
                <c:formatCode>#,##0</c:formatCode>
                <c:ptCount val="1"/>
                <c:pt idx="0">
                  <c:v>140.86</c:v>
                </c:pt>
              </c:numCache>
            </c:numRef>
          </c:bubbleSize>
          <c:bubble3D val="0"/>
        </c:ser>
        <c:ser>
          <c:idx val="53"/>
          <c:order val="53"/>
          <c:tx>
            <c:strRef>
              <c:f>'2x2 – Option 2'!$H$29</c:f>
              <c:strCache>
                <c:ptCount val="1"/>
                <c:pt idx="0">
                  <c:v>Midazolam (P3)</c:v>
                </c:pt>
              </c:strCache>
            </c:strRef>
          </c:tx>
          <c:spPr>
            <a:solidFill>
              <a:srgbClr val="5b9bd5"/>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2'!$L$29</c:f>
              <c:numCache>
                <c:formatCode>#,##0.00</c:formatCode>
                <c:ptCount val="1"/>
              </c:numCache>
            </c:numRef>
          </c:xVal>
          <c:yVal>
            <c:numRef>
              <c:f>'2x2 – Option 2'!$M$29</c:f>
              <c:numCache>
                <c:formatCode>#,##0</c:formatCode>
                <c:ptCount val="1"/>
              </c:numCache>
            </c:numRef>
          </c:yVal>
          <c:bubbleSize>
            <c:numRef>
              <c:f>'2x2 – Option 2'!$N$29</c:f>
              <c:numCache>
                <c:formatCode>#,##0</c:formatCode>
                <c:ptCount val="1"/>
              </c:numCache>
            </c:numRef>
          </c:bubbleSize>
          <c:bubble3D val="0"/>
        </c:ser>
        <c:ser>
          <c:idx val="54"/>
          <c:order val="54"/>
          <c:tx>
            <c:strRef>
              <c:f>'2x2 – Option 2'!$H$30</c:f>
              <c:strCache>
                <c:ptCount val="1"/>
                <c:pt idx="0">
                  <c:v>Colistimethate Sodium (P3)</c:v>
                </c:pt>
              </c:strCache>
            </c:strRef>
          </c:tx>
          <c:spPr>
            <a:solidFill>
              <a:srgbClr val="5b9bd5"/>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2'!$L$30</c:f>
              <c:numCache>
                <c:formatCode>#,##0.00</c:formatCode>
                <c:ptCount val="1"/>
              </c:numCache>
            </c:numRef>
          </c:xVal>
          <c:yVal>
            <c:numRef>
              <c:f>'2x2 – Option 2'!$M$30</c:f>
              <c:numCache>
                <c:formatCode>#,##0</c:formatCode>
                <c:ptCount val="1"/>
              </c:numCache>
            </c:numRef>
          </c:yVal>
          <c:bubbleSize>
            <c:numRef>
              <c:f>'2x2 – Option 2'!$N$30</c:f>
              <c:numCache>
                <c:formatCode>#,##0</c:formatCode>
                <c:ptCount val="1"/>
              </c:numCache>
            </c:numRef>
          </c:bubbleSize>
          <c:bubble3D val="0"/>
        </c:ser>
        <c:ser>
          <c:idx val="55"/>
          <c:order val="55"/>
          <c:tx>
            <c:strRef>
              <c:f>'2x2 – Option 2'!$H$31</c:f>
              <c:strCache>
                <c:ptCount val="1"/>
                <c:pt idx="0">
                  <c:v>Hydroxocobalamin (P3)</c:v>
                </c:pt>
              </c:strCache>
            </c:strRef>
          </c:tx>
          <c:spPr>
            <a:solidFill>
              <a:srgbClr val="5b9bd5"/>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2'!$L$31</c:f>
              <c:numCache>
                <c:formatCode>#,##0.00</c:formatCode>
                <c:ptCount val="1"/>
              </c:numCache>
            </c:numRef>
          </c:xVal>
          <c:yVal>
            <c:numRef>
              <c:f>'2x2 – Option 2'!$M$31</c:f>
              <c:numCache>
                <c:formatCode>#,##0</c:formatCode>
                <c:ptCount val="1"/>
              </c:numCache>
            </c:numRef>
          </c:yVal>
          <c:bubbleSize>
            <c:numRef>
              <c:f>'2x2 – Option 2'!$N$31</c:f>
              <c:numCache>
                <c:formatCode>#,##0</c:formatCode>
                <c:ptCount val="1"/>
              </c:numCache>
            </c:numRef>
          </c:bubbleSize>
          <c:bubble3D val="0"/>
        </c:ser>
        <c:ser>
          <c:idx val="56"/>
          <c:order val="56"/>
          <c:tx>
            <c:strRef>
              <c:f>'2x2 – Option 2'!$H$32</c:f>
              <c:strCache>
                <c:ptCount val="1"/>
                <c:pt idx="0">
                  <c:v/>
                </c:pt>
              </c:strCache>
            </c:strRef>
          </c:tx>
          <c:spPr>
            <a:solidFill>
              <a:srgbClr val="5b9bd5"/>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2'!$L$32</c:f>
              <c:numCache>
                <c:formatCode>#,##0.00</c:formatCode>
                <c:ptCount val="1"/>
              </c:numCache>
            </c:numRef>
          </c:xVal>
          <c:yVal>
            <c:numRef>
              <c:f>'2x2 – Option 2'!$M$32</c:f>
              <c:numCache>
                <c:formatCode>#,##0</c:formatCode>
                <c:ptCount val="1"/>
              </c:numCache>
            </c:numRef>
          </c:yVal>
          <c:bubbleSize>
            <c:numRef>
              <c:f>'2x2 – Option 2'!$N$32</c:f>
              <c:numCache>
                <c:formatCode>#,##0</c:formatCode>
                <c:ptCount val="1"/>
              </c:numCache>
            </c:numRef>
          </c:bubbleSize>
          <c:bubble3D val="0"/>
        </c:ser>
        <c:ser>
          <c:idx val="57"/>
          <c:order val="57"/>
          <c:tx>
            <c:strRef>
              <c:f>'2x2 – Option 2'!$H$33</c:f>
              <c:strCache>
                <c:ptCount val="1"/>
                <c:pt idx="0">
                  <c:v/>
                </c:pt>
              </c:strCache>
            </c:strRef>
          </c:tx>
          <c:spPr>
            <a:solidFill>
              <a:srgbClr val="5b9bd5"/>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2'!$L$33</c:f>
              <c:numCache>
                <c:formatCode>#,##0.00</c:formatCode>
                <c:ptCount val="1"/>
              </c:numCache>
            </c:numRef>
          </c:xVal>
          <c:yVal>
            <c:numRef>
              <c:f>'2x2 – Option 2'!$M$33</c:f>
              <c:numCache>
                <c:formatCode>#,##0</c:formatCode>
                <c:ptCount val="1"/>
              </c:numCache>
            </c:numRef>
          </c:yVal>
          <c:bubbleSize>
            <c:numRef>
              <c:f>'2x2 – Option 2'!$N$33</c:f>
              <c:numCache>
                <c:formatCode>#,##0</c:formatCode>
                <c:ptCount val="1"/>
              </c:numCache>
            </c:numRef>
          </c:bubbleSize>
          <c:bubble3D val="0"/>
        </c:ser>
        <c:ser>
          <c:idx val="58"/>
          <c:order val="58"/>
          <c:tx>
            <c:strRef>
              <c:f>'2x2 – Option 2'!$H$34</c:f>
              <c:strCache>
                <c:ptCount val="1"/>
                <c:pt idx="0">
                  <c:v/>
                </c:pt>
              </c:strCache>
            </c:strRef>
          </c:tx>
          <c:spPr>
            <a:solidFill>
              <a:srgbClr val="5b9bd5"/>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2'!$L$34</c:f>
              <c:numCache>
                <c:formatCode>#,##0.00</c:formatCode>
                <c:ptCount val="1"/>
              </c:numCache>
            </c:numRef>
          </c:xVal>
          <c:yVal>
            <c:numRef>
              <c:f>'2x2 – Option 2'!$M$34</c:f>
              <c:numCache>
                <c:formatCode>#,##0</c:formatCode>
                <c:ptCount val="1"/>
              </c:numCache>
            </c:numRef>
          </c:yVal>
          <c:bubbleSize>
            <c:numRef>
              <c:f>'2x2 – Option 2'!$N$34</c:f>
              <c:numCache>
                <c:formatCode>#,##0</c:formatCode>
                <c:ptCount val="1"/>
              </c:numCache>
            </c:numRef>
          </c:bubbleSize>
          <c:bubble3D val="0"/>
        </c:ser>
        <c:ser>
          <c:idx val="59"/>
          <c:order val="59"/>
          <c:tx>
            <c:strRef>
              <c:f>'2x2 – Option 2'!$H$35</c:f>
              <c:strCache>
                <c:ptCount val="1"/>
                <c:pt idx="0">
                  <c:v/>
                </c:pt>
              </c:strCache>
            </c:strRef>
          </c:tx>
          <c:spPr>
            <a:solidFill>
              <a:srgbClr val="5b9bd5"/>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2'!$L$35</c:f>
              <c:numCache>
                <c:formatCode>#,##0.00</c:formatCode>
                <c:ptCount val="1"/>
              </c:numCache>
            </c:numRef>
          </c:xVal>
          <c:yVal>
            <c:numRef>
              <c:f>'2x2 – Option 2'!$M$35</c:f>
              <c:numCache>
                <c:formatCode>#,##0</c:formatCode>
                <c:ptCount val="1"/>
              </c:numCache>
            </c:numRef>
          </c:yVal>
          <c:bubbleSize>
            <c:numRef>
              <c:f>'2x2 – Option 2'!$N$35</c:f>
              <c:numCache>
                <c:formatCode>#,##0</c:formatCode>
                <c:ptCount val="1"/>
              </c:numCache>
            </c:numRef>
          </c:bubbleSize>
          <c:bubble3D val="0"/>
        </c:ser>
        <c:ser>
          <c:idx val="60"/>
          <c:order val="60"/>
          <c:tx>
            <c:strRef>
              <c:f>'2x2 – Option 2'!$H$6</c:f>
              <c:strCache>
                <c:ptCount val="1"/>
                <c:pt idx="0">
                  <c:v>Azacitidine (P1)</c:v>
                </c:pt>
              </c:strCache>
            </c:strRef>
          </c:tx>
          <c:spPr>
            <a:solidFill>
              <a:srgbClr val="bfbfbf"/>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2'!$O$6</c:f>
              <c:numCache>
                <c:formatCode>#,##0.00</c:formatCode>
                <c:ptCount val="1"/>
              </c:numCache>
            </c:numRef>
          </c:xVal>
          <c:yVal>
            <c:numRef>
              <c:f>'2x2 – Option 2'!$P$6</c:f>
              <c:numCache>
                <c:formatCode>#,##0</c:formatCode>
                <c:ptCount val="1"/>
              </c:numCache>
            </c:numRef>
          </c:yVal>
          <c:bubbleSize>
            <c:numRef>
              <c:f>'2x2 – Option 2'!$Q$6</c:f>
              <c:numCache>
                <c:formatCode>#,##0</c:formatCode>
                <c:ptCount val="1"/>
              </c:numCache>
            </c:numRef>
          </c:bubbleSize>
          <c:bubble3D val="0"/>
        </c:ser>
        <c:ser>
          <c:idx val="61"/>
          <c:order val="61"/>
          <c:tx>
            <c:strRef>
              <c:f>'2x2 – Option 2'!$H$7</c:f>
              <c:strCache>
                <c:ptCount val="1"/>
                <c:pt idx="0">
                  <c:v>Phenylephrine (P1)</c:v>
                </c:pt>
              </c:strCache>
            </c:strRef>
          </c:tx>
          <c:spPr>
            <a:solidFill>
              <a:srgbClr val="bfbfbf"/>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2'!$O$7</c:f>
              <c:numCache>
                <c:formatCode>#,##0.00</c:formatCode>
                <c:ptCount val="1"/>
              </c:numCache>
            </c:numRef>
          </c:xVal>
          <c:yVal>
            <c:numRef>
              <c:f>'2x2 – Option 2'!$P$7</c:f>
              <c:numCache>
                <c:formatCode>#,##0</c:formatCode>
                <c:ptCount val="1"/>
              </c:numCache>
            </c:numRef>
          </c:yVal>
          <c:bubbleSize>
            <c:numRef>
              <c:f>'2x2 – Option 2'!$Q$7</c:f>
              <c:numCache>
                <c:formatCode>#,##0</c:formatCode>
                <c:ptCount val="1"/>
              </c:numCache>
            </c:numRef>
          </c:bubbleSize>
          <c:bubble3D val="0"/>
        </c:ser>
        <c:ser>
          <c:idx val="62"/>
          <c:order val="62"/>
          <c:tx>
            <c:strRef>
              <c:f>'2x2 – Option 2'!$H$8</c:f>
              <c:strCache>
                <c:ptCount val="1"/>
                <c:pt idx="0">
                  <c:v>Bortezomib (P1)</c:v>
                </c:pt>
              </c:strCache>
            </c:strRef>
          </c:tx>
          <c:spPr>
            <a:solidFill>
              <a:srgbClr val="bfbfbf"/>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2'!$O$8</c:f>
              <c:numCache>
                <c:formatCode>#,##0.00</c:formatCode>
                <c:ptCount val="1"/>
              </c:numCache>
            </c:numRef>
          </c:xVal>
          <c:yVal>
            <c:numRef>
              <c:f>'2x2 – Option 2'!$P$8</c:f>
              <c:numCache>
                <c:formatCode>#,##0</c:formatCode>
                <c:ptCount val="1"/>
              </c:numCache>
            </c:numRef>
          </c:yVal>
          <c:bubbleSize>
            <c:numRef>
              <c:f>'2x2 – Option 2'!$Q$8</c:f>
              <c:numCache>
                <c:formatCode>#,##0</c:formatCode>
                <c:ptCount val="1"/>
              </c:numCache>
            </c:numRef>
          </c:bubbleSize>
          <c:bubble3D val="0"/>
        </c:ser>
        <c:ser>
          <c:idx val="63"/>
          <c:order val="63"/>
          <c:tx>
            <c:strRef>
              <c:f>'2x2 – Option 2'!$H$9</c:f>
              <c:strCache>
                <c:ptCount val="1"/>
                <c:pt idx="0">
                  <c:v>Methotrexate (P1)</c:v>
                </c:pt>
              </c:strCache>
            </c:strRef>
          </c:tx>
          <c:spPr>
            <a:solidFill>
              <a:srgbClr val="bfbfbf"/>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2'!$O$9</c:f>
              <c:numCache>
                <c:formatCode>#,##0.00</c:formatCode>
                <c:ptCount val="1"/>
              </c:numCache>
            </c:numRef>
          </c:xVal>
          <c:yVal>
            <c:numRef>
              <c:f>'2x2 – Option 2'!$P$9</c:f>
              <c:numCache>
                <c:formatCode>#,##0</c:formatCode>
                <c:ptCount val="1"/>
              </c:numCache>
            </c:numRef>
          </c:yVal>
          <c:bubbleSize>
            <c:numRef>
              <c:f>'2x2 – Option 2'!$Q$9</c:f>
              <c:numCache>
                <c:formatCode>#,##0</c:formatCode>
                <c:ptCount val="1"/>
              </c:numCache>
            </c:numRef>
          </c:bubbleSize>
          <c:bubble3D val="0"/>
        </c:ser>
        <c:ser>
          <c:idx val="64"/>
          <c:order val="64"/>
          <c:tx>
            <c:strRef>
              <c:f>'2x2 – Option 2'!$H$10</c:f>
              <c:strCache>
                <c:ptCount val="1"/>
                <c:pt idx="0">
                  <c:v>Epinephrine (Adrenaline) (P1)</c:v>
                </c:pt>
              </c:strCache>
            </c:strRef>
          </c:tx>
          <c:spPr>
            <a:solidFill>
              <a:srgbClr val="bfbfbf"/>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2'!$O$10</c:f>
              <c:numCache>
                <c:formatCode>#,##0.00</c:formatCode>
                <c:ptCount val="1"/>
              </c:numCache>
            </c:numRef>
          </c:xVal>
          <c:yVal>
            <c:numRef>
              <c:f>'2x2 – Option 2'!$P$10</c:f>
              <c:numCache>
                <c:formatCode>#,##0</c:formatCode>
                <c:ptCount val="1"/>
              </c:numCache>
            </c:numRef>
          </c:yVal>
          <c:bubbleSize>
            <c:numRef>
              <c:f>'2x2 – Option 2'!$Q$10</c:f>
              <c:numCache>
                <c:formatCode>#,##0</c:formatCode>
                <c:ptCount val="1"/>
              </c:numCache>
            </c:numRef>
          </c:bubbleSize>
          <c:bubble3D val="0"/>
        </c:ser>
        <c:ser>
          <c:idx val="65"/>
          <c:order val="65"/>
          <c:tx>
            <c:strRef>
              <c:f>'2x2 – Option 2'!$H$11</c:f>
              <c:strCache>
                <c:ptCount val="1"/>
                <c:pt idx="0">
                  <c:v>Bleomycin (P1)</c:v>
                </c:pt>
              </c:strCache>
            </c:strRef>
          </c:tx>
          <c:spPr>
            <a:solidFill>
              <a:srgbClr val="bfbfbf"/>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2'!$O$11</c:f>
              <c:numCache>
                <c:formatCode>#,##0.00</c:formatCode>
                <c:ptCount val="1"/>
              </c:numCache>
            </c:numRef>
          </c:xVal>
          <c:yVal>
            <c:numRef>
              <c:f>'2x2 – Option 2'!$P$11</c:f>
              <c:numCache>
                <c:formatCode>#,##0</c:formatCode>
                <c:ptCount val="1"/>
              </c:numCache>
            </c:numRef>
          </c:yVal>
          <c:bubbleSize>
            <c:numRef>
              <c:f>'2x2 – Option 2'!$Q$11</c:f>
              <c:numCache>
                <c:formatCode>#,##0</c:formatCode>
                <c:ptCount val="1"/>
              </c:numCache>
            </c:numRef>
          </c:bubbleSize>
          <c:bubble3D val="0"/>
        </c:ser>
        <c:ser>
          <c:idx val="66"/>
          <c:order val="66"/>
          <c:tx>
            <c:strRef>
              <c:f>'2x2 – Option 2'!$H$12</c:f>
              <c:strCache>
                <c:ptCount val="1"/>
                <c:pt idx="0">
                  <c:v>Denosumab (P1)</c:v>
                </c:pt>
              </c:strCache>
            </c:strRef>
          </c:tx>
          <c:spPr>
            <a:solidFill>
              <a:srgbClr val="bfbfbf"/>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2'!$O$12</c:f>
              <c:numCache>
                <c:formatCode>#,##0.00</c:formatCode>
                <c:ptCount val="1"/>
              </c:numCache>
            </c:numRef>
          </c:xVal>
          <c:yVal>
            <c:numRef>
              <c:f>'2x2 – Option 2'!$P$12</c:f>
              <c:numCache>
                <c:formatCode>#,##0</c:formatCode>
                <c:ptCount val="1"/>
              </c:numCache>
            </c:numRef>
          </c:yVal>
          <c:bubbleSize>
            <c:numRef>
              <c:f>'2x2 – Option 2'!$Q$12</c:f>
              <c:numCache>
                <c:formatCode>#,##0</c:formatCode>
                <c:ptCount val="1"/>
              </c:numCache>
            </c:numRef>
          </c:bubbleSize>
          <c:bubble3D val="0"/>
        </c:ser>
        <c:ser>
          <c:idx val="67"/>
          <c:order val="67"/>
          <c:tx>
            <c:strRef>
              <c:f>'2x2 – Option 2'!$H$13</c:f>
              <c:strCache>
                <c:ptCount val="1"/>
                <c:pt idx="0">
                  <c:v>Ceftriaxone (P2)</c:v>
                </c:pt>
              </c:strCache>
            </c:strRef>
          </c:tx>
          <c:spPr>
            <a:solidFill>
              <a:srgbClr val="bfbfbf"/>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2'!$O$13</c:f>
              <c:numCache>
                <c:formatCode>#,##0.00</c:formatCode>
                <c:ptCount val="1"/>
              </c:numCache>
            </c:numRef>
          </c:xVal>
          <c:yVal>
            <c:numRef>
              <c:f>'2x2 – Option 2'!$P$13</c:f>
              <c:numCache>
                <c:formatCode>#,##0</c:formatCode>
                <c:ptCount val="1"/>
              </c:numCache>
            </c:numRef>
          </c:yVal>
          <c:bubbleSize>
            <c:numRef>
              <c:f>'2x2 – Option 2'!$Q$13</c:f>
              <c:numCache>
                <c:formatCode>#,##0</c:formatCode>
                <c:ptCount val="1"/>
              </c:numCache>
            </c:numRef>
          </c:bubbleSize>
          <c:bubble3D val="0"/>
        </c:ser>
        <c:ser>
          <c:idx val="68"/>
          <c:order val="68"/>
          <c:tx>
            <c:strRef>
              <c:f>'2x2 – Option 2'!$H$14</c:f>
              <c:strCache>
                <c:ptCount val="1"/>
                <c:pt idx="0">
                  <c:v>Ondansetron (P2)</c:v>
                </c:pt>
              </c:strCache>
            </c:strRef>
          </c:tx>
          <c:spPr>
            <a:solidFill>
              <a:srgbClr val="bfbfbf"/>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2'!$O$14</c:f>
              <c:numCache>
                <c:formatCode>#,##0.00</c:formatCode>
                <c:ptCount val="1"/>
              </c:numCache>
            </c:numRef>
          </c:xVal>
          <c:yVal>
            <c:numRef>
              <c:f>'2x2 – Option 2'!$P$14</c:f>
              <c:numCache>
                <c:formatCode>#,##0</c:formatCode>
                <c:ptCount val="1"/>
              </c:numCache>
            </c:numRef>
          </c:yVal>
          <c:bubbleSize>
            <c:numRef>
              <c:f>'2x2 – Option 2'!$Q$14</c:f>
              <c:numCache>
                <c:formatCode>#,##0</c:formatCode>
                <c:ptCount val="1"/>
              </c:numCache>
            </c:numRef>
          </c:bubbleSize>
          <c:bubble3D val="0"/>
        </c:ser>
        <c:ser>
          <c:idx val="69"/>
          <c:order val="69"/>
          <c:tx>
            <c:strRef>
              <c:f>'2x2 – Option 2'!$H$15</c:f>
              <c:strCache>
                <c:ptCount val="1"/>
                <c:pt idx="0">
                  <c:v>Pegfilgrastim (P2)</c:v>
                </c:pt>
              </c:strCache>
            </c:strRef>
          </c:tx>
          <c:spPr>
            <a:solidFill>
              <a:srgbClr val="bfbfbf"/>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2'!$O$15</c:f>
              <c:numCache>
                <c:formatCode>#,##0.00</c:formatCode>
                <c:ptCount val="1"/>
              </c:numCache>
            </c:numRef>
          </c:xVal>
          <c:yVal>
            <c:numRef>
              <c:f>'2x2 – Option 2'!$P$15</c:f>
              <c:numCache>
                <c:formatCode>#,##0</c:formatCode>
                <c:ptCount val="1"/>
              </c:numCache>
            </c:numRef>
          </c:yVal>
          <c:bubbleSize>
            <c:numRef>
              <c:f>'2x2 – Option 2'!$Q$15</c:f>
              <c:numCache>
                <c:formatCode>#,##0</c:formatCode>
                <c:ptCount val="1"/>
              </c:numCache>
            </c:numRef>
          </c:bubbleSize>
          <c:bubble3D val="0"/>
        </c:ser>
        <c:ser>
          <c:idx val="70"/>
          <c:order val="70"/>
          <c:tx>
            <c:strRef>
              <c:f>'2x2 – Option 2'!$H$16</c:f>
              <c:strCache>
                <c:ptCount val="1"/>
                <c:pt idx="0">
                  <c:v>Progesterone (P2)</c:v>
                </c:pt>
              </c:strCache>
            </c:strRef>
          </c:tx>
          <c:spPr>
            <a:solidFill>
              <a:srgbClr val="bfbfbf"/>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2'!$O$16</c:f>
              <c:numCache>
                <c:formatCode>#,##0.00</c:formatCode>
                <c:ptCount val="1"/>
              </c:numCache>
            </c:numRef>
          </c:xVal>
          <c:yVal>
            <c:numRef>
              <c:f>'2x2 – Option 2'!$P$16</c:f>
              <c:numCache>
                <c:formatCode>#,##0</c:formatCode>
                <c:ptCount val="1"/>
              </c:numCache>
            </c:numRef>
          </c:yVal>
          <c:bubbleSize>
            <c:numRef>
              <c:f>'2x2 – Option 2'!$Q$16</c:f>
              <c:numCache>
                <c:formatCode>#,##0</c:formatCode>
                <c:ptCount val="1"/>
              </c:numCache>
            </c:numRef>
          </c:bubbleSize>
          <c:bubble3D val="0"/>
        </c:ser>
        <c:ser>
          <c:idx val="71"/>
          <c:order val="71"/>
          <c:tx>
            <c:strRef>
              <c:f>'2x2 – Option 2'!$H$17</c:f>
              <c:strCache>
                <c:ptCount val="1"/>
                <c:pt idx="0">
                  <c:v>Flucloxacillin (P2)</c:v>
                </c:pt>
              </c:strCache>
            </c:strRef>
          </c:tx>
          <c:spPr>
            <a:solidFill>
              <a:srgbClr val="bfbfbf"/>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2'!$O$17</c:f>
              <c:numCache>
                <c:formatCode>#,##0.00</c:formatCode>
                <c:ptCount val="1"/>
              </c:numCache>
            </c:numRef>
          </c:xVal>
          <c:yVal>
            <c:numRef>
              <c:f>'2x2 – Option 2'!$P$17</c:f>
              <c:numCache>
                <c:formatCode>#,##0</c:formatCode>
                <c:ptCount val="1"/>
              </c:numCache>
            </c:numRef>
          </c:yVal>
          <c:bubbleSize>
            <c:numRef>
              <c:f>'2x2 – Option 2'!$Q$17</c:f>
              <c:numCache>
                <c:formatCode>#,##0</c:formatCode>
                <c:ptCount val="1"/>
              </c:numCache>
            </c:numRef>
          </c:bubbleSize>
          <c:bubble3D val="0"/>
        </c:ser>
        <c:ser>
          <c:idx val="72"/>
          <c:order val="72"/>
          <c:tx>
            <c:strRef>
              <c:f>'2x2 – Option 2'!$H$18</c:f>
              <c:strCache>
                <c:ptCount val="1"/>
                <c:pt idx="0">
                  <c:v>Fulvestrant (P2)</c:v>
                </c:pt>
              </c:strCache>
            </c:strRef>
          </c:tx>
          <c:spPr>
            <a:solidFill>
              <a:srgbClr val="bfbfbf"/>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2'!$O$18</c:f>
              <c:numCache>
                <c:formatCode>#,##0.00</c:formatCode>
                <c:ptCount val="1"/>
              </c:numCache>
            </c:numRef>
          </c:xVal>
          <c:yVal>
            <c:numRef>
              <c:f>'2x2 – Option 2'!$P$18</c:f>
              <c:numCache>
                <c:formatCode>#,##0</c:formatCode>
                <c:ptCount val="1"/>
              </c:numCache>
            </c:numRef>
          </c:yVal>
          <c:bubbleSize>
            <c:numRef>
              <c:f>'2x2 – Option 2'!$Q$18</c:f>
              <c:numCache>
                <c:formatCode>#,##0</c:formatCode>
                <c:ptCount val="1"/>
              </c:numCache>
            </c:numRef>
          </c:bubbleSize>
          <c:bubble3D val="0"/>
        </c:ser>
        <c:ser>
          <c:idx val="73"/>
          <c:order val="73"/>
          <c:tx>
            <c:strRef>
              <c:f>'2x2 – Option 2'!$H$19</c:f>
              <c:strCache>
                <c:ptCount val="1"/>
                <c:pt idx="0">
                  <c:v>Atropine (P2)</c:v>
                </c:pt>
              </c:strCache>
            </c:strRef>
          </c:tx>
          <c:spPr>
            <a:solidFill>
              <a:srgbClr val="bfbfbf"/>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2'!$O$19</c:f>
              <c:numCache>
                <c:formatCode>#,##0.00</c:formatCode>
                <c:ptCount val="1"/>
              </c:numCache>
            </c:numRef>
          </c:xVal>
          <c:yVal>
            <c:numRef>
              <c:f>'2x2 – Option 2'!$P$19</c:f>
              <c:numCache>
                <c:formatCode>#,##0</c:formatCode>
                <c:ptCount val="1"/>
              </c:numCache>
            </c:numRef>
          </c:yVal>
          <c:bubbleSize>
            <c:numRef>
              <c:f>'2x2 – Option 2'!$Q$19</c:f>
              <c:numCache>
                <c:formatCode>#,##0</c:formatCode>
                <c:ptCount val="1"/>
              </c:numCache>
            </c:numRef>
          </c:bubbleSize>
          <c:bubble3D val="0"/>
        </c:ser>
        <c:ser>
          <c:idx val="74"/>
          <c:order val="74"/>
          <c:tx>
            <c:strRef>
              <c:f>'2x2 – Option 2'!$H$20</c:f>
              <c:strCache>
                <c:ptCount val="1"/>
                <c:pt idx="0">
                  <c:v>Plerixafor (P2)</c:v>
                </c:pt>
              </c:strCache>
            </c:strRef>
          </c:tx>
          <c:spPr>
            <a:solidFill>
              <a:srgbClr val="bfbfbf"/>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2'!$O$20</c:f>
              <c:numCache>
                <c:formatCode>#,##0.00</c:formatCode>
                <c:ptCount val="1"/>
              </c:numCache>
            </c:numRef>
          </c:xVal>
          <c:yVal>
            <c:numRef>
              <c:f>'2x2 – Option 2'!$P$20</c:f>
              <c:numCache>
                <c:formatCode>#,##0</c:formatCode>
                <c:ptCount val="1"/>
              </c:numCache>
            </c:numRef>
          </c:yVal>
          <c:bubbleSize>
            <c:numRef>
              <c:f>'2x2 – Option 2'!$Q$20</c:f>
              <c:numCache>
                <c:formatCode>#,##0</c:formatCode>
                <c:ptCount val="1"/>
              </c:numCache>
            </c:numRef>
          </c:bubbleSize>
          <c:bubble3D val="0"/>
        </c:ser>
        <c:ser>
          <c:idx val="75"/>
          <c:order val="75"/>
          <c:tx>
            <c:strRef>
              <c:f>'2x2 – Option 2'!$H$21</c:f>
              <c:strCache>
                <c:ptCount val="1"/>
                <c:pt idx="0">
                  <c:v>Cytarabine (P2)</c:v>
                </c:pt>
              </c:strCache>
            </c:strRef>
          </c:tx>
          <c:spPr>
            <a:solidFill>
              <a:srgbClr val="bfbfbf"/>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2'!$O$21</c:f>
              <c:numCache>
                <c:formatCode>#,##0.00</c:formatCode>
                <c:ptCount val="1"/>
              </c:numCache>
            </c:numRef>
          </c:xVal>
          <c:yVal>
            <c:numRef>
              <c:f>'2x2 – Option 2'!$P$21</c:f>
              <c:numCache>
                <c:formatCode>#,##0</c:formatCode>
                <c:ptCount val="1"/>
              </c:numCache>
            </c:numRef>
          </c:yVal>
          <c:bubbleSize>
            <c:numRef>
              <c:f>'2x2 – Option 2'!$Q$21</c:f>
              <c:numCache>
                <c:formatCode>#,##0</c:formatCode>
                <c:ptCount val="1"/>
              </c:numCache>
            </c:numRef>
          </c:bubbleSize>
          <c:bubble3D val="0"/>
        </c:ser>
        <c:ser>
          <c:idx val="76"/>
          <c:order val="76"/>
          <c:tx>
            <c:strRef>
              <c:f>'2x2 – Option 2'!$H$22</c:f>
              <c:strCache>
                <c:ptCount val="1"/>
                <c:pt idx="0">
                  <c:v>Teicoplanin (P2)</c:v>
                </c:pt>
              </c:strCache>
            </c:strRef>
          </c:tx>
          <c:spPr>
            <a:solidFill>
              <a:srgbClr val="bfbfbf"/>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2'!$O$22</c:f>
              <c:numCache>
                <c:formatCode>#,##0.00</c:formatCode>
                <c:ptCount val="1"/>
              </c:numCache>
            </c:numRef>
          </c:xVal>
          <c:yVal>
            <c:numRef>
              <c:f>'2x2 – Option 2'!$P$22</c:f>
              <c:numCache>
                <c:formatCode>#,##0</c:formatCode>
                <c:ptCount val="1"/>
              </c:numCache>
            </c:numRef>
          </c:yVal>
          <c:bubbleSize>
            <c:numRef>
              <c:f>'2x2 – Option 2'!$Q$22</c:f>
              <c:numCache>
                <c:formatCode>#,##0</c:formatCode>
                <c:ptCount val="1"/>
              </c:numCache>
            </c:numRef>
          </c:bubbleSize>
          <c:bubble3D val="0"/>
        </c:ser>
        <c:ser>
          <c:idx val="77"/>
          <c:order val="77"/>
          <c:tx>
            <c:strRef>
              <c:f>'2x2 – Option 2'!$H$23</c:f>
              <c:strCache>
                <c:ptCount val="1"/>
                <c:pt idx="0">
                  <c:v>Cefepime (P2)</c:v>
                </c:pt>
              </c:strCache>
            </c:strRef>
          </c:tx>
          <c:spPr>
            <a:solidFill>
              <a:srgbClr val="bfbfbf"/>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2'!$O$23</c:f>
              <c:numCache>
                <c:formatCode>#,##0.00</c:formatCode>
                <c:ptCount val="1"/>
              </c:numCache>
            </c:numRef>
          </c:xVal>
          <c:yVal>
            <c:numRef>
              <c:f>'2x2 – Option 2'!$P$23</c:f>
              <c:numCache>
                <c:formatCode>#,##0</c:formatCode>
                <c:ptCount val="1"/>
              </c:numCache>
            </c:numRef>
          </c:yVal>
          <c:bubbleSize>
            <c:numRef>
              <c:f>'2x2 – Option 2'!$Q$23</c:f>
              <c:numCache>
                <c:formatCode>#,##0</c:formatCode>
                <c:ptCount val="1"/>
              </c:numCache>
            </c:numRef>
          </c:bubbleSize>
          <c:bubble3D val="0"/>
        </c:ser>
        <c:ser>
          <c:idx val="78"/>
          <c:order val="78"/>
          <c:tx>
            <c:strRef>
              <c:f>'2x2 – Option 2'!$H$24</c:f>
              <c:strCache>
                <c:ptCount val="1"/>
                <c:pt idx="0">
                  <c:v>Naloxone (P2)</c:v>
                </c:pt>
              </c:strCache>
            </c:strRef>
          </c:tx>
          <c:spPr>
            <a:solidFill>
              <a:srgbClr val="bfbfbf"/>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2'!$O$24</c:f>
              <c:numCache>
                <c:formatCode>#,##0.00</c:formatCode>
                <c:ptCount val="1"/>
              </c:numCache>
            </c:numRef>
          </c:xVal>
          <c:yVal>
            <c:numRef>
              <c:f>'2x2 – Option 2'!$P$24</c:f>
              <c:numCache>
                <c:formatCode>#,##0</c:formatCode>
                <c:ptCount val="1"/>
              </c:numCache>
            </c:numRef>
          </c:yVal>
          <c:bubbleSize>
            <c:numRef>
              <c:f>'2x2 – Option 2'!$Q$24</c:f>
              <c:numCache>
                <c:formatCode>#,##0</c:formatCode>
                <c:ptCount val="1"/>
              </c:numCache>
            </c:numRef>
          </c:bubbleSize>
          <c:bubble3D val="0"/>
        </c:ser>
        <c:ser>
          <c:idx val="79"/>
          <c:order val="79"/>
          <c:tx>
            <c:strRef>
              <c:f>'2x2 – Option 2'!$H$25</c:f>
              <c:strCache>
                <c:ptCount val="1"/>
                <c:pt idx="0">
                  <c:v>Succinylcholine (Suxamethonium) (P2)</c:v>
                </c:pt>
              </c:strCache>
            </c:strRef>
          </c:tx>
          <c:spPr>
            <a:solidFill>
              <a:srgbClr val="bfbfbf"/>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2'!$O$25</c:f>
              <c:numCache>
                <c:formatCode>#,##0.00</c:formatCode>
                <c:ptCount val="1"/>
              </c:numCache>
            </c:numRef>
          </c:xVal>
          <c:yVal>
            <c:numRef>
              <c:f>'2x2 – Option 2'!$P$25</c:f>
              <c:numCache>
                <c:formatCode>#,##0</c:formatCode>
                <c:ptCount val="1"/>
              </c:numCache>
            </c:numRef>
          </c:yVal>
          <c:bubbleSize>
            <c:numRef>
              <c:f>'2x2 – Option 2'!$Q$25</c:f>
              <c:numCache>
                <c:formatCode>#,##0</c:formatCode>
                <c:ptCount val="1"/>
              </c:numCache>
            </c:numRef>
          </c:bubbleSize>
          <c:bubble3D val="0"/>
        </c:ser>
        <c:ser>
          <c:idx val="80"/>
          <c:order val="80"/>
          <c:tx>
            <c:strRef>
              <c:f>'2x2 – Option 2'!$H$26</c:f>
              <c:strCache>
                <c:ptCount val="1"/>
                <c:pt idx="0">
                  <c:v>Leuprorelin (P2)</c:v>
                </c:pt>
              </c:strCache>
            </c:strRef>
          </c:tx>
          <c:spPr>
            <a:solidFill>
              <a:srgbClr val="bfbfbf"/>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2'!$O$26</c:f>
              <c:numCache>
                <c:formatCode>#,##0.00</c:formatCode>
                <c:ptCount val="1"/>
              </c:numCache>
            </c:numRef>
          </c:xVal>
          <c:yVal>
            <c:numRef>
              <c:f>'2x2 – Option 2'!$P$26</c:f>
              <c:numCache>
                <c:formatCode>#,##0</c:formatCode>
                <c:ptCount val="1"/>
              </c:numCache>
            </c:numRef>
          </c:yVal>
          <c:bubbleSize>
            <c:numRef>
              <c:f>'2x2 – Option 2'!$Q$26</c:f>
              <c:numCache>
                <c:formatCode>#,##0</c:formatCode>
                <c:ptCount val="1"/>
              </c:numCache>
            </c:numRef>
          </c:bubbleSize>
          <c:bubble3D val="0"/>
        </c:ser>
        <c:ser>
          <c:idx val="81"/>
          <c:order val="81"/>
          <c:tx>
            <c:strRef>
              <c:f>'2x2 – Option 2'!$H$27</c:f>
              <c:strCache>
                <c:ptCount val="1"/>
                <c:pt idx="0">
                  <c:v>Ustekinumab (P2)</c:v>
                </c:pt>
              </c:strCache>
            </c:strRef>
          </c:tx>
          <c:spPr>
            <a:solidFill>
              <a:srgbClr val="bfbfbf"/>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2'!$O$27</c:f>
              <c:numCache>
                <c:formatCode>#,##0.00</c:formatCode>
                <c:ptCount val="1"/>
              </c:numCache>
            </c:numRef>
          </c:xVal>
          <c:yVal>
            <c:numRef>
              <c:f>'2x2 – Option 2'!$P$27</c:f>
              <c:numCache>
                <c:formatCode>#,##0</c:formatCode>
                <c:ptCount val="1"/>
              </c:numCache>
            </c:numRef>
          </c:yVal>
          <c:bubbleSize>
            <c:numRef>
              <c:f>'2x2 – Option 2'!$Q$27</c:f>
              <c:numCache>
                <c:formatCode>#,##0</c:formatCode>
                <c:ptCount val="1"/>
              </c:numCache>
            </c:numRef>
          </c:bubbleSize>
          <c:bubble3D val="0"/>
        </c:ser>
        <c:ser>
          <c:idx val="82"/>
          <c:order val="82"/>
          <c:tx>
            <c:strRef>
              <c:f>'2x2 – Option 2'!$H$28</c:f>
              <c:strCache>
                <c:ptCount val="1"/>
                <c:pt idx="0">
                  <c:v>Degarelix (P2)</c:v>
                </c:pt>
              </c:strCache>
            </c:strRef>
          </c:tx>
          <c:spPr>
            <a:solidFill>
              <a:srgbClr val="bfbfbf"/>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2'!$O$28</c:f>
              <c:numCache>
                <c:formatCode>#,##0.00</c:formatCode>
                <c:ptCount val="1"/>
              </c:numCache>
            </c:numRef>
          </c:xVal>
          <c:yVal>
            <c:numRef>
              <c:f>'2x2 – Option 2'!$P$28</c:f>
              <c:numCache>
                <c:formatCode>#,##0</c:formatCode>
                <c:ptCount val="1"/>
              </c:numCache>
            </c:numRef>
          </c:yVal>
          <c:bubbleSize>
            <c:numRef>
              <c:f>'2x2 – Option 2'!$Q$28</c:f>
              <c:numCache>
                <c:formatCode>#,##0</c:formatCode>
                <c:ptCount val="1"/>
              </c:numCache>
            </c:numRef>
          </c:bubbleSize>
          <c:bubble3D val="0"/>
        </c:ser>
        <c:ser>
          <c:idx val="83"/>
          <c:order val="83"/>
          <c:tx>
            <c:strRef>
              <c:f>'2x2 – Option 2'!$H$29</c:f>
              <c:strCache>
                <c:ptCount val="1"/>
                <c:pt idx="0">
                  <c:v>Midazolam (P3)</c:v>
                </c:pt>
              </c:strCache>
            </c:strRef>
          </c:tx>
          <c:spPr>
            <a:solidFill>
              <a:srgbClr val="bfbfbf"/>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2'!$O$29</c:f>
              <c:numCache>
                <c:formatCode>#,##0.00</c:formatCode>
                <c:ptCount val="1"/>
                <c:pt idx="0">
                  <c:v>11.33</c:v>
                </c:pt>
              </c:numCache>
            </c:numRef>
          </c:xVal>
          <c:yVal>
            <c:numRef>
              <c:f>'2x2 – Option 2'!$P$29</c:f>
              <c:numCache>
                <c:formatCode>#,##0</c:formatCode>
                <c:ptCount val="1"/>
                <c:pt idx="0">
                  <c:v>221</c:v>
                </c:pt>
              </c:numCache>
            </c:numRef>
          </c:yVal>
          <c:bubbleSize>
            <c:numRef>
              <c:f>'2x2 – Option 2'!$Q$29</c:f>
              <c:numCache>
                <c:formatCode>#,##0</c:formatCode>
                <c:ptCount val="1"/>
                <c:pt idx="0">
                  <c:v>5838.25</c:v>
                </c:pt>
              </c:numCache>
            </c:numRef>
          </c:bubbleSize>
          <c:bubble3D val="0"/>
        </c:ser>
        <c:ser>
          <c:idx val="84"/>
          <c:order val="84"/>
          <c:tx>
            <c:strRef>
              <c:f>'2x2 – Option 2'!$H$30</c:f>
              <c:strCache>
                <c:ptCount val="1"/>
                <c:pt idx="0">
                  <c:v>Colistimethate Sodium (P3)</c:v>
                </c:pt>
              </c:strCache>
            </c:strRef>
          </c:tx>
          <c:spPr>
            <a:solidFill>
              <a:srgbClr val="bfbfbf"/>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2'!$O$30</c:f>
              <c:numCache>
                <c:formatCode>#,##0.00</c:formatCode>
                <c:ptCount val="1"/>
                <c:pt idx="0">
                  <c:v>9.75</c:v>
                </c:pt>
              </c:numCache>
            </c:numRef>
          </c:xVal>
          <c:yVal>
            <c:numRef>
              <c:f>'2x2 – Option 2'!$P$30</c:f>
              <c:numCache>
                <c:formatCode>#,##0</c:formatCode>
                <c:ptCount val="1"/>
                <c:pt idx="0">
                  <c:v>123</c:v>
                </c:pt>
              </c:numCache>
            </c:numRef>
          </c:yVal>
          <c:bubbleSize>
            <c:numRef>
              <c:f>'2x2 – Option 2'!$Q$30</c:f>
              <c:numCache>
                <c:formatCode>#,##0</c:formatCode>
                <c:ptCount val="1"/>
                <c:pt idx="0">
                  <c:v>3010.2</c:v>
                </c:pt>
              </c:numCache>
            </c:numRef>
          </c:bubbleSize>
          <c:bubble3D val="0"/>
        </c:ser>
        <c:ser>
          <c:idx val="85"/>
          <c:order val="85"/>
          <c:tx>
            <c:strRef>
              <c:f>'2x2 – Option 2'!$H$31</c:f>
              <c:strCache>
                <c:ptCount val="1"/>
                <c:pt idx="0">
                  <c:v>Hydroxocobalamin (P3)</c:v>
                </c:pt>
              </c:strCache>
            </c:strRef>
          </c:tx>
          <c:spPr>
            <a:solidFill>
              <a:srgbClr val="bfbfbf"/>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2'!$O$31</c:f>
              <c:numCache>
                <c:formatCode>#,##0.00</c:formatCode>
                <c:ptCount val="1"/>
                <c:pt idx="0">
                  <c:v>9.83</c:v>
                </c:pt>
              </c:numCache>
            </c:numRef>
          </c:xVal>
          <c:yVal>
            <c:numRef>
              <c:f>'2x2 – Option 2'!$P$31</c:f>
              <c:numCache>
                <c:formatCode>#,##0</c:formatCode>
                <c:ptCount val="1"/>
                <c:pt idx="0">
                  <c:v>32</c:v>
                </c:pt>
              </c:numCache>
            </c:numRef>
          </c:yVal>
          <c:bubbleSize>
            <c:numRef>
              <c:f>'2x2 – Option 2'!$Q$31</c:f>
              <c:numCache>
                <c:formatCode>#,##0</c:formatCode>
                <c:ptCount val="1"/>
                <c:pt idx="0">
                  <c:v>457.96</c:v>
                </c:pt>
              </c:numCache>
            </c:numRef>
          </c:bubbleSize>
          <c:bubble3D val="0"/>
        </c:ser>
        <c:ser>
          <c:idx val="86"/>
          <c:order val="86"/>
          <c:tx>
            <c:strRef>
              <c:f>'2x2 – Option 2'!$H$32</c:f>
              <c:strCache>
                <c:ptCount val="1"/>
                <c:pt idx="0">
                  <c:v/>
                </c:pt>
              </c:strCache>
            </c:strRef>
          </c:tx>
          <c:spPr>
            <a:solidFill>
              <a:srgbClr val="bfbfbf"/>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2'!$O$32</c:f>
              <c:numCache>
                <c:formatCode>#,##0.00</c:formatCode>
                <c:ptCount val="1"/>
              </c:numCache>
            </c:numRef>
          </c:xVal>
          <c:yVal>
            <c:numRef>
              <c:f>'2x2 – Option 2'!$P$32</c:f>
              <c:numCache>
                <c:formatCode>#,##0</c:formatCode>
                <c:ptCount val="1"/>
              </c:numCache>
            </c:numRef>
          </c:yVal>
          <c:bubbleSize>
            <c:numRef>
              <c:f>'2x2 – Option 2'!$Q$32</c:f>
              <c:numCache>
                <c:formatCode>#,##0</c:formatCode>
                <c:ptCount val="1"/>
              </c:numCache>
            </c:numRef>
          </c:bubbleSize>
          <c:bubble3D val="0"/>
        </c:ser>
        <c:ser>
          <c:idx val="87"/>
          <c:order val="87"/>
          <c:tx>
            <c:strRef>
              <c:f>'2x2 – Option 2'!$H$33</c:f>
              <c:strCache>
                <c:ptCount val="1"/>
                <c:pt idx="0">
                  <c:v/>
                </c:pt>
              </c:strCache>
            </c:strRef>
          </c:tx>
          <c:spPr>
            <a:solidFill>
              <a:srgbClr val="bfbfbf"/>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2'!$O$33</c:f>
              <c:numCache>
                <c:formatCode>#,##0.00</c:formatCode>
                <c:ptCount val="1"/>
              </c:numCache>
            </c:numRef>
          </c:xVal>
          <c:yVal>
            <c:numRef>
              <c:f>'2x2 – Option 2'!$P$33</c:f>
              <c:numCache>
                <c:formatCode>#,##0</c:formatCode>
                <c:ptCount val="1"/>
              </c:numCache>
            </c:numRef>
          </c:yVal>
          <c:bubbleSize>
            <c:numRef>
              <c:f>'2x2 – Option 2'!$Q$33</c:f>
              <c:numCache>
                <c:formatCode>#,##0</c:formatCode>
                <c:ptCount val="1"/>
              </c:numCache>
            </c:numRef>
          </c:bubbleSize>
          <c:bubble3D val="0"/>
        </c:ser>
        <c:ser>
          <c:idx val="88"/>
          <c:order val="88"/>
          <c:tx>
            <c:strRef>
              <c:f>'2x2 – Option 2'!$H$34</c:f>
              <c:strCache>
                <c:ptCount val="1"/>
                <c:pt idx="0">
                  <c:v/>
                </c:pt>
              </c:strCache>
            </c:strRef>
          </c:tx>
          <c:spPr>
            <a:solidFill>
              <a:srgbClr val="bfbfbf"/>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2'!$O$34</c:f>
              <c:numCache>
                <c:formatCode>#,##0.00</c:formatCode>
                <c:ptCount val="1"/>
              </c:numCache>
            </c:numRef>
          </c:xVal>
          <c:yVal>
            <c:numRef>
              <c:f>'2x2 – Option 2'!$P$34</c:f>
              <c:numCache>
                <c:formatCode>#,##0</c:formatCode>
                <c:ptCount val="1"/>
              </c:numCache>
            </c:numRef>
          </c:yVal>
          <c:bubbleSize>
            <c:numRef>
              <c:f>'2x2 – Option 2'!$Q$34</c:f>
              <c:numCache>
                <c:formatCode>#,##0</c:formatCode>
                <c:ptCount val="1"/>
              </c:numCache>
            </c:numRef>
          </c:bubbleSize>
          <c:bubble3D val="0"/>
        </c:ser>
        <c:ser>
          <c:idx val="89"/>
          <c:order val="89"/>
          <c:tx>
            <c:strRef>
              <c:f>'2x2 – Option 2'!$H$35</c:f>
              <c:strCache>
                <c:ptCount val="1"/>
                <c:pt idx="0">
                  <c:v/>
                </c:pt>
              </c:strCache>
            </c:strRef>
          </c:tx>
          <c:spPr>
            <a:solidFill>
              <a:srgbClr val="bfbfbf"/>
            </a:solidFill>
            <a:ln w="0">
              <a:solidFill>
                <a:srgbClr val="ffffff"/>
              </a:solid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'2x2 – Option 2'!$O$35</c:f>
              <c:numCache>
                <c:formatCode>#,##0.00</c:formatCode>
                <c:ptCount val="1"/>
              </c:numCache>
            </c:numRef>
          </c:xVal>
          <c:yVal>
            <c:numRef>
              <c:f>'2x2 – Option 2'!$P$35</c:f>
              <c:numCache>
                <c:formatCode>#,##0</c:formatCode>
                <c:ptCount val="1"/>
              </c:numCache>
            </c:numRef>
          </c:yVal>
          <c:bubbleSize>
            <c:numRef>
              <c:f>'2x2 – Option 2'!$Q$35</c:f>
              <c:numCache>
                <c:formatCode>#,##0</c:formatCode>
                <c:ptCount val="1"/>
              </c:numCache>
            </c:numRef>
          </c:bubbleSize>
          <c:bubble3D val="0"/>
        </c:ser>
        <c:axId val="12349970"/>
        <c:axId val="1439352"/>
      </c:bubbleChart>
      <c:valAx>
        <c:axId val="12349970"/>
        <c:scaling>
          <c:logBase val="10"/>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Avg price (USD / unit, log scale)</a:t>
                </a:r>
              </a:p>
            </c:rich>
          </c:tx>
          <c:overlay val="0"/>
          <c:spPr>
            <a:noFill/>
            <a:ln w="0">
              <a:noFill/>
            </a:ln>
          </c:spPr>
        </c:title>
        <c:numFmt formatCode="#,##0" sourceLinked="0"/>
        <c:majorTickMark val="out"/>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1439352"/>
        <c:crossesAt val="286"/>
        <c:crossBetween val="midCat"/>
      </c:valAx>
      <c:valAx>
        <c:axId val="1439352"/>
        <c:scaling>
          <c:logBase val="10"/>
          <c:orientation val="minMax"/>
        </c:scaling>
        <c:delete val="0"/>
        <c:axPos val="l"/>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Shipments – all forms (#) (log scale)</a:t>
                </a:r>
              </a:p>
            </c:rich>
          </c:tx>
          <c:overlay val="0"/>
          <c:spPr>
            <a:noFill/>
            <a:ln w="0">
              <a:noFill/>
            </a:ln>
          </c:spPr>
        </c:title>
        <c:numFmt formatCode="#,##0" sourceLinked="0"/>
        <c:majorTickMark val="out"/>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12349970"/>
        <c:crossesAt val="25.095"/>
        <c:crossBetween val="midCat"/>
      </c:valAx>
      <c:spPr>
        <a:noFill/>
        <a:ln w="0">
          <a:noFill/>
        </a:ln>
      </c:spPr>
    </c:plotArea>
    <c:plotVisOnly val="0"/>
    <c:dispBlanksAs val="gap"/>
  </c:chart>
  <c:spPr>
    <a:solidFill>
      <a:srgbClr val="ffffff"/>
    </a:solidFill>
    <a:ln w="9360">
      <a:solidFill>
        <a:srgbClr val="d9d9d9"/>
      </a:solidFill>
      <a:round/>
    </a:ln>
  </c:spPr>
</c:chartSpace>
</file>

<file path=xl/drawings/_rels/drawing2.xml.rels><?xml version="1.0" encoding="UTF-8"?>
<Relationships xmlns="http://schemas.openxmlformats.org/package/2006/relationships"><Relationship Id="rId1" Type="http://schemas.openxmlformats.org/officeDocument/2006/relationships/chart" Target="../charts/chart1.xml"/>
</Relationships>
</file>

<file path=xl/drawings/_rels/drawing4.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18</xdr:col>
      <xdr:colOff>0</xdr:colOff>
      <xdr:row>3</xdr:row>
      <xdr:rowOff>160920</xdr:rowOff>
    </xdr:from>
    <xdr:to>
      <xdr:col>33</xdr:col>
      <xdr:colOff>187200</xdr:colOff>
      <xdr:row>33</xdr:row>
      <xdr:rowOff>184320</xdr:rowOff>
    </xdr:to>
    <xdr:graphicFrame>
      <xdr:nvGraphicFramePr>
        <xdr:cNvPr id="0" name="Chart 1"/>
        <xdr:cNvGraphicFramePr/>
      </xdr:nvGraphicFramePr>
      <xdr:xfrm>
        <a:off x="10409040" y="762120"/>
        <a:ext cx="9359640" cy="61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18</xdr:col>
      <xdr:colOff>0</xdr:colOff>
      <xdr:row>3</xdr:row>
      <xdr:rowOff>160920</xdr:rowOff>
    </xdr:from>
    <xdr:to>
      <xdr:col>33</xdr:col>
      <xdr:colOff>187200</xdr:colOff>
      <xdr:row>33</xdr:row>
      <xdr:rowOff>184320</xdr:rowOff>
    </xdr:to>
    <xdr:graphicFrame>
      <xdr:nvGraphicFramePr>
        <xdr:cNvPr id="1" name="Chart 1"/>
        <xdr:cNvGraphicFramePr/>
      </xdr:nvGraphicFramePr>
      <xdr:xfrm>
        <a:off x="10409040" y="762120"/>
        <a:ext cx="9359640" cy="61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hyperlink" Target="https://dailymed.nlm.nih.gov/dailymed/search.cfm?labeltype=all&amp;query=carboprost" TargetMode="External"/><Relationship Id="rId2" Type="http://schemas.openxmlformats.org/officeDocument/2006/relationships/hyperlink" Target="https://dailymed.nlm.nih.gov/dailymed/search.cfm?labeltype=all&amp;query=diazepam+injection" TargetMode="External"/><Relationship Id="rId3" Type="http://schemas.openxmlformats.org/officeDocument/2006/relationships/hyperlink" Target="https://dailymed.nlm.nih.gov/dailymed/search.cfm?labeltype=all&amp;query=fulvestrant" TargetMode="External"/><Relationship Id="rId4" Type="http://schemas.openxmlformats.org/officeDocument/2006/relationships/hyperlink" Target="https://dailymed.nlm.nih.gov/dailymed/search.cfm?labeltype=all&amp;query=methotrexate+injection" TargetMode="External"/><Relationship Id="rId5" Type="http://schemas.openxmlformats.org/officeDocument/2006/relationships/hyperlink" Target="https://dailymed.nlm.nih.gov/dailymed/search.cfm?labeltype=all&amp;query=phytonadione" TargetMode="External"/><Relationship Id="rId6" Type="http://schemas.openxmlformats.org/officeDocument/2006/relationships/hyperlink" Target="https://dailymed.nlm.nih.gov/dailymed/search.cfm?labeltype=all&amp;query=triamcinolone+acetonide+injectable+suspension" TargetMode="External"/><Relationship Id="rId7" Type="http://schemas.openxmlformats.org/officeDocument/2006/relationships/hyperlink" Target="https://dailymed.nlm.nih.gov/dailymed/search.cfm?labeltype=all&amp;query=ampicillin" TargetMode="External"/><Relationship Id="rId8" Type="http://schemas.openxmlformats.org/officeDocument/2006/relationships/hyperlink" Target="https://dailymed.nlm.nih.gov/dailymed/search.cfm?labeltype=all&amp;query=argatroban" TargetMode="External"/><Relationship Id="rId9" Type="http://schemas.openxmlformats.org/officeDocument/2006/relationships/hyperlink" Target="https://dailymed.nlm.nih.gov/dailymed/search.cfm?labeltype=all&amp;query=azacitidine" TargetMode="External"/><Relationship Id="rId10" Type="http://schemas.openxmlformats.org/officeDocument/2006/relationships/hyperlink" Target="https://dailymed.nlm.nih.gov/dailymed/search.cfm?labeltype=all&amp;query=bortezomib" TargetMode="External"/><Relationship Id="rId11" Type="http://schemas.openxmlformats.org/officeDocument/2006/relationships/hyperlink" Target="https://dailymed.nlm.nih.gov/dailymed/search.cfm?labeltype=all&amp;query=bupivacaine" TargetMode="External"/><Relationship Id="rId12" Type="http://schemas.openxmlformats.org/officeDocument/2006/relationships/hyperlink" Target="https://dailymed.nlm.nih.gov/dailymed/search.cfm?labeltype=all&amp;query=carboprost" TargetMode="External"/><Relationship Id="rId13" Type="http://schemas.openxmlformats.org/officeDocument/2006/relationships/hyperlink" Target="https://dailymed.nlm.nih.gov/dailymed/search.cfm?labeltype=all&amp;query=cefepime" TargetMode="External"/><Relationship Id="rId14" Type="http://schemas.openxmlformats.org/officeDocument/2006/relationships/hyperlink" Target="https://dailymed.nlm.nih.gov/dailymed/search.cfm?labeltype=all&amp;query=ceftazidime" TargetMode="External"/><Relationship Id="rId15" Type="http://schemas.openxmlformats.org/officeDocument/2006/relationships/hyperlink" Target="https://dailymed.nlm.nih.gov/dailymed/search.cfm?labeltype=all&amp;query=ceftriaxone" TargetMode="External"/><Relationship Id="rId16" Type="http://schemas.openxmlformats.org/officeDocument/2006/relationships/hyperlink" Target="https://dailymed.nlm.nih.gov/dailymed/search.cfm?labeltype=all&amp;query=chlorpromazine" TargetMode="External"/><Relationship Id="rId17" Type="http://schemas.openxmlformats.org/officeDocument/2006/relationships/hyperlink" Target="https://dailymed.nlm.nih.gov/dailymed/search.cfm?labeltype=all&amp;query=cyclophosphamide" TargetMode="External"/><Relationship Id="rId18" Type="http://schemas.openxmlformats.org/officeDocument/2006/relationships/hyperlink" Target="https://dailymed.nlm.nih.gov/dailymed/search.cfm?labeltype=all&amp;query=dactinomycin" TargetMode="External"/><Relationship Id="rId19" Type="http://schemas.openxmlformats.org/officeDocument/2006/relationships/hyperlink" Target="https://dailymed.nlm.nih.gov/dailymed/search.cfm?labeltype=all&amp;query=daptomycin" TargetMode="External"/><Relationship Id="rId20" Type="http://schemas.openxmlformats.org/officeDocument/2006/relationships/hyperlink" Target="https://dailymed.nlm.nih.gov/dailymed/search.cfm?labeltype=all&amp;query=doxorubicin" TargetMode="External"/><Relationship Id="rId21" Type="http://schemas.openxmlformats.org/officeDocument/2006/relationships/hyperlink" Target="https://dailymed.nlm.nih.gov/dailymed/search.cfm?labeltype=all&amp;query=ephedrine+sulfate+injection" TargetMode="External"/><Relationship Id="rId22" Type="http://schemas.openxmlformats.org/officeDocument/2006/relationships/hyperlink" Target="https://dailymed.nlm.nih.gov/dailymed/search.cfm?labeltype=all&amp;query=epirubicin" TargetMode="External"/><Relationship Id="rId23" Type="http://schemas.openxmlformats.org/officeDocument/2006/relationships/hyperlink" Target="https://dailymed.nlm.nih.gov/dailymed/search.cfm?labeltype=all&amp;query=eptifibatide" TargetMode="External"/><Relationship Id="rId24" Type="http://schemas.openxmlformats.org/officeDocument/2006/relationships/hyperlink" Target="https://dailymed.nlm.nih.gov/dailymed/search.cfm?labeltype=all&amp;query=ertapenem" TargetMode="External"/><Relationship Id="rId25" Type="http://schemas.openxmlformats.org/officeDocument/2006/relationships/hyperlink" Target="https://dailymed.nlm.nih.gov/dailymed/search.cfm?labeltype=all&amp;query=esmolol" TargetMode="External"/><Relationship Id="rId26" Type="http://schemas.openxmlformats.org/officeDocument/2006/relationships/hyperlink" Target="https://mhraproducts4853.blob.core.windows.net/docs/b81aa75bd80aa32a460d7fedc1706f40ed574da1" TargetMode="External"/><Relationship Id="rId27" Type="http://schemas.openxmlformats.org/officeDocument/2006/relationships/hyperlink" Target="https://dailymed.nlm.nih.gov/dailymed/search.cfm?labeltype=all&amp;query=fluorouracil+injection" TargetMode="External"/><Relationship Id="rId28" Type="http://schemas.openxmlformats.org/officeDocument/2006/relationships/hyperlink" Target="https://dailymed.nlm.nih.gov/dailymed/search.cfm?labeltype=all&amp;query=fluphenazine+decanoate" TargetMode="External"/><Relationship Id="rId29" Type="http://schemas.openxmlformats.org/officeDocument/2006/relationships/hyperlink" Target="https://dailymed.nlm.nih.gov/dailymed/search.cfm?labeltype=all&amp;query=leucovorin+calcium+injection" TargetMode="External"/><Relationship Id="rId30" Type="http://schemas.openxmlformats.org/officeDocument/2006/relationships/hyperlink" Target="https://dailymed.nlm.nih.gov/dailymed/search.cfm?labeltype=all&amp;query=fulvestrant" TargetMode="External"/><Relationship Id="rId31" Type="http://schemas.openxmlformats.org/officeDocument/2006/relationships/hyperlink" Target="https://dailymed.nlm.nih.gov/dailymed/search.cfm?labeltype=all&amp;query=hydralazine+injection" TargetMode="External"/><Relationship Id="rId32" Type="http://schemas.openxmlformats.org/officeDocument/2006/relationships/hyperlink" Target="https://dailymed.nlm.nih.gov/dailymed/search.cfm?labeltype=all&amp;query=ibandronate+injection" TargetMode="External"/><Relationship Id="rId33" Type="http://schemas.openxmlformats.org/officeDocument/2006/relationships/hyperlink" Target="https://dailymed.nlm.nih.gov/dailymed/search.cfm?labeltype=all&amp;query=medroxyprogesterone+acetate+injectable" TargetMode="External"/><Relationship Id="rId34" Type="http://schemas.openxmlformats.org/officeDocument/2006/relationships/hyperlink" Target="https://dailymed.nlm.nih.gov/dailymed/search.cfm?labeltype=all&amp;query=melphalan+hydrochloride" TargetMode="External"/><Relationship Id="rId35" Type="http://schemas.openxmlformats.org/officeDocument/2006/relationships/hyperlink" Target="https://dailymed.nlm.nih.gov/dailymed/search.cfm?labeltype=all&amp;query=meropenem" TargetMode="External"/><Relationship Id="rId36" Type="http://schemas.openxmlformats.org/officeDocument/2006/relationships/hyperlink" Target="https://dailymed.nlm.nih.gov/dailymed/search.cfm?labeltype=all&amp;query=mesna" TargetMode="External"/><Relationship Id="rId37" Type="http://schemas.openxmlformats.org/officeDocument/2006/relationships/hyperlink" Target="https://dailymed.nlm.nih.gov/dailymed/search.cfm?labeltype=all&amp;query=methotrexate+injection" TargetMode="External"/><Relationship Id="rId38" Type="http://schemas.openxmlformats.org/officeDocument/2006/relationships/hyperlink" Target="https://dailymed.nlm.nih.gov/dailymed/search.cfm?labeltype=all&amp;query=methylprednisolone+acetate" TargetMode="External"/><Relationship Id="rId39" Type="http://schemas.openxmlformats.org/officeDocument/2006/relationships/hyperlink" Target="https://dailymed.nlm.nih.gov/dailymed/search.cfm?labeltype=all&amp;query=mitomycin" TargetMode="External"/><Relationship Id="rId40" Type="http://schemas.openxmlformats.org/officeDocument/2006/relationships/hyperlink" Target="https://dailymed.nlm.nih.gov/dailymed/search.cfm?labeltype=all&amp;query=nafcillin" TargetMode="External"/><Relationship Id="rId41" Type="http://schemas.openxmlformats.org/officeDocument/2006/relationships/hyperlink" Target="https://dailymed.nlm.nih.gov/dailymed/search.cfm?labeltype=all&amp;query=naloxone+hydrochloride+injection" TargetMode="External"/><Relationship Id="rId42" Type="http://schemas.openxmlformats.org/officeDocument/2006/relationships/hyperlink" Target="https://dailymed.nlm.nih.gov/dailymed/search.cfm?labeltype=all&amp;query=ondansetron+injection" TargetMode="External"/><Relationship Id="rId43" Type="http://schemas.openxmlformats.org/officeDocument/2006/relationships/hyperlink" Target="https://dailymed.nlm.nih.gov/dailymed/search.cfm?labeltype=all&amp;query=oxacillin" TargetMode="External"/><Relationship Id="rId44" Type="http://schemas.openxmlformats.org/officeDocument/2006/relationships/hyperlink" Target="https://dailymed.nlm.nih.gov/dailymed/search.cfm?labeltype=all&amp;query=palonosetron" TargetMode="External"/><Relationship Id="rId45" Type="http://schemas.openxmlformats.org/officeDocument/2006/relationships/hyperlink" Target="https://dailymed.nlm.nih.gov/dailymed/search.cfm?labeltype=all&amp;query=pantoprazole+sodium+for+injection" TargetMode="External"/><Relationship Id="rId46" Type="http://schemas.openxmlformats.org/officeDocument/2006/relationships/hyperlink" Target="https://dailymed.nlm.nih.gov/dailymed/search.cfm?labeltype=all&amp;query=plerixafor" TargetMode="External"/><Relationship Id="rId47" Type="http://schemas.openxmlformats.org/officeDocument/2006/relationships/hyperlink" Target="https://dailymed.nlm.nih.gov/dailymed/search.cfm?labeltype=all&amp;query=progesterone+injection" TargetMode="External"/><Relationship Id="rId48" Type="http://schemas.openxmlformats.org/officeDocument/2006/relationships/hyperlink" Target="https://dailymed.nlm.nih.gov/dailymed/search.cfm?labeltype=all&amp;query=regadenoson" TargetMode="External"/><Relationship Id="rId49" Type="http://schemas.openxmlformats.org/officeDocument/2006/relationships/hyperlink" Target="https://dailymed.nlm.nih.gov/dailymed/search.cfm?labeltype=all&amp;query=remifentanil" TargetMode="External"/><Relationship Id="rId50" Type="http://schemas.openxmlformats.org/officeDocument/2006/relationships/hyperlink" Target="https://dailymed.nlm.nih.gov/dailymed/search.cfm?labeltype=all&amp;query=ropivacaine" TargetMode="External"/><Relationship Id="rId51" Type="http://schemas.openxmlformats.org/officeDocument/2006/relationships/hyperlink" Target="https://dailymed.nlm.nih.gov/dailymed/search.cfm?labeltype=all&amp;query=sildenafil+injection" TargetMode="External"/><Relationship Id="rId52" Type="http://schemas.openxmlformats.org/officeDocument/2006/relationships/hyperlink" Target="https://dailymed.nlm.nih.gov/dailymed/search.cfm?labeltype=all&amp;query=testosterone+cypionate" TargetMode="External"/><Relationship Id="rId53" Type="http://schemas.openxmlformats.org/officeDocument/2006/relationships/hyperlink" Target="https://dailymed.nlm.nih.gov/dailymed/search.cfm?labeltype=all&amp;query=testosterone+enanthate" TargetMode="External"/><Relationship Id="rId54" Type="http://schemas.openxmlformats.org/officeDocument/2006/relationships/hyperlink" Target="https://dailymed.nlm.nih.gov/dailymed/search.cfm?labeltype=all&amp;query=tirofiban" TargetMode="External"/><Relationship Id="rId55" Type="http://schemas.openxmlformats.org/officeDocument/2006/relationships/hyperlink" Target="https://dailymed.nlm.nih.gov/dailymed/search.cfm?labeltype=all&amp;query=tranexamic+acid+injection" TargetMode="External"/><Relationship Id="rId56" Type="http://schemas.openxmlformats.org/officeDocument/2006/relationships/hyperlink" Target="https://dailymed.nlm.nih.gov/dailymed/search.cfm?labeltype=all&amp;query=triamcinolone+acetonide+injectable+suspension" TargetMode="External"/><Relationship Id="rId57" Type="http://schemas.openxmlformats.org/officeDocument/2006/relationships/hyperlink" Target="https://dailymed.nlm.nih.gov/dailymed/search.cfm?labeltype=all&amp;query=vecuronium" TargetMode="External"/><Relationship Id="rId58" Type="http://schemas.openxmlformats.org/officeDocument/2006/relationships/hyperlink" Target="https://dailymed.nlm.nih.gov/dailymed/search.cfm?labeltype=all&amp;query=verapamil+hydrochloride+injection" TargetMode="External"/><Relationship Id="rId59" Type="http://schemas.openxmlformats.org/officeDocument/2006/relationships/hyperlink" Target="https://dailymed.nlm.nih.gov/dailymed/search.cfm?labeltype=all&amp;query=vinorelbine" TargetMode="External"/><Relationship Id="rId60" Type="http://schemas.openxmlformats.org/officeDocument/2006/relationships/hyperlink" Target="https://dailymed.nlm.nih.gov/dailymed/search.cfm?labeltype=all&amp;query=azacitidine" TargetMode="External"/><Relationship Id="rId61" Type="http://schemas.openxmlformats.org/officeDocument/2006/relationships/hyperlink" Target="https://dailymed.nlm.nih.gov/dailymed/search.cfm?labeltype=all&amp;query=bleomycin" TargetMode="External"/><Relationship Id="rId62" Type="http://schemas.openxmlformats.org/officeDocument/2006/relationships/hyperlink" Target="https://dailymed.nlm.nih.gov/dailymed/search.cfm?labeltype=all&amp;query=bortezomib" TargetMode="External"/><Relationship Id="rId63" Type="http://schemas.openxmlformats.org/officeDocument/2006/relationships/hyperlink" Target="https://dailymed.nlm.nih.gov/dailymed/search.cfm?labeltype=all&amp;query=cefepime" TargetMode="External"/><Relationship Id="rId64" Type="http://schemas.openxmlformats.org/officeDocument/2006/relationships/hyperlink" Target="https://dailymed.nlm.nih.gov/dailymed/search.cfm?labeltype=all&amp;query=daptomycin" TargetMode="External"/><Relationship Id="rId65" Type="http://schemas.openxmlformats.org/officeDocument/2006/relationships/hyperlink" Target="https://dailymed.nlm.nih.gov/dailymed/search.cfm?labeltype=all&amp;query=doxorubicin" TargetMode="External"/><Relationship Id="rId66" Type="http://schemas.openxmlformats.org/officeDocument/2006/relationships/hyperlink" Target="https://dailymed.nlm.nih.gov/dailymed/search.cfm?labeltype=all&amp;query=fulvestrant" TargetMode="External"/><Relationship Id="rId67" Type="http://schemas.openxmlformats.org/officeDocument/2006/relationships/hyperlink" Target="https://dailymed.nlm.nih.gov/dailymed/search.cfm?labeltype=all&amp;query=hydrocortisone+sodium+succinate" TargetMode="External"/><Relationship Id="rId68" Type="http://schemas.openxmlformats.org/officeDocument/2006/relationships/hyperlink" Target="https://dailymed.nlm.nih.gov/dailymed/search.cfm?labeltype=all&amp;query=isoproterenol" TargetMode="External"/><Relationship Id="rId69" Type="http://schemas.openxmlformats.org/officeDocument/2006/relationships/hyperlink" Target="https://dailymed.nlm.nih.gov/dailymed/search.cfm?labeltype=all&amp;query=lanreotide" TargetMode="External"/><Relationship Id="rId70" Type="http://schemas.openxmlformats.org/officeDocument/2006/relationships/hyperlink" Target="https://www.who.int/news-room/fact-sheets/detail/measles" TargetMode="External"/><Relationship Id="rId71" Type="http://schemas.openxmlformats.org/officeDocument/2006/relationships/hyperlink" Target="https://dailymed.nlm.nih.gov/dailymed/search.cfm?labeltype=all&amp;query=medroxyprogesterone+acetate+injectable" TargetMode="External"/><Relationship Id="rId72" Type="http://schemas.openxmlformats.org/officeDocument/2006/relationships/hyperlink" Target="https://dailymed.nlm.nih.gov/dailymed/search.cfm?labeltype=all&amp;query=palonosetron" TargetMode="External"/><Relationship Id="rId73" Type="http://schemas.openxmlformats.org/officeDocument/2006/relationships/hyperlink" Target="https://dailymed.nlm.nih.gov/dailymed/search.cfm?labeltype=all&amp;query=phenylephrine+hydrochloride+injection" TargetMode="External"/><Relationship Id="rId74" Type="http://schemas.openxmlformats.org/officeDocument/2006/relationships/hyperlink" Target="https://dailymed.nlm.nih.gov/dailymed/search.cfm?labeltype=all&amp;query=phytonadione" TargetMode="External"/><Relationship Id="rId75" Type="http://schemas.openxmlformats.org/officeDocument/2006/relationships/hyperlink" Target="https://list.essentialmeds.org/?query=streptokinase" TargetMode="External"/><Relationship Id="rId76" Type="http://schemas.openxmlformats.org/officeDocument/2006/relationships/hyperlink" Target="https://dailymed.nlm.nih.gov/dailymed/search.cfm?labeltype=all&amp;query=sugammadex" TargetMode="External"/><Relationship Id="rId77" Type="http://schemas.openxmlformats.org/officeDocument/2006/relationships/hyperlink" Target="https://mhraproducts4853.blob.core.windows.net/docs/45a310f5c66d09f20d9d1eb3a5d48c17c486ac7b" TargetMode="External"/><Relationship Id="rId78" Type="http://schemas.openxmlformats.org/officeDocument/2006/relationships/hyperlink" Target="https://dailymed.nlm.nih.gov/dailymed/search.cfm?labeltype=all&amp;query=testosterone+cypionate" TargetMode="External"/><Relationship Id="rId79" Type="http://schemas.openxmlformats.org/officeDocument/2006/relationships/hyperlink" Target="https://dailymed.nlm.nih.gov/dailymed/search.cfm?labeltype=all&amp;query=testosterone+undecanoate" TargetMode="External"/><Relationship Id="rId80" Type="http://schemas.openxmlformats.org/officeDocument/2006/relationships/hyperlink" Target="https://dailymed.nlm.nih.gov/dailymed/search.cfm?labeltype=all&amp;query=trastuzumab" TargetMode="External"/><Relationship Id="rId81" Type="http://schemas.openxmlformats.org/officeDocument/2006/relationships/hyperlink" Target="https://dailymed.nlm.nih.gov/dailymed/search.cfm?labeltype=all&amp;query=vinblastine" TargetMode="External"/><Relationship Id="rId82" Type="http://schemas.openxmlformats.org/officeDocument/2006/relationships/hyperlink" Target="https://dailymed.nlm.nih.gov/dailymed/search.cfm?labeltype=all&amp;query=vinorelbine" TargetMode="External"/><Relationship Id="rId83" Type="http://schemas.openxmlformats.org/officeDocument/2006/relationships/hyperlink" Target="https://dailymed.nlm.nih.gov/dailymed/search.cfm?labeltype=all&amp;query=azacitidine" TargetMode="External"/><Relationship Id="rId84" Type="http://schemas.openxmlformats.org/officeDocument/2006/relationships/hyperlink" Target="https://dailymed.nlm.nih.gov/dailymed/search.cfm?labeltype=all&amp;query=bivalirudin" TargetMode="External"/><Relationship Id="rId85" Type="http://schemas.openxmlformats.org/officeDocument/2006/relationships/hyperlink" Target="https://dailymed.nlm.nih.gov/dailymed/search.cfm?labeltype=all&amp;query=bortezomib" TargetMode="External"/><Relationship Id="rId86" Type="http://schemas.openxmlformats.org/officeDocument/2006/relationships/hyperlink" Target="https://dailymed.nlm.nih.gov/dailymed/search.cfm?labeltype=all&amp;query=carboprost" TargetMode="External"/><Relationship Id="rId87" Type="http://schemas.openxmlformats.org/officeDocument/2006/relationships/hyperlink" Target="https://dailymed.nlm.nih.gov/dailymed/search.cfm?labeltype=all&amp;query=cyclophosphamide" TargetMode="External"/><Relationship Id="rId88" Type="http://schemas.openxmlformats.org/officeDocument/2006/relationships/hyperlink" Target="https://dailymed.nlm.nih.gov/dailymed/search.cfm?labeltype=all&amp;query=daptomycin" TargetMode="External"/><Relationship Id="rId89" Type="http://schemas.openxmlformats.org/officeDocument/2006/relationships/hyperlink" Target="https://dailymed.nlm.nih.gov/dailymed/search.cfm?labeltype=all&amp;query=desmopressin" TargetMode="External"/><Relationship Id="rId90" Type="http://schemas.openxmlformats.org/officeDocument/2006/relationships/hyperlink" Target="https://dailymed.nlm.nih.gov/dailymed/search.cfm?labeltype=all&amp;query=diazepam+injection" TargetMode="External"/><Relationship Id="rId91" Type="http://schemas.openxmlformats.org/officeDocument/2006/relationships/hyperlink" Target="https://dailymed.nlm.nih.gov/dailymed/search.cfm?labeltype=all&amp;query=ephedrine+sulfate+injection" TargetMode="External"/><Relationship Id="rId92" Type="http://schemas.openxmlformats.org/officeDocument/2006/relationships/hyperlink" Target="https://dailymed.nlm.nih.gov/dailymed/search.cfm?labeltype=all&amp;query=eribulin" TargetMode="External"/><Relationship Id="rId93" Type="http://schemas.openxmlformats.org/officeDocument/2006/relationships/hyperlink" Target="https://dailymed.nlm.nih.gov/dailymed/search.cfm?labeltype=all&amp;query=ertapenem" TargetMode="External"/><Relationship Id="rId94" Type="http://schemas.openxmlformats.org/officeDocument/2006/relationships/hyperlink" Target="https://dailymed.nlm.nih.gov/dailymed/search.cfm?labeltype=all&amp;query=ferric+carboxymaltose" TargetMode="External"/><Relationship Id="rId95" Type="http://schemas.openxmlformats.org/officeDocument/2006/relationships/hyperlink" Target="https://dailymed.nlm.nih.gov/dailymed/search.cfm?labeltype=all&amp;query=fulvestrant" TargetMode="External"/><Relationship Id="rId96" Type="http://schemas.openxmlformats.org/officeDocument/2006/relationships/hyperlink" Target="https://dailymed.nlm.nih.gov/dailymed/search.cfm?labeltype=all&amp;query=ibandronate+injection" TargetMode="External"/><Relationship Id="rId97" Type="http://schemas.openxmlformats.org/officeDocument/2006/relationships/hyperlink" Target="https://dailymed.nlm.nih.gov/dailymed/search.cfm?labeltype=all&amp;query=naloxone+hydrochloride+injection" TargetMode="External"/><Relationship Id="rId98" Type="http://schemas.openxmlformats.org/officeDocument/2006/relationships/hyperlink" Target="https://dailymed.nlm.nih.gov/dailymed/search.cfm?labeltype=all&amp;query=neostigmine" TargetMode="External"/><Relationship Id="rId99" Type="http://schemas.openxmlformats.org/officeDocument/2006/relationships/hyperlink" Target="https://dailymed.nlm.nih.gov/dailymed/search.cfm?labeltype=all&amp;query=palonosetron" TargetMode="External"/><Relationship Id="rId100" Type="http://schemas.openxmlformats.org/officeDocument/2006/relationships/hyperlink" Target="https://dailymed.nlm.nih.gov/dailymed/search.cfm?labeltype=all&amp;query=phytonadione" TargetMode="External"/><Relationship Id="rId101" Type="http://schemas.openxmlformats.org/officeDocument/2006/relationships/hyperlink" Target="https://dailymed.nlm.nih.gov/dailymed/search.cfm?labeltype=all&amp;query=plerixafor" TargetMode="External"/><Relationship Id="rId102" Type="http://schemas.openxmlformats.org/officeDocument/2006/relationships/hyperlink" Target="https://dailymed.nlm.nih.gov/dailymed/search.cfm?labeltype=all&amp;query=regadenoson" TargetMode="External"/><Relationship Id="rId103" Type="http://schemas.openxmlformats.org/officeDocument/2006/relationships/hyperlink" Target="https://dailymed.nlm.nih.gov/dailymed/search.cfm?labeltype=all&amp;query=succinylcholine" TargetMode="External"/><Relationship Id="rId104" Type="http://schemas.openxmlformats.org/officeDocument/2006/relationships/hyperlink" Target="https://dailymed.nlm.nih.gov/dailymed/search.cfm?labeltype=all&amp;query=sugammadex" TargetMode="External"/><Relationship Id="rId105" Type="http://schemas.openxmlformats.org/officeDocument/2006/relationships/hyperlink" Target="https://dailymed.nlm.nih.gov/dailymed/search.cfm?labeltype=all&amp;query=thiotepa" TargetMode="External"/><Relationship Id="rId106" Type="http://schemas.openxmlformats.org/officeDocument/2006/relationships/hyperlink" Target="https://dailymed.nlm.nih.gov/dailymed/search.cfm?labeltype=all&amp;query=triamcinolone+acetonide+injectable+suspension" TargetMode="External"/><Relationship Id="rId107" Type="http://schemas.openxmlformats.org/officeDocument/2006/relationships/hyperlink" Target="https://dailymed.nlm.nih.gov/dailymed/search.cfm?labeltype=all&amp;query=acetazolamide" TargetMode="External"/><Relationship Id="rId108" Type="http://schemas.openxmlformats.org/officeDocument/2006/relationships/hyperlink" Target="https://dailymed.nlm.nih.gov/dailymed/search.cfm?labeltype=all&amp;query=amikacin" TargetMode="External"/><Relationship Id="rId109" Type="http://schemas.openxmlformats.org/officeDocument/2006/relationships/hyperlink" Target="https://dailymed.nlm.nih.gov/dailymed/search.cfm?labeltype=all&amp;query=ampicillin" TargetMode="External"/><Relationship Id="rId110" Type="http://schemas.openxmlformats.org/officeDocument/2006/relationships/hyperlink" Target="https://dailymed.nlm.nih.gov/dailymed/search.cfm?labeltype=all&amp;query=azacitidine" TargetMode="External"/><Relationship Id="rId111" Type="http://schemas.openxmlformats.org/officeDocument/2006/relationships/hyperlink" Target="https://dailymed.nlm.nih.gov/dailymed/search.cfm?labeltype=all&amp;query=bortezomib" TargetMode="External"/><Relationship Id="rId112" Type="http://schemas.openxmlformats.org/officeDocument/2006/relationships/hyperlink" Target="https://dailymed.nlm.nih.gov/dailymed/search.cfm?labeltype=all&amp;query=colistimethate" TargetMode="External"/><Relationship Id="rId113" Type="http://schemas.openxmlformats.org/officeDocument/2006/relationships/hyperlink" Target="https://dailymed.nlm.nih.gov/dailymed/search.cfm?labeltype=all&amp;query=cyclophosphamide" TargetMode="External"/><Relationship Id="rId114" Type="http://schemas.openxmlformats.org/officeDocument/2006/relationships/hyperlink" Target="https://dailymed.nlm.nih.gov/dailymed/search.cfm?labeltype=all&amp;query=daptomycin" TargetMode="External"/><Relationship Id="rId115" Type="http://schemas.openxmlformats.org/officeDocument/2006/relationships/hyperlink" Target="https://dailymed.nlm.nih.gov/dailymed/search.cfm?labeltype=all&amp;query=eribulin" TargetMode="External"/><Relationship Id="rId116" Type="http://schemas.openxmlformats.org/officeDocument/2006/relationships/hyperlink" Target="https://dailymed.nlm.nih.gov/dailymed/search.cfm?labeltype=all&amp;query=esomeprazole+sodium" TargetMode="External"/><Relationship Id="rId117" Type="http://schemas.openxmlformats.org/officeDocument/2006/relationships/hyperlink" Target="https://dailymed.nlm.nih.gov/dailymed/search.cfm?labeltype=all&amp;query=isoproterenol" TargetMode="External"/><Relationship Id="rId118" Type="http://schemas.openxmlformats.org/officeDocument/2006/relationships/hyperlink" Target="https://dailymed.nlm.nih.gov/dailymed/search.cfm?labeltype=all&amp;query=melphalan+hydrochloride" TargetMode="External"/><Relationship Id="rId119" Type="http://schemas.openxmlformats.org/officeDocument/2006/relationships/hyperlink" Target="https://dailymed.nlm.nih.gov/dailymed/search.cfm?labeltype=all&amp;query=milrinone" TargetMode="External"/><Relationship Id="rId120" Type="http://schemas.openxmlformats.org/officeDocument/2006/relationships/hyperlink" Target="https://dailymed.nlm.nih.gov/dailymed/search.cfm?labeltype=all&amp;query=neostigmine" TargetMode="External"/><Relationship Id="rId121" Type="http://schemas.openxmlformats.org/officeDocument/2006/relationships/hyperlink" Target="https://dailymed.nlm.nih.gov/dailymed/search.cfm?labeltype=all&amp;query=ondansetron+injection" TargetMode="External"/><Relationship Id="rId122" Type="http://schemas.openxmlformats.org/officeDocument/2006/relationships/hyperlink" Target="https://dailymed.nlm.nih.gov/dailymed/search.cfm?labeltype=all&amp;query=pantoprazole+sodium+for+injection" TargetMode="External"/><Relationship Id="rId123" Type="http://schemas.openxmlformats.org/officeDocument/2006/relationships/hyperlink" Target="https://dailymed.nlm.nih.gov/dailymed/search.cfm?labeltype=all&amp;query=pentamidine" TargetMode="External"/><Relationship Id="rId124" Type="http://schemas.openxmlformats.org/officeDocument/2006/relationships/hyperlink" Target="https://dailymed.nlm.nih.gov/dailymed/search.cfm?labeltype=all&amp;query=plerixafor" TargetMode="External"/><Relationship Id="rId125" Type="http://schemas.openxmlformats.org/officeDocument/2006/relationships/hyperlink" Target="https://dailymed.nlm.nih.gov/dailymed/search.cfm?labeltype=all&amp;query=propofol" TargetMode="External"/><Relationship Id="rId126" Type="http://schemas.openxmlformats.org/officeDocument/2006/relationships/hyperlink" Target="https://dailymed.nlm.nih.gov/dailymed/search.cfm?labeltype=all&amp;query=sugammadex" TargetMode="External"/><Relationship Id="rId127" Type="http://schemas.openxmlformats.org/officeDocument/2006/relationships/hyperlink" Target="https://dailymed.nlm.nih.gov/dailymed/search.cfm?labeltype=all&amp;query=azacitidine" TargetMode="External"/><Relationship Id="rId128" Type="http://schemas.openxmlformats.org/officeDocument/2006/relationships/hyperlink" Target="https://dailymed.nlm.nih.gov/dailymed/search.cfm?labeltype=all&amp;query=bortezomib" TargetMode="External"/><Relationship Id="rId129" Type="http://schemas.openxmlformats.org/officeDocument/2006/relationships/hyperlink" Target="https://dailymed.nlm.nih.gov/dailymed/search.cfm?labeltype=all&amp;query=eribulin" TargetMode="External"/><Relationship Id="rId130" Type="http://schemas.openxmlformats.org/officeDocument/2006/relationships/hyperlink" Target="https://dailymed.nlm.nih.gov/dailymed/search.cfm?labeltype=all&amp;query=fulvestrant" TargetMode="External"/><Relationship Id="rId131" Type="http://schemas.openxmlformats.org/officeDocument/2006/relationships/hyperlink" Target="https://dailymed.nlm.nih.gov/dailymed/search.cfm?labeltype=all&amp;query=plerixafor" TargetMode="External"/><Relationship Id="rId132" Type="http://schemas.openxmlformats.org/officeDocument/2006/relationships/hyperlink" Target="https://dailymed.nlm.nih.gov/dailymed/search.cfm?labeltype=all&amp;query=sugammadex" TargetMode="External"/><Relationship Id="rId133" Type="http://schemas.openxmlformats.org/officeDocument/2006/relationships/hyperlink" Target="https://dailymed.nlm.nih.gov/dailymed/search.cfm?labeltype=all&amp;query=azacitidine" TargetMode="External"/><Relationship Id="rId134" Type="http://schemas.openxmlformats.org/officeDocument/2006/relationships/hyperlink" Target="https://dailymed.nlm.nih.gov/dailymed/search.cfm?labeltype=all&amp;query=bortezomib" TargetMode="External"/><Relationship Id="rId135" Type="http://schemas.openxmlformats.org/officeDocument/2006/relationships/hyperlink" Target="https://dailymed.nlm.nih.gov/dailymed/search.cfm?labeltype=all&amp;query=brivaracetam" TargetMode="External"/><Relationship Id="rId136" Type="http://schemas.openxmlformats.org/officeDocument/2006/relationships/hyperlink" Target="https://dailymed.nlm.nih.gov/dailymed/search.cfm?labeltype=all&amp;query=chlorpromazine" TargetMode="External"/><Relationship Id="rId137" Type="http://schemas.openxmlformats.org/officeDocument/2006/relationships/hyperlink" Target="https://dailymed.nlm.nih.gov/dailymed/search.cfm?labeltype=all&amp;query=cyanocobalamin+injection" TargetMode="External"/><Relationship Id="rId138" Type="http://schemas.openxmlformats.org/officeDocument/2006/relationships/hyperlink" Target="https://dailymed.nlm.nih.gov/dailymed/search.cfm?labeltype=all&amp;query=daptomycin" TargetMode="External"/><Relationship Id="rId139" Type="http://schemas.openxmlformats.org/officeDocument/2006/relationships/hyperlink" Target="https://dailymed.nlm.nih.gov/dailymed/search.cfm?labeltype=all&amp;query=glycopyrrolate+injection" TargetMode="External"/><Relationship Id="rId140" Type="http://schemas.openxmlformats.org/officeDocument/2006/relationships/hyperlink" Target="https://dailymed.nlm.nih.gov/dailymed/search.cfm?labeltype=all&amp;query=isoproterenol" TargetMode="External"/><Relationship Id="rId141" Type="http://schemas.openxmlformats.org/officeDocument/2006/relationships/hyperlink" Target="https://dailymed.nlm.nih.gov/dailymed/search.cfm?labeltype=all&amp;query=lidocaine+hydrochloride+injection" TargetMode="External"/><Relationship Id="rId142" Type="http://schemas.openxmlformats.org/officeDocument/2006/relationships/hyperlink" Target="https://dailymed.nlm.nih.gov/dailymed/search.cfm?labeltype=all&amp;query=magnesium+sulfate+injection" TargetMode="External"/><Relationship Id="rId143" Type="http://schemas.openxmlformats.org/officeDocument/2006/relationships/hyperlink" Target="https://dailymed.nlm.nih.gov/dailymed/search.cfm?labeltype=all&amp;query=melphalan+hydrochloride" TargetMode="External"/><Relationship Id="rId144" Type="http://schemas.openxmlformats.org/officeDocument/2006/relationships/hyperlink" Target="https://dailymed.nlm.nih.gov/dailymed/search.cfm?labeltype=all&amp;query=methotrexate+injection" TargetMode="External"/><Relationship Id="rId145" Type="http://schemas.openxmlformats.org/officeDocument/2006/relationships/hyperlink" Target="https://dailymed.nlm.nih.gov/dailymed/search.cfm?labeltype=all&amp;query=palonosetron" TargetMode="External"/><Relationship Id="rId146" Type="http://schemas.openxmlformats.org/officeDocument/2006/relationships/hyperlink" Target="https://dailymed.nlm.nih.gov/dailymed/search.cfm?labeltype=all&amp;query=pantoprazole+sodium+for+injection" TargetMode="External"/><Relationship Id="rId147" Type="http://schemas.openxmlformats.org/officeDocument/2006/relationships/hyperlink" Target="https://dailymed.nlm.nih.gov/dailymed/search.cfm?labeltype=all&amp;query=plerixafor" TargetMode="External"/><Relationship Id="rId148" Type="http://schemas.openxmlformats.org/officeDocument/2006/relationships/hyperlink" Target="https://dailymed.nlm.nih.gov/dailymed/search.cfm?labeltype=all&amp;query=propofol" TargetMode="External"/><Relationship Id="rId149" Type="http://schemas.openxmlformats.org/officeDocument/2006/relationships/hyperlink" Target="https://dailymed.nlm.nih.gov/dailymed/search.cfm?labeltype=all&amp;query=rocuronium" TargetMode="External"/><Relationship Id="rId150" Type="http://schemas.openxmlformats.org/officeDocument/2006/relationships/hyperlink" Target="https://dailymed.nlm.nih.gov/dailymed/search.cfm?labeltype=all&amp;query=sodium+bicarbonate+injection" TargetMode="External"/><Relationship Id="rId151" Type="http://schemas.openxmlformats.org/officeDocument/2006/relationships/hyperlink" Target="https://dailymed.nlm.nih.gov/dailymed/search.cfm?labeltype=all&amp;query=succinylcholine" TargetMode="External"/><Relationship Id="rId152" Type="http://schemas.openxmlformats.org/officeDocument/2006/relationships/hyperlink" Target="https://dailymed.nlm.nih.gov/dailymed/search.cfm?labeltype=all&amp;query=sugammadex" TargetMode="External"/><Relationship Id="rId153" Type="http://schemas.openxmlformats.org/officeDocument/2006/relationships/hyperlink" Target="https://mhraproducts4853.blob.core.windows.net/docs/45a310f5c66d09f20d9d1eb3a5d48c17c486ac7b" TargetMode="External"/><Relationship Id="rId154" Type="http://schemas.openxmlformats.org/officeDocument/2006/relationships/hyperlink" Target="https://dailymed.nlm.nih.gov/dailymed/search.cfm?labeltype=all&amp;query=verapamil+hydrochloride+injection" TargetMode="External"/><Relationship Id="rId155" Type="http://schemas.openxmlformats.org/officeDocument/2006/relationships/hyperlink" Target="https://dailymed.nlm.nih.gov/dailymed/search.cfm?labeltype=all&amp;query=amiodarone" TargetMode="External"/><Relationship Id="rId156" Type="http://schemas.openxmlformats.org/officeDocument/2006/relationships/hyperlink" Target="https://mhraproducts4853.blob.core.windows.net/docs/dd5428de28a35789b58d7a7229157959b1e135fb" TargetMode="External"/><Relationship Id="rId157" Type="http://schemas.openxmlformats.org/officeDocument/2006/relationships/hyperlink" Target="https://dailymed.nlm.nih.gov/dailymed/search.cfm?labeltype=all&amp;query=argatroban" TargetMode="External"/><Relationship Id="rId158" Type="http://schemas.openxmlformats.org/officeDocument/2006/relationships/hyperlink" Target="https://mhraproducts4853.blob.core.windows.net/docs/924d70784a8c922753ed49a78a38c605f536521c" TargetMode="External"/><Relationship Id="rId159" Type="http://schemas.openxmlformats.org/officeDocument/2006/relationships/hyperlink" Target="https://dailymed.nlm.nih.gov/dailymed/search.cfm?labeltype=all&amp;query=atropine" TargetMode="External"/><Relationship Id="rId160" Type="http://schemas.openxmlformats.org/officeDocument/2006/relationships/hyperlink" Target="https://dailymed.nlm.nih.gov/dailymed/search.cfm?labeltype=all&amp;query=azacitidine" TargetMode="External"/><Relationship Id="rId161" Type="http://schemas.openxmlformats.org/officeDocument/2006/relationships/hyperlink" Target="https://dailymed.nlm.nih.gov/dailymed/search.cfm?labeltype=all&amp;query=bivalirudin" TargetMode="External"/><Relationship Id="rId162" Type="http://schemas.openxmlformats.org/officeDocument/2006/relationships/hyperlink" Target="https://dailymed.nlm.nih.gov/dailymed/search.cfm?labeltype=all&amp;query=bleomycin" TargetMode="External"/><Relationship Id="rId163" Type="http://schemas.openxmlformats.org/officeDocument/2006/relationships/hyperlink" Target="https://dailymed.nlm.nih.gov/dailymed/search.cfm?labeltype=all&amp;query=bortezomib" TargetMode="External"/><Relationship Id="rId164" Type="http://schemas.openxmlformats.org/officeDocument/2006/relationships/hyperlink" Target="https://dailymed.nlm.nih.gov/dailymed/search.cfm?labeltype=all&amp;query=cefepime" TargetMode="External"/><Relationship Id="rId165" Type="http://schemas.openxmlformats.org/officeDocument/2006/relationships/hyperlink" Target="https://dailymed.nlm.nih.gov/dailymed/search.cfm?labeltype=all&amp;query=ceftriaxone" TargetMode="External"/><Relationship Id="rId166" Type="http://schemas.openxmlformats.org/officeDocument/2006/relationships/hyperlink" Target="https://dailymed.nlm.nih.gov/dailymed/search.cfm?labeltype=all&amp;query=cisatracurium" TargetMode="External"/><Relationship Id="rId167" Type="http://schemas.openxmlformats.org/officeDocument/2006/relationships/hyperlink" Target="https://dailymed.nlm.nih.gov/dailymed/search.cfm?labeltype=all&amp;query=colistimethate" TargetMode="External"/><Relationship Id="rId168" Type="http://schemas.openxmlformats.org/officeDocument/2006/relationships/hyperlink" Target="https://dailymed.nlm.nih.gov/dailymed/search.cfm?labeltype=all&amp;query=cyclophosphamide" TargetMode="External"/><Relationship Id="rId169" Type="http://schemas.openxmlformats.org/officeDocument/2006/relationships/hyperlink" Target="https://dailymed.nlm.nih.gov/dailymed/search.cfm?labeltype=all&amp;query=cytarabine" TargetMode="External"/><Relationship Id="rId170" Type="http://schemas.openxmlformats.org/officeDocument/2006/relationships/hyperlink" Target="https://dailymed.nlm.nih.gov/dailymed/search.cfm?labeltype=all&amp;query=daptomycin" TargetMode="External"/><Relationship Id="rId171" Type="http://schemas.openxmlformats.org/officeDocument/2006/relationships/hyperlink" Target="https://dailymed.nlm.nih.gov/dailymed/search.cfm?labeltype=all&amp;query=degarelix" TargetMode="External"/><Relationship Id="rId172" Type="http://schemas.openxmlformats.org/officeDocument/2006/relationships/hyperlink" Target="https://dailymed.nlm.nih.gov/dailymed/search.cfm?labeltype=all&amp;query=denosumab" TargetMode="External"/><Relationship Id="rId173" Type="http://schemas.openxmlformats.org/officeDocument/2006/relationships/hyperlink" Target="https://dailymed.nlm.nih.gov/dailymed/search.cfm?labeltype=all&amp;query=doxorubicin" TargetMode="External"/><Relationship Id="rId174" Type="http://schemas.openxmlformats.org/officeDocument/2006/relationships/hyperlink" Target="https://dailymed.nlm.nih.gov/dailymed/search.cfm?labeltype=all&amp;query=epinephrine+injection" TargetMode="External"/><Relationship Id="rId175" Type="http://schemas.openxmlformats.org/officeDocument/2006/relationships/hyperlink" Target="https://dailymed.nlm.nih.gov/dailymed/search.cfm?labeltype=all&amp;query=epirubicin" TargetMode="External"/><Relationship Id="rId176" Type="http://schemas.openxmlformats.org/officeDocument/2006/relationships/hyperlink" Target="https://dailymed.nlm.nih.gov/dailymed/search.cfm?labeltype=all&amp;query=eptifibatide" TargetMode="External"/><Relationship Id="rId177" Type="http://schemas.openxmlformats.org/officeDocument/2006/relationships/hyperlink" Target="https://dailymed.nlm.nih.gov/dailymed/search.cfm?labeltype=all&amp;query=eribulin" TargetMode="External"/><Relationship Id="rId178" Type="http://schemas.openxmlformats.org/officeDocument/2006/relationships/hyperlink" Target="https://dailymed.nlm.nih.gov/dailymed/search.cfm?labeltype=all&amp;query=esomeprazole+sodium" TargetMode="External"/><Relationship Id="rId179" Type="http://schemas.openxmlformats.org/officeDocument/2006/relationships/hyperlink" Target="https://mhraproducts4853.blob.core.windows.net/docs/b81aa75bd80aa32a460d7fedc1706f40ed574da1" TargetMode="External"/><Relationship Id="rId180" Type="http://schemas.openxmlformats.org/officeDocument/2006/relationships/hyperlink" Target="https://dailymed.nlm.nih.gov/dailymed/search.cfm?labeltype=all&amp;query=fludarabine" TargetMode="External"/><Relationship Id="rId181" Type="http://schemas.openxmlformats.org/officeDocument/2006/relationships/hyperlink" Target="https://dailymed.nlm.nih.gov/dailymed/search.cfm?labeltype=all&amp;query=fluorouracil+injection" TargetMode="External"/><Relationship Id="rId182" Type="http://schemas.openxmlformats.org/officeDocument/2006/relationships/hyperlink" Target="https://dailymed.nlm.nih.gov/dailymed/search.cfm?labeltype=all&amp;query=fulvestrant" TargetMode="External"/><Relationship Id="rId183" Type="http://schemas.openxmlformats.org/officeDocument/2006/relationships/hyperlink" Target="https://dailymed.nlm.nih.gov/dailymed/search.cfm?labeltype=all&amp;query=glycopyrrolate+injection" TargetMode="External"/><Relationship Id="rId184" Type="http://schemas.openxmlformats.org/officeDocument/2006/relationships/hyperlink" Target="https://mhraproducts4853.blob.core.windows.net/docs/263d32f81753d60c17b4d841aa3115ebcf5eabd7" TargetMode="External"/><Relationship Id="rId185" Type="http://schemas.openxmlformats.org/officeDocument/2006/relationships/hyperlink" Target="https://dailymed.nlm.nih.gov/dailymed/search.cfm?labeltype=all&amp;query=ibandronate+injection" TargetMode="External"/><Relationship Id="rId186" Type="http://schemas.openxmlformats.org/officeDocument/2006/relationships/hyperlink" Target="https://dailymed.nlm.nih.gov/dailymed/search.cfm?labeltype=all&amp;query=idarubicin" TargetMode="External"/><Relationship Id="rId187" Type="http://schemas.openxmlformats.org/officeDocument/2006/relationships/hyperlink" Target="https://dailymed.nlm.nih.gov/dailymed/search.cfm?labeltype=all&amp;query=leuprolide" TargetMode="External"/><Relationship Id="rId188" Type="http://schemas.openxmlformats.org/officeDocument/2006/relationships/hyperlink" Target="https://dailymed.nlm.nih.gov/dailymed/search.cfm?labeltype=all&amp;query=lidocaine+hydrochloride+injection" TargetMode="External"/><Relationship Id="rId189" Type="http://schemas.openxmlformats.org/officeDocument/2006/relationships/hyperlink" Target="https://dailymed.nlm.nih.gov/dailymed/search.cfm?labeltype=all&amp;query=melphalan+hydrochloride" TargetMode="External"/><Relationship Id="rId190" Type="http://schemas.openxmlformats.org/officeDocument/2006/relationships/hyperlink" Target="https://dailymed.nlm.nih.gov/dailymed/search.cfm?labeltype=all&amp;query=methotrexate+injection" TargetMode="External"/><Relationship Id="rId191" Type="http://schemas.openxmlformats.org/officeDocument/2006/relationships/hyperlink" Target="https://dailymed.nlm.nih.gov/dailymed/search.cfm?labeltype=all&amp;query=midazolam+injection" TargetMode="External"/><Relationship Id="rId192" Type="http://schemas.openxmlformats.org/officeDocument/2006/relationships/hyperlink" Target="https://dailymed.nlm.nih.gov/dailymed/search.cfm?labeltype=all&amp;query=mitomycin" TargetMode="External"/><Relationship Id="rId193" Type="http://schemas.openxmlformats.org/officeDocument/2006/relationships/hyperlink" Target="https://dailymed.nlm.nih.gov/dailymed/search.cfm?labeltype=all&amp;query=mitoxantrone" TargetMode="External"/><Relationship Id="rId194" Type="http://schemas.openxmlformats.org/officeDocument/2006/relationships/hyperlink" Target="https://dailymed.nlm.nih.gov/dailymed/search.cfm?labeltype=all&amp;query=naloxone+hydrochloride+injection" TargetMode="External"/><Relationship Id="rId195" Type="http://schemas.openxmlformats.org/officeDocument/2006/relationships/hyperlink" Target="https://dailymed.nlm.nih.gov/dailymed/search.cfm?labeltype=all&amp;query=ondansetron+injection" TargetMode="External"/><Relationship Id="rId196" Type="http://schemas.openxmlformats.org/officeDocument/2006/relationships/hyperlink" Target="https://dailymed.nlm.nih.gov/dailymed/search.cfm?labeltype=all&amp;query=paclitaxel" TargetMode="External"/><Relationship Id="rId197" Type="http://schemas.openxmlformats.org/officeDocument/2006/relationships/hyperlink" Target="https://dailymed.nlm.nih.gov/dailymed/search.cfm?labeltype=all&amp;query=palonosetron" TargetMode="External"/><Relationship Id="rId198" Type="http://schemas.openxmlformats.org/officeDocument/2006/relationships/hyperlink" Target="https://dailymed.nlm.nih.gov/dailymed/search.cfm?labeltype=all&amp;query=pantoprazole+sodium+for+injection" TargetMode="External"/><Relationship Id="rId199" Type="http://schemas.openxmlformats.org/officeDocument/2006/relationships/hyperlink" Target="https://dailymed.nlm.nih.gov/dailymed/search.cfm?labeltype=all&amp;query=paricalcitol+injection" TargetMode="External"/><Relationship Id="rId200" Type="http://schemas.openxmlformats.org/officeDocument/2006/relationships/hyperlink" Target="https://dailymed.nlm.nih.gov/dailymed/search.cfm?labeltype=all&amp;query=pegfilgrastim" TargetMode="External"/><Relationship Id="rId201" Type="http://schemas.openxmlformats.org/officeDocument/2006/relationships/hyperlink" Target="https://dailymed.nlm.nih.gov/dailymed/search.cfm?labeltype=all&amp;query=phenylephrine+hydrochloride+injection" TargetMode="External"/><Relationship Id="rId202" Type="http://schemas.openxmlformats.org/officeDocument/2006/relationships/hyperlink" Target="https://dailymed.nlm.nih.gov/dailymed/search.cfm?labeltype=all&amp;query=phenytoin+sodium+injection" TargetMode="External"/><Relationship Id="rId203" Type="http://schemas.openxmlformats.org/officeDocument/2006/relationships/hyperlink" Target="https://dailymed.nlm.nih.gov/dailymed/search.cfm?labeltype=all&amp;query=plerixafor" TargetMode="External"/><Relationship Id="rId204" Type="http://schemas.openxmlformats.org/officeDocument/2006/relationships/hyperlink" Target="https://dailymed.nlm.nih.gov/dailymed/search.cfm?labeltype=all&amp;query=progesterone+injection" TargetMode="External"/><Relationship Id="rId205" Type="http://schemas.openxmlformats.org/officeDocument/2006/relationships/hyperlink" Target="https://dailymed.nlm.nih.gov/dailymed/search.cfm?labeltype=all&amp;query=ranibizumab" TargetMode="External"/><Relationship Id="rId206" Type="http://schemas.openxmlformats.org/officeDocument/2006/relationships/hyperlink" Target="https://dailymed.nlm.nih.gov/dailymed/search.cfm?labeltype=all&amp;query=regadenoson" TargetMode="External"/><Relationship Id="rId207" Type="http://schemas.openxmlformats.org/officeDocument/2006/relationships/hyperlink" Target="https://dailymed.nlm.nih.gov/dailymed/search.cfm?labeltype=all&amp;query=rocuronium" TargetMode="External"/><Relationship Id="rId208" Type="http://schemas.openxmlformats.org/officeDocument/2006/relationships/hyperlink" Target="https://dailymed.nlm.nih.gov/dailymed/search.cfm?labeltype=all&amp;query=succinylcholine" TargetMode="External"/><Relationship Id="rId209" Type="http://schemas.openxmlformats.org/officeDocument/2006/relationships/hyperlink" Target="https://dailymed.nlm.nih.gov/dailymed/search.cfm?labeltype=all&amp;query=sugammadex" TargetMode="External"/><Relationship Id="rId210" Type="http://schemas.openxmlformats.org/officeDocument/2006/relationships/hyperlink" Target="https://mhraproducts4853.blob.core.windows.net/docs/45a310f5c66d09f20d9d1eb3a5d48c17c486ac7b" TargetMode="External"/><Relationship Id="rId211" Type="http://schemas.openxmlformats.org/officeDocument/2006/relationships/hyperlink" Target="https://dailymed.nlm.nih.gov/dailymed/search.cfm?labeltype=all&amp;query=tigecycline" TargetMode="External"/><Relationship Id="rId212" Type="http://schemas.openxmlformats.org/officeDocument/2006/relationships/hyperlink" Target="https://dailymed.nlm.nih.gov/dailymed/search.cfm?labeltype=all&amp;query=ustekinumab" TargetMode="External"/><Relationship Id="rId213" Type="http://schemas.openxmlformats.org/officeDocument/2006/relationships/hyperlink" Target="https://dailymed.nlm.nih.gov/dailymed/search.cfm?labeltype=all&amp;query=vincristine" TargetMode="External"/><Relationship Id="rId214" Type="http://schemas.openxmlformats.org/officeDocument/2006/relationships/hyperlink" Target="https://dailymed.nlm.nih.gov/dailymed/search.cfm?labeltype=all&amp;query=vinorelbine" TargetMode="External"/><Relationship Id="rId215" Type="http://schemas.openxmlformats.org/officeDocument/2006/relationships/hyperlink" Target="https://dailymed.nlm.nih.gov/dailymed/search.cfm?labeltype=all&amp;query=alfentanil" TargetMode="External"/><Relationship Id="rId216" Type="http://schemas.openxmlformats.org/officeDocument/2006/relationships/hyperlink" Target="https://dailymed.nlm.nih.gov/dailymed/search.cfm?labeltype=all&amp;query=cefazolin" TargetMode="External"/><Relationship Id="rId217" Type="http://schemas.openxmlformats.org/officeDocument/2006/relationships/hyperlink" Target="https://dailymed.nlm.nih.gov/dailymed/search.cfm?labeltype=all&amp;query=cisatracurium" TargetMode="External"/><Relationship Id="rId218" Type="http://schemas.openxmlformats.org/officeDocument/2006/relationships/hyperlink" Target="https://dailymed.nlm.nih.gov/dailymed/search.cfm?labeltype=all&amp;query=daptomycin" TargetMode="External"/><Relationship Id="rId219" Type="http://schemas.openxmlformats.org/officeDocument/2006/relationships/hyperlink" Target="https://dailymed.nlm.nih.gov/dailymed/search.cfm?labeltype=all&amp;query=diazepam+injection" TargetMode="External"/><Relationship Id="rId220" Type="http://schemas.openxmlformats.org/officeDocument/2006/relationships/hyperlink" Target="https://dailymed.nlm.nih.gov/dailymed/search.cfm?labeltype=all&amp;query=droperidol" TargetMode="External"/><Relationship Id="rId221" Type="http://schemas.openxmlformats.org/officeDocument/2006/relationships/hyperlink" Target="https://dailymed.nlm.nih.gov/dailymed/search.cfm?labeltype=all&amp;query=iron+sucrose" TargetMode="External"/><Relationship Id="rId222" Type="http://schemas.openxmlformats.org/officeDocument/2006/relationships/hyperlink" Target="https://dailymed.nlm.nih.gov/dailymed/search.cfm?labeltype=all&amp;query=ephedrine+sulfate+injection" TargetMode="External"/><Relationship Id="rId223" Type="http://schemas.openxmlformats.org/officeDocument/2006/relationships/hyperlink" Target="https://dailymed.nlm.nih.gov/dailymed/search.cfm?labeltype=all&amp;query=ertapenem" TargetMode="External"/><Relationship Id="rId224" Type="http://schemas.openxmlformats.org/officeDocument/2006/relationships/hyperlink" Target="https://dailymed.nlm.nih.gov/dailymed/search.cfm?labeltype=all&amp;query=famotidine+injection" TargetMode="External"/><Relationship Id="rId225" Type="http://schemas.openxmlformats.org/officeDocument/2006/relationships/hyperlink" Target="https://dailymed.nlm.nih.gov/dailymed/search.cfm?labeltype=all&amp;query=fentanyl+citrate+injection" TargetMode="External"/><Relationship Id="rId226" Type="http://schemas.openxmlformats.org/officeDocument/2006/relationships/hyperlink" Target="https://dailymed.nlm.nih.gov/dailymed/search.cfm?labeltype=all&amp;query=meropenem" TargetMode="External"/><Relationship Id="rId227" Type="http://schemas.openxmlformats.org/officeDocument/2006/relationships/hyperlink" Target="https://dailymed.nlm.nih.gov/dailymed/search.cfm?labeltype=all&amp;query=milrinone" TargetMode="External"/><Relationship Id="rId228" Type="http://schemas.openxmlformats.org/officeDocument/2006/relationships/hyperlink" Target="https://dailymed.nlm.nih.gov/dailymed/search.cfm?labeltype=all&amp;query=olanzapine+for+injection" TargetMode="External"/><Relationship Id="rId229" Type="http://schemas.openxmlformats.org/officeDocument/2006/relationships/hyperlink" Target="https://dailymed.nlm.nih.gov/dailymed/search.cfm?labeltype=all&amp;query=oxytocin" TargetMode="External"/><Relationship Id="rId230" Type="http://schemas.openxmlformats.org/officeDocument/2006/relationships/hyperlink" Target="https://dailymed.nlm.nih.gov/dailymed/search.cfm?labeltype=all&amp;query=remifentanil" TargetMode="External"/><Relationship Id="rId231" Type="http://schemas.openxmlformats.org/officeDocument/2006/relationships/hyperlink" Target="https://dailymed.nlm.nih.gov/dailymed/search.cfm?labeltype=all&amp;query=sugammadex" TargetMode="External"/><Relationship Id="rId232" Type="http://schemas.openxmlformats.org/officeDocument/2006/relationships/hyperlink" Target="https://mhraproducts4853.blob.core.windows.net/docs/45a310f5c66d09f20d9d1eb3a5d48c17c486ac7b" TargetMode="External"/><Relationship Id="rId233" Type="http://schemas.openxmlformats.org/officeDocument/2006/relationships/hyperlink" Target="https://dailymed.nlm.nih.gov/dailymed/search.cfm?labeltype=all&amp;query=testosterone+undecanoate" TargetMode="External"/><Relationship Id="rId234" Type="http://schemas.openxmlformats.org/officeDocument/2006/relationships/hyperlink" Target="https://dailymed.nlm.nih.gov/dailymed/search.cfm?labeltype=all&amp;query=bortezomib" TargetMode="External"/><Relationship Id="rId235" Type="http://schemas.openxmlformats.org/officeDocument/2006/relationships/hyperlink" Target="https://dailymed.nlm.nih.gov/dailymed/search.cfm?labeltype=all&amp;query=brivaracetam" TargetMode="External"/><Relationship Id="rId236" Type="http://schemas.openxmlformats.org/officeDocument/2006/relationships/hyperlink" Target="https://dailymed.nlm.nih.gov/dailymed/search.cfm?labeltype=all&amp;query=chlorpromazine" TargetMode="External"/><Relationship Id="rId237" Type="http://schemas.openxmlformats.org/officeDocument/2006/relationships/hyperlink" Target="https://dailymed.nlm.nih.gov/dailymed/search.cfm?labeltype=all&amp;query=fluphenazine+decanoate" TargetMode="External"/><Relationship Id="rId238" Type="http://schemas.openxmlformats.org/officeDocument/2006/relationships/hyperlink" Target="https://dailymed.nlm.nih.gov/dailymed/search.cfm?labeltype=all&amp;query=gadobutrol" TargetMode="External"/><Relationship Id="rId239" Type="http://schemas.openxmlformats.org/officeDocument/2006/relationships/hyperlink" Target="https://dailymed.nlm.nih.gov/dailymed/search.cfm?labeltype=all&amp;query=plerixafor" TargetMode="External"/><Relationship Id="rId240" Type="http://schemas.openxmlformats.org/officeDocument/2006/relationships/hyperlink" Target="https://dailymed.nlm.nih.gov/dailymed/search.cfm?labeltype=all&amp;query=sugammadex" TargetMode="External"/><Relationship Id="rId241" Type="http://schemas.openxmlformats.org/officeDocument/2006/relationships/hyperlink" Target="https://dailymed.nlm.nih.gov/dailymed/search.cfm?labeltype=all&amp;query=brivaracetam" TargetMode="External"/><Relationship Id="rId242" Type="http://schemas.openxmlformats.org/officeDocument/2006/relationships/hyperlink" Target="https://dailymed.nlm.nih.gov/dailymed/search.cfm?labeltype=all&amp;query=caffeine+citrate" TargetMode="External"/><Relationship Id="rId243" Type="http://schemas.openxmlformats.org/officeDocument/2006/relationships/hyperlink" Target="https://dailymed.nlm.nih.gov/dailymed/search.cfm?labeltype=all&amp;query=carboprost" TargetMode="External"/><Relationship Id="rId244" Type="http://schemas.openxmlformats.org/officeDocument/2006/relationships/hyperlink" Target="https://mhraproducts4853.blob.core.windows.net/docs/925bc4c8a8d4a507b955b633951acf444692f0ea" TargetMode="External"/><Relationship Id="rId245" Type="http://schemas.openxmlformats.org/officeDocument/2006/relationships/hyperlink" Target="https://dailymed.nlm.nih.gov/dailymed/search.cfm?labeltype=all&amp;query=diphenhydramine+injection" TargetMode="External"/><Relationship Id="rId246" Type="http://schemas.openxmlformats.org/officeDocument/2006/relationships/hyperlink" Target="https://dailymed.nlm.nih.gov/dailymed/search.cfm?labeltype=all&amp;query=isoproterenol" TargetMode="External"/><Relationship Id="rId247" Type="http://schemas.openxmlformats.org/officeDocument/2006/relationships/hyperlink" Target="https://dailymed.nlm.nih.gov/dailymed/search.cfm?labeltype=all&amp;query=levetiracetam+injection" TargetMode="External"/><Relationship Id="rId248" Type="http://schemas.openxmlformats.org/officeDocument/2006/relationships/hyperlink" Target="https://dailymed.nlm.nih.gov/dailymed/search.cfm?labeltype=all&amp;query=lincomycin" TargetMode="External"/><Relationship Id="rId249" Type="http://schemas.openxmlformats.org/officeDocument/2006/relationships/hyperlink" Target="https://dailymed.nlm.nih.gov/dailymed/search.cfm?labeltype=all&amp;query=succinylcholine" TargetMode="External"/><Relationship Id="rId250" Type="http://schemas.openxmlformats.org/officeDocument/2006/relationships/hyperlink" Target="https://dailymed.nlm.nih.gov/dailymed/search.cfm?labeltype=all&amp;query=verapamil+hydrochloride+injection" TargetMode="External"/><Relationship Id="rId251" Type="http://schemas.openxmlformats.org/officeDocument/2006/relationships/hyperlink" Target="https://dailymed.nlm.nih.gov/dailymed/search.cfm?labeltype=all&amp;query=bupivacaine" TargetMode="External"/><Relationship Id="rId252" Type="http://schemas.openxmlformats.org/officeDocument/2006/relationships/hyperlink" Target="https://dailymed.nlm.nih.gov/dailymed/search.cfm?labeltype=all&amp;query=carboprost" TargetMode="External"/><Relationship Id="rId253" Type="http://schemas.openxmlformats.org/officeDocument/2006/relationships/hyperlink" Target="https://dailymed.nlm.nih.gov/dailymed/search.cfm?labeltype=all&amp;query=meropenem" TargetMode="External"/><Relationship Id="rId254" Type="http://schemas.openxmlformats.org/officeDocument/2006/relationships/hyperlink" Target="https://dailymed.nlm.nih.gov/dailymed/search.cfm?labeltype=all&amp;query=methohexital" TargetMode="External"/><Relationship Id="rId255" Type="http://schemas.openxmlformats.org/officeDocument/2006/relationships/hyperlink" Target="https://dailymed.nlm.nih.gov/dailymed/search.cfm?labeltype=all&amp;query=nafcillin" TargetMode="External"/><Relationship Id="rId256" Type="http://schemas.openxmlformats.org/officeDocument/2006/relationships/hyperlink" Target="https://dailymed.nlm.nih.gov/dailymed/search.cfm?labeltype=all&amp;query=alfentanil" TargetMode="External"/><Relationship Id="rId257" Type="http://schemas.openxmlformats.org/officeDocument/2006/relationships/hyperlink" Target="https://dailymed.nlm.nih.gov/dailymed/search.cfm?labeltype=all&amp;query=baclofen" TargetMode="External"/><Relationship Id="rId258" Type="http://schemas.openxmlformats.org/officeDocument/2006/relationships/hyperlink" Target="https://dailymed.nlm.nih.gov/dailymed/search.cfm?labeltype=all&amp;query=cisatracurium" TargetMode="External"/><Relationship Id="rId259" Type="http://schemas.openxmlformats.org/officeDocument/2006/relationships/hyperlink" Target="https://dailymed.nlm.nih.gov/dailymed/search.cfm?labeltype=all&amp;query=etomidate" TargetMode="External"/><Relationship Id="rId260" Type="http://schemas.openxmlformats.org/officeDocument/2006/relationships/hyperlink" Target="https://dailymed.nlm.nih.gov/dailymed/search.cfm?labeltype=all&amp;query=fentanyl+citrate+injection" TargetMode="External"/><Relationship Id="rId261" Type="http://schemas.openxmlformats.org/officeDocument/2006/relationships/hyperlink" Target="https://dailymed.nlm.nih.gov/dailymed/search.cfm?labeltype=all&amp;query=remifentanil" TargetMode="External"/><Relationship Id="rId262" Type="http://schemas.openxmlformats.org/officeDocument/2006/relationships/hyperlink" Target="https://dailymed.nlm.nih.gov/dailymed/search.cfm?labeltype=all&amp;query=sugammadex" TargetMode="External"/><Relationship Id="rId263" Type="http://schemas.openxmlformats.org/officeDocument/2006/relationships/hyperlink" Target="https://dailymed.nlm.nih.gov/dailymed/search.cfm?labeltype=all&amp;query=cefepime" TargetMode="External"/><Relationship Id="rId264" Type="http://schemas.openxmlformats.org/officeDocument/2006/relationships/hyperlink" Target="https://dailymed.nlm.nih.gov/dailymed/search.cfm?labeltype=all&amp;query=ceftazidime" TargetMode="External"/><Relationship Id="rId265" Type="http://schemas.openxmlformats.org/officeDocument/2006/relationships/hyperlink" Target="https://dailymed.nlm.nih.gov/dailymed/search.cfm?labeltype=all&amp;query=hydrocortisone+sodium+succinate" TargetMode="External"/><Relationship Id="rId266" Type="http://schemas.openxmlformats.org/officeDocument/2006/relationships/hyperlink" Target="https://dailymed.nlm.nih.gov/dailymed/search.cfm?labeltype=all&amp;query=meropenem" TargetMode="External"/><Relationship Id="rId267" Type="http://schemas.openxmlformats.org/officeDocument/2006/relationships/hyperlink" Target="https://dailymed.nlm.nih.gov/dailymed/search.cfm?labeltype=all&amp;query=piperacillin+and+tazobactam" TargetMode="External"/><Relationship Id="rId268" Type="http://schemas.openxmlformats.org/officeDocument/2006/relationships/hyperlink" Target="https://dailymed.nlm.nih.gov/dailymed/search.cfm?labeltype=all&amp;query=aripiprazole" TargetMode="External"/><Relationship Id="rId269" Type="http://schemas.openxmlformats.org/officeDocument/2006/relationships/hyperlink" Target="https://dailymed.nlm.nih.gov/dailymed/search.cfm?labeltype=all&amp;query=bortezomib" TargetMode="External"/><Relationship Id="rId270" Type="http://schemas.openxmlformats.org/officeDocument/2006/relationships/hyperlink" Target="https://dailymed.nlm.nih.gov/dailymed/search.cfm?labeltype=all&amp;query=chlorothiazide" TargetMode="External"/><Relationship Id="rId271" Type="http://schemas.openxmlformats.org/officeDocument/2006/relationships/hyperlink" Target="https://dailymed.nlm.nih.gov/dailymed/search.cfm?labeltype=all&amp;query=doxorubicin" TargetMode="External"/><Relationship Id="rId272" Type="http://schemas.openxmlformats.org/officeDocument/2006/relationships/hyperlink" Target="https://dailymed.nlm.nih.gov/dailymed/search.cfm?labeltype=all&amp;query=esomeprazole+sodium" TargetMode="External"/><Relationship Id="rId273" Type="http://schemas.openxmlformats.org/officeDocument/2006/relationships/hyperlink" Target="https://dailymed.nlm.nih.gov/dailymed/search.cfm?labeltype=all&amp;query=fulvestrant" TargetMode="External"/><Relationship Id="rId274" Type="http://schemas.openxmlformats.org/officeDocument/2006/relationships/hyperlink" Target="https://dailymed.nlm.nih.gov/dailymed/search.cfm?labeltype=all&amp;query=melphalan+hydrochloride" TargetMode="External"/><Relationship Id="rId275" Type="http://schemas.openxmlformats.org/officeDocument/2006/relationships/hyperlink" Target="https://dailymed.nlm.nih.gov/dailymed/search.cfm?labeltype=all&amp;query=meropenem" TargetMode="External"/><Relationship Id="rId276" Type="http://schemas.openxmlformats.org/officeDocument/2006/relationships/hyperlink" Target="https://dailymed.nlm.nih.gov/dailymed/search.cfm?labeltype=all&amp;query=octreotide" TargetMode="External"/><Relationship Id="rId277" Type="http://schemas.openxmlformats.org/officeDocument/2006/relationships/hyperlink" Target="https://dailymed.nlm.nih.gov/dailymed/search.cfm?labeltype=all&amp;query=pantoprazole+sodium+for+injection" TargetMode="External"/><Relationship Id="rId278" Type="http://schemas.openxmlformats.org/officeDocument/2006/relationships/hyperlink" Target="https://dailymed.nlm.nih.gov/dailymed/search.cfm?labeltype=all&amp;query=paricalcitol+injection" TargetMode="External"/><Relationship Id="rId279" Type="http://schemas.openxmlformats.org/officeDocument/2006/relationships/hyperlink" Target="https://dailymed.nlm.nih.gov/dailymed/search.cfm?labeltype=all&amp;query=sugammadex" TargetMode="External"/><Relationship Id="rId280" Type="http://schemas.openxmlformats.org/officeDocument/2006/relationships/hyperlink" Target="https://mhraproducts4853.blob.core.windows.net/docs/45a310f5c66d09f20d9d1eb3a5d48c17c486ac7b" TargetMode="External"/><Relationship Id="rId281" Type="http://schemas.openxmlformats.org/officeDocument/2006/relationships/hyperlink" Target="https://dailymed.nlm.nih.gov/dailymed/search.cfm?labeltype=all&amp;query=terlipressin" TargetMode="External"/><Relationship Id="rId282" Type="http://schemas.openxmlformats.org/officeDocument/2006/relationships/hyperlink" Target="https://dailymed.nlm.nih.gov/dailymed/search.cfm?labeltype=all&amp;query=testosterone+cypionate" TargetMode="External"/><Relationship Id="rId283" Type="http://schemas.openxmlformats.org/officeDocument/2006/relationships/hyperlink" Target="https://dailymed.nlm.nih.gov/dailymed/search.cfm?labeltype=all&amp;query=testosterone+undecanoate" TargetMode="External"/><Relationship Id="rId284" Type="http://schemas.openxmlformats.org/officeDocument/2006/relationships/hyperlink" Target="https://dailymed.nlm.nih.gov/dailymed/search.cfm?labeltype=all&amp;query=vecuronium" TargetMode="External"/><Relationship Id="rId285" Type="http://schemas.openxmlformats.org/officeDocument/2006/relationships/hyperlink" Target="https://dailymed.nlm.nih.gov/dailymed/search.cfm?labeltype=all&amp;query=fulvestrant" TargetMode="External"/><Relationship Id="rId286" Type="http://schemas.openxmlformats.org/officeDocument/2006/relationships/hyperlink" Target="https://dailymed.nlm.nih.gov/dailymed/search.cfm?labeltype=all&amp;query=granisetron" TargetMode="External"/><Relationship Id="rId287" Type="http://schemas.openxmlformats.org/officeDocument/2006/relationships/hyperlink" Target="https://dailymed.nlm.nih.gov/dailymed/search.cfm?labeltype=all&amp;query=levetiracetam+injection" TargetMode="External"/><Relationship Id="rId288" Type="http://schemas.openxmlformats.org/officeDocument/2006/relationships/hyperlink" Target="https://dailymed.nlm.nih.gov/dailymed/search.cfm?labeltype=all&amp;query=meropenem" TargetMode="External"/><Relationship Id="rId289" Type="http://schemas.openxmlformats.org/officeDocument/2006/relationships/hyperlink" Target="https://dailymed.nlm.nih.gov/dailymed/search.cfm?labeltype=all&amp;query=paliperidone+palmitate" TargetMode="External"/><Relationship Id="rId290" Type="http://schemas.openxmlformats.org/officeDocument/2006/relationships/hyperlink" Target="https://dailymed.nlm.nih.gov/dailymed/search.cfm?labeltype=all&amp;query=rocuronium" TargetMode="External"/><Relationship Id="rId291" Type="http://schemas.openxmlformats.org/officeDocument/2006/relationships/hyperlink" Target="https://dailymed.nlm.nih.gov/dailymed/search.cfm?labeltype=all&amp;query=voriconazole" TargetMode="External"/><Relationship Id="rId292" Type="http://schemas.openxmlformats.org/officeDocument/2006/relationships/hyperlink" Target="https://dailymed.nlm.nih.gov/dailymed/search.cfm?labeltype=all&amp;query=bleomycin" TargetMode="External"/><Relationship Id="rId293" Type="http://schemas.openxmlformats.org/officeDocument/2006/relationships/hyperlink" Target="https://dailymed.nlm.nih.gov/dailymed/search.cfm?labeltype=all&amp;query=ceftazidime" TargetMode="External"/><Relationship Id="rId294" Type="http://schemas.openxmlformats.org/officeDocument/2006/relationships/hyperlink" Target="https://dailymed.nlm.nih.gov/dailymed/search.cfm?labeltype=all&amp;query=ceftriaxone" TargetMode="External"/><Relationship Id="rId295" Type="http://schemas.openxmlformats.org/officeDocument/2006/relationships/hyperlink" Target="https://dailymed.nlm.nih.gov/dailymed/search.cfm?labeltype=all&amp;query=meropenem" TargetMode="External"/><Relationship Id="rId296" Type="http://schemas.openxmlformats.org/officeDocument/2006/relationships/hyperlink" Target="https://dailymed.nlm.nih.gov/dailymed/search.cfm?labeltype=all&amp;query=adenosine" TargetMode="External"/><Relationship Id="rId297" Type="http://schemas.openxmlformats.org/officeDocument/2006/relationships/hyperlink" Target="https://dailymed.nlm.nih.gov/dailymed/search.cfm?labeltype=all&amp;query=amikacin" TargetMode="External"/><Relationship Id="rId298" Type="http://schemas.openxmlformats.org/officeDocument/2006/relationships/hyperlink" Target="https://dailymed.nlm.nih.gov/dailymed/search.cfm?labeltype=all&amp;query=caffeine+citrate" TargetMode="External"/><Relationship Id="rId299" Type="http://schemas.openxmlformats.org/officeDocument/2006/relationships/hyperlink" Target="https://dailymed.nlm.nih.gov/dailymed/search.cfm?labeltype=all&amp;query=ceftazidime" TargetMode="External"/><Relationship Id="rId300" Type="http://schemas.openxmlformats.org/officeDocument/2006/relationships/hyperlink" Target="https://dailymed.nlm.nih.gov/dailymed/search.cfm?labeltype=all&amp;query=ceftriaxone" TargetMode="External"/><Relationship Id="rId301" Type="http://schemas.openxmlformats.org/officeDocument/2006/relationships/hyperlink" Target="https://mhraproducts4853.blob.core.windows.net/docs/468e5b0a68665f15d3d30982865bab14c0c28588" TargetMode="External"/><Relationship Id="rId302" Type="http://schemas.openxmlformats.org/officeDocument/2006/relationships/hyperlink" Target="https://dailymed.nlm.nih.gov/dailymed/search.cfm?labeltype=all&amp;query=daptomycin" TargetMode="External"/><Relationship Id="rId303" Type="http://schemas.openxmlformats.org/officeDocument/2006/relationships/hyperlink" Target="https://dailymed.nlm.nih.gov/dailymed/search.cfm?labeltype=all&amp;query=haloperidol+lactate" TargetMode="External"/><Relationship Id="rId304" Type="http://schemas.openxmlformats.org/officeDocument/2006/relationships/hyperlink" Target="https://mhraproducts4853.blob.core.windows.net/docs/04229266643a571563250bd73f7732fba1560cbb" TargetMode="External"/><Relationship Id="rId305" Type="http://schemas.openxmlformats.org/officeDocument/2006/relationships/hyperlink" Target="https://mhraproducts4853.blob.core.windows.net/docs/a59d41ba1edb90eeb695d447eeb35327147df3f6" TargetMode="External"/><Relationship Id="rId306" Type="http://schemas.openxmlformats.org/officeDocument/2006/relationships/hyperlink" Target="https://mhraproducts4853.blob.core.windows.net/docs/a53d61c3e391300f35f11ce363395170f019a5c5" TargetMode="External"/><Relationship Id="rId307" Type="http://schemas.openxmlformats.org/officeDocument/2006/relationships/hyperlink" Target="https://dailymed.nlm.nih.gov/dailymed/search.cfm?labeltype=all&amp;query=milrinone" TargetMode="External"/><Relationship Id="rId308" Type="http://schemas.openxmlformats.org/officeDocument/2006/relationships/hyperlink" Target="https://dailymed.nlm.nih.gov/dailymed/search.cfm?labeltype=all&amp;query=morphine+sulfate+injection" TargetMode="External"/><Relationship Id="rId309" Type="http://schemas.openxmlformats.org/officeDocument/2006/relationships/hyperlink" Target="https://dailymed.nlm.nih.gov/dailymed/search.cfm?labeltype=all&amp;query=ondansetron+injection" TargetMode="External"/><Relationship Id="rId310" Type="http://schemas.openxmlformats.org/officeDocument/2006/relationships/hyperlink" Target="https://dailymed.nlm.nih.gov/dailymed/search.cfm?labeltype=all&amp;query=oxacillin" TargetMode="External"/><Relationship Id="rId311" Type="http://schemas.openxmlformats.org/officeDocument/2006/relationships/hyperlink" Target="https://dailymed.nlm.nih.gov/dailymed/search.cfm?labeltype=all&amp;query=protamine" TargetMode="External"/><Relationship Id="rId312" Type="http://schemas.openxmlformats.org/officeDocument/2006/relationships/hyperlink" Target="https://dailymed.nlm.nih.gov/dailymed/search.cfm?labeltype=all&amp;query=remifentanil" TargetMode="External"/><Relationship Id="rId313" Type="http://schemas.openxmlformats.org/officeDocument/2006/relationships/hyperlink" Target="https://dailymed.nlm.nih.gov/dailymed/search.cfm?labeltype=all&amp;query=valproate+sodium+injection" TargetMode="External"/><Relationship Id="rId314" Type="http://schemas.openxmlformats.org/officeDocument/2006/relationships/hyperlink" Target="https://dailymed.nlm.nih.gov/dailymed/search.cfm?labeltype=all&amp;query=sugammadex" TargetMode="External"/><Relationship Id="rId315" Type="http://schemas.openxmlformats.org/officeDocument/2006/relationships/hyperlink" Target="https://dailymed.nlm.nih.gov/dailymed/search.cfm?labeltype=all&amp;query=vancomycin+injection" TargetMode="External"/><Relationship Id="rId316" Type="http://schemas.openxmlformats.org/officeDocument/2006/relationships/hyperlink" Target="https://dailymed.nlm.nih.gov/dailymed/search.cfm?labeltype=all&amp;query=acetazolamide" TargetMode="External"/><Relationship Id="rId317" Type="http://schemas.openxmlformats.org/officeDocument/2006/relationships/hyperlink" Target="https://dailymed.nlm.nih.gov/dailymed/search.cfm?labeltype=all&amp;query=bortezomib" TargetMode="External"/><Relationship Id="rId318" Type="http://schemas.openxmlformats.org/officeDocument/2006/relationships/hyperlink" Target="https://dailymed.nlm.nih.gov/dailymed/search.cfm?labeltype=all&amp;query=ceftriaxone" TargetMode="External"/><Relationship Id="rId319" Type="http://schemas.openxmlformats.org/officeDocument/2006/relationships/hyperlink" Target="https://dailymed.nlm.nih.gov/dailymed/search.cfm?labeltype=all&amp;query=chlorpromazine" TargetMode="External"/><Relationship Id="rId320" Type="http://schemas.openxmlformats.org/officeDocument/2006/relationships/hyperlink" Target="https://dailymed.nlm.nih.gov/dailymed/search.cfm?labeltype=all&amp;query=cisatracurium" TargetMode="External"/><Relationship Id="rId321" Type="http://schemas.openxmlformats.org/officeDocument/2006/relationships/hyperlink" Target="https://dailymed.nlm.nih.gov/dailymed/search.cfm?labeltype=all&amp;query=cyanocobalamin+injection" TargetMode="External"/><Relationship Id="rId322" Type="http://schemas.openxmlformats.org/officeDocument/2006/relationships/hyperlink" Target="https://dailymed.nlm.nih.gov/dailymed/search.cfm?labeltype=all&amp;query=ethacrynate+sodium" TargetMode="External"/><Relationship Id="rId323" Type="http://schemas.openxmlformats.org/officeDocument/2006/relationships/hyperlink" Target="https://dailymed.nlm.nih.gov/dailymed/search.cfm?labeltype=all&amp;query=etomidate" TargetMode="External"/><Relationship Id="rId324" Type="http://schemas.openxmlformats.org/officeDocument/2006/relationships/hyperlink" Target="https://dailymed.nlm.nih.gov/dailymed/search.cfm?labeltype=all&amp;query=fluorescein" TargetMode="External"/><Relationship Id="rId325" Type="http://schemas.openxmlformats.org/officeDocument/2006/relationships/hyperlink" Target="https://dailymed.nlm.nih.gov/dailymed/search.cfm?labeltype=all&amp;query=fulvestrant" TargetMode="External"/><Relationship Id="rId326" Type="http://schemas.openxmlformats.org/officeDocument/2006/relationships/hyperlink" Target="https://dailymed.nlm.nih.gov/dailymed/search.cfm?labeltype=all&amp;query=haloperidol+decanoate" TargetMode="External"/><Relationship Id="rId327" Type="http://schemas.openxmlformats.org/officeDocument/2006/relationships/hyperlink" Target="https://dailymed.nlm.nih.gov/dailymed/search.cfm?labeltype=all&amp;query=hydrocortisone+sodium+succinate" TargetMode="External"/><Relationship Id="rId328" Type="http://schemas.openxmlformats.org/officeDocument/2006/relationships/hyperlink" Target="https://dailymed.nlm.nih.gov/dailymed/search.cfm?labeltype=all&amp;query=indocyanine+green" TargetMode="External"/><Relationship Id="rId329" Type="http://schemas.openxmlformats.org/officeDocument/2006/relationships/hyperlink" Target="https://dailymed.nlm.nih.gov/dailymed/search.cfm?labeltype=all&amp;query=iron+sucrose" TargetMode="External"/><Relationship Id="rId330" Type="http://schemas.openxmlformats.org/officeDocument/2006/relationships/hyperlink" Target="https://dailymed.nlm.nih.gov/dailymed/search.cfm?labeltype=all&amp;query=ondansetron+injection" TargetMode="External"/><Relationship Id="rId331" Type="http://schemas.openxmlformats.org/officeDocument/2006/relationships/hyperlink" Target="https://dailymed.nlm.nih.gov/dailymed/search.cfm?labeltype=all&amp;query=succinylcholine" TargetMode="External"/><Relationship Id="rId332" Type="http://schemas.openxmlformats.org/officeDocument/2006/relationships/hyperlink" Target="https://dailymed.nlm.nih.gov/dailymed/search.cfm?labeltype=all&amp;query=sugammadex" TargetMode="External"/><Relationship Id="rId333" Type="http://schemas.openxmlformats.org/officeDocument/2006/relationships/hyperlink" Target="https://dailymed.nlm.nih.gov/dailymed/search.cfm?labeltype=all&amp;query=verapamil+hydrochloride+injection" TargetMode="External"/><Relationship Id="rId334"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hyperlink" Target="https://www.drugs.com/price-guide/carboprost" TargetMode="External"/><Relationship Id="rId2" Type="http://schemas.openxmlformats.org/officeDocument/2006/relationships/hyperlink" Target="https://www.cms.gov/files/zip/october-2026-medicare-part-b-payment-limit-files-final.zip" TargetMode="External"/><Relationship Id="rId3" Type="http://schemas.openxmlformats.org/officeDocument/2006/relationships/hyperlink" Target="https://www.drugs.com/price-guide/methotrexate" TargetMode="External"/><Relationship Id="rId4" Type="http://schemas.openxmlformats.org/officeDocument/2006/relationships/hyperlink" Target="https://www.drugs.com/price-guide/methotrexate" TargetMode="External"/><Relationship Id="rId5" Type="http://schemas.openxmlformats.org/officeDocument/2006/relationships/hyperlink" Target="https://www.cms.gov/files/zip/october-2026-medicare-part-b-payment-limit-files-final.zip" TargetMode="External"/><Relationship Id="rId6" Type="http://schemas.openxmlformats.org/officeDocument/2006/relationships/hyperlink" Target="https://www.cms.gov/files/zip/october-2026-medicare-part-b-payment-limit-files-final.zip" TargetMode="External"/><Relationship Id="rId7" Type="http://schemas.openxmlformats.org/officeDocument/2006/relationships/hyperlink" Target="https://www.drugs.com/price-guide/fulvestrant" TargetMode="External"/><Relationship Id="rId8" Type="http://schemas.openxmlformats.org/officeDocument/2006/relationships/hyperlink" Target="https://www.medicinpriser.dk/Default.aspx?VirksomtStof=Carboprost&amp;lng=2" TargetMode="External"/><Relationship Id="rId9" Type="http://schemas.openxmlformats.org/officeDocument/2006/relationships/hyperlink" Target="https://www.drugs.com/price-guide/carboprost" TargetMode="External"/><Relationship Id="rId10" Type="http://schemas.openxmlformats.org/officeDocument/2006/relationships/hyperlink" Target="https://www.drugs.com/price-guide/chlorpromazine" TargetMode="External"/><Relationship Id="rId11" Type="http://schemas.openxmlformats.org/officeDocument/2006/relationships/hyperlink" Target="https://www.drugs.com/price-guide/dactinomycin" TargetMode="External"/><Relationship Id="rId12" Type="http://schemas.openxmlformats.org/officeDocument/2006/relationships/hyperlink" Target="https://www.drugs.com/price-guide/eptifibatide" TargetMode="External"/><Relationship Id="rId13" Type="http://schemas.openxmlformats.org/officeDocument/2006/relationships/hyperlink" Target="https://www.drugs.com/price-guide/esmolol" TargetMode="External"/><Relationship Id="rId14" Type="http://schemas.openxmlformats.org/officeDocument/2006/relationships/hyperlink" Target="https://www.drugs.com/price-guide/fluorouracil" TargetMode="External"/><Relationship Id="rId15" Type="http://schemas.openxmlformats.org/officeDocument/2006/relationships/hyperlink" Target="https://www.drugs.com/price-guide/fluphenazine" TargetMode="External"/><Relationship Id="rId16" Type="http://schemas.openxmlformats.org/officeDocument/2006/relationships/hyperlink" Target="https://www.drugs.com/price-guide/medroxyprogesterone" TargetMode="External"/><Relationship Id="rId17" Type="http://schemas.openxmlformats.org/officeDocument/2006/relationships/hyperlink" Target="https://www.mountainside-medical.com/products/medroxyprogesterone-acetate-injection-prefilled-syringe-150-mg-ml" TargetMode="External"/><Relationship Id="rId18" Type="http://schemas.openxmlformats.org/officeDocument/2006/relationships/hyperlink" Target="https://www.drugs.com/price-guide/methotrexate" TargetMode="External"/><Relationship Id="rId19" Type="http://schemas.openxmlformats.org/officeDocument/2006/relationships/hyperlink" Target="https://www.drugs.com/price-guide/methotrexate" TargetMode="External"/><Relationship Id="rId20" Type="http://schemas.openxmlformats.org/officeDocument/2006/relationships/hyperlink" Target="https://www.drugs.com/price-guide/methotrexate" TargetMode="External"/><Relationship Id="rId21" Type="http://schemas.openxmlformats.org/officeDocument/2006/relationships/hyperlink" Target="https://www.cms.gov/files/zip/october-2026-medicare-part-b-payment-limit-files-final.zip" TargetMode="External"/><Relationship Id="rId22" Type="http://schemas.openxmlformats.org/officeDocument/2006/relationships/hyperlink" Target="https://www.cms.gov/files/zip/october-2026-medicare-part-b-payment-limit-files-final.zip" TargetMode="External"/><Relationship Id="rId23" Type="http://schemas.openxmlformats.org/officeDocument/2006/relationships/hyperlink" Target="https://www.drugs.com/price-guide/nafcillin" TargetMode="External"/><Relationship Id="rId24" Type="http://schemas.openxmlformats.org/officeDocument/2006/relationships/hyperlink" Target="https://www.drugs.com/price-guide/nafcillin" TargetMode="External"/><Relationship Id="rId25" Type="http://schemas.openxmlformats.org/officeDocument/2006/relationships/hyperlink" Target="https://www.drugs.com/price-guide/naloxone" TargetMode="External"/><Relationship Id="rId26" Type="http://schemas.openxmlformats.org/officeDocument/2006/relationships/hyperlink" Target="https://www.drugs.com/price-guide/oxacillin" TargetMode="External"/><Relationship Id="rId27" Type="http://schemas.openxmlformats.org/officeDocument/2006/relationships/hyperlink" Target="https://www.drugs.com/price-guide/progesterone" TargetMode="External"/><Relationship Id="rId28" Type="http://schemas.openxmlformats.org/officeDocument/2006/relationships/hyperlink" Target="https://www.drugs.com/price-guide/testosterone" TargetMode="External"/><Relationship Id="rId29" Type="http://schemas.openxmlformats.org/officeDocument/2006/relationships/hyperlink" Target="https://www.drugs.com/price-guide/testosterone" TargetMode="External"/><Relationship Id="rId30" Type="http://schemas.openxmlformats.org/officeDocument/2006/relationships/hyperlink" Target="https://www.drugs.com/price-guide/testosterone" TargetMode="External"/><Relationship Id="rId31" Type="http://schemas.openxmlformats.org/officeDocument/2006/relationships/hyperlink" Target="https://www.cms.gov/files/zip/october-2026-medicare-part-b-payment-limit-files-final.zip" TargetMode="External"/><Relationship Id="rId32" Type="http://schemas.openxmlformats.org/officeDocument/2006/relationships/hyperlink" Target="https://medicineprices.org.za/" TargetMode="External"/><Relationship Id="rId33" Type="http://schemas.openxmlformats.org/officeDocument/2006/relationships/hyperlink" Target="https://www.drugs.com/price-guide/verapamil" TargetMode="External"/><Relationship Id="rId34" Type="http://schemas.openxmlformats.org/officeDocument/2006/relationships/hyperlink" Target="https://www.drugs.com/price-guide/ertapenem" TargetMode="External"/><Relationship Id="rId35" Type="http://schemas.openxmlformats.org/officeDocument/2006/relationships/hyperlink" Target="https://www.drugs.com/price-guide/ibandronate" TargetMode="External"/><Relationship Id="rId36" Type="http://schemas.openxmlformats.org/officeDocument/2006/relationships/hyperlink" Target="https://www.drugs.com/price-guide/mesna" TargetMode="External"/><Relationship Id="rId37" Type="http://schemas.openxmlformats.org/officeDocument/2006/relationships/hyperlink" Target="https://www.drugs.com/price-guide/palonosetron" TargetMode="External"/><Relationship Id="rId38" Type="http://schemas.openxmlformats.org/officeDocument/2006/relationships/hyperlink" Target="https://www.drugs.com/price-guide/bortezomib" TargetMode="External"/><Relationship Id="rId39" Type="http://schemas.openxmlformats.org/officeDocument/2006/relationships/hyperlink" Target="https://www.drugs.com/price-guide/ropivacaine" TargetMode="External"/><Relationship Id="rId40" Type="http://schemas.openxmlformats.org/officeDocument/2006/relationships/hyperlink" Target="https://www.drugs.com/price-guide/ropivacaine" TargetMode="External"/><Relationship Id="rId41" Type="http://schemas.openxmlformats.org/officeDocument/2006/relationships/hyperlink" Target="https://www.drugs.com/price-guide/ropivacaine" TargetMode="External"/><Relationship Id="rId42" Type="http://schemas.openxmlformats.org/officeDocument/2006/relationships/hyperlink" Target="https://www.drugs.com/price-guide/ropivacaine" TargetMode="External"/><Relationship Id="rId43" Type="http://schemas.openxmlformats.org/officeDocument/2006/relationships/hyperlink" Target="https://www.drugs.com/price-guide/ropivacaine" TargetMode="External"/><Relationship Id="rId44" Type="http://schemas.openxmlformats.org/officeDocument/2006/relationships/hyperlink" Target="https://www.drugs.com/price-guide/ropivacaine" TargetMode="External"/><Relationship Id="rId45" Type="http://schemas.openxmlformats.org/officeDocument/2006/relationships/hyperlink" Target="https://www.drugs.com/price-guide/argatroban" TargetMode="External"/><Relationship Id="rId46" Type="http://schemas.openxmlformats.org/officeDocument/2006/relationships/hyperlink" Target="https://www.drugs.com/price-guide/cyclophosphamide" TargetMode="External"/><Relationship Id="rId47" Type="http://schemas.openxmlformats.org/officeDocument/2006/relationships/hyperlink" Target="https://www.drugs.com/price-guide/cyclophosphamide" TargetMode="External"/><Relationship Id="rId48" Type="http://schemas.openxmlformats.org/officeDocument/2006/relationships/hyperlink" Target="https://www.drugs.com/price-guide/cyclophosphamide" TargetMode="External"/><Relationship Id="rId49" Type="http://schemas.openxmlformats.org/officeDocument/2006/relationships/hyperlink" Target="https://www.drugs.com/price-guide/ephedrine" TargetMode="External"/><Relationship Id="rId50" Type="http://schemas.openxmlformats.org/officeDocument/2006/relationships/hyperlink" Target="https://www.cms.gov/files/zip/october-2026-medicare-part-b-payment-limit-files-final.zip" TargetMode="External"/><Relationship Id="rId51" Type="http://schemas.openxmlformats.org/officeDocument/2006/relationships/hyperlink" Target="https://www.drugs.com/price-guide/sildenafil" TargetMode="External"/><Relationship Id="rId52" Type="http://schemas.openxmlformats.org/officeDocument/2006/relationships/hyperlink" Target="https://www.drugs.com/price-guide/tirofiban" TargetMode="External"/><Relationship Id="rId53" Type="http://schemas.openxmlformats.org/officeDocument/2006/relationships/hyperlink" Target="https://www.drugs.com/price-guide/tirofiban" TargetMode="External"/><Relationship Id="rId54" Type="http://schemas.openxmlformats.org/officeDocument/2006/relationships/hyperlink" Target="https://www.drugs.com/price-guide/plerixafor" TargetMode="External"/><Relationship Id="rId55" Type="http://schemas.openxmlformats.org/officeDocument/2006/relationships/hyperlink" Target="https://dmd-browser.nhsbsa.nhs.uk/ampp/view/187562" TargetMode="External"/><Relationship Id="rId56" Type="http://schemas.openxmlformats.org/officeDocument/2006/relationships/hyperlink" Target="https://www.nhsbsa.nhs.uk/sites/default/files/2026-08/Part%20VIIIA%20Sep%2026.xls.xlsx" TargetMode="External"/><Relationship Id="rId57" Type="http://schemas.openxmlformats.org/officeDocument/2006/relationships/hyperlink" Target="https://dmd-browser.nhsbsa.nhs.uk/ampp/view/190293" TargetMode="External"/><Relationship Id="rId58" Type="http://schemas.openxmlformats.org/officeDocument/2006/relationships/hyperlink" Target="https://dmd-browser.nhsbsa.nhs.uk/ampp/view/185061" TargetMode="External"/><Relationship Id="rId59" Type="http://schemas.openxmlformats.org/officeDocument/2006/relationships/hyperlink" Target="https://dmd-browser.nhsbsa.nhs.uk/ampp/view/194984" TargetMode="External"/><Relationship Id="rId60" Type="http://schemas.openxmlformats.org/officeDocument/2006/relationships/hyperlink" Target="https://dmd-browser.nhsbsa.nhs.uk/ampp/view/47382" TargetMode="External"/><Relationship Id="rId61" Type="http://schemas.openxmlformats.org/officeDocument/2006/relationships/hyperlink" Target="https://www.aifa.gov.it/documents/20142/3815901/Classe_H_per_principio_attivo_30-04-2026.csv" TargetMode="External"/><Relationship Id="rId62" Type="http://schemas.openxmlformats.org/officeDocument/2006/relationships/hyperlink" Target="https://www.aifa.gov.it/documents/20142/3815901/Classe_H_per_principio_attivo_30-04-2026.csv" TargetMode="External"/><Relationship Id="rId63" Type="http://schemas.openxmlformats.org/officeDocument/2006/relationships/hyperlink" Target="https://www.aponeo.de/rx/12675950-bupivan-0-5-5-mg-ml-inj-l-25mg-5ml-glasamp.html" TargetMode="External"/><Relationship Id="rId64" Type="http://schemas.openxmlformats.org/officeDocument/2006/relationships/hyperlink" Target="https://base-donnees-publique.medicaments.gouv.fr/medicament/64318859/extrait" TargetMode="External"/><Relationship Id="rId65" Type="http://schemas.openxmlformats.org/officeDocument/2006/relationships/hyperlink" Target="https://www.dovesalute.it/it/farmaci/med/36138/ceftriaxone-aurobindo" TargetMode="External"/><Relationship Id="rId66" Type="http://schemas.openxmlformats.org/officeDocument/2006/relationships/hyperlink" Target="https://www.aifa.gov.it/documents/20142/3815901/Classe_A_per_principio_attivo_30-04-2026.csv" TargetMode="External"/><Relationship Id="rId67" Type="http://schemas.openxmlformats.org/officeDocument/2006/relationships/hyperlink" Target="https://www.aifa.gov.it/documents/20142/3815901/Classe_H_per_principio_attivo_30-04-2026.csv" TargetMode="External"/><Relationship Id="rId68" Type="http://schemas.openxmlformats.org/officeDocument/2006/relationships/hyperlink" Target="https://www.aifa.gov.it/documents/20142/3815901/Classe_H_per_principio_attivo_30-04-2026.csv" TargetMode="External"/><Relationship Id="rId69" Type="http://schemas.openxmlformats.org/officeDocument/2006/relationships/hyperlink" Target="https://www.aifa.gov.it/documents/20142/3815901/Classe_H_per_principio_attivo_30-04-2026.csv" TargetMode="External"/><Relationship Id="rId70" Type="http://schemas.openxmlformats.org/officeDocument/2006/relationships/hyperlink" Target="https://www.medicinpriser.dk/Default.aspx?id=15&amp;vnr=540548" TargetMode="External"/><Relationship Id="rId71" Type="http://schemas.openxmlformats.org/officeDocument/2006/relationships/hyperlink" Target="https://www.aifa.gov.it/documents/20142/3815901/Classe_H_per_principio_attivo_30-04-2026.csv" TargetMode="External"/><Relationship Id="rId72" Type="http://schemas.openxmlformats.org/officeDocument/2006/relationships/hyperlink" Target="https://www.aifa.gov.it/documents/20142/3815901/Classe_H_per_principio_attivo_30-04-2026.csv" TargetMode="External"/><Relationship Id="rId73" Type="http://schemas.openxmlformats.org/officeDocument/2006/relationships/hyperlink" Target="https://www.aifa.gov.it/documents/20142/3815901/Classe_H_per_principio_attivo_30-04-2026.csv" TargetMode="External"/><Relationship Id="rId74" Type="http://schemas.openxmlformats.org/officeDocument/2006/relationships/hyperlink" Target="https://www.aifa.gov.it/documents/20142/3815901/Classe_H_per_principio_attivo_30-04-2026.csv" TargetMode="External"/><Relationship Id="rId75" Type="http://schemas.openxmlformats.org/officeDocument/2006/relationships/hyperlink" Target="https://www.aifa.gov.it/documents/20142/3815901/Classe_H_per_principio_attivo_30-04-2026.csv" TargetMode="External"/><Relationship Id="rId76" Type="http://schemas.openxmlformats.org/officeDocument/2006/relationships/hyperlink" Target="https://www.aifa.gov.it/documents/20142/3815901/Classe_H_per_principio_attivo_30-04-2026.csv" TargetMode="External"/><Relationship Id="rId77" Type="http://schemas.openxmlformats.org/officeDocument/2006/relationships/hyperlink" Target="https://www.aifa.gov.it/documents/20142/3815901/Classe_H_per_principio_attivo_30-04-2026.csv" TargetMode="External"/><Relationship Id="rId78" Type="http://schemas.openxmlformats.org/officeDocument/2006/relationships/hyperlink" Target="https://www.aifa.gov.it/documents/20142/3815901/Classe_H_per_principio_attivo_30-04-2026.csv" TargetMode="External"/><Relationship Id="rId79" Type="http://schemas.openxmlformats.org/officeDocument/2006/relationships/hyperlink" Target="https://www.medicinpriser.dk/Default.aspx?VirksomtStof=Remifentanil" TargetMode="External"/><Relationship Id="rId80" Type="http://schemas.openxmlformats.org/officeDocument/2006/relationships/hyperlink" Target="https://www.aifa.gov.it/documents/20142/3815901/Classe_H_per_principio_attivo_30-04-2026.csv" TargetMode="External"/><Relationship Id="rId81" Type="http://schemas.openxmlformats.org/officeDocument/2006/relationships/hyperlink" Target="https://www.aifa.gov.it/documents/20142/3815901/Classe_H_per_principio_attivo_30-04-2026.csv" TargetMode="External"/><Relationship Id="rId82" Type="http://schemas.openxmlformats.org/officeDocument/2006/relationships/hyperlink" Target="https://www.ab.bluecross.ca/dbl/pdfs/ABCDPL_2026_03_03.pdf" TargetMode="External"/><Relationship Id="rId83" Type="http://schemas.openxmlformats.org/officeDocument/2006/relationships/hyperlink" Target="https://www.ab.bluecross.ca/dbl/pdfs/ABCDPL_2026_01_07.pdf" TargetMode="External"/><Relationship Id="rId84" Type="http://schemas.openxmlformats.org/officeDocument/2006/relationships/hyperlink" Target="https://www.ab.bluecross.ca/dbl/pdfs/ABCDPL_2024_12_05.pdf" TargetMode="External"/><Relationship Id="rId85" Type="http://schemas.openxmlformats.org/officeDocument/2006/relationships/hyperlink" Target="https://www.ab.bluecross.ca/dbl/pdfs/ABCDPL_2024_12_05.pdf" TargetMode="External"/><Relationship Id="rId86" Type="http://schemas.openxmlformats.org/officeDocument/2006/relationships/hyperlink" Target="https://www.ab.bluecross.ca/dbl/pdfs/ABCDPL_2026_04_07.pdf" TargetMode="External"/><Relationship Id="rId87" Type="http://schemas.openxmlformats.org/officeDocument/2006/relationships/hyperlink" Target="https://www.formulary.health.gov.on.ca/formulary/detail.xhtml?drugId=02491524" TargetMode="External"/><Relationship Id="rId88" Type="http://schemas.openxmlformats.org/officeDocument/2006/relationships/hyperlink" Target="https://www.formulary.health.gov.on.ca/formulary/detail.xhtml?drugId=02491532" TargetMode="External"/><Relationship Id="rId89" Type="http://schemas.openxmlformats.org/officeDocument/2006/relationships/hyperlink" Target="https://www.ab.bluecross.ca/dbl/pdfs/ABCDPL_2026_09_04.pdf" TargetMode="External"/><Relationship Id="rId90" Type="http://schemas.openxmlformats.org/officeDocument/2006/relationships/hyperlink" Target="https://www.formulary.health.gov.on.ca/formulary/detail.xhtml?drugId=02516160" TargetMode="External"/><Relationship Id="rId91" Type="http://schemas.openxmlformats.org/officeDocument/2006/relationships/hyperlink" Target="https://www.ab.bluecross.ca/dbl/pdfs/ABCDPL_2024_12_05.pdf" TargetMode="External"/><Relationship Id="rId92" Type="http://schemas.openxmlformats.org/officeDocument/2006/relationships/hyperlink" Target="https://www.ab.bluecross.ca/dbl/pdfs/ABCDPL_2024_12_05.pdf" TargetMode="External"/><Relationship Id="rId93" Type="http://schemas.openxmlformats.org/officeDocument/2006/relationships/hyperlink" Target="https://www.ab.bluecross.ca/dbl/pdfs/ABCDPL_2026_03_03.pdf" TargetMode="External"/><Relationship Id="rId94" Type="http://schemas.openxmlformats.org/officeDocument/2006/relationships/hyperlink" Target="https://www.ab.bluecross.ca/dbl/pdfs/ABCDPL_2026_01_07.pdf" TargetMode="External"/><Relationship Id="rId95" Type="http://schemas.openxmlformats.org/officeDocument/2006/relationships/hyperlink" Target="https://www.ab.bluecross.ca/dbl/pdfs/ABCDPL_2026_04_07.pdf" TargetMode="External"/><Relationship Id="rId96" Type="http://schemas.openxmlformats.org/officeDocument/2006/relationships/hyperlink" Target="https://www.ab.bluecross.ca/dbl/pdfs/ABCDPL_2026_09_04.pdf" TargetMode="External"/><Relationship Id="rId97" Type="http://schemas.openxmlformats.org/officeDocument/2006/relationships/hyperlink" Target="https://www.ab.bluecross.ca/dbl/pdfs/ABCDPL_2026_09_04.pdf" TargetMode="External"/><Relationship Id="rId98" Type="http://schemas.openxmlformats.org/officeDocument/2006/relationships/hyperlink" Target="https://www.ab.bluecross.ca/dbl/pdfs/ABCDPL_2026_09_04.pdf" TargetMode="External"/><Relationship Id="rId99" Type="http://schemas.openxmlformats.org/officeDocument/2006/relationships/hyperlink" Target="https://www.ab.bluecross.ca/dbl/pdfs/ABCDPL_2026_09_04.pdf" TargetMode="External"/><Relationship Id="rId100" Type="http://schemas.openxmlformats.org/officeDocument/2006/relationships/hyperlink" Target="https://www.ab.bluecross.ca/dbl/pdfs/ABCDPL_2026_09_04.pdf" TargetMode="External"/><Relationship Id="rId101" Type="http://schemas.openxmlformats.org/officeDocument/2006/relationships/hyperlink" Target="https://www.ab.bluecross.ca/dbl/pdfs/ABCDPL_2026_09_04.pdf" TargetMode="External"/><Relationship Id="rId102" Type="http://schemas.openxmlformats.org/officeDocument/2006/relationships/hyperlink" Target="https://dmd-browser.nhsbsa.nhs.uk/ampp/view/171701" TargetMode="External"/><Relationship Id="rId103" Type="http://schemas.openxmlformats.org/officeDocument/2006/relationships/hyperlink" Target="https://www.aifa.gov.it/documents/20142/3815901/Classe_H_per_principio_attivo_30-04-2026.csv" TargetMode="External"/><Relationship Id="rId104" Type="http://schemas.openxmlformats.org/officeDocument/2006/relationships/hyperlink" Target="https://www.pbs.gov.au/industry/pricing/ex-manufacturer-price/2026/09/ex-manufacturer-prices-non-efc-2026-09-01.XLSX" TargetMode="External"/><Relationship Id="rId105" Type="http://schemas.openxmlformats.org/officeDocument/2006/relationships/hyperlink" Target="https://www.pbs.gov.au/industry/pricing/ex-manufacturer-price/2026/09/ex-manufacturer-prices-non-efc-2026-09-01.XLSX" TargetMode="External"/><Relationship Id="rId106" Type="http://schemas.openxmlformats.org/officeDocument/2006/relationships/hyperlink" Target="https://www.pbs.gov.au/industry/pricing/ex-manufacturer-price/2026/09/ex-manufacturer-prices-efc-2026-09-01.XLSX" TargetMode="External"/><Relationship Id="rId107" Type="http://schemas.openxmlformats.org/officeDocument/2006/relationships/hyperlink" Target="https://www.pbs.gov.au/industry/pricing/price-disclosure-spd/current-price-disclosure-cycle" TargetMode="External"/><Relationship Id="rId108" Type="http://schemas.openxmlformats.org/officeDocument/2006/relationships/hyperlink" Target="https://www.health.gov.za/nhi-pee/" TargetMode="External"/><Relationship Id="rId109" Type="http://schemas.openxmlformats.org/officeDocument/2006/relationships/hyperlink" Target="https://www.health.gov.za/nhi-pee/" TargetMode="External"/><Relationship Id="rId110" Type="http://schemas.openxmlformats.org/officeDocument/2006/relationships/hyperlink" Target="https://www.health.gov.za/nhi-pee/" TargetMode="External"/><Relationship Id="rId111" Type="http://schemas.openxmlformats.org/officeDocument/2006/relationships/hyperlink" Target="https://www.health.gov.za/nhi-pee/" TargetMode="External"/><Relationship Id="rId112" Type="http://schemas.openxmlformats.org/officeDocument/2006/relationships/hyperlink" Target="https://www.health.gov.za/nhi-pee/" TargetMode="External"/><Relationship Id="rId113" Type="http://schemas.openxmlformats.org/officeDocument/2006/relationships/hyperlink" Target="https://www.health.gov.za/nhi-pee/" TargetMode="External"/><Relationship Id="rId114" Type="http://schemas.openxmlformats.org/officeDocument/2006/relationships/hyperlink" Target="https://www.health.gov.za/nhi-pee/" TargetMode="External"/><Relationship Id="rId115" Type="http://schemas.openxmlformats.org/officeDocument/2006/relationships/hyperlink" Target="https://www.health.gov.za/nhi-pee/" TargetMode="External"/><Relationship Id="rId116" Type="http://schemas.openxmlformats.org/officeDocument/2006/relationships/hyperlink" Target="https://www.cms.gov/files/zip/october-2026-medicare-part-b-payment-limit-files-final.zip" TargetMode="External"/><Relationship Id="rId117" Type="http://schemas.openxmlformats.org/officeDocument/2006/relationships/hyperlink" Target="https://www.cms.gov/files/zip/october-2026-medicare-part-b-payment-limit-files-final.zip" TargetMode="External"/><Relationship Id="rId118" Type="http://schemas.openxmlformats.org/officeDocument/2006/relationships/hyperlink" Target="https://www.cms.gov/files/zip/october-2026-medicare-part-b-payment-limit-files-final.zip" TargetMode="External"/><Relationship Id="rId119" Type="http://schemas.openxmlformats.org/officeDocument/2006/relationships/hyperlink" Target="https://www.drugs.com/price-guide/testosterone" TargetMode="External"/><Relationship Id="rId120" Type="http://schemas.openxmlformats.org/officeDocument/2006/relationships/hyperlink" Target="https://www.drugs.com/price-guide/testosterone" TargetMode="External"/><Relationship Id="rId121" Type="http://schemas.openxmlformats.org/officeDocument/2006/relationships/hyperlink" Target="https://www.drugs.com/price-guide/somatuline-depot" TargetMode="External"/><Relationship Id="rId122" Type="http://schemas.openxmlformats.org/officeDocument/2006/relationships/hyperlink" Target="https://www.drugs.com/price-guide/somatuline-depot" TargetMode="External"/><Relationship Id="rId123" Type="http://schemas.openxmlformats.org/officeDocument/2006/relationships/hyperlink" Target="https://www.drugs.com/price-guide/lanreotide" TargetMode="External"/><Relationship Id="rId124" Type="http://schemas.openxmlformats.org/officeDocument/2006/relationships/hyperlink" Target="https://dmd-browser.nhsbsa.nhs.uk/ampp/view/193506" TargetMode="External"/><Relationship Id="rId125" Type="http://schemas.openxmlformats.org/officeDocument/2006/relationships/hyperlink" Target="https://www.aifa.gov.it/documents/20142/3815901/Classe_H_per_principio_attivo_30-04-2026.csv" TargetMode="External"/><Relationship Id="rId126" Type="http://schemas.openxmlformats.org/officeDocument/2006/relationships/hyperlink" Target="https://www.aifa.gov.it/documents/20142/3815901/Classe_H_per_principio_attivo_30-04-2026.csv" TargetMode="External"/><Relationship Id="rId127" Type="http://schemas.openxmlformats.org/officeDocument/2006/relationships/hyperlink" Target="https://www.aponeo.de/rx/18660518-sugammadex-amarox-100-mg-ml-injektionsloesung.html" TargetMode="External"/><Relationship Id="rId128" Type="http://schemas.openxmlformats.org/officeDocument/2006/relationships/hyperlink" Target="https://www.pbs.gov.au/industry/pricing/ex-manufacturer-price/2026/10/ex-manufacturer-prices-efc-2026-10-01.XLSX" TargetMode="External"/><Relationship Id="rId129" Type="http://schemas.openxmlformats.org/officeDocument/2006/relationships/hyperlink" Target="https://www.cms.gov/files/zip/october-2026-medicare-part-b-payment-limit-files-final.zip" TargetMode="External"/><Relationship Id="rId130" Type="http://schemas.openxmlformats.org/officeDocument/2006/relationships/hyperlink" Target="https://department.va.gov/procurement-acquisition-and-logistics/wp-content/uploads/sites/56/2026/10/TPharmPrices2026-10-01.xlsx" TargetMode="External"/><Relationship Id="rId131" Type="http://schemas.openxmlformats.org/officeDocument/2006/relationships/hyperlink" Target="https://department.va.gov/procurement-acquisition-and-logistics/wp-content/uploads/sites/56/2026/10/TPharmPrices2026-10-01.xlsx" TargetMode="External"/><Relationship Id="rId132" Type="http://schemas.openxmlformats.org/officeDocument/2006/relationships/hyperlink" Target="https://department.va.gov/procurement-acquisition-and-logistics/wp-content/uploads/sites/56/2026/10/TPharmPrices2026-10-01.xlsx" TargetMode="External"/><Relationship Id="rId133" Type="http://schemas.openxmlformats.org/officeDocument/2006/relationships/hyperlink" Target="https://www.pbs.gov.au/medicine/item/14160G" TargetMode="External"/><Relationship Id="rId134" Type="http://schemas.openxmlformats.org/officeDocument/2006/relationships/hyperlink" Target="https://www.cms.gov/files/zip/october-2026-medicare-part-b-payment-limit-files-final.zip" TargetMode="External"/><Relationship Id="rId135" Type="http://schemas.openxmlformats.org/officeDocument/2006/relationships/hyperlink" Target="https://www.pbs.gov.au/industry/pricing/ex-manufacturer-price/2026/09/ex-manufacturer-prices-non-efc-2026-09-01.XLSX" TargetMode="External"/><Relationship Id="rId136" Type="http://schemas.openxmlformats.org/officeDocument/2006/relationships/hyperlink" Target="https://www.pbs.gov.au/industry/pricing/ex-manufacturer-price/2026/09/ex-manufacturer-prices-non-efc-2026-09-01.XLSX" TargetMode="External"/><Relationship Id="rId137" Type="http://schemas.openxmlformats.org/officeDocument/2006/relationships/hyperlink" Target="https://www.pbs.gov.au/industry/pricing/ex-manufacturer-price/2026/09/ex-manufacturer-prices-efc-2026-09-01.XLSX" TargetMode="External"/><Relationship Id="rId138" Type="http://schemas.openxmlformats.org/officeDocument/2006/relationships/hyperlink" Target="https://medicineprices.org.za/" TargetMode="External"/><Relationship Id="rId139" Type="http://schemas.openxmlformats.org/officeDocument/2006/relationships/hyperlink" Target="https://medicineprices.org.za/" TargetMode="External"/><Relationship Id="rId140" Type="http://schemas.openxmlformats.org/officeDocument/2006/relationships/hyperlink" Target="https://medicineprices.org.za/" TargetMode="External"/><Relationship Id="rId141" Type="http://schemas.openxmlformats.org/officeDocument/2006/relationships/hyperlink" Target="https://medicineprices.org.za/" TargetMode="External"/><Relationship Id="rId142" Type="http://schemas.openxmlformats.org/officeDocument/2006/relationships/hyperlink" Target="https://www.health.gov.za/nhi-pee/" TargetMode="External"/><Relationship Id="rId143" Type="http://schemas.openxmlformats.org/officeDocument/2006/relationships/hyperlink" Target="https://medicineprices.org.za/" TargetMode="External"/><Relationship Id="rId144" Type="http://schemas.openxmlformats.org/officeDocument/2006/relationships/hyperlink" Target="https://www.health.gov.za/nhi-pee/" TargetMode="External"/><Relationship Id="rId145" Type="http://schemas.openxmlformats.org/officeDocument/2006/relationships/hyperlink" Target="https://www.health.gov.za/nhi-pee/" TargetMode="External"/><Relationship Id="rId146" Type="http://schemas.openxmlformats.org/officeDocument/2006/relationships/hyperlink" Target="https://www.health.gov.za/nhi-pee/" TargetMode="External"/><Relationship Id="rId147" Type="http://schemas.openxmlformats.org/officeDocument/2006/relationships/hyperlink" Target="https://www.health.gov.za/nhi-pee/" TargetMode="External"/><Relationship Id="rId148" Type="http://schemas.openxmlformats.org/officeDocument/2006/relationships/hyperlink" Target="https://www.health.gov.za/nhi-pee/" TargetMode="External"/><Relationship Id="rId149" Type="http://schemas.openxmlformats.org/officeDocument/2006/relationships/hyperlink" Target="https://www.health.gov.za/nhi-pee/" TargetMode="External"/><Relationship Id="rId150" Type="http://schemas.openxmlformats.org/officeDocument/2006/relationships/hyperlink" Target="https://www.health.gov.za/nhi-pee/" TargetMode="External"/><Relationship Id="rId151" Type="http://schemas.openxmlformats.org/officeDocument/2006/relationships/hyperlink" Target="https://www.health.gov.za/nhi-pee/" TargetMode="External"/><Relationship Id="rId152" Type="http://schemas.openxmlformats.org/officeDocument/2006/relationships/hyperlink" Target="https://www.health.gov.za/nhi-pee/" TargetMode="External"/><Relationship Id="rId153" Type="http://schemas.openxmlformats.org/officeDocument/2006/relationships/hyperlink" Target="https://www.health.gov.za/nhi-pee/" TargetMode="External"/><Relationship Id="rId154" Type="http://schemas.openxmlformats.org/officeDocument/2006/relationships/hyperlink" Target="https://department.va.gov/procurement-acquisition-and-logistics/wp-content/uploads/sites/56/2026/10/TPharmPrices2026-10-01.xlsx" TargetMode="External"/><Relationship Id="rId155" Type="http://schemas.openxmlformats.org/officeDocument/2006/relationships/hyperlink" Target="https://www.drugs.com/price-guide/desmopressin" TargetMode="External"/><Relationship Id="rId156" Type="http://schemas.openxmlformats.org/officeDocument/2006/relationships/hyperlink" Target="https://www.cms.gov/files/zip/october-2026-medicare-part-b-payment-limit-files-final.zip" TargetMode="External"/><Relationship Id="rId157" Type="http://schemas.openxmlformats.org/officeDocument/2006/relationships/hyperlink" Target="https://department.va.gov/procurement-acquisition-and-logistics/wp-content/uploads/sites/56/2026/10/TPharmPrices2026-10-01.xlsx" TargetMode="External"/><Relationship Id="rId158" Type="http://schemas.openxmlformats.org/officeDocument/2006/relationships/hyperlink" Target="https://www.drugs.com/price-guide/phytonadione" TargetMode="External"/><Relationship Id="rId159" Type="http://schemas.openxmlformats.org/officeDocument/2006/relationships/hyperlink" Target="https://www.drugs.com/price-guide/thiotepa" TargetMode="External"/><Relationship Id="rId160" Type="http://schemas.openxmlformats.org/officeDocument/2006/relationships/hyperlink" Target="https://www.cms.gov/files/zip/october-2026-medicare-part-b-payment-limit-files-final.zip" TargetMode="External"/><Relationship Id="rId161" Type="http://schemas.openxmlformats.org/officeDocument/2006/relationships/hyperlink" Target="https://www.cms.gov/files/zip/october-2026-medicare-part-b-payment-limit-files-final.zip" TargetMode="External"/><Relationship Id="rId162" Type="http://schemas.openxmlformats.org/officeDocument/2006/relationships/hyperlink" Target="https://www.drugs.com/price-guide/bivalirudin" TargetMode="External"/><Relationship Id="rId163" Type="http://schemas.openxmlformats.org/officeDocument/2006/relationships/hyperlink" Target="https://www.drugs.com/price-guide/palonosetron" TargetMode="External"/><Relationship Id="rId164" Type="http://schemas.openxmlformats.org/officeDocument/2006/relationships/hyperlink" Target="https://www.drugs.com/price-guide/bortezomib" TargetMode="External"/><Relationship Id="rId165" Type="http://schemas.openxmlformats.org/officeDocument/2006/relationships/hyperlink" Target="https://www.drugs.com/price-guide/fulvestrant" TargetMode="External"/><Relationship Id="rId166" Type="http://schemas.openxmlformats.org/officeDocument/2006/relationships/hyperlink" Target="https://www.drugs.com/price-guide/cyclophosphamide" TargetMode="External"/><Relationship Id="rId167" Type="http://schemas.openxmlformats.org/officeDocument/2006/relationships/hyperlink" Target="https://www.drugs.com/price-guide/cyclophosphamide" TargetMode="External"/><Relationship Id="rId168" Type="http://schemas.openxmlformats.org/officeDocument/2006/relationships/hyperlink" Target="https://www.drugs.com/price-guide/cyclophosphamide" TargetMode="External"/><Relationship Id="rId169" Type="http://schemas.openxmlformats.org/officeDocument/2006/relationships/hyperlink" Target="https://www.drugs.com/price-guide/ephedrine" TargetMode="External"/><Relationship Id="rId170" Type="http://schemas.openxmlformats.org/officeDocument/2006/relationships/hyperlink" Target="https://www.drugs.com/price-guide/eribulin" TargetMode="External"/><Relationship Id="rId171" Type="http://schemas.openxmlformats.org/officeDocument/2006/relationships/hyperlink" Target="https://www.drugs.com/price-guide/neostigmine" TargetMode="External"/><Relationship Id="rId172" Type="http://schemas.openxmlformats.org/officeDocument/2006/relationships/hyperlink" Target="https://www.drugs.com/price-guide/neostigmine" TargetMode="External"/><Relationship Id="rId173" Type="http://schemas.openxmlformats.org/officeDocument/2006/relationships/hyperlink" Target="https://www.drugs.com/price-guide/neostigmine" TargetMode="External"/><Relationship Id="rId174" Type="http://schemas.openxmlformats.org/officeDocument/2006/relationships/hyperlink" Target="https://www.cms.gov/files/zip/october-2026-medicare-part-b-payment-limit-files-final.zip" TargetMode="External"/><Relationship Id="rId175" Type="http://schemas.openxmlformats.org/officeDocument/2006/relationships/hyperlink" Target="https://www.drugs.com/price-guide/sugammadex" TargetMode="External"/><Relationship Id="rId176" Type="http://schemas.openxmlformats.org/officeDocument/2006/relationships/hyperlink" Target="https://www.drugs.com/price-guide/sugammadex" TargetMode="External"/><Relationship Id="rId177" Type="http://schemas.openxmlformats.org/officeDocument/2006/relationships/hyperlink" Target="https://www.drugs.com/price-guide/plerixafor" TargetMode="External"/><Relationship Id="rId178" Type="http://schemas.openxmlformats.org/officeDocument/2006/relationships/hyperlink" Target="https://dmd-browser.nhsbsa.nhs.uk/ampp/view/175945" TargetMode="External"/><Relationship Id="rId179" Type="http://schemas.openxmlformats.org/officeDocument/2006/relationships/hyperlink" Target="https://dmd-browser.nhsbsa.nhs.uk/ampp/view/169812" TargetMode="External"/><Relationship Id="rId180" Type="http://schemas.openxmlformats.org/officeDocument/2006/relationships/hyperlink" Target="https://dmd-browser.nhsbsa.nhs.uk/ampp/view/183157" TargetMode="External"/><Relationship Id="rId181" Type="http://schemas.openxmlformats.org/officeDocument/2006/relationships/hyperlink" Target="https://dmd-browser.nhsbsa.nhs.uk/ampp/view/195075" TargetMode="External"/><Relationship Id="rId182" Type="http://schemas.openxmlformats.org/officeDocument/2006/relationships/hyperlink" Target="https://dmd-browser.nhsbsa.nhs.uk/ampp/view/211180" TargetMode="External"/><Relationship Id="rId183" Type="http://schemas.openxmlformats.org/officeDocument/2006/relationships/hyperlink" Target="https://dmd-browser.nhsbsa.nhs.uk/ampp/view/185061" TargetMode="External"/><Relationship Id="rId184" Type="http://schemas.openxmlformats.org/officeDocument/2006/relationships/hyperlink" Target="https://www.aifa.gov.it/documents/20142/3815901/Classe_H_per_principio_attivo_30-04-2026.csv" TargetMode="External"/><Relationship Id="rId185" Type="http://schemas.openxmlformats.org/officeDocument/2006/relationships/hyperlink" Target="https://www.aifa.gov.it/documents/20142/3815901/Classe_H_per_principio_attivo_30-04-2026.csv" TargetMode="External"/><Relationship Id="rId186" Type="http://schemas.openxmlformats.org/officeDocument/2006/relationships/hyperlink" Target="https://www.boe.es/boe/dias/2025/10/13/pdfs/BOE-A-2025-20356.pdf" TargetMode="External"/><Relationship Id="rId187" Type="http://schemas.openxmlformats.org/officeDocument/2006/relationships/hyperlink" Target="https://www.aifa.gov.it/documents/20142/3815901/Classe_H_per_principio_attivo_30-04-2026.csv" TargetMode="External"/><Relationship Id="rId188" Type="http://schemas.openxmlformats.org/officeDocument/2006/relationships/hyperlink" Target="https://www.aifa.gov.it/documents/20142/3815901/Classe_H_per_principio_attivo_30-04-2026.csv" TargetMode="External"/><Relationship Id="rId189" Type="http://schemas.openxmlformats.org/officeDocument/2006/relationships/hyperlink" Target="https://www.docmorris.de/ibandronsaeure-beta-3-mg-injektionslsgfertigspr/08881520" TargetMode="External"/><Relationship Id="rId190" Type="http://schemas.openxmlformats.org/officeDocument/2006/relationships/hyperlink" Target="https://www.aifa.gov.it/documents/20142/3815901/Classe_H_per_principio_attivo_30-04-2026.csv" TargetMode="External"/><Relationship Id="rId191" Type="http://schemas.openxmlformats.org/officeDocument/2006/relationships/hyperlink" Target="https://www.aifa.gov.it/documents/20142/3815901/Classe_H_per_principio_attivo_30-04-2026.csv" TargetMode="External"/><Relationship Id="rId192" Type="http://schemas.openxmlformats.org/officeDocument/2006/relationships/hyperlink" Target="https://www.aifa.gov.it/documents/20142/3815901/Classe_H_per_principio_attivo_30-04-2026.csv" TargetMode="External"/><Relationship Id="rId193" Type="http://schemas.openxmlformats.org/officeDocument/2006/relationships/hyperlink" Target="https://www.ab.bluecross.ca/dbl/pdfs/ABCDPL_2026_01_07.pdf" TargetMode="External"/><Relationship Id="rId194" Type="http://schemas.openxmlformats.org/officeDocument/2006/relationships/hyperlink" Target="https://www.ab.bluecross.ca/dbl/pdfs/ABCDPL_2026_01_07.pdf" TargetMode="External"/><Relationship Id="rId195" Type="http://schemas.openxmlformats.org/officeDocument/2006/relationships/hyperlink" Target="https://www.formulary.health.gov.on.ca/formulary/detail.xhtml?drugId=02490463" TargetMode="External"/><Relationship Id="rId196" Type="http://schemas.openxmlformats.org/officeDocument/2006/relationships/hyperlink" Target="https://www.ab.bluecross.ca/dbl/pdfs/ABCDPL_2026_09_04.pdf" TargetMode="External"/><Relationship Id="rId197" Type="http://schemas.openxmlformats.org/officeDocument/2006/relationships/hyperlink" Target="https://www.ab.bluecross.ca/dbl/pdfs/ABCDPL_2026_09_04.pdf" TargetMode="External"/><Relationship Id="rId198" Type="http://schemas.openxmlformats.org/officeDocument/2006/relationships/hyperlink" Target="https://www.ab.bluecross.ca/dbl/pdfs/ABCDPL_2026_09_04.pdf" TargetMode="External"/><Relationship Id="rId199" Type="http://schemas.openxmlformats.org/officeDocument/2006/relationships/hyperlink" Target="https://www.pbs.gov.au/industry/pricing/ex-manufacturer-price/2026/09/ex-manufacturer-prices-non-efc-2026-09-01.XLSX" TargetMode="External"/><Relationship Id="rId200" Type="http://schemas.openxmlformats.org/officeDocument/2006/relationships/hyperlink" Target="https://www.pbs.gov.au/industry/pricing/ex-manufacturer-price/2026/09/ex-manufacturer-prices-non-efc-2026-09-01.XLSX" TargetMode="External"/><Relationship Id="rId201" Type="http://schemas.openxmlformats.org/officeDocument/2006/relationships/hyperlink" Target="https://www.pbs.gov.au/publication/schedule/2026/10/2026-10-01-PBS-API-CSV-files.zip?variant=3" TargetMode="External"/><Relationship Id="rId202" Type="http://schemas.openxmlformats.org/officeDocument/2006/relationships/hyperlink" Target="https://www.pbs.gov.au/industry/pricing/ex-manufacturer-price/2026/09/ex-manufacturer-prices-efc-2026-09-01.XLSX" TargetMode="External"/><Relationship Id="rId203" Type="http://schemas.openxmlformats.org/officeDocument/2006/relationships/hyperlink" Target="https://department.va.gov/procurement-acquisition-and-logistics/wp-content/uploads/sites/56/2026/10/TPharmPrices2026-10-01.xlsx" TargetMode="External"/><Relationship Id="rId204" Type="http://schemas.openxmlformats.org/officeDocument/2006/relationships/hyperlink" Target="https://www.pbs.gov.au/industry/pricing/ex-manufacturer-price/2026/09/ex-manufacturer-prices-non-efc-2026-09-01.XLSX" TargetMode="External"/><Relationship Id="rId205" Type="http://schemas.openxmlformats.org/officeDocument/2006/relationships/hyperlink" Target="https://www.pbs.gov.au/industry/pricing/ex-manufacturer-price/2026/09/ex-manufacturer-prices-non-efc-2026-09-01.XLSX" TargetMode="External"/><Relationship Id="rId206" Type="http://schemas.openxmlformats.org/officeDocument/2006/relationships/hyperlink" Target="https://www.health.gov.za/nhi-pee/" TargetMode="External"/><Relationship Id="rId207" Type="http://schemas.openxmlformats.org/officeDocument/2006/relationships/hyperlink" Target="https://medicineprices.org.za/" TargetMode="External"/><Relationship Id="rId208" Type="http://schemas.openxmlformats.org/officeDocument/2006/relationships/hyperlink" Target="https://medicineprices.org.za/" TargetMode="External"/><Relationship Id="rId209" Type="http://schemas.openxmlformats.org/officeDocument/2006/relationships/hyperlink" Target="https://medicineprices.org.za/" TargetMode="External"/><Relationship Id="rId210" Type="http://schemas.openxmlformats.org/officeDocument/2006/relationships/hyperlink" Target="https://www.health.gov.za/nhi-pee/" TargetMode="External"/><Relationship Id="rId211" Type="http://schemas.openxmlformats.org/officeDocument/2006/relationships/hyperlink" Target="https://dmd-browser.nhsbsa.nhs.uk/ampp/view/190490" TargetMode="External"/><Relationship Id="rId212" Type="http://schemas.openxmlformats.org/officeDocument/2006/relationships/hyperlink" Target="https://dmd-browser.nhsbsa.nhs.uk/ampp/view/195295" TargetMode="External"/><Relationship Id="rId213" Type="http://schemas.openxmlformats.org/officeDocument/2006/relationships/hyperlink" Target="https://dmd-browser.nhsbsa.nhs.uk/ampp/view/194983" TargetMode="External"/><Relationship Id="rId214" Type="http://schemas.openxmlformats.org/officeDocument/2006/relationships/hyperlink" Target="https://dmd-browser.nhsbsa.nhs.uk/ampp/view/198696" TargetMode="External"/><Relationship Id="rId215" Type="http://schemas.openxmlformats.org/officeDocument/2006/relationships/hyperlink" Target="https://dmd-browser.nhsbsa.nhs.uk/ampp/view/197400" TargetMode="External"/><Relationship Id="rId216" Type="http://schemas.openxmlformats.org/officeDocument/2006/relationships/hyperlink" Target="https://dmd-browser.nhsbsa.nhs.uk/ampp/view/194984" TargetMode="External"/><Relationship Id="rId217" Type="http://schemas.openxmlformats.org/officeDocument/2006/relationships/hyperlink" Target="https://dmd-browser.nhsbsa.nhs.uk/ampp/view/190885" TargetMode="External"/><Relationship Id="rId218" Type="http://schemas.openxmlformats.org/officeDocument/2006/relationships/hyperlink" Target="https://dmd-browser.nhsbsa.nhs.uk/ampp/view/169622" TargetMode="External"/><Relationship Id="rId219" Type="http://schemas.openxmlformats.org/officeDocument/2006/relationships/hyperlink" Target="https://dmd-browser.nhsbsa.nhs.uk/ampp/view/184215" TargetMode="External"/><Relationship Id="rId220" Type="http://schemas.openxmlformats.org/officeDocument/2006/relationships/hyperlink" Target="https://dmd-browser.nhsbsa.nhs.uk/ampp/view/210747" TargetMode="External"/><Relationship Id="rId221" Type="http://schemas.openxmlformats.org/officeDocument/2006/relationships/hyperlink" Target="https://www.medicijnkosten.nl/medicijn?artikel=DIAMOX+INJECTIEPOEDER+FLACON+500MG&amp;id=eccf17da767207477dcc6b1f5efd1f4a" TargetMode="External"/><Relationship Id="rId222" Type="http://schemas.openxmlformats.org/officeDocument/2006/relationships/hyperlink" Target="https://www.aifa.gov.it/documents/20142/3815901/Classe_A_per_principio_attivo_30-04-2026.csv" TargetMode="External"/><Relationship Id="rId223" Type="http://schemas.openxmlformats.org/officeDocument/2006/relationships/hyperlink" Target="https://mediately.co/it/drugs/EW7GuNfn2hkEMxRggSwwiF1PMll/ampicillina-tillomed-1-g-polvere-per-soluzione-iniettabile-per-infusione" TargetMode="External"/><Relationship Id="rId224" Type="http://schemas.openxmlformats.org/officeDocument/2006/relationships/hyperlink" Target="https://www.aifa.gov.it/documents/20142/3815901/Classe_H_per_principio_attivo_30-04-2026.csv" TargetMode="External"/><Relationship Id="rId225" Type="http://schemas.openxmlformats.org/officeDocument/2006/relationships/hyperlink" Target="https://www.aifa.gov.it/documents/20142/3815901/Classe_H_per_principio_attivo_30-04-2026.csv" TargetMode="External"/><Relationship Id="rId226" Type="http://schemas.openxmlformats.org/officeDocument/2006/relationships/hyperlink" Target="https://www.aifa.gov.it/documents/20142/3815901/Classe_H_per_principio_attivo_30-04-2026.csv" TargetMode="External"/><Relationship Id="rId227" Type="http://schemas.openxmlformats.org/officeDocument/2006/relationships/hyperlink" Target="https://www.medicinpriser.dk/Default.aspx?VirksomtStof=Eribulin" TargetMode="External"/><Relationship Id="rId228" Type="http://schemas.openxmlformats.org/officeDocument/2006/relationships/hyperlink" Target="https://www.aifa.gov.it/documents/20142/3815901/Classe_H_per_principio_attivo_30-04-2026.csv" TargetMode="External"/><Relationship Id="rId229" Type="http://schemas.openxmlformats.org/officeDocument/2006/relationships/hyperlink" Target="https://www.aifa.gov.it/documents/20142/3815901/Classe_H_per_principio_attivo_30-04-2026.csv" TargetMode="External"/><Relationship Id="rId230" Type="http://schemas.openxmlformats.org/officeDocument/2006/relationships/hyperlink" Target="https://www.aifa.gov.it/documents/20142/3815901/Classe_H_per_principio_attivo_30-04-2026.csv" TargetMode="External"/><Relationship Id="rId231" Type="http://schemas.openxmlformats.org/officeDocument/2006/relationships/hyperlink" Target="https://mediately.co/de/drugs/2JLSD2rNCbtip2an1uWLKQBCmLc/milrinon-carinopharm-1-mg-ml-injektions-infusionslosung" TargetMode="External"/><Relationship Id="rId232" Type="http://schemas.openxmlformats.org/officeDocument/2006/relationships/hyperlink" Target="https://www.aifa.gov.it/documents/20142/3815901/Classe_H_per_principio_attivo_30-04-2026.csv" TargetMode="External"/><Relationship Id="rId233" Type="http://schemas.openxmlformats.org/officeDocument/2006/relationships/hyperlink" Target="https://base-donnees-publique.medicaments.gouv.fr/medicament/61094142/extrait" TargetMode="External"/><Relationship Id="rId234" Type="http://schemas.openxmlformats.org/officeDocument/2006/relationships/hyperlink" Target="https://www.aifa.gov.it/documents/20142/3815901/Classe_H_per_principio_attivo_30-04-2026.csv" TargetMode="External"/><Relationship Id="rId235" Type="http://schemas.openxmlformats.org/officeDocument/2006/relationships/hyperlink" Target="https://www.aifa.gov.it/documents/20142/3815901/Classe_H_per_principio_attivo_30-04-2026.csv" TargetMode="External"/><Relationship Id="rId236" Type="http://schemas.openxmlformats.org/officeDocument/2006/relationships/hyperlink" Target="https://www.ab.bluecross.ca/dbl/pdfs/ABCDPL_2026_09_04.pdf" TargetMode="External"/><Relationship Id="rId237" Type="http://schemas.openxmlformats.org/officeDocument/2006/relationships/hyperlink" Target="https://www.ab.bluecross.ca/dbl/pdfs/ABCDPL_2026_09_04.pdf" TargetMode="External"/><Relationship Id="rId238" Type="http://schemas.openxmlformats.org/officeDocument/2006/relationships/hyperlink" Target="https://www.ab.bluecross.ca/dbl/pdfs/ABCDPL_2026_09_04.pdf" TargetMode="External"/><Relationship Id="rId239" Type="http://schemas.openxmlformats.org/officeDocument/2006/relationships/hyperlink" Target="https://www.ab.bluecross.ca/dbl/pdfs/ABCDPL_2026_04_07.pdf" TargetMode="External"/><Relationship Id="rId240" Type="http://schemas.openxmlformats.org/officeDocument/2006/relationships/hyperlink" Target="https://www.ab.bluecross.ca/dbl/pdfs/ABCDPL_2026_09_04.pdf" TargetMode="External"/><Relationship Id="rId241" Type="http://schemas.openxmlformats.org/officeDocument/2006/relationships/hyperlink" Target="https://www.ab.bluecross.ca/dbl/pdfs/ABCDPL_2026_09_04.pdf" TargetMode="External"/><Relationship Id="rId242" Type="http://schemas.openxmlformats.org/officeDocument/2006/relationships/hyperlink" Target="https://www.ab.bluecross.ca/dbl/pdfs/ABCDPL_2026_09_04.pdf" TargetMode="External"/><Relationship Id="rId243" Type="http://schemas.openxmlformats.org/officeDocument/2006/relationships/hyperlink" Target="https://www.ab.bluecross.ca/dbl/pdfs/ABCDPL_2026_09_04.pdf" TargetMode="External"/><Relationship Id="rId244" Type="http://schemas.openxmlformats.org/officeDocument/2006/relationships/hyperlink" Target="https://www.ab.bluecross.ca/dbl/pdfs/ABCDPL_2026_09_04.pdf" TargetMode="External"/><Relationship Id="rId245" Type="http://schemas.openxmlformats.org/officeDocument/2006/relationships/hyperlink" Target="https://www.ab.bluecross.ca/dbl/pdfs/ABCDPL_2026_09_04.pdf" TargetMode="External"/><Relationship Id="rId246" Type="http://schemas.openxmlformats.org/officeDocument/2006/relationships/hyperlink" Target="https://www.drugs.com/price-guide/fulvestrant" TargetMode="External"/><Relationship Id="rId247" Type="http://schemas.openxmlformats.org/officeDocument/2006/relationships/hyperlink" Target="https://www.drugs.com/price-guide/eribulin" TargetMode="External"/><Relationship Id="rId248" Type="http://schemas.openxmlformats.org/officeDocument/2006/relationships/hyperlink" Target="https://www.nhsbsa.nhs.uk/sites/default/files/2026-08/Part%20VIIIA%20Sep%2026.xls.xlsx" TargetMode="External"/><Relationship Id="rId249" Type="http://schemas.openxmlformats.org/officeDocument/2006/relationships/hyperlink" Target="https://dmd-browser.nhsbsa.nhs.uk/ampp/view/195045" TargetMode="External"/><Relationship Id="rId250" Type="http://schemas.openxmlformats.org/officeDocument/2006/relationships/hyperlink" Target="https://dmd-browser.nhsbsa.nhs.uk/ampp/view/204041" TargetMode="External"/><Relationship Id="rId251" Type="http://schemas.openxmlformats.org/officeDocument/2006/relationships/hyperlink" Target="https://www.aifa.gov.it/documents/20142/3815901/Classe_H_per_principio_attivo_30-04-2026.csv" TargetMode="External"/><Relationship Id="rId252" Type="http://schemas.openxmlformats.org/officeDocument/2006/relationships/hyperlink" Target="https://www.boe.es/boe/dias/2025/10/13/pdfs/BOE-A-2025-20356.pdf" TargetMode="External"/><Relationship Id="rId253" Type="http://schemas.openxmlformats.org/officeDocument/2006/relationships/hyperlink" Target="https://www.aifa.gov.it/documents/20142/3815901/Classe_H_per_principio_attivo_30-04-2026.csv" TargetMode="External"/><Relationship Id="rId254" Type="http://schemas.openxmlformats.org/officeDocument/2006/relationships/hyperlink" Target="https://www.aifa.gov.it/documents/20142/3815901/Classe_H_per_principio_attivo_30-04-2026.csv" TargetMode="External"/><Relationship Id="rId255" Type="http://schemas.openxmlformats.org/officeDocument/2006/relationships/hyperlink" Target="https://www.aifa.gov.it/documents/20142/3815901/Classe_H_per_principio_attivo_30-04-2026.csv" TargetMode="External"/><Relationship Id="rId256" Type="http://schemas.openxmlformats.org/officeDocument/2006/relationships/hyperlink" Target="https://www.aifa.gov.it/documents/20142/3815901/Classe_H_per_principio_attivo_30-04-2026.csv" TargetMode="External"/><Relationship Id="rId257" Type="http://schemas.openxmlformats.org/officeDocument/2006/relationships/hyperlink" Target="https://www.pbs.gov.au/industry/pricing/ex-manufacturer-price/2026/09/ex-manufacturer-prices-efc-2026-09-01.XLSX" TargetMode="External"/><Relationship Id="rId258" Type="http://schemas.openxmlformats.org/officeDocument/2006/relationships/hyperlink" Target="https://www.pbs.gov.au/industry/pricing/ex-manufacturer-price/2026/09/ex-manufacturer-prices-efc-2026-09-01.XLSX" TargetMode="External"/><Relationship Id="rId259" Type="http://schemas.openxmlformats.org/officeDocument/2006/relationships/hyperlink" Target="https://www.drugs.com/price-guide/chlorpromazine" TargetMode="External"/><Relationship Id="rId260" Type="http://schemas.openxmlformats.org/officeDocument/2006/relationships/hyperlink" Target="https://www.cms.gov/files/zip/october-2026-medicare-part-b-payment-limit-files-final.zip" TargetMode="External"/><Relationship Id="rId261" Type="http://schemas.openxmlformats.org/officeDocument/2006/relationships/hyperlink" Target="https://department.va.gov/procurement-acquisition-and-logistics/wp-content/uploads/sites/56/2026/10/TPharmPrices2026-10-01.xlsx" TargetMode="External"/><Relationship Id="rId262" Type="http://schemas.openxmlformats.org/officeDocument/2006/relationships/hyperlink" Target="https://department.va.gov/procurement-acquisition-and-logistics/wp-content/uploads/sites/56/2026/10/TPharmPrices2026-10-01.xlsx" TargetMode="External"/><Relationship Id="rId263" Type="http://schemas.openxmlformats.org/officeDocument/2006/relationships/hyperlink" Target="https://www.drugs.com/price-guide/methotrexate" TargetMode="External"/><Relationship Id="rId264" Type="http://schemas.openxmlformats.org/officeDocument/2006/relationships/hyperlink" Target="https://www.cms.gov/files/zip/october-2026-medicare-part-b-payment-limit-files-final.zip" TargetMode="External"/><Relationship Id="rId265" Type="http://schemas.openxmlformats.org/officeDocument/2006/relationships/hyperlink" Target="https://department.va.gov/procurement-acquisition-and-logistics/wp-content/uploads/sites/56/2026/10/TPharmPrices2026-10-01.xlsx" TargetMode="External"/><Relationship Id="rId266" Type="http://schemas.openxmlformats.org/officeDocument/2006/relationships/hyperlink" Target="https://department.va.gov/procurement-acquisition-and-logistics/wp-content/uploads/sites/56/2026/10/TPharmPrices2026-10-01.xlsx" TargetMode="External"/><Relationship Id="rId267" Type="http://schemas.openxmlformats.org/officeDocument/2006/relationships/hyperlink" Target="https://www.drugs.com/price-guide/bortezomib" TargetMode="External"/><Relationship Id="rId268" Type="http://schemas.openxmlformats.org/officeDocument/2006/relationships/hyperlink" Target="https://www.drugs.com/price-guide/magnesium-sulfate" TargetMode="External"/><Relationship Id="rId269" Type="http://schemas.openxmlformats.org/officeDocument/2006/relationships/hyperlink" Target="https://www.drugs.com/price-guide/sodium-bicarbonate" TargetMode="External"/><Relationship Id="rId270" Type="http://schemas.openxmlformats.org/officeDocument/2006/relationships/hyperlink" Target="https://www.drugs.com/price-guide/sugammadex" TargetMode="External"/><Relationship Id="rId271" Type="http://schemas.openxmlformats.org/officeDocument/2006/relationships/hyperlink" Target="https://www.drugs.com/price-guide/sugammadex" TargetMode="External"/><Relationship Id="rId272" Type="http://schemas.openxmlformats.org/officeDocument/2006/relationships/hyperlink" Target="https://www.drugs.com/price-guide/plerixafor" TargetMode="External"/><Relationship Id="rId273" Type="http://schemas.openxmlformats.org/officeDocument/2006/relationships/hyperlink" Target="https://dmd-browser.nhsbsa.nhs.uk/ampp/view/195045" TargetMode="External"/><Relationship Id="rId274" Type="http://schemas.openxmlformats.org/officeDocument/2006/relationships/hyperlink" Target="https://dmd-browser.nhsbsa.nhs.uk/ampp/view/185061" TargetMode="External"/><Relationship Id="rId275" Type="http://schemas.openxmlformats.org/officeDocument/2006/relationships/hyperlink" Target="https://dmd-browser.nhsbsa.nhs.uk/ampp/view/210375" TargetMode="External"/><Relationship Id="rId276" Type="http://schemas.openxmlformats.org/officeDocument/2006/relationships/hyperlink" Target="https://dmd-browser.nhsbsa.nhs.uk/ampp/view/190293" TargetMode="External"/><Relationship Id="rId277" Type="http://schemas.openxmlformats.org/officeDocument/2006/relationships/hyperlink" Target="https://dmd-browser.nhsbsa.nhs.uk/ampp/view/148217" TargetMode="External"/><Relationship Id="rId278" Type="http://schemas.openxmlformats.org/officeDocument/2006/relationships/hyperlink" Target="https://dmd-browser.nhsbsa.nhs.uk/ampp/view/174545" TargetMode="External"/><Relationship Id="rId279" Type="http://schemas.openxmlformats.org/officeDocument/2006/relationships/hyperlink" Target="https://www.nhsbsa.nhs.uk/sites/default/files/2026-08/Part%20VIIIA%20Sep%2026.xls.xlsx" TargetMode="External"/><Relationship Id="rId280" Type="http://schemas.openxmlformats.org/officeDocument/2006/relationships/hyperlink" Target="https://dmd-browser.nhsbsa.nhs.uk/ampp/view/194984" TargetMode="External"/><Relationship Id="rId281" Type="http://schemas.openxmlformats.org/officeDocument/2006/relationships/hyperlink" Target="https://dmd-browser.nhsbsa.nhs.uk/ampp/view/101360" TargetMode="External"/><Relationship Id="rId282" Type="http://schemas.openxmlformats.org/officeDocument/2006/relationships/hyperlink" Target="https://www.aifa.gov.it/documents/20142/3815901/Classe_H_per_principio_attivo_30-04-2026.csv" TargetMode="External"/><Relationship Id="rId283" Type="http://schemas.openxmlformats.org/officeDocument/2006/relationships/hyperlink" Target="https://www.medicijnkosten.nl/medicijn?artikel=BRIVIACT+INF%2FINJVLST+10MG%2FML+FLACON+5ML&amp;id=8aa63cad90cad7246d95c19b8f6d410d" TargetMode="External"/><Relationship Id="rId284" Type="http://schemas.openxmlformats.org/officeDocument/2006/relationships/hyperlink" Target="https://www.aifa.gov.it/documents/20142/3815901/Classe_H_per_principio_attivo_30-04-2026.csv" TargetMode="External"/><Relationship Id="rId285" Type="http://schemas.openxmlformats.org/officeDocument/2006/relationships/hyperlink" Target="https://www.medicijnkosten.nl/medicijn?artikel=MELFALAN+AMAROX+INJ%2FINFUSIEPOEDER+FL50MG%2BSV+10ML&amp;id=35352a89252a9fdd69fd915f3d070528" TargetMode="External"/><Relationship Id="rId286" Type="http://schemas.openxmlformats.org/officeDocument/2006/relationships/hyperlink" Target="https://www.aifa.gov.it/documents/20142/3815901/Classe_H_per_principio_attivo_30-04-2026.csv" TargetMode="External"/><Relationship Id="rId287" Type="http://schemas.openxmlformats.org/officeDocument/2006/relationships/hyperlink" Target="https://www.aifa.gov.it/documents/20142/3815901/Classe_H_per_principio_attivo_30-04-2026.csv" TargetMode="External"/><Relationship Id="rId288" Type="http://schemas.openxmlformats.org/officeDocument/2006/relationships/hyperlink" Target="https://www.aifa.gov.it/documents/20142/3815901/Classe_H_per_principio_attivo_30-04-2026.csv" TargetMode="External"/><Relationship Id="rId289" Type="http://schemas.openxmlformats.org/officeDocument/2006/relationships/hyperlink" Target="https://www.aifa.gov.it/documents/20142/3815901/Classe_H_per_principio_attivo_30-04-2026.csv" TargetMode="External"/><Relationship Id="rId290" Type="http://schemas.openxmlformats.org/officeDocument/2006/relationships/hyperlink" Target="https://www.aponeo.de/rx/18660518-sugammadex-amarox-100-mg-ml-injektionsloesung.html" TargetMode="External"/><Relationship Id="rId291" Type="http://schemas.openxmlformats.org/officeDocument/2006/relationships/hyperlink" Target="https://www.aifa.gov.it/documents/20142/3815901/Classe_H_per_principio_attivo_30-04-2026.csv" TargetMode="External"/><Relationship Id="rId292" Type="http://schemas.openxmlformats.org/officeDocument/2006/relationships/hyperlink" Target="https://medicineprices.org.za/" TargetMode="External"/><Relationship Id="rId293" Type="http://schemas.openxmlformats.org/officeDocument/2006/relationships/hyperlink" Target="https://medicineprices.org.za/" TargetMode="External"/><Relationship Id="rId294" Type="http://schemas.openxmlformats.org/officeDocument/2006/relationships/hyperlink" Target="https://medicineprices.org.za/" TargetMode="External"/><Relationship Id="rId295" Type="http://schemas.openxmlformats.org/officeDocument/2006/relationships/hyperlink" Target="https://www.health.gov.za/nhi-pee/" TargetMode="External"/><Relationship Id="rId296" Type="http://schemas.openxmlformats.org/officeDocument/2006/relationships/hyperlink" Target="https://medicineprices.org.za/" TargetMode="External"/><Relationship Id="rId297" Type="http://schemas.openxmlformats.org/officeDocument/2006/relationships/hyperlink" Target="https://medicineprices.org.za/" TargetMode="External"/><Relationship Id="rId298" Type="http://schemas.openxmlformats.org/officeDocument/2006/relationships/hyperlink" Target="https://www.health.gov.za/nhi-pee/" TargetMode="External"/><Relationship Id="rId299" Type="http://schemas.openxmlformats.org/officeDocument/2006/relationships/hyperlink" Target="https://www.drugs.com/price-guide/ondansetron" TargetMode="External"/><Relationship Id="rId300" Type="http://schemas.openxmlformats.org/officeDocument/2006/relationships/hyperlink" Target="https://www.cms.gov/files/zip/october-2026-medicare-part-b-payment-limit-files-final.zip" TargetMode="External"/><Relationship Id="rId301" Type="http://schemas.openxmlformats.org/officeDocument/2006/relationships/hyperlink" Target="https://www.drugs.com/price-guide/bivalirudin" TargetMode="External"/><Relationship Id="rId302" Type="http://schemas.openxmlformats.org/officeDocument/2006/relationships/hyperlink" Target="https://www.drugs.com/price-guide/ibandronate" TargetMode="External"/><Relationship Id="rId303" Type="http://schemas.openxmlformats.org/officeDocument/2006/relationships/hyperlink" Target="https://www.drugs.com/price-guide/fulvestrant" TargetMode="External"/><Relationship Id="rId304" Type="http://schemas.openxmlformats.org/officeDocument/2006/relationships/hyperlink" Target="https://www.drugs.com/price-guide/argatroban" TargetMode="External"/><Relationship Id="rId305" Type="http://schemas.openxmlformats.org/officeDocument/2006/relationships/hyperlink" Target="https://www.drugs.com/price-guide/atropine" TargetMode="External"/><Relationship Id="rId306" Type="http://schemas.openxmlformats.org/officeDocument/2006/relationships/hyperlink" Target="https://www.drugs.com/price-guide/atropine" TargetMode="External"/><Relationship Id="rId307" Type="http://schemas.openxmlformats.org/officeDocument/2006/relationships/hyperlink" Target="https://www.drugs.com/price-guide/atropine" TargetMode="External"/><Relationship Id="rId308" Type="http://schemas.openxmlformats.org/officeDocument/2006/relationships/hyperlink" Target="https://www.drugs.com/price-guide/atropine" TargetMode="External"/><Relationship Id="rId309" Type="http://schemas.openxmlformats.org/officeDocument/2006/relationships/hyperlink" Target="https://www.drugs.com/price-guide/atropine" TargetMode="External"/><Relationship Id="rId310" Type="http://schemas.openxmlformats.org/officeDocument/2006/relationships/hyperlink" Target="https://www.drugs.com/price-guide/paricalcitol" TargetMode="External"/><Relationship Id="rId311" Type="http://schemas.openxmlformats.org/officeDocument/2006/relationships/hyperlink" Target="https://www.drugs.com/price-guide/paricalcitol" TargetMode="External"/><Relationship Id="rId312" Type="http://schemas.openxmlformats.org/officeDocument/2006/relationships/hyperlink" Target="https://www.cms.gov/files/zip/october-2026-medicare-part-b-payment-limit-files-final.zip" TargetMode="External"/><Relationship Id="rId313" Type="http://schemas.openxmlformats.org/officeDocument/2006/relationships/hyperlink" Target="https://dmd-browser.nhsbsa.nhs.uk/ampp/view/163290" TargetMode="External"/><Relationship Id="rId314" Type="http://schemas.openxmlformats.org/officeDocument/2006/relationships/hyperlink" Target="https://dmd-browser.nhsbsa.nhs.uk/ampp/view/173756" TargetMode="External"/><Relationship Id="rId315" Type="http://schemas.openxmlformats.org/officeDocument/2006/relationships/hyperlink" Target="https://www.nhsbsa.nhs.uk/sites/default/files/2026-08/Part%20VIIIA%20Sep%2026.xls.xlsx" TargetMode="External"/><Relationship Id="rId316" Type="http://schemas.openxmlformats.org/officeDocument/2006/relationships/hyperlink" Target="https://dmd-browser.nhsbsa.nhs.uk/ampp/view/195045" TargetMode="External"/><Relationship Id="rId317" Type="http://schemas.openxmlformats.org/officeDocument/2006/relationships/hyperlink" Target="https://dmd-browser.nhsbsa.nhs.uk/amp/view/140839?ref=bmFtZT1sZXZvdGh5cm94aW5lK3NvZGl1bSZzaG93SW52YWxpZEl0ZW1zPWZhbHNlJnNvcnRPcmRlcj1hbHBoYSZwYWdlPTExOCZzaXplPTEwMA%3D%3D" TargetMode="External"/><Relationship Id="rId318" Type="http://schemas.openxmlformats.org/officeDocument/2006/relationships/hyperlink" Target="https://dmd-browser.nhsbsa.nhs.uk/ampp/view/161756" TargetMode="External"/><Relationship Id="rId319" Type="http://schemas.openxmlformats.org/officeDocument/2006/relationships/hyperlink" Target="https://dmd-browser.nhsbsa.nhs.uk/ampp/view/185061" TargetMode="External"/><Relationship Id="rId320" Type="http://schemas.openxmlformats.org/officeDocument/2006/relationships/hyperlink" Target="https://dmd-browser.nhsbsa.nhs.uk/ampp/view/198886" TargetMode="External"/><Relationship Id="rId321" Type="http://schemas.openxmlformats.org/officeDocument/2006/relationships/hyperlink" Target="https://dmd-browser.nhsbsa.nhs.uk/ampp/view/208291" TargetMode="External"/><Relationship Id="rId322" Type="http://schemas.openxmlformats.org/officeDocument/2006/relationships/hyperlink" Target="https://dmd-browser.nhsbsa.nhs.uk/ampp/view/194984" TargetMode="External"/><Relationship Id="rId323" Type="http://schemas.openxmlformats.org/officeDocument/2006/relationships/hyperlink" Target="https://dmd-browser.nhsbsa.nhs.uk/ampp/view/197033" TargetMode="External"/><Relationship Id="rId324" Type="http://schemas.openxmlformats.org/officeDocument/2006/relationships/hyperlink" Target="https://dmd-browser.nhsbsa.nhs.uk/ampp/view/47446" TargetMode="External"/><Relationship Id="rId325" Type="http://schemas.openxmlformats.org/officeDocument/2006/relationships/hyperlink" Target="https://dmd-browser.nhsbsa.nhs.uk/ampp/view/180360" TargetMode="External"/><Relationship Id="rId326" Type="http://schemas.openxmlformats.org/officeDocument/2006/relationships/hyperlink" Target="https://dmd-browser.nhsbsa.nhs.uk/ampp/view/133567" TargetMode="External"/><Relationship Id="rId327" Type="http://schemas.openxmlformats.org/officeDocument/2006/relationships/hyperlink" Target="https://dmd-browser.nhsbsa.nhs.uk/ampp/view/90576" TargetMode="External"/><Relationship Id="rId328" Type="http://schemas.openxmlformats.org/officeDocument/2006/relationships/hyperlink" Target="https://dmd-browser.nhsbsa.nhs.uk/ampp/view/105990" TargetMode="External"/><Relationship Id="rId329" Type="http://schemas.openxmlformats.org/officeDocument/2006/relationships/hyperlink" Target="https://dmd-browser.nhsbsa.nhs.uk/ampp/view/189948" TargetMode="External"/><Relationship Id="rId330" Type="http://schemas.openxmlformats.org/officeDocument/2006/relationships/hyperlink" Target="https://dmd-browser.nhsbsa.nhs.uk/ampp/view/90547" TargetMode="External"/><Relationship Id="rId331" Type="http://schemas.openxmlformats.org/officeDocument/2006/relationships/hyperlink" Target="https://dmd-browser.nhsbsa.nhs.uk/ampp/view/183004/" TargetMode="External"/><Relationship Id="rId332" Type="http://schemas.openxmlformats.org/officeDocument/2006/relationships/hyperlink" Target="https://dmd-browser.nhsbsa.nhs.uk/ampp/view/209804" TargetMode="External"/><Relationship Id="rId333" Type="http://schemas.openxmlformats.org/officeDocument/2006/relationships/hyperlink" Target="https://www.nhsbsa.nhs.uk/sites/default/files/2026-08/Part%20VIIIA%20Sep%2026.xls.xlsx" TargetMode="External"/><Relationship Id="rId334" Type="http://schemas.openxmlformats.org/officeDocument/2006/relationships/hyperlink" Target="https://dmd-browser.nhsbsa.nhs.uk/ampp/view/161747" TargetMode="External"/><Relationship Id="rId335" Type="http://schemas.openxmlformats.org/officeDocument/2006/relationships/hyperlink" Target="https://dmd-browser.nhsbsa.nhs.uk/ampp/view/197277" TargetMode="External"/><Relationship Id="rId336" Type="http://schemas.openxmlformats.org/officeDocument/2006/relationships/hyperlink" Target="https://dmd-browser.nhsbsa.nhs.uk/ampp/view/190887" TargetMode="External"/><Relationship Id="rId337" Type="http://schemas.openxmlformats.org/officeDocument/2006/relationships/hyperlink" Target="https://www.my-marien-apotheke.de/produkt/adrenalin-1-10-000-aguettant-inj-lsg-i-e-fert-s-11587497" TargetMode="External"/><Relationship Id="rId338" Type="http://schemas.openxmlformats.org/officeDocument/2006/relationships/hyperlink" Target="https://www.nhsbsa.nhs.uk/sites/default/files/2026-09/Part%20VIIIA%20Oct%202026.xlsx" TargetMode="External"/><Relationship Id="rId339" Type="http://schemas.openxmlformats.org/officeDocument/2006/relationships/hyperlink" Target="https://www.aponeo.de/rx/04262642-atracurium-hikma-25-mg-2-5-ml-ampullen.html" TargetMode="External"/><Relationship Id="rId340" Type="http://schemas.openxmlformats.org/officeDocument/2006/relationships/hyperlink" Target="https://www.aponeo.de/rx/17518273-atropin-accord-100-ug-ml-inj-lsg-i-e-fertigspr.html" TargetMode="External"/><Relationship Id="rId341" Type="http://schemas.openxmlformats.org/officeDocument/2006/relationships/hyperlink" Target="https://www.aponeo.de/rx/17518273-atropin-accord-100-ug-ml-inj-lsg-i-e-fertigspr.html" TargetMode="External"/><Relationship Id="rId342" Type="http://schemas.openxmlformats.org/officeDocument/2006/relationships/hyperlink" Target="https://www.aifa.gov.it/documents/20142/3815901/Classe_H_per_principio_attivo_30-04-2026.csv" TargetMode="External"/><Relationship Id="rId343" Type="http://schemas.openxmlformats.org/officeDocument/2006/relationships/hyperlink" Target="https://www.aifa.gov.it/documents/20142/3815901/Classe_H_per_principio_attivo_30-04-2026.csv" TargetMode="External"/><Relationship Id="rId344" Type="http://schemas.openxmlformats.org/officeDocument/2006/relationships/hyperlink" Target="https://www.kuchler-apotheken.de/bleomycin-accord-15.000-i.e.-p.z.h.e.inj.-inf.-l./15883146" TargetMode="External"/><Relationship Id="rId345" Type="http://schemas.openxmlformats.org/officeDocument/2006/relationships/hyperlink" Target="https://www.aifa.gov.it/documents/20142/3815901/Classe_H_per_principio_attivo_30-04-2026.csv" TargetMode="External"/><Relationship Id="rId346" Type="http://schemas.openxmlformats.org/officeDocument/2006/relationships/hyperlink" Target="https://www.aponeo.de/rx/17518209-camcevi-21-mg-3-monats-depot-inj-susp-fertigspr.html" TargetMode="External"/><Relationship Id="rId347" Type="http://schemas.openxmlformats.org/officeDocument/2006/relationships/hyperlink" Target="https://www.aifa.gov.it/documents/20142/3815901/Classe_H_per_principio_attivo_30-04-2026.csv" TargetMode="External"/><Relationship Id="rId348" Type="http://schemas.openxmlformats.org/officeDocument/2006/relationships/hyperlink" Target="https://www.aifa.gov.it/documents/20142/3815901/Classe_H_per_principio_attivo_30-04-2026.csv" TargetMode="External"/><Relationship Id="rId349" Type="http://schemas.openxmlformats.org/officeDocument/2006/relationships/hyperlink" Target="https://www.aifa.gov.it/documents/20142/3815901/Classe_A_per_principio_attivo_31-05-2026.csv" TargetMode="External"/><Relationship Id="rId350" Type="http://schemas.openxmlformats.org/officeDocument/2006/relationships/hyperlink" Target="https://www.medicinpriser.dk/Default.aspx?VirksomtStof=Colistin" TargetMode="External"/><Relationship Id="rId351" Type="http://schemas.openxmlformats.org/officeDocument/2006/relationships/hyperlink" Target="https://www.aifa.gov.it/documents/20142/3815901/Classe_H_per_principio_attivo_30-04-2026.csv" TargetMode="External"/><Relationship Id="rId352" Type="http://schemas.openxmlformats.org/officeDocument/2006/relationships/hyperlink" Target="https://base-donnees-publique.medicaments.gouv.fr/medicament/65505947/extrait" TargetMode="External"/><Relationship Id="rId353" Type="http://schemas.openxmlformats.org/officeDocument/2006/relationships/hyperlink" Target="https://www.aifa.gov.it/documents/20142/3815901/Classe_H_per_principio_attivo_30-04-2026.csv" TargetMode="External"/><Relationship Id="rId354" Type="http://schemas.openxmlformats.org/officeDocument/2006/relationships/hyperlink" Target="https://www.aifa.gov.it/documents/20142/3815901/Classe_H_per_principio_attivo_30-04-2026.csv" TargetMode="External"/><Relationship Id="rId355" Type="http://schemas.openxmlformats.org/officeDocument/2006/relationships/hyperlink" Target="https://www.medicinpriser.dk/Default.aspx?VirksomtStof=Eptifibatid" TargetMode="External"/><Relationship Id="rId356" Type="http://schemas.openxmlformats.org/officeDocument/2006/relationships/hyperlink" Target="https://www.aifa.gov.it/documents/20142/3815901/Classe_H_per_principio_attivo_30-04-2026.csv" TargetMode="External"/><Relationship Id="rId357" Type="http://schemas.openxmlformats.org/officeDocument/2006/relationships/hyperlink" Target="https://www.aifa.gov.it/documents/20142/3815901/Classe_H_per_principio_attivo_30-04-2026.csv" TargetMode="External"/><Relationship Id="rId358" Type="http://schemas.openxmlformats.org/officeDocument/2006/relationships/hyperlink" Target="https://www.aponeo.de/rx/08630485-staphylex-injektion-500-mg-plv-z-h-e-inj-inf-l.html" TargetMode="External"/><Relationship Id="rId359" Type="http://schemas.openxmlformats.org/officeDocument/2006/relationships/hyperlink" Target="https://www.aifa.gov.it/documents/20142/3815901/Classe_H_per_principio_attivo_30-04-2026.csv" TargetMode="External"/><Relationship Id="rId360" Type="http://schemas.openxmlformats.org/officeDocument/2006/relationships/hyperlink" Target="https://www.aifa.gov.it/documents/20142/3815901/Classe_H_per_principio_attivo_30-04-2026.csv" TargetMode="External"/><Relationship Id="rId361" Type="http://schemas.openxmlformats.org/officeDocument/2006/relationships/hyperlink" Target="https://www.apoteket.dk/medicin/laegemidler/hydroxocobalamin-alternova" TargetMode="External"/><Relationship Id="rId362" Type="http://schemas.openxmlformats.org/officeDocument/2006/relationships/hyperlink" Target="https://www.aifa.gov.it/documents/20142/3815901/Classe_H_per_principio_attivo_30-04-2026.csv" TargetMode="External"/><Relationship Id="rId363" Type="http://schemas.openxmlformats.org/officeDocument/2006/relationships/hyperlink" Target="https://www.aifa.gov.it/documents/20142/3815901/Classe_H_per_principio_attivo_30-04-2026.csv" TargetMode="External"/><Relationship Id="rId364" Type="http://schemas.openxmlformats.org/officeDocument/2006/relationships/hyperlink" Target="https://www.medicijnkosten.nl/medicijn?artikel=MELFALAN+AMAROX+INJ%2FINFUSIEPOEDER+FL50MG%2BSV+10ML&amp;id=35352a89252a9fdd69fd915f3d070528" TargetMode="External"/><Relationship Id="rId365" Type="http://schemas.openxmlformats.org/officeDocument/2006/relationships/hyperlink" Target="https://www.aifa.gov.it/documents/20142/3815901/Classe_H_per_principio_attivo_30-04-2026.csv" TargetMode="External"/><Relationship Id="rId366" Type="http://schemas.openxmlformats.org/officeDocument/2006/relationships/hyperlink" Target="https://www.aifa.gov.it/documents/20142/3815901/Classe_H_per_principio_attivo_30-04-2026.csv" TargetMode="External"/><Relationship Id="rId367" Type="http://schemas.openxmlformats.org/officeDocument/2006/relationships/hyperlink" Target="https://www.aifa.gov.it/documents/20142/3815901/Classe_H_per_principio_attivo_30-04-2026.csv" TargetMode="External"/><Relationship Id="rId368" Type="http://schemas.openxmlformats.org/officeDocument/2006/relationships/hyperlink" Target="https://www.aifa.gov.it/documents/20142/3815901/Classe_H_per_principio_attivo_30-04-2026.csv" TargetMode="External"/><Relationship Id="rId369" Type="http://schemas.openxmlformats.org/officeDocument/2006/relationships/hyperlink" Target="https://www.aifa.gov.it/documents/20142/3815901/Classe_H_per_principio_attivo_30-04-2026.csv" TargetMode="External"/><Relationship Id="rId370" Type="http://schemas.openxmlformats.org/officeDocument/2006/relationships/hyperlink" Target="https://www.aifa.gov.it/documents/20142/3815901/Classe_H_per_principio_attivo_30-04-2026.csv" TargetMode="External"/><Relationship Id="rId371" Type="http://schemas.openxmlformats.org/officeDocument/2006/relationships/hyperlink" Target="https://openprescribing.net/dmd/ampp/23595411000001105" TargetMode="External"/><Relationship Id="rId372" Type="http://schemas.openxmlformats.org/officeDocument/2006/relationships/hyperlink" Target="https://www.aifa.gov.it/documents/20142/3815901/Classe_H_per_principio_attivo_30-04-2026.csv" TargetMode="External"/><Relationship Id="rId373" Type="http://schemas.openxmlformats.org/officeDocument/2006/relationships/hyperlink" Target="https://www.aifa.gov.it/documents/20142/3815901/Classe_H_per_principio_attivo_30-04-2026.csv" TargetMode="External"/><Relationship Id="rId374" Type="http://schemas.openxmlformats.org/officeDocument/2006/relationships/hyperlink" Target="https://www.aifa.gov.it/documents/20142/3815901/Classe_H_per_principio_attivo_30-04-2026.csv" TargetMode="External"/><Relationship Id="rId375" Type="http://schemas.openxmlformats.org/officeDocument/2006/relationships/hyperlink" Target="https://www.aifa.gov.it/documents/20142/3815901/Classe_A_per_principio_attivo_30-04-2026.csv" TargetMode="External"/><Relationship Id="rId376" Type="http://schemas.openxmlformats.org/officeDocument/2006/relationships/hyperlink" Target="https://www.aifa.gov.it/documents/20142/3815901/Classe_H_per_principio_attivo_30-04-2026.csv" TargetMode="External"/><Relationship Id="rId377" Type="http://schemas.openxmlformats.org/officeDocument/2006/relationships/hyperlink" Target="https://www.aifa.gov.it/documents/20142/3815901/Classe_H_per_principio_attivo_30-04-2026.csv" TargetMode="External"/><Relationship Id="rId378" Type="http://schemas.openxmlformats.org/officeDocument/2006/relationships/hyperlink" Target="https://www.ab.bluecross.ca/dbl/pdfs/ABCDPL_2026_01_07.pdf" TargetMode="External"/><Relationship Id="rId379" Type="http://schemas.openxmlformats.org/officeDocument/2006/relationships/hyperlink" Target="https://www.ncbi.nlm.nih.gov/books/NBK611313/table/tr8269868067037182_ch02_t09/" TargetMode="External"/><Relationship Id="rId380" Type="http://schemas.openxmlformats.org/officeDocument/2006/relationships/hyperlink" Target="https://www.ab.bluecross.ca/dbl/pdfs/ABCDPL_2026_04_07.pdf" TargetMode="External"/><Relationship Id="rId381" Type="http://schemas.openxmlformats.org/officeDocument/2006/relationships/hyperlink" Target="https://www.ncbi.nlm.nih.gov/books/NBK601789/table/tr826986112990278_ch02_t06/" TargetMode="External"/><Relationship Id="rId382" Type="http://schemas.openxmlformats.org/officeDocument/2006/relationships/hyperlink" Target="https://www.formulary.health.gov.on.ca/formulary/detail.xhtml?drugId=02464365" TargetMode="External"/><Relationship Id="rId383" Type="http://schemas.openxmlformats.org/officeDocument/2006/relationships/hyperlink" Target="https://www.ab.bluecross.ca/dbl/pdfs/ABCDPL_2026_04_07.pdf" TargetMode="External"/><Relationship Id="rId384" Type="http://schemas.openxmlformats.org/officeDocument/2006/relationships/hyperlink" Target="https://www.ab.bluecross.ca/dbl/pdfs/ABCDPL_2026_09_04.pdf" TargetMode="External"/><Relationship Id="rId385" Type="http://schemas.openxmlformats.org/officeDocument/2006/relationships/hyperlink" Target="https://www.ab.bluecross.ca/dbl/pdfs/ABCDPL_2026_09_04.pdf" TargetMode="External"/><Relationship Id="rId386" Type="http://schemas.openxmlformats.org/officeDocument/2006/relationships/hyperlink" Target="https://www.formulary.health.gov.on.ca/formulary/detail.xhtml?drugId=02491281" TargetMode="External"/><Relationship Id="rId387" Type="http://schemas.openxmlformats.org/officeDocument/2006/relationships/hyperlink" Target="https://www.formulary.health.gov.on.ca/formulary/detail.xhtml?drugId=02491303" TargetMode="External"/><Relationship Id="rId388" Type="http://schemas.openxmlformats.org/officeDocument/2006/relationships/hyperlink" Target="https://www.pbs.gov.au/industry/pricing/price-disclosure-spd/current-price-disclosure-cycle" TargetMode="External"/><Relationship Id="rId389" Type="http://schemas.openxmlformats.org/officeDocument/2006/relationships/hyperlink" Target="https://www.pbs.gov.au/industry/pricing/price-disclosure-spd/current-price-disclosure-cycle" TargetMode="External"/><Relationship Id="rId390" Type="http://schemas.openxmlformats.org/officeDocument/2006/relationships/hyperlink" Target="https://www.pbs.gov.au/industry/pricing/ex-manufacturer-price/2026/09/ex-manufacturer-prices-efc-2026-09-01.XLSX" TargetMode="External"/><Relationship Id="rId391" Type="http://schemas.openxmlformats.org/officeDocument/2006/relationships/hyperlink" Target="https://department.va.gov/procurement-acquisition-and-logistics/wp-content/uploads/sites/56/2026/10/TPharmPrices2026-10-01.xlsx" TargetMode="External"/><Relationship Id="rId392" Type="http://schemas.openxmlformats.org/officeDocument/2006/relationships/hyperlink" Target="https://www.cms.gov/files/zip/october-2026-medicare-part-b-payment-limit-files-final.zip" TargetMode="External"/><Relationship Id="rId393" Type="http://schemas.openxmlformats.org/officeDocument/2006/relationships/hyperlink" Target="https://www.chemistwarehouse.com.au/buy/90218/midazolam-5mg-ml-injection-10-midazolam" TargetMode="External"/><Relationship Id="rId394" Type="http://schemas.openxmlformats.org/officeDocument/2006/relationships/hyperlink" Target="https://www.nhsbsa.nhs.uk/sites/default/files/2026-09/Part%20VIIIA%20Oct%202026.xlsx" TargetMode="External"/><Relationship Id="rId395" Type="http://schemas.openxmlformats.org/officeDocument/2006/relationships/hyperlink" Target="https://www.nhsbsa.nhs.uk/sites/default/files/2026-09/Part%20VIIIA%20Oct%202026.xlsx" TargetMode="External"/><Relationship Id="rId396" Type="http://schemas.openxmlformats.org/officeDocument/2006/relationships/hyperlink" Target="https://www.nhsbsa.nhs.uk/sites/default/files/2026-09/Part%20VIIIA%20Oct%202026.xlsx" TargetMode="External"/><Relationship Id="rId397" Type="http://schemas.openxmlformats.org/officeDocument/2006/relationships/hyperlink" Target="https://www.nhsbsa.nhs.uk/sites/default/files/2026-09/Part%20VIIIA%20Oct%202026.xlsx" TargetMode="External"/><Relationship Id="rId398" Type="http://schemas.openxmlformats.org/officeDocument/2006/relationships/hyperlink" Target="https://www.pbs.gov.au/industry/pricing/ex-manufacturer-price/2026/09/ex-manufacturer-prices-efc-2026-09-01.XLSX" TargetMode="External"/><Relationship Id="rId399" Type="http://schemas.openxmlformats.org/officeDocument/2006/relationships/hyperlink" Target="https://www.pbs.gov.au/industry/pricing/ex-manufacturer-price/2026/09/ex-manufacturer-prices-non-efc-2026-09-01.XLSX" TargetMode="External"/><Relationship Id="rId400" Type="http://schemas.openxmlformats.org/officeDocument/2006/relationships/hyperlink" Target="https://www.nhsbsa.nhs.uk/sites/default/files/2026-09/Part%20VIIIA%20Oct%202026.xlsx" TargetMode="External"/><Relationship Id="rId401" Type="http://schemas.openxmlformats.org/officeDocument/2006/relationships/hyperlink" Target="https://www.pbs.gov.au/industry/pricing/ex-manufacturer-price/2026/09/ex-manufacturer-prices-efc-2026-09-01.XLSX" TargetMode="External"/><Relationship Id="rId402" Type="http://schemas.openxmlformats.org/officeDocument/2006/relationships/hyperlink" Target="https://www.pbs.gov.au/industry/pricing/ex-manufacturer-price/2026/09/ex-manufacturer-prices-efc-2026-09-01.XLSX" TargetMode="External"/><Relationship Id="rId403" Type="http://schemas.openxmlformats.org/officeDocument/2006/relationships/hyperlink" Target="https://www.pbs.gov.au/industry/pricing/ex-manufacturer-price/2026/09/ex-manufacturer-prices-efc-2026-09-01.XLSX" TargetMode="External"/><Relationship Id="rId404" Type="http://schemas.openxmlformats.org/officeDocument/2006/relationships/hyperlink" Target="https://www.pbs.gov.au/industry/pricing/ex-manufacturer-price/2026/09/ex-manufacturer-prices-efc-2026-09-01.XLSX" TargetMode="External"/><Relationship Id="rId405" Type="http://schemas.openxmlformats.org/officeDocument/2006/relationships/hyperlink" Target="https://www.pbs.gov.au/industry/pricing/ex-manufacturer-price/2026/09/ex-manufacturer-prices-non-efc-2026-09-01.XLSX" TargetMode="External"/><Relationship Id="rId406" Type="http://schemas.openxmlformats.org/officeDocument/2006/relationships/hyperlink" Target="https://www.pbs.gov.au/industry/pricing/ex-manufacturer-price/2026/09/ex-manufacturer-prices-efc-2026-09-01.XLSX" TargetMode="External"/><Relationship Id="rId407" Type="http://schemas.openxmlformats.org/officeDocument/2006/relationships/hyperlink" Target="https://www.health.gov.za/nhi-pee/" TargetMode="External"/><Relationship Id="rId408" Type="http://schemas.openxmlformats.org/officeDocument/2006/relationships/hyperlink" Target="https://medicineprices.org.za/" TargetMode="External"/><Relationship Id="rId409" Type="http://schemas.openxmlformats.org/officeDocument/2006/relationships/hyperlink" Target="https://medicineprices.org.za/" TargetMode="External"/><Relationship Id="rId410" Type="http://schemas.openxmlformats.org/officeDocument/2006/relationships/hyperlink" Target="https://www.health.gov.za/nhi-pee/" TargetMode="External"/><Relationship Id="rId411" Type="http://schemas.openxmlformats.org/officeDocument/2006/relationships/hyperlink" Target="https://www.health.gov.za/nhi-pee/" TargetMode="External"/><Relationship Id="rId412" Type="http://schemas.openxmlformats.org/officeDocument/2006/relationships/hyperlink" Target="https://medicineprices.org.za/" TargetMode="External"/><Relationship Id="rId413" Type="http://schemas.openxmlformats.org/officeDocument/2006/relationships/hyperlink" Target="https://www.health.gov.za/nhi-pee/" TargetMode="External"/><Relationship Id="rId414" Type="http://schemas.openxmlformats.org/officeDocument/2006/relationships/hyperlink" Target="https://www.health.gov.za/nhi-pee/" TargetMode="External"/><Relationship Id="rId415" Type="http://schemas.openxmlformats.org/officeDocument/2006/relationships/hyperlink" Target="https://www.health.gov.za/nhi-pee/" TargetMode="External"/><Relationship Id="rId416" Type="http://schemas.openxmlformats.org/officeDocument/2006/relationships/hyperlink" Target="https://www.health.gov.za/nhi-pee/" TargetMode="External"/><Relationship Id="rId417" Type="http://schemas.openxmlformats.org/officeDocument/2006/relationships/hyperlink" Target="https://www.health.gov.za/nhi-pee/" TargetMode="External"/><Relationship Id="rId418" Type="http://schemas.openxmlformats.org/officeDocument/2006/relationships/hyperlink" Target="https://medicineprices.org.za/" TargetMode="External"/><Relationship Id="rId419" Type="http://schemas.openxmlformats.org/officeDocument/2006/relationships/hyperlink" Target="https://medicineprices.org.za/" TargetMode="External"/><Relationship Id="rId420" Type="http://schemas.openxmlformats.org/officeDocument/2006/relationships/hyperlink" Target="https://www.health.gov.za/nhi-pee/" TargetMode="External"/><Relationship Id="rId421" Type="http://schemas.openxmlformats.org/officeDocument/2006/relationships/hyperlink" Target="https://www.health.gov.za/nhi-pee/" TargetMode="External"/><Relationship Id="rId422" Type="http://schemas.openxmlformats.org/officeDocument/2006/relationships/hyperlink" Target="https://www.cms.gov/files/zip/october-2026-medicare-part-b-payment-limit-files-final.zip" TargetMode="External"/><Relationship Id="rId423" Type="http://schemas.openxmlformats.org/officeDocument/2006/relationships/hyperlink" Target="https://www.cms.gov/files/zip/october-2026-medicare-part-b-payment-limit-files-final.zip" TargetMode="External"/><Relationship Id="rId424" Type="http://schemas.openxmlformats.org/officeDocument/2006/relationships/hyperlink" Target="https://www.drugs.com/price-guide/sugammadex" TargetMode="External"/><Relationship Id="rId425" Type="http://schemas.openxmlformats.org/officeDocument/2006/relationships/hyperlink" Target="https://www.drugs.com/price-guide/sugammadex" TargetMode="External"/><Relationship Id="rId426" Type="http://schemas.openxmlformats.org/officeDocument/2006/relationships/hyperlink" Target="https://michaelschemist.com.au/products/zyprexavl10mg1" TargetMode="External"/><Relationship Id="rId427" Type="http://schemas.openxmlformats.org/officeDocument/2006/relationships/hyperlink" Target="https://www.cms.gov/files/zip/october-2026-medicare-part-b-payment-limit-files-final.zip" TargetMode="External"/><Relationship Id="rId428" Type="http://schemas.openxmlformats.org/officeDocument/2006/relationships/hyperlink" Target="https://www.cms.gov/files/zip/october-2026-medicare-part-b-payment-limit-files-final.zip" TargetMode="External"/><Relationship Id="rId429" Type="http://schemas.openxmlformats.org/officeDocument/2006/relationships/hyperlink" Target="https://www.pbs.gov.au/industry/pricing/ex-manufacturer-price/2026/10/ex-manufacturer-prices-non-efc-2026-10-01.XLSX" TargetMode="External"/><Relationship Id="rId430" Type="http://schemas.openxmlformats.org/officeDocument/2006/relationships/hyperlink" Target="https://michaelschemist.com.au/products/teicoplaninpwdrforinj400mg1" TargetMode="External"/><Relationship Id="rId431" Type="http://schemas.openxmlformats.org/officeDocument/2006/relationships/hyperlink" Target="https://www.cms.gov/files/zip/october-2026-medicare-part-b-payment-limit-files-final.zip" TargetMode="External"/><Relationship Id="rId432" Type="http://schemas.openxmlformats.org/officeDocument/2006/relationships/hyperlink" Target="https://www.cms.gov/files/zip/october-2026-medicare-part-b-payment-limit-files-final.zip" TargetMode="External"/><Relationship Id="rId433" Type="http://schemas.openxmlformats.org/officeDocument/2006/relationships/hyperlink" Target="https://department.va.gov/procurement-acquisition-and-logistics/wp-content/uploads/sites/56/2026/10/TPharmPrices2026-10-01.xlsx" TargetMode="External"/><Relationship Id="rId434" Type="http://schemas.openxmlformats.org/officeDocument/2006/relationships/hyperlink" Target="https://michaelschemist.com.au/products/meropenemran500mginj5" TargetMode="External"/><Relationship Id="rId435" Type="http://schemas.openxmlformats.org/officeDocument/2006/relationships/hyperlink" Target="https://www.medshop.com.au/products/meropenem-ranbaxy-1g-vial-5-meropenem-1000mg-vial" TargetMode="External"/><Relationship Id="rId436" Type="http://schemas.openxmlformats.org/officeDocument/2006/relationships/hyperlink" Target="https://www.cms.gov/files/zip/october-2026-medicare-part-b-payment-limit-files-final.zip" TargetMode="External"/><Relationship Id="rId437" Type="http://schemas.openxmlformats.org/officeDocument/2006/relationships/hyperlink" Target="https://www.cms.gov/files/zip/october-2026-medicare-part-b-payment-limit-files-final.zip" TargetMode="External"/><Relationship Id="rId438" Type="http://schemas.openxmlformats.org/officeDocument/2006/relationships/hyperlink" Target="https://www.healthylife.com.au/products/oxytocin-generic-10iu1ml-x-5-ampoules" TargetMode="External"/><Relationship Id="rId439" Type="http://schemas.openxmlformats.org/officeDocument/2006/relationships/hyperlink" Target="https://www.cms.gov/files/zip/october-2026-medicare-part-b-payment-limit-files-final.zip" TargetMode="External"/><Relationship Id="rId440" Type="http://schemas.openxmlformats.org/officeDocument/2006/relationships/hyperlink" Target="https://michaelschemist.com.au/products/rapifenalfentanil1mg2f2mlampx5" TargetMode="External"/><Relationship Id="rId441" Type="http://schemas.openxmlformats.org/officeDocument/2006/relationships/hyperlink" Target="https://department.va.gov/procurement-acquisition-and-logistics/wp-content/uploads/sites/56/2026/10/TPharmPrices2026-10-01.xlsx" TargetMode="External"/><Relationship Id="rId442" Type="http://schemas.openxmlformats.org/officeDocument/2006/relationships/hyperlink" Target="https://medicineprices.org.za/" TargetMode="External"/><Relationship Id="rId443" Type="http://schemas.openxmlformats.org/officeDocument/2006/relationships/hyperlink" Target="https://www.health.gov.za/nhi-pee/" TargetMode="External"/><Relationship Id="rId444" Type="http://schemas.openxmlformats.org/officeDocument/2006/relationships/hyperlink" Target="https://www.health.gov.za/nhi-pee/" TargetMode="External"/><Relationship Id="rId445" Type="http://schemas.openxmlformats.org/officeDocument/2006/relationships/hyperlink" Target="https://medicineprices.org.za/" TargetMode="External"/><Relationship Id="rId446" Type="http://schemas.openxmlformats.org/officeDocument/2006/relationships/hyperlink" Target="https://medicineprices.org.za/" TargetMode="External"/><Relationship Id="rId447" Type="http://schemas.openxmlformats.org/officeDocument/2006/relationships/hyperlink" Target="https://medicineprices.org.za/" TargetMode="External"/><Relationship Id="rId448" Type="http://schemas.openxmlformats.org/officeDocument/2006/relationships/hyperlink" Target="https://medicineprices.org.za/" TargetMode="External"/><Relationship Id="rId449" Type="http://schemas.openxmlformats.org/officeDocument/2006/relationships/hyperlink" Target="https://www.health.gov.za/nhi-pee/" TargetMode="External"/><Relationship Id="rId450" Type="http://schemas.openxmlformats.org/officeDocument/2006/relationships/hyperlink" Target="https://www.health.gov.za/nhi-pee/" TargetMode="External"/><Relationship Id="rId451" Type="http://schemas.openxmlformats.org/officeDocument/2006/relationships/hyperlink" Target="https://www.health.gov.za/nhi-pee/" TargetMode="External"/><Relationship Id="rId452" Type="http://schemas.openxmlformats.org/officeDocument/2006/relationships/hyperlink" Target="https://www.drugs.com/price-guide/carboprost" TargetMode="External"/><Relationship Id="rId453" Type="http://schemas.openxmlformats.org/officeDocument/2006/relationships/hyperlink" Target="https://www.mountainside-medical.com/products/diphenhydramine-injection-50-mg-ml-single-dose-vials-1-ml-x-25-pack" TargetMode="External"/><Relationship Id="rId454" Type="http://schemas.openxmlformats.org/officeDocument/2006/relationships/hyperlink" Target="https://www.drugs.com/price-guide/isoproterenol" TargetMode="External"/><Relationship Id="rId455" Type="http://schemas.openxmlformats.org/officeDocument/2006/relationships/hyperlink" Target="https://www.drugs.com/price-guide/lincomycin" TargetMode="External"/><Relationship Id="rId456" Type="http://schemas.openxmlformats.org/officeDocument/2006/relationships/hyperlink" Target="https://department.va.gov/procurement-acquisition-and-logistics/wp-content/uploads/sites/56/2026/10/TPharmPrices2026-10-01.xlsx" TargetMode="External"/><Relationship Id="rId457" Type="http://schemas.openxmlformats.org/officeDocument/2006/relationships/hyperlink" Target="https://www.drugs.com/price-guide/brivaracetam" TargetMode="External"/><Relationship Id="rId458" Type="http://schemas.openxmlformats.org/officeDocument/2006/relationships/hyperlink" Target="https://www.drugs.com/price-guide/verapamil" TargetMode="External"/><Relationship Id="rId459" Type="http://schemas.openxmlformats.org/officeDocument/2006/relationships/hyperlink" Target="https://www.drugs.com/price-guide/verapamil" TargetMode="External"/><Relationship Id="rId460" Type="http://schemas.openxmlformats.org/officeDocument/2006/relationships/hyperlink" Target="https://www.medicinpriser.dk/Default.aspx?VirksomtStof=Caffein&amp;lng=2" TargetMode="External"/><Relationship Id="rId461" Type="http://schemas.openxmlformats.org/officeDocument/2006/relationships/hyperlink" Target="https://www.medicinpriser.dk/Default.aspx?VirksomtStof=Caffein&amp;lng=2" TargetMode="External"/><Relationship Id="rId462" Type="http://schemas.openxmlformats.org/officeDocument/2006/relationships/hyperlink" Target="https://michaelschemist.com.au/products/valoidinj50mg2f1ml5" TargetMode="External"/><Relationship Id="rId463" Type="http://schemas.openxmlformats.org/officeDocument/2006/relationships/hyperlink" Target="https://www.medshop.com.au/products/levetiracetam-500mg5ml-vial-10-levetiracetam-500mg5ml-vial" TargetMode="External"/><Relationship Id="rId464" Type="http://schemas.openxmlformats.org/officeDocument/2006/relationships/hyperlink" Target="https://www.drugs.com/price-guide/chlorpromazine" TargetMode="External"/><Relationship Id="rId465" Type="http://schemas.openxmlformats.org/officeDocument/2006/relationships/hyperlink" Target="https://www.drugs.com/price-guide/fluphenazine" TargetMode="External"/><Relationship Id="rId466" Type="http://schemas.openxmlformats.org/officeDocument/2006/relationships/hyperlink" Target="https://www.drugs.com/price-guide/bortezomib" TargetMode="External"/><Relationship Id="rId467" Type="http://schemas.openxmlformats.org/officeDocument/2006/relationships/hyperlink" Target="https://www.drugs.com/price-guide/brivaracetam" TargetMode="External"/><Relationship Id="rId468" Type="http://schemas.openxmlformats.org/officeDocument/2006/relationships/hyperlink" Target="https://www.drugs.com/price-guide/sugammadex" TargetMode="External"/><Relationship Id="rId469" Type="http://schemas.openxmlformats.org/officeDocument/2006/relationships/hyperlink" Target="https://www.drugs.com/price-guide/sugammadex" TargetMode="External"/><Relationship Id="rId470" Type="http://schemas.openxmlformats.org/officeDocument/2006/relationships/hyperlink" Target="https://www.drugs.com/price-guide/plerixafor" TargetMode="External"/><Relationship Id="rId471" Type="http://schemas.openxmlformats.org/officeDocument/2006/relationships/hyperlink" Target="https://dmd-browser.nhsbsa.nhs.uk/ampp/view/208635" TargetMode="External"/><Relationship Id="rId472" Type="http://schemas.openxmlformats.org/officeDocument/2006/relationships/hyperlink" Target="https://dmd-browser.nhsbsa.nhs.uk/ampp/view/203257" TargetMode="External"/><Relationship Id="rId473" Type="http://schemas.openxmlformats.org/officeDocument/2006/relationships/hyperlink" Target="https://dmd-browser.nhsbsa.nhs.uk/ampp/view/204692" TargetMode="External"/><Relationship Id="rId474" Type="http://schemas.openxmlformats.org/officeDocument/2006/relationships/hyperlink" Target="https://zoek.officielebekendmakingen.nl/stcrt-2026-7257.html" TargetMode="External"/><Relationship Id="rId475" Type="http://schemas.openxmlformats.org/officeDocument/2006/relationships/hyperlink" Target="https://www.pbs.gov.au/industry/pricing/ex-manufacturer-price/2026/09/ex-manufacturer-prices-efc-2026-09-01.XLSX" TargetMode="External"/><Relationship Id="rId476" Type="http://schemas.openxmlformats.org/officeDocument/2006/relationships/hyperlink" Target="https://www.drugs.com/price-guide/bupivacaine" TargetMode="External"/><Relationship Id="rId477" Type="http://schemas.openxmlformats.org/officeDocument/2006/relationships/hyperlink" Target="https://www.drugs.com/price-guide/bupivacaine" TargetMode="External"/><Relationship Id="rId478" Type="http://schemas.openxmlformats.org/officeDocument/2006/relationships/hyperlink" Target="https://www.drugs.com/price-guide/carboprost" TargetMode="External"/><Relationship Id="rId479" Type="http://schemas.openxmlformats.org/officeDocument/2006/relationships/hyperlink" Target="https://department.va.gov/procurement-acquisition-and-logistics/wp-content/uploads/sites/56/2026/10/TPharmPrices2026-10-01.xlsx" TargetMode="External"/><Relationship Id="rId480" Type="http://schemas.openxmlformats.org/officeDocument/2006/relationships/hyperlink" Target="https://www.drugs.com/price-guide/nafcillin" TargetMode="External"/><Relationship Id="rId481" Type="http://schemas.openxmlformats.org/officeDocument/2006/relationships/hyperlink" Target="https://www.drugs.com/price-guide/nafcillin" TargetMode="External"/><Relationship Id="rId482" Type="http://schemas.openxmlformats.org/officeDocument/2006/relationships/hyperlink" Target="https://www.aponeo.de/rx/19949801-meropenem-hexal-500-mg-plv-z-her-e-inj-o-inf-lsg.html" TargetMode="External"/><Relationship Id="rId483" Type="http://schemas.openxmlformats.org/officeDocument/2006/relationships/hyperlink" Target="https://www.aifa.gov.it/documents/20142/3815901/Classe_H_per_principio_attivo_30-04-2026.csv" TargetMode="External"/><Relationship Id="rId484" Type="http://schemas.openxmlformats.org/officeDocument/2006/relationships/hyperlink" Target="https://www.aponeo.de/rx/19949801-meropenem-hexal-500-mg-plv-z-her-e-inj-o-inf-lsg.html" TargetMode="External"/><Relationship Id="rId485" Type="http://schemas.openxmlformats.org/officeDocument/2006/relationships/hyperlink" Target="https://www.drugs.com/price-guide/cisatracurium" TargetMode="External"/><Relationship Id="rId486" Type="http://schemas.openxmlformats.org/officeDocument/2006/relationships/hyperlink" Target="https://www.drugs.com/price-guide/cisatracurium" TargetMode="External"/><Relationship Id="rId487" Type="http://schemas.openxmlformats.org/officeDocument/2006/relationships/hyperlink" Target="https://department.va.gov/procurement-acquisition-and-logistics/wp-content/uploads/sites/56/2026/10/TPharmPrices2026-10-01.xlsx" TargetMode="External"/><Relationship Id="rId488" Type="http://schemas.openxmlformats.org/officeDocument/2006/relationships/hyperlink" Target="https://dmd-browser.nhsbsa.nhs.uk/ampp/view/195045" TargetMode="External"/><Relationship Id="rId489" Type="http://schemas.openxmlformats.org/officeDocument/2006/relationships/hyperlink" Target="https://medicineprices.org.za/" TargetMode="External"/><Relationship Id="rId490" Type="http://schemas.openxmlformats.org/officeDocument/2006/relationships/hyperlink" Target="https://mediately.co/it/drugs/3ytjMRFtaIbVwcIRVFvxl1oiBXA/alfentanil-piramal-5-fiale-ev-10-ml-0-5-mg-ml" TargetMode="External"/><Relationship Id="rId491" Type="http://schemas.openxmlformats.org/officeDocument/2006/relationships/hyperlink" Target="https://www.shop-apotheke.com/arzneimittel/1854738/hypnomidate-2-mg-ml.htm" TargetMode="External"/><Relationship Id="rId492" Type="http://schemas.openxmlformats.org/officeDocument/2006/relationships/hyperlink" Target="https://department.va.gov/procurement-acquisition-and-logistics/wp-content/uploads/sites/56/2026/10/TPharmPrices2026-10-01.xlsx" TargetMode="External"/><Relationship Id="rId493" Type="http://schemas.openxmlformats.org/officeDocument/2006/relationships/hyperlink" Target="https://www.aifa.gov.it/documents/20142/3815901/Classe_H_per_principio_attivo_30-04-2026.csv" TargetMode="External"/><Relationship Id="rId494" Type="http://schemas.openxmlformats.org/officeDocument/2006/relationships/hyperlink" Target="https://michaelschemist.com.au/products/rapifenalfentanil1mg2f2mlampx5" TargetMode="External"/><Relationship Id="rId495" Type="http://schemas.openxmlformats.org/officeDocument/2006/relationships/hyperlink" Target="https://www.health.gov.za/nhi-pee/" TargetMode="External"/><Relationship Id="rId496" Type="http://schemas.openxmlformats.org/officeDocument/2006/relationships/hyperlink" Target="https://medicineprices.org.za/" TargetMode="External"/><Relationship Id="rId497" Type="http://schemas.openxmlformats.org/officeDocument/2006/relationships/hyperlink" Target="https://medicineprices.org.za/" TargetMode="External"/><Relationship Id="rId498" Type="http://schemas.openxmlformats.org/officeDocument/2006/relationships/hyperlink" Target="https://medicineprices.org.za/" TargetMode="External"/><Relationship Id="rId499" Type="http://schemas.openxmlformats.org/officeDocument/2006/relationships/hyperlink" Target="https://dmd-browser.nhsbsa.nhs.uk/ampp/view/175452" TargetMode="External"/><Relationship Id="rId500" Type="http://schemas.openxmlformats.org/officeDocument/2006/relationships/hyperlink" Target="https://www.aifa.gov.it/documents/20142/3815901/Classe_H_per_principio_attivo_30-04-2026.csv" TargetMode="External"/><Relationship Id="rId501" Type="http://schemas.openxmlformats.org/officeDocument/2006/relationships/hyperlink" Target="https://www.aifa.gov.it/documents/20142/3815901/Classe_H_per_principio_attivo_30-04-2026.csv" TargetMode="External"/><Relationship Id="rId502" Type="http://schemas.openxmlformats.org/officeDocument/2006/relationships/hyperlink" Target="https://www.healthylife.com.au/products/ceftazidime-1g-x-1-vial" TargetMode="External"/><Relationship Id="rId503" Type="http://schemas.openxmlformats.org/officeDocument/2006/relationships/hyperlink" Target="https://www.healthylife.com.au/products/ceftazidime-1g-x-1-vial" TargetMode="External"/><Relationship Id="rId504" Type="http://schemas.openxmlformats.org/officeDocument/2006/relationships/hyperlink" Target="https://michaelschemist.com.au/products/cefepimepwdrforinj1gvial1" TargetMode="External"/><Relationship Id="rId505" Type="http://schemas.openxmlformats.org/officeDocument/2006/relationships/hyperlink" Target="https://michaelschemist.com.au/collections/prescriptions/products/cefepimepwdrforinj2gvial1" TargetMode="External"/><Relationship Id="rId506" Type="http://schemas.openxmlformats.org/officeDocument/2006/relationships/hyperlink" Target="https://michaelschemist.com.au/products/piperacillinsodium4gtazobactamsodium05gvial" TargetMode="External"/><Relationship Id="rId507" Type="http://schemas.openxmlformats.org/officeDocument/2006/relationships/hyperlink" Target="https://michaelschemist.com.au/products/piperacillinsodium4gtazobactamsodium05gvial" TargetMode="External"/><Relationship Id="rId508" Type="http://schemas.openxmlformats.org/officeDocument/2006/relationships/hyperlink" Target="https://medicineprices.org.za/" TargetMode="External"/><Relationship Id="rId509" Type="http://schemas.openxmlformats.org/officeDocument/2006/relationships/hyperlink" Target="https://www.drugs.com/price-guide/chlorothiazide" TargetMode="External"/><Relationship Id="rId510" Type="http://schemas.openxmlformats.org/officeDocument/2006/relationships/hyperlink" Target="https://www.drugs.com/price-guide/doxorubicin" TargetMode="External"/><Relationship Id="rId511" Type="http://schemas.openxmlformats.org/officeDocument/2006/relationships/hyperlink" Target="https://www.drugs.com/price-guide/sugammadex" TargetMode="External"/><Relationship Id="rId512" Type="http://schemas.openxmlformats.org/officeDocument/2006/relationships/hyperlink" Target="https://www.drugs.com/price-guide/sugammadex" TargetMode="External"/><Relationship Id="rId513" Type="http://schemas.openxmlformats.org/officeDocument/2006/relationships/hyperlink" Target="https://dmd-browser.nhsbsa.nhs.uk/ampp/view/195579" TargetMode="External"/><Relationship Id="rId514" Type="http://schemas.openxmlformats.org/officeDocument/2006/relationships/hyperlink" Target="https://www.nhsbsa.nhs.uk/sites/default/files/2022-06/Drug%20Tariff%20Part%20VIIIA%20July%202022.pdf" TargetMode="External"/><Relationship Id="rId515" Type="http://schemas.openxmlformats.org/officeDocument/2006/relationships/hyperlink" Target="https://dmd-browser.nhsbsa.nhs.uk/ampp/view/193706" TargetMode="External"/><Relationship Id="rId516" Type="http://schemas.openxmlformats.org/officeDocument/2006/relationships/hyperlink" Target="https://dmd-browser.nhsbsa.nhs.uk/ampp/view/211689" TargetMode="External"/><Relationship Id="rId517" Type="http://schemas.openxmlformats.org/officeDocument/2006/relationships/hyperlink" Target="https://www.nhsbsa.nhs.uk/sites/default/files/2026-08/Part%20VIIIA%20Sep%2026.xls.xlsx" TargetMode="External"/><Relationship Id="rId518" Type="http://schemas.openxmlformats.org/officeDocument/2006/relationships/hyperlink" Target="https://dmd-browser.nhsbsa.nhs.uk/ampp/view/212956" TargetMode="External"/><Relationship Id="rId519" Type="http://schemas.openxmlformats.org/officeDocument/2006/relationships/hyperlink" Target="https://dmd-browser.nhsbsa.nhs.uk/ampp/view/198278" TargetMode="External"/><Relationship Id="rId520" Type="http://schemas.openxmlformats.org/officeDocument/2006/relationships/hyperlink" Target="https://dmd-browser.nhsbsa.nhs.uk/ampp/view/96481" TargetMode="External"/><Relationship Id="rId521" Type="http://schemas.openxmlformats.org/officeDocument/2006/relationships/hyperlink" Target="https://dmd-browser.nhsbsa.nhs.uk/ampp/view/175452" TargetMode="External"/><Relationship Id="rId522" Type="http://schemas.openxmlformats.org/officeDocument/2006/relationships/hyperlink" Target="https://www.aifa.gov.it/documents/20142/3815901/Classe_H_per_principio_attivo_30-04-2026.csv" TargetMode="External"/><Relationship Id="rId523" Type="http://schemas.openxmlformats.org/officeDocument/2006/relationships/hyperlink" Target="https://www.aifa.gov.it/documents/20142/3815901/Classe_H_per_principio_attivo_30-04-2026.csv" TargetMode="External"/><Relationship Id="rId524" Type="http://schemas.openxmlformats.org/officeDocument/2006/relationships/hyperlink" Target="https://www.aifa.gov.it/documents/20142/3815901/Classe_H_per_principio_attivo_30-04-2026.csv" TargetMode="External"/><Relationship Id="rId525" Type="http://schemas.openxmlformats.org/officeDocument/2006/relationships/hyperlink" Target="https://www.aifa.gov.it/documents/20142/3815901/Classe_H_per_principio_attivo_30-04-2026.csv" TargetMode="External"/><Relationship Id="rId526" Type="http://schemas.openxmlformats.org/officeDocument/2006/relationships/hyperlink" Target="https://www.aifa.gov.it/documents/20142/3815901/Classe_H_per_principio_attivo_30-04-2026.csv" TargetMode="External"/><Relationship Id="rId527" Type="http://schemas.openxmlformats.org/officeDocument/2006/relationships/hyperlink" Target="https://www.aifa.gov.it/documents/20142/3815901/Classe_H_per_principio_attivo_30-04-2026.csv" TargetMode="External"/><Relationship Id="rId528" Type="http://schemas.openxmlformats.org/officeDocument/2006/relationships/hyperlink" Target="https://www.aifa.gov.it/documents/20142/3815901/Classe_H_per_principio_attivo_30-04-2026.csv" TargetMode="External"/><Relationship Id="rId529" Type="http://schemas.openxmlformats.org/officeDocument/2006/relationships/hyperlink" Target="https://www.aponeo.de/rx/10735547-paricalcitol-hexal-2-mikrogramm-ml-injektionslsg.html" TargetMode="External"/><Relationship Id="rId530" Type="http://schemas.openxmlformats.org/officeDocument/2006/relationships/hyperlink" Target="https://www.aifa.gov.it/documents/20142/3815901/Classe_H_per_principio_attivo_30-04-2026.csv" TargetMode="External"/><Relationship Id="rId531" Type="http://schemas.openxmlformats.org/officeDocument/2006/relationships/hyperlink" Target="https://www.aifa.gov.it/documents/20142/3815901/Classe_H_per_principio_attivo_30-04-2026.csv" TargetMode="External"/><Relationship Id="rId532" Type="http://schemas.openxmlformats.org/officeDocument/2006/relationships/hyperlink" Target="https://base-donnees-publique.medicaments.gouv.fr/medicament/61614600/extrait" TargetMode="External"/><Relationship Id="rId533" Type="http://schemas.openxmlformats.org/officeDocument/2006/relationships/hyperlink" Target="https://www.aliva.de/p/vecuronium-inresa-10-mg-pulver-z-herst-e-inj-lsg-10-pulver-zur-herstellung-einer-injektionsloesung-03379371" TargetMode="External"/><Relationship Id="rId534" Type="http://schemas.openxmlformats.org/officeDocument/2006/relationships/hyperlink" Target="https://idbl.ab.bluecross.ca/idbl/drugsList?ptc=08120708" TargetMode="External"/><Relationship Id="rId535" Type="http://schemas.openxmlformats.org/officeDocument/2006/relationships/hyperlink" Target="https://idbl.ab.bluecross.ca/idbl/drugsList?ptc=08120708" TargetMode="External"/><Relationship Id="rId536" Type="http://schemas.openxmlformats.org/officeDocument/2006/relationships/hyperlink" Target="https://www.ab.bluecross.ca/dbl/pdfs/ABCDPL_2026_09_04.pdf" TargetMode="External"/><Relationship Id="rId537" Type="http://schemas.openxmlformats.org/officeDocument/2006/relationships/hyperlink" Target="https://www.formulary.health.gov.on.ca/formulary/detail.xhtml?drugId=02496003" TargetMode="External"/><Relationship Id="rId538" Type="http://schemas.openxmlformats.org/officeDocument/2006/relationships/hyperlink" Target="https://www.ab.bluecross.ca/dbl/pdfs/ABCDPL_2026_09_04.pdf" TargetMode="External"/><Relationship Id="rId539" Type="http://schemas.openxmlformats.org/officeDocument/2006/relationships/hyperlink" Target="https://www.pbs.gov.au/industry/pricing/ex-manufacturer-price/2026/09/ex-manufacturer-prices-non-efc-2026-09-01.XLSX" TargetMode="External"/><Relationship Id="rId540" Type="http://schemas.openxmlformats.org/officeDocument/2006/relationships/hyperlink" Target="https://www.pbs.gov.au/industry/pricing/ex-manufacturer-price/2026/09/ex-manufacturer-prices-non-efc-2026-09-01.XLSX" TargetMode="External"/><Relationship Id="rId541" Type="http://schemas.openxmlformats.org/officeDocument/2006/relationships/hyperlink" Target="https://www.pbs.gov.au/industry/pricing/ex-manufacturer-price/2026/09/ex-manufacturer-prices-non-efc-2026-09-01.XLSX" TargetMode="External"/><Relationship Id="rId542" Type="http://schemas.openxmlformats.org/officeDocument/2006/relationships/hyperlink" Target="https://www.pbs.gov.au/industry/pricing/ex-manufacturer-price/2026/09/ex-manufacturer-prices-non-efc-2026-09-01.XLSX" TargetMode="External"/><Relationship Id="rId543" Type="http://schemas.openxmlformats.org/officeDocument/2006/relationships/hyperlink" Target="https://www.medshop.com.au/products/meropenem-ranbaxy-1g-vial-5-meropenem-1000mg-vial" TargetMode="External"/><Relationship Id="rId544" Type="http://schemas.openxmlformats.org/officeDocument/2006/relationships/hyperlink" Target="https://michaelschemist.com.au/products/meropenemran500mginj5" TargetMode="External"/><Relationship Id="rId545" Type="http://schemas.openxmlformats.org/officeDocument/2006/relationships/hyperlink" Target="https://medicineprices.org.za/" TargetMode="External"/><Relationship Id="rId546" Type="http://schemas.openxmlformats.org/officeDocument/2006/relationships/hyperlink" Target="https://medicineprices.org.za/" TargetMode="External"/><Relationship Id="rId547" Type="http://schemas.openxmlformats.org/officeDocument/2006/relationships/hyperlink" Target="https://www.health.gov.za/nhi-pee/" TargetMode="External"/><Relationship Id="rId548" Type="http://schemas.openxmlformats.org/officeDocument/2006/relationships/hyperlink" Target="https://www.health.gov.za/nhi-pee/" TargetMode="External"/><Relationship Id="rId549" Type="http://schemas.openxmlformats.org/officeDocument/2006/relationships/hyperlink" Target="https://medicineprices.org.za/" TargetMode="External"/><Relationship Id="rId550" Type="http://schemas.openxmlformats.org/officeDocument/2006/relationships/hyperlink" Target="https://dmd-browser.nhsbsa.nhs.uk/ampp/view/168374" TargetMode="External"/><Relationship Id="rId551" Type="http://schemas.openxmlformats.org/officeDocument/2006/relationships/hyperlink" Target="https://www.aifa.gov.it/documents/20142/3815901/Classe_H_per_principio_attivo_30-04-2026.csv" TargetMode="External"/><Relationship Id="rId552" Type="http://schemas.openxmlformats.org/officeDocument/2006/relationships/hyperlink" Target="https://www.aifa.gov.it/documents/20142/3815901/Classe_H_per_principio_attivo_30-04-2026.csv" TargetMode="External"/><Relationship Id="rId553" Type="http://schemas.openxmlformats.org/officeDocument/2006/relationships/hyperlink" Target="https://www.mycare.de/online-kaufen/levetiracetam-till100mgml-infusionsloesungs--konzentrat-15576734" TargetMode="External"/><Relationship Id="rId554" Type="http://schemas.openxmlformats.org/officeDocument/2006/relationships/hyperlink" Target="https://www.aifa.gov.it/documents/20142/3815901/Classe_H_per_principio_attivo_30-04-2026.csv" TargetMode="External"/><Relationship Id="rId555" Type="http://schemas.openxmlformats.org/officeDocument/2006/relationships/hyperlink" Target="https://www.sanidad.gob.es/profesionales/nomenclator.do?metodo=buscarProductos&amp;especialidad=XEPLION%25" TargetMode="External"/><Relationship Id="rId556" Type="http://schemas.openxmlformats.org/officeDocument/2006/relationships/hyperlink" Target="https://www.cms.gov/files/zip/october-2026-medicare-part-b-payment-limit-files-final.zip" TargetMode="External"/><Relationship Id="rId557" Type="http://schemas.openxmlformats.org/officeDocument/2006/relationships/hyperlink" Target="https://www.health.gov.za/nhi-pee/" TargetMode="External"/><Relationship Id="rId558" Type="http://schemas.openxmlformats.org/officeDocument/2006/relationships/hyperlink" Target="https://dmd-browser.nhsbsa.nhs.uk/ampp/view/175452" TargetMode="External"/><Relationship Id="rId559" Type="http://schemas.openxmlformats.org/officeDocument/2006/relationships/hyperlink" Target="https://dmd-browser.nhsbsa.nhs.uk/ampp/view/190496" TargetMode="External"/><Relationship Id="rId560" Type="http://schemas.openxmlformats.org/officeDocument/2006/relationships/hyperlink" Target="https://dmd-browser.nhsbsa.nhs.uk/ampp/view/170191" TargetMode="External"/><Relationship Id="rId561" Type="http://schemas.openxmlformats.org/officeDocument/2006/relationships/hyperlink" Target="https://dmd-browser.nhsbsa.nhs.uk/ampp/view/208581" TargetMode="External"/><Relationship Id="rId562" Type="http://schemas.openxmlformats.org/officeDocument/2006/relationships/hyperlink" Target="https://www.aifa.gov.it/documents/20142/3815901/Classe_H_per_principio_attivo_30-04-2026.csv" TargetMode="External"/><Relationship Id="rId563" Type="http://schemas.openxmlformats.org/officeDocument/2006/relationships/hyperlink" Target="https://www.aifa.gov.it/documents/20142/3815901/Classe_H_per_principio_attivo_30-04-2026.csv" TargetMode="External"/><Relationship Id="rId564" Type="http://schemas.openxmlformats.org/officeDocument/2006/relationships/hyperlink" Target="https://www.drugs.com/price-guide/oxacillin" TargetMode="External"/><Relationship Id="rId565" Type="http://schemas.openxmlformats.org/officeDocument/2006/relationships/hyperlink" Target="https://www.drugs.com/price-guide/ceftriaxone" TargetMode="External"/><Relationship Id="rId566" Type="http://schemas.openxmlformats.org/officeDocument/2006/relationships/hyperlink" Target="https://www.drugs.com/price-guide/ceftriaxone" TargetMode="External"/><Relationship Id="rId567" Type="http://schemas.openxmlformats.org/officeDocument/2006/relationships/hyperlink" Target="https://dmd-browser.nhsbsa.nhs.uk/ampp/view/197707" TargetMode="External"/><Relationship Id="rId568" Type="http://schemas.openxmlformats.org/officeDocument/2006/relationships/hyperlink" Target="https://dmd-browser.nhsbsa.nhs.uk/ampp/view/197725" TargetMode="External"/><Relationship Id="rId569" Type="http://schemas.openxmlformats.org/officeDocument/2006/relationships/hyperlink" Target="https://dmd-browser.nhsbsa.nhs.uk/ampp/view/102025" TargetMode="External"/><Relationship Id="rId570" Type="http://schemas.openxmlformats.org/officeDocument/2006/relationships/hyperlink" Target="https://dmd-browser.nhsbsa.nhs.uk/ampp/view/87654" TargetMode="External"/><Relationship Id="rId571" Type="http://schemas.openxmlformats.org/officeDocument/2006/relationships/hyperlink" Target="https://dmd-browser.nhsbsa.nhs.uk/ampp/view/64125" TargetMode="External"/><Relationship Id="rId572" Type="http://schemas.openxmlformats.org/officeDocument/2006/relationships/hyperlink" Target="https://www.nhsbsa.nhs.uk/sites/default/files/2026-08/Part%20VIIIA%20Sep%2026.xls.xlsx" TargetMode="External"/><Relationship Id="rId573" Type="http://schemas.openxmlformats.org/officeDocument/2006/relationships/hyperlink" Target="https://dmd-browser.nhsbsa.nhs.uk/ampp/view/162030" TargetMode="External"/><Relationship Id="rId574" Type="http://schemas.openxmlformats.org/officeDocument/2006/relationships/hyperlink" Target="https://www.nhsbsa.nhs.uk/sites/default/files/2026-08/Part%20VIIIA%20Sep%2026.xls.xlsx" TargetMode="External"/><Relationship Id="rId575" Type="http://schemas.openxmlformats.org/officeDocument/2006/relationships/hyperlink" Target="https://dmd-browser.nhsbsa.nhs.uk/ampp/view/210923" TargetMode="External"/><Relationship Id="rId576" Type="http://schemas.openxmlformats.org/officeDocument/2006/relationships/hyperlink" Target="https://www.nhsbsa.nhs.uk/sites/default/files/2026-08/Part%20VIIIA%20Sep%2026.xls.xlsx" TargetMode="External"/><Relationship Id="rId577" Type="http://schemas.openxmlformats.org/officeDocument/2006/relationships/hyperlink" Target="https://dmd-browser.nhsbsa.nhs.uk/ampp/view/110861" TargetMode="External"/><Relationship Id="rId578" Type="http://schemas.openxmlformats.org/officeDocument/2006/relationships/hyperlink" Target="https://dmd-browser.nhsbsa.nhs.uk/ampp/view/110863" TargetMode="External"/><Relationship Id="rId579" Type="http://schemas.openxmlformats.org/officeDocument/2006/relationships/hyperlink" Target="https://dmd-browser.nhsbsa.nhs.uk/ampp/view/59566" TargetMode="External"/><Relationship Id="rId580" Type="http://schemas.openxmlformats.org/officeDocument/2006/relationships/hyperlink" Target="https://dmd-browser.nhsbsa.nhs.uk/ampp/view/87667" TargetMode="External"/><Relationship Id="rId581" Type="http://schemas.openxmlformats.org/officeDocument/2006/relationships/hyperlink" Target="https://www.aponeo.de/rx/17923772-adenosin-baxter-6-mg-2-ml-injektionsloesung.html" TargetMode="External"/><Relationship Id="rId582" Type="http://schemas.openxmlformats.org/officeDocument/2006/relationships/hyperlink" Target="https://www.aifa.gov.it/documents/20142/3815901/Classe_H_per_principio_attivo_30-04-2026.csv" TargetMode="External"/><Relationship Id="rId583" Type="http://schemas.openxmlformats.org/officeDocument/2006/relationships/hyperlink" Target="https://www.aifa.gov.it/documents/20142/3815901/Classe_H_per_principio_attivo_30-04-2026.csv" TargetMode="External"/><Relationship Id="rId584" Type="http://schemas.openxmlformats.org/officeDocument/2006/relationships/hyperlink" Target="https://www.medicijnkosten.nl/medicijn?artikel=HYALURONIDASE+INJ%2FINFUSIEPOEDER+AMPUL+1500IE&amp;id=b89726bfa881dc7b75ae7c2517d4b5b7" TargetMode="External"/><Relationship Id="rId585" Type="http://schemas.openxmlformats.org/officeDocument/2006/relationships/hyperlink" Target="https://mediately.co/gr/drugs/YCsx3j2n2qawnnaJDmFwug8Ahhz/metaraminol-so-inj-inf-10mg-ml" TargetMode="External"/><Relationship Id="rId586" Type="http://schemas.openxmlformats.org/officeDocument/2006/relationships/hyperlink" Target="https://mediately.co/de/drugs/2JLSD2rNCbtip2an1uWLKQBCmLc/milrinon-carinopharm-1-mg-ml-injektions-infusionslosung" TargetMode="External"/><Relationship Id="rId587" Type="http://schemas.openxmlformats.org/officeDocument/2006/relationships/hyperlink" Target="https://www.aifa.gov.it/documents/20142/3815901/Classe_H_per_principio_attivo_30-04-2026.csv" TargetMode="External"/><Relationship Id="rId588" Type="http://schemas.openxmlformats.org/officeDocument/2006/relationships/hyperlink" Target="https://www.medicinpriser.dk/Default.aspx?VirksomtStof=Protamin" TargetMode="External"/><Relationship Id="rId589" Type="http://schemas.openxmlformats.org/officeDocument/2006/relationships/hyperlink" Target="https://www.medicinpriser.dk/Default.aspx?VirksomtStof=Remifentanil" TargetMode="External"/><Relationship Id="rId590" Type="http://schemas.openxmlformats.org/officeDocument/2006/relationships/hyperlink" Target="https://www.aifa.gov.it/documents/20142/3815901/Classe_H_per_principio_attivo_30-04-2026.csv" TargetMode="External"/><Relationship Id="rId591" Type="http://schemas.openxmlformats.org/officeDocument/2006/relationships/hyperlink" Target="https://www.aifa.gov.it/documents/20142/3815901/Classe_H_per_principio_attivo_30-04-2026.csv" TargetMode="External"/><Relationship Id="rId592" Type="http://schemas.openxmlformats.org/officeDocument/2006/relationships/hyperlink" Target="https://www.aifa.gov.it/documents/20142/3815901/Classe_H_per_principio_attivo_30-04-2026.csv" TargetMode="External"/><Relationship Id="rId593" Type="http://schemas.openxmlformats.org/officeDocument/2006/relationships/hyperlink" Target="https://www.cms.gov/files/zip/october-2026-medicare-part-b-payment-limit-files-final.zip" TargetMode="External"/><Relationship Id="rId594" Type="http://schemas.openxmlformats.org/officeDocument/2006/relationships/hyperlink" Target="https://www.medshop.com.au/products/sodium-valproate-juno-400mg-4ml" TargetMode="External"/><Relationship Id="rId595" Type="http://schemas.openxmlformats.org/officeDocument/2006/relationships/hyperlink" Target="https://www.drugs.com/price-guide/acetazolamide" TargetMode="External"/><Relationship Id="rId596" Type="http://schemas.openxmlformats.org/officeDocument/2006/relationships/hyperlink" Target="https://www.drugs.com/price-guide/chlorpromazine" TargetMode="External"/><Relationship Id="rId597" Type="http://schemas.openxmlformats.org/officeDocument/2006/relationships/hyperlink" Target="https://www.drugs.com/price-guide/cisatracurium" TargetMode="External"/><Relationship Id="rId598" Type="http://schemas.openxmlformats.org/officeDocument/2006/relationships/hyperlink" Target="https://www.drugs.com/price-guide/cisatracurium" TargetMode="External"/><Relationship Id="rId599" Type="http://schemas.openxmlformats.org/officeDocument/2006/relationships/hyperlink" Target="https://www.drugs.com/price-guide/cyanocobalamin" TargetMode="External"/><Relationship Id="rId600" Type="http://schemas.openxmlformats.org/officeDocument/2006/relationships/hyperlink" Target="https://www.drugs.com/price-guide/sodium-edecrin" TargetMode="External"/><Relationship Id="rId601" Type="http://schemas.openxmlformats.org/officeDocument/2006/relationships/hyperlink" Target="https://department.va.gov/procurement-acquisition-and-logistics/wp-content/uploads/sites/56/2026/10/TPharmPrices2026-10-01.xlsx" TargetMode="External"/><Relationship Id="rId602" Type="http://schemas.openxmlformats.org/officeDocument/2006/relationships/hyperlink" Target="https://www.drugs.com/price-guide/haloperidol" TargetMode="External"/><Relationship Id="rId603" Type="http://schemas.openxmlformats.org/officeDocument/2006/relationships/hyperlink" Target="https://www.drugs.com/price-guide/haloperidol" TargetMode="External"/><Relationship Id="rId604" Type="http://schemas.openxmlformats.org/officeDocument/2006/relationships/hyperlink" Target="https://www.cms.gov/files/zip/october-2026-medicare-part-b-payment-limit-files-final.zip" TargetMode="External"/><Relationship Id="rId605" Type="http://schemas.openxmlformats.org/officeDocument/2006/relationships/hyperlink" Target="https://www.drugs.com/price-guide/indocyanine-green" TargetMode="External"/><Relationship Id="rId606" Type="http://schemas.openxmlformats.org/officeDocument/2006/relationships/hyperlink" Target="https://department.va.gov/procurement-acquisition-and-logistics/wp-content/uploads/sites/56/2026/10/TPharmPrices2026-10-01.xlsx" TargetMode="External"/><Relationship Id="rId607" Type="http://schemas.openxmlformats.org/officeDocument/2006/relationships/hyperlink" Target="https://department.va.gov/procurement-acquisition-and-logistics/wp-content/uploads/sites/56/2026/10/TPharmPrices2026-10-01.xlsx" TargetMode="External"/><Relationship Id="rId608" Type="http://schemas.openxmlformats.org/officeDocument/2006/relationships/hyperlink" Target="https://www.drugs.com/price-guide/fluorescein" TargetMode="External"/><Relationship Id="rId609" Type="http://schemas.openxmlformats.org/officeDocument/2006/relationships/hyperlink" Target="https://www.drugs.com/price-guide/bortezomib" TargetMode="External"/><Relationship Id="rId610" Type="http://schemas.openxmlformats.org/officeDocument/2006/relationships/hyperlink" Target="https://www.drugs.com/price-guide/fulvestrant" TargetMode="External"/><Relationship Id="rId611" Type="http://schemas.openxmlformats.org/officeDocument/2006/relationships/hyperlink" Target="https://www.drugs.com/price-guide/sugammadex" TargetMode="External"/><Relationship Id="rId612" Type="http://schemas.openxmlformats.org/officeDocument/2006/relationships/hyperlink" Target="https://www.drugs.com/price-guide/sugammadex" TargetMode="External"/><Relationship Id="rId613" Type="http://schemas.openxmlformats.org/officeDocument/2006/relationships/hyperlink" Target="https://dmd-browser.nhsbsa.nhs.uk/ampp/view/187562" TargetMode="External"/><Relationship Id="rId614" Type="http://schemas.openxmlformats.org/officeDocument/2006/relationships/hyperlink" Target="https://www.aifa.gov.it/documents/20142/3815901/Classe_H_per_principio_attivo_30-04-2026.csv" TargetMode="External"/><Relationship Id="rId615" Type="http://schemas.openxmlformats.org/officeDocument/2006/relationships/hyperlink" Target="https://base-donnees-publique.medicaments.gouv.fr/medicament/66127233/extrait" TargetMode="External"/><Relationship Id="rId616" Type="http://schemas.openxmlformats.org/officeDocument/2006/relationships/hyperlink" Target="https://www.health.gov.za/nhi-pee/" TargetMode="External"/><Relationship Id="rId617" Type="http://schemas.openxmlformats.org/officeDocument/2006/relationships/hyperlink" Target="https://www.health.gov.za/nhi-pee/" TargetMode="External"/><Relationship Id="rId618" Type="http://schemas.openxmlformats.org/officeDocument/2006/relationships/hyperlink" Target="https://www.health.gov.za/nhi-pee/" TargetMode="External"/><Relationship Id="rId619"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hyperlink" Target="https://mhraproducts4853.blob.core.windows.net/docs/8e489e2a01676dd3c6dd0b4247f5687d5a33a616" TargetMode="External"/><Relationship Id="rId2" Type="http://schemas.openxmlformats.org/officeDocument/2006/relationships/hyperlink" Target="https://dailymed.nlm.nih.gov/dailymed/drugInfo.cfm?setid=2b9fb0dd-e42e-4f9b-bf24-98b268d877e5" TargetMode="External"/><Relationship Id="rId3" Type="http://schemas.openxmlformats.org/officeDocument/2006/relationships/hyperlink" Target="https://dailymed.nlm.nih.gov/dailymed/drugInfo.cfm?setid=61d9b8f6-f93f-46ee-bec2-db8d46999792" TargetMode="External"/><Relationship Id="rId4" Type="http://schemas.openxmlformats.org/officeDocument/2006/relationships/hyperlink" Target="https://mhraproducts4853.blob.core.windows.net/docs/4d30849abb087d68fb87b3d040af01db85eeea0c" TargetMode="External"/><Relationship Id="rId5" Type="http://schemas.openxmlformats.org/officeDocument/2006/relationships/hyperlink" Target="https://mhraproducts4853.blob.core.windows.net/docs/643a51399a50b9e99afd935c92f31c50fff13070" TargetMode="External"/><Relationship Id="rId6" Type="http://schemas.openxmlformats.org/officeDocument/2006/relationships/hyperlink" Target="https://dailymed.nlm.nih.gov/dailymed/drugInfo.cfm?setid=7791d3e1-9287-4f75-b4f0-e5d35cacfd6e" TargetMode="External"/><Relationship Id="rId7" Type="http://schemas.openxmlformats.org/officeDocument/2006/relationships/hyperlink" Target="https://dailymed.nlm.nih.gov/dailymed/drugInfo.cfm?setid=1f00c333-9667-4ebc-8849-009a3779c0c9" TargetMode="External"/><Relationship Id="rId8" Type="http://schemas.openxmlformats.org/officeDocument/2006/relationships/hyperlink" Target="https://mhraproducts4853.blob.core.windows.net/docs/5a2e115532e171705b28998071f74799e829e4f9" TargetMode="External"/><Relationship Id="rId9" Type="http://schemas.openxmlformats.org/officeDocument/2006/relationships/hyperlink" Target="https://mhraproducts4853.blob.core.windows.net/docs/dd5428de28a35789b58d7a7229157959b1e135fb" TargetMode="External"/><Relationship Id="rId10" Type="http://schemas.openxmlformats.org/officeDocument/2006/relationships/hyperlink" Target="https://dailymed.nlm.nih.gov/dailymed/drugInfo.cfm?setid=b7bf2897-8272-4c7d-84e9-6fbba0ea63fa" TargetMode="External"/><Relationship Id="rId11" Type="http://schemas.openxmlformats.org/officeDocument/2006/relationships/hyperlink" Target="https://dailymed.nlm.nih.gov/dailymed/drugInfo.cfm?setid=46cdf9e6-839c-49c8-9ee1-c30cfdd9368d" TargetMode="External"/><Relationship Id="rId12" Type="http://schemas.openxmlformats.org/officeDocument/2006/relationships/hyperlink" Target="https://mhraproducts4853.blob.core.windows.net/docs/247aff47b4c3ceb1b47b5c6aee30a185233aad14" TargetMode="External"/><Relationship Id="rId13" Type="http://schemas.openxmlformats.org/officeDocument/2006/relationships/hyperlink" Target="https://dailymed.nlm.nih.gov/dailymed/drugInfo.cfm?setid=da4c07fd-1130-4341-bb44-63acfa4162be" TargetMode="External"/><Relationship Id="rId14" Type="http://schemas.openxmlformats.org/officeDocument/2006/relationships/hyperlink" Target="https://dailymed.nlm.nih.gov/dailymed/drugInfo.cfm?setid=71d4bc78-57df-474b-8b19-811a959f1fce" TargetMode="External"/><Relationship Id="rId15" Type="http://schemas.openxmlformats.org/officeDocument/2006/relationships/hyperlink" Target="https://mhraproducts4853.blob.core.windows.net/docs/924d70784a8c922753ed49a78a38c605f536521c" TargetMode="External"/><Relationship Id="rId16" Type="http://schemas.openxmlformats.org/officeDocument/2006/relationships/hyperlink" Target="https://dailymed.nlm.nih.gov/dailymed/drugInfo.cfm?setid=f3cb74e9-b4ac-4efe-bd8e-8a71970ee7c7" TargetMode="External"/><Relationship Id="rId17" Type="http://schemas.openxmlformats.org/officeDocument/2006/relationships/hyperlink" Target="https://dailymed.nlm.nih.gov/dailymed/drugInfo.cfm?setid=70140e11-33f1-2240-e053-2991aa0a0480" TargetMode="External"/><Relationship Id="rId18" Type="http://schemas.openxmlformats.org/officeDocument/2006/relationships/hyperlink" Target="https://mhraproducts4853.blob.core.windows.net/docs/38cffb86d463a85be1de8ce8a70b2775c027a0cb" TargetMode="External"/><Relationship Id="rId19" Type="http://schemas.openxmlformats.org/officeDocument/2006/relationships/hyperlink" Target="https://dailymed.nlm.nih.gov/dailymed/drugInfo.cfm?setid=c20969cb-72d4-469b-9bd8-332250d896c3" TargetMode="External"/><Relationship Id="rId20" Type="http://schemas.openxmlformats.org/officeDocument/2006/relationships/hyperlink" Target="https://dailymed.nlm.nih.gov/dailymed/drugInfo.cfm?setid=b5806c40-12ce-48e3-8abd-9f8997ef4428" TargetMode="External"/><Relationship Id="rId21" Type="http://schemas.openxmlformats.org/officeDocument/2006/relationships/hyperlink" Target="https://dailymed.nlm.nih.gov/dailymed/drugInfo.cfm?setid=04aafa6a-a50d-4a47-a831-be8e8bb992ac" TargetMode="External"/><Relationship Id="rId22" Type="http://schemas.openxmlformats.org/officeDocument/2006/relationships/hyperlink" Target="https://dailymed.nlm.nih.gov/dailymed/drugInfo.cfm?setid=c054a1c9-2aa7-473b-a04b-622596f36c95" TargetMode="External"/><Relationship Id="rId23" Type="http://schemas.openxmlformats.org/officeDocument/2006/relationships/hyperlink" Target="https://mhraproducts4853.blob.core.windows.net/docs/da6e39cbeb26faea8c72a05b7312c32134b623cd" TargetMode="External"/><Relationship Id="rId24" Type="http://schemas.openxmlformats.org/officeDocument/2006/relationships/hyperlink" Target="https://mhraproducts4853.blob.core.windows.net/docs/a9d1ffc9d457cfc0e43514aa459052215983758a" TargetMode="External"/><Relationship Id="rId25" Type="http://schemas.openxmlformats.org/officeDocument/2006/relationships/hyperlink" Target="https://dailymed.nlm.nih.gov/dailymed/drugInfo.cfm?setid=21489401-f2a7-47d3-897a-4b7efa04dd7a" TargetMode="External"/><Relationship Id="rId26" Type="http://schemas.openxmlformats.org/officeDocument/2006/relationships/hyperlink" Target="https://mhraproducts4853.blob.core.windows.net/docs/5f7fabf03215a8e9cbd05bcdca2305b6839d7d56" TargetMode="External"/><Relationship Id="rId27" Type="http://schemas.openxmlformats.org/officeDocument/2006/relationships/hyperlink" Target="https://dailymed.nlm.nih.gov/dailymed/drugInfo.cfm?setid=c1cde9c7-b005-484f-8497-343c5ecd4f0a" TargetMode="External"/><Relationship Id="rId28" Type="http://schemas.openxmlformats.org/officeDocument/2006/relationships/hyperlink" Target="https://dailymed.nlm.nih.gov/dailymed/drugInfo.cfm?setid=8a772acc-726d-40e6-88ee-b6075cbf9b28" TargetMode="External"/><Relationship Id="rId29" Type="http://schemas.openxmlformats.org/officeDocument/2006/relationships/hyperlink" Target="https://dailymed.nlm.nih.gov/dailymed/drugInfo.cfm?setid=02aa374f-37b4-456a-b5de-cfd3bbb6ce6e" TargetMode="External"/><Relationship Id="rId30" Type="http://schemas.openxmlformats.org/officeDocument/2006/relationships/hyperlink" Target="https://dailymed.nlm.nih.gov/dailymed/drugInfo.cfm?setid=40d48c5d-650e-461b-a67b-7e65772d1b92" TargetMode="External"/><Relationship Id="rId31" Type="http://schemas.openxmlformats.org/officeDocument/2006/relationships/hyperlink" Target="https://dailymed.nlm.nih.gov/dailymed/drugInfo.cfm?setid=1aa0a4ee-1b39-4c3d-a7a3-33dded6fe28c" TargetMode="External"/><Relationship Id="rId32" Type="http://schemas.openxmlformats.org/officeDocument/2006/relationships/hyperlink" Target="https://dailymed.nlm.nih.gov/dailymed/drugInfo.cfm?setid=bf921935-9740-458e-b786-69f76d8ad139" TargetMode="External"/><Relationship Id="rId33" Type="http://schemas.openxmlformats.org/officeDocument/2006/relationships/hyperlink" Target="https://mhraproducts4853.blob.core.windows.net/docs/468e5b0a68665f15d3d30982865bab14c0c28588" TargetMode="External"/><Relationship Id="rId34" Type="http://schemas.openxmlformats.org/officeDocument/2006/relationships/hyperlink" Target="https://dailymed.nlm.nih.gov/dailymed/drugInfo.cfm?setid=6564346c-661c-41cf-9cef-db6aa15710cd" TargetMode="External"/><Relationship Id="rId35" Type="http://schemas.openxmlformats.org/officeDocument/2006/relationships/hyperlink" Target="https://dailymed.nlm.nih.gov/dailymed/drugInfo.cfm?setid=d8b5eb77-b393-4cd7-86c5-d2a9d131f96d" TargetMode="External"/><Relationship Id="rId36" Type="http://schemas.openxmlformats.org/officeDocument/2006/relationships/hyperlink" Target="https://mhraproducts4853.blob.core.windows.net/docs/d0f3c58f2a4c68c9ea1ecb8d0bc40104cd51541d" TargetMode="External"/><Relationship Id="rId37" Type="http://schemas.openxmlformats.org/officeDocument/2006/relationships/hyperlink" Target="https://dailymed.nlm.nih.gov/dailymed/drugInfo.cfm?setid=6a335659-03b0-4a2d-9cd4-7dcf7da96fe6" TargetMode="External"/><Relationship Id="rId38" Type="http://schemas.openxmlformats.org/officeDocument/2006/relationships/hyperlink" Target="https://dailymed.nlm.nih.gov/dailymed/drugInfo.cfm?setid=cd8d188a-fa5d-4580-bcb1-ac8617118cbb" TargetMode="External"/><Relationship Id="rId39" Type="http://schemas.openxmlformats.org/officeDocument/2006/relationships/hyperlink" Target="https://mhraproducts4853.blob.core.windows.net/docs/925bc4c8a8d4a507b955b633951acf444692f0ea" TargetMode="External"/><Relationship Id="rId40" Type="http://schemas.openxmlformats.org/officeDocument/2006/relationships/hyperlink" Target="https://dailymed.nlm.nih.gov/dailymed/drugInfo.cfm?setid=a5818647-d840-e9d7-c7b8-6541b485e44e" TargetMode="External"/><Relationship Id="rId41" Type="http://schemas.openxmlformats.org/officeDocument/2006/relationships/hyperlink" Target="https://mhraproducts4853.blob.core.windows.net/docs/4b78838f8f40ca9a987ad8fa476d2a1fdd3a37ff" TargetMode="External"/><Relationship Id="rId42" Type="http://schemas.openxmlformats.org/officeDocument/2006/relationships/hyperlink" Target="https://dailymed.nlm.nih.gov/dailymed/drugInfo.cfm?setid=7ab50348-ca78-46a5-aba6-c35b6b21fbfe" TargetMode="External"/><Relationship Id="rId43" Type="http://schemas.openxmlformats.org/officeDocument/2006/relationships/hyperlink" Target="https://dailymed.nlm.nih.gov/dailymed/drugInfo.cfm?setid=5da55538-2602-4704-a9da-603c9f7ff7dc" TargetMode="External"/><Relationship Id="rId44" Type="http://schemas.openxmlformats.org/officeDocument/2006/relationships/hyperlink" Target="https://dailymed.nlm.nih.gov/dailymed/drugInfo.cfm?setid=956b068f-5958-49eb-9c9f-3b6e324e77d2" TargetMode="External"/><Relationship Id="rId45" Type="http://schemas.openxmlformats.org/officeDocument/2006/relationships/hyperlink" Target="https://mhraproducts4853.blob.core.windows.net/docs/455258e3132909d570c60c827b6b3eba6db4e889" TargetMode="External"/><Relationship Id="rId46" Type="http://schemas.openxmlformats.org/officeDocument/2006/relationships/hyperlink" Target="https://mhraproducts4853.blob.core.windows.net/docs/dd69aaa9ebc36b426539f90970d2d38630d8622a" TargetMode="External"/><Relationship Id="rId47" Type="http://schemas.openxmlformats.org/officeDocument/2006/relationships/hyperlink" Target="https://dailymed.nlm.nih.gov/dailymed/drugInfo.cfm?setid=5f3be096-5100-4d0e-b765-481bbb2672e1" TargetMode="External"/><Relationship Id="rId48" Type="http://schemas.openxmlformats.org/officeDocument/2006/relationships/hyperlink" Target="https://dailymed.nlm.nih.gov/dailymed/drugInfo.cfm?setid=60dd8694-58d8-d88e-26f2-f28baa53787e" TargetMode="External"/><Relationship Id="rId49" Type="http://schemas.openxmlformats.org/officeDocument/2006/relationships/hyperlink" Target="https://dailymed.nlm.nih.gov/dailymed/drugInfo.cfm?setid=6b6ca65b-4ede-47b9-bbf3-05bb67c0c71d" TargetMode="External"/><Relationship Id="rId50" Type="http://schemas.openxmlformats.org/officeDocument/2006/relationships/hyperlink" Target="https://dailymed.nlm.nih.gov/dailymed/drugInfo.cfm?setid=eeb70724-065c-4a73-8e2e-d6b2a625e8d4" TargetMode="External"/><Relationship Id="rId51" Type="http://schemas.openxmlformats.org/officeDocument/2006/relationships/hyperlink" Target="https://dailymed.nlm.nih.gov/dailymed/drugInfo.cfm?setid=f8e001f5-441c-47cd-86f6-5d5e3de16bc0" TargetMode="External"/><Relationship Id="rId52" Type="http://schemas.openxmlformats.org/officeDocument/2006/relationships/hyperlink" Target="https://mhraproducts4853.blob.core.windows.net/docs/8472f5b9e8869716ad12ef052d8bedebf43a4b5a" TargetMode="External"/><Relationship Id="rId53" Type="http://schemas.openxmlformats.org/officeDocument/2006/relationships/hyperlink" Target="https://dailymed.nlm.nih.gov/dailymed/drugInfo.cfm?setid=147e033d-d997-4ef6-8bb5-a9ba372590b2" TargetMode="External"/><Relationship Id="rId54" Type="http://schemas.openxmlformats.org/officeDocument/2006/relationships/hyperlink" Target="https://mhraproducts4853.blob.core.windows.net/docs/1dd806a3b43b1cb3206cd238b17c784533bc42fe" TargetMode="External"/><Relationship Id="rId55" Type="http://schemas.openxmlformats.org/officeDocument/2006/relationships/hyperlink" Target="https://health-products.canada.ca/dpd-bdpp/info?lang=eng&amp;code=11096" TargetMode="External"/><Relationship Id="rId56" Type="http://schemas.openxmlformats.org/officeDocument/2006/relationships/hyperlink" Target="https://labeling.pfizer.com/ShowLabeling.aspx?id=7153" TargetMode="External"/><Relationship Id="rId57" Type="http://schemas.openxmlformats.org/officeDocument/2006/relationships/hyperlink" Target="https://dailymed.nlm.nih.gov/dailymed/drugInfo.cfm?setid=01fd19cd-190c-4989-b733-60ba95941297" TargetMode="External"/><Relationship Id="rId58" Type="http://schemas.openxmlformats.org/officeDocument/2006/relationships/hyperlink" Target="https://dailymed.nlm.nih.gov/dailymed/drugInfo.cfm?setid=0a03c798-a652-4895-b29c-3b521a89ba42" TargetMode="External"/><Relationship Id="rId59" Type="http://schemas.openxmlformats.org/officeDocument/2006/relationships/hyperlink" Target="https://mhraproducts4853.blob.core.windows.net/docs/8aeba99a8f543f374d08351b5b996fa2b4d7f66c" TargetMode="External"/><Relationship Id="rId60" Type="http://schemas.openxmlformats.org/officeDocument/2006/relationships/hyperlink" Target="https://dailymed.nlm.nih.gov/dailymed/drugInfo.cfm?setid=00ad7bbe-cadd-4647-b74b-adfc9f2b5e94" TargetMode="External"/><Relationship Id="rId61" Type="http://schemas.openxmlformats.org/officeDocument/2006/relationships/hyperlink" Target="https://dailymed.nlm.nih.gov/dailymed/drugInfo.cfm?setid=1038e984-3bf7-5bbf-f1ec-ce15ae330efc" TargetMode="External"/><Relationship Id="rId62" Type="http://schemas.openxmlformats.org/officeDocument/2006/relationships/hyperlink" Target="https://mhraproducts4853.blob.core.windows.net/docs/95551de6e371d1b1bed01d2b0a696de15b3e865e" TargetMode="External"/><Relationship Id="rId63" Type="http://schemas.openxmlformats.org/officeDocument/2006/relationships/hyperlink" Target="https://dailymed.nlm.nih.gov/dailymed/drugInfo.cfm?setid=32d9f095-ca39-7e22-6264-b54f2daaee57" TargetMode="External"/><Relationship Id="rId64" Type="http://schemas.openxmlformats.org/officeDocument/2006/relationships/hyperlink" Target="https://dailymed.nlm.nih.gov/dailymed/drugInfo.cfm?setid=017023a9-00f0-4284-861f-a3634d4fdb17" TargetMode="External"/><Relationship Id="rId65" Type="http://schemas.openxmlformats.org/officeDocument/2006/relationships/hyperlink" Target="https://mhraproducts4853.blob.core.windows.net/docs/1e3efe74f99ebfa44e3ae295aff22c617a4e3f30" TargetMode="External"/><Relationship Id="rId66" Type="http://schemas.openxmlformats.org/officeDocument/2006/relationships/hyperlink" Target="https://dailymed.nlm.nih.gov/dailymed/drugInfo.cfm?setid=45a15ba2-2aae-4edc-beaa-4a2357d87f32" TargetMode="External"/><Relationship Id="rId67" Type="http://schemas.openxmlformats.org/officeDocument/2006/relationships/hyperlink" Target="https://mhraproducts4853.blob.core.windows.net/docs/4113c6c3738a47332b81c6a02b324e142668494a" TargetMode="External"/><Relationship Id="rId68" Type="http://schemas.openxmlformats.org/officeDocument/2006/relationships/hyperlink" Target="https://dailymed.nlm.nih.gov/dailymed/drugInfo.cfm?setid=e24e7440-a958-6fd0-6bfe-1bd29e638657" TargetMode="External"/><Relationship Id="rId69" Type="http://schemas.openxmlformats.org/officeDocument/2006/relationships/hyperlink" Target="https://dailymed.nlm.nih.gov/dailymed/drugInfo.cfm?setid=0820f15a-046b-4185-a2b3-2e4051ee3d82" TargetMode="External"/><Relationship Id="rId70" Type="http://schemas.openxmlformats.org/officeDocument/2006/relationships/hyperlink" Target="https://mhraproducts4853.blob.core.windows.net/docs/82a8e8a12348001cf20937cfdc9b77351ca8477f" TargetMode="External"/><Relationship Id="rId71" Type="http://schemas.openxmlformats.org/officeDocument/2006/relationships/hyperlink" Target="https://dailymed.nlm.nih.gov/dailymed/drugInfo.cfm?setid=97c33213-f415-4718-8466-9aa50371af70" TargetMode="External"/><Relationship Id="rId72" Type="http://schemas.openxmlformats.org/officeDocument/2006/relationships/hyperlink" Target="https://dailymed.nlm.nih.gov/dailymed/drugInfo.cfm?setid=aacf276b-e133-4199-ad3f-67b894744c04" TargetMode="External"/><Relationship Id="rId73" Type="http://schemas.openxmlformats.org/officeDocument/2006/relationships/hyperlink" Target="https://dailymed.nlm.nih.gov/dailymed/drugInfo.cfm?setid=7f05ab1e-aed4-4f87-b939-2dc9719aa34c" TargetMode="External"/><Relationship Id="rId74" Type="http://schemas.openxmlformats.org/officeDocument/2006/relationships/hyperlink" Target="https://mhraproducts4853.blob.core.windows.net/docs/4daaeae927ce26807b7140b5958b51d0a2647d2e" TargetMode="External"/><Relationship Id="rId75" Type="http://schemas.openxmlformats.org/officeDocument/2006/relationships/hyperlink" Target="https://dailymed.nlm.nih.gov/dailymed/drugInfo.cfm?setid=3adca34b-4f65-4e21-8058-3c01fc7fc9bb" TargetMode="External"/><Relationship Id="rId76" Type="http://schemas.openxmlformats.org/officeDocument/2006/relationships/hyperlink" Target="https://mhraproducts4853.blob.core.windows.net/docs/06788ea06546464bce35c66ad15e26a8abc06138" TargetMode="External"/><Relationship Id="rId77" Type="http://schemas.openxmlformats.org/officeDocument/2006/relationships/hyperlink" Target="https://dailymed.nlm.nih.gov/dailymed/drugInfo.cfm?setid=66d451fe-2436-494c-80c5-4528c8e34369" TargetMode="External"/><Relationship Id="rId78" Type="http://schemas.openxmlformats.org/officeDocument/2006/relationships/hyperlink" Target="https://mhraproducts4853.blob.core.windows.net/docs/34e104c5c0cb13b29bac10c994d30a1b4eac42e2" TargetMode="External"/><Relationship Id="rId79" Type="http://schemas.openxmlformats.org/officeDocument/2006/relationships/hyperlink" Target="https://dailymed.nlm.nih.gov/dailymed/drugInfo.cfm?setid=1f532edc-1a2c-4221-80dd-1ac158dd3a72" TargetMode="External"/><Relationship Id="rId80" Type="http://schemas.openxmlformats.org/officeDocument/2006/relationships/hyperlink" Target="https://dailymed.nlm.nih.gov/dailymed/drugInfo.cfm?setid=79d023ab-7d77-48c1-8f47-ea322fd58c2b" TargetMode="External"/><Relationship Id="rId81" Type="http://schemas.openxmlformats.org/officeDocument/2006/relationships/hyperlink" Target="https://dailymed.nlm.nih.gov/dailymed/drugInfo.cfm?setid=b471eb51-488e-5312-e053-2a95a90a8116" TargetMode="External"/><Relationship Id="rId82" Type="http://schemas.openxmlformats.org/officeDocument/2006/relationships/hyperlink" Target="https://dailymed.nlm.nih.gov/dailymed/drugInfo.cfm?setid=4ea8ae43-22ca-40c0-be72-c91a321cafd1" TargetMode="External"/><Relationship Id="rId83" Type="http://schemas.openxmlformats.org/officeDocument/2006/relationships/hyperlink" Target="https://mhraproducts4853.blob.core.windows.net/docs/c43283f4f5fe3bb7b26cf8988a8af88d32c13c93" TargetMode="External"/><Relationship Id="rId84" Type="http://schemas.openxmlformats.org/officeDocument/2006/relationships/hyperlink" Target="https://dailymed.nlm.nih.gov/dailymed/drugInfo.cfm?setid=871797f0-697a-4a29-a37b-d06219e8f266" TargetMode="External"/><Relationship Id="rId85" Type="http://schemas.openxmlformats.org/officeDocument/2006/relationships/hyperlink" Target="https://dailymed.nlm.nih.gov/dailymed/drugInfo.cfm?setid=783e9d68-2371-4fd4-8d7a-a5e36f8718d0" TargetMode="External"/><Relationship Id="rId86" Type="http://schemas.openxmlformats.org/officeDocument/2006/relationships/hyperlink" Target="https://mhraproducts4853.blob.core.windows.net/docs/6d5a76e0c14be3696eb7d7a5c38ab7fba2abf796" TargetMode="External"/><Relationship Id="rId87" Type="http://schemas.openxmlformats.org/officeDocument/2006/relationships/hyperlink" Target="https://dailymed.nlm.nih.gov/dailymed/drugInfo.cfm?setid=65df5d2d-79aa-41d4-866a-566e520320f7" TargetMode="External"/><Relationship Id="rId88" Type="http://schemas.openxmlformats.org/officeDocument/2006/relationships/hyperlink" Target="https://dailymed.nlm.nih.gov/dailymed/drugInfo.cfm?setid=1a0e38cb-fd9f-4962-9f81-5c0023ca6b4c" TargetMode="External"/><Relationship Id="rId89" Type="http://schemas.openxmlformats.org/officeDocument/2006/relationships/hyperlink" Target="https://dailymed.nlm.nih.gov/dailymed/drugInfo.cfm?setid=8396ea96-7cb5-4e26-87a4-90bca9c3c6dd" TargetMode="External"/><Relationship Id="rId90" Type="http://schemas.openxmlformats.org/officeDocument/2006/relationships/hyperlink" Target="https://dailymed.nlm.nih.gov/dailymed/drugInfo.cfm?setid=e08d8b6c-a184-4dd5-84ef-bac90e4b1c33" TargetMode="External"/><Relationship Id="rId91" Type="http://schemas.openxmlformats.org/officeDocument/2006/relationships/hyperlink" Target="https://dailymed.nlm.nih.gov/dailymed/drugInfo.cfm?setid=451d6d04-b7d9-47d9-ba71-43cc5b9b3054" TargetMode="External"/><Relationship Id="rId92" Type="http://schemas.openxmlformats.org/officeDocument/2006/relationships/hyperlink" Target="https://dailymed.nlm.nih.gov/dailymed/drugInfo.cfm?setid=a3087a39-f218-4f16-a1e7-17c39bb2eb69" TargetMode="External"/><Relationship Id="rId93" Type="http://schemas.openxmlformats.org/officeDocument/2006/relationships/hyperlink" Target="https://mhraproducts4853.blob.core.windows.net/docs/51e482dd059a807e5b4653144bcf38d462300c8b" TargetMode="External"/><Relationship Id="rId94" Type="http://schemas.openxmlformats.org/officeDocument/2006/relationships/hyperlink" Target="https://mhraproducts4853.blob.core.windows.net/docs/13be69adbff91eaa9def74b5879135500983c712" TargetMode="External"/><Relationship Id="rId95" Type="http://schemas.openxmlformats.org/officeDocument/2006/relationships/hyperlink" Target="https://dailymed.nlm.nih.gov/dailymed/drugInfo.cfm?setid=7c20b574-285b-49eb-a98e-6752e4bb481d" TargetMode="External"/><Relationship Id="rId96" Type="http://schemas.openxmlformats.org/officeDocument/2006/relationships/hyperlink" Target="https://mhraproducts4853.blob.core.windows.net/docs/201d2a0d9aa57a3569065fb673031d38f685075d" TargetMode="External"/><Relationship Id="rId97" Type="http://schemas.openxmlformats.org/officeDocument/2006/relationships/hyperlink" Target="https://mhraproducts4853.blob.core.windows.net/docs/1ed164cb6fbb995109a5ba6e7b3165176762216e" TargetMode="External"/><Relationship Id="rId98" Type="http://schemas.openxmlformats.org/officeDocument/2006/relationships/hyperlink" Target="https://dailymed.nlm.nih.gov/dailymed/drugInfo.cfm?setid=b2de0c9a-0065-4f2c-9983-add39525f3a3" TargetMode="External"/><Relationship Id="rId99" Type="http://schemas.openxmlformats.org/officeDocument/2006/relationships/hyperlink" Target="https://dailymed.nlm.nih.gov/dailymed/drugInfo.cfm?setid=626dc9e5-c6b4-4f9c-9bf4-774fd3ae619a" TargetMode="External"/><Relationship Id="rId100" Type="http://schemas.openxmlformats.org/officeDocument/2006/relationships/hyperlink" Target="https://dailymed.nlm.nih.gov/dailymed/drugInfo.cfm?setid=f724120d-da28-4065-9e05-d7dd6afbb546" TargetMode="External"/><Relationship Id="rId101" Type="http://schemas.openxmlformats.org/officeDocument/2006/relationships/hyperlink" Target="https://dailymed.nlm.nih.gov/dailymed/drugInfo.cfm?setid=11da176a-99bc-4ada-8b3f-6bd2b37a6313" TargetMode="External"/><Relationship Id="rId102" Type="http://schemas.openxmlformats.org/officeDocument/2006/relationships/hyperlink" Target="https://mhraproducts4853.blob.core.windows.net/docs/2570307a3085ad81ffb51a26c670a4968681f7e9" TargetMode="External"/><Relationship Id="rId103" Type="http://schemas.openxmlformats.org/officeDocument/2006/relationships/hyperlink" Target="https://dailymed.nlm.nih.gov/dailymed/drugInfo.cfm?setid=0a9234b7-46b1-8e6c-a992-90f86cfb6e00" TargetMode="External"/><Relationship Id="rId104" Type="http://schemas.openxmlformats.org/officeDocument/2006/relationships/hyperlink" Target="https://mhraproducts4853.blob.core.windows.net/docs/7a8fe1e86f394f14dd27119a87ad9196daa418be" TargetMode="External"/><Relationship Id="rId105" Type="http://schemas.openxmlformats.org/officeDocument/2006/relationships/hyperlink" Target="https://mhraproducts4853.blob.core.windows.net/docs/4d6a2b8a7eed24427d497672070733ad0dc2f1aa" TargetMode="External"/><Relationship Id="rId106" Type="http://schemas.openxmlformats.org/officeDocument/2006/relationships/hyperlink" Target="https://dailymed.nlm.nih.gov/dailymed/drugInfo.cfm?setid=2177b6fe-aa37-6f6b-e063-6294a90af09a" TargetMode="External"/><Relationship Id="rId107" Type="http://schemas.openxmlformats.org/officeDocument/2006/relationships/hyperlink" Target="https://dailymed.nlm.nih.gov/dailymed/drugInfo.cfm?setid=c2b5be20-cc6f-4221-9d3e-3f8b5886cd05" TargetMode="External"/><Relationship Id="rId108" Type="http://schemas.openxmlformats.org/officeDocument/2006/relationships/hyperlink" Target="https://dailymed.nlm.nih.gov/dailymed/drugInfo.cfm?setid=647ca293-9e68-4773-947a-0fb064aa6fd1" TargetMode="External"/><Relationship Id="rId109" Type="http://schemas.openxmlformats.org/officeDocument/2006/relationships/hyperlink" Target="https://mhraproducts4853.blob.core.windows.net/docs/6137d0826ea9251c4cd7449204eef9e37c09728b" TargetMode="External"/><Relationship Id="rId110" Type="http://schemas.openxmlformats.org/officeDocument/2006/relationships/hyperlink" Target="https://dailymed.nlm.nih.gov/dailymed/drugInfo.cfm?setid=0655670a-d127-4e08-8a23-ace64b2503b2" TargetMode="External"/><Relationship Id="rId111" Type="http://schemas.openxmlformats.org/officeDocument/2006/relationships/hyperlink" Target="https://dailymed.nlm.nih.gov/dailymed/drugInfo.cfm?setid=bd5e4db5-8787-4428-2cb6-ef6f8a5e08af" TargetMode="External"/><Relationship Id="rId112" Type="http://schemas.openxmlformats.org/officeDocument/2006/relationships/hyperlink" Target="https://mhraproducts4853.blob.core.windows.net/docs/b72d32face7ce61d71696787ed3106ac25618280" TargetMode="External"/><Relationship Id="rId113" Type="http://schemas.openxmlformats.org/officeDocument/2006/relationships/hyperlink" Target="https://dailymed.nlm.nih.gov/dailymed/drugInfo.cfm?setid=bf1d3433-9e3f-40a0-8bff-c8ceaa8bab7c" TargetMode="External"/><Relationship Id="rId114" Type="http://schemas.openxmlformats.org/officeDocument/2006/relationships/hyperlink" Target="https://mhraproducts4853.blob.core.windows.net/docs/9ae7aeea49bf816c85c6e16440c212622827183e" TargetMode="External"/><Relationship Id="rId115" Type="http://schemas.openxmlformats.org/officeDocument/2006/relationships/hyperlink" Target="https://dailymed.nlm.nih.gov/dailymed/drugInfo.cfm?setid=49e9c804-9e88-4774-8faf-35bd61b3a8e9" TargetMode="External"/><Relationship Id="rId116" Type="http://schemas.openxmlformats.org/officeDocument/2006/relationships/hyperlink" Target="https://mhraproducts4853.blob.core.windows.net/docs/23dcd067131a54c6fa73c5557a0dab034764ccf5" TargetMode="External"/><Relationship Id="rId117" Type="http://schemas.openxmlformats.org/officeDocument/2006/relationships/hyperlink" Target="https://mhraproducts4853.blob.core.windows.net/docs/6bf77bfee94fc37f9ea2cc41e9601b5d4e59322f" TargetMode="External"/><Relationship Id="rId118" Type="http://schemas.openxmlformats.org/officeDocument/2006/relationships/hyperlink" Target="https://dailymed.nlm.nih.gov/dailymed/drugInfo.cfm?setid=f76d4ab9-2f6c-420b-afec-b9cdfdc083ce" TargetMode="External"/><Relationship Id="rId119" Type="http://schemas.openxmlformats.org/officeDocument/2006/relationships/hyperlink" Target="https://dailymed.nlm.nih.gov/dailymed/drugInfo.cfm?setid=dd035a9f-cd40-4314-b9d8-2294b8a924e2" TargetMode="External"/><Relationship Id="rId120" Type="http://schemas.openxmlformats.org/officeDocument/2006/relationships/hyperlink" Target="https://dailymed.nlm.nih.gov/dailymed/drugInfo.cfm?setid=a0cbcdb5-f657-49f7-8f86-cc5959d69db0" TargetMode="External"/><Relationship Id="rId121" Type="http://schemas.openxmlformats.org/officeDocument/2006/relationships/hyperlink" Target="https://dailymed.nlm.nih.gov/dailymed/drugInfo.cfm?setid=23f4df96-1151-4815-8f01-4d79e5aa2145" TargetMode="External"/><Relationship Id="rId122" Type="http://schemas.openxmlformats.org/officeDocument/2006/relationships/hyperlink" Target="https://dailymed.nlm.nih.gov/dailymed/drugInfo.cfm?setid=4e489fab-75bc-4514-9bf2-85b8ed08a1b0" TargetMode="External"/><Relationship Id="rId123" Type="http://schemas.openxmlformats.org/officeDocument/2006/relationships/hyperlink" Target="https://mhraproducts4853.blob.core.windows.net/docs/d43a7f71f48565822fee9785a9f23d1c36290a30" TargetMode="External"/><Relationship Id="rId124" Type="http://schemas.openxmlformats.org/officeDocument/2006/relationships/hyperlink" Target="https://dailymed.nlm.nih.gov/dailymed/drugInfo.cfm?setid=cbf0f6ba-3a53-4791-9a85-5c6b271eeb8e" TargetMode="External"/><Relationship Id="rId125" Type="http://schemas.openxmlformats.org/officeDocument/2006/relationships/hyperlink" Target="https://mhraproducts4853.blob.core.windows.net/docs/deb4340f48c538ddac710a914581a07ba8ad754b" TargetMode="External"/><Relationship Id="rId126" Type="http://schemas.openxmlformats.org/officeDocument/2006/relationships/hyperlink" Target="https://dailymed.nlm.nih.gov/dailymed/drugInfo.cfm?setid=fcb8ef8a-f770-4416-8fc5-fa01d98c8eee" TargetMode="External"/><Relationship Id="rId127" Type="http://schemas.openxmlformats.org/officeDocument/2006/relationships/hyperlink" Target="https://dailymed.nlm.nih.gov/dailymed/drugInfo.cfm?setid=582f42e5-444e-4246-af8c-e7e28097c69a" TargetMode="External"/><Relationship Id="rId128" Type="http://schemas.openxmlformats.org/officeDocument/2006/relationships/hyperlink" Target="https://dailymed.nlm.nih.gov/dailymed/drugInfo.cfm?setid=34821770-929c-40ea-a9e4-d4405dc869e1" TargetMode="External"/><Relationship Id="rId129" Type="http://schemas.openxmlformats.org/officeDocument/2006/relationships/hyperlink" Target="https://dailymed.nlm.nih.gov/dailymed/drugInfo.cfm?setid=b1303f15-c48b-a44d-b28a-72f370094e02" TargetMode="External"/><Relationship Id="rId130" Type="http://schemas.openxmlformats.org/officeDocument/2006/relationships/hyperlink" Target="https://mhraproducts4853.blob.core.windows.net/docs/c1a527395c406fbf88130971c80a4e1c80383b39" TargetMode="External"/><Relationship Id="rId131" Type="http://schemas.openxmlformats.org/officeDocument/2006/relationships/hyperlink" Target="https://dailymed.nlm.nih.gov/dailymed/drugInfo.cfm?setid=088f96eb-20b8-48f8-ac83-329f75a44ce1" TargetMode="External"/><Relationship Id="rId132" Type="http://schemas.openxmlformats.org/officeDocument/2006/relationships/hyperlink" Target="https://dailymed.nlm.nih.gov/dailymed/drugInfo.cfm?setid=387d7f8d-9762-4f6b-99e1-bdc50b8a1633" TargetMode="External"/><Relationship Id="rId133" Type="http://schemas.openxmlformats.org/officeDocument/2006/relationships/hyperlink" Target="https://dailymed.nlm.nih.gov/dailymed/drugInfo.cfm?setid=c1387008-6dc4-4f1e-ae29-fa7a0f0be684" TargetMode="External"/><Relationship Id="rId134" Type="http://schemas.openxmlformats.org/officeDocument/2006/relationships/hyperlink" Target="https://dailymed.nlm.nih.gov/dailymed/drugInfo.cfm?setid=35e0d160-813f-41d7-a382-d2cab6485d9c" TargetMode="External"/><Relationship Id="rId135" Type="http://schemas.openxmlformats.org/officeDocument/2006/relationships/hyperlink" Target="https://dailymed.nlm.nih.gov/dailymed/drugInfo.cfm?setid=81e90279-9889-47bd-974b-334c181f295c" TargetMode="External"/><Relationship Id="rId136" Type="http://schemas.openxmlformats.org/officeDocument/2006/relationships/hyperlink" Target="https://dailymed.nlm.nih.gov/dailymed/drugInfo.cfm?setid=18fe8365-86e3-414e-84dc-c98e097a2f36" TargetMode="External"/><Relationship Id="rId137" Type="http://schemas.openxmlformats.org/officeDocument/2006/relationships/hyperlink" Target="https://dailymed.nlm.nih.gov/dailymed/drugInfo.cfm?setid=0c12c77c-5fd4-48dc-a318-e96892233992" TargetMode="External"/><Relationship Id="rId138" Type="http://schemas.openxmlformats.org/officeDocument/2006/relationships/hyperlink" Target="https://mhraproducts4853.blob.core.windows.net/docs/83e81cb065e8691917e531d50b1da4f1dae928b6" TargetMode="External"/><Relationship Id="rId139" Type="http://schemas.openxmlformats.org/officeDocument/2006/relationships/hyperlink" Target="https://dailymed.nlm.nih.gov/dailymed/drugInfo.cfm?setid=6cd61892-d2cb-434d-83ed-5c1b2c4e7a0b" TargetMode="External"/><Relationship Id="rId140" Type="http://schemas.openxmlformats.org/officeDocument/2006/relationships/hyperlink" Target="https://dailymed.nlm.nih.gov/dailymed/drugInfo.cfm?setid=37e7ef89-fd77-44e0-9271-ae91f8822603" TargetMode="External"/><Relationship Id="rId141" Type="http://schemas.openxmlformats.org/officeDocument/2006/relationships/hyperlink" Target="https://mhraproducts4853.blob.core.windows.net/docs/f22c15840604c663970f7da2a79614ac40bca62c" TargetMode="External"/><Relationship Id="rId142" Type="http://schemas.openxmlformats.org/officeDocument/2006/relationships/hyperlink" Target="https://dailymed.nlm.nih.gov/dailymed/drugInfo.cfm?setid=a9e5fac6-2db6-4311-a98b-eb3f0dde19d6" TargetMode="External"/><Relationship Id="rId143" Type="http://schemas.openxmlformats.org/officeDocument/2006/relationships/hyperlink" Target="https://mhraproducts4853.blob.core.windows.net/docs/9fc4a882e1f84fc1af4503edf9a3e048a47e9f53" TargetMode="External"/><Relationship Id="rId144" Type="http://schemas.openxmlformats.org/officeDocument/2006/relationships/hyperlink" Target="https://dailymed.nlm.nih.gov/dailymed/drugInfo.cfm?setid=2b7c7587-2042-0d9c-e054-00144ff88e88" TargetMode="External"/><Relationship Id="rId145" Type="http://schemas.openxmlformats.org/officeDocument/2006/relationships/hyperlink" Target="https://mhraproducts4853.blob.core.windows.net/docs/5c26c6a145bca6fbb3eda47073599ced86713a2f" TargetMode="External"/><Relationship Id="rId146" Type="http://schemas.openxmlformats.org/officeDocument/2006/relationships/hyperlink" Target="https://dailymed.nlm.nih.gov/dailymed/drugInfo.cfm?setid=77a8576f-b91e-42ce-b613-2fa3c3d4a571" TargetMode="External"/><Relationship Id="rId147" Type="http://schemas.openxmlformats.org/officeDocument/2006/relationships/hyperlink" Target="https://dailymed.nlm.nih.gov/dailymed/drugInfo.cfm?setid=5c14fbf2-e21f-44b3-b35c-06919d40d7e0" TargetMode="External"/><Relationship Id="rId148" Type="http://schemas.openxmlformats.org/officeDocument/2006/relationships/hyperlink" Target="https://mhraproducts4853.blob.core.windows.net/docs/55fa24b0655197623f40fdf9c0e1d849154bfa80" TargetMode="External"/><Relationship Id="rId149" Type="http://schemas.openxmlformats.org/officeDocument/2006/relationships/hyperlink" Target="https://health-products.canada.ca/dpd-bdpp/info?lang=eng&amp;code=12889" TargetMode="External"/><Relationship Id="rId150" Type="http://schemas.openxmlformats.org/officeDocument/2006/relationships/hyperlink" Target="https://dailymed.nlm.nih.gov/dailymed/drugInfo.cfm?setid=6922f32f-8bed-4c09-8103-27987bcbd104" TargetMode="External"/><Relationship Id="rId151" Type="http://schemas.openxmlformats.org/officeDocument/2006/relationships/hyperlink" Target="https://dailymed.nlm.nih.gov/dailymed/drugInfo.cfm?setid=b1e53422-c85d-4bb6-af4f-24934cc319b0" TargetMode="External"/><Relationship Id="rId152" Type="http://schemas.openxmlformats.org/officeDocument/2006/relationships/hyperlink" Target="https://dailymed.nlm.nih.gov/dailymed/drugInfo.cfm?setid=28258745-12e4-4f0f-b318-4a1a1bebc928" TargetMode="External"/><Relationship Id="rId153" Type="http://schemas.openxmlformats.org/officeDocument/2006/relationships/hyperlink" Target="https://mhraproducts4853.blob.core.windows.net/docs/fb177071badddaa7979eeae36ea28ab48a60b768" TargetMode="External"/><Relationship Id="rId154" Type="http://schemas.openxmlformats.org/officeDocument/2006/relationships/hyperlink" Target="https://dailymed.nlm.nih.gov/dailymed/drugInfo.cfm?setid=bb8e1167-8378-4e73-9bcb-d69093ec829b" TargetMode="External"/><Relationship Id="rId155" Type="http://schemas.openxmlformats.org/officeDocument/2006/relationships/hyperlink" Target="https://dailymed.nlm.nih.gov/dailymed/drugInfo.cfm?setid=7d19df3b-94ed-4681-beae-9caaf137d014" TargetMode="External"/><Relationship Id="rId156" Type="http://schemas.openxmlformats.org/officeDocument/2006/relationships/hyperlink" Target="https://dailymed.nlm.nih.gov/dailymed/drugInfo.cfm?setid=800646b8-83a8-01d9-3dc8-bb2ddcb8570c" TargetMode="External"/><Relationship Id="rId157" Type="http://schemas.openxmlformats.org/officeDocument/2006/relationships/hyperlink" Target="https://mhraproducts4853.blob.core.windows.net/docs/20e325341d4d11f3fa15c459435ae46791d8ba4f" TargetMode="External"/><Relationship Id="rId158" Type="http://schemas.openxmlformats.org/officeDocument/2006/relationships/hyperlink" Target="https://dailymed.nlm.nih.gov/dailymed/drugInfo.cfm?setid=7a31fc4c-579f-45cc-9559-39cfad9a57b3" TargetMode="External"/><Relationship Id="rId159" Type="http://schemas.openxmlformats.org/officeDocument/2006/relationships/hyperlink" Target="https://mhraproducts4853.blob.core.windows.net/docs/832a62b9cb979c15814e955526cafbf58d1a120a" TargetMode="External"/><Relationship Id="rId160" Type="http://schemas.openxmlformats.org/officeDocument/2006/relationships/hyperlink" Target="https://dailymed.nlm.nih.gov/dailymed/drugInfo.cfm?setid=03ef6420-8190-a404-f7f6-def1864a77de" TargetMode="External"/><Relationship Id="rId161" Type="http://schemas.openxmlformats.org/officeDocument/2006/relationships/hyperlink" Target="https://dailymed.nlm.nih.gov/dailymed/drugInfo.cfm?setid=5b8025d2-3424-477b-9cff-3990a98c2a65" TargetMode="External"/><Relationship Id="rId162" Type="http://schemas.openxmlformats.org/officeDocument/2006/relationships/hyperlink" Target="https://mhraproducts4853.blob.core.windows.net/docs/30aabc766650f3de9340032eb4a1823e8a92d0ac" TargetMode="External"/><Relationship Id="rId163" Type="http://schemas.openxmlformats.org/officeDocument/2006/relationships/hyperlink" Target="https://dailymed.nlm.nih.gov/dailymed/drugInfo.cfm?setid=116385ea-69fc-4f44-b463-6210291032df" TargetMode="External"/><Relationship Id="rId164" Type="http://schemas.openxmlformats.org/officeDocument/2006/relationships/hyperlink" Target="https://mhraproducts4853.blob.core.windows.net/docs/2db067f28b4a5cee9ffbcda6966ba8e62c165c64" TargetMode="External"/><Relationship Id="rId165" Type="http://schemas.openxmlformats.org/officeDocument/2006/relationships/hyperlink" Target="https://mhraproducts4853.blob.core.windows.net/docs/e2acf7eb6316bc8cbbaaf53631abd625c75878c8" TargetMode="External"/><Relationship Id="rId166" Type="http://schemas.openxmlformats.org/officeDocument/2006/relationships/hyperlink" Target="https://dailymed.nlm.nih.gov/dailymed/drugInfo.cfm?setid=bb92d686-a81e-4b91-8048-693af0534cb3" TargetMode="External"/><Relationship Id="rId167" Type="http://schemas.openxmlformats.org/officeDocument/2006/relationships/hyperlink" Target="https://mhraproducts4853.blob.core.windows.net/docs/02230fedf0f6e67657137dc1b732971ab3782ab2" TargetMode="External"/><Relationship Id="rId168" Type="http://schemas.openxmlformats.org/officeDocument/2006/relationships/hyperlink" Target="https://dailymed.nlm.nih.gov/dailymed/drugInfo.cfm?setid=f38d0dfc-9bcc-4224-a202-885c9ad0beae" TargetMode="External"/><Relationship Id="rId169" Type="http://schemas.openxmlformats.org/officeDocument/2006/relationships/hyperlink" Target="https://mhraproducts4853.blob.core.windows.net/docs/acf0dbbc5df81cd92e3a113a48e28dc68e8a0cf5" TargetMode="External"/><Relationship Id="rId170" Type="http://schemas.openxmlformats.org/officeDocument/2006/relationships/hyperlink" Target="https://mhraproducts4853.blob.core.windows.net/docs/0abd36d989a97b306126883cf229d48c54e4d739" TargetMode="External"/><Relationship Id="rId171" Type="http://schemas.openxmlformats.org/officeDocument/2006/relationships/hyperlink" Target="https://pdf.hres.ca/dpd_pm/00003639.PDF" TargetMode="External"/><Relationship Id="rId172" Type="http://schemas.openxmlformats.org/officeDocument/2006/relationships/hyperlink" Target="https://dailymed.nlm.nih.gov/dailymed/drugInfo.cfm?setid=3deac02b-392c-4ee4-9abf-7fe5b8975147" TargetMode="External"/><Relationship Id="rId173" Type="http://schemas.openxmlformats.org/officeDocument/2006/relationships/hyperlink" Target="https://dailymed.nlm.nih.gov/dailymed/drugInfo.cfm?setid=57bf9b96-0550-b8e4-e063-6294a90a317b" TargetMode="External"/><Relationship Id="rId174" Type="http://schemas.openxmlformats.org/officeDocument/2006/relationships/hyperlink" Target="https://mhraproducts4853.blob.core.windows.net/docs/3489692807cabc9ee757ad292940e8a021f68d01" TargetMode="External"/><Relationship Id="rId175" Type="http://schemas.openxmlformats.org/officeDocument/2006/relationships/hyperlink" Target="https://mhraproducts4853.blob.core.windows.net/docs/45a310f5c66d09f20d9d1eb3a5d48c17c486ac7b" TargetMode="External"/><Relationship Id="rId176" Type="http://schemas.openxmlformats.org/officeDocument/2006/relationships/hyperlink" Target="https://dailymed.nlm.nih.gov/dailymed/drugInfo.cfm?setid=3a35b86c-f451-4fac-8499-43019e4da354" TargetMode="External"/><Relationship Id="rId177" Type="http://schemas.openxmlformats.org/officeDocument/2006/relationships/hyperlink" Target="https://mhraproducts4853.blob.core.windows.net/docs/87e83833753716c061280fd48b95d5801f88bfa9" TargetMode="External"/><Relationship Id="rId178" Type="http://schemas.openxmlformats.org/officeDocument/2006/relationships/hyperlink" Target="https://dailymed.nlm.nih.gov/dailymed/drugInfo.cfm?setid=78d55bad-4a5b-4e21-aeb8-a4c6346208be" TargetMode="External"/><Relationship Id="rId179" Type="http://schemas.openxmlformats.org/officeDocument/2006/relationships/hyperlink" Target="https://dailymed.nlm.nih.gov/dailymed/drugInfo.cfm?setid=82a98132-9d5f-40a5-8c4f-f52f2a5de60e" TargetMode="External"/><Relationship Id="rId180" Type="http://schemas.openxmlformats.org/officeDocument/2006/relationships/hyperlink" Target="https://dailymed.nlm.nih.gov/dailymed/drugInfo.cfm?setid=f80f025b-17d8-40af-8739-20ce07902045" TargetMode="External"/><Relationship Id="rId181" Type="http://schemas.openxmlformats.org/officeDocument/2006/relationships/hyperlink" Target="https://dailymed.nlm.nih.gov/dailymed/drugInfo.cfm?setid=0def6a5e-4bf5-b1fd-47b7-0f17ecfd9bc2" TargetMode="External"/><Relationship Id="rId182" Type="http://schemas.openxmlformats.org/officeDocument/2006/relationships/hyperlink" Target="https://mhraproducts4853.blob.core.windows.net/docs/e04df231228d42c83cc4a6259d7c5c571353c022" TargetMode="External"/><Relationship Id="rId183" Type="http://schemas.openxmlformats.org/officeDocument/2006/relationships/hyperlink" Target="https://dailymed.nlm.nih.gov/dailymed/drugInfo.cfm?setid=dd58e0c3-d8a8-4cf2-96f8-9dd08f309579" TargetMode="External"/><Relationship Id="rId184" Type="http://schemas.openxmlformats.org/officeDocument/2006/relationships/hyperlink" Target="https://mhraproducts4853.blob.core.windows.net/docs/42d7e79466d433c5192ed2f92d3a915eca41853d" TargetMode="External"/><Relationship Id="rId185" Type="http://schemas.openxmlformats.org/officeDocument/2006/relationships/hyperlink" Target="https://dailymed.nlm.nih.gov/dailymed/drugInfo.cfm?setid=d554acff-22e9-4f28-b826-ee1b91daa2df" TargetMode="External"/><Relationship Id="rId186" Type="http://schemas.openxmlformats.org/officeDocument/2006/relationships/hyperlink" Target="https://mhraproducts4853.blob.core.windows.net/docs/e43f2440514458537140b935827096caf459e80d" TargetMode="External"/><Relationship Id="rId187" Type="http://schemas.openxmlformats.org/officeDocument/2006/relationships/hyperlink" Target="https://dailymed.nlm.nih.gov/dailymed/drugInfo.cfm?setid=ceea739a-21dd-4c3a-9ef6-2b7ab2bdd95a" TargetMode="External"/><Relationship Id="rId188" Type="http://schemas.openxmlformats.org/officeDocument/2006/relationships/hyperlink" Target="https://mhraproducts4853.blob.core.windows.net/docs/65edc2e1545faa366d2c4975093e7970d753f777" TargetMode="External"/><Relationship Id="rId189" Type="http://schemas.openxmlformats.org/officeDocument/2006/relationships/hyperlink" Target="https://dailymed.nlm.nih.gov/dailymed/drugInfo.cfm?setid=ae71c003-883a-4cd8-ad50-e8cc9a54e971" TargetMode="External"/><Relationship Id="rId190" Type="http://schemas.openxmlformats.org/officeDocument/2006/relationships/hyperlink" Target="https://mhraproducts4853.blob.core.windows.net/docs/493d4bfda677fb5e534ce5b3f4ea9f88534240a7" TargetMode="External"/><Relationship Id="rId191" Type="http://schemas.openxmlformats.org/officeDocument/2006/relationships/hyperlink" Target="https://dailymed.nlm.nih.gov/dailymed/drugInfo.cfm?setid=05c2a9cf-a018-48c0-9c73-2d59d52211d2" TargetMode="External"/><Relationship Id="rId192" Type="http://schemas.openxmlformats.org/officeDocument/2006/relationships/hyperlink" Target="https://dailymed.nlm.nih.gov/dailymed/drugInfo.cfm?setid=2539a6cf-0fe5-1565-e063-6294a90a3618" TargetMode="External"/><Relationship Id="rId193" Type="http://schemas.openxmlformats.org/officeDocument/2006/relationships/hyperlink" Target="https://dailymed.nlm.nih.gov/dailymed/drugInfo.cfm?setid=3f5dacea-af40-4103-b128-c5e0c0c52fa1" TargetMode="External"/><Relationship Id="rId194" Type="http://schemas.openxmlformats.org/officeDocument/2006/relationships/hyperlink" Target="https://mhraproducts4853.blob.core.windows.net/docs/0605730a38f8b988fbfaf3fc09d20f3c7376c587" TargetMode="External"/><Relationship Id="rId195" Type="http://schemas.openxmlformats.org/officeDocument/2006/relationships/hyperlink" Target="https://dailymed.nlm.nih.gov/dailymed/drugInfo.cfm?setid=387b57ce-e50e-4e03-86d9-12638242bd36" TargetMode="External"/><Relationship Id="rId196" Type="http://schemas.openxmlformats.org/officeDocument/2006/relationships/hyperlink" Target="https://mhraproducts4853.blob.core.windows.net/docs/1e3206a2f7a9a0bc0b5e1387ff816310bd3a6274" TargetMode="External"/><Relationship Id="rId197" Type="http://schemas.openxmlformats.org/officeDocument/2006/relationships/hyperlink" Target="https://dailymed.nlm.nih.gov/dailymed/drugInfo.cfm?setid=def3b9ba-523d-4b83-a80d-fa6f362e111c" TargetMode="External"/><Relationship Id="rId198" Type="http://schemas.openxmlformats.org/officeDocument/2006/relationships/hyperlink" Target="https://mhraproducts4853.blob.core.windows.net/docs/2b86e6e4cadbc2aee6c9bef4810ef2d6c504c961" TargetMode="External"/><Relationship Id="rId199" Type="http://schemas.openxmlformats.org/officeDocument/2006/relationships/hyperlink" Target="https://dailymed.nlm.nih.gov/dailymed/drugInfo.cfm?setid=f073b58e-56d6-4c8d-a2ce-b37719402d77" TargetMode="External"/><Relationship Id="rId200" Type="http://schemas.openxmlformats.org/officeDocument/2006/relationships/hyperlink" Target="https://dailymed.nlm.nih.gov/dailymed/drugInfo.cfm?setid=49596de6-ab18-49d1-9e5b-30968fc21c36" TargetMode="External"/><Relationship Id="rId201" Type="http://schemas.openxmlformats.org/officeDocument/2006/relationships/hyperlink" Target="https://dailymed.nlm.nih.gov/dailymed/drugInfo.cfm?setid=dd3dcc9a-e40c-4677-9ee6-f318e7c7d835" TargetMode="External"/><Relationship Id="rId202" Type="http://schemas.openxmlformats.org/officeDocument/2006/relationships/hyperlink" Target="https://mhraproducts4853.blob.core.windows.net/docs/3d797cdc3f406c382dd7a59f87e1c4e1c4dd3b8b" TargetMode="External"/><Relationship Id="rId203" Type="http://schemas.openxmlformats.org/officeDocument/2006/relationships/hyperlink" Target="https://dailymed.nlm.nih.gov/dailymed/drugInfo.cfm?setid=fff10d69-e334-42bd-baed-7d9d5feef6aa" TargetMode="External"/><Relationship Id="rId204" Type="http://schemas.openxmlformats.org/officeDocument/2006/relationships/hyperlink" Target="https://mhraproducts4853.blob.core.windows.net/docs/e80e715a9abfb407b9d6e8113150fe6a6bc5aea8" TargetMode="External"/><Relationship Id="rId205"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hyperlink" Target="https://www.ema.europa.eu/en/documents/other/article-57-product-data_en.xlsx" TargetMode="External"/><Relationship Id="rId2" Type="http://schemas.openxmlformats.org/officeDocument/2006/relationships/hyperlink" Target="https://products.mhra.gov.uk/" TargetMode="External"/><Relationship Id="rId3" Type="http://schemas.openxmlformats.org/officeDocument/2006/relationships/hyperlink" Target="https://www.canada.ca/en/health-canada/services/drugs-health-products/drug-products/drug-product-database.html" TargetMode="External"/><Relationship Id="rId4" Type="http://schemas.openxmlformats.org/officeDocument/2006/relationships/hyperlink" Target="https://www.tga.gov.au/resources/artg" TargetMode="External"/><Relationship Id="rId5" Type="http://schemas.openxmlformats.org/officeDocument/2006/relationships/hyperlink" Target="https://medicineprices.org.za/" TargetMode="External"/><Relationship Id="rId6" Type="http://schemas.openxmlformats.org/officeDocument/2006/relationships/hyperlink" Target="https://www.accessdata.fda.gov/cder/ndctext.zip" TargetMode="External"/><Relationship Id="rId7"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hyperlink" Target="https://dailymed.nlm.nih.gov/dailymed/search.cfm?labeltype=all&amp;query=carboprost" TargetMode="External"/><Relationship Id="rId2" Type="http://schemas.openxmlformats.org/officeDocument/2006/relationships/hyperlink" Target="https://dailymed.nlm.nih.gov/dailymed/lookup.cfm?setid=c1cde9c7-b005-484f-8497-343c5ecd4f0a" TargetMode="External"/><Relationship Id="rId3" Type="http://schemas.openxmlformats.org/officeDocument/2006/relationships/hyperlink" Target="https://dailymed.nlm.nih.gov/dailymed/search.cfm?labeltype=all&amp;query=carboprost" TargetMode="External"/><Relationship Id="rId4" Type="http://schemas.openxmlformats.org/officeDocument/2006/relationships/hyperlink" Target="https://www.ema.europa.eu/en/documents/other/article-57-product-data_en.xlsx" TargetMode="External"/><Relationship Id="rId5" Type="http://schemas.openxmlformats.org/officeDocument/2006/relationships/hyperlink" Target="https://dailymed.nlm.nih.gov/dailymed/search.cfm?labeltype=all&amp;query=diazepam+injection" TargetMode="External"/><Relationship Id="rId6" Type="http://schemas.openxmlformats.org/officeDocument/2006/relationships/hyperlink" Target="https://dailymed.nlm.nih.gov/dailymed/drugInfo.cfm?setid=7a912f1a-deee-46df-a8df-22a0afb06529" TargetMode="External"/><Relationship Id="rId7" Type="http://schemas.openxmlformats.org/officeDocument/2006/relationships/hyperlink" Target="https://dailymed.nlm.nih.gov/dailymed/search.cfm?labeltype=all&amp;query=fulvestrant" TargetMode="External"/><Relationship Id="rId8" Type="http://schemas.openxmlformats.org/officeDocument/2006/relationships/hyperlink" Target="https://dailymed.nlm.nih.gov/dailymed/drugInfo.cfm?setid=b02915fe-6c44-48c1-aaeb-997ddc59a595" TargetMode="External"/><Relationship Id="rId9" Type="http://schemas.openxmlformats.org/officeDocument/2006/relationships/hyperlink" Target="https://dailymed.nlm.nih.gov/dailymed/search.cfm?labeltype=all&amp;query=methotrexate+injection" TargetMode="External"/><Relationship Id="rId10" Type="http://schemas.openxmlformats.org/officeDocument/2006/relationships/hyperlink" Target="https://dailymed.nlm.nih.gov/dailymed/drugInfo.cfm?setid=a63364d5-4dfa-49d7-8a5e-c8959ae1d37a" TargetMode="External"/><Relationship Id="rId11" Type="http://schemas.openxmlformats.org/officeDocument/2006/relationships/hyperlink" Target="https://dailymed.nlm.nih.gov/dailymed/search.cfm?labeltype=all&amp;query=phytonadione" TargetMode="External"/><Relationship Id="rId12" Type="http://schemas.openxmlformats.org/officeDocument/2006/relationships/hyperlink" Target="https://dailymed.nlm.nih.gov/dailymed/search.cfm?searchdb=ndc&amp;query=62332-826-05" TargetMode="External"/><Relationship Id="rId13" Type="http://schemas.openxmlformats.org/officeDocument/2006/relationships/hyperlink" Target="https://dailymed.nlm.nih.gov/dailymed/search.cfm?labeltype=all&amp;query=triamcinolone+acetonide+injectable+suspension" TargetMode="External"/><Relationship Id="rId14" Type="http://schemas.openxmlformats.org/officeDocument/2006/relationships/hyperlink" Target="https://dailymed.nlm.nih.gov/dailymed/drugInfo.cfm?setid=1034d417-493a-443a-a62e-30786f673ee3" TargetMode="External"/><Relationship Id="rId15" Type="http://schemas.openxmlformats.org/officeDocument/2006/relationships/hyperlink" Target="https://dailymed.nlm.nih.gov/dailymed/search.cfm?labeltype=all&amp;query=ampicillin" TargetMode="External"/><Relationship Id="rId16" Type="http://schemas.openxmlformats.org/officeDocument/2006/relationships/hyperlink" Target="https://health-products.canada.ca/dpd-bdpp/info?code=95007&amp;lang=eng" TargetMode="External"/><Relationship Id="rId17" Type="http://schemas.openxmlformats.org/officeDocument/2006/relationships/hyperlink" Target="https://dailymed.nlm.nih.gov/dailymed/search.cfm?labeltype=all&amp;query=ampicillin" TargetMode="External"/><Relationship Id="rId18" Type="http://schemas.openxmlformats.org/officeDocument/2006/relationships/hyperlink" Target="https://www.ema.europa.eu/en/documents/other/article-57-product-data_en.xlsx" TargetMode="External"/><Relationship Id="rId19" Type="http://schemas.openxmlformats.org/officeDocument/2006/relationships/hyperlink" Target="https://dailymed.nlm.nih.gov/dailymed/search.cfm?labeltype=all&amp;query=argatroban" TargetMode="External"/><Relationship Id="rId20" Type="http://schemas.openxmlformats.org/officeDocument/2006/relationships/hyperlink" Target="https://dailymed.nlm.nih.gov/dailymed/drugInfo.cfm?setid=d9b975bd-e3f4-466e-96ca-7bef7899506d" TargetMode="External"/><Relationship Id="rId21" Type="http://schemas.openxmlformats.org/officeDocument/2006/relationships/hyperlink" Target="https://dailymed.nlm.nih.gov/dailymed/search.cfm?labeltype=all&amp;query=azacitidine" TargetMode="External"/><Relationship Id="rId22" Type="http://schemas.openxmlformats.org/officeDocument/2006/relationships/hyperlink" Target="https://mhraproducts4853.blob.core.windows.net/docs/2efde25ac4cbefa21bb4640027e6b7243ef5b3f8" TargetMode="External"/><Relationship Id="rId23" Type="http://schemas.openxmlformats.org/officeDocument/2006/relationships/hyperlink" Target="https://dailymed.nlm.nih.gov/dailymed/search.cfm?labeltype=all&amp;query=azacitidine" TargetMode="External"/><Relationship Id="rId24" Type="http://schemas.openxmlformats.org/officeDocument/2006/relationships/hyperlink" Target="https://www.ema.europa.eu/en/documents/other/article-57-product-data_en.xlsx" TargetMode="External"/><Relationship Id="rId25" Type="http://schemas.openxmlformats.org/officeDocument/2006/relationships/hyperlink" Target="https://dailymed.nlm.nih.gov/dailymed/search.cfm?labeltype=all&amp;query=azacitidine" TargetMode="External"/><Relationship Id="rId26" Type="http://schemas.openxmlformats.org/officeDocument/2006/relationships/hyperlink" Target="https://base-donnees-publique.medicaments.gouv.fr/index.php?page=1&amp;choixRecherche=medicament&amp;txtCaracteres=Azacitidine%20Arrow&amp;action=show" TargetMode="External"/><Relationship Id="rId27" Type="http://schemas.openxmlformats.org/officeDocument/2006/relationships/hyperlink" Target="https://www.ema.europa.eu/en/documents/other/article-57-product-data_en.xlsx" TargetMode="External"/><Relationship Id="rId28" Type="http://schemas.openxmlformats.org/officeDocument/2006/relationships/hyperlink" Target="https://dailymed.nlm.nih.gov/dailymed/search.cfm?labeltype=all&amp;query=azacitidine" TargetMode="External"/><Relationship Id="rId29" Type="http://schemas.openxmlformats.org/officeDocument/2006/relationships/hyperlink" Target="https://www.ebs.tga.gov.au/ebs/picmi/picmirepository.nsf/pdf?OpenAgent&amp;id=CP-2024-PI-01359-1" TargetMode="External"/><Relationship Id="rId30" Type="http://schemas.openxmlformats.org/officeDocument/2006/relationships/hyperlink" Target="https://dailymed.nlm.nih.gov/dailymed/search.cfm?labeltype=all&amp;query=bortezomib" TargetMode="External"/><Relationship Id="rId31" Type="http://schemas.openxmlformats.org/officeDocument/2006/relationships/hyperlink" Target="https://dailymed.nlm.nih.gov/dailymed/search.cfm?labeltype=all&amp;query=Bortezomib" TargetMode="External"/><Relationship Id="rId32" Type="http://schemas.openxmlformats.org/officeDocument/2006/relationships/hyperlink" Target="https://dailymed.nlm.nih.gov/dailymed/search.cfm?labeltype=all&amp;query=bortezomib" TargetMode="External"/><Relationship Id="rId33" Type="http://schemas.openxmlformats.org/officeDocument/2006/relationships/hyperlink" Target="https://mhraproducts4853.blob.core.windows.net/docs/0c08f164559c903dce45f10a6de733bdd83f7e40" TargetMode="External"/><Relationship Id="rId34" Type="http://schemas.openxmlformats.org/officeDocument/2006/relationships/hyperlink" Target="https://dailymed.nlm.nih.gov/dailymed/search.cfm?labeltype=all&amp;query=bortezomib" TargetMode="External"/><Relationship Id="rId35" Type="http://schemas.openxmlformats.org/officeDocument/2006/relationships/hyperlink" Target="https://www.ema.europa.eu/en/documents/other/article-57-product-data_en.xlsx" TargetMode="External"/><Relationship Id="rId36" Type="http://schemas.openxmlformats.org/officeDocument/2006/relationships/hyperlink" Target="https://dailymed.nlm.nih.gov/dailymed/search.cfm?labeltype=all&amp;query=bortezomib" TargetMode="External"/><Relationship Id="rId37" Type="http://schemas.openxmlformats.org/officeDocument/2006/relationships/hyperlink" Target="https://base-donnees-publique.medicaments.gouv.fr/index.php?page=1&amp;choixRecherche=medicament&amp;txtCaracteres=Bortezomib%20Arrow&amp;action=show" TargetMode="External"/><Relationship Id="rId38" Type="http://schemas.openxmlformats.org/officeDocument/2006/relationships/hyperlink" Target="https://www.ema.europa.eu/en/documents/other/article-57-product-data_en.xlsx" TargetMode="External"/><Relationship Id="rId39" Type="http://schemas.openxmlformats.org/officeDocument/2006/relationships/hyperlink" Target="https://dailymed.nlm.nih.gov/dailymed/search.cfm?labeltype=all&amp;query=bortezomib" TargetMode="External"/><Relationship Id="rId40" Type="http://schemas.openxmlformats.org/officeDocument/2006/relationships/hyperlink" Target="https://www.ebs.tga.gov.au/servlet/xmlmillr6?dbid=ebs/PublicHTML/pdfStore.nsf&amp;docid=401630&amp;agid=(PrintDetailsPublic)&amp;actionid=1" TargetMode="External"/><Relationship Id="rId41" Type="http://schemas.openxmlformats.org/officeDocument/2006/relationships/hyperlink" Target="https://dailymed.nlm.nih.gov/dailymed/search.cfm?labeltype=all&amp;query=bupivacaine" TargetMode="External"/><Relationship Id="rId42" Type="http://schemas.openxmlformats.org/officeDocument/2006/relationships/hyperlink" Target="https://www.ema.europa.eu/en/documents/other/article-57-product-data_en.xlsx" TargetMode="External"/><Relationship Id="rId43" Type="http://schemas.openxmlformats.org/officeDocument/2006/relationships/hyperlink" Target="https://dailymed.nlm.nih.gov/dailymed/search.cfm?labeltype=all&amp;query=bupivacaine" TargetMode="External"/><Relationship Id="rId44" Type="http://schemas.openxmlformats.org/officeDocument/2006/relationships/hyperlink" Target="https://www.ema.europa.eu/en/documents/other/article-57-product-data_en.xlsx" TargetMode="External"/><Relationship Id="rId45" Type="http://schemas.openxmlformats.org/officeDocument/2006/relationships/hyperlink" Target="https://dailymed.nlm.nih.gov/dailymed/search.cfm?labeltype=all&amp;query=carboprost" TargetMode="External"/><Relationship Id="rId46" Type="http://schemas.openxmlformats.org/officeDocument/2006/relationships/hyperlink" Target="https://dailymed.nlm.nih.gov/dailymed/lookup.cfm?setid=c1cde9c7-b005-484f-8497-343c5ecd4f0a" TargetMode="External"/><Relationship Id="rId47" Type="http://schemas.openxmlformats.org/officeDocument/2006/relationships/hyperlink" Target="https://dailymed.nlm.nih.gov/dailymed/search.cfm?labeltype=all&amp;query=cefepime" TargetMode="External"/><Relationship Id="rId48" Type="http://schemas.openxmlformats.org/officeDocument/2006/relationships/hyperlink" Target="https://pi-pil-repository.sahpra.org.za/wp-content/uploads/2022/08/1.3.1.1-Auro-Cefepime-Injection.pdf" TargetMode="External"/><Relationship Id="rId49" Type="http://schemas.openxmlformats.org/officeDocument/2006/relationships/hyperlink" Target="https://dailymed.nlm.nih.gov/dailymed/search.cfm?labeltype=all&amp;query=ceftazidime" TargetMode="External"/><Relationship Id="rId50" Type="http://schemas.openxmlformats.org/officeDocument/2006/relationships/hyperlink" Target="https://base-donnees-publique.medicaments.gouv.fr/index.php?page=1&amp;choixRecherche=medicament&amp;txtCaracteres=Ceftazidime%20Arrow&amp;action=show" TargetMode="External"/><Relationship Id="rId51" Type="http://schemas.openxmlformats.org/officeDocument/2006/relationships/hyperlink" Target="https://www.ema.europa.eu/en/documents/other/article-57-product-data_en.xlsx" TargetMode="External"/><Relationship Id="rId52" Type="http://schemas.openxmlformats.org/officeDocument/2006/relationships/hyperlink" Target="https://dailymed.nlm.nih.gov/dailymed/search.cfm?labeltype=all&amp;query=ceftriaxone" TargetMode="External"/><Relationship Id="rId53" Type="http://schemas.openxmlformats.org/officeDocument/2006/relationships/hyperlink" Target="https://base-donnees-publique.medicaments.gouv.fr/index.php?page=1&amp;choixRecherche=medicament&amp;txtCaracteres=Ceftriaxone%20Almus&amp;action=show" TargetMode="External"/><Relationship Id="rId54" Type="http://schemas.openxmlformats.org/officeDocument/2006/relationships/hyperlink" Target="https://www.ema.europa.eu/en/documents/other/article-57-product-data_en.xlsx" TargetMode="External"/><Relationship Id="rId55" Type="http://schemas.openxmlformats.org/officeDocument/2006/relationships/hyperlink" Target="https://dailymed.nlm.nih.gov/dailymed/search.cfm?labeltype=all&amp;query=chlorpromazine" TargetMode="External"/><Relationship Id="rId56" Type="http://schemas.openxmlformats.org/officeDocument/2006/relationships/hyperlink" Target="https://dailymed.nlm.nih.gov/dailymed/lookup.cfm?setid=07e6144a-b460-4887-b8e2-dd371c14a55c" TargetMode="External"/><Relationship Id="rId57" Type="http://schemas.openxmlformats.org/officeDocument/2006/relationships/hyperlink" Target="https://dailymed.nlm.nih.gov/dailymed/search.cfm?labeltype=all&amp;query=cyclophosphamide" TargetMode="External"/><Relationship Id="rId58" Type="http://schemas.openxmlformats.org/officeDocument/2006/relationships/hyperlink" Target="https://dailymed.nlm.nih.gov/dailymed/drugInfo.cfm?setid=3c1eb470-0bba-457d-94e3-b9508f0d398a" TargetMode="External"/><Relationship Id="rId59" Type="http://schemas.openxmlformats.org/officeDocument/2006/relationships/hyperlink" Target="https://dailymed.nlm.nih.gov/dailymed/search.cfm?labeltype=all&amp;query=dactinomycin" TargetMode="External"/><Relationship Id="rId60" Type="http://schemas.openxmlformats.org/officeDocument/2006/relationships/hyperlink" Target="https://dailymed.nlm.nih.gov/dailymed/drugInfo.cfm?setid=aa047ee8-f2e8-4720-84b1-d1c4532d6c63" TargetMode="External"/><Relationship Id="rId61" Type="http://schemas.openxmlformats.org/officeDocument/2006/relationships/hyperlink" Target="https://dailymed.nlm.nih.gov/dailymed/search.cfm?labeltype=all&amp;query=daptomycin" TargetMode="External"/><Relationship Id="rId62" Type="http://schemas.openxmlformats.org/officeDocument/2006/relationships/hyperlink" Target="https://www.ema.europa.eu/en/documents/other/article-57-product-data_en.xlsx" TargetMode="External"/><Relationship Id="rId63" Type="http://schemas.openxmlformats.org/officeDocument/2006/relationships/hyperlink" Target="https://dailymed.nlm.nih.gov/dailymed/search.cfm?labeltype=all&amp;query=doxorubicin" TargetMode="External"/><Relationship Id="rId64" Type="http://schemas.openxmlformats.org/officeDocument/2006/relationships/hyperlink" Target="https://base-donnees-publique.medicaments.gouv.fr/index.php?page=1&amp;choixRecherche=medicament&amp;txtCaracteres=Doxorubicine%20Arrow&amp;action=show" TargetMode="External"/><Relationship Id="rId65" Type="http://schemas.openxmlformats.org/officeDocument/2006/relationships/hyperlink" Target="https://www.ema.europa.eu/en/documents/other/article-57-product-data_en.xlsx" TargetMode="External"/><Relationship Id="rId66" Type="http://schemas.openxmlformats.org/officeDocument/2006/relationships/hyperlink" Target="https://dailymed.nlm.nih.gov/dailymed/search.cfm?labeltype=all&amp;query=ephedrine+sulfate+injection" TargetMode="External"/><Relationship Id="rId67" Type="http://schemas.openxmlformats.org/officeDocument/2006/relationships/hyperlink" Target="https://dailymed.nlm.nih.gov/dailymed/drugInfo.cfm?setid=a5862de7-4118-4bda-8075-0b2524e04585" TargetMode="External"/><Relationship Id="rId68" Type="http://schemas.openxmlformats.org/officeDocument/2006/relationships/hyperlink" Target="https://dailymed.nlm.nih.gov/dailymed/search.cfm?labeltype=all&amp;query=ephedrine+sulfate+injection" TargetMode="External"/><Relationship Id="rId69" Type="http://schemas.openxmlformats.org/officeDocument/2006/relationships/hyperlink" Target="https://base-donnees-publique.medicaments.gouv.fr/index.php?page=1&amp;choixRecherche=medicament&amp;txtCaracteres=Ephedrine%20Arrow&amp;action=show" TargetMode="External"/><Relationship Id="rId70" Type="http://schemas.openxmlformats.org/officeDocument/2006/relationships/hyperlink" Target="https://www.ema.europa.eu/en/documents/other/article-57-product-data_en.xlsx" TargetMode="External"/><Relationship Id="rId71" Type="http://schemas.openxmlformats.org/officeDocument/2006/relationships/hyperlink" Target="https://dailymed.nlm.nih.gov/dailymed/search.cfm?labeltype=all&amp;query=epirubicin" TargetMode="External"/><Relationship Id="rId72" Type="http://schemas.openxmlformats.org/officeDocument/2006/relationships/hyperlink" Target="https://www.ema.europa.eu/en/documents/other/article-57-product-data_en.xlsx" TargetMode="External"/><Relationship Id="rId73" Type="http://schemas.openxmlformats.org/officeDocument/2006/relationships/hyperlink" Target="https://dailymed.nlm.nih.gov/dailymed/search.cfm?labeltype=all&amp;query=eptifibatide" TargetMode="External"/><Relationship Id="rId74" Type="http://schemas.openxmlformats.org/officeDocument/2006/relationships/hyperlink" Target="https://dailymed.nlm.nih.gov/dailymed/drugInfo.cfm?setid=00ad7bbe-cadd-4647-b74b-adfc9f2b5e94" TargetMode="External"/><Relationship Id="rId75" Type="http://schemas.openxmlformats.org/officeDocument/2006/relationships/hyperlink" Target="https://dailymed.nlm.nih.gov/dailymed/search.cfm?labeltype=all&amp;query=ertapenem" TargetMode="External"/><Relationship Id="rId76" Type="http://schemas.openxmlformats.org/officeDocument/2006/relationships/hyperlink" Target="https://dailymed.nlm.nih.gov/dailymed/drugInfo.cfm?setid=f725a68c-31a2-482a-9744-19adc47506b5" TargetMode="External"/><Relationship Id="rId77" Type="http://schemas.openxmlformats.org/officeDocument/2006/relationships/hyperlink" Target="https://dailymed.nlm.nih.gov/dailymed/search.cfm?labeltype=all&amp;query=ertapenem" TargetMode="External"/><Relationship Id="rId78" Type="http://schemas.openxmlformats.org/officeDocument/2006/relationships/hyperlink" Target="https://www.ema.europa.eu/en/documents/other/article-57-product-data_en.xlsx" TargetMode="External"/><Relationship Id="rId79" Type="http://schemas.openxmlformats.org/officeDocument/2006/relationships/hyperlink" Target="https://dailymed.nlm.nih.gov/dailymed/search.cfm?labeltype=all&amp;query=ertapenem" TargetMode="External"/><Relationship Id="rId80" Type="http://schemas.openxmlformats.org/officeDocument/2006/relationships/hyperlink" Target="https://health-products.canada.ca/dpd-bdpp/info?code=98213&amp;lang=eng" TargetMode="External"/><Relationship Id="rId81" Type="http://schemas.openxmlformats.org/officeDocument/2006/relationships/hyperlink" Target="https://dailymed.nlm.nih.gov/dailymed/search.cfm?labeltype=all&amp;query=ertapenem" TargetMode="External"/><Relationship Id="rId82" Type="http://schemas.openxmlformats.org/officeDocument/2006/relationships/hyperlink" Target="https://base-donnees-publique.medicaments.gouv.fr/index.php?page=1&amp;choixRecherche=medicament&amp;txtCaracteres=Ertapenem%20Arrow&amp;action=show" TargetMode="External"/><Relationship Id="rId83" Type="http://schemas.openxmlformats.org/officeDocument/2006/relationships/hyperlink" Target="https://www.ema.europa.eu/en/documents/other/article-57-product-data_en.xlsx" TargetMode="External"/><Relationship Id="rId84" Type="http://schemas.openxmlformats.org/officeDocument/2006/relationships/hyperlink" Target="https://dailymed.nlm.nih.gov/dailymed/search.cfm?labeltype=all&amp;query=ertapenem" TargetMode="External"/><Relationship Id="rId85" Type="http://schemas.openxmlformats.org/officeDocument/2006/relationships/hyperlink" Target="https://pi-pil-repository.sahpra.org.za/wp-content/uploads/2023/07/pil_ETAMEP.pdf" TargetMode="External"/><Relationship Id="rId86" Type="http://schemas.openxmlformats.org/officeDocument/2006/relationships/hyperlink" Target="https://dailymed.nlm.nih.gov/dailymed/search.cfm?labeltype=all&amp;query=esmolol" TargetMode="External"/><Relationship Id="rId87" Type="http://schemas.openxmlformats.org/officeDocument/2006/relationships/hyperlink" Target="https://dailymed.nlm.nih.gov/dailymed/drugInfo.cfm?setid=ac22475d-2d78-469f-9435-b403ac4ee380" TargetMode="External"/><Relationship Id="rId88" Type="http://schemas.openxmlformats.org/officeDocument/2006/relationships/hyperlink" Target="https://dailymed.nlm.nih.gov/dailymed/search.cfm?labeltype=all&amp;query=esmolol" TargetMode="External"/><Relationship Id="rId89" Type="http://schemas.openxmlformats.org/officeDocument/2006/relationships/hyperlink" Target="https://www.ema.europa.eu/en/documents/other/article-57-product-data_en.xlsx" TargetMode="External"/><Relationship Id="rId90" Type="http://schemas.openxmlformats.org/officeDocument/2006/relationships/hyperlink" Target="https://mhraproducts4853.blob.core.windows.net/docs/b81aa75bd80aa32a460d7fedc1706f40ed574da1" TargetMode="External"/><Relationship Id="rId91" Type="http://schemas.openxmlformats.org/officeDocument/2006/relationships/hyperlink" Target="https://www.ema.europa.eu/en/documents/other/article-57-product-data_en.xlsx" TargetMode="External"/><Relationship Id="rId92" Type="http://schemas.openxmlformats.org/officeDocument/2006/relationships/hyperlink" Target="https://mhraproducts4853.blob.core.windows.net/docs/b81aa75bd80aa32a460d7fedc1706f40ed574da1" TargetMode="External"/><Relationship Id="rId93" Type="http://schemas.openxmlformats.org/officeDocument/2006/relationships/hyperlink" Target="https://base-donnees-publique.medicaments.gouv.fr/index.php?page=1&amp;choixRecherche=medicament&amp;txtCaracteres=Flucloxacilline&amp;action=show" TargetMode="External"/><Relationship Id="rId94" Type="http://schemas.openxmlformats.org/officeDocument/2006/relationships/hyperlink" Target="https://www.ema.europa.eu/en/documents/other/article-57-product-data_en.xlsx" TargetMode="External"/><Relationship Id="rId95" Type="http://schemas.openxmlformats.org/officeDocument/2006/relationships/hyperlink" Target="https://mhraproducts4853.blob.core.windows.net/docs/b81aa75bd80aa32a460d7fedc1706f40ed574da1" TargetMode="External"/><Relationship Id="rId96" Type="http://schemas.openxmlformats.org/officeDocument/2006/relationships/hyperlink" Target="https://www.ebs.tga.gov.au/ebs/picmi/picmirepository.nsf/pdf?OpenAgent&amp;id=CP-2024-PI-02513-1" TargetMode="External"/><Relationship Id="rId97" Type="http://schemas.openxmlformats.org/officeDocument/2006/relationships/hyperlink" Target="https://dailymed.nlm.nih.gov/dailymed/search.cfm?labeltype=all&amp;query=fluorouracil+injection" TargetMode="External"/><Relationship Id="rId98" Type="http://schemas.openxmlformats.org/officeDocument/2006/relationships/hyperlink" Target="https://dailymed.nlm.nih.gov/dailymed/drugInfo.cfm?setid=199ef964-8a9b-403e-a2ae-759280b3d1d1" TargetMode="External"/><Relationship Id="rId99" Type="http://schemas.openxmlformats.org/officeDocument/2006/relationships/hyperlink" Target="https://dailymed.nlm.nih.gov/dailymed/search.cfm?labeltype=all&amp;query=fluphenazine+decanoate" TargetMode="External"/><Relationship Id="rId100" Type="http://schemas.openxmlformats.org/officeDocument/2006/relationships/hyperlink" Target="https://dailymed.nlm.nih.gov/dailymed/drugInfo.cfm?setid=1f532edc-1a2c-4221-80dd-1ac158dd3a72" TargetMode="External"/><Relationship Id="rId101" Type="http://schemas.openxmlformats.org/officeDocument/2006/relationships/hyperlink" Target="https://dailymed.nlm.nih.gov/dailymed/search.cfm?labeltype=all&amp;query=leucovorin+calcium+injection" TargetMode="External"/><Relationship Id="rId102" Type="http://schemas.openxmlformats.org/officeDocument/2006/relationships/hyperlink" Target="https://www.ema.europa.eu/en/documents/other/article-57-product-data_en.xlsx" TargetMode="External"/><Relationship Id="rId103" Type="http://schemas.openxmlformats.org/officeDocument/2006/relationships/hyperlink" Target="https://dailymed.nlm.nih.gov/dailymed/search.cfm?labeltype=all&amp;query=fulvestrant" TargetMode="External"/><Relationship Id="rId104" Type="http://schemas.openxmlformats.org/officeDocument/2006/relationships/hyperlink" Target="https://mhraproducts4853.blob.core.windows.net/docs/662771b8a40d902278b3bdf8028b29838cd8e06c" TargetMode="External"/><Relationship Id="rId105" Type="http://schemas.openxmlformats.org/officeDocument/2006/relationships/hyperlink" Target="https://dailymed.nlm.nih.gov/dailymed/search.cfm?labeltype=all&amp;query=fulvestrant" TargetMode="External"/><Relationship Id="rId106" Type="http://schemas.openxmlformats.org/officeDocument/2006/relationships/hyperlink" Target="https://base-donnees-publique.medicaments.gouv.fr/index.php?page=1&amp;choixRecherche=medicament&amp;txtCaracteres=Fulvestrant%20Arrow&amp;action=show" TargetMode="External"/><Relationship Id="rId107" Type="http://schemas.openxmlformats.org/officeDocument/2006/relationships/hyperlink" Target="https://www.ema.europa.eu/en/documents/other/article-57-product-data_en.xlsx" TargetMode="External"/><Relationship Id="rId108" Type="http://schemas.openxmlformats.org/officeDocument/2006/relationships/hyperlink" Target="https://dailymed.nlm.nih.gov/dailymed/search.cfm?labeltype=all&amp;query=fulvestrant" TargetMode="External"/><Relationship Id="rId109" Type="http://schemas.openxmlformats.org/officeDocument/2006/relationships/hyperlink" Target="https://www.tga.gov.au/resources/artg/408393" TargetMode="External"/><Relationship Id="rId110" Type="http://schemas.openxmlformats.org/officeDocument/2006/relationships/hyperlink" Target="https://dailymed.nlm.nih.gov/dailymed/search.cfm?labeltype=all&amp;query=hydralazine+injection" TargetMode="External"/><Relationship Id="rId111" Type="http://schemas.openxmlformats.org/officeDocument/2006/relationships/hyperlink" Target="https://health-products.canada.ca/dpd-bdpp/info?code=100550&amp;lang=eng" TargetMode="External"/><Relationship Id="rId112" Type="http://schemas.openxmlformats.org/officeDocument/2006/relationships/hyperlink" Target="https://dailymed.nlm.nih.gov/dailymed/search.cfm?labeltype=all&amp;query=ibandronate+injection" TargetMode="External"/><Relationship Id="rId113" Type="http://schemas.openxmlformats.org/officeDocument/2006/relationships/hyperlink" Target="https://dailymed.nlm.nih.gov/dailymed/lookup.cfm?setid=e81f2c5b-bead-48ac-be3e-016cf963d7ed" TargetMode="External"/><Relationship Id="rId114" Type="http://schemas.openxmlformats.org/officeDocument/2006/relationships/hyperlink" Target="https://dailymed.nlm.nih.gov/dailymed/search.cfm?labeltype=all&amp;query=medroxyprogesterone+acetate+injectable" TargetMode="External"/><Relationship Id="rId115" Type="http://schemas.openxmlformats.org/officeDocument/2006/relationships/hyperlink" Target="https://dailymed.nlm.nih.gov/dailymed/search.cfm?searchdb=ndc&amp;query=55150-329-25" TargetMode="External"/><Relationship Id="rId116" Type="http://schemas.openxmlformats.org/officeDocument/2006/relationships/hyperlink" Target="https://dailymed.nlm.nih.gov/dailymed/search.cfm?labeltype=all&amp;query=melphalan+hydrochloride" TargetMode="External"/><Relationship Id="rId117" Type="http://schemas.openxmlformats.org/officeDocument/2006/relationships/hyperlink" Target="https://www.ema.europa.eu/en/documents/other/article-57-product-data_en.xlsx" TargetMode="External"/><Relationship Id="rId118" Type="http://schemas.openxmlformats.org/officeDocument/2006/relationships/hyperlink" Target="https://dailymed.nlm.nih.gov/dailymed/search.cfm?labeltype=all&amp;query=meropenem" TargetMode="External"/><Relationship Id="rId119" Type="http://schemas.openxmlformats.org/officeDocument/2006/relationships/hyperlink" Target="https://www.ema.europa.eu/en/documents/other/article-57-product-data_en.xlsx" TargetMode="External"/><Relationship Id="rId120" Type="http://schemas.openxmlformats.org/officeDocument/2006/relationships/hyperlink" Target="https://dailymed.nlm.nih.gov/dailymed/search.cfm?labeltype=all&amp;query=meropenem" TargetMode="External"/><Relationship Id="rId121" Type="http://schemas.openxmlformats.org/officeDocument/2006/relationships/hyperlink" Target="https://health-products.canada.ca/dpd-bdpp/info?code=95075&amp;lang=eng" TargetMode="External"/><Relationship Id="rId122" Type="http://schemas.openxmlformats.org/officeDocument/2006/relationships/hyperlink" Target="https://dailymed.nlm.nih.gov/dailymed/search.cfm?labeltype=all&amp;query=meropenem" TargetMode="External"/><Relationship Id="rId123" Type="http://schemas.openxmlformats.org/officeDocument/2006/relationships/hyperlink" Target="https://base-donnees-publique.medicaments.gouv.fr/index.php?page=1&amp;choixRecherche=medicament&amp;txtCaracteres=Meropenem&amp;action=show" TargetMode="External"/><Relationship Id="rId124" Type="http://schemas.openxmlformats.org/officeDocument/2006/relationships/hyperlink" Target="https://www.ema.europa.eu/en/documents/other/article-57-product-data_en.xlsx" TargetMode="External"/><Relationship Id="rId125" Type="http://schemas.openxmlformats.org/officeDocument/2006/relationships/hyperlink" Target="https://dailymed.nlm.nih.gov/dailymed/search.cfm?labeltype=all&amp;query=mesna" TargetMode="External"/><Relationship Id="rId126" Type="http://schemas.openxmlformats.org/officeDocument/2006/relationships/hyperlink" Target="https://dailymed.nlm.nih.gov/dailymed/drugInfo.cfm?setid=49e9c804-9e88-4774-8faf-35bd61b3a8e9" TargetMode="External"/><Relationship Id="rId127" Type="http://schemas.openxmlformats.org/officeDocument/2006/relationships/hyperlink" Target="https://dailymed.nlm.nih.gov/dailymed/search.cfm?labeltype=all&amp;query=methotrexate+injection" TargetMode="External"/><Relationship Id="rId128" Type="http://schemas.openxmlformats.org/officeDocument/2006/relationships/hyperlink" Target="https://dailymed.nlm.nih.gov/dailymed/search.cfm?searchdb=ndc&amp;query=55150-510" TargetMode="External"/><Relationship Id="rId129" Type="http://schemas.openxmlformats.org/officeDocument/2006/relationships/hyperlink" Target="https://dailymed.nlm.nih.gov/dailymed/search.cfm?labeltype=all&amp;query=methylprednisolone+acetate" TargetMode="External"/><Relationship Id="rId130" Type="http://schemas.openxmlformats.org/officeDocument/2006/relationships/hyperlink" Target="https://dailymed.nlm.nih.gov/dailymed/search.cfm?searchdb=ndc&amp;query=55150-262" TargetMode="External"/><Relationship Id="rId131" Type="http://schemas.openxmlformats.org/officeDocument/2006/relationships/hyperlink" Target="https://dailymed.nlm.nih.gov/dailymed/search.cfm?labeltype=all&amp;query=mitomycin" TargetMode="External"/><Relationship Id="rId132" Type="http://schemas.openxmlformats.org/officeDocument/2006/relationships/hyperlink" Target="https://www.ema.europa.eu/en/documents/other/article-57-product-data_en.xlsx" TargetMode="External"/><Relationship Id="rId133" Type="http://schemas.openxmlformats.org/officeDocument/2006/relationships/hyperlink" Target="https://dailymed.nlm.nih.gov/dailymed/search.cfm?labeltype=all&amp;query=nafcillin" TargetMode="External"/><Relationship Id="rId134" Type="http://schemas.openxmlformats.org/officeDocument/2006/relationships/hyperlink" Target="https://dailymed.nlm.nih.gov/dailymed/search.cfm?searchdb=ndc&amp;query=55150-122" TargetMode="External"/><Relationship Id="rId135" Type="http://schemas.openxmlformats.org/officeDocument/2006/relationships/hyperlink" Target="https://dailymed.nlm.nih.gov/dailymed/search.cfm?labeltype=all&amp;query=naloxone+hydrochloride+injection" TargetMode="External"/><Relationship Id="rId136" Type="http://schemas.openxmlformats.org/officeDocument/2006/relationships/hyperlink" Target="https://dailymed.nlm.nih.gov/dailymed/search.cfm?searchdb=ndc&amp;query=55150-345-01" TargetMode="External"/><Relationship Id="rId137" Type="http://schemas.openxmlformats.org/officeDocument/2006/relationships/hyperlink" Target="https://dailymed.nlm.nih.gov/dailymed/search.cfm?labeltype=all&amp;query=naloxone+hydrochloride+injection" TargetMode="External"/><Relationship Id="rId138" Type="http://schemas.openxmlformats.org/officeDocument/2006/relationships/hyperlink" Target="https://health-products.canada.ca/dpd-bdpp/info?code=102386&amp;lang=eng" TargetMode="External"/><Relationship Id="rId139" Type="http://schemas.openxmlformats.org/officeDocument/2006/relationships/hyperlink" Target="https://dailymed.nlm.nih.gov/dailymed/search.cfm?labeltype=all&amp;query=ondansetron+injection" TargetMode="External"/><Relationship Id="rId140" Type="http://schemas.openxmlformats.org/officeDocument/2006/relationships/hyperlink" Target="https://dmd-browser.nhsbsa.nhs.uk/ampp/view/47382" TargetMode="External"/><Relationship Id="rId141" Type="http://schemas.openxmlformats.org/officeDocument/2006/relationships/hyperlink" Target="https://dailymed.nlm.nih.gov/dailymed/search.cfm?labeltype=all&amp;query=ondansetron+injection" TargetMode="External"/><Relationship Id="rId142" Type="http://schemas.openxmlformats.org/officeDocument/2006/relationships/hyperlink" Target="https://www.ema.europa.eu/en/documents/other/article-57-product-data_en.xlsx" TargetMode="External"/><Relationship Id="rId143" Type="http://schemas.openxmlformats.org/officeDocument/2006/relationships/hyperlink" Target="https://dailymed.nlm.nih.gov/dailymed/search.cfm?labeltype=all&amp;query=ondansetron+injection" TargetMode="External"/><Relationship Id="rId144" Type="http://schemas.openxmlformats.org/officeDocument/2006/relationships/hyperlink" Target="https://health-products.canada.ca/dpd-bdpp/info?code=98138&amp;lang=eng" TargetMode="External"/><Relationship Id="rId145" Type="http://schemas.openxmlformats.org/officeDocument/2006/relationships/hyperlink" Target="https://dailymed.nlm.nih.gov/dailymed/search.cfm?labeltype=all&amp;query=ondansetron+injection" TargetMode="External"/><Relationship Id="rId146" Type="http://schemas.openxmlformats.org/officeDocument/2006/relationships/hyperlink" Target="https://www.ema.europa.eu/en/documents/other/article-57-product-data_en.xlsx" TargetMode="External"/><Relationship Id="rId147" Type="http://schemas.openxmlformats.org/officeDocument/2006/relationships/hyperlink" Target="https://dailymed.nlm.nih.gov/dailymed/search.cfm?labeltype=all&amp;query=oxacillin" TargetMode="External"/><Relationship Id="rId148" Type="http://schemas.openxmlformats.org/officeDocument/2006/relationships/hyperlink" Target="https://dailymed.nlm.nih.gov/dailymed/drugInfo.cfm?setid=81e90279-9889-47bd-974b-334c181f295c" TargetMode="External"/><Relationship Id="rId149" Type="http://schemas.openxmlformats.org/officeDocument/2006/relationships/hyperlink" Target="https://dailymed.nlm.nih.gov/dailymed/search.cfm?labeltype=all&amp;query=palonosetron" TargetMode="External"/><Relationship Id="rId150" Type="http://schemas.openxmlformats.org/officeDocument/2006/relationships/hyperlink" Target="https://dailymed.nlm.nih.gov/dailymed/drugInfo.cfm?setid=42e2d437-0712-4e9c-9c2a-00093c406d62" TargetMode="External"/><Relationship Id="rId151" Type="http://schemas.openxmlformats.org/officeDocument/2006/relationships/hyperlink" Target="https://dailymed.nlm.nih.gov/dailymed/search.cfm?labeltype=all&amp;query=pantoprazole+sodium+for+injection" TargetMode="External"/><Relationship Id="rId152" Type="http://schemas.openxmlformats.org/officeDocument/2006/relationships/hyperlink" Target="https://dmd-browser.nhsbsa.nhs.uk/ampp/view/194984" TargetMode="External"/><Relationship Id="rId153" Type="http://schemas.openxmlformats.org/officeDocument/2006/relationships/hyperlink" Target="https://dailymed.nlm.nih.gov/dailymed/search.cfm?labeltype=all&amp;query=pantoprazole+sodium+for+injection" TargetMode="External"/><Relationship Id="rId154" Type="http://schemas.openxmlformats.org/officeDocument/2006/relationships/hyperlink" Target="https://www.ema.europa.eu/en/documents/other/article-57-product-data_en.xlsx" TargetMode="External"/><Relationship Id="rId155" Type="http://schemas.openxmlformats.org/officeDocument/2006/relationships/hyperlink" Target="https://dailymed.nlm.nih.gov/dailymed/search.cfm?labeltype=all&amp;query=pantoprazole+sodium+for+injection" TargetMode="External"/><Relationship Id="rId156" Type="http://schemas.openxmlformats.org/officeDocument/2006/relationships/hyperlink" Target="https://health-products.canada.ca/dpd-bdpp/info?code=94611&amp;lang=eng" TargetMode="External"/><Relationship Id="rId157" Type="http://schemas.openxmlformats.org/officeDocument/2006/relationships/hyperlink" Target="https://dailymed.nlm.nih.gov/dailymed/search.cfm?labeltype=all&amp;query=pantoprazole+sodium+for+injection" TargetMode="External"/><Relationship Id="rId158" Type="http://schemas.openxmlformats.org/officeDocument/2006/relationships/hyperlink" Target="https://base-donnees-publique.medicaments.gouv.fr/index.php?page=1&amp;choixRecherche=medicament&amp;txtCaracteres=Pantoprazole%20Arrow&amp;action=show" TargetMode="External"/><Relationship Id="rId159" Type="http://schemas.openxmlformats.org/officeDocument/2006/relationships/hyperlink" Target="https://www.ema.europa.eu/en/documents/other/article-57-product-data_en.xlsx" TargetMode="External"/><Relationship Id="rId160" Type="http://schemas.openxmlformats.org/officeDocument/2006/relationships/hyperlink" Target="https://dailymed.nlm.nih.gov/dailymed/search.cfm?labeltype=all&amp;query=plerixafor" TargetMode="External"/><Relationship Id="rId161" Type="http://schemas.openxmlformats.org/officeDocument/2006/relationships/hyperlink" Target="https://dailymed.nlm.nih.gov/dailymed/drugInfo.cfm?setid=58c9fa02-3701-d411-f946-790a62ddc064" TargetMode="External"/><Relationship Id="rId162" Type="http://schemas.openxmlformats.org/officeDocument/2006/relationships/hyperlink" Target="https://dailymed.nlm.nih.gov/dailymed/search.cfm?labeltype=all&amp;query=plerixafor" TargetMode="External"/><Relationship Id="rId163" Type="http://schemas.openxmlformats.org/officeDocument/2006/relationships/hyperlink" Target="https://mhraproducts4853.blob.core.windows.net/docs/bb7448515c77d7fb12fb87b29dc3839d02e684f3" TargetMode="External"/><Relationship Id="rId164" Type="http://schemas.openxmlformats.org/officeDocument/2006/relationships/hyperlink" Target="https://dailymed.nlm.nih.gov/dailymed/search.cfm?labeltype=all&amp;query=plerixafor" TargetMode="External"/><Relationship Id="rId165" Type="http://schemas.openxmlformats.org/officeDocument/2006/relationships/hyperlink" Target="https://www.ema.europa.eu/en/documents/other/article-57-product-data_en.xlsx" TargetMode="External"/><Relationship Id="rId166" Type="http://schemas.openxmlformats.org/officeDocument/2006/relationships/hyperlink" Target="https://dailymed.nlm.nih.gov/dailymed/search.cfm?labeltype=all&amp;query=plerixafor" TargetMode="External"/><Relationship Id="rId167" Type="http://schemas.openxmlformats.org/officeDocument/2006/relationships/hyperlink" Target="https://health-products.canada.ca/dpd-bdpp/info?code=102820&amp;lang=eng" TargetMode="External"/><Relationship Id="rId168" Type="http://schemas.openxmlformats.org/officeDocument/2006/relationships/hyperlink" Target="https://dailymed.nlm.nih.gov/dailymed/search.cfm?labeltype=all&amp;query=plerixafor" TargetMode="External"/><Relationship Id="rId169" Type="http://schemas.openxmlformats.org/officeDocument/2006/relationships/hyperlink" Target="https://base-donnees-publique.medicaments.gouv.fr/index.php?page=1&amp;choixRecherche=medicament&amp;txtCaracteres=Plerixafor%20Arrow&amp;action=show" TargetMode="External"/><Relationship Id="rId170" Type="http://schemas.openxmlformats.org/officeDocument/2006/relationships/hyperlink" Target="https://www.ema.europa.eu/en/documents/other/article-57-product-data_en.xlsx" TargetMode="External"/><Relationship Id="rId171" Type="http://schemas.openxmlformats.org/officeDocument/2006/relationships/hyperlink" Target="https://dailymed.nlm.nih.gov/dailymed/search.cfm?labeltype=all&amp;query=plerixafor" TargetMode="External"/><Relationship Id="rId172" Type="http://schemas.openxmlformats.org/officeDocument/2006/relationships/hyperlink" Target="https://www.ebs.tga.gov.au/ebs/picmi/picmirepository.nsf/pdf?OpenAgent&amp;id=CP-2024-PI-01246-1" TargetMode="External"/><Relationship Id="rId173" Type="http://schemas.openxmlformats.org/officeDocument/2006/relationships/hyperlink" Target="https://dailymed.nlm.nih.gov/dailymed/search.cfm?labeltype=all&amp;query=progesterone+injection" TargetMode="External"/><Relationship Id="rId174" Type="http://schemas.openxmlformats.org/officeDocument/2006/relationships/hyperlink" Target="https://dailymed.nlm.nih.gov/dailymed/drugInfo.cfm?setid=7d19df3b-94ed-4681-beae-9caaf137d014" TargetMode="External"/><Relationship Id="rId175" Type="http://schemas.openxmlformats.org/officeDocument/2006/relationships/hyperlink" Target="https://dailymed.nlm.nih.gov/dailymed/search.cfm?labeltype=all&amp;query=regadenoson" TargetMode="External"/><Relationship Id="rId176" Type="http://schemas.openxmlformats.org/officeDocument/2006/relationships/hyperlink" Target="https://dailymed.nlm.nih.gov/dailymed/drugInfo.cfm?setid=b553eb2d-0c3f-444e-ad4c-282328683110" TargetMode="External"/><Relationship Id="rId177" Type="http://schemas.openxmlformats.org/officeDocument/2006/relationships/hyperlink" Target="https://dailymed.nlm.nih.gov/dailymed/search.cfm?labeltype=all&amp;query=remifentanil" TargetMode="External"/><Relationship Id="rId178" Type="http://schemas.openxmlformats.org/officeDocument/2006/relationships/hyperlink" Target="https://www.ema.europa.eu/en/documents/other/article-57-product-data_en.xlsx" TargetMode="External"/><Relationship Id="rId179" Type="http://schemas.openxmlformats.org/officeDocument/2006/relationships/hyperlink" Target="https://dailymed.nlm.nih.gov/dailymed/search.cfm?labeltype=all&amp;query=ropivacaine" TargetMode="External"/><Relationship Id="rId180" Type="http://schemas.openxmlformats.org/officeDocument/2006/relationships/hyperlink" Target="https://dailymed.nlm.nih.gov/dailymed/drugInfo.cfm?setid=3763b7b6-da49-4658-b93d-28f5da24d09e" TargetMode="External"/><Relationship Id="rId181" Type="http://schemas.openxmlformats.org/officeDocument/2006/relationships/hyperlink" Target="https://dailymed.nlm.nih.gov/dailymed/search.cfm?labeltype=all&amp;query=sildenafil+injection" TargetMode="External"/><Relationship Id="rId182" Type="http://schemas.openxmlformats.org/officeDocument/2006/relationships/hyperlink" Target="https://dailymed.nlm.nih.gov/dailymed/drugInfo.cfm?setid=bb92d686-a81e-4b91-8048-693af0534cb3" TargetMode="External"/><Relationship Id="rId183" Type="http://schemas.openxmlformats.org/officeDocument/2006/relationships/hyperlink" Target="https://dailymed.nlm.nih.gov/dailymed/search.cfm?labeltype=all&amp;query=testosterone+cypionate" TargetMode="External"/><Relationship Id="rId184" Type="http://schemas.openxmlformats.org/officeDocument/2006/relationships/hyperlink" Target="https://dailymed.nlm.nih.gov/dailymed/drugInfo.cfm?setid=f901e2b2-f143-4237-8e95-0d134585490b" TargetMode="External"/><Relationship Id="rId185" Type="http://schemas.openxmlformats.org/officeDocument/2006/relationships/hyperlink" Target="https://dailymed.nlm.nih.gov/dailymed/search.cfm?labeltype=all&amp;query=testosterone+enanthate" TargetMode="External"/><Relationship Id="rId186" Type="http://schemas.openxmlformats.org/officeDocument/2006/relationships/hyperlink" Target="https://dailymed.nlm.nih.gov/dailymed/drugInfo.cfm?setid=82a98132-9d5f-40a5-8c4f-f52f2a5de60e" TargetMode="External"/><Relationship Id="rId187" Type="http://schemas.openxmlformats.org/officeDocument/2006/relationships/hyperlink" Target="https://dailymed.nlm.nih.gov/dailymed/search.cfm?labeltype=all&amp;query=tirofiban" TargetMode="External"/><Relationship Id="rId188" Type="http://schemas.openxmlformats.org/officeDocument/2006/relationships/hyperlink" Target="https://dailymed.nlm.nih.gov/dailymed/drugInfo.cfm?setid=d554acff-22e9-4f28-b826-ee1b91daa2df" TargetMode="External"/><Relationship Id="rId189" Type="http://schemas.openxmlformats.org/officeDocument/2006/relationships/hyperlink" Target="https://dailymed.nlm.nih.gov/dailymed/search.cfm?labeltype=all&amp;query=tirofiban" TargetMode="External"/><Relationship Id="rId190" Type="http://schemas.openxmlformats.org/officeDocument/2006/relationships/hyperlink" Target="https://www.ema.europa.eu/en/documents/other/article-57-product-data_en.xlsx" TargetMode="External"/><Relationship Id="rId191" Type="http://schemas.openxmlformats.org/officeDocument/2006/relationships/hyperlink" Target="https://dailymed.nlm.nih.gov/dailymed/search.cfm?labeltype=all&amp;query=tirofiban" TargetMode="External"/><Relationship Id="rId192" Type="http://schemas.openxmlformats.org/officeDocument/2006/relationships/hyperlink" Target="https://www.ema.europa.eu/en/documents/other/article-57-product-data_en.xlsx" TargetMode="External"/><Relationship Id="rId193" Type="http://schemas.openxmlformats.org/officeDocument/2006/relationships/hyperlink" Target="https://dailymed.nlm.nih.gov/dailymed/search.cfm?labeltype=all&amp;query=tranexamic+acid+injection" TargetMode="External"/><Relationship Id="rId194" Type="http://schemas.openxmlformats.org/officeDocument/2006/relationships/hyperlink" Target="https://www.ema.europa.eu/en/documents/other/article-57-product-data_en.xlsx" TargetMode="External"/><Relationship Id="rId195" Type="http://schemas.openxmlformats.org/officeDocument/2006/relationships/hyperlink" Target="https://dailymed.nlm.nih.gov/dailymed/search.cfm?labeltype=all&amp;query=tranexamic+acid+injection" TargetMode="External"/><Relationship Id="rId196" Type="http://schemas.openxmlformats.org/officeDocument/2006/relationships/hyperlink" Target="https://health-products.canada.ca/dpd-bdpp/info?code=95428&amp;lang=eng" TargetMode="External"/><Relationship Id="rId197" Type="http://schemas.openxmlformats.org/officeDocument/2006/relationships/hyperlink" Target="https://dailymed.nlm.nih.gov/dailymed/search.cfm?labeltype=all&amp;query=tranexamic+acid+injection" TargetMode="External"/><Relationship Id="rId198" Type="http://schemas.openxmlformats.org/officeDocument/2006/relationships/hyperlink" Target="https://base-donnees-publique.medicaments.gouv.fr/index.php?page=1&amp;choixRecherche=medicament&amp;txtCaracteres=Acide%20Tranexamique&amp;action=show" TargetMode="External"/><Relationship Id="rId199" Type="http://schemas.openxmlformats.org/officeDocument/2006/relationships/hyperlink" Target="https://www.ema.europa.eu/en/documents/other/article-57-product-data_en.xlsx" TargetMode="External"/><Relationship Id="rId200" Type="http://schemas.openxmlformats.org/officeDocument/2006/relationships/hyperlink" Target="https://dailymed.nlm.nih.gov/dailymed/search.cfm?labeltype=all&amp;query=triamcinolone+acetonide+injectable+suspension" TargetMode="External"/><Relationship Id="rId201" Type="http://schemas.openxmlformats.org/officeDocument/2006/relationships/hyperlink" Target="https://dailymed.nlm.nih.gov/dailymed/drugInfo.cfm?setid=1034d417-493a-443a-a62e-30786f673ee3" TargetMode="External"/><Relationship Id="rId202" Type="http://schemas.openxmlformats.org/officeDocument/2006/relationships/hyperlink" Target="https://dailymed.nlm.nih.gov/dailymed/search.cfm?labeltype=all&amp;query=vecuronium" TargetMode="External"/><Relationship Id="rId203" Type="http://schemas.openxmlformats.org/officeDocument/2006/relationships/hyperlink" Target="https://dailymed.nlm.nih.gov/dailymed/lookup.cfm?setid=86d81719-534c-4e50-ae39-d8b20e50dfad" TargetMode="External"/><Relationship Id="rId204" Type="http://schemas.openxmlformats.org/officeDocument/2006/relationships/hyperlink" Target="https://dailymed.nlm.nih.gov/dailymed/search.cfm?labeltype=all&amp;query=verapamil+hydrochloride+injection" TargetMode="External"/><Relationship Id="rId205" Type="http://schemas.openxmlformats.org/officeDocument/2006/relationships/hyperlink" Target="https://dailymed.nlm.nih.gov/dailymed/drugInfo.cfm?setid=def3b9ba-523d-4b83-a80d-fa6f362e111c" TargetMode="External"/><Relationship Id="rId206" Type="http://schemas.openxmlformats.org/officeDocument/2006/relationships/hyperlink" Target="https://dailymed.nlm.nih.gov/dailymed/search.cfm?labeltype=all&amp;query=vinorelbine" TargetMode="External"/><Relationship Id="rId207" Type="http://schemas.openxmlformats.org/officeDocument/2006/relationships/hyperlink" Target="https://base-donnees-publique.medicaments.gouv.fr/index.php?page=1&amp;choixRecherche=medicament&amp;txtCaracteres=Vinorelbine&amp;action=show" TargetMode="External"/><Relationship Id="rId208" Type="http://schemas.openxmlformats.org/officeDocument/2006/relationships/hyperlink" Target="https://www.ema.europa.eu/en/documents/other/article-57-product-data_en.xlsx" TargetMode="External"/><Relationship Id="rId209" Type="http://schemas.openxmlformats.org/officeDocument/2006/relationships/hyperlink" Target="https://dailymed.nlm.nih.gov/dailymed/search.cfm?labeltype=all&amp;query=azacitidine" TargetMode="External"/><Relationship Id="rId210" Type="http://schemas.openxmlformats.org/officeDocument/2006/relationships/hyperlink" Target="https://www.ebs.tga.gov.au/servlet/xmlmillr6?dbid=ebs/PublicHTML/pdfStore.nsf&amp;docid=285655&amp;agid=(PrintDetailsPublic)&amp;actionid=1" TargetMode="External"/><Relationship Id="rId211" Type="http://schemas.openxmlformats.org/officeDocument/2006/relationships/hyperlink" Target="https://dailymed.nlm.nih.gov/dailymed/search.cfm?labeltype=all&amp;query=bleomycin" TargetMode="External"/><Relationship Id="rId212" Type="http://schemas.openxmlformats.org/officeDocument/2006/relationships/hyperlink" Target="https://www.healthdirect.gov.au/medicines/brand/amt%2C765691000168104/bleomycin-15k-cipla" TargetMode="External"/><Relationship Id="rId213" Type="http://schemas.openxmlformats.org/officeDocument/2006/relationships/hyperlink" Target="https://dailymed.nlm.nih.gov/dailymed/search.cfm?labeltype=all&amp;query=bleomycin" TargetMode="External"/><Relationship Id="rId214" Type="http://schemas.openxmlformats.org/officeDocument/2006/relationships/hyperlink" Target="https://medsinfoportal.sahpra.org.za/pil/da701bba09930b6759e3519933be7136.pdf" TargetMode="External"/><Relationship Id="rId215" Type="http://schemas.openxmlformats.org/officeDocument/2006/relationships/hyperlink" Target="https://dailymed.nlm.nih.gov/dailymed/search.cfm?labeltype=all&amp;query=bortezomib" TargetMode="External"/><Relationship Id="rId216" Type="http://schemas.openxmlformats.org/officeDocument/2006/relationships/hyperlink" Target="https://pi-pil-repository.sahpra.org.za/wp-content/uploads/2025/08/Final_PI-_ONBORT.pdf" TargetMode="External"/><Relationship Id="rId217" Type="http://schemas.openxmlformats.org/officeDocument/2006/relationships/hyperlink" Target="https://dailymed.nlm.nih.gov/dailymed/search.cfm?labeltype=all&amp;query=cefepime" TargetMode="External"/><Relationship Id="rId218" Type="http://schemas.openxmlformats.org/officeDocument/2006/relationships/hyperlink" Target="https://medicineprices.org.za/" TargetMode="External"/><Relationship Id="rId219" Type="http://schemas.openxmlformats.org/officeDocument/2006/relationships/hyperlink" Target="https://dailymed.nlm.nih.gov/dailymed/search.cfm?labeltype=all&amp;query=daptomycin" TargetMode="External"/><Relationship Id="rId220" Type="http://schemas.openxmlformats.org/officeDocument/2006/relationships/hyperlink" Target="https://mhraproducts4853.blob.core.windows.net/docs/a63e0068e2c1943c944704ec48517d5eb5a0e436" TargetMode="External"/><Relationship Id="rId221" Type="http://schemas.openxmlformats.org/officeDocument/2006/relationships/hyperlink" Target="https://dailymed.nlm.nih.gov/dailymed/search.cfm?labeltype=all&amp;query=daptomycin" TargetMode="External"/><Relationship Id="rId222" Type="http://schemas.openxmlformats.org/officeDocument/2006/relationships/hyperlink" Target="https://www.ema.europa.eu/en/documents/other/article-57-product-data_en.xlsx" TargetMode="External"/><Relationship Id="rId223" Type="http://schemas.openxmlformats.org/officeDocument/2006/relationships/hyperlink" Target="https://dailymed.nlm.nih.gov/dailymed/search.cfm?labeltype=all&amp;query=daptomycin" TargetMode="External"/><Relationship Id="rId224" Type="http://schemas.openxmlformats.org/officeDocument/2006/relationships/hyperlink" Target="https://www.ebs.tga.gov.au/ebs/picmi/picmirepository.nsf/pdf?OpenAgent&amp;id=CP-2023-PI-01892-1" TargetMode="External"/><Relationship Id="rId225" Type="http://schemas.openxmlformats.org/officeDocument/2006/relationships/hyperlink" Target="https://dailymed.nlm.nih.gov/dailymed/search.cfm?labeltype=all&amp;query=doxorubicin" TargetMode="External"/><Relationship Id="rId226" Type="http://schemas.openxmlformats.org/officeDocument/2006/relationships/hyperlink" Target="https://medsinfoportal.sahpra.org.za/pi/630dc9c6196521be5b9372d6e0896f56.pdf" TargetMode="External"/><Relationship Id="rId227" Type="http://schemas.openxmlformats.org/officeDocument/2006/relationships/hyperlink" Target="https://dailymed.nlm.nih.gov/dailymed/search.cfm?labeltype=all&amp;query=fulvestrant" TargetMode="External"/><Relationship Id="rId228" Type="http://schemas.openxmlformats.org/officeDocument/2006/relationships/hyperlink" Target="https://www.ema.europa.eu/en/documents/other/article-57-product-data_en.xlsx" TargetMode="External"/><Relationship Id="rId229" Type="http://schemas.openxmlformats.org/officeDocument/2006/relationships/hyperlink" Target="https://dailymed.nlm.nih.gov/dailymed/search.cfm?labeltype=all&amp;query=hydrocortisone+sodium+succinate" TargetMode="External"/><Relationship Id="rId230" Type="http://schemas.openxmlformats.org/officeDocument/2006/relationships/hyperlink" Target="https://dailymed.nlm.nih.gov/dailymed/search.cfm?searchdb=ndc&amp;query=69097-004" TargetMode="External"/><Relationship Id="rId231" Type="http://schemas.openxmlformats.org/officeDocument/2006/relationships/hyperlink" Target="https://dailymed.nlm.nih.gov/dailymed/search.cfm?labeltype=all&amp;query=hydrocortisone+sodium+succinate" TargetMode="External"/><Relationship Id="rId232" Type="http://schemas.openxmlformats.org/officeDocument/2006/relationships/hyperlink" Target="https://www.ebs.tga.gov.au/ebs/picmi/picmirepository.nsf/pdf?OpenAgent&amp;id=CP-2022-PI-01547-1" TargetMode="External"/><Relationship Id="rId233" Type="http://schemas.openxmlformats.org/officeDocument/2006/relationships/hyperlink" Target="https://dailymed.nlm.nih.gov/dailymed/search.cfm?labeltype=all&amp;query=isoproterenol" TargetMode="External"/><Relationship Id="rId234" Type="http://schemas.openxmlformats.org/officeDocument/2006/relationships/hyperlink" Target="https://www.ebs.tga.gov.au/ebs/picmi/picmirepository.nsf/pdf?OpenAgent&amp;id=CP-2022-PI-01316-1" TargetMode="External"/><Relationship Id="rId235" Type="http://schemas.openxmlformats.org/officeDocument/2006/relationships/hyperlink" Target="https://dailymed.nlm.nih.gov/dailymed/search.cfm?labeltype=all&amp;query=lanreotide" TargetMode="External"/><Relationship Id="rId236" Type="http://schemas.openxmlformats.org/officeDocument/2006/relationships/hyperlink" Target="https://dailymed.nlm.nih.gov/dailymed/drugInfo.cfm?setid=2892b4c3-0329-4d29-97ff-3b45283bbab1" TargetMode="External"/><Relationship Id="rId237" Type="http://schemas.openxmlformats.org/officeDocument/2006/relationships/hyperlink" Target="https://www.who.int/news-room/fact-sheets/detail/measles" TargetMode="External"/><Relationship Id="rId238" Type="http://schemas.openxmlformats.org/officeDocument/2006/relationships/hyperlink" Target="https://medicineprices.org.za/" TargetMode="External"/><Relationship Id="rId239" Type="http://schemas.openxmlformats.org/officeDocument/2006/relationships/hyperlink" Target="https://dailymed.nlm.nih.gov/dailymed/search.cfm?labeltype=all&amp;query=medroxyprogesterone+acetate+injectable" TargetMode="External"/><Relationship Id="rId240" Type="http://schemas.openxmlformats.org/officeDocument/2006/relationships/hyperlink" Target="https://www.tga.gov.au/resources/annual-charge-exemptions/cipla-medroxyprogesterone-medroxyprogesterone-acetate-150-mg1-ml-injection-suspension-vial-2024-25" TargetMode="External"/><Relationship Id="rId241" Type="http://schemas.openxmlformats.org/officeDocument/2006/relationships/hyperlink" Target="https://dailymed.nlm.nih.gov/dailymed/search.cfm?labeltype=all&amp;query=palonosetron" TargetMode="External"/><Relationship Id="rId242" Type="http://schemas.openxmlformats.org/officeDocument/2006/relationships/hyperlink" Target="https://www.ebs.tga.gov.au/servlet/xmlmillr6?dbid=ebs/PublicHTML/pdfStore.nsf&amp;docid=267130&amp;agid=(PrintDetailsPublic)&amp;actionid=1" TargetMode="External"/><Relationship Id="rId243" Type="http://schemas.openxmlformats.org/officeDocument/2006/relationships/hyperlink" Target="https://dailymed.nlm.nih.gov/dailymed/search.cfm?labeltype=all&amp;query=phenylephrine+hydrochloride+injection" TargetMode="External"/><Relationship Id="rId244" Type="http://schemas.openxmlformats.org/officeDocument/2006/relationships/hyperlink" Target="https://www.ebs.tga.gov.au/servlet/xmlmillr6?dbid=ebs/PublicHTML/pdfStore.nsf&amp;docid=304362&amp;agid=(PrintDetailsPublic)&amp;actionid=1" TargetMode="External"/><Relationship Id="rId245" Type="http://schemas.openxmlformats.org/officeDocument/2006/relationships/hyperlink" Target="https://dailymed.nlm.nih.gov/dailymed/search.cfm?labeltype=all&amp;query=phytonadione" TargetMode="External"/><Relationship Id="rId246" Type="http://schemas.openxmlformats.org/officeDocument/2006/relationships/hyperlink" Target="https://dailymed.nlm.nih.gov/dailymed/search.cfm?searchdb=ndc&amp;query=69097-003-96" TargetMode="External"/><Relationship Id="rId247" Type="http://schemas.openxmlformats.org/officeDocument/2006/relationships/hyperlink" Target="https://list.essentialmeds.org/?query=streptokinase" TargetMode="External"/><Relationship Id="rId248" Type="http://schemas.openxmlformats.org/officeDocument/2006/relationships/hyperlink" Target="https://medicineprices.org.za/" TargetMode="External"/><Relationship Id="rId249" Type="http://schemas.openxmlformats.org/officeDocument/2006/relationships/hyperlink" Target="https://dailymed.nlm.nih.gov/dailymed/search.cfm?labeltype=all&amp;query=sugammadex" TargetMode="External"/><Relationship Id="rId250" Type="http://schemas.openxmlformats.org/officeDocument/2006/relationships/hyperlink" Target="https://www.ema.europa.eu/en/documents/other/article-57-product-data_en.xlsx" TargetMode="External"/><Relationship Id="rId251" Type="http://schemas.openxmlformats.org/officeDocument/2006/relationships/hyperlink" Target="https://dailymed.nlm.nih.gov/dailymed/search.cfm?labeltype=all&amp;query=sugammadex" TargetMode="External"/><Relationship Id="rId252" Type="http://schemas.openxmlformats.org/officeDocument/2006/relationships/hyperlink" Target="https://www.tga.gov.au/resources/artg" TargetMode="External"/><Relationship Id="rId253" Type="http://schemas.openxmlformats.org/officeDocument/2006/relationships/hyperlink" Target="https://dailymed.nlm.nih.gov/dailymed/search.cfm?labeltype=all&amp;query=sugammadex" TargetMode="External"/><Relationship Id="rId254" Type="http://schemas.openxmlformats.org/officeDocument/2006/relationships/hyperlink" Target="https://pi-pil-repository.sahpra.org.za/wp-content/uploads/2023/04/Final_PI_SENUOM_Applicant.pdf" TargetMode="External"/><Relationship Id="rId255" Type="http://schemas.openxmlformats.org/officeDocument/2006/relationships/hyperlink" Target="https://mhraproducts4853.blob.core.windows.net/docs/45a310f5c66d09f20d9d1eb3a5d48c17c486ac7b" TargetMode="External"/><Relationship Id="rId256" Type="http://schemas.openxmlformats.org/officeDocument/2006/relationships/hyperlink" Target="https://medsinfoportal.sahpra.org.za/pil/4482c47ecb020931a053f527db2883e0.pdf" TargetMode="External"/><Relationship Id="rId257" Type="http://schemas.openxmlformats.org/officeDocument/2006/relationships/hyperlink" Target="https://dailymed.nlm.nih.gov/dailymed/search.cfm?labeltype=all&amp;query=testosterone+cypionate" TargetMode="External"/><Relationship Id="rId258" Type="http://schemas.openxmlformats.org/officeDocument/2006/relationships/hyperlink" Target="https://dailymed.nlm.nih.gov/dailymed/drugInfo.cfm?setid=78d55bad-4a5b-4e21-aeb8-a4c6346208be" TargetMode="External"/><Relationship Id="rId259" Type="http://schemas.openxmlformats.org/officeDocument/2006/relationships/hyperlink" Target="https://dailymed.nlm.nih.gov/dailymed/search.cfm?labeltype=all&amp;query=testosterone+undecanoate" TargetMode="External"/><Relationship Id="rId260" Type="http://schemas.openxmlformats.org/officeDocument/2006/relationships/hyperlink" Target="https://pi-pil-repository.sahpra.org.za/wp-content/uploads/2025/10/570491_Testosterone-cipla_PI_Applicant.pdf" TargetMode="External"/><Relationship Id="rId261" Type="http://schemas.openxmlformats.org/officeDocument/2006/relationships/hyperlink" Target="https://dailymed.nlm.nih.gov/dailymed/search.cfm?labeltype=all&amp;query=trastuzumab" TargetMode="External"/><Relationship Id="rId262" Type="http://schemas.openxmlformats.org/officeDocument/2006/relationships/hyperlink" Target="https://www.ebs.tga.gov.au/servlet/xmlmillr6?dbid=ebs/PublicHTML/pdfStore.nsf&amp;docid=368972&amp;agid=(PrintDetailsPublic)&amp;actionid=1" TargetMode="External"/><Relationship Id="rId263" Type="http://schemas.openxmlformats.org/officeDocument/2006/relationships/hyperlink" Target="https://dailymed.nlm.nih.gov/dailymed/search.cfm?labeltype=all&amp;query=vinblastine" TargetMode="External"/><Relationship Id="rId264" Type="http://schemas.openxmlformats.org/officeDocument/2006/relationships/hyperlink" Target="https://medicineprices.org.za/" TargetMode="External"/><Relationship Id="rId265" Type="http://schemas.openxmlformats.org/officeDocument/2006/relationships/hyperlink" Target="https://dailymed.nlm.nih.gov/dailymed/search.cfm?labeltype=all&amp;query=vinorelbine" TargetMode="External"/><Relationship Id="rId266" Type="http://schemas.openxmlformats.org/officeDocument/2006/relationships/hyperlink" Target="https://medsinfoportal.sahpra.org.za/pil/36f7abdc01fd9359da933b04b2161e20.pdf" TargetMode="External"/><Relationship Id="rId267" Type="http://schemas.openxmlformats.org/officeDocument/2006/relationships/hyperlink" Target="https://dailymed.nlm.nih.gov/dailymed/search.cfm?labeltype=all&amp;query=azacitidine" TargetMode="External"/><Relationship Id="rId268" Type="http://schemas.openxmlformats.org/officeDocument/2006/relationships/hyperlink" Target="https://mhraproducts4853.blob.core.windows.net/docs/11c1ec30fc299931e4de1e6eb1da508221e64e2f" TargetMode="External"/><Relationship Id="rId269" Type="http://schemas.openxmlformats.org/officeDocument/2006/relationships/hyperlink" Target="https://dailymed.nlm.nih.gov/dailymed/search.cfm?labeltype=all&amp;query=azacitidine" TargetMode="External"/><Relationship Id="rId270" Type="http://schemas.openxmlformats.org/officeDocument/2006/relationships/hyperlink" Target="https://health-products.canada.ca/dpd-bdpp/info?code=95068&amp;lang=eng" TargetMode="External"/><Relationship Id="rId271" Type="http://schemas.openxmlformats.org/officeDocument/2006/relationships/hyperlink" Target="https://dailymed.nlm.nih.gov/dailymed/search.cfm?labeltype=all&amp;query=azacitidine" TargetMode="External"/><Relationship Id="rId272" Type="http://schemas.openxmlformats.org/officeDocument/2006/relationships/hyperlink" Target="https://www.ema.europa.eu/en/medicines/human/EPAR/azacitidine-betapharm" TargetMode="External"/><Relationship Id="rId273" Type="http://schemas.openxmlformats.org/officeDocument/2006/relationships/hyperlink" Target="https://www.ema.europa.eu/en/documents/other/article-57-product-data_en.xlsx" TargetMode="External"/><Relationship Id="rId274" Type="http://schemas.openxmlformats.org/officeDocument/2006/relationships/hyperlink" Target="https://dailymed.nlm.nih.gov/dailymed/search.cfm?labeltype=all&amp;query=azacitidine" TargetMode="External"/><Relationship Id="rId275" Type="http://schemas.openxmlformats.org/officeDocument/2006/relationships/hyperlink" Target="https://www.ebs.tga.gov.au/ebs/picmi/picmirepository.nsf/pdf?OpenAgent&amp;id=CP-2016-PI-01288-1" TargetMode="External"/><Relationship Id="rId276" Type="http://schemas.openxmlformats.org/officeDocument/2006/relationships/hyperlink" Target="https://dailymed.nlm.nih.gov/dailymed/search.cfm?labeltype=all&amp;query=azacitidine" TargetMode="External"/><Relationship Id="rId277" Type="http://schemas.openxmlformats.org/officeDocument/2006/relationships/hyperlink" Target="https://pi-pil-repository.sahpra.org.za/wp-content/uploads/2023/07/approved-pil.pdf" TargetMode="External"/><Relationship Id="rId278" Type="http://schemas.openxmlformats.org/officeDocument/2006/relationships/hyperlink" Target="https://dailymed.nlm.nih.gov/dailymed/search.cfm?labeltype=all&amp;query=bivalirudin" TargetMode="External"/><Relationship Id="rId279" Type="http://schemas.openxmlformats.org/officeDocument/2006/relationships/hyperlink" Target="https://dailymed.nlm.nih.gov/dailymed/search.cfm?labeltype=all&amp;query=Bivalirudin" TargetMode="External"/><Relationship Id="rId280" Type="http://schemas.openxmlformats.org/officeDocument/2006/relationships/hyperlink" Target="https://dailymed.nlm.nih.gov/dailymed/search.cfm?labeltype=all&amp;query=bortezomib" TargetMode="External"/><Relationship Id="rId281" Type="http://schemas.openxmlformats.org/officeDocument/2006/relationships/hyperlink" Target="https://dailymed.nlm.nih.gov/dailymed/search.cfm?labeltype=all&amp;query=Bortezomib" TargetMode="External"/><Relationship Id="rId282" Type="http://schemas.openxmlformats.org/officeDocument/2006/relationships/hyperlink" Target="https://dailymed.nlm.nih.gov/dailymed/search.cfm?labeltype=all&amp;query=bortezomib" TargetMode="External"/><Relationship Id="rId283" Type="http://schemas.openxmlformats.org/officeDocument/2006/relationships/hyperlink" Target="https://mhraproducts4853.blob.core.windows.net/docs/3f37ca6630cfcad926467080f4d6bb4a305ed4fa" TargetMode="External"/><Relationship Id="rId284" Type="http://schemas.openxmlformats.org/officeDocument/2006/relationships/hyperlink" Target="https://dailymed.nlm.nih.gov/dailymed/search.cfm?labeltype=all&amp;query=bortezomib" TargetMode="External"/><Relationship Id="rId285" Type="http://schemas.openxmlformats.org/officeDocument/2006/relationships/hyperlink" Target="https://www.ema.europa.eu/en/documents/other/article-57-product-data_en.xlsx" TargetMode="External"/><Relationship Id="rId286" Type="http://schemas.openxmlformats.org/officeDocument/2006/relationships/hyperlink" Target="https://dailymed.nlm.nih.gov/dailymed/search.cfm?labeltype=all&amp;query=bortezomib" TargetMode="External"/><Relationship Id="rId287" Type="http://schemas.openxmlformats.org/officeDocument/2006/relationships/hyperlink" Target="https://health-products.canada.ca/dpd-bdpp/info?code=93883&amp;lang=eng" TargetMode="External"/><Relationship Id="rId288" Type="http://schemas.openxmlformats.org/officeDocument/2006/relationships/hyperlink" Target="https://dailymed.nlm.nih.gov/dailymed/search.cfm?labeltype=all&amp;query=bortezomib" TargetMode="External"/><Relationship Id="rId289" Type="http://schemas.openxmlformats.org/officeDocument/2006/relationships/hyperlink" Target="https://base-donnees-publique.medicaments.gouv.fr/index.php?page=1&amp;choixRecherche=medicament&amp;txtCaracteres=Bortezomib&amp;action=show" TargetMode="External"/><Relationship Id="rId290" Type="http://schemas.openxmlformats.org/officeDocument/2006/relationships/hyperlink" Target="https://www.ema.europa.eu/en/documents/other/article-57-product-data_en.xlsx" TargetMode="External"/><Relationship Id="rId291" Type="http://schemas.openxmlformats.org/officeDocument/2006/relationships/hyperlink" Target="https://dailymed.nlm.nih.gov/dailymed/search.cfm?labeltype=all&amp;query=bortezomib" TargetMode="External"/><Relationship Id="rId292" Type="http://schemas.openxmlformats.org/officeDocument/2006/relationships/hyperlink" Target="https://pi-pil-repository.sahpra.org.za/wp-content/uploads/2025/04/pil-approved-5.pdf" TargetMode="External"/><Relationship Id="rId293" Type="http://schemas.openxmlformats.org/officeDocument/2006/relationships/hyperlink" Target="https://dailymed.nlm.nih.gov/dailymed/search.cfm?labeltype=all&amp;query=carboprost" TargetMode="External"/><Relationship Id="rId294" Type="http://schemas.openxmlformats.org/officeDocument/2006/relationships/hyperlink" Target="https://dailymed.nlm.nih.gov/dailymed/lookup.cfm?setid=ce9f0ea6-69f9-6b68-2811-3b51e34acea6" TargetMode="External"/><Relationship Id="rId295" Type="http://schemas.openxmlformats.org/officeDocument/2006/relationships/hyperlink" Target="https://dailymed.nlm.nih.gov/dailymed/search.cfm?labeltype=all&amp;query=carboprost" TargetMode="External"/><Relationship Id="rId296" Type="http://schemas.openxmlformats.org/officeDocument/2006/relationships/hyperlink" Target="https://www.ebs.tga.gov.au/ebs/picmi/picmirepository.nsf/pdf?OpenAgent&amp;id=CP-2023-PI-01598-1" TargetMode="External"/><Relationship Id="rId297" Type="http://schemas.openxmlformats.org/officeDocument/2006/relationships/hyperlink" Target="https://dailymed.nlm.nih.gov/dailymed/search.cfm?labeltype=all&amp;query=cyclophosphamide" TargetMode="External"/><Relationship Id="rId298" Type="http://schemas.openxmlformats.org/officeDocument/2006/relationships/hyperlink" Target="https://dailymed.nlm.nih.gov/dailymed/drugInfo.cfm?setid=a5818647-d840-e9d7-c7b8-6541b485e44e" TargetMode="External"/><Relationship Id="rId299" Type="http://schemas.openxmlformats.org/officeDocument/2006/relationships/hyperlink" Target="https://dailymed.nlm.nih.gov/dailymed/search.cfm?labeltype=all&amp;query=cyclophosphamide" TargetMode="External"/><Relationship Id="rId300" Type="http://schemas.openxmlformats.org/officeDocument/2006/relationships/hyperlink" Target="https://base-donnees-publique.medicaments.gouv.fr/index.php?page=1&amp;choixRecherche=medicament&amp;txtCaracteres=Cyclophosphamide%20Reddy&amp;action=show" TargetMode="External"/><Relationship Id="rId301" Type="http://schemas.openxmlformats.org/officeDocument/2006/relationships/hyperlink" Target="https://www.ema.europa.eu/en/documents/other/article-57-product-data_en.xlsx" TargetMode="External"/><Relationship Id="rId302" Type="http://schemas.openxmlformats.org/officeDocument/2006/relationships/hyperlink" Target="https://dailymed.nlm.nih.gov/dailymed/search.cfm?labeltype=all&amp;query=daptomycin" TargetMode="External"/><Relationship Id="rId303" Type="http://schemas.openxmlformats.org/officeDocument/2006/relationships/hyperlink" Target="https://mhraproducts4853.blob.core.windows.net/docs/60c8a02705c24afc73bb76255b45928c586ba95b" TargetMode="External"/><Relationship Id="rId304" Type="http://schemas.openxmlformats.org/officeDocument/2006/relationships/hyperlink" Target="https://dailymed.nlm.nih.gov/dailymed/search.cfm?labeltype=all&amp;query=daptomycin" TargetMode="External"/><Relationship Id="rId305" Type="http://schemas.openxmlformats.org/officeDocument/2006/relationships/hyperlink" Target="https://www.ema.europa.eu/en/documents/other/article-57-product-data_en.xlsx" TargetMode="External"/><Relationship Id="rId306" Type="http://schemas.openxmlformats.org/officeDocument/2006/relationships/hyperlink" Target="https://dailymed.nlm.nih.gov/dailymed/search.cfm?labeltype=all&amp;query=daptomycin" TargetMode="External"/><Relationship Id="rId307" Type="http://schemas.openxmlformats.org/officeDocument/2006/relationships/hyperlink" Target="https://health-products.canada.ca/dpd-bdpp/info?code=98052&amp;lang=eng" TargetMode="External"/><Relationship Id="rId308" Type="http://schemas.openxmlformats.org/officeDocument/2006/relationships/hyperlink" Target="https://dailymed.nlm.nih.gov/dailymed/search.cfm?labeltype=all&amp;query=daptomycin" TargetMode="External"/><Relationship Id="rId309" Type="http://schemas.openxmlformats.org/officeDocument/2006/relationships/hyperlink" Target="https://base-donnees-publique.medicaments.gouv.fr/index.php?page=1&amp;choixRecherche=medicament&amp;txtCaracteres=Daptomycine%20Reddy&amp;action=show" TargetMode="External"/><Relationship Id="rId310" Type="http://schemas.openxmlformats.org/officeDocument/2006/relationships/hyperlink" Target="https://www.ema.europa.eu/en/documents/other/article-57-product-data_en.xlsx" TargetMode="External"/><Relationship Id="rId311" Type="http://schemas.openxmlformats.org/officeDocument/2006/relationships/hyperlink" Target="https://dailymed.nlm.nih.gov/dailymed/search.cfm?labeltype=all&amp;query=daptomycin" TargetMode="External"/><Relationship Id="rId312" Type="http://schemas.openxmlformats.org/officeDocument/2006/relationships/hyperlink" Target="https://www.ebs.tga.gov.au/ebs/picmi/picmirepository.nsf/pdf?OpenAgent&amp;id=CP-2021-PI-01507-1" TargetMode="External"/><Relationship Id="rId313" Type="http://schemas.openxmlformats.org/officeDocument/2006/relationships/hyperlink" Target="https://dailymed.nlm.nih.gov/dailymed/search.cfm?labeltype=all&amp;query=desmopressin" TargetMode="External"/><Relationship Id="rId314" Type="http://schemas.openxmlformats.org/officeDocument/2006/relationships/hyperlink" Target="https://dailymed.nlm.nih.gov/dailymed/drugInfo.cfm?setid=60dd8694-58d8-d88e-26f2-f28baa53787e" TargetMode="External"/><Relationship Id="rId315" Type="http://schemas.openxmlformats.org/officeDocument/2006/relationships/hyperlink" Target="https://dailymed.nlm.nih.gov/dailymed/search.cfm?labeltype=all&amp;query=diazepam+injection" TargetMode="External"/><Relationship Id="rId316" Type="http://schemas.openxmlformats.org/officeDocument/2006/relationships/hyperlink" Target="https://dailymed.nlm.nih.gov/dailymed/drugInfo.cfm?setid=7a912f1a-deee-46df-a8df-22a0afb06529" TargetMode="External"/><Relationship Id="rId317" Type="http://schemas.openxmlformats.org/officeDocument/2006/relationships/hyperlink" Target="https://dailymed.nlm.nih.gov/dailymed/search.cfm?labeltype=all&amp;query=ephedrine+sulfate+injection" TargetMode="External"/><Relationship Id="rId318" Type="http://schemas.openxmlformats.org/officeDocument/2006/relationships/hyperlink" Target="https://dailymed.nlm.nih.gov/dailymed/drugInfo.cfm?setid=1d1c41c1-8f5f-ee76-c890-4f1f2a3b2e96" TargetMode="External"/><Relationship Id="rId319" Type="http://schemas.openxmlformats.org/officeDocument/2006/relationships/hyperlink" Target="https://dailymed.nlm.nih.gov/dailymed/search.cfm?labeltype=all&amp;query=eribulin" TargetMode="External"/><Relationship Id="rId320" Type="http://schemas.openxmlformats.org/officeDocument/2006/relationships/hyperlink" Target="https://dailymed.nlm.nih.gov/dailymed/drugInfo.cfm?setid=1038e984-3bf7-5bbf-f1ec-ce15ae330efc" TargetMode="External"/><Relationship Id="rId321" Type="http://schemas.openxmlformats.org/officeDocument/2006/relationships/hyperlink" Target="https://dailymed.nlm.nih.gov/dailymed/search.cfm?labeltype=all&amp;query=eribulin" TargetMode="External"/><Relationship Id="rId322" Type="http://schemas.openxmlformats.org/officeDocument/2006/relationships/hyperlink" Target="https://dmd-browser.nhsbsa.nhs.uk/ampp/view/211180" TargetMode="External"/><Relationship Id="rId323" Type="http://schemas.openxmlformats.org/officeDocument/2006/relationships/hyperlink" Target="https://dailymed.nlm.nih.gov/dailymed/search.cfm?labeltype=all&amp;query=eribulin" TargetMode="External"/><Relationship Id="rId324" Type="http://schemas.openxmlformats.org/officeDocument/2006/relationships/hyperlink" Target="https://www.ema.europa.eu/en/documents/other/article-57-product-data_en.xlsx" TargetMode="External"/><Relationship Id="rId325" Type="http://schemas.openxmlformats.org/officeDocument/2006/relationships/hyperlink" Target="https://dailymed.nlm.nih.gov/dailymed/search.cfm?labeltype=all&amp;query=eribulin" TargetMode="External"/><Relationship Id="rId326" Type="http://schemas.openxmlformats.org/officeDocument/2006/relationships/hyperlink" Target="https://health-products.canada.ca/dpd-bdpp/info?code=103467&amp;lang=eng" TargetMode="External"/><Relationship Id="rId327" Type="http://schemas.openxmlformats.org/officeDocument/2006/relationships/hyperlink" Target="https://dailymed.nlm.nih.gov/dailymed/search.cfm?labeltype=all&amp;query=eribulin" TargetMode="External"/><Relationship Id="rId328" Type="http://schemas.openxmlformats.org/officeDocument/2006/relationships/hyperlink" Target="https://www.ema.europa.eu/en/documents/other/article-57-product-data_en.xlsx" TargetMode="External"/><Relationship Id="rId329" Type="http://schemas.openxmlformats.org/officeDocument/2006/relationships/hyperlink" Target="https://dailymed.nlm.nih.gov/dailymed/search.cfm?labeltype=all&amp;query=eribulin" TargetMode="External"/><Relationship Id="rId330" Type="http://schemas.openxmlformats.org/officeDocument/2006/relationships/hyperlink" Target="https://www.ebs.tga.gov.au/ebs/picmi/picmirepository.nsf/pdf?OpenAgent&amp;id=CP-2024-PI-02722-1" TargetMode="External"/><Relationship Id="rId331" Type="http://schemas.openxmlformats.org/officeDocument/2006/relationships/hyperlink" Target="https://dailymed.nlm.nih.gov/dailymed/search.cfm?labeltype=all&amp;query=eribulin" TargetMode="External"/><Relationship Id="rId332" Type="http://schemas.openxmlformats.org/officeDocument/2006/relationships/hyperlink" Target="https://medicineprices.org.za/" TargetMode="External"/><Relationship Id="rId333" Type="http://schemas.openxmlformats.org/officeDocument/2006/relationships/hyperlink" Target="https://dailymed.nlm.nih.gov/dailymed/search.cfm?labeltype=all&amp;query=ertapenem" TargetMode="External"/><Relationship Id="rId334" Type="http://schemas.openxmlformats.org/officeDocument/2006/relationships/hyperlink" Target="https://health-products.canada.ca/dpd-bdpp/info?code=100038&amp;lang=eng" TargetMode="External"/><Relationship Id="rId335" Type="http://schemas.openxmlformats.org/officeDocument/2006/relationships/hyperlink" Target="https://dailymed.nlm.nih.gov/dailymed/search.cfm?labeltype=all&amp;query=ferric+carboxymaltose" TargetMode="External"/><Relationship Id="rId336" Type="http://schemas.openxmlformats.org/officeDocument/2006/relationships/hyperlink" Target="https://www.tga.gov.au/resources/artg/431990" TargetMode="External"/><Relationship Id="rId337" Type="http://schemas.openxmlformats.org/officeDocument/2006/relationships/hyperlink" Target="https://dailymed.nlm.nih.gov/dailymed/search.cfm?labeltype=all&amp;query=fulvestrant" TargetMode="External"/><Relationship Id="rId338" Type="http://schemas.openxmlformats.org/officeDocument/2006/relationships/hyperlink" Target="https://dailymed.nlm.nih.gov/dailymed/drugInfo.cfm?setid=2fc17ba3-83c7-a2b4-8a75-6a0cb1e07682" TargetMode="External"/><Relationship Id="rId339" Type="http://schemas.openxmlformats.org/officeDocument/2006/relationships/hyperlink" Target="https://dailymed.nlm.nih.gov/dailymed/search.cfm?labeltype=all&amp;query=fulvestrant" TargetMode="External"/><Relationship Id="rId340" Type="http://schemas.openxmlformats.org/officeDocument/2006/relationships/hyperlink" Target="https://mhraproducts4853.blob.core.windows.net/docs/15cb9531a83993d5871cb4fbb39a9f60d681facb" TargetMode="External"/><Relationship Id="rId341" Type="http://schemas.openxmlformats.org/officeDocument/2006/relationships/hyperlink" Target="https://dailymed.nlm.nih.gov/dailymed/search.cfm?labeltype=all&amp;query=fulvestrant" TargetMode="External"/><Relationship Id="rId342" Type="http://schemas.openxmlformats.org/officeDocument/2006/relationships/hyperlink" Target="https://www.ema.europa.eu/en/documents/other/article-57-product-data_en.xlsx" TargetMode="External"/><Relationship Id="rId343" Type="http://schemas.openxmlformats.org/officeDocument/2006/relationships/hyperlink" Target="https://dailymed.nlm.nih.gov/dailymed/search.cfm?labeltype=all&amp;query=fulvestrant" TargetMode="External"/><Relationship Id="rId344" Type="http://schemas.openxmlformats.org/officeDocument/2006/relationships/hyperlink" Target="https://www.ema.europa.eu/en/documents/other/article-57-product-data_en.xlsx" TargetMode="External"/><Relationship Id="rId345" Type="http://schemas.openxmlformats.org/officeDocument/2006/relationships/hyperlink" Target="https://dailymed.nlm.nih.gov/dailymed/search.cfm?labeltype=all&amp;query=fulvestrant" TargetMode="External"/><Relationship Id="rId346" Type="http://schemas.openxmlformats.org/officeDocument/2006/relationships/hyperlink" Target="https://pi-pil-repository.sahpra.org.za/wp-content/uploads/2025/02/approved-pi.pdf" TargetMode="External"/><Relationship Id="rId347" Type="http://schemas.openxmlformats.org/officeDocument/2006/relationships/hyperlink" Target="https://dailymed.nlm.nih.gov/dailymed/search.cfm?labeltype=all&amp;query=ibandronate+injection" TargetMode="External"/><Relationship Id="rId348" Type="http://schemas.openxmlformats.org/officeDocument/2006/relationships/hyperlink" Target="https://www.ema.europa.eu/en/documents/other/article-57-product-data_en.xlsx" TargetMode="External"/><Relationship Id="rId349" Type="http://schemas.openxmlformats.org/officeDocument/2006/relationships/hyperlink" Target="https://dailymed.nlm.nih.gov/dailymed/search.cfm?labeltype=all&amp;query=naloxone+hydrochloride+injection" TargetMode="External"/><Relationship Id="rId350" Type="http://schemas.openxmlformats.org/officeDocument/2006/relationships/hyperlink" Target="https://dailymed.nlm.nih.gov/dailymed/search.cfm?searchdb=ndc&amp;query=43598-750-11" TargetMode="External"/><Relationship Id="rId351" Type="http://schemas.openxmlformats.org/officeDocument/2006/relationships/hyperlink" Target="https://dailymed.nlm.nih.gov/dailymed/search.cfm?labeltype=all&amp;query=neostigmine" TargetMode="External"/><Relationship Id="rId352" Type="http://schemas.openxmlformats.org/officeDocument/2006/relationships/hyperlink" Target="https://dailymed.nlm.nih.gov/dailymed/drugInfo.cfm?setid=12575d1a-a2c2-37b2-0dcf-31e58bbc2a10" TargetMode="External"/><Relationship Id="rId353" Type="http://schemas.openxmlformats.org/officeDocument/2006/relationships/hyperlink" Target="https://dailymed.nlm.nih.gov/dailymed/search.cfm?labeltype=all&amp;query=palonosetron" TargetMode="External"/><Relationship Id="rId354" Type="http://schemas.openxmlformats.org/officeDocument/2006/relationships/hyperlink" Target="https://dailymed.nlm.nih.gov/dailymed/lookup.cfm?setid=991b8452-852c-c55c-7b1b-e97c4964777a" TargetMode="External"/><Relationship Id="rId355" Type="http://schemas.openxmlformats.org/officeDocument/2006/relationships/hyperlink" Target="https://dailymed.nlm.nih.gov/dailymed/search.cfm?labeltype=all&amp;query=palonosetron" TargetMode="External"/><Relationship Id="rId356" Type="http://schemas.openxmlformats.org/officeDocument/2006/relationships/hyperlink" Target="https://www.ema.europa.eu/en/documents/other/article-57-product-data_en.xlsx" TargetMode="External"/><Relationship Id="rId357" Type="http://schemas.openxmlformats.org/officeDocument/2006/relationships/hyperlink" Target="https://dailymed.nlm.nih.gov/dailymed/search.cfm?labeltype=all&amp;query=palonosetron" TargetMode="External"/><Relationship Id="rId358" Type="http://schemas.openxmlformats.org/officeDocument/2006/relationships/hyperlink" Target="https://www.ebs.tga.gov.au/ebs/picmi/picmirepository.nsf/pdf?OpenAgent&amp;id=CP-2016-PI-02208-1" TargetMode="External"/><Relationship Id="rId359" Type="http://schemas.openxmlformats.org/officeDocument/2006/relationships/hyperlink" Target="https://dailymed.nlm.nih.gov/dailymed/search.cfm?labeltype=all&amp;query=phytonadione" TargetMode="External"/><Relationship Id="rId360" Type="http://schemas.openxmlformats.org/officeDocument/2006/relationships/hyperlink" Target="https://dailymed.nlm.nih.gov/dailymed/drugInfo.cfm?setid=02445c07-7b4b-cd70-54e8-ebefc814f547" TargetMode="External"/><Relationship Id="rId361" Type="http://schemas.openxmlformats.org/officeDocument/2006/relationships/hyperlink" Target="https://dailymed.nlm.nih.gov/dailymed/search.cfm?labeltype=all&amp;query=plerixafor" TargetMode="External"/><Relationship Id="rId362" Type="http://schemas.openxmlformats.org/officeDocument/2006/relationships/hyperlink" Target="https://dailymed.nlm.nih.gov/dailymed/drugInfo.cfm?setid=58c9fa02-3701-d411-f946-790a62ddc064" TargetMode="External"/><Relationship Id="rId363" Type="http://schemas.openxmlformats.org/officeDocument/2006/relationships/hyperlink" Target="https://dailymed.nlm.nih.gov/dailymed/search.cfm?labeltype=all&amp;query=regadenoson" TargetMode="External"/><Relationship Id="rId364" Type="http://schemas.openxmlformats.org/officeDocument/2006/relationships/hyperlink" Target="https://dailymed.nlm.nih.gov/dailymed/search.cfm?labeltype=all&amp;query=Regadenoson" TargetMode="External"/><Relationship Id="rId365" Type="http://schemas.openxmlformats.org/officeDocument/2006/relationships/hyperlink" Target="https://dailymed.nlm.nih.gov/dailymed/search.cfm?labeltype=all&amp;query=succinylcholine" TargetMode="External"/><Relationship Id="rId366" Type="http://schemas.openxmlformats.org/officeDocument/2006/relationships/hyperlink" Target="https://dailymed.nlm.nih.gov/dailymed/drugInfo.cfm?setid=6e6e0ce7-c73c-407f-9678-724425f24976" TargetMode="External"/><Relationship Id="rId367" Type="http://schemas.openxmlformats.org/officeDocument/2006/relationships/hyperlink" Target="https://dailymed.nlm.nih.gov/dailymed/search.cfm?labeltype=all&amp;query=succinylcholine" TargetMode="External"/><Relationship Id="rId368" Type="http://schemas.openxmlformats.org/officeDocument/2006/relationships/hyperlink" Target="https://pdf.hres.ca/dpd_pm/00069183.PDF" TargetMode="External"/><Relationship Id="rId369" Type="http://schemas.openxmlformats.org/officeDocument/2006/relationships/hyperlink" Target="https://dailymed.nlm.nih.gov/dailymed/search.cfm?labeltype=all&amp;query=sugammadex" TargetMode="External"/><Relationship Id="rId370" Type="http://schemas.openxmlformats.org/officeDocument/2006/relationships/hyperlink" Target="https://dailymed.nlm.nih.gov/dailymed/drugInfo.cfm?setid=4f90c37e-3505-0968-38fd-fc7e4dd66e82" TargetMode="External"/><Relationship Id="rId371" Type="http://schemas.openxmlformats.org/officeDocument/2006/relationships/hyperlink" Target="https://dailymed.nlm.nih.gov/dailymed/search.cfm?labeltype=all&amp;query=sugammadex" TargetMode="External"/><Relationship Id="rId372" Type="http://schemas.openxmlformats.org/officeDocument/2006/relationships/hyperlink" Target="https://dmd-browser.nhsbsa.nhs.uk/ampp/view/195075" TargetMode="External"/><Relationship Id="rId373" Type="http://schemas.openxmlformats.org/officeDocument/2006/relationships/hyperlink" Target="https://dailymed.nlm.nih.gov/dailymed/search.cfm?labeltype=all&amp;query=sugammadex" TargetMode="External"/><Relationship Id="rId374" Type="http://schemas.openxmlformats.org/officeDocument/2006/relationships/hyperlink" Target="https://www.ema.europa.eu/en/documents/other/article-57-product-data_en.xlsx" TargetMode="External"/><Relationship Id="rId375" Type="http://schemas.openxmlformats.org/officeDocument/2006/relationships/hyperlink" Target="https://dailymed.nlm.nih.gov/dailymed/search.cfm?labeltype=all&amp;query=sugammadex" TargetMode="External"/><Relationship Id="rId376" Type="http://schemas.openxmlformats.org/officeDocument/2006/relationships/hyperlink" Target="https://base-donnees-publique.medicaments.gouv.fr/index.php?page=1&amp;choixRecherche=medicament&amp;txtCaracteres=Sugammadex&amp;action=show" TargetMode="External"/><Relationship Id="rId377" Type="http://schemas.openxmlformats.org/officeDocument/2006/relationships/hyperlink" Target="https://www.ema.europa.eu/en/documents/other/article-57-product-data_en.xlsx" TargetMode="External"/><Relationship Id="rId378" Type="http://schemas.openxmlformats.org/officeDocument/2006/relationships/hyperlink" Target="https://dailymed.nlm.nih.gov/dailymed/search.cfm?labeltype=all&amp;query=sugammadex" TargetMode="External"/><Relationship Id="rId379" Type="http://schemas.openxmlformats.org/officeDocument/2006/relationships/hyperlink" Target="https://www.ebs.tga.gov.au/ebs/picmi/picmirepository.nsf/pdf?OpenAgent&amp;id=CP-2021-PI-01471-1" TargetMode="External"/><Relationship Id="rId380" Type="http://schemas.openxmlformats.org/officeDocument/2006/relationships/hyperlink" Target="https://dailymed.nlm.nih.gov/dailymed/search.cfm?labeltype=all&amp;query=sugammadex" TargetMode="External"/><Relationship Id="rId381" Type="http://schemas.openxmlformats.org/officeDocument/2006/relationships/hyperlink" Target="https://pi-pil-repository.sahpra.org.za/wp-content/uploads/2023/11/Final_PI_Neuvysi_Applicant.pdf" TargetMode="External"/><Relationship Id="rId382" Type="http://schemas.openxmlformats.org/officeDocument/2006/relationships/hyperlink" Target="https://dailymed.nlm.nih.gov/dailymed/search.cfm?labeltype=all&amp;query=thiotepa" TargetMode="External"/><Relationship Id="rId383" Type="http://schemas.openxmlformats.org/officeDocument/2006/relationships/hyperlink" Target="https://dailymed.nlm.nih.gov/dailymed/drugInfo.cfm?setid=0def6a5e-4bf5-b1fd-47b7-0f17ecfd9bc2" TargetMode="External"/><Relationship Id="rId384" Type="http://schemas.openxmlformats.org/officeDocument/2006/relationships/hyperlink" Target="https://dailymed.nlm.nih.gov/dailymed/search.cfm?labeltype=all&amp;query=triamcinolone+acetonide+injectable+suspension" TargetMode="External"/><Relationship Id="rId385" Type="http://schemas.openxmlformats.org/officeDocument/2006/relationships/hyperlink" Target="https://dailymed.nlm.nih.gov/dailymed/drugInfo.cfm?setid=1034d417-493a-443a-a62e-30786f673ee3" TargetMode="External"/><Relationship Id="rId386" Type="http://schemas.openxmlformats.org/officeDocument/2006/relationships/hyperlink" Target="https://dailymed.nlm.nih.gov/dailymed/search.cfm?labeltype=all&amp;query=acetazolamide" TargetMode="External"/><Relationship Id="rId387" Type="http://schemas.openxmlformats.org/officeDocument/2006/relationships/hyperlink" Target="https://dmd-browser.nhsbsa.nhs.uk/ampp/view/210747" TargetMode="External"/><Relationship Id="rId388" Type="http://schemas.openxmlformats.org/officeDocument/2006/relationships/hyperlink" Target="https://dailymed.nlm.nih.gov/dailymed/search.cfm?labeltype=all&amp;query=acetazolamide" TargetMode="External"/><Relationship Id="rId389" Type="http://schemas.openxmlformats.org/officeDocument/2006/relationships/hyperlink" Target="https://www.ema.europa.eu/en/documents/other/article-57-product-data_en.xlsx" TargetMode="External"/><Relationship Id="rId390" Type="http://schemas.openxmlformats.org/officeDocument/2006/relationships/hyperlink" Target="https://dailymed.nlm.nih.gov/dailymed/search.cfm?labeltype=all&amp;query=amikacin" TargetMode="External"/><Relationship Id="rId391" Type="http://schemas.openxmlformats.org/officeDocument/2006/relationships/hyperlink" Target="https://dmd-browser.nhsbsa.nhs.uk/ampp/view/184215" TargetMode="External"/><Relationship Id="rId392" Type="http://schemas.openxmlformats.org/officeDocument/2006/relationships/hyperlink" Target="https://dailymed.nlm.nih.gov/dailymed/search.cfm?labeltype=all&amp;query=amikacin" TargetMode="External"/><Relationship Id="rId393" Type="http://schemas.openxmlformats.org/officeDocument/2006/relationships/hyperlink" Target="https://www.ema.europa.eu/en/documents/other/article-57-product-data_en.xlsx" TargetMode="External"/><Relationship Id="rId394" Type="http://schemas.openxmlformats.org/officeDocument/2006/relationships/hyperlink" Target="https://dailymed.nlm.nih.gov/dailymed/search.cfm?labeltype=all&amp;query=amikacin" TargetMode="External"/><Relationship Id="rId395" Type="http://schemas.openxmlformats.org/officeDocument/2006/relationships/hyperlink" Target="https://health-products.canada.ca/dpd-bdpp/info?code=97163&amp;lang=eng" TargetMode="External"/><Relationship Id="rId396" Type="http://schemas.openxmlformats.org/officeDocument/2006/relationships/hyperlink" Target="https://dailymed.nlm.nih.gov/dailymed/search.cfm?labeltype=all&amp;query=amikacin" TargetMode="External"/><Relationship Id="rId397" Type="http://schemas.openxmlformats.org/officeDocument/2006/relationships/hyperlink" Target="https://www.ema.europa.eu/en/documents/other/article-57-product-data_en.xlsx" TargetMode="External"/><Relationship Id="rId398" Type="http://schemas.openxmlformats.org/officeDocument/2006/relationships/hyperlink" Target="https://dailymed.nlm.nih.gov/dailymed/search.cfm?labeltype=all&amp;query=amikacin" TargetMode="External"/><Relationship Id="rId399" Type="http://schemas.openxmlformats.org/officeDocument/2006/relationships/hyperlink" Target="https://www.ebs.tga.gov.au/ebs/picmi/picmirepository.nsf/pdf?OpenAgent&amp;id=CP-2019-PI-02339-1" TargetMode="External"/><Relationship Id="rId400" Type="http://schemas.openxmlformats.org/officeDocument/2006/relationships/hyperlink" Target="https://dailymed.nlm.nih.gov/dailymed/search.cfm?labeltype=all&amp;query=ampicillin" TargetMode="External"/><Relationship Id="rId401" Type="http://schemas.openxmlformats.org/officeDocument/2006/relationships/hyperlink" Target="https://www.ema.europa.eu/en/documents/other/article-57-product-data_en.xlsx" TargetMode="External"/><Relationship Id="rId402" Type="http://schemas.openxmlformats.org/officeDocument/2006/relationships/hyperlink" Target="https://dailymed.nlm.nih.gov/dailymed/search.cfm?labeltype=all&amp;query=azacitidine" TargetMode="External"/><Relationship Id="rId403" Type="http://schemas.openxmlformats.org/officeDocument/2006/relationships/hyperlink" Target="https://mhraproducts4853.blob.core.windows.net/docs/e4d662e29a638c2305c604ee1f25827e963a09f4" TargetMode="External"/><Relationship Id="rId404" Type="http://schemas.openxmlformats.org/officeDocument/2006/relationships/hyperlink" Target="https://dailymed.nlm.nih.gov/dailymed/search.cfm?labeltype=all&amp;query=azacitidine" TargetMode="External"/><Relationship Id="rId405" Type="http://schemas.openxmlformats.org/officeDocument/2006/relationships/hyperlink" Target="https://www.ema.europa.eu/en/documents/other/article-57-product-data_en.xlsx" TargetMode="External"/><Relationship Id="rId406" Type="http://schemas.openxmlformats.org/officeDocument/2006/relationships/hyperlink" Target="https://dailymed.nlm.nih.gov/dailymed/search.cfm?labeltype=all&amp;query=azacitidine" TargetMode="External"/><Relationship Id="rId407" Type="http://schemas.openxmlformats.org/officeDocument/2006/relationships/hyperlink" Target="https://base-donnees-publique.medicaments.gouv.fr/index.php?page=1&amp;choixRecherche=medicament&amp;txtCaracteres=Azacitidine%20Tillomed&amp;action=show" TargetMode="External"/><Relationship Id="rId408" Type="http://schemas.openxmlformats.org/officeDocument/2006/relationships/hyperlink" Target="https://www.ema.europa.eu/en/documents/other/article-57-product-data_en.xlsx" TargetMode="External"/><Relationship Id="rId409" Type="http://schemas.openxmlformats.org/officeDocument/2006/relationships/hyperlink" Target="https://dailymed.nlm.nih.gov/dailymed/search.cfm?labeltype=all&amp;query=bortezomib" TargetMode="External"/><Relationship Id="rId410" Type="http://schemas.openxmlformats.org/officeDocument/2006/relationships/hyperlink" Target="https://www.ema.europa.eu/en/documents/other/article-57-product-data_en.xlsx" TargetMode="External"/><Relationship Id="rId411" Type="http://schemas.openxmlformats.org/officeDocument/2006/relationships/hyperlink" Target="https://dailymed.nlm.nih.gov/dailymed/search.cfm?labeltype=all&amp;query=bortezomib" TargetMode="External"/><Relationship Id="rId412" Type="http://schemas.openxmlformats.org/officeDocument/2006/relationships/hyperlink" Target="https://health-products.canada.ca/dpd-bdpp/info?code=98328&amp;lang=eng" TargetMode="External"/><Relationship Id="rId413" Type="http://schemas.openxmlformats.org/officeDocument/2006/relationships/hyperlink" Target="https://dailymed.nlm.nih.gov/dailymed/search.cfm?labeltype=all&amp;query=bortezomib" TargetMode="External"/><Relationship Id="rId414" Type="http://schemas.openxmlformats.org/officeDocument/2006/relationships/hyperlink" Target="https://base-donnees-publique.medicaments.gouv.fr/index.php?page=1&amp;choixRecherche=medicament&amp;txtCaracteres=Bortezomib%20Tillomed&amp;action=show" TargetMode="External"/><Relationship Id="rId415" Type="http://schemas.openxmlformats.org/officeDocument/2006/relationships/hyperlink" Target="https://www.ema.europa.eu/en/documents/other/article-57-product-data_en.xlsx" TargetMode="External"/><Relationship Id="rId416" Type="http://schemas.openxmlformats.org/officeDocument/2006/relationships/hyperlink" Target="https://dailymed.nlm.nih.gov/dailymed/search.cfm?labeltype=all&amp;query=colistimethate" TargetMode="External"/><Relationship Id="rId417" Type="http://schemas.openxmlformats.org/officeDocument/2006/relationships/hyperlink" Target="https://health-products.canada.ca/dpd-bdpp/info?code=103531&amp;lang=eng" TargetMode="External"/><Relationship Id="rId418" Type="http://schemas.openxmlformats.org/officeDocument/2006/relationships/hyperlink" Target="https://dailymed.nlm.nih.gov/dailymed/search.cfm?labeltype=all&amp;query=cyclophosphamide" TargetMode="External"/><Relationship Id="rId419" Type="http://schemas.openxmlformats.org/officeDocument/2006/relationships/hyperlink" Target="https://health-products.canada.ca/dpd-bdpp/info?code=106329&amp;lang=eng" TargetMode="External"/><Relationship Id="rId420" Type="http://schemas.openxmlformats.org/officeDocument/2006/relationships/hyperlink" Target="https://dailymed.nlm.nih.gov/dailymed/search.cfm?labeltype=all&amp;query=daptomycin" TargetMode="External"/><Relationship Id="rId421" Type="http://schemas.openxmlformats.org/officeDocument/2006/relationships/hyperlink" Target="https://mhraproducts4853.blob.core.windows.net/docs/9afd4b27b19aa5c9bee689358bc17d6502fcab14" TargetMode="External"/><Relationship Id="rId422" Type="http://schemas.openxmlformats.org/officeDocument/2006/relationships/hyperlink" Target="https://dailymed.nlm.nih.gov/dailymed/search.cfm?labeltype=all&amp;query=daptomycin" TargetMode="External"/><Relationship Id="rId423" Type="http://schemas.openxmlformats.org/officeDocument/2006/relationships/hyperlink" Target="https://base-donnees-publique.medicaments.gouv.fr/index.php?page=1&amp;choixRecherche=medicament&amp;txtCaracteres=Daptomycin%20Tillomed&amp;action=show" TargetMode="External"/><Relationship Id="rId424" Type="http://schemas.openxmlformats.org/officeDocument/2006/relationships/hyperlink" Target="https://www.ema.europa.eu/en/documents/other/article-57-product-data_en.xlsx" TargetMode="External"/><Relationship Id="rId425" Type="http://schemas.openxmlformats.org/officeDocument/2006/relationships/hyperlink" Target="https://dailymed.nlm.nih.gov/dailymed/search.cfm?labeltype=all&amp;query=eribulin" TargetMode="External"/><Relationship Id="rId426" Type="http://schemas.openxmlformats.org/officeDocument/2006/relationships/hyperlink" Target="https://base-donnees-publique.medicaments.gouv.fr/index.php?page=1&amp;choixRecherche=medicament&amp;txtCaracteres=Eribuline%20Tillomed&amp;action=show" TargetMode="External"/><Relationship Id="rId427" Type="http://schemas.openxmlformats.org/officeDocument/2006/relationships/hyperlink" Target="https://www.ema.europa.eu/en/documents/other/article-57-product-data_en.xlsx" TargetMode="External"/><Relationship Id="rId428" Type="http://schemas.openxmlformats.org/officeDocument/2006/relationships/hyperlink" Target="https://dailymed.nlm.nih.gov/dailymed/search.cfm?labeltype=all&amp;query=esomeprazole+sodium" TargetMode="External"/><Relationship Id="rId429" Type="http://schemas.openxmlformats.org/officeDocument/2006/relationships/hyperlink" Target="https://www.ema.europa.eu/en/documents/other/article-57-product-data_en.xlsx" TargetMode="External"/><Relationship Id="rId430" Type="http://schemas.openxmlformats.org/officeDocument/2006/relationships/hyperlink" Target="https://dailymed.nlm.nih.gov/dailymed/search.cfm?labeltype=all&amp;query=esomeprazole+sodium" TargetMode="External"/><Relationship Id="rId431" Type="http://schemas.openxmlformats.org/officeDocument/2006/relationships/hyperlink" Target="https://base-donnees-publique.medicaments.gouv.fr/index.php?page=1&amp;choixRecherche=medicament&amp;txtCaracteres=Esomeprazole%20Tillomed&amp;action=show" TargetMode="External"/><Relationship Id="rId432" Type="http://schemas.openxmlformats.org/officeDocument/2006/relationships/hyperlink" Target="https://www.ema.europa.eu/en/documents/other/article-57-product-data_en.xlsx" TargetMode="External"/><Relationship Id="rId433" Type="http://schemas.openxmlformats.org/officeDocument/2006/relationships/hyperlink" Target="https://dailymed.nlm.nih.gov/dailymed/search.cfm?labeltype=all&amp;query=isoproterenol" TargetMode="External"/><Relationship Id="rId434" Type="http://schemas.openxmlformats.org/officeDocument/2006/relationships/hyperlink" Target="https://health-products.canada.ca/dpd-bdpp/info?code=99218&amp;lang=eng" TargetMode="External"/><Relationship Id="rId435" Type="http://schemas.openxmlformats.org/officeDocument/2006/relationships/hyperlink" Target="https://dailymed.nlm.nih.gov/dailymed/search.cfm?labeltype=all&amp;query=isoproterenol" TargetMode="External"/><Relationship Id="rId436" Type="http://schemas.openxmlformats.org/officeDocument/2006/relationships/hyperlink" Target="https://base-donnees-publique.medicaments.gouv.fr/index.php?page=1&amp;choixRecherche=medicament&amp;txtCaracteres=Isoprenaline%20Chlorhydrate&amp;action=show" TargetMode="External"/><Relationship Id="rId437" Type="http://schemas.openxmlformats.org/officeDocument/2006/relationships/hyperlink" Target="https://www.ema.europa.eu/en/documents/other/article-57-product-data_en.xlsx" TargetMode="External"/><Relationship Id="rId438" Type="http://schemas.openxmlformats.org/officeDocument/2006/relationships/hyperlink" Target="https://dailymed.nlm.nih.gov/dailymed/search.cfm?labeltype=all&amp;query=melphalan+hydrochloride" TargetMode="External"/><Relationship Id="rId439" Type="http://schemas.openxmlformats.org/officeDocument/2006/relationships/hyperlink" Target="https://mhraproducts4853.blob.core.windows.net/docs/b72d32face7ce61d71696787ed3106ac25618280" TargetMode="External"/><Relationship Id="rId440" Type="http://schemas.openxmlformats.org/officeDocument/2006/relationships/hyperlink" Target="https://dailymed.nlm.nih.gov/dailymed/search.cfm?labeltype=all&amp;query=melphalan+hydrochloride" TargetMode="External"/><Relationship Id="rId441" Type="http://schemas.openxmlformats.org/officeDocument/2006/relationships/hyperlink" Target="https://www.ema.europa.eu/en/documents/other/article-57-product-data_en.xlsx" TargetMode="External"/><Relationship Id="rId442" Type="http://schemas.openxmlformats.org/officeDocument/2006/relationships/hyperlink" Target="https://dailymed.nlm.nih.gov/dailymed/search.cfm?labeltype=all&amp;query=melphalan+hydrochloride" TargetMode="External"/><Relationship Id="rId443" Type="http://schemas.openxmlformats.org/officeDocument/2006/relationships/hyperlink" Target="https://health-products.canada.ca/dpd-bdpp/info?code=96274&amp;lang=eng" TargetMode="External"/><Relationship Id="rId444" Type="http://schemas.openxmlformats.org/officeDocument/2006/relationships/hyperlink" Target="https://dailymed.nlm.nih.gov/dailymed/search.cfm?labeltype=all&amp;query=melphalan+hydrochloride" TargetMode="External"/><Relationship Id="rId445" Type="http://schemas.openxmlformats.org/officeDocument/2006/relationships/hyperlink" Target="https://base-donnees-publique.medicaments.gouv.fr/index.php?page=1&amp;choixRecherche=medicament&amp;txtCaracteres=Melphalan%20Tillomed&amp;action=show" TargetMode="External"/><Relationship Id="rId446" Type="http://schemas.openxmlformats.org/officeDocument/2006/relationships/hyperlink" Target="https://www.ema.europa.eu/en/documents/other/article-57-product-data_en.xlsx" TargetMode="External"/><Relationship Id="rId447" Type="http://schemas.openxmlformats.org/officeDocument/2006/relationships/hyperlink" Target="https://dailymed.nlm.nih.gov/dailymed/search.cfm?labeltype=all&amp;query=melphalan+hydrochloride" TargetMode="External"/><Relationship Id="rId448" Type="http://schemas.openxmlformats.org/officeDocument/2006/relationships/hyperlink" Target="https://www.ebs.tga.gov.au/ebs/picmi/picmirepository.nsf/pdf?OpenAgent&amp;id=CP-2018-PI-01539-1" TargetMode="External"/><Relationship Id="rId449" Type="http://schemas.openxmlformats.org/officeDocument/2006/relationships/hyperlink" Target="https://dailymed.nlm.nih.gov/dailymed/search.cfm?labeltype=all&amp;query=milrinone" TargetMode="External"/><Relationship Id="rId450" Type="http://schemas.openxmlformats.org/officeDocument/2006/relationships/hyperlink" Target="https://dmd-browser.nhsbsa.nhs.uk/ampp/view/190885" TargetMode="External"/><Relationship Id="rId451" Type="http://schemas.openxmlformats.org/officeDocument/2006/relationships/hyperlink" Target="https://dailymed.nlm.nih.gov/dailymed/search.cfm?labeltype=all&amp;query=milrinone" TargetMode="External"/><Relationship Id="rId452" Type="http://schemas.openxmlformats.org/officeDocument/2006/relationships/hyperlink" Target="https://www.ema.europa.eu/en/documents/other/article-57-product-data_en.xlsx" TargetMode="External"/><Relationship Id="rId453" Type="http://schemas.openxmlformats.org/officeDocument/2006/relationships/hyperlink" Target="https://dailymed.nlm.nih.gov/dailymed/search.cfm?labeltype=all&amp;query=milrinone" TargetMode="External"/><Relationship Id="rId454" Type="http://schemas.openxmlformats.org/officeDocument/2006/relationships/hyperlink" Target="https://base-donnees-publique.medicaments.gouv.fr/index.php?page=1&amp;choixRecherche=medicament&amp;txtCaracteres=Milrinone%20Tillomed&amp;action=show" TargetMode="External"/><Relationship Id="rId455" Type="http://schemas.openxmlformats.org/officeDocument/2006/relationships/hyperlink" Target="https://www.ema.europa.eu/en/documents/other/article-57-product-data_en.xlsx" TargetMode="External"/><Relationship Id="rId456" Type="http://schemas.openxmlformats.org/officeDocument/2006/relationships/hyperlink" Target="https://dailymed.nlm.nih.gov/dailymed/search.cfm?labeltype=all&amp;query=neostigmine" TargetMode="External"/><Relationship Id="rId457" Type="http://schemas.openxmlformats.org/officeDocument/2006/relationships/hyperlink" Target="https://health-products.canada.ca/dpd-bdpp/info?code=96586&amp;lang=eng" TargetMode="External"/><Relationship Id="rId458" Type="http://schemas.openxmlformats.org/officeDocument/2006/relationships/hyperlink" Target="https://dailymed.nlm.nih.gov/dailymed/search.cfm?labeltype=all&amp;query=ondansetron+injection" TargetMode="External"/><Relationship Id="rId459" Type="http://schemas.openxmlformats.org/officeDocument/2006/relationships/hyperlink" Target="https://www.ema.europa.eu/en/documents/other/article-57-product-data_en.xlsx" TargetMode="External"/><Relationship Id="rId460" Type="http://schemas.openxmlformats.org/officeDocument/2006/relationships/hyperlink" Target="https://dailymed.nlm.nih.gov/dailymed/search.cfm?labeltype=all&amp;query=pantoprazole+sodium+for+injection" TargetMode="External"/><Relationship Id="rId461" Type="http://schemas.openxmlformats.org/officeDocument/2006/relationships/hyperlink" Target="https://dmd-browser.nhsbsa.nhs.uk/ampp/view/194984" TargetMode="External"/><Relationship Id="rId462" Type="http://schemas.openxmlformats.org/officeDocument/2006/relationships/hyperlink" Target="https://dailymed.nlm.nih.gov/dailymed/search.cfm?labeltype=all&amp;query=pantoprazole+sodium+for+injection" TargetMode="External"/><Relationship Id="rId463" Type="http://schemas.openxmlformats.org/officeDocument/2006/relationships/hyperlink" Target="https://www.ema.europa.eu/en/documents/other/article-57-product-data_en.xlsx" TargetMode="External"/><Relationship Id="rId464" Type="http://schemas.openxmlformats.org/officeDocument/2006/relationships/hyperlink" Target="https://dailymed.nlm.nih.gov/dailymed/search.cfm?labeltype=all&amp;query=pantoprazole+sodium+for+injection" TargetMode="External"/><Relationship Id="rId465" Type="http://schemas.openxmlformats.org/officeDocument/2006/relationships/hyperlink" Target="https://base-donnees-publique.medicaments.gouv.fr/index.php?page=1&amp;choixRecherche=medicament&amp;txtCaracteres=Pantoprazole%20Tillomed&amp;action=show" TargetMode="External"/><Relationship Id="rId466" Type="http://schemas.openxmlformats.org/officeDocument/2006/relationships/hyperlink" Target="https://www.ema.europa.eu/en/documents/other/article-57-product-data_en.xlsx" TargetMode="External"/><Relationship Id="rId467" Type="http://schemas.openxmlformats.org/officeDocument/2006/relationships/hyperlink" Target="https://dailymed.nlm.nih.gov/dailymed/search.cfm?labeltype=all&amp;query=pentamidine" TargetMode="External"/><Relationship Id="rId468" Type="http://schemas.openxmlformats.org/officeDocument/2006/relationships/hyperlink" Target="https://dmd-browser.nhsbsa.nhs.uk/ampp/view/197400" TargetMode="External"/><Relationship Id="rId469" Type="http://schemas.openxmlformats.org/officeDocument/2006/relationships/hyperlink" Target="https://dailymed.nlm.nih.gov/dailymed/search.cfm?labeltype=all&amp;query=pentamidine" TargetMode="External"/><Relationship Id="rId470" Type="http://schemas.openxmlformats.org/officeDocument/2006/relationships/hyperlink" Target="https://www.ema.europa.eu/en/documents/other/article-57-product-data_en.xlsx" TargetMode="External"/><Relationship Id="rId471" Type="http://schemas.openxmlformats.org/officeDocument/2006/relationships/hyperlink" Target="https://dailymed.nlm.nih.gov/dailymed/search.cfm?labeltype=all&amp;query=pentamidine" TargetMode="External"/><Relationship Id="rId472" Type="http://schemas.openxmlformats.org/officeDocument/2006/relationships/hyperlink" Target="https://health-products.canada.ca/dpd-bdpp/info?code=100704&amp;lang=eng" TargetMode="External"/><Relationship Id="rId473" Type="http://schemas.openxmlformats.org/officeDocument/2006/relationships/hyperlink" Target="https://dailymed.nlm.nih.gov/dailymed/search.cfm?labeltype=all&amp;query=pentamidine" TargetMode="External"/><Relationship Id="rId474" Type="http://schemas.openxmlformats.org/officeDocument/2006/relationships/hyperlink" Target="https://base-donnees-publique.medicaments.gouv.fr/index.php?page=1&amp;choixRecherche=medicament&amp;txtCaracteres=Pentamidine%20Tillomed&amp;action=show" TargetMode="External"/><Relationship Id="rId475" Type="http://schemas.openxmlformats.org/officeDocument/2006/relationships/hyperlink" Target="https://www.ema.europa.eu/en/documents/other/article-57-product-data_en.xlsx" TargetMode="External"/><Relationship Id="rId476" Type="http://schemas.openxmlformats.org/officeDocument/2006/relationships/hyperlink" Target="https://dailymed.nlm.nih.gov/dailymed/search.cfm?labeltype=all&amp;query=pentamidine" TargetMode="External"/><Relationship Id="rId477" Type="http://schemas.openxmlformats.org/officeDocument/2006/relationships/hyperlink" Target="https://www.ebs.tga.gov.au/ebs/picmi/picmirepository.nsf/pdf?OpenAgent&amp;id=CP-2023-PI-02341-1" TargetMode="External"/><Relationship Id="rId478" Type="http://schemas.openxmlformats.org/officeDocument/2006/relationships/hyperlink" Target="https://dailymed.nlm.nih.gov/dailymed/search.cfm?labeltype=all&amp;query=plerixafor" TargetMode="External"/><Relationship Id="rId479" Type="http://schemas.openxmlformats.org/officeDocument/2006/relationships/hyperlink" Target="https://mhraproducts4853.blob.core.windows.net/docs/07357ed28124fa9adf67221cff8397b75709ff50" TargetMode="External"/><Relationship Id="rId480" Type="http://schemas.openxmlformats.org/officeDocument/2006/relationships/hyperlink" Target="https://dailymed.nlm.nih.gov/dailymed/search.cfm?labeltype=all&amp;query=plerixafor" TargetMode="External"/><Relationship Id="rId481" Type="http://schemas.openxmlformats.org/officeDocument/2006/relationships/hyperlink" Target="https://base-donnees-publique.medicaments.gouv.fr/index.php?page=1&amp;choixRecherche=medicament&amp;txtCaracteres=Plerixafor%20Tillomed&amp;action=show" TargetMode="External"/><Relationship Id="rId482" Type="http://schemas.openxmlformats.org/officeDocument/2006/relationships/hyperlink" Target="https://www.ema.europa.eu/en/documents/other/article-57-product-data_en.xlsx" TargetMode="External"/><Relationship Id="rId483" Type="http://schemas.openxmlformats.org/officeDocument/2006/relationships/hyperlink" Target="https://dailymed.nlm.nih.gov/dailymed/search.cfm?labeltype=all&amp;query=propofol" TargetMode="External"/><Relationship Id="rId484" Type="http://schemas.openxmlformats.org/officeDocument/2006/relationships/hyperlink" Target="https://health-products.canada.ca/dpd-bdpp/info?code=101486&amp;lang=eng" TargetMode="External"/><Relationship Id="rId485" Type="http://schemas.openxmlformats.org/officeDocument/2006/relationships/hyperlink" Target="https://dailymed.nlm.nih.gov/dailymed/search.cfm?labeltype=all&amp;query=sugammadex" TargetMode="External"/><Relationship Id="rId486" Type="http://schemas.openxmlformats.org/officeDocument/2006/relationships/hyperlink" Target="https://dmd-browser.nhsbsa.nhs.uk/ampp/view/195295" TargetMode="External"/><Relationship Id="rId487" Type="http://schemas.openxmlformats.org/officeDocument/2006/relationships/hyperlink" Target="https://dailymed.nlm.nih.gov/dailymed/search.cfm?labeltype=all&amp;query=sugammadex" TargetMode="External"/><Relationship Id="rId488" Type="http://schemas.openxmlformats.org/officeDocument/2006/relationships/hyperlink" Target="https://www.ema.europa.eu/en/documents/other/article-57-product-data_en.xlsx" TargetMode="External"/><Relationship Id="rId489" Type="http://schemas.openxmlformats.org/officeDocument/2006/relationships/hyperlink" Target="https://dailymed.nlm.nih.gov/dailymed/search.cfm?labeltype=all&amp;query=sugammadex" TargetMode="External"/><Relationship Id="rId490" Type="http://schemas.openxmlformats.org/officeDocument/2006/relationships/hyperlink" Target="https://www.ema.europa.eu/en/documents/other/article-57-product-data_en.xlsx" TargetMode="External"/><Relationship Id="rId491" Type="http://schemas.openxmlformats.org/officeDocument/2006/relationships/hyperlink" Target="https://dailymed.nlm.nih.gov/dailymed/search.cfm?labeltype=all&amp;query=azacitidine" TargetMode="External"/><Relationship Id="rId492" Type="http://schemas.openxmlformats.org/officeDocument/2006/relationships/hyperlink" Target="https://www.ema.europa.eu/en/documents/other/article-57-product-data_en.xlsx" TargetMode="External"/><Relationship Id="rId493" Type="http://schemas.openxmlformats.org/officeDocument/2006/relationships/hyperlink" Target="https://dailymed.nlm.nih.gov/dailymed/search.cfm?labeltype=all&amp;query=bortezomib" TargetMode="External"/><Relationship Id="rId494" Type="http://schemas.openxmlformats.org/officeDocument/2006/relationships/hyperlink" Target="https://www.ema.europa.eu/en/documents/other/article-57-product-data_en.xlsx" TargetMode="External"/><Relationship Id="rId495" Type="http://schemas.openxmlformats.org/officeDocument/2006/relationships/hyperlink" Target="https://dailymed.nlm.nih.gov/dailymed/search.cfm?labeltype=all&amp;query=bortezomib" TargetMode="External"/><Relationship Id="rId496" Type="http://schemas.openxmlformats.org/officeDocument/2006/relationships/hyperlink" Target="https://www.tga.gov.au/resources/artg/444811" TargetMode="External"/><Relationship Id="rId497" Type="http://schemas.openxmlformats.org/officeDocument/2006/relationships/hyperlink" Target="https://dailymed.nlm.nih.gov/dailymed/search.cfm?labeltype=all&amp;query=eribulin" TargetMode="External"/><Relationship Id="rId498" Type="http://schemas.openxmlformats.org/officeDocument/2006/relationships/hyperlink" Target="https://dailymed.nlm.nih.gov/dailymed/drugInfo.cfm?setid=55f4017d-5ea8-4622-bf59-9b9c329097fd" TargetMode="External"/><Relationship Id="rId499" Type="http://schemas.openxmlformats.org/officeDocument/2006/relationships/hyperlink" Target="https://dailymed.nlm.nih.gov/dailymed/search.cfm?labeltype=all&amp;query=eribulin" TargetMode="External"/><Relationship Id="rId500" Type="http://schemas.openxmlformats.org/officeDocument/2006/relationships/hyperlink" Target="https://mhraproducts4853.blob.core.windows.net/docs/b0ceabb0dd6b7d5e0d5eaf6156cd2acdc6593ea6" TargetMode="External"/><Relationship Id="rId501" Type="http://schemas.openxmlformats.org/officeDocument/2006/relationships/hyperlink" Target="https://dailymed.nlm.nih.gov/dailymed/search.cfm?labeltype=all&amp;query=eribulin" TargetMode="External"/><Relationship Id="rId502" Type="http://schemas.openxmlformats.org/officeDocument/2006/relationships/hyperlink" Target="https://www.ema.europa.eu/en/documents/other/article-57-product-data_en.xlsx" TargetMode="External"/><Relationship Id="rId503" Type="http://schemas.openxmlformats.org/officeDocument/2006/relationships/hyperlink" Target="https://dailymed.nlm.nih.gov/dailymed/search.cfm?labeltype=all&amp;query=eribulin" TargetMode="External"/><Relationship Id="rId504" Type="http://schemas.openxmlformats.org/officeDocument/2006/relationships/hyperlink" Target="https://www.ema.europa.eu/en/documents/other/article-57-product-data_en.xlsx" TargetMode="External"/><Relationship Id="rId505" Type="http://schemas.openxmlformats.org/officeDocument/2006/relationships/hyperlink" Target="https://dailymed.nlm.nih.gov/dailymed/search.cfm?labeltype=all&amp;query=fulvestrant" TargetMode="External"/><Relationship Id="rId506" Type="http://schemas.openxmlformats.org/officeDocument/2006/relationships/hyperlink" Target="https://dailymed.nlm.nih.gov/dailymed/drugInfo.cfm?setid=99cf8b69-4c23-4886-80e9-b23e348b5bd7" TargetMode="External"/><Relationship Id="rId507" Type="http://schemas.openxmlformats.org/officeDocument/2006/relationships/hyperlink" Target="https://dailymed.nlm.nih.gov/dailymed/search.cfm?labeltype=all&amp;query=fulvestrant" TargetMode="External"/><Relationship Id="rId508" Type="http://schemas.openxmlformats.org/officeDocument/2006/relationships/hyperlink" Target="https://mhraproducts4853.blob.core.windows.net/docs/4e24a9a4b6a719b2aafafdba94273597a32d78e1" TargetMode="External"/><Relationship Id="rId509" Type="http://schemas.openxmlformats.org/officeDocument/2006/relationships/hyperlink" Target="https://dailymed.nlm.nih.gov/dailymed/search.cfm?labeltype=all&amp;query=fulvestrant" TargetMode="External"/><Relationship Id="rId510" Type="http://schemas.openxmlformats.org/officeDocument/2006/relationships/hyperlink" Target="https://www.ema.europa.eu/en/documents/other/article-57-product-data_en.xlsx" TargetMode="External"/><Relationship Id="rId511" Type="http://schemas.openxmlformats.org/officeDocument/2006/relationships/hyperlink" Target="https://dailymed.nlm.nih.gov/dailymed/search.cfm?labeltype=all&amp;query=fulvestrant" TargetMode="External"/><Relationship Id="rId512" Type="http://schemas.openxmlformats.org/officeDocument/2006/relationships/hyperlink" Target="https://www.ema.europa.eu/en/documents/other/article-57-product-data_en.xlsx" TargetMode="External"/><Relationship Id="rId513" Type="http://schemas.openxmlformats.org/officeDocument/2006/relationships/hyperlink" Target="https://dailymed.nlm.nih.gov/dailymed/search.cfm?labeltype=all&amp;query=plerixafor" TargetMode="External"/><Relationship Id="rId514" Type="http://schemas.openxmlformats.org/officeDocument/2006/relationships/hyperlink" Target="https://www.ema.europa.eu/en/documents/other/article-57-product-data_en.xlsx" TargetMode="External"/><Relationship Id="rId515" Type="http://schemas.openxmlformats.org/officeDocument/2006/relationships/hyperlink" Target="https://dailymed.nlm.nih.gov/dailymed/search.cfm?labeltype=all&amp;query=sugammadex" TargetMode="External"/><Relationship Id="rId516" Type="http://schemas.openxmlformats.org/officeDocument/2006/relationships/hyperlink" Target="https://mhraproducts4853.blob.core.windows.net/docs/e45682bfe340af873ea832a08fc0d30da2179c79" TargetMode="External"/><Relationship Id="rId517" Type="http://schemas.openxmlformats.org/officeDocument/2006/relationships/hyperlink" Target="https://dailymed.nlm.nih.gov/dailymed/search.cfm?labeltype=all&amp;query=sugammadex" TargetMode="External"/><Relationship Id="rId518" Type="http://schemas.openxmlformats.org/officeDocument/2006/relationships/hyperlink" Target="https://www.ema.europa.eu/en/documents/other/article-57-product-data_en.xlsx" TargetMode="External"/><Relationship Id="rId519" Type="http://schemas.openxmlformats.org/officeDocument/2006/relationships/hyperlink" Target="https://dailymed.nlm.nih.gov/dailymed/search.cfm?labeltype=all&amp;query=sugammadex" TargetMode="External"/><Relationship Id="rId520" Type="http://schemas.openxmlformats.org/officeDocument/2006/relationships/hyperlink" Target="https://www.ema.europa.eu/en/documents/other/article-57-product-data_en.xlsx" TargetMode="External"/><Relationship Id="rId521" Type="http://schemas.openxmlformats.org/officeDocument/2006/relationships/hyperlink" Target="https://dailymed.nlm.nih.gov/dailymed/search.cfm?labeltype=all&amp;query=azacitidine" TargetMode="External"/><Relationship Id="rId522" Type="http://schemas.openxmlformats.org/officeDocument/2006/relationships/hyperlink" Target="https://mhraproducts4853.blob.core.windows.net/docs/f9227b59e7a18d99e840d90e17567148b1e67b9a" TargetMode="External"/><Relationship Id="rId523" Type="http://schemas.openxmlformats.org/officeDocument/2006/relationships/hyperlink" Target="https://dailymed.nlm.nih.gov/dailymed/search.cfm?labeltype=all&amp;query=azacitidine" TargetMode="External"/><Relationship Id="rId524" Type="http://schemas.openxmlformats.org/officeDocument/2006/relationships/hyperlink" Target="https://www.ema.europa.eu/en/documents/other/article-57-product-data_en.xlsx" TargetMode="External"/><Relationship Id="rId525" Type="http://schemas.openxmlformats.org/officeDocument/2006/relationships/hyperlink" Target="https://dailymed.nlm.nih.gov/dailymed/search.cfm?labeltype=all&amp;query=bortezomib" TargetMode="External"/><Relationship Id="rId526" Type="http://schemas.openxmlformats.org/officeDocument/2006/relationships/hyperlink" Target="https://dailymed.nlm.nih.gov/dailymed/drugInfo.cfm?setid=04aafa6a-a50d-4a47-a831-be8e8bb992ac" TargetMode="External"/><Relationship Id="rId527" Type="http://schemas.openxmlformats.org/officeDocument/2006/relationships/hyperlink" Target="https://dailymed.nlm.nih.gov/dailymed/search.cfm?labeltype=all&amp;query=bortezomib" TargetMode="External"/><Relationship Id="rId528" Type="http://schemas.openxmlformats.org/officeDocument/2006/relationships/hyperlink" Target="https://mhraproducts4853.blob.core.windows.net/docs/7e2b44fca58941c5658f914dc653e9323cf4a2cd" TargetMode="External"/><Relationship Id="rId529" Type="http://schemas.openxmlformats.org/officeDocument/2006/relationships/hyperlink" Target="https://dailymed.nlm.nih.gov/dailymed/search.cfm?labeltype=all&amp;query=bortezomib" TargetMode="External"/><Relationship Id="rId530" Type="http://schemas.openxmlformats.org/officeDocument/2006/relationships/hyperlink" Target="https://www.ema.europa.eu/en/documents/other/article-57-product-data_en.xlsx" TargetMode="External"/><Relationship Id="rId531" Type="http://schemas.openxmlformats.org/officeDocument/2006/relationships/hyperlink" Target="https://dailymed.nlm.nih.gov/dailymed/search.cfm?labeltype=all&amp;query=bortezomib" TargetMode="External"/><Relationship Id="rId532" Type="http://schemas.openxmlformats.org/officeDocument/2006/relationships/hyperlink" Target="https://www.ema.europa.eu/en/documents/other/article-57-product-data_en.xlsx" TargetMode="External"/><Relationship Id="rId533" Type="http://schemas.openxmlformats.org/officeDocument/2006/relationships/hyperlink" Target="https://dailymed.nlm.nih.gov/dailymed/search.cfm?labeltype=all&amp;query=bortezomib" TargetMode="External"/><Relationship Id="rId534" Type="http://schemas.openxmlformats.org/officeDocument/2006/relationships/hyperlink" Target="https://www.ebs.tga.gov.au/servlet/xmlmillr6?dbid=ebs/PublicHTML/pdfStore.nsf&amp;docid=214243&amp;agid=(PrintDetailsPublic)&amp;actionid=1" TargetMode="External"/><Relationship Id="rId535" Type="http://schemas.openxmlformats.org/officeDocument/2006/relationships/hyperlink" Target="https://dailymed.nlm.nih.gov/dailymed/search.cfm?labeltype=all&amp;query=bortezomib" TargetMode="External"/><Relationship Id="rId536" Type="http://schemas.openxmlformats.org/officeDocument/2006/relationships/hyperlink" Target="https://medicineprices.org.za/" TargetMode="External"/><Relationship Id="rId537" Type="http://schemas.openxmlformats.org/officeDocument/2006/relationships/hyperlink" Target="https://dailymed.nlm.nih.gov/dailymed/search.cfm?labeltype=all&amp;query=brivaracetam" TargetMode="External"/><Relationship Id="rId538" Type="http://schemas.openxmlformats.org/officeDocument/2006/relationships/hyperlink" Target="https://mhraproducts4853.blob.core.windows.net/docs/da6e39cbeb26faea8c72a05b7312c32134b623cd" TargetMode="External"/><Relationship Id="rId539" Type="http://schemas.openxmlformats.org/officeDocument/2006/relationships/hyperlink" Target="https://dailymed.nlm.nih.gov/dailymed/search.cfm?labeltype=all&amp;query=brivaracetam" TargetMode="External"/><Relationship Id="rId540" Type="http://schemas.openxmlformats.org/officeDocument/2006/relationships/hyperlink" Target="https://www.ema.europa.eu/en/documents/other/article-57-product-data_en.xlsx" TargetMode="External"/><Relationship Id="rId541" Type="http://schemas.openxmlformats.org/officeDocument/2006/relationships/hyperlink" Target="https://dailymed.nlm.nih.gov/dailymed/search.cfm?labeltype=all&amp;query=brivaracetam" TargetMode="External"/><Relationship Id="rId542" Type="http://schemas.openxmlformats.org/officeDocument/2006/relationships/hyperlink" Target="https://www.ema.europa.eu/en/documents/other/article-57-product-data_en.xlsx" TargetMode="External"/><Relationship Id="rId543" Type="http://schemas.openxmlformats.org/officeDocument/2006/relationships/hyperlink" Target="https://dailymed.nlm.nih.gov/dailymed/search.cfm?labeltype=all&amp;query=chlorpromazine" TargetMode="External"/><Relationship Id="rId544" Type="http://schemas.openxmlformats.org/officeDocument/2006/relationships/hyperlink" Target="https://dailymed.nlm.nih.gov/dailymed/drugInfo.cfm?setid=6564346c-661c-41cf-9cef-db6aa15710cd" TargetMode="External"/><Relationship Id="rId545" Type="http://schemas.openxmlformats.org/officeDocument/2006/relationships/hyperlink" Target="https://dailymed.nlm.nih.gov/dailymed/search.cfm?labeltype=all&amp;query=cyanocobalamin+injection" TargetMode="External"/><Relationship Id="rId546" Type="http://schemas.openxmlformats.org/officeDocument/2006/relationships/hyperlink" Target="https://dailymed.nlm.nih.gov/dailymed/search.cfm?labeltype=all&amp;query=Cyanocobalamin" TargetMode="External"/><Relationship Id="rId547" Type="http://schemas.openxmlformats.org/officeDocument/2006/relationships/hyperlink" Target="https://dailymed.nlm.nih.gov/dailymed/search.cfm?labeltype=all&amp;query=daptomycin" TargetMode="External"/><Relationship Id="rId548" Type="http://schemas.openxmlformats.org/officeDocument/2006/relationships/hyperlink" Target="https://mhraproducts4853.blob.core.windows.net/docs/767f850723d94449fe9c9148dd21c9b7daf22e18" TargetMode="External"/><Relationship Id="rId549" Type="http://schemas.openxmlformats.org/officeDocument/2006/relationships/hyperlink" Target="https://dailymed.nlm.nih.gov/dailymed/search.cfm?labeltype=all&amp;query=daptomycin" TargetMode="External"/><Relationship Id="rId550" Type="http://schemas.openxmlformats.org/officeDocument/2006/relationships/hyperlink" Target="https://www.ema.europa.eu/en/documents/other/article-57-product-data_en.xlsx" TargetMode="External"/><Relationship Id="rId551" Type="http://schemas.openxmlformats.org/officeDocument/2006/relationships/hyperlink" Target="https://dailymed.nlm.nih.gov/dailymed/search.cfm?labeltype=all&amp;query=daptomycin" TargetMode="External"/><Relationship Id="rId552" Type="http://schemas.openxmlformats.org/officeDocument/2006/relationships/hyperlink" Target="https://www.ema.europa.eu/en/documents/other/article-57-product-data_en.xlsx" TargetMode="External"/><Relationship Id="rId553" Type="http://schemas.openxmlformats.org/officeDocument/2006/relationships/hyperlink" Target="https://dailymed.nlm.nih.gov/dailymed/search.cfm?labeltype=all&amp;query=glycopyrrolate+injection" TargetMode="External"/><Relationship Id="rId554" Type="http://schemas.openxmlformats.org/officeDocument/2006/relationships/hyperlink" Target="https://www.health.gov.za/nhi-pee/" TargetMode="External"/><Relationship Id="rId555" Type="http://schemas.openxmlformats.org/officeDocument/2006/relationships/hyperlink" Target="https://dailymed.nlm.nih.gov/dailymed/search.cfm?labeltype=all&amp;query=isoproterenol" TargetMode="External"/><Relationship Id="rId556" Type="http://schemas.openxmlformats.org/officeDocument/2006/relationships/hyperlink" Target="https://dailymed.nlm.nih.gov/dailymed/search.cfm?labeltype=all&amp;query=Isoproterenol+Hydrochloride" TargetMode="External"/><Relationship Id="rId557" Type="http://schemas.openxmlformats.org/officeDocument/2006/relationships/hyperlink" Target="https://dailymed.nlm.nih.gov/dailymed/search.cfm?labeltype=all&amp;query=lidocaine+hydrochloride+injection" TargetMode="External"/><Relationship Id="rId558" Type="http://schemas.openxmlformats.org/officeDocument/2006/relationships/hyperlink" Target="https://dailymed.nlm.nih.gov/dailymed/drugInfo.cfm?setid=cfbca641-aeee-4dc8-a340-30c53d3b023b" TargetMode="External"/><Relationship Id="rId559" Type="http://schemas.openxmlformats.org/officeDocument/2006/relationships/hyperlink" Target="https://dailymed.nlm.nih.gov/dailymed/search.cfm?labeltype=all&amp;query=magnesium+sulfate+injection" TargetMode="External"/><Relationship Id="rId560" Type="http://schemas.openxmlformats.org/officeDocument/2006/relationships/hyperlink" Target="https://dailymed.nlm.nih.gov/dailymed/drugInfo.cfm?setid=5a0f9db9-b8be-c923-e063-6394a90a7dd7" TargetMode="External"/><Relationship Id="rId561" Type="http://schemas.openxmlformats.org/officeDocument/2006/relationships/hyperlink" Target="https://dailymed.nlm.nih.gov/dailymed/search.cfm?labeltype=all&amp;query=melphalan+hydrochloride" TargetMode="External"/><Relationship Id="rId562" Type="http://schemas.openxmlformats.org/officeDocument/2006/relationships/hyperlink" Target="https://mhraproducts4853.blob.core.windows.net/docs/703e9b8af2577bc6d1c69e9d1f96615cbdcb7a07" TargetMode="External"/><Relationship Id="rId563" Type="http://schemas.openxmlformats.org/officeDocument/2006/relationships/hyperlink" Target="https://dailymed.nlm.nih.gov/dailymed/search.cfm?labeltype=all&amp;query=melphalan+hydrochloride" TargetMode="External"/><Relationship Id="rId564" Type="http://schemas.openxmlformats.org/officeDocument/2006/relationships/hyperlink" Target="https://www.ema.europa.eu/en/documents/other/article-57-product-data_en.xlsx" TargetMode="External"/><Relationship Id="rId565" Type="http://schemas.openxmlformats.org/officeDocument/2006/relationships/hyperlink" Target="https://dailymed.nlm.nih.gov/dailymed/search.cfm?labeltype=all&amp;query=melphalan+hydrochloride" TargetMode="External"/><Relationship Id="rId566" Type="http://schemas.openxmlformats.org/officeDocument/2006/relationships/hyperlink" Target="https://www.ema.europa.eu/en/documents/other/article-57-product-data_en.xlsx" TargetMode="External"/><Relationship Id="rId567" Type="http://schemas.openxmlformats.org/officeDocument/2006/relationships/hyperlink" Target="https://dailymed.nlm.nih.gov/dailymed/search.cfm?labeltype=all&amp;query=methotrexate+injection" TargetMode="External"/><Relationship Id="rId568" Type="http://schemas.openxmlformats.org/officeDocument/2006/relationships/hyperlink" Target="https://dailymed.nlm.nih.gov/dailymed/search.cfm?labeltype=all&amp;query=Methotrexate+Sodium" TargetMode="External"/><Relationship Id="rId569" Type="http://schemas.openxmlformats.org/officeDocument/2006/relationships/hyperlink" Target="https://dailymed.nlm.nih.gov/dailymed/search.cfm?labeltype=all&amp;query=palonosetron" TargetMode="External"/><Relationship Id="rId570" Type="http://schemas.openxmlformats.org/officeDocument/2006/relationships/hyperlink" Target="https://medicineprices.org.za/" TargetMode="External"/><Relationship Id="rId571" Type="http://schemas.openxmlformats.org/officeDocument/2006/relationships/hyperlink" Target="https://dailymed.nlm.nih.gov/dailymed/search.cfm?labeltype=all&amp;query=pantoprazole+sodium+for+injection" TargetMode="External"/><Relationship Id="rId572" Type="http://schemas.openxmlformats.org/officeDocument/2006/relationships/hyperlink" Target="https://dmd-browser.nhsbsa.nhs.uk/ampp/view/194984" TargetMode="External"/><Relationship Id="rId573" Type="http://schemas.openxmlformats.org/officeDocument/2006/relationships/hyperlink" Target="https://dailymed.nlm.nih.gov/dailymed/search.cfm?labeltype=all&amp;query=pantoprazole+sodium+for+injection" TargetMode="External"/><Relationship Id="rId574" Type="http://schemas.openxmlformats.org/officeDocument/2006/relationships/hyperlink" Target="https://www.ema.europa.eu/en/documents/other/article-57-product-data_en.xlsx" TargetMode="External"/><Relationship Id="rId575" Type="http://schemas.openxmlformats.org/officeDocument/2006/relationships/hyperlink" Target="https://dailymed.nlm.nih.gov/dailymed/search.cfm?labeltype=all&amp;query=pantoprazole+sodium+for+injection" TargetMode="External"/><Relationship Id="rId576" Type="http://schemas.openxmlformats.org/officeDocument/2006/relationships/hyperlink" Target="https://www.ema.europa.eu/en/documents/other/article-57-product-data_en.xlsx" TargetMode="External"/><Relationship Id="rId577" Type="http://schemas.openxmlformats.org/officeDocument/2006/relationships/hyperlink" Target="https://dailymed.nlm.nih.gov/dailymed/search.cfm?labeltype=all&amp;query=plerixafor" TargetMode="External"/><Relationship Id="rId578" Type="http://schemas.openxmlformats.org/officeDocument/2006/relationships/hyperlink" Target="https://dailymed.nlm.nih.gov/dailymed/drugInfo.cfm?setid=bb8e1167-8378-4e73-9bcb-d69093ec829b" TargetMode="External"/><Relationship Id="rId579" Type="http://schemas.openxmlformats.org/officeDocument/2006/relationships/hyperlink" Target="https://dailymed.nlm.nih.gov/dailymed/search.cfm?labeltype=all&amp;query=plerixafor" TargetMode="External"/><Relationship Id="rId580" Type="http://schemas.openxmlformats.org/officeDocument/2006/relationships/hyperlink" Target="https://mhraproducts4853.blob.core.windows.net/docs/04f9e2d2b4b82a0ffe5f86e1d5d606b552cb19c3" TargetMode="External"/><Relationship Id="rId581" Type="http://schemas.openxmlformats.org/officeDocument/2006/relationships/hyperlink" Target="https://dailymed.nlm.nih.gov/dailymed/search.cfm?labeltype=all&amp;query=plerixafor" TargetMode="External"/><Relationship Id="rId582" Type="http://schemas.openxmlformats.org/officeDocument/2006/relationships/hyperlink" Target="https://www.ema.europa.eu/en/documents/other/article-57-product-data_en.xlsx" TargetMode="External"/><Relationship Id="rId583" Type="http://schemas.openxmlformats.org/officeDocument/2006/relationships/hyperlink" Target="https://dailymed.nlm.nih.gov/dailymed/search.cfm?labeltype=all&amp;query=plerixafor" TargetMode="External"/><Relationship Id="rId584" Type="http://schemas.openxmlformats.org/officeDocument/2006/relationships/hyperlink" Target="https://www.ema.europa.eu/en/documents/other/article-57-product-data_en.xlsx" TargetMode="External"/><Relationship Id="rId585" Type="http://schemas.openxmlformats.org/officeDocument/2006/relationships/hyperlink" Target="https://dailymed.nlm.nih.gov/dailymed/search.cfm?labeltype=all&amp;query=plerixafor" TargetMode="External"/><Relationship Id="rId586" Type="http://schemas.openxmlformats.org/officeDocument/2006/relationships/hyperlink" Target="https://medicineprices.org.za/" TargetMode="External"/><Relationship Id="rId587" Type="http://schemas.openxmlformats.org/officeDocument/2006/relationships/hyperlink" Target="https://dailymed.nlm.nih.gov/dailymed/search.cfm?labeltype=all&amp;query=propofol" TargetMode="External"/><Relationship Id="rId588" Type="http://schemas.openxmlformats.org/officeDocument/2006/relationships/hyperlink" Target="https://dailymed.nlm.nih.gov/dailymed/search.cfm?labeltype=all&amp;query=Propofol" TargetMode="External"/><Relationship Id="rId589" Type="http://schemas.openxmlformats.org/officeDocument/2006/relationships/hyperlink" Target="https://dailymed.nlm.nih.gov/dailymed/search.cfm?labeltype=all&amp;query=rocuronium" TargetMode="External"/><Relationship Id="rId590" Type="http://schemas.openxmlformats.org/officeDocument/2006/relationships/hyperlink" Target="https://www.ema.europa.eu/en/documents/other/article-57-product-data_en.xlsx" TargetMode="External"/><Relationship Id="rId591" Type="http://schemas.openxmlformats.org/officeDocument/2006/relationships/hyperlink" Target="https://dailymed.nlm.nih.gov/dailymed/search.cfm?labeltype=all&amp;query=sodium+bicarbonate+injection" TargetMode="External"/><Relationship Id="rId592" Type="http://schemas.openxmlformats.org/officeDocument/2006/relationships/hyperlink" Target="https://dailymed.nlm.nih.gov/dailymed/search.cfm?labeltype=all&amp;query=Sodium+Bicarbonate" TargetMode="External"/><Relationship Id="rId593" Type="http://schemas.openxmlformats.org/officeDocument/2006/relationships/hyperlink" Target="https://dailymed.nlm.nih.gov/dailymed/search.cfm?labeltype=all&amp;query=succinylcholine" TargetMode="External"/><Relationship Id="rId594" Type="http://schemas.openxmlformats.org/officeDocument/2006/relationships/hyperlink" Target="https://dailymed.nlm.nih.gov/dailymed/drugInfo.cfm?setid=7d0f0431-e616-49c2-80d8-0752a45428db" TargetMode="External"/><Relationship Id="rId595" Type="http://schemas.openxmlformats.org/officeDocument/2006/relationships/hyperlink" Target="https://dailymed.nlm.nih.gov/dailymed/search.cfm?labeltype=all&amp;query=sugammadex" TargetMode="External"/><Relationship Id="rId596" Type="http://schemas.openxmlformats.org/officeDocument/2006/relationships/hyperlink" Target="https://dailymed.nlm.nih.gov/dailymed/drugInfo.cfm?setid=9adda802-fab2-40c1-9c2f-358debdfb249" TargetMode="External"/><Relationship Id="rId597" Type="http://schemas.openxmlformats.org/officeDocument/2006/relationships/hyperlink" Target="https://dailymed.nlm.nih.gov/dailymed/search.cfm?labeltype=all&amp;query=sugammadex" TargetMode="External"/><Relationship Id="rId598" Type="http://schemas.openxmlformats.org/officeDocument/2006/relationships/hyperlink" Target="https://dmd-browser.nhsbsa.nhs.uk/ampp/view/195045" TargetMode="External"/><Relationship Id="rId599" Type="http://schemas.openxmlformats.org/officeDocument/2006/relationships/hyperlink" Target="https://dailymed.nlm.nih.gov/dailymed/search.cfm?labeltype=all&amp;query=sugammadex" TargetMode="External"/><Relationship Id="rId600" Type="http://schemas.openxmlformats.org/officeDocument/2006/relationships/hyperlink" Target="https://www.ema.europa.eu/en/documents/other/article-57-product-data_en.xlsx" TargetMode="External"/><Relationship Id="rId601" Type="http://schemas.openxmlformats.org/officeDocument/2006/relationships/hyperlink" Target="https://dailymed.nlm.nih.gov/dailymed/search.cfm?labeltype=all&amp;query=sugammadex" TargetMode="External"/><Relationship Id="rId602" Type="http://schemas.openxmlformats.org/officeDocument/2006/relationships/hyperlink" Target="https://www.ema.europa.eu/en/documents/other/article-57-product-data_en.xlsx" TargetMode="External"/><Relationship Id="rId603" Type="http://schemas.openxmlformats.org/officeDocument/2006/relationships/hyperlink" Target="https://dailymed.nlm.nih.gov/dailymed/search.cfm?labeltype=all&amp;query=sugammadex" TargetMode="External"/><Relationship Id="rId604" Type="http://schemas.openxmlformats.org/officeDocument/2006/relationships/hyperlink" Target="https://medicineprices.org.za/" TargetMode="External"/><Relationship Id="rId605" Type="http://schemas.openxmlformats.org/officeDocument/2006/relationships/hyperlink" Target="https://mhraproducts4853.blob.core.windows.net/docs/45a310f5c66d09f20d9d1eb3a5d48c17c486ac7b" TargetMode="External"/><Relationship Id="rId606" Type="http://schemas.openxmlformats.org/officeDocument/2006/relationships/hyperlink" Target="https://mhraproducts4853.blob.core.windows.net/docs/cdd932519ea5620f679cbc05a39d576016396f04" TargetMode="External"/><Relationship Id="rId607" Type="http://schemas.openxmlformats.org/officeDocument/2006/relationships/hyperlink" Target="https://mhraproducts4853.blob.core.windows.net/docs/45a310f5c66d09f20d9d1eb3a5d48c17c486ac7b" TargetMode="External"/><Relationship Id="rId608" Type="http://schemas.openxmlformats.org/officeDocument/2006/relationships/hyperlink" Target="https://www.ema.europa.eu/en/documents/other/article-57-product-data_en.xlsx" TargetMode="External"/><Relationship Id="rId609" Type="http://schemas.openxmlformats.org/officeDocument/2006/relationships/hyperlink" Target="https://dailymed.nlm.nih.gov/dailymed/search.cfm?labeltype=all&amp;query=verapamil+hydrochloride+injection" TargetMode="External"/><Relationship Id="rId610" Type="http://schemas.openxmlformats.org/officeDocument/2006/relationships/hyperlink" Target="https://dailymed.nlm.nih.gov/dailymed/search.cfm?labeltype=all&amp;query=Verapamil+Hydrochloride" TargetMode="External"/><Relationship Id="rId611" Type="http://schemas.openxmlformats.org/officeDocument/2006/relationships/hyperlink" Target="https://dailymed.nlm.nih.gov/dailymed/search.cfm?labeltype=all&amp;query=amiodarone" TargetMode="External"/><Relationship Id="rId612" Type="http://schemas.openxmlformats.org/officeDocument/2006/relationships/hyperlink" Target="https://www.ema.europa.eu/en/documents/other/article-57-product-data_en.xlsx" TargetMode="External"/><Relationship Id="rId613" Type="http://schemas.openxmlformats.org/officeDocument/2006/relationships/hyperlink" Target="https://dailymed.nlm.nih.gov/dailymed/search.cfm?labeltype=all&amp;query=amiodarone" TargetMode="External"/><Relationship Id="rId614" Type="http://schemas.openxmlformats.org/officeDocument/2006/relationships/hyperlink" Target="https://pi-pil-repository.sahpra.org.za/wp-content/uploads/2023/08/Final_PI_Amiodarone_Applicant.pdf" TargetMode="External"/><Relationship Id="rId615" Type="http://schemas.openxmlformats.org/officeDocument/2006/relationships/hyperlink" Target="https://mhraproducts4853.blob.core.windows.net/docs/dd5428de28a35789b58d7a7229157959b1e135fb" TargetMode="External"/><Relationship Id="rId616" Type="http://schemas.openxmlformats.org/officeDocument/2006/relationships/hyperlink" Target="https://www.ema.europa.eu/en/documents/other/article-57-product-data_en.xlsx" TargetMode="External"/><Relationship Id="rId617" Type="http://schemas.openxmlformats.org/officeDocument/2006/relationships/hyperlink" Target="https://mhraproducts4853.blob.core.windows.net/docs/dd5428de28a35789b58d7a7229157959b1e135fb" TargetMode="External"/><Relationship Id="rId618" Type="http://schemas.openxmlformats.org/officeDocument/2006/relationships/hyperlink" Target="https://www.ema.europa.eu/en/documents/other/article-57-product-data_en.xlsx" TargetMode="External"/><Relationship Id="rId619" Type="http://schemas.openxmlformats.org/officeDocument/2006/relationships/hyperlink" Target="https://dailymed.nlm.nih.gov/dailymed/search.cfm?labeltype=all&amp;query=argatroban" TargetMode="External"/><Relationship Id="rId620" Type="http://schemas.openxmlformats.org/officeDocument/2006/relationships/hyperlink" Target="https://dailymed.nlm.nih.gov/dailymed/drugInfo.cfm?setid=46cdf9e6-839c-49c8-9ee1-c30cfdd9368d" TargetMode="External"/><Relationship Id="rId621" Type="http://schemas.openxmlformats.org/officeDocument/2006/relationships/hyperlink" Target="https://dailymed.nlm.nih.gov/dailymed/search.cfm?labeltype=all&amp;query=argatroban" TargetMode="External"/><Relationship Id="rId622" Type="http://schemas.openxmlformats.org/officeDocument/2006/relationships/hyperlink" Target="https://www.ema.europa.eu/en/documents/other/article-57-product-data_en.xlsx" TargetMode="External"/><Relationship Id="rId623" Type="http://schemas.openxmlformats.org/officeDocument/2006/relationships/hyperlink" Target="https://dailymed.nlm.nih.gov/dailymed/search.cfm?labeltype=all&amp;query=argatroban" TargetMode="External"/><Relationship Id="rId624" Type="http://schemas.openxmlformats.org/officeDocument/2006/relationships/hyperlink" Target="https://base-donnees-publique.medicaments.gouv.fr/index.php?page=1&amp;choixRecherche=medicament&amp;txtCaracteres=Argatroban%20Accord&amp;action=show" TargetMode="External"/><Relationship Id="rId625" Type="http://schemas.openxmlformats.org/officeDocument/2006/relationships/hyperlink" Target="https://www.ema.europa.eu/en/documents/other/article-57-product-data_en.xlsx" TargetMode="External"/><Relationship Id="rId626" Type="http://schemas.openxmlformats.org/officeDocument/2006/relationships/hyperlink" Target="https://mhraproducts4853.blob.core.windows.net/docs/924d70784a8c922753ed49a78a38c605f536521c" TargetMode="External"/><Relationship Id="rId627" Type="http://schemas.openxmlformats.org/officeDocument/2006/relationships/hyperlink" Target="https://www.ema.europa.eu/en/documents/other/article-57-product-data_en.xlsx" TargetMode="External"/><Relationship Id="rId628" Type="http://schemas.openxmlformats.org/officeDocument/2006/relationships/hyperlink" Target="https://dailymed.nlm.nih.gov/dailymed/search.cfm?labeltype=all&amp;query=atropine" TargetMode="External"/><Relationship Id="rId629" Type="http://schemas.openxmlformats.org/officeDocument/2006/relationships/hyperlink" Target="https://dailymed.nlm.nih.gov/dailymed/drugInfo.cfm?setid=c82cb295-ffce-47d6-97ad-a8aa723f4e4f" TargetMode="External"/><Relationship Id="rId630" Type="http://schemas.openxmlformats.org/officeDocument/2006/relationships/hyperlink" Target="https://dailymed.nlm.nih.gov/dailymed/search.cfm?labeltype=all&amp;query=atropine" TargetMode="External"/><Relationship Id="rId631" Type="http://schemas.openxmlformats.org/officeDocument/2006/relationships/hyperlink" Target="https://mhraproducts4853.blob.core.windows.net/docs/83f16d64af85ebcff9e5a6717926b9a997285ef9" TargetMode="External"/><Relationship Id="rId632" Type="http://schemas.openxmlformats.org/officeDocument/2006/relationships/hyperlink" Target="https://dailymed.nlm.nih.gov/dailymed/search.cfm?labeltype=all&amp;query=atropine" TargetMode="External"/><Relationship Id="rId633" Type="http://schemas.openxmlformats.org/officeDocument/2006/relationships/hyperlink" Target="https://www.ema.europa.eu/en/documents/other/article-57-product-data_en.xlsx" TargetMode="External"/><Relationship Id="rId634" Type="http://schemas.openxmlformats.org/officeDocument/2006/relationships/hyperlink" Target="https://dailymed.nlm.nih.gov/dailymed/search.cfm?labeltype=all&amp;query=atropine" TargetMode="External"/><Relationship Id="rId635" Type="http://schemas.openxmlformats.org/officeDocument/2006/relationships/hyperlink" Target="https://base-donnees-publique.medicaments.gouv.fr/index.php?page=1&amp;choixRecherche=medicament&amp;txtCaracteres=Atropine%20Sulfate&amp;action=show" TargetMode="External"/><Relationship Id="rId636" Type="http://schemas.openxmlformats.org/officeDocument/2006/relationships/hyperlink" Target="https://www.ema.europa.eu/en/documents/other/article-57-product-data_en.xlsx" TargetMode="External"/><Relationship Id="rId637" Type="http://schemas.openxmlformats.org/officeDocument/2006/relationships/hyperlink" Target="https://dailymed.nlm.nih.gov/dailymed/search.cfm?labeltype=all&amp;query=azacitidine" TargetMode="External"/><Relationship Id="rId638" Type="http://schemas.openxmlformats.org/officeDocument/2006/relationships/hyperlink" Target="https://mhraproducts4853.blob.core.windows.net/docs/a2a772c860b9386451c6a3574cfdaf10ef66ccc2" TargetMode="External"/><Relationship Id="rId639" Type="http://schemas.openxmlformats.org/officeDocument/2006/relationships/hyperlink" Target="https://dailymed.nlm.nih.gov/dailymed/search.cfm?labeltype=all&amp;query=azacitidine" TargetMode="External"/><Relationship Id="rId640" Type="http://schemas.openxmlformats.org/officeDocument/2006/relationships/hyperlink" Target="https://www.ema.europa.eu/en/medicines/human/EPAR/azacitidine-accord" TargetMode="External"/><Relationship Id="rId641" Type="http://schemas.openxmlformats.org/officeDocument/2006/relationships/hyperlink" Target="https://www.ema.europa.eu/en/documents/other/article-57-product-data_en.xlsx" TargetMode="External"/><Relationship Id="rId642" Type="http://schemas.openxmlformats.org/officeDocument/2006/relationships/hyperlink" Target="https://dailymed.nlm.nih.gov/dailymed/search.cfm?labeltype=all&amp;query=azacitidine" TargetMode="External"/><Relationship Id="rId643" Type="http://schemas.openxmlformats.org/officeDocument/2006/relationships/hyperlink" Target="https://www.ebs.tga.gov.au/servlet/xmlmillr6?dbid=ebs/PublicHTML/pdfStore.nsf&amp;docid=265773&amp;agid=(PrintDetailsPublic)&amp;actionid=1" TargetMode="External"/><Relationship Id="rId644" Type="http://schemas.openxmlformats.org/officeDocument/2006/relationships/hyperlink" Target="https://dailymed.nlm.nih.gov/dailymed/search.cfm?labeltype=all&amp;query=bivalirudin" TargetMode="External"/><Relationship Id="rId645" Type="http://schemas.openxmlformats.org/officeDocument/2006/relationships/hyperlink" Target="https://dailymed.nlm.nih.gov/dailymed/drugInfo.cfm?setid=c20969cb-72d4-469b-9bd8-332250d896c3" TargetMode="External"/><Relationship Id="rId646" Type="http://schemas.openxmlformats.org/officeDocument/2006/relationships/hyperlink" Target="https://dailymed.nlm.nih.gov/dailymed/search.cfm?labeltype=all&amp;query=bivalirudin" TargetMode="External"/><Relationship Id="rId647" Type="http://schemas.openxmlformats.org/officeDocument/2006/relationships/hyperlink" Target="https://mhraproducts4853.blob.core.windows.net/docs/30f752c59283a6203a2ee801fcc269de3749bd69" TargetMode="External"/><Relationship Id="rId648" Type="http://schemas.openxmlformats.org/officeDocument/2006/relationships/hyperlink" Target="https://dailymed.nlm.nih.gov/dailymed/search.cfm?labeltype=all&amp;query=bivalirudin" TargetMode="External"/><Relationship Id="rId649" Type="http://schemas.openxmlformats.org/officeDocument/2006/relationships/hyperlink" Target="https://www.ema.europa.eu/en/documents/other/article-57-product-data_en.xlsx" TargetMode="External"/><Relationship Id="rId650" Type="http://schemas.openxmlformats.org/officeDocument/2006/relationships/hyperlink" Target="https://dailymed.nlm.nih.gov/dailymed/search.cfm?labeltype=all&amp;query=bivalirudin" TargetMode="External"/><Relationship Id="rId651" Type="http://schemas.openxmlformats.org/officeDocument/2006/relationships/hyperlink" Target="https://base-donnees-publique.medicaments.gouv.fr/index.php?page=1&amp;choixRecherche=medicament&amp;txtCaracteres=Bivalirudine%20Accord&amp;action=show" TargetMode="External"/><Relationship Id="rId652" Type="http://schemas.openxmlformats.org/officeDocument/2006/relationships/hyperlink" Target="https://www.ema.europa.eu/en/documents/other/article-57-product-data_en.xlsx" TargetMode="External"/><Relationship Id="rId653" Type="http://schemas.openxmlformats.org/officeDocument/2006/relationships/hyperlink" Target="https://dailymed.nlm.nih.gov/dailymed/search.cfm?labeltype=all&amp;query=bleomycin" TargetMode="External"/><Relationship Id="rId654" Type="http://schemas.openxmlformats.org/officeDocument/2006/relationships/hyperlink" Target="https://dmd-browser.nhsbsa.nhs.uk/ampp/view/197277" TargetMode="External"/><Relationship Id="rId655" Type="http://schemas.openxmlformats.org/officeDocument/2006/relationships/hyperlink" Target="https://dailymed.nlm.nih.gov/dailymed/search.cfm?labeltype=all&amp;query=bleomycin" TargetMode="External"/><Relationship Id="rId656" Type="http://schemas.openxmlformats.org/officeDocument/2006/relationships/hyperlink" Target="https://www.ema.europa.eu/en/documents/other/article-57-product-data_en.xlsx" TargetMode="External"/><Relationship Id="rId657" Type="http://schemas.openxmlformats.org/officeDocument/2006/relationships/hyperlink" Target="https://dailymed.nlm.nih.gov/dailymed/search.cfm?labeltype=all&amp;query=bleomycin" TargetMode="External"/><Relationship Id="rId658" Type="http://schemas.openxmlformats.org/officeDocument/2006/relationships/hyperlink" Target="https://base-donnees-publique.medicaments.gouv.fr/index.php?page=1&amp;choixRecherche=medicament&amp;txtCaracteres=Bleomycine%20Accord&amp;action=show" TargetMode="External"/><Relationship Id="rId659" Type="http://schemas.openxmlformats.org/officeDocument/2006/relationships/hyperlink" Target="https://www.ema.europa.eu/en/documents/other/article-57-product-data_en.xlsx" TargetMode="External"/><Relationship Id="rId660" Type="http://schemas.openxmlformats.org/officeDocument/2006/relationships/hyperlink" Target="https://dailymed.nlm.nih.gov/dailymed/search.cfm?labeltype=all&amp;query=bleomycin" TargetMode="External"/><Relationship Id="rId661" Type="http://schemas.openxmlformats.org/officeDocument/2006/relationships/hyperlink" Target="https://www.tga.gov.au/resources/artg/455447" TargetMode="External"/><Relationship Id="rId662" Type="http://schemas.openxmlformats.org/officeDocument/2006/relationships/hyperlink" Target="https://dailymed.nlm.nih.gov/dailymed/search.cfm?labeltype=all&amp;query=bortezomib" TargetMode="External"/><Relationship Id="rId663" Type="http://schemas.openxmlformats.org/officeDocument/2006/relationships/hyperlink" Target="https://mhraproducts4853.blob.core.windows.net/docs/12980f46e6a82ae30e1d8b52c7aa037faf108ac2" TargetMode="External"/><Relationship Id="rId664" Type="http://schemas.openxmlformats.org/officeDocument/2006/relationships/hyperlink" Target="https://dailymed.nlm.nih.gov/dailymed/search.cfm?labeltype=all&amp;query=bortezomib" TargetMode="External"/><Relationship Id="rId665" Type="http://schemas.openxmlformats.org/officeDocument/2006/relationships/hyperlink" Target="https://www.ema.europa.eu/en/medicines/human/EPAR/bortezomib-accord" TargetMode="External"/><Relationship Id="rId666" Type="http://schemas.openxmlformats.org/officeDocument/2006/relationships/hyperlink" Target="https://www.ema.europa.eu/en/documents/other/article-57-product-data_en.xlsx" TargetMode="External"/><Relationship Id="rId667" Type="http://schemas.openxmlformats.org/officeDocument/2006/relationships/hyperlink" Target="https://dailymed.nlm.nih.gov/dailymed/search.cfm?labeltype=all&amp;query=bortezomib" TargetMode="External"/><Relationship Id="rId668" Type="http://schemas.openxmlformats.org/officeDocument/2006/relationships/hyperlink" Target="https://www.ema.europa.eu/en/medicines/human/EPAR/bortezomib-accord" TargetMode="External"/><Relationship Id="rId669" Type="http://schemas.openxmlformats.org/officeDocument/2006/relationships/hyperlink" Target="https://www.ema.europa.eu/en/documents/other/article-57-product-data_en.xlsx" TargetMode="External"/><Relationship Id="rId670" Type="http://schemas.openxmlformats.org/officeDocument/2006/relationships/hyperlink" Target="https://dailymed.nlm.nih.gov/dailymed/search.cfm?labeltype=all&amp;query=bortezomib" TargetMode="External"/><Relationship Id="rId671" Type="http://schemas.openxmlformats.org/officeDocument/2006/relationships/hyperlink" Target="https://www.ebs.tga.gov.au/ebs/picmi/picmirepository.nsf/pdf?OpenAgent&amp;id=CP-2021-PI-01166-1" TargetMode="External"/><Relationship Id="rId672" Type="http://schemas.openxmlformats.org/officeDocument/2006/relationships/hyperlink" Target="https://dailymed.nlm.nih.gov/dailymed/search.cfm?labeltype=all&amp;query=bortezomib" TargetMode="External"/><Relationship Id="rId673" Type="http://schemas.openxmlformats.org/officeDocument/2006/relationships/hyperlink" Target="https://medicineprices.org.za/" TargetMode="External"/><Relationship Id="rId674" Type="http://schemas.openxmlformats.org/officeDocument/2006/relationships/hyperlink" Target="https://dailymed.nlm.nih.gov/dailymed/search.cfm?labeltype=all&amp;query=cefepime" TargetMode="External"/><Relationship Id="rId675" Type="http://schemas.openxmlformats.org/officeDocument/2006/relationships/hyperlink" Target="https://base-donnees-publique.medicaments.gouv.fr/index.php?page=1&amp;choixRecherche=medicament&amp;txtCaracteres=Cefepime%20Accord&amp;action=show" TargetMode="External"/><Relationship Id="rId676" Type="http://schemas.openxmlformats.org/officeDocument/2006/relationships/hyperlink" Target="https://www.ema.europa.eu/en/documents/other/article-57-product-data_en.xlsx" TargetMode="External"/><Relationship Id="rId677" Type="http://schemas.openxmlformats.org/officeDocument/2006/relationships/hyperlink" Target="https://dailymed.nlm.nih.gov/dailymed/search.cfm?labeltype=all&amp;query=ceftriaxone" TargetMode="External"/><Relationship Id="rId678" Type="http://schemas.openxmlformats.org/officeDocument/2006/relationships/hyperlink" Target="https://www.ema.europa.eu/en/documents/other/article-57-product-data_en.xlsx" TargetMode="External"/><Relationship Id="rId679" Type="http://schemas.openxmlformats.org/officeDocument/2006/relationships/hyperlink" Target="https://dailymed.nlm.nih.gov/dailymed/search.cfm?labeltype=all&amp;query=cisatracurium" TargetMode="External"/><Relationship Id="rId680" Type="http://schemas.openxmlformats.org/officeDocument/2006/relationships/hyperlink" Target="https://dmd-browser.nhsbsa.nhs.uk/ampp/view/161747" TargetMode="External"/><Relationship Id="rId681" Type="http://schemas.openxmlformats.org/officeDocument/2006/relationships/hyperlink" Target="https://dailymed.nlm.nih.gov/dailymed/search.cfm?labeltype=all&amp;query=cisatracurium" TargetMode="External"/><Relationship Id="rId682" Type="http://schemas.openxmlformats.org/officeDocument/2006/relationships/hyperlink" Target="https://www.ema.europa.eu/en/documents/other/article-57-product-data_en.xlsx" TargetMode="External"/><Relationship Id="rId683" Type="http://schemas.openxmlformats.org/officeDocument/2006/relationships/hyperlink" Target="https://dailymed.nlm.nih.gov/dailymed/search.cfm?labeltype=all&amp;query=cisatracurium" TargetMode="External"/><Relationship Id="rId684" Type="http://schemas.openxmlformats.org/officeDocument/2006/relationships/hyperlink" Target="https://base-donnees-publique.medicaments.gouv.fr/index.php?page=1&amp;choixRecherche=medicament&amp;txtCaracteres=Cisatracurium%20Accord&amp;action=show" TargetMode="External"/><Relationship Id="rId685" Type="http://schemas.openxmlformats.org/officeDocument/2006/relationships/hyperlink" Target="https://www.ema.europa.eu/en/documents/other/article-57-product-data_en.xlsx" TargetMode="External"/><Relationship Id="rId686" Type="http://schemas.openxmlformats.org/officeDocument/2006/relationships/hyperlink" Target="https://dailymed.nlm.nih.gov/dailymed/search.cfm?labeltype=all&amp;query=cisatracurium" TargetMode="External"/><Relationship Id="rId687" Type="http://schemas.openxmlformats.org/officeDocument/2006/relationships/hyperlink" Target="https://www.healthdirect.gov.au/medicines/brand/amt%2C747971000168108/cisatracurium-accord" TargetMode="External"/><Relationship Id="rId688" Type="http://schemas.openxmlformats.org/officeDocument/2006/relationships/hyperlink" Target="https://dailymed.nlm.nih.gov/dailymed/search.cfm?labeltype=all&amp;query=colistimethate" TargetMode="External"/><Relationship Id="rId689" Type="http://schemas.openxmlformats.org/officeDocument/2006/relationships/hyperlink" Target="https://mhraproducts4853.blob.core.windows.net/docs/8aa64ad76fd15cb2547c7efd93adab9ba205d731" TargetMode="External"/><Relationship Id="rId690" Type="http://schemas.openxmlformats.org/officeDocument/2006/relationships/hyperlink" Target="https://dailymed.nlm.nih.gov/dailymed/search.cfm?labeltype=all&amp;query=colistimethate" TargetMode="External"/><Relationship Id="rId691" Type="http://schemas.openxmlformats.org/officeDocument/2006/relationships/hyperlink" Target="https://www.ema.europa.eu/en/documents/other/article-57-product-data_en.xlsx" TargetMode="External"/><Relationship Id="rId692" Type="http://schemas.openxmlformats.org/officeDocument/2006/relationships/hyperlink" Target="https://dailymed.nlm.nih.gov/dailymed/search.cfm?labeltype=all&amp;query=colistimethate" TargetMode="External"/><Relationship Id="rId693" Type="http://schemas.openxmlformats.org/officeDocument/2006/relationships/hyperlink" Target="https://base-donnees-publique.medicaments.gouv.fr/index.php?page=1&amp;choixRecherche=medicament&amp;txtCaracteres=Colistimethate%20Sodique&amp;action=show" TargetMode="External"/><Relationship Id="rId694" Type="http://schemas.openxmlformats.org/officeDocument/2006/relationships/hyperlink" Target="https://www.ema.europa.eu/en/documents/other/article-57-product-data_en.xlsx" TargetMode="External"/><Relationship Id="rId695" Type="http://schemas.openxmlformats.org/officeDocument/2006/relationships/hyperlink" Target="https://dailymed.nlm.nih.gov/dailymed/search.cfm?labeltype=all&amp;query=cyclophosphamide" TargetMode="External"/><Relationship Id="rId696" Type="http://schemas.openxmlformats.org/officeDocument/2006/relationships/hyperlink" Target="https://mhraproducts4853.blob.core.windows.net/docs/d3c74c787031827e9a6482db982411c9ea5b4974" TargetMode="External"/><Relationship Id="rId697" Type="http://schemas.openxmlformats.org/officeDocument/2006/relationships/hyperlink" Target="https://dailymed.nlm.nih.gov/dailymed/search.cfm?labeltype=all&amp;query=cyclophosphamide" TargetMode="External"/><Relationship Id="rId698" Type="http://schemas.openxmlformats.org/officeDocument/2006/relationships/hyperlink" Target="https://www.ema.europa.eu/en/documents/other/article-57-product-data_en.xlsx" TargetMode="External"/><Relationship Id="rId699" Type="http://schemas.openxmlformats.org/officeDocument/2006/relationships/hyperlink" Target="https://dailymed.nlm.nih.gov/dailymed/search.cfm?labeltype=all&amp;query=cyclophosphamide" TargetMode="External"/><Relationship Id="rId700" Type="http://schemas.openxmlformats.org/officeDocument/2006/relationships/hyperlink" Target="https://www.ema.europa.eu/en/documents/other/article-57-product-data_en.xlsx" TargetMode="External"/><Relationship Id="rId701" Type="http://schemas.openxmlformats.org/officeDocument/2006/relationships/hyperlink" Target="https://dailymed.nlm.nih.gov/dailymed/search.cfm?labeltype=all&amp;query=cyclophosphamide" TargetMode="External"/><Relationship Id="rId702" Type="http://schemas.openxmlformats.org/officeDocument/2006/relationships/hyperlink" Target="https://www.ebs.tga.gov.au/servlet/xmlmillr6?dbid=ebs/PublicHTML/pdfStore.nsf&amp;docid=361544&amp;agid=(PrintDetailsPublic)&amp;actionid=1" TargetMode="External"/><Relationship Id="rId703" Type="http://schemas.openxmlformats.org/officeDocument/2006/relationships/hyperlink" Target="https://dailymed.nlm.nih.gov/dailymed/search.cfm?labeltype=all&amp;query=cytarabine" TargetMode="External"/><Relationship Id="rId704" Type="http://schemas.openxmlformats.org/officeDocument/2006/relationships/hyperlink" Target="https://dmd-browser.nhsbsa.nhs.uk/ampp/view/183004/" TargetMode="External"/><Relationship Id="rId705" Type="http://schemas.openxmlformats.org/officeDocument/2006/relationships/hyperlink" Target="https://dailymed.nlm.nih.gov/dailymed/search.cfm?labeltype=all&amp;query=cytarabine" TargetMode="External"/><Relationship Id="rId706" Type="http://schemas.openxmlformats.org/officeDocument/2006/relationships/hyperlink" Target="https://www.ema.europa.eu/en/documents/other/article-57-product-data_en.xlsx" TargetMode="External"/><Relationship Id="rId707" Type="http://schemas.openxmlformats.org/officeDocument/2006/relationships/hyperlink" Target="https://dailymed.nlm.nih.gov/dailymed/search.cfm?labeltype=all&amp;query=cytarabine" TargetMode="External"/><Relationship Id="rId708" Type="http://schemas.openxmlformats.org/officeDocument/2006/relationships/hyperlink" Target="https://base-donnees-publique.medicaments.gouv.fr/index.php?page=1&amp;choixRecherche=medicament&amp;txtCaracteres=Cytarabine%20Accord&amp;action=show" TargetMode="External"/><Relationship Id="rId709" Type="http://schemas.openxmlformats.org/officeDocument/2006/relationships/hyperlink" Target="https://www.ema.europa.eu/en/documents/other/article-57-product-data_en.xlsx" TargetMode="External"/><Relationship Id="rId710" Type="http://schemas.openxmlformats.org/officeDocument/2006/relationships/hyperlink" Target="https://dailymed.nlm.nih.gov/dailymed/search.cfm?labeltype=all&amp;query=cytarabine" TargetMode="External"/><Relationship Id="rId711" Type="http://schemas.openxmlformats.org/officeDocument/2006/relationships/hyperlink" Target="https://www.ebs.tga.gov.au/ebs/picmi/picmirepository.nsf/pdf?OpenAgent&amp;id=CP-2019-PI-01435-1" TargetMode="External"/><Relationship Id="rId712" Type="http://schemas.openxmlformats.org/officeDocument/2006/relationships/hyperlink" Target="https://dailymed.nlm.nih.gov/dailymed/search.cfm?labeltype=all&amp;query=daptomycin" TargetMode="External"/><Relationship Id="rId713" Type="http://schemas.openxmlformats.org/officeDocument/2006/relationships/hyperlink" Target="https://mhraproducts4853.blob.core.windows.net/docs/0183f536246db149ed7afbe39d17c1895384ae38" TargetMode="External"/><Relationship Id="rId714" Type="http://schemas.openxmlformats.org/officeDocument/2006/relationships/hyperlink" Target="https://dailymed.nlm.nih.gov/dailymed/search.cfm?labeltype=all&amp;query=daptomycin" TargetMode="External"/><Relationship Id="rId715" Type="http://schemas.openxmlformats.org/officeDocument/2006/relationships/hyperlink" Target="https://www.ema.europa.eu/en/documents/other/article-57-product-data_en.xlsx" TargetMode="External"/><Relationship Id="rId716" Type="http://schemas.openxmlformats.org/officeDocument/2006/relationships/hyperlink" Target="https://dailymed.nlm.nih.gov/dailymed/search.cfm?labeltype=all&amp;query=daptomycin" TargetMode="External"/><Relationship Id="rId717" Type="http://schemas.openxmlformats.org/officeDocument/2006/relationships/hyperlink" Target="https://base-donnees-publique.medicaments.gouv.fr/index.php?page=1&amp;choixRecherche=medicament&amp;txtCaracteres=Daptomycine&amp;action=show" TargetMode="External"/><Relationship Id="rId718" Type="http://schemas.openxmlformats.org/officeDocument/2006/relationships/hyperlink" Target="https://www.ema.europa.eu/en/documents/other/article-57-product-data_en.xlsx" TargetMode="External"/><Relationship Id="rId719" Type="http://schemas.openxmlformats.org/officeDocument/2006/relationships/hyperlink" Target="https://dailymed.nlm.nih.gov/dailymed/search.cfm?labeltype=all&amp;query=daptomycin" TargetMode="External"/><Relationship Id="rId720" Type="http://schemas.openxmlformats.org/officeDocument/2006/relationships/hyperlink" Target="https://www.ebs.tga.gov.au/servlet/xmlmillr6?dbid=ebs/PublicHTML/pdfStore.nsf&amp;docid=315391&amp;agid=(PrintDetailsPublic)&amp;actionid=1" TargetMode="External"/><Relationship Id="rId721" Type="http://schemas.openxmlformats.org/officeDocument/2006/relationships/hyperlink" Target="https://dailymed.nlm.nih.gov/dailymed/search.cfm?labeltype=all&amp;query=daptomycin" TargetMode="External"/><Relationship Id="rId722" Type="http://schemas.openxmlformats.org/officeDocument/2006/relationships/hyperlink" Target="https://pi-pil-repository.sahpra.org.za/wp-content/uploads/2023/04/Final_PIL_Dabucor_Applicant.pdf" TargetMode="External"/><Relationship Id="rId723" Type="http://schemas.openxmlformats.org/officeDocument/2006/relationships/hyperlink" Target="https://dailymed.nlm.nih.gov/dailymed/search.cfm?labeltype=all&amp;query=degarelix" TargetMode="External"/><Relationship Id="rId724" Type="http://schemas.openxmlformats.org/officeDocument/2006/relationships/hyperlink" Target="https://mhraproducts4853.blob.core.windows.net/docs/7a814678d4b4e608757e54abcf1f8525475a6699" TargetMode="External"/><Relationship Id="rId725" Type="http://schemas.openxmlformats.org/officeDocument/2006/relationships/hyperlink" Target="https://dailymed.nlm.nih.gov/dailymed/search.cfm?labeltype=all&amp;query=degarelix" TargetMode="External"/><Relationship Id="rId726" Type="http://schemas.openxmlformats.org/officeDocument/2006/relationships/hyperlink" Target="https://www.ema.europa.eu/en/medicines/human/EPAR/degarelix-accord" TargetMode="External"/><Relationship Id="rId727" Type="http://schemas.openxmlformats.org/officeDocument/2006/relationships/hyperlink" Target="https://www.ema.europa.eu/en/documents/other/article-57-product-data_en.xlsx" TargetMode="External"/><Relationship Id="rId728" Type="http://schemas.openxmlformats.org/officeDocument/2006/relationships/hyperlink" Target="https://dailymed.nlm.nih.gov/dailymed/search.cfm?labeltype=all&amp;query=denosumab" TargetMode="External"/><Relationship Id="rId729" Type="http://schemas.openxmlformats.org/officeDocument/2006/relationships/hyperlink" Target="https://dmd-browser.nhsbsa.nhs.uk/ampp/view/212227" TargetMode="External"/><Relationship Id="rId730" Type="http://schemas.openxmlformats.org/officeDocument/2006/relationships/hyperlink" Target="https://dailymed.nlm.nih.gov/dailymed/search.cfm?labeltype=all&amp;query=denosumab" TargetMode="External"/><Relationship Id="rId731" Type="http://schemas.openxmlformats.org/officeDocument/2006/relationships/hyperlink" Target="https://www.ema.europa.eu/en/medicines/human/EPAR/jubereq" TargetMode="External"/><Relationship Id="rId732" Type="http://schemas.openxmlformats.org/officeDocument/2006/relationships/hyperlink" Target="https://www.ema.europa.eu/en/documents/other/article-57-product-data_en.xlsx" TargetMode="External"/><Relationship Id="rId733" Type="http://schemas.openxmlformats.org/officeDocument/2006/relationships/hyperlink" Target="https://dailymed.nlm.nih.gov/dailymed/search.cfm?labeltype=all&amp;query=denosumab" TargetMode="External"/><Relationship Id="rId734" Type="http://schemas.openxmlformats.org/officeDocument/2006/relationships/hyperlink" Target="https://www.tga.gov.au/resources/artg/450305" TargetMode="External"/><Relationship Id="rId735" Type="http://schemas.openxmlformats.org/officeDocument/2006/relationships/hyperlink" Target="https://dailymed.nlm.nih.gov/dailymed/search.cfm?labeltype=all&amp;query=doxorubicin" TargetMode="External"/><Relationship Id="rId736" Type="http://schemas.openxmlformats.org/officeDocument/2006/relationships/hyperlink" Target="https://www.ema.europa.eu/en/medicines/human/EPAR/zolsketil-pegylated-liposomal" TargetMode="External"/><Relationship Id="rId737" Type="http://schemas.openxmlformats.org/officeDocument/2006/relationships/hyperlink" Target="https://www.ema.europa.eu/en/documents/other/article-57-product-data_en.xlsx" TargetMode="External"/><Relationship Id="rId738" Type="http://schemas.openxmlformats.org/officeDocument/2006/relationships/hyperlink" Target="https://dailymed.nlm.nih.gov/dailymed/search.cfm?labeltype=all&amp;query=doxorubicin" TargetMode="External"/><Relationship Id="rId739" Type="http://schemas.openxmlformats.org/officeDocument/2006/relationships/hyperlink" Target="https://health-products.canada.ca/dpd-bdpp/info?code=86785&amp;lang=eng" TargetMode="External"/><Relationship Id="rId740" Type="http://schemas.openxmlformats.org/officeDocument/2006/relationships/hyperlink" Target="https://dailymed.nlm.nih.gov/dailymed/search.cfm?labeltype=all&amp;query=doxorubicin" TargetMode="External"/><Relationship Id="rId741" Type="http://schemas.openxmlformats.org/officeDocument/2006/relationships/hyperlink" Target="https://www.ema.europa.eu/en/medicines/human/EPAR/zolsketil-pegylated-liposomal" TargetMode="External"/><Relationship Id="rId742" Type="http://schemas.openxmlformats.org/officeDocument/2006/relationships/hyperlink" Target="https://www.ema.europa.eu/en/documents/other/article-57-product-data_en.xlsx" TargetMode="External"/><Relationship Id="rId743" Type="http://schemas.openxmlformats.org/officeDocument/2006/relationships/hyperlink" Target="https://dailymed.nlm.nih.gov/dailymed/search.cfm?labeltype=all&amp;query=doxorubicin" TargetMode="External"/><Relationship Id="rId744" Type="http://schemas.openxmlformats.org/officeDocument/2006/relationships/hyperlink" Target="https://www.tga.gov.au/resources/artg/174248" TargetMode="External"/><Relationship Id="rId745" Type="http://schemas.openxmlformats.org/officeDocument/2006/relationships/hyperlink" Target="https://dailymed.nlm.nih.gov/dailymed/search.cfm?labeltype=all&amp;query=doxorubicin" TargetMode="External"/><Relationship Id="rId746" Type="http://schemas.openxmlformats.org/officeDocument/2006/relationships/hyperlink" Target="https://www.sahpra.org.za/wp-content/uploads/2020/02/Rubexet_PI_Accord_MCC-format-02-October-2014.pdf" TargetMode="External"/><Relationship Id="rId747" Type="http://schemas.openxmlformats.org/officeDocument/2006/relationships/hyperlink" Target="https://dailymed.nlm.nih.gov/dailymed/search.cfm?labeltype=all&amp;query=epinephrine+injection" TargetMode="External"/><Relationship Id="rId748" Type="http://schemas.openxmlformats.org/officeDocument/2006/relationships/hyperlink" Target="https://base-donnees-publique.medicaments.gouv.fr/index.php?page=1&amp;choixRecherche=medicament&amp;txtCaracteres=Adrenaline%20Accord&amp;action=show" TargetMode="External"/><Relationship Id="rId749" Type="http://schemas.openxmlformats.org/officeDocument/2006/relationships/hyperlink" Target="https://www.ema.europa.eu/en/documents/other/article-57-product-data_en.xlsx" TargetMode="External"/><Relationship Id="rId750" Type="http://schemas.openxmlformats.org/officeDocument/2006/relationships/hyperlink" Target="https://dailymed.nlm.nih.gov/dailymed/search.cfm?labeltype=all&amp;query=epirubicin" TargetMode="External"/><Relationship Id="rId751" Type="http://schemas.openxmlformats.org/officeDocument/2006/relationships/hyperlink" Target="https://dmd-browser.nhsbsa.nhs.uk/ampp/view/90547" TargetMode="External"/><Relationship Id="rId752" Type="http://schemas.openxmlformats.org/officeDocument/2006/relationships/hyperlink" Target="https://dailymed.nlm.nih.gov/dailymed/search.cfm?labeltype=all&amp;query=epirubicin" TargetMode="External"/><Relationship Id="rId753" Type="http://schemas.openxmlformats.org/officeDocument/2006/relationships/hyperlink" Target="https://www.ema.europa.eu/en/documents/other/article-57-product-data_en.xlsx" TargetMode="External"/><Relationship Id="rId754" Type="http://schemas.openxmlformats.org/officeDocument/2006/relationships/hyperlink" Target="https://dailymed.nlm.nih.gov/dailymed/search.cfm?labeltype=all&amp;query=epirubicin" TargetMode="External"/><Relationship Id="rId755" Type="http://schemas.openxmlformats.org/officeDocument/2006/relationships/hyperlink" Target="https://base-donnees-publique.medicaments.gouv.fr/index.php?page=1&amp;choixRecherche=medicament&amp;txtCaracteres=Epirubicine%20Accord&amp;action=show" TargetMode="External"/><Relationship Id="rId756" Type="http://schemas.openxmlformats.org/officeDocument/2006/relationships/hyperlink" Target="https://www.ema.europa.eu/en/documents/other/article-57-product-data_en.xlsx" TargetMode="External"/><Relationship Id="rId757" Type="http://schemas.openxmlformats.org/officeDocument/2006/relationships/hyperlink" Target="https://dailymed.nlm.nih.gov/dailymed/search.cfm?labeltype=all&amp;query=epirubicin" TargetMode="External"/><Relationship Id="rId758" Type="http://schemas.openxmlformats.org/officeDocument/2006/relationships/hyperlink" Target="https://www.safetyandquality.gov.au/medicine-finder/epirubicin-accord-solution-for-injection" TargetMode="External"/><Relationship Id="rId759" Type="http://schemas.openxmlformats.org/officeDocument/2006/relationships/hyperlink" Target="https://dailymed.nlm.nih.gov/dailymed/search.cfm?labeltype=all&amp;query=epirubicin" TargetMode="External"/><Relationship Id="rId760" Type="http://schemas.openxmlformats.org/officeDocument/2006/relationships/hyperlink" Target="https://medicineprices.org.za/" TargetMode="External"/><Relationship Id="rId761" Type="http://schemas.openxmlformats.org/officeDocument/2006/relationships/hyperlink" Target="https://dailymed.nlm.nih.gov/dailymed/search.cfm?labeltype=all&amp;query=eptifibatide" TargetMode="External"/><Relationship Id="rId762" Type="http://schemas.openxmlformats.org/officeDocument/2006/relationships/hyperlink" Target="https://www.ema.europa.eu/en/medicines/human/EPAR/eptifibatide-accord" TargetMode="External"/><Relationship Id="rId763" Type="http://schemas.openxmlformats.org/officeDocument/2006/relationships/hyperlink" Target="https://www.ema.europa.eu/en/documents/other/article-57-product-data_en.xlsx" TargetMode="External"/><Relationship Id="rId764" Type="http://schemas.openxmlformats.org/officeDocument/2006/relationships/hyperlink" Target="https://dailymed.nlm.nih.gov/dailymed/search.cfm?labeltype=all&amp;query=eribulin" TargetMode="External"/><Relationship Id="rId765" Type="http://schemas.openxmlformats.org/officeDocument/2006/relationships/hyperlink" Target="https://www.ema.europa.eu/en/documents/other/article-57-product-data_en.xlsx" TargetMode="External"/><Relationship Id="rId766" Type="http://schemas.openxmlformats.org/officeDocument/2006/relationships/hyperlink" Target="https://dailymed.nlm.nih.gov/dailymed/search.cfm?labeltype=all&amp;query=esomeprazole+sodium" TargetMode="External"/><Relationship Id="rId767" Type="http://schemas.openxmlformats.org/officeDocument/2006/relationships/hyperlink" Target="https://dmd-browser.nhsbsa.nhs.uk/ampp/view/189948" TargetMode="External"/><Relationship Id="rId768" Type="http://schemas.openxmlformats.org/officeDocument/2006/relationships/hyperlink" Target="https://dailymed.nlm.nih.gov/dailymed/search.cfm?labeltype=all&amp;query=esomeprazole+sodium" TargetMode="External"/><Relationship Id="rId769" Type="http://schemas.openxmlformats.org/officeDocument/2006/relationships/hyperlink" Target="https://www.ema.europa.eu/en/documents/other/article-57-product-data_en.xlsx" TargetMode="External"/><Relationship Id="rId770" Type="http://schemas.openxmlformats.org/officeDocument/2006/relationships/hyperlink" Target="https://dailymed.nlm.nih.gov/dailymed/search.cfm?labeltype=all&amp;query=esomeprazole+sodium" TargetMode="External"/><Relationship Id="rId771" Type="http://schemas.openxmlformats.org/officeDocument/2006/relationships/hyperlink" Target="https://www.ema.europa.eu/en/documents/other/article-57-product-data_en.xlsx" TargetMode="External"/><Relationship Id="rId772" Type="http://schemas.openxmlformats.org/officeDocument/2006/relationships/hyperlink" Target="https://mhraproducts4853.blob.core.windows.net/docs/b81aa75bd80aa32a460d7fedc1706f40ed574da1" TargetMode="External"/><Relationship Id="rId773" Type="http://schemas.openxmlformats.org/officeDocument/2006/relationships/hyperlink" Target="https://www.ema.europa.eu/en/documents/other/article-57-product-data_en.xlsx" TargetMode="External"/><Relationship Id="rId774" Type="http://schemas.openxmlformats.org/officeDocument/2006/relationships/hyperlink" Target="https://dailymed.nlm.nih.gov/dailymed/search.cfm?labeltype=all&amp;query=fludarabine" TargetMode="External"/><Relationship Id="rId775" Type="http://schemas.openxmlformats.org/officeDocument/2006/relationships/hyperlink" Target="https://dmd-browser.nhsbsa.nhs.uk/ampp/view/105990" TargetMode="External"/><Relationship Id="rId776" Type="http://schemas.openxmlformats.org/officeDocument/2006/relationships/hyperlink" Target="https://dailymed.nlm.nih.gov/dailymed/search.cfm?labeltype=all&amp;query=fludarabine" TargetMode="External"/><Relationship Id="rId777" Type="http://schemas.openxmlformats.org/officeDocument/2006/relationships/hyperlink" Target="https://www.ema.europa.eu/en/documents/other/article-57-product-data_en.xlsx" TargetMode="External"/><Relationship Id="rId778" Type="http://schemas.openxmlformats.org/officeDocument/2006/relationships/hyperlink" Target="https://dailymed.nlm.nih.gov/dailymed/search.cfm?labeltype=all&amp;query=fludarabine" TargetMode="External"/><Relationship Id="rId779" Type="http://schemas.openxmlformats.org/officeDocument/2006/relationships/hyperlink" Target="https://base-donnees-publique.medicaments.gouv.fr/index.php?page=1&amp;choixRecherche=medicament&amp;txtCaracteres=Fludarabine%20Accord&amp;action=show" TargetMode="External"/><Relationship Id="rId780" Type="http://schemas.openxmlformats.org/officeDocument/2006/relationships/hyperlink" Target="https://www.ema.europa.eu/en/documents/other/article-57-product-data_en.xlsx" TargetMode="External"/><Relationship Id="rId781" Type="http://schemas.openxmlformats.org/officeDocument/2006/relationships/hyperlink" Target="https://dailymed.nlm.nih.gov/dailymed/search.cfm?labeltype=all&amp;query=fluorouracil+injection" TargetMode="External"/><Relationship Id="rId782" Type="http://schemas.openxmlformats.org/officeDocument/2006/relationships/hyperlink" Target="https://dmd-browser.nhsbsa.nhs.uk/ampp/view/90576" TargetMode="External"/><Relationship Id="rId783" Type="http://schemas.openxmlformats.org/officeDocument/2006/relationships/hyperlink" Target="https://dailymed.nlm.nih.gov/dailymed/search.cfm?labeltype=all&amp;query=fluorouracil+injection" TargetMode="External"/><Relationship Id="rId784" Type="http://schemas.openxmlformats.org/officeDocument/2006/relationships/hyperlink" Target="https://www.ema.europa.eu/en/documents/other/article-57-product-data_en.xlsx" TargetMode="External"/><Relationship Id="rId785" Type="http://schemas.openxmlformats.org/officeDocument/2006/relationships/hyperlink" Target="https://dailymed.nlm.nih.gov/dailymed/search.cfm?labeltype=all&amp;query=fluorouracil+injection" TargetMode="External"/><Relationship Id="rId786" Type="http://schemas.openxmlformats.org/officeDocument/2006/relationships/hyperlink" Target="https://health-products.canada.ca/dpd-bdpp/info?code=89810&amp;lang=eng" TargetMode="External"/><Relationship Id="rId787" Type="http://schemas.openxmlformats.org/officeDocument/2006/relationships/hyperlink" Target="https://dailymed.nlm.nih.gov/dailymed/search.cfm?labeltype=all&amp;query=fluorouracil+injection" TargetMode="External"/><Relationship Id="rId788" Type="http://schemas.openxmlformats.org/officeDocument/2006/relationships/hyperlink" Target="https://base-donnees-publique.medicaments.gouv.fr/index.php?page=1&amp;choixRecherche=medicament&amp;txtCaracteres=Fluorouracile%20Accord&amp;action=show" TargetMode="External"/><Relationship Id="rId789" Type="http://schemas.openxmlformats.org/officeDocument/2006/relationships/hyperlink" Target="https://www.ema.europa.eu/en/documents/other/article-57-product-data_en.xlsx" TargetMode="External"/><Relationship Id="rId790" Type="http://schemas.openxmlformats.org/officeDocument/2006/relationships/hyperlink" Target="https://dailymed.nlm.nih.gov/dailymed/search.cfm?labeltype=all&amp;query=fulvestrant" TargetMode="External"/><Relationship Id="rId791" Type="http://schemas.openxmlformats.org/officeDocument/2006/relationships/hyperlink" Target="https://dailymed.nlm.nih.gov/dailymed/drugInfo.cfm?setid=b471eb51-488e-5312-e053-2a95a90a8116" TargetMode="External"/><Relationship Id="rId792" Type="http://schemas.openxmlformats.org/officeDocument/2006/relationships/hyperlink" Target="https://dailymed.nlm.nih.gov/dailymed/search.cfm?labeltype=all&amp;query=fulvestrant" TargetMode="External"/><Relationship Id="rId793" Type="http://schemas.openxmlformats.org/officeDocument/2006/relationships/hyperlink" Target="https://mhraproducts4853.blob.core.windows.net/docs/b46086f37376e5481490ddb82a9d2e3645873236" TargetMode="External"/><Relationship Id="rId794" Type="http://schemas.openxmlformats.org/officeDocument/2006/relationships/hyperlink" Target="https://dailymed.nlm.nih.gov/dailymed/search.cfm?labeltype=all&amp;query=fulvestrant" TargetMode="External"/><Relationship Id="rId795" Type="http://schemas.openxmlformats.org/officeDocument/2006/relationships/hyperlink" Target="https://www.ema.europa.eu/en/documents/other/article-57-product-data_en.xlsx" TargetMode="External"/><Relationship Id="rId796" Type="http://schemas.openxmlformats.org/officeDocument/2006/relationships/hyperlink" Target="https://dailymed.nlm.nih.gov/dailymed/search.cfm?labeltype=all&amp;query=fulvestrant" TargetMode="External"/><Relationship Id="rId797" Type="http://schemas.openxmlformats.org/officeDocument/2006/relationships/hyperlink" Target="https://base-donnees-publique.medicaments.gouv.fr/index.php?page=1&amp;choixRecherche=medicament&amp;txtCaracteres=Fulvestrant%20Accord&amp;action=show" TargetMode="External"/><Relationship Id="rId798" Type="http://schemas.openxmlformats.org/officeDocument/2006/relationships/hyperlink" Target="https://www.ema.europa.eu/en/documents/other/article-57-product-data_en.xlsx" TargetMode="External"/><Relationship Id="rId799" Type="http://schemas.openxmlformats.org/officeDocument/2006/relationships/hyperlink" Target="https://dailymed.nlm.nih.gov/dailymed/search.cfm?labeltype=all&amp;query=fulvestrant" TargetMode="External"/><Relationship Id="rId800" Type="http://schemas.openxmlformats.org/officeDocument/2006/relationships/hyperlink" Target="https://www.ebs.tga.gov.au/ebs/picmi/picmirepository.nsf/pdf?OpenAgent&amp;id=CP-2021-PI-01020-1" TargetMode="External"/><Relationship Id="rId801" Type="http://schemas.openxmlformats.org/officeDocument/2006/relationships/hyperlink" Target="https://dailymed.nlm.nih.gov/dailymed/search.cfm?labeltype=all&amp;query=fulvestrant" TargetMode="External"/><Relationship Id="rId802" Type="http://schemas.openxmlformats.org/officeDocument/2006/relationships/hyperlink" Target="https://medicineprices.org.za/" TargetMode="External"/><Relationship Id="rId803" Type="http://schemas.openxmlformats.org/officeDocument/2006/relationships/hyperlink" Target="https://dailymed.nlm.nih.gov/dailymed/search.cfm?labeltype=all&amp;query=glycopyrrolate+injection" TargetMode="External"/><Relationship Id="rId804" Type="http://schemas.openxmlformats.org/officeDocument/2006/relationships/hyperlink" Target="https://www.ema.europa.eu/en/documents/other/article-57-product-data_en.xlsx" TargetMode="External"/><Relationship Id="rId805" Type="http://schemas.openxmlformats.org/officeDocument/2006/relationships/hyperlink" Target="https://dailymed.nlm.nih.gov/dailymed/search.cfm?labeltype=all&amp;query=glycopyrrolate+injection" TargetMode="External"/><Relationship Id="rId806" Type="http://schemas.openxmlformats.org/officeDocument/2006/relationships/hyperlink" Target="https://www.ema.europa.eu/en/documents/other/article-57-product-data_en.xlsx" TargetMode="External"/><Relationship Id="rId807" Type="http://schemas.openxmlformats.org/officeDocument/2006/relationships/hyperlink" Target="https://dailymed.nlm.nih.gov/dailymed/search.cfm?labeltype=all&amp;query=glycopyrrolate+injection" TargetMode="External"/><Relationship Id="rId808" Type="http://schemas.openxmlformats.org/officeDocument/2006/relationships/hyperlink" Target="https://www.ebs.tga.gov.au/ebs/picmi/picmirepository.nsf/pdf?OpenAgent&amp;id=CP-2016-PI-02612-1" TargetMode="External"/><Relationship Id="rId809" Type="http://schemas.openxmlformats.org/officeDocument/2006/relationships/hyperlink" Target="https://mhraproducts4853.blob.core.windows.net/docs/263d32f81753d60c17b4d841aa3115ebcf5eabd7" TargetMode="External"/><Relationship Id="rId810" Type="http://schemas.openxmlformats.org/officeDocument/2006/relationships/hyperlink" Target="https://www.ema.europa.eu/en/documents/other/article-57-product-data_en.xlsx" TargetMode="External"/><Relationship Id="rId811" Type="http://schemas.openxmlformats.org/officeDocument/2006/relationships/hyperlink" Target="https://dailymed.nlm.nih.gov/dailymed/search.cfm?labeltype=all&amp;query=ibandronate+injection" TargetMode="External"/><Relationship Id="rId812" Type="http://schemas.openxmlformats.org/officeDocument/2006/relationships/hyperlink" Target="https://dailymed.nlm.nih.gov/dailymed/fda/fdaDrugXsl.cfm?setid=2b84257d-d8b3-56fe-e054-00144ff88e88" TargetMode="External"/><Relationship Id="rId813" Type="http://schemas.openxmlformats.org/officeDocument/2006/relationships/hyperlink" Target="https://dailymed.nlm.nih.gov/dailymed/search.cfm?labeltype=all&amp;query=ibandronate+injection" TargetMode="External"/><Relationship Id="rId814" Type="http://schemas.openxmlformats.org/officeDocument/2006/relationships/hyperlink" Target="https://mhraproducts4853.blob.core.windows.net/docs/77d3cbbc5361b04cb13407c5649837410927261d" TargetMode="External"/><Relationship Id="rId815" Type="http://schemas.openxmlformats.org/officeDocument/2006/relationships/hyperlink" Target="https://dailymed.nlm.nih.gov/dailymed/search.cfm?labeltype=all&amp;query=ibandronate+injection" TargetMode="External"/><Relationship Id="rId816" Type="http://schemas.openxmlformats.org/officeDocument/2006/relationships/hyperlink" Target="https://www.ema.europa.eu/en/medicines/human/EPAR/ibandronic-acid-accord" TargetMode="External"/><Relationship Id="rId817" Type="http://schemas.openxmlformats.org/officeDocument/2006/relationships/hyperlink" Target="https://www.ema.europa.eu/en/documents/other/article-57-product-data_en.xlsx" TargetMode="External"/><Relationship Id="rId818" Type="http://schemas.openxmlformats.org/officeDocument/2006/relationships/hyperlink" Target="https://dailymed.nlm.nih.gov/dailymed/search.cfm?labeltype=all&amp;query=idarubicin" TargetMode="External"/><Relationship Id="rId819" Type="http://schemas.openxmlformats.org/officeDocument/2006/relationships/hyperlink" Target="https://www.ema.europa.eu/en/documents/other/article-57-product-data_en.xlsx" TargetMode="External"/><Relationship Id="rId820" Type="http://schemas.openxmlformats.org/officeDocument/2006/relationships/hyperlink" Target="https://dailymed.nlm.nih.gov/dailymed/search.cfm?labeltype=all&amp;query=idarubicin" TargetMode="External"/><Relationship Id="rId821" Type="http://schemas.openxmlformats.org/officeDocument/2006/relationships/hyperlink" Target="https://base-donnees-publique.medicaments.gouv.fr/index.php?page=1&amp;choixRecherche=medicament&amp;txtCaracteres=Idarubicine%20Accord&amp;action=show" TargetMode="External"/><Relationship Id="rId822" Type="http://schemas.openxmlformats.org/officeDocument/2006/relationships/hyperlink" Target="https://www.ema.europa.eu/en/documents/other/article-57-product-data_en.xlsx" TargetMode="External"/><Relationship Id="rId823" Type="http://schemas.openxmlformats.org/officeDocument/2006/relationships/hyperlink" Target="https://dailymed.nlm.nih.gov/dailymed/search.cfm?labeltype=all&amp;query=leuprolide" TargetMode="External"/><Relationship Id="rId824" Type="http://schemas.openxmlformats.org/officeDocument/2006/relationships/hyperlink" Target="https://mhraproducts4853.blob.core.windows.net/docs/9139290e853308d1ca62298463423a242ccfa099" TargetMode="External"/><Relationship Id="rId825" Type="http://schemas.openxmlformats.org/officeDocument/2006/relationships/hyperlink" Target="https://dailymed.nlm.nih.gov/dailymed/search.cfm?labeltype=all&amp;query=leuprolide" TargetMode="External"/><Relationship Id="rId826" Type="http://schemas.openxmlformats.org/officeDocument/2006/relationships/hyperlink" Target="https://www.ema.europa.eu/en/medicines/human/EPAR/camcevi" TargetMode="External"/><Relationship Id="rId827" Type="http://schemas.openxmlformats.org/officeDocument/2006/relationships/hyperlink" Target="https://www.ema.europa.eu/en/documents/other/article-57-product-data_en.xlsx" TargetMode="External"/><Relationship Id="rId828" Type="http://schemas.openxmlformats.org/officeDocument/2006/relationships/hyperlink" Target="https://dailymed.nlm.nih.gov/dailymed/search.cfm?labeltype=all&amp;query=lidocaine+hydrochloride+injection" TargetMode="External"/><Relationship Id="rId829" Type="http://schemas.openxmlformats.org/officeDocument/2006/relationships/hyperlink" Target="https://www.ema.europa.eu/en/documents/other/article-57-product-data_en.xlsx" TargetMode="External"/><Relationship Id="rId830" Type="http://schemas.openxmlformats.org/officeDocument/2006/relationships/hyperlink" Target="https://dailymed.nlm.nih.gov/dailymed/search.cfm?labeltype=all&amp;query=lidocaine+hydrochloride+injection" TargetMode="External"/><Relationship Id="rId831" Type="http://schemas.openxmlformats.org/officeDocument/2006/relationships/hyperlink" Target="https://www.ema.europa.eu/en/documents/other/article-57-product-data_en.xlsx" TargetMode="External"/><Relationship Id="rId832" Type="http://schemas.openxmlformats.org/officeDocument/2006/relationships/hyperlink" Target="https://dailymed.nlm.nih.gov/dailymed/search.cfm?labeltype=all&amp;query=lidocaine+hydrochloride+injection" TargetMode="External"/><Relationship Id="rId833" Type="http://schemas.openxmlformats.org/officeDocument/2006/relationships/hyperlink" Target="https://www.ebs.tga.gov.au/ebs/picmi/picmirepository.nsf/pdf?OpenAgent&amp;id=CP-2019-PI-01963-1" TargetMode="External"/><Relationship Id="rId834" Type="http://schemas.openxmlformats.org/officeDocument/2006/relationships/hyperlink" Target="https://dailymed.nlm.nih.gov/dailymed/search.cfm?labeltype=all&amp;query=melphalan+hydrochloride" TargetMode="External"/><Relationship Id="rId835" Type="http://schemas.openxmlformats.org/officeDocument/2006/relationships/hyperlink" Target="https://mhraproducts4853.blob.core.windows.net/docs/1740a36db8ba332d071a925f2871b14576fa46c7" TargetMode="External"/><Relationship Id="rId836" Type="http://schemas.openxmlformats.org/officeDocument/2006/relationships/hyperlink" Target="https://dailymed.nlm.nih.gov/dailymed/search.cfm?labeltype=all&amp;query=melphalan+hydrochloride" TargetMode="External"/><Relationship Id="rId837" Type="http://schemas.openxmlformats.org/officeDocument/2006/relationships/hyperlink" Target="https://www.ema.europa.eu/en/documents/other/article-57-product-data_en.xlsx" TargetMode="External"/><Relationship Id="rId838" Type="http://schemas.openxmlformats.org/officeDocument/2006/relationships/hyperlink" Target="https://dailymed.nlm.nih.gov/dailymed/search.cfm?labeltype=all&amp;query=methotrexate+injection" TargetMode="External"/><Relationship Id="rId839" Type="http://schemas.openxmlformats.org/officeDocument/2006/relationships/hyperlink" Target="https://dmd-browser.nhsbsa.nhs.uk/ampp/view/133567" TargetMode="External"/><Relationship Id="rId840" Type="http://schemas.openxmlformats.org/officeDocument/2006/relationships/hyperlink" Target="https://dailymed.nlm.nih.gov/dailymed/search.cfm?labeltype=all&amp;query=methotrexate+injection" TargetMode="External"/><Relationship Id="rId841" Type="http://schemas.openxmlformats.org/officeDocument/2006/relationships/hyperlink" Target="https://www.ema.europa.eu/en/documents/other/article-57-product-data_en.xlsx" TargetMode="External"/><Relationship Id="rId842" Type="http://schemas.openxmlformats.org/officeDocument/2006/relationships/hyperlink" Target="https://dailymed.nlm.nih.gov/dailymed/search.cfm?labeltype=all&amp;query=methotrexate+injection" TargetMode="External"/><Relationship Id="rId843" Type="http://schemas.openxmlformats.org/officeDocument/2006/relationships/hyperlink" Target="https://produits-sante.canada.ca/dpd-bdpp/info?code=81253&amp;lang=eng" TargetMode="External"/><Relationship Id="rId844" Type="http://schemas.openxmlformats.org/officeDocument/2006/relationships/hyperlink" Target="https://dailymed.nlm.nih.gov/dailymed/search.cfm?labeltype=all&amp;query=methotrexate+injection" TargetMode="External"/><Relationship Id="rId845" Type="http://schemas.openxmlformats.org/officeDocument/2006/relationships/hyperlink" Target="https://base-donnees-publique.medicaments.gouv.fr/index.php?page=1&amp;choixRecherche=medicament&amp;txtCaracteres=Izixate&amp;action=show" TargetMode="External"/><Relationship Id="rId846" Type="http://schemas.openxmlformats.org/officeDocument/2006/relationships/hyperlink" Target="https://www.ema.europa.eu/en/documents/other/article-57-product-data_en.xlsx" TargetMode="External"/><Relationship Id="rId847" Type="http://schemas.openxmlformats.org/officeDocument/2006/relationships/hyperlink" Target="https://dailymed.nlm.nih.gov/dailymed/search.cfm?labeltype=all&amp;query=methotrexate+injection" TargetMode="External"/><Relationship Id="rId848" Type="http://schemas.openxmlformats.org/officeDocument/2006/relationships/hyperlink" Target="https://www.healthdirect.gov.au/medicines/brand/amt%2C933505761000036101/methotrexate-intas" TargetMode="External"/><Relationship Id="rId849" Type="http://schemas.openxmlformats.org/officeDocument/2006/relationships/hyperlink" Target="https://dailymed.nlm.nih.gov/dailymed/search.cfm?labeltype=all&amp;query=midazolam+injection" TargetMode="External"/><Relationship Id="rId850" Type="http://schemas.openxmlformats.org/officeDocument/2006/relationships/hyperlink" Target="https://www.ema.europa.eu/en/documents/other/article-57-product-data_en.xlsx" TargetMode="External"/><Relationship Id="rId851" Type="http://schemas.openxmlformats.org/officeDocument/2006/relationships/hyperlink" Target="https://dailymed.nlm.nih.gov/dailymed/search.cfm?labeltype=all&amp;query=midazolam+injection" TargetMode="External"/><Relationship Id="rId852" Type="http://schemas.openxmlformats.org/officeDocument/2006/relationships/hyperlink" Target="https://base-donnees-publique.medicaments.gouv.fr/index.php?page=1&amp;choixRecherche=medicament&amp;txtCaracteres=Midazolam%20Accord&amp;action=show" TargetMode="External"/><Relationship Id="rId853" Type="http://schemas.openxmlformats.org/officeDocument/2006/relationships/hyperlink" Target="https://www.ema.europa.eu/en/documents/other/article-57-product-data_en.xlsx" TargetMode="External"/><Relationship Id="rId854" Type="http://schemas.openxmlformats.org/officeDocument/2006/relationships/hyperlink" Target="https://dailymed.nlm.nih.gov/dailymed/search.cfm?labeltype=all&amp;query=midazolam+injection" TargetMode="External"/><Relationship Id="rId855" Type="http://schemas.openxmlformats.org/officeDocument/2006/relationships/hyperlink" Target="https://www.ebs.tga.gov.au/ebs/picmi/picmirepository.nsf/pdf?OpenAgent&amp;id=CP-2016-PI-02501-1" TargetMode="External"/><Relationship Id="rId856" Type="http://schemas.openxmlformats.org/officeDocument/2006/relationships/hyperlink" Target="https://dailymed.nlm.nih.gov/dailymed/search.cfm?labeltype=all&amp;query=mitomycin" TargetMode="External"/><Relationship Id="rId857" Type="http://schemas.openxmlformats.org/officeDocument/2006/relationships/hyperlink" Target="https://dmd-browser.nhsbsa.nhs.uk/ampp/view/180360" TargetMode="External"/><Relationship Id="rId858" Type="http://schemas.openxmlformats.org/officeDocument/2006/relationships/hyperlink" Target="https://dailymed.nlm.nih.gov/dailymed/search.cfm?labeltype=all&amp;query=mitomycin" TargetMode="External"/><Relationship Id="rId859" Type="http://schemas.openxmlformats.org/officeDocument/2006/relationships/hyperlink" Target="https://www.ema.europa.eu/en/documents/other/article-57-product-data_en.xlsx" TargetMode="External"/><Relationship Id="rId860" Type="http://schemas.openxmlformats.org/officeDocument/2006/relationships/hyperlink" Target="https://dailymed.nlm.nih.gov/dailymed/search.cfm?labeltype=all&amp;query=mitomycin" TargetMode="External"/><Relationship Id="rId861" Type="http://schemas.openxmlformats.org/officeDocument/2006/relationships/hyperlink" Target="https://health-products.canada.ca/dpd-bdpp/info?code=95282&amp;lang=eng" TargetMode="External"/><Relationship Id="rId862" Type="http://schemas.openxmlformats.org/officeDocument/2006/relationships/hyperlink" Target="https://dailymed.nlm.nih.gov/dailymed/search.cfm?labeltype=all&amp;query=mitomycin" TargetMode="External"/><Relationship Id="rId863" Type="http://schemas.openxmlformats.org/officeDocument/2006/relationships/hyperlink" Target="https://base-donnees-publique.medicaments.gouv.fr/index.php?page=1&amp;choixRecherche=medicament&amp;txtCaracteres=Mitomycine%20Accord&amp;action=show" TargetMode="External"/><Relationship Id="rId864" Type="http://schemas.openxmlformats.org/officeDocument/2006/relationships/hyperlink" Target="https://www.ema.europa.eu/en/documents/other/article-57-product-data_en.xlsx" TargetMode="External"/><Relationship Id="rId865" Type="http://schemas.openxmlformats.org/officeDocument/2006/relationships/hyperlink" Target="https://dailymed.nlm.nih.gov/dailymed/search.cfm?labeltype=all&amp;query=mitoxantrone" TargetMode="External"/><Relationship Id="rId866" Type="http://schemas.openxmlformats.org/officeDocument/2006/relationships/hyperlink" Target="https://www.ema.europa.eu/en/documents/other/article-57-product-data_en.xlsx" TargetMode="External"/><Relationship Id="rId867" Type="http://schemas.openxmlformats.org/officeDocument/2006/relationships/hyperlink" Target="https://dailymed.nlm.nih.gov/dailymed/search.cfm?labeltype=all&amp;query=mitoxantrone" TargetMode="External"/><Relationship Id="rId868" Type="http://schemas.openxmlformats.org/officeDocument/2006/relationships/hyperlink" Target="https://base-donnees-publique.medicaments.gouv.fr/index.php?page=1&amp;choixRecherche=medicament&amp;txtCaracteres=Mitoxantrone%20Accord&amp;action=show" TargetMode="External"/><Relationship Id="rId869" Type="http://schemas.openxmlformats.org/officeDocument/2006/relationships/hyperlink" Target="https://www.ema.europa.eu/en/documents/other/article-57-product-data_en.xlsx" TargetMode="External"/><Relationship Id="rId870" Type="http://schemas.openxmlformats.org/officeDocument/2006/relationships/hyperlink" Target="https://dailymed.nlm.nih.gov/dailymed/search.cfm?labeltype=all&amp;query=naloxone+hydrochloride+injection" TargetMode="External"/><Relationship Id="rId871" Type="http://schemas.openxmlformats.org/officeDocument/2006/relationships/hyperlink" Target="https://dailymed.nlm.nih.gov/dailymed/search.cfm?labeltype=all&amp;query=Naloxone+Hydrochloride" TargetMode="External"/><Relationship Id="rId872" Type="http://schemas.openxmlformats.org/officeDocument/2006/relationships/hyperlink" Target="https://dailymed.nlm.nih.gov/dailymed/search.cfm?labeltype=all&amp;query=naloxone+hydrochloride+injection" TargetMode="External"/><Relationship Id="rId873" Type="http://schemas.openxmlformats.org/officeDocument/2006/relationships/hyperlink" Target="https://mhraproducts4853.blob.core.windows.net/docs/1b85c921ff22e65de2c4cb817669b364513ade84" TargetMode="External"/><Relationship Id="rId874" Type="http://schemas.openxmlformats.org/officeDocument/2006/relationships/hyperlink" Target="https://dailymed.nlm.nih.gov/dailymed/search.cfm?labeltype=all&amp;query=naloxone+hydrochloride+injection" TargetMode="External"/><Relationship Id="rId875" Type="http://schemas.openxmlformats.org/officeDocument/2006/relationships/hyperlink" Target="https://www.ema.europa.eu/en/documents/other/article-57-product-data_en.xlsx" TargetMode="External"/><Relationship Id="rId876" Type="http://schemas.openxmlformats.org/officeDocument/2006/relationships/hyperlink" Target="https://dailymed.nlm.nih.gov/dailymed/search.cfm?labeltype=all&amp;query=naloxone+hydrochloride+injection" TargetMode="External"/><Relationship Id="rId877" Type="http://schemas.openxmlformats.org/officeDocument/2006/relationships/hyperlink" Target="https://www.ema.europa.eu/en/documents/other/article-57-product-data_en.xlsx" TargetMode="External"/><Relationship Id="rId878" Type="http://schemas.openxmlformats.org/officeDocument/2006/relationships/hyperlink" Target="https://dailymed.nlm.nih.gov/dailymed/search.cfm?labeltype=all&amp;query=ondansetron+injection" TargetMode="External"/><Relationship Id="rId879" Type="http://schemas.openxmlformats.org/officeDocument/2006/relationships/hyperlink" Target="https://dailymed.nlm.nih.gov/dailymed/search.cfm?searchdb=ndc&amp;query=16729-298" TargetMode="External"/><Relationship Id="rId880" Type="http://schemas.openxmlformats.org/officeDocument/2006/relationships/hyperlink" Target="https://dailymed.nlm.nih.gov/dailymed/search.cfm?labeltype=all&amp;query=ondansetron+injection" TargetMode="External"/><Relationship Id="rId881" Type="http://schemas.openxmlformats.org/officeDocument/2006/relationships/hyperlink" Target="https://dmd-browser.nhsbsa.nhs.uk/ampp/view/197033" TargetMode="External"/><Relationship Id="rId882" Type="http://schemas.openxmlformats.org/officeDocument/2006/relationships/hyperlink" Target="https://dailymed.nlm.nih.gov/dailymed/search.cfm?labeltype=all&amp;query=ondansetron+injection" TargetMode="External"/><Relationship Id="rId883" Type="http://schemas.openxmlformats.org/officeDocument/2006/relationships/hyperlink" Target="https://www.ema.europa.eu/en/documents/other/article-57-product-data_en.xlsx" TargetMode="External"/><Relationship Id="rId884" Type="http://schemas.openxmlformats.org/officeDocument/2006/relationships/hyperlink" Target="https://dailymed.nlm.nih.gov/dailymed/search.cfm?labeltype=all&amp;query=ondansetron+injection" TargetMode="External"/><Relationship Id="rId885" Type="http://schemas.openxmlformats.org/officeDocument/2006/relationships/hyperlink" Target="https://base-donnees-publique.medicaments.gouv.fr/index.php?page=1&amp;choixRecherche=medicament&amp;txtCaracteres=Ondansetron%20Accord&amp;action=show" TargetMode="External"/><Relationship Id="rId886" Type="http://schemas.openxmlformats.org/officeDocument/2006/relationships/hyperlink" Target="https://www.ema.europa.eu/en/documents/other/article-57-product-data_en.xlsx" TargetMode="External"/><Relationship Id="rId887" Type="http://schemas.openxmlformats.org/officeDocument/2006/relationships/hyperlink" Target="https://dailymed.nlm.nih.gov/dailymed/search.cfm?labeltype=all&amp;query=ondansetron+injection" TargetMode="External"/><Relationship Id="rId888" Type="http://schemas.openxmlformats.org/officeDocument/2006/relationships/hyperlink" Target="https://www.ebs.tga.gov.au/ebs/picmi/picmirepository.nsf/pdf?OpenAgent&amp;id=CP-2016-PI-02393-1" TargetMode="External"/><Relationship Id="rId889" Type="http://schemas.openxmlformats.org/officeDocument/2006/relationships/hyperlink" Target="https://dailymed.nlm.nih.gov/dailymed/search.cfm?labeltype=all&amp;query=paclitaxel" TargetMode="External"/><Relationship Id="rId890" Type="http://schemas.openxmlformats.org/officeDocument/2006/relationships/hyperlink" Target="https://www.ema.europa.eu/en/medicines/human/EPAR/naveruclif" TargetMode="External"/><Relationship Id="rId891" Type="http://schemas.openxmlformats.org/officeDocument/2006/relationships/hyperlink" Target="https://www.ema.europa.eu/en/documents/other/article-57-product-data_en.xlsx" TargetMode="External"/><Relationship Id="rId892" Type="http://schemas.openxmlformats.org/officeDocument/2006/relationships/hyperlink" Target="https://dailymed.nlm.nih.gov/dailymed/search.cfm?labeltype=all&amp;query=paclitaxel" TargetMode="External"/><Relationship Id="rId893" Type="http://schemas.openxmlformats.org/officeDocument/2006/relationships/hyperlink" Target="https://health-products.canada.ca/dpd-bdpp/info?code=87681&amp;lang=eng" TargetMode="External"/><Relationship Id="rId894" Type="http://schemas.openxmlformats.org/officeDocument/2006/relationships/hyperlink" Target="https://dailymed.nlm.nih.gov/dailymed/search.cfm?labeltype=all&amp;query=paclitaxel" TargetMode="External"/><Relationship Id="rId895" Type="http://schemas.openxmlformats.org/officeDocument/2006/relationships/hyperlink" Target="https://www.ema.europa.eu/en/medicines/human/EPAR/naveruclif" TargetMode="External"/><Relationship Id="rId896" Type="http://schemas.openxmlformats.org/officeDocument/2006/relationships/hyperlink" Target="https://www.ema.europa.eu/en/documents/other/article-57-product-data_en.xlsx" TargetMode="External"/><Relationship Id="rId897" Type="http://schemas.openxmlformats.org/officeDocument/2006/relationships/hyperlink" Target="https://dailymed.nlm.nih.gov/dailymed/search.cfm?labeltype=all&amp;query=palonosetron" TargetMode="External"/><Relationship Id="rId898" Type="http://schemas.openxmlformats.org/officeDocument/2006/relationships/hyperlink" Target="https://mhraproducts4853.blob.core.windows.net/docs/f5e999c5eaed01985040c89afd30ed8456f534a6" TargetMode="External"/><Relationship Id="rId899" Type="http://schemas.openxmlformats.org/officeDocument/2006/relationships/hyperlink" Target="https://dailymed.nlm.nih.gov/dailymed/search.cfm?labeltype=all&amp;query=palonosetron" TargetMode="External"/><Relationship Id="rId900" Type="http://schemas.openxmlformats.org/officeDocument/2006/relationships/hyperlink" Target="https://www.ema.europa.eu/en/medicines/human/EPAR/palonosetron-accord" TargetMode="External"/><Relationship Id="rId901" Type="http://schemas.openxmlformats.org/officeDocument/2006/relationships/hyperlink" Target="https://www.ema.europa.eu/en/documents/other/article-57-product-data_en.xlsx" TargetMode="External"/><Relationship Id="rId902" Type="http://schemas.openxmlformats.org/officeDocument/2006/relationships/hyperlink" Target="https://dailymed.nlm.nih.gov/dailymed/search.cfm?labeltype=all&amp;query=palonosetron" TargetMode="External"/><Relationship Id="rId903" Type="http://schemas.openxmlformats.org/officeDocument/2006/relationships/hyperlink" Target="https://medicineprices.org.za/" TargetMode="External"/><Relationship Id="rId904" Type="http://schemas.openxmlformats.org/officeDocument/2006/relationships/hyperlink" Target="https://dailymed.nlm.nih.gov/dailymed/search.cfm?labeltype=all&amp;query=pantoprazole+sodium+for+injection" TargetMode="External"/><Relationship Id="rId905" Type="http://schemas.openxmlformats.org/officeDocument/2006/relationships/hyperlink" Target="https://dmd-browser.nhsbsa.nhs.uk/ampp/view/194984" TargetMode="External"/><Relationship Id="rId906" Type="http://schemas.openxmlformats.org/officeDocument/2006/relationships/hyperlink" Target="https://dailymed.nlm.nih.gov/dailymed/search.cfm?labeltype=all&amp;query=pantoprazole+sodium+for+injection" TargetMode="External"/><Relationship Id="rId907" Type="http://schemas.openxmlformats.org/officeDocument/2006/relationships/hyperlink" Target="https://www.ema.europa.eu/en/documents/other/article-57-product-data_en.xlsx" TargetMode="External"/><Relationship Id="rId908" Type="http://schemas.openxmlformats.org/officeDocument/2006/relationships/hyperlink" Target="https://dailymed.nlm.nih.gov/dailymed/search.cfm?labeltype=all&amp;query=pantoprazole+sodium+for+injection" TargetMode="External"/><Relationship Id="rId909" Type="http://schemas.openxmlformats.org/officeDocument/2006/relationships/hyperlink" Target="https://www.ema.europa.eu/en/documents/other/article-57-product-data_en.xlsx" TargetMode="External"/><Relationship Id="rId910" Type="http://schemas.openxmlformats.org/officeDocument/2006/relationships/hyperlink" Target="https://dailymed.nlm.nih.gov/dailymed/search.cfm?labeltype=all&amp;query=paricalcitol+injection" TargetMode="External"/><Relationship Id="rId911" Type="http://schemas.openxmlformats.org/officeDocument/2006/relationships/hyperlink" Target="https://dailymed.nlm.nih.gov/dailymed/drugInfo.cfm?setid=2b7c7587-2042-0d9c-e054-00144ff88e88" TargetMode="External"/><Relationship Id="rId912" Type="http://schemas.openxmlformats.org/officeDocument/2006/relationships/hyperlink" Target="https://dailymed.nlm.nih.gov/dailymed/search.cfm?labeltype=all&amp;query=paricalcitol+injection" TargetMode="External"/><Relationship Id="rId913" Type="http://schemas.openxmlformats.org/officeDocument/2006/relationships/hyperlink" Target="https://www.ema.europa.eu/en/documents/other/article-57-product-data_en.xlsx" TargetMode="External"/><Relationship Id="rId914" Type="http://schemas.openxmlformats.org/officeDocument/2006/relationships/hyperlink" Target="https://dailymed.nlm.nih.gov/dailymed/search.cfm?labeltype=all&amp;query=pegfilgrastim" TargetMode="External"/><Relationship Id="rId915" Type="http://schemas.openxmlformats.org/officeDocument/2006/relationships/hyperlink" Target="https://mhraproducts4853.blob.core.windows.net/docs/558dcfb1d7c94ccfc6b14703ecd62a427ca2264d" TargetMode="External"/><Relationship Id="rId916" Type="http://schemas.openxmlformats.org/officeDocument/2006/relationships/hyperlink" Target="https://dailymed.nlm.nih.gov/dailymed/search.cfm?labeltype=all&amp;query=pegfilgrastim" TargetMode="External"/><Relationship Id="rId917" Type="http://schemas.openxmlformats.org/officeDocument/2006/relationships/hyperlink" Target="https://www.ema.europa.eu/en/medicines/human/EPAR/pelgraz" TargetMode="External"/><Relationship Id="rId918" Type="http://schemas.openxmlformats.org/officeDocument/2006/relationships/hyperlink" Target="https://www.ema.europa.eu/en/documents/other/article-57-product-data_en.xlsx" TargetMode="External"/><Relationship Id="rId919" Type="http://schemas.openxmlformats.org/officeDocument/2006/relationships/hyperlink" Target="https://dailymed.nlm.nih.gov/dailymed/search.cfm?labeltype=all&amp;query=phenylephrine+hydrochloride+injection" TargetMode="External"/><Relationship Id="rId920" Type="http://schemas.openxmlformats.org/officeDocument/2006/relationships/hyperlink" Target="https://www.ebs.tga.gov.au/ebs/picmi/picmirepository.nsf/pdf?OpenAgent&amp;id=CP-2020-PI-02525-1" TargetMode="External"/><Relationship Id="rId921" Type="http://schemas.openxmlformats.org/officeDocument/2006/relationships/hyperlink" Target="https://dailymed.nlm.nih.gov/dailymed/search.cfm?labeltype=all&amp;query=phenylephrine+hydrochloride+injection" TargetMode="External"/><Relationship Id="rId922" Type="http://schemas.openxmlformats.org/officeDocument/2006/relationships/hyperlink" Target="https://medicineprices.org.za/" TargetMode="External"/><Relationship Id="rId923" Type="http://schemas.openxmlformats.org/officeDocument/2006/relationships/hyperlink" Target="https://dailymed.nlm.nih.gov/dailymed/search.cfm?labeltype=all&amp;query=phenytoin+sodium+injection" TargetMode="External"/><Relationship Id="rId924" Type="http://schemas.openxmlformats.org/officeDocument/2006/relationships/hyperlink" Target="https://www.ema.europa.eu/en/documents/other/article-57-product-data_en.xlsx" TargetMode="External"/><Relationship Id="rId925" Type="http://schemas.openxmlformats.org/officeDocument/2006/relationships/hyperlink" Target="https://dailymed.nlm.nih.gov/dailymed/search.cfm?labeltype=all&amp;query=phenytoin+sodium+injection" TargetMode="External"/><Relationship Id="rId926" Type="http://schemas.openxmlformats.org/officeDocument/2006/relationships/hyperlink" Target="https://www.ema.europa.eu/en/documents/other/article-57-product-data_en.xlsx" TargetMode="External"/><Relationship Id="rId927" Type="http://schemas.openxmlformats.org/officeDocument/2006/relationships/hyperlink" Target="https://dailymed.nlm.nih.gov/dailymed/search.cfm?labeltype=all&amp;query=plerixafor" TargetMode="External"/><Relationship Id="rId928" Type="http://schemas.openxmlformats.org/officeDocument/2006/relationships/hyperlink" Target="https://mhraproducts4853.blob.core.windows.net/docs/07357ed28124fa9adf67221cff8397b75709ff50" TargetMode="External"/><Relationship Id="rId929" Type="http://schemas.openxmlformats.org/officeDocument/2006/relationships/hyperlink" Target="https://dailymed.nlm.nih.gov/dailymed/search.cfm?labeltype=all&amp;query=plerixafor" TargetMode="External"/><Relationship Id="rId930" Type="http://schemas.openxmlformats.org/officeDocument/2006/relationships/hyperlink" Target="https://www.ema.europa.eu/en/medicines/human/EPAR/plerixafor-accord" TargetMode="External"/><Relationship Id="rId931" Type="http://schemas.openxmlformats.org/officeDocument/2006/relationships/hyperlink" Target="https://www.ema.europa.eu/en/documents/other/article-57-product-data_en.xlsx" TargetMode="External"/><Relationship Id="rId932" Type="http://schemas.openxmlformats.org/officeDocument/2006/relationships/hyperlink" Target="https://dailymed.nlm.nih.gov/dailymed/search.cfm?labeltype=all&amp;query=plerixafor" TargetMode="External"/><Relationship Id="rId933" Type="http://schemas.openxmlformats.org/officeDocument/2006/relationships/hyperlink" Target="http://tga.gov.au/resources/artg/398073" TargetMode="External"/><Relationship Id="rId934" Type="http://schemas.openxmlformats.org/officeDocument/2006/relationships/hyperlink" Target="https://dailymed.nlm.nih.gov/dailymed/search.cfm?labeltype=all&amp;query=progesterone+injection" TargetMode="External"/><Relationship Id="rId935" Type="http://schemas.openxmlformats.org/officeDocument/2006/relationships/hyperlink" Target="https://dailymed.nlm.nih.gov/dailymed/search.cfm?labeltype=all&amp;query=Progesterone" TargetMode="External"/><Relationship Id="rId936" Type="http://schemas.openxmlformats.org/officeDocument/2006/relationships/hyperlink" Target="https://dailymed.nlm.nih.gov/dailymed/search.cfm?labeltype=all&amp;query=ranibizumab" TargetMode="External"/><Relationship Id="rId937" Type="http://schemas.openxmlformats.org/officeDocument/2006/relationships/hyperlink" Target="https://mhraproducts4853.blob.core.windows.net/docs/0cd995a5637a3bd404fb0dc96033abecfd8ffc95" TargetMode="External"/><Relationship Id="rId938" Type="http://schemas.openxmlformats.org/officeDocument/2006/relationships/hyperlink" Target="https://dailymed.nlm.nih.gov/dailymed/search.cfm?labeltype=all&amp;query=regadenoson" TargetMode="External"/><Relationship Id="rId939" Type="http://schemas.openxmlformats.org/officeDocument/2006/relationships/hyperlink" Target="https://dailymed.nlm.nih.gov/dailymed/search.cfm?labeltype=all&amp;query=Regadenoson" TargetMode="External"/><Relationship Id="rId940" Type="http://schemas.openxmlformats.org/officeDocument/2006/relationships/hyperlink" Target="https://dailymed.nlm.nih.gov/dailymed/search.cfm?labeltype=all&amp;query=rocuronium" TargetMode="External"/><Relationship Id="rId941" Type="http://schemas.openxmlformats.org/officeDocument/2006/relationships/hyperlink" Target="https://www.ema.europa.eu/en/documents/other/article-57-product-data_en.xlsx" TargetMode="External"/><Relationship Id="rId942" Type="http://schemas.openxmlformats.org/officeDocument/2006/relationships/hyperlink" Target="https://dailymed.nlm.nih.gov/dailymed/search.cfm?labeltype=all&amp;query=rocuronium" TargetMode="External"/><Relationship Id="rId943" Type="http://schemas.openxmlformats.org/officeDocument/2006/relationships/hyperlink" Target="https://www.ema.europa.eu/en/documents/other/article-57-product-data_en.xlsx" TargetMode="External"/><Relationship Id="rId944" Type="http://schemas.openxmlformats.org/officeDocument/2006/relationships/hyperlink" Target="https://dailymed.nlm.nih.gov/dailymed/search.cfm?labeltype=all&amp;query=succinylcholine" TargetMode="External"/><Relationship Id="rId945" Type="http://schemas.openxmlformats.org/officeDocument/2006/relationships/hyperlink" Target="https://www.tga.gov.au/resources/artg" TargetMode="External"/><Relationship Id="rId946" Type="http://schemas.openxmlformats.org/officeDocument/2006/relationships/hyperlink" Target="https://dailymed.nlm.nih.gov/dailymed/search.cfm?labeltype=all&amp;query=sugammadex" TargetMode="External"/><Relationship Id="rId947" Type="http://schemas.openxmlformats.org/officeDocument/2006/relationships/hyperlink" Target="https://mhraproducts4853.blob.core.windows.net/docs/44089c416fe7066a241a329bc84997950abfd99d" TargetMode="External"/><Relationship Id="rId948" Type="http://schemas.openxmlformats.org/officeDocument/2006/relationships/hyperlink" Target="https://dailymed.nlm.nih.gov/dailymed/search.cfm?labeltype=all&amp;query=sugammadex" TargetMode="External"/><Relationship Id="rId949" Type="http://schemas.openxmlformats.org/officeDocument/2006/relationships/hyperlink" Target="https://www.ema.europa.eu/en/documents/other/article-57-product-data_en.xlsx" TargetMode="External"/><Relationship Id="rId950" Type="http://schemas.openxmlformats.org/officeDocument/2006/relationships/hyperlink" Target="https://dailymed.nlm.nih.gov/dailymed/search.cfm?labeltype=all&amp;query=sugammadex" TargetMode="External"/><Relationship Id="rId951" Type="http://schemas.openxmlformats.org/officeDocument/2006/relationships/hyperlink" Target="https://base-donnees-publique.medicaments.gouv.fr/index.php?page=1&amp;choixRecherche=medicament&amp;txtCaracteres=Sugammadex%20Accord&amp;action=show" TargetMode="External"/><Relationship Id="rId952" Type="http://schemas.openxmlformats.org/officeDocument/2006/relationships/hyperlink" Target="https://www.ema.europa.eu/en/documents/other/article-57-product-data_en.xlsx" TargetMode="External"/><Relationship Id="rId953" Type="http://schemas.openxmlformats.org/officeDocument/2006/relationships/hyperlink" Target="https://dailymed.nlm.nih.gov/dailymed/search.cfm?labeltype=all&amp;query=sugammadex" TargetMode="External"/><Relationship Id="rId954" Type="http://schemas.openxmlformats.org/officeDocument/2006/relationships/hyperlink" Target="https://www.ebs.tga.gov.au/servlet/xmlmillr6?dbid=ebs/PublicHTML/pdfStore.nsf&amp;docid=372777&amp;agid=(PrintDetailsPublic)&amp;actionid=1" TargetMode="External"/><Relationship Id="rId955" Type="http://schemas.openxmlformats.org/officeDocument/2006/relationships/hyperlink" Target="https://mhraproducts4853.blob.core.windows.net/docs/45a310f5c66d09f20d9d1eb3a5d48c17c486ac7b" TargetMode="External"/><Relationship Id="rId956" Type="http://schemas.openxmlformats.org/officeDocument/2006/relationships/hyperlink" Target="https://www.ema.europa.eu/en/documents/other/article-57-product-data_en.xlsx" TargetMode="External"/><Relationship Id="rId957" Type="http://schemas.openxmlformats.org/officeDocument/2006/relationships/hyperlink" Target="https://dailymed.nlm.nih.gov/dailymed/search.cfm?labeltype=all&amp;query=tigecycline" TargetMode="External"/><Relationship Id="rId958" Type="http://schemas.openxmlformats.org/officeDocument/2006/relationships/hyperlink" Target="https://www.ema.europa.eu/en/medicines/human/EPAR/tigecycline-accord" TargetMode="External"/><Relationship Id="rId959" Type="http://schemas.openxmlformats.org/officeDocument/2006/relationships/hyperlink" Target="https://www.ema.europa.eu/en/documents/other/article-57-product-data_en.xlsx" TargetMode="External"/><Relationship Id="rId960" Type="http://schemas.openxmlformats.org/officeDocument/2006/relationships/hyperlink" Target="https://dailymed.nlm.nih.gov/dailymed/search.cfm?labeltype=all&amp;query=tigecycline" TargetMode="External"/><Relationship Id="rId961" Type="http://schemas.openxmlformats.org/officeDocument/2006/relationships/hyperlink" Target="https://www.ebs.tga.gov.au/servlet/xmlmillr6?dbid=ebs/PublicHTML/pdfStore.nsf&amp;docid=331680&amp;agid=(PrintDetailsPublic)&amp;actionid=1" TargetMode="External"/><Relationship Id="rId962" Type="http://schemas.openxmlformats.org/officeDocument/2006/relationships/hyperlink" Target="https://dailymed.nlm.nih.gov/dailymed/search.cfm?labeltype=all&amp;query=ustekinumab" TargetMode="External"/><Relationship Id="rId963" Type="http://schemas.openxmlformats.org/officeDocument/2006/relationships/hyperlink" Target="https://mhraproducts4853.blob.core.windows.net/docs/7f0af292cea25f881c619785dd36da19d641eb1a" TargetMode="External"/><Relationship Id="rId964" Type="http://schemas.openxmlformats.org/officeDocument/2006/relationships/hyperlink" Target="https://dailymed.nlm.nih.gov/dailymed/search.cfm?labeltype=all&amp;query=ustekinumab" TargetMode="External"/><Relationship Id="rId965" Type="http://schemas.openxmlformats.org/officeDocument/2006/relationships/hyperlink" Target="https://www.ema.europa.eu/en/medicines/human/EPAR/imuldosa" TargetMode="External"/><Relationship Id="rId966" Type="http://schemas.openxmlformats.org/officeDocument/2006/relationships/hyperlink" Target="https://www.ema.europa.eu/en/documents/other/article-57-product-data_en.xlsx" TargetMode="External"/><Relationship Id="rId967" Type="http://schemas.openxmlformats.org/officeDocument/2006/relationships/hyperlink" Target="https://dailymed.nlm.nih.gov/dailymed/search.cfm?labeltype=all&amp;query=ustekinumab" TargetMode="External"/><Relationship Id="rId968" Type="http://schemas.openxmlformats.org/officeDocument/2006/relationships/hyperlink" Target="https://www.ema.europa.eu/en/medicines/human/EPAR/imuldosa" TargetMode="External"/><Relationship Id="rId969" Type="http://schemas.openxmlformats.org/officeDocument/2006/relationships/hyperlink" Target="https://www.ema.europa.eu/en/documents/other/article-57-product-data_en.xlsx" TargetMode="External"/><Relationship Id="rId970" Type="http://schemas.openxmlformats.org/officeDocument/2006/relationships/hyperlink" Target="https://dailymed.nlm.nih.gov/dailymed/search.cfm?labeltype=all&amp;query=vincristine" TargetMode="External"/><Relationship Id="rId971" Type="http://schemas.openxmlformats.org/officeDocument/2006/relationships/hyperlink" Target="https://www.sahpra.org.za/document-category/product-recall/page/7/" TargetMode="External"/><Relationship Id="rId972" Type="http://schemas.openxmlformats.org/officeDocument/2006/relationships/hyperlink" Target="https://dailymed.nlm.nih.gov/dailymed/search.cfm?labeltype=all&amp;query=vinorelbine" TargetMode="External"/><Relationship Id="rId973" Type="http://schemas.openxmlformats.org/officeDocument/2006/relationships/hyperlink" Target="https://www.ema.europa.eu/en/documents/other/article-57-product-data_en.xlsx" TargetMode="External"/><Relationship Id="rId974" Type="http://schemas.openxmlformats.org/officeDocument/2006/relationships/hyperlink" Target="https://dailymed.nlm.nih.gov/dailymed/search.cfm?labeltype=all&amp;query=vinorelbine" TargetMode="External"/><Relationship Id="rId975" Type="http://schemas.openxmlformats.org/officeDocument/2006/relationships/hyperlink" Target="https://base-donnees-publique.medicaments.gouv.fr/index.php?page=1&amp;choixRecherche=medicament&amp;txtCaracteres=Vinorelbine%20Accord&amp;action=show" TargetMode="External"/><Relationship Id="rId976" Type="http://schemas.openxmlformats.org/officeDocument/2006/relationships/hyperlink" Target="https://www.ema.europa.eu/en/documents/other/article-57-product-data_en.xlsx" TargetMode="External"/><Relationship Id="rId977" Type="http://schemas.openxmlformats.org/officeDocument/2006/relationships/hyperlink" Target="https://dailymed.nlm.nih.gov/dailymed/search.cfm?labeltype=all&amp;query=alfentanil" TargetMode="External"/><Relationship Id="rId978" Type="http://schemas.openxmlformats.org/officeDocument/2006/relationships/hyperlink" Target="https://www.nps.org.au/assets/medicines/8bd3b47f-93b8-42ea-9c27-a53300ffa94f.pdf" TargetMode="External"/><Relationship Id="rId979" Type="http://schemas.openxmlformats.org/officeDocument/2006/relationships/hyperlink" Target="https://dailymed.nlm.nih.gov/dailymed/search.cfm?labeltype=all&amp;query=cefazolin" TargetMode="External"/><Relationship Id="rId980" Type="http://schemas.openxmlformats.org/officeDocument/2006/relationships/hyperlink" Target="https://www.ebs.tga.gov.au/servlet/xmlmillr6?dbid=ebs/PublicHTML/pdfStore.nsf&amp;docid=322861&amp;agid=(PrintDetailsPublic)&amp;actionid=1" TargetMode="External"/><Relationship Id="rId981" Type="http://schemas.openxmlformats.org/officeDocument/2006/relationships/hyperlink" Target="https://dailymed.nlm.nih.gov/dailymed/search.cfm?labeltype=all&amp;query=cisatracurium" TargetMode="External"/><Relationship Id="rId982" Type="http://schemas.openxmlformats.org/officeDocument/2006/relationships/hyperlink" Target="https://www.healthdirect.gov.au/medicines/brand/amt%2C913251000168100/cisatracurium-ajs" TargetMode="External"/><Relationship Id="rId983" Type="http://schemas.openxmlformats.org/officeDocument/2006/relationships/hyperlink" Target="https://dailymed.nlm.nih.gov/dailymed/search.cfm?labeltype=all&amp;query=daptomycin" TargetMode="External"/><Relationship Id="rId984" Type="http://schemas.openxmlformats.org/officeDocument/2006/relationships/hyperlink" Target="https://www.ebs.tga.gov.au/ebs/picmi/picmirepository.nsf/pdf?OpenAgent&amp;id=CP-2023-PI-01405-1" TargetMode="External"/><Relationship Id="rId985" Type="http://schemas.openxmlformats.org/officeDocument/2006/relationships/hyperlink" Target="https://dailymed.nlm.nih.gov/dailymed/search.cfm?labeltype=all&amp;query=diazepam+injection" TargetMode="External"/><Relationship Id="rId986" Type="http://schemas.openxmlformats.org/officeDocument/2006/relationships/hyperlink" Target="https://dailymed.nlm.nih.gov/dailymed/search.cfm?labeltype=all&amp;query=Diazepam" TargetMode="External"/><Relationship Id="rId987" Type="http://schemas.openxmlformats.org/officeDocument/2006/relationships/hyperlink" Target="https://dailymed.nlm.nih.gov/dailymed/search.cfm?labeltype=all&amp;query=droperidol" TargetMode="External"/><Relationship Id="rId988" Type="http://schemas.openxmlformats.org/officeDocument/2006/relationships/hyperlink" Target="https://www.ebs.tga.gov.au/ebs/picmi/picmirepository.nsf/pdf?OpenAgent&amp;id=CP-2017-PI-01601-1" TargetMode="External"/><Relationship Id="rId989" Type="http://schemas.openxmlformats.org/officeDocument/2006/relationships/hyperlink" Target="https://dailymed.nlm.nih.gov/dailymed/search.cfm?labeltype=all&amp;query=iron+sucrose" TargetMode="External"/><Relationship Id="rId990" Type="http://schemas.openxmlformats.org/officeDocument/2006/relationships/hyperlink" Target="https://medicineprices.org.za/" TargetMode="External"/><Relationship Id="rId991" Type="http://schemas.openxmlformats.org/officeDocument/2006/relationships/hyperlink" Target="https://dailymed.nlm.nih.gov/dailymed/search.cfm?labeltype=all&amp;query=ephedrine+sulfate+injection" TargetMode="External"/><Relationship Id="rId992" Type="http://schemas.openxmlformats.org/officeDocument/2006/relationships/hyperlink" Target="https://www.ebs.tga.gov.au/servlet/xmlmillr6?dbid=ebs/PublicHTML/pdfStore.nsf&amp;docid=259539&amp;agid=(PrintDetailsPublic)&amp;actionid=1" TargetMode="External"/><Relationship Id="rId993" Type="http://schemas.openxmlformats.org/officeDocument/2006/relationships/hyperlink" Target="https://dailymed.nlm.nih.gov/dailymed/search.cfm?labeltype=all&amp;query=ertapenem" TargetMode="External"/><Relationship Id="rId994" Type="http://schemas.openxmlformats.org/officeDocument/2006/relationships/hyperlink" Target="https://medicineprices.org.za/" TargetMode="External"/><Relationship Id="rId995" Type="http://schemas.openxmlformats.org/officeDocument/2006/relationships/hyperlink" Target="https://dailymed.nlm.nih.gov/dailymed/search.cfm?labeltype=all&amp;query=famotidine+injection" TargetMode="External"/><Relationship Id="rId996" Type="http://schemas.openxmlformats.org/officeDocument/2006/relationships/hyperlink" Target="https://dailymed.nlm.nih.gov/dailymed/search.cfm?labeltype=all&amp;query=Famotidine" TargetMode="External"/><Relationship Id="rId997" Type="http://schemas.openxmlformats.org/officeDocument/2006/relationships/hyperlink" Target="https://dailymed.nlm.nih.gov/dailymed/search.cfm?labeltype=all&amp;query=fentanyl+citrate+injection" TargetMode="External"/><Relationship Id="rId998" Type="http://schemas.openxmlformats.org/officeDocument/2006/relationships/hyperlink" Target="https://www.safetyandquality.gov.au/medicine-finder/fentanyl-gh" TargetMode="External"/><Relationship Id="rId999" Type="http://schemas.openxmlformats.org/officeDocument/2006/relationships/hyperlink" Target="https://dailymed.nlm.nih.gov/dailymed/search.cfm?labeltype=all&amp;query=meropenem" TargetMode="External"/><Relationship Id="rId1000" Type="http://schemas.openxmlformats.org/officeDocument/2006/relationships/hyperlink" Target="https://www.healthdirect.gov.au/medicines/brand/amt%2C1310041000168105/meropenem-gh" TargetMode="External"/><Relationship Id="rId1001" Type="http://schemas.openxmlformats.org/officeDocument/2006/relationships/hyperlink" Target="https://dailymed.nlm.nih.gov/dailymed/search.cfm?labeltype=all&amp;query=meropenem" TargetMode="External"/><Relationship Id="rId1002" Type="http://schemas.openxmlformats.org/officeDocument/2006/relationships/hyperlink" Target="https://pi-pil-repository.sahpra.org.za/wp-content/uploads/2025/02/Approved-PIL-25-November-2024.pdf" TargetMode="External"/><Relationship Id="rId1003" Type="http://schemas.openxmlformats.org/officeDocument/2006/relationships/hyperlink" Target="https://dailymed.nlm.nih.gov/dailymed/search.cfm?labeltype=all&amp;query=milrinone" TargetMode="External"/><Relationship Id="rId1004" Type="http://schemas.openxmlformats.org/officeDocument/2006/relationships/hyperlink" Target="https://www.safetyandquality.gov.au/medicine-finder/milrinone-gh-concentrate-for-infusion" TargetMode="External"/><Relationship Id="rId1005" Type="http://schemas.openxmlformats.org/officeDocument/2006/relationships/hyperlink" Target="https://dailymed.nlm.nih.gov/dailymed/search.cfm?labeltype=all&amp;query=olanzapine+for+injection" TargetMode="External"/><Relationship Id="rId1006" Type="http://schemas.openxmlformats.org/officeDocument/2006/relationships/hyperlink" Target="https://www.tga.gov.au/resources/artg/484114" TargetMode="External"/><Relationship Id="rId1007" Type="http://schemas.openxmlformats.org/officeDocument/2006/relationships/hyperlink" Target="https://dailymed.nlm.nih.gov/dailymed/search.cfm?labeltype=all&amp;query=oxytocin" TargetMode="External"/><Relationship Id="rId1008" Type="http://schemas.openxmlformats.org/officeDocument/2006/relationships/hyperlink" Target="https://www.safetyandquality.gov.au/medicine-finder/oxytocin-gh" TargetMode="External"/><Relationship Id="rId1009" Type="http://schemas.openxmlformats.org/officeDocument/2006/relationships/hyperlink" Target="https://dailymed.nlm.nih.gov/dailymed/search.cfm?labeltype=all&amp;query=remifentanil" TargetMode="External"/><Relationship Id="rId1010" Type="http://schemas.openxmlformats.org/officeDocument/2006/relationships/hyperlink" Target="https://pi-pil-repository.sahpra.org.za/wp-content/uploads/2025/05/Approved-PI-12-May-2025.pdf" TargetMode="External"/><Relationship Id="rId1011" Type="http://schemas.openxmlformats.org/officeDocument/2006/relationships/hyperlink" Target="https://dailymed.nlm.nih.gov/dailymed/search.cfm?labeltype=all&amp;query=sugammadex" TargetMode="External"/><Relationship Id="rId1012" Type="http://schemas.openxmlformats.org/officeDocument/2006/relationships/hyperlink" Target="https://dailymed.nlm.nih.gov/dailymed/drugInfo.cfm?setid=9f2e66d7-a5d2-4593-bb30-6d4a418381aa" TargetMode="External"/><Relationship Id="rId1013" Type="http://schemas.openxmlformats.org/officeDocument/2006/relationships/hyperlink" Target="https://dailymed.nlm.nih.gov/dailymed/search.cfm?labeltype=all&amp;query=sugammadex" TargetMode="External"/><Relationship Id="rId1014" Type="http://schemas.openxmlformats.org/officeDocument/2006/relationships/hyperlink" Target="https://www.ebs.tga.gov.au/ebs/picmi/picmirepository.nsf/pdf?OpenAgent&amp;id=CP-2023-PI-02604-1&amp;d=20260925172310101" TargetMode="External"/><Relationship Id="rId1015" Type="http://schemas.openxmlformats.org/officeDocument/2006/relationships/hyperlink" Target="https://mhraproducts4853.blob.core.windows.net/docs/45a310f5c66d09f20d9d1eb3a5d48c17c486ac7b" TargetMode="External"/><Relationship Id="rId1016" Type="http://schemas.openxmlformats.org/officeDocument/2006/relationships/hyperlink" Target="https://www.ebs.tga.gov.au/servlet/xmlmillr6?dbid=ebs/PublicHTML/pdfStore.nsf&amp;docid=259192&amp;agid=(PrintDetailsPublic)&amp;actionid=1" TargetMode="External"/><Relationship Id="rId1017" Type="http://schemas.openxmlformats.org/officeDocument/2006/relationships/hyperlink" Target="https://mhraproducts4853.blob.core.windows.net/docs/45a310f5c66d09f20d9d1eb3a5d48c17c486ac7b" TargetMode="External"/><Relationship Id="rId1018" Type="http://schemas.openxmlformats.org/officeDocument/2006/relationships/hyperlink" Target="https://medicineprices.org.za/" TargetMode="External"/><Relationship Id="rId1019" Type="http://schemas.openxmlformats.org/officeDocument/2006/relationships/hyperlink" Target="https://dailymed.nlm.nih.gov/dailymed/search.cfm?labeltype=all&amp;query=testosterone+undecanoate" TargetMode="External"/><Relationship Id="rId1020" Type="http://schemas.openxmlformats.org/officeDocument/2006/relationships/hyperlink" Target="https://medicineprices.org.za/" TargetMode="External"/><Relationship Id="rId1021" Type="http://schemas.openxmlformats.org/officeDocument/2006/relationships/hyperlink" Target="https://dailymed.nlm.nih.gov/dailymed/search.cfm?labeltype=all&amp;query=bortezomib" TargetMode="External"/><Relationship Id="rId1022" Type="http://schemas.openxmlformats.org/officeDocument/2006/relationships/hyperlink" Target="https://dailymed.nlm.nih.gov/dailymed/drugInfo.cfm?setid=d41340c2-7fe8-42b2-aaa5-c9f9b0e9b50e" TargetMode="External"/><Relationship Id="rId1023" Type="http://schemas.openxmlformats.org/officeDocument/2006/relationships/hyperlink" Target="https://dailymed.nlm.nih.gov/dailymed/search.cfm?labeltype=all&amp;query=bortezomib" TargetMode="External"/><Relationship Id="rId1024" Type="http://schemas.openxmlformats.org/officeDocument/2006/relationships/hyperlink" Target="https://mhraproducts4853.blob.core.windows.net/docs/8703115c833741c52c0b5e3efbbb2258862cffa1" TargetMode="External"/><Relationship Id="rId1025" Type="http://schemas.openxmlformats.org/officeDocument/2006/relationships/hyperlink" Target="https://dailymed.nlm.nih.gov/dailymed/search.cfm?labeltype=all&amp;query=bortezomib" TargetMode="External"/><Relationship Id="rId1026" Type="http://schemas.openxmlformats.org/officeDocument/2006/relationships/hyperlink" Target="https://www.ema.europa.eu/en/documents/other/article-57-product-data_en.xlsx" TargetMode="External"/><Relationship Id="rId1027" Type="http://schemas.openxmlformats.org/officeDocument/2006/relationships/hyperlink" Target="https://dailymed.nlm.nih.gov/dailymed/search.cfm?labeltype=all&amp;query=bortezomib" TargetMode="External"/><Relationship Id="rId1028" Type="http://schemas.openxmlformats.org/officeDocument/2006/relationships/hyperlink" Target="https://www.ema.europa.eu/en/documents/other/article-57-product-data_en.xlsx" TargetMode="External"/><Relationship Id="rId1029" Type="http://schemas.openxmlformats.org/officeDocument/2006/relationships/hyperlink" Target="https://dailymed.nlm.nih.gov/dailymed/search.cfm?labeltype=all&amp;query=bortezomib" TargetMode="External"/><Relationship Id="rId1030" Type="http://schemas.openxmlformats.org/officeDocument/2006/relationships/hyperlink" Target="https://www.tga.gov.au/resources/artg/306550" TargetMode="External"/><Relationship Id="rId1031" Type="http://schemas.openxmlformats.org/officeDocument/2006/relationships/hyperlink" Target="https://dailymed.nlm.nih.gov/dailymed/search.cfm?labeltype=all&amp;query=brivaracetam" TargetMode="External"/><Relationship Id="rId1032" Type="http://schemas.openxmlformats.org/officeDocument/2006/relationships/hyperlink" Target="https://dailymed.nlm.nih.gov/dailymed/drugInfo.cfm?setid=2c6af271-3222-4602-98a6-14754f0a29ba" TargetMode="External"/><Relationship Id="rId1033" Type="http://schemas.openxmlformats.org/officeDocument/2006/relationships/hyperlink" Target="https://dailymed.nlm.nih.gov/dailymed/search.cfm?labeltype=all&amp;query=chlorpromazine" TargetMode="External"/><Relationship Id="rId1034" Type="http://schemas.openxmlformats.org/officeDocument/2006/relationships/hyperlink" Target="https://dailymed.nlm.nih.gov/dailymed/drugInfo.cfm?setid=867d5c7f-52d4-4794-b1d4-6747f3262fba" TargetMode="External"/><Relationship Id="rId1035" Type="http://schemas.openxmlformats.org/officeDocument/2006/relationships/hyperlink" Target="https://dailymed.nlm.nih.gov/dailymed/search.cfm?labeltype=all&amp;query=fluphenazine+decanoate" TargetMode="External"/><Relationship Id="rId1036" Type="http://schemas.openxmlformats.org/officeDocument/2006/relationships/hyperlink" Target="https://dailymed.nlm.nih.gov/dailymed/search.cfm?labeltype=all&amp;query=Fluphenazine+Decanoate" TargetMode="External"/><Relationship Id="rId1037" Type="http://schemas.openxmlformats.org/officeDocument/2006/relationships/hyperlink" Target="https://dailymed.nlm.nih.gov/dailymed/search.cfm?labeltype=all&amp;query=gadobutrol" TargetMode="External"/><Relationship Id="rId1038" Type="http://schemas.openxmlformats.org/officeDocument/2006/relationships/hyperlink" Target="https://mhraproducts4853.blob.core.windows.net/docs/a892ae362be90b720fee33b3e1c9cf5f06e6ed09" TargetMode="External"/><Relationship Id="rId1039" Type="http://schemas.openxmlformats.org/officeDocument/2006/relationships/hyperlink" Target="https://dailymed.nlm.nih.gov/dailymed/search.cfm?labeltype=all&amp;query=gadobutrol" TargetMode="External"/><Relationship Id="rId1040" Type="http://schemas.openxmlformats.org/officeDocument/2006/relationships/hyperlink" Target="https://www.ema.europa.eu/en/documents/other/article-57-product-data_en.xlsx" TargetMode="External"/><Relationship Id="rId1041" Type="http://schemas.openxmlformats.org/officeDocument/2006/relationships/hyperlink" Target="https://dailymed.nlm.nih.gov/dailymed/search.cfm?labeltype=all&amp;query=plerixafor" TargetMode="External"/><Relationship Id="rId1042" Type="http://schemas.openxmlformats.org/officeDocument/2006/relationships/hyperlink" Target="https://dailymed.nlm.nih.gov/dailymed/drugInfo.cfm?setid=58c9fa02-3701-d411-f946-790a62ddc064" TargetMode="External"/><Relationship Id="rId1043" Type="http://schemas.openxmlformats.org/officeDocument/2006/relationships/hyperlink" Target="https://dailymed.nlm.nih.gov/dailymed/search.cfm?labeltype=all&amp;query=plerixafor" TargetMode="External"/><Relationship Id="rId1044" Type="http://schemas.openxmlformats.org/officeDocument/2006/relationships/hyperlink" Target="https://www.ema.europa.eu/en/documents/other/article-57-product-data_en.xlsx" TargetMode="External"/><Relationship Id="rId1045" Type="http://schemas.openxmlformats.org/officeDocument/2006/relationships/hyperlink" Target="https://dailymed.nlm.nih.gov/dailymed/search.cfm?labeltype=all&amp;query=sugammadex" TargetMode="External"/><Relationship Id="rId1046" Type="http://schemas.openxmlformats.org/officeDocument/2006/relationships/hyperlink" Target="https://dailymed.nlm.nih.gov/dailymed/drugInfo.cfm?setid=ab41ea1c-266f-421c-8fc4-6e7ff518a75d" TargetMode="External"/><Relationship Id="rId1047" Type="http://schemas.openxmlformats.org/officeDocument/2006/relationships/hyperlink" Target="https://dailymed.nlm.nih.gov/dailymed/search.cfm?labeltype=all&amp;query=sugammadex" TargetMode="External"/><Relationship Id="rId1048" Type="http://schemas.openxmlformats.org/officeDocument/2006/relationships/hyperlink" Target="https://mhraproducts4853.blob.core.windows.net/docs/7aa20df6854ee9b7ef3bc783930d858a9979d943" TargetMode="External"/><Relationship Id="rId1049" Type="http://schemas.openxmlformats.org/officeDocument/2006/relationships/hyperlink" Target="https://dailymed.nlm.nih.gov/dailymed/search.cfm?labeltype=all&amp;query=sugammadex" TargetMode="External"/><Relationship Id="rId1050" Type="http://schemas.openxmlformats.org/officeDocument/2006/relationships/hyperlink" Target="https://www.ema.europa.eu/en/documents/other/article-57-product-data_en.xlsx" TargetMode="External"/><Relationship Id="rId1051" Type="http://schemas.openxmlformats.org/officeDocument/2006/relationships/hyperlink" Target="https://dailymed.nlm.nih.gov/dailymed/search.cfm?labeltype=all&amp;query=sugammadex" TargetMode="External"/><Relationship Id="rId1052" Type="http://schemas.openxmlformats.org/officeDocument/2006/relationships/hyperlink" Target="https://www.ebs.tga.gov.au/ebs/picmi/picmirepository.nsf/pdf?OpenAgent&amp;id=CP-2026-PI-01917-1" TargetMode="External"/><Relationship Id="rId1053" Type="http://schemas.openxmlformats.org/officeDocument/2006/relationships/hyperlink" Target="https://dailymed.nlm.nih.gov/dailymed/search.cfm?labeltype=all&amp;query=brivaracetam" TargetMode="External"/><Relationship Id="rId1054" Type="http://schemas.openxmlformats.org/officeDocument/2006/relationships/hyperlink" Target="https://dailymed.nlm.nih.gov/dailymed/drugInfo.cfm?setid=c054a1c9-2aa7-473b-a04b-622596f36c95" TargetMode="External"/><Relationship Id="rId1055" Type="http://schemas.openxmlformats.org/officeDocument/2006/relationships/hyperlink" Target="https://dailymed.nlm.nih.gov/dailymed/search.cfm?labeltype=all&amp;query=caffeine+citrate" TargetMode="External"/><Relationship Id="rId1056" Type="http://schemas.openxmlformats.org/officeDocument/2006/relationships/hyperlink" Target="https://www.ema.europa.eu/en/documents/other/article-57-product-data_en.xlsx" TargetMode="External"/><Relationship Id="rId1057" Type="http://schemas.openxmlformats.org/officeDocument/2006/relationships/hyperlink" Target="https://dailymed.nlm.nih.gov/dailymed/search.cfm?labeltype=all&amp;query=carboprost" TargetMode="External"/><Relationship Id="rId1058" Type="http://schemas.openxmlformats.org/officeDocument/2006/relationships/hyperlink" Target="https://dailymed.nlm.nih.gov/dailymed/lookup.cfm?setid=c1cde9c7-b005-484f-8497-343c5ecd4f0a" TargetMode="External"/><Relationship Id="rId1059" Type="http://schemas.openxmlformats.org/officeDocument/2006/relationships/hyperlink" Target="https://mhraproducts4853.blob.core.windows.net/docs/925bc4c8a8d4a507b955b633951acf444692f0ea" TargetMode="External"/><Relationship Id="rId1060" Type="http://schemas.openxmlformats.org/officeDocument/2006/relationships/hyperlink" Target="https://www.ema.europa.eu/en/documents/other/article-57-product-data_en.xlsx" TargetMode="External"/><Relationship Id="rId1061" Type="http://schemas.openxmlformats.org/officeDocument/2006/relationships/hyperlink" Target="https://mhraproducts4853.blob.core.windows.net/docs/925bc4c8a8d4a507b955b633951acf444692f0ea" TargetMode="External"/><Relationship Id="rId1062" Type="http://schemas.openxmlformats.org/officeDocument/2006/relationships/hyperlink" Target="https://www.ebs.tga.gov.au/servlet/xmlmillr6?dbid=ebs/PublicHTML/pdfStore.nsf&amp;docid=394390&amp;agid=(PrintDetailsPublic)&amp;actionid=1" TargetMode="External"/><Relationship Id="rId1063" Type="http://schemas.openxmlformats.org/officeDocument/2006/relationships/hyperlink" Target="https://dailymed.nlm.nih.gov/dailymed/search.cfm?labeltype=all&amp;query=diphenhydramine+injection" TargetMode="External"/><Relationship Id="rId1064" Type="http://schemas.openxmlformats.org/officeDocument/2006/relationships/hyperlink" Target="https://dailymed.nlm.nih.gov/dailymed/drugInfo.cfm?setid=c2981222-1671-4ecd-a5a2-286f0663f1ae" TargetMode="External"/><Relationship Id="rId1065" Type="http://schemas.openxmlformats.org/officeDocument/2006/relationships/hyperlink" Target="https://dailymed.nlm.nih.gov/dailymed/search.cfm?labeltype=all&amp;query=isoproterenol" TargetMode="External"/><Relationship Id="rId1066" Type="http://schemas.openxmlformats.org/officeDocument/2006/relationships/hyperlink" Target="https://dailymed.nlm.nih.gov/dailymed/drugInfo.cfm?setid=0f6a7651-e7b4-4ada-8ccd-2123d094a113" TargetMode="External"/><Relationship Id="rId1067" Type="http://schemas.openxmlformats.org/officeDocument/2006/relationships/hyperlink" Target="https://dailymed.nlm.nih.gov/dailymed/search.cfm?labeltype=all&amp;query=isoproterenol" TargetMode="External"/><Relationship Id="rId1068" Type="http://schemas.openxmlformats.org/officeDocument/2006/relationships/hyperlink" Target="https://www.ebs.tga.gov.au/servlet/xmlmillr6?dbid=ebs/PublicHTML/pdfStore.nsf&amp;docid=358311&amp;agid=(PrintDetailsPublic)&amp;actionid=1" TargetMode="External"/><Relationship Id="rId1069" Type="http://schemas.openxmlformats.org/officeDocument/2006/relationships/hyperlink" Target="https://dailymed.nlm.nih.gov/dailymed/search.cfm?labeltype=all&amp;query=levetiracetam+injection" TargetMode="External"/><Relationship Id="rId1070" Type="http://schemas.openxmlformats.org/officeDocument/2006/relationships/hyperlink" Target="https://www.ema.europa.eu/en/documents/other/article-57-product-data_en.xlsx" TargetMode="External"/><Relationship Id="rId1071" Type="http://schemas.openxmlformats.org/officeDocument/2006/relationships/hyperlink" Target="https://dailymed.nlm.nih.gov/dailymed/search.cfm?labeltype=all&amp;query=levetiracetam+injection" TargetMode="External"/><Relationship Id="rId1072" Type="http://schemas.openxmlformats.org/officeDocument/2006/relationships/hyperlink" Target="https://www.ebs.tga.gov.au/servlet/xmlmillr6?dbid=ebs/PublicHTML/pdfStore.nsf&amp;docid=397976&amp;agid=(PrintDetailsPublic)&amp;actionid=1" TargetMode="External"/><Relationship Id="rId1073" Type="http://schemas.openxmlformats.org/officeDocument/2006/relationships/hyperlink" Target="https://dailymed.nlm.nih.gov/dailymed/search.cfm?labeltype=all&amp;query=lincomycin" TargetMode="External"/><Relationship Id="rId1074" Type="http://schemas.openxmlformats.org/officeDocument/2006/relationships/hyperlink" Target="https://dailymed.nlm.nih.gov/dailymed/search.cfm?searchdb=ndc&amp;query=68083-478" TargetMode="External"/><Relationship Id="rId1075" Type="http://schemas.openxmlformats.org/officeDocument/2006/relationships/hyperlink" Target="https://dailymed.nlm.nih.gov/dailymed/search.cfm?labeltype=all&amp;query=succinylcholine" TargetMode="External"/><Relationship Id="rId1076" Type="http://schemas.openxmlformats.org/officeDocument/2006/relationships/hyperlink" Target="https://dailymed.nlm.nih.gov/dailymed/drugInfo.cfm?setid=204f1c24-4bf6-40d5-95f3-a732db28e033" TargetMode="External"/><Relationship Id="rId1077" Type="http://schemas.openxmlformats.org/officeDocument/2006/relationships/hyperlink" Target="https://dailymed.nlm.nih.gov/dailymed/search.cfm?labeltype=all&amp;query=verapamil+hydrochloride+injection" TargetMode="External"/><Relationship Id="rId1078" Type="http://schemas.openxmlformats.org/officeDocument/2006/relationships/hyperlink" Target="https://dailymed.nlm.nih.gov/dailymed/drugInfo.cfm?setid=9f19a5b4-286c-2c3f-e053-2a95a90a51df" TargetMode="External"/><Relationship Id="rId1079" Type="http://schemas.openxmlformats.org/officeDocument/2006/relationships/hyperlink" Target="https://dailymed.nlm.nih.gov/dailymed/search.cfm?labeltype=all&amp;query=bupivacaine" TargetMode="External"/><Relationship Id="rId1080" Type="http://schemas.openxmlformats.org/officeDocument/2006/relationships/hyperlink" Target="https://dailymed.nlm.nih.gov/dailymed/drugInfo.cfm?setid=f29c905e-9a55-446f-a89d-860ad9ade7ad" TargetMode="External"/><Relationship Id="rId1081" Type="http://schemas.openxmlformats.org/officeDocument/2006/relationships/hyperlink" Target="https://dailymed.nlm.nih.gov/dailymed/search.cfm?labeltype=all&amp;query=carboprost" TargetMode="External"/><Relationship Id="rId1082" Type="http://schemas.openxmlformats.org/officeDocument/2006/relationships/hyperlink" Target="https://dailymed.nlm.nih.gov/dailymed/lookup.cfm?setid=c1cde9c7-b005-484f-8497-343c5ecd4f0a" TargetMode="External"/><Relationship Id="rId1083" Type="http://schemas.openxmlformats.org/officeDocument/2006/relationships/hyperlink" Target="https://dailymed.nlm.nih.gov/dailymed/search.cfm?labeltype=all&amp;query=meropenem" TargetMode="External"/><Relationship Id="rId1084" Type="http://schemas.openxmlformats.org/officeDocument/2006/relationships/hyperlink" Target="https://base-donnees-publique.medicaments.gouv.fr/index.php?page=1&amp;choixRecherche=medicament&amp;txtCaracteres=Meropenem%20Steriscience&amp;action=show" TargetMode="External"/><Relationship Id="rId1085" Type="http://schemas.openxmlformats.org/officeDocument/2006/relationships/hyperlink" Target="https://www.ema.europa.eu/en/documents/other/article-57-product-data_en.xlsx" TargetMode="External"/><Relationship Id="rId1086" Type="http://schemas.openxmlformats.org/officeDocument/2006/relationships/hyperlink" Target="https://dailymed.nlm.nih.gov/dailymed/search.cfm?labeltype=all&amp;query=methohexital" TargetMode="External"/><Relationship Id="rId1087" Type="http://schemas.openxmlformats.org/officeDocument/2006/relationships/hyperlink" Target="https://dailymed.nlm.nih.gov/dailymed/search.cfm?searchdb=ndc&amp;query=83270-003" TargetMode="External"/><Relationship Id="rId1088" Type="http://schemas.openxmlformats.org/officeDocument/2006/relationships/hyperlink" Target="https://dailymed.nlm.nih.gov/dailymed/search.cfm?labeltype=all&amp;query=nafcillin" TargetMode="External"/><Relationship Id="rId1089" Type="http://schemas.openxmlformats.org/officeDocument/2006/relationships/hyperlink" Target="https://dailymed.nlm.nih.gov/dailymed/search.cfm?searchdb=ndc&amp;query=83270-310" TargetMode="External"/><Relationship Id="rId1090" Type="http://schemas.openxmlformats.org/officeDocument/2006/relationships/hyperlink" Target="https://dailymed.nlm.nih.gov/dailymed/search.cfm?labeltype=all&amp;query=alfentanil" TargetMode="External"/><Relationship Id="rId1091" Type="http://schemas.openxmlformats.org/officeDocument/2006/relationships/hyperlink" Target="https://dmd-browser.nhsbsa.nhs.uk/ampp/view/20811" TargetMode="External"/><Relationship Id="rId1092" Type="http://schemas.openxmlformats.org/officeDocument/2006/relationships/hyperlink" Target="https://dailymed.nlm.nih.gov/dailymed/search.cfm?labeltype=all&amp;query=alfentanil" TargetMode="External"/><Relationship Id="rId1093" Type="http://schemas.openxmlformats.org/officeDocument/2006/relationships/hyperlink" Target="https://www.ema.europa.eu/en/documents/other/article-57-product-data_en.xlsx" TargetMode="External"/><Relationship Id="rId1094" Type="http://schemas.openxmlformats.org/officeDocument/2006/relationships/hyperlink" Target="https://dailymed.nlm.nih.gov/dailymed/search.cfm?labeltype=all&amp;query=alfentanil" TargetMode="External"/><Relationship Id="rId1095" Type="http://schemas.openxmlformats.org/officeDocument/2006/relationships/hyperlink" Target="https://base-donnees-publique.medicaments.gouv.fr/index.php?page=1&amp;choixRecherche=medicament&amp;txtCaracteres=Rapifen&amp;action=show" TargetMode="External"/><Relationship Id="rId1096" Type="http://schemas.openxmlformats.org/officeDocument/2006/relationships/hyperlink" Target="https://www.ema.europa.eu/en/documents/other/article-57-product-data_en.xlsx" TargetMode="External"/><Relationship Id="rId1097" Type="http://schemas.openxmlformats.org/officeDocument/2006/relationships/hyperlink" Target="https://dailymed.nlm.nih.gov/dailymed/search.cfm?labeltype=all&amp;query=alfentanil" TargetMode="External"/><Relationship Id="rId1098" Type="http://schemas.openxmlformats.org/officeDocument/2006/relationships/hyperlink" Target="https://www.safetyandquality.gov.au/medicine-finder/rapifen" TargetMode="External"/><Relationship Id="rId1099" Type="http://schemas.openxmlformats.org/officeDocument/2006/relationships/hyperlink" Target="https://dailymed.nlm.nih.gov/dailymed/search.cfm?labeltype=all&amp;query=alfentanil" TargetMode="External"/><Relationship Id="rId1100" Type="http://schemas.openxmlformats.org/officeDocument/2006/relationships/hyperlink" Target="https://www.sahpra.org.za/wp-content/uploads/2020/02/Rapifen_PI_Piramal-Critical-Care_MCC-format-01-February-2010.pdf" TargetMode="External"/><Relationship Id="rId1101" Type="http://schemas.openxmlformats.org/officeDocument/2006/relationships/hyperlink" Target="https://dailymed.nlm.nih.gov/dailymed/search.cfm?labeltype=all&amp;query=baclofen" TargetMode="External"/><Relationship Id="rId1102" Type="http://schemas.openxmlformats.org/officeDocument/2006/relationships/hyperlink" Target="https://dailymed.nlm.nih.gov/dailymed/lookup.cfm?setid=00d3e846-dd92-448d-9ab8-6a07be823cc1" TargetMode="External"/><Relationship Id="rId1103" Type="http://schemas.openxmlformats.org/officeDocument/2006/relationships/hyperlink" Target="https://dailymed.nlm.nih.gov/dailymed/search.cfm?labeltype=all&amp;query=baclofen" TargetMode="External"/><Relationship Id="rId1104" Type="http://schemas.openxmlformats.org/officeDocument/2006/relationships/hyperlink" Target="https://products.mhra.gov.uk/search/?search=baclofen" TargetMode="External"/><Relationship Id="rId1105" Type="http://schemas.openxmlformats.org/officeDocument/2006/relationships/hyperlink" Target="https://dailymed.nlm.nih.gov/dailymed/search.cfm?labeltype=all&amp;query=baclofen" TargetMode="External"/><Relationship Id="rId1106" Type="http://schemas.openxmlformats.org/officeDocument/2006/relationships/hyperlink" Target="https://www.ema.europa.eu/en/documents/other/article-57-product-data_en.xlsx" TargetMode="External"/><Relationship Id="rId1107" Type="http://schemas.openxmlformats.org/officeDocument/2006/relationships/hyperlink" Target="https://dailymed.nlm.nih.gov/dailymed/search.cfm?labeltype=all&amp;query=baclofen" TargetMode="External"/><Relationship Id="rId1108" Type="http://schemas.openxmlformats.org/officeDocument/2006/relationships/hyperlink" Target="https://base-donnees-publique.medicaments.gouv.fr/index.php?page=1&amp;choixRecherche=medicament&amp;txtCaracteres=Spacyr&amp;action=show" TargetMode="External"/><Relationship Id="rId1109" Type="http://schemas.openxmlformats.org/officeDocument/2006/relationships/hyperlink" Target="https://www.ema.europa.eu/en/documents/other/article-57-product-data_en.xlsx" TargetMode="External"/><Relationship Id="rId1110" Type="http://schemas.openxmlformats.org/officeDocument/2006/relationships/hyperlink" Target="https://dailymed.nlm.nih.gov/dailymed/search.cfm?labeltype=all&amp;query=cisatracurium" TargetMode="External"/><Relationship Id="rId1111" Type="http://schemas.openxmlformats.org/officeDocument/2006/relationships/hyperlink" Target="https://dailymed.nlm.nih.gov/dailymed/drugInfo.cfm?setid=d8b5eb77-b393-4cd7-86c5-d2a9d131f96d" TargetMode="External"/><Relationship Id="rId1112" Type="http://schemas.openxmlformats.org/officeDocument/2006/relationships/hyperlink" Target="https://dailymed.nlm.nih.gov/dailymed/search.cfm?labeltype=all&amp;query=etomidate" TargetMode="External"/><Relationship Id="rId1113" Type="http://schemas.openxmlformats.org/officeDocument/2006/relationships/hyperlink" Target="https://www.ema.europa.eu/en/documents/other/article-57-product-data_en.xlsx" TargetMode="External"/><Relationship Id="rId1114" Type="http://schemas.openxmlformats.org/officeDocument/2006/relationships/hyperlink" Target="https://dailymed.nlm.nih.gov/dailymed/search.cfm?labeltype=all&amp;query=etomidate" TargetMode="External"/><Relationship Id="rId1115" Type="http://schemas.openxmlformats.org/officeDocument/2006/relationships/hyperlink" Target="https://base-donnees-publique.medicaments.gouv.fr/index.php?page=1&amp;choixRecherche=medicament&amp;txtCaracteres=Hypnomidate&amp;action=show" TargetMode="External"/><Relationship Id="rId1116" Type="http://schemas.openxmlformats.org/officeDocument/2006/relationships/hyperlink" Target="https://www.ema.europa.eu/en/documents/other/article-57-product-data_en.xlsx" TargetMode="External"/><Relationship Id="rId1117" Type="http://schemas.openxmlformats.org/officeDocument/2006/relationships/hyperlink" Target="https://dailymed.nlm.nih.gov/dailymed/search.cfm?labeltype=all&amp;query=etomidate" TargetMode="External"/><Relationship Id="rId1118" Type="http://schemas.openxmlformats.org/officeDocument/2006/relationships/hyperlink" Target="https://medicineprices.org.za/" TargetMode="External"/><Relationship Id="rId1119" Type="http://schemas.openxmlformats.org/officeDocument/2006/relationships/hyperlink" Target="https://dailymed.nlm.nih.gov/dailymed/search.cfm?labeltype=all&amp;query=fentanyl+citrate+injection" TargetMode="External"/><Relationship Id="rId1120" Type="http://schemas.openxmlformats.org/officeDocument/2006/relationships/hyperlink" Target="https://www.ema.europa.eu/en/documents/other/article-57-product-data_en.xlsx" TargetMode="External"/><Relationship Id="rId1121" Type="http://schemas.openxmlformats.org/officeDocument/2006/relationships/hyperlink" Target="https://dailymed.nlm.nih.gov/dailymed/search.cfm?labeltype=all&amp;query=fentanyl+citrate+injection" TargetMode="External"/><Relationship Id="rId1122" Type="http://schemas.openxmlformats.org/officeDocument/2006/relationships/hyperlink" Target="https://base-donnees-publique.medicaments.gouv.fr/index.php?page=1&amp;choixRecherche=medicament&amp;txtCaracteres=Fentanyl%20Piramal&amp;action=show" TargetMode="External"/><Relationship Id="rId1123" Type="http://schemas.openxmlformats.org/officeDocument/2006/relationships/hyperlink" Target="https://www.ema.europa.eu/en/documents/other/article-57-product-data_en.xlsx" TargetMode="External"/><Relationship Id="rId1124" Type="http://schemas.openxmlformats.org/officeDocument/2006/relationships/hyperlink" Target="https://dailymed.nlm.nih.gov/dailymed/search.cfm?labeltype=all&amp;query=fentanyl+citrate+injection" TargetMode="External"/><Relationship Id="rId1125" Type="http://schemas.openxmlformats.org/officeDocument/2006/relationships/hyperlink" Target="https://www.sahpra.org.za/wp-content/uploads/2020/02/Rapifen_PI_Piramal-Critical-Care_MCC-format-01-February-2010.pdf" TargetMode="External"/><Relationship Id="rId1126" Type="http://schemas.openxmlformats.org/officeDocument/2006/relationships/hyperlink" Target="https://dailymed.nlm.nih.gov/dailymed/search.cfm?labeltype=all&amp;query=remifentanil" TargetMode="External"/><Relationship Id="rId1127" Type="http://schemas.openxmlformats.org/officeDocument/2006/relationships/hyperlink" Target="https://www.ema.europa.eu/en/documents/other/article-57-product-data_en.xlsx" TargetMode="External"/><Relationship Id="rId1128" Type="http://schemas.openxmlformats.org/officeDocument/2006/relationships/hyperlink" Target="https://dailymed.nlm.nih.gov/dailymed/search.cfm?labeltype=all&amp;query=sugammadex" TargetMode="External"/><Relationship Id="rId1129" Type="http://schemas.openxmlformats.org/officeDocument/2006/relationships/hyperlink" Target="https://mhraproducts4853.blob.core.windows.net/docs/65c89059d784c50dab28071e95ac40d97f54368d" TargetMode="External"/><Relationship Id="rId1130" Type="http://schemas.openxmlformats.org/officeDocument/2006/relationships/hyperlink" Target="https://dailymed.nlm.nih.gov/dailymed/search.cfm?labeltype=all&amp;query=sugammadex" TargetMode="External"/><Relationship Id="rId1131" Type="http://schemas.openxmlformats.org/officeDocument/2006/relationships/hyperlink" Target="https://www.ema.europa.eu/en/medicines/human/EPAR/sugammadex-piramal" TargetMode="External"/><Relationship Id="rId1132" Type="http://schemas.openxmlformats.org/officeDocument/2006/relationships/hyperlink" Target="https://www.ema.europa.eu/en/documents/other/article-57-product-data_en.xlsx" TargetMode="External"/><Relationship Id="rId1133" Type="http://schemas.openxmlformats.org/officeDocument/2006/relationships/hyperlink" Target="https://dailymed.nlm.nih.gov/dailymed/search.cfm?labeltype=all&amp;query=sugammadex" TargetMode="External"/><Relationship Id="rId1134" Type="http://schemas.openxmlformats.org/officeDocument/2006/relationships/hyperlink" Target="https://www.ema.europa.eu/en/medicines/human/EPAR/sugammadex-piramal" TargetMode="External"/><Relationship Id="rId1135" Type="http://schemas.openxmlformats.org/officeDocument/2006/relationships/hyperlink" Target="https://www.ema.europa.eu/en/documents/other/article-57-product-data_en.xlsx" TargetMode="External"/><Relationship Id="rId1136" Type="http://schemas.openxmlformats.org/officeDocument/2006/relationships/hyperlink" Target="https://dailymed.nlm.nih.gov/dailymed/search.cfm?labeltype=all&amp;query=cefepime" TargetMode="External"/><Relationship Id="rId1137" Type="http://schemas.openxmlformats.org/officeDocument/2006/relationships/hyperlink" Target="https://www.healthdirect.gov.au/medicines/brand/amt%2C888961000168107/bindozef" TargetMode="External"/><Relationship Id="rId1138" Type="http://schemas.openxmlformats.org/officeDocument/2006/relationships/hyperlink" Target="https://dailymed.nlm.nih.gov/dailymed/search.cfm?labeltype=all&amp;query=ceftazidime" TargetMode="External"/><Relationship Id="rId1139" Type="http://schemas.openxmlformats.org/officeDocument/2006/relationships/hyperlink" Target="https://www.healthdirect.gov.au/medicines/brand/amt%2C933507581000036107/zetaf" TargetMode="External"/><Relationship Id="rId1140" Type="http://schemas.openxmlformats.org/officeDocument/2006/relationships/hyperlink" Target="https://dailymed.nlm.nih.gov/dailymed/search.cfm?labeltype=all&amp;query=hydrocortisone+sodium+succinate" TargetMode="External"/><Relationship Id="rId1141" Type="http://schemas.openxmlformats.org/officeDocument/2006/relationships/hyperlink" Target="https://medicineprices.org.za/" TargetMode="External"/><Relationship Id="rId1142" Type="http://schemas.openxmlformats.org/officeDocument/2006/relationships/hyperlink" Target="https://dailymed.nlm.nih.gov/dailymed/search.cfm?labeltype=all&amp;query=meropenem" TargetMode="External"/><Relationship Id="rId1143" Type="http://schemas.openxmlformats.org/officeDocument/2006/relationships/hyperlink" Target="https://dmd-browser.nhsbsa.nhs.uk/ampp/view/175452" TargetMode="External"/><Relationship Id="rId1144" Type="http://schemas.openxmlformats.org/officeDocument/2006/relationships/hyperlink" Target="https://dailymed.nlm.nih.gov/dailymed/search.cfm?labeltype=all&amp;query=meropenem" TargetMode="External"/><Relationship Id="rId1145" Type="http://schemas.openxmlformats.org/officeDocument/2006/relationships/hyperlink" Target="https://www.ema.europa.eu/en/documents/other/article-57-product-data_en.xlsx" TargetMode="External"/><Relationship Id="rId1146" Type="http://schemas.openxmlformats.org/officeDocument/2006/relationships/hyperlink" Target="https://dailymed.nlm.nih.gov/dailymed/search.cfm?labeltype=all&amp;query=piperacillin+and+tazobactam" TargetMode="External"/><Relationship Id="rId1147" Type="http://schemas.openxmlformats.org/officeDocument/2006/relationships/hyperlink" Target="https://www.healthdirect.gov.au/medicines/brand/amt%2C933703631000036101/piptaz-2-g-0.25-g-auro" TargetMode="External"/><Relationship Id="rId1148" Type="http://schemas.openxmlformats.org/officeDocument/2006/relationships/hyperlink" Target="https://dailymed.nlm.nih.gov/dailymed/search.cfm?labeltype=all&amp;query=aripiprazole" TargetMode="External"/><Relationship Id="rId1149" Type="http://schemas.openxmlformats.org/officeDocument/2006/relationships/hyperlink" Target="https://mhraproducts4853.blob.core.windows.net/docs/3f1e00ed4b97700f12503d40822ed0706e54eaed" TargetMode="External"/><Relationship Id="rId1150" Type="http://schemas.openxmlformats.org/officeDocument/2006/relationships/hyperlink" Target="https://dailymed.nlm.nih.gov/dailymed/search.cfm?labeltype=all&amp;query=aripiprazole" TargetMode="External"/><Relationship Id="rId1151" Type="http://schemas.openxmlformats.org/officeDocument/2006/relationships/hyperlink" Target="https://www.ebs.tga.gov.au/ebs/picmi/picmirepository.nsf/pdf?OpenAgent&amp;id=CP-2025-PI-01168-1" TargetMode="External"/><Relationship Id="rId1152" Type="http://schemas.openxmlformats.org/officeDocument/2006/relationships/hyperlink" Target="https://dailymed.nlm.nih.gov/dailymed/search.cfm?labeltype=all&amp;query=bortezomib" TargetMode="External"/><Relationship Id="rId1153" Type="http://schemas.openxmlformats.org/officeDocument/2006/relationships/hyperlink" Target="https://mhraproducts4853.blob.core.windows.net/docs/300ac5b7309146ded231acf96131c8ba8ea5dc2e" TargetMode="External"/><Relationship Id="rId1154" Type="http://schemas.openxmlformats.org/officeDocument/2006/relationships/hyperlink" Target="https://dailymed.nlm.nih.gov/dailymed/search.cfm?labeltype=all&amp;query=bortezomib" TargetMode="External"/><Relationship Id="rId1155" Type="http://schemas.openxmlformats.org/officeDocument/2006/relationships/hyperlink" Target="https://www.ema.europa.eu/en/medicines/human/EPAR/bortezomib-sun" TargetMode="External"/><Relationship Id="rId1156" Type="http://schemas.openxmlformats.org/officeDocument/2006/relationships/hyperlink" Target="https://www.ema.europa.eu/en/documents/other/article-57-product-data_en.xlsx" TargetMode="External"/><Relationship Id="rId1157" Type="http://schemas.openxmlformats.org/officeDocument/2006/relationships/hyperlink" Target="https://dailymed.nlm.nih.gov/dailymed/search.cfm?labeltype=all&amp;query=bortezomib" TargetMode="External"/><Relationship Id="rId1158" Type="http://schemas.openxmlformats.org/officeDocument/2006/relationships/hyperlink" Target="https://pdf.hres.ca/dpd_pm/00067579.PDF" TargetMode="External"/><Relationship Id="rId1159" Type="http://schemas.openxmlformats.org/officeDocument/2006/relationships/hyperlink" Target="https://dailymed.nlm.nih.gov/dailymed/search.cfm?labeltype=all&amp;query=bortezomib" TargetMode="External"/><Relationship Id="rId1160" Type="http://schemas.openxmlformats.org/officeDocument/2006/relationships/hyperlink" Target="https://www.ema.europa.eu/en/medicines/human/EPAR/bortezomib-sun" TargetMode="External"/><Relationship Id="rId1161" Type="http://schemas.openxmlformats.org/officeDocument/2006/relationships/hyperlink" Target="https://www.ema.europa.eu/en/documents/other/article-57-product-data_en.xlsx" TargetMode="External"/><Relationship Id="rId1162" Type="http://schemas.openxmlformats.org/officeDocument/2006/relationships/hyperlink" Target="https://dailymed.nlm.nih.gov/dailymed/search.cfm?labeltype=all&amp;query=bortezomib" TargetMode="External"/><Relationship Id="rId1163" Type="http://schemas.openxmlformats.org/officeDocument/2006/relationships/hyperlink" Target="https://pi-pil-repository.sahpra.org.za/wp-content/uploads/2026/02/Botigen-pil.pdf" TargetMode="External"/><Relationship Id="rId1164" Type="http://schemas.openxmlformats.org/officeDocument/2006/relationships/hyperlink" Target="https://dailymed.nlm.nih.gov/dailymed/search.cfm?labeltype=all&amp;query=chlorothiazide" TargetMode="External"/><Relationship Id="rId1165" Type="http://schemas.openxmlformats.org/officeDocument/2006/relationships/hyperlink" Target="https://dailymed.nlm.nih.gov/dailymed/drugInfo.cfm?setid=bf921935-9740-458e-b786-69f76d8ad139" TargetMode="External"/><Relationship Id="rId1166" Type="http://schemas.openxmlformats.org/officeDocument/2006/relationships/hyperlink" Target="https://dailymed.nlm.nih.gov/dailymed/search.cfm?labeltype=all&amp;query=doxorubicin" TargetMode="External"/><Relationship Id="rId1167" Type="http://schemas.openxmlformats.org/officeDocument/2006/relationships/hyperlink" Target="https://dailymed.nlm.nih.gov/dailymed/drugInfo.cfm?setid=6bcde92b-e584-4919-866a-68847ea201ba" TargetMode="External"/><Relationship Id="rId1168" Type="http://schemas.openxmlformats.org/officeDocument/2006/relationships/hyperlink" Target="https://dailymed.nlm.nih.gov/dailymed/search.cfm?labeltype=all&amp;query=doxorubicin" TargetMode="External"/><Relationship Id="rId1169" Type="http://schemas.openxmlformats.org/officeDocument/2006/relationships/hyperlink" Target="https://www.ema.europa.eu/en/documents/other/article-57-product-data_en.xlsx" TargetMode="External"/><Relationship Id="rId1170" Type="http://schemas.openxmlformats.org/officeDocument/2006/relationships/hyperlink" Target="https://dailymed.nlm.nih.gov/dailymed/search.cfm?labeltype=all&amp;query=esomeprazole+sodium" TargetMode="External"/><Relationship Id="rId1171" Type="http://schemas.openxmlformats.org/officeDocument/2006/relationships/hyperlink" Target="https://www.ema.europa.eu/en/documents/other/article-57-product-data_en.xlsx" TargetMode="External"/><Relationship Id="rId1172" Type="http://schemas.openxmlformats.org/officeDocument/2006/relationships/hyperlink" Target="https://dailymed.nlm.nih.gov/dailymed/search.cfm?labeltype=all&amp;query=esomeprazole+sodium" TargetMode="External"/><Relationship Id="rId1173" Type="http://schemas.openxmlformats.org/officeDocument/2006/relationships/hyperlink" Target="https://base-donnees-publique.medicaments.gouv.fr/index.php?page=1&amp;choixRecherche=medicament&amp;txtCaracteres=Esomeprazole%20Sun&amp;action=show" TargetMode="External"/><Relationship Id="rId1174" Type="http://schemas.openxmlformats.org/officeDocument/2006/relationships/hyperlink" Target="https://www.ema.europa.eu/en/documents/other/article-57-product-data_en.xlsx" TargetMode="External"/><Relationship Id="rId1175" Type="http://schemas.openxmlformats.org/officeDocument/2006/relationships/hyperlink" Target="https://dailymed.nlm.nih.gov/dailymed/search.cfm?labeltype=all&amp;query=esomeprazole+sodium" TargetMode="External"/><Relationship Id="rId1176" Type="http://schemas.openxmlformats.org/officeDocument/2006/relationships/hyperlink" Target="https://www.safetyandquality.gov.au/medicine-finder/esomeprazole-sun" TargetMode="External"/><Relationship Id="rId1177" Type="http://schemas.openxmlformats.org/officeDocument/2006/relationships/hyperlink" Target="https://dailymed.nlm.nih.gov/dailymed/search.cfm?labeltype=all&amp;query=fulvestrant" TargetMode="External"/><Relationship Id="rId1178" Type="http://schemas.openxmlformats.org/officeDocument/2006/relationships/hyperlink" Target="https://mhraproducts4853.blob.core.windows.net/docs/aecc2774280857fc21e451486124f7b54d8cd890" TargetMode="External"/><Relationship Id="rId1179" Type="http://schemas.openxmlformats.org/officeDocument/2006/relationships/hyperlink" Target="https://dailymed.nlm.nih.gov/dailymed/search.cfm?labeltype=all&amp;query=fulvestrant" TargetMode="External"/><Relationship Id="rId1180" Type="http://schemas.openxmlformats.org/officeDocument/2006/relationships/hyperlink" Target="https://www.ema.europa.eu/en/documents/other/article-57-product-data_en.xlsx" TargetMode="External"/><Relationship Id="rId1181" Type="http://schemas.openxmlformats.org/officeDocument/2006/relationships/hyperlink" Target="https://dailymed.nlm.nih.gov/dailymed/search.cfm?labeltype=all&amp;query=fulvestrant" TargetMode="External"/><Relationship Id="rId1182" Type="http://schemas.openxmlformats.org/officeDocument/2006/relationships/hyperlink" Target="https://www.ema.europa.eu/en/documents/other/article-57-product-data_en.xlsx" TargetMode="External"/><Relationship Id="rId1183" Type="http://schemas.openxmlformats.org/officeDocument/2006/relationships/hyperlink" Target="https://dailymed.nlm.nih.gov/dailymed/search.cfm?labeltype=all&amp;query=melphalan+hydrochloride" TargetMode="External"/><Relationship Id="rId1184" Type="http://schemas.openxmlformats.org/officeDocument/2006/relationships/hyperlink" Target="https://www.ema.europa.eu/en/documents/other/article-57-product-data_en.xlsx" TargetMode="External"/><Relationship Id="rId1185" Type="http://schemas.openxmlformats.org/officeDocument/2006/relationships/hyperlink" Target="https://dailymed.nlm.nih.gov/dailymed/search.cfm?labeltype=all&amp;query=melphalan+hydrochloride" TargetMode="External"/><Relationship Id="rId1186" Type="http://schemas.openxmlformats.org/officeDocument/2006/relationships/hyperlink" Target="https://health-products.canada.ca/dpd-bdpp/info?code=97057&amp;lang=eng" TargetMode="External"/><Relationship Id="rId1187" Type="http://schemas.openxmlformats.org/officeDocument/2006/relationships/hyperlink" Target="https://dailymed.nlm.nih.gov/dailymed/search.cfm?labeltype=all&amp;query=melphalan+hydrochloride" TargetMode="External"/><Relationship Id="rId1188" Type="http://schemas.openxmlformats.org/officeDocument/2006/relationships/hyperlink" Target="https://base-donnees-publique.medicaments.gouv.fr/index.php?page=1&amp;choixRecherche=medicament&amp;txtCaracteres=Melphalan%20Sun&amp;action=show" TargetMode="External"/><Relationship Id="rId1189" Type="http://schemas.openxmlformats.org/officeDocument/2006/relationships/hyperlink" Target="https://www.ema.europa.eu/en/documents/other/article-57-product-data_en.xlsx" TargetMode="External"/><Relationship Id="rId1190" Type="http://schemas.openxmlformats.org/officeDocument/2006/relationships/hyperlink" Target="https://dailymed.nlm.nih.gov/dailymed/search.cfm?labeltype=all&amp;query=meropenem" TargetMode="External"/><Relationship Id="rId1191" Type="http://schemas.openxmlformats.org/officeDocument/2006/relationships/hyperlink" Target="https://dmd-browser.nhsbsa.nhs.uk/ampp/view/175452" TargetMode="External"/><Relationship Id="rId1192" Type="http://schemas.openxmlformats.org/officeDocument/2006/relationships/hyperlink" Target="https://dailymed.nlm.nih.gov/dailymed/search.cfm?labeltype=all&amp;query=meropenem" TargetMode="External"/><Relationship Id="rId1193" Type="http://schemas.openxmlformats.org/officeDocument/2006/relationships/hyperlink" Target="https://www.ema.europa.eu/en/documents/other/article-57-product-data_en.xlsx" TargetMode="External"/><Relationship Id="rId1194" Type="http://schemas.openxmlformats.org/officeDocument/2006/relationships/hyperlink" Target="https://dailymed.nlm.nih.gov/dailymed/search.cfm?labeltype=all&amp;query=meropenem" TargetMode="External"/><Relationship Id="rId1195" Type="http://schemas.openxmlformats.org/officeDocument/2006/relationships/hyperlink" Target="https://health-products.canada.ca/dpd-bdpp/info?code=90612&amp;lang=eng" TargetMode="External"/><Relationship Id="rId1196" Type="http://schemas.openxmlformats.org/officeDocument/2006/relationships/hyperlink" Target="https://dailymed.nlm.nih.gov/dailymed/search.cfm?labeltype=all&amp;query=meropenem" TargetMode="External"/><Relationship Id="rId1197" Type="http://schemas.openxmlformats.org/officeDocument/2006/relationships/hyperlink" Target="https://www.ema.europa.eu/en/documents/other/article-57-product-data_en.xlsx" TargetMode="External"/><Relationship Id="rId1198" Type="http://schemas.openxmlformats.org/officeDocument/2006/relationships/hyperlink" Target="https://dailymed.nlm.nih.gov/dailymed/search.cfm?labeltype=all&amp;query=meropenem" TargetMode="External"/><Relationship Id="rId1199" Type="http://schemas.openxmlformats.org/officeDocument/2006/relationships/hyperlink" Target="https://www.tga.gov.au/resources/artg/167024" TargetMode="External"/><Relationship Id="rId1200" Type="http://schemas.openxmlformats.org/officeDocument/2006/relationships/hyperlink" Target="https://dailymed.nlm.nih.gov/dailymed/search.cfm?labeltype=all&amp;query=meropenem" TargetMode="External"/><Relationship Id="rId1201" Type="http://schemas.openxmlformats.org/officeDocument/2006/relationships/hyperlink" Target="https://medsinfoportal.sahpra.org.za/pil/0d412c0ea487c6e954a1603a1de0815a.pdf" TargetMode="External"/><Relationship Id="rId1202" Type="http://schemas.openxmlformats.org/officeDocument/2006/relationships/hyperlink" Target="https://dailymed.nlm.nih.gov/dailymed/search.cfm?labeltype=all&amp;query=octreotide" TargetMode="External"/><Relationship Id="rId1203" Type="http://schemas.openxmlformats.org/officeDocument/2006/relationships/hyperlink" Target="https://www.ema.europa.eu/en/documents/other/article-57-product-data_en.xlsx" TargetMode="External"/><Relationship Id="rId1204" Type="http://schemas.openxmlformats.org/officeDocument/2006/relationships/hyperlink" Target="https://dailymed.nlm.nih.gov/dailymed/search.cfm?labeltype=all&amp;query=octreotide" TargetMode="External"/><Relationship Id="rId1205" Type="http://schemas.openxmlformats.org/officeDocument/2006/relationships/hyperlink" Target="https://www.ema.europa.eu/en/documents/other/article-57-product-data_en.xlsx" TargetMode="External"/><Relationship Id="rId1206" Type="http://schemas.openxmlformats.org/officeDocument/2006/relationships/hyperlink" Target="https://dailymed.nlm.nih.gov/dailymed/search.cfm?labeltype=all&amp;query=octreotide" TargetMode="External"/><Relationship Id="rId1207" Type="http://schemas.openxmlformats.org/officeDocument/2006/relationships/hyperlink" Target="https://www.ebs.tga.gov.au/servlet/xmlmillr6?dbid=ebs/PublicHTML/pdfStore.nsf&amp;docid=311224&amp;agid=(PrintDetailsPublic)&amp;actionid=1" TargetMode="External"/><Relationship Id="rId1208" Type="http://schemas.openxmlformats.org/officeDocument/2006/relationships/hyperlink" Target="https://dailymed.nlm.nih.gov/dailymed/search.cfm?labeltype=all&amp;query=pantoprazole+sodium+for+injection" TargetMode="External"/><Relationship Id="rId1209" Type="http://schemas.openxmlformats.org/officeDocument/2006/relationships/hyperlink" Target="https://dmd-browser.nhsbsa.nhs.uk/ampp/view/96481" TargetMode="External"/><Relationship Id="rId1210" Type="http://schemas.openxmlformats.org/officeDocument/2006/relationships/hyperlink" Target="https://dailymed.nlm.nih.gov/dailymed/search.cfm?labeltype=all&amp;query=pantoprazole+sodium+for+injection" TargetMode="External"/><Relationship Id="rId1211" Type="http://schemas.openxmlformats.org/officeDocument/2006/relationships/hyperlink" Target="https://www.ema.europa.eu/en/documents/other/article-57-product-data_en.xlsx" TargetMode="External"/><Relationship Id="rId1212" Type="http://schemas.openxmlformats.org/officeDocument/2006/relationships/hyperlink" Target="https://dailymed.nlm.nih.gov/dailymed/search.cfm?labeltype=all&amp;query=pantoprazole+sodium+for+injection" TargetMode="External"/><Relationship Id="rId1213" Type="http://schemas.openxmlformats.org/officeDocument/2006/relationships/hyperlink" Target="https://base-donnees-publique.medicaments.gouv.fr/index.php?page=1&amp;choixRecherche=medicament&amp;txtCaracteres=Pantoprazole%20Sun&amp;action=show" TargetMode="External"/><Relationship Id="rId1214" Type="http://schemas.openxmlformats.org/officeDocument/2006/relationships/hyperlink" Target="https://www.ema.europa.eu/en/documents/other/article-57-product-data_en.xlsx" TargetMode="External"/><Relationship Id="rId1215" Type="http://schemas.openxmlformats.org/officeDocument/2006/relationships/hyperlink" Target="https://dailymed.nlm.nih.gov/dailymed/search.cfm?labeltype=all&amp;query=paricalcitol+injection" TargetMode="External"/><Relationship Id="rId1216" Type="http://schemas.openxmlformats.org/officeDocument/2006/relationships/hyperlink" Target="https://www.ema.europa.eu/en/documents/other/article-57-product-data_en.xlsx" TargetMode="External"/><Relationship Id="rId1217" Type="http://schemas.openxmlformats.org/officeDocument/2006/relationships/hyperlink" Target="https://dailymed.nlm.nih.gov/dailymed/search.cfm?labeltype=all&amp;query=sugammadex" TargetMode="External"/><Relationship Id="rId1218" Type="http://schemas.openxmlformats.org/officeDocument/2006/relationships/hyperlink" Target="https://dailymed.nlm.nih.gov/dailymed/drugInfo.cfm?setid=ab41ea1c-266f-421c-8fc4-6e7ff518a75d" TargetMode="External"/><Relationship Id="rId1219" Type="http://schemas.openxmlformats.org/officeDocument/2006/relationships/hyperlink" Target="https://dailymed.nlm.nih.gov/dailymed/search.cfm?labeltype=all&amp;query=sugammadex" TargetMode="External"/><Relationship Id="rId1220" Type="http://schemas.openxmlformats.org/officeDocument/2006/relationships/hyperlink" Target="https://dmd-browser.nhsbsa.nhs.uk/ampp/view/195579" TargetMode="External"/><Relationship Id="rId1221" Type="http://schemas.openxmlformats.org/officeDocument/2006/relationships/hyperlink" Target="https://dailymed.nlm.nih.gov/dailymed/search.cfm?labeltype=all&amp;query=sugammadex" TargetMode="External"/><Relationship Id="rId1222" Type="http://schemas.openxmlformats.org/officeDocument/2006/relationships/hyperlink" Target="https://www.ema.europa.eu/en/documents/other/article-57-product-data_en.xlsx" TargetMode="External"/><Relationship Id="rId1223" Type="http://schemas.openxmlformats.org/officeDocument/2006/relationships/hyperlink" Target="https://dailymed.nlm.nih.gov/dailymed/search.cfm?labeltype=all&amp;query=sugammadex" TargetMode="External"/><Relationship Id="rId1224" Type="http://schemas.openxmlformats.org/officeDocument/2006/relationships/hyperlink" Target="https://www.ema.europa.eu/en/documents/other/article-57-product-data_en.xlsx" TargetMode="External"/><Relationship Id="rId1225" Type="http://schemas.openxmlformats.org/officeDocument/2006/relationships/hyperlink" Target="https://dailymed.nlm.nih.gov/dailymed/search.cfm?labeltype=all&amp;query=sugammadex" TargetMode="External"/><Relationship Id="rId1226" Type="http://schemas.openxmlformats.org/officeDocument/2006/relationships/hyperlink" Target="https://pi-pil-repository.sahpra.org.za/wp-content/uploads/2022/08/Final_PIL_Sumabid_Applicant.pdf" TargetMode="External"/><Relationship Id="rId1227" Type="http://schemas.openxmlformats.org/officeDocument/2006/relationships/hyperlink" Target="https://mhraproducts4853.blob.core.windows.net/docs/45a310f5c66d09f20d9d1eb3a5d48c17c486ac7b" TargetMode="External"/><Relationship Id="rId1228" Type="http://schemas.openxmlformats.org/officeDocument/2006/relationships/hyperlink" Target="https://mhraproducts4853.blob.core.windows.net/docs/bb7e0f317f1d83fcc56a50c2ee7913094c687d19" TargetMode="External"/><Relationship Id="rId1229" Type="http://schemas.openxmlformats.org/officeDocument/2006/relationships/hyperlink" Target="https://mhraproducts4853.blob.core.windows.net/docs/45a310f5c66d09f20d9d1eb3a5d48c17c486ac7b" TargetMode="External"/><Relationship Id="rId1230" Type="http://schemas.openxmlformats.org/officeDocument/2006/relationships/hyperlink" Target="https://www.ema.europa.eu/en/documents/other/article-57-product-data_en.xlsx" TargetMode="External"/><Relationship Id="rId1231" Type="http://schemas.openxmlformats.org/officeDocument/2006/relationships/hyperlink" Target="https://mhraproducts4853.blob.core.windows.net/docs/45a310f5c66d09f20d9d1eb3a5d48c17c486ac7b" TargetMode="External"/><Relationship Id="rId1232" Type="http://schemas.openxmlformats.org/officeDocument/2006/relationships/hyperlink" Target="https://www.ema.europa.eu/en/documents/other/article-57-product-data_en.xlsx" TargetMode="External"/><Relationship Id="rId1233" Type="http://schemas.openxmlformats.org/officeDocument/2006/relationships/hyperlink" Target="https://dailymed.nlm.nih.gov/dailymed/search.cfm?labeltype=all&amp;query=terlipressin" TargetMode="External"/><Relationship Id="rId1234" Type="http://schemas.openxmlformats.org/officeDocument/2006/relationships/hyperlink" Target="https://mhraproducts4853.blob.core.windows.net/docs/87e83833753716c061280fd48b95d5801f88bfa9" TargetMode="External"/><Relationship Id="rId1235" Type="http://schemas.openxmlformats.org/officeDocument/2006/relationships/hyperlink" Target="https://dailymed.nlm.nih.gov/dailymed/search.cfm?labeltype=all&amp;query=terlipressin" TargetMode="External"/><Relationship Id="rId1236" Type="http://schemas.openxmlformats.org/officeDocument/2006/relationships/hyperlink" Target="https://www.ema.europa.eu/en/documents/other/article-57-product-data_en.xlsx" TargetMode="External"/><Relationship Id="rId1237" Type="http://schemas.openxmlformats.org/officeDocument/2006/relationships/hyperlink" Target="https://dailymed.nlm.nih.gov/dailymed/search.cfm?labeltype=all&amp;query=terlipressin" TargetMode="External"/><Relationship Id="rId1238" Type="http://schemas.openxmlformats.org/officeDocument/2006/relationships/hyperlink" Target="https://base-donnees-publique.medicaments.gouv.fr/index.php?page=1&amp;choixRecherche=medicament&amp;txtCaracteres=Terlipressine%20Sun&amp;action=show" TargetMode="External"/><Relationship Id="rId1239" Type="http://schemas.openxmlformats.org/officeDocument/2006/relationships/hyperlink" Target="https://www.ema.europa.eu/en/documents/other/article-57-product-data_en.xlsx" TargetMode="External"/><Relationship Id="rId1240" Type="http://schemas.openxmlformats.org/officeDocument/2006/relationships/hyperlink" Target="https://dailymed.nlm.nih.gov/dailymed/search.cfm?labeltype=all&amp;query=testosterone+cypionate" TargetMode="External"/><Relationship Id="rId1241" Type="http://schemas.openxmlformats.org/officeDocument/2006/relationships/hyperlink" Target="https://health-products.canada.ca/dpd-bdpp/info?code=98589&amp;lang=eng" TargetMode="External"/><Relationship Id="rId1242" Type="http://schemas.openxmlformats.org/officeDocument/2006/relationships/hyperlink" Target="https://dailymed.nlm.nih.gov/dailymed/search.cfm?labeltype=all&amp;query=testosterone+undecanoate" TargetMode="External"/><Relationship Id="rId1243" Type="http://schemas.openxmlformats.org/officeDocument/2006/relationships/hyperlink" Target="https://mhraproducts4853.blob.core.windows.net/docs/f8741f99ca6de4849059aed1dc8b234fa8b588e0" TargetMode="External"/><Relationship Id="rId1244" Type="http://schemas.openxmlformats.org/officeDocument/2006/relationships/hyperlink" Target="https://dailymed.nlm.nih.gov/dailymed/search.cfm?labeltype=all&amp;query=testosterone+undecanoate" TargetMode="External"/><Relationship Id="rId1245" Type="http://schemas.openxmlformats.org/officeDocument/2006/relationships/hyperlink" Target="https://base-donnees-publique.medicaments.gouv.fr/index.php?page=1&amp;choixRecherche=medicament&amp;txtCaracteres=Undecanoate&amp;action=show" TargetMode="External"/><Relationship Id="rId1246" Type="http://schemas.openxmlformats.org/officeDocument/2006/relationships/hyperlink" Target="https://www.ema.europa.eu/en/documents/other/article-57-product-data_en.xlsx" TargetMode="External"/><Relationship Id="rId1247" Type="http://schemas.openxmlformats.org/officeDocument/2006/relationships/hyperlink" Target="https://dailymed.nlm.nih.gov/dailymed/search.cfm?labeltype=all&amp;query=testosterone+undecanoate" TargetMode="External"/><Relationship Id="rId1248" Type="http://schemas.openxmlformats.org/officeDocument/2006/relationships/hyperlink" Target="https://www.tga.gov.au/resources/artg/414397" TargetMode="External"/><Relationship Id="rId1249" Type="http://schemas.openxmlformats.org/officeDocument/2006/relationships/hyperlink" Target="https://dailymed.nlm.nih.gov/dailymed/search.cfm?labeltype=all&amp;query=vecuronium" TargetMode="External"/><Relationship Id="rId1250" Type="http://schemas.openxmlformats.org/officeDocument/2006/relationships/hyperlink" Target="https://mhraproducts4853.blob.core.windows.net/docs/f13255972d04925e4d0ad2e36748738836fae19e" TargetMode="External"/><Relationship Id="rId1251" Type="http://schemas.openxmlformats.org/officeDocument/2006/relationships/hyperlink" Target="https://dailymed.nlm.nih.gov/dailymed/search.cfm?labeltype=all&amp;query=vecuronium" TargetMode="External"/><Relationship Id="rId1252" Type="http://schemas.openxmlformats.org/officeDocument/2006/relationships/hyperlink" Target="https://www.ema.europa.eu/en/documents/other/article-57-product-data_en.xlsx" TargetMode="External"/><Relationship Id="rId1253" Type="http://schemas.openxmlformats.org/officeDocument/2006/relationships/hyperlink" Target="https://dailymed.nlm.nih.gov/dailymed/search.cfm?labeltype=all&amp;query=vecuronium" TargetMode="External"/><Relationship Id="rId1254" Type="http://schemas.openxmlformats.org/officeDocument/2006/relationships/hyperlink" Target="https://www.ema.europa.eu/en/documents/other/article-57-product-data_en.xlsx" TargetMode="External"/><Relationship Id="rId1255" Type="http://schemas.openxmlformats.org/officeDocument/2006/relationships/hyperlink" Target="https://dailymed.nlm.nih.gov/dailymed/search.cfm?labeltype=all&amp;query=vecuronium" TargetMode="External"/><Relationship Id="rId1256" Type="http://schemas.openxmlformats.org/officeDocument/2006/relationships/hyperlink" Target="https://www.healthdirect.gov.au/medicines/brand/amt%2C1305051000168103/vecuronium-sun" TargetMode="External"/><Relationship Id="rId1257" Type="http://schemas.openxmlformats.org/officeDocument/2006/relationships/hyperlink" Target="https://dailymed.nlm.nih.gov/dailymed/search.cfm?labeltype=all&amp;query=vecuronium" TargetMode="External"/><Relationship Id="rId1258" Type="http://schemas.openxmlformats.org/officeDocument/2006/relationships/hyperlink" Target="https://pi-pil-repository.sahpra.org.za/wp-content/uploads/2024/01/2024-01-08-Muscuron-approved-pil.pdf" TargetMode="External"/><Relationship Id="rId1259" Type="http://schemas.openxmlformats.org/officeDocument/2006/relationships/hyperlink" Target="https://dailymed.nlm.nih.gov/dailymed/search.cfm?labeltype=all&amp;query=fulvestrant" TargetMode="External"/><Relationship Id="rId1260" Type="http://schemas.openxmlformats.org/officeDocument/2006/relationships/hyperlink" Target="https://www.ema.europa.eu/en/documents/other/article-57-product-data_en.xlsx" TargetMode="External"/><Relationship Id="rId1261" Type="http://schemas.openxmlformats.org/officeDocument/2006/relationships/hyperlink" Target="https://dailymed.nlm.nih.gov/dailymed/search.cfm?labeltype=all&amp;query=granisetron" TargetMode="External"/><Relationship Id="rId1262" Type="http://schemas.openxmlformats.org/officeDocument/2006/relationships/hyperlink" Target="https://mhraproducts4853.blob.core.windows.net/docs/e257ce9e9b4060c3c4a0c73cd7f61f9b6423679a" TargetMode="External"/><Relationship Id="rId1263" Type="http://schemas.openxmlformats.org/officeDocument/2006/relationships/hyperlink" Target="https://dailymed.nlm.nih.gov/dailymed/search.cfm?labeltype=all&amp;query=granisetron" TargetMode="External"/><Relationship Id="rId1264" Type="http://schemas.openxmlformats.org/officeDocument/2006/relationships/hyperlink" Target="https://www.ema.europa.eu/en/documents/other/article-57-product-data_en.xlsx" TargetMode="External"/><Relationship Id="rId1265" Type="http://schemas.openxmlformats.org/officeDocument/2006/relationships/hyperlink" Target="https://dailymed.nlm.nih.gov/dailymed/search.cfm?labeltype=all&amp;query=levetiracetam+injection" TargetMode="External"/><Relationship Id="rId1266" Type="http://schemas.openxmlformats.org/officeDocument/2006/relationships/hyperlink" Target="https://www.ema.europa.eu/en/documents/other/article-57-product-data_en.xlsx" TargetMode="External"/><Relationship Id="rId1267" Type="http://schemas.openxmlformats.org/officeDocument/2006/relationships/hyperlink" Target="https://dailymed.nlm.nih.gov/dailymed/search.cfm?labeltype=all&amp;query=meropenem" TargetMode="External"/><Relationship Id="rId1268" Type="http://schemas.openxmlformats.org/officeDocument/2006/relationships/hyperlink" Target="https://www.ema.europa.eu/en/documents/other/article-57-product-data_en.xlsx" TargetMode="External"/><Relationship Id="rId1269" Type="http://schemas.openxmlformats.org/officeDocument/2006/relationships/hyperlink" Target="https://dailymed.nlm.nih.gov/dailymed/search.cfm?labeltype=all&amp;query=paliperidone+palmitate" TargetMode="External"/><Relationship Id="rId1270" Type="http://schemas.openxmlformats.org/officeDocument/2006/relationships/hyperlink" Target="https://www.ema.europa.eu/en/documents/other/article-57-product-data_en.xlsx" TargetMode="External"/><Relationship Id="rId1271" Type="http://schemas.openxmlformats.org/officeDocument/2006/relationships/hyperlink" Target="https://dailymed.nlm.nih.gov/dailymed/search.cfm?labeltype=all&amp;query=rocuronium" TargetMode="External"/><Relationship Id="rId1272" Type="http://schemas.openxmlformats.org/officeDocument/2006/relationships/hyperlink" Target="https://medicineprices.org.za/" TargetMode="External"/><Relationship Id="rId1273" Type="http://schemas.openxmlformats.org/officeDocument/2006/relationships/hyperlink" Target="https://dailymed.nlm.nih.gov/dailymed/search.cfm?labeltype=all&amp;query=voriconazole" TargetMode="External"/><Relationship Id="rId1274" Type="http://schemas.openxmlformats.org/officeDocument/2006/relationships/hyperlink" Target="https://www.ema.europa.eu/en/documents/other/article-57-product-data_en.xlsx" TargetMode="External"/><Relationship Id="rId1275" Type="http://schemas.openxmlformats.org/officeDocument/2006/relationships/hyperlink" Target="https://dailymed.nlm.nih.gov/dailymed/search.cfm?labeltype=all&amp;query=bleomycin" TargetMode="External"/><Relationship Id="rId1276" Type="http://schemas.openxmlformats.org/officeDocument/2006/relationships/hyperlink" Target="https://mhraproducts4853.blob.core.windows.net/docs/bb8555ee31d8ac21ce7ea2481563ab908752699c" TargetMode="External"/><Relationship Id="rId1277" Type="http://schemas.openxmlformats.org/officeDocument/2006/relationships/hyperlink" Target="https://dailymed.nlm.nih.gov/dailymed/search.cfm?labeltype=all&amp;query=ceftazidime" TargetMode="External"/><Relationship Id="rId1278" Type="http://schemas.openxmlformats.org/officeDocument/2006/relationships/hyperlink" Target="https://dmd-browser.nhsbsa.nhs.uk/ampp/view/170191" TargetMode="External"/><Relationship Id="rId1279" Type="http://schemas.openxmlformats.org/officeDocument/2006/relationships/hyperlink" Target="https://dailymed.nlm.nih.gov/dailymed/search.cfm?labeltype=all&amp;query=ceftriaxone" TargetMode="External"/><Relationship Id="rId1280" Type="http://schemas.openxmlformats.org/officeDocument/2006/relationships/hyperlink" Target="https://mhraproducts4853.blob.core.windows.net/docs/620992012871d9e5a72bdb1e861678d5901cf630" TargetMode="External"/><Relationship Id="rId1281" Type="http://schemas.openxmlformats.org/officeDocument/2006/relationships/hyperlink" Target="https://dailymed.nlm.nih.gov/dailymed/search.cfm?labeltype=all&amp;query=meropenem" TargetMode="External"/><Relationship Id="rId1282" Type="http://schemas.openxmlformats.org/officeDocument/2006/relationships/hyperlink" Target="https://mhraproducts4853.blob.core.windows.net/docs/acbc6e7bb34bb7ce66320f7e651ff6f476c3ade3" TargetMode="External"/><Relationship Id="rId1283" Type="http://schemas.openxmlformats.org/officeDocument/2006/relationships/hyperlink" Target="https://dailymed.nlm.nih.gov/dailymed/search.cfm?labeltype=all&amp;query=meropenem" TargetMode="External"/><Relationship Id="rId1284" Type="http://schemas.openxmlformats.org/officeDocument/2006/relationships/hyperlink" Target="https://www.ema.europa.eu/en/documents/other/article-57-product-data_en.xlsx" TargetMode="External"/><Relationship Id="rId1285" Type="http://schemas.openxmlformats.org/officeDocument/2006/relationships/hyperlink" Target="https://dailymed.nlm.nih.gov/dailymed/search.cfm?labeltype=all&amp;query=meropenem" TargetMode="External"/><Relationship Id="rId1286" Type="http://schemas.openxmlformats.org/officeDocument/2006/relationships/hyperlink" Target="https://base-donnees-publique.medicaments.gouv.fr/index.php?page=1&amp;choixRecherche=medicament&amp;txtCaracteres=Meropenem%20Venus&amp;action=show" TargetMode="External"/><Relationship Id="rId1287" Type="http://schemas.openxmlformats.org/officeDocument/2006/relationships/hyperlink" Target="https://www.ema.europa.eu/en/documents/other/article-57-product-data_en.xlsx" TargetMode="External"/><Relationship Id="rId1288" Type="http://schemas.openxmlformats.org/officeDocument/2006/relationships/hyperlink" Target="https://dailymed.nlm.nih.gov/dailymed/search.cfm?labeltype=all&amp;query=adenosine" TargetMode="External"/><Relationship Id="rId1289" Type="http://schemas.openxmlformats.org/officeDocument/2006/relationships/hyperlink" Target="https://mhraproducts4853.blob.core.windows.net/docs/ce49908fa961f98a13c36c78620a967d33be1b8b" TargetMode="External"/><Relationship Id="rId1290" Type="http://schemas.openxmlformats.org/officeDocument/2006/relationships/hyperlink" Target="https://dailymed.nlm.nih.gov/dailymed/search.cfm?labeltype=all&amp;query=adenosine" TargetMode="External"/><Relationship Id="rId1291" Type="http://schemas.openxmlformats.org/officeDocument/2006/relationships/hyperlink" Target="https://www.ema.europa.eu/en/documents/other/article-57-product-data_en.xlsx" TargetMode="External"/><Relationship Id="rId1292" Type="http://schemas.openxmlformats.org/officeDocument/2006/relationships/hyperlink" Target="https://dailymed.nlm.nih.gov/dailymed/search.cfm?labeltype=all&amp;query=amikacin" TargetMode="External"/><Relationship Id="rId1293" Type="http://schemas.openxmlformats.org/officeDocument/2006/relationships/hyperlink" Target="https://www.ebs.tga.gov.au/ebs/picmi/picmirepository.nsf/pdf?OpenAgent&amp;id=CP-2018-PI-01293-1" TargetMode="External"/><Relationship Id="rId1294" Type="http://schemas.openxmlformats.org/officeDocument/2006/relationships/hyperlink" Target="https://dailymed.nlm.nih.gov/dailymed/search.cfm?labeltype=all&amp;query=caffeine+citrate" TargetMode="External"/><Relationship Id="rId1295" Type="http://schemas.openxmlformats.org/officeDocument/2006/relationships/hyperlink" Target="https://mhraproducts4853.blob.core.windows.net/docs/eadef0847539ae80277f0273fc908c29f79089c5" TargetMode="External"/><Relationship Id="rId1296" Type="http://schemas.openxmlformats.org/officeDocument/2006/relationships/hyperlink" Target="https://dailymed.nlm.nih.gov/dailymed/search.cfm?labeltype=all&amp;query=caffeine+citrate" TargetMode="External"/><Relationship Id="rId1297" Type="http://schemas.openxmlformats.org/officeDocument/2006/relationships/hyperlink" Target="https://www.ema.europa.eu/en/documents/other/article-57-product-data_en.xlsx" TargetMode="External"/><Relationship Id="rId1298" Type="http://schemas.openxmlformats.org/officeDocument/2006/relationships/hyperlink" Target="https://dailymed.nlm.nih.gov/dailymed/search.cfm?labeltype=all&amp;query=ceftazidime" TargetMode="External"/><Relationship Id="rId1299" Type="http://schemas.openxmlformats.org/officeDocument/2006/relationships/hyperlink" Target="https://dmd-browser.nhsbsa.nhs.uk/ampp/view/110863" TargetMode="External"/><Relationship Id="rId1300" Type="http://schemas.openxmlformats.org/officeDocument/2006/relationships/hyperlink" Target="https://dailymed.nlm.nih.gov/dailymed/search.cfm?labeltype=all&amp;query=ceftazidime" TargetMode="External"/><Relationship Id="rId1301" Type="http://schemas.openxmlformats.org/officeDocument/2006/relationships/hyperlink" Target="https://www.ema.europa.eu/en/documents/other/article-57-product-data_en.xlsx" TargetMode="External"/><Relationship Id="rId1302" Type="http://schemas.openxmlformats.org/officeDocument/2006/relationships/hyperlink" Target="https://dailymed.nlm.nih.gov/dailymed/search.cfm?labeltype=all&amp;query=ceftazidime" TargetMode="External"/><Relationship Id="rId1303" Type="http://schemas.openxmlformats.org/officeDocument/2006/relationships/hyperlink" Target="https://www.ema.europa.eu/en/documents/other/article-57-product-data_en.xlsx" TargetMode="External"/><Relationship Id="rId1304" Type="http://schemas.openxmlformats.org/officeDocument/2006/relationships/hyperlink" Target="https://dailymed.nlm.nih.gov/dailymed/search.cfm?labeltype=all&amp;query=ceftriaxone" TargetMode="External"/><Relationship Id="rId1305" Type="http://schemas.openxmlformats.org/officeDocument/2006/relationships/hyperlink" Target="https://dailymed.nlm.nih.gov/dailymed/drugInfo.cfm?setid=3b36beb7-db94-4b07-8c81-bd2b601a6601" TargetMode="External"/><Relationship Id="rId1306" Type="http://schemas.openxmlformats.org/officeDocument/2006/relationships/hyperlink" Target="https://dailymed.nlm.nih.gov/dailymed/search.cfm?labeltype=all&amp;query=ceftriaxone" TargetMode="External"/><Relationship Id="rId1307" Type="http://schemas.openxmlformats.org/officeDocument/2006/relationships/hyperlink" Target="https://dmd-browser.nhsbsa.nhs.uk/ampp/view/110861" TargetMode="External"/><Relationship Id="rId1308" Type="http://schemas.openxmlformats.org/officeDocument/2006/relationships/hyperlink" Target="https://dailymed.nlm.nih.gov/dailymed/search.cfm?labeltype=all&amp;query=ceftriaxone" TargetMode="External"/><Relationship Id="rId1309" Type="http://schemas.openxmlformats.org/officeDocument/2006/relationships/hyperlink" Target="https://www.ema.europa.eu/en/documents/other/article-57-product-data_en.xlsx" TargetMode="External"/><Relationship Id="rId1310" Type="http://schemas.openxmlformats.org/officeDocument/2006/relationships/hyperlink" Target="https://dailymed.nlm.nih.gov/dailymed/search.cfm?labeltype=all&amp;query=ceftriaxone" TargetMode="External"/><Relationship Id="rId1311" Type="http://schemas.openxmlformats.org/officeDocument/2006/relationships/hyperlink" Target="https://www.ema.europa.eu/en/documents/other/article-57-product-data_en.xlsx" TargetMode="External"/><Relationship Id="rId1312" Type="http://schemas.openxmlformats.org/officeDocument/2006/relationships/hyperlink" Target="https://mhraproducts4853.blob.core.windows.net/docs/468e5b0a68665f15d3d30982865bab14c0c28588" TargetMode="External"/><Relationship Id="rId1313" Type="http://schemas.openxmlformats.org/officeDocument/2006/relationships/hyperlink" Target="https://mhraproducts4853.blob.core.windows.net/docs/f4594f4c3cc23114acb072e65ac513664e1ab8d4" TargetMode="External"/><Relationship Id="rId1314" Type="http://schemas.openxmlformats.org/officeDocument/2006/relationships/hyperlink" Target="https://mhraproducts4853.blob.core.windows.net/docs/468e5b0a68665f15d3d30982865bab14c0c28588" TargetMode="External"/><Relationship Id="rId1315" Type="http://schemas.openxmlformats.org/officeDocument/2006/relationships/hyperlink" Target="https://www.ema.europa.eu/en/documents/other/article-57-product-data_en.xlsx" TargetMode="External"/><Relationship Id="rId1316" Type="http://schemas.openxmlformats.org/officeDocument/2006/relationships/hyperlink" Target="https://dailymed.nlm.nih.gov/dailymed/search.cfm?labeltype=all&amp;query=daptomycin" TargetMode="External"/><Relationship Id="rId1317" Type="http://schemas.openxmlformats.org/officeDocument/2006/relationships/hyperlink" Target="https://dmd-browser.nhsbsa.nhs.uk/ampp/view/197707" TargetMode="External"/><Relationship Id="rId1318" Type="http://schemas.openxmlformats.org/officeDocument/2006/relationships/hyperlink" Target="https://dailymed.nlm.nih.gov/dailymed/search.cfm?labeltype=all&amp;query=daptomycin" TargetMode="External"/><Relationship Id="rId1319" Type="http://schemas.openxmlformats.org/officeDocument/2006/relationships/hyperlink" Target="https://www.ema.europa.eu/en/documents/other/article-57-product-data_en.xlsx" TargetMode="External"/><Relationship Id="rId1320" Type="http://schemas.openxmlformats.org/officeDocument/2006/relationships/hyperlink" Target="https://dailymed.nlm.nih.gov/dailymed/search.cfm?labeltype=all&amp;query=daptomycin" TargetMode="External"/><Relationship Id="rId1321" Type="http://schemas.openxmlformats.org/officeDocument/2006/relationships/hyperlink" Target="https://www.ebs.tga.gov.au/ebs/picmi/picmirepository.nsf/pdf?OpenAgent&amp;id=CP-2023-PI-01384-1" TargetMode="External"/><Relationship Id="rId1322" Type="http://schemas.openxmlformats.org/officeDocument/2006/relationships/hyperlink" Target="https://dailymed.nlm.nih.gov/dailymed/search.cfm?labeltype=all&amp;query=haloperidol+lactate" TargetMode="External"/><Relationship Id="rId1323" Type="http://schemas.openxmlformats.org/officeDocument/2006/relationships/hyperlink" Target="https://mhraproducts4853.blob.core.windows.net/docs/c39d08ff0acc6dc6d5b1523ab09699a21e4f0137" TargetMode="External"/><Relationship Id="rId1324" Type="http://schemas.openxmlformats.org/officeDocument/2006/relationships/hyperlink" Target="https://dailymed.nlm.nih.gov/dailymed/search.cfm?labeltype=all&amp;query=haloperidol+lactate" TargetMode="External"/><Relationship Id="rId1325" Type="http://schemas.openxmlformats.org/officeDocument/2006/relationships/hyperlink" Target="https://www.ema.europa.eu/en/documents/other/article-57-product-data_en.xlsx" TargetMode="External"/><Relationship Id="rId1326" Type="http://schemas.openxmlformats.org/officeDocument/2006/relationships/hyperlink" Target="https://mhraproducts4853.blob.core.windows.net/docs/04229266643a571563250bd73f7732fba1560cbb" TargetMode="External"/><Relationship Id="rId1327" Type="http://schemas.openxmlformats.org/officeDocument/2006/relationships/hyperlink" Target="https://www.ema.europa.eu/en/documents/other/article-57-product-data_en.xlsx" TargetMode="External"/><Relationship Id="rId1328" Type="http://schemas.openxmlformats.org/officeDocument/2006/relationships/hyperlink" Target="https://mhraproducts4853.blob.core.windows.net/docs/04229266643a571563250bd73f7732fba1560cbb" TargetMode="External"/><Relationship Id="rId1329" Type="http://schemas.openxmlformats.org/officeDocument/2006/relationships/hyperlink" Target="https://www.ema.europa.eu/en/documents/other/article-57-product-data_en.xlsx" TargetMode="External"/><Relationship Id="rId1330" Type="http://schemas.openxmlformats.org/officeDocument/2006/relationships/hyperlink" Target="https://mhraproducts4853.blob.core.windows.net/docs/a59d41ba1edb90eeb695d447eeb35327147df3f6" TargetMode="External"/><Relationship Id="rId1331" Type="http://schemas.openxmlformats.org/officeDocument/2006/relationships/hyperlink" Target="https://products.mhra.gov.uk/search/?search=hyoscine" TargetMode="External"/><Relationship Id="rId1332" Type="http://schemas.openxmlformats.org/officeDocument/2006/relationships/hyperlink" Target="https://mhraproducts4853.blob.core.windows.net/docs/a59d41ba1edb90eeb695d447eeb35327147df3f6" TargetMode="External"/><Relationship Id="rId1333" Type="http://schemas.openxmlformats.org/officeDocument/2006/relationships/hyperlink" Target="https://www.ema.europa.eu/en/documents/other/article-57-product-data_en.xlsx" TargetMode="External"/><Relationship Id="rId1334" Type="http://schemas.openxmlformats.org/officeDocument/2006/relationships/hyperlink" Target="https://mhraproducts4853.blob.core.windows.net/docs/a53d61c3e391300f35f11ce363395170f019a5c5" TargetMode="External"/><Relationship Id="rId1335" Type="http://schemas.openxmlformats.org/officeDocument/2006/relationships/hyperlink" Target="https://www.ema.europa.eu/en/documents/other/article-57-product-data_en.xlsx" TargetMode="External"/><Relationship Id="rId1336" Type="http://schemas.openxmlformats.org/officeDocument/2006/relationships/hyperlink" Target="https://mhraproducts4853.blob.core.windows.net/docs/a53d61c3e391300f35f11ce363395170f019a5c5" TargetMode="External"/><Relationship Id="rId1337" Type="http://schemas.openxmlformats.org/officeDocument/2006/relationships/hyperlink" Target="https://www.ebs.tga.gov.au/ebs/picmi/picmirepository.nsf/pdf?OpenAgent&amp;id=CP-2023-PI-01637-1" TargetMode="External"/><Relationship Id="rId1338" Type="http://schemas.openxmlformats.org/officeDocument/2006/relationships/hyperlink" Target="https://dailymed.nlm.nih.gov/dailymed/search.cfm?labeltype=all&amp;query=milrinone" TargetMode="External"/><Relationship Id="rId1339" Type="http://schemas.openxmlformats.org/officeDocument/2006/relationships/hyperlink" Target="https://mhraproducts4853.blob.core.windows.net/docs/8d4555c20d185d4c32c594d228e76e53b76b0650" TargetMode="External"/><Relationship Id="rId1340" Type="http://schemas.openxmlformats.org/officeDocument/2006/relationships/hyperlink" Target="https://dailymed.nlm.nih.gov/dailymed/search.cfm?labeltype=all&amp;query=milrinone" TargetMode="External"/><Relationship Id="rId1341" Type="http://schemas.openxmlformats.org/officeDocument/2006/relationships/hyperlink" Target="https://www.ema.europa.eu/en/documents/other/article-57-product-data_en.xlsx" TargetMode="External"/><Relationship Id="rId1342" Type="http://schemas.openxmlformats.org/officeDocument/2006/relationships/hyperlink" Target="https://dailymed.nlm.nih.gov/dailymed/search.cfm?labeltype=all&amp;query=milrinone" TargetMode="External"/><Relationship Id="rId1343" Type="http://schemas.openxmlformats.org/officeDocument/2006/relationships/hyperlink" Target="https://www.ema.europa.eu/en/documents/other/article-57-product-data_en.xlsx" TargetMode="External"/><Relationship Id="rId1344" Type="http://schemas.openxmlformats.org/officeDocument/2006/relationships/hyperlink" Target="https://dailymed.nlm.nih.gov/dailymed/search.cfm?labeltype=all&amp;query=morphine+sulfate+injection" TargetMode="External"/><Relationship Id="rId1345" Type="http://schemas.openxmlformats.org/officeDocument/2006/relationships/hyperlink" Target="https://products.mhra.gov.uk/search/?search=morphine" TargetMode="External"/><Relationship Id="rId1346" Type="http://schemas.openxmlformats.org/officeDocument/2006/relationships/hyperlink" Target="https://dailymed.nlm.nih.gov/dailymed/search.cfm?labeltype=all&amp;query=morphine+sulfate+injection" TargetMode="External"/><Relationship Id="rId1347" Type="http://schemas.openxmlformats.org/officeDocument/2006/relationships/hyperlink" Target="https://www.ema.europa.eu/en/documents/other/article-57-product-data_en.xlsx" TargetMode="External"/><Relationship Id="rId1348" Type="http://schemas.openxmlformats.org/officeDocument/2006/relationships/hyperlink" Target="https://dailymed.nlm.nih.gov/dailymed/search.cfm?labeltype=all&amp;query=ondansetron+injection" TargetMode="External"/><Relationship Id="rId1349" Type="http://schemas.openxmlformats.org/officeDocument/2006/relationships/hyperlink" Target="https://www.ema.europa.eu/en/documents/other/article-57-product-data_en.xlsx" TargetMode="External"/><Relationship Id="rId1350" Type="http://schemas.openxmlformats.org/officeDocument/2006/relationships/hyperlink" Target="https://dailymed.nlm.nih.gov/dailymed/search.cfm?labeltype=all&amp;query=oxacillin" TargetMode="External"/><Relationship Id="rId1351" Type="http://schemas.openxmlformats.org/officeDocument/2006/relationships/hyperlink" Target="https://dailymed.nlm.nih.gov/dailymed/search.cfm?searchdb=ndc&amp;query=64679-698" TargetMode="External"/><Relationship Id="rId1352" Type="http://schemas.openxmlformats.org/officeDocument/2006/relationships/hyperlink" Target="https://dailymed.nlm.nih.gov/dailymed/search.cfm?labeltype=all&amp;query=protamine" TargetMode="External"/><Relationship Id="rId1353" Type="http://schemas.openxmlformats.org/officeDocument/2006/relationships/hyperlink" Target="https://dmd-browser.nhsbsa.nhs.uk/ampp/view/64125" TargetMode="External"/><Relationship Id="rId1354" Type="http://schemas.openxmlformats.org/officeDocument/2006/relationships/hyperlink" Target="https://dailymed.nlm.nih.gov/dailymed/search.cfm?labeltype=all&amp;query=protamine" TargetMode="External"/><Relationship Id="rId1355" Type="http://schemas.openxmlformats.org/officeDocument/2006/relationships/hyperlink" Target="https://www.ema.europa.eu/en/documents/other/article-57-product-data_en.xlsx" TargetMode="External"/><Relationship Id="rId1356" Type="http://schemas.openxmlformats.org/officeDocument/2006/relationships/hyperlink" Target="https://dailymed.nlm.nih.gov/dailymed/search.cfm?labeltype=all&amp;query=remifentanil" TargetMode="External"/><Relationship Id="rId1357" Type="http://schemas.openxmlformats.org/officeDocument/2006/relationships/hyperlink" Target="https://dmd-browser.nhsbsa.nhs.uk/ampp/view/87654" TargetMode="External"/><Relationship Id="rId1358" Type="http://schemas.openxmlformats.org/officeDocument/2006/relationships/hyperlink" Target="https://dailymed.nlm.nih.gov/dailymed/search.cfm?labeltype=all&amp;query=remifentanil" TargetMode="External"/><Relationship Id="rId1359" Type="http://schemas.openxmlformats.org/officeDocument/2006/relationships/hyperlink" Target="https://www.ema.europa.eu/en/documents/other/article-57-product-data_en.xlsx" TargetMode="External"/><Relationship Id="rId1360" Type="http://schemas.openxmlformats.org/officeDocument/2006/relationships/hyperlink" Target="https://dailymed.nlm.nih.gov/dailymed/search.cfm?labeltype=all&amp;query=valproate+sodium+injection" TargetMode="External"/><Relationship Id="rId1361" Type="http://schemas.openxmlformats.org/officeDocument/2006/relationships/hyperlink" Target="https://dmd-browser.nhsbsa.nhs.uk/ampp/view/102025" TargetMode="External"/><Relationship Id="rId1362" Type="http://schemas.openxmlformats.org/officeDocument/2006/relationships/hyperlink" Target="https://dailymed.nlm.nih.gov/dailymed/search.cfm?labeltype=all&amp;query=valproate+sodium+injection" TargetMode="External"/><Relationship Id="rId1363" Type="http://schemas.openxmlformats.org/officeDocument/2006/relationships/hyperlink" Target="https://www.ema.europa.eu/en/documents/other/article-57-product-data_en.xlsx" TargetMode="External"/><Relationship Id="rId1364" Type="http://schemas.openxmlformats.org/officeDocument/2006/relationships/hyperlink" Target="https://dailymed.nlm.nih.gov/dailymed/search.cfm?labeltype=all&amp;query=valproate+sodium+injection" TargetMode="External"/><Relationship Id="rId1365" Type="http://schemas.openxmlformats.org/officeDocument/2006/relationships/hyperlink" Target="https://www.tga.gov.au/resources/artg/279248" TargetMode="External"/><Relationship Id="rId1366" Type="http://schemas.openxmlformats.org/officeDocument/2006/relationships/hyperlink" Target="https://dailymed.nlm.nih.gov/dailymed/search.cfm?labeltype=all&amp;query=sugammadex" TargetMode="External"/><Relationship Id="rId1367" Type="http://schemas.openxmlformats.org/officeDocument/2006/relationships/hyperlink" Target="https://dmd-browser.nhsbsa.nhs.uk/ampp/view/197725" TargetMode="External"/><Relationship Id="rId1368" Type="http://schemas.openxmlformats.org/officeDocument/2006/relationships/hyperlink" Target="https://dailymed.nlm.nih.gov/dailymed/search.cfm?labeltype=all&amp;query=sugammadex" TargetMode="External"/><Relationship Id="rId1369" Type="http://schemas.openxmlformats.org/officeDocument/2006/relationships/hyperlink" Target="https://www.ema.europa.eu/en/documents/other/article-57-product-data_en.xlsx" TargetMode="External"/><Relationship Id="rId1370" Type="http://schemas.openxmlformats.org/officeDocument/2006/relationships/hyperlink" Target="https://dailymed.nlm.nih.gov/dailymed/search.cfm?labeltype=all&amp;query=vancomycin+injection" TargetMode="External"/><Relationship Id="rId1371" Type="http://schemas.openxmlformats.org/officeDocument/2006/relationships/hyperlink" Target="https://www.ema.europa.eu/en/documents/other/article-57-product-data_en.xlsx" TargetMode="External"/><Relationship Id="rId1372" Type="http://schemas.openxmlformats.org/officeDocument/2006/relationships/hyperlink" Target="https://dailymed.nlm.nih.gov/dailymed/search.cfm?labeltype=all&amp;query=acetazolamide" TargetMode="External"/><Relationship Id="rId1373" Type="http://schemas.openxmlformats.org/officeDocument/2006/relationships/hyperlink" Target="https://dailymed.nlm.nih.gov/dailymed/search.cfm?labeltype=all&amp;query=Acetazolamide+Sodium" TargetMode="External"/><Relationship Id="rId1374" Type="http://schemas.openxmlformats.org/officeDocument/2006/relationships/hyperlink" Target="https://dailymed.nlm.nih.gov/dailymed/search.cfm?labeltype=all&amp;query=bortezomib" TargetMode="External"/><Relationship Id="rId1375" Type="http://schemas.openxmlformats.org/officeDocument/2006/relationships/hyperlink" Target="https://dailymed.nlm.nih.gov/dailymed/drugInfo.cfm?setid=0eb8daef-18da-43bb-b7c6-38c4c8b5dd80" TargetMode="External"/><Relationship Id="rId1376" Type="http://schemas.openxmlformats.org/officeDocument/2006/relationships/hyperlink" Target="https://dailymed.nlm.nih.gov/dailymed/search.cfm?labeltype=all&amp;query=bortezomib" TargetMode="External"/><Relationship Id="rId1377" Type="http://schemas.openxmlformats.org/officeDocument/2006/relationships/hyperlink" Target="https://mhraproducts4853.blob.core.windows.net/docs/fd1559e1fe8ad5d4484aa5c74fde8d60c48452b0" TargetMode="External"/><Relationship Id="rId1378" Type="http://schemas.openxmlformats.org/officeDocument/2006/relationships/hyperlink" Target="https://dailymed.nlm.nih.gov/dailymed/search.cfm?labeltype=all&amp;query=bortezomib" TargetMode="External"/><Relationship Id="rId1379" Type="http://schemas.openxmlformats.org/officeDocument/2006/relationships/hyperlink" Target="https://www.ema.europa.eu/en/documents/other/article-57-product-data_en.xlsx" TargetMode="External"/><Relationship Id="rId1380" Type="http://schemas.openxmlformats.org/officeDocument/2006/relationships/hyperlink" Target="https://dailymed.nlm.nih.gov/dailymed/search.cfm?labeltype=all&amp;query=bortezomib" TargetMode="External"/><Relationship Id="rId1381" Type="http://schemas.openxmlformats.org/officeDocument/2006/relationships/hyperlink" Target="https://www.ema.europa.eu/en/documents/other/article-57-product-data_en.xlsx" TargetMode="External"/><Relationship Id="rId1382" Type="http://schemas.openxmlformats.org/officeDocument/2006/relationships/hyperlink" Target="https://dailymed.nlm.nih.gov/dailymed/search.cfm?labeltype=all&amp;query=bortezomib" TargetMode="External"/><Relationship Id="rId1383" Type="http://schemas.openxmlformats.org/officeDocument/2006/relationships/hyperlink" Target="https://pi-pil-repository.sahpra.org.za/wp-content/uploads/2025/01/1.3.2-Bortezomib-Zydus-PIL-for-repository.pdf" TargetMode="External"/><Relationship Id="rId1384" Type="http://schemas.openxmlformats.org/officeDocument/2006/relationships/hyperlink" Target="https://dailymed.nlm.nih.gov/dailymed/search.cfm?labeltype=all&amp;query=ceftriaxone" TargetMode="External"/><Relationship Id="rId1385" Type="http://schemas.openxmlformats.org/officeDocument/2006/relationships/hyperlink" Target="https://base-donnees-publique.medicaments.gouv.fr/index.php?page=1&amp;choixRecherche=medicament&amp;txtCaracteres=Ceftriaxone%20Zydus&amp;action=show" TargetMode="External"/><Relationship Id="rId1386" Type="http://schemas.openxmlformats.org/officeDocument/2006/relationships/hyperlink" Target="https://www.ema.europa.eu/en/documents/other/article-57-product-data_en.xlsx" TargetMode="External"/><Relationship Id="rId1387" Type="http://schemas.openxmlformats.org/officeDocument/2006/relationships/hyperlink" Target="https://dailymed.nlm.nih.gov/dailymed/search.cfm?labeltype=all&amp;query=chlorpromazine" TargetMode="External"/><Relationship Id="rId1388" Type="http://schemas.openxmlformats.org/officeDocument/2006/relationships/hyperlink" Target="https://dailymed.nlm.nih.gov/dailymed/lookup.cfm?setid=7cd6dc0d-e98d-40ae-80d4-c15f63056abf" TargetMode="External"/><Relationship Id="rId1389" Type="http://schemas.openxmlformats.org/officeDocument/2006/relationships/hyperlink" Target="https://dailymed.nlm.nih.gov/dailymed/search.cfm?labeltype=all&amp;query=cisatracurium" TargetMode="External"/><Relationship Id="rId1390" Type="http://schemas.openxmlformats.org/officeDocument/2006/relationships/hyperlink" Target="https://dailymed.nlm.nih.gov/dailymed/fda/fdaDrugXsl.cfm?setid=e145a40e-b046-4064-b35e-0da40ff3703e&amp;type=display" TargetMode="External"/><Relationship Id="rId1391" Type="http://schemas.openxmlformats.org/officeDocument/2006/relationships/hyperlink" Target="https://dailymed.nlm.nih.gov/dailymed/search.cfm?labeltype=all&amp;query=cyanocobalamin+injection" TargetMode="External"/><Relationship Id="rId1392" Type="http://schemas.openxmlformats.org/officeDocument/2006/relationships/hyperlink" Target="https://dailymed.nlm.nih.gov/dailymed/drugInfo.cfm?setid=e6712877-ace0-441c-99a9-adf567c0b9a2" TargetMode="External"/><Relationship Id="rId1393" Type="http://schemas.openxmlformats.org/officeDocument/2006/relationships/hyperlink" Target="https://dailymed.nlm.nih.gov/dailymed/search.cfm?labeltype=all&amp;query=ethacrynate+sodium" TargetMode="External"/><Relationship Id="rId1394" Type="http://schemas.openxmlformats.org/officeDocument/2006/relationships/hyperlink" Target="https://dailymed.nlm.nih.gov/dailymed/search.cfm?labeltype=all&amp;query=Ethacrynate+Sodium" TargetMode="External"/><Relationship Id="rId1395" Type="http://schemas.openxmlformats.org/officeDocument/2006/relationships/hyperlink" Target="https://dailymed.nlm.nih.gov/dailymed/search.cfm?labeltype=all&amp;query=etomidate" TargetMode="External"/><Relationship Id="rId1396" Type="http://schemas.openxmlformats.org/officeDocument/2006/relationships/hyperlink" Target="https://dailymed.nlm.nih.gov/dailymed/search.cfm?labeltype=all&amp;query=Etomidate" TargetMode="External"/><Relationship Id="rId1397" Type="http://schemas.openxmlformats.org/officeDocument/2006/relationships/hyperlink" Target="https://dailymed.nlm.nih.gov/dailymed/search.cfm?labeltype=all&amp;query=fluorescein" TargetMode="External"/><Relationship Id="rId1398" Type="http://schemas.openxmlformats.org/officeDocument/2006/relationships/hyperlink" Target="https://dailymed.nlm.nih.gov/dailymed/drugInfo.cfm?setid=19aea137-3f47-4b69-9884-3bff5f79b04a" TargetMode="External"/><Relationship Id="rId1399" Type="http://schemas.openxmlformats.org/officeDocument/2006/relationships/hyperlink" Target="https://dailymed.nlm.nih.gov/dailymed/search.cfm?labeltype=all&amp;query=fulvestrant" TargetMode="External"/><Relationship Id="rId1400" Type="http://schemas.openxmlformats.org/officeDocument/2006/relationships/hyperlink" Target="https://dailymed.nlm.nih.gov/dailymed/drugInfo.cfm?setid=994edf79-20a5-4e3a-bb35-c4fe3e65acba" TargetMode="External"/><Relationship Id="rId1401" Type="http://schemas.openxmlformats.org/officeDocument/2006/relationships/hyperlink" Target="https://dailymed.nlm.nih.gov/dailymed/search.cfm?labeltype=all&amp;query=haloperidol+decanoate" TargetMode="External"/><Relationship Id="rId1402" Type="http://schemas.openxmlformats.org/officeDocument/2006/relationships/hyperlink" Target="https://dailymed.nlm.nih.gov/dailymed/search.cfm?searchdb=ndc&amp;query=70710-1461" TargetMode="External"/><Relationship Id="rId1403" Type="http://schemas.openxmlformats.org/officeDocument/2006/relationships/hyperlink" Target="https://dailymed.nlm.nih.gov/dailymed/search.cfm?labeltype=all&amp;query=hydrocortisone+sodium+succinate" TargetMode="External"/><Relationship Id="rId1404" Type="http://schemas.openxmlformats.org/officeDocument/2006/relationships/hyperlink" Target="https://dailymed.nlm.nih.gov/dailymed/drugInfo.cfm?setid=37534164-9de5-4bb3-9f87-341dfcf90883" TargetMode="External"/><Relationship Id="rId1405" Type="http://schemas.openxmlformats.org/officeDocument/2006/relationships/hyperlink" Target="https://dailymed.nlm.nih.gov/dailymed/search.cfm?labeltype=all&amp;query=indocyanine+green" TargetMode="External"/><Relationship Id="rId1406" Type="http://schemas.openxmlformats.org/officeDocument/2006/relationships/hyperlink" Target="https://dailymed.nlm.nih.gov/dailymed/search.cfm?labeltype=all&amp;query=Indocyanine+Green" TargetMode="External"/><Relationship Id="rId1407" Type="http://schemas.openxmlformats.org/officeDocument/2006/relationships/hyperlink" Target="https://dailymed.nlm.nih.gov/dailymed/search.cfm?labeltype=all&amp;query=iron+sucrose" TargetMode="External"/><Relationship Id="rId1408" Type="http://schemas.openxmlformats.org/officeDocument/2006/relationships/hyperlink" Target="https://medicineprices.org.za/" TargetMode="External"/><Relationship Id="rId1409" Type="http://schemas.openxmlformats.org/officeDocument/2006/relationships/hyperlink" Target="https://dailymed.nlm.nih.gov/dailymed/search.cfm?labeltype=all&amp;query=ondansetron+injection" TargetMode="External"/><Relationship Id="rId1410" Type="http://schemas.openxmlformats.org/officeDocument/2006/relationships/hyperlink" Target="https://medicineprices.org.za/" TargetMode="External"/><Relationship Id="rId1411" Type="http://schemas.openxmlformats.org/officeDocument/2006/relationships/hyperlink" Target="https://dailymed.nlm.nih.gov/dailymed/search.cfm?labeltype=all&amp;query=succinylcholine" TargetMode="External"/><Relationship Id="rId1412" Type="http://schemas.openxmlformats.org/officeDocument/2006/relationships/hyperlink" Target="https://dailymed.nlm.nih.gov/dailymed/drugInfo.cfm?setid=017e5ad4-028e-4e34-ac09-d0c8d64c880a" TargetMode="External"/><Relationship Id="rId1413" Type="http://schemas.openxmlformats.org/officeDocument/2006/relationships/hyperlink" Target="https://dailymed.nlm.nih.gov/dailymed/search.cfm?labeltype=all&amp;query=sugammadex" TargetMode="External"/><Relationship Id="rId1414" Type="http://schemas.openxmlformats.org/officeDocument/2006/relationships/hyperlink" Target="https://dailymed.nlm.nih.gov/dailymed/drugInfo.cfm?setid=ab41ea1c-266f-421c-8fc4-6e7ff518a75d" TargetMode="External"/><Relationship Id="rId1415" Type="http://schemas.openxmlformats.org/officeDocument/2006/relationships/hyperlink" Target="https://dailymed.nlm.nih.gov/dailymed/search.cfm?labeltype=all&amp;query=verapamil+hydrochloride+injection" TargetMode="External"/><Relationship Id="rId1416" Type="http://schemas.openxmlformats.org/officeDocument/2006/relationships/hyperlink" Target="https://dailymed.nlm.nih.gov/dailymed/fda/fdaDrugXsl.cfm?setid=c87c7f7e-cdf5-42c7-a831-a7515d2d51d6&amp;type=display" TargetMode="External"/><Relationship Id="rId1417" Type="http://schemas.openxmlformats.org/officeDocument/2006/relationships/drawing" Target="../drawings/drawing9.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false"/>
  </sheetPr>
  <dimension ref="A1:O33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8"/>
    <col collapsed="false" customWidth="true" hidden="false" outlineLevel="0" max="3" min="3" style="0" width="7"/>
    <col collapsed="false" customWidth="true" hidden="false" outlineLevel="0" max="4" min="4" style="0" width="13"/>
    <col collapsed="false" customWidth="true" hidden="false" outlineLevel="0" max="6" min="5" style="0" width="22"/>
    <col collapsed="false" customWidth="true" hidden="false" outlineLevel="0" max="7" min="7" style="0" width="28"/>
    <col collapsed="false" customWidth="true" hidden="false" outlineLevel="0" max="8" min="8" style="0" width="40"/>
    <col collapsed="false" customWidth="true" hidden="false" outlineLevel="0" max="9" min="9" style="0" width="18"/>
    <col collapsed="false" customWidth="true" hidden="false" outlineLevel="0" max="10" min="10" style="0" width="40"/>
    <col collapsed="false" customWidth="true" hidden="false" outlineLevel="0" max="11" min="11" style="0" width="12"/>
    <col collapsed="false" customWidth="true" hidden="false" outlineLevel="0" max="12" min="12" style="0" width="13"/>
    <col collapsed="false" customWidth="true" hidden="false" outlineLevel="0" max="13" min="13" style="0" width="14"/>
    <col collapsed="false" customWidth="true" hidden="false" outlineLevel="0" max="14" min="14" style="0" width="44"/>
    <col collapsed="false" customWidth="true" hidden="false" outlineLevel="0" max="15" min="15" style="0" width="9"/>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4" customFormat="false" ht="45" hidden="false" customHeight="true" outlineLevel="0" collapsed="false">
      <c r="A4" s="3" t="s">
        <v>3</v>
      </c>
      <c r="B4" s="3" t="s">
        <v>4</v>
      </c>
      <c r="C4" s="3" t="s">
        <v>5</v>
      </c>
      <c r="D4" s="3" t="s">
        <v>6</v>
      </c>
      <c r="E4" s="3" t="s">
        <v>7</v>
      </c>
      <c r="F4" s="3" t="s">
        <v>8</v>
      </c>
      <c r="G4" s="3" t="s">
        <v>9</v>
      </c>
      <c r="H4" s="3" t="s">
        <v>10</v>
      </c>
      <c r="I4" s="3" t="s">
        <v>11</v>
      </c>
      <c r="J4" s="3" t="s">
        <v>12</v>
      </c>
      <c r="K4" s="3" t="s">
        <v>13</v>
      </c>
      <c r="L4" s="3" t="s">
        <v>14</v>
      </c>
      <c r="M4" s="3" t="s">
        <v>15</v>
      </c>
      <c r="N4" s="3" t="s">
        <v>16</v>
      </c>
      <c r="O4" s="4" t="s">
        <v>17</v>
      </c>
    </row>
    <row r="5" customFormat="false" ht="28.35" hidden="false" customHeight="false" outlineLevel="0" collapsed="false">
      <c r="A5" s="5" t="n">
        <f aca="false">IF($O5="","",INT($O5/1000))</f>
        <v>1</v>
      </c>
      <c r="B5" s="6" t="str">
        <f aca="false">IF($O5="","",INDEX(Scoring!$A$29:$A$361,MATCH($O5,Scoring!$AB$29:$AB$361,0)))</f>
        <v>Intas</v>
      </c>
      <c r="C5" s="5" t="n">
        <f aca="false">IF($O5="","",IF(INDEX(Scoring!$P$29:$P$361,MATCH($O5,Scoring!$AB$29:$AB$361,0))="","–",INDEX(Scoring!$P$29:$P$361,MATCH($O5,Scoring!$AB$29:$AB$361,0))))</f>
        <v>1</v>
      </c>
      <c r="D5" s="6" t="str">
        <f aca="false">IF($O5="","",INDEX(Scoring!$Q$29:$Q$361,MATCH($O5,Scoring!$AB$29:$AB$361,0)))</f>
        <v>Priority 1</v>
      </c>
      <c r="E5" s="7" t="str">
        <f aca="false">IF($O5="","",INDEX(Scoring!$AJ$29:$AJ$361,MATCH($O5,Scoring!$AB$29:$AB$361,0)))</f>
        <v>High price · high volume</v>
      </c>
      <c r="F5" s="6" t="str">
        <f aca="false">IF($O5="","",INDEX(Scoring!$B$29:$B$361,MATCH($O5,Scoring!$AB$29:$AB$361,0)))</f>
        <v>Azacitidine</v>
      </c>
      <c r="G5" s="7" t="str">
        <f aca="false">IF($O5="","",INDEX(Scoring!$AG$29:$AG$361,MATCH($O5,Scoring!$AB$29:$AB$361,0)))</f>
        <v>Azacitidine Accord; Azaccord</v>
      </c>
      <c r="H5" s="7" t="str">
        <f aca="false">IF($O5="","",INDEX(Scoring!$C$29:$C$361,MATCH($O5,Scoring!$AB$29:$AB$361,0)))</f>
        <v>Oncology: myelodysplastic syndromes, acute myeloid leukaemia</v>
      </c>
      <c r="I5" s="6" t="str">
        <f aca="false">IF($O5="","",INDEX(Scoring!$I$29:$I$361,MATCH($O5,Scoring!$AB$29:$AB$361,0)))</f>
        <v>Vial</v>
      </c>
      <c r="J5" s="7" t="str">
        <f aca="false">IF($O5="","",INDEX(Scoring!$Z$29:$Z$361,MATCH($O5,Scoring!$AB$29:$AB$361,0)))</f>
        <v>25 mg/mL vial; 100 mg powder vial</v>
      </c>
      <c r="K5" s="8" t="n">
        <f aca="false">IF($O5="","",IF(INDEX(Scoring!$D$29:$D$361,MATCH($O5,Scoring!$AB$29:$AB$361,0))="",INDEX(Scoring!$AF$29:$AF$361,MATCH($O5,Scoring!$AB$29:$AB$361,0)),INDEX(Scoring!$D$29:$D$361,MATCH($O5,Scoring!$AB$29:$AB$361,0))))</f>
        <v>256.12</v>
      </c>
      <c r="L5" s="9" t="n">
        <f aca="false">IF($O5="","",INDEX(Scoring!$M$29:$M$361,MATCH($O5,Scoring!$AB$29:$AB$361,0)))</f>
        <v>632</v>
      </c>
      <c r="M5" s="9" t="n">
        <f aca="false">IF($O5="","",INDEX(Scoring!$F$29:$F$361,MATCH($O5,Scoring!$AB$29:$AB$361,0)))</f>
        <v>42181.7</v>
      </c>
      <c r="N5" s="7" t="str">
        <f aca="false">IF($O5="","",INDEX(Scoring!$AI$29:$AI$361,MATCH($O5,Scoring!$AB$29:$AB$361,0)))</f>
        <v>UK, Australia | EU/EEA: all 30 countries</v>
      </c>
      <c r="O5" s="10" t="n">
        <f aca="false">IFERROR(SMALL(Scoring!$AB$29:$AB$361,1),"")</f>
        <v>1001</v>
      </c>
    </row>
    <row r="6" customFormat="false" ht="41.75" hidden="false" customHeight="false" outlineLevel="0" collapsed="false">
      <c r="A6" s="5" t="n">
        <f aca="false">IF($O6="","",INT($O6/1000))</f>
        <v>1</v>
      </c>
      <c r="B6" s="6" t="str">
        <f aca="false">IF($O6="","",INDEX(Scoring!$A$29:$A$361,MATCH($O6,Scoring!$AB$29:$AB$361,0)))</f>
        <v>Intas</v>
      </c>
      <c r="C6" s="5" t="n">
        <f aca="false">IF($O6="","",IF(INDEX(Scoring!$P$29:$P$361,MATCH($O6,Scoring!$AB$29:$AB$361,0))="","–",INDEX(Scoring!$P$29:$P$361,MATCH($O6,Scoring!$AB$29:$AB$361,0))))</f>
        <v>2</v>
      </c>
      <c r="D6" s="6" t="str">
        <f aca="false">IF($O6="","",INDEX(Scoring!$Q$29:$Q$361,MATCH($O6,Scoring!$AB$29:$AB$361,0)))</f>
        <v>Priority 1</v>
      </c>
      <c r="E6" s="7" t="str">
        <f aca="false">IF($O6="","",INDEX(Scoring!$AJ$29:$AJ$361,MATCH($O6,Scoring!$AB$29:$AB$361,0)))</f>
        <v>High price · high volume</v>
      </c>
      <c r="F6" s="6" t="str">
        <f aca="false">IF($O6="","",INDEX(Scoring!$B$29:$B$361,MATCH($O6,Scoring!$AB$29:$AB$361,0)))</f>
        <v>Bortezomib</v>
      </c>
      <c r="G6" s="7" t="str">
        <f aca="false">IF($O6="","",INDEX(Scoring!$AG$29:$AG$361,MATCH($O6,Scoring!$AB$29:$AB$361,0)))</f>
        <v>Bortezomib; Bortezomib Accord; Bortezomib Intas (+1 more)</v>
      </c>
      <c r="H6" s="7" t="str">
        <f aca="false">IF($O6="","",INDEX(Scoring!$C$29:$C$361,MATCH($O6,Scoring!$AB$29:$AB$361,0)))</f>
        <v>Oncology: multiple myeloma, mantle cell lymphoma</v>
      </c>
      <c r="I6" s="6" t="str">
        <f aca="false">IF($O6="","",INDEX(Scoring!$I$29:$I$361,MATCH($O6,Scoring!$AB$29:$AB$361,0)))</f>
        <v>Vial, Prefilled syringe</v>
      </c>
      <c r="J6" s="7" t="str">
        <f aca="false">IF($O6="","",INDEX(Scoring!$Z$29:$Z$361,MATCH($O6,Scoring!$AB$29:$AB$361,0)))</f>
        <v>2 mg pre-filled syringe; 3.5 mg/1.4 mL vial; 2.5 mg/1 mL vial; 1 mg powder vial (+2 more)</v>
      </c>
      <c r="K6" s="8" t="n">
        <f aca="false">IF($O6="","",IF(INDEX(Scoring!$D$29:$D$361,MATCH($O6,Scoring!$AB$29:$AB$361,0))="",INDEX(Scoring!$AF$29:$AF$361,MATCH($O6,Scoring!$AB$29:$AB$361,0)),INDEX(Scoring!$D$29:$D$361,MATCH($O6,Scoring!$AB$29:$AB$361,0))))</f>
        <v>569.27</v>
      </c>
      <c r="L6" s="9" t="n">
        <f aca="false">IF($O6="","",INDEX(Scoring!$M$29:$M$361,MATCH($O6,Scoring!$AB$29:$AB$361,0)))</f>
        <v>905</v>
      </c>
      <c r="M6" s="9" t="n">
        <f aca="false">IF($O6="","",INDEX(Scoring!$F$29:$F$361,MATCH($O6,Scoring!$AB$29:$AB$361,0)))</f>
        <v>28093.4</v>
      </c>
      <c r="N6" s="7" t="str">
        <f aca="false">IF($O6="","",INDEX(Scoring!$AI$29:$AI$361,MATCH($O6,Scoring!$AB$29:$AB$361,0)))</f>
        <v>UK, Australia, South Africa, UK-NI | EU/EEA: all 30 countries</v>
      </c>
      <c r="O6" s="10" t="n">
        <f aca="false">IFERROR(SMALL(Scoring!$AB$29:$AB$361,2),"")</f>
        <v>1002</v>
      </c>
    </row>
    <row r="7" customFormat="false" ht="28.35" hidden="false" customHeight="false" outlineLevel="0" collapsed="false">
      <c r="A7" s="5" t="n">
        <f aca="false">IF($O7="","",INT($O7/1000))</f>
        <v>1</v>
      </c>
      <c r="B7" s="6" t="str">
        <f aca="false">IF($O7="","",INDEX(Scoring!$A$29:$A$361,MATCH($O7,Scoring!$AB$29:$AB$361,0)))</f>
        <v>Intas</v>
      </c>
      <c r="C7" s="5" t="n">
        <f aca="false">IF($O7="","",IF(INDEX(Scoring!$P$29:$P$361,MATCH($O7,Scoring!$AB$29:$AB$361,0))="","–",INDEX(Scoring!$P$29:$P$361,MATCH($O7,Scoring!$AB$29:$AB$361,0))))</f>
        <v>3</v>
      </c>
      <c r="D7" s="6" t="str">
        <f aca="false">IF($O7="","",INDEX(Scoring!$Q$29:$Q$361,MATCH($O7,Scoring!$AB$29:$AB$361,0)))</f>
        <v>Priority 1</v>
      </c>
      <c r="E7" s="7" t="str">
        <f aca="false">IF($O7="","",INDEX(Scoring!$AJ$29:$AJ$361,MATCH($O7,Scoring!$AB$29:$AB$361,0)))</f>
        <v>High price · high volume</v>
      </c>
      <c r="F7" s="6" t="str">
        <f aca="false">IF($O7="","",INDEX(Scoring!$B$29:$B$361,MATCH($O7,Scoring!$AB$29:$AB$361,0)))</f>
        <v>Pegfilgrastim</v>
      </c>
      <c r="G7" s="7" t="str">
        <f aca="false">IF($O7="","",INDEX(Scoring!$AG$29:$AG$361,MATCH($O7,Scoring!$AB$29:$AB$361,0)))</f>
        <v>Pelgraz</v>
      </c>
      <c r="H7" s="7" t="str">
        <f aca="false">IF($O7="","",INDEX(Scoring!$C$29:$C$361,MATCH($O7,Scoring!$AB$29:$AB$361,0)))</f>
        <v>Oncology support: prevents low white cell counts after chemotherapy</v>
      </c>
      <c r="I7" s="6" t="str">
        <f aca="false">IF($O7="","",INDEX(Scoring!$I$29:$I$361,MATCH($O7,Scoring!$AB$29:$AB$361,0)))</f>
        <v>Prefilled syringe</v>
      </c>
      <c r="J7" s="7" t="str">
        <f aca="false">IF($O7="","",INDEX(Scoring!$Z$29:$Z$361,MATCH($O7,Scoring!$AB$29:$AB$361,0)))</f>
        <v>6 mg/0.6 mL pre-filled syringe</v>
      </c>
      <c r="K7" s="8" t="n">
        <f aca="false">IF($O7="","",IF(INDEX(Scoring!$D$29:$D$361,MATCH($O7,Scoring!$AB$29:$AB$361,0))="",INDEX(Scoring!$AF$29:$AF$361,MATCH($O7,Scoring!$AB$29:$AB$361,0)),INDEX(Scoring!$D$29:$D$361,MATCH($O7,Scoring!$AB$29:$AB$361,0))))</f>
        <v>907.38</v>
      </c>
      <c r="L7" s="9" t="n">
        <f aca="false">IF($O7="","",INDEX(Scoring!$M$29:$M$361,MATCH($O7,Scoring!$AB$29:$AB$361,0)))</f>
        <v>155</v>
      </c>
      <c r="M7" s="9" t="n">
        <f aca="false">IF($O7="","",INDEX(Scoring!$F$29:$F$361,MATCH($O7,Scoring!$AB$29:$AB$361,0)))</f>
        <v>22036.1</v>
      </c>
      <c r="N7" s="7" t="str">
        <f aca="false">IF($O7="","",INDEX(Scoring!$AI$29:$AI$361,MATCH($O7,Scoring!$AB$29:$AB$361,0)))</f>
        <v>UK | EU/EEA: all 30 countries</v>
      </c>
      <c r="O7" s="10" t="n">
        <f aca="false">IFERROR(SMALL(Scoring!$AB$29:$AB$361,3),"")</f>
        <v>1003</v>
      </c>
    </row>
    <row r="8" customFormat="false" ht="41.75" hidden="false" customHeight="false" outlineLevel="0" collapsed="false">
      <c r="A8" s="5" t="n">
        <f aca="false">IF($O8="","",INT($O8/1000))</f>
        <v>1</v>
      </c>
      <c r="B8" s="6" t="str">
        <f aca="false">IF($O8="","",INDEX(Scoring!$A$29:$A$361,MATCH($O8,Scoring!$AB$29:$AB$361,0)))</f>
        <v>Intas</v>
      </c>
      <c r="C8" s="5" t="n">
        <f aca="false">IF($O8="","",IF(INDEX(Scoring!$P$29:$P$361,MATCH($O8,Scoring!$AB$29:$AB$361,0))="","–",INDEX(Scoring!$P$29:$P$361,MATCH($O8,Scoring!$AB$29:$AB$361,0))))</f>
        <v>4</v>
      </c>
      <c r="D8" s="6" t="str">
        <f aca="false">IF($O8="","",INDEX(Scoring!$Q$29:$Q$361,MATCH($O8,Scoring!$AB$29:$AB$361,0)))</f>
        <v>Priority 1</v>
      </c>
      <c r="E8" s="7" t="str">
        <f aca="false">IF($O8="","",INDEX(Scoring!$AJ$29:$AJ$361,MATCH($O8,Scoring!$AB$29:$AB$361,0)))</f>
        <v>High price · high volume</v>
      </c>
      <c r="F8" s="6" t="str">
        <f aca="false">IF($O8="","",INDEX(Scoring!$B$29:$B$361,MATCH($O8,Scoring!$AB$29:$AB$361,0)))</f>
        <v>Methotrexate</v>
      </c>
      <c r="G8" s="7" t="str">
        <f aca="false">IF($O8="","",INDEX(Scoring!$AG$29:$AG$361,MATCH($O8,Scoring!$AB$29:$AB$361,0)))</f>
        <v>Methotrexate; Methotrexate Subcutaneous; Methotrexate Intas</v>
      </c>
      <c r="H8" s="7" t="str">
        <f aca="false">IF($O8="","",INDEX(Scoring!$C$29:$C$361,MATCH($O8,Scoring!$AB$29:$AB$361,0)))</f>
        <v>Oncology and immunology: leukaemia, lymphoma, bone cancer, rheumatoid arthritis, psoriasis</v>
      </c>
      <c r="I8" s="6" t="str">
        <f aca="false">IF($O8="","",INDEX(Scoring!$I$29:$I$361,MATCH($O8,Scoring!$AB$29:$AB$361,0)))</f>
        <v>Vial, Prefilled syringe</v>
      </c>
      <c r="J8" s="7" t="str">
        <f aca="false">IF($O8="","",INDEX(Scoring!$Z$29:$Z$361,MATCH($O8,Scoring!$AB$29:$AB$361,0)))</f>
        <v>50 mg/2 mL vial; 500 mg/20 mL vial; 1000 mg/40 mL vial; 10 mg/0.2 mL pre-filled syringe (+2 more)</v>
      </c>
      <c r="K8" s="8" t="n">
        <f aca="false">IF($O8="","",IF(INDEX(Scoring!$D$29:$D$361,MATCH($O8,Scoring!$AB$29:$AB$361,0))="",INDEX(Scoring!$AF$29:$AF$361,MATCH($O8,Scoring!$AB$29:$AB$361,0)),INDEX(Scoring!$D$29:$D$361,MATCH($O8,Scoring!$AB$29:$AB$361,0))))</f>
        <v>50.77</v>
      </c>
      <c r="L8" s="9" t="n">
        <f aca="false">IF($O8="","",INDEX(Scoring!$M$29:$M$361,MATCH($O8,Scoring!$AB$29:$AB$361,0)))</f>
        <v>996</v>
      </c>
      <c r="M8" s="9" t="n">
        <f aca="false">IF($O8="","",INDEX(Scoring!$F$29:$F$361,MATCH($O8,Scoring!$AB$29:$AB$361,0)))</f>
        <v>13045.6</v>
      </c>
      <c r="N8" s="7" t="str">
        <f aca="false">IF($O8="","",INDEX(Scoring!$AI$29:$AI$361,MATCH($O8,Scoring!$AB$29:$AB$361,0)))</f>
        <v>UK, Canada, Australia, UK-NI | EU/EEA (25): Germany, France, Netherlands, Belgium + 21 more</v>
      </c>
      <c r="O8" s="10" t="n">
        <f aca="false">IFERROR(SMALL(Scoring!$AB$29:$AB$361,4),"")</f>
        <v>1004</v>
      </c>
    </row>
    <row r="9" customFormat="false" ht="41.75" hidden="false" customHeight="false" outlineLevel="0" collapsed="false">
      <c r="A9" s="5" t="n">
        <f aca="false">IF($O9="","",INT($O9/1000))</f>
        <v>1</v>
      </c>
      <c r="B9" s="6" t="str">
        <f aca="false">IF($O9="","",INDEX(Scoring!$A$29:$A$361,MATCH($O9,Scoring!$AB$29:$AB$361,0)))</f>
        <v>Intas</v>
      </c>
      <c r="C9" s="5" t="n">
        <f aca="false">IF($O9="","",IF(INDEX(Scoring!$P$29:$P$361,MATCH($O9,Scoring!$AB$29:$AB$361,0))="","–",INDEX(Scoring!$P$29:$P$361,MATCH($O9,Scoring!$AB$29:$AB$361,0))))</f>
        <v>5</v>
      </c>
      <c r="D9" s="6" t="str">
        <f aca="false">IF($O9="","",INDEX(Scoring!$Q$29:$Q$361,MATCH($O9,Scoring!$AB$29:$AB$361,0)))</f>
        <v>Priority 1</v>
      </c>
      <c r="E9" s="7" t="str">
        <f aca="false">IF($O9="","",INDEX(Scoring!$AJ$29:$AJ$361,MATCH($O9,Scoring!$AB$29:$AB$361,0)))</f>
        <v>High price · high volume</v>
      </c>
      <c r="F9" s="6" t="str">
        <f aca="false">IF($O9="","",INDEX(Scoring!$B$29:$B$361,MATCH($O9,Scoring!$AB$29:$AB$361,0)))</f>
        <v>Fulvestrant</v>
      </c>
      <c r="G9" s="7" t="str">
        <f aca="false">IF($O9="","",INDEX(Scoring!$AG$29:$AG$361,MATCH($O9,Scoring!$AB$29:$AB$361,0)))</f>
        <v>Fulvestrant; Fulvestrant Accord; Fulvestrant Intas (+1 more)</v>
      </c>
      <c r="H9" s="7" t="str">
        <f aca="false">IF($O9="","",INDEX(Scoring!$C$29:$C$361,MATCH($O9,Scoring!$AB$29:$AB$361,0)))</f>
        <v>Oncology: hormone receptor-positive advanced breast cancer</v>
      </c>
      <c r="I9" s="6" t="str">
        <f aca="false">IF($O9="","",INDEX(Scoring!$I$29:$I$361,MATCH($O9,Scoring!$AB$29:$AB$361,0)))</f>
        <v>Prefilled syringe</v>
      </c>
      <c r="J9" s="7" t="str">
        <f aca="false">IF($O9="","",INDEX(Scoring!$Z$29:$Z$361,MATCH($O9,Scoring!$AB$29:$AB$361,0)))</f>
        <v>250 mg/5 mL pre-filled syringe</v>
      </c>
      <c r="K9" s="8" t="n">
        <f aca="false">IF($O9="","",IF(INDEX(Scoring!$D$29:$D$361,MATCH($O9,Scoring!$AB$29:$AB$361,0))="",INDEX(Scoring!$AF$29:$AF$361,MATCH($O9,Scoring!$AB$29:$AB$361,0)),INDEX(Scoring!$D$29:$D$361,MATCH($O9,Scoring!$AB$29:$AB$361,0))))</f>
        <v>246.46</v>
      </c>
      <c r="L9" s="9" t="n">
        <f aca="false">IF($O9="","",INDEX(Scoring!$M$29:$M$361,MATCH($O9,Scoring!$AB$29:$AB$361,0)))</f>
        <v>146</v>
      </c>
      <c r="M9" s="9" t="n">
        <f aca="false">IF($O9="","",INDEX(Scoring!$F$29:$F$361,MATCH($O9,Scoring!$AB$29:$AB$361,0)))</f>
        <v>11366.1</v>
      </c>
      <c r="N9" s="7" t="str">
        <f aca="false">IF($O9="","",INDEX(Scoring!$AI$29:$AI$361,MATCH($O9,Scoring!$AB$29:$AB$361,0)))</f>
        <v>US, UK, Australia, South Africa, UK-NI | EU/EEA (25): Germany, France, Netherlands, Belgium + 21 more</v>
      </c>
      <c r="O9" s="10" t="n">
        <f aca="false">IFERROR(SMALL(Scoring!$AB$29:$AB$361,5),"")</f>
        <v>1005</v>
      </c>
    </row>
    <row r="10" customFormat="false" ht="28.35" hidden="false" customHeight="false" outlineLevel="0" collapsed="false">
      <c r="A10" s="5" t="n">
        <f aca="false">IF($O10="","",INT($O10/1000))</f>
        <v>1</v>
      </c>
      <c r="B10" s="6" t="str">
        <f aca="false">IF($O10="","",INDEX(Scoring!$A$29:$A$361,MATCH($O10,Scoring!$AB$29:$AB$361,0)))</f>
        <v>Intas</v>
      </c>
      <c r="C10" s="5" t="n">
        <f aca="false">IF($O10="","",IF(INDEX(Scoring!$P$29:$P$361,MATCH($O10,Scoring!$AB$29:$AB$361,0))="","–",INDEX(Scoring!$P$29:$P$361,MATCH($O10,Scoring!$AB$29:$AB$361,0))))</f>
        <v>6</v>
      </c>
      <c r="D10" s="6" t="str">
        <f aca="false">IF($O10="","",INDEX(Scoring!$Q$29:$Q$361,MATCH($O10,Scoring!$AB$29:$AB$361,0)))</f>
        <v>Priority 1</v>
      </c>
      <c r="E10" s="7" t="str">
        <f aca="false">IF($O10="","",INDEX(Scoring!$AJ$29:$AJ$361,MATCH($O10,Scoring!$AB$29:$AB$361,0)))</f>
        <v>High price · high volume</v>
      </c>
      <c r="F10" s="6" t="str">
        <f aca="false">IF($O10="","",INDEX(Scoring!$B$29:$B$361,MATCH($O10,Scoring!$AB$29:$AB$361,0)))</f>
        <v>Phenylephrine</v>
      </c>
      <c r="G10" s="7" t="str">
        <f aca="false">IF($O10="","",INDEX(Scoring!$AG$29:$AG$361,MATCH($O10,Scoring!$AB$29:$AB$361,0)))</f>
        <v>Phenylephrine Accord; Phenylcord</v>
      </c>
      <c r="H10" s="7" t="str">
        <f aca="false">IF($O10="","",INDEX(Scoring!$C$29:$C$361,MATCH($O10,Scoring!$AB$29:$AB$361,0)))</f>
        <v>Anaesthesia: low blood pressure during anaesthesia</v>
      </c>
      <c r="I10" s="6" t="str">
        <f aca="false">IF($O10="","",INDEX(Scoring!$I$29:$I$361,MATCH($O10,Scoring!$AB$29:$AB$361,0)))</f>
        <v>Vial</v>
      </c>
      <c r="J10" s="7" t="str">
        <f aca="false">IF($O10="","",INDEX(Scoring!$Z$29:$Z$361,MATCH($O10,Scoring!$AB$29:$AB$361,0)))</f>
        <v>10 mg/1 mL vial; 100 mg/10 mL vial</v>
      </c>
      <c r="K10" s="8" t="n">
        <f aca="false">IF($O10="","",IF(INDEX(Scoring!$D$29:$D$361,MATCH($O10,Scoring!$AB$29:$AB$361,0))="",INDEX(Scoring!$AF$29:$AF$361,MATCH($O10,Scoring!$AB$29:$AB$361,0)),INDEX(Scoring!$D$29:$D$361,MATCH($O10,Scoring!$AB$29:$AB$361,0))))</f>
        <v>32.6</v>
      </c>
      <c r="L10" s="9" t="n">
        <f aca="false">IF($O10="","",INDEX(Scoring!$M$29:$M$361,MATCH($O10,Scoring!$AB$29:$AB$361,0)))</f>
        <v>226</v>
      </c>
      <c r="M10" s="9" t="n">
        <f aca="false">IF($O10="","",INDEX(Scoring!$F$29:$F$361,MATCH($O10,Scoring!$AB$29:$AB$361,0)))</f>
        <v>5695.2</v>
      </c>
      <c r="N10" s="7" t="str">
        <f aca="false">IF($O10="","",INDEX(Scoring!$AI$29:$AI$361,MATCH($O10,Scoring!$AB$29:$AB$361,0)))</f>
        <v>Australia, South Africa</v>
      </c>
      <c r="O10" s="10" t="n">
        <f aca="false">IFERROR(SMALL(Scoring!$AB$29:$AB$361,6),"")</f>
        <v>1006</v>
      </c>
    </row>
    <row r="11" customFormat="false" ht="15" hidden="false" customHeight="false" outlineLevel="0" collapsed="false">
      <c r="A11" s="5" t="n">
        <f aca="false">IF($O11="","",INT($O11/1000))</f>
        <v>1</v>
      </c>
      <c r="B11" s="6" t="str">
        <f aca="false">IF($O11="","",INDEX(Scoring!$A$29:$A$361,MATCH($O11,Scoring!$AB$29:$AB$361,0)))</f>
        <v>Intas</v>
      </c>
      <c r="C11" s="5" t="n">
        <f aca="false">IF($O11="","",IF(INDEX(Scoring!$P$29:$P$361,MATCH($O11,Scoring!$AB$29:$AB$361,0))="","–",INDEX(Scoring!$P$29:$P$361,MATCH($O11,Scoring!$AB$29:$AB$361,0))))</f>
        <v>7</v>
      </c>
      <c r="D11" s="6" t="str">
        <f aca="false">IF($O11="","",INDEX(Scoring!$Q$29:$Q$361,MATCH($O11,Scoring!$AB$29:$AB$361,0)))</f>
        <v>Priority 1</v>
      </c>
      <c r="E11" s="7" t="str">
        <f aca="false">IF($O11="","",INDEX(Scoring!$AJ$29:$AJ$361,MATCH($O11,Scoring!$AB$29:$AB$361,0)))</f>
        <v>High price · high volume</v>
      </c>
      <c r="F11" s="6" t="str">
        <f aca="false">IF($O11="","",INDEX(Scoring!$B$29:$B$361,MATCH($O11,Scoring!$AB$29:$AB$361,0)))</f>
        <v>Epinephrine (Adrenaline)</v>
      </c>
      <c r="G11" s="7" t="str">
        <f aca="false">IF($O11="","",INDEX(Scoring!$AG$29:$AG$361,MATCH($O11,Scoring!$AB$29:$AB$361,0)))</f>
        <v>Adrenaline Accord</v>
      </c>
      <c r="H11" s="7" t="str">
        <f aca="false">IF($O11="","",INDEX(Scoring!$C$29:$C$361,MATCH($O11,Scoring!$AB$29:$AB$361,0)))</f>
        <v>Critical care: anaphylaxis, cardiac arrest, shock</v>
      </c>
      <c r="I11" s="6" t="str">
        <f aca="false">IF($O11="","",INDEX(Scoring!$I$29:$I$361,MATCH($O11,Scoring!$AB$29:$AB$361,0)))</f>
        <v>Prefilled syringe</v>
      </c>
      <c r="J11" s="7" t="str">
        <f aca="false">IF($O11="","",INDEX(Scoring!$Z$29:$Z$361,MATCH($O11,Scoring!$AB$29:$AB$361,0)))</f>
        <v>1 mg/10 mL pre-filled syringe</v>
      </c>
      <c r="K11" s="8" t="n">
        <f aca="false">IF($O11="","",IF(INDEX(Scoring!$D$29:$D$361,MATCH($O11,Scoring!$AB$29:$AB$361,0))="",INDEX(Scoring!$AF$29:$AF$361,MATCH($O11,Scoring!$AB$29:$AB$361,0)),INDEX(Scoring!$D$29:$D$361,MATCH($O11,Scoring!$AB$29:$AB$361,0))))</f>
        <v>28.67</v>
      </c>
      <c r="L11" s="9" t="n">
        <f aca="false">IF($O11="","",INDEX(Scoring!$M$29:$M$361,MATCH($O11,Scoring!$AB$29:$AB$361,0)))</f>
        <v>799</v>
      </c>
      <c r="M11" s="9" t="n">
        <f aca="false">IF($O11="","",INDEX(Scoring!$F$29:$F$361,MATCH($O11,Scoring!$AB$29:$AB$361,0)))</f>
        <v>4049.5</v>
      </c>
      <c r="N11" s="7" t="str">
        <f aca="false">IF($O11="","",INDEX(Scoring!$AI$29:$AI$361,MATCH($O11,Scoring!$AB$29:$AB$361,0)))</f>
        <v>EU/EEA (3): France, Netherlands, Portugal</v>
      </c>
      <c r="O11" s="10" t="n">
        <f aca="false">IFERROR(SMALL(Scoring!$AB$29:$AB$361,7),"")</f>
        <v>1007</v>
      </c>
    </row>
    <row r="12" customFormat="false" ht="28.35" hidden="false" customHeight="false" outlineLevel="0" collapsed="false">
      <c r="A12" s="5" t="n">
        <f aca="false">IF($O12="","",INT($O12/1000))</f>
        <v>1</v>
      </c>
      <c r="B12" s="6" t="str">
        <f aca="false">IF($O12="","",INDEX(Scoring!$A$29:$A$361,MATCH($O12,Scoring!$AB$29:$AB$361,0)))</f>
        <v>Intas</v>
      </c>
      <c r="C12" s="5" t="n">
        <f aca="false">IF($O12="","",IF(INDEX(Scoring!$P$29:$P$361,MATCH($O12,Scoring!$AB$29:$AB$361,0))="","–",INDEX(Scoring!$P$29:$P$361,MATCH($O12,Scoring!$AB$29:$AB$361,0))))</f>
        <v>8</v>
      </c>
      <c r="D12" s="6" t="str">
        <f aca="false">IF($O12="","",INDEX(Scoring!$Q$29:$Q$361,MATCH($O12,Scoring!$AB$29:$AB$361,0)))</f>
        <v>Priority 1</v>
      </c>
      <c r="E12" s="7" t="str">
        <f aca="false">IF($O12="","",INDEX(Scoring!$AJ$29:$AJ$361,MATCH($O12,Scoring!$AB$29:$AB$361,0)))</f>
        <v>High price · high volume</v>
      </c>
      <c r="F12" s="6" t="str">
        <f aca="false">IF($O12="","",INDEX(Scoring!$B$29:$B$361,MATCH($O12,Scoring!$AB$29:$AB$361,0)))</f>
        <v>Bleomycin</v>
      </c>
      <c r="G12" s="7" t="str">
        <f aca="false">IF($O12="","",INDEX(Scoring!$AG$29:$AG$361,MATCH($O12,Scoring!$AB$29:$AB$361,0)))</f>
        <v>Bleomycin; Bleomicina Accord; Bleomycin Accord</v>
      </c>
      <c r="H12" s="7" t="str">
        <f aca="false">IF($O12="","",INDEX(Scoring!$C$29:$C$361,MATCH($O12,Scoring!$AB$29:$AB$361,0)))</f>
        <v>Oncology: Hodgkin lymphoma, testicular and squamous cell cancers</v>
      </c>
      <c r="I12" s="6" t="str">
        <f aca="false">IF($O12="","",INDEX(Scoring!$I$29:$I$361,MATCH($O12,Scoring!$AB$29:$AB$361,0)))</f>
        <v>Vial</v>
      </c>
      <c r="J12" s="7" t="str">
        <f aca="false">IF($O12="","",INDEX(Scoring!$Z$29:$Z$361,MATCH($O12,Scoring!$AB$29:$AB$361,0)))</f>
        <v>15000 IU powder vial</v>
      </c>
      <c r="K12" s="8" t="n">
        <f aca="false">IF($O12="","",IF(INDEX(Scoring!$D$29:$D$361,MATCH($O12,Scoring!$AB$29:$AB$361,0))="",INDEX(Scoring!$AF$29:$AF$361,MATCH($O12,Scoring!$AB$29:$AB$361,0)),INDEX(Scoring!$D$29:$D$361,MATCH($O12,Scoring!$AB$29:$AB$361,0))))</f>
        <v>50.27</v>
      </c>
      <c r="L12" s="9" t="n">
        <f aca="false">IF($O12="","",INDEX(Scoring!$M$29:$M$361,MATCH($O12,Scoring!$AB$29:$AB$361,0)))</f>
        <v>441</v>
      </c>
      <c r="M12" s="9" t="n">
        <f aca="false">IF($O12="","",INDEX(Scoring!$F$29:$F$361,MATCH($O12,Scoring!$AB$29:$AB$361,0)))</f>
        <v>3973.7</v>
      </c>
      <c r="N12" s="7" t="str">
        <f aca="false">IF($O12="","",INDEX(Scoring!$AI$29:$AI$361,MATCH($O12,Scoring!$AB$29:$AB$361,0)))</f>
        <v>UK, Australia, UK-NI | EU/EEA (14): Germany, France, Netherlands, Belgium + 10 more</v>
      </c>
      <c r="O12" s="10" t="n">
        <f aca="false">IFERROR(SMALL(Scoring!$AB$29:$AB$361,8),"")</f>
        <v>1008</v>
      </c>
    </row>
    <row r="13" customFormat="false" ht="28.35" hidden="false" customHeight="false" outlineLevel="0" collapsed="false">
      <c r="A13" s="5" t="n">
        <f aca="false">IF($O13="","",INT($O13/1000))</f>
        <v>1</v>
      </c>
      <c r="B13" s="6" t="str">
        <f aca="false">IF($O13="","",INDEX(Scoring!$A$29:$A$361,MATCH($O13,Scoring!$AB$29:$AB$361,0)))</f>
        <v>Intas</v>
      </c>
      <c r="C13" s="5" t="n">
        <f aca="false">IF($O13="","",IF(INDEX(Scoring!$P$29:$P$361,MATCH($O13,Scoring!$AB$29:$AB$361,0))="","–",INDEX(Scoring!$P$29:$P$361,MATCH($O13,Scoring!$AB$29:$AB$361,0))))</f>
        <v>9</v>
      </c>
      <c r="D13" s="6" t="str">
        <f aca="false">IF($O13="","",INDEX(Scoring!$Q$29:$Q$361,MATCH($O13,Scoring!$AB$29:$AB$361,0)))</f>
        <v>Priority 1</v>
      </c>
      <c r="E13" s="7" t="str">
        <f aca="false">IF($O13="","",INDEX(Scoring!$AJ$29:$AJ$361,MATCH($O13,Scoring!$AB$29:$AB$361,0)))</f>
        <v>High price · high volume</v>
      </c>
      <c r="F13" s="6" t="str">
        <f aca="false">IF($O13="","",INDEX(Scoring!$B$29:$B$361,MATCH($O13,Scoring!$AB$29:$AB$361,0)))</f>
        <v>Denosumab</v>
      </c>
      <c r="G13" s="7" t="str">
        <f aca="false">IF($O13="","",INDEX(Scoring!$AG$29:$AG$361,MATCH($O13,Scoring!$AB$29:$AB$361,0)))</f>
        <v>Jubereq; Dostiva</v>
      </c>
      <c r="H13" s="7" t="str">
        <f aca="false">IF($O13="","",INDEX(Scoring!$C$29:$C$361,MATCH($O13,Scoring!$AB$29:$AB$361,0)))</f>
        <v>Bone health and oncology: bone metastases, osteoporosis</v>
      </c>
      <c r="I13" s="6" t="str">
        <f aca="false">IF($O13="","",INDEX(Scoring!$I$29:$I$361,MATCH($O13,Scoring!$AB$29:$AB$361,0)))</f>
        <v>Vial</v>
      </c>
      <c r="J13" s="7" t="str">
        <f aca="false">IF($O13="","",INDEX(Scoring!$Z$29:$Z$361,MATCH($O13,Scoring!$AB$29:$AB$361,0)))</f>
        <v>120 mg/1.7 mL vial</v>
      </c>
      <c r="K13" s="8" t="n">
        <f aca="false">IF($O13="","",IF(INDEX(Scoring!$D$29:$D$361,MATCH($O13,Scoring!$AB$29:$AB$361,0))="",INDEX(Scoring!$AF$29:$AF$361,MATCH($O13,Scoring!$AB$29:$AB$361,0)),INDEX(Scoring!$D$29:$D$361,MATCH($O13,Scoring!$AB$29:$AB$361,0))))</f>
        <v>162.77</v>
      </c>
      <c r="L13" s="9" t="n">
        <f aca="false">IF($O13="","",INDEX(Scoring!$M$29:$M$361,MATCH($O13,Scoring!$AB$29:$AB$361,0)))</f>
        <v>314</v>
      </c>
      <c r="M13" s="9" t="n">
        <f aca="false">IF($O13="","",INDEX(Scoring!$F$29:$F$361,MATCH($O13,Scoring!$AB$29:$AB$361,0)))</f>
        <v>3429.5</v>
      </c>
      <c r="N13" s="7" t="str">
        <f aca="false">IF($O13="","",INDEX(Scoring!$AI$29:$AI$361,MATCH($O13,Scoring!$AB$29:$AB$361,0)))</f>
        <v>UK, Australia | EU/EEA: all 30 countries</v>
      </c>
      <c r="O13" s="10" t="n">
        <f aca="false">IFERROR(SMALL(Scoring!$AB$29:$AB$361,9),"")</f>
        <v>1009</v>
      </c>
    </row>
    <row r="14" customFormat="false" ht="28.35" hidden="false" customHeight="false" outlineLevel="0" collapsed="false">
      <c r="A14" s="5" t="n">
        <f aca="false">IF($O14="","",INT($O14/1000))</f>
        <v>1</v>
      </c>
      <c r="B14" s="6" t="str">
        <f aca="false">IF($O14="","",INDEX(Scoring!$A$29:$A$361,MATCH($O14,Scoring!$AB$29:$AB$361,0)))</f>
        <v>Intas</v>
      </c>
      <c r="C14" s="5" t="n">
        <f aca="false">IF($O14="","",IF(INDEX(Scoring!$P$29:$P$361,MATCH($O14,Scoring!$AB$29:$AB$361,0))="","–",INDEX(Scoring!$P$29:$P$361,MATCH($O14,Scoring!$AB$29:$AB$361,0))))</f>
        <v>10</v>
      </c>
      <c r="D14" s="6" t="str">
        <f aca="false">IF($O14="","",INDEX(Scoring!$Q$29:$Q$361,MATCH($O14,Scoring!$AB$29:$AB$361,0)))</f>
        <v>Priority 2</v>
      </c>
      <c r="E14" s="7" t="str">
        <f aca="false">IF($O14="","",INDEX(Scoring!$AJ$29:$AJ$361,MATCH($O14,Scoring!$AB$29:$AB$361,0)))</f>
        <v>Lower price · high volume</v>
      </c>
      <c r="F14" s="6" t="str">
        <f aca="false">IF($O14="","",INDEX(Scoring!$B$29:$B$361,MATCH($O14,Scoring!$AB$29:$AB$361,0)))</f>
        <v>Ceftriaxone</v>
      </c>
      <c r="G14" s="7" t="str">
        <f aca="false">IF($O14="","",INDEX(Scoring!$AG$29:$AG$361,MATCH($O14,Scoring!$AB$29:$AB$361,0)))</f>
        <v>Ceftriaxone Accord</v>
      </c>
      <c r="H14" s="7" t="str">
        <f aca="false">IF($O14="","",INDEX(Scoring!$C$29:$C$361,MATCH($O14,Scoring!$AB$29:$AB$361,0)))</f>
        <v>Anti-infective: pneumonia, meningitis, sepsis, gonorrhoea, typhoid</v>
      </c>
      <c r="I14" s="6" t="str">
        <f aca="false">IF($O14="","",INDEX(Scoring!$I$29:$I$361,MATCH($O14,Scoring!$AB$29:$AB$361,0)))</f>
        <v>Not stated</v>
      </c>
      <c r="J14" s="7" t="str">
        <f aca="false">IF($O14="","",INDEX(Scoring!$Z$29:$Z$361,MATCH($O14,Scoring!$AB$29:$AB$361,0)))</f>
        <v>1 g (container not stated)</v>
      </c>
      <c r="K14" s="8" t="n">
        <f aca="false">IF($O14="","",IF(INDEX(Scoring!$D$29:$D$361,MATCH($O14,Scoring!$AB$29:$AB$361,0))="",INDEX(Scoring!$AF$29:$AF$361,MATCH($O14,Scoring!$AB$29:$AB$361,0)),INDEX(Scoring!$D$29:$D$361,MATCH($O14,Scoring!$AB$29:$AB$361,0))))</f>
        <v>5.6</v>
      </c>
      <c r="L14" s="9" t="n">
        <f aca="false">IF($O14="","",INDEX(Scoring!$M$29:$M$361,MATCH($O14,Scoring!$AB$29:$AB$361,0)))</f>
        <v>3110</v>
      </c>
      <c r="M14" s="9" t="n">
        <f aca="false">IF($O14="","",INDEX(Scoring!$F$29:$F$361,MATCH($O14,Scoring!$AB$29:$AB$361,0)))</f>
        <v>93119.2</v>
      </c>
      <c r="N14" s="7" t="str">
        <f aca="false">IF($O14="","",INDEX(Scoring!$AI$29:$AI$361,MATCH($O14,Scoring!$AB$29:$AB$361,0)))</f>
        <v>EU/EEA (1): Italy</v>
      </c>
      <c r="O14" s="10" t="n">
        <f aca="false">IFERROR(SMALL(Scoring!$AB$29:$AB$361,10),"")</f>
        <v>1010</v>
      </c>
    </row>
    <row r="15" customFormat="false" ht="41.75" hidden="false" customHeight="false" outlineLevel="0" collapsed="false">
      <c r="A15" s="5" t="n">
        <f aca="false">IF($O15="","",INT($O15/1000))</f>
        <v>1</v>
      </c>
      <c r="B15" s="6" t="str">
        <f aca="false">IF($O15="","",INDEX(Scoring!$A$29:$A$361,MATCH($O15,Scoring!$AB$29:$AB$361,0)))</f>
        <v>Intas</v>
      </c>
      <c r="C15" s="5" t="n">
        <f aca="false">IF($O15="","",IF(INDEX(Scoring!$P$29:$P$361,MATCH($O15,Scoring!$AB$29:$AB$361,0))="","–",INDEX(Scoring!$P$29:$P$361,MATCH($O15,Scoring!$AB$29:$AB$361,0))))</f>
        <v>11</v>
      </c>
      <c r="D15" s="6" t="str">
        <f aca="false">IF($O15="","",INDEX(Scoring!$Q$29:$Q$361,MATCH($O15,Scoring!$AB$29:$AB$361,0)))</f>
        <v>Priority 2</v>
      </c>
      <c r="E15" s="7" t="str">
        <f aca="false">IF($O15="","",INDEX(Scoring!$AJ$29:$AJ$361,MATCH($O15,Scoring!$AB$29:$AB$361,0)))</f>
        <v>Lower price · high volume</v>
      </c>
      <c r="F15" s="6" t="str">
        <f aca="false">IF($O15="","",INDEX(Scoring!$B$29:$B$361,MATCH($O15,Scoring!$AB$29:$AB$361,0)))</f>
        <v>Ondansetron</v>
      </c>
      <c r="G15" s="7" t="str">
        <f aca="false">IF($O15="","",INDEX(Scoring!$AG$29:$AG$361,MATCH($O15,Scoring!$AB$29:$AB$361,0)))</f>
        <v>Ondansetron Hydrochloride; Ondansetron; Ondansetron Accord</v>
      </c>
      <c r="H15" s="7" t="str">
        <f aca="false">IF($O15="","",INDEX(Scoring!$C$29:$C$361,MATCH($O15,Scoring!$AB$29:$AB$361,0)))</f>
        <v>Oncology support: nausea and vomiting from chemotherapy and surgery</v>
      </c>
      <c r="I15" s="6" t="str">
        <f aca="false">IF($O15="","",INDEX(Scoring!$I$29:$I$361,MATCH($O15,Scoring!$AB$29:$AB$361,0)))</f>
        <v>Vial, Ampoule, Prefilled syringe</v>
      </c>
      <c r="J15" s="7" t="str">
        <f aca="false">IF($O15="","",INDEX(Scoring!$Z$29:$Z$361,MATCH($O15,Scoring!$AB$29:$AB$361,0)))</f>
        <v>40 mg/20 mL vial; 8 mg/4 mL pre-filled syringe; 4 mg/2 mL ampoule; 4 mg/2 mL pre-filled syringe</v>
      </c>
      <c r="K15" s="8" t="n">
        <f aca="false">IF($O15="","",IF(INDEX(Scoring!$D$29:$D$361,MATCH($O15,Scoring!$AB$29:$AB$361,0))="",INDEX(Scoring!$AF$29:$AF$361,MATCH($O15,Scoring!$AB$29:$AB$361,0)),INDEX(Scoring!$D$29:$D$361,MATCH($O15,Scoring!$AB$29:$AB$361,0))))</f>
        <v>24.05</v>
      </c>
      <c r="L15" s="9" t="n">
        <f aca="false">IF($O15="","",INDEX(Scoring!$M$29:$M$361,MATCH($O15,Scoring!$AB$29:$AB$361,0)))</f>
        <v>963</v>
      </c>
      <c r="M15" s="9" t="n">
        <f aca="false">IF($O15="","",INDEX(Scoring!$F$29:$F$361,MATCH($O15,Scoring!$AB$29:$AB$361,0)))</f>
        <v>17590.5</v>
      </c>
      <c r="N15" s="7" t="str">
        <f aca="false">IF($O15="","",INDEX(Scoring!$AI$29:$AI$361,MATCH($O15,Scoring!$AB$29:$AB$361,0)))</f>
        <v>US, UK, Australia, UK-NI | EU/EEA (23): Germany, France, Netherlands, Belgium + 19 more</v>
      </c>
      <c r="O15" s="10" t="n">
        <f aca="false">IFERROR(SMALL(Scoring!$AB$29:$AB$361,11),"")</f>
        <v>1011</v>
      </c>
    </row>
    <row r="16" customFormat="false" ht="28.35" hidden="false" customHeight="false" outlineLevel="0" collapsed="false">
      <c r="A16" s="5" t="n">
        <f aca="false">IF($O16="","",INT($O16/1000))</f>
        <v>1</v>
      </c>
      <c r="B16" s="6" t="str">
        <f aca="false">IF($O16="","",INDEX(Scoring!$A$29:$A$361,MATCH($O16,Scoring!$AB$29:$AB$361,0)))</f>
        <v>Intas</v>
      </c>
      <c r="C16" s="5" t="n">
        <f aca="false">IF($O16="","",IF(INDEX(Scoring!$P$29:$P$361,MATCH($O16,Scoring!$AB$29:$AB$361,0))="","–",INDEX(Scoring!$P$29:$P$361,MATCH($O16,Scoring!$AB$29:$AB$361,0))))</f>
        <v>12</v>
      </c>
      <c r="D16" s="6" t="str">
        <f aca="false">IF($O16="","",INDEX(Scoring!$Q$29:$Q$361,MATCH($O16,Scoring!$AB$29:$AB$361,0)))</f>
        <v>Priority 2</v>
      </c>
      <c r="E16" s="7" t="str">
        <f aca="false">IF($O16="","",INDEX(Scoring!$AJ$29:$AJ$361,MATCH($O16,Scoring!$AB$29:$AB$361,0)))</f>
        <v>High price · lower volume</v>
      </c>
      <c r="F16" s="6" t="str">
        <f aca="false">IF($O16="","",INDEX(Scoring!$B$29:$B$361,MATCH($O16,Scoring!$AB$29:$AB$361,0)))</f>
        <v>Plerixafor</v>
      </c>
      <c r="G16" s="7" t="str">
        <f aca="false">IF($O16="","",INDEX(Scoring!$AG$29:$AG$361,MATCH($O16,Scoring!$AB$29:$AB$361,0)))</f>
        <v>Plerixafor; Plerixafor Accord</v>
      </c>
      <c r="H16" s="7" t="str">
        <f aca="false">IF($O16="","",INDEX(Scoring!$C$29:$C$361,MATCH($O16,Scoring!$AB$29:$AB$361,0)))</f>
        <v>Oncology support: stem cell mobilisation in myeloma and lymphoma</v>
      </c>
      <c r="I16" s="6" t="str">
        <f aca="false">IF($O16="","",INDEX(Scoring!$I$29:$I$361,MATCH($O16,Scoring!$AB$29:$AB$361,0)))</f>
        <v>Vial</v>
      </c>
      <c r="J16" s="7" t="str">
        <f aca="false">IF($O16="","",INDEX(Scoring!$Z$29:$Z$361,MATCH($O16,Scoring!$AB$29:$AB$361,0)))</f>
        <v>24 mg/1.2 mL vial</v>
      </c>
      <c r="K16" s="8" t="n">
        <f aca="false">IF($O16="","",IF(INDEX(Scoring!$D$29:$D$361,MATCH($O16,Scoring!$AB$29:$AB$361,0))="",INDEX(Scoring!$AF$29:$AF$361,MATCH($O16,Scoring!$AB$29:$AB$361,0)),INDEX(Scoring!$D$29:$D$361,MATCH($O16,Scoring!$AB$29:$AB$361,0))))</f>
        <v>4779</v>
      </c>
      <c r="L16" s="9" t="n">
        <f aca="false">IF($O16="","",INDEX(Scoring!$M$29:$M$361,MATCH($O16,Scoring!$AB$29:$AB$361,0)))</f>
        <v>47</v>
      </c>
      <c r="M16" s="9" t="n">
        <f aca="false">IF($O16="","",INDEX(Scoring!$F$29:$F$361,MATCH($O16,Scoring!$AB$29:$AB$361,0)))</f>
        <v>7904.7</v>
      </c>
      <c r="N16" s="7" t="str">
        <f aca="false">IF($O16="","",INDEX(Scoring!$AI$29:$AI$361,MATCH($O16,Scoring!$AB$29:$AB$361,0)))</f>
        <v>UK, Australia | EU/EEA: all 30 countries</v>
      </c>
      <c r="O16" s="10" t="n">
        <f aca="false">IFERROR(SMALL(Scoring!$AB$29:$AB$361,12),"")</f>
        <v>1012</v>
      </c>
    </row>
    <row r="17" customFormat="false" ht="28.35" hidden="false" customHeight="false" outlineLevel="0" collapsed="false">
      <c r="A17" s="5" t="n">
        <f aca="false">IF($O17="","",INT($O17/1000))</f>
        <v>1</v>
      </c>
      <c r="B17" s="6" t="str">
        <f aca="false">IF($O17="","",INDEX(Scoring!$A$29:$A$361,MATCH($O17,Scoring!$AB$29:$AB$361,0)))</f>
        <v>Intas</v>
      </c>
      <c r="C17" s="5" t="n">
        <f aca="false">IF($O17="","",IF(INDEX(Scoring!$P$29:$P$361,MATCH($O17,Scoring!$AB$29:$AB$361,0))="","–",INDEX(Scoring!$P$29:$P$361,MATCH($O17,Scoring!$AB$29:$AB$361,0))))</f>
        <v>13</v>
      </c>
      <c r="D17" s="6" t="str">
        <f aca="false">IF($O17="","",INDEX(Scoring!$Q$29:$Q$361,MATCH($O17,Scoring!$AB$29:$AB$361,0)))</f>
        <v>Priority 2</v>
      </c>
      <c r="E17" s="7" t="str">
        <f aca="false">IF($O17="","",INDEX(Scoring!$AJ$29:$AJ$361,MATCH($O17,Scoring!$AB$29:$AB$361,0)))</f>
        <v>Lower price · high volume</v>
      </c>
      <c r="F17" s="6" t="str">
        <f aca="false">IF($O17="","",INDEX(Scoring!$B$29:$B$361,MATCH($O17,Scoring!$AB$29:$AB$361,0)))</f>
        <v>Cytarabine</v>
      </c>
      <c r="G17" s="7" t="str">
        <f aca="false">IF($O17="","",INDEX(Scoring!$AG$29:$AG$361,MATCH($O17,Scoring!$AB$29:$AB$361,0)))</f>
        <v>Cytarabine; Cytarabine Accord; Cytarabine ACC</v>
      </c>
      <c r="H17" s="7" t="str">
        <f aca="false">IF($O17="","",INDEX(Scoring!$C$29:$C$361,MATCH($O17,Scoring!$AB$29:$AB$361,0)))</f>
        <v>Oncology: acute myeloid and acute lymphoblastic leukaemia</v>
      </c>
      <c r="I17" s="6" t="str">
        <f aca="false">IF($O17="","",INDEX(Scoring!$I$29:$I$361,MATCH($O17,Scoring!$AB$29:$AB$361,0)))</f>
        <v>Vial</v>
      </c>
      <c r="J17" s="7" t="str">
        <f aca="false">IF($O17="","",INDEX(Scoring!$Z$29:$Z$361,MATCH($O17,Scoring!$AB$29:$AB$361,0)))</f>
        <v>100 mg/5 mL vial; 4000 mg/40 mL vial; 2000 mg/20 mL vial; 500 mg/5 mL vial (+3 more)</v>
      </c>
      <c r="K17" s="8" t="n">
        <f aca="false">IF($O17="","",IF(INDEX(Scoring!$D$29:$D$361,MATCH($O17,Scoring!$AB$29:$AB$361,0))="",INDEX(Scoring!$AF$29:$AF$361,MATCH($O17,Scoring!$AB$29:$AB$361,0)),INDEX(Scoring!$D$29:$D$361,MATCH($O17,Scoring!$AB$29:$AB$361,0))))</f>
        <v>6.7</v>
      </c>
      <c r="L17" s="9" t="n">
        <f aca="false">IF($O17="","",INDEX(Scoring!$M$29:$M$361,MATCH($O17,Scoring!$AB$29:$AB$361,0)))</f>
        <v>799</v>
      </c>
      <c r="M17" s="9" t="n">
        <f aca="false">IF($O17="","",INDEX(Scoring!$F$29:$F$361,MATCH($O17,Scoring!$AB$29:$AB$361,0)))</f>
        <v>7739</v>
      </c>
      <c r="N17" s="7" t="str">
        <f aca="false">IF($O17="","",INDEX(Scoring!$AI$29:$AI$361,MATCH($O17,Scoring!$AB$29:$AB$361,0)))</f>
        <v>UK, Australia, UK-NI | EU/EEA (25): Germany, France, Netherlands, Belgium + 21 more</v>
      </c>
      <c r="O17" s="10" t="n">
        <f aca="false">IFERROR(SMALL(Scoring!$AB$29:$AB$361,13),"")</f>
        <v>1013</v>
      </c>
    </row>
    <row r="18" customFormat="false" ht="41.75" hidden="false" customHeight="false" outlineLevel="0" collapsed="false">
      <c r="A18" s="5" t="n">
        <f aca="false">IF($O18="","",INT($O18/1000))</f>
        <v>1</v>
      </c>
      <c r="B18" s="6" t="str">
        <f aca="false">IF($O18="","",INDEX(Scoring!$A$29:$A$361,MATCH($O18,Scoring!$AB$29:$AB$361,0)))</f>
        <v>Intas</v>
      </c>
      <c r="C18" s="5" t="n">
        <f aca="false">IF($O18="","",IF(INDEX(Scoring!$P$29:$P$361,MATCH($O18,Scoring!$AB$29:$AB$361,0))="","–",INDEX(Scoring!$P$29:$P$361,MATCH($O18,Scoring!$AB$29:$AB$361,0))))</f>
        <v>14</v>
      </c>
      <c r="D18" s="6" t="str">
        <f aca="false">IF($O18="","",INDEX(Scoring!$Q$29:$Q$361,MATCH($O18,Scoring!$AB$29:$AB$361,0)))</f>
        <v>Priority 2</v>
      </c>
      <c r="E18" s="7" t="str">
        <f aca="false">IF($O18="","",INDEX(Scoring!$AJ$29:$AJ$361,MATCH($O18,Scoring!$AB$29:$AB$361,0)))</f>
        <v>Lower price · high volume</v>
      </c>
      <c r="F18" s="6" t="str">
        <f aca="false">IF($O18="","",INDEX(Scoring!$B$29:$B$361,MATCH($O18,Scoring!$AB$29:$AB$361,0)))</f>
        <v>Atropine</v>
      </c>
      <c r="G18" s="7" t="str">
        <f aca="false">IF($O18="","",INDEX(Scoring!$AG$29:$AG$361,MATCH($O18,Scoring!$AB$29:$AB$361,0)))</f>
        <v>Atropine Sulfate; Atropin Accord; Atropina Accord</v>
      </c>
      <c r="H18" s="7" t="str">
        <f aca="false">IF($O18="","",INDEX(Scoring!$C$29:$C$361,MATCH($O18,Scoring!$AB$29:$AB$361,0)))</f>
        <v>Critical care: slow heart rate, pre-anaesthesia, organophosphate poisoning</v>
      </c>
      <c r="I18" s="6" t="str">
        <f aca="false">IF($O18="","",INDEX(Scoring!$I$29:$I$361,MATCH($O18,Scoring!$AB$29:$AB$361,0)))</f>
        <v>Vial, Prefilled syringe</v>
      </c>
      <c r="J18" s="7" t="str">
        <f aca="false">IF($O18="","",INDEX(Scoring!$Z$29:$Z$361,MATCH($O18,Scoring!$AB$29:$AB$361,0)))</f>
        <v>0.25 mg/5 mL pre-filled syringe; 0.4 mg/1 mL vial; 0.5 mg/5 mL pre-filled syringe; 1 mg/10 mL pre-filled syringe (+3 more)</v>
      </c>
      <c r="K18" s="8" t="n">
        <f aca="false">IF($O18="","",IF(INDEX(Scoring!$D$29:$D$361,MATCH($O18,Scoring!$AB$29:$AB$361,0))="",INDEX(Scoring!$AF$29:$AF$361,MATCH($O18,Scoring!$AB$29:$AB$361,0)),INDEX(Scoring!$D$29:$D$361,MATCH($O18,Scoring!$AB$29:$AB$361,0))))</f>
        <v>16.48</v>
      </c>
      <c r="L18" s="9" t="n">
        <f aca="false">IF($O18="","",INDEX(Scoring!$M$29:$M$361,MATCH($O18,Scoring!$AB$29:$AB$361,0)))</f>
        <v>715</v>
      </c>
      <c r="M18" s="9" t="n">
        <f aca="false">IF($O18="","",INDEX(Scoring!$F$29:$F$361,MATCH($O18,Scoring!$AB$29:$AB$361,0)))</f>
        <v>6805</v>
      </c>
      <c r="N18" s="7" t="str">
        <f aca="false">IF($O18="","",INDEX(Scoring!$AI$29:$AI$361,MATCH($O18,Scoring!$AB$29:$AB$361,0)))</f>
        <v>US, UK, UK-NI | EU/EEA (13): Germany, France, Netherlands, Austria + 9 more</v>
      </c>
      <c r="O18" s="10" t="n">
        <f aca="false">IFERROR(SMALL(Scoring!$AB$29:$AB$361,14),"")</f>
        <v>1014</v>
      </c>
    </row>
    <row r="19" customFormat="false" ht="28.35" hidden="false" customHeight="false" outlineLevel="0" collapsed="false">
      <c r="A19" s="5" t="n">
        <f aca="false">IF($O19="","",INT($O19/1000))</f>
        <v>1</v>
      </c>
      <c r="B19" s="6" t="str">
        <f aca="false">IF($O19="","",INDEX(Scoring!$A$29:$A$361,MATCH($O19,Scoring!$AB$29:$AB$361,0)))</f>
        <v>Intas</v>
      </c>
      <c r="C19" s="5" t="n">
        <f aca="false">IF($O19="","",IF(INDEX(Scoring!$P$29:$P$361,MATCH($O19,Scoring!$AB$29:$AB$361,0))="","–",INDEX(Scoring!$P$29:$P$361,MATCH($O19,Scoring!$AB$29:$AB$361,0))))</f>
        <v>15</v>
      </c>
      <c r="D19" s="6" t="str">
        <f aca="false">IF($O19="","",INDEX(Scoring!$Q$29:$Q$361,MATCH($O19,Scoring!$AB$29:$AB$361,0)))</f>
        <v>Priority 2</v>
      </c>
      <c r="E19" s="7" t="str">
        <f aca="false">IF($O19="","",INDEX(Scoring!$AJ$29:$AJ$361,MATCH($O19,Scoring!$AB$29:$AB$361,0)))</f>
        <v>High price · lower volume</v>
      </c>
      <c r="F19" s="6" t="str">
        <f aca="false">IF($O19="","",INDEX(Scoring!$B$29:$B$361,MATCH($O19,Scoring!$AB$29:$AB$361,0)))</f>
        <v>Teicoplanin</v>
      </c>
      <c r="G19" s="7" t="str">
        <f aca="false">IF($O19="","",INDEX(Scoring!$AG$29:$AG$361,MATCH($O19,Scoring!$AB$29:$AB$361,0)))</f>
        <v>Teicoplanina Accord</v>
      </c>
      <c r="H19" s="7" t="str">
        <f aca="false">IF($O19="","",INDEX(Scoring!$C$29:$C$361,MATCH($O19,Scoring!$AB$29:$AB$361,0)))</f>
        <v>Anti-infective: MRSA and serious Gram-positive infections</v>
      </c>
      <c r="I19" s="6" t="str">
        <f aca="false">IF($O19="","",INDEX(Scoring!$I$29:$I$361,MATCH($O19,Scoring!$AB$29:$AB$361,0)))</f>
        <v>Vial</v>
      </c>
      <c r="J19" s="7" t="str">
        <f aca="false">IF($O19="","",INDEX(Scoring!$Z$29:$Z$361,MATCH($O19,Scoring!$AB$29:$AB$361,0)))</f>
        <v>200 mg powder vial</v>
      </c>
      <c r="K19" s="8" t="n">
        <f aca="false">IF($O19="","",IF(INDEX(Scoring!$D$29:$D$361,MATCH($O19,Scoring!$AB$29:$AB$361,0))="",INDEX(Scoring!$AF$29:$AF$361,MATCH($O19,Scoring!$AB$29:$AB$361,0)),INDEX(Scoring!$D$29:$D$361,MATCH($O19,Scoring!$AB$29:$AB$361,0))))</f>
        <v>35.27</v>
      </c>
      <c r="L19" s="9" t="n">
        <f aca="false">IF($O19="","",INDEX(Scoring!$M$29:$M$361,MATCH($O19,Scoring!$AB$29:$AB$361,0)))</f>
        <v>99</v>
      </c>
      <c r="M19" s="9" t="n">
        <f aca="false">IF($O19="","",INDEX(Scoring!$F$29:$F$361,MATCH($O19,Scoring!$AB$29:$AB$361,0)))</f>
        <v>6632.6</v>
      </c>
      <c r="N19" s="7" t="str">
        <f aca="false">IF($O19="","",INDEX(Scoring!$AI$29:$AI$361,MATCH($O19,Scoring!$AB$29:$AB$361,0)))</f>
        <v>EU/EEA (3): Austria, Portugal, Spain</v>
      </c>
      <c r="O19" s="10" t="n">
        <f aca="false">IFERROR(SMALL(Scoring!$AB$29:$AB$361,15),"")</f>
        <v>1015</v>
      </c>
    </row>
    <row r="20" customFormat="false" ht="28.35" hidden="false" customHeight="false" outlineLevel="0" collapsed="false">
      <c r="A20" s="5" t="n">
        <f aca="false">IF($O20="","",INT($O20/1000))</f>
        <v>1</v>
      </c>
      <c r="B20" s="6" t="str">
        <f aca="false">IF($O20="","",INDEX(Scoring!$A$29:$A$361,MATCH($O20,Scoring!$AB$29:$AB$361,0)))</f>
        <v>Intas</v>
      </c>
      <c r="C20" s="5" t="n">
        <f aca="false">IF($O20="","",IF(INDEX(Scoring!$P$29:$P$361,MATCH($O20,Scoring!$AB$29:$AB$361,0))="","–",INDEX(Scoring!$P$29:$P$361,MATCH($O20,Scoring!$AB$29:$AB$361,0))))</f>
        <v>16</v>
      </c>
      <c r="D20" s="6" t="str">
        <f aca="false">IF($O20="","",INDEX(Scoring!$Q$29:$Q$361,MATCH($O20,Scoring!$AB$29:$AB$361,0)))</f>
        <v>Priority 2</v>
      </c>
      <c r="E20" s="7" t="str">
        <f aca="false">IF($O20="","",INDEX(Scoring!$AJ$29:$AJ$361,MATCH($O20,Scoring!$AB$29:$AB$361,0)))</f>
        <v>Lower price · high volume</v>
      </c>
      <c r="F20" s="6" t="str">
        <f aca="false">IF($O20="","",INDEX(Scoring!$B$29:$B$361,MATCH($O20,Scoring!$AB$29:$AB$361,0)))</f>
        <v>Cefepime</v>
      </c>
      <c r="G20" s="7" t="str">
        <f aca="false">IF($O20="","",INDEX(Scoring!$AG$29:$AG$361,MATCH($O20,Scoring!$AB$29:$AB$361,0)))</f>
        <v>Cefepim Accord; Cefepime Accord</v>
      </c>
      <c r="H20" s="7" t="str">
        <f aca="false">IF($O20="","",INDEX(Scoring!$C$29:$C$361,MATCH($O20,Scoring!$AB$29:$AB$361,0)))</f>
        <v>Anti-infective: hospital Gram-negative infections, febrile neutropenia</v>
      </c>
      <c r="I20" s="6" t="str">
        <f aca="false">IF($O20="","",INDEX(Scoring!$I$29:$I$361,MATCH($O20,Scoring!$AB$29:$AB$361,0)))</f>
        <v>Vial</v>
      </c>
      <c r="J20" s="7" t="str">
        <f aca="false">IF($O20="","",INDEX(Scoring!$Z$29:$Z$361,MATCH($O20,Scoring!$AB$29:$AB$361,0)))</f>
        <v>1 g powder vial</v>
      </c>
      <c r="K20" s="8" t="n">
        <f aca="false">IF($O20="","",IF(INDEX(Scoring!$D$29:$D$361,MATCH($O20,Scoring!$AB$29:$AB$361,0))="",INDEX(Scoring!$AF$29:$AF$361,MATCH($O20,Scoring!$AB$29:$AB$361,0)),INDEX(Scoring!$D$29:$D$361,MATCH($O20,Scoring!$AB$29:$AB$361,0))))</f>
        <v>9.65</v>
      </c>
      <c r="L20" s="9" t="n">
        <f aca="false">IF($O20="","",INDEX(Scoring!$M$29:$M$361,MATCH($O20,Scoring!$AB$29:$AB$361,0)))</f>
        <v>288</v>
      </c>
      <c r="M20" s="9" t="n">
        <f aca="false">IF($O20="","",INDEX(Scoring!$F$29:$F$361,MATCH($O20,Scoring!$AB$29:$AB$361,0)))</f>
        <v>6294.9</v>
      </c>
      <c r="N20" s="7" t="str">
        <f aca="false">IF($O20="","",INDEX(Scoring!$AI$29:$AI$361,MATCH($O20,Scoring!$AB$29:$AB$361,0)))</f>
        <v>EU/EEA (4): Germany, France, Croatia, Portugal</v>
      </c>
      <c r="O20" s="10" t="n">
        <f aca="false">IFERROR(SMALL(Scoring!$AB$29:$AB$361,16),"")</f>
        <v>1016</v>
      </c>
    </row>
    <row r="21" customFormat="false" ht="28.35" hidden="false" customHeight="false" outlineLevel="0" collapsed="false">
      <c r="A21" s="5" t="n">
        <f aca="false">IF($O21="","",INT($O21/1000))</f>
        <v>1</v>
      </c>
      <c r="B21" s="6" t="str">
        <f aca="false">IF($O21="","",INDEX(Scoring!$A$29:$A$361,MATCH($O21,Scoring!$AB$29:$AB$361,0)))</f>
        <v>Intas</v>
      </c>
      <c r="C21" s="5" t="n">
        <f aca="false">IF($O21="","",IF(INDEX(Scoring!$P$29:$P$361,MATCH($O21,Scoring!$AB$29:$AB$361,0))="","–",INDEX(Scoring!$P$29:$P$361,MATCH($O21,Scoring!$AB$29:$AB$361,0))))</f>
        <v>17</v>
      </c>
      <c r="D21" s="6" t="str">
        <f aca="false">IF($O21="","",INDEX(Scoring!$Q$29:$Q$361,MATCH($O21,Scoring!$AB$29:$AB$361,0)))</f>
        <v>Priority 2</v>
      </c>
      <c r="E21" s="7" t="str">
        <f aca="false">IF($O21="","",INDEX(Scoring!$AJ$29:$AJ$361,MATCH($O21,Scoring!$AB$29:$AB$361,0)))</f>
        <v>Lower price · high volume</v>
      </c>
      <c r="F21" s="6" t="str">
        <f aca="false">IF($O21="","",INDEX(Scoring!$B$29:$B$361,MATCH($O21,Scoring!$AB$29:$AB$361,0)))</f>
        <v>Midazolam</v>
      </c>
      <c r="G21" s="7" t="str">
        <f aca="false">IF($O21="","",INDEX(Scoring!$AG$29:$AG$361,MATCH($O21,Scoring!$AB$29:$AB$361,0)))</f>
        <v>Midazolam Accord; Intas Midazolam</v>
      </c>
      <c r="H21" s="7" t="str">
        <f aca="false">IF($O21="","",INDEX(Scoring!$C$29:$C$361,MATCH($O21,Scoring!$AB$29:$AB$361,0)))</f>
        <v>Anaesthesia: sedation for procedures and ICU, anaesthesia induction, seizures</v>
      </c>
      <c r="I21" s="6" t="str">
        <f aca="false">IF($O21="","",INDEX(Scoring!$I$29:$I$361,MATCH($O21,Scoring!$AB$29:$AB$361,0)))</f>
        <v>Ampoule, Prefilled syringe</v>
      </c>
      <c r="J21" s="7" t="str">
        <f aca="false">IF($O21="","",INDEX(Scoring!$Z$29:$Z$361,MATCH($O21,Scoring!$AB$29:$AB$361,0)))</f>
        <v>50 mg/10 mL pre-filled syringe; 5 mg/5 mL pre-filled syringe; 15 mg/3 mL ampoule</v>
      </c>
      <c r="K21" s="8" t="n">
        <f aca="false">IF($O21="","",IF(INDEX(Scoring!$D$29:$D$361,MATCH($O21,Scoring!$AB$29:$AB$361,0))="",INDEX(Scoring!$AF$29:$AF$361,MATCH($O21,Scoring!$AB$29:$AB$361,0)),INDEX(Scoring!$D$29:$D$361,MATCH($O21,Scoring!$AB$29:$AB$361,0))))</f>
        <v>11.33</v>
      </c>
      <c r="L21" s="9" t="n">
        <f aca="false">IF($O21="","",INDEX(Scoring!$M$29:$M$361,MATCH($O21,Scoring!$AB$29:$AB$361,0)))</f>
        <v>177</v>
      </c>
      <c r="M21" s="9" t="n">
        <f aca="false">IF($O21="","",INDEX(Scoring!$F$29:$F$361,MATCH($O21,Scoring!$AB$29:$AB$361,0)))</f>
        <v>4675.1</v>
      </c>
      <c r="N21" s="7" t="str">
        <f aca="false">IF($O21="","",INDEX(Scoring!$AI$29:$AI$361,MATCH($O21,Scoring!$AB$29:$AB$361,0)))</f>
        <v>Australia, UK-NI | EU/EEA (22): Germany, France, Netherlands, Belgium + 18 more</v>
      </c>
      <c r="O21" s="10" t="n">
        <f aca="false">IFERROR(SMALL(Scoring!$AB$29:$AB$361,17),"")</f>
        <v>1017</v>
      </c>
    </row>
    <row r="22" customFormat="false" ht="28.35" hidden="false" customHeight="false" outlineLevel="0" collapsed="false">
      <c r="A22" s="5" t="n">
        <f aca="false">IF($O22="","",INT($O22/1000))</f>
        <v>1</v>
      </c>
      <c r="B22" s="6" t="str">
        <f aca="false">IF($O22="","",INDEX(Scoring!$A$29:$A$361,MATCH($O22,Scoring!$AB$29:$AB$361,0)))</f>
        <v>Intas</v>
      </c>
      <c r="C22" s="5" t="n">
        <f aca="false">IF($O22="","",IF(INDEX(Scoring!$P$29:$P$361,MATCH($O22,Scoring!$AB$29:$AB$361,0))="","–",INDEX(Scoring!$P$29:$P$361,MATCH($O22,Scoring!$AB$29:$AB$361,0))))</f>
        <v>18</v>
      </c>
      <c r="D22" s="6" t="str">
        <f aca="false">IF($O22="","",INDEX(Scoring!$Q$29:$Q$361,MATCH($O22,Scoring!$AB$29:$AB$361,0)))</f>
        <v>Priority 2</v>
      </c>
      <c r="E22" s="7" t="str">
        <f aca="false">IF($O22="","",INDEX(Scoring!$AJ$29:$AJ$361,MATCH($O22,Scoring!$AB$29:$AB$361,0)))</f>
        <v>Lower price · high volume</v>
      </c>
      <c r="F22" s="6" t="str">
        <f aca="false">IF($O22="","",INDEX(Scoring!$B$29:$B$361,MATCH($O22,Scoring!$AB$29:$AB$361,0)))</f>
        <v>Succinylcholine (Suxamethonium)</v>
      </c>
      <c r="G22" s="7" t="str">
        <f aca="false">IF($O22="","",INDEX(Scoring!$AG$29:$AG$361,MATCH($O22,Scoring!$AB$29:$AB$361,0)))</f>
        <v>Suxamethonium Intas</v>
      </c>
      <c r="H22" s="7" t="str">
        <f aca="false">IF($O22="","",INDEX(Scoring!$C$29:$C$361,MATCH($O22,Scoring!$AB$29:$AB$361,0)))</f>
        <v>Anaesthesia: muscle relaxant for rapid intubation</v>
      </c>
      <c r="I22" s="6" t="str">
        <f aca="false">IF($O22="","",INDEX(Scoring!$I$29:$I$361,MATCH($O22,Scoring!$AB$29:$AB$361,0)))</f>
        <v>Prefilled syringe</v>
      </c>
      <c r="J22" s="7" t="str">
        <f aca="false">IF($O22="","",INDEX(Scoring!$Z$29:$Z$361,MATCH($O22,Scoring!$AB$29:$AB$361,0)))</f>
        <v>100 mg/2 mL pre-filled syringe</v>
      </c>
      <c r="K22" s="8" t="n">
        <f aca="false">IF($O22="","",IF(INDEX(Scoring!$D$29:$D$361,MATCH($O22,Scoring!$AB$29:$AB$361,0))="",INDEX(Scoring!$AF$29:$AF$361,MATCH($O22,Scoring!$AB$29:$AB$361,0)),INDEX(Scoring!$D$29:$D$361,MATCH($O22,Scoring!$AB$29:$AB$361,0))))</f>
        <v>5.12</v>
      </c>
      <c r="L22" s="9" t="n">
        <f aca="false">IF($O22="","",INDEX(Scoring!$M$29:$M$361,MATCH($O22,Scoring!$AB$29:$AB$361,0)))</f>
        <v>286</v>
      </c>
      <c r="M22" s="9" t="n">
        <f aca="false">IF($O22="","",INDEX(Scoring!$F$29:$F$361,MATCH($O22,Scoring!$AB$29:$AB$361,0)))</f>
        <v>3067.4</v>
      </c>
      <c r="N22" s="7" t="str">
        <f aca="false">IF($O22="","",INDEX(Scoring!$AI$29:$AI$361,MATCH($O22,Scoring!$AB$29:$AB$361,0)))</f>
        <v>Australia</v>
      </c>
      <c r="O22" s="10" t="n">
        <f aca="false">IFERROR(SMALL(Scoring!$AB$29:$AB$361,18),"")</f>
        <v>1018</v>
      </c>
    </row>
    <row r="23" customFormat="false" ht="28.35" hidden="false" customHeight="false" outlineLevel="0" collapsed="false">
      <c r="A23" s="5" t="n">
        <f aca="false">IF($O23="","",INT($O23/1000))</f>
        <v>1</v>
      </c>
      <c r="B23" s="6" t="str">
        <f aca="false">IF($O23="","",INDEX(Scoring!$A$29:$A$361,MATCH($O23,Scoring!$AB$29:$AB$361,0)))</f>
        <v>Intas</v>
      </c>
      <c r="C23" s="5" t="n">
        <f aca="false">IF($O23="","",IF(INDEX(Scoring!$P$29:$P$361,MATCH($O23,Scoring!$AB$29:$AB$361,0))="","–",INDEX(Scoring!$P$29:$P$361,MATCH($O23,Scoring!$AB$29:$AB$361,0))))</f>
        <v>19</v>
      </c>
      <c r="D23" s="6" t="str">
        <f aca="false">IF($O23="","",INDEX(Scoring!$Q$29:$Q$361,MATCH($O23,Scoring!$AB$29:$AB$361,0)))</f>
        <v>Priority 2</v>
      </c>
      <c r="E23" s="7" t="str">
        <f aca="false">IF($O23="","",INDEX(Scoring!$AJ$29:$AJ$361,MATCH($O23,Scoring!$AB$29:$AB$361,0)))</f>
        <v>High price · lower volume</v>
      </c>
      <c r="F23" s="6" t="str">
        <f aca="false">IF($O23="","",INDEX(Scoring!$B$29:$B$361,MATCH($O23,Scoring!$AB$29:$AB$361,0)))</f>
        <v>Leuprorelin</v>
      </c>
      <c r="G23" s="7" t="str">
        <f aca="false">IF($O23="","",INDEX(Scoring!$AG$29:$AG$361,MATCH($O23,Scoring!$AB$29:$AB$361,0)))</f>
        <v>Camcevi</v>
      </c>
      <c r="H23" s="7" t="str">
        <f aca="false">IF($O23="","",INDEX(Scoring!$C$29:$C$361,MATCH($O23,Scoring!$AB$29:$AB$361,0)))</f>
        <v>Oncology: hormone therapy for advanced prostate cancer</v>
      </c>
      <c r="I23" s="6" t="str">
        <f aca="false">IF($O23="","",INDEX(Scoring!$I$29:$I$361,MATCH($O23,Scoring!$AB$29:$AB$361,0)))</f>
        <v>Prefilled syringe</v>
      </c>
      <c r="J23" s="7" t="str">
        <f aca="false">IF($O23="","",INDEX(Scoring!$Z$29:$Z$361,MATCH($O23,Scoring!$AB$29:$AB$361,0)))</f>
        <v>21 mg pre-filled syringe; 21 mg/0.25 mL pre-filled syringe</v>
      </c>
      <c r="K23" s="8" t="n">
        <f aca="false">IF($O23="","",IF(INDEX(Scoring!$D$29:$D$361,MATCH($O23,Scoring!$AB$29:$AB$361,0))="",INDEX(Scoring!$AF$29:$AF$361,MATCH($O23,Scoring!$AB$29:$AB$361,0)),INDEX(Scoring!$D$29:$D$361,MATCH($O23,Scoring!$AB$29:$AB$361,0))))</f>
        <v>433.94</v>
      </c>
      <c r="L23" s="9" t="n">
        <f aca="false">IF($O23="","",INDEX(Scoring!$M$29:$M$361,MATCH($O23,Scoring!$AB$29:$AB$361,0)))</f>
        <v>111</v>
      </c>
      <c r="M23" s="9" t="n">
        <f aca="false">IF($O23="","",INDEX(Scoring!$F$29:$F$361,MATCH($O23,Scoring!$AB$29:$AB$361,0)))</f>
        <v>2489.4</v>
      </c>
      <c r="N23" s="7" t="str">
        <f aca="false">IF($O23="","",INDEX(Scoring!$AI$29:$AI$361,MATCH($O23,Scoring!$AB$29:$AB$361,0)))</f>
        <v>UK | EU/EEA: all 30 countries</v>
      </c>
      <c r="O23" s="10" t="n">
        <f aca="false">IFERROR(SMALL(Scoring!$AB$29:$AB$361,19),"")</f>
        <v>1019</v>
      </c>
    </row>
    <row r="24" customFormat="false" ht="28.35" hidden="false" customHeight="false" outlineLevel="0" collapsed="false">
      <c r="A24" s="5" t="n">
        <f aca="false">IF($O24="","",INT($O24/1000))</f>
        <v>1</v>
      </c>
      <c r="B24" s="6" t="str">
        <f aca="false">IF($O24="","",INDEX(Scoring!$A$29:$A$361,MATCH($O24,Scoring!$AB$29:$AB$361,0)))</f>
        <v>Intas</v>
      </c>
      <c r="C24" s="5" t="n">
        <f aca="false">IF($O24="","",IF(INDEX(Scoring!$P$29:$P$361,MATCH($O24,Scoring!$AB$29:$AB$361,0))="","–",INDEX(Scoring!$P$29:$P$361,MATCH($O24,Scoring!$AB$29:$AB$361,0))))</f>
        <v>20</v>
      </c>
      <c r="D24" s="6" t="str">
        <f aca="false">IF($O24="","",INDEX(Scoring!$Q$29:$Q$361,MATCH($O24,Scoring!$AB$29:$AB$361,0)))</f>
        <v>Priority 2</v>
      </c>
      <c r="E24" s="7" t="str">
        <f aca="false">IF($O24="","",INDEX(Scoring!$AJ$29:$AJ$361,MATCH($O24,Scoring!$AB$29:$AB$361,0)))</f>
        <v>High price · lower volume</v>
      </c>
      <c r="F24" s="6" t="str">
        <f aca="false">IF($O24="","",INDEX(Scoring!$B$29:$B$361,MATCH($O24,Scoring!$AB$29:$AB$361,0)))</f>
        <v>Ustekinumab</v>
      </c>
      <c r="G24" s="7" t="str">
        <f aca="false">IF($O24="","",INDEX(Scoring!$AG$29:$AG$361,MATCH($O24,Scoring!$AB$29:$AB$361,0)))</f>
        <v>Imuldosa</v>
      </c>
      <c r="H24" s="7" t="str">
        <f aca="false">IF($O24="","",INDEX(Scoring!$C$29:$C$361,MATCH($O24,Scoring!$AB$29:$AB$361,0)))</f>
        <v>Immunology: psoriasis, psoriatic arthritis, Crohn's disease, ulcerative colitis</v>
      </c>
      <c r="I24" s="6" t="str">
        <f aca="false">IF($O24="","",INDEX(Scoring!$I$29:$I$361,MATCH($O24,Scoring!$AB$29:$AB$361,0)))</f>
        <v>Prefilled syringe</v>
      </c>
      <c r="J24" s="7" t="str">
        <f aca="false">IF($O24="","",INDEX(Scoring!$Z$29:$Z$361,MATCH($O24,Scoring!$AB$29:$AB$361,0)))</f>
        <v>45 mg/0.5 mL pre-filled syringe</v>
      </c>
      <c r="K24" s="8" t="n">
        <f aca="false">IF($O24="","",IF(INDEX(Scoring!$D$29:$D$361,MATCH($O24,Scoring!$AB$29:$AB$361,0))="",INDEX(Scoring!$AF$29:$AF$361,MATCH($O24,Scoring!$AB$29:$AB$361,0)),INDEX(Scoring!$D$29:$D$361,MATCH($O24,Scoring!$AB$29:$AB$361,0))))</f>
        <v>2838.33</v>
      </c>
      <c r="L24" s="9" t="n">
        <f aca="false">IF($O24="","",INDEX(Scoring!$M$29:$M$361,MATCH($O24,Scoring!$AB$29:$AB$361,0)))</f>
        <v>125</v>
      </c>
      <c r="M24" s="9" t="n">
        <f aca="false">IF($O24="","",INDEX(Scoring!$F$29:$F$361,MATCH($O24,Scoring!$AB$29:$AB$361,0)))</f>
        <v>2485.9</v>
      </c>
      <c r="N24" s="7" t="str">
        <f aca="false">IF($O24="","",INDEX(Scoring!$AI$29:$AI$361,MATCH($O24,Scoring!$AB$29:$AB$361,0)))</f>
        <v>UK, UK-NI | EU/EEA: all 30 countries</v>
      </c>
      <c r="O24" s="10" t="n">
        <f aca="false">IFERROR(SMALL(Scoring!$AB$29:$AB$361,20),"")</f>
        <v>1020</v>
      </c>
    </row>
    <row r="25" customFormat="false" ht="28.35" hidden="false" customHeight="false" outlineLevel="0" collapsed="false">
      <c r="A25" s="5" t="n">
        <f aca="false">IF($O25="","",INT($O25/1000))</f>
        <v>1</v>
      </c>
      <c r="B25" s="6" t="str">
        <f aca="false">IF($O25="","",INDEX(Scoring!$A$29:$A$361,MATCH($O25,Scoring!$AB$29:$AB$361,0)))</f>
        <v>Intas</v>
      </c>
      <c r="C25" s="5" t="n">
        <f aca="false">IF($O25="","",IF(INDEX(Scoring!$P$29:$P$361,MATCH($O25,Scoring!$AB$29:$AB$361,0))="","–",INDEX(Scoring!$P$29:$P$361,MATCH($O25,Scoring!$AB$29:$AB$361,0))))</f>
        <v>21</v>
      </c>
      <c r="D25" s="6" t="str">
        <f aca="false">IF($O25="","",INDEX(Scoring!$Q$29:$Q$361,MATCH($O25,Scoring!$AB$29:$AB$361,0)))</f>
        <v>Priority 2</v>
      </c>
      <c r="E25" s="7" t="str">
        <f aca="false">IF($O25="","",INDEX(Scoring!$AJ$29:$AJ$361,MATCH($O25,Scoring!$AB$29:$AB$361,0)))</f>
        <v>High price · lower volume</v>
      </c>
      <c r="F25" s="6" t="str">
        <f aca="false">IF($O25="","",INDEX(Scoring!$B$29:$B$361,MATCH($O25,Scoring!$AB$29:$AB$361,0)))</f>
        <v>Degarelix</v>
      </c>
      <c r="G25" s="7" t="str">
        <f aca="false">IF($O25="","",INDEX(Scoring!$AG$29:$AG$361,MATCH($O25,Scoring!$AB$29:$AB$361,0)))</f>
        <v>Degarelix; Degarelix Accord</v>
      </c>
      <c r="H25" s="7" t="str">
        <f aca="false">IF($O25="","",INDEX(Scoring!$C$29:$C$361,MATCH($O25,Scoring!$AB$29:$AB$361,0)))</f>
        <v>Oncology: hormone therapy for advanced prostate cancer</v>
      </c>
      <c r="I25" s="6" t="str">
        <f aca="false">IF($O25="","",INDEX(Scoring!$I$29:$I$361,MATCH($O25,Scoring!$AB$29:$AB$361,0)))</f>
        <v>Vial</v>
      </c>
      <c r="J25" s="7" t="str">
        <f aca="false">IF($O25="","",INDEX(Scoring!$Z$29:$Z$361,MATCH($O25,Scoring!$AB$29:$AB$361,0)))</f>
        <v>80 mg powder vial</v>
      </c>
      <c r="K25" s="8" t="n">
        <f aca="false">IF($O25="","",IF(INDEX(Scoring!$D$29:$D$361,MATCH($O25,Scoring!$AB$29:$AB$361,0))="",INDEX(Scoring!$AF$29:$AF$361,MATCH($O25,Scoring!$AB$29:$AB$361,0)),INDEX(Scoring!$D$29:$D$361,MATCH($O25,Scoring!$AB$29:$AB$361,0))))</f>
        <v>92.62</v>
      </c>
      <c r="L25" s="9" t="n">
        <f aca="false">IF($O25="","",INDEX(Scoring!$M$29:$M$361,MATCH($O25,Scoring!$AB$29:$AB$361,0)))</f>
        <v>26</v>
      </c>
      <c r="M25" s="9" t="n">
        <f aca="false">IF($O25="","",INDEX(Scoring!$F$29:$F$361,MATCH($O25,Scoring!$AB$29:$AB$361,0)))</f>
        <v>140.9</v>
      </c>
      <c r="N25" s="7" t="str">
        <f aca="false">IF($O25="","",INDEX(Scoring!$AI$29:$AI$361,MATCH($O25,Scoring!$AB$29:$AB$361,0)))</f>
        <v>UK | EU/EEA: all 30 countries</v>
      </c>
      <c r="O25" s="10" t="n">
        <f aca="false">IFERROR(SMALL(Scoring!$AB$29:$AB$361,21),"")</f>
        <v>1021</v>
      </c>
    </row>
    <row r="26" customFormat="false" ht="28.35" hidden="false" customHeight="false" outlineLevel="0" collapsed="false">
      <c r="A26" s="5" t="n">
        <f aca="false">IF($O26="","",INT($O26/1000))</f>
        <v>1</v>
      </c>
      <c r="B26" s="6" t="str">
        <f aca="false">IF($O26="","",INDEX(Scoring!$A$29:$A$361,MATCH($O26,Scoring!$AB$29:$AB$361,0)))</f>
        <v>Intas</v>
      </c>
      <c r="C26" s="5" t="n">
        <f aca="false">IF($O26="","",IF(INDEX(Scoring!$P$29:$P$361,MATCH($O26,Scoring!$AB$29:$AB$361,0))="","–",INDEX(Scoring!$P$29:$P$361,MATCH($O26,Scoring!$AB$29:$AB$361,0))))</f>
        <v>22</v>
      </c>
      <c r="D26" s="6" t="str">
        <f aca="false">IF($O26="","",INDEX(Scoring!$Q$29:$Q$361,MATCH($O26,Scoring!$AB$29:$AB$361,0)))</f>
        <v>Priority 3</v>
      </c>
      <c r="E26" s="7" t="str">
        <f aca="false">IF($O26="","",INDEX(Scoring!$AJ$29:$AJ$361,MATCH($O26,Scoring!$AB$29:$AB$361,0)))</f>
        <v>Lower price · lower volume</v>
      </c>
      <c r="F26" s="6" t="str">
        <f aca="false">IF($O26="","",INDEX(Scoring!$B$29:$B$361,MATCH($O26,Scoring!$AB$29:$AB$361,0)))</f>
        <v>Flucloxacillin</v>
      </c>
      <c r="G26" s="7" t="str">
        <f aca="false">IF($O26="","",INDEX(Scoring!$AG$29:$AG$361,MATCH($O26,Scoring!$AB$29:$AB$361,0)))</f>
        <v>Floxapen</v>
      </c>
      <c r="H26" s="7" t="str">
        <f aca="false">IF($O26="","",INDEX(Scoring!$C$29:$C$361,MATCH($O26,Scoring!$AB$29:$AB$361,0)))</f>
        <v>Anti-infective: staphylococcal skin, bone and heart infections</v>
      </c>
      <c r="I26" s="6" t="str">
        <f aca="false">IF($O26="","",INDEX(Scoring!$I$29:$I$361,MATCH($O26,Scoring!$AB$29:$AB$361,0)))</f>
        <v>Vial</v>
      </c>
      <c r="J26" s="7" t="str">
        <f aca="false">IF($O26="","",INDEX(Scoring!$Z$29:$Z$361,MATCH($O26,Scoring!$AB$29:$AB$361,0)))</f>
        <v>500 mg powder vial</v>
      </c>
      <c r="K26" s="8" t="n">
        <f aca="false">IF($O26="","",IF(INDEX(Scoring!$D$29:$D$361,MATCH($O26,Scoring!$AB$29:$AB$361,0))="",INDEX(Scoring!$AF$29:$AF$361,MATCH($O26,Scoring!$AB$29:$AB$361,0)),INDEX(Scoring!$D$29:$D$361,MATCH($O26,Scoring!$AB$29:$AB$361,0))))</f>
        <v>6.07</v>
      </c>
      <c r="L26" s="9" t="n">
        <f aca="false">IF($O26="","",INDEX(Scoring!$M$29:$M$361,MATCH($O26,Scoring!$AB$29:$AB$361,0)))</f>
        <v>116</v>
      </c>
      <c r="M26" s="9" t="n">
        <f aca="false">IF($O26="","",INDEX(Scoring!$F$29:$F$361,MATCH($O26,Scoring!$AB$29:$AB$361,0)))</f>
        <v>6287.6</v>
      </c>
      <c r="N26" s="7" t="str">
        <f aca="false">IF($O26="","",INDEX(Scoring!$AI$29:$AI$361,MATCH($O26,Scoring!$AB$29:$AB$361,0)))</f>
        <v>UK-NI</v>
      </c>
      <c r="O26" s="10" t="n">
        <f aca="false">IFERROR(SMALL(Scoring!$AB$29:$AB$361,22),"")</f>
        <v>1022</v>
      </c>
    </row>
    <row r="27" customFormat="false" ht="28.35" hidden="false" customHeight="false" outlineLevel="0" collapsed="false">
      <c r="A27" s="5" t="n">
        <f aca="false">IF($O27="","",INT($O27/1000))</f>
        <v>1</v>
      </c>
      <c r="B27" s="6" t="str">
        <f aca="false">IF($O27="","",INDEX(Scoring!$A$29:$A$361,MATCH($O27,Scoring!$AB$29:$AB$361,0)))</f>
        <v>Intas</v>
      </c>
      <c r="C27" s="5" t="n">
        <f aca="false">IF($O27="","",IF(INDEX(Scoring!$P$29:$P$361,MATCH($O27,Scoring!$AB$29:$AB$361,0))="","–",INDEX(Scoring!$P$29:$P$361,MATCH($O27,Scoring!$AB$29:$AB$361,0))))</f>
        <v>23</v>
      </c>
      <c r="D27" s="6" t="str">
        <f aca="false">IF($O27="","",INDEX(Scoring!$Q$29:$Q$361,MATCH($O27,Scoring!$AB$29:$AB$361,0)))</f>
        <v>Priority 3</v>
      </c>
      <c r="E27" s="7" t="str">
        <f aca="false">IF($O27="","",INDEX(Scoring!$AJ$29:$AJ$361,MATCH($O27,Scoring!$AB$29:$AB$361,0)))</f>
        <v>Lower price · lower volume</v>
      </c>
      <c r="F27" s="6" t="str">
        <f aca="false">IF($O27="","",INDEX(Scoring!$B$29:$B$361,MATCH($O27,Scoring!$AB$29:$AB$361,0)))</f>
        <v>Progesterone</v>
      </c>
      <c r="G27" s="7" t="str">
        <f aca="false">IF($O27="","",INDEX(Scoring!$AG$29:$AG$361,MATCH($O27,Scoring!$AB$29:$AB$361,0)))</f>
        <v>Progesterone</v>
      </c>
      <c r="H27" s="7" t="str">
        <f aca="false">IF($O27="","",INDEX(Scoring!$C$29:$C$361,MATCH($O27,Scoring!$AB$29:$AB$361,0)))</f>
        <v>Women's health: IVF support, absent periods, abnormal uterine bleeding</v>
      </c>
      <c r="I27" s="6" t="str">
        <f aca="false">IF($O27="","",INDEX(Scoring!$I$29:$I$361,MATCH($O27,Scoring!$AB$29:$AB$361,0)))</f>
        <v>Not stated</v>
      </c>
      <c r="J27" s="7" t="str">
        <f aca="false">IF($O27="","",INDEX(Scoring!$Z$29:$Z$361,MATCH($O27,Scoring!$AB$29:$AB$361,0)))</f>
        <v>50 mg/mL (container not stated)</v>
      </c>
      <c r="K27" s="8" t="n">
        <f aca="false">IF($O27="","",IF(INDEX(Scoring!$D$29:$D$361,MATCH($O27,Scoring!$AB$29:$AB$361,0))="",INDEX(Scoring!$AF$29:$AF$361,MATCH($O27,Scoring!$AB$29:$AB$361,0)),INDEX(Scoring!$D$29:$D$361,MATCH($O27,Scoring!$AB$29:$AB$361,0))))</f>
        <v>6.23</v>
      </c>
      <c r="L27" s="9" t="n">
        <f aca="false">IF($O27="","",INDEX(Scoring!$M$29:$M$361,MATCH($O27,Scoring!$AB$29:$AB$361,0)))</f>
        <v>88</v>
      </c>
      <c r="M27" s="9" t="n">
        <f aca="false">IF($O27="","",INDEX(Scoring!$F$29:$F$361,MATCH($O27,Scoring!$AB$29:$AB$361,0)))</f>
        <v>2646.6</v>
      </c>
      <c r="N27" s="7" t="str">
        <f aca="false">IF($O27="","",INDEX(Scoring!$AI$29:$AI$361,MATCH($O27,Scoring!$AB$29:$AB$361,0)))</f>
        <v>US</v>
      </c>
      <c r="O27" s="10" t="n">
        <f aca="false">IFERROR(SMALL(Scoring!$AB$29:$AB$361,23),"")</f>
        <v>1023</v>
      </c>
    </row>
    <row r="28" customFormat="false" ht="28.35" hidden="false" customHeight="false" outlineLevel="0" collapsed="false">
      <c r="A28" s="5" t="n">
        <f aca="false">IF($O28="","",INT($O28/1000))</f>
        <v>1</v>
      </c>
      <c r="B28" s="6" t="str">
        <f aca="false">IF($O28="","",INDEX(Scoring!$A$29:$A$361,MATCH($O28,Scoring!$AB$29:$AB$361,0)))</f>
        <v>Intas</v>
      </c>
      <c r="C28" s="5" t="n">
        <f aca="false">IF($O28="","",IF(INDEX(Scoring!$P$29:$P$361,MATCH($O28,Scoring!$AB$29:$AB$361,0))="","–",INDEX(Scoring!$P$29:$P$361,MATCH($O28,Scoring!$AB$29:$AB$361,0))))</f>
        <v>24</v>
      </c>
      <c r="D28" s="6" t="str">
        <f aca="false">IF($O28="","",INDEX(Scoring!$Q$29:$Q$361,MATCH($O28,Scoring!$AB$29:$AB$361,0)))</f>
        <v>Priority 3</v>
      </c>
      <c r="E28" s="7" t="str">
        <f aca="false">IF($O28="","",INDEX(Scoring!$AJ$29:$AJ$361,MATCH($O28,Scoring!$AB$29:$AB$361,0)))</f>
        <v>Lower price · lower volume</v>
      </c>
      <c r="F28" s="6" t="str">
        <f aca="false">IF($O28="","",INDEX(Scoring!$B$29:$B$361,MATCH($O28,Scoring!$AB$29:$AB$361,0)))</f>
        <v>Colistimethate Sodium</v>
      </c>
      <c r="G28" s="7" t="str">
        <f aca="false">IF($O28="","",INDEX(Scoring!$AG$29:$AG$361,MATCH($O28,Scoring!$AB$29:$AB$361,0)))</f>
        <v>Colistimethate Sodium; Colistimetato Accord</v>
      </c>
      <c r="H28" s="7" t="str">
        <f aca="false">IF($O28="","",INDEX(Scoring!$C$29:$C$361,MATCH($O28,Scoring!$AB$29:$AB$361,0)))</f>
        <v>Anti-infective: last-line treatment for drug-resistant Gram-negative infections</v>
      </c>
      <c r="I28" s="6" t="str">
        <f aca="false">IF($O28="","",INDEX(Scoring!$I$29:$I$361,MATCH($O28,Scoring!$AB$29:$AB$361,0)))</f>
        <v>Vial</v>
      </c>
      <c r="J28" s="7" t="str">
        <f aca="false">IF($O28="","",INDEX(Scoring!$Z$29:$Z$361,MATCH($O28,Scoring!$AB$29:$AB$361,0)))</f>
        <v>2 MIU powder vial; 1 MIU powder vial</v>
      </c>
      <c r="K28" s="8" t="n">
        <f aca="false">IF($O28="","",IF(INDEX(Scoring!$D$29:$D$361,MATCH($O28,Scoring!$AB$29:$AB$361,0))="",INDEX(Scoring!$AF$29:$AF$361,MATCH($O28,Scoring!$AB$29:$AB$361,0)),INDEX(Scoring!$D$29:$D$361,MATCH($O28,Scoring!$AB$29:$AB$361,0))))</f>
        <v>9.75</v>
      </c>
      <c r="L28" s="9" t="n">
        <f aca="false">IF($O28="","",INDEX(Scoring!$M$29:$M$361,MATCH($O28,Scoring!$AB$29:$AB$361,0)))</f>
        <v>83</v>
      </c>
      <c r="M28" s="9" t="n">
        <f aca="false">IF($O28="","",INDEX(Scoring!$F$29:$F$361,MATCH($O28,Scoring!$AB$29:$AB$361,0)))</f>
        <v>2033.7</v>
      </c>
      <c r="N28" s="7" t="str">
        <f aca="false">IF($O28="","",INDEX(Scoring!$AI$29:$AI$361,MATCH($O28,Scoring!$AB$29:$AB$361,0)))</f>
        <v>UK, UK-NI | EU/EEA (20): France, Netherlands, Belgium, Austria + 16 more</v>
      </c>
      <c r="O28" s="10" t="n">
        <f aca="false">IFERROR(SMALL(Scoring!$AB$29:$AB$361,24),"")</f>
        <v>1024</v>
      </c>
    </row>
    <row r="29" customFormat="false" ht="41.75" hidden="false" customHeight="false" outlineLevel="0" collapsed="false">
      <c r="A29" s="5" t="n">
        <f aca="false">IF($O29="","",INT($O29/1000))</f>
        <v>1</v>
      </c>
      <c r="B29" s="6" t="str">
        <f aca="false">IF($O29="","",INDEX(Scoring!$A$29:$A$361,MATCH($O29,Scoring!$AB$29:$AB$361,0)))</f>
        <v>Intas</v>
      </c>
      <c r="C29" s="5" t="n">
        <f aca="false">IF($O29="","",IF(INDEX(Scoring!$P$29:$P$361,MATCH($O29,Scoring!$AB$29:$AB$361,0))="","–",INDEX(Scoring!$P$29:$P$361,MATCH($O29,Scoring!$AB$29:$AB$361,0))))</f>
        <v>25</v>
      </c>
      <c r="D29" s="6" t="str">
        <f aca="false">IF($O29="","",INDEX(Scoring!$Q$29:$Q$361,MATCH($O29,Scoring!$AB$29:$AB$361,0)))</f>
        <v>Priority 3</v>
      </c>
      <c r="E29" s="7" t="str">
        <f aca="false">IF($O29="","",INDEX(Scoring!$AJ$29:$AJ$361,MATCH($O29,Scoring!$AB$29:$AB$361,0)))</f>
        <v>Lower price · lower volume</v>
      </c>
      <c r="F29" s="6" t="str">
        <f aca="false">IF($O29="","",INDEX(Scoring!$B$29:$B$361,MATCH($O29,Scoring!$AB$29:$AB$361,0)))</f>
        <v>Naloxone</v>
      </c>
      <c r="G29" s="7" t="str">
        <f aca="false">IF($O29="","",INDEX(Scoring!$AG$29:$AG$361,MATCH($O29,Scoring!$AB$29:$AB$361,0)))</f>
        <v>Naloxone Hydrochloride; Naloxone</v>
      </c>
      <c r="H29" s="7" t="str">
        <f aca="false">IF($O29="","",INDEX(Scoring!$C$29:$C$361,MATCH($O29,Scoring!$AB$29:$AB$361,0)))</f>
        <v>Critical care: reversal of opioid overdose</v>
      </c>
      <c r="I29" s="6" t="str">
        <f aca="false">IF($O29="","",INDEX(Scoring!$I$29:$I$361,MATCH($O29,Scoring!$AB$29:$AB$361,0)))</f>
        <v>Prefilled syringe</v>
      </c>
      <c r="J29" s="7" t="str">
        <f aca="false">IF($O29="","",INDEX(Scoring!$Z$29:$Z$361,MATCH($O29,Scoring!$AB$29:$AB$361,0)))</f>
        <v>0.4 mg/mL (container not stated); 1 mg/mL (container not stated); 400 mcg/mL pre-filled syringe</v>
      </c>
      <c r="K29" s="8" t="n">
        <f aca="false">IF($O29="","",IF(INDEX(Scoring!$D$29:$D$361,MATCH($O29,Scoring!$AB$29:$AB$361,0))="",INDEX(Scoring!$AF$29:$AF$361,MATCH($O29,Scoring!$AB$29:$AB$361,0)),INDEX(Scoring!$D$29:$D$361,MATCH($O29,Scoring!$AB$29:$AB$361,0))))</f>
        <v>5.42</v>
      </c>
      <c r="L29" s="9" t="n">
        <f aca="false">IF($O29="","",INDEX(Scoring!$M$29:$M$361,MATCH($O29,Scoring!$AB$29:$AB$361,0)))</f>
        <v>88</v>
      </c>
      <c r="M29" s="9" t="n">
        <f aca="false">IF($O29="","",INDEX(Scoring!$F$29:$F$361,MATCH($O29,Scoring!$AB$29:$AB$361,0)))</f>
        <v>1437.9</v>
      </c>
      <c r="N29" s="7" t="str">
        <f aca="false">IF($O29="","",INDEX(Scoring!$AI$29:$AI$361,MATCH($O29,Scoring!$AB$29:$AB$361,0)))</f>
        <v>US, UK, UK-NI | EU/EEA (12): Germany, France, Netherlands, Austria + 8 more</v>
      </c>
      <c r="O29" s="10" t="n">
        <f aca="false">IFERROR(SMALL(Scoring!$AB$29:$AB$361,25),"")</f>
        <v>1025</v>
      </c>
    </row>
    <row r="30" customFormat="false" ht="28.35" hidden="false" customHeight="false" outlineLevel="0" collapsed="false">
      <c r="A30" s="5" t="n">
        <f aca="false">IF($O30="","",INT($O30/1000))</f>
        <v>1</v>
      </c>
      <c r="B30" s="6" t="str">
        <f aca="false">IF($O30="","",INDEX(Scoring!$A$29:$A$361,MATCH($O30,Scoring!$AB$29:$AB$361,0)))</f>
        <v>Intas</v>
      </c>
      <c r="C30" s="5" t="n">
        <f aca="false">IF($O30="","",IF(INDEX(Scoring!$P$29:$P$361,MATCH($O30,Scoring!$AB$29:$AB$361,0))="","–",INDEX(Scoring!$P$29:$P$361,MATCH($O30,Scoring!$AB$29:$AB$361,0))))</f>
        <v>26</v>
      </c>
      <c r="D30" s="6" t="str">
        <f aca="false">IF($O30="","",INDEX(Scoring!$Q$29:$Q$361,MATCH($O30,Scoring!$AB$29:$AB$361,0)))</f>
        <v>Priority 3</v>
      </c>
      <c r="E30" s="7" t="str">
        <f aca="false">IF($O30="","",INDEX(Scoring!$AJ$29:$AJ$361,MATCH($O30,Scoring!$AB$29:$AB$361,0)))</f>
        <v>Lower price · lower volume</v>
      </c>
      <c r="F30" s="6" t="str">
        <f aca="false">IF($O30="","",INDEX(Scoring!$B$29:$B$361,MATCH($O30,Scoring!$AB$29:$AB$361,0)))</f>
        <v>Hydroxocobalamin</v>
      </c>
      <c r="G30" s="7" t="str">
        <f aca="false">IF($O30="","",INDEX(Scoring!$AG$29:$AG$361,MATCH($O30,Scoring!$AB$29:$AB$361,0)))</f>
        <v>Hydroxocobalamin Accord Healthcare</v>
      </c>
      <c r="H30" s="7" t="str">
        <f aca="false">IF($O30="","",INDEX(Scoring!$C$29:$C$361,MATCH($O30,Scoring!$AB$29:$AB$361,0)))</f>
        <v>Haematology: vitamin B12 deficiency, cyanide poisoning</v>
      </c>
      <c r="I30" s="6" t="str">
        <f aca="false">IF($O30="","",INDEX(Scoring!$I$29:$I$361,MATCH($O30,Scoring!$AB$29:$AB$361,0)))</f>
        <v>Not stated</v>
      </c>
      <c r="J30" s="7" t="str">
        <f aca="false">IF($O30="","",INDEX(Scoring!$Z$29:$Z$361,MATCH($O30,Scoring!$AB$29:$AB$361,0)))</f>
        <v>1 mg/mL (container not stated)</v>
      </c>
      <c r="K30" s="8" t="n">
        <f aca="false">IF($O30="","",IF(INDEX(Scoring!$D$29:$D$361,MATCH($O30,Scoring!$AB$29:$AB$361,0))="",INDEX(Scoring!$AF$29:$AF$361,MATCH($O30,Scoring!$AB$29:$AB$361,0)),INDEX(Scoring!$D$29:$D$361,MATCH($O30,Scoring!$AB$29:$AB$361,0))))</f>
        <v>9.83</v>
      </c>
      <c r="L30" s="9" t="n">
        <f aca="false">IF($O30="","",INDEX(Scoring!$M$29:$M$361,MATCH($O30,Scoring!$AB$29:$AB$361,0)))</f>
        <v>22</v>
      </c>
      <c r="M30" s="9" t="n">
        <f aca="false">IF($O30="","",INDEX(Scoring!$F$29:$F$361,MATCH($O30,Scoring!$AB$29:$AB$361,0)))</f>
        <v>315.7</v>
      </c>
      <c r="N30" s="7" t="str">
        <f aca="false">IF($O30="","",INDEX(Scoring!$AI$29:$AI$361,MATCH($O30,Scoring!$AB$29:$AB$361,0)))</f>
        <v>UK-NI</v>
      </c>
      <c r="O30" s="10" t="n">
        <f aca="false">IFERROR(SMALL(Scoring!$AB$29:$AB$361,26),"")</f>
        <v>1026</v>
      </c>
    </row>
    <row r="31" customFormat="false" ht="28.35" hidden="false" customHeight="false" outlineLevel="0" collapsed="false">
      <c r="A31" s="5" t="n">
        <f aca="false">IF($O31="","",INT($O31/1000))</f>
        <v>1</v>
      </c>
      <c r="B31" s="6" t="str">
        <f aca="false">IF($O31="","",INDEX(Scoring!$A$29:$A$361,MATCH($O31,Scoring!$AB$29:$AB$361,0)))</f>
        <v>Intas</v>
      </c>
      <c r="C31" s="5" t="str">
        <f aca="false">IF($O31="","",IF(INDEX(Scoring!$P$29:$P$361,MATCH($O31,Scoring!$AB$29:$AB$361,0))="","–",INDEX(Scoring!$P$29:$P$361,MATCH($O31,Scoring!$AB$29:$AB$361,0))))</f>
        <v>–</v>
      </c>
      <c r="D31" s="6" t="str">
        <f aca="false">IF($O31="","",INDEX(Scoring!$Q$29:$Q$361,MATCH($O31,Scoring!$AB$29:$AB$361,0)))</f>
        <v>Excluded – price ≤ $5</v>
      </c>
      <c r="E31" s="7" t="str">
        <f aca="false">IF($O31="","",INDEX(Scoring!$AJ$29:$AJ$361,MATCH($O31,Scoring!$AB$29:$AB$361,0)))</f>
        <v/>
      </c>
      <c r="F31" s="6" t="str">
        <f aca="false">IF($O31="","",INDEX(Scoring!$B$29:$B$361,MATCH($O31,Scoring!$AB$29:$AB$361,0)))</f>
        <v>Amoxicillin</v>
      </c>
      <c r="G31" s="7" t="str">
        <f aca="false">IF($O31="","",INDEX(Scoring!$AG$29:$AG$361,MATCH($O31,Scoring!$AB$29:$AB$361,0)))</f>
        <v>Amoxicillin Accord Healthcare</v>
      </c>
      <c r="H31" s="7" t="str">
        <f aca="false">IF($O31="","",INDEX(Scoring!$C$29:$C$361,MATCH($O31,Scoring!$AB$29:$AB$361,0)))</f>
        <v>Anti-infective: serious bacterial infections when oral treatment is not possible</v>
      </c>
      <c r="I31" s="6" t="str">
        <f aca="false">IF($O31="","",INDEX(Scoring!$I$29:$I$361,MATCH($O31,Scoring!$AB$29:$AB$361,0)))</f>
        <v>Not stated</v>
      </c>
      <c r="J31" s="7" t="str">
        <f aca="false">IF($O31="","",INDEX(Scoring!$Z$29:$Z$361,MATCH($O31,Scoring!$AB$29:$AB$361,0)))</f>
        <v>500 mg (container not stated)</v>
      </c>
      <c r="K31" s="8" t="n">
        <f aca="false">IF($O31="","",IF(INDEX(Scoring!$D$29:$D$361,MATCH($O31,Scoring!$AB$29:$AB$361,0))="",INDEX(Scoring!$AF$29:$AF$361,MATCH($O31,Scoring!$AB$29:$AB$361,0)),INDEX(Scoring!$D$29:$D$361,MATCH($O31,Scoring!$AB$29:$AB$361,0))))</f>
        <v>1.59</v>
      </c>
      <c r="L31" s="9" t="n">
        <f aca="false">IF($O31="","",INDEX(Scoring!$M$29:$M$361,MATCH($O31,Scoring!$AB$29:$AB$361,0)))</f>
        <v>715</v>
      </c>
      <c r="M31" s="9" t="n">
        <f aca="false">IF($O31="","",INDEX(Scoring!$F$29:$F$361,MATCH($O31,Scoring!$AB$29:$AB$361,0)))</f>
        <v>33794.9</v>
      </c>
      <c r="N31" s="7" t="str">
        <f aca="false">IF($O31="","",INDEX(Scoring!$AI$29:$AI$361,MATCH($O31,Scoring!$AB$29:$AB$361,0)))</f>
        <v>UK-NI | EU/EEA (1): Portugal</v>
      </c>
      <c r="O31" s="10" t="n">
        <f aca="false">IFERROR(SMALL(Scoring!$AB$29:$AB$361,27),"")</f>
        <v>1901</v>
      </c>
    </row>
    <row r="32" customFormat="false" ht="28.35" hidden="false" customHeight="false" outlineLevel="0" collapsed="false">
      <c r="A32" s="5" t="n">
        <f aca="false">IF($O32="","",INT($O32/1000))</f>
        <v>1</v>
      </c>
      <c r="B32" s="6" t="str">
        <f aca="false">IF($O32="","",INDEX(Scoring!$A$29:$A$361,MATCH($O32,Scoring!$AB$29:$AB$361,0)))</f>
        <v>Intas</v>
      </c>
      <c r="C32" s="5" t="str">
        <f aca="false">IF($O32="","",IF(INDEX(Scoring!$P$29:$P$361,MATCH($O32,Scoring!$AB$29:$AB$361,0))="","–",INDEX(Scoring!$P$29:$P$361,MATCH($O32,Scoring!$AB$29:$AB$361,0))))</f>
        <v>–</v>
      </c>
      <c r="D32" s="6" t="str">
        <f aca="false">IF($O32="","",INDEX(Scoring!$Q$29:$Q$361,MATCH($O32,Scoring!$AB$29:$AB$361,0)))</f>
        <v>Excluded – price ≤ $5</v>
      </c>
      <c r="E32" s="7" t="str">
        <f aca="false">IF($O32="","",INDEX(Scoring!$AJ$29:$AJ$361,MATCH($O32,Scoring!$AB$29:$AB$361,0)))</f>
        <v/>
      </c>
      <c r="F32" s="6" t="str">
        <f aca="false">IF($O32="","",INDEX(Scoring!$B$29:$B$361,MATCH($O32,Scoring!$AB$29:$AB$361,0)))</f>
        <v>Glycopyrrolate</v>
      </c>
      <c r="G32" s="7" t="str">
        <f aca="false">IF($O32="","",INDEX(Scoring!$AG$29:$AG$361,MATCH($O32,Scoring!$AB$29:$AB$361,0)))</f>
        <v>Glycopyrrolate Accord</v>
      </c>
      <c r="H32" s="7" t="str">
        <f aca="false">IF($O32="","",INDEX(Scoring!$C$29:$C$361,MATCH($O32,Scoring!$AB$29:$AB$361,0)))</f>
        <v>Anaesthesia: reduces secretions, reversal of muscle relaxants</v>
      </c>
      <c r="I32" s="6" t="str">
        <f aca="false">IF($O32="","",INDEX(Scoring!$I$29:$I$361,MATCH($O32,Scoring!$AB$29:$AB$361,0)))</f>
        <v>Ampoule</v>
      </c>
      <c r="J32" s="7" t="str">
        <f aca="false">IF($O32="","",INDEX(Scoring!$Z$29:$Z$361,MATCH($O32,Scoring!$AB$29:$AB$361,0)))</f>
        <v>0.6 mg/3 mL ampoule</v>
      </c>
      <c r="K32" s="8" t="n">
        <f aca="false">IF($O32="","",IF(INDEX(Scoring!$D$29:$D$361,MATCH($O32,Scoring!$AB$29:$AB$361,0))="",INDEX(Scoring!$AF$29:$AF$361,MATCH($O32,Scoring!$AB$29:$AB$361,0)),INDEX(Scoring!$D$29:$D$361,MATCH($O32,Scoring!$AB$29:$AB$361,0))))</f>
        <v>3</v>
      </c>
      <c r="L32" s="9" t="n">
        <f aca="false">IF($O32="","",INDEX(Scoring!$M$29:$M$361,MATCH($O32,Scoring!$AB$29:$AB$361,0)))</f>
        <v>119</v>
      </c>
      <c r="M32" s="9" t="n">
        <f aca="false">IF($O32="","",INDEX(Scoring!$F$29:$F$361,MATCH($O32,Scoring!$AB$29:$AB$361,0)))</f>
        <v>1332.4</v>
      </c>
      <c r="N32" s="7" t="str">
        <f aca="false">IF($O32="","",INDEX(Scoring!$AI$29:$AI$361,MATCH($O32,Scoring!$AB$29:$AB$361,0)))</f>
        <v>Australia, UK-NI | EU/EEA (6): Germany, Austria, Cyprus, Finland, Italy, Sweden</v>
      </c>
      <c r="O32" s="10" t="n">
        <f aca="false">IFERROR(SMALL(Scoring!$AB$29:$AB$361,28),"")</f>
        <v>1902</v>
      </c>
    </row>
    <row r="33" customFormat="false" ht="28.35" hidden="false" customHeight="false" outlineLevel="0" collapsed="false">
      <c r="A33" s="5" t="n">
        <f aca="false">IF($O33="","",INT($O33/1000))</f>
        <v>1</v>
      </c>
      <c r="B33" s="6" t="str">
        <f aca="false">IF($O33="","",INDEX(Scoring!$A$29:$A$361,MATCH($O33,Scoring!$AB$29:$AB$361,0)))</f>
        <v>Intas</v>
      </c>
      <c r="C33" s="5" t="str">
        <f aca="false">IF($O33="","",IF(INDEX(Scoring!$P$29:$P$361,MATCH($O33,Scoring!$AB$29:$AB$361,0))="","–",INDEX(Scoring!$P$29:$P$361,MATCH($O33,Scoring!$AB$29:$AB$361,0))))</f>
        <v>–</v>
      </c>
      <c r="D33" s="6" t="str">
        <f aca="false">IF($O33="","",INDEX(Scoring!$Q$29:$Q$361,MATCH($O33,Scoring!$AB$29:$AB$361,0)))</f>
        <v>Excluded – price ≤ $5</v>
      </c>
      <c r="E33" s="7" t="str">
        <f aca="false">IF($O33="","",INDEX(Scoring!$AJ$29:$AJ$361,MATCH($O33,Scoring!$AB$29:$AB$361,0)))</f>
        <v/>
      </c>
      <c r="F33" s="6" t="str">
        <f aca="false">IF($O33="","",INDEX(Scoring!$B$29:$B$361,MATCH($O33,Scoring!$AB$29:$AB$361,0)))</f>
        <v>Lidocaine</v>
      </c>
      <c r="G33" s="7" t="str">
        <f aca="false">IF($O33="","",INDEX(Scoring!$AG$29:$AG$361,MATCH($O33,Scoring!$AB$29:$AB$361,0)))</f>
        <v>Lidocaine Accord; Lidocaine Intas</v>
      </c>
      <c r="H33" s="7" t="str">
        <f aca="false">IF($O33="","",INDEX(Scoring!$C$29:$C$361,MATCH($O33,Scoring!$AB$29:$AB$361,0)))</f>
        <v>Anaesthesia: local anaesthetic, ventricular arrhythmias</v>
      </c>
      <c r="I33" s="6" t="str">
        <f aca="false">IF($O33="","",INDEX(Scoring!$I$29:$I$361,MATCH($O33,Scoring!$AB$29:$AB$361,0)))</f>
        <v>Vial, Ampoule</v>
      </c>
      <c r="J33" s="7" t="str">
        <f aca="false">IF($O33="","",INDEX(Scoring!$Z$29:$Z$361,MATCH($O33,Scoring!$AB$29:$AB$361,0)))</f>
        <v>100 mg/5 mL ampoule; 400 mg/20 mL vial; 40 mg/2 mL ampoule; 200 mg/20 mL vial</v>
      </c>
      <c r="K33" s="8" t="n">
        <f aca="false">IF($O33="","",IF(INDEX(Scoring!$D$29:$D$361,MATCH($O33,Scoring!$AB$29:$AB$361,0))="",INDEX(Scoring!$AF$29:$AF$361,MATCH($O33,Scoring!$AB$29:$AB$361,0)),INDEX(Scoring!$D$29:$D$361,MATCH($O33,Scoring!$AB$29:$AB$361,0))))</f>
        <v>1.42</v>
      </c>
      <c r="L33" s="9" t="n">
        <f aca="false">IF($O33="","",INDEX(Scoring!$M$29:$M$361,MATCH($O33,Scoring!$AB$29:$AB$361,0)))</f>
        <v>670</v>
      </c>
      <c r="M33" s="9" t="n">
        <f aca="false">IF($O33="","",INDEX(Scoring!$F$29:$F$361,MATCH($O33,Scoring!$AB$29:$AB$361,0)))</f>
        <v>18611.6</v>
      </c>
      <c r="N33" s="7" t="str">
        <f aca="false">IF($O33="","",INDEX(Scoring!$AI$29:$AI$361,MATCH($O33,Scoring!$AB$29:$AB$361,0)))</f>
        <v>Australia, UK-NI | EU/EEA (7): Austria, Cyprus, Estonia, Lithuania + 3 more</v>
      </c>
      <c r="O33" s="10" t="n">
        <f aca="false">IFERROR(SMALL(Scoring!$AB$29:$AB$361,29),"")</f>
        <v>1903</v>
      </c>
    </row>
    <row r="34" customFormat="false" ht="28.35" hidden="false" customHeight="false" outlineLevel="0" collapsed="false">
      <c r="A34" s="5" t="n">
        <f aca="false">IF($O34="","",INT($O34/1000))</f>
        <v>1</v>
      </c>
      <c r="B34" s="6" t="str">
        <f aca="false">IF($O34="","",INDEX(Scoring!$A$29:$A$361,MATCH($O34,Scoring!$AB$29:$AB$361,0)))</f>
        <v>Intas</v>
      </c>
      <c r="C34" s="5" t="str">
        <f aca="false">IF($O34="","",IF(INDEX(Scoring!$P$29:$P$361,MATCH($O34,Scoring!$AB$29:$AB$361,0))="","–",INDEX(Scoring!$P$29:$P$361,MATCH($O34,Scoring!$AB$29:$AB$361,0))))</f>
        <v>–</v>
      </c>
      <c r="D34" s="6" t="str">
        <f aca="false">IF($O34="","",INDEX(Scoring!$Q$29:$Q$361,MATCH($O34,Scoring!$AB$29:$AB$361,0)))</f>
        <v>Excluded – price ≤ $5</v>
      </c>
      <c r="E34" s="7" t="str">
        <f aca="false">IF($O34="","",INDEX(Scoring!$AJ$29:$AJ$361,MATCH($O34,Scoring!$AB$29:$AB$361,0)))</f>
        <v/>
      </c>
      <c r="F34" s="6" t="str">
        <f aca="false">IF($O34="","",INDEX(Scoring!$B$29:$B$361,MATCH($O34,Scoring!$AB$29:$AB$361,0)))</f>
        <v>Phenytoin</v>
      </c>
      <c r="G34" s="7" t="str">
        <f aca="false">IF($O34="","",INDEX(Scoring!$AG$29:$AG$361,MATCH($O34,Scoring!$AB$29:$AB$361,0)))</f>
        <v>Phenytoin Accord</v>
      </c>
      <c r="H34" s="7" t="str">
        <f aca="false">IF($O34="","",INDEX(Scoring!$C$29:$C$361,MATCH($O34,Scoring!$AB$29:$AB$361,0)))</f>
        <v>Neurology: status epilepticus, seizure prevention</v>
      </c>
      <c r="I34" s="6" t="str">
        <f aca="false">IF($O34="","",INDEX(Scoring!$I$29:$I$361,MATCH($O34,Scoring!$AB$29:$AB$361,0)))</f>
        <v>Not stated</v>
      </c>
      <c r="J34" s="7" t="str">
        <f aca="false">IF($O34="","",INDEX(Scoring!$Z$29:$Z$361,MATCH($O34,Scoring!$AB$29:$AB$361,0)))</f>
        <v>100 mg/2 mL (container not stated)</v>
      </c>
      <c r="K34" s="8" t="n">
        <f aca="false">IF($O34="","",IF(INDEX(Scoring!$D$29:$D$361,MATCH($O34,Scoring!$AB$29:$AB$361,0))="",INDEX(Scoring!$AF$29:$AF$361,MATCH($O34,Scoring!$AB$29:$AB$361,0)),INDEX(Scoring!$D$29:$D$361,MATCH($O34,Scoring!$AB$29:$AB$361,0))))</f>
        <v>4.49</v>
      </c>
      <c r="L34" s="9" t="n">
        <f aca="false">IF($O34="","",INDEX(Scoring!$M$29:$M$361,MATCH($O34,Scoring!$AB$29:$AB$361,0)))</f>
        <v>208</v>
      </c>
      <c r="M34" s="9" t="n">
        <f aca="false">IF($O34="","",INDEX(Scoring!$F$29:$F$361,MATCH($O34,Scoring!$AB$29:$AB$361,0)))</f>
        <v>2009.5</v>
      </c>
      <c r="N34" s="7" t="str">
        <f aca="false">IF($O34="","",INDEX(Scoring!$AI$29:$AI$361,MATCH($O34,Scoring!$AB$29:$AB$361,0)))</f>
        <v>UK-NI | EU/EEA (1): Portugal</v>
      </c>
      <c r="O34" s="10" t="n">
        <f aca="false">IFERROR(SMALL(Scoring!$AB$29:$AB$361,30),"")</f>
        <v>1904</v>
      </c>
    </row>
    <row r="35" customFormat="false" ht="28.35" hidden="false" customHeight="false" outlineLevel="0" collapsed="false">
      <c r="A35" s="5" t="n">
        <f aca="false">IF($O35="","",INT($O35/1000))</f>
        <v>2</v>
      </c>
      <c r="B35" s="6" t="str">
        <f aca="false">IF($O35="","",INDEX(Scoring!$A$29:$A$361,MATCH($O35,Scoring!$AB$29:$AB$361,0)))</f>
        <v>Aurobindo</v>
      </c>
      <c r="C35" s="5" t="n">
        <f aca="false">IF($O35="","",IF(INDEX(Scoring!$P$29:$P$361,MATCH($O35,Scoring!$AB$29:$AB$361,0))="","–",INDEX(Scoring!$P$29:$P$361,MATCH($O35,Scoring!$AB$29:$AB$361,0))))</f>
        <v>1</v>
      </c>
      <c r="D35" s="6" t="str">
        <f aca="false">IF($O35="","",INDEX(Scoring!$Q$29:$Q$361,MATCH($O35,Scoring!$AB$29:$AB$361,0)))</f>
        <v>Priority 1</v>
      </c>
      <c r="E35" s="7" t="str">
        <f aca="false">IF($O35="","",INDEX(Scoring!$AJ$29:$AJ$361,MATCH($O35,Scoring!$AB$29:$AB$361,0)))</f>
        <v>High price · high volume</v>
      </c>
      <c r="F35" s="6" t="str">
        <f aca="false">IF($O35="","",INDEX(Scoring!$B$29:$B$361,MATCH($O35,Scoring!$AB$29:$AB$361,0)))</f>
        <v>Ertapenem</v>
      </c>
      <c r="G35" s="7" t="str">
        <f aca="false">IF($O35="","",INDEX(Scoring!$AG$29:$AG$361,MATCH($O35,Scoring!$AB$29:$AB$361,0)))</f>
        <v>Ertapenem Sodium; Ertapenem; Etamep (+1 more)</v>
      </c>
      <c r="H35" s="7" t="str">
        <f aca="false">IF($O35="","",INDEX(Scoring!$C$29:$C$361,MATCH($O35,Scoring!$AB$29:$AB$361,0)))</f>
        <v>Anti-infective: abdominal, skin and urinary infections, pneumonia</v>
      </c>
      <c r="I35" s="6" t="str">
        <f aca="false">IF($O35="","",INDEX(Scoring!$I$29:$I$361,MATCH($O35,Scoring!$AB$29:$AB$361,0)))</f>
        <v>Vial</v>
      </c>
      <c r="J35" s="7" t="str">
        <f aca="false">IF($O35="","",INDEX(Scoring!$Z$29:$Z$361,MATCH($O35,Scoring!$AB$29:$AB$361,0)))</f>
        <v>1 g powder vial; 1 g in 20 mL powder vial</v>
      </c>
      <c r="K35" s="8" t="n">
        <f aca="false">IF($O35="","",IF(INDEX(Scoring!$D$29:$D$361,MATCH($O35,Scoring!$AB$29:$AB$361,0))="",INDEX(Scoring!$AF$29:$AF$361,MATCH($O35,Scoring!$AB$29:$AB$361,0)),INDEX(Scoring!$D$29:$D$361,MATCH($O35,Scoring!$AB$29:$AB$361,0))))</f>
        <v>28.55</v>
      </c>
      <c r="L35" s="9" t="n">
        <f aca="false">IF($O35="","",INDEX(Scoring!$M$29:$M$361,MATCH($O35,Scoring!$AB$29:$AB$361,0)))</f>
        <v>223</v>
      </c>
      <c r="M35" s="9" t="n">
        <f aca="false">IF($O35="","",INDEX(Scoring!$F$29:$F$361,MATCH($O35,Scoring!$AB$29:$AB$361,0)))</f>
        <v>53539.9</v>
      </c>
      <c r="N35" s="7" t="str">
        <f aca="false">IF($O35="","",INDEX(Scoring!$AI$29:$AI$361,MATCH($O35,Scoring!$AB$29:$AB$361,0)))</f>
        <v>US, Canada, South Africa, UK-NI | EU/EEA (6): France, Italy, Poland, Portugal, Romania, Spain</v>
      </c>
      <c r="O35" s="10" t="n">
        <f aca="false">IFERROR(SMALL(Scoring!$AB$29:$AB$361,31),"")</f>
        <v>2001</v>
      </c>
    </row>
    <row r="36" customFormat="false" ht="28.35" hidden="false" customHeight="false" outlineLevel="0" collapsed="false">
      <c r="A36" s="5" t="n">
        <f aca="false">IF($O36="","",INT($O36/1000))</f>
        <v>2</v>
      </c>
      <c r="B36" s="6" t="str">
        <f aca="false">IF($O36="","",INDEX(Scoring!$A$29:$A$361,MATCH($O36,Scoring!$AB$29:$AB$361,0)))</f>
        <v>Aurobindo</v>
      </c>
      <c r="C36" s="5" t="n">
        <f aca="false">IF($O36="","",IF(INDEX(Scoring!$P$29:$P$361,MATCH($O36,Scoring!$AB$29:$AB$361,0))="","–",INDEX(Scoring!$P$29:$P$361,MATCH($O36,Scoring!$AB$29:$AB$361,0))))</f>
        <v>2</v>
      </c>
      <c r="D36" s="6" t="str">
        <f aca="false">IF($O36="","",INDEX(Scoring!$Q$29:$Q$361,MATCH($O36,Scoring!$AB$29:$AB$361,0)))</f>
        <v>Priority 1</v>
      </c>
      <c r="E36" s="7" t="str">
        <f aca="false">IF($O36="","",INDEX(Scoring!$AJ$29:$AJ$361,MATCH($O36,Scoring!$AB$29:$AB$361,0)))</f>
        <v>High price · high volume</v>
      </c>
      <c r="F36" s="6" t="str">
        <f aca="false">IF($O36="","",INDEX(Scoring!$B$29:$B$361,MATCH($O36,Scoring!$AB$29:$AB$361,0)))</f>
        <v>Azacitidine</v>
      </c>
      <c r="G36" s="7" t="str">
        <f aca="false">IF($O36="","",INDEX(Scoring!$AG$29:$AG$361,MATCH($O36,Scoring!$AB$29:$AB$361,0)))</f>
        <v>Azacitidine; Azacitidin Puren; Azacitidine Eugia</v>
      </c>
      <c r="H36" s="7" t="str">
        <f aca="false">IF($O36="","",INDEX(Scoring!$C$29:$C$361,MATCH($O36,Scoring!$AB$29:$AB$361,0)))</f>
        <v>Oncology: myelodysplastic syndromes, acute myeloid leukaemia</v>
      </c>
      <c r="I36" s="6" t="str">
        <f aca="false">IF($O36="","",INDEX(Scoring!$I$29:$I$361,MATCH($O36,Scoring!$AB$29:$AB$361,0)))</f>
        <v>Vial</v>
      </c>
      <c r="J36" s="7" t="str">
        <f aca="false">IF($O36="","",INDEX(Scoring!$Z$29:$Z$361,MATCH($O36,Scoring!$AB$29:$AB$361,0)))</f>
        <v>25 mg/mL powder vial; 100 mg powder vial</v>
      </c>
      <c r="K36" s="8" t="n">
        <f aca="false">IF($O36="","",IF(INDEX(Scoring!$D$29:$D$361,MATCH($O36,Scoring!$AB$29:$AB$361,0))="",INDEX(Scoring!$AF$29:$AF$361,MATCH($O36,Scoring!$AB$29:$AB$361,0)),INDEX(Scoring!$D$29:$D$361,MATCH($O36,Scoring!$AB$29:$AB$361,0))))</f>
        <v>256.12</v>
      </c>
      <c r="L36" s="9" t="n">
        <f aca="false">IF($O36="","",INDEX(Scoring!$M$29:$M$361,MATCH($O36,Scoring!$AB$29:$AB$361,0)))</f>
        <v>632</v>
      </c>
      <c r="M36" s="9" t="n">
        <f aca="false">IF($O36="","",INDEX(Scoring!$F$29:$F$361,MATCH($O36,Scoring!$AB$29:$AB$361,0)))</f>
        <v>42181.7</v>
      </c>
      <c r="N36" s="7" t="str">
        <f aca="false">IF($O36="","",INDEX(Scoring!$AI$29:$AI$361,MATCH($O36,Scoring!$AB$29:$AB$361,0)))</f>
        <v>UK, Australia, UK-NI | EU/EEA (8): Germany, France, Netherlands, Belgium + 4 more</v>
      </c>
      <c r="O36" s="10" t="n">
        <f aca="false">IFERROR(SMALL(Scoring!$AB$29:$AB$361,32),"")</f>
        <v>2002</v>
      </c>
    </row>
    <row r="37" customFormat="false" ht="41.75" hidden="false" customHeight="false" outlineLevel="0" collapsed="false">
      <c r="A37" s="5" t="n">
        <f aca="false">IF($O37="","",INT($O37/1000))</f>
        <v>2</v>
      </c>
      <c r="B37" s="6" t="str">
        <f aca="false">IF($O37="","",INDEX(Scoring!$A$29:$A$361,MATCH($O37,Scoring!$AB$29:$AB$361,0)))</f>
        <v>Aurobindo</v>
      </c>
      <c r="C37" s="5" t="n">
        <f aca="false">IF($O37="","",IF(INDEX(Scoring!$P$29:$P$361,MATCH($O37,Scoring!$AB$29:$AB$361,0))="","–",INDEX(Scoring!$P$29:$P$361,MATCH($O37,Scoring!$AB$29:$AB$361,0))))</f>
        <v>3</v>
      </c>
      <c r="D37" s="6" t="str">
        <f aca="false">IF($O37="","",INDEX(Scoring!$Q$29:$Q$361,MATCH($O37,Scoring!$AB$29:$AB$361,0)))</f>
        <v>Priority 1</v>
      </c>
      <c r="E37" s="7" t="str">
        <f aca="false">IF($O37="","",INDEX(Scoring!$AJ$29:$AJ$361,MATCH($O37,Scoring!$AB$29:$AB$361,0)))</f>
        <v>High price · high volume</v>
      </c>
      <c r="F37" s="6" t="str">
        <f aca="false">IF($O37="","",INDEX(Scoring!$B$29:$B$361,MATCH($O37,Scoring!$AB$29:$AB$361,0)))</f>
        <v>Bortezomib</v>
      </c>
      <c r="G37" s="7" t="str">
        <f aca="false">IF($O37="","",INDEX(Scoring!$AG$29:$AG$361,MATCH($O37,Scoring!$AB$29:$AB$361,0)))</f>
        <v>Bortezomib; Bortezomib Milpharm; Bortezomib Arrow (+1 more)</v>
      </c>
      <c r="H37" s="7" t="str">
        <f aca="false">IF($O37="","",INDEX(Scoring!$C$29:$C$361,MATCH($O37,Scoring!$AB$29:$AB$361,0)))</f>
        <v>Oncology: multiple myeloma, mantle cell lymphoma</v>
      </c>
      <c r="I37" s="6" t="str">
        <f aca="false">IF($O37="","",INDEX(Scoring!$I$29:$I$361,MATCH($O37,Scoring!$AB$29:$AB$361,0)))</f>
        <v>Vial</v>
      </c>
      <c r="J37" s="7" t="str">
        <f aca="false">IF($O37="","",INDEX(Scoring!$Z$29:$Z$361,MATCH($O37,Scoring!$AB$29:$AB$361,0)))</f>
        <v>3.5 mg powder vial</v>
      </c>
      <c r="K37" s="8" t="n">
        <f aca="false">IF($O37="","",IF(INDEX(Scoring!$D$29:$D$361,MATCH($O37,Scoring!$AB$29:$AB$361,0))="",INDEX(Scoring!$AF$29:$AF$361,MATCH($O37,Scoring!$AB$29:$AB$361,0)),INDEX(Scoring!$D$29:$D$361,MATCH($O37,Scoring!$AB$29:$AB$361,0))))</f>
        <v>584.34</v>
      </c>
      <c r="L37" s="9" t="n">
        <f aca="false">IF($O37="","",INDEX(Scoring!$M$29:$M$361,MATCH($O37,Scoring!$AB$29:$AB$361,0)))</f>
        <v>905</v>
      </c>
      <c r="M37" s="9" t="n">
        <f aca="false">IF($O37="","",INDEX(Scoring!$F$29:$F$361,MATCH($O37,Scoring!$AB$29:$AB$361,0)))</f>
        <v>28093.4</v>
      </c>
      <c r="N37" s="7" t="str">
        <f aca="false">IF($O37="","",INDEX(Scoring!$AI$29:$AI$361,MATCH($O37,Scoring!$AB$29:$AB$361,0)))</f>
        <v>US, UK, Australia, UK-NI | EU/EEA (8): Germany, France, Netherlands, Belgium + 4 more</v>
      </c>
      <c r="O37" s="10" t="n">
        <f aca="false">IFERROR(SMALL(Scoring!$AB$29:$AB$361,33),"")</f>
        <v>2003</v>
      </c>
    </row>
    <row r="38" customFormat="false" ht="28.35" hidden="false" customHeight="false" outlineLevel="0" collapsed="false">
      <c r="A38" s="5" t="n">
        <f aca="false">IF($O38="","",INT($O38/1000))</f>
        <v>2</v>
      </c>
      <c r="B38" s="6" t="str">
        <f aca="false">IF($O38="","",INDEX(Scoring!$A$29:$A$361,MATCH($O38,Scoring!$AB$29:$AB$361,0)))</f>
        <v>Aurobindo</v>
      </c>
      <c r="C38" s="5" t="n">
        <f aca="false">IF($O38="","",IF(INDEX(Scoring!$P$29:$P$361,MATCH($O38,Scoring!$AB$29:$AB$361,0))="","–",INDEX(Scoring!$P$29:$P$361,MATCH($O38,Scoring!$AB$29:$AB$361,0))))</f>
        <v>4</v>
      </c>
      <c r="D38" s="6" t="str">
        <f aca="false">IF($O38="","",INDEX(Scoring!$Q$29:$Q$361,MATCH($O38,Scoring!$AB$29:$AB$361,0)))</f>
        <v>Priority 1</v>
      </c>
      <c r="E38" s="7" t="str">
        <f aca="false">IF($O38="","",INDEX(Scoring!$AJ$29:$AJ$361,MATCH($O38,Scoring!$AB$29:$AB$361,0)))</f>
        <v>High price · high volume</v>
      </c>
      <c r="F38" s="6" t="str">
        <f aca="false">IF($O38="","",INDEX(Scoring!$B$29:$B$361,MATCH($O38,Scoring!$AB$29:$AB$361,0)))</f>
        <v>Fulvestrant</v>
      </c>
      <c r="G38" s="7" t="str">
        <f aca="false">IF($O38="","",INDEX(Scoring!$AG$29:$AG$361,MATCH($O38,Scoring!$AB$29:$AB$361,0)))</f>
        <v>Fulvestrant; Fulvestrant Arrow; EUG-Fulvestrant</v>
      </c>
      <c r="H38" s="7" t="str">
        <f aca="false">IF($O38="","",INDEX(Scoring!$C$29:$C$361,MATCH($O38,Scoring!$AB$29:$AB$361,0)))</f>
        <v>Oncology: hormone receptor-positive advanced breast cancer</v>
      </c>
      <c r="I38" s="6" t="str">
        <f aca="false">IF($O38="","",INDEX(Scoring!$I$29:$I$361,MATCH($O38,Scoring!$AB$29:$AB$361,0)))</f>
        <v>Prefilled syringe</v>
      </c>
      <c r="J38" s="7" t="str">
        <f aca="false">IF($O38="","",INDEX(Scoring!$Z$29:$Z$361,MATCH($O38,Scoring!$AB$29:$AB$361,0)))</f>
        <v>250 mg/5 mL pre-filled syringe</v>
      </c>
      <c r="K38" s="8" t="n">
        <f aca="false">IF($O38="","",IF(INDEX(Scoring!$D$29:$D$361,MATCH($O38,Scoring!$AB$29:$AB$361,0))="",INDEX(Scoring!$AF$29:$AF$361,MATCH($O38,Scoring!$AB$29:$AB$361,0)),INDEX(Scoring!$D$29:$D$361,MATCH($O38,Scoring!$AB$29:$AB$361,0))))</f>
        <v>308.1</v>
      </c>
      <c r="L38" s="9" t="n">
        <f aca="false">IF($O38="","",INDEX(Scoring!$M$29:$M$361,MATCH($O38,Scoring!$AB$29:$AB$361,0)))</f>
        <v>146</v>
      </c>
      <c r="M38" s="9" t="n">
        <f aca="false">IF($O38="","",INDEX(Scoring!$F$29:$F$361,MATCH($O38,Scoring!$AB$29:$AB$361,0)))</f>
        <v>11366.1</v>
      </c>
      <c r="N38" s="7" t="str">
        <f aca="false">IF($O38="","",INDEX(Scoring!$AI$29:$AI$361,MATCH($O38,Scoring!$AB$29:$AB$361,0)))</f>
        <v>UK, Australia | EU/EEA (8): Germany, France, Netherlands, Belgium + 4 more</v>
      </c>
      <c r="O38" s="10" t="n">
        <f aca="false">IFERROR(SMALL(Scoring!$AB$29:$AB$361,34),"")</f>
        <v>2004</v>
      </c>
    </row>
    <row r="39" customFormat="false" ht="28.35" hidden="false" customHeight="false" outlineLevel="0" collapsed="false">
      <c r="A39" s="5" t="n">
        <f aca="false">IF($O39="","",INT($O39/1000))</f>
        <v>2</v>
      </c>
      <c r="B39" s="6" t="str">
        <f aca="false">IF($O39="","",INDEX(Scoring!$A$29:$A$361,MATCH($O39,Scoring!$AB$29:$AB$361,0)))</f>
        <v>Aurobindo</v>
      </c>
      <c r="C39" s="5" t="n">
        <f aca="false">IF($O39="","",IF(INDEX(Scoring!$P$29:$P$361,MATCH($O39,Scoring!$AB$29:$AB$361,0))="","–",INDEX(Scoring!$P$29:$P$361,MATCH($O39,Scoring!$AB$29:$AB$361,0))))</f>
        <v>5</v>
      </c>
      <c r="D39" s="6" t="str">
        <f aca="false">IF($O39="","",INDEX(Scoring!$Q$29:$Q$361,MATCH($O39,Scoring!$AB$29:$AB$361,0)))</f>
        <v>Priority 1</v>
      </c>
      <c r="E39" s="7" t="str">
        <f aca="false">IF($O39="","",INDEX(Scoring!$AJ$29:$AJ$361,MATCH($O39,Scoring!$AB$29:$AB$361,0)))</f>
        <v>High price · high volume</v>
      </c>
      <c r="F39" s="6" t="str">
        <f aca="false">IF($O39="","",INDEX(Scoring!$B$29:$B$361,MATCH($O39,Scoring!$AB$29:$AB$361,0)))</f>
        <v>Folinic Acid (Leucovorin)</v>
      </c>
      <c r="G39" s="7" t="str">
        <f aca="false">IF($O39="","",INDEX(Scoring!$AG$29:$AG$361,MATCH($O39,Scoring!$AB$29:$AB$361,0)))</f>
        <v>Folinsäure Aurobindo</v>
      </c>
      <c r="H39" s="7" t="str">
        <f aca="false">IF($O39="","",INDEX(Scoring!$C$29:$C$361,MATCH($O39,Scoring!$AB$29:$AB$361,0)))</f>
        <v>Oncology support: methotrexate rescue, combination therapy in colorectal cancer</v>
      </c>
      <c r="I39" s="6" t="str">
        <f aca="false">IF($O39="","",INDEX(Scoring!$I$29:$I$361,MATCH($O39,Scoring!$AB$29:$AB$361,0)))</f>
        <v>Vial</v>
      </c>
      <c r="J39" s="7" t="str">
        <f aca="false">IF($O39="","",INDEX(Scoring!$Z$29:$Z$361,MATCH($O39,Scoring!$AB$29:$AB$361,0)))</f>
        <v>1000 mg/100 mL vial</v>
      </c>
      <c r="K39" s="8" t="n">
        <f aca="false">IF($O39="","",IF(INDEX(Scoring!$D$29:$D$361,MATCH($O39,Scoring!$AB$29:$AB$361,0))="",INDEX(Scoring!$AF$29:$AF$361,MATCH($O39,Scoring!$AB$29:$AB$361,0)),INDEX(Scoring!$D$29:$D$361,MATCH($O39,Scoring!$AB$29:$AB$361,0))))</f>
        <v>64.93</v>
      </c>
      <c r="L39" s="9" t="n">
        <f aca="false">IF($O39="","",INDEX(Scoring!$M$29:$M$361,MATCH($O39,Scoring!$AB$29:$AB$361,0)))</f>
        <v>243</v>
      </c>
      <c r="M39" s="9" t="n">
        <f aca="false">IF($O39="","",INDEX(Scoring!$F$29:$F$361,MATCH($O39,Scoring!$AB$29:$AB$361,0)))</f>
        <v>3562.5</v>
      </c>
      <c r="N39" s="7" t="str">
        <f aca="false">IF($O39="","",INDEX(Scoring!$AI$29:$AI$361,MATCH($O39,Scoring!$AB$29:$AB$361,0)))</f>
        <v>EU/EEA (1): Germany</v>
      </c>
      <c r="O39" s="10" t="n">
        <f aca="false">IFERROR(SMALL(Scoring!$AB$29:$AB$361,35),"")</f>
        <v>2005</v>
      </c>
    </row>
    <row r="40" customFormat="false" ht="28.35" hidden="false" customHeight="false" outlineLevel="0" collapsed="false">
      <c r="A40" s="5" t="n">
        <f aca="false">IF($O40="","",INT($O40/1000))</f>
        <v>2</v>
      </c>
      <c r="B40" s="6" t="str">
        <f aca="false">IF($O40="","",INDEX(Scoring!$A$29:$A$361,MATCH($O40,Scoring!$AB$29:$AB$361,0)))</f>
        <v>Aurobindo</v>
      </c>
      <c r="C40" s="5" t="n">
        <f aca="false">IF($O40="","",IF(INDEX(Scoring!$P$29:$P$361,MATCH($O40,Scoring!$AB$29:$AB$361,0))="","–",INDEX(Scoring!$P$29:$P$361,MATCH($O40,Scoring!$AB$29:$AB$361,0))))</f>
        <v>6</v>
      </c>
      <c r="D40" s="6" t="str">
        <f aca="false">IF($O40="","",INDEX(Scoring!$Q$29:$Q$361,MATCH($O40,Scoring!$AB$29:$AB$361,0)))</f>
        <v>Priority 1</v>
      </c>
      <c r="E40" s="7" t="str">
        <f aca="false">IF($O40="","",INDEX(Scoring!$AJ$29:$AJ$361,MATCH($O40,Scoring!$AB$29:$AB$361,0)))</f>
        <v>High price · high volume</v>
      </c>
      <c r="F40" s="6" t="str">
        <f aca="false">IF($O40="","",INDEX(Scoring!$B$29:$B$361,MATCH($O40,Scoring!$AB$29:$AB$361,0)))</f>
        <v>Testosterone Enanthate</v>
      </c>
      <c r="G40" s="7" t="str">
        <f aca="false">IF($O40="","",INDEX(Scoring!$AG$29:$AG$361,MATCH($O40,Scoring!$AB$29:$AB$361,0)))</f>
        <v>Testosterone Enanthate</v>
      </c>
      <c r="H40" s="7" t="str">
        <f aca="false">IF($O40="","",INDEX(Scoring!$C$29:$C$361,MATCH($O40,Scoring!$AB$29:$AB$361,0)))</f>
        <v>Endocrinology: male hypogonadism, delayed puberty</v>
      </c>
      <c r="I40" s="6" t="str">
        <f aca="false">IF($O40="","",INDEX(Scoring!$I$29:$I$361,MATCH($O40,Scoring!$AB$29:$AB$361,0)))</f>
        <v>Vial</v>
      </c>
      <c r="J40" s="7" t="str">
        <f aca="false">IF($O40="","",INDEX(Scoring!$Z$29:$Z$361,MATCH($O40,Scoring!$AB$29:$AB$361,0)))</f>
        <v>1000 mg/5 mL vial</v>
      </c>
      <c r="K40" s="8" t="n">
        <f aca="false">IF($O40="","",IF(INDEX(Scoring!$D$29:$D$361,MATCH($O40,Scoring!$AB$29:$AB$361,0))="",INDEX(Scoring!$AF$29:$AF$361,MATCH($O40,Scoring!$AB$29:$AB$361,0)),INDEX(Scoring!$D$29:$D$361,MATCH($O40,Scoring!$AB$29:$AB$361,0))))</f>
        <v>36.17</v>
      </c>
      <c r="L40" s="9" t="n">
        <f aca="false">IF($O40="","",INDEX(Scoring!$M$29:$M$361,MATCH($O40,Scoring!$AB$29:$AB$361,0)))</f>
        <v>448</v>
      </c>
      <c r="M40" s="9" t="n">
        <f aca="false">IF($O40="","",INDEX(Scoring!$F$29:$F$361,MATCH($O40,Scoring!$AB$29:$AB$361,0)))</f>
        <v>1202.2</v>
      </c>
      <c r="N40" s="7" t="str">
        <f aca="false">IF($O40="","",INDEX(Scoring!$AI$29:$AI$361,MATCH($O40,Scoring!$AB$29:$AB$361,0)))</f>
        <v>US</v>
      </c>
      <c r="O40" s="10" t="n">
        <f aca="false">IFERROR(SMALL(Scoring!$AB$29:$AB$361,36),"")</f>
        <v>2006</v>
      </c>
    </row>
    <row r="41" customFormat="false" ht="28.35" hidden="false" customHeight="false" outlineLevel="0" collapsed="false">
      <c r="A41" s="5" t="n">
        <f aca="false">IF($O41="","",INT($O41/1000))</f>
        <v>2</v>
      </c>
      <c r="B41" s="6" t="str">
        <f aca="false">IF($O41="","",INDEX(Scoring!$A$29:$A$361,MATCH($O41,Scoring!$AB$29:$AB$361,0)))</f>
        <v>Aurobindo</v>
      </c>
      <c r="C41" s="5" t="n">
        <f aca="false">IF($O41="","",IF(INDEX(Scoring!$P$29:$P$361,MATCH($O41,Scoring!$AB$29:$AB$361,0))="","–",INDEX(Scoring!$P$29:$P$361,MATCH($O41,Scoring!$AB$29:$AB$361,0))))</f>
        <v>7</v>
      </c>
      <c r="D41" s="6" t="str">
        <f aca="false">IF($O41="","",INDEX(Scoring!$Q$29:$Q$361,MATCH($O41,Scoring!$AB$29:$AB$361,0)))</f>
        <v>Priority 2</v>
      </c>
      <c r="E41" s="7" t="str">
        <f aca="false">IF($O41="","",INDEX(Scoring!$AJ$29:$AJ$361,MATCH($O41,Scoring!$AB$29:$AB$361,0)))</f>
        <v>Lower price · high volume</v>
      </c>
      <c r="F41" s="6" t="str">
        <f aca="false">IF($O41="","",INDEX(Scoring!$B$29:$B$361,MATCH($O41,Scoring!$AB$29:$AB$361,0)))</f>
        <v>Ceftriaxone</v>
      </c>
      <c r="G41" s="7" t="str">
        <f aca="false">IF($O41="","",INDEX(Scoring!$AG$29:$AG$361,MATCH($O41,Scoring!$AB$29:$AB$361,0)))</f>
        <v>Ceftriaxon Puren; Ceftriaxone Almus</v>
      </c>
      <c r="H41" s="7" t="str">
        <f aca="false">IF($O41="","",INDEX(Scoring!$C$29:$C$361,MATCH($O41,Scoring!$AB$29:$AB$361,0)))</f>
        <v>Anti-infective: pneumonia, meningitis, sepsis, gonorrhoea, typhoid</v>
      </c>
      <c r="I41" s="6" t="str">
        <f aca="false">IF($O41="","",INDEX(Scoring!$I$29:$I$361,MATCH($O41,Scoring!$AB$29:$AB$361,0)))</f>
        <v>Vial, Ampoule</v>
      </c>
      <c r="J41" s="7" t="str">
        <f aca="false">IF($O41="","",INDEX(Scoring!$Z$29:$Z$361,MATCH($O41,Scoring!$AB$29:$AB$361,0)))</f>
        <v>1 g powder vial</v>
      </c>
      <c r="K41" s="8" t="n">
        <f aca="false">IF($O41="","",IF(INDEX(Scoring!$D$29:$D$361,MATCH($O41,Scoring!$AB$29:$AB$361,0))="",INDEX(Scoring!$AF$29:$AF$361,MATCH($O41,Scoring!$AB$29:$AB$361,0)),INDEX(Scoring!$D$29:$D$361,MATCH($O41,Scoring!$AB$29:$AB$361,0))))</f>
        <v>5.6</v>
      </c>
      <c r="L41" s="9" t="n">
        <f aca="false">IF($O41="","",INDEX(Scoring!$M$29:$M$361,MATCH($O41,Scoring!$AB$29:$AB$361,0)))</f>
        <v>3110</v>
      </c>
      <c r="M41" s="9" t="n">
        <f aca="false">IF($O41="","",INDEX(Scoring!$F$29:$F$361,MATCH($O41,Scoring!$AB$29:$AB$361,0)))</f>
        <v>93119.2</v>
      </c>
      <c r="N41" s="7" t="str">
        <f aca="false">IF($O41="","",INDEX(Scoring!$AI$29:$AI$361,MATCH($O41,Scoring!$AB$29:$AB$361,0)))</f>
        <v>EU/EEA (4): Germany, France, Italy, Portugal</v>
      </c>
      <c r="O41" s="10" t="n">
        <f aca="false">IFERROR(SMALL(Scoring!$AB$29:$AB$361,37),"")</f>
        <v>2007</v>
      </c>
    </row>
    <row r="42" customFormat="false" ht="28.35" hidden="false" customHeight="false" outlineLevel="0" collapsed="false">
      <c r="A42" s="5" t="n">
        <f aca="false">IF($O42="","",INT($O42/1000))</f>
        <v>2</v>
      </c>
      <c r="B42" s="6" t="str">
        <f aca="false">IF($O42="","",INDEX(Scoring!$A$29:$A$361,MATCH($O42,Scoring!$AB$29:$AB$361,0)))</f>
        <v>Aurobindo</v>
      </c>
      <c r="C42" s="5" t="n">
        <f aca="false">IF($O42="","",IF(INDEX(Scoring!$P$29:$P$361,MATCH($O42,Scoring!$AB$29:$AB$361,0))="","–",INDEX(Scoring!$P$29:$P$361,MATCH($O42,Scoring!$AB$29:$AB$361,0))))</f>
        <v>8</v>
      </c>
      <c r="D42" s="6" t="str">
        <f aca="false">IF($O42="","",INDEX(Scoring!$Q$29:$Q$361,MATCH($O42,Scoring!$AB$29:$AB$361,0)))</f>
        <v>Priority 2</v>
      </c>
      <c r="E42" s="7" t="str">
        <f aca="false">IF($O42="","",INDEX(Scoring!$AJ$29:$AJ$361,MATCH($O42,Scoring!$AB$29:$AB$361,0)))</f>
        <v>Lower price · high volume</v>
      </c>
      <c r="F42" s="6" t="str">
        <f aca="false">IF($O42="","",INDEX(Scoring!$B$29:$B$361,MATCH($O42,Scoring!$AB$29:$AB$361,0)))</f>
        <v>Ampicillin</v>
      </c>
      <c r="G42" s="7" t="str">
        <f aca="false">IF($O42="","",INDEX(Scoring!$AG$29:$AG$361,MATCH($O42,Scoring!$AB$29:$AB$361,0)))</f>
        <v>Ampicillin Sodium</v>
      </c>
      <c r="H42" s="7" t="str">
        <f aca="false">IF($O42="","",INDEX(Scoring!$C$29:$C$361,MATCH($O42,Scoring!$AB$29:$AB$361,0)))</f>
        <v>Anti-infective: meningitis, endocarditis, neonatal sepsis</v>
      </c>
      <c r="I42" s="6" t="str">
        <f aca="false">IF($O42="","",INDEX(Scoring!$I$29:$I$361,MATCH($O42,Scoring!$AB$29:$AB$361,0)))</f>
        <v>Vial</v>
      </c>
      <c r="J42" s="7" t="str">
        <f aca="false">IF($O42="","",INDEX(Scoring!$Z$29:$Z$361,MATCH($O42,Scoring!$AB$29:$AB$361,0)))</f>
        <v>2 g/20 mL vial</v>
      </c>
      <c r="K42" s="8" t="n">
        <f aca="false">IF($O42="","",IF(INDEX(Scoring!$D$29:$D$361,MATCH($O42,Scoring!$AB$29:$AB$361,0))="",INDEX(Scoring!$AF$29:$AF$361,MATCH($O42,Scoring!$AB$29:$AB$361,0)),INDEX(Scoring!$D$29:$D$361,MATCH($O42,Scoring!$AB$29:$AB$361,0))))</f>
        <v>7.79</v>
      </c>
      <c r="L42" s="9" t="n">
        <f aca="false">IF($O42="","",INDEX(Scoring!$M$29:$M$361,MATCH($O42,Scoring!$AB$29:$AB$361,0)))</f>
        <v>934</v>
      </c>
      <c r="M42" s="9" t="n">
        <f aca="false">IF($O42="","",INDEX(Scoring!$F$29:$F$361,MATCH($O42,Scoring!$AB$29:$AB$361,0)))</f>
        <v>35129.8</v>
      </c>
      <c r="N42" s="7" t="str">
        <f aca="false">IF($O42="","",INDEX(Scoring!$AI$29:$AI$361,MATCH($O42,Scoring!$AB$29:$AB$361,0)))</f>
        <v>Canada | EU/EEA (1): Germany</v>
      </c>
      <c r="O42" s="10" t="n">
        <f aca="false">IFERROR(SMALL(Scoring!$AB$29:$AB$361,38),"")</f>
        <v>2008</v>
      </c>
    </row>
    <row r="43" customFormat="false" ht="28.35" hidden="false" customHeight="false" outlineLevel="0" collapsed="false">
      <c r="A43" s="5" t="n">
        <f aca="false">IF($O43="","",INT($O43/1000))</f>
        <v>2</v>
      </c>
      <c r="B43" s="6" t="str">
        <f aca="false">IF($O43="","",INDEX(Scoring!$A$29:$A$361,MATCH($O43,Scoring!$AB$29:$AB$361,0)))</f>
        <v>Aurobindo</v>
      </c>
      <c r="C43" s="5" t="n">
        <f aca="false">IF($O43="","",IF(INDEX(Scoring!$P$29:$P$361,MATCH($O43,Scoring!$AB$29:$AB$361,0))="","–",INDEX(Scoring!$P$29:$P$361,MATCH($O43,Scoring!$AB$29:$AB$361,0))))</f>
        <v>9</v>
      </c>
      <c r="D43" s="6" t="str">
        <f aca="false">IF($O43="","",INDEX(Scoring!$Q$29:$Q$361,MATCH($O43,Scoring!$AB$29:$AB$361,0)))</f>
        <v>Priority 2</v>
      </c>
      <c r="E43" s="7" t="str">
        <f aca="false">IF($O43="","",INDEX(Scoring!$AJ$29:$AJ$361,MATCH($O43,Scoring!$AB$29:$AB$361,0)))</f>
        <v>Lower price · high volume</v>
      </c>
      <c r="F43" s="6" t="str">
        <f aca="false">IF($O43="","",INDEX(Scoring!$B$29:$B$361,MATCH($O43,Scoring!$AB$29:$AB$361,0)))</f>
        <v>Ondansetron</v>
      </c>
      <c r="G43" s="7" t="str">
        <f aca="false">IF($O43="","",INDEX(Scoring!$AG$29:$AG$361,MATCH($O43,Scoring!$AB$29:$AB$361,0)))</f>
        <v>Ondansetron; Ondansetron Ab; Auro-Ondansetron (+1 more)</v>
      </c>
      <c r="H43" s="7" t="str">
        <f aca="false">IF($O43="","",INDEX(Scoring!$C$29:$C$361,MATCH($O43,Scoring!$AB$29:$AB$361,0)))</f>
        <v>Oncology support: nausea and vomiting from chemotherapy and surgery</v>
      </c>
      <c r="I43" s="6" t="str">
        <f aca="false">IF($O43="","",INDEX(Scoring!$I$29:$I$361,MATCH($O43,Scoring!$AB$29:$AB$361,0)))</f>
        <v>Vial, Ampoule</v>
      </c>
      <c r="J43" s="7" t="str">
        <f aca="false">IF($O43="","",INDEX(Scoring!$Z$29:$Z$361,MATCH($O43,Scoring!$AB$29:$AB$361,0)))</f>
        <v>2 mg/mL ampoule; 4 mg/2 mL ampoule; 4 mg/2 mL vial; 8 mg/4 mL vial</v>
      </c>
      <c r="K43" s="8" t="n">
        <f aca="false">IF($O43="","",IF(INDEX(Scoring!$D$29:$D$361,MATCH($O43,Scoring!$AB$29:$AB$361,0))="",INDEX(Scoring!$AF$29:$AF$361,MATCH($O43,Scoring!$AB$29:$AB$361,0)),INDEX(Scoring!$D$29:$D$361,MATCH($O43,Scoring!$AB$29:$AB$361,0))))</f>
        <v>9.82</v>
      </c>
      <c r="L43" s="9" t="n">
        <f aca="false">IF($O43="","",INDEX(Scoring!$M$29:$M$361,MATCH($O43,Scoring!$AB$29:$AB$361,0)))</f>
        <v>963</v>
      </c>
      <c r="M43" s="9" t="n">
        <f aca="false">IF($O43="","",INDEX(Scoring!$F$29:$F$361,MATCH($O43,Scoring!$AB$29:$AB$361,0)))</f>
        <v>17590.5</v>
      </c>
      <c r="N43" s="7" t="str">
        <f aca="false">IF($O43="","",INDEX(Scoring!$AI$29:$AI$361,MATCH($O43,Scoring!$AB$29:$AB$361,0)))</f>
        <v>UK, Canada, UK-NI | EU/EEA (7): Germany, Belgium, Italy, Luxembourg + 3 more</v>
      </c>
      <c r="O43" s="10" t="n">
        <f aca="false">IFERROR(SMALL(Scoring!$AB$29:$AB$361,39),"")</f>
        <v>2009</v>
      </c>
    </row>
    <row r="44" customFormat="false" ht="28.35" hidden="false" customHeight="false" outlineLevel="0" collapsed="false">
      <c r="A44" s="5" t="n">
        <f aca="false">IF($O44="","",INT($O44/1000))</f>
        <v>2</v>
      </c>
      <c r="B44" s="6" t="str">
        <f aca="false">IF($O44="","",INDEX(Scoring!$A$29:$A$361,MATCH($O44,Scoring!$AB$29:$AB$361,0)))</f>
        <v>Aurobindo</v>
      </c>
      <c r="C44" s="5" t="n">
        <f aca="false">IF($O44="","",IF(INDEX(Scoring!$P$29:$P$361,MATCH($O44,Scoring!$AB$29:$AB$361,0))="","–",INDEX(Scoring!$P$29:$P$361,MATCH($O44,Scoring!$AB$29:$AB$361,0))))</f>
        <v>10</v>
      </c>
      <c r="D44" s="6" t="str">
        <f aca="false">IF($O44="","",INDEX(Scoring!$Q$29:$Q$361,MATCH($O44,Scoring!$AB$29:$AB$361,0)))</f>
        <v>Priority 2</v>
      </c>
      <c r="E44" s="7" t="str">
        <f aca="false">IF($O44="","",INDEX(Scoring!$AJ$29:$AJ$361,MATCH($O44,Scoring!$AB$29:$AB$361,0)))</f>
        <v>Lower price · high volume</v>
      </c>
      <c r="F44" s="6" t="str">
        <f aca="false">IF($O44="","",INDEX(Scoring!$B$29:$B$361,MATCH($O44,Scoring!$AB$29:$AB$361,0)))</f>
        <v>Bupivacaine</v>
      </c>
      <c r="G44" s="7" t="str">
        <f aca="false">IF($O44="","",INDEX(Scoring!$AG$29:$AG$361,MATCH($O44,Scoring!$AB$29:$AB$361,0)))</f>
        <v>Bupivan</v>
      </c>
      <c r="H44" s="7" t="str">
        <f aca="false">IF($O44="","",INDEX(Scoring!$C$29:$C$361,MATCH($O44,Scoring!$AB$29:$AB$361,0)))</f>
        <v>Anaesthesia: long-acting local anaesthetic for spinal, epidural and nerve block</v>
      </c>
      <c r="I44" s="6" t="str">
        <f aca="false">IF($O44="","",INDEX(Scoring!$I$29:$I$361,MATCH($O44,Scoring!$AB$29:$AB$361,0)))</f>
        <v>Ampoule</v>
      </c>
      <c r="J44" s="7" t="str">
        <f aca="false">IF($O44="","",INDEX(Scoring!$Z$29:$Z$361,MATCH($O44,Scoring!$AB$29:$AB$361,0)))</f>
        <v>25 mg/5 mL ampoule</v>
      </c>
      <c r="K44" s="8" t="n">
        <f aca="false">IF($O44="","",IF(INDEX(Scoring!$D$29:$D$361,MATCH($O44,Scoring!$AB$29:$AB$361,0))="",INDEX(Scoring!$AF$29:$AF$361,MATCH($O44,Scoring!$AB$29:$AB$361,0)),INDEX(Scoring!$D$29:$D$361,MATCH($O44,Scoring!$AB$29:$AB$361,0))))</f>
        <v>5.15</v>
      </c>
      <c r="L44" s="9" t="n">
        <f aca="false">IF($O44="","",INDEX(Scoring!$M$29:$M$361,MATCH($O44,Scoring!$AB$29:$AB$361,0)))</f>
        <v>581</v>
      </c>
      <c r="M44" s="9" t="n">
        <f aca="false">IF($O44="","",INDEX(Scoring!$F$29:$F$361,MATCH($O44,Scoring!$AB$29:$AB$361,0)))</f>
        <v>16359.3</v>
      </c>
      <c r="N44" s="7" t="str">
        <f aca="false">IF($O44="","",INDEX(Scoring!$AI$29:$AI$361,MATCH($O44,Scoring!$AB$29:$AB$361,0)))</f>
        <v>UK-NI | EU/EEA (5): Germany, Netherlands, Italy, Portugal, Spain</v>
      </c>
      <c r="O44" s="10" t="n">
        <f aca="false">IFERROR(SMALL(Scoring!$AB$29:$AB$361,40),"")</f>
        <v>2010</v>
      </c>
    </row>
    <row r="45" customFormat="false" ht="41.75" hidden="false" customHeight="false" outlineLevel="0" collapsed="false">
      <c r="A45" s="5" t="n">
        <f aca="false">IF($O45="","",INT($O45/1000))</f>
        <v>2</v>
      </c>
      <c r="B45" s="6" t="str">
        <f aca="false">IF($O45="","",INDEX(Scoring!$A$29:$A$361,MATCH($O45,Scoring!$AB$29:$AB$361,0)))</f>
        <v>Aurobindo</v>
      </c>
      <c r="C45" s="5" t="n">
        <f aca="false">IF($O45="","",IF(INDEX(Scoring!$P$29:$P$361,MATCH($O45,Scoring!$AB$29:$AB$361,0))="","–",INDEX(Scoring!$P$29:$P$361,MATCH($O45,Scoring!$AB$29:$AB$361,0))))</f>
        <v>11</v>
      </c>
      <c r="D45" s="6" t="str">
        <f aca="false">IF($O45="","",INDEX(Scoring!$Q$29:$Q$361,MATCH($O45,Scoring!$AB$29:$AB$361,0)))</f>
        <v>Priority 2</v>
      </c>
      <c r="E45" s="7" t="str">
        <f aca="false">IF($O45="","",INDEX(Scoring!$AJ$29:$AJ$361,MATCH($O45,Scoring!$AB$29:$AB$361,0)))</f>
        <v>Lower price · high volume</v>
      </c>
      <c r="F45" s="6" t="str">
        <f aca="false">IF($O45="","",INDEX(Scoring!$B$29:$B$361,MATCH($O45,Scoring!$AB$29:$AB$361,0)))</f>
        <v>Methotrexate</v>
      </c>
      <c r="G45" s="7" t="str">
        <f aca="false">IF($O45="","",INDEX(Scoring!$AG$29:$AG$361,MATCH($O45,Scoring!$AB$29:$AB$361,0)))</f>
        <v>Methotrexate Sodium Preservative Free</v>
      </c>
      <c r="H45" s="7" t="str">
        <f aca="false">IF($O45="","",INDEX(Scoring!$C$29:$C$361,MATCH($O45,Scoring!$AB$29:$AB$361,0)))</f>
        <v>Oncology and immunology: leukaemia, lymphoma, bone cancer, rheumatoid arthritis, psoriasis</v>
      </c>
      <c r="I45" s="6" t="str">
        <f aca="false">IF($O45="","",INDEX(Scoring!$I$29:$I$361,MATCH($O45,Scoring!$AB$29:$AB$361,0)))</f>
        <v>Vial</v>
      </c>
      <c r="J45" s="7" t="str">
        <f aca="false">IF($O45="","",INDEX(Scoring!$Z$29:$Z$361,MATCH($O45,Scoring!$AB$29:$AB$361,0)))</f>
        <v>50 mg/2 mL vial; 200 mg/8 mL vial; 250 mg/10 mL vial</v>
      </c>
      <c r="K45" s="8" t="n">
        <f aca="false">IF($O45="","",IF(INDEX(Scoring!$D$29:$D$361,MATCH($O45,Scoring!$AB$29:$AB$361,0))="",INDEX(Scoring!$AF$29:$AF$361,MATCH($O45,Scoring!$AB$29:$AB$361,0)),INDEX(Scoring!$D$29:$D$361,MATCH($O45,Scoring!$AB$29:$AB$361,0))))</f>
        <v>9.81</v>
      </c>
      <c r="L45" s="9" t="n">
        <f aca="false">IF($O45="","",INDEX(Scoring!$M$29:$M$361,MATCH($O45,Scoring!$AB$29:$AB$361,0)))</f>
        <v>996</v>
      </c>
      <c r="M45" s="9" t="n">
        <f aca="false">IF($O45="","",INDEX(Scoring!$F$29:$F$361,MATCH($O45,Scoring!$AB$29:$AB$361,0)))</f>
        <v>13045.6</v>
      </c>
      <c r="N45" s="7" t="str">
        <f aca="false">IF($O45="","",INDEX(Scoring!$AI$29:$AI$361,MATCH($O45,Scoring!$AB$29:$AB$361,0)))</f>
        <v>US</v>
      </c>
      <c r="O45" s="10" t="n">
        <f aca="false">IFERROR(SMALL(Scoring!$AB$29:$AB$361,41),"")</f>
        <v>2011</v>
      </c>
    </row>
    <row r="46" customFormat="false" ht="28.35" hidden="false" customHeight="false" outlineLevel="0" collapsed="false">
      <c r="A46" s="5" t="n">
        <f aca="false">IF($O46="","",INT($O46/1000))</f>
        <v>2</v>
      </c>
      <c r="B46" s="6" t="str">
        <f aca="false">IF($O46="","",INDEX(Scoring!$A$29:$A$361,MATCH($O46,Scoring!$AB$29:$AB$361,0)))</f>
        <v>Aurobindo</v>
      </c>
      <c r="C46" s="5" t="n">
        <f aca="false">IF($O46="","",IF(INDEX(Scoring!$P$29:$P$361,MATCH($O46,Scoring!$AB$29:$AB$361,0))="","–",INDEX(Scoring!$P$29:$P$361,MATCH($O46,Scoring!$AB$29:$AB$361,0))))</f>
        <v>12</v>
      </c>
      <c r="D46" s="6" t="str">
        <f aca="false">IF($O46="","",INDEX(Scoring!$Q$29:$Q$361,MATCH($O46,Scoring!$AB$29:$AB$361,0)))</f>
        <v>Priority 2</v>
      </c>
      <c r="E46" s="7" t="str">
        <f aca="false">IF($O46="","",INDEX(Scoring!$AJ$29:$AJ$361,MATCH($O46,Scoring!$AB$29:$AB$361,0)))</f>
        <v>High price · lower volume</v>
      </c>
      <c r="F46" s="6" t="str">
        <f aca="false">IF($O46="","",INDEX(Scoring!$B$29:$B$361,MATCH($O46,Scoring!$AB$29:$AB$361,0)))</f>
        <v>Plerixafor</v>
      </c>
      <c r="G46" s="7" t="str">
        <f aca="false">IF($O46="","",INDEX(Scoring!$AG$29:$AG$361,MATCH($O46,Scoring!$AB$29:$AB$361,0)))</f>
        <v>Plerixafor; Plerixafor Arrow; Plerixafor Eugia</v>
      </c>
      <c r="H46" s="7" t="str">
        <f aca="false">IF($O46="","",INDEX(Scoring!$C$29:$C$361,MATCH($O46,Scoring!$AB$29:$AB$361,0)))</f>
        <v>Oncology support: stem cell mobilisation in myeloma and lymphoma</v>
      </c>
      <c r="I46" s="6" t="str">
        <f aca="false">IF($O46="","",INDEX(Scoring!$I$29:$I$361,MATCH($O46,Scoring!$AB$29:$AB$361,0)))</f>
        <v>Vial</v>
      </c>
      <c r="J46" s="7" t="str">
        <f aca="false">IF($O46="","",INDEX(Scoring!$Z$29:$Z$361,MATCH($O46,Scoring!$AB$29:$AB$361,0)))</f>
        <v>24 mg/1.2 mL vial</v>
      </c>
      <c r="K46" s="8" t="n">
        <f aca="false">IF($O46="","",IF(INDEX(Scoring!$D$29:$D$361,MATCH($O46,Scoring!$AB$29:$AB$361,0))="",INDEX(Scoring!$AF$29:$AF$361,MATCH($O46,Scoring!$AB$29:$AB$361,0)),INDEX(Scoring!$D$29:$D$361,MATCH($O46,Scoring!$AB$29:$AB$361,0))))</f>
        <v>3710.2</v>
      </c>
      <c r="L46" s="9" t="n">
        <f aca="false">IF($O46="","",INDEX(Scoring!$M$29:$M$361,MATCH($O46,Scoring!$AB$29:$AB$361,0)))</f>
        <v>47</v>
      </c>
      <c r="M46" s="9" t="n">
        <f aca="false">IF($O46="","",INDEX(Scoring!$F$29:$F$361,MATCH($O46,Scoring!$AB$29:$AB$361,0)))</f>
        <v>7904.7</v>
      </c>
      <c r="N46" s="7" t="str">
        <f aca="false">IF($O46="","",INDEX(Scoring!$AI$29:$AI$361,MATCH($O46,Scoring!$AB$29:$AB$361,0)))</f>
        <v>US, UK, Canada, Australia, UK-NI | EU/EEA (5): Germany, France, Italy, Portugal, Spain</v>
      </c>
      <c r="O46" s="10" t="n">
        <f aca="false">IFERROR(SMALL(Scoring!$AB$29:$AB$361,42),"")</f>
        <v>2012</v>
      </c>
    </row>
    <row r="47" customFormat="false" ht="28.35" hidden="false" customHeight="false" outlineLevel="0" collapsed="false">
      <c r="A47" s="5" t="n">
        <f aca="false">IF($O47="","",INT($O47/1000))</f>
        <v>2</v>
      </c>
      <c r="B47" s="6" t="str">
        <f aca="false">IF($O47="","",INDEX(Scoring!$A$29:$A$361,MATCH($O47,Scoring!$AB$29:$AB$361,0)))</f>
        <v>Aurobindo</v>
      </c>
      <c r="C47" s="5" t="n">
        <f aca="false">IF($O47="","",IF(INDEX(Scoring!$P$29:$P$361,MATCH($O47,Scoring!$AB$29:$AB$361,0))="","–",INDEX(Scoring!$P$29:$P$361,MATCH($O47,Scoring!$AB$29:$AB$361,0))))</f>
        <v>13</v>
      </c>
      <c r="D47" s="6" t="str">
        <f aca="false">IF($O47="","",INDEX(Scoring!$Q$29:$Q$361,MATCH($O47,Scoring!$AB$29:$AB$361,0)))</f>
        <v>Priority 2</v>
      </c>
      <c r="E47" s="7" t="str">
        <f aca="false">IF($O47="","",INDEX(Scoring!$AJ$29:$AJ$361,MATCH($O47,Scoring!$AB$29:$AB$361,0)))</f>
        <v>Lower price · high volume</v>
      </c>
      <c r="F47" s="6" t="str">
        <f aca="false">IF($O47="","",INDEX(Scoring!$B$29:$B$361,MATCH($O47,Scoring!$AB$29:$AB$361,0)))</f>
        <v>Testosterone Cypionate</v>
      </c>
      <c r="G47" s="7" t="str">
        <f aca="false">IF($O47="","",INDEX(Scoring!$AG$29:$AG$361,MATCH($O47,Scoring!$AB$29:$AB$361,0)))</f>
        <v>Testosterone Cypionate</v>
      </c>
      <c r="H47" s="7" t="str">
        <f aca="false">IF($O47="","",INDEX(Scoring!$C$29:$C$361,MATCH($O47,Scoring!$AB$29:$AB$361,0)))</f>
        <v>Endocrinology: testosterone replacement in male hypogonadism</v>
      </c>
      <c r="I47" s="6" t="str">
        <f aca="false">IF($O47="","",INDEX(Scoring!$I$29:$I$361,MATCH($O47,Scoring!$AB$29:$AB$361,0)))</f>
        <v>Vial</v>
      </c>
      <c r="J47" s="7" t="str">
        <f aca="false">IF($O47="","",INDEX(Scoring!$Z$29:$Z$361,MATCH($O47,Scoring!$AB$29:$AB$361,0)))</f>
        <v>1000 mg/10 mL vial; 200 mg/1 mL vial</v>
      </c>
      <c r="K47" s="8" t="n">
        <f aca="false">IF($O47="","",IF(INDEX(Scoring!$D$29:$D$361,MATCH($O47,Scoring!$AB$29:$AB$361,0))="",INDEX(Scoring!$AF$29:$AF$361,MATCH($O47,Scoring!$AB$29:$AB$361,0)),INDEX(Scoring!$D$29:$D$361,MATCH($O47,Scoring!$AB$29:$AB$361,0))))</f>
        <v>20.63</v>
      </c>
      <c r="L47" s="9" t="n">
        <f aca="false">IF($O47="","",INDEX(Scoring!$M$29:$M$361,MATCH($O47,Scoring!$AB$29:$AB$361,0)))</f>
        <v>291</v>
      </c>
      <c r="M47" s="9" t="n">
        <f aca="false">IF($O47="","",INDEX(Scoring!$F$29:$F$361,MATCH($O47,Scoring!$AB$29:$AB$361,0)))</f>
        <v>6893.7</v>
      </c>
      <c r="N47" s="7" t="str">
        <f aca="false">IF($O47="","",INDEX(Scoring!$AI$29:$AI$361,MATCH($O47,Scoring!$AB$29:$AB$361,0)))</f>
        <v>US</v>
      </c>
      <c r="O47" s="10" t="n">
        <f aca="false">IFERROR(SMALL(Scoring!$AB$29:$AB$361,43),"")</f>
        <v>2013</v>
      </c>
    </row>
    <row r="48" customFormat="false" ht="28.35" hidden="false" customHeight="false" outlineLevel="0" collapsed="false">
      <c r="A48" s="5" t="n">
        <f aca="false">IF($O48="","",INT($O48/1000))</f>
        <v>2</v>
      </c>
      <c r="B48" s="6" t="str">
        <f aca="false">IF($O48="","",INDEX(Scoring!$A$29:$A$361,MATCH($O48,Scoring!$AB$29:$AB$361,0)))</f>
        <v>Aurobindo</v>
      </c>
      <c r="C48" s="5" t="n">
        <f aca="false">IF($O48="","",IF(INDEX(Scoring!$P$29:$P$361,MATCH($O48,Scoring!$AB$29:$AB$361,0))="","–",INDEX(Scoring!$P$29:$P$361,MATCH($O48,Scoring!$AB$29:$AB$361,0))))</f>
        <v>14</v>
      </c>
      <c r="D48" s="6" t="str">
        <f aca="false">IF($O48="","",INDEX(Scoring!$Q$29:$Q$361,MATCH($O48,Scoring!$AB$29:$AB$361,0)))</f>
        <v>Priority 2</v>
      </c>
      <c r="E48" s="7" t="str">
        <f aca="false">IF($O48="","",INDEX(Scoring!$AJ$29:$AJ$361,MATCH($O48,Scoring!$AB$29:$AB$361,0)))</f>
        <v>Lower price · high volume</v>
      </c>
      <c r="F48" s="6" t="str">
        <f aca="false">IF($O48="","",INDEX(Scoring!$B$29:$B$361,MATCH($O48,Scoring!$AB$29:$AB$361,0)))</f>
        <v>Cefepime</v>
      </c>
      <c r="G48" s="7" t="str">
        <f aca="false">IF($O48="","",INDEX(Scoring!$AG$29:$AG$361,MATCH($O48,Scoring!$AB$29:$AB$361,0)))</f>
        <v>Auro Cefepime</v>
      </c>
      <c r="H48" s="7" t="str">
        <f aca="false">IF($O48="","",INDEX(Scoring!$C$29:$C$361,MATCH($O48,Scoring!$AB$29:$AB$361,0)))</f>
        <v>Anti-infective: hospital Gram-negative infections, febrile neutropenia</v>
      </c>
      <c r="I48" s="6" t="str">
        <f aca="false">IF($O48="","",INDEX(Scoring!$I$29:$I$361,MATCH($O48,Scoring!$AB$29:$AB$361,0)))</f>
        <v>Vial</v>
      </c>
      <c r="J48" s="7" t="str">
        <f aca="false">IF($O48="","",INDEX(Scoring!$Z$29:$Z$361,MATCH($O48,Scoring!$AB$29:$AB$361,0)))</f>
        <v>1000 mg in 20 mL powder vial; 2000 mg in 50 mL powder vial</v>
      </c>
      <c r="K48" s="8" t="n">
        <f aca="false">IF($O48="","",IF(INDEX(Scoring!$D$29:$D$361,MATCH($O48,Scoring!$AB$29:$AB$361,0))="",INDEX(Scoring!$AF$29:$AF$361,MATCH($O48,Scoring!$AB$29:$AB$361,0)),INDEX(Scoring!$D$29:$D$361,MATCH($O48,Scoring!$AB$29:$AB$361,0))))</f>
        <v>9.08</v>
      </c>
      <c r="L48" s="9" t="n">
        <f aca="false">IF($O48="","",INDEX(Scoring!$M$29:$M$361,MATCH($O48,Scoring!$AB$29:$AB$361,0)))</f>
        <v>288</v>
      </c>
      <c r="M48" s="9" t="n">
        <f aca="false">IF($O48="","",INDEX(Scoring!$F$29:$F$361,MATCH($O48,Scoring!$AB$29:$AB$361,0)))</f>
        <v>6294.9</v>
      </c>
      <c r="N48" s="7" t="str">
        <f aca="false">IF($O48="","",INDEX(Scoring!$AI$29:$AI$361,MATCH($O48,Scoring!$AB$29:$AB$361,0)))</f>
        <v>South Africa</v>
      </c>
      <c r="O48" s="10" t="n">
        <f aca="false">IFERROR(SMALL(Scoring!$AB$29:$AB$361,44),"")</f>
        <v>2014</v>
      </c>
    </row>
    <row r="49" customFormat="false" ht="28.35" hidden="false" customHeight="false" outlineLevel="0" collapsed="false">
      <c r="A49" s="5" t="n">
        <f aca="false">IF($O49="","",INT($O49/1000))</f>
        <v>2</v>
      </c>
      <c r="B49" s="6" t="str">
        <f aca="false">IF($O49="","",INDEX(Scoring!$A$29:$A$361,MATCH($O49,Scoring!$AB$29:$AB$361,0)))</f>
        <v>Aurobindo</v>
      </c>
      <c r="C49" s="5" t="n">
        <f aca="false">IF($O49="","",IF(INDEX(Scoring!$P$29:$P$361,MATCH($O49,Scoring!$AB$29:$AB$361,0))="","–",INDEX(Scoring!$P$29:$P$361,MATCH($O49,Scoring!$AB$29:$AB$361,0))))</f>
        <v>15</v>
      </c>
      <c r="D49" s="6" t="str">
        <f aca="false">IF($O49="","",INDEX(Scoring!$Q$29:$Q$361,MATCH($O49,Scoring!$AB$29:$AB$361,0)))</f>
        <v>Priority 2</v>
      </c>
      <c r="E49" s="7" t="str">
        <f aca="false">IF($O49="","",INDEX(Scoring!$AJ$29:$AJ$361,MATCH($O49,Scoring!$AB$29:$AB$361,0)))</f>
        <v>Lower price · high volume</v>
      </c>
      <c r="F49" s="6" t="str">
        <f aca="false">IF($O49="","",INDEX(Scoring!$B$29:$B$361,MATCH($O49,Scoring!$AB$29:$AB$361,0)))</f>
        <v>Ceftazidime</v>
      </c>
      <c r="G49" s="7" t="str">
        <f aca="false">IF($O49="","",INDEX(Scoring!$AG$29:$AG$361,MATCH($O49,Scoring!$AB$29:$AB$361,0)))</f>
        <v>Ceftazidime Arrow</v>
      </c>
      <c r="H49" s="7" t="str">
        <f aca="false">IF($O49="","",INDEX(Scoring!$C$29:$C$361,MATCH($O49,Scoring!$AB$29:$AB$361,0)))</f>
        <v>Anti-infective: Pseudomonas and other hospital Gram-negative infections</v>
      </c>
      <c r="I49" s="6" t="str">
        <f aca="false">IF($O49="","",INDEX(Scoring!$I$29:$I$361,MATCH($O49,Scoring!$AB$29:$AB$361,0)))</f>
        <v>Vial</v>
      </c>
      <c r="J49" s="7" t="str">
        <f aca="false">IF($O49="","",INDEX(Scoring!$Z$29:$Z$361,MATCH($O49,Scoring!$AB$29:$AB$361,0)))</f>
        <v>1 g powder vial</v>
      </c>
      <c r="K49" s="8" t="n">
        <f aca="false">IF($O49="","",IF(INDEX(Scoring!$D$29:$D$361,MATCH($O49,Scoring!$AB$29:$AB$361,0))="",INDEX(Scoring!$AF$29:$AF$361,MATCH($O49,Scoring!$AB$29:$AB$361,0)),INDEX(Scoring!$D$29:$D$361,MATCH($O49,Scoring!$AB$29:$AB$361,0))))</f>
        <v>8.5</v>
      </c>
      <c r="L49" s="9" t="n">
        <f aca="false">IF($O49="","",INDEX(Scoring!$M$29:$M$361,MATCH($O49,Scoring!$AB$29:$AB$361,0)))</f>
        <v>335</v>
      </c>
      <c r="M49" s="9" t="n">
        <f aca="false">IF($O49="","",INDEX(Scoring!$F$29:$F$361,MATCH($O49,Scoring!$AB$29:$AB$361,0)))</f>
        <v>5713.6</v>
      </c>
      <c r="N49" s="7" t="str">
        <f aca="false">IF($O49="","",INDEX(Scoring!$AI$29:$AI$361,MATCH($O49,Scoring!$AB$29:$AB$361,0)))</f>
        <v>EU/EEA (1): France</v>
      </c>
      <c r="O49" s="10" t="n">
        <f aca="false">IFERROR(SMALL(Scoring!$AB$29:$AB$361,45),"")</f>
        <v>2015</v>
      </c>
    </row>
    <row r="50" customFormat="false" ht="28.35" hidden="false" customHeight="false" outlineLevel="0" collapsed="false">
      <c r="A50" s="5" t="n">
        <f aca="false">IF($O50="","",INT($O50/1000))</f>
        <v>2</v>
      </c>
      <c r="B50" s="6" t="str">
        <f aca="false">IF($O50="","",INDEX(Scoring!$A$29:$A$361,MATCH($O50,Scoring!$AB$29:$AB$361,0)))</f>
        <v>Aurobindo</v>
      </c>
      <c r="C50" s="5" t="n">
        <f aca="false">IF($O50="","",IF(INDEX(Scoring!$P$29:$P$361,MATCH($O50,Scoring!$AB$29:$AB$361,0))="","–",INDEX(Scoring!$P$29:$P$361,MATCH($O50,Scoring!$AB$29:$AB$361,0))))</f>
        <v>16</v>
      </c>
      <c r="D50" s="6" t="str">
        <f aca="false">IF($O50="","",INDEX(Scoring!$Q$29:$Q$361,MATCH($O50,Scoring!$AB$29:$AB$361,0)))</f>
        <v>Priority 2</v>
      </c>
      <c r="E50" s="7" t="str">
        <f aca="false">IF($O50="","",INDEX(Scoring!$AJ$29:$AJ$361,MATCH($O50,Scoring!$AB$29:$AB$361,0)))</f>
        <v>High price · lower volume</v>
      </c>
      <c r="F50" s="6" t="str">
        <f aca="false">IF($O50="","",INDEX(Scoring!$B$29:$B$361,MATCH($O50,Scoring!$AB$29:$AB$361,0)))</f>
        <v>Carboprost</v>
      </c>
      <c r="G50" s="7" t="str">
        <f aca="false">IF($O50="","",INDEX(Scoring!$AG$29:$AG$361,MATCH($O50,Scoring!$AB$29:$AB$361,0)))</f>
        <v>Carboprost Tromethamine</v>
      </c>
      <c r="H50" s="7" t="str">
        <f aca="false">IF($O50="","",INDEX(Scoring!$C$29:$C$361,MATCH($O50,Scoring!$AB$29:$AB$361,0)))</f>
        <v>Women's health: postpartum haemorrhage, pregnancy termination</v>
      </c>
      <c r="I50" s="6" t="str">
        <f aca="false">IF($O50="","",INDEX(Scoring!$I$29:$I$361,MATCH($O50,Scoring!$AB$29:$AB$361,0)))</f>
        <v>Vial</v>
      </c>
      <c r="J50" s="7" t="str">
        <f aca="false">IF($O50="","",INDEX(Scoring!$Z$29:$Z$361,MATCH($O50,Scoring!$AB$29:$AB$361,0)))</f>
        <v>0.25 mg/1 mL vial</v>
      </c>
      <c r="K50" s="8" t="n">
        <f aca="false">IF($O50="","",IF(INDEX(Scoring!$D$29:$D$361,MATCH($O50,Scoring!$AB$29:$AB$361,0))="",INDEX(Scoring!$AF$29:$AF$361,MATCH($O50,Scoring!$AB$29:$AB$361,0)),INDEX(Scoring!$D$29:$D$361,MATCH($O50,Scoring!$AB$29:$AB$361,0))))</f>
        <v>30.01</v>
      </c>
      <c r="L50" s="9" t="n">
        <f aca="false">IF($O50="","",INDEX(Scoring!$M$29:$M$361,MATCH($O50,Scoring!$AB$29:$AB$361,0)))</f>
        <v>143</v>
      </c>
      <c r="M50" s="9" t="n">
        <f aca="false">IF($O50="","",INDEX(Scoring!$F$29:$F$361,MATCH($O50,Scoring!$AB$29:$AB$361,0)))</f>
        <v>3625.3</v>
      </c>
      <c r="N50" s="7" t="str">
        <f aca="false">IF($O50="","",INDEX(Scoring!$AI$29:$AI$361,MATCH($O50,Scoring!$AB$29:$AB$361,0)))</f>
        <v>US</v>
      </c>
      <c r="O50" s="10" t="n">
        <f aca="false">IFERROR(SMALL(Scoring!$AB$29:$AB$361,46),"")</f>
        <v>2016</v>
      </c>
    </row>
    <row r="51" customFormat="false" ht="28.35" hidden="false" customHeight="false" outlineLevel="0" collapsed="false">
      <c r="A51" s="5" t="n">
        <f aca="false">IF($O51="","",INT($O51/1000))</f>
        <v>2</v>
      </c>
      <c r="B51" s="6" t="str">
        <f aca="false">IF($O51="","",INDEX(Scoring!$A$29:$A$361,MATCH($O51,Scoring!$AB$29:$AB$361,0)))</f>
        <v>Aurobindo</v>
      </c>
      <c r="C51" s="5" t="n">
        <f aca="false">IF($O51="","",IF(INDEX(Scoring!$P$29:$P$361,MATCH($O51,Scoring!$AB$29:$AB$361,0))="","–",INDEX(Scoring!$P$29:$P$361,MATCH($O51,Scoring!$AB$29:$AB$361,0))))</f>
        <v>17</v>
      </c>
      <c r="D51" s="6" t="str">
        <f aca="false">IF($O51="","",INDEX(Scoring!$Q$29:$Q$361,MATCH($O51,Scoring!$AB$29:$AB$361,0)))</f>
        <v>Priority 2</v>
      </c>
      <c r="E51" s="7" t="str">
        <f aca="false">IF($O51="","",INDEX(Scoring!$AJ$29:$AJ$361,MATCH($O51,Scoring!$AB$29:$AB$361,0)))</f>
        <v>High price · lower volume</v>
      </c>
      <c r="F51" s="6" t="str">
        <f aca="false">IF($O51="","",INDEX(Scoring!$B$29:$B$361,MATCH($O51,Scoring!$AB$29:$AB$361,0)))</f>
        <v>Fluphenazine Decanoate</v>
      </c>
      <c r="G51" s="7" t="str">
        <f aca="false">IF($O51="","",INDEX(Scoring!$AG$29:$AG$361,MATCH($O51,Scoring!$AB$29:$AB$361,0)))</f>
        <v>Fluphenazine Decanoate</v>
      </c>
      <c r="H51" s="7" t="str">
        <f aca="false">IF($O51="","",INDEX(Scoring!$C$29:$C$361,MATCH($O51,Scoring!$AB$29:$AB$361,0)))</f>
        <v>Psychiatry: long-acting maintenance treatment for schizophrenia</v>
      </c>
      <c r="I51" s="6" t="str">
        <f aca="false">IF($O51="","",INDEX(Scoring!$I$29:$I$361,MATCH($O51,Scoring!$AB$29:$AB$361,0)))</f>
        <v>Vial</v>
      </c>
      <c r="J51" s="7" t="str">
        <f aca="false">IF($O51="","",INDEX(Scoring!$Z$29:$Z$361,MATCH($O51,Scoring!$AB$29:$AB$361,0)))</f>
        <v>125 mg/5 mL vial</v>
      </c>
      <c r="K51" s="8" t="n">
        <f aca="false">IF($O51="","",IF(INDEX(Scoring!$D$29:$D$361,MATCH($O51,Scoring!$AB$29:$AB$361,0))="",INDEX(Scoring!$AF$29:$AF$361,MATCH($O51,Scoring!$AB$29:$AB$361,0)),INDEX(Scoring!$D$29:$D$361,MATCH($O51,Scoring!$AB$29:$AB$361,0))))</f>
        <v>54.55</v>
      </c>
      <c r="L51" s="9" t="n">
        <f aca="false">IF($O51="","",INDEX(Scoring!$M$29:$M$361,MATCH($O51,Scoring!$AB$29:$AB$361,0)))</f>
        <v>126</v>
      </c>
      <c r="M51" s="9" t="n">
        <f aca="false">IF($O51="","",INDEX(Scoring!$F$29:$F$361,MATCH($O51,Scoring!$AB$29:$AB$361,0)))</f>
        <v>3407.5</v>
      </c>
      <c r="N51" s="7" t="str">
        <f aca="false">IF($O51="","",INDEX(Scoring!$AI$29:$AI$361,MATCH($O51,Scoring!$AB$29:$AB$361,0)))</f>
        <v>US</v>
      </c>
      <c r="O51" s="10" t="n">
        <f aca="false">IFERROR(SMALL(Scoring!$AB$29:$AB$361,47),"")</f>
        <v>2017</v>
      </c>
    </row>
    <row r="52" customFormat="false" ht="28.35" hidden="false" customHeight="false" outlineLevel="0" collapsed="false">
      <c r="A52" s="5" t="n">
        <f aca="false">IF($O52="","",INT($O52/1000))</f>
        <v>2</v>
      </c>
      <c r="B52" s="6" t="str">
        <f aca="false">IF($O52="","",INDEX(Scoring!$A$29:$A$361,MATCH($O52,Scoring!$AB$29:$AB$361,0)))</f>
        <v>Aurobindo</v>
      </c>
      <c r="C52" s="5" t="n">
        <f aca="false">IF($O52="","",IF(INDEX(Scoring!$P$29:$P$361,MATCH($O52,Scoring!$AB$29:$AB$361,0))="","–",INDEX(Scoring!$P$29:$P$361,MATCH($O52,Scoring!$AB$29:$AB$361,0))))</f>
        <v>18</v>
      </c>
      <c r="D52" s="6" t="str">
        <f aca="false">IF($O52="","",INDEX(Scoring!$Q$29:$Q$361,MATCH($O52,Scoring!$AB$29:$AB$361,0)))</f>
        <v>Priority 2</v>
      </c>
      <c r="E52" s="7" t="str">
        <f aca="false">IF($O52="","",INDEX(Scoring!$AJ$29:$AJ$361,MATCH($O52,Scoring!$AB$29:$AB$361,0)))</f>
        <v>High price · lower volume</v>
      </c>
      <c r="F52" s="6" t="str">
        <f aca="false">IF($O52="","",INDEX(Scoring!$B$29:$B$361,MATCH($O52,Scoring!$AB$29:$AB$361,0)))</f>
        <v>Medroxyprogesterone Acetate</v>
      </c>
      <c r="G52" s="7" t="str">
        <f aca="false">IF($O52="","",INDEX(Scoring!$AG$29:$AG$361,MATCH($O52,Scoring!$AB$29:$AB$361,0)))</f>
        <v>Medroxyprogesterone Acetate</v>
      </c>
      <c r="H52" s="7" t="str">
        <f aca="false">IF($O52="","",INDEX(Scoring!$C$29:$C$361,MATCH($O52,Scoring!$AB$29:$AB$361,0)))</f>
        <v>Women's health: three-monthly contraceptive injection</v>
      </c>
      <c r="I52" s="6" t="str">
        <f aca="false">IF($O52="","",INDEX(Scoring!$I$29:$I$361,MATCH($O52,Scoring!$AB$29:$AB$361,0)))</f>
        <v>Vial, Prefilled syringe</v>
      </c>
      <c r="J52" s="7" t="str">
        <f aca="false">IF($O52="","",INDEX(Scoring!$Z$29:$Z$361,MATCH($O52,Scoring!$AB$29:$AB$361,0)))</f>
        <v>150 mg/1 mL vial; 150 mg/1 mL pre-filled syringe</v>
      </c>
      <c r="K52" s="8" t="n">
        <f aca="false">IF($O52="","",IF(INDEX(Scoring!$D$29:$D$361,MATCH($O52,Scoring!$AB$29:$AB$361,0))="",INDEX(Scoring!$AF$29:$AF$361,MATCH($O52,Scoring!$AB$29:$AB$361,0)),INDEX(Scoring!$D$29:$D$361,MATCH($O52,Scoring!$AB$29:$AB$361,0))))</f>
        <v>35.26</v>
      </c>
      <c r="L52" s="9" t="n">
        <f aca="false">IF($O52="","",INDEX(Scoring!$M$29:$M$361,MATCH($O52,Scoring!$AB$29:$AB$361,0)))</f>
        <v>41</v>
      </c>
      <c r="M52" s="9" t="n">
        <f aca="false">IF($O52="","",INDEX(Scoring!$F$29:$F$361,MATCH($O52,Scoring!$AB$29:$AB$361,0)))</f>
        <v>2690.1</v>
      </c>
      <c r="N52" s="7" t="str">
        <f aca="false">IF($O52="","",INDEX(Scoring!$AI$29:$AI$361,MATCH($O52,Scoring!$AB$29:$AB$361,0)))</f>
        <v>US</v>
      </c>
      <c r="O52" s="10" t="n">
        <f aca="false">IFERROR(SMALL(Scoring!$AB$29:$AB$361,48),"")</f>
        <v>2018</v>
      </c>
    </row>
    <row r="53" customFormat="false" ht="28.35" hidden="false" customHeight="false" outlineLevel="0" collapsed="false">
      <c r="A53" s="5" t="n">
        <f aca="false">IF($O53="","",INT($O53/1000))</f>
        <v>2</v>
      </c>
      <c r="B53" s="6" t="str">
        <f aca="false">IF($O53="","",INDEX(Scoring!$A$29:$A$361,MATCH($O53,Scoring!$AB$29:$AB$361,0)))</f>
        <v>Aurobindo</v>
      </c>
      <c r="C53" s="5" t="n">
        <f aca="false">IF($O53="","",IF(INDEX(Scoring!$P$29:$P$361,MATCH($O53,Scoring!$AB$29:$AB$361,0))="","–",INDEX(Scoring!$P$29:$P$361,MATCH($O53,Scoring!$AB$29:$AB$361,0))))</f>
        <v>19</v>
      </c>
      <c r="D53" s="6" t="str">
        <f aca="false">IF($O53="","",INDEX(Scoring!$Q$29:$Q$361,MATCH($O53,Scoring!$AB$29:$AB$361,0)))</f>
        <v>Priority 2</v>
      </c>
      <c r="E53" s="7" t="str">
        <f aca="false">IF($O53="","",INDEX(Scoring!$AJ$29:$AJ$361,MATCH($O53,Scoring!$AB$29:$AB$361,0)))</f>
        <v>High price · lower volume</v>
      </c>
      <c r="F53" s="6" t="str">
        <f aca="false">IF($O53="","",INDEX(Scoring!$B$29:$B$361,MATCH($O53,Scoring!$AB$29:$AB$361,0)))</f>
        <v>Naloxone</v>
      </c>
      <c r="G53" s="7" t="str">
        <f aca="false">IF($O53="","",INDEX(Scoring!$AG$29:$AG$361,MATCH($O53,Scoring!$AB$29:$AB$361,0)))</f>
        <v>Naloxone Hydrochloride</v>
      </c>
      <c r="H53" s="7" t="str">
        <f aca="false">IF($O53="","",INDEX(Scoring!$C$29:$C$361,MATCH($O53,Scoring!$AB$29:$AB$361,0)))</f>
        <v>Critical care: reversal of opioid overdose</v>
      </c>
      <c r="I53" s="6" t="str">
        <f aca="false">IF($O53="","",INDEX(Scoring!$I$29:$I$361,MATCH($O53,Scoring!$AB$29:$AB$361,0)))</f>
        <v>Vial, Prefilled syringe</v>
      </c>
      <c r="J53" s="7" t="str">
        <f aca="false">IF($O53="","",INDEX(Scoring!$Z$29:$Z$361,MATCH($O53,Scoring!$AB$29:$AB$361,0)))</f>
        <v>2 mg/2 mL pre-filled syringe; 0.4 mg/1 mL vial; 4 mg/10 mL vial</v>
      </c>
      <c r="K53" s="8" t="n">
        <f aca="false">IF($O53="","",IF(INDEX(Scoring!$D$29:$D$361,MATCH($O53,Scoring!$AB$29:$AB$361,0))="",INDEX(Scoring!$AF$29:$AF$361,MATCH($O53,Scoring!$AB$29:$AB$361,0)),INDEX(Scoring!$D$29:$D$361,MATCH($O53,Scoring!$AB$29:$AB$361,0))))</f>
        <v>51.32</v>
      </c>
      <c r="L53" s="9" t="n">
        <f aca="false">IF($O53="","",INDEX(Scoring!$M$29:$M$361,MATCH($O53,Scoring!$AB$29:$AB$361,0)))</f>
        <v>88</v>
      </c>
      <c r="M53" s="9" t="n">
        <f aca="false">IF($O53="","",INDEX(Scoring!$F$29:$F$361,MATCH($O53,Scoring!$AB$29:$AB$361,0)))</f>
        <v>1437.9</v>
      </c>
      <c r="N53" s="7" t="str">
        <f aca="false">IF($O53="","",INDEX(Scoring!$AI$29:$AI$361,MATCH($O53,Scoring!$AB$29:$AB$361,0)))</f>
        <v>US, Canada</v>
      </c>
      <c r="O53" s="10" t="n">
        <f aca="false">IFERROR(SMALL(Scoring!$AB$29:$AB$361,49),"")</f>
        <v>2019</v>
      </c>
    </row>
    <row r="54" customFormat="false" ht="41.75" hidden="false" customHeight="false" outlineLevel="0" collapsed="false">
      <c r="A54" s="5" t="n">
        <f aca="false">IF($O54="","",INT($O54/1000))</f>
        <v>2</v>
      </c>
      <c r="B54" s="6" t="str">
        <f aca="false">IF($O54="","",INDEX(Scoring!$A$29:$A$361,MATCH($O54,Scoring!$AB$29:$AB$361,0)))</f>
        <v>Aurobindo</v>
      </c>
      <c r="C54" s="5" t="n">
        <f aca="false">IF($O54="","",IF(INDEX(Scoring!$P$29:$P$361,MATCH($O54,Scoring!$AB$29:$AB$361,0))="","–",INDEX(Scoring!$P$29:$P$361,MATCH($O54,Scoring!$AB$29:$AB$361,0))))</f>
        <v>20</v>
      </c>
      <c r="D54" s="6" t="str">
        <f aca="false">IF($O54="","",INDEX(Scoring!$Q$29:$Q$361,MATCH($O54,Scoring!$AB$29:$AB$361,0)))</f>
        <v>Priority 3</v>
      </c>
      <c r="E54" s="7" t="str">
        <f aca="false">IF($O54="","",INDEX(Scoring!$AJ$29:$AJ$361,MATCH($O54,Scoring!$AB$29:$AB$361,0)))</f>
        <v>Lower price · lower volume</v>
      </c>
      <c r="F54" s="6" t="str">
        <f aca="false">IF($O54="","",INDEX(Scoring!$B$29:$B$361,MATCH($O54,Scoring!$AB$29:$AB$361,0)))</f>
        <v>Methylprednisolone Acetate</v>
      </c>
      <c r="G54" s="7" t="str">
        <f aca="false">IF($O54="","",INDEX(Scoring!$AG$29:$AG$361,MATCH($O54,Scoring!$AB$29:$AB$361,0)))</f>
        <v>Methylprednisolone Acetate</v>
      </c>
      <c r="H54" s="7" t="str">
        <f aca="false">IF($O54="","",INDEX(Scoring!$C$29:$C$361,MATCH($O54,Scoring!$AB$29:$AB$361,0)))</f>
        <v>Musculoskeletal and immunology: joint injections for arthritis and bursitis, inflammatory conditions</v>
      </c>
      <c r="I54" s="6" t="str">
        <f aca="false">IF($O54="","",INDEX(Scoring!$I$29:$I$361,MATCH($O54,Scoring!$AB$29:$AB$361,0)))</f>
        <v>Vial</v>
      </c>
      <c r="J54" s="7" t="str">
        <f aca="false">IF($O54="","",INDEX(Scoring!$Z$29:$Z$361,MATCH($O54,Scoring!$AB$29:$AB$361,0)))</f>
        <v>40 mg/mL powder vial; 80 mg/mL powder vial</v>
      </c>
      <c r="K54" s="8" t="n">
        <f aca="false">IF($O54="","",IF(INDEX(Scoring!$D$29:$D$361,MATCH($O54,Scoring!$AB$29:$AB$361,0))="",INDEX(Scoring!$AF$29:$AF$361,MATCH($O54,Scoring!$AB$29:$AB$361,0)),INDEX(Scoring!$D$29:$D$361,MATCH($O54,Scoring!$AB$29:$AB$361,0))))</f>
        <v>9.84</v>
      </c>
      <c r="L54" s="9" t="n">
        <f aca="false">IF($O54="","",INDEX(Scoring!$M$29:$M$361,MATCH($O54,Scoring!$AB$29:$AB$361,0)))</f>
        <v>81</v>
      </c>
      <c r="M54" s="9" t="n">
        <f aca="false">IF($O54="","",INDEX(Scoring!$F$29:$F$361,MATCH($O54,Scoring!$AB$29:$AB$361,0)))</f>
        <v>4745.9</v>
      </c>
      <c r="N54" s="7" t="str">
        <f aca="false">IF($O54="","",INDEX(Scoring!$AI$29:$AI$361,MATCH($O54,Scoring!$AB$29:$AB$361,0)))</f>
        <v>US</v>
      </c>
      <c r="O54" s="10" t="n">
        <f aca="false">IFERROR(SMALL(Scoring!$AB$29:$AB$361,50),"")</f>
        <v>2020</v>
      </c>
    </row>
    <row r="55" customFormat="false" ht="28.35" hidden="false" customHeight="false" outlineLevel="0" collapsed="false">
      <c r="A55" s="5" t="n">
        <f aca="false">IF($O55="","",INT($O55/1000))</f>
        <v>2</v>
      </c>
      <c r="B55" s="6" t="str">
        <f aca="false">IF($O55="","",INDEX(Scoring!$A$29:$A$361,MATCH($O55,Scoring!$AB$29:$AB$361,0)))</f>
        <v>Aurobindo</v>
      </c>
      <c r="C55" s="5" t="n">
        <f aca="false">IF($O55="","",IF(INDEX(Scoring!$P$29:$P$361,MATCH($O55,Scoring!$AB$29:$AB$361,0))="","–",INDEX(Scoring!$P$29:$P$361,MATCH($O55,Scoring!$AB$29:$AB$361,0))))</f>
        <v>21</v>
      </c>
      <c r="D55" s="6" t="str">
        <f aca="false">IF($O55="","",INDEX(Scoring!$Q$29:$Q$361,MATCH($O55,Scoring!$AB$29:$AB$361,0)))</f>
        <v>Priority 3</v>
      </c>
      <c r="E55" s="7" t="str">
        <f aca="false">IF($O55="","",INDEX(Scoring!$AJ$29:$AJ$361,MATCH($O55,Scoring!$AB$29:$AB$361,0)))</f>
        <v>Lower price · lower volume</v>
      </c>
      <c r="F55" s="6" t="str">
        <f aca="false">IF($O55="","",INDEX(Scoring!$B$29:$B$361,MATCH($O55,Scoring!$AB$29:$AB$361,0)))</f>
        <v>Hydralazine</v>
      </c>
      <c r="G55" s="7" t="str">
        <f aca="false">IF($O55="","",INDEX(Scoring!$AG$29:$AG$361,MATCH($O55,Scoring!$AB$29:$AB$361,0)))</f>
        <v>Hydralazine Hydrochloride</v>
      </c>
      <c r="H55" s="7" t="str">
        <f aca="false">IF($O55="","",INDEX(Scoring!$C$29:$C$361,MATCH($O55,Scoring!$AB$29:$AB$361,0)))</f>
        <v>Cardiovascular: severe high blood pressure in pregnancy, hypertensive emergency</v>
      </c>
      <c r="I55" s="6" t="str">
        <f aca="false">IF($O55="","",INDEX(Scoring!$I$29:$I$361,MATCH($O55,Scoring!$AB$29:$AB$361,0)))</f>
        <v>Vial</v>
      </c>
      <c r="J55" s="7" t="str">
        <f aca="false">IF($O55="","",INDEX(Scoring!$Z$29:$Z$361,MATCH($O55,Scoring!$AB$29:$AB$361,0)))</f>
        <v>20 mg/1 mL vial</v>
      </c>
      <c r="K55" s="8" t="n">
        <f aca="false">IF($O55="","",IF(INDEX(Scoring!$D$29:$D$361,MATCH($O55,Scoring!$AB$29:$AB$361,0))="",INDEX(Scoring!$AF$29:$AF$361,MATCH($O55,Scoring!$AB$29:$AB$361,0)),INDEX(Scoring!$D$29:$D$361,MATCH($O55,Scoring!$AB$29:$AB$361,0))))</f>
        <v>7.36</v>
      </c>
      <c r="L55" s="9" t="n">
        <f aca="false">IF($O55="","",INDEX(Scoring!$M$29:$M$361,MATCH($O55,Scoring!$AB$29:$AB$361,0)))</f>
        <v>82</v>
      </c>
      <c r="M55" s="9" t="n">
        <f aca="false">IF($O55="","",INDEX(Scoring!$F$29:$F$361,MATCH($O55,Scoring!$AB$29:$AB$361,0)))</f>
        <v>3519.3</v>
      </c>
      <c r="N55" s="7" t="str">
        <f aca="false">IF($O55="","",INDEX(Scoring!$AI$29:$AI$361,MATCH($O55,Scoring!$AB$29:$AB$361,0)))</f>
        <v>Canada</v>
      </c>
      <c r="O55" s="10" t="n">
        <f aca="false">IFERROR(SMALL(Scoring!$AB$29:$AB$361,51),"")</f>
        <v>2021</v>
      </c>
    </row>
    <row r="56" customFormat="false" ht="28.35" hidden="false" customHeight="false" outlineLevel="0" collapsed="false">
      <c r="A56" s="5" t="n">
        <f aca="false">IF($O56="","",INT($O56/1000))</f>
        <v>2</v>
      </c>
      <c r="B56" s="6" t="str">
        <f aca="false">IF($O56="","",INDEX(Scoring!$A$29:$A$361,MATCH($O56,Scoring!$AB$29:$AB$361,0)))</f>
        <v>Aurobindo</v>
      </c>
      <c r="C56" s="5" t="n">
        <f aca="false">IF($O56="","",IF(INDEX(Scoring!$P$29:$P$361,MATCH($O56,Scoring!$AB$29:$AB$361,0))="","–",INDEX(Scoring!$P$29:$P$361,MATCH($O56,Scoring!$AB$29:$AB$361,0))))</f>
        <v>22</v>
      </c>
      <c r="D56" s="6" t="str">
        <f aca="false">IF($O56="","",INDEX(Scoring!$Q$29:$Q$361,MATCH($O56,Scoring!$AB$29:$AB$361,0)))</f>
        <v>Priority 3</v>
      </c>
      <c r="E56" s="7" t="str">
        <f aca="false">IF($O56="","",INDEX(Scoring!$AJ$29:$AJ$361,MATCH($O56,Scoring!$AB$29:$AB$361,0)))</f>
        <v>Lower price · lower volume</v>
      </c>
      <c r="F56" s="6" t="str">
        <f aca="false">IF($O56="","",INDEX(Scoring!$B$29:$B$361,MATCH($O56,Scoring!$AB$29:$AB$361,0)))</f>
        <v>Ephedrine</v>
      </c>
      <c r="G56" s="7" t="str">
        <f aca="false">IF($O56="","",INDEX(Scoring!$AG$29:$AG$361,MATCH($O56,Scoring!$AB$29:$AB$361,0)))</f>
        <v>Ephedrine Sulfate</v>
      </c>
      <c r="H56" s="7" t="str">
        <f aca="false">IF($O56="","",INDEX(Scoring!$C$29:$C$361,MATCH($O56,Scoring!$AB$29:$AB$361,0)))</f>
        <v>Anaesthesia: low blood pressure during spinal anaesthesia and caesarean section</v>
      </c>
      <c r="I56" s="6" t="str">
        <f aca="false">IF($O56="","",INDEX(Scoring!$I$29:$I$361,MATCH($O56,Scoring!$AB$29:$AB$361,0)))</f>
        <v>Vial</v>
      </c>
      <c r="J56" s="7" t="str">
        <f aca="false">IF($O56="","",INDEX(Scoring!$Z$29:$Z$361,MATCH($O56,Scoring!$AB$29:$AB$361,0)))</f>
        <v>50 mg/1 mL vial</v>
      </c>
      <c r="K56" s="8" t="n">
        <f aca="false">IF($O56="","",IF(INDEX(Scoring!$D$29:$D$361,MATCH($O56,Scoring!$AB$29:$AB$361,0))="",INDEX(Scoring!$AF$29:$AF$361,MATCH($O56,Scoring!$AB$29:$AB$361,0)),INDEX(Scoring!$D$29:$D$361,MATCH($O56,Scoring!$AB$29:$AB$361,0))))</f>
        <v>5.35</v>
      </c>
      <c r="L56" s="9" t="n">
        <f aca="false">IF($O56="","",INDEX(Scoring!$M$29:$M$361,MATCH($O56,Scoring!$AB$29:$AB$361,0)))</f>
        <v>49</v>
      </c>
      <c r="M56" s="9" t="n">
        <f aca="false">IF($O56="","",INDEX(Scoring!$F$29:$F$361,MATCH($O56,Scoring!$AB$29:$AB$361,0)))</f>
        <v>2937.3</v>
      </c>
      <c r="N56" s="7" t="str">
        <f aca="false">IF($O56="","",INDEX(Scoring!$AI$29:$AI$361,MATCH($O56,Scoring!$AB$29:$AB$361,0)))</f>
        <v>US | EU/EEA (1): France</v>
      </c>
      <c r="O56" s="10" t="n">
        <f aca="false">IFERROR(SMALL(Scoring!$AB$29:$AB$361,52),"")</f>
        <v>2022</v>
      </c>
    </row>
    <row r="57" customFormat="false" ht="28.35" hidden="false" customHeight="false" outlineLevel="0" collapsed="false">
      <c r="A57" s="5" t="n">
        <f aca="false">IF($O57="","",INT($O57/1000))</f>
        <v>2</v>
      </c>
      <c r="B57" s="6" t="str">
        <f aca="false">IF($O57="","",INDEX(Scoring!$A$29:$A$361,MATCH($O57,Scoring!$AB$29:$AB$361,0)))</f>
        <v>Aurobindo</v>
      </c>
      <c r="C57" s="5" t="n">
        <f aca="false">IF($O57="","",IF(INDEX(Scoring!$P$29:$P$361,MATCH($O57,Scoring!$AB$29:$AB$361,0))="","–",INDEX(Scoring!$P$29:$P$361,MATCH($O57,Scoring!$AB$29:$AB$361,0))))</f>
        <v>23</v>
      </c>
      <c r="D57" s="6" t="str">
        <f aca="false">IF($O57="","",INDEX(Scoring!$Q$29:$Q$361,MATCH($O57,Scoring!$AB$29:$AB$361,0)))</f>
        <v>Priority 3</v>
      </c>
      <c r="E57" s="7" t="str">
        <f aca="false">IF($O57="","",INDEX(Scoring!$AJ$29:$AJ$361,MATCH($O57,Scoring!$AB$29:$AB$361,0)))</f>
        <v>Lower price · lower volume</v>
      </c>
      <c r="F57" s="6" t="str">
        <f aca="false">IF($O57="","",INDEX(Scoring!$B$29:$B$361,MATCH($O57,Scoring!$AB$29:$AB$361,0)))</f>
        <v>Progesterone</v>
      </c>
      <c r="G57" s="7" t="str">
        <f aca="false">IF($O57="","",INDEX(Scoring!$AG$29:$AG$361,MATCH($O57,Scoring!$AB$29:$AB$361,0)))</f>
        <v>Progesterone</v>
      </c>
      <c r="H57" s="7" t="str">
        <f aca="false">IF($O57="","",INDEX(Scoring!$C$29:$C$361,MATCH($O57,Scoring!$AB$29:$AB$361,0)))</f>
        <v>Women's health: IVF support, absent periods, abnormal uterine bleeding</v>
      </c>
      <c r="I57" s="6" t="str">
        <f aca="false">IF($O57="","",INDEX(Scoring!$I$29:$I$361,MATCH($O57,Scoring!$AB$29:$AB$361,0)))</f>
        <v>Vial</v>
      </c>
      <c r="J57" s="7" t="str">
        <f aca="false">IF($O57="","",INDEX(Scoring!$Z$29:$Z$361,MATCH($O57,Scoring!$AB$29:$AB$361,0)))</f>
        <v>500 mg/10 mL vial</v>
      </c>
      <c r="K57" s="8" t="n">
        <f aca="false">IF($O57="","",IF(INDEX(Scoring!$D$29:$D$361,MATCH($O57,Scoring!$AB$29:$AB$361,0))="",INDEX(Scoring!$AF$29:$AF$361,MATCH($O57,Scoring!$AB$29:$AB$361,0)),INDEX(Scoring!$D$29:$D$361,MATCH($O57,Scoring!$AB$29:$AB$361,0))))</f>
        <v>22.25</v>
      </c>
      <c r="L57" s="9" t="n">
        <f aca="false">IF($O57="","",INDEX(Scoring!$M$29:$M$361,MATCH($O57,Scoring!$AB$29:$AB$361,0)))</f>
        <v>88</v>
      </c>
      <c r="M57" s="9" t="n">
        <f aca="false">IF($O57="","",INDEX(Scoring!$F$29:$F$361,MATCH($O57,Scoring!$AB$29:$AB$361,0)))</f>
        <v>2646.6</v>
      </c>
      <c r="N57" s="7" t="str">
        <f aca="false">IF($O57="","",INDEX(Scoring!$AI$29:$AI$361,MATCH($O57,Scoring!$AB$29:$AB$361,0)))</f>
        <v>US</v>
      </c>
      <c r="O57" s="10" t="n">
        <f aca="false">IFERROR(SMALL(Scoring!$AB$29:$AB$361,53),"")</f>
        <v>2023</v>
      </c>
    </row>
    <row r="58" customFormat="false" ht="28.35" hidden="false" customHeight="false" outlineLevel="0" collapsed="false">
      <c r="A58" s="5" t="n">
        <f aca="false">IF($O58="","",INT($O58/1000))</f>
        <v>2</v>
      </c>
      <c r="B58" s="6" t="str">
        <f aca="false">IF($O58="","",INDEX(Scoring!$A$29:$A$361,MATCH($O58,Scoring!$AB$29:$AB$361,0)))</f>
        <v>Aurobindo</v>
      </c>
      <c r="C58" s="5" t="n">
        <f aca="false">IF($O58="","",IF(INDEX(Scoring!$P$29:$P$361,MATCH($O58,Scoring!$AB$29:$AB$361,0))="","–",INDEX(Scoring!$P$29:$P$361,MATCH($O58,Scoring!$AB$29:$AB$361,0))))</f>
        <v>24</v>
      </c>
      <c r="D58" s="6" t="str">
        <f aca="false">IF($O58="","",INDEX(Scoring!$Q$29:$Q$361,MATCH($O58,Scoring!$AB$29:$AB$361,0)))</f>
        <v>Priority 3</v>
      </c>
      <c r="E58" s="7" t="str">
        <f aca="false">IF($O58="","",INDEX(Scoring!$AJ$29:$AJ$361,MATCH($O58,Scoring!$AB$29:$AB$361,0)))</f>
        <v>Lower price · lower volume</v>
      </c>
      <c r="F58" s="6" t="str">
        <f aca="false">IF($O58="","",INDEX(Scoring!$B$29:$B$361,MATCH($O58,Scoring!$AB$29:$AB$361,0)))</f>
        <v>Chlorpromazine</v>
      </c>
      <c r="G58" s="7" t="str">
        <f aca="false">IF($O58="","",INDEX(Scoring!$AG$29:$AG$361,MATCH($O58,Scoring!$AB$29:$AB$361,0)))</f>
        <v>Chlorpromazine Hydrochloride</v>
      </c>
      <c r="H58" s="7" t="str">
        <f aca="false">IF($O58="","",INDEX(Scoring!$C$29:$C$361,MATCH($O58,Scoring!$AB$29:$AB$361,0)))</f>
        <v>Psychiatry: acute psychosis and agitation, severe nausea and vomiting</v>
      </c>
      <c r="I58" s="6" t="str">
        <f aca="false">IF($O58="","",INDEX(Scoring!$I$29:$I$361,MATCH($O58,Scoring!$AB$29:$AB$361,0)))</f>
        <v>Ampoule</v>
      </c>
      <c r="J58" s="7" t="str">
        <f aca="false">IF($O58="","",INDEX(Scoring!$Z$29:$Z$361,MATCH($O58,Scoring!$AB$29:$AB$361,0)))</f>
        <v>25 mg/1 mL ampoule</v>
      </c>
      <c r="K58" s="8" t="n">
        <f aca="false">IF($O58="","",IF(INDEX(Scoring!$D$29:$D$361,MATCH($O58,Scoring!$AB$29:$AB$361,0))="",INDEX(Scoring!$AF$29:$AF$361,MATCH($O58,Scoring!$AB$29:$AB$361,0)),INDEX(Scoring!$D$29:$D$361,MATCH($O58,Scoring!$AB$29:$AB$361,0))))</f>
        <v>14.96</v>
      </c>
      <c r="L58" s="9" t="n">
        <f aca="false">IF($O58="","",INDEX(Scoring!$M$29:$M$361,MATCH($O58,Scoring!$AB$29:$AB$361,0)))</f>
        <v>82</v>
      </c>
      <c r="M58" s="9" t="n">
        <f aca="false">IF($O58="","",INDEX(Scoring!$F$29:$F$361,MATCH($O58,Scoring!$AB$29:$AB$361,0)))</f>
        <v>1358.2</v>
      </c>
      <c r="N58" s="7" t="str">
        <f aca="false">IF($O58="","",INDEX(Scoring!$AI$29:$AI$361,MATCH($O58,Scoring!$AB$29:$AB$361,0)))</f>
        <v>US</v>
      </c>
      <c r="O58" s="10" t="n">
        <f aca="false">IFERROR(SMALL(Scoring!$AB$29:$AB$361,54),"")</f>
        <v>2024</v>
      </c>
    </row>
    <row r="59" customFormat="false" ht="28.35" hidden="false" customHeight="false" outlineLevel="0" collapsed="false">
      <c r="A59" s="5" t="n">
        <f aca="false">IF($O59="","",INT($O59/1000))</f>
        <v>2</v>
      </c>
      <c r="B59" s="6" t="str">
        <f aca="false">IF($O59="","",INDEX(Scoring!$A$29:$A$361,MATCH($O59,Scoring!$AB$29:$AB$361,0)))</f>
        <v>Aurobindo</v>
      </c>
      <c r="C59" s="5" t="n">
        <f aca="false">IF($O59="","",IF(INDEX(Scoring!$P$29:$P$361,MATCH($O59,Scoring!$AB$29:$AB$361,0))="","–",INDEX(Scoring!$P$29:$P$361,MATCH($O59,Scoring!$AB$29:$AB$361,0))))</f>
        <v>25</v>
      </c>
      <c r="D59" s="6" t="str">
        <f aca="false">IF($O59="","",INDEX(Scoring!$Q$29:$Q$361,MATCH($O59,Scoring!$AB$29:$AB$361,0)))</f>
        <v>Priority 3</v>
      </c>
      <c r="E59" s="7" t="str">
        <f aca="false">IF($O59="","",INDEX(Scoring!$AJ$29:$AJ$361,MATCH($O59,Scoring!$AB$29:$AB$361,0)))</f>
        <v>Lower price · lower volume</v>
      </c>
      <c r="F59" s="6" t="str">
        <f aca="false">IF($O59="","",INDEX(Scoring!$B$29:$B$361,MATCH($O59,Scoring!$AB$29:$AB$361,0)))</f>
        <v>Nafcillin</v>
      </c>
      <c r="G59" s="7" t="str">
        <f aca="false">IF($O59="","",INDEX(Scoring!$AG$29:$AG$361,MATCH($O59,Scoring!$AB$29:$AB$361,0)))</f>
        <v>Nafcillin Sodium</v>
      </c>
      <c r="H59" s="7" t="str">
        <f aca="false">IF($O59="","",INDEX(Scoring!$C$29:$C$361,MATCH($O59,Scoring!$AB$29:$AB$361,0)))</f>
        <v>Anti-infective: staphylococcal infections</v>
      </c>
      <c r="I59" s="6" t="str">
        <f aca="false">IF($O59="","",INDEX(Scoring!$I$29:$I$361,MATCH($O59,Scoring!$AB$29:$AB$361,0)))</f>
        <v>Vial</v>
      </c>
      <c r="J59" s="7" t="str">
        <f aca="false">IF($O59="","",INDEX(Scoring!$Z$29:$Z$361,MATCH($O59,Scoring!$AB$29:$AB$361,0)))</f>
        <v>1 g powder vial; 2 g powder vial</v>
      </c>
      <c r="K59" s="8" t="n">
        <f aca="false">IF($O59="","",IF(INDEX(Scoring!$D$29:$D$361,MATCH($O59,Scoring!$AB$29:$AB$361,0))="",INDEX(Scoring!$AF$29:$AF$361,MATCH($O59,Scoring!$AB$29:$AB$361,0)),INDEX(Scoring!$D$29:$D$361,MATCH($O59,Scoring!$AB$29:$AB$361,0))))</f>
        <v>7.41</v>
      </c>
      <c r="L59" s="9" t="n">
        <f aca="false">IF($O59="","",INDEX(Scoring!$M$29:$M$361,MATCH($O59,Scoring!$AB$29:$AB$361,0)))</f>
        <v>4</v>
      </c>
      <c r="M59" s="9" t="n">
        <f aca="false">IF($O59="","",INDEX(Scoring!$F$29:$F$361,MATCH($O59,Scoring!$AB$29:$AB$361,0)))</f>
        <v>570.1</v>
      </c>
      <c r="N59" s="7" t="str">
        <f aca="false">IF($O59="","",INDEX(Scoring!$AI$29:$AI$361,MATCH($O59,Scoring!$AB$29:$AB$361,0)))</f>
        <v>US</v>
      </c>
      <c r="O59" s="10" t="n">
        <f aca="false">IFERROR(SMALL(Scoring!$AB$29:$AB$361,55),"")</f>
        <v>2025</v>
      </c>
    </row>
    <row r="60" customFormat="false" ht="28.35" hidden="false" customHeight="false" outlineLevel="0" collapsed="false">
      <c r="A60" s="5" t="n">
        <f aca="false">IF($O60="","",INT($O60/1000))</f>
        <v>2</v>
      </c>
      <c r="B60" s="6" t="str">
        <f aca="false">IF($O60="","",INDEX(Scoring!$A$29:$A$361,MATCH($O60,Scoring!$AB$29:$AB$361,0)))</f>
        <v>Aurobindo</v>
      </c>
      <c r="C60" s="5" t="n">
        <f aca="false">IF($O60="","",IF(INDEX(Scoring!$P$29:$P$361,MATCH($O60,Scoring!$AB$29:$AB$361,0))="","–",INDEX(Scoring!$P$29:$P$361,MATCH($O60,Scoring!$AB$29:$AB$361,0))))</f>
        <v>26</v>
      </c>
      <c r="D60" s="6" t="str">
        <f aca="false">IF($O60="","",INDEX(Scoring!$Q$29:$Q$361,MATCH($O60,Scoring!$AB$29:$AB$361,0)))</f>
        <v>Priority 3</v>
      </c>
      <c r="E60" s="7" t="str">
        <f aca="false">IF($O60="","",INDEX(Scoring!$AJ$29:$AJ$361,MATCH($O60,Scoring!$AB$29:$AB$361,0)))</f>
        <v>Lower price · lower volume</v>
      </c>
      <c r="F60" s="6" t="str">
        <f aca="false">IF($O60="","",INDEX(Scoring!$B$29:$B$361,MATCH($O60,Scoring!$AB$29:$AB$361,0)))</f>
        <v>Oxacillin</v>
      </c>
      <c r="G60" s="7" t="str">
        <f aca="false">IF($O60="","",INDEX(Scoring!$AG$29:$AG$361,MATCH($O60,Scoring!$AB$29:$AB$361,0)))</f>
        <v>Oxacillin Sodium</v>
      </c>
      <c r="H60" s="7" t="str">
        <f aca="false">IF($O60="","",INDEX(Scoring!$C$29:$C$361,MATCH($O60,Scoring!$AB$29:$AB$361,0)))</f>
        <v>Anti-infective: staphylococcal infections</v>
      </c>
      <c r="I60" s="6" t="str">
        <f aca="false">IF($O60="","",INDEX(Scoring!$I$29:$I$361,MATCH($O60,Scoring!$AB$29:$AB$361,0)))</f>
        <v>Vial</v>
      </c>
      <c r="J60" s="7" t="str">
        <f aca="false">IF($O60="","",INDEX(Scoring!$Z$29:$Z$361,MATCH($O60,Scoring!$AB$29:$AB$361,0)))</f>
        <v>1 g powder vial</v>
      </c>
      <c r="K60" s="8" t="n">
        <f aca="false">IF($O60="","",IF(INDEX(Scoring!$D$29:$D$361,MATCH($O60,Scoring!$AB$29:$AB$361,0))="",INDEX(Scoring!$AF$29:$AF$361,MATCH($O60,Scoring!$AB$29:$AB$361,0)),INDEX(Scoring!$D$29:$D$361,MATCH($O60,Scoring!$AB$29:$AB$361,0))))</f>
        <v>10.93</v>
      </c>
      <c r="L60" s="9" t="n">
        <f aca="false">IF($O60="","",INDEX(Scoring!$M$29:$M$361,MATCH($O60,Scoring!$AB$29:$AB$361,0)))</f>
        <v>9</v>
      </c>
      <c r="M60" s="9" t="n">
        <f aca="false">IF($O60="","",INDEX(Scoring!$F$29:$F$361,MATCH($O60,Scoring!$AB$29:$AB$361,0)))</f>
        <v>260.9</v>
      </c>
      <c r="N60" s="7" t="str">
        <f aca="false">IF($O60="","",INDEX(Scoring!$AI$29:$AI$361,MATCH($O60,Scoring!$AB$29:$AB$361,0)))</f>
        <v>US</v>
      </c>
      <c r="O60" s="10" t="n">
        <f aca="false">IFERROR(SMALL(Scoring!$AB$29:$AB$361,56),"")</f>
        <v>2026</v>
      </c>
    </row>
    <row r="61" customFormat="false" ht="28.35" hidden="false" customHeight="false" outlineLevel="0" collapsed="false">
      <c r="A61" s="5" t="n">
        <f aca="false">IF($O61="","",INT($O61/1000))</f>
        <v>2</v>
      </c>
      <c r="B61" s="6" t="str">
        <f aca="false">IF($O61="","",INDEX(Scoring!$A$29:$A$361,MATCH($O61,Scoring!$AB$29:$AB$361,0)))</f>
        <v>Aurobindo</v>
      </c>
      <c r="C61" s="5" t="str">
        <f aca="false">IF($O61="","",IF(INDEX(Scoring!$P$29:$P$361,MATCH($O61,Scoring!$AB$29:$AB$361,0))="","–",INDEX(Scoring!$P$29:$P$361,MATCH($O61,Scoring!$AB$29:$AB$361,0))))</f>
        <v>–</v>
      </c>
      <c r="D61" s="6" t="str">
        <f aca="false">IF($O61="","",INDEX(Scoring!$Q$29:$Q$361,MATCH($O61,Scoring!$AB$29:$AB$361,0)))</f>
        <v>Excluded – price ≤ $5</v>
      </c>
      <c r="E61" s="7" t="str">
        <f aca="false">IF($O61="","",INDEX(Scoring!$AJ$29:$AJ$361,MATCH($O61,Scoring!$AB$29:$AB$361,0)))</f>
        <v/>
      </c>
      <c r="F61" s="6" t="str">
        <f aca="false">IF($O61="","",INDEX(Scoring!$B$29:$B$361,MATCH($O61,Scoring!$AB$29:$AB$361,0)))</f>
        <v>Flucloxacillin</v>
      </c>
      <c r="G61" s="7" t="str">
        <f aca="false">IF($O61="","",INDEX(Scoring!$AG$29:$AG$361,MATCH($O61,Scoring!$AB$29:$AB$361,0)))</f>
        <v>EUG-Flucloxacillin</v>
      </c>
      <c r="H61" s="7" t="str">
        <f aca="false">IF($O61="","",INDEX(Scoring!$C$29:$C$361,MATCH($O61,Scoring!$AB$29:$AB$361,0)))</f>
        <v>Anti-infective: staphylococcal skin, bone and heart infections</v>
      </c>
      <c r="I61" s="6" t="str">
        <f aca="false">IF($O61="","",INDEX(Scoring!$I$29:$I$361,MATCH($O61,Scoring!$AB$29:$AB$361,0)))</f>
        <v>Vial</v>
      </c>
      <c r="J61" s="7" t="str">
        <f aca="false">IF($O61="","",INDEX(Scoring!$Z$29:$Z$361,MATCH($O61,Scoring!$AB$29:$AB$361,0)))</f>
        <v>500 mg powder vial; 1000 mg powder vial; 2000 mg powder vial</v>
      </c>
      <c r="K61" s="8" t="n">
        <f aca="false">IF($O61="","",IF(INDEX(Scoring!$D$29:$D$361,MATCH($O61,Scoring!$AB$29:$AB$361,0))="",INDEX(Scoring!$AF$29:$AF$361,MATCH($O61,Scoring!$AB$29:$AB$361,0)),INDEX(Scoring!$D$29:$D$361,MATCH($O61,Scoring!$AB$29:$AB$361,0))))</f>
        <v>3.32</v>
      </c>
      <c r="L61" s="9" t="n">
        <f aca="false">IF($O61="","",INDEX(Scoring!$M$29:$M$361,MATCH($O61,Scoring!$AB$29:$AB$361,0)))</f>
        <v>116</v>
      </c>
      <c r="M61" s="9" t="n">
        <f aca="false">IF($O61="","",INDEX(Scoring!$F$29:$F$361,MATCH($O61,Scoring!$AB$29:$AB$361,0)))</f>
        <v>6287.6</v>
      </c>
      <c r="N61" s="7" t="str">
        <f aca="false">IF($O61="","",INDEX(Scoring!$AI$29:$AI$361,MATCH($O61,Scoring!$AB$29:$AB$361,0)))</f>
        <v>Australia, UK-NI | EU/EEA (6): Germany, France, Netherlands, Belgium, Luxembourg, Portugal</v>
      </c>
      <c r="O61" s="10" t="n">
        <f aca="false">IFERROR(SMALL(Scoring!$AB$29:$AB$361,57),"")</f>
        <v>2901</v>
      </c>
    </row>
    <row r="62" customFormat="false" ht="41.75" hidden="false" customHeight="false" outlineLevel="0" collapsed="false">
      <c r="A62" s="5" t="n">
        <f aca="false">IF($O62="","",INT($O62/1000))</f>
        <v>2</v>
      </c>
      <c r="B62" s="6" t="str">
        <f aca="false">IF($O62="","",INDEX(Scoring!$A$29:$A$361,MATCH($O62,Scoring!$AB$29:$AB$361,0)))</f>
        <v>Aurobindo</v>
      </c>
      <c r="C62" s="5" t="str">
        <f aca="false">IF($O62="","",IF(INDEX(Scoring!$P$29:$P$361,MATCH($O62,Scoring!$AB$29:$AB$361,0))="","–",INDEX(Scoring!$P$29:$P$361,MATCH($O62,Scoring!$AB$29:$AB$361,0))))</f>
        <v>–</v>
      </c>
      <c r="D62" s="6" t="str">
        <f aca="false">IF($O62="","",INDEX(Scoring!$Q$29:$Q$361,MATCH($O62,Scoring!$AB$29:$AB$361,0)))</f>
        <v>Excluded – price ≤ $5</v>
      </c>
      <c r="E62" s="7" t="str">
        <f aca="false">IF($O62="","",INDEX(Scoring!$AJ$29:$AJ$361,MATCH($O62,Scoring!$AB$29:$AB$361,0)))</f>
        <v/>
      </c>
      <c r="F62" s="6" t="str">
        <f aca="false">IF($O62="","",INDEX(Scoring!$B$29:$B$361,MATCH($O62,Scoring!$AB$29:$AB$361,0)))</f>
        <v>Triamcinolone Acetonide</v>
      </c>
      <c r="G62" s="7" t="str">
        <f aca="false">IF($O62="","",INDEX(Scoring!$AG$29:$AG$361,MATCH($O62,Scoring!$AB$29:$AB$361,0)))</f>
        <v>Triamcinolone Acetonide</v>
      </c>
      <c r="H62" s="7" t="str">
        <f aca="false">IF($O62="","",INDEX(Scoring!$C$29:$C$361,MATCH($O62,Scoring!$AB$29:$AB$361,0)))</f>
        <v>Musculoskeletal and immunology: joint and soft-tissue injections, allergic and skin conditions</v>
      </c>
      <c r="I62" s="6" t="str">
        <f aca="false">IF($O62="","",INDEX(Scoring!$I$29:$I$361,MATCH($O62,Scoring!$AB$29:$AB$361,0)))</f>
        <v>Not stated</v>
      </c>
      <c r="J62" s="7" t="str">
        <f aca="false">IF($O62="","",INDEX(Scoring!$Z$29:$Z$361,MATCH($O62,Scoring!$AB$29:$AB$361,0)))</f>
        <v>40 mg/mL (container not stated)</v>
      </c>
      <c r="K62" s="8" t="n">
        <f aca="false">IF($O62="","",IF(INDEX(Scoring!$D$29:$D$361,MATCH($O62,Scoring!$AB$29:$AB$361,0))="",INDEX(Scoring!$AF$29:$AF$361,MATCH($O62,Scoring!$AB$29:$AB$361,0)),INDEX(Scoring!$D$29:$D$361,MATCH($O62,Scoring!$AB$29:$AB$361,0))))</f>
        <v>3.15</v>
      </c>
      <c r="L62" s="9" t="n">
        <f aca="false">IF($O62="","",INDEX(Scoring!$M$29:$M$361,MATCH($O62,Scoring!$AB$29:$AB$361,0)))</f>
        <v>193</v>
      </c>
      <c r="M62" s="9" t="n">
        <f aca="false">IF($O62="","",INDEX(Scoring!$F$29:$F$361,MATCH($O62,Scoring!$AB$29:$AB$361,0)))</f>
        <v>4256.8</v>
      </c>
      <c r="N62" s="7" t="str">
        <f aca="false">IF($O62="","",INDEX(Scoring!$AI$29:$AI$361,MATCH($O62,Scoring!$AB$29:$AB$361,0)))</f>
        <v>US</v>
      </c>
      <c r="O62" s="10" t="n">
        <f aca="false">IFERROR(SMALL(Scoring!$AB$29:$AB$361,58),"")</f>
        <v>2902</v>
      </c>
    </row>
    <row r="63" customFormat="false" ht="28.35" hidden="false" customHeight="false" outlineLevel="0" collapsed="false">
      <c r="A63" s="5" t="n">
        <f aca="false">IF($O63="","",INT($O63/1000))</f>
        <v>3</v>
      </c>
      <c r="B63" s="6" t="str">
        <f aca="false">IF($O63="","",INDEX(Scoring!$A$29:$A$361,MATCH($O63,Scoring!$AB$29:$AB$361,0)))</f>
        <v>Dr. Reddy's</v>
      </c>
      <c r="C63" s="5" t="n">
        <f aca="false">IF($O63="","",IF(INDEX(Scoring!$P$29:$P$361,MATCH($O63,Scoring!$AB$29:$AB$361,0))="","–",INDEX(Scoring!$P$29:$P$361,MATCH($O63,Scoring!$AB$29:$AB$361,0))))</f>
        <v>1</v>
      </c>
      <c r="D63" s="6" t="str">
        <f aca="false">IF($O63="","",INDEX(Scoring!$Q$29:$Q$361,MATCH($O63,Scoring!$AB$29:$AB$361,0)))</f>
        <v>Priority 1</v>
      </c>
      <c r="E63" s="7" t="str">
        <f aca="false">IF($O63="","",INDEX(Scoring!$AJ$29:$AJ$361,MATCH($O63,Scoring!$AB$29:$AB$361,0)))</f>
        <v>High price · high volume</v>
      </c>
      <c r="F63" s="6" t="str">
        <f aca="false">IF($O63="","",INDEX(Scoring!$B$29:$B$361,MATCH($O63,Scoring!$AB$29:$AB$361,0)))</f>
        <v>Ertapenem</v>
      </c>
      <c r="G63" s="7" t="str">
        <f aca="false">IF($O63="","",INDEX(Scoring!$AG$29:$AG$361,MATCH($O63,Scoring!$AB$29:$AB$361,0)))</f>
        <v>Ertapenem</v>
      </c>
      <c r="H63" s="7" t="str">
        <f aca="false">IF($O63="","",INDEX(Scoring!$C$29:$C$361,MATCH($O63,Scoring!$AB$29:$AB$361,0)))</f>
        <v>Anti-infective: abdominal, skin and urinary infections, pneumonia</v>
      </c>
      <c r="I63" s="6" t="str">
        <f aca="false">IF($O63="","",INDEX(Scoring!$I$29:$I$361,MATCH($O63,Scoring!$AB$29:$AB$361,0)))</f>
        <v>Vial</v>
      </c>
      <c r="J63" s="7" t="str">
        <f aca="false">IF($O63="","",INDEX(Scoring!$Z$29:$Z$361,MATCH($O63,Scoring!$AB$29:$AB$361,0)))</f>
        <v>1 g vial</v>
      </c>
      <c r="K63" s="8" t="n">
        <f aca="false">IF($O63="","",IF(INDEX(Scoring!$D$29:$D$361,MATCH($O63,Scoring!$AB$29:$AB$361,0))="",INDEX(Scoring!$AF$29:$AF$361,MATCH($O63,Scoring!$AB$29:$AB$361,0)),INDEX(Scoring!$D$29:$D$361,MATCH($O63,Scoring!$AB$29:$AB$361,0))))</f>
        <v>36.59</v>
      </c>
      <c r="L63" s="9" t="n">
        <f aca="false">IF($O63="","",INDEX(Scoring!$M$29:$M$361,MATCH($O63,Scoring!$AB$29:$AB$361,0)))</f>
        <v>223</v>
      </c>
      <c r="M63" s="9" t="n">
        <f aca="false">IF($O63="","",INDEX(Scoring!$F$29:$F$361,MATCH($O63,Scoring!$AB$29:$AB$361,0)))</f>
        <v>53539.9</v>
      </c>
      <c r="N63" s="7" t="str">
        <f aca="false">IF($O63="","",INDEX(Scoring!$AI$29:$AI$361,MATCH($O63,Scoring!$AB$29:$AB$361,0)))</f>
        <v>Canada</v>
      </c>
      <c r="O63" s="10" t="n">
        <f aca="false">IFERROR(SMALL(Scoring!$AB$29:$AB$361,59),"")</f>
        <v>3001</v>
      </c>
    </row>
    <row r="64" customFormat="false" ht="28.35" hidden="false" customHeight="false" outlineLevel="0" collapsed="false">
      <c r="A64" s="5" t="n">
        <f aca="false">IF($O64="","",INT($O64/1000))</f>
        <v>3</v>
      </c>
      <c r="B64" s="6" t="str">
        <f aca="false">IF($O64="","",INDEX(Scoring!$A$29:$A$361,MATCH($O64,Scoring!$AB$29:$AB$361,0)))</f>
        <v>Dr. Reddy's</v>
      </c>
      <c r="C64" s="5" t="n">
        <f aca="false">IF($O64="","",IF(INDEX(Scoring!$P$29:$P$361,MATCH($O64,Scoring!$AB$29:$AB$361,0))="","–",INDEX(Scoring!$P$29:$P$361,MATCH($O64,Scoring!$AB$29:$AB$361,0))))</f>
        <v>2</v>
      </c>
      <c r="D64" s="6" t="str">
        <f aca="false">IF($O64="","",INDEX(Scoring!$Q$29:$Q$361,MATCH($O64,Scoring!$AB$29:$AB$361,0)))</f>
        <v>Priority 1</v>
      </c>
      <c r="E64" s="7" t="str">
        <f aca="false">IF($O64="","",INDEX(Scoring!$AJ$29:$AJ$361,MATCH($O64,Scoring!$AB$29:$AB$361,0)))</f>
        <v>High price · high volume</v>
      </c>
      <c r="F64" s="6" t="str">
        <f aca="false">IF($O64="","",INDEX(Scoring!$B$29:$B$361,MATCH($O64,Scoring!$AB$29:$AB$361,0)))</f>
        <v>Azacitidine</v>
      </c>
      <c r="G64" s="7" t="str">
        <f aca="false">IF($O64="","",INDEX(Scoring!$AG$29:$AG$361,MATCH($O64,Scoring!$AB$29:$AB$361,0)))</f>
        <v>Azacitidine Betapharm; Azacitidine; Reddaza (+1 more)</v>
      </c>
      <c r="H64" s="7" t="str">
        <f aca="false">IF($O64="","",INDEX(Scoring!$C$29:$C$361,MATCH($O64,Scoring!$AB$29:$AB$361,0)))</f>
        <v>Oncology: myelodysplastic syndromes, acute myeloid leukaemia</v>
      </c>
      <c r="I64" s="6" t="str">
        <f aca="false">IF($O64="","",INDEX(Scoring!$I$29:$I$361,MATCH($O64,Scoring!$AB$29:$AB$361,0)))</f>
        <v>Vial</v>
      </c>
      <c r="J64" s="7" t="str">
        <f aca="false">IF($O64="","",INDEX(Scoring!$Z$29:$Z$361,MATCH($O64,Scoring!$AB$29:$AB$361,0)))</f>
        <v>25 mg/mL vial; 100 mg powder vial; 100 mg in 30 mL powder vial</v>
      </c>
      <c r="K64" s="8" t="n">
        <f aca="false">IF($O64="","",IF(INDEX(Scoring!$D$29:$D$361,MATCH($O64,Scoring!$AB$29:$AB$361,0))="",INDEX(Scoring!$AF$29:$AF$361,MATCH($O64,Scoring!$AB$29:$AB$361,0)),INDEX(Scoring!$D$29:$D$361,MATCH($O64,Scoring!$AB$29:$AB$361,0))))</f>
        <v>259.25</v>
      </c>
      <c r="L64" s="9" t="n">
        <f aca="false">IF($O64="","",INDEX(Scoring!$M$29:$M$361,MATCH($O64,Scoring!$AB$29:$AB$361,0)))</f>
        <v>632</v>
      </c>
      <c r="M64" s="9" t="n">
        <f aca="false">IF($O64="","",INDEX(Scoring!$F$29:$F$361,MATCH($O64,Scoring!$AB$29:$AB$361,0)))</f>
        <v>42181.7</v>
      </c>
      <c r="N64" s="7" t="str">
        <f aca="false">IF($O64="","",INDEX(Scoring!$AI$29:$AI$361,MATCH($O64,Scoring!$AB$29:$AB$361,0)))</f>
        <v>UK, Canada, Australia, South Africa | EU/EEA: all 30 countries</v>
      </c>
      <c r="O64" s="10" t="n">
        <f aca="false">IFERROR(SMALL(Scoring!$AB$29:$AB$361,60),"")</f>
        <v>3002</v>
      </c>
    </row>
    <row r="65" customFormat="false" ht="28.35" hidden="false" customHeight="false" outlineLevel="0" collapsed="false">
      <c r="A65" s="5" t="n">
        <f aca="false">IF($O65="","",INT($O65/1000))</f>
        <v>3</v>
      </c>
      <c r="B65" s="6" t="str">
        <f aca="false">IF($O65="","",INDEX(Scoring!$A$29:$A$361,MATCH($O65,Scoring!$AB$29:$AB$361,0)))</f>
        <v>Dr. Reddy's</v>
      </c>
      <c r="C65" s="5" t="n">
        <f aca="false">IF($O65="","",IF(INDEX(Scoring!$P$29:$P$361,MATCH($O65,Scoring!$AB$29:$AB$361,0))="","–",INDEX(Scoring!$P$29:$P$361,MATCH($O65,Scoring!$AB$29:$AB$361,0))))</f>
        <v>3</v>
      </c>
      <c r="D65" s="6" t="str">
        <f aca="false">IF($O65="","",INDEX(Scoring!$Q$29:$Q$361,MATCH($O65,Scoring!$AB$29:$AB$361,0)))</f>
        <v>Priority 1</v>
      </c>
      <c r="E65" s="7" t="str">
        <f aca="false">IF($O65="","",INDEX(Scoring!$AJ$29:$AJ$361,MATCH($O65,Scoring!$AB$29:$AB$361,0)))</f>
        <v>High price · high volume</v>
      </c>
      <c r="F65" s="6" t="str">
        <f aca="false">IF($O65="","",INDEX(Scoring!$B$29:$B$361,MATCH($O65,Scoring!$AB$29:$AB$361,0)))</f>
        <v>Bortezomib</v>
      </c>
      <c r="G65" s="7" t="str">
        <f aca="false">IF($O65="","",INDEX(Scoring!$AG$29:$AG$361,MATCH($O65,Scoring!$AB$29:$AB$361,0)))</f>
        <v>Bortezomib; Bortezomib Dr. Reddy's; Bertred</v>
      </c>
      <c r="H65" s="7" t="str">
        <f aca="false">IF($O65="","",INDEX(Scoring!$C$29:$C$361,MATCH($O65,Scoring!$AB$29:$AB$361,0)))</f>
        <v>Oncology: multiple myeloma, mantle cell lymphoma</v>
      </c>
      <c r="I65" s="6" t="str">
        <f aca="false">IF($O65="","",INDEX(Scoring!$I$29:$I$361,MATCH($O65,Scoring!$AB$29:$AB$361,0)))</f>
        <v>Vial</v>
      </c>
      <c r="J65" s="7" t="str">
        <f aca="false">IF($O65="","",INDEX(Scoring!$Z$29:$Z$361,MATCH($O65,Scoring!$AB$29:$AB$361,0)))</f>
        <v>3.5 mg powder vial; 3.5 mg in 10 mL powder vial</v>
      </c>
      <c r="K65" s="8" t="n">
        <f aca="false">IF($O65="","",IF(INDEX(Scoring!$D$29:$D$361,MATCH($O65,Scoring!$AB$29:$AB$361,0))="",INDEX(Scoring!$AF$29:$AF$361,MATCH($O65,Scoring!$AB$29:$AB$361,0)),INDEX(Scoring!$D$29:$D$361,MATCH($O65,Scoring!$AB$29:$AB$361,0))))</f>
        <v>711.76</v>
      </c>
      <c r="L65" s="9" t="n">
        <f aca="false">IF($O65="","",INDEX(Scoring!$M$29:$M$361,MATCH($O65,Scoring!$AB$29:$AB$361,0)))</f>
        <v>905</v>
      </c>
      <c r="M65" s="9" t="n">
        <f aca="false">IF($O65="","",INDEX(Scoring!$F$29:$F$361,MATCH($O65,Scoring!$AB$29:$AB$361,0)))</f>
        <v>28093.4</v>
      </c>
      <c r="N65" s="7" t="str">
        <f aca="false">IF($O65="","",INDEX(Scoring!$AI$29:$AI$361,MATCH($O65,Scoring!$AB$29:$AB$361,0)))</f>
        <v>US, UK, Canada, South Africa, UK-NI | EU/EEA (13): Germany, France, Netherlands, Finland + 9 more</v>
      </c>
      <c r="O65" s="10" t="n">
        <f aca="false">IFERROR(SMALL(Scoring!$AB$29:$AB$361,61),"")</f>
        <v>3003</v>
      </c>
    </row>
    <row r="66" customFormat="false" ht="41.75" hidden="false" customHeight="false" outlineLevel="0" collapsed="false">
      <c r="A66" s="5" t="n">
        <f aca="false">IF($O66="","",INT($O66/1000))</f>
        <v>3</v>
      </c>
      <c r="B66" s="6" t="str">
        <f aca="false">IF($O66="","",INDEX(Scoring!$A$29:$A$361,MATCH($O66,Scoring!$AB$29:$AB$361,0)))</f>
        <v>Dr. Reddy's</v>
      </c>
      <c r="C66" s="5" t="n">
        <f aca="false">IF($O66="","",IF(INDEX(Scoring!$P$29:$P$361,MATCH($O66,Scoring!$AB$29:$AB$361,0))="","–",INDEX(Scoring!$P$29:$P$361,MATCH($O66,Scoring!$AB$29:$AB$361,0))))</f>
        <v>4</v>
      </c>
      <c r="D66" s="6" t="str">
        <f aca="false">IF($O66="","",INDEX(Scoring!$Q$29:$Q$361,MATCH($O66,Scoring!$AB$29:$AB$361,0)))</f>
        <v>Priority 1</v>
      </c>
      <c r="E66" s="7" t="str">
        <f aca="false">IF($O66="","",INDEX(Scoring!$AJ$29:$AJ$361,MATCH($O66,Scoring!$AB$29:$AB$361,0)))</f>
        <v>High price · high volume</v>
      </c>
      <c r="F66" s="6" t="str">
        <f aca="false">IF($O66="","",INDEX(Scoring!$B$29:$B$361,MATCH($O66,Scoring!$AB$29:$AB$361,0)))</f>
        <v>Fulvestrant</v>
      </c>
      <c r="G66" s="7" t="str">
        <f aca="false">IF($O66="","",INDEX(Scoring!$AG$29:$AG$361,MATCH($O66,Scoring!$AB$29:$AB$361,0)))</f>
        <v>Fulvestrant; Fulvestrant Dr. Reddy's; Fulvestrant Beta (+1 more)</v>
      </c>
      <c r="H66" s="7" t="str">
        <f aca="false">IF($O66="","",INDEX(Scoring!$C$29:$C$361,MATCH($O66,Scoring!$AB$29:$AB$361,0)))</f>
        <v>Oncology: hormone receptor-positive advanced breast cancer</v>
      </c>
      <c r="I66" s="6" t="str">
        <f aca="false">IF($O66="","",INDEX(Scoring!$I$29:$I$361,MATCH($O66,Scoring!$AB$29:$AB$361,0)))</f>
        <v>Prefilled syringe</v>
      </c>
      <c r="J66" s="7" t="str">
        <f aca="false">IF($O66="","",INDEX(Scoring!$Z$29:$Z$361,MATCH($O66,Scoring!$AB$29:$AB$361,0)))</f>
        <v>250 mg/5 mL pre-filled syringe</v>
      </c>
      <c r="K66" s="8" t="n">
        <f aca="false">IF($O66="","",IF(INDEX(Scoring!$D$29:$D$361,MATCH($O66,Scoring!$AB$29:$AB$361,0))="",INDEX(Scoring!$AF$29:$AF$361,MATCH($O66,Scoring!$AB$29:$AB$361,0)),INDEX(Scoring!$D$29:$D$361,MATCH($O66,Scoring!$AB$29:$AB$361,0))))</f>
        <v>248.6</v>
      </c>
      <c r="L66" s="9" t="n">
        <f aca="false">IF($O66="","",INDEX(Scoring!$M$29:$M$361,MATCH($O66,Scoring!$AB$29:$AB$361,0)))</f>
        <v>146</v>
      </c>
      <c r="M66" s="9" t="n">
        <f aca="false">IF($O66="","",INDEX(Scoring!$F$29:$F$361,MATCH($O66,Scoring!$AB$29:$AB$361,0)))</f>
        <v>11366.1</v>
      </c>
      <c r="N66" s="7" t="str">
        <f aca="false">IF($O66="","",INDEX(Scoring!$AI$29:$AI$361,MATCH($O66,Scoring!$AB$29:$AB$361,0)))</f>
        <v>US, UK, South Africa, UK-NI | EU/EEA (10): Germany, Denmark, Ireland, Italy + 6 more</v>
      </c>
      <c r="O66" s="10" t="n">
        <f aca="false">IFERROR(SMALL(Scoring!$AB$29:$AB$361,62),"")</f>
        <v>3004</v>
      </c>
    </row>
    <row r="67" customFormat="false" ht="28.35" hidden="false" customHeight="false" outlineLevel="0" collapsed="false">
      <c r="A67" s="5" t="n">
        <f aca="false">IF($O67="","",INT($O67/1000))</f>
        <v>3</v>
      </c>
      <c r="B67" s="6" t="str">
        <f aca="false">IF($O67="","",INDEX(Scoring!$A$29:$A$361,MATCH($O67,Scoring!$AB$29:$AB$361,0)))</f>
        <v>Dr. Reddy's</v>
      </c>
      <c r="C67" s="5" t="n">
        <f aca="false">IF($O67="","",IF(INDEX(Scoring!$P$29:$P$361,MATCH($O67,Scoring!$AB$29:$AB$361,0))="","–",INDEX(Scoring!$P$29:$P$361,MATCH($O67,Scoring!$AB$29:$AB$361,0))))</f>
        <v>5</v>
      </c>
      <c r="D67" s="6" t="str">
        <f aca="false">IF($O67="","",INDEX(Scoring!$Q$29:$Q$361,MATCH($O67,Scoring!$AB$29:$AB$361,0)))</f>
        <v>Priority 2</v>
      </c>
      <c r="E67" s="7" t="str">
        <f aca="false">IF($O67="","",INDEX(Scoring!$AJ$29:$AJ$361,MATCH($O67,Scoring!$AB$29:$AB$361,0)))</f>
        <v>High price · lower volume</v>
      </c>
      <c r="F67" s="6" t="str">
        <f aca="false">IF($O67="","",INDEX(Scoring!$B$29:$B$361,MATCH($O67,Scoring!$AB$29:$AB$361,0)))</f>
        <v>Plerixafor</v>
      </c>
      <c r="G67" s="7" t="str">
        <f aca="false">IF($O67="","",INDEX(Scoring!$AG$29:$AG$361,MATCH($O67,Scoring!$AB$29:$AB$361,0)))</f>
        <v>Plerixafor</v>
      </c>
      <c r="H67" s="7" t="str">
        <f aca="false">IF($O67="","",INDEX(Scoring!$C$29:$C$361,MATCH($O67,Scoring!$AB$29:$AB$361,0)))</f>
        <v>Oncology support: stem cell mobilisation in myeloma and lymphoma</v>
      </c>
      <c r="I67" s="6" t="str">
        <f aca="false">IF($O67="","",INDEX(Scoring!$I$29:$I$361,MATCH($O67,Scoring!$AB$29:$AB$361,0)))</f>
        <v>Vial</v>
      </c>
      <c r="J67" s="7" t="str">
        <f aca="false">IF($O67="","",INDEX(Scoring!$Z$29:$Z$361,MATCH($O67,Scoring!$AB$29:$AB$361,0)))</f>
        <v>24 mg/1.2 mL vial</v>
      </c>
      <c r="K67" s="8" t="n">
        <f aca="false">IF($O67="","",IF(INDEX(Scoring!$D$29:$D$361,MATCH($O67,Scoring!$AB$29:$AB$361,0))="",INDEX(Scoring!$AF$29:$AF$361,MATCH($O67,Scoring!$AB$29:$AB$361,0)),INDEX(Scoring!$D$29:$D$361,MATCH($O67,Scoring!$AB$29:$AB$361,0))))</f>
        <v>343.8</v>
      </c>
      <c r="L67" s="9" t="n">
        <f aca="false">IF($O67="","",INDEX(Scoring!$M$29:$M$361,MATCH($O67,Scoring!$AB$29:$AB$361,0)))</f>
        <v>47</v>
      </c>
      <c r="M67" s="9" t="n">
        <f aca="false">IF($O67="","",INDEX(Scoring!$F$29:$F$361,MATCH($O67,Scoring!$AB$29:$AB$361,0)))</f>
        <v>7904.7</v>
      </c>
      <c r="N67" s="7" t="str">
        <f aca="false">IF($O67="","",INDEX(Scoring!$AI$29:$AI$361,MATCH($O67,Scoring!$AB$29:$AB$361,0)))</f>
        <v>US</v>
      </c>
      <c r="O67" s="10" t="n">
        <f aca="false">IFERROR(SMALL(Scoring!$AB$29:$AB$361,63),"")</f>
        <v>3005</v>
      </c>
    </row>
    <row r="68" customFormat="false" ht="28.35" hidden="false" customHeight="false" outlineLevel="0" collapsed="false">
      <c r="A68" s="5" t="n">
        <f aca="false">IF($O68="","",INT($O68/1000))</f>
        <v>3</v>
      </c>
      <c r="B68" s="6" t="str">
        <f aca="false">IF($O68="","",INDEX(Scoring!$A$29:$A$361,MATCH($O68,Scoring!$AB$29:$AB$361,0)))</f>
        <v>Dr. Reddy's</v>
      </c>
      <c r="C68" s="5" t="n">
        <f aca="false">IF($O68="","",IF(INDEX(Scoring!$P$29:$P$361,MATCH($O68,Scoring!$AB$29:$AB$361,0))="","–",INDEX(Scoring!$P$29:$P$361,MATCH($O68,Scoring!$AB$29:$AB$361,0))))</f>
        <v>6</v>
      </c>
      <c r="D68" s="6" t="str">
        <f aca="false">IF($O68="","",INDEX(Scoring!$Q$29:$Q$361,MATCH($O68,Scoring!$AB$29:$AB$361,0)))</f>
        <v>Priority 2</v>
      </c>
      <c r="E68" s="7" t="str">
        <f aca="false">IF($O68="","",INDEX(Scoring!$AJ$29:$AJ$361,MATCH($O68,Scoring!$AB$29:$AB$361,0)))</f>
        <v>High price · lower volume</v>
      </c>
      <c r="F68" s="6" t="str">
        <f aca="false">IF($O68="","",INDEX(Scoring!$B$29:$B$361,MATCH($O68,Scoring!$AB$29:$AB$361,0)))</f>
        <v>Carboprost</v>
      </c>
      <c r="G68" s="7" t="str">
        <f aca="false">IF($O68="","",INDEX(Scoring!$AG$29:$AG$361,MATCH($O68,Scoring!$AB$29:$AB$361,0)))</f>
        <v>Carboprost Tromethamine; Carboprost Dr. Reddy's</v>
      </c>
      <c r="H68" s="7" t="str">
        <f aca="false">IF($O68="","",INDEX(Scoring!$C$29:$C$361,MATCH($O68,Scoring!$AB$29:$AB$361,0)))</f>
        <v>Women's health: postpartum haemorrhage, pregnancy termination</v>
      </c>
      <c r="I68" s="6" t="str">
        <f aca="false">IF($O68="","",INDEX(Scoring!$I$29:$I$361,MATCH($O68,Scoring!$AB$29:$AB$361,0)))</f>
        <v>Vial, Prefilled syringe</v>
      </c>
      <c r="J68" s="7" t="str">
        <f aca="false">IF($O68="","",INDEX(Scoring!$Z$29:$Z$361,MATCH($O68,Scoring!$AB$29:$AB$361,0)))</f>
        <v>0.25 mg/1 mL pre-filled syringe; 250 mcg/1 mL vial</v>
      </c>
      <c r="K68" s="8" t="n">
        <f aca="false">IF($O68="","",IF(INDEX(Scoring!$D$29:$D$361,MATCH($O68,Scoring!$AB$29:$AB$361,0))="",INDEX(Scoring!$AF$29:$AF$361,MATCH($O68,Scoring!$AB$29:$AB$361,0)),INDEX(Scoring!$D$29:$D$361,MATCH($O68,Scoring!$AB$29:$AB$361,0))))</f>
        <v>127.38</v>
      </c>
      <c r="L68" s="9" t="n">
        <f aca="false">IF($O68="","",INDEX(Scoring!$M$29:$M$361,MATCH($O68,Scoring!$AB$29:$AB$361,0)))</f>
        <v>143</v>
      </c>
      <c r="M68" s="9" t="n">
        <f aca="false">IF($O68="","",INDEX(Scoring!$F$29:$F$361,MATCH($O68,Scoring!$AB$29:$AB$361,0)))</f>
        <v>3625.3</v>
      </c>
      <c r="N68" s="7" t="str">
        <f aca="false">IF($O68="","",INDEX(Scoring!$AI$29:$AI$361,MATCH($O68,Scoring!$AB$29:$AB$361,0)))</f>
        <v>US, Australia</v>
      </c>
      <c r="O68" s="10" t="n">
        <f aca="false">IFERROR(SMALL(Scoring!$AB$29:$AB$361,64),"")</f>
        <v>3006</v>
      </c>
    </row>
    <row r="69" customFormat="false" ht="28.35" hidden="false" customHeight="false" outlineLevel="0" collapsed="false">
      <c r="A69" s="5" t="n">
        <f aca="false">IF($O69="","",INT($O69/1000))</f>
        <v>3</v>
      </c>
      <c r="B69" s="6" t="str">
        <f aca="false">IF($O69="","",INDEX(Scoring!$A$29:$A$361,MATCH($O69,Scoring!$AB$29:$AB$361,0)))</f>
        <v>Dr. Reddy's</v>
      </c>
      <c r="C69" s="5" t="n">
        <f aca="false">IF($O69="","",IF(INDEX(Scoring!$P$29:$P$361,MATCH($O69,Scoring!$AB$29:$AB$361,0))="","–",INDEX(Scoring!$P$29:$P$361,MATCH($O69,Scoring!$AB$29:$AB$361,0))))</f>
        <v>7</v>
      </c>
      <c r="D69" s="6" t="str">
        <f aca="false">IF($O69="","",INDEX(Scoring!$Q$29:$Q$361,MATCH($O69,Scoring!$AB$29:$AB$361,0)))</f>
        <v>Priority 2</v>
      </c>
      <c r="E69" s="7" t="str">
        <f aca="false">IF($O69="","",INDEX(Scoring!$AJ$29:$AJ$361,MATCH($O69,Scoring!$AB$29:$AB$361,0)))</f>
        <v>Lower price · high volume</v>
      </c>
      <c r="F69" s="6" t="str">
        <f aca="false">IF($O69="","",INDEX(Scoring!$B$29:$B$361,MATCH($O69,Scoring!$AB$29:$AB$361,0)))</f>
        <v>Succinylcholine (Suxamethonium)</v>
      </c>
      <c r="G69" s="7" t="str">
        <f aca="false">IF($O69="","",INDEX(Scoring!$AG$29:$AG$361,MATCH($O69,Scoring!$AB$29:$AB$361,0)))</f>
        <v>Succinylcholine Chloride</v>
      </c>
      <c r="H69" s="7" t="str">
        <f aca="false">IF($O69="","",INDEX(Scoring!$C$29:$C$361,MATCH($O69,Scoring!$AB$29:$AB$361,0)))</f>
        <v>Anaesthesia: muscle relaxant for rapid intubation</v>
      </c>
      <c r="I69" s="6" t="str">
        <f aca="false">IF($O69="","",INDEX(Scoring!$I$29:$I$361,MATCH($O69,Scoring!$AB$29:$AB$361,0)))</f>
        <v>Vial</v>
      </c>
      <c r="J69" s="7" t="str">
        <f aca="false">IF($O69="","",INDEX(Scoring!$Z$29:$Z$361,MATCH($O69,Scoring!$AB$29:$AB$361,0)))</f>
        <v>200 mg/10 mL vial</v>
      </c>
      <c r="K69" s="8" t="n">
        <f aca="false">IF($O69="","",IF(INDEX(Scoring!$D$29:$D$361,MATCH($O69,Scoring!$AB$29:$AB$361,0))="",INDEX(Scoring!$AF$29:$AF$361,MATCH($O69,Scoring!$AB$29:$AB$361,0)),INDEX(Scoring!$D$29:$D$361,MATCH($O69,Scoring!$AB$29:$AB$361,0))))</f>
        <v>22.76</v>
      </c>
      <c r="L69" s="9" t="n">
        <f aca="false">IF($O69="","",INDEX(Scoring!$M$29:$M$361,MATCH($O69,Scoring!$AB$29:$AB$361,0)))</f>
        <v>286</v>
      </c>
      <c r="M69" s="9" t="n">
        <f aca="false">IF($O69="","",INDEX(Scoring!$F$29:$F$361,MATCH($O69,Scoring!$AB$29:$AB$361,0)))</f>
        <v>3067.4</v>
      </c>
      <c r="N69" s="7" t="str">
        <f aca="false">IF($O69="","",INDEX(Scoring!$AI$29:$AI$361,MATCH($O69,Scoring!$AB$29:$AB$361,0)))</f>
        <v>US, Canada</v>
      </c>
      <c r="O69" s="10" t="n">
        <f aca="false">IFERROR(SMALL(Scoring!$AB$29:$AB$361,65),"")</f>
        <v>3007</v>
      </c>
    </row>
    <row r="70" customFormat="false" ht="28.35" hidden="false" customHeight="false" outlineLevel="0" collapsed="false">
      <c r="A70" s="5" t="n">
        <f aca="false">IF($O70="","",INT($O70/1000))</f>
        <v>3</v>
      </c>
      <c r="B70" s="6" t="str">
        <f aca="false">IF($O70="","",INDEX(Scoring!$A$29:$A$361,MATCH($O70,Scoring!$AB$29:$AB$361,0)))</f>
        <v>Dr. Reddy's</v>
      </c>
      <c r="C70" s="5" t="n">
        <f aca="false">IF($O70="","",IF(INDEX(Scoring!$P$29:$P$361,MATCH($O70,Scoring!$AB$29:$AB$361,0))="","–",INDEX(Scoring!$P$29:$P$361,MATCH($O70,Scoring!$AB$29:$AB$361,0))))</f>
        <v>8</v>
      </c>
      <c r="D70" s="6" t="str">
        <f aca="false">IF($O70="","",INDEX(Scoring!$Q$29:$Q$361,MATCH($O70,Scoring!$AB$29:$AB$361,0)))</f>
        <v>Priority 2</v>
      </c>
      <c r="E70" s="7" t="str">
        <f aca="false">IF($O70="","",INDEX(Scoring!$AJ$29:$AJ$361,MATCH($O70,Scoring!$AB$29:$AB$361,0)))</f>
        <v>Lower price · high volume</v>
      </c>
      <c r="F70" s="6" t="str">
        <f aca="false">IF($O70="","",INDEX(Scoring!$B$29:$B$361,MATCH($O70,Scoring!$AB$29:$AB$361,0)))</f>
        <v>Neostigmine</v>
      </c>
      <c r="G70" s="7" t="str">
        <f aca="false">IF($O70="","",INDEX(Scoring!$AG$29:$AG$361,MATCH($O70,Scoring!$AB$29:$AB$361,0)))</f>
        <v>Neostigmine Methylsulfate</v>
      </c>
      <c r="H70" s="7" t="str">
        <f aca="false">IF($O70="","",INDEX(Scoring!$C$29:$C$361,MATCH($O70,Scoring!$AB$29:$AB$361,0)))</f>
        <v>Anaesthesia and neurology: reversal of muscle relaxants after surgery, myasthenia gravis</v>
      </c>
      <c r="I70" s="6" t="str">
        <f aca="false">IF($O70="","",INDEX(Scoring!$I$29:$I$361,MATCH($O70,Scoring!$AB$29:$AB$361,0)))</f>
        <v>Vial, Prefilled syringe</v>
      </c>
      <c r="J70" s="7" t="str">
        <f aca="false">IF($O70="","",INDEX(Scoring!$Z$29:$Z$361,MATCH($O70,Scoring!$AB$29:$AB$361,0)))</f>
        <v>3 mg/3 mL pre-filled syringe; 5 mg/10 mL vial; 10 mg/10 mL vial</v>
      </c>
      <c r="K70" s="8" t="n">
        <f aca="false">IF($O70="","",IF(INDEX(Scoring!$D$29:$D$361,MATCH($O70,Scoring!$AB$29:$AB$361,0))="",INDEX(Scoring!$AF$29:$AF$361,MATCH($O70,Scoring!$AB$29:$AB$361,0)),INDEX(Scoring!$D$29:$D$361,MATCH($O70,Scoring!$AB$29:$AB$361,0))))</f>
        <v>17.79</v>
      </c>
      <c r="L70" s="9" t="n">
        <f aca="false">IF($O70="","",INDEX(Scoring!$M$29:$M$361,MATCH($O70,Scoring!$AB$29:$AB$361,0)))</f>
        <v>234</v>
      </c>
      <c r="M70" s="9" t="n">
        <f aca="false">IF($O70="","",INDEX(Scoring!$F$29:$F$361,MATCH($O70,Scoring!$AB$29:$AB$361,0)))</f>
        <v>1830.5</v>
      </c>
      <c r="N70" s="7" t="str">
        <f aca="false">IF($O70="","",INDEX(Scoring!$AI$29:$AI$361,MATCH($O70,Scoring!$AB$29:$AB$361,0)))</f>
        <v>US</v>
      </c>
      <c r="O70" s="10" t="n">
        <f aca="false">IFERROR(SMALL(Scoring!$AB$29:$AB$361,66),"")</f>
        <v>3008</v>
      </c>
    </row>
    <row r="71" customFormat="false" ht="41.75" hidden="false" customHeight="false" outlineLevel="0" collapsed="false">
      <c r="A71" s="5" t="n">
        <f aca="false">IF($O71="","",INT($O71/1000))</f>
        <v>3</v>
      </c>
      <c r="B71" s="6" t="str">
        <f aca="false">IF($O71="","",INDEX(Scoring!$A$29:$A$361,MATCH($O71,Scoring!$AB$29:$AB$361,0)))</f>
        <v>Dr. Reddy's</v>
      </c>
      <c r="C71" s="5" t="n">
        <f aca="false">IF($O71="","",IF(INDEX(Scoring!$P$29:$P$361,MATCH($O71,Scoring!$AB$29:$AB$361,0))="","–",INDEX(Scoring!$P$29:$P$361,MATCH($O71,Scoring!$AB$29:$AB$361,0))))</f>
        <v>9</v>
      </c>
      <c r="D71" s="6" t="str">
        <f aca="false">IF($O71="","",INDEX(Scoring!$Q$29:$Q$361,MATCH($O71,Scoring!$AB$29:$AB$361,0)))</f>
        <v>Priority 2</v>
      </c>
      <c r="E71" s="7" t="str">
        <f aca="false">IF($O71="","",INDEX(Scoring!$AJ$29:$AJ$361,MATCH($O71,Scoring!$AB$29:$AB$361,0)))</f>
        <v>High price · lower volume</v>
      </c>
      <c r="F71" s="6" t="str">
        <f aca="false">IF($O71="","",INDEX(Scoring!$B$29:$B$361,MATCH($O71,Scoring!$AB$29:$AB$361,0)))</f>
        <v>Desmopressin</v>
      </c>
      <c r="G71" s="7" t="str">
        <f aca="false">IF($O71="","",INDEX(Scoring!$AG$29:$AG$361,MATCH($O71,Scoring!$AB$29:$AB$361,0)))</f>
        <v>Desmopressin Acetate</v>
      </c>
      <c r="H71" s="7" t="str">
        <f aca="false">IF($O71="","",INDEX(Scoring!$C$29:$C$361,MATCH($O71,Scoring!$AB$29:$AB$361,0)))</f>
        <v>Endocrinology and haematology: diabetes insipidus, haemophilia A, von Willebrand disease</v>
      </c>
      <c r="I71" s="6" t="str">
        <f aca="false">IF($O71="","",INDEX(Scoring!$I$29:$I$361,MATCH($O71,Scoring!$AB$29:$AB$361,0)))</f>
        <v>Vial</v>
      </c>
      <c r="J71" s="7" t="str">
        <f aca="false">IF($O71="","",INDEX(Scoring!$Z$29:$Z$361,MATCH($O71,Scoring!$AB$29:$AB$361,0)))</f>
        <v>0.04 mg/10 mL vial</v>
      </c>
      <c r="K71" s="8" t="n">
        <f aca="false">IF($O71="","",IF(INDEX(Scoring!$D$29:$D$361,MATCH($O71,Scoring!$AB$29:$AB$361,0))="",INDEX(Scoring!$AF$29:$AF$361,MATCH($O71,Scoring!$AB$29:$AB$361,0)),INDEX(Scoring!$D$29:$D$361,MATCH($O71,Scoring!$AB$29:$AB$361,0))))</f>
        <v>133.8</v>
      </c>
      <c r="L71" s="9" t="n">
        <f aca="false">IF($O71="","",INDEX(Scoring!$M$29:$M$361,MATCH($O71,Scoring!$AB$29:$AB$361,0)))</f>
        <v>40</v>
      </c>
      <c r="M71" s="9" t="n">
        <f aca="false">IF($O71="","",INDEX(Scoring!$F$29:$F$361,MATCH($O71,Scoring!$AB$29:$AB$361,0)))</f>
        <v>543</v>
      </c>
      <c r="N71" s="7" t="str">
        <f aca="false">IF($O71="","",INDEX(Scoring!$AI$29:$AI$361,MATCH($O71,Scoring!$AB$29:$AB$361,0)))</f>
        <v>US</v>
      </c>
      <c r="O71" s="10" t="n">
        <f aca="false">IFERROR(SMALL(Scoring!$AB$29:$AB$361,67),"")</f>
        <v>3009</v>
      </c>
    </row>
    <row r="72" customFormat="false" ht="28.35" hidden="false" customHeight="false" outlineLevel="0" collapsed="false">
      <c r="A72" s="5" t="n">
        <f aca="false">IF($O72="","",INT($O72/1000))</f>
        <v>3</v>
      </c>
      <c r="B72" s="6" t="str">
        <f aca="false">IF($O72="","",INDEX(Scoring!$A$29:$A$361,MATCH($O72,Scoring!$AB$29:$AB$361,0)))</f>
        <v>Dr. Reddy's</v>
      </c>
      <c r="C72" s="5" t="n">
        <f aca="false">IF($O72="","",IF(INDEX(Scoring!$P$29:$P$361,MATCH($O72,Scoring!$AB$29:$AB$361,0))="","–",INDEX(Scoring!$P$29:$P$361,MATCH($O72,Scoring!$AB$29:$AB$361,0))))</f>
        <v>10</v>
      </c>
      <c r="D72" s="6" t="str">
        <f aca="false">IF($O72="","",INDEX(Scoring!$Q$29:$Q$361,MATCH($O72,Scoring!$AB$29:$AB$361,0)))</f>
        <v>Priority 3</v>
      </c>
      <c r="E72" s="7" t="str">
        <f aca="false">IF($O72="","",INDEX(Scoring!$AJ$29:$AJ$361,MATCH($O72,Scoring!$AB$29:$AB$361,0)))</f>
        <v>Lower price · lower volume</v>
      </c>
      <c r="F72" s="6" t="str">
        <f aca="false">IF($O72="","",INDEX(Scoring!$B$29:$B$361,MATCH($O72,Scoring!$AB$29:$AB$361,0)))</f>
        <v>Ephedrine</v>
      </c>
      <c r="G72" s="7" t="str">
        <f aca="false">IF($O72="","",INDEX(Scoring!$AG$29:$AG$361,MATCH($O72,Scoring!$AB$29:$AB$361,0)))</f>
        <v>Ephedrine Sulfate</v>
      </c>
      <c r="H72" s="7" t="str">
        <f aca="false">IF($O72="","",INDEX(Scoring!$C$29:$C$361,MATCH($O72,Scoring!$AB$29:$AB$361,0)))</f>
        <v>Anaesthesia: low blood pressure during spinal anaesthesia and caesarean section</v>
      </c>
      <c r="I72" s="6" t="str">
        <f aca="false">IF($O72="","",INDEX(Scoring!$I$29:$I$361,MATCH($O72,Scoring!$AB$29:$AB$361,0)))</f>
        <v>Vial</v>
      </c>
      <c r="J72" s="7" t="str">
        <f aca="false">IF($O72="","",INDEX(Scoring!$Z$29:$Z$361,MATCH($O72,Scoring!$AB$29:$AB$361,0)))</f>
        <v>50 mg/1 mL vial</v>
      </c>
      <c r="K72" s="8" t="n">
        <f aca="false">IF($O72="","",IF(INDEX(Scoring!$D$29:$D$361,MATCH($O72,Scoring!$AB$29:$AB$361,0))="",INDEX(Scoring!$AF$29:$AF$361,MATCH($O72,Scoring!$AB$29:$AB$361,0)),INDEX(Scoring!$D$29:$D$361,MATCH($O72,Scoring!$AB$29:$AB$361,0))))</f>
        <v>5.35</v>
      </c>
      <c r="L72" s="9" t="n">
        <f aca="false">IF($O72="","",INDEX(Scoring!$M$29:$M$361,MATCH($O72,Scoring!$AB$29:$AB$361,0)))</f>
        <v>49</v>
      </c>
      <c r="M72" s="9" t="n">
        <f aca="false">IF($O72="","",INDEX(Scoring!$F$29:$F$361,MATCH($O72,Scoring!$AB$29:$AB$361,0)))</f>
        <v>2937.3</v>
      </c>
      <c r="N72" s="7" t="str">
        <f aca="false">IF($O72="","",INDEX(Scoring!$AI$29:$AI$361,MATCH($O72,Scoring!$AB$29:$AB$361,0)))</f>
        <v>US</v>
      </c>
      <c r="O72" s="10" t="n">
        <f aca="false">IFERROR(SMALL(Scoring!$AB$29:$AB$361,68),"")</f>
        <v>3010</v>
      </c>
    </row>
    <row r="73" customFormat="false" ht="28.35" hidden="false" customHeight="false" outlineLevel="0" collapsed="false">
      <c r="A73" s="5" t="n">
        <f aca="false">IF($O73="","",INT($O73/1000))</f>
        <v>3</v>
      </c>
      <c r="B73" s="6" t="str">
        <f aca="false">IF($O73="","",INDEX(Scoring!$A$29:$A$361,MATCH($O73,Scoring!$AB$29:$AB$361,0)))</f>
        <v>Dr. Reddy's</v>
      </c>
      <c r="C73" s="5" t="n">
        <f aca="false">IF($O73="","",IF(INDEX(Scoring!$P$29:$P$361,MATCH($O73,Scoring!$AB$29:$AB$361,0))="","–",INDEX(Scoring!$P$29:$P$361,MATCH($O73,Scoring!$AB$29:$AB$361,0))))</f>
        <v>11</v>
      </c>
      <c r="D73" s="6" t="str">
        <f aca="false">IF($O73="","",INDEX(Scoring!$Q$29:$Q$361,MATCH($O73,Scoring!$AB$29:$AB$361,0)))</f>
        <v>Priority 3</v>
      </c>
      <c r="E73" s="7" t="str">
        <f aca="false">IF($O73="","",INDEX(Scoring!$AJ$29:$AJ$361,MATCH($O73,Scoring!$AB$29:$AB$361,0)))</f>
        <v>Lower price · lower volume</v>
      </c>
      <c r="F73" s="6" t="str">
        <f aca="false">IF($O73="","",INDEX(Scoring!$B$29:$B$361,MATCH($O73,Scoring!$AB$29:$AB$361,0)))</f>
        <v>Phytonadione</v>
      </c>
      <c r="G73" s="7" t="str">
        <f aca="false">IF($O73="","",INDEX(Scoring!$AG$29:$AG$361,MATCH($O73,Scoring!$AB$29:$AB$361,0)))</f>
        <v>Phytonadione</v>
      </c>
      <c r="H73" s="7" t="str">
        <f aca="false">IF($O73="","",INDEX(Scoring!$C$29:$C$361,MATCH($O73,Scoring!$AB$29:$AB$361,0)))</f>
        <v>Haematology: vitamin K for newborn bleeding prevention, warfarin reversal</v>
      </c>
      <c r="I73" s="6" t="str">
        <f aca="false">IF($O73="","",INDEX(Scoring!$I$29:$I$361,MATCH($O73,Scoring!$AB$29:$AB$361,0)))</f>
        <v>Ampoule</v>
      </c>
      <c r="J73" s="7" t="str">
        <f aca="false">IF($O73="","",INDEX(Scoring!$Z$29:$Z$361,MATCH($O73,Scoring!$AB$29:$AB$361,0)))</f>
        <v>1 mg/0.5 mL in 1 mL ampoule; 10 mg/1 mL ampoule</v>
      </c>
      <c r="K73" s="8" t="n">
        <f aca="false">IF($O73="","",IF(INDEX(Scoring!$D$29:$D$361,MATCH($O73,Scoring!$AB$29:$AB$361,0))="",INDEX(Scoring!$AF$29:$AF$361,MATCH($O73,Scoring!$AB$29:$AB$361,0)),INDEX(Scoring!$D$29:$D$361,MATCH($O73,Scoring!$AB$29:$AB$361,0))))</f>
        <v>16.96</v>
      </c>
      <c r="L73" s="9" t="n">
        <f aca="false">IF($O73="","",INDEX(Scoring!$M$29:$M$361,MATCH($O73,Scoring!$AB$29:$AB$361,0)))</f>
        <v>24</v>
      </c>
      <c r="M73" s="9" t="n">
        <f aca="false">IF($O73="","",INDEX(Scoring!$F$29:$F$361,MATCH($O73,Scoring!$AB$29:$AB$361,0)))</f>
        <v>2702.3</v>
      </c>
      <c r="N73" s="7" t="str">
        <f aca="false">IF($O73="","",INDEX(Scoring!$AI$29:$AI$361,MATCH($O73,Scoring!$AB$29:$AB$361,0)))</f>
        <v>US</v>
      </c>
      <c r="O73" s="10" t="n">
        <f aca="false">IFERROR(SMALL(Scoring!$AB$29:$AB$361,69),"")</f>
        <v>3011</v>
      </c>
    </row>
    <row r="74" customFormat="false" ht="28.35" hidden="false" customHeight="false" outlineLevel="0" collapsed="false">
      <c r="A74" s="5" t="n">
        <f aca="false">IF($O74="","",INT($O74/1000))</f>
        <v>3</v>
      </c>
      <c r="B74" s="6" t="str">
        <f aca="false">IF($O74="","",INDEX(Scoring!$A$29:$A$361,MATCH($O74,Scoring!$AB$29:$AB$361,0)))</f>
        <v>Dr. Reddy's</v>
      </c>
      <c r="C74" s="5" t="n">
        <f aca="false">IF($O74="","",IF(INDEX(Scoring!$P$29:$P$361,MATCH($O74,Scoring!$AB$29:$AB$361,0))="","–",INDEX(Scoring!$P$29:$P$361,MATCH($O74,Scoring!$AB$29:$AB$361,0))))</f>
        <v>12</v>
      </c>
      <c r="D74" s="6" t="str">
        <f aca="false">IF($O74="","",INDEX(Scoring!$Q$29:$Q$361,MATCH($O74,Scoring!$AB$29:$AB$361,0)))</f>
        <v>Priority 3</v>
      </c>
      <c r="E74" s="7" t="str">
        <f aca="false">IF($O74="","",INDEX(Scoring!$AJ$29:$AJ$361,MATCH($O74,Scoring!$AB$29:$AB$361,0)))</f>
        <v>Lower price · lower volume</v>
      </c>
      <c r="F74" s="6" t="str">
        <f aca="false">IF($O74="","",INDEX(Scoring!$B$29:$B$361,MATCH($O74,Scoring!$AB$29:$AB$361,0)))</f>
        <v>Naloxone</v>
      </c>
      <c r="G74" s="7" t="str">
        <f aca="false">IF($O74="","",INDEX(Scoring!$AG$29:$AG$361,MATCH($O74,Scoring!$AB$29:$AB$361,0)))</f>
        <v>Naloxone Hydrochloride</v>
      </c>
      <c r="H74" s="7" t="str">
        <f aca="false">IF($O74="","",INDEX(Scoring!$C$29:$C$361,MATCH($O74,Scoring!$AB$29:$AB$361,0)))</f>
        <v>Critical care: reversal of opioid overdose</v>
      </c>
      <c r="I74" s="6" t="str">
        <f aca="false">IF($O74="","",INDEX(Scoring!$I$29:$I$361,MATCH($O74,Scoring!$AB$29:$AB$361,0)))</f>
        <v>Prefilled syringe</v>
      </c>
      <c r="J74" s="7" t="str">
        <f aca="false">IF($O74="","",INDEX(Scoring!$Z$29:$Z$361,MATCH($O74,Scoring!$AB$29:$AB$361,0)))</f>
        <v>2 mg/2 mL pre-filled syringe</v>
      </c>
      <c r="K74" s="8" t="n">
        <f aca="false">IF($O74="","",IF(INDEX(Scoring!$D$29:$D$361,MATCH($O74,Scoring!$AB$29:$AB$361,0))="",INDEX(Scoring!$AF$29:$AF$361,MATCH($O74,Scoring!$AB$29:$AB$361,0)),INDEX(Scoring!$D$29:$D$361,MATCH($O74,Scoring!$AB$29:$AB$361,0))))</f>
        <v>13.87</v>
      </c>
      <c r="L74" s="9" t="n">
        <f aca="false">IF($O74="","",INDEX(Scoring!$M$29:$M$361,MATCH($O74,Scoring!$AB$29:$AB$361,0)))</f>
        <v>88</v>
      </c>
      <c r="M74" s="9" t="n">
        <f aca="false">IF($O74="","",INDEX(Scoring!$F$29:$F$361,MATCH($O74,Scoring!$AB$29:$AB$361,0)))</f>
        <v>1437.9</v>
      </c>
      <c r="N74" s="7" t="str">
        <f aca="false">IF($O74="","",INDEX(Scoring!$AI$29:$AI$361,MATCH($O74,Scoring!$AB$29:$AB$361,0)))</f>
        <v>US</v>
      </c>
      <c r="O74" s="10" t="n">
        <f aca="false">IFERROR(SMALL(Scoring!$AB$29:$AB$361,70),"")</f>
        <v>3012</v>
      </c>
    </row>
    <row r="75" customFormat="false" ht="28.35" hidden="false" customHeight="false" outlineLevel="0" collapsed="false">
      <c r="A75" s="5" t="n">
        <f aca="false">IF($O75="","",INT($O75/1000))</f>
        <v>3</v>
      </c>
      <c r="B75" s="6" t="str">
        <f aca="false">IF($O75="","",INDEX(Scoring!$A$29:$A$361,MATCH($O75,Scoring!$AB$29:$AB$361,0)))</f>
        <v>Dr. Reddy's</v>
      </c>
      <c r="C75" s="5" t="n">
        <f aca="false">IF($O75="","",IF(INDEX(Scoring!$P$29:$P$361,MATCH($O75,Scoring!$AB$29:$AB$361,0))="","–",INDEX(Scoring!$P$29:$P$361,MATCH($O75,Scoring!$AB$29:$AB$361,0))))</f>
        <v>13</v>
      </c>
      <c r="D75" s="6" t="str">
        <f aca="false">IF($O75="","",INDEX(Scoring!$Q$29:$Q$361,MATCH($O75,Scoring!$AB$29:$AB$361,0)))</f>
        <v>Priority 3</v>
      </c>
      <c r="E75" s="7" t="str">
        <f aca="false">IF($O75="","",INDEX(Scoring!$AJ$29:$AJ$361,MATCH($O75,Scoring!$AB$29:$AB$361,0)))</f>
        <v>Lower price · lower volume</v>
      </c>
      <c r="F75" s="6" t="str">
        <f aca="false">IF($O75="","",INDEX(Scoring!$B$29:$B$361,MATCH($O75,Scoring!$AB$29:$AB$361,0)))</f>
        <v>Diazepam</v>
      </c>
      <c r="G75" s="7" t="str">
        <f aca="false">IF($O75="","",INDEX(Scoring!$AG$29:$AG$361,MATCH($O75,Scoring!$AB$29:$AB$361,0)))</f>
        <v>Diazepam</v>
      </c>
      <c r="H75" s="7" t="str">
        <f aca="false">IF($O75="","",INDEX(Scoring!$C$29:$C$361,MATCH($O75,Scoring!$AB$29:$AB$361,0)))</f>
        <v>Neurology: status epilepticus, seizures, acute anxiety and sedation</v>
      </c>
      <c r="I75" s="6" t="str">
        <f aca="false">IF($O75="","",INDEX(Scoring!$I$29:$I$361,MATCH($O75,Scoring!$AB$29:$AB$361,0)))</f>
        <v>Prefilled syringe</v>
      </c>
      <c r="J75" s="7" t="str">
        <f aca="false">IF($O75="","",INDEX(Scoring!$Z$29:$Z$361,MATCH($O75,Scoring!$AB$29:$AB$361,0)))</f>
        <v>10 mg/2 mL pre-filled syringe</v>
      </c>
      <c r="K75" s="8" t="n">
        <f aca="false">IF($O75="","",IF(INDEX(Scoring!$D$29:$D$361,MATCH($O75,Scoring!$AB$29:$AB$361,0))="",INDEX(Scoring!$AF$29:$AF$361,MATCH($O75,Scoring!$AB$29:$AB$361,0)),INDEX(Scoring!$D$29:$D$361,MATCH($O75,Scoring!$AB$29:$AB$361,0))))</f>
        <v>10.14</v>
      </c>
      <c r="L75" s="9" t="n">
        <f aca="false">IF($O75="","",INDEX(Scoring!$M$29:$M$361,MATCH($O75,Scoring!$AB$29:$AB$361,0)))</f>
        <v>35</v>
      </c>
      <c r="M75" s="9" t="n">
        <f aca="false">IF($O75="","",INDEX(Scoring!$F$29:$F$361,MATCH($O75,Scoring!$AB$29:$AB$361,0)))</f>
        <v>1053.6</v>
      </c>
      <c r="N75" s="7" t="str">
        <f aca="false">IF($O75="","",INDEX(Scoring!$AI$29:$AI$361,MATCH($O75,Scoring!$AB$29:$AB$361,0)))</f>
        <v>US</v>
      </c>
      <c r="O75" s="10" t="n">
        <f aca="false">IFERROR(SMALL(Scoring!$AB$29:$AB$361,71),"")</f>
        <v>3013</v>
      </c>
    </row>
    <row r="76" customFormat="false" ht="41.75" hidden="false" customHeight="false" outlineLevel="0" collapsed="false">
      <c r="A76" s="5" t="n">
        <f aca="false">IF($O76="","",INT($O76/1000))</f>
        <v>3</v>
      </c>
      <c r="B76" s="6" t="str">
        <f aca="false">IF($O76="","",INDEX(Scoring!$A$29:$A$361,MATCH($O76,Scoring!$AB$29:$AB$361,0)))</f>
        <v>Dr. Reddy's</v>
      </c>
      <c r="C76" s="5" t="str">
        <f aca="false">IF($O76="","",IF(INDEX(Scoring!$P$29:$P$361,MATCH($O76,Scoring!$AB$29:$AB$361,0))="","–",INDEX(Scoring!$P$29:$P$361,MATCH($O76,Scoring!$AB$29:$AB$361,0))))</f>
        <v>–</v>
      </c>
      <c r="D76" s="6" t="str">
        <f aca="false">IF($O76="","",INDEX(Scoring!$Q$29:$Q$361,MATCH($O76,Scoring!$AB$29:$AB$361,0)))</f>
        <v>Excluded – price ≤ $5</v>
      </c>
      <c r="E76" s="7" t="str">
        <f aca="false">IF($O76="","",INDEX(Scoring!$AJ$29:$AJ$361,MATCH($O76,Scoring!$AB$29:$AB$361,0)))</f>
        <v/>
      </c>
      <c r="F76" s="6" t="str">
        <f aca="false">IF($O76="","",INDEX(Scoring!$B$29:$B$361,MATCH($O76,Scoring!$AB$29:$AB$361,0)))</f>
        <v>Triamcinolone Acetonide</v>
      </c>
      <c r="G76" s="7" t="str">
        <f aca="false">IF($O76="","",INDEX(Scoring!$AG$29:$AG$361,MATCH($O76,Scoring!$AB$29:$AB$361,0)))</f>
        <v>Triamcinolone Acetonide</v>
      </c>
      <c r="H76" s="7" t="str">
        <f aca="false">IF($O76="","",INDEX(Scoring!$C$29:$C$361,MATCH($O76,Scoring!$AB$29:$AB$361,0)))</f>
        <v>Musculoskeletal and immunology: joint and soft-tissue injections, allergic and skin conditions</v>
      </c>
      <c r="I76" s="6" t="str">
        <f aca="false">IF($O76="","",INDEX(Scoring!$I$29:$I$361,MATCH($O76,Scoring!$AB$29:$AB$361,0)))</f>
        <v>Not stated</v>
      </c>
      <c r="J76" s="7" t="str">
        <f aca="false">IF($O76="","",INDEX(Scoring!$Z$29:$Z$361,MATCH($O76,Scoring!$AB$29:$AB$361,0)))</f>
        <v>10 mg/mL (container not stated); 40 mg/mL (container not stated)</v>
      </c>
      <c r="K76" s="8" t="n">
        <f aca="false">IF($O76="","",IF(INDEX(Scoring!$D$29:$D$361,MATCH($O76,Scoring!$AB$29:$AB$361,0))="",INDEX(Scoring!$AF$29:$AF$361,MATCH($O76,Scoring!$AB$29:$AB$361,0)),INDEX(Scoring!$D$29:$D$361,MATCH($O76,Scoring!$AB$29:$AB$361,0))))</f>
        <v>3.55</v>
      </c>
      <c r="L76" s="9" t="n">
        <f aca="false">IF($O76="","",INDEX(Scoring!$M$29:$M$361,MATCH($O76,Scoring!$AB$29:$AB$361,0)))</f>
        <v>193</v>
      </c>
      <c r="M76" s="9" t="n">
        <f aca="false">IF($O76="","",INDEX(Scoring!$F$29:$F$361,MATCH($O76,Scoring!$AB$29:$AB$361,0)))</f>
        <v>4256.8</v>
      </c>
      <c r="N76" s="7" t="str">
        <f aca="false">IF($O76="","",INDEX(Scoring!$AI$29:$AI$361,MATCH($O76,Scoring!$AB$29:$AB$361,0)))</f>
        <v>US</v>
      </c>
      <c r="O76" s="10" t="n">
        <f aca="false">IFERROR(SMALL(Scoring!$AB$29:$AB$361,72),"")</f>
        <v>3901</v>
      </c>
    </row>
    <row r="77" customFormat="false" ht="28.35" hidden="false" customHeight="false" outlineLevel="0" collapsed="false">
      <c r="A77" s="5" t="n">
        <f aca="false">IF($O77="","",INT($O77/1000))</f>
        <v>4</v>
      </c>
      <c r="B77" s="6" t="str">
        <f aca="false">IF($O77="","",INDEX(Scoring!$A$29:$A$361,MATCH($O77,Scoring!$AB$29:$AB$361,0)))</f>
        <v>Cipla</v>
      </c>
      <c r="C77" s="5" t="n">
        <f aca="false">IF($O77="","",IF(INDEX(Scoring!$P$29:$P$361,MATCH($O77,Scoring!$AB$29:$AB$361,0))="","–",INDEX(Scoring!$P$29:$P$361,MATCH($O77,Scoring!$AB$29:$AB$361,0))))</f>
        <v>1</v>
      </c>
      <c r="D77" s="6" t="str">
        <f aca="false">IF($O77="","",INDEX(Scoring!$Q$29:$Q$361,MATCH($O77,Scoring!$AB$29:$AB$361,0)))</f>
        <v>Priority 1</v>
      </c>
      <c r="E77" s="7" t="str">
        <f aca="false">IF($O77="","",INDEX(Scoring!$AJ$29:$AJ$361,MATCH($O77,Scoring!$AB$29:$AB$361,0)))</f>
        <v>High price · high volume</v>
      </c>
      <c r="F77" s="6" t="str">
        <f aca="false">IF($O77="","",INDEX(Scoring!$B$29:$B$361,MATCH($O77,Scoring!$AB$29:$AB$361,0)))</f>
        <v>Bortezomib</v>
      </c>
      <c r="G77" s="7" t="str">
        <f aca="false">IF($O77="","",INDEX(Scoring!$AG$29:$AG$361,MATCH($O77,Scoring!$AB$29:$AB$361,0)))</f>
        <v>Onbort</v>
      </c>
      <c r="H77" s="7" t="str">
        <f aca="false">IF($O77="","",INDEX(Scoring!$C$29:$C$361,MATCH($O77,Scoring!$AB$29:$AB$361,0)))</f>
        <v>Oncology: multiple myeloma, mantle cell lymphoma</v>
      </c>
      <c r="I77" s="6" t="str">
        <f aca="false">IF($O77="","",INDEX(Scoring!$I$29:$I$361,MATCH($O77,Scoring!$AB$29:$AB$361,0)))</f>
        <v>Vial</v>
      </c>
      <c r="J77" s="7" t="str">
        <f aca="false">IF($O77="","",INDEX(Scoring!$Z$29:$Z$361,MATCH($O77,Scoring!$AB$29:$AB$361,0)))</f>
        <v>3.5 mg/1.4 mL vial</v>
      </c>
      <c r="K77" s="8" t="n">
        <f aca="false">IF($O77="","",IF(INDEX(Scoring!$D$29:$D$361,MATCH($O77,Scoring!$AB$29:$AB$361,0))="",INDEX(Scoring!$AF$29:$AF$361,MATCH($O77,Scoring!$AB$29:$AB$361,0)),INDEX(Scoring!$D$29:$D$361,MATCH($O77,Scoring!$AB$29:$AB$361,0))))</f>
        <v>163.29</v>
      </c>
      <c r="L77" s="9" t="n">
        <f aca="false">IF($O77="","",INDEX(Scoring!$M$29:$M$361,MATCH($O77,Scoring!$AB$29:$AB$361,0)))</f>
        <v>905</v>
      </c>
      <c r="M77" s="9" t="n">
        <f aca="false">IF($O77="","",INDEX(Scoring!$F$29:$F$361,MATCH($O77,Scoring!$AB$29:$AB$361,0)))</f>
        <v>28093.4</v>
      </c>
      <c r="N77" s="7" t="str">
        <f aca="false">IF($O77="","",INDEX(Scoring!$AI$29:$AI$361,MATCH($O77,Scoring!$AB$29:$AB$361,0)))</f>
        <v>South Africa</v>
      </c>
      <c r="O77" s="10" t="n">
        <f aca="false">IFERROR(SMALL(Scoring!$AB$29:$AB$361,73),"")</f>
        <v>4001</v>
      </c>
    </row>
    <row r="78" customFormat="false" ht="28.35" hidden="false" customHeight="false" outlineLevel="0" collapsed="false">
      <c r="A78" s="5" t="n">
        <f aca="false">IF($O78="","",INT($O78/1000))</f>
        <v>4</v>
      </c>
      <c r="B78" s="6" t="str">
        <f aca="false">IF($O78="","",INDEX(Scoring!$A$29:$A$361,MATCH($O78,Scoring!$AB$29:$AB$361,0)))</f>
        <v>Cipla</v>
      </c>
      <c r="C78" s="5" t="n">
        <f aca="false">IF($O78="","",IF(INDEX(Scoring!$P$29:$P$361,MATCH($O78,Scoring!$AB$29:$AB$361,0))="","–",INDEX(Scoring!$P$29:$P$361,MATCH($O78,Scoring!$AB$29:$AB$361,0))))</f>
        <v>2</v>
      </c>
      <c r="D78" s="6" t="str">
        <f aca="false">IF($O78="","",INDEX(Scoring!$Q$29:$Q$361,MATCH($O78,Scoring!$AB$29:$AB$361,0)))</f>
        <v>Priority 1</v>
      </c>
      <c r="E78" s="7" t="str">
        <f aca="false">IF($O78="","",INDEX(Scoring!$AJ$29:$AJ$361,MATCH($O78,Scoring!$AB$29:$AB$361,0)))</f>
        <v>High price · high volume</v>
      </c>
      <c r="F78" s="6" t="str">
        <f aca="false">IF($O78="","",INDEX(Scoring!$B$29:$B$361,MATCH($O78,Scoring!$AB$29:$AB$361,0)))</f>
        <v>Fulvestrant</v>
      </c>
      <c r="G78" s="7" t="str">
        <f aca="false">IF($O78="","",INDEX(Scoring!$AG$29:$AG$361,MATCH($O78,Scoring!$AB$29:$AB$361,0)))</f>
        <v>Fulvestrant Cipla</v>
      </c>
      <c r="H78" s="7" t="str">
        <f aca="false">IF($O78="","",INDEX(Scoring!$C$29:$C$361,MATCH($O78,Scoring!$AB$29:$AB$361,0)))</f>
        <v>Oncology: hormone receptor-positive advanced breast cancer</v>
      </c>
      <c r="I78" s="6" t="str">
        <f aca="false">IF($O78="","",INDEX(Scoring!$I$29:$I$361,MATCH($O78,Scoring!$AB$29:$AB$361,0)))</f>
        <v>Prefilled syringe</v>
      </c>
      <c r="J78" s="7" t="str">
        <f aca="false">IF($O78="","",INDEX(Scoring!$Z$29:$Z$361,MATCH($O78,Scoring!$AB$29:$AB$361,0)))</f>
        <v>250 mg/5 mL pre-filled syringe</v>
      </c>
      <c r="K78" s="8" t="n">
        <f aca="false">IF($O78="","",IF(INDEX(Scoring!$D$29:$D$361,MATCH($O78,Scoring!$AB$29:$AB$361,0))="",INDEX(Scoring!$AF$29:$AF$361,MATCH($O78,Scoring!$AB$29:$AB$361,0)),INDEX(Scoring!$D$29:$D$361,MATCH($O78,Scoring!$AB$29:$AB$361,0))))</f>
        <v>531.87</v>
      </c>
      <c r="L78" s="9" t="n">
        <f aca="false">IF($O78="","",INDEX(Scoring!$M$29:$M$361,MATCH($O78,Scoring!$AB$29:$AB$361,0)))</f>
        <v>146</v>
      </c>
      <c r="M78" s="9" t="n">
        <f aca="false">IF($O78="","",INDEX(Scoring!$F$29:$F$361,MATCH($O78,Scoring!$AB$29:$AB$361,0)))</f>
        <v>11366.1</v>
      </c>
      <c r="N78" s="7" t="str">
        <f aca="false">IF($O78="","",INDEX(Scoring!$AI$29:$AI$361,MATCH($O78,Scoring!$AB$29:$AB$361,0)))</f>
        <v>EU/EEA (1): Germany</v>
      </c>
      <c r="O78" s="10" t="n">
        <f aca="false">IFERROR(SMALL(Scoring!$AB$29:$AB$361,74),"")</f>
        <v>4002</v>
      </c>
    </row>
    <row r="79" customFormat="false" ht="28.35" hidden="false" customHeight="false" outlineLevel="0" collapsed="false">
      <c r="A79" s="5" t="n">
        <f aca="false">IF($O79="","",INT($O79/1000))</f>
        <v>4</v>
      </c>
      <c r="B79" s="6" t="str">
        <f aca="false">IF($O79="","",INDEX(Scoring!$A$29:$A$361,MATCH($O79,Scoring!$AB$29:$AB$361,0)))</f>
        <v>Cipla</v>
      </c>
      <c r="C79" s="5" t="n">
        <f aca="false">IF($O79="","",IF(INDEX(Scoring!$P$29:$P$361,MATCH($O79,Scoring!$AB$29:$AB$361,0))="","–",INDEX(Scoring!$P$29:$P$361,MATCH($O79,Scoring!$AB$29:$AB$361,0))))</f>
        <v>3</v>
      </c>
      <c r="D79" s="6" t="str">
        <f aca="false">IF($O79="","",INDEX(Scoring!$Q$29:$Q$361,MATCH($O79,Scoring!$AB$29:$AB$361,0)))</f>
        <v>Priority 1</v>
      </c>
      <c r="E79" s="7" t="str">
        <f aca="false">IF($O79="","",INDEX(Scoring!$AJ$29:$AJ$361,MATCH($O79,Scoring!$AB$29:$AB$361,0)))</f>
        <v>High price · high volume</v>
      </c>
      <c r="F79" s="6" t="str">
        <f aca="false">IF($O79="","",INDEX(Scoring!$B$29:$B$361,MATCH($O79,Scoring!$AB$29:$AB$361,0)))</f>
        <v>Bleomycin</v>
      </c>
      <c r="G79" s="7" t="str">
        <f aca="false">IF($O79="","",INDEX(Scoring!$AG$29:$AG$361,MATCH($O79,Scoring!$AB$29:$AB$361,0)))</f>
        <v>Cipla Bleomycin 15K; Cipla Bleomycin</v>
      </c>
      <c r="H79" s="7" t="str">
        <f aca="false">IF($O79="","",INDEX(Scoring!$C$29:$C$361,MATCH($O79,Scoring!$AB$29:$AB$361,0)))</f>
        <v>Oncology: Hodgkin lymphoma, testicular and squamous cell cancers</v>
      </c>
      <c r="I79" s="6" t="str">
        <f aca="false">IF($O79="","",INDEX(Scoring!$I$29:$I$361,MATCH($O79,Scoring!$AB$29:$AB$361,0)))</f>
        <v>Vial</v>
      </c>
      <c r="J79" s="7" t="str">
        <f aca="false">IF($O79="","",INDEX(Scoring!$Z$29:$Z$361,MATCH($O79,Scoring!$AB$29:$AB$361,0)))</f>
        <v>15000 IU powder vial; 15 units (15000 IU) in 5 mL powder vial</v>
      </c>
      <c r="K79" s="8" t="n">
        <f aca="false">IF($O79="","",IF(INDEX(Scoring!$D$29:$D$361,MATCH($O79,Scoring!$AB$29:$AB$361,0))="",INDEX(Scoring!$AF$29:$AF$361,MATCH($O79,Scoring!$AB$29:$AB$361,0)),INDEX(Scoring!$D$29:$D$361,MATCH($O79,Scoring!$AB$29:$AB$361,0))))</f>
        <v>41.27</v>
      </c>
      <c r="L79" s="9" t="n">
        <f aca="false">IF($O79="","",INDEX(Scoring!$M$29:$M$361,MATCH($O79,Scoring!$AB$29:$AB$361,0)))</f>
        <v>441</v>
      </c>
      <c r="M79" s="9" t="n">
        <f aca="false">IF($O79="","",INDEX(Scoring!$F$29:$F$361,MATCH($O79,Scoring!$AB$29:$AB$361,0)))</f>
        <v>3973.7</v>
      </c>
      <c r="N79" s="7" t="str">
        <f aca="false">IF($O79="","",INDEX(Scoring!$AI$29:$AI$361,MATCH($O79,Scoring!$AB$29:$AB$361,0)))</f>
        <v>Australia, South Africa</v>
      </c>
      <c r="O79" s="10" t="n">
        <f aca="false">IFERROR(SMALL(Scoring!$AB$29:$AB$361,75),"")</f>
        <v>4003</v>
      </c>
    </row>
    <row r="80" customFormat="false" ht="28.35" hidden="false" customHeight="false" outlineLevel="0" collapsed="false">
      <c r="A80" s="5" t="n">
        <f aca="false">IF($O80="","",INT($O80/1000))</f>
        <v>4</v>
      </c>
      <c r="B80" s="6" t="str">
        <f aca="false">IF($O80="","",INDEX(Scoring!$A$29:$A$361,MATCH($O80,Scoring!$AB$29:$AB$361,0)))</f>
        <v>Cipla</v>
      </c>
      <c r="C80" s="5" t="n">
        <f aca="false">IF($O80="","",IF(INDEX(Scoring!$P$29:$P$361,MATCH($O80,Scoring!$AB$29:$AB$361,0))="","–",INDEX(Scoring!$P$29:$P$361,MATCH($O80,Scoring!$AB$29:$AB$361,0))))</f>
        <v>4</v>
      </c>
      <c r="D80" s="6" t="str">
        <f aca="false">IF($O80="","",INDEX(Scoring!$Q$29:$Q$361,MATCH($O80,Scoring!$AB$29:$AB$361,0)))</f>
        <v>Priority 2</v>
      </c>
      <c r="E80" s="7" t="str">
        <f aca="false">IF($O80="","",INDEX(Scoring!$AJ$29:$AJ$361,MATCH($O80,Scoring!$AB$29:$AB$361,0)))</f>
        <v>Lower price · high volume</v>
      </c>
      <c r="F80" s="6" t="str">
        <f aca="false">IF($O80="","",INDEX(Scoring!$B$29:$B$361,MATCH($O80,Scoring!$AB$29:$AB$361,0)))</f>
        <v>Measles Vaccine</v>
      </c>
      <c r="G80" s="7" t="str">
        <f aca="false">IF($O80="","",INDEX(Scoring!$AG$29:$AG$361,MATCH($O80,Scoring!$AB$29:$AB$361,0)))</f>
        <v>Measles Vaccine Cipla</v>
      </c>
      <c r="H80" s="7" t="str">
        <f aca="false">IF($O80="","",INDEX(Scoring!$C$29:$C$361,MATCH($O80,Scoring!$AB$29:$AB$361,0)))</f>
        <v>Vaccines: childhood measles immunisation</v>
      </c>
      <c r="I80" s="6" t="str">
        <f aca="false">IF($O80="","",INDEX(Scoring!$I$29:$I$361,MATCH($O80,Scoring!$AB$29:$AB$361,0)))</f>
        <v>Vial</v>
      </c>
      <c r="J80" s="7" t="str">
        <f aca="false">IF($O80="","",INDEX(Scoring!$Z$29:$Z$361,MATCH($O80,Scoring!$AB$29:$AB$361,0)))</f>
        <v>1000 CCID50/0.5 mL vial</v>
      </c>
      <c r="K80" s="8" t="n">
        <f aca="false">IF($O80="","",IF(INDEX(Scoring!$D$29:$D$361,MATCH($O80,Scoring!$AB$29:$AB$361,0))="",INDEX(Scoring!$AF$29:$AF$361,MATCH($O80,Scoring!$AB$29:$AB$361,0)),INDEX(Scoring!$D$29:$D$361,MATCH($O80,Scoring!$AB$29:$AB$361,0))))</f>
        <v>9.55</v>
      </c>
      <c r="L80" s="9" t="n">
        <f aca="false">IF($O80="","",INDEX(Scoring!$M$29:$M$361,MATCH($O80,Scoring!$AB$29:$AB$361,0)))</f>
        <v>590</v>
      </c>
      <c r="M80" s="9" t="n">
        <f aca="false">IF($O80="","",INDEX(Scoring!$F$29:$F$361,MATCH($O80,Scoring!$AB$29:$AB$361,0)))</f>
        <v>417765.2</v>
      </c>
      <c r="N80" s="7" t="str">
        <f aca="false">IF($O80="","",INDEX(Scoring!$AI$29:$AI$361,MATCH($O80,Scoring!$AB$29:$AB$361,0)))</f>
        <v>South Africa</v>
      </c>
      <c r="O80" s="10" t="n">
        <f aca="false">IFERROR(SMALL(Scoring!$AB$29:$AB$361,76),"")</f>
        <v>4004</v>
      </c>
    </row>
    <row r="81" customFormat="false" ht="28.35" hidden="false" customHeight="false" outlineLevel="0" collapsed="false">
      <c r="A81" s="5" t="n">
        <f aca="false">IF($O81="","",INT($O81/1000))</f>
        <v>4</v>
      </c>
      <c r="B81" s="6" t="str">
        <f aca="false">IF($O81="","",INDEX(Scoring!$A$29:$A$361,MATCH($O81,Scoring!$AB$29:$AB$361,0)))</f>
        <v>Cipla</v>
      </c>
      <c r="C81" s="5" t="n">
        <f aca="false">IF($O81="","",IF(INDEX(Scoring!$P$29:$P$361,MATCH($O81,Scoring!$AB$29:$AB$361,0))="","–",INDEX(Scoring!$P$29:$P$361,MATCH($O81,Scoring!$AB$29:$AB$361,0))))</f>
        <v>5</v>
      </c>
      <c r="D81" s="6" t="str">
        <f aca="false">IF($O81="","",INDEX(Scoring!$Q$29:$Q$361,MATCH($O81,Scoring!$AB$29:$AB$361,0)))</f>
        <v>Priority 2</v>
      </c>
      <c r="E81" s="7" t="str">
        <f aca="false">IF($O81="","",INDEX(Scoring!$AJ$29:$AJ$361,MATCH($O81,Scoring!$AB$29:$AB$361,0)))</f>
        <v>Lower price · high volume</v>
      </c>
      <c r="F81" s="6" t="str">
        <f aca="false">IF($O81="","",INDEX(Scoring!$B$29:$B$361,MATCH($O81,Scoring!$AB$29:$AB$361,0)))</f>
        <v>Azacitidine</v>
      </c>
      <c r="G81" s="7" t="str">
        <f aca="false">IF($O81="","",INDEX(Scoring!$AG$29:$AG$361,MATCH($O81,Scoring!$AB$29:$AB$361,0)))</f>
        <v>Azacitidine Cipla</v>
      </c>
      <c r="H81" s="7" t="str">
        <f aca="false">IF($O81="","",INDEX(Scoring!$C$29:$C$361,MATCH($O81,Scoring!$AB$29:$AB$361,0)))</f>
        <v>Oncology: myelodysplastic syndromes, acute myeloid leukaemia</v>
      </c>
      <c r="I81" s="6" t="str">
        <f aca="false">IF($O81="","",INDEX(Scoring!$I$29:$I$361,MATCH($O81,Scoring!$AB$29:$AB$361,0)))</f>
        <v>Vial</v>
      </c>
      <c r="J81" s="7" t="str">
        <f aca="false">IF($O81="","",INDEX(Scoring!$Z$29:$Z$361,MATCH($O81,Scoring!$AB$29:$AB$361,0)))</f>
        <v>100 mg powder vial</v>
      </c>
      <c r="K81" s="8" t="n">
        <f aca="false">IF($O81="","",IF(INDEX(Scoring!$D$29:$D$361,MATCH($O81,Scoring!$AB$29:$AB$361,0))="",INDEX(Scoring!$AF$29:$AF$361,MATCH($O81,Scoring!$AB$29:$AB$361,0)),INDEX(Scoring!$D$29:$D$361,MATCH($O81,Scoring!$AB$29:$AB$361,0))))</f>
        <v>10.24</v>
      </c>
      <c r="L81" s="9" t="n">
        <f aca="false">IF($O81="","",INDEX(Scoring!$M$29:$M$361,MATCH($O81,Scoring!$AB$29:$AB$361,0)))</f>
        <v>632</v>
      </c>
      <c r="M81" s="9" t="n">
        <f aca="false">IF($O81="","",INDEX(Scoring!$F$29:$F$361,MATCH($O81,Scoring!$AB$29:$AB$361,0)))</f>
        <v>42181.7</v>
      </c>
      <c r="N81" s="7" t="str">
        <f aca="false">IF($O81="","",INDEX(Scoring!$AI$29:$AI$361,MATCH($O81,Scoring!$AB$29:$AB$361,0)))</f>
        <v>Australia</v>
      </c>
      <c r="O81" s="10" t="n">
        <f aca="false">IFERROR(SMALL(Scoring!$AB$29:$AB$361,77),"")</f>
        <v>4005</v>
      </c>
    </row>
    <row r="82" customFormat="false" ht="28.35" hidden="false" customHeight="false" outlineLevel="0" collapsed="false">
      <c r="A82" s="5" t="n">
        <f aca="false">IF($O82="","",INT($O82/1000))</f>
        <v>4</v>
      </c>
      <c r="B82" s="6" t="str">
        <f aca="false">IF($O82="","",INDEX(Scoring!$A$29:$A$361,MATCH($O82,Scoring!$AB$29:$AB$361,0)))</f>
        <v>Cipla</v>
      </c>
      <c r="C82" s="5" t="n">
        <f aca="false">IF($O82="","",IF(INDEX(Scoring!$P$29:$P$361,MATCH($O82,Scoring!$AB$29:$AB$361,0))="","–",INDEX(Scoring!$P$29:$P$361,MATCH($O82,Scoring!$AB$29:$AB$361,0))))</f>
        <v>6</v>
      </c>
      <c r="D82" s="6" t="str">
        <f aca="false">IF($O82="","",INDEX(Scoring!$Q$29:$Q$361,MATCH($O82,Scoring!$AB$29:$AB$361,0)))</f>
        <v>Priority 2</v>
      </c>
      <c r="E82" s="7" t="str">
        <f aca="false">IF($O82="","",INDEX(Scoring!$AJ$29:$AJ$361,MATCH($O82,Scoring!$AB$29:$AB$361,0)))</f>
        <v>Lower price · high volume</v>
      </c>
      <c r="F82" s="6" t="str">
        <f aca="false">IF($O82="","",INDEX(Scoring!$B$29:$B$361,MATCH($O82,Scoring!$AB$29:$AB$361,0)))</f>
        <v>Testosterone Cypionate</v>
      </c>
      <c r="G82" s="7" t="str">
        <f aca="false">IF($O82="","",INDEX(Scoring!$AG$29:$AG$361,MATCH($O82,Scoring!$AB$29:$AB$361,0)))</f>
        <v>Testosterone Cypionate</v>
      </c>
      <c r="H82" s="7" t="str">
        <f aca="false">IF($O82="","",INDEX(Scoring!$C$29:$C$361,MATCH($O82,Scoring!$AB$29:$AB$361,0)))</f>
        <v>Endocrinology: testosterone replacement in male hypogonadism</v>
      </c>
      <c r="I82" s="6" t="str">
        <f aca="false">IF($O82="","",INDEX(Scoring!$I$29:$I$361,MATCH($O82,Scoring!$AB$29:$AB$361,0)))</f>
        <v>Vial</v>
      </c>
      <c r="J82" s="7" t="str">
        <f aca="false">IF($O82="","",INDEX(Scoring!$Z$29:$Z$361,MATCH($O82,Scoring!$AB$29:$AB$361,0)))</f>
        <v>1000 mg/10 mL vial; 200 mg/1 mL vial</v>
      </c>
      <c r="K82" s="8" t="n">
        <f aca="false">IF($O82="","",IF(INDEX(Scoring!$D$29:$D$361,MATCH($O82,Scoring!$AB$29:$AB$361,0))="",INDEX(Scoring!$AF$29:$AF$361,MATCH($O82,Scoring!$AB$29:$AB$361,0)),INDEX(Scoring!$D$29:$D$361,MATCH($O82,Scoring!$AB$29:$AB$361,0))))</f>
        <v>20.63</v>
      </c>
      <c r="L82" s="9" t="n">
        <f aca="false">IF($O82="","",INDEX(Scoring!$M$29:$M$361,MATCH($O82,Scoring!$AB$29:$AB$361,0)))</f>
        <v>291</v>
      </c>
      <c r="M82" s="9" t="n">
        <f aca="false">IF($O82="","",INDEX(Scoring!$F$29:$F$361,MATCH($O82,Scoring!$AB$29:$AB$361,0)))</f>
        <v>6893.7</v>
      </c>
      <c r="N82" s="7" t="str">
        <f aca="false">IF($O82="","",INDEX(Scoring!$AI$29:$AI$361,MATCH($O82,Scoring!$AB$29:$AB$361,0)))</f>
        <v>US</v>
      </c>
      <c r="O82" s="10" t="n">
        <f aca="false">IFERROR(SMALL(Scoring!$AB$29:$AB$361,78),"")</f>
        <v>4006</v>
      </c>
    </row>
    <row r="83" customFormat="false" ht="28.35" hidden="false" customHeight="false" outlineLevel="0" collapsed="false">
      <c r="A83" s="5" t="n">
        <f aca="false">IF($O83="","",INT($O83/1000))</f>
        <v>4</v>
      </c>
      <c r="B83" s="6" t="str">
        <f aca="false">IF($O83="","",INDEX(Scoring!$A$29:$A$361,MATCH($O83,Scoring!$AB$29:$AB$361,0)))</f>
        <v>Cipla</v>
      </c>
      <c r="C83" s="5" t="n">
        <f aca="false">IF($O83="","",IF(INDEX(Scoring!$P$29:$P$361,MATCH($O83,Scoring!$AB$29:$AB$361,0))="","–",INDEX(Scoring!$P$29:$P$361,MATCH($O83,Scoring!$AB$29:$AB$361,0))))</f>
        <v>7</v>
      </c>
      <c r="D83" s="6" t="str">
        <f aca="false">IF($O83="","",INDEX(Scoring!$Q$29:$Q$361,MATCH($O83,Scoring!$AB$29:$AB$361,0)))</f>
        <v>Priority 2</v>
      </c>
      <c r="E83" s="7" t="str">
        <f aca="false">IF($O83="","",INDEX(Scoring!$AJ$29:$AJ$361,MATCH($O83,Scoring!$AB$29:$AB$361,0)))</f>
        <v>Lower price · high volume</v>
      </c>
      <c r="F83" s="6" t="str">
        <f aca="false">IF($O83="","",INDEX(Scoring!$B$29:$B$361,MATCH($O83,Scoring!$AB$29:$AB$361,0)))</f>
        <v>Cefepime</v>
      </c>
      <c r="G83" s="7" t="str">
        <f aca="false">IF($O83="","",INDEX(Scoring!$AG$29:$AG$361,MATCH($O83,Scoring!$AB$29:$AB$361,0)))</f>
        <v>Cefect</v>
      </c>
      <c r="H83" s="7" t="str">
        <f aca="false">IF($O83="","",INDEX(Scoring!$C$29:$C$361,MATCH($O83,Scoring!$AB$29:$AB$361,0)))</f>
        <v>Anti-infective: hospital Gram-negative infections, febrile neutropenia</v>
      </c>
      <c r="I83" s="6" t="str">
        <f aca="false">IF($O83="","",INDEX(Scoring!$I$29:$I$361,MATCH($O83,Scoring!$AB$29:$AB$361,0)))</f>
        <v>Not stated</v>
      </c>
      <c r="J83" s="7" t="str">
        <f aca="false">IF($O83="","",INDEX(Scoring!$Z$29:$Z$361,MATCH($O83,Scoring!$AB$29:$AB$361,0)))</f>
        <v>1 g (container not stated); 2 g (container not stated)</v>
      </c>
      <c r="K83" s="8" t="n">
        <f aca="false">IF($O83="","",IF(INDEX(Scoring!$D$29:$D$361,MATCH($O83,Scoring!$AB$29:$AB$361,0))="",INDEX(Scoring!$AF$29:$AF$361,MATCH($O83,Scoring!$AB$29:$AB$361,0)),INDEX(Scoring!$D$29:$D$361,MATCH($O83,Scoring!$AB$29:$AB$361,0))))</f>
        <v>24.42</v>
      </c>
      <c r="L83" s="9" t="n">
        <f aca="false">IF($O83="","",INDEX(Scoring!$M$29:$M$361,MATCH($O83,Scoring!$AB$29:$AB$361,0)))</f>
        <v>288</v>
      </c>
      <c r="M83" s="9" t="n">
        <f aca="false">IF($O83="","",INDEX(Scoring!$F$29:$F$361,MATCH($O83,Scoring!$AB$29:$AB$361,0)))</f>
        <v>6294.9</v>
      </c>
      <c r="N83" s="7" t="str">
        <f aca="false">IF($O83="","",INDEX(Scoring!$AI$29:$AI$361,MATCH($O83,Scoring!$AB$29:$AB$361,0)))</f>
        <v>South Africa</v>
      </c>
      <c r="O83" s="10" t="n">
        <f aca="false">IFERROR(SMALL(Scoring!$AB$29:$AB$361,79),"")</f>
        <v>4007</v>
      </c>
    </row>
    <row r="84" customFormat="false" ht="28.35" hidden="false" customHeight="false" outlineLevel="0" collapsed="false">
      <c r="A84" s="5" t="n">
        <f aca="false">IF($O84="","",INT($O84/1000))</f>
        <v>4</v>
      </c>
      <c r="B84" s="6" t="str">
        <f aca="false">IF($O84="","",INDEX(Scoring!$A$29:$A$361,MATCH($O84,Scoring!$AB$29:$AB$361,0)))</f>
        <v>Cipla</v>
      </c>
      <c r="C84" s="5" t="n">
        <f aca="false">IF($O84="","",IF(INDEX(Scoring!$P$29:$P$361,MATCH($O84,Scoring!$AB$29:$AB$361,0))="","–",INDEX(Scoring!$P$29:$P$361,MATCH($O84,Scoring!$AB$29:$AB$361,0))))</f>
        <v>8</v>
      </c>
      <c r="D84" s="6" t="str">
        <f aca="false">IF($O84="","",INDEX(Scoring!$Q$29:$Q$361,MATCH($O84,Scoring!$AB$29:$AB$361,0)))</f>
        <v>Priority 2</v>
      </c>
      <c r="E84" s="7" t="str">
        <f aca="false">IF($O84="","",INDEX(Scoring!$AJ$29:$AJ$361,MATCH($O84,Scoring!$AB$29:$AB$361,0)))</f>
        <v>Lower price · high volume</v>
      </c>
      <c r="F84" s="6" t="str">
        <f aca="false">IF($O84="","",INDEX(Scoring!$B$29:$B$361,MATCH($O84,Scoring!$AB$29:$AB$361,0)))</f>
        <v>Hydrocortisone</v>
      </c>
      <c r="G84" s="7" t="str">
        <f aca="false">IF($O84="","",INDEX(Scoring!$AG$29:$AG$361,MATCH($O84,Scoring!$AB$29:$AB$361,0)))</f>
        <v>Hydrocortisone Sodium Succinate; Cipla Hydrocortisone</v>
      </c>
      <c r="H84" s="7" t="str">
        <f aca="false">IF($O84="","",INDEX(Scoring!$C$29:$C$361,MATCH($O84,Scoring!$AB$29:$AB$361,0)))</f>
        <v>Endocrinology and critical care: adrenal crisis, anaphylaxis, severe asthma, shock</v>
      </c>
      <c r="I84" s="6" t="str">
        <f aca="false">IF($O84="","",INDEX(Scoring!$I$29:$I$361,MATCH($O84,Scoring!$AB$29:$AB$361,0)))</f>
        <v>Vial</v>
      </c>
      <c r="J84" s="7" t="str">
        <f aca="false">IF($O84="","",INDEX(Scoring!$Z$29:$Z$361,MATCH($O84,Scoring!$AB$29:$AB$361,0)))</f>
        <v>100 mg powder vial</v>
      </c>
      <c r="K84" s="8" t="n">
        <f aca="false">IF($O84="","",IF(INDEX(Scoring!$D$29:$D$361,MATCH($O84,Scoring!$AB$29:$AB$361,0))="",INDEX(Scoring!$AF$29:$AF$361,MATCH($O84,Scoring!$AB$29:$AB$361,0)),INDEX(Scoring!$D$29:$D$361,MATCH($O84,Scoring!$AB$29:$AB$361,0))))</f>
        <v>23.15</v>
      </c>
      <c r="L84" s="9" t="n">
        <f aca="false">IF($O84="","",INDEX(Scoring!$M$29:$M$361,MATCH($O84,Scoring!$AB$29:$AB$361,0)))</f>
        <v>325</v>
      </c>
      <c r="M84" s="9" t="n">
        <f aca="false">IF($O84="","",INDEX(Scoring!$F$29:$F$361,MATCH($O84,Scoring!$AB$29:$AB$361,0)))</f>
        <v>4796.6</v>
      </c>
      <c r="N84" s="7" t="str">
        <f aca="false">IF($O84="","",INDEX(Scoring!$AI$29:$AI$361,MATCH($O84,Scoring!$AB$29:$AB$361,0)))</f>
        <v>US, Australia</v>
      </c>
      <c r="O84" s="10" t="n">
        <f aca="false">IFERROR(SMALL(Scoring!$AB$29:$AB$361,80),"")</f>
        <v>4008</v>
      </c>
    </row>
    <row r="85" customFormat="false" ht="28.35" hidden="false" customHeight="false" outlineLevel="0" collapsed="false">
      <c r="A85" s="5" t="n">
        <f aca="false">IF($O85="","",INT($O85/1000))</f>
        <v>4</v>
      </c>
      <c r="B85" s="6" t="str">
        <f aca="false">IF($O85="","",INDEX(Scoring!$A$29:$A$361,MATCH($O85,Scoring!$AB$29:$AB$361,0)))</f>
        <v>Cipla</v>
      </c>
      <c r="C85" s="5" t="n">
        <f aca="false">IF($O85="","",IF(INDEX(Scoring!$P$29:$P$361,MATCH($O85,Scoring!$AB$29:$AB$361,0))="","–",INDEX(Scoring!$P$29:$P$361,MATCH($O85,Scoring!$AB$29:$AB$361,0))))</f>
        <v>9</v>
      </c>
      <c r="D85" s="6" t="str">
        <f aca="false">IF($O85="","",INDEX(Scoring!$Q$29:$Q$361,MATCH($O85,Scoring!$AB$29:$AB$361,0)))</f>
        <v>Priority 2</v>
      </c>
      <c r="E85" s="7" t="str">
        <f aca="false">IF($O85="","",INDEX(Scoring!$AJ$29:$AJ$361,MATCH($O85,Scoring!$AB$29:$AB$361,0)))</f>
        <v>High price · lower volume</v>
      </c>
      <c r="F85" s="6" t="str">
        <f aca="false">IF($O85="","",INDEX(Scoring!$B$29:$B$361,MATCH($O85,Scoring!$AB$29:$AB$361,0)))</f>
        <v>Isoprenaline (Isoproterenol)</v>
      </c>
      <c r="G85" s="7" t="str">
        <f aca="false">IF($O85="","",INDEX(Scoring!$AG$29:$AG$361,MATCH($O85,Scoring!$AB$29:$AB$361,0)))</f>
        <v>Cipla Isoprenaline; Isocipraline</v>
      </c>
      <c r="H85" s="7" t="str">
        <f aca="false">IF($O85="","",INDEX(Scoring!$C$29:$C$361,MATCH($O85,Scoring!$AB$29:$AB$361,0)))</f>
        <v>Cardiovascular: heart block, severe slow heart rate</v>
      </c>
      <c r="I85" s="6" t="str">
        <f aca="false">IF($O85="","",INDEX(Scoring!$I$29:$I$361,MATCH($O85,Scoring!$AB$29:$AB$361,0)))</f>
        <v>Ampoule</v>
      </c>
      <c r="J85" s="7" t="str">
        <f aca="false">IF($O85="","",INDEX(Scoring!$Z$29:$Z$361,MATCH($O85,Scoring!$AB$29:$AB$361,0)))</f>
        <v>0.2 mg/1 mL ampoule; 1 mg/5 mL ampoule</v>
      </c>
      <c r="K85" s="8" t="n">
        <f aca="false">IF($O85="","",IF(INDEX(Scoring!$D$29:$D$361,MATCH($O85,Scoring!$AB$29:$AB$361,0))="",INDEX(Scoring!$AF$29:$AF$361,MATCH($O85,Scoring!$AB$29:$AB$361,0)),INDEX(Scoring!$D$29:$D$361,MATCH($O85,Scoring!$AB$29:$AB$361,0))))</f>
        <v>82.51</v>
      </c>
      <c r="L85" s="9" t="n">
        <f aca="false">IF($O85="","",INDEX(Scoring!$M$29:$M$361,MATCH($O85,Scoring!$AB$29:$AB$361,0)))</f>
        <v>87</v>
      </c>
      <c r="M85" s="9" t="n">
        <f aca="false">IF($O85="","",INDEX(Scoring!$F$29:$F$361,MATCH($O85,Scoring!$AB$29:$AB$361,0)))</f>
        <v>2931.4</v>
      </c>
      <c r="N85" s="7" t="str">
        <f aca="false">IF($O85="","",INDEX(Scoring!$AI$29:$AI$361,MATCH($O85,Scoring!$AB$29:$AB$361,0)))</f>
        <v>Australia</v>
      </c>
      <c r="O85" s="10" t="n">
        <f aca="false">IFERROR(SMALL(Scoring!$AB$29:$AB$361,81),"")</f>
        <v>4009</v>
      </c>
    </row>
    <row r="86" customFormat="false" ht="28.35" hidden="false" customHeight="false" outlineLevel="0" collapsed="false">
      <c r="A86" s="5" t="n">
        <f aca="false">IF($O86="","",INT($O86/1000))</f>
        <v>4</v>
      </c>
      <c r="B86" s="6" t="str">
        <f aca="false">IF($O86="","",INDEX(Scoring!$A$29:$A$361,MATCH($O86,Scoring!$AB$29:$AB$361,0)))</f>
        <v>Cipla</v>
      </c>
      <c r="C86" s="5" t="n">
        <f aca="false">IF($O86="","",IF(INDEX(Scoring!$P$29:$P$361,MATCH($O86,Scoring!$AB$29:$AB$361,0))="","–",INDEX(Scoring!$P$29:$P$361,MATCH($O86,Scoring!$AB$29:$AB$361,0))))</f>
        <v>10</v>
      </c>
      <c r="D86" s="6" t="str">
        <f aca="false">IF($O86="","",INDEX(Scoring!$Q$29:$Q$361,MATCH($O86,Scoring!$AB$29:$AB$361,0)))</f>
        <v>Priority 2</v>
      </c>
      <c r="E86" s="7" t="str">
        <f aca="false">IF($O86="","",INDEX(Scoring!$AJ$29:$AJ$361,MATCH($O86,Scoring!$AB$29:$AB$361,0)))</f>
        <v>High price · lower volume</v>
      </c>
      <c r="F86" s="6" t="str">
        <f aca="false">IF($O86="","",INDEX(Scoring!$B$29:$B$361,MATCH($O86,Scoring!$AB$29:$AB$361,0)))</f>
        <v>Phytonadione</v>
      </c>
      <c r="G86" s="7" t="str">
        <f aca="false">IF($O86="","",INDEX(Scoring!$AG$29:$AG$361,MATCH($O86,Scoring!$AB$29:$AB$361,0)))</f>
        <v>Phytonadione</v>
      </c>
      <c r="H86" s="7" t="str">
        <f aca="false">IF($O86="","",INDEX(Scoring!$C$29:$C$361,MATCH($O86,Scoring!$AB$29:$AB$361,0)))</f>
        <v>Haematology: vitamin K for newborn bleeding prevention, warfarin reversal</v>
      </c>
      <c r="I86" s="6" t="str">
        <f aca="false">IF($O86="","",INDEX(Scoring!$I$29:$I$361,MATCH($O86,Scoring!$AB$29:$AB$361,0)))</f>
        <v>Vial, Prefilled syringe</v>
      </c>
      <c r="J86" s="7" t="str">
        <f aca="false">IF($O86="","",INDEX(Scoring!$Z$29:$Z$361,MATCH($O86,Scoring!$AB$29:$AB$361,0)))</f>
        <v>1 mg/0.5 mL pre-filled syringe; 10 mg/1 mL vial</v>
      </c>
      <c r="K86" s="8" t="n">
        <f aca="false">IF($O86="","",IF(INDEX(Scoring!$D$29:$D$361,MATCH($O86,Scoring!$AB$29:$AB$361,0))="",INDEX(Scoring!$AF$29:$AF$361,MATCH($O86,Scoring!$AB$29:$AB$361,0)),INDEX(Scoring!$D$29:$D$361,MATCH($O86,Scoring!$AB$29:$AB$361,0))))</f>
        <v>39.89</v>
      </c>
      <c r="L86" s="9" t="n">
        <f aca="false">IF($O86="","",INDEX(Scoring!$M$29:$M$361,MATCH($O86,Scoring!$AB$29:$AB$361,0)))</f>
        <v>24</v>
      </c>
      <c r="M86" s="9" t="n">
        <f aca="false">IF($O86="","",INDEX(Scoring!$F$29:$F$361,MATCH($O86,Scoring!$AB$29:$AB$361,0)))</f>
        <v>2702.3</v>
      </c>
      <c r="N86" s="7" t="str">
        <f aca="false">IF($O86="","",INDEX(Scoring!$AI$29:$AI$361,MATCH($O86,Scoring!$AB$29:$AB$361,0)))</f>
        <v>US</v>
      </c>
      <c r="O86" s="10" t="n">
        <f aca="false">IFERROR(SMALL(Scoring!$AB$29:$AB$361,82),"")</f>
        <v>4010</v>
      </c>
    </row>
    <row r="87" customFormat="false" ht="28.35" hidden="false" customHeight="false" outlineLevel="0" collapsed="false">
      <c r="A87" s="5" t="n">
        <f aca="false">IF($O87="","",INT($O87/1000))</f>
        <v>4</v>
      </c>
      <c r="B87" s="6" t="str">
        <f aca="false">IF($O87="","",INDEX(Scoring!$A$29:$A$361,MATCH($O87,Scoring!$AB$29:$AB$361,0)))</f>
        <v>Cipla</v>
      </c>
      <c r="C87" s="5" t="n">
        <f aca="false">IF($O87="","",IF(INDEX(Scoring!$P$29:$P$361,MATCH($O87,Scoring!$AB$29:$AB$361,0))="","–",INDEX(Scoring!$P$29:$P$361,MATCH($O87,Scoring!$AB$29:$AB$361,0))))</f>
        <v>11</v>
      </c>
      <c r="D87" s="6" t="str">
        <f aca="false">IF($O87="","",INDEX(Scoring!$Q$29:$Q$361,MATCH($O87,Scoring!$AB$29:$AB$361,0)))</f>
        <v>Priority 2</v>
      </c>
      <c r="E87" s="7" t="str">
        <f aca="false">IF($O87="","",INDEX(Scoring!$AJ$29:$AJ$361,MATCH($O87,Scoring!$AB$29:$AB$361,0)))</f>
        <v>High price · lower volume</v>
      </c>
      <c r="F87" s="6" t="str">
        <f aca="false">IF($O87="","",INDEX(Scoring!$B$29:$B$361,MATCH($O87,Scoring!$AB$29:$AB$361,0)))</f>
        <v>Testosterone Undecanoate</v>
      </c>
      <c r="G87" s="7" t="str">
        <f aca="false">IF($O87="","",INDEX(Scoring!$AG$29:$AG$361,MATCH($O87,Scoring!$AB$29:$AB$361,0)))</f>
        <v>Testosterone Cipla</v>
      </c>
      <c r="H87" s="7" t="str">
        <f aca="false">IF($O87="","",INDEX(Scoring!$C$29:$C$361,MATCH($O87,Scoring!$AB$29:$AB$361,0)))</f>
        <v>Endocrinology: long-acting testosterone replacement in male hypogonadism</v>
      </c>
      <c r="I87" s="6" t="str">
        <f aca="false">IF($O87="","",INDEX(Scoring!$I$29:$I$361,MATCH($O87,Scoring!$AB$29:$AB$361,0)))</f>
        <v>Vial</v>
      </c>
      <c r="J87" s="7" t="str">
        <f aca="false">IF($O87="","",INDEX(Scoring!$Z$29:$Z$361,MATCH($O87,Scoring!$AB$29:$AB$361,0)))</f>
        <v>1000 mg/4 mL vial</v>
      </c>
      <c r="K87" s="8" t="n">
        <f aca="false">IF($O87="","",IF(INDEX(Scoring!$D$29:$D$361,MATCH($O87,Scoring!$AB$29:$AB$361,0))="",INDEX(Scoring!$AF$29:$AF$361,MATCH($O87,Scoring!$AB$29:$AB$361,0)),INDEX(Scoring!$D$29:$D$361,MATCH($O87,Scoring!$AB$29:$AB$361,0))))</f>
        <v>118.45</v>
      </c>
      <c r="L87" s="9" t="n">
        <f aca="false">IF($O87="","",INDEX(Scoring!$M$29:$M$361,MATCH($O87,Scoring!$AB$29:$AB$361,0)))</f>
        <v>132</v>
      </c>
      <c r="M87" s="9" t="n">
        <f aca="false">IF($O87="","",INDEX(Scoring!$F$29:$F$361,MATCH($O87,Scoring!$AB$29:$AB$361,0)))</f>
        <v>184.9</v>
      </c>
      <c r="N87" s="7" t="str">
        <f aca="false">IF($O87="","",INDEX(Scoring!$AI$29:$AI$361,MATCH($O87,Scoring!$AB$29:$AB$361,0)))</f>
        <v>South Africa</v>
      </c>
      <c r="O87" s="10" t="n">
        <f aca="false">IFERROR(SMALL(Scoring!$AB$29:$AB$361,83),"")</f>
        <v>4011</v>
      </c>
    </row>
    <row r="88" customFormat="false" ht="41.75" hidden="false" customHeight="false" outlineLevel="0" collapsed="false">
      <c r="A88" s="5" t="n">
        <f aca="false">IF($O88="","",INT($O88/1000))</f>
        <v>4</v>
      </c>
      <c r="B88" s="6" t="str">
        <f aca="false">IF($O88="","",INDEX(Scoring!$A$29:$A$361,MATCH($O88,Scoring!$AB$29:$AB$361,0)))</f>
        <v>Cipla</v>
      </c>
      <c r="C88" s="5" t="n">
        <f aca="false">IF($O88="","",IF(INDEX(Scoring!$P$29:$P$361,MATCH($O88,Scoring!$AB$29:$AB$361,0))="","–",INDEX(Scoring!$P$29:$P$361,MATCH($O88,Scoring!$AB$29:$AB$361,0))))</f>
        <v>12</v>
      </c>
      <c r="D88" s="6" t="str">
        <f aca="false">IF($O88="","",INDEX(Scoring!$Q$29:$Q$361,MATCH($O88,Scoring!$AB$29:$AB$361,0)))</f>
        <v>Priority 2</v>
      </c>
      <c r="E88" s="7" t="str">
        <f aca="false">IF($O88="","",INDEX(Scoring!$AJ$29:$AJ$361,MATCH($O88,Scoring!$AB$29:$AB$361,0)))</f>
        <v>High price · lower volume</v>
      </c>
      <c r="F88" s="6" t="str">
        <f aca="false">IF($O88="","",INDEX(Scoring!$B$29:$B$361,MATCH($O88,Scoring!$AB$29:$AB$361,0)))</f>
        <v>Lanreotide</v>
      </c>
      <c r="G88" s="7" t="str">
        <f aca="false">IF($O88="","",INDEX(Scoring!$AG$29:$AG$361,MATCH($O88,Scoring!$AB$29:$AB$361,0)))</f>
        <v>Lanreotide Acetate</v>
      </c>
      <c r="H88" s="7" t="str">
        <f aca="false">IF($O88="","",INDEX(Scoring!$C$29:$C$361,MATCH($O88,Scoring!$AB$29:$AB$361,0)))</f>
        <v>Endocrinology and oncology: acromegaly, neuroendocrine tumours</v>
      </c>
      <c r="I88" s="6" t="str">
        <f aca="false">IF($O88="","",INDEX(Scoring!$I$29:$I$361,MATCH($O88,Scoring!$AB$29:$AB$361,0)))</f>
        <v>Prefilled syringe</v>
      </c>
      <c r="J88" s="7" t="str">
        <f aca="false">IF($O88="","",INDEX(Scoring!$Z$29:$Z$361,MATCH($O88,Scoring!$AB$29:$AB$361,0)))</f>
        <v>60 mg/0.2 mL pre-filled syringe; 90 mg/0.3 mL pre-filled syringe; 120 mg/0.5 mL pre-filled syringe</v>
      </c>
      <c r="K88" s="8" t="n">
        <f aca="false">IF($O88="","",IF(INDEX(Scoring!$D$29:$D$361,MATCH($O88,Scoring!$AB$29:$AB$361,0))="",INDEX(Scoring!$AF$29:$AF$361,MATCH($O88,Scoring!$AB$29:$AB$361,0)),INDEX(Scoring!$D$29:$D$361,MATCH($O88,Scoring!$AB$29:$AB$361,0))))</f>
        <v>5970.59</v>
      </c>
      <c r="L88" s="9" t="n">
        <f aca="false">IF($O88="","",INDEX(Scoring!$M$29:$M$361,MATCH($O88,Scoring!$AB$29:$AB$361,0)))</f>
        <v>25</v>
      </c>
      <c r="M88" s="9" t="n">
        <f aca="false">IF($O88="","",INDEX(Scoring!$F$29:$F$361,MATCH($O88,Scoring!$AB$29:$AB$361,0)))</f>
        <v>0.2</v>
      </c>
      <c r="N88" s="7" t="str">
        <f aca="false">IF($O88="","",INDEX(Scoring!$AI$29:$AI$361,MATCH($O88,Scoring!$AB$29:$AB$361,0)))</f>
        <v>US</v>
      </c>
      <c r="O88" s="10" t="n">
        <f aca="false">IFERROR(SMALL(Scoring!$AB$29:$AB$361,84),"")</f>
        <v>4012</v>
      </c>
    </row>
    <row r="89" customFormat="false" ht="28.35" hidden="false" customHeight="false" outlineLevel="0" collapsed="false">
      <c r="A89" s="5" t="n">
        <f aca="false">IF($O89="","",INT($O89/1000))</f>
        <v>4</v>
      </c>
      <c r="B89" s="6" t="str">
        <f aca="false">IF($O89="","",INDEX(Scoring!$A$29:$A$361,MATCH($O89,Scoring!$AB$29:$AB$361,0)))</f>
        <v>Cipla</v>
      </c>
      <c r="C89" s="5" t="n">
        <f aca="false">IF($O89="","",IF(INDEX(Scoring!$P$29:$P$361,MATCH($O89,Scoring!$AB$29:$AB$361,0))="","–",INDEX(Scoring!$P$29:$P$361,MATCH($O89,Scoring!$AB$29:$AB$361,0))))</f>
        <v>13</v>
      </c>
      <c r="D89" s="6" t="str">
        <f aca="false">IF($O89="","",INDEX(Scoring!$Q$29:$Q$361,MATCH($O89,Scoring!$AB$29:$AB$361,0)))</f>
        <v>Priority 3</v>
      </c>
      <c r="E89" s="7" t="str">
        <f aca="false">IF($O89="","",INDEX(Scoring!$AJ$29:$AJ$361,MATCH($O89,Scoring!$AB$29:$AB$361,0)))</f>
        <v>Lower price · lower volume</v>
      </c>
      <c r="F89" s="6" t="str">
        <f aca="false">IF($O89="","",INDEX(Scoring!$B$29:$B$361,MATCH($O89,Scoring!$AB$29:$AB$361,0)))</f>
        <v>Teicoplanin</v>
      </c>
      <c r="G89" s="7" t="str">
        <f aca="false">IF($O89="","",INDEX(Scoring!$AG$29:$AG$361,MATCH($O89,Scoring!$AB$29:$AB$361,0)))</f>
        <v>Cipla Teicoplanin</v>
      </c>
      <c r="H89" s="7" t="str">
        <f aca="false">IF($O89="","",INDEX(Scoring!$C$29:$C$361,MATCH($O89,Scoring!$AB$29:$AB$361,0)))</f>
        <v>Anti-infective: MRSA and serious Gram-positive infections</v>
      </c>
      <c r="I89" s="6" t="str">
        <f aca="false">IF($O89="","",INDEX(Scoring!$I$29:$I$361,MATCH($O89,Scoring!$AB$29:$AB$361,0)))</f>
        <v>Vial</v>
      </c>
      <c r="J89" s="7" t="str">
        <f aca="false">IF($O89="","",INDEX(Scoring!$Z$29:$Z$361,MATCH($O89,Scoring!$AB$29:$AB$361,0)))</f>
        <v>400 mg in 3 mL powder vial</v>
      </c>
      <c r="K89" s="8" t="n">
        <f aca="false">IF($O89="","",IF(INDEX(Scoring!$D$29:$D$361,MATCH($O89,Scoring!$AB$29:$AB$361,0))="",INDEX(Scoring!$AF$29:$AF$361,MATCH($O89,Scoring!$AB$29:$AB$361,0)),INDEX(Scoring!$D$29:$D$361,MATCH($O89,Scoring!$AB$29:$AB$361,0))))</f>
        <v>13.97</v>
      </c>
      <c r="L89" s="9" t="n">
        <f aca="false">IF($O89="","",INDEX(Scoring!$M$29:$M$361,MATCH($O89,Scoring!$AB$29:$AB$361,0)))</f>
        <v>99</v>
      </c>
      <c r="M89" s="9" t="n">
        <f aca="false">IF($O89="","",INDEX(Scoring!$F$29:$F$361,MATCH($O89,Scoring!$AB$29:$AB$361,0)))</f>
        <v>6632.6</v>
      </c>
      <c r="N89" s="7" t="str">
        <f aca="false">IF($O89="","",INDEX(Scoring!$AI$29:$AI$361,MATCH($O89,Scoring!$AB$29:$AB$361,0)))</f>
        <v>South Africa</v>
      </c>
      <c r="O89" s="10" t="n">
        <f aca="false">IFERROR(SMALL(Scoring!$AB$29:$AB$361,85),"")</f>
        <v>4013</v>
      </c>
    </row>
    <row r="90" customFormat="false" ht="28.35" hidden="false" customHeight="false" outlineLevel="0" collapsed="false">
      <c r="A90" s="5" t="n">
        <f aca="false">IF($O90="","",INT($O90/1000))</f>
        <v>4</v>
      </c>
      <c r="B90" s="6" t="str">
        <f aca="false">IF($O90="","",INDEX(Scoring!$A$29:$A$361,MATCH($O90,Scoring!$AB$29:$AB$361,0)))</f>
        <v>Cipla</v>
      </c>
      <c r="C90" s="5" t="n">
        <f aca="false">IF($O90="","",IF(INDEX(Scoring!$P$29:$P$361,MATCH($O90,Scoring!$AB$29:$AB$361,0))="","–",INDEX(Scoring!$P$29:$P$361,MATCH($O90,Scoring!$AB$29:$AB$361,0))))</f>
        <v>14</v>
      </c>
      <c r="D90" s="6" t="str">
        <f aca="false">IF($O90="","",INDEX(Scoring!$Q$29:$Q$361,MATCH($O90,Scoring!$AB$29:$AB$361,0)))</f>
        <v>Priority 3</v>
      </c>
      <c r="E90" s="7" t="str">
        <f aca="false">IF($O90="","",INDEX(Scoring!$AJ$29:$AJ$361,MATCH($O90,Scoring!$AB$29:$AB$361,0)))</f>
        <v>Lower price · lower volume</v>
      </c>
      <c r="F90" s="6" t="str">
        <f aca="false">IF($O90="","",INDEX(Scoring!$B$29:$B$361,MATCH($O90,Scoring!$AB$29:$AB$361,0)))</f>
        <v>Medroxyprogesterone Acetate</v>
      </c>
      <c r="G90" s="7" t="str">
        <f aca="false">IF($O90="","",INDEX(Scoring!$AG$29:$AG$361,MATCH($O90,Scoring!$AB$29:$AB$361,0)))</f>
        <v>Cipla Medroxyprogesterone</v>
      </c>
      <c r="H90" s="7" t="str">
        <f aca="false">IF($O90="","",INDEX(Scoring!$C$29:$C$361,MATCH($O90,Scoring!$AB$29:$AB$361,0)))</f>
        <v>Women's health: three-monthly contraceptive injection</v>
      </c>
      <c r="I90" s="6" t="str">
        <f aca="false">IF($O90="","",INDEX(Scoring!$I$29:$I$361,MATCH($O90,Scoring!$AB$29:$AB$361,0)))</f>
        <v>Vial</v>
      </c>
      <c r="J90" s="7" t="str">
        <f aca="false">IF($O90="","",INDEX(Scoring!$Z$29:$Z$361,MATCH($O90,Scoring!$AB$29:$AB$361,0)))</f>
        <v>150 mg/1 mL vial</v>
      </c>
      <c r="K90" s="8" t="n">
        <f aca="false">IF($O90="","",IF(INDEX(Scoring!$D$29:$D$361,MATCH($O90,Scoring!$AB$29:$AB$361,0))="",INDEX(Scoring!$AF$29:$AF$361,MATCH($O90,Scoring!$AB$29:$AB$361,0)),INDEX(Scoring!$D$29:$D$361,MATCH($O90,Scoring!$AB$29:$AB$361,0))))</f>
        <v>19.65</v>
      </c>
      <c r="L90" s="9" t="n">
        <f aca="false">IF($O90="","",INDEX(Scoring!$M$29:$M$361,MATCH($O90,Scoring!$AB$29:$AB$361,0)))</f>
        <v>41</v>
      </c>
      <c r="M90" s="9" t="n">
        <f aca="false">IF($O90="","",INDEX(Scoring!$F$29:$F$361,MATCH($O90,Scoring!$AB$29:$AB$361,0)))</f>
        <v>2690.1</v>
      </c>
      <c r="N90" s="7" t="str">
        <f aca="false">IF($O90="","",INDEX(Scoring!$AI$29:$AI$361,MATCH($O90,Scoring!$AB$29:$AB$361,0)))</f>
        <v>Australia</v>
      </c>
      <c r="O90" s="10" t="n">
        <f aca="false">IFERROR(SMALL(Scoring!$AB$29:$AB$361,86),"")</f>
        <v>4014</v>
      </c>
    </row>
    <row r="91" customFormat="false" ht="28.35" hidden="false" customHeight="false" outlineLevel="0" collapsed="false">
      <c r="A91" s="5" t="n">
        <f aca="false">IF($O91="","",INT($O91/1000))</f>
        <v>4</v>
      </c>
      <c r="B91" s="6" t="str">
        <f aca="false">IF($O91="","",INDEX(Scoring!$A$29:$A$361,MATCH($O91,Scoring!$AB$29:$AB$361,0)))</f>
        <v>Cipla</v>
      </c>
      <c r="C91" s="5" t="str">
        <f aca="false">IF($O91="","",IF(INDEX(Scoring!$P$29:$P$361,MATCH($O91,Scoring!$AB$29:$AB$361,0))="","–",INDEX(Scoring!$P$29:$P$361,MATCH($O91,Scoring!$AB$29:$AB$361,0))))</f>
        <v>–</v>
      </c>
      <c r="D91" s="6" t="str">
        <f aca="false">IF($O91="","",INDEX(Scoring!$Q$29:$Q$361,MATCH($O91,Scoring!$AB$29:$AB$361,0)))</f>
        <v>Excluded – price ≤ $5</v>
      </c>
      <c r="E91" s="7" t="str">
        <f aca="false">IF($O91="","",INDEX(Scoring!$AJ$29:$AJ$361,MATCH($O91,Scoring!$AB$29:$AB$361,0)))</f>
        <v/>
      </c>
      <c r="F91" s="6" t="str">
        <f aca="false">IF($O91="","",INDEX(Scoring!$B$29:$B$361,MATCH($O91,Scoring!$AB$29:$AB$361,0)))</f>
        <v>Phenylephrine</v>
      </c>
      <c r="G91" s="7" t="str">
        <f aca="false">IF($O91="","",INDEX(Scoring!$AG$29:$AG$361,MATCH($O91,Scoring!$AB$29:$AB$361,0)))</f>
        <v>Phenylephrine Cipla</v>
      </c>
      <c r="H91" s="7" t="str">
        <f aca="false">IF($O91="","",INDEX(Scoring!$C$29:$C$361,MATCH($O91,Scoring!$AB$29:$AB$361,0)))</f>
        <v>Anaesthesia: low blood pressure during anaesthesia</v>
      </c>
      <c r="I91" s="6" t="str">
        <f aca="false">IF($O91="","",INDEX(Scoring!$I$29:$I$361,MATCH($O91,Scoring!$AB$29:$AB$361,0)))</f>
        <v>Vial</v>
      </c>
      <c r="J91" s="7" t="str">
        <f aca="false">IF($O91="","",INDEX(Scoring!$Z$29:$Z$361,MATCH($O91,Scoring!$AB$29:$AB$361,0)))</f>
        <v>10 mg/1 mL vial</v>
      </c>
      <c r="K91" s="8" t="n">
        <f aca="false">IF($O91="","",IF(INDEX(Scoring!$D$29:$D$361,MATCH($O91,Scoring!$AB$29:$AB$361,0))="",INDEX(Scoring!$AF$29:$AF$361,MATCH($O91,Scoring!$AB$29:$AB$361,0)),INDEX(Scoring!$D$29:$D$361,MATCH($O91,Scoring!$AB$29:$AB$361,0))))</f>
        <v>1</v>
      </c>
      <c r="L91" s="9" t="n">
        <f aca="false">IF($O91="","",INDEX(Scoring!$M$29:$M$361,MATCH($O91,Scoring!$AB$29:$AB$361,0)))</f>
        <v>226</v>
      </c>
      <c r="M91" s="9" t="n">
        <f aca="false">IF($O91="","",INDEX(Scoring!$F$29:$F$361,MATCH($O91,Scoring!$AB$29:$AB$361,0)))</f>
        <v>5695.2</v>
      </c>
      <c r="N91" s="7" t="str">
        <f aca="false">IF($O91="","",INDEX(Scoring!$AI$29:$AI$361,MATCH($O91,Scoring!$AB$29:$AB$361,0)))</f>
        <v>Australia</v>
      </c>
      <c r="O91" s="10" t="n">
        <f aca="false">IFERROR(SMALL(Scoring!$AB$29:$AB$361,87),"")</f>
        <v>4901</v>
      </c>
    </row>
    <row r="92" customFormat="false" ht="28.35" hidden="false" customHeight="false" outlineLevel="0" collapsed="false">
      <c r="A92" s="5" t="n">
        <f aca="false">IF($O92="","",INT($O92/1000))</f>
        <v>5</v>
      </c>
      <c r="B92" s="6" t="str">
        <f aca="false">IF($O92="","",INDEX(Scoring!$A$29:$A$361,MATCH($O92,Scoring!$AB$29:$AB$361,0)))</f>
        <v>Emcure</v>
      </c>
      <c r="C92" s="5" t="n">
        <f aca="false">IF($O92="","",IF(INDEX(Scoring!$P$29:$P$361,MATCH($O92,Scoring!$AB$29:$AB$361,0))="","–",INDEX(Scoring!$P$29:$P$361,MATCH($O92,Scoring!$AB$29:$AB$361,0))))</f>
        <v>1</v>
      </c>
      <c r="D92" s="6" t="str">
        <f aca="false">IF($O92="","",INDEX(Scoring!$Q$29:$Q$361,MATCH($O92,Scoring!$AB$29:$AB$361,0)))</f>
        <v>Priority 1</v>
      </c>
      <c r="E92" s="7" t="str">
        <f aca="false">IF($O92="","",INDEX(Scoring!$AJ$29:$AJ$361,MATCH($O92,Scoring!$AB$29:$AB$361,0)))</f>
        <v>High price · high volume</v>
      </c>
      <c r="F92" s="6" t="str">
        <f aca="false">IF($O92="","",INDEX(Scoring!$B$29:$B$361,MATCH($O92,Scoring!$AB$29:$AB$361,0)))</f>
        <v>Azacitidine</v>
      </c>
      <c r="G92" s="7" t="str">
        <f aca="false">IF($O92="","",INDEX(Scoring!$AG$29:$AG$361,MATCH($O92,Scoring!$AB$29:$AB$361,0)))</f>
        <v>Azacitidine Tillomed; Azacitidin Tillomed</v>
      </c>
      <c r="H92" s="7" t="str">
        <f aca="false">IF($O92="","",INDEX(Scoring!$C$29:$C$361,MATCH($O92,Scoring!$AB$29:$AB$361,0)))</f>
        <v>Oncology: myelodysplastic syndromes, acute myeloid leukaemia</v>
      </c>
      <c r="I92" s="6" t="str">
        <f aca="false">IF($O92="","",INDEX(Scoring!$I$29:$I$361,MATCH($O92,Scoring!$AB$29:$AB$361,0)))</f>
        <v>Vial</v>
      </c>
      <c r="J92" s="7" t="str">
        <f aca="false">IF($O92="","",INDEX(Scoring!$Z$29:$Z$361,MATCH($O92,Scoring!$AB$29:$AB$361,0)))</f>
        <v>25 mg/mL powder vial; 100 mg powder vial</v>
      </c>
      <c r="K92" s="8" t="n">
        <f aca="false">IF($O92="","",IF(INDEX(Scoring!$D$29:$D$361,MATCH($O92,Scoring!$AB$29:$AB$361,0))="",INDEX(Scoring!$AF$29:$AF$361,MATCH($O92,Scoring!$AB$29:$AB$361,0)),INDEX(Scoring!$D$29:$D$361,MATCH($O92,Scoring!$AB$29:$AB$361,0))))</f>
        <v>410.89</v>
      </c>
      <c r="L92" s="9" t="n">
        <f aca="false">IF($O92="","",INDEX(Scoring!$M$29:$M$361,MATCH($O92,Scoring!$AB$29:$AB$361,0)))</f>
        <v>632</v>
      </c>
      <c r="M92" s="9" t="n">
        <f aca="false">IF($O92="","",INDEX(Scoring!$F$29:$F$361,MATCH($O92,Scoring!$AB$29:$AB$361,0)))</f>
        <v>42181.7</v>
      </c>
      <c r="N92" s="7" t="str">
        <f aca="false">IF($O92="","",INDEX(Scoring!$AI$29:$AI$361,MATCH($O92,Scoring!$AB$29:$AB$361,0)))</f>
        <v>UK, UK-NI | EU/EEA (9): Germany, France, Netherlands, Austria + 5 more</v>
      </c>
      <c r="O92" s="10" t="n">
        <f aca="false">IFERROR(SMALL(Scoring!$AB$29:$AB$361,88),"")</f>
        <v>5001</v>
      </c>
    </row>
    <row r="93" customFormat="false" ht="28.35" hidden="false" customHeight="false" outlineLevel="0" collapsed="false">
      <c r="A93" s="5" t="n">
        <f aca="false">IF($O93="","",INT($O93/1000))</f>
        <v>5</v>
      </c>
      <c r="B93" s="6" t="str">
        <f aca="false">IF($O93="","",INDEX(Scoring!$A$29:$A$361,MATCH($O93,Scoring!$AB$29:$AB$361,0)))</f>
        <v>Emcure</v>
      </c>
      <c r="C93" s="5" t="n">
        <f aca="false">IF($O93="","",IF(INDEX(Scoring!$P$29:$P$361,MATCH($O93,Scoring!$AB$29:$AB$361,0))="","–",INDEX(Scoring!$P$29:$P$361,MATCH($O93,Scoring!$AB$29:$AB$361,0))))</f>
        <v>2</v>
      </c>
      <c r="D93" s="6" t="str">
        <f aca="false">IF($O93="","",INDEX(Scoring!$Q$29:$Q$361,MATCH($O93,Scoring!$AB$29:$AB$361,0)))</f>
        <v>Priority 1</v>
      </c>
      <c r="E93" s="7" t="str">
        <f aca="false">IF($O93="","",INDEX(Scoring!$AJ$29:$AJ$361,MATCH($O93,Scoring!$AB$29:$AB$361,0)))</f>
        <v>High price · high volume</v>
      </c>
      <c r="F93" s="6" t="str">
        <f aca="false">IF($O93="","",INDEX(Scoring!$B$29:$B$361,MATCH($O93,Scoring!$AB$29:$AB$361,0)))</f>
        <v>Bortezomib</v>
      </c>
      <c r="G93" s="7" t="str">
        <f aca="false">IF($O93="","",INDEX(Scoring!$AG$29:$AG$361,MATCH($O93,Scoring!$AB$29:$AB$361,0)))</f>
        <v>Bortezomib Tillomed; Bortezomib</v>
      </c>
      <c r="H93" s="7" t="str">
        <f aca="false">IF($O93="","",INDEX(Scoring!$C$29:$C$361,MATCH($O93,Scoring!$AB$29:$AB$361,0)))</f>
        <v>Oncology: multiple myeloma, mantle cell lymphoma</v>
      </c>
      <c r="I93" s="6" t="str">
        <f aca="false">IF($O93="","",INDEX(Scoring!$I$29:$I$361,MATCH($O93,Scoring!$AB$29:$AB$361,0)))</f>
        <v>Vial</v>
      </c>
      <c r="J93" s="7" t="str">
        <f aca="false">IF($O93="","",INDEX(Scoring!$Z$29:$Z$361,MATCH($O93,Scoring!$AB$29:$AB$361,0)))</f>
        <v>3.5 mg powder vial; 3.5 mg in 10 mL powder vial</v>
      </c>
      <c r="K93" s="8" t="n">
        <f aca="false">IF($O93="","",IF(INDEX(Scoring!$D$29:$D$361,MATCH($O93,Scoring!$AB$29:$AB$361,0))="",INDEX(Scoring!$AF$29:$AF$361,MATCH($O93,Scoring!$AB$29:$AB$361,0)),INDEX(Scoring!$D$29:$D$361,MATCH($O93,Scoring!$AB$29:$AB$361,0))))</f>
        <v>1212.91</v>
      </c>
      <c r="L93" s="9" t="n">
        <f aca="false">IF($O93="","",INDEX(Scoring!$M$29:$M$361,MATCH($O93,Scoring!$AB$29:$AB$361,0)))</f>
        <v>905</v>
      </c>
      <c r="M93" s="9" t="n">
        <f aca="false">IF($O93="","",INDEX(Scoring!$F$29:$F$361,MATCH($O93,Scoring!$AB$29:$AB$361,0)))</f>
        <v>28093.4</v>
      </c>
      <c r="N93" s="7" t="str">
        <f aca="false">IF($O93="","",INDEX(Scoring!$AI$29:$AI$361,MATCH($O93,Scoring!$AB$29:$AB$361,0)))</f>
        <v>Canada, UK-NI | EU/EEA (2): Germany, France</v>
      </c>
      <c r="O93" s="10" t="n">
        <f aca="false">IFERROR(SMALL(Scoring!$AB$29:$AB$361,89),"")</f>
        <v>5002</v>
      </c>
    </row>
    <row r="94" customFormat="false" ht="41.75" hidden="false" customHeight="false" outlineLevel="0" collapsed="false">
      <c r="A94" s="5" t="n">
        <f aca="false">IF($O94="","",INT($O94/1000))</f>
        <v>5</v>
      </c>
      <c r="B94" s="6" t="str">
        <f aca="false">IF($O94="","",INDEX(Scoring!$A$29:$A$361,MATCH($O94,Scoring!$AB$29:$AB$361,0)))</f>
        <v>Emcure</v>
      </c>
      <c r="C94" s="5" t="n">
        <f aca="false">IF($O94="","",IF(INDEX(Scoring!$P$29:$P$361,MATCH($O94,Scoring!$AB$29:$AB$361,0))="","–",INDEX(Scoring!$P$29:$P$361,MATCH($O94,Scoring!$AB$29:$AB$361,0))))</f>
        <v>3</v>
      </c>
      <c r="D94" s="6" t="str">
        <f aca="false">IF($O94="","",INDEX(Scoring!$Q$29:$Q$361,MATCH($O94,Scoring!$AB$29:$AB$361,0)))</f>
        <v>Priority 1</v>
      </c>
      <c r="E94" s="7" t="str">
        <f aca="false">IF($O94="","",INDEX(Scoring!$AJ$29:$AJ$361,MATCH($O94,Scoring!$AB$29:$AB$361,0)))</f>
        <v>High price · high volume</v>
      </c>
      <c r="F94" s="6" t="str">
        <f aca="false">IF($O94="","",INDEX(Scoring!$B$29:$B$361,MATCH($O94,Scoring!$AB$29:$AB$361,0)))</f>
        <v>Amikacin</v>
      </c>
      <c r="G94" s="7" t="str">
        <f aca="false">IF($O94="","",INDEX(Scoring!$AG$29:$AG$361,MATCH($O94,Scoring!$AB$29:$AB$361,0)))</f>
        <v>Amikacin; Amikacin Tillomed Laboratories; Amikacin Sulfate (+1 more)</v>
      </c>
      <c r="H94" s="7" t="str">
        <f aca="false">IF($O94="","",INDEX(Scoring!$C$29:$C$361,MATCH($O94,Scoring!$AB$29:$AB$361,0)))</f>
        <v>Anti-infective: serious and drug-resistant Gram-negative infections, resistant TB</v>
      </c>
      <c r="I94" s="6" t="str">
        <f aca="false">IF($O94="","",INDEX(Scoring!$I$29:$I$361,MATCH($O94,Scoring!$AB$29:$AB$361,0)))</f>
        <v>Vial</v>
      </c>
      <c r="J94" s="7" t="str">
        <f aca="false">IF($O94="","",INDEX(Scoring!$Z$29:$Z$361,MATCH($O94,Scoring!$AB$29:$AB$361,0)))</f>
        <v>500 mg/2 mL vial</v>
      </c>
      <c r="K94" s="8" t="n">
        <f aca="false">IF($O94="","",IF(INDEX(Scoring!$D$29:$D$361,MATCH($O94,Scoring!$AB$29:$AB$361,0))="",INDEX(Scoring!$AF$29:$AF$361,MATCH($O94,Scoring!$AB$29:$AB$361,0)),INDEX(Scoring!$D$29:$D$361,MATCH($O94,Scoring!$AB$29:$AB$361,0))))</f>
        <v>27.98</v>
      </c>
      <c r="L94" s="9" t="n">
        <f aca="false">IF($O94="","",INDEX(Scoring!$M$29:$M$361,MATCH($O94,Scoring!$AB$29:$AB$361,0)))</f>
        <v>657</v>
      </c>
      <c r="M94" s="9" t="n">
        <f aca="false">IF($O94="","",INDEX(Scoring!$F$29:$F$361,MATCH($O94,Scoring!$AB$29:$AB$361,0)))</f>
        <v>8433.6</v>
      </c>
      <c r="N94" s="7" t="str">
        <f aca="false">IF($O94="","",INDEX(Scoring!$AI$29:$AI$361,MATCH($O94,Scoring!$AB$29:$AB$361,0)))</f>
        <v>UK, Canada, Australia, UK-NI | EU/EEA (1): Malta</v>
      </c>
      <c r="O94" s="10" t="n">
        <f aca="false">IFERROR(SMALL(Scoring!$AB$29:$AB$361,90),"")</f>
        <v>5003</v>
      </c>
    </row>
    <row r="95" customFormat="false" ht="28.35" hidden="false" customHeight="false" outlineLevel="0" collapsed="false">
      <c r="A95" s="5" t="n">
        <f aca="false">IF($O95="","",INT($O95/1000))</f>
        <v>5</v>
      </c>
      <c r="B95" s="6" t="str">
        <f aca="false">IF($O95="","",INDEX(Scoring!$A$29:$A$361,MATCH($O95,Scoring!$AB$29:$AB$361,0)))</f>
        <v>Emcure</v>
      </c>
      <c r="C95" s="5" t="n">
        <f aca="false">IF($O95="","",IF(INDEX(Scoring!$P$29:$P$361,MATCH($O95,Scoring!$AB$29:$AB$361,0))="","–",INDEX(Scoring!$P$29:$P$361,MATCH($O95,Scoring!$AB$29:$AB$361,0))))</f>
        <v>4</v>
      </c>
      <c r="D95" s="6" t="str">
        <f aca="false">IF($O95="","",INDEX(Scoring!$Q$29:$Q$361,MATCH($O95,Scoring!$AB$29:$AB$361,0)))</f>
        <v>Priority 2</v>
      </c>
      <c r="E95" s="7" t="str">
        <f aca="false">IF($O95="","",INDEX(Scoring!$AJ$29:$AJ$361,MATCH($O95,Scoring!$AB$29:$AB$361,0)))</f>
        <v>Lower price · high volume</v>
      </c>
      <c r="F95" s="6" t="str">
        <f aca="false">IF($O95="","",INDEX(Scoring!$B$29:$B$361,MATCH($O95,Scoring!$AB$29:$AB$361,0)))</f>
        <v>Ampicillin</v>
      </c>
      <c r="G95" s="7" t="str">
        <f aca="false">IF($O95="","",INDEX(Scoring!$AG$29:$AG$361,MATCH($O95,Scoring!$AB$29:$AB$361,0)))</f>
        <v>Ampicillina Tillomed</v>
      </c>
      <c r="H95" s="7" t="str">
        <f aca="false">IF($O95="","",INDEX(Scoring!$C$29:$C$361,MATCH($O95,Scoring!$AB$29:$AB$361,0)))</f>
        <v>Anti-infective: meningitis, endocarditis, neonatal sepsis</v>
      </c>
      <c r="I95" s="6" t="str">
        <f aca="false">IF($O95="","",INDEX(Scoring!$I$29:$I$361,MATCH($O95,Scoring!$AB$29:$AB$361,0)))</f>
        <v>Vial</v>
      </c>
      <c r="J95" s="7" t="str">
        <f aca="false">IF($O95="","",INDEX(Scoring!$Z$29:$Z$361,MATCH($O95,Scoring!$AB$29:$AB$361,0)))</f>
        <v>1 g vial</v>
      </c>
      <c r="K95" s="8" t="n">
        <f aca="false">IF($O95="","",IF(INDEX(Scoring!$D$29:$D$361,MATCH($O95,Scoring!$AB$29:$AB$361,0))="",INDEX(Scoring!$AF$29:$AF$361,MATCH($O95,Scoring!$AB$29:$AB$361,0)),INDEX(Scoring!$D$29:$D$361,MATCH($O95,Scoring!$AB$29:$AB$361,0))))</f>
        <v>9.04</v>
      </c>
      <c r="L95" s="9" t="n">
        <f aca="false">IF($O95="","",INDEX(Scoring!$M$29:$M$361,MATCH($O95,Scoring!$AB$29:$AB$361,0)))</f>
        <v>934</v>
      </c>
      <c r="M95" s="9" t="n">
        <f aca="false">IF($O95="","",INDEX(Scoring!$F$29:$F$361,MATCH($O95,Scoring!$AB$29:$AB$361,0)))</f>
        <v>35129.8</v>
      </c>
      <c r="N95" s="7" t="str">
        <f aca="false">IF($O95="","",INDEX(Scoring!$AI$29:$AI$361,MATCH($O95,Scoring!$AB$29:$AB$361,0)))</f>
        <v>EU/EEA (1): Italy</v>
      </c>
      <c r="O95" s="10" t="n">
        <f aca="false">IFERROR(SMALL(Scoring!$AB$29:$AB$361,91),"")</f>
        <v>5004</v>
      </c>
    </row>
    <row r="96" customFormat="false" ht="28.35" hidden="false" customHeight="false" outlineLevel="0" collapsed="false">
      <c r="A96" s="5" t="n">
        <f aca="false">IF($O96="","",INT($O96/1000))</f>
        <v>5</v>
      </c>
      <c r="B96" s="6" t="str">
        <f aca="false">IF($O96="","",INDEX(Scoring!$A$29:$A$361,MATCH($O96,Scoring!$AB$29:$AB$361,0)))</f>
        <v>Emcure</v>
      </c>
      <c r="C96" s="5" t="n">
        <f aca="false">IF($O96="","",IF(INDEX(Scoring!$P$29:$P$361,MATCH($O96,Scoring!$AB$29:$AB$361,0))="","–",INDEX(Scoring!$P$29:$P$361,MATCH($O96,Scoring!$AB$29:$AB$361,0))))</f>
        <v>5</v>
      </c>
      <c r="D96" s="6" t="str">
        <f aca="false">IF($O96="","",INDEX(Scoring!$Q$29:$Q$361,MATCH($O96,Scoring!$AB$29:$AB$361,0)))</f>
        <v>Priority 2</v>
      </c>
      <c r="E96" s="7" t="str">
        <f aca="false">IF($O96="","",INDEX(Scoring!$AJ$29:$AJ$361,MATCH($O96,Scoring!$AB$29:$AB$361,0)))</f>
        <v>Lower price · high volume</v>
      </c>
      <c r="F96" s="6" t="str">
        <f aca="false">IF($O96="","",INDEX(Scoring!$B$29:$B$361,MATCH($O96,Scoring!$AB$29:$AB$361,0)))</f>
        <v>Ondansetron</v>
      </c>
      <c r="G96" s="7" t="str">
        <f aca="false">IF($O96="","",INDEX(Scoring!$AG$29:$AG$361,MATCH($O96,Scoring!$AB$29:$AB$361,0)))</f>
        <v>Ondansetron Tillomed</v>
      </c>
      <c r="H96" s="7" t="str">
        <f aca="false">IF($O96="","",INDEX(Scoring!$C$29:$C$361,MATCH($O96,Scoring!$AB$29:$AB$361,0)))</f>
        <v>Oncology support: nausea and vomiting from chemotherapy and surgery</v>
      </c>
      <c r="I96" s="6" t="str">
        <f aca="false">IF($O96="","",INDEX(Scoring!$I$29:$I$361,MATCH($O96,Scoring!$AB$29:$AB$361,0)))</f>
        <v>Ampoule</v>
      </c>
      <c r="J96" s="7" t="str">
        <f aca="false">IF($O96="","",INDEX(Scoring!$Z$29:$Z$361,MATCH($O96,Scoring!$AB$29:$AB$361,0)))</f>
        <v>4 mg/2 mL ampoule</v>
      </c>
      <c r="K96" s="8" t="n">
        <f aca="false">IF($O96="","",IF(INDEX(Scoring!$D$29:$D$361,MATCH($O96,Scoring!$AB$29:$AB$361,0))="",INDEX(Scoring!$AF$29:$AF$361,MATCH($O96,Scoring!$AB$29:$AB$361,0)),INDEX(Scoring!$D$29:$D$361,MATCH($O96,Scoring!$AB$29:$AB$361,0))))</f>
        <v>5.32</v>
      </c>
      <c r="L96" s="9" t="n">
        <f aca="false">IF($O96="","",INDEX(Scoring!$M$29:$M$361,MATCH($O96,Scoring!$AB$29:$AB$361,0)))</f>
        <v>963</v>
      </c>
      <c r="M96" s="9" t="n">
        <f aca="false">IF($O96="","",INDEX(Scoring!$F$29:$F$361,MATCH($O96,Scoring!$AB$29:$AB$361,0)))</f>
        <v>17590.5</v>
      </c>
      <c r="N96" s="7" t="str">
        <f aca="false">IF($O96="","",INDEX(Scoring!$AI$29:$AI$361,MATCH($O96,Scoring!$AB$29:$AB$361,0)))</f>
        <v>EU/EEA (1): Germany</v>
      </c>
      <c r="O96" s="10" t="n">
        <f aca="false">IFERROR(SMALL(Scoring!$AB$29:$AB$361,92),"")</f>
        <v>5005</v>
      </c>
    </row>
    <row r="97" customFormat="false" ht="28.35" hidden="false" customHeight="false" outlineLevel="0" collapsed="false">
      <c r="A97" s="5" t="n">
        <f aca="false">IF($O97="","",INT($O97/1000))</f>
        <v>5</v>
      </c>
      <c r="B97" s="6" t="str">
        <f aca="false">IF($O97="","",INDEX(Scoring!$A$29:$A$361,MATCH($O97,Scoring!$AB$29:$AB$361,0)))</f>
        <v>Emcure</v>
      </c>
      <c r="C97" s="5" t="n">
        <f aca="false">IF($O97="","",IF(INDEX(Scoring!$P$29:$P$361,MATCH($O97,Scoring!$AB$29:$AB$361,0))="","–",INDEX(Scoring!$P$29:$P$361,MATCH($O97,Scoring!$AB$29:$AB$361,0))))</f>
        <v>6</v>
      </c>
      <c r="D97" s="6" t="str">
        <f aca="false">IF($O97="","",INDEX(Scoring!$Q$29:$Q$361,MATCH($O97,Scoring!$AB$29:$AB$361,0)))</f>
        <v>Priority 2</v>
      </c>
      <c r="E97" s="7" t="str">
        <f aca="false">IF($O97="","",INDEX(Scoring!$AJ$29:$AJ$361,MATCH($O97,Scoring!$AB$29:$AB$361,0)))</f>
        <v>High price · lower volume</v>
      </c>
      <c r="F97" s="6" t="str">
        <f aca="false">IF($O97="","",INDEX(Scoring!$B$29:$B$361,MATCH($O97,Scoring!$AB$29:$AB$361,0)))</f>
        <v>Plerixafor</v>
      </c>
      <c r="G97" s="7" t="str">
        <f aca="false">IF($O97="","",INDEX(Scoring!$AG$29:$AG$361,MATCH($O97,Scoring!$AB$29:$AB$361,0)))</f>
        <v>Plerixafor; Plerixafor Tillomed</v>
      </c>
      <c r="H97" s="7" t="str">
        <f aca="false">IF($O97="","",INDEX(Scoring!$C$29:$C$361,MATCH($O97,Scoring!$AB$29:$AB$361,0)))</f>
        <v>Oncology support: stem cell mobilisation in myeloma and lymphoma</v>
      </c>
      <c r="I97" s="6" t="str">
        <f aca="false">IF($O97="","",INDEX(Scoring!$I$29:$I$361,MATCH($O97,Scoring!$AB$29:$AB$361,0)))</f>
        <v>Vial</v>
      </c>
      <c r="J97" s="7" t="str">
        <f aca="false">IF($O97="","",INDEX(Scoring!$Z$29:$Z$361,MATCH($O97,Scoring!$AB$29:$AB$361,0)))</f>
        <v>24 mg/1.2 mL vial</v>
      </c>
      <c r="K97" s="8" t="n">
        <f aca="false">IF($O97="","",IF(INDEX(Scoring!$D$29:$D$361,MATCH($O97,Scoring!$AB$29:$AB$361,0))="",INDEX(Scoring!$AF$29:$AF$361,MATCH($O97,Scoring!$AB$29:$AB$361,0)),INDEX(Scoring!$D$29:$D$361,MATCH($O97,Scoring!$AB$29:$AB$361,0))))</f>
        <v>6173.01</v>
      </c>
      <c r="L97" s="9" t="n">
        <f aca="false">IF($O97="","",INDEX(Scoring!$M$29:$M$361,MATCH($O97,Scoring!$AB$29:$AB$361,0)))</f>
        <v>47</v>
      </c>
      <c r="M97" s="9" t="n">
        <f aca="false">IF($O97="","",INDEX(Scoring!$F$29:$F$361,MATCH($O97,Scoring!$AB$29:$AB$361,0)))</f>
        <v>7904.7</v>
      </c>
      <c r="N97" s="7" t="str">
        <f aca="false">IF($O97="","",INDEX(Scoring!$AI$29:$AI$361,MATCH($O97,Scoring!$AB$29:$AB$361,0)))</f>
        <v>UK | EU/EEA (3): Germany, France, Italy</v>
      </c>
      <c r="O97" s="10" t="n">
        <f aca="false">IFERROR(SMALL(Scoring!$AB$29:$AB$361,93),"")</f>
        <v>5006</v>
      </c>
    </row>
    <row r="98" customFormat="false" ht="28.35" hidden="false" customHeight="false" outlineLevel="0" collapsed="false">
      <c r="A98" s="5" t="n">
        <f aca="false">IF($O98="","",INT($O98/1000))</f>
        <v>5</v>
      </c>
      <c r="B98" s="6" t="str">
        <f aca="false">IF($O98="","",INDEX(Scoring!$A$29:$A$361,MATCH($O98,Scoring!$AB$29:$AB$361,0)))</f>
        <v>Emcure</v>
      </c>
      <c r="C98" s="5" t="n">
        <f aca="false">IF($O98="","",IF(INDEX(Scoring!$P$29:$P$361,MATCH($O98,Scoring!$AB$29:$AB$361,0))="","–",INDEX(Scoring!$P$29:$P$361,MATCH($O98,Scoring!$AB$29:$AB$361,0))))</f>
        <v>7</v>
      </c>
      <c r="D98" s="6" t="str">
        <f aca="false">IF($O98="","",INDEX(Scoring!$Q$29:$Q$361,MATCH($O98,Scoring!$AB$29:$AB$361,0)))</f>
        <v>Priority 2</v>
      </c>
      <c r="E98" s="7" t="str">
        <f aca="false">IF($O98="","",INDEX(Scoring!$AJ$29:$AJ$361,MATCH($O98,Scoring!$AB$29:$AB$361,0)))</f>
        <v>High price · lower volume</v>
      </c>
      <c r="F98" s="6" t="str">
        <f aca="false">IF($O98="","",INDEX(Scoring!$B$29:$B$361,MATCH($O98,Scoring!$AB$29:$AB$361,0)))</f>
        <v>Isoprenaline (Isoproterenol)</v>
      </c>
      <c r="G98" s="7" t="str">
        <f aca="false">IF($O98="","",INDEX(Scoring!$AG$29:$AG$361,MATCH($O98,Scoring!$AB$29:$AB$361,0)))</f>
        <v>Isoproterenol Hydrochloride</v>
      </c>
      <c r="H98" s="7" t="str">
        <f aca="false">IF($O98="","",INDEX(Scoring!$C$29:$C$361,MATCH($O98,Scoring!$AB$29:$AB$361,0)))</f>
        <v>Cardiovascular: heart block, severe slow heart rate</v>
      </c>
      <c r="I98" s="6" t="str">
        <f aca="false">IF($O98="","",INDEX(Scoring!$I$29:$I$361,MATCH($O98,Scoring!$AB$29:$AB$361,0)))</f>
        <v>Vial</v>
      </c>
      <c r="J98" s="7" t="str">
        <f aca="false">IF($O98="","",INDEX(Scoring!$Z$29:$Z$361,MATCH($O98,Scoring!$AB$29:$AB$361,0)))</f>
        <v>0.2 mg/1 mL vial; 1 mg/5 mL vial</v>
      </c>
      <c r="K98" s="8" t="n">
        <f aca="false">IF($O98="","",IF(INDEX(Scoring!$D$29:$D$361,MATCH($O98,Scoring!$AB$29:$AB$361,0))="",INDEX(Scoring!$AF$29:$AF$361,MATCH($O98,Scoring!$AB$29:$AB$361,0)),INDEX(Scoring!$D$29:$D$361,MATCH($O98,Scoring!$AB$29:$AB$361,0))))</f>
        <v>25.24</v>
      </c>
      <c r="L98" s="9" t="n">
        <f aca="false">IF($O98="","",INDEX(Scoring!$M$29:$M$361,MATCH($O98,Scoring!$AB$29:$AB$361,0)))</f>
        <v>87</v>
      </c>
      <c r="M98" s="9" t="n">
        <f aca="false">IF($O98="","",INDEX(Scoring!$F$29:$F$361,MATCH($O98,Scoring!$AB$29:$AB$361,0)))</f>
        <v>2931.4</v>
      </c>
      <c r="N98" s="7" t="str">
        <f aca="false">IF($O98="","",INDEX(Scoring!$AI$29:$AI$361,MATCH($O98,Scoring!$AB$29:$AB$361,0)))</f>
        <v>Canada | EU/EEA (2): France, Portugal</v>
      </c>
      <c r="O98" s="10" t="n">
        <f aca="false">IFERROR(SMALL(Scoring!$AB$29:$AB$361,94),"")</f>
        <v>5007</v>
      </c>
    </row>
    <row r="99" customFormat="false" ht="28.35" hidden="false" customHeight="false" outlineLevel="0" collapsed="false">
      <c r="A99" s="5" t="n">
        <f aca="false">IF($O99="","",INT($O99/1000))</f>
        <v>5</v>
      </c>
      <c r="B99" s="6" t="str">
        <f aca="false">IF($O99="","",INDEX(Scoring!$A$29:$A$361,MATCH($O99,Scoring!$AB$29:$AB$361,0)))</f>
        <v>Emcure</v>
      </c>
      <c r="C99" s="5" t="n">
        <f aca="false">IF($O99="","",IF(INDEX(Scoring!$P$29:$P$361,MATCH($O99,Scoring!$AB$29:$AB$361,0))="","–",INDEX(Scoring!$P$29:$P$361,MATCH($O99,Scoring!$AB$29:$AB$361,0))))</f>
        <v>8</v>
      </c>
      <c r="D99" s="6" t="str">
        <f aca="false">IF($O99="","",INDEX(Scoring!$Q$29:$Q$361,MATCH($O99,Scoring!$AB$29:$AB$361,0)))</f>
        <v>Priority 2</v>
      </c>
      <c r="E99" s="7" t="str">
        <f aca="false">IF($O99="","",INDEX(Scoring!$AJ$29:$AJ$361,MATCH($O99,Scoring!$AB$29:$AB$361,0)))</f>
        <v>Lower price · high volume</v>
      </c>
      <c r="F99" s="6" t="str">
        <f aca="false">IF($O99="","",INDEX(Scoring!$B$29:$B$361,MATCH($O99,Scoring!$AB$29:$AB$361,0)))</f>
        <v>Neostigmine</v>
      </c>
      <c r="G99" s="7" t="str">
        <f aca="false">IF($O99="","",INDEX(Scoring!$AG$29:$AG$361,MATCH($O99,Scoring!$AB$29:$AB$361,0)))</f>
        <v>Neostigmine Methylsulfate</v>
      </c>
      <c r="H99" s="7" t="str">
        <f aca="false">IF($O99="","",INDEX(Scoring!$C$29:$C$361,MATCH($O99,Scoring!$AB$29:$AB$361,0)))</f>
        <v>Anaesthesia and neurology: reversal of muscle relaxants after surgery, myasthenia gravis</v>
      </c>
      <c r="I99" s="6" t="str">
        <f aca="false">IF($O99="","",INDEX(Scoring!$I$29:$I$361,MATCH($O99,Scoring!$AB$29:$AB$361,0)))</f>
        <v>Vial</v>
      </c>
      <c r="J99" s="7" t="str">
        <f aca="false">IF($O99="","",INDEX(Scoring!$Z$29:$Z$361,MATCH($O99,Scoring!$AB$29:$AB$361,0)))</f>
        <v>5 mg/10 mL vial; 10 mg/10 mL vial</v>
      </c>
      <c r="K99" s="8" t="n">
        <f aca="false">IF($O99="","",IF(INDEX(Scoring!$D$29:$D$361,MATCH($O99,Scoring!$AB$29:$AB$361,0))="",INDEX(Scoring!$AF$29:$AF$361,MATCH($O99,Scoring!$AB$29:$AB$361,0)),INDEX(Scoring!$D$29:$D$361,MATCH($O99,Scoring!$AB$29:$AB$361,0))))</f>
        <v>7.98</v>
      </c>
      <c r="L99" s="9" t="n">
        <f aca="false">IF($O99="","",INDEX(Scoring!$M$29:$M$361,MATCH($O99,Scoring!$AB$29:$AB$361,0)))</f>
        <v>234</v>
      </c>
      <c r="M99" s="9" t="n">
        <f aca="false">IF($O99="","",INDEX(Scoring!$F$29:$F$361,MATCH($O99,Scoring!$AB$29:$AB$361,0)))</f>
        <v>1830.5</v>
      </c>
      <c r="N99" s="7" t="str">
        <f aca="false">IF($O99="","",INDEX(Scoring!$AI$29:$AI$361,MATCH($O99,Scoring!$AB$29:$AB$361,0)))</f>
        <v>Canada</v>
      </c>
      <c r="O99" s="10" t="n">
        <f aca="false">IFERROR(SMALL(Scoring!$AB$29:$AB$361,95),"")</f>
        <v>5008</v>
      </c>
    </row>
    <row r="100" customFormat="false" ht="55.2" hidden="false" customHeight="false" outlineLevel="0" collapsed="false">
      <c r="A100" s="5" t="n">
        <f aca="false">IF($O100="","",INT($O100/1000))</f>
        <v>5</v>
      </c>
      <c r="B100" s="6" t="str">
        <f aca="false">IF($O100="","",INDEX(Scoring!$A$29:$A$361,MATCH($O100,Scoring!$AB$29:$AB$361,0)))</f>
        <v>Emcure</v>
      </c>
      <c r="C100" s="5" t="n">
        <f aca="false">IF($O100="","",IF(INDEX(Scoring!$P$29:$P$361,MATCH($O100,Scoring!$AB$29:$AB$361,0))="","–",INDEX(Scoring!$P$29:$P$361,MATCH($O100,Scoring!$AB$29:$AB$361,0))))</f>
        <v>9</v>
      </c>
      <c r="D100" s="6" t="str">
        <f aca="false">IF($O100="","",INDEX(Scoring!$Q$29:$Q$361,MATCH($O100,Scoring!$AB$29:$AB$361,0)))</f>
        <v>Priority 2</v>
      </c>
      <c r="E100" s="7" t="str">
        <f aca="false">IF($O100="","",INDEX(Scoring!$AJ$29:$AJ$361,MATCH($O100,Scoring!$AB$29:$AB$361,0)))</f>
        <v>High price · lower volume</v>
      </c>
      <c r="F100" s="6" t="str">
        <f aca="false">IF($O100="","",INDEX(Scoring!$B$29:$B$361,MATCH($O100,Scoring!$AB$29:$AB$361,0)))</f>
        <v>Pentamidine</v>
      </c>
      <c r="G100" s="7" t="str">
        <f aca="false">IF($O100="","",INDEX(Scoring!$AG$29:$AG$361,MATCH($O100,Scoring!$AB$29:$AB$361,0)))</f>
        <v>Pentamidine Isetionate Tillomed; Pentamidindiisetionat Tillomed; Pentamidine Isetionate (+1 more)</v>
      </c>
      <c r="H100" s="7" t="str">
        <f aca="false">IF($O100="","",INDEX(Scoring!$C$29:$C$361,MATCH($O100,Scoring!$AB$29:$AB$361,0)))</f>
        <v>Anti-infective: Pneumocystis pneumonia, leishmaniasis</v>
      </c>
      <c r="I100" s="6" t="str">
        <f aca="false">IF($O100="","",INDEX(Scoring!$I$29:$I$361,MATCH($O100,Scoring!$AB$29:$AB$361,0)))</f>
        <v>Vial</v>
      </c>
      <c r="J100" s="7" t="str">
        <f aca="false">IF($O100="","",INDEX(Scoring!$Z$29:$Z$361,MATCH($O100,Scoring!$AB$29:$AB$361,0)))</f>
        <v>300 mg powder vial; 300 mg in 20 mL powder vial</v>
      </c>
      <c r="K100" s="8" t="n">
        <f aca="false">IF($O100="","",IF(INDEX(Scoring!$D$29:$D$361,MATCH($O100,Scoring!$AB$29:$AB$361,0))="",INDEX(Scoring!$AF$29:$AF$361,MATCH($O100,Scoring!$AB$29:$AB$361,0)),INDEX(Scoring!$D$29:$D$361,MATCH($O100,Scoring!$AB$29:$AB$361,0))))</f>
        <v>186.04</v>
      </c>
      <c r="L100" s="9" t="n">
        <f aca="false">IF($O100="","",INDEX(Scoring!$M$29:$M$361,MATCH($O100,Scoring!$AB$29:$AB$361,0)))</f>
        <v>9</v>
      </c>
      <c r="M100" s="9" t="n">
        <f aca="false">IF($O100="","",INDEX(Scoring!$F$29:$F$361,MATCH($O100,Scoring!$AB$29:$AB$361,0)))</f>
        <v>1652</v>
      </c>
      <c r="N100" s="7" t="str">
        <f aca="false">IF($O100="","",INDEX(Scoring!$AI$29:$AI$361,MATCH($O100,Scoring!$AB$29:$AB$361,0)))</f>
        <v>UK, Canada, Australia, UK-NI | EU/EEA (8): Germany, France, Netherlands, Denmark + 4 more</v>
      </c>
      <c r="O100" s="10" t="n">
        <f aca="false">IFERROR(SMALL(Scoring!$AB$29:$AB$361,96),"")</f>
        <v>5009</v>
      </c>
    </row>
    <row r="101" customFormat="false" ht="28.35" hidden="false" customHeight="false" outlineLevel="0" collapsed="false">
      <c r="A101" s="5" t="n">
        <f aca="false">IF($O101="","",INT($O101/1000))</f>
        <v>5</v>
      </c>
      <c r="B101" s="6" t="str">
        <f aca="false">IF($O101="","",INDEX(Scoring!$A$29:$A$361,MATCH($O101,Scoring!$AB$29:$AB$361,0)))</f>
        <v>Emcure</v>
      </c>
      <c r="C101" s="5" t="n">
        <f aca="false">IF($O101="","",IF(INDEX(Scoring!$P$29:$P$361,MATCH($O101,Scoring!$AB$29:$AB$361,0))="","–",INDEX(Scoring!$P$29:$P$361,MATCH($O101,Scoring!$AB$29:$AB$361,0))))</f>
        <v>10</v>
      </c>
      <c r="D101" s="6" t="str">
        <f aca="false">IF($O101="","",INDEX(Scoring!$Q$29:$Q$361,MATCH($O101,Scoring!$AB$29:$AB$361,0)))</f>
        <v>Priority 3</v>
      </c>
      <c r="E101" s="7" t="str">
        <f aca="false">IF($O101="","",INDEX(Scoring!$AJ$29:$AJ$361,MATCH($O101,Scoring!$AB$29:$AB$361,0)))</f>
        <v>Lower price · lower volume</v>
      </c>
      <c r="F101" s="6" t="str">
        <f aca="false">IF($O101="","",INDEX(Scoring!$B$29:$B$361,MATCH($O101,Scoring!$AB$29:$AB$361,0)))</f>
        <v>Colistimethate Sodium</v>
      </c>
      <c r="G101" s="7" t="str">
        <f aca="false">IF($O101="","",INDEX(Scoring!$AG$29:$AG$361,MATCH($O101,Scoring!$AB$29:$AB$361,0)))</f>
        <v>Colistimethate</v>
      </c>
      <c r="H101" s="7" t="str">
        <f aca="false">IF($O101="","",INDEX(Scoring!$C$29:$C$361,MATCH($O101,Scoring!$AB$29:$AB$361,0)))</f>
        <v>Anti-infective: last-line treatment for drug-resistant Gram-negative infections</v>
      </c>
      <c r="I101" s="6" t="str">
        <f aca="false">IF($O101="","",INDEX(Scoring!$I$29:$I$361,MATCH($O101,Scoring!$AB$29:$AB$361,0)))</f>
        <v>Vial</v>
      </c>
      <c r="J101" s="7" t="str">
        <f aca="false">IF($O101="","",INDEX(Scoring!$Z$29:$Z$361,MATCH($O101,Scoring!$AB$29:$AB$361,0)))</f>
        <v>150 mg/10 mL vial</v>
      </c>
      <c r="K101" s="8" t="n">
        <f aca="false">IF($O101="","",IF(INDEX(Scoring!$D$29:$D$361,MATCH($O101,Scoring!$AB$29:$AB$361,0))="",INDEX(Scoring!$AF$29:$AF$361,MATCH($O101,Scoring!$AB$29:$AB$361,0)),INDEX(Scoring!$D$29:$D$361,MATCH($O101,Scoring!$AB$29:$AB$361,0))))</f>
        <v>23.98</v>
      </c>
      <c r="L101" s="9" t="n">
        <f aca="false">IF($O101="","",INDEX(Scoring!$M$29:$M$361,MATCH($O101,Scoring!$AB$29:$AB$361,0)))</f>
        <v>83</v>
      </c>
      <c r="M101" s="9" t="n">
        <f aca="false">IF($O101="","",INDEX(Scoring!$F$29:$F$361,MATCH($O101,Scoring!$AB$29:$AB$361,0)))</f>
        <v>2033.7</v>
      </c>
      <c r="N101" s="7" t="str">
        <f aca="false">IF($O101="","",INDEX(Scoring!$AI$29:$AI$361,MATCH($O101,Scoring!$AB$29:$AB$361,0)))</f>
        <v>Canada</v>
      </c>
      <c r="O101" s="10" t="n">
        <f aca="false">IFERROR(SMALL(Scoring!$AB$29:$AB$361,97),"")</f>
        <v>5010</v>
      </c>
    </row>
    <row r="102" customFormat="false" ht="28.35" hidden="false" customHeight="false" outlineLevel="0" collapsed="false">
      <c r="A102" s="5" t="n">
        <f aca="false">IF($O102="","",INT($O102/1000))</f>
        <v>5</v>
      </c>
      <c r="B102" s="6" t="str">
        <f aca="false">IF($O102="","",INDEX(Scoring!$A$29:$A$361,MATCH($O102,Scoring!$AB$29:$AB$361,0)))</f>
        <v>Emcure</v>
      </c>
      <c r="C102" s="5" t="n">
        <f aca="false">IF($O102="","",IF(INDEX(Scoring!$P$29:$P$361,MATCH($O102,Scoring!$AB$29:$AB$361,0))="","–",INDEX(Scoring!$P$29:$P$361,MATCH($O102,Scoring!$AB$29:$AB$361,0))))</f>
        <v>11</v>
      </c>
      <c r="D102" s="6" t="str">
        <f aca="false">IF($O102="","",INDEX(Scoring!$Q$29:$Q$361,MATCH($O102,Scoring!$AB$29:$AB$361,0)))</f>
        <v>Priority 3</v>
      </c>
      <c r="E102" s="7" t="str">
        <f aca="false">IF($O102="","",INDEX(Scoring!$AJ$29:$AJ$361,MATCH($O102,Scoring!$AB$29:$AB$361,0)))</f>
        <v>Lower price · lower volume</v>
      </c>
      <c r="F102" s="6" t="str">
        <f aca="false">IF($O102="","",INDEX(Scoring!$B$29:$B$361,MATCH($O102,Scoring!$AB$29:$AB$361,0)))</f>
        <v>Acetazolamide</v>
      </c>
      <c r="G102" s="7" t="str">
        <f aca="false">IF($O102="","",INDEX(Scoring!$AG$29:$AG$361,MATCH($O102,Scoring!$AB$29:$AB$361,0)))</f>
        <v>Acetazolamide Tillomed</v>
      </c>
      <c r="H102" s="7" t="str">
        <f aca="false">IF($O102="","",INDEX(Scoring!$C$29:$C$361,MATCH($O102,Scoring!$AB$29:$AB$361,0)))</f>
        <v>Ophthalmology: acute angle-closure glaucoma, raised eye pressure, oedema</v>
      </c>
      <c r="I102" s="6" t="str">
        <f aca="false">IF($O102="","",INDEX(Scoring!$I$29:$I$361,MATCH($O102,Scoring!$AB$29:$AB$361,0)))</f>
        <v>Vial</v>
      </c>
      <c r="J102" s="7" t="str">
        <f aca="false">IF($O102="","",INDEX(Scoring!$Z$29:$Z$361,MATCH($O102,Scoring!$AB$29:$AB$361,0)))</f>
        <v>500 mg powder vial</v>
      </c>
      <c r="K102" s="8" t="n">
        <f aca="false">IF($O102="","",IF(INDEX(Scoring!$D$29:$D$361,MATCH($O102,Scoring!$AB$29:$AB$361,0))="",INDEX(Scoring!$AF$29:$AF$361,MATCH($O102,Scoring!$AB$29:$AB$361,0)),INDEX(Scoring!$D$29:$D$361,MATCH($O102,Scoring!$AB$29:$AB$361,0))))</f>
        <v>17.81</v>
      </c>
      <c r="L102" s="9" t="n">
        <f aca="false">IF($O102="","",INDEX(Scoring!$M$29:$M$361,MATCH($O102,Scoring!$AB$29:$AB$361,0)))</f>
        <v>48</v>
      </c>
      <c r="M102" s="9" t="n">
        <f aca="false">IF($O102="","",INDEX(Scoring!$F$29:$F$361,MATCH($O102,Scoring!$AB$29:$AB$361,0)))</f>
        <v>1405.2</v>
      </c>
      <c r="N102" s="7" t="str">
        <f aca="false">IF($O102="","",INDEX(Scoring!$AI$29:$AI$361,MATCH($O102,Scoring!$AB$29:$AB$361,0)))</f>
        <v>UK, UK-NI</v>
      </c>
      <c r="O102" s="10" t="n">
        <f aca="false">IFERROR(SMALL(Scoring!$AB$29:$AB$361,98),"")</f>
        <v>5011</v>
      </c>
    </row>
    <row r="103" customFormat="false" ht="28.35" hidden="false" customHeight="false" outlineLevel="0" collapsed="false">
      <c r="A103" s="5" t="n">
        <f aca="false">IF($O103="","",INT($O103/1000))</f>
        <v>6</v>
      </c>
      <c r="B103" s="6" t="str">
        <f aca="false">IF($O103="","",INDEX(Scoring!$A$29:$A$361,MATCH($O103,Scoring!$AB$29:$AB$361,0)))</f>
        <v>Venus Remedies</v>
      </c>
      <c r="C103" s="5" t="n">
        <f aca="false">IF($O103="","",IF(INDEX(Scoring!$P$29:$P$361,MATCH($O103,Scoring!$AB$29:$AB$361,0))="","–",INDEX(Scoring!$P$29:$P$361,MATCH($O103,Scoring!$AB$29:$AB$361,0))))</f>
        <v>1</v>
      </c>
      <c r="D103" s="6" t="str">
        <f aca="false">IF($O103="","",INDEX(Scoring!$Q$29:$Q$361,MATCH($O103,Scoring!$AB$29:$AB$361,0)))</f>
        <v>Priority 1</v>
      </c>
      <c r="E103" s="7" t="str">
        <f aca="false">IF($O103="","",INDEX(Scoring!$AJ$29:$AJ$361,MATCH($O103,Scoring!$AB$29:$AB$361,0)))</f>
        <v>High price · high volume</v>
      </c>
      <c r="F103" s="6" t="str">
        <f aca="false">IF($O103="","",INDEX(Scoring!$B$29:$B$361,MATCH($O103,Scoring!$AB$29:$AB$361,0)))</f>
        <v>Ceftriaxone</v>
      </c>
      <c r="G103" s="7" t="str">
        <f aca="false">IF($O103="","",INDEX(Scoring!$AG$29:$AG$361,MATCH($O103,Scoring!$AB$29:$AB$361,0)))</f>
        <v>Ceftriaxone</v>
      </c>
      <c r="H103" s="7" t="str">
        <f aca="false">IF($O103="","",INDEX(Scoring!$C$29:$C$361,MATCH($O103,Scoring!$AB$29:$AB$361,0)))</f>
        <v>Anti-infective: pneumonia, meningitis, sepsis, gonorrhoea, typhoid</v>
      </c>
      <c r="I103" s="6" t="str">
        <f aca="false">IF($O103="","",INDEX(Scoring!$I$29:$I$361,MATCH($O103,Scoring!$AB$29:$AB$361,0)))</f>
        <v>Vial</v>
      </c>
      <c r="J103" s="7" t="str">
        <f aca="false">IF($O103="","",INDEX(Scoring!$Z$29:$Z$361,MATCH($O103,Scoring!$AB$29:$AB$361,0)))</f>
        <v>2 g powder vial</v>
      </c>
      <c r="K103" s="8" t="n">
        <f aca="false">IF($O103="","",IF(INDEX(Scoring!$D$29:$D$361,MATCH($O103,Scoring!$AB$29:$AB$361,0))="",INDEX(Scoring!$AF$29:$AF$361,MATCH($O103,Scoring!$AB$29:$AB$361,0)),INDEX(Scoring!$D$29:$D$361,MATCH($O103,Scoring!$AB$29:$AB$361,0))))</f>
        <v>25.36</v>
      </c>
      <c r="L103" s="9" t="n">
        <f aca="false">IF($O103="","",INDEX(Scoring!$M$29:$M$361,MATCH($O103,Scoring!$AB$29:$AB$361,0)))</f>
        <v>3110</v>
      </c>
      <c r="M103" s="9" t="n">
        <f aca="false">IF($O103="","",INDEX(Scoring!$F$29:$F$361,MATCH($O103,Scoring!$AB$29:$AB$361,0)))</f>
        <v>93119.2</v>
      </c>
      <c r="N103" s="7" t="str">
        <f aca="false">IF($O103="","",INDEX(Scoring!$AI$29:$AI$361,MATCH($O103,Scoring!$AB$29:$AB$361,0)))</f>
        <v>UK</v>
      </c>
      <c r="O103" s="10" t="n">
        <f aca="false">IFERROR(SMALL(Scoring!$AB$29:$AB$361,99),"")</f>
        <v>6001</v>
      </c>
    </row>
    <row r="104" customFormat="false" ht="28.35" hidden="false" customHeight="false" outlineLevel="0" collapsed="false">
      <c r="A104" s="5" t="n">
        <f aca="false">IF($O104="","",INT($O104/1000))</f>
        <v>6</v>
      </c>
      <c r="B104" s="6" t="str">
        <f aca="false">IF($O104="","",INDEX(Scoring!$A$29:$A$361,MATCH($O104,Scoring!$AB$29:$AB$361,0)))</f>
        <v>Venus Remedies</v>
      </c>
      <c r="C104" s="5" t="n">
        <f aca="false">IF($O104="","",IF(INDEX(Scoring!$P$29:$P$361,MATCH($O104,Scoring!$AB$29:$AB$361,0))="","–",INDEX(Scoring!$P$29:$P$361,MATCH($O104,Scoring!$AB$29:$AB$361,0))))</f>
        <v>2</v>
      </c>
      <c r="D104" s="6" t="str">
        <f aca="false">IF($O104="","",INDEX(Scoring!$Q$29:$Q$361,MATCH($O104,Scoring!$AB$29:$AB$361,0)))</f>
        <v>Priority 1</v>
      </c>
      <c r="E104" s="7" t="str">
        <f aca="false">IF($O104="","",INDEX(Scoring!$AJ$29:$AJ$361,MATCH($O104,Scoring!$AB$29:$AB$361,0)))</f>
        <v>High price · high volume</v>
      </c>
      <c r="F104" s="6" t="str">
        <f aca="false">IF($O104="","",INDEX(Scoring!$B$29:$B$361,MATCH($O104,Scoring!$AB$29:$AB$361,0)))</f>
        <v>Ceftazidime</v>
      </c>
      <c r="G104" s="7" t="str">
        <f aca="false">IF($O104="","",INDEX(Scoring!$AG$29:$AG$361,MATCH($O104,Scoring!$AB$29:$AB$361,0)))</f>
        <v>Ceftazidime Venus Pharma</v>
      </c>
      <c r="H104" s="7" t="str">
        <f aca="false">IF($O104="","",INDEX(Scoring!$C$29:$C$361,MATCH($O104,Scoring!$AB$29:$AB$361,0)))</f>
        <v>Anti-infective: Pseudomonas and other hospital Gram-negative infections</v>
      </c>
      <c r="I104" s="6" t="str">
        <f aca="false">IF($O104="","",INDEX(Scoring!$I$29:$I$361,MATCH($O104,Scoring!$AB$29:$AB$361,0)))</f>
        <v>Vial</v>
      </c>
      <c r="J104" s="7" t="str">
        <f aca="false">IF($O104="","",INDEX(Scoring!$Z$29:$Z$361,MATCH($O104,Scoring!$AB$29:$AB$361,0)))</f>
        <v>2 g vial</v>
      </c>
      <c r="K104" s="8" t="n">
        <f aca="false">IF($O104="","",IF(INDEX(Scoring!$D$29:$D$361,MATCH($O104,Scoring!$AB$29:$AB$361,0))="",INDEX(Scoring!$AF$29:$AF$361,MATCH($O104,Scoring!$AB$29:$AB$361,0)),INDEX(Scoring!$D$29:$D$361,MATCH($O104,Scoring!$AB$29:$AB$361,0))))</f>
        <v>34.58</v>
      </c>
      <c r="L104" s="9" t="n">
        <f aca="false">IF($O104="","",INDEX(Scoring!$M$29:$M$361,MATCH($O104,Scoring!$AB$29:$AB$361,0)))</f>
        <v>335</v>
      </c>
      <c r="M104" s="9" t="n">
        <f aca="false">IF($O104="","",INDEX(Scoring!$F$29:$F$361,MATCH($O104,Scoring!$AB$29:$AB$361,0)))</f>
        <v>5713.6</v>
      </c>
      <c r="N104" s="7" t="str">
        <f aca="false">IF($O104="","",INDEX(Scoring!$AI$29:$AI$361,MATCH($O104,Scoring!$AB$29:$AB$361,0)))</f>
        <v>UK</v>
      </c>
      <c r="O104" s="10" t="n">
        <f aca="false">IFERROR(SMALL(Scoring!$AB$29:$AB$361,100),"")</f>
        <v>6002</v>
      </c>
    </row>
    <row r="105" customFormat="false" ht="28.35" hidden="false" customHeight="false" outlineLevel="0" collapsed="false">
      <c r="A105" s="5" t="n">
        <f aca="false">IF($O105="","",INT($O105/1000))</f>
        <v>6</v>
      </c>
      <c r="B105" s="6" t="str">
        <f aca="false">IF($O105="","",INDEX(Scoring!$A$29:$A$361,MATCH($O105,Scoring!$AB$29:$AB$361,0)))</f>
        <v>Venus Remedies</v>
      </c>
      <c r="C105" s="5" t="n">
        <f aca="false">IF($O105="","",IF(INDEX(Scoring!$P$29:$P$361,MATCH($O105,Scoring!$AB$29:$AB$361,0))="","–",INDEX(Scoring!$P$29:$P$361,MATCH($O105,Scoring!$AB$29:$AB$361,0))))</f>
        <v>3</v>
      </c>
      <c r="D105" s="6" t="str">
        <f aca="false">IF($O105="","",INDEX(Scoring!$Q$29:$Q$361,MATCH($O105,Scoring!$AB$29:$AB$361,0)))</f>
        <v>Priority 1</v>
      </c>
      <c r="E105" s="7" t="str">
        <f aca="false">IF($O105="","",INDEX(Scoring!$AJ$29:$AJ$361,MATCH($O105,Scoring!$AB$29:$AB$361,0)))</f>
        <v>High price · high volume</v>
      </c>
      <c r="F105" s="6" t="str">
        <f aca="false">IF($O105="","",INDEX(Scoring!$B$29:$B$361,MATCH($O105,Scoring!$AB$29:$AB$361,0)))</f>
        <v>Bleomycin</v>
      </c>
      <c r="G105" s="7" t="str">
        <f aca="false">IF($O105="","",INDEX(Scoring!$AG$29:$AG$361,MATCH($O105,Scoring!$AB$29:$AB$361,0)))</f>
        <v>Bleomycin Venus Pharma</v>
      </c>
      <c r="H105" s="7" t="str">
        <f aca="false">IF($O105="","",INDEX(Scoring!$C$29:$C$361,MATCH($O105,Scoring!$AB$29:$AB$361,0)))</f>
        <v>Oncology: Hodgkin lymphoma, testicular and squamous cell cancers</v>
      </c>
      <c r="I105" s="6" t="str">
        <f aca="false">IF($O105="","",INDEX(Scoring!$I$29:$I$361,MATCH($O105,Scoring!$AB$29:$AB$361,0)))</f>
        <v>Vial</v>
      </c>
      <c r="J105" s="7" t="str">
        <f aca="false">IF($O105="","",INDEX(Scoring!$Z$29:$Z$361,MATCH($O105,Scoring!$AB$29:$AB$361,0)))</f>
        <v>15000 IU powder vial</v>
      </c>
      <c r="K105" s="8" t="n">
        <f aca="false">IF($O105="","",IF(INDEX(Scoring!$D$29:$D$361,MATCH($O105,Scoring!$AB$29:$AB$361,0))="",INDEX(Scoring!$AF$29:$AF$361,MATCH($O105,Scoring!$AB$29:$AB$361,0)),INDEX(Scoring!$D$29:$D$361,MATCH($O105,Scoring!$AB$29:$AB$361,0))))</f>
        <v>81.96</v>
      </c>
      <c r="L105" s="9" t="n">
        <f aca="false">IF($O105="","",INDEX(Scoring!$M$29:$M$361,MATCH($O105,Scoring!$AB$29:$AB$361,0)))</f>
        <v>441</v>
      </c>
      <c r="M105" s="9" t="n">
        <f aca="false">IF($O105="","",INDEX(Scoring!$F$29:$F$361,MATCH($O105,Scoring!$AB$29:$AB$361,0)))</f>
        <v>3973.7</v>
      </c>
      <c r="N105" s="7" t="str">
        <f aca="false">IF($O105="","",INDEX(Scoring!$AI$29:$AI$361,MATCH($O105,Scoring!$AB$29:$AB$361,0)))</f>
        <v>UK</v>
      </c>
      <c r="O105" s="10" t="n">
        <f aca="false">IFERROR(SMALL(Scoring!$AB$29:$AB$361,101),"")</f>
        <v>6003</v>
      </c>
    </row>
    <row r="106" customFormat="false" ht="28.35" hidden="false" customHeight="false" outlineLevel="0" collapsed="false">
      <c r="A106" s="5" t="n">
        <f aca="false">IF($O106="","",INT($O106/1000))</f>
        <v>7</v>
      </c>
      <c r="B106" s="6" t="str">
        <f aca="false">IF($O106="","",INDEX(Scoring!$A$29:$A$361,MATCH($O106,Scoring!$AB$29:$AB$361,0)))</f>
        <v>Glenmark</v>
      </c>
      <c r="C106" s="5" t="n">
        <f aca="false">IF($O106="","",IF(INDEX(Scoring!$P$29:$P$361,MATCH($O106,Scoring!$AB$29:$AB$361,0))="","–",INDEX(Scoring!$P$29:$P$361,MATCH($O106,Scoring!$AB$29:$AB$361,0))))</f>
        <v>1</v>
      </c>
      <c r="D106" s="6" t="str">
        <f aca="false">IF($O106="","",INDEX(Scoring!$Q$29:$Q$361,MATCH($O106,Scoring!$AB$29:$AB$361,0)))</f>
        <v>Priority 1</v>
      </c>
      <c r="E106" s="7" t="str">
        <f aca="false">IF($O106="","",INDEX(Scoring!$AJ$29:$AJ$361,MATCH($O106,Scoring!$AB$29:$AB$361,0)))</f>
        <v>High price · high volume</v>
      </c>
      <c r="F106" s="6" t="str">
        <f aca="false">IF($O106="","",INDEX(Scoring!$B$29:$B$361,MATCH($O106,Scoring!$AB$29:$AB$361,0)))</f>
        <v>Azacitidine</v>
      </c>
      <c r="G106" s="7" t="str">
        <f aca="false">IF($O106="","",INDEX(Scoring!$AG$29:$AG$361,MATCH($O106,Scoring!$AB$29:$AB$361,0)))</f>
        <v>Azacitidina Glenmark</v>
      </c>
      <c r="H106" s="7" t="str">
        <f aca="false">IF($O106="","",INDEX(Scoring!$C$29:$C$361,MATCH($O106,Scoring!$AB$29:$AB$361,0)))</f>
        <v>Oncology: myelodysplastic syndromes, acute myeloid leukaemia</v>
      </c>
      <c r="I106" s="6" t="str">
        <f aca="false">IF($O106="","",INDEX(Scoring!$I$29:$I$361,MATCH($O106,Scoring!$AB$29:$AB$361,0)))</f>
        <v>Vial</v>
      </c>
      <c r="J106" s="7" t="str">
        <f aca="false">IF($O106="","",INDEX(Scoring!$Z$29:$Z$361,MATCH($O106,Scoring!$AB$29:$AB$361,0)))</f>
        <v>100 mg powder vial</v>
      </c>
      <c r="K106" s="8" t="n">
        <f aca="false">IF($O106="","",IF(INDEX(Scoring!$D$29:$D$361,MATCH($O106,Scoring!$AB$29:$AB$361,0))="",INDEX(Scoring!$AF$29:$AF$361,MATCH($O106,Scoring!$AB$29:$AB$361,0)),INDEX(Scoring!$D$29:$D$361,MATCH($O106,Scoring!$AB$29:$AB$361,0))))</f>
        <v>397.42</v>
      </c>
      <c r="L106" s="9" t="n">
        <f aca="false">IF($O106="","",INDEX(Scoring!$M$29:$M$361,MATCH($O106,Scoring!$AB$29:$AB$361,0)))</f>
        <v>632</v>
      </c>
      <c r="M106" s="9" t="n">
        <f aca="false">IF($O106="","",INDEX(Scoring!$F$29:$F$361,MATCH($O106,Scoring!$AB$29:$AB$361,0)))</f>
        <v>42181.7</v>
      </c>
      <c r="N106" s="7" t="str">
        <f aca="false">IF($O106="","",INDEX(Scoring!$AI$29:$AI$361,MATCH($O106,Scoring!$AB$29:$AB$361,0)))</f>
        <v>EU/EEA (3): Iceland, Slovakia, Spain</v>
      </c>
      <c r="O106" s="10" t="n">
        <f aca="false">IFERROR(SMALL(Scoring!$AB$29:$AB$361,102),"")</f>
        <v>7001</v>
      </c>
    </row>
    <row r="107" customFormat="false" ht="28.35" hidden="false" customHeight="false" outlineLevel="0" collapsed="false">
      <c r="A107" s="5" t="n">
        <f aca="false">IF($O107="","",INT($O107/1000))</f>
        <v>7</v>
      </c>
      <c r="B107" s="6" t="str">
        <f aca="false">IF($O107="","",INDEX(Scoring!$A$29:$A$361,MATCH($O107,Scoring!$AB$29:$AB$361,0)))</f>
        <v>Glenmark</v>
      </c>
      <c r="C107" s="5" t="n">
        <f aca="false">IF($O107="","",IF(INDEX(Scoring!$P$29:$P$361,MATCH($O107,Scoring!$AB$29:$AB$361,0))="","–",INDEX(Scoring!$P$29:$P$361,MATCH($O107,Scoring!$AB$29:$AB$361,0))))</f>
        <v>2</v>
      </c>
      <c r="D107" s="6" t="str">
        <f aca="false">IF($O107="","",INDEX(Scoring!$Q$29:$Q$361,MATCH($O107,Scoring!$AB$29:$AB$361,0)))</f>
        <v>Priority 1</v>
      </c>
      <c r="E107" s="7" t="str">
        <f aca="false">IF($O107="","",INDEX(Scoring!$AJ$29:$AJ$361,MATCH($O107,Scoring!$AB$29:$AB$361,0)))</f>
        <v>High price · high volume</v>
      </c>
      <c r="F107" s="6" t="str">
        <f aca="false">IF($O107="","",INDEX(Scoring!$B$29:$B$361,MATCH($O107,Scoring!$AB$29:$AB$361,0)))</f>
        <v>Bortezomib</v>
      </c>
      <c r="G107" s="7" t="str">
        <f aca="false">IF($O107="","",INDEX(Scoring!$AG$29:$AG$361,MATCH($O107,Scoring!$AB$29:$AB$361,0)))</f>
        <v>Bortezomib Glenmark; Bortraczo</v>
      </c>
      <c r="H107" s="7" t="str">
        <f aca="false">IF($O107="","",INDEX(Scoring!$C$29:$C$361,MATCH($O107,Scoring!$AB$29:$AB$361,0)))</f>
        <v>Oncology: multiple myeloma, mantle cell lymphoma</v>
      </c>
      <c r="I107" s="6" t="str">
        <f aca="false">IF($O107="","",INDEX(Scoring!$I$29:$I$361,MATCH($O107,Scoring!$AB$29:$AB$361,0)))</f>
        <v>Vial</v>
      </c>
      <c r="J107" s="7" t="str">
        <f aca="false">IF($O107="","",INDEX(Scoring!$Z$29:$Z$361,MATCH($O107,Scoring!$AB$29:$AB$361,0)))</f>
        <v>1 mg powder vial; 2.5 mg/1 mL vial; 3.5 mg/1.4 mL vial</v>
      </c>
      <c r="K107" s="8" t="n">
        <f aca="false">IF($O107="","",IF(INDEX(Scoring!$D$29:$D$361,MATCH($O107,Scoring!$AB$29:$AB$361,0))="",INDEX(Scoring!$AF$29:$AF$361,MATCH($O107,Scoring!$AB$29:$AB$361,0)),INDEX(Scoring!$D$29:$D$361,MATCH($O107,Scoring!$AB$29:$AB$361,0))))</f>
        <v>64.91</v>
      </c>
      <c r="L107" s="9" t="n">
        <f aca="false">IF($O107="","",INDEX(Scoring!$M$29:$M$361,MATCH($O107,Scoring!$AB$29:$AB$361,0)))</f>
        <v>905</v>
      </c>
      <c r="M107" s="9" t="n">
        <f aca="false">IF($O107="","",INDEX(Scoring!$F$29:$F$361,MATCH($O107,Scoring!$AB$29:$AB$361,0)))</f>
        <v>28093.4</v>
      </c>
      <c r="N107" s="7" t="str">
        <f aca="false">IF($O107="","",INDEX(Scoring!$AI$29:$AI$361,MATCH($O107,Scoring!$AB$29:$AB$361,0)))</f>
        <v>Australia | EU/EEA (11): Germany, France, Netherlands, Denmark + 7 more</v>
      </c>
      <c r="O107" s="10" t="n">
        <f aca="false">IFERROR(SMALL(Scoring!$AB$29:$AB$361,103),"")</f>
        <v>7002</v>
      </c>
    </row>
    <row r="108" customFormat="false" ht="28.35" hidden="false" customHeight="false" outlineLevel="0" collapsed="false">
      <c r="A108" s="5" t="n">
        <f aca="false">IF($O108="","",INT($O108/1000))</f>
        <v>7</v>
      </c>
      <c r="B108" s="6" t="str">
        <f aca="false">IF($O108="","",INDEX(Scoring!$A$29:$A$361,MATCH($O108,Scoring!$AB$29:$AB$361,0)))</f>
        <v>Glenmark</v>
      </c>
      <c r="C108" s="5" t="n">
        <f aca="false">IF($O108="","",IF(INDEX(Scoring!$P$29:$P$361,MATCH($O108,Scoring!$AB$29:$AB$361,0))="","–",INDEX(Scoring!$P$29:$P$361,MATCH($O108,Scoring!$AB$29:$AB$361,0))))</f>
        <v>3</v>
      </c>
      <c r="D108" s="6" t="str">
        <f aca="false">IF($O108="","",INDEX(Scoring!$Q$29:$Q$361,MATCH($O108,Scoring!$AB$29:$AB$361,0)))</f>
        <v>Priority 1</v>
      </c>
      <c r="E108" s="7" t="str">
        <f aca="false">IF($O108="","",INDEX(Scoring!$AJ$29:$AJ$361,MATCH($O108,Scoring!$AB$29:$AB$361,0)))</f>
        <v>High price · high volume</v>
      </c>
      <c r="F108" s="6" t="str">
        <f aca="false">IF($O108="","",INDEX(Scoring!$B$29:$B$361,MATCH($O108,Scoring!$AB$29:$AB$361,0)))</f>
        <v>Fulvestrant</v>
      </c>
      <c r="G108" s="7" t="str">
        <f aca="false">IF($O108="","",INDEX(Scoring!$AG$29:$AG$361,MATCH($O108,Scoring!$AB$29:$AB$361,0)))</f>
        <v>Fulvestrant; Fulvestrant Glenmark</v>
      </c>
      <c r="H108" s="7" t="str">
        <f aca="false">IF($O108="","",INDEX(Scoring!$C$29:$C$361,MATCH($O108,Scoring!$AB$29:$AB$361,0)))</f>
        <v>Oncology: hormone receptor-positive advanced breast cancer</v>
      </c>
      <c r="I108" s="6" t="str">
        <f aca="false">IF($O108="","",INDEX(Scoring!$I$29:$I$361,MATCH($O108,Scoring!$AB$29:$AB$361,0)))</f>
        <v>Prefilled syringe</v>
      </c>
      <c r="J108" s="7" t="str">
        <f aca="false">IF($O108="","",INDEX(Scoring!$Z$29:$Z$361,MATCH($O108,Scoring!$AB$29:$AB$361,0)))</f>
        <v>250 mg/5 mL pre-filled syringe; 250 mg pre-filled syringe</v>
      </c>
      <c r="K108" s="8" t="n">
        <f aca="false">IF($O108="","",IF(INDEX(Scoring!$D$29:$D$361,MATCH($O108,Scoring!$AB$29:$AB$361,0))="",INDEX(Scoring!$AF$29:$AF$361,MATCH($O108,Scoring!$AB$29:$AB$361,0)),INDEX(Scoring!$D$29:$D$361,MATCH($O108,Scoring!$AB$29:$AB$361,0))))</f>
        <v>302.38</v>
      </c>
      <c r="L108" s="9" t="n">
        <f aca="false">IF($O108="","",INDEX(Scoring!$M$29:$M$361,MATCH($O108,Scoring!$AB$29:$AB$361,0)))</f>
        <v>146</v>
      </c>
      <c r="M108" s="9" t="n">
        <f aca="false">IF($O108="","",INDEX(Scoring!$F$29:$F$361,MATCH($O108,Scoring!$AB$29:$AB$361,0)))</f>
        <v>11366.1</v>
      </c>
      <c r="N108" s="7" t="str">
        <f aca="false">IF($O108="","",INDEX(Scoring!$AI$29:$AI$361,MATCH($O108,Scoring!$AB$29:$AB$361,0)))</f>
        <v>US, UK, UK-NI | EU/EEA (5): Germany, Netherlands, Denmark, Spain, Sweden</v>
      </c>
      <c r="O108" s="10" t="n">
        <f aca="false">IFERROR(SMALL(Scoring!$AB$29:$AB$361,104),"")</f>
        <v>7003</v>
      </c>
    </row>
    <row r="109" customFormat="false" ht="28.35" hidden="false" customHeight="false" outlineLevel="0" collapsed="false">
      <c r="A109" s="5" t="n">
        <f aca="false">IF($O109="","",INT($O109/1000))</f>
        <v>7</v>
      </c>
      <c r="B109" s="6" t="str">
        <f aca="false">IF($O109="","",INDEX(Scoring!$A$29:$A$361,MATCH($O109,Scoring!$AB$29:$AB$361,0)))</f>
        <v>Glenmark</v>
      </c>
      <c r="C109" s="5" t="n">
        <f aca="false">IF($O109="","",IF(INDEX(Scoring!$P$29:$P$361,MATCH($O109,Scoring!$AB$29:$AB$361,0))="","–",INDEX(Scoring!$P$29:$P$361,MATCH($O109,Scoring!$AB$29:$AB$361,0))))</f>
        <v>4</v>
      </c>
      <c r="D109" s="6" t="str">
        <f aca="false">IF($O109="","",INDEX(Scoring!$Q$29:$Q$361,MATCH($O109,Scoring!$AB$29:$AB$361,0)))</f>
        <v>Priority 2</v>
      </c>
      <c r="E109" s="7" t="str">
        <f aca="false">IF($O109="","",INDEX(Scoring!$AJ$29:$AJ$361,MATCH($O109,Scoring!$AB$29:$AB$361,0)))</f>
        <v>High price · lower volume</v>
      </c>
      <c r="F109" s="6" t="str">
        <f aca="false">IF($O109="","",INDEX(Scoring!$B$29:$B$361,MATCH($O109,Scoring!$AB$29:$AB$361,0)))</f>
        <v>Plerixafor</v>
      </c>
      <c r="G109" s="7" t="str">
        <f aca="false">IF($O109="","",INDEX(Scoring!$AG$29:$AG$361,MATCH($O109,Scoring!$AB$29:$AB$361,0)))</f>
        <v>Plerixafor Glenmark</v>
      </c>
      <c r="H109" s="7" t="str">
        <f aca="false">IF($O109="","",INDEX(Scoring!$C$29:$C$361,MATCH($O109,Scoring!$AB$29:$AB$361,0)))</f>
        <v>Oncology support: stem cell mobilisation in myeloma and lymphoma</v>
      </c>
      <c r="I109" s="6" t="str">
        <f aca="false">IF($O109="","",INDEX(Scoring!$I$29:$I$361,MATCH($O109,Scoring!$AB$29:$AB$361,0)))</f>
        <v>Vial</v>
      </c>
      <c r="J109" s="7" t="str">
        <f aca="false">IF($O109="","",INDEX(Scoring!$Z$29:$Z$361,MATCH($O109,Scoring!$AB$29:$AB$361,0)))</f>
        <v>24 mg/1.2 mL vial</v>
      </c>
      <c r="K109" s="8" t="n">
        <f aca="false">IF($O109="","",IF(INDEX(Scoring!$D$29:$D$361,MATCH($O109,Scoring!$AB$29:$AB$361,0))="",INDEX(Scoring!$AF$29:$AF$361,MATCH($O109,Scoring!$AB$29:$AB$361,0)),INDEX(Scoring!$D$29:$D$361,MATCH($O109,Scoring!$AB$29:$AB$361,0))))</f>
        <v>7322.42</v>
      </c>
      <c r="L109" s="9" t="n">
        <f aca="false">IF($O109="","",INDEX(Scoring!$M$29:$M$361,MATCH($O109,Scoring!$AB$29:$AB$361,0)))</f>
        <v>47</v>
      </c>
      <c r="M109" s="9" t="n">
        <f aca="false">IF($O109="","",INDEX(Scoring!$F$29:$F$361,MATCH($O109,Scoring!$AB$29:$AB$361,0)))</f>
        <v>7904.7</v>
      </c>
      <c r="N109" s="7" t="str">
        <f aca="false">IF($O109="","",INDEX(Scoring!$AI$29:$AI$361,MATCH($O109,Scoring!$AB$29:$AB$361,0)))</f>
        <v>EU/EEA (1): Spain</v>
      </c>
      <c r="O109" s="10" t="n">
        <f aca="false">IFERROR(SMALL(Scoring!$AB$29:$AB$361,105),"")</f>
        <v>7004</v>
      </c>
    </row>
    <row r="110" customFormat="false" ht="28.35" hidden="false" customHeight="false" outlineLevel="0" collapsed="false">
      <c r="A110" s="5" t="n">
        <f aca="false">IF($O110="","",INT($O110/1000))</f>
        <v>8</v>
      </c>
      <c r="B110" s="6" t="str">
        <f aca="false">IF($O110="","",INDEX(Scoring!$A$29:$A$361,MATCH($O110,Scoring!$AB$29:$AB$361,0)))</f>
        <v>Zydus</v>
      </c>
      <c r="C110" s="5" t="n">
        <f aca="false">IF($O110="","",IF(INDEX(Scoring!$P$29:$P$361,MATCH($O110,Scoring!$AB$29:$AB$361,0))="","–",INDEX(Scoring!$P$29:$P$361,MATCH($O110,Scoring!$AB$29:$AB$361,0))))</f>
        <v>1</v>
      </c>
      <c r="D110" s="6" t="str">
        <f aca="false">IF($O110="","",INDEX(Scoring!$Q$29:$Q$361,MATCH($O110,Scoring!$AB$29:$AB$361,0)))</f>
        <v>Priority 1</v>
      </c>
      <c r="E110" s="7" t="str">
        <f aca="false">IF($O110="","",INDEX(Scoring!$AJ$29:$AJ$361,MATCH($O110,Scoring!$AB$29:$AB$361,0)))</f>
        <v>High price · high volume</v>
      </c>
      <c r="F110" s="6" t="str">
        <f aca="false">IF($O110="","",INDEX(Scoring!$B$29:$B$361,MATCH($O110,Scoring!$AB$29:$AB$361,0)))</f>
        <v>Bortezomib</v>
      </c>
      <c r="G110" s="7" t="str">
        <f aca="false">IF($O110="","",INDEX(Scoring!$AG$29:$AG$361,MATCH($O110,Scoring!$AB$29:$AB$361,0)))</f>
        <v>Bortezomib; Bortezomib Combix; Zymib</v>
      </c>
      <c r="H110" s="7" t="str">
        <f aca="false">IF($O110="","",INDEX(Scoring!$C$29:$C$361,MATCH($O110,Scoring!$AB$29:$AB$361,0)))</f>
        <v>Oncology: multiple myeloma, mantle cell lymphoma</v>
      </c>
      <c r="I110" s="6" t="str">
        <f aca="false">IF($O110="","",INDEX(Scoring!$I$29:$I$361,MATCH($O110,Scoring!$AB$29:$AB$361,0)))</f>
        <v>Vial</v>
      </c>
      <c r="J110" s="7" t="str">
        <f aca="false">IF($O110="","",INDEX(Scoring!$Z$29:$Z$361,MATCH($O110,Scoring!$AB$29:$AB$361,0)))</f>
        <v>3.5 mg powder vial; 3.5 mg in 10 mL powder vial</v>
      </c>
      <c r="K110" s="8" t="n">
        <f aca="false">IF($O110="","",IF(INDEX(Scoring!$D$29:$D$361,MATCH($O110,Scoring!$AB$29:$AB$361,0))="",INDEX(Scoring!$AF$29:$AF$361,MATCH($O110,Scoring!$AB$29:$AB$361,0)),INDEX(Scoring!$D$29:$D$361,MATCH($O110,Scoring!$AB$29:$AB$361,0))))</f>
        <v>618.92</v>
      </c>
      <c r="L110" s="9" t="n">
        <f aca="false">IF($O110="","",INDEX(Scoring!$M$29:$M$361,MATCH($O110,Scoring!$AB$29:$AB$361,0)))</f>
        <v>905</v>
      </c>
      <c r="M110" s="9" t="n">
        <f aca="false">IF($O110="","",INDEX(Scoring!$F$29:$F$361,MATCH($O110,Scoring!$AB$29:$AB$361,0)))</f>
        <v>28093.4</v>
      </c>
      <c r="N110" s="7" t="str">
        <f aca="false">IF($O110="","",INDEX(Scoring!$AI$29:$AI$361,MATCH($O110,Scoring!$AB$29:$AB$361,0)))</f>
        <v>US, UK, South Africa, UK-NI | EU/EEA (2): France, Spain</v>
      </c>
      <c r="O110" s="10" t="n">
        <f aca="false">IFERROR(SMALL(Scoring!$AB$29:$AB$361,106),"")</f>
        <v>8001</v>
      </c>
    </row>
    <row r="111" customFormat="false" ht="28.35" hidden="false" customHeight="false" outlineLevel="0" collapsed="false">
      <c r="A111" s="5" t="n">
        <f aca="false">IF($O111="","",INT($O111/1000))</f>
        <v>8</v>
      </c>
      <c r="B111" s="6" t="str">
        <f aca="false">IF($O111="","",INDEX(Scoring!$A$29:$A$361,MATCH($O111,Scoring!$AB$29:$AB$361,0)))</f>
        <v>Zydus</v>
      </c>
      <c r="C111" s="5" t="n">
        <f aca="false">IF($O111="","",IF(INDEX(Scoring!$P$29:$P$361,MATCH($O111,Scoring!$AB$29:$AB$361,0))="","–",INDEX(Scoring!$P$29:$P$361,MATCH($O111,Scoring!$AB$29:$AB$361,0))))</f>
        <v>2</v>
      </c>
      <c r="D111" s="6" t="str">
        <f aca="false">IF($O111="","",INDEX(Scoring!$Q$29:$Q$361,MATCH($O111,Scoring!$AB$29:$AB$361,0)))</f>
        <v>Priority 1</v>
      </c>
      <c r="E111" s="7" t="str">
        <f aca="false">IF($O111="","",INDEX(Scoring!$AJ$29:$AJ$361,MATCH($O111,Scoring!$AB$29:$AB$361,0)))</f>
        <v>High price · high volume</v>
      </c>
      <c r="F111" s="6" t="str">
        <f aca="false">IF($O111="","",INDEX(Scoring!$B$29:$B$361,MATCH($O111,Scoring!$AB$29:$AB$361,0)))</f>
        <v>Fulvestrant</v>
      </c>
      <c r="G111" s="7" t="str">
        <f aca="false">IF($O111="","",INDEX(Scoring!$AG$29:$AG$361,MATCH($O111,Scoring!$AB$29:$AB$361,0)))</f>
        <v>Fulvestrant</v>
      </c>
      <c r="H111" s="7" t="str">
        <f aca="false">IF($O111="","",INDEX(Scoring!$C$29:$C$361,MATCH($O111,Scoring!$AB$29:$AB$361,0)))</f>
        <v>Oncology: hormone receptor-positive advanced breast cancer</v>
      </c>
      <c r="I111" s="6" t="str">
        <f aca="false">IF($O111="","",INDEX(Scoring!$I$29:$I$361,MATCH($O111,Scoring!$AB$29:$AB$361,0)))</f>
        <v>Prefilled syringe</v>
      </c>
      <c r="J111" s="7" t="str">
        <f aca="false">IF($O111="","",INDEX(Scoring!$Z$29:$Z$361,MATCH($O111,Scoring!$AB$29:$AB$361,0)))</f>
        <v>250 mg/5 mL pre-filled syringe</v>
      </c>
      <c r="K111" s="8" t="n">
        <f aca="false">IF($O111="","",IF(INDEX(Scoring!$D$29:$D$361,MATCH($O111,Scoring!$AB$29:$AB$361,0))="",INDEX(Scoring!$AF$29:$AF$361,MATCH($O111,Scoring!$AB$29:$AB$361,0)),INDEX(Scoring!$D$29:$D$361,MATCH($O111,Scoring!$AB$29:$AB$361,0))))</f>
        <v>29.97</v>
      </c>
      <c r="L111" s="9" t="n">
        <f aca="false">IF($O111="","",INDEX(Scoring!$M$29:$M$361,MATCH($O111,Scoring!$AB$29:$AB$361,0)))</f>
        <v>146</v>
      </c>
      <c r="M111" s="9" t="n">
        <f aca="false">IF($O111="","",INDEX(Scoring!$F$29:$F$361,MATCH($O111,Scoring!$AB$29:$AB$361,0)))</f>
        <v>11366.1</v>
      </c>
      <c r="N111" s="7" t="str">
        <f aca="false">IF($O111="","",INDEX(Scoring!$AI$29:$AI$361,MATCH($O111,Scoring!$AB$29:$AB$361,0)))</f>
        <v>US</v>
      </c>
      <c r="O111" s="10" t="n">
        <f aca="false">IFERROR(SMALL(Scoring!$AB$29:$AB$361,107),"")</f>
        <v>8002</v>
      </c>
    </row>
    <row r="112" customFormat="false" ht="28.35" hidden="false" customHeight="false" outlineLevel="0" collapsed="false">
      <c r="A112" s="5" t="n">
        <f aca="false">IF($O112="","",INT($O112/1000))</f>
        <v>8</v>
      </c>
      <c r="B112" s="6" t="str">
        <f aca="false">IF($O112="","",INDEX(Scoring!$A$29:$A$361,MATCH($O112,Scoring!$AB$29:$AB$361,0)))</f>
        <v>Zydus</v>
      </c>
      <c r="C112" s="5" t="n">
        <f aca="false">IF($O112="","",IF(INDEX(Scoring!$P$29:$P$361,MATCH($O112,Scoring!$AB$29:$AB$361,0))="","–",INDEX(Scoring!$P$29:$P$361,MATCH($O112,Scoring!$AB$29:$AB$361,0))))</f>
        <v>3</v>
      </c>
      <c r="D112" s="6" t="str">
        <f aca="false">IF($O112="","",INDEX(Scoring!$Q$29:$Q$361,MATCH($O112,Scoring!$AB$29:$AB$361,0)))</f>
        <v>Priority 2</v>
      </c>
      <c r="E112" s="7" t="str">
        <f aca="false">IF($O112="","",INDEX(Scoring!$AJ$29:$AJ$361,MATCH($O112,Scoring!$AB$29:$AB$361,0)))</f>
        <v>Lower price · high volume</v>
      </c>
      <c r="F112" s="6" t="str">
        <f aca="false">IF($O112="","",INDEX(Scoring!$B$29:$B$361,MATCH($O112,Scoring!$AB$29:$AB$361,0)))</f>
        <v>Ceftriaxone</v>
      </c>
      <c r="G112" s="7" t="str">
        <f aca="false">IF($O112="","",INDEX(Scoring!$AG$29:$AG$361,MATCH($O112,Scoring!$AB$29:$AB$361,0)))</f>
        <v>Ceftriaxone Zydus</v>
      </c>
      <c r="H112" s="7" t="str">
        <f aca="false">IF($O112="","",INDEX(Scoring!$C$29:$C$361,MATCH($O112,Scoring!$AB$29:$AB$361,0)))</f>
        <v>Anti-infective: pneumonia, meningitis, sepsis, gonorrhoea, typhoid</v>
      </c>
      <c r="I112" s="6" t="str">
        <f aca="false">IF($O112="","",INDEX(Scoring!$I$29:$I$361,MATCH($O112,Scoring!$AB$29:$AB$361,0)))</f>
        <v>Vial</v>
      </c>
      <c r="J112" s="7" t="str">
        <f aca="false">IF($O112="","",INDEX(Scoring!$Z$29:$Z$361,MATCH($O112,Scoring!$AB$29:$AB$361,0)))</f>
        <v>1 g powder vial</v>
      </c>
      <c r="K112" s="8" t="n">
        <f aca="false">IF($O112="","",IF(INDEX(Scoring!$D$29:$D$361,MATCH($O112,Scoring!$AB$29:$AB$361,0))="",INDEX(Scoring!$AF$29:$AF$361,MATCH($O112,Scoring!$AB$29:$AB$361,0)),INDEX(Scoring!$D$29:$D$361,MATCH($O112,Scoring!$AB$29:$AB$361,0))))</f>
        <v>7.82</v>
      </c>
      <c r="L112" s="9" t="n">
        <f aca="false">IF($O112="","",INDEX(Scoring!$M$29:$M$361,MATCH($O112,Scoring!$AB$29:$AB$361,0)))</f>
        <v>3110</v>
      </c>
      <c r="M112" s="9" t="n">
        <f aca="false">IF($O112="","",INDEX(Scoring!$F$29:$F$361,MATCH($O112,Scoring!$AB$29:$AB$361,0)))</f>
        <v>93119.2</v>
      </c>
      <c r="N112" s="7" t="str">
        <f aca="false">IF($O112="","",INDEX(Scoring!$AI$29:$AI$361,MATCH($O112,Scoring!$AB$29:$AB$361,0)))</f>
        <v>EU/EEA (1): France</v>
      </c>
      <c r="O112" s="10" t="n">
        <f aca="false">IFERROR(SMALL(Scoring!$AB$29:$AB$361,108),"")</f>
        <v>8003</v>
      </c>
    </row>
    <row r="113" customFormat="false" ht="28.35" hidden="false" customHeight="false" outlineLevel="0" collapsed="false">
      <c r="A113" s="5" t="n">
        <f aca="false">IF($O113="","",INT($O113/1000))</f>
        <v>8</v>
      </c>
      <c r="B113" s="6" t="str">
        <f aca="false">IF($O113="","",INDEX(Scoring!$A$29:$A$361,MATCH($O113,Scoring!$AB$29:$AB$361,0)))</f>
        <v>Zydus</v>
      </c>
      <c r="C113" s="5" t="n">
        <f aca="false">IF($O113="","",IF(INDEX(Scoring!$P$29:$P$361,MATCH($O113,Scoring!$AB$29:$AB$361,0))="","–",INDEX(Scoring!$P$29:$P$361,MATCH($O113,Scoring!$AB$29:$AB$361,0))))</f>
        <v>4</v>
      </c>
      <c r="D113" s="6" t="str">
        <f aca="false">IF($O113="","",INDEX(Scoring!$Q$29:$Q$361,MATCH($O113,Scoring!$AB$29:$AB$361,0)))</f>
        <v>Priority 2</v>
      </c>
      <c r="E113" s="7" t="str">
        <f aca="false">IF($O113="","",INDEX(Scoring!$AJ$29:$AJ$361,MATCH($O113,Scoring!$AB$29:$AB$361,0)))</f>
        <v>Lower price · high volume</v>
      </c>
      <c r="F113" s="6" t="str">
        <f aca="false">IF($O113="","",INDEX(Scoring!$B$29:$B$361,MATCH($O113,Scoring!$AB$29:$AB$361,0)))</f>
        <v>Ondansetron</v>
      </c>
      <c r="G113" s="7" t="str">
        <f aca="false">IF($O113="","",INDEX(Scoring!$AG$29:$AG$361,MATCH($O113,Scoring!$AB$29:$AB$361,0)))</f>
        <v>Zydus-Ondansetron</v>
      </c>
      <c r="H113" s="7" t="str">
        <f aca="false">IF($O113="","",INDEX(Scoring!$C$29:$C$361,MATCH($O113,Scoring!$AB$29:$AB$361,0)))</f>
        <v>Oncology support: nausea and vomiting from chemotherapy and surgery</v>
      </c>
      <c r="I113" s="6" t="str">
        <f aca="false">IF($O113="","",INDEX(Scoring!$I$29:$I$361,MATCH($O113,Scoring!$AB$29:$AB$361,0)))</f>
        <v>Vial</v>
      </c>
      <c r="J113" s="7" t="str">
        <f aca="false">IF($O113="","",INDEX(Scoring!$Z$29:$Z$361,MATCH($O113,Scoring!$AB$29:$AB$361,0)))</f>
        <v>8 mg vial</v>
      </c>
      <c r="K113" s="8" t="n">
        <f aca="false">IF($O113="","",IF(INDEX(Scoring!$D$29:$D$361,MATCH($O113,Scoring!$AB$29:$AB$361,0))="",INDEX(Scoring!$AF$29:$AF$361,MATCH($O113,Scoring!$AB$29:$AB$361,0)),INDEX(Scoring!$D$29:$D$361,MATCH($O113,Scoring!$AB$29:$AB$361,0))))</f>
        <v>6.29</v>
      </c>
      <c r="L113" s="9" t="n">
        <f aca="false">IF($O113="","",INDEX(Scoring!$M$29:$M$361,MATCH($O113,Scoring!$AB$29:$AB$361,0)))</f>
        <v>963</v>
      </c>
      <c r="M113" s="9" t="n">
        <f aca="false">IF($O113="","",INDEX(Scoring!$F$29:$F$361,MATCH($O113,Scoring!$AB$29:$AB$361,0)))</f>
        <v>17590.5</v>
      </c>
      <c r="N113" s="7" t="str">
        <f aca="false">IF($O113="","",INDEX(Scoring!$AI$29:$AI$361,MATCH($O113,Scoring!$AB$29:$AB$361,0)))</f>
        <v>South Africa</v>
      </c>
      <c r="O113" s="10" t="n">
        <f aca="false">IFERROR(SMALL(Scoring!$AB$29:$AB$361,109),"")</f>
        <v>8004</v>
      </c>
    </row>
    <row r="114" customFormat="false" ht="28.35" hidden="false" customHeight="false" outlineLevel="0" collapsed="false">
      <c r="A114" s="5" t="n">
        <f aca="false">IF($O114="","",INT($O114/1000))</f>
        <v>8</v>
      </c>
      <c r="B114" s="6" t="str">
        <f aca="false">IF($O114="","",INDEX(Scoring!$A$29:$A$361,MATCH($O114,Scoring!$AB$29:$AB$361,0)))</f>
        <v>Zydus</v>
      </c>
      <c r="C114" s="5" t="n">
        <f aca="false">IF($O114="","",IF(INDEX(Scoring!$P$29:$P$361,MATCH($O114,Scoring!$AB$29:$AB$361,0))="","–",INDEX(Scoring!$P$29:$P$361,MATCH($O114,Scoring!$AB$29:$AB$361,0))))</f>
        <v>5</v>
      </c>
      <c r="D114" s="6" t="str">
        <f aca="false">IF($O114="","",INDEX(Scoring!$Q$29:$Q$361,MATCH($O114,Scoring!$AB$29:$AB$361,0)))</f>
        <v>Priority 2</v>
      </c>
      <c r="E114" s="7" t="str">
        <f aca="false">IF($O114="","",INDEX(Scoring!$AJ$29:$AJ$361,MATCH($O114,Scoring!$AB$29:$AB$361,0)))</f>
        <v>Lower price · high volume</v>
      </c>
      <c r="F114" s="6" t="str">
        <f aca="false">IF($O114="","",INDEX(Scoring!$B$29:$B$361,MATCH($O114,Scoring!$AB$29:$AB$361,0)))</f>
        <v>Hydrocortisone</v>
      </c>
      <c r="G114" s="7" t="str">
        <f aca="false">IF($O114="","",INDEX(Scoring!$AG$29:$AG$361,MATCH($O114,Scoring!$AB$29:$AB$361,0)))</f>
        <v>Hydrocortisone Sodium Succinate</v>
      </c>
      <c r="H114" s="7" t="str">
        <f aca="false">IF($O114="","",INDEX(Scoring!$C$29:$C$361,MATCH($O114,Scoring!$AB$29:$AB$361,0)))</f>
        <v>Endocrinology and critical care: adrenal crisis, anaphylaxis, severe asthma, shock</v>
      </c>
      <c r="I114" s="6" t="str">
        <f aca="false">IF($O114="","",INDEX(Scoring!$I$29:$I$361,MATCH($O114,Scoring!$AB$29:$AB$361,0)))</f>
        <v>Vial</v>
      </c>
      <c r="J114" s="7" t="str">
        <f aca="false">IF($O114="","",INDEX(Scoring!$Z$29:$Z$361,MATCH($O114,Scoring!$AB$29:$AB$361,0)))</f>
        <v>100 mg/2 mL vial</v>
      </c>
      <c r="K114" s="8" t="n">
        <f aca="false">IF($O114="","",IF(INDEX(Scoring!$D$29:$D$361,MATCH($O114,Scoring!$AB$29:$AB$361,0))="",INDEX(Scoring!$AF$29:$AF$361,MATCH($O114,Scoring!$AB$29:$AB$361,0)),INDEX(Scoring!$D$29:$D$361,MATCH($O114,Scoring!$AB$29:$AB$361,0))))</f>
        <v>23.15</v>
      </c>
      <c r="L114" s="9" t="n">
        <f aca="false">IF($O114="","",INDEX(Scoring!$M$29:$M$361,MATCH($O114,Scoring!$AB$29:$AB$361,0)))</f>
        <v>325</v>
      </c>
      <c r="M114" s="9" t="n">
        <f aca="false">IF($O114="","",INDEX(Scoring!$F$29:$F$361,MATCH($O114,Scoring!$AB$29:$AB$361,0)))</f>
        <v>4796.6</v>
      </c>
      <c r="N114" s="7" t="str">
        <f aca="false">IF($O114="","",INDEX(Scoring!$AI$29:$AI$361,MATCH($O114,Scoring!$AB$29:$AB$361,0)))</f>
        <v>US</v>
      </c>
      <c r="O114" s="10" t="n">
        <f aca="false">IFERROR(SMALL(Scoring!$AB$29:$AB$361,110),"")</f>
        <v>8005</v>
      </c>
    </row>
    <row r="115" customFormat="false" ht="28.35" hidden="false" customHeight="false" outlineLevel="0" collapsed="false">
      <c r="A115" s="5" t="n">
        <f aca="false">IF($O115="","",INT($O115/1000))</f>
        <v>8</v>
      </c>
      <c r="B115" s="6" t="str">
        <f aca="false">IF($O115="","",INDEX(Scoring!$A$29:$A$361,MATCH($O115,Scoring!$AB$29:$AB$361,0)))</f>
        <v>Zydus</v>
      </c>
      <c r="C115" s="5" t="n">
        <f aca="false">IF($O115="","",IF(INDEX(Scoring!$P$29:$P$361,MATCH($O115,Scoring!$AB$29:$AB$361,0))="","–",INDEX(Scoring!$P$29:$P$361,MATCH($O115,Scoring!$AB$29:$AB$361,0))))</f>
        <v>6</v>
      </c>
      <c r="D115" s="6" t="str">
        <f aca="false">IF($O115="","",INDEX(Scoring!$Q$29:$Q$361,MATCH($O115,Scoring!$AB$29:$AB$361,0)))</f>
        <v>Priority 2</v>
      </c>
      <c r="E115" s="7" t="str">
        <f aca="false">IF($O115="","",INDEX(Scoring!$AJ$29:$AJ$361,MATCH($O115,Scoring!$AB$29:$AB$361,0)))</f>
        <v>Lower price · high volume</v>
      </c>
      <c r="F115" s="6" t="str">
        <f aca="false">IF($O115="","",INDEX(Scoring!$B$29:$B$361,MATCH($O115,Scoring!$AB$29:$AB$361,0)))</f>
        <v>Succinylcholine (Suxamethonium)</v>
      </c>
      <c r="G115" s="7" t="str">
        <f aca="false">IF($O115="","",INDEX(Scoring!$AG$29:$AG$361,MATCH($O115,Scoring!$AB$29:$AB$361,0)))</f>
        <v>Succinylcholine Chloride</v>
      </c>
      <c r="H115" s="7" t="str">
        <f aca="false">IF($O115="","",INDEX(Scoring!$C$29:$C$361,MATCH($O115,Scoring!$AB$29:$AB$361,0)))</f>
        <v>Anaesthesia: muscle relaxant for rapid intubation</v>
      </c>
      <c r="I115" s="6" t="str">
        <f aca="false">IF($O115="","",INDEX(Scoring!$I$29:$I$361,MATCH($O115,Scoring!$AB$29:$AB$361,0)))</f>
        <v>Vial</v>
      </c>
      <c r="J115" s="7" t="str">
        <f aca="false">IF($O115="","",INDEX(Scoring!$Z$29:$Z$361,MATCH($O115,Scoring!$AB$29:$AB$361,0)))</f>
        <v>200 mg/10 mL vial</v>
      </c>
      <c r="K115" s="8" t="n">
        <f aca="false">IF($O115="","",IF(INDEX(Scoring!$D$29:$D$361,MATCH($O115,Scoring!$AB$29:$AB$361,0))="",INDEX(Scoring!$AF$29:$AF$361,MATCH($O115,Scoring!$AB$29:$AB$361,0)),INDEX(Scoring!$D$29:$D$361,MATCH($O115,Scoring!$AB$29:$AB$361,0))))</f>
        <v>5.03</v>
      </c>
      <c r="L115" s="9" t="n">
        <f aca="false">IF($O115="","",INDEX(Scoring!$M$29:$M$361,MATCH($O115,Scoring!$AB$29:$AB$361,0)))</f>
        <v>286</v>
      </c>
      <c r="M115" s="9" t="n">
        <f aca="false">IF($O115="","",INDEX(Scoring!$F$29:$F$361,MATCH($O115,Scoring!$AB$29:$AB$361,0)))</f>
        <v>3067.4</v>
      </c>
      <c r="N115" s="7" t="str">
        <f aca="false">IF($O115="","",INDEX(Scoring!$AI$29:$AI$361,MATCH($O115,Scoring!$AB$29:$AB$361,0)))</f>
        <v>US</v>
      </c>
      <c r="O115" s="10" t="n">
        <f aca="false">IFERROR(SMALL(Scoring!$AB$29:$AB$361,111),"")</f>
        <v>8006</v>
      </c>
    </row>
    <row r="116" customFormat="false" ht="28.35" hidden="false" customHeight="false" outlineLevel="0" collapsed="false">
      <c r="A116" s="5" t="n">
        <f aca="false">IF($O116="","",INT($O116/1000))</f>
        <v>8</v>
      </c>
      <c r="B116" s="6" t="str">
        <f aca="false">IF($O116="","",INDEX(Scoring!$A$29:$A$361,MATCH($O116,Scoring!$AB$29:$AB$361,0)))</f>
        <v>Zydus</v>
      </c>
      <c r="C116" s="5" t="n">
        <f aca="false">IF($O116="","",IF(INDEX(Scoring!$P$29:$P$361,MATCH($O116,Scoring!$AB$29:$AB$361,0))="","–",INDEX(Scoring!$P$29:$P$361,MATCH($O116,Scoring!$AB$29:$AB$361,0))))</f>
        <v>7</v>
      </c>
      <c r="D116" s="6" t="str">
        <f aca="false">IF($O116="","",INDEX(Scoring!$Q$29:$Q$361,MATCH($O116,Scoring!$AB$29:$AB$361,0)))</f>
        <v>Priority 2</v>
      </c>
      <c r="E116" s="7" t="str">
        <f aca="false">IF($O116="","",INDEX(Scoring!$AJ$29:$AJ$361,MATCH($O116,Scoring!$AB$29:$AB$361,0)))</f>
        <v>High price · lower volume</v>
      </c>
      <c r="F116" s="6" t="str">
        <f aca="false">IF($O116="","",INDEX(Scoring!$B$29:$B$361,MATCH($O116,Scoring!$AB$29:$AB$361,0)))</f>
        <v>Cyanocobalamin</v>
      </c>
      <c r="G116" s="7" t="str">
        <f aca="false">IF($O116="","",INDEX(Scoring!$AG$29:$AG$361,MATCH($O116,Scoring!$AB$29:$AB$361,0)))</f>
        <v>Cyanocobalamin</v>
      </c>
      <c r="H116" s="7" t="str">
        <f aca="false">IF($O116="","",INDEX(Scoring!$C$29:$C$361,MATCH($O116,Scoring!$AB$29:$AB$361,0)))</f>
        <v>Haematology: vitamin B12 deficiency, pernicious anaemia</v>
      </c>
      <c r="I116" s="6" t="str">
        <f aca="false">IF($O116="","",INDEX(Scoring!$I$29:$I$361,MATCH($O116,Scoring!$AB$29:$AB$361,0)))</f>
        <v>Vial</v>
      </c>
      <c r="J116" s="7" t="str">
        <f aca="false">IF($O116="","",INDEX(Scoring!$Z$29:$Z$361,MATCH($O116,Scoring!$AB$29:$AB$361,0)))</f>
        <v>1 mg/1 mL vial</v>
      </c>
      <c r="K116" s="8" t="n">
        <f aca="false">IF($O116="","",IF(INDEX(Scoring!$D$29:$D$361,MATCH($O116,Scoring!$AB$29:$AB$361,0))="",INDEX(Scoring!$AF$29:$AF$361,MATCH($O116,Scoring!$AB$29:$AB$361,0)),INDEX(Scoring!$D$29:$D$361,MATCH($O116,Scoring!$AB$29:$AB$361,0))))</f>
        <v>31.25</v>
      </c>
      <c r="L116" s="9" t="n">
        <f aca="false">IF($O116="","",INDEX(Scoring!$M$29:$M$361,MATCH($O116,Scoring!$AB$29:$AB$361,0)))</f>
        <v>122</v>
      </c>
      <c r="M116" s="9" t="n">
        <f aca="false">IF($O116="","",INDEX(Scoring!$F$29:$F$361,MATCH($O116,Scoring!$AB$29:$AB$361,0)))</f>
        <v>2413</v>
      </c>
      <c r="N116" s="7" t="str">
        <f aca="false">IF($O116="","",INDEX(Scoring!$AI$29:$AI$361,MATCH($O116,Scoring!$AB$29:$AB$361,0)))</f>
        <v>US</v>
      </c>
      <c r="O116" s="10" t="n">
        <f aca="false">IFERROR(SMALL(Scoring!$AB$29:$AB$361,112),"")</f>
        <v>8007</v>
      </c>
    </row>
    <row r="117" customFormat="false" ht="41.75" hidden="false" customHeight="false" outlineLevel="0" collapsed="false">
      <c r="A117" s="5" t="n">
        <f aca="false">IF($O117="","",INT($O117/1000))</f>
        <v>8</v>
      </c>
      <c r="B117" s="6" t="str">
        <f aca="false">IF($O117="","",INDEX(Scoring!$A$29:$A$361,MATCH($O117,Scoring!$AB$29:$AB$361,0)))</f>
        <v>Zydus</v>
      </c>
      <c r="C117" s="5" t="n">
        <f aca="false">IF($O117="","",IF(INDEX(Scoring!$P$29:$P$361,MATCH($O117,Scoring!$AB$29:$AB$361,0))="","–",INDEX(Scoring!$P$29:$P$361,MATCH($O117,Scoring!$AB$29:$AB$361,0))))</f>
        <v>8</v>
      </c>
      <c r="D117" s="6" t="str">
        <f aca="false">IF($O117="","",INDEX(Scoring!$Q$29:$Q$361,MATCH($O117,Scoring!$AB$29:$AB$361,0)))</f>
        <v>Priority 2</v>
      </c>
      <c r="E117" s="7" t="str">
        <f aca="false">IF($O117="","",INDEX(Scoring!$AJ$29:$AJ$361,MATCH($O117,Scoring!$AB$29:$AB$361,0)))</f>
        <v>High price · lower volume</v>
      </c>
      <c r="F117" s="6" t="str">
        <f aca="false">IF($O117="","",INDEX(Scoring!$B$29:$B$361,MATCH($O117,Scoring!$AB$29:$AB$361,0)))</f>
        <v>Indocyanine Green</v>
      </c>
      <c r="G117" s="7" t="str">
        <f aca="false">IF($O117="","",INDEX(Scoring!$AG$29:$AG$361,MATCH($O117,Scoring!$AB$29:$AB$361,0)))</f>
        <v>Indocyanine Green</v>
      </c>
      <c r="H117" s="7" t="str">
        <f aca="false">IF($O117="","",INDEX(Scoring!$C$29:$C$361,MATCH($O117,Scoring!$AB$29:$AB$361,0)))</f>
        <v>Diagnostics: lymph node mapping in cancer surgery, cardiac output, liver function, eye imaging</v>
      </c>
      <c r="I117" s="6" t="str">
        <f aca="false">IF($O117="","",INDEX(Scoring!$I$29:$I$361,MATCH($O117,Scoring!$AB$29:$AB$361,0)))</f>
        <v>Not stated</v>
      </c>
      <c r="J117" s="7" t="str">
        <f aca="false">IF($O117="","",INDEX(Scoring!$Z$29:$Z$361,MATCH($O117,Scoring!$AB$29:$AB$361,0)))</f>
        <v>25 mg (container not stated)</v>
      </c>
      <c r="K117" s="8" t="n">
        <f aca="false">IF($O117="","",IF(INDEX(Scoring!$D$29:$D$361,MATCH($O117,Scoring!$AB$29:$AB$361,0))="",INDEX(Scoring!$AF$29:$AF$361,MATCH($O117,Scoring!$AB$29:$AB$361,0)),INDEX(Scoring!$D$29:$D$361,MATCH($O117,Scoring!$AB$29:$AB$361,0))))</f>
        <v>179.58</v>
      </c>
      <c r="L117" s="9" t="n">
        <f aca="false">IF($O117="","",INDEX(Scoring!$M$29:$M$361,MATCH($O117,Scoring!$AB$29:$AB$361,0)))</f>
        <v>34</v>
      </c>
      <c r="M117" s="9" t="n">
        <f aca="false">IF($O117="","",INDEX(Scoring!$F$29:$F$361,MATCH($O117,Scoring!$AB$29:$AB$361,0)))</f>
        <v>214.1</v>
      </c>
      <c r="N117" s="7" t="str">
        <f aca="false">IF($O117="","",INDEX(Scoring!$AI$29:$AI$361,MATCH($O117,Scoring!$AB$29:$AB$361,0)))</f>
        <v>US</v>
      </c>
      <c r="O117" s="10" t="n">
        <f aca="false">IFERROR(SMALL(Scoring!$AB$29:$AB$361,113),"")</f>
        <v>8008</v>
      </c>
    </row>
    <row r="118" customFormat="false" ht="28.35" hidden="false" customHeight="false" outlineLevel="0" collapsed="false">
      <c r="A118" s="5" t="n">
        <f aca="false">IF($O118="","",INT($O118/1000))</f>
        <v>8</v>
      </c>
      <c r="B118" s="6" t="str">
        <f aca="false">IF($O118="","",INDEX(Scoring!$A$29:$A$361,MATCH($O118,Scoring!$AB$29:$AB$361,0)))</f>
        <v>Zydus</v>
      </c>
      <c r="C118" s="5" t="n">
        <f aca="false">IF($O118="","",IF(INDEX(Scoring!$P$29:$P$361,MATCH($O118,Scoring!$AB$29:$AB$361,0))="","–",INDEX(Scoring!$P$29:$P$361,MATCH($O118,Scoring!$AB$29:$AB$361,0))))</f>
        <v>9</v>
      </c>
      <c r="D118" s="6" t="str">
        <f aca="false">IF($O118="","",INDEX(Scoring!$Q$29:$Q$361,MATCH($O118,Scoring!$AB$29:$AB$361,0)))</f>
        <v>Priority 3</v>
      </c>
      <c r="E118" s="7" t="str">
        <f aca="false">IF($O118="","",INDEX(Scoring!$AJ$29:$AJ$361,MATCH($O118,Scoring!$AB$29:$AB$361,0)))</f>
        <v>Lower price · lower volume</v>
      </c>
      <c r="F118" s="6" t="str">
        <f aca="false">IF($O118="","",INDEX(Scoring!$B$29:$B$361,MATCH($O118,Scoring!$AB$29:$AB$361,0)))</f>
        <v>Haloperidol Decanoate</v>
      </c>
      <c r="G118" s="7" t="str">
        <f aca="false">IF($O118="","",INDEX(Scoring!$AG$29:$AG$361,MATCH($O118,Scoring!$AB$29:$AB$361,0)))</f>
        <v>Haloperidol Decanoate</v>
      </c>
      <c r="H118" s="7" t="str">
        <f aca="false">IF($O118="","",INDEX(Scoring!$C$29:$C$361,MATCH($O118,Scoring!$AB$29:$AB$361,0)))</f>
        <v>Psychiatry: long-acting maintenance treatment for schizophrenia</v>
      </c>
      <c r="I118" s="6" t="str">
        <f aca="false">IF($O118="","",INDEX(Scoring!$I$29:$I$361,MATCH($O118,Scoring!$AB$29:$AB$361,0)))</f>
        <v>Vial</v>
      </c>
      <c r="J118" s="7" t="str">
        <f aca="false">IF($O118="","",INDEX(Scoring!$Z$29:$Z$361,MATCH($O118,Scoring!$AB$29:$AB$361,0)))</f>
        <v>50 mg/1 mL vial; 100 mg/1 mL vial</v>
      </c>
      <c r="K118" s="8" t="n">
        <f aca="false">IF($O118="","",IF(INDEX(Scoring!$D$29:$D$361,MATCH($O118,Scoring!$AB$29:$AB$361,0))="",INDEX(Scoring!$AF$29:$AF$361,MATCH($O118,Scoring!$AB$29:$AB$361,0)),INDEX(Scoring!$D$29:$D$361,MATCH($O118,Scoring!$AB$29:$AB$361,0))))</f>
        <v>14.99</v>
      </c>
      <c r="L118" s="9" t="n">
        <f aca="false">IF($O118="","",INDEX(Scoring!$M$29:$M$361,MATCH($O118,Scoring!$AB$29:$AB$361,0)))</f>
        <v>36</v>
      </c>
      <c r="M118" s="9" t="n">
        <f aca="false">IF($O118="","",INDEX(Scoring!$F$29:$F$361,MATCH($O118,Scoring!$AB$29:$AB$361,0)))</f>
        <v>1618.6</v>
      </c>
      <c r="N118" s="7" t="str">
        <f aca="false">IF($O118="","",INDEX(Scoring!$AI$29:$AI$361,MATCH($O118,Scoring!$AB$29:$AB$361,0)))</f>
        <v>US</v>
      </c>
      <c r="O118" s="10" t="n">
        <f aca="false">IFERROR(SMALL(Scoring!$AB$29:$AB$361,114),"")</f>
        <v>8009</v>
      </c>
    </row>
    <row r="119" customFormat="false" ht="28.35" hidden="false" customHeight="false" outlineLevel="0" collapsed="false">
      <c r="A119" s="5" t="n">
        <f aca="false">IF($O119="","",INT($O119/1000))</f>
        <v>8</v>
      </c>
      <c r="B119" s="6" t="str">
        <f aca="false">IF($O119="","",INDEX(Scoring!$A$29:$A$361,MATCH($O119,Scoring!$AB$29:$AB$361,0)))</f>
        <v>Zydus</v>
      </c>
      <c r="C119" s="5" t="n">
        <f aca="false">IF($O119="","",IF(INDEX(Scoring!$P$29:$P$361,MATCH($O119,Scoring!$AB$29:$AB$361,0))="","–",INDEX(Scoring!$P$29:$P$361,MATCH($O119,Scoring!$AB$29:$AB$361,0))))</f>
        <v>10</v>
      </c>
      <c r="D119" s="6" t="str">
        <f aca="false">IF($O119="","",INDEX(Scoring!$Q$29:$Q$361,MATCH($O119,Scoring!$AB$29:$AB$361,0)))</f>
        <v>Priority 3</v>
      </c>
      <c r="E119" s="7" t="str">
        <f aca="false">IF($O119="","",INDEX(Scoring!$AJ$29:$AJ$361,MATCH($O119,Scoring!$AB$29:$AB$361,0)))</f>
        <v>Lower price · lower volume</v>
      </c>
      <c r="F119" s="6" t="str">
        <f aca="false">IF($O119="","",INDEX(Scoring!$B$29:$B$361,MATCH($O119,Scoring!$AB$29:$AB$361,0)))</f>
        <v>Acetazolamide</v>
      </c>
      <c r="G119" s="7" t="str">
        <f aca="false">IF($O119="","",INDEX(Scoring!$AG$29:$AG$361,MATCH($O119,Scoring!$AB$29:$AB$361,0)))</f>
        <v>Acetazolamide Sodium</v>
      </c>
      <c r="H119" s="7" t="str">
        <f aca="false">IF($O119="","",INDEX(Scoring!$C$29:$C$361,MATCH($O119,Scoring!$AB$29:$AB$361,0)))</f>
        <v>Ophthalmology: acute angle-closure glaucoma, raised eye pressure, oedema</v>
      </c>
      <c r="I119" s="6" t="str">
        <f aca="false">IF($O119="","",INDEX(Scoring!$I$29:$I$361,MATCH($O119,Scoring!$AB$29:$AB$361,0)))</f>
        <v>Not stated</v>
      </c>
      <c r="J119" s="7" t="str">
        <f aca="false">IF($O119="","",INDEX(Scoring!$Z$29:$Z$361,MATCH($O119,Scoring!$AB$29:$AB$361,0)))</f>
        <v>500 mg (container not stated)</v>
      </c>
      <c r="K119" s="8" t="n">
        <f aca="false">IF($O119="","",IF(INDEX(Scoring!$D$29:$D$361,MATCH($O119,Scoring!$AB$29:$AB$361,0))="",INDEX(Scoring!$AF$29:$AF$361,MATCH($O119,Scoring!$AB$29:$AB$361,0)),INDEX(Scoring!$D$29:$D$361,MATCH($O119,Scoring!$AB$29:$AB$361,0))))</f>
        <v>24.95</v>
      </c>
      <c r="L119" s="9" t="n">
        <f aca="false">IF($O119="","",INDEX(Scoring!$M$29:$M$361,MATCH($O119,Scoring!$AB$29:$AB$361,0)))</f>
        <v>48</v>
      </c>
      <c r="M119" s="9" t="n">
        <f aca="false">IF($O119="","",INDEX(Scoring!$F$29:$F$361,MATCH($O119,Scoring!$AB$29:$AB$361,0)))</f>
        <v>1405.2</v>
      </c>
      <c r="N119" s="7" t="str">
        <f aca="false">IF($O119="","",INDEX(Scoring!$AI$29:$AI$361,MATCH($O119,Scoring!$AB$29:$AB$361,0)))</f>
        <v>US</v>
      </c>
      <c r="O119" s="10" t="n">
        <f aca="false">IFERROR(SMALL(Scoring!$AB$29:$AB$361,115),"")</f>
        <v>8010</v>
      </c>
    </row>
    <row r="120" customFormat="false" ht="28.35" hidden="false" customHeight="false" outlineLevel="0" collapsed="false">
      <c r="A120" s="5" t="n">
        <f aca="false">IF($O120="","",INT($O120/1000))</f>
        <v>8</v>
      </c>
      <c r="B120" s="6" t="str">
        <f aca="false">IF($O120="","",INDEX(Scoring!$A$29:$A$361,MATCH($O120,Scoring!$AB$29:$AB$361,0)))</f>
        <v>Zydus</v>
      </c>
      <c r="C120" s="5" t="n">
        <f aca="false">IF($O120="","",IF(INDEX(Scoring!$P$29:$P$361,MATCH($O120,Scoring!$AB$29:$AB$361,0))="","–",INDEX(Scoring!$P$29:$P$361,MATCH($O120,Scoring!$AB$29:$AB$361,0))))</f>
        <v>11</v>
      </c>
      <c r="D120" s="6" t="str">
        <f aca="false">IF($O120="","",INDEX(Scoring!$Q$29:$Q$361,MATCH($O120,Scoring!$AB$29:$AB$361,0)))</f>
        <v>Priority 3</v>
      </c>
      <c r="E120" s="7" t="str">
        <f aca="false">IF($O120="","",INDEX(Scoring!$AJ$29:$AJ$361,MATCH($O120,Scoring!$AB$29:$AB$361,0)))</f>
        <v>Lower price · lower volume</v>
      </c>
      <c r="F120" s="6" t="str">
        <f aca="false">IF($O120="","",INDEX(Scoring!$B$29:$B$361,MATCH($O120,Scoring!$AB$29:$AB$361,0)))</f>
        <v>Chlorpromazine</v>
      </c>
      <c r="G120" s="7" t="str">
        <f aca="false">IF($O120="","",INDEX(Scoring!$AG$29:$AG$361,MATCH($O120,Scoring!$AB$29:$AB$361,0)))</f>
        <v>Chlorpromazine Hydrochloride</v>
      </c>
      <c r="H120" s="7" t="str">
        <f aca="false">IF($O120="","",INDEX(Scoring!$C$29:$C$361,MATCH($O120,Scoring!$AB$29:$AB$361,0)))</f>
        <v>Psychiatry: acute psychosis and agitation, severe nausea and vomiting</v>
      </c>
      <c r="I120" s="6" t="str">
        <f aca="false">IF($O120="","",INDEX(Scoring!$I$29:$I$361,MATCH($O120,Scoring!$AB$29:$AB$361,0)))</f>
        <v>Vial</v>
      </c>
      <c r="J120" s="7" t="str">
        <f aca="false">IF($O120="","",INDEX(Scoring!$Z$29:$Z$361,MATCH($O120,Scoring!$AB$29:$AB$361,0)))</f>
        <v>25 mg/1 mL vial</v>
      </c>
      <c r="K120" s="8" t="n">
        <f aca="false">IF($O120="","",IF(INDEX(Scoring!$D$29:$D$361,MATCH($O120,Scoring!$AB$29:$AB$361,0))="",INDEX(Scoring!$AF$29:$AF$361,MATCH($O120,Scoring!$AB$29:$AB$361,0)),INDEX(Scoring!$D$29:$D$361,MATCH($O120,Scoring!$AB$29:$AB$361,0))))</f>
        <v>14.96</v>
      </c>
      <c r="L120" s="9" t="n">
        <f aca="false">IF($O120="","",INDEX(Scoring!$M$29:$M$361,MATCH($O120,Scoring!$AB$29:$AB$361,0)))</f>
        <v>82</v>
      </c>
      <c r="M120" s="9" t="n">
        <f aca="false">IF($O120="","",INDEX(Scoring!$F$29:$F$361,MATCH($O120,Scoring!$AB$29:$AB$361,0)))</f>
        <v>1358.2</v>
      </c>
      <c r="N120" s="7" t="str">
        <f aca="false">IF($O120="","",INDEX(Scoring!$AI$29:$AI$361,MATCH($O120,Scoring!$AB$29:$AB$361,0)))</f>
        <v>US</v>
      </c>
      <c r="O120" s="10" t="n">
        <f aca="false">IFERROR(SMALL(Scoring!$AB$29:$AB$361,116),"")</f>
        <v>8011</v>
      </c>
    </row>
    <row r="121" customFormat="false" ht="28.35" hidden="false" customHeight="false" outlineLevel="0" collapsed="false">
      <c r="A121" s="5" t="n">
        <f aca="false">IF($O121="","",INT($O121/1000))</f>
        <v>9</v>
      </c>
      <c r="B121" s="6" t="str">
        <f aca="false">IF($O121="","",INDEX(Scoring!$A$29:$A$361,MATCH($O121,Scoring!$AB$29:$AB$361,0)))</f>
        <v>Hetero</v>
      </c>
      <c r="C121" s="5" t="n">
        <f aca="false">IF($O121="","",IF(INDEX(Scoring!$P$29:$P$361,MATCH($O121,Scoring!$AB$29:$AB$361,0))="","–",INDEX(Scoring!$P$29:$P$361,MATCH($O121,Scoring!$AB$29:$AB$361,0))))</f>
        <v>1</v>
      </c>
      <c r="D121" s="6" t="str">
        <f aca="false">IF($O121="","",INDEX(Scoring!$Q$29:$Q$361,MATCH($O121,Scoring!$AB$29:$AB$361,0)))</f>
        <v>Priority 1</v>
      </c>
      <c r="E121" s="7" t="str">
        <f aca="false">IF($O121="","",INDEX(Scoring!$AJ$29:$AJ$361,MATCH($O121,Scoring!$AB$29:$AB$361,0)))</f>
        <v>High price · high volume</v>
      </c>
      <c r="F121" s="6" t="str">
        <f aca="false">IF($O121="","",INDEX(Scoring!$B$29:$B$361,MATCH($O121,Scoring!$AB$29:$AB$361,0)))</f>
        <v>Azacitidine</v>
      </c>
      <c r="G121" s="7" t="str">
        <f aca="false">IF($O121="","",INDEX(Scoring!$AG$29:$AG$361,MATCH($O121,Scoring!$AB$29:$AB$361,0)))</f>
        <v>Azacitidine; Azacitidine Amarox</v>
      </c>
      <c r="H121" s="7" t="str">
        <f aca="false">IF($O121="","",INDEX(Scoring!$C$29:$C$361,MATCH($O121,Scoring!$AB$29:$AB$361,0)))</f>
        <v>Oncology: myelodysplastic syndromes, acute myeloid leukaemia</v>
      </c>
      <c r="I121" s="6" t="str">
        <f aca="false">IF($O121="","",INDEX(Scoring!$I$29:$I$361,MATCH($O121,Scoring!$AB$29:$AB$361,0)))</f>
        <v>Vial</v>
      </c>
      <c r="J121" s="7" t="str">
        <f aca="false">IF($O121="","",INDEX(Scoring!$Z$29:$Z$361,MATCH($O121,Scoring!$AB$29:$AB$361,0)))</f>
        <v>25 mg/mL powder vial</v>
      </c>
      <c r="K121" s="8" t="n">
        <f aca="false">IF($O121="","",IF(INDEX(Scoring!$D$29:$D$361,MATCH($O121,Scoring!$AB$29:$AB$361,0))="",INDEX(Scoring!$AF$29:$AF$361,MATCH($O121,Scoring!$AB$29:$AB$361,0)),INDEX(Scoring!$D$29:$D$361,MATCH($O121,Scoring!$AB$29:$AB$361,0))))</f>
        <v>360.71</v>
      </c>
      <c r="L121" s="9" t="n">
        <f aca="false">IF($O121="","",INDEX(Scoring!$M$29:$M$361,MATCH($O121,Scoring!$AB$29:$AB$361,0)))</f>
        <v>632</v>
      </c>
      <c r="M121" s="9" t="n">
        <f aca="false">IF($O121="","",INDEX(Scoring!$F$29:$F$361,MATCH($O121,Scoring!$AB$29:$AB$361,0)))</f>
        <v>42181.7</v>
      </c>
      <c r="N121" s="7" t="str">
        <f aca="false">IF($O121="","",INDEX(Scoring!$AI$29:$AI$361,MATCH($O121,Scoring!$AB$29:$AB$361,0)))</f>
        <v>UK, UK-NI</v>
      </c>
      <c r="O121" s="10" t="n">
        <f aca="false">IFERROR(SMALL(Scoring!$AB$29:$AB$361,117),"")</f>
        <v>9001</v>
      </c>
    </row>
    <row r="122" customFormat="false" ht="41.75" hidden="false" customHeight="false" outlineLevel="0" collapsed="false">
      <c r="A122" s="5" t="n">
        <f aca="false">IF($O122="","",INT($O122/1000))</f>
        <v>9</v>
      </c>
      <c r="B122" s="6" t="str">
        <f aca="false">IF($O122="","",INDEX(Scoring!$A$29:$A$361,MATCH($O122,Scoring!$AB$29:$AB$361,0)))</f>
        <v>Hetero</v>
      </c>
      <c r="C122" s="5" t="n">
        <f aca="false">IF($O122="","",IF(INDEX(Scoring!$P$29:$P$361,MATCH($O122,Scoring!$AB$29:$AB$361,0))="","–",INDEX(Scoring!$P$29:$P$361,MATCH($O122,Scoring!$AB$29:$AB$361,0))))</f>
        <v>2</v>
      </c>
      <c r="D122" s="6" t="str">
        <f aca="false">IF($O122="","",INDEX(Scoring!$Q$29:$Q$361,MATCH($O122,Scoring!$AB$29:$AB$361,0)))</f>
        <v>Priority 1</v>
      </c>
      <c r="E122" s="7" t="str">
        <f aca="false">IF($O122="","",INDEX(Scoring!$AJ$29:$AJ$361,MATCH($O122,Scoring!$AB$29:$AB$361,0)))</f>
        <v>High price · high volume</v>
      </c>
      <c r="F122" s="6" t="str">
        <f aca="false">IF($O122="","",INDEX(Scoring!$B$29:$B$361,MATCH($O122,Scoring!$AB$29:$AB$361,0)))</f>
        <v>Bortezomib</v>
      </c>
      <c r="G122" s="7" t="str">
        <f aca="false">IF($O122="","",INDEX(Scoring!$AG$29:$AG$361,MATCH($O122,Scoring!$AB$29:$AB$361,0)))</f>
        <v>Bortezomib; Bortezomib Amarox; Bortezomib Hetero (+1 more)</v>
      </c>
      <c r="H122" s="7" t="str">
        <f aca="false">IF($O122="","",INDEX(Scoring!$C$29:$C$361,MATCH($O122,Scoring!$AB$29:$AB$361,0)))</f>
        <v>Oncology: multiple myeloma, mantle cell lymphoma</v>
      </c>
      <c r="I122" s="6" t="str">
        <f aca="false">IF($O122="","",INDEX(Scoring!$I$29:$I$361,MATCH($O122,Scoring!$AB$29:$AB$361,0)))</f>
        <v>Vial</v>
      </c>
      <c r="J122" s="7" t="str">
        <f aca="false">IF($O122="","",INDEX(Scoring!$Z$29:$Z$361,MATCH($O122,Scoring!$AB$29:$AB$361,0)))</f>
        <v>3.5 mg powder vial; 1 mg/0.4 mL vial; 3.5 mg/1.4 mL vial; 2.5 mg/1 mL vial (+1 more)</v>
      </c>
      <c r="K122" s="8" t="n">
        <f aca="false">IF($O122="","",IF(INDEX(Scoring!$D$29:$D$361,MATCH($O122,Scoring!$AB$29:$AB$361,0))="",INDEX(Scoring!$AF$29:$AF$361,MATCH($O122,Scoring!$AB$29:$AB$361,0)),INDEX(Scoring!$D$29:$D$361,MATCH($O122,Scoring!$AB$29:$AB$361,0))))</f>
        <v>295.75</v>
      </c>
      <c r="L122" s="9" t="n">
        <f aca="false">IF($O122="","",INDEX(Scoring!$M$29:$M$361,MATCH($O122,Scoring!$AB$29:$AB$361,0)))</f>
        <v>905</v>
      </c>
      <c r="M122" s="9" t="n">
        <f aca="false">IF($O122="","",INDEX(Scoring!$F$29:$F$361,MATCH($O122,Scoring!$AB$29:$AB$361,0)))</f>
        <v>28093.4</v>
      </c>
      <c r="N122" s="7" t="str">
        <f aca="false">IF($O122="","",INDEX(Scoring!$AI$29:$AI$361,MATCH($O122,Scoring!$AB$29:$AB$361,0)))</f>
        <v>US, UK, Australia, South Africa, UK-NI | EU/EEA (3): Germany, Netherlands, Spain</v>
      </c>
      <c r="O122" s="10" t="n">
        <f aca="false">IFERROR(SMALL(Scoring!$AB$29:$AB$361,118),"")</f>
        <v>9002</v>
      </c>
    </row>
    <row r="123" customFormat="false" ht="41.75" hidden="false" customHeight="false" outlineLevel="0" collapsed="false">
      <c r="A123" s="5" t="n">
        <f aca="false">IF($O123="","",INT($O123/1000))</f>
        <v>9</v>
      </c>
      <c r="B123" s="6" t="str">
        <f aca="false">IF($O123="","",INDEX(Scoring!$A$29:$A$361,MATCH($O123,Scoring!$AB$29:$AB$361,0)))</f>
        <v>Hetero</v>
      </c>
      <c r="C123" s="5" t="n">
        <f aca="false">IF($O123="","",IF(INDEX(Scoring!$P$29:$P$361,MATCH($O123,Scoring!$AB$29:$AB$361,0))="","–",INDEX(Scoring!$P$29:$P$361,MATCH($O123,Scoring!$AB$29:$AB$361,0))))</f>
        <v>3</v>
      </c>
      <c r="D123" s="6" t="str">
        <f aca="false">IF($O123="","",INDEX(Scoring!$Q$29:$Q$361,MATCH($O123,Scoring!$AB$29:$AB$361,0)))</f>
        <v>Priority 2</v>
      </c>
      <c r="E123" s="7" t="str">
        <f aca="false">IF($O123="","",INDEX(Scoring!$AJ$29:$AJ$361,MATCH($O123,Scoring!$AB$29:$AB$361,0)))</f>
        <v>Lower price · high volume</v>
      </c>
      <c r="F123" s="6" t="str">
        <f aca="false">IF($O123="","",INDEX(Scoring!$B$29:$B$361,MATCH($O123,Scoring!$AB$29:$AB$361,0)))</f>
        <v>Methotrexate</v>
      </c>
      <c r="G123" s="7" t="str">
        <f aca="false">IF($O123="","",INDEX(Scoring!$AG$29:$AG$361,MATCH($O123,Scoring!$AB$29:$AB$361,0)))</f>
        <v>Methotrexate Sodium</v>
      </c>
      <c r="H123" s="7" t="str">
        <f aca="false">IF($O123="","",INDEX(Scoring!$C$29:$C$361,MATCH($O123,Scoring!$AB$29:$AB$361,0)))</f>
        <v>Oncology and immunology: leukaemia, lymphoma, bone cancer, rheumatoid arthritis, psoriasis</v>
      </c>
      <c r="I123" s="6" t="str">
        <f aca="false">IF($O123="","",INDEX(Scoring!$I$29:$I$361,MATCH($O123,Scoring!$AB$29:$AB$361,0)))</f>
        <v>Not stated</v>
      </c>
      <c r="J123" s="7" t="str">
        <f aca="false">IF($O123="","",INDEX(Scoring!$Z$29:$Z$361,MATCH($O123,Scoring!$AB$29:$AB$361,0)))</f>
        <v>50 mg/2 mL (container not stated)</v>
      </c>
      <c r="K123" s="8" t="n">
        <f aca="false">IF($O123="","",IF(INDEX(Scoring!$D$29:$D$361,MATCH($O123,Scoring!$AB$29:$AB$361,0))="",INDEX(Scoring!$AF$29:$AF$361,MATCH($O123,Scoring!$AB$29:$AB$361,0)),INDEX(Scoring!$D$29:$D$361,MATCH($O123,Scoring!$AB$29:$AB$361,0))))</f>
        <v>7.15</v>
      </c>
      <c r="L123" s="9" t="n">
        <f aca="false">IF($O123="","",INDEX(Scoring!$M$29:$M$361,MATCH($O123,Scoring!$AB$29:$AB$361,0)))</f>
        <v>996</v>
      </c>
      <c r="M123" s="9" t="n">
        <f aca="false">IF($O123="","",INDEX(Scoring!$F$29:$F$361,MATCH($O123,Scoring!$AB$29:$AB$361,0)))</f>
        <v>13045.6</v>
      </c>
      <c r="N123" s="7" t="str">
        <f aca="false">IF($O123="","",INDEX(Scoring!$AI$29:$AI$361,MATCH($O123,Scoring!$AB$29:$AB$361,0)))</f>
        <v>US</v>
      </c>
      <c r="O123" s="10" t="n">
        <f aca="false">IFERROR(SMALL(Scoring!$AB$29:$AB$361,119),"")</f>
        <v>9003</v>
      </c>
    </row>
    <row r="124" customFormat="false" ht="28.35" hidden="false" customHeight="false" outlineLevel="0" collapsed="false">
      <c r="A124" s="5" t="n">
        <f aca="false">IF($O124="","",INT($O124/1000))</f>
        <v>9</v>
      </c>
      <c r="B124" s="6" t="str">
        <f aca="false">IF($O124="","",INDEX(Scoring!$A$29:$A$361,MATCH($O124,Scoring!$AB$29:$AB$361,0)))</f>
        <v>Hetero</v>
      </c>
      <c r="C124" s="5" t="n">
        <f aca="false">IF($O124="","",IF(INDEX(Scoring!$P$29:$P$361,MATCH($O124,Scoring!$AB$29:$AB$361,0))="","–",INDEX(Scoring!$P$29:$P$361,MATCH($O124,Scoring!$AB$29:$AB$361,0))))</f>
        <v>4</v>
      </c>
      <c r="D124" s="6" t="str">
        <f aca="false">IF($O124="","",INDEX(Scoring!$Q$29:$Q$361,MATCH($O124,Scoring!$AB$29:$AB$361,0)))</f>
        <v>Priority 2</v>
      </c>
      <c r="E124" s="7" t="str">
        <f aca="false">IF($O124="","",INDEX(Scoring!$AJ$29:$AJ$361,MATCH($O124,Scoring!$AB$29:$AB$361,0)))</f>
        <v>High price · lower volume</v>
      </c>
      <c r="F124" s="6" t="str">
        <f aca="false">IF($O124="","",INDEX(Scoring!$B$29:$B$361,MATCH($O124,Scoring!$AB$29:$AB$361,0)))</f>
        <v>Plerixafor</v>
      </c>
      <c r="G124" s="7" t="str">
        <f aca="false">IF($O124="","",INDEX(Scoring!$AG$29:$AG$361,MATCH($O124,Scoring!$AB$29:$AB$361,0)))</f>
        <v>Plerixafor; Plerixafor Amarox; Heterix</v>
      </c>
      <c r="H124" s="7" t="str">
        <f aca="false">IF($O124="","",INDEX(Scoring!$C$29:$C$361,MATCH($O124,Scoring!$AB$29:$AB$361,0)))</f>
        <v>Oncology support: stem cell mobilisation in myeloma and lymphoma</v>
      </c>
      <c r="I124" s="6" t="str">
        <f aca="false">IF($O124="","",INDEX(Scoring!$I$29:$I$361,MATCH($O124,Scoring!$AB$29:$AB$361,0)))</f>
        <v>Vial</v>
      </c>
      <c r="J124" s="7" t="str">
        <f aca="false">IF($O124="","",INDEX(Scoring!$Z$29:$Z$361,MATCH($O124,Scoring!$AB$29:$AB$361,0)))</f>
        <v>24 mg/1.2 mL vial</v>
      </c>
      <c r="K124" s="8" t="n">
        <f aca="false">IF($O124="","",IF(INDEX(Scoring!$D$29:$D$361,MATCH($O124,Scoring!$AB$29:$AB$361,0))="",INDEX(Scoring!$AF$29:$AF$361,MATCH($O124,Scoring!$AB$29:$AB$361,0)),INDEX(Scoring!$D$29:$D$361,MATCH($O124,Scoring!$AB$29:$AB$361,0))))</f>
        <v>4289.93</v>
      </c>
      <c r="L124" s="9" t="n">
        <f aca="false">IF($O124="","",INDEX(Scoring!$M$29:$M$361,MATCH($O124,Scoring!$AB$29:$AB$361,0)))</f>
        <v>47</v>
      </c>
      <c r="M124" s="9" t="n">
        <f aca="false">IF($O124="","",INDEX(Scoring!$F$29:$F$361,MATCH($O124,Scoring!$AB$29:$AB$361,0)))</f>
        <v>7904.7</v>
      </c>
      <c r="N124" s="7" t="str">
        <f aca="false">IF($O124="","",INDEX(Scoring!$AI$29:$AI$361,MATCH($O124,Scoring!$AB$29:$AB$361,0)))</f>
        <v>US, UK, South Africa, UK-NI | EU/EEA (3): Germany, Netherlands, Spain</v>
      </c>
      <c r="O124" s="10" t="n">
        <f aca="false">IFERROR(SMALL(Scoring!$AB$29:$AB$361,120),"")</f>
        <v>9004</v>
      </c>
    </row>
    <row r="125" customFormat="false" ht="28.35" hidden="false" customHeight="false" outlineLevel="0" collapsed="false">
      <c r="A125" s="5" t="n">
        <f aca="false">IF($O125="","",INT($O125/1000))</f>
        <v>9</v>
      </c>
      <c r="B125" s="6" t="str">
        <f aca="false">IF($O125="","",INDEX(Scoring!$A$29:$A$361,MATCH($O125,Scoring!$AB$29:$AB$361,0)))</f>
        <v>Hetero</v>
      </c>
      <c r="C125" s="5" t="n">
        <f aca="false">IF($O125="","",IF(INDEX(Scoring!$P$29:$P$361,MATCH($O125,Scoring!$AB$29:$AB$361,0))="","–",INDEX(Scoring!$P$29:$P$361,MATCH($O125,Scoring!$AB$29:$AB$361,0))))</f>
        <v>5</v>
      </c>
      <c r="D125" s="6" t="str">
        <f aca="false">IF($O125="","",INDEX(Scoring!$Q$29:$Q$361,MATCH($O125,Scoring!$AB$29:$AB$361,0)))</f>
        <v>Priority 2</v>
      </c>
      <c r="E125" s="7" t="str">
        <f aca="false">IF($O125="","",INDEX(Scoring!$AJ$29:$AJ$361,MATCH($O125,Scoring!$AB$29:$AB$361,0)))</f>
        <v>High price · lower volume</v>
      </c>
      <c r="F125" s="6" t="str">
        <f aca="false">IF($O125="","",INDEX(Scoring!$B$29:$B$361,MATCH($O125,Scoring!$AB$29:$AB$361,0)))</f>
        <v>Teicoplanin</v>
      </c>
      <c r="G125" s="7" t="str">
        <f aca="false">IF($O125="","",INDEX(Scoring!$AG$29:$AG$361,MATCH($O125,Scoring!$AB$29:$AB$361,0)))</f>
        <v>Teicoplanin; Teicoplanin Amarox</v>
      </c>
      <c r="H125" s="7" t="str">
        <f aca="false">IF($O125="","",INDEX(Scoring!$C$29:$C$361,MATCH($O125,Scoring!$AB$29:$AB$361,0)))</f>
        <v>Anti-infective: MRSA and serious Gram-positive infections</v>
      </c>
      <c r="I125" s="6" t="str">
        <f aca="false">IF($O125="","",INDEX(Scoring!$I$29:$I$361,MATCH($O125,Scoring!$AB$29:$AB$361,0)))</f>
        <v>Vial</v>
      </c>
      <c r="J125" s="7" t="str">
        <f aca="false">IF($O125="","",INDEX(Scoring!$Z$29:$Z$361,MATCH($O125,Scoring!$AB$29:$AB$361,0)))</f>
        <v>400 mg powder vial</v>
      </c>
      <c r="K125" s="8" t="n">
        <f aca="false">IF($O125="","",IF(INDEX(Scoring!$D$29:$D$361,MATCH($O125,Scoring!$AB$29:$AB$361,0))="",INDEX(Scoring!$AF$29:$AF$361,MATCH($O125,Scoring!$AB$29:$AB$361,0)),INDEX(Scoring!$D$29:$D$361,MATCH($O125,Scoring!$AB$29:$AB$361,0))))</f>
        <v>36.53</v>
      </c>
      <c r="L125" s="9" t="n">
        <f aca="false">IF($O125="","",INDEX(Scoring!$M$29:$M$361,MATCH($O125,Scoring!$AB$29:$AB$361,0)))</f>
        <v>99</v>
      </c>
      <c r="M125" s="9" t="n">
        <f aca="false">IF($O125="","",INDEX(Scoring!$F$29:$F$361,MATCH($O125,Scoring!$AB$29:$AB$361,0)))</f>
        <v>6632.6</v>
      </c>
      <c r="N125" s="7" t="str">
        <f aca="false">IF($O125="","",INDEX(Scoring!$AI$29:$AI$361,MATCH($O125,Scoring!$AB$29:$AB$361,0)))</f>
        <v>UK, UK-NI</v>
      </c>
      <c r="O125" s="10" t="n">
        <f aca="false">IFERROR(SMALL(Scoring!$AB$29:$AB$361,121),"")</f>
        <v>9005</v>
      </c>
    </row>
    <row r="126" customFormat="false" ht="28.35" hidden="false" customHeight="false" outlineLevel="0" collapsed="false">
      <c r="A126" s="5" t="n">
        <f aca="false">IF($O126="","",INT($O126/1000))</f>
        <v>9</v>
      </c>
      <c r="B126" s="6" t="str">
        <f aca="false">IF($O126="","",INDEX(Scoring!$A$29:$A$361,MATCH($O126,Scoring!$AB$29:$AB$361,0)))</f>
        <v>Hetero</v>
      </c>
      <c r="C126" s="5" t="n">
        <f aca="false">IF($O126="","",IF(INDEX(Scoring!$P$29:$P$361,MATCH($O126,Scoring!$AB$29:$AB$361,0))="","–",INDEX(Scoring!$P$29:$P$361,MATCH($O126,Scoring!$AB$29:$AB$361,0))))</f>
        <v>6</v>
      </c>
      <c r="D126" s="6" t="str">
        <f aca="false">IF($O126="","",INDEX(Scoring!$Q$29:$Q$361,MATCH($O126,Scoring!$AB$29:$AB$361,0)))</f>
        <v>Priority 2</v>
      </c>
      <c r="E126" s="7" t="str">
        <f aca="false">IF($O126="","",INDEX(Scoring!$AJ$29:$AJ$361,MATCH($O126,Scoring!$AB$29:$AB$361,0)))</f>
        <v>Lower price · high volume</v>
      </c>
      <c r="F126" s="6" t="str">
        <f aca="false">IF($O126="","",INDEX(Scoring!$B$29:$B$361,MATCH($O126,Scoring!$AB$29:$AB$361,0)))</f>
        <v>Succinylcholine (Suxamethonium)</v>
      </c>
      <c r="G126" s="7" t="str">
        <f aca="false">IF($O126="","",INDEX(Scoring!$AG$29:$AG$361,MATCH($O126,Scoring!$AB$29:$AB$361,0)))</f>
        <v>Succinylcholine Chloride</v>
      </c>
      <c r="H126" s="7" t="str">
        <f aca="false">IF($O126="","",INDEX(Scoring!$C$29:$C$361,MATCH($O126,Scoring!$AB$29:$AB$361,0)))</f>
        <v>Anaesthesia: muscle relaxant for rapid intubation</v>
      </c>
      <c r="I126" s="6" t="str">
        <f aca="false">IF($O126="","",INDEX(Scoring!$I$29:$I$361,MATCH($O126,Scoring!$AB$29:$AB$361,0)))</f>
        <v>Vial</v>
      </c>
      <c r="J126" s="7" t="str">
        <f aca="false">IF($O126="","",INDEX(Scoring!$Z$29:$Z$361,MATCH($O126,Scoring!$AB$29:$AB$361,0)))</f>
        <v>200 mg/10 mL vial</v>
      </c>
      <c r="K126" s="8" t="n">
        <f aca="false">IF($O126="","",IF(INDEX(Scoring!$D$29:$D$361,MATCH($O126,Scoring!$AB$29:$AB$361,0))="",INDEX(Scoring!$AF$29:$AF$361,MATCH($O126,Scoring!$AB$29:$AB$361,0)),INDEX(Scoring!$D$29:$D$361,MATCH($O126,Scoring!$AB$29:$AB$361,0))))</f>
        <v>5.03</v>
      </c>
      <c r="L126" s="9" t="n">
        <f aca="false">IF($O126="","",INDEX(Scoring!$M$29:$M$361,MATCH($O126,Scoring!$AB$29:$AB$361,0)))</f>
        <v>286</v>
      </c>
      <c r="M126" s="9" t="n">
        <f aca="false">IF($O126="","",INDEX(Scoring!$F$29:$F$361,MATCH($O126,Scoring!$AB$29:$AB$361,0)))</f>
        <v>3067.4</v>
      </c>
      <c r="N126" s="7" t="str">
        <f aca="false">IF($O126="","",INDEX(Scoring!$AI$29:$AI$361,MATCH($O126,Scoring!$AB$29:$AB$361,0)))</f>
        <v>US</v>
      </c>
      <c r="O126" s="10" t="n">
        <f aca="false">IFERROR(SMALL(Scoring!$AB$29:$AB$361,122),"")</f>
        <v>9006</v>
      </c>
    </row>
    <row r="127" customFormat="false" ht="28.35" hidden="false" customHeight="false" outlineLevel="0" collapsed="false">
      <c r="A127" s="5" t="n">
        <f aca="false">IF($O127="","",INT($O127/1000))</f>
        <v>9</v>
      </c>
      <c r="B127" s="6" t="str">
        <f aca="false">IF($O127="","",INDEX(Scoring!$A$29:$A$361,MATCH($O127,Scoring!$AB$29:$AB$361,0)))</f>
        <v>Hetero</v>
      </c>
      <c r="C127" s="5" t="n">
        <f aca="false">IF($O127="","",IF(INDEX(Scoring!$P$29:$P$361,MATCH($O127,Scoring!$AB$29:$AB$361,0))="","–",INDEX(Scoring!$P$29:$P$361,MATCH($O127,Scoring!$AB$29:$AB$361,0))))</f>
        <v>7</v>
      </c>
      <c r="D127" s="6" t="str">
        <f aca="false">IF($O127="","",INDEX(Scoring!$Q$29:$Q$361,MATCH($O127,Scoring!$AB$29:$AB$361,0)))</f>
        <v>Priority 2</v>
      </c>
      <c r="E127" s="7" t="str">
        <f aca="false">IF($O127="","",INDEX(Scoring!$AJ$29:$AJ$361,MATCH($O127,Scoring!$AB$29:$AB$361,0)))</f>
        <v>High price · lower volume</v>
      </c>
      <c r="F127" s="6" t="str">
        <f aca="false">IF($O127="","",INDEX(Scoring!$B$29:$B$361,MATCH($O127,Scoring!$AB$29:$AB$361,0)))</f>
        <v>Isoprenaline (Isoproterenol)</v>
      </c>
      <c r="G127" s="7" t="str">
        <f aca="false">IF($O127="","",INDEX(Scoring!$AG$29:$AG$361,MATCH($O127,Scoring!$AB$29:$AB$361,0)))</f>
        <v>Isoproterenol Hydrochloride</v>
      </c>
      <c r="H127" s="7" t="str">
        <f aca="false">IF($O127="","",INDEX(Scoring!$C$29:$C$361,MATCH($O127,Scoring!$AB$29:$AB$361,0)))</f>
        <v>Cardiovascular: heart block, severe slow heart rate</v>
      </c>
      <c r="I127" s="6" t="str">
        <f aca="false">IF($O127="","",INDEX(Scoring!$I$29:$I$361,MATCH($O127,Scoring!$AB$29:$AB$361,0)))</f>
        <v>Not stated</v>
      </c>
      <c r="J127" s="7" t="str">
        <f aca="false">IF($O127="","",INDEX(Scoring!$Z$29:$Z$361,MATCH($O127,Scoring!$AB$29:$AB$361,0)))</f>
        <v>0.2 mg/mL (container not stated)</v>
      </c>
      <c r="K127" s="8" t="n">
        <f aca="false">IF($O127="","",IF(INDEX(Scoring!$D$29:$D$361,MATCH($O127,Scoring!$AB$29:$AB$361,0))="",INDEX(Scoring!$AF$29:$AF$361,MATCH($O127,Scoring!$AB$29:$AB$361,0)),INDEX(Scoring!$D$29:$D$361,MATCH($O127,Scoring!$AB$29:$AB$361,0))))</f>
        <v>69.18</v>
      </c>
      <c r="L127" s="9" t="n">
        <f aca="false">IF($O127="","",INDEX(Scoring!$M$29:$M$361,MATCH($O127,Scoring!$AB$29:$AB$361,0)))</f>
        <v>87</v>
      </c>
      <c r="M127" s="9" t="n">
        <f aca="false">IF($O127="","",INDEX(Scoring!$F$29:$F$361,MATCH($O127,Scoring!$AB$29:$AB$361,0)))</f>
        <v>2931.4</v>
      </c>
      <c r="N127" s="7" t="str">
        <f aca="false">IF($O127="","",INDEX(Scoring!$AI$29:$AI$361,MATCH($O127,Scoring!$AB$29:$AB$361,0)))</f>
        <v>US</v>
      </c>
      <c r="O127" s="10" t="n">
        <f aca="false">IFERROR(SMALL(Scoring!$AB$29:$AB$361,123),"")</f>
        <v>9007</v>
      </c>
    </row>
    <row r="128" customFormat="false" ht="28.35" hidden="false" customHeight="false" outlineLevel="0" collapsed="false">
      <c r="A128" s="5" t="n">
        <f aca="false">IF($O128="","",INT($O128/1000))</f>
        <v>9</v>
      </c>
      <c r="B128" s="6" t="str">
        <f aca="false">IF($O128="","",INDEX(Scoring!$A$29:$A$361,MATCH($O128,Scoring!$AB$29:$AB$361,0)))</f>
        <v>Hetero</v>
      </c>
      <c r="C128" s="5" t="n">
        <f aca="false">IF($O128="","",IF(INDEX(Scoring!$P$29:$P$361,MATCH($O128,Scoring!$AB$29:$AB$361,0))="","–",INDEX(Scoring!$P$29:$P$361,MATCH($O128,Scoring!$AB$29:$AB$361,0))))</f>
        <v>8</v>
      </c>
      <c r="D128" s="6" t="str">
        <f aca="false">IF($O128="","",INDEX(Scoring!$Q$29:$Q$361,MATCH($O128,Scoring!$AB$29:$AB$361,0)))</f>
        <v>Priority 2</v>
      </c>
      <c r="E128" s="7" t="str">
        <f aca="false">IF($O128="","",INDEX(Scoring!$AJ$29:$AJ$361,MATCH($O128,Scoring!$AB$29:$AB$361,0)))</f>
        <v>High price · lower volume</v>
      </c>
      <c r="F128" s="6" t="str">
        <f aca="false">IF($O128="","",INDEX(Scoring!$B$29:$B$361,MATCH($O128,Scoring!$AB$29:$AB$361,0)))</f>
        <v>Glycopyrrolate</v>
      </c>
      <c r="G128" s="7" t="str">
        <f aca="false">IF($O128="","",INDEX(Scoring!$AG$29:$AG$361,MATCH($O128,Scoring!$AB$29:$AB$361,0)))</f>
        <v>Glyopy</v>
      </c>
      <c r="H128" s="7" t="str">
        <f aca="false">IF($O128="","",INDEX(Scoring!$C$29:$C$361,MATCH($O128,Scoring!$AB$29:$AB$361,0)))</f>
        <v>Anaesthesia: reduces secretions, reversal of muscle relaxants</v>
      </c>
      <c r="I128" s="6" t="str">
        <f aca="false">IF($O128="","",INDEX(Scoring!$I$29:$I$361,MATCH($O128,Scoring!$AB$29:$AB$361,0)))</f>
        <v>Vial</v>
      </c>
      <c r="J128" s="7" t="str">
        <f aca="false">IF($O128="","",INDEX(Scoring!$Z$29:$Z$361,MATCH($O128,Scoring!$AB$29:$AB$361,0)))</f>
        <v>5 mg/5 mL vial</v>
      </c>
      <c r="K128" s="8" t="n">
        <f aca="false">IF($O128="","",IF(INDEX(Scoring!$D$29:$D$361,MATCH($O128,Scoring!$AB$29:$AB$361,0))="",INDEX(Scoring!$AF$29:$AF$361,MATCH($O128,Scoring!$AB$29:$AB$361,0)),INDEX(Scoring!$D$29:$D$361,MATCH($O128,Scoring!$AB$29:$AB$361,0))))</f>
        <v>30.23</v>
      </c>
      <c r="L128" s="9" t="n">
        <f aca="false">IF($O128="","",INDEX(Scoring!$M$29:$M$361,MATCH($O128,Scoring!$AB$29:$AB$361,0)))</f>
        <v>119</v>
      </c>
      <c r="M128" s="9" t="n">
        <f aca="false">IF($O128="","",INDEX(Scoring!$F$29:$F$361,MATCH($O128,Scoring!$AB$29:$AB$361,0)))</f>
        <v>1332.4</v>
      </c>
      <c r="N128" s="7" t="str">
        <f aca="false">IF($O128="","",INDEX(Scoring!$AI$29:$AI$361,MATCH($O128,Scoring!$AB$29:$AB$361,0)))</f>
        <v>South Africa</v>
      </c>
      <c r="O128" s="10" t="n">
        <f aca="false">IFERROR(SMALL(Scoring!$AB$29:$AB$361,124),"")</f>
        <v>9008</v>
      </c>
    </row>
    <row r="129" customFormat="false" ht="28.35" hidden="false" customHeight="false" outlineLevel="0" collapsed="false">
      <c r="A129" s="5" t="n">
        <f aca="false">IF($O129="","",INT($O129/1000))</f>
        <v>9</v>
      </c>
      <c r="B129" s="6" t="str">
        <f aca="false">IF($O129="","",INDEX(Scoring!$A$29:$A$361,MATCH($O129,Scoring!$AB$29:$AB$361,0)))</f>
        <v>Hetero</v>
      </c>
      <c r="C129" s="5" t="n">
        <f aca="false">IF($O129="","",IF(INDEX(Scoring!$P$29:$P$361,MATCH($O129,Scoring!$AB$29:$AB$361,0))="","–",INDEX(Scoring!$P$29:$P$361,MATCH($O129,Scoring!$AB$29:$AB$361,0))))</f>
        <v>9</v>
      </c>
      <c r="D129" s="6" t="str">
        <f aca="false">IF($O129="","",INDEX(Scoring!$Q$29:$Q$361,MATCH($O129,Scoring!$AB$29:$AB$361,0)))</f>
        <v>Priority 3</v>
      </c>
      <c r="E129" s="7" t="str">
        <f aca="false">IF($O129="","",INDEX(Scoring!$AJ$29:$AJ$361,MATCH($O129,Scoring!$AB$29:$AB$361,0)))</f>
        <v>Lower price · lower volume</v>
      </c>
      <c r="F129" s="6" t="str">
        <f aca="false">IF($O129="","",INDEX(Scoring!$B$29:$B$361,MATCH($O129,Scoring!$AB$29:$AB$361,0)))</f>
        <v>Magnesium Sulfate</v>
      </c>
      <c r="G129" s="7" t="str">
        <f aca="false">IF($O129="","",INDEX(Scoring!$AG$29:$AG$361,MATCH($O129,Scoring!$AB$29:$AB$361,0)))</f>
        <v>Magnesium Sulfate</v>
      </c>
      <c r="H129" s="7" t="str">
        <f aca="false">IF($O129="","",INDEX(Scoring!$C$29:$C$361,MATCH($O129,Scoring!$AB$29:$AB$361,0)))</f>
        <v>Women's health and critical care: eclampsia seizures, low magnesium</v>
      </c>
      <c r="I129" s="6" t="str">
        <f aca="false">IF($O129="","",INDEX(Scoring!$I$29:$I$361,MATCH($O129,Scoring!$AB$29:$AB$361,0)))</f>
        <v>Vial</v>
      </c>
      <c r="J129" s="7" t="str">
        <f aca="false">IF($O129="","",INDEX(Scoring!$Z$29:$Z$361,MATCH($O129,Scoring!$AB$29:$AB$361,0)))</f>
        <v>25 g/50 mL vial</v>
      </c>
      <c r="K129" s="8" t="n">
        <f aca="false">IF($O129="","",IF(INDEX(Scoring!$D$29:$D$361,MATCH($O129,Scoring!$AB$29:$AB$361,0))="",INDEX(Scoring!$AF$29:$AF$361,MATCH($O129,Scoring!$AB$29:$AB$361,0)),INDEX(Scoring!$D$29:$D$361,MATCH($O129,Scoring!$AB$29:$AB$361,0))))</f>
        <v>9.12</v>
      </c>
      <c r="L129" s="9" t="n">
        <f aca="false">IF($O129="","",INDEX(Scoring!$M$29:$M$361,MATCH($O129,Scoring!$AB$29:$AB$361,0)))</f>
        <v>116</v>
      </c>
      <c r="M129" s="9" t="n">
        <f aca="false">IF($O129="","",INDEX(Scoring!$F$29:$F$361,MATCH($O129,Scoring!$AB$29:$AB$361,0)))</f>
        <v>12210.4</v>
      </c>
      <c r="N129" s="7" t="str">
        <f aca="false">IF($O129="","",INDEX(Scoring!$AI$29:$AI$361,MATCH($O129,Scoring!$AB$29:$AB$361,0)))</f>
        <v>US</v>
      </c>
      <c r="O129" s="10" t="n">
        <f aca="false">IFERROR(SMALL(Scoring!$AB$29:$AB$361,125),"")</f>
        <v>9009</v>
      </c>
    </row>
    <row r="130" customFormat="false" ht="28.35" hidden="false" customHeight="false" outlineLevel="0" collapsed="false">
      <c r="A130" s="5" t="n">
        <f aca="false">IF($O130="","",INT($O130/1000))</f>
        <v>9</v>
      </c>
      <c r="B130" s="6" t="str">
        <f aca="false">IF($O130="","",INDEX(Scoring!$A$29:$A$361,MATCH($O130,Scoring!$AB$29:$AB$361,0)))</f>
        <v>Hetero</v>
      </c>
      <c r="C130" s="5" t="n">
        <f aca="false">IF($O130="","",IF(INDEX(Scoring!$P$29:$P$361,MATCH($O130,Scoring!$AB$29:$AB$361,0))="","–",INDEX(Scoring!$P$29:$P$361,MATCH($O130,Scoring!$AB$29:$AB$361,0))))</f>
        <v>10</v>
      </c>
      <c r="D130" s="6" t="str">
        <f aca="false">IF($O130="","",INDEX(Scoring!$Q$29:$Q$361,MATCH($O130,Scoring!$AB$29:$AB$361,0)))</f>
        <v>Priority 3</v>
      </c>
      <c r="E130" s="7" t="str">
        <f aca="false">IF($O130="","",INDEX(Scoring!$AJ$29:$AJ$361,MATCH($O130,Scoring!$AB$29:$AB$361,0)))</f>
        <v>Lower price · lower volume</v>
      </c>
      <c r="F130" s="6" t="str">
        <f aca="false">IF($O130="","",INDEX(Scoring!$B$29:$B$361,MATCH($O130,Scoring!$AB$29:$AB$361,0)))</f>
        <v>Chlorpromazine</v>
      </c>
      <c r="G130" s="7" t="str">
        <f aca="false">IF($O130="","",INDEX(Scoring!$AG$29:$AG$361,MATCH($O130,Scoring!$AB$29:$AB$361,0)))</f>
        <v>Chlorpromazine Hydrochloride</v>
      </c>
      <c r="H130" s="7" t="str">
        <f aca="false">IF($O130="","",INDEX(Scoring!$C$29:$C$361,MATCH($O130,Scoring!$AB$29:$AB$361,0)))</f>
        <v>Psychiatry: acute psychosis and agitation, severe nausea and vomiting</v>
      </c>
      <c r="I130" s="6" t="str">
        <f aca="false">IF($O130="","",INDEX(Scoring!$I$29:$I$361,MATCH($O130,Scoring!$AB$29:$AB$361,0)))</f>
        <v>Vial</v>
      </c>
      <c r="J130" s="7" t="str">
        <f aca="false">IF($O130="","",INDEX(Scoring!$Z$29:$Z$361,MATCH($O130,Scoring!$AB$29:$AB$361,0)))</f>
        <v>25 mg/1 mL vial</v>
      </c>
      <c r="K130" s="8" t="n">
        <f aca="false">IF($O130="","",IF(INDEX(Scoring!$D$29:$D$361,MATCH($O130,Scoring!$AB$29:$AB$361,0))="",INDEX(Scoring!$AF$29:$AF$361,MATCH($O130,Scoring!$AB$29:$AB$361,0)),INDEX(Scoring!$D$29:$D$361,MATCH($O130,Scoring!$AB$29:$AB$361,0))))</f>
        <v>14.96</v>
      </c>
      <c r="L130" s="9" t="n">
        <f aca="false">IF($O130="","",INDEX(Scoring!$M$29:$M$361,MATCH($O130,Scoring!$AB$29:$AB$361,0)))</f>
        <v>82</v>
      </c>
      <c r="M130" s="9" t="n">
        <f aca="false">IF($O130="","",INDEX(Scoring!$F$29:$F$361,MATCH($O130,Scoring!$AB$29:$AB$361,0)))</f>
        <v>1358.2</v>
      </c>
      <c r="N130" s="7" t="str">
        <f aca="false">IF($O130="","",INDEX(Scoring!$AI$29:$AI$361,MATCH($O130,Scoring!$AB$29:$AB$361,0)))</f>
        <v>US</v>
      </c>
      <c r="O130" s="10" t="n">
        <f aca="false">IFERROR(SMALL(Scoring!$AB$29:$AB$361,126),"")</f>
        <v>9010</v>
      </c>
    </row>
    <row r="131" customFormat="false" ht="28.35" hidden="false" customHeight="false" outlineLevel="0" collapsed="false">
      <c r="A131" s="5" t="n">
        <f aca="false">IF($O131="","",INT($O131/1000))</f>
        <v>9</v>
      </c>
      <c r="B131" s="6" t="str">
        <f aca="false">IF($O131="","",INDEX(Scoring!$A$29:$A$361,MATCH($O131,Scoring!$AB$29:$AB$361,0)))</f>
        <v>Hetero</v>
      </c>
      <c r="C131" s="5" t="str">
        <f aca="false">IF($O131="","",IF(INDEX(Scoring!$P$29:$P$361,MATCH($O131,Scoring!$AB$29:$AB$361,0))="","–",INDEX(Scoring!$P$29:$P$361,MATCH($O131,Scoring!$AB$29:$AB$361,0))))</f>
        <v>–</v>
      </c>
      <c r="D131" s="6" t="str">
        <f aca="false">IF($O131="","",INDEX(Scoring!$Q$29:$Q$361,MATCH($O131,Scoring!$AB$29:$AB$361,0)))</f>
        <v>Excluded – price ≤ $5</v>
      </c>
      <c r="E131" s="7" t="str">
        <f aca="false">IF($O131="","",INDEX(Scoring!$AJ$29:$AJ$361,MATCH($O131,Scoring!$AB$29:$AB$361,0)))</f>
        <v/>
      </c>
      <c r="F131" s="6" t="str">
        <f aca="false">IF($O131="","",INDEX(Scoring!$B$29:$B$361,MATCH($O131,Scoring!$AB$29:$AB$361,0)))</f>
        <v>Cyanocobalamin</v>
      </c>
      <c r="G131" s="7" t="str">
        <f aca="false">IF($O131="","",INDEX(Scoring!$AG$29:$AG$361,MATCH($O131,Scoring!$AB$29:$AB$361,0)))</f>
        <v>Cyanocobalamin</v>
      </c>
      <c r="H131" s="7" t="str">
        <f aca="false">IF($O131="","",INDEX(Scoring!$C$29:$C$361,MATCH($O131,Scoring!$AB$29:$AB$361,0)))</f>
        <v>Haematology: vitamin B12 deficiency, pernicious anaemia</v>
      </c>
      <c r="I131" s="6" t="str">
        <f aca="false">IF($O131="","",INDEX(Scoring!$I$29:$I$361,MATCH($O131,Scoring!$AB$29:$AB$361,0)))</f>
        <v>Not stated</v>
      </c>
      <c r="J131" s="7" t="str">
        <f aca="false">IF($O131="","",INDEX(Scoring!$Z$29:$Z$361,MATCH($O131,Scoring!$AB$29:$AB$361,0)))</f>
        <v>1 mg/mL (container not stated)</v>
      </c>
      <c r="K131" s="8" t="n">
        <f aca="false">IF($O131="","",IF(INDEX(Scoring!$D$29:$D$361,MATCH($O131,Scoring!$AB$29:$AB$361,0))="",INDEX(Scoring!$AF$29:$AF$361,MATCH($O131,Scoring!$AB$29:$AB$361,0)),INDEX(Scoring!$D$29:$D$361,MATCH($O131,Scoring!$AB$29:$AB$361,0))))</f>
        <v>0.65</v>
      </c>
      <c r="L131" s="9" t="n">
        <f aca="false">IF($O131="","",INDEX(Scoring!$M$29:$M$361,MATCH($O131,Scoring!$AB$29:$AB$361,0)))</f>
        <v>122</v>
      </c>
      <c r="M131" s="9" t="n">
        <f aca="false">IF($O131="","",INDEX(Scoring!$F$29:$F$361,MATCH($O131,Scoring!$AB$29:$AB$361,0)))</f>
        <v>2413</v>
      </c>
      <c r="N131" s="7" t="str">
        <f aca="false">IF($O131="","",INDEX(Scoring!$AI$29:$AI$361,MATCH($O131,Scoring!$AB$29:$AB$361,0)))</f>
        <v>US</v>
      </c>
      <c r="O131" s="10" t="n">
        <f aca="false">IFERROR(SMALL(Scoring!$AB$29:$AB$361,127),"")</f>
        <v>9901</v>
      </c>
    </row>
    <row r="132" customFormat="false" ht="28.35" hidden="false" customHeight="false" outlineLevel="0" collapsed="false">
      <c r="A132" s="5" t="n">
        <f aca="false">IF($O132="","",INT($O132/1000))</f>
        <v>9</v>
      </c>
      <c r="B132" s="6" t="str">
        <f aca="false">IF($O132="","",INDEX(Scoring!$A$29:$A$361,MATCH($O132,Scoring!$AB$29:$AB$361,0)))</f>
        <v>Hetero</v>
      </c>
      <c r="C132" s="5" t="str">
        <f aca="false">IF($O132="","",IF(INDEX(Scoring!$P$29:$P$361,MATCH($O132,Scoring!$AB$29:$AB$361,0))="","–",INDEX(Scoring!$P$29:$P$361,MATCH($O132,Scoring!$AB$29:$AB$361,0))))</f>
        <v>–</v>
      </c>
      <c r="D132" s="6" t="str">
        <f aca="false">IF($O132="","",INDEX(Scoring!$Q$29:$Q$361,MATCH($O132,Scoring!$AB$29:$AB$361,0)))</f>
        <v>Excluded – price ≤ $5</v>
      </c>
      <c r="E132" s="7" t="str">
        <f aca="false">IF($O132="","",INDEX(Scoring!$AJ$29:$AJ$361,MATCH($O132,Scoring!$AB$29:$AB$361,0)))</f>
        <v/>
      </c>
      <c r="F132" s="6" t="str">
        <f aca="false">IF($O132="","",INDEX(Scoring!$B$29:$B$361,MATCH($O132,Scoring!$AB$29:$AB$361,0)))</f>
        <v>Lidocaine</v>
      </c>
      <c r="G132" s="7" t="str">
        <f aca="false">IF($O132="","",INDEX(Scoring!$AG$29:$AG$361,MATCH($O132,Scoring!$AB$29:$AB$361,0)))</f>
        <v>Lidocaine Hydrochloride</v>
      </c>
      <c r="H132" s="7" t="str">
        <f aca="false">IF($O132="","",INDEX(Scoring!$C$29:$C$361,MATCH($O132,Scoring!$AB$29:$AB$361,0)))</f>
        <v>Anaesthesia: local anaesthetic, ventricular arrhythmias</v>
      </c>
      <c r="I132" s="6" t="str">
        <f aca="false">IF($O132="","",INDEX(Scoring!$I$29:$I$361,MATCH($O132,Scoring!$AB$29:$AB$361,0)))</f>
        <v>Vial</v>
      </c>
      <c r="J132" s="7" t="str">
        <f aca="false">IF($O132="","",INDEX(Scoring!$Z$29:$Z$361,MATCH($O132,Scoring!$AB$29:$AB$361,0)))</f>
        <v>1% in 20 mL vial</v>
      </c>
      <c r="K132" s="8" t="n">
        <f aca="false">IF($O132="","",IF(INDEX(Scoring!$D$29:$D$361,MATCH($O132,Scoring!$AB$29:$AB$361,0))="",INDEX(Scoring!$AF$29:$AF$361,MATCH($O132,Scoring!$AB$29:$AB$361,0)),INDEX(Scoring!$D$29:$D$361,MATCH($O132,Scoring!$AB$29:$AB$361,0))))</f>
        <v>1.91</v>
      </c>
      <c r="L132" s="9" t="n">
        <f aca="false">IF($O132="","",INDEX(Scoring!$M$29:$M$361,MATCH($O132,Scoring!$AB$29:$AB$361,0)))</f>
        <v>670</v>
      </c>
      <c r="M132" s="9" t="n">
        <f aca="false">IF($O132="","",INDEX(Scoring!$F$29:$F$361,MATCH($O132,Scoring!$AB$29:$AB$361,0)))</f>
        <v>18611.6</v>
      </c>
      <c r="N132" s="7" t="str">
        <f aca="false">IF($O132="","",INDEX(Scoring!$AI$29:$AI$361,MATCH($O132,Scoring!$AB$29:$AB$361,0)))</f>
        <v>US</v>
      </c>
      <c r="O132" s="10" t="n">
        <f aca="false">IFERROR(SMALL(Scoring!$AB$29:$AB$361,128),"")</f>
        <v>9902</v>
      </c>
    </row>
    <row r="133" customFormat="false" ht="28.35" hidden="false" customHeight="false" outlineLevel="0" collapsed="false">
      <c r="A133" s="5" t="n">
        <f aca="false">IF($O133="","",INT($O133/1000))</f>
        <v>10</v>
      </c>
      <c r="B133" s="6" t="str">
        <f aca="false">IF($O133="","",INDEX(Scoring!$A$29:$A$361,MATCH($O133,Scoring!$AB$29:$AB$361,0)))</f>
        <v>Sun Pharma</v>
      </c>
      <c r="C133" s="5" t="n">
        <f aca="false">IF($O133="","",IF(INDEX(Scoring!$P$29:$P$361,MATCH($O133,Scoring!$AB$29:$AB$361,0))="","–",INDEX(Scoring!$P$29:$P$361,MATCH($O133,Scoring!$AB$29:$AB$361,0))))</f>
        <v>1</v>
      </c>
      <c r="D133" s="6" t="str">
        <f aca="false">IF($O133="","",INDEX(Scoring!$Q$29:$Q$361,MATCH($O133,Scoring!$AB$29:$AB$361,0)))</f>
        <v>Priority 1</v>
      </c>
      <c r="E133" s="7" t="str">
        <f aca="false">IF($O133="","",INDEX(Scoring!$AJ$29:$AJ$361,MATCH($O133,Scoring!$AB$29:$AB$361,0)))</f>
        <v>High price · high volume</v>
      </c>
      <c r="F133" s="6" t="str">
        <f aca="false">IF($O133="","",INDEX(Scoring!$B$29:$B$361,MATCH($O133,Scoring!$AB$29:$AB$361,0)))</f>
        <v>Bortezomib</v>
      </c>
      <c r="G133" s="7" t="str">
        <f aca="false">IF($O133="","",INDEX(Scoring!$AG$29:$AG$361,MATCH($O133,Scoring!$AB$29:$AB$361,0)))</f>
        <v>Bortezomib Sun; Taro-Bortezomib; Botigen</v>
      </c>
      <c r="H133" s="7" t="str">
        <f aca="false">IF($O133="","",INDEX(Scoring!$C$29:$C$361,MATCH($O133,Scoring!$AB$29:$AB$361,0)))</f>
        <v>Oncology: multiple myeloma, mantle cell lymphoma</v>
      </c>
      <c r="I133" s="6" t="str">
        <f aca="false">IF($O133="","",INDEX(Scoring!$I$29:$I$361,MATCH($O133,Scoring!$AB$29:$AB$361,0)))</f>
        <v>Vial</v>
      </c>
      <c r="J133" s="7" t="str">
        <f aca="false">IF($O133="","",INDEX(Scoring!$Z$29:$Z$361,MATCH($O133,Scoring!$AB$29:$AB$361,0)))</f>
        <v>3.5 mg powder vial; 3.5 mg/10 mL vial; 3.5 mg in 10 mL powder vial</v>
      </c>
      <c r="K133" s="8" t="n">
        <f aca="false">IF($O133="","",IF(INDEX(Scoring!$D$29:$D$361,MATCH($O133,Scoring!$AB$29:$AB$361,0))="",INDEX(Scoring!$AF$29:$AF$361,MATCH($O133,Scoring!$AB$29:$AB$361,0)),INDEX(Scoring!$D$29:$D$361,MATCH($O133,Scoring!$AB$29:$AB$361,0))))</f>
        <v>887.33</v>
      </c>
      <c r="L133" s="9" t="n">
        <f aca="false">IF($O133="","",INDEX(Scoring!$M$29:$M$361,MATCH($O133,Scoring!$AB$29:$AB$361,0)))</f>
        <v>905</v>
      </c>
      <c r="M133" s="9" t="n">
        <f aca="false">IF($O133="","",INDEX(Scoring!$F$29:$F$361,MATCH($O133,Scoring!$AB$29:$AB$361,0)))</f>
        <v>28093.4</v>
      </c>
      <c r="N133" s="7" t="str">
        <f aca="false">IF($O133="","",INDEX(Scoring!$AI$29:$AI$361,MATCH($O133,Scoring!$AB$29:$AB$361,0)))</f>
        <v>UK, Canada, South Africa, UK-NI | EU/EEA: all 30 countries</v>
      </c>
      <c r="O133" s="10" t="n">
        <f aca="false">IFERROR(SMALL(Scoring!$AB$29:$AB$361,129),"")</f>
        <v>10001</v>
      </c>
    </row>
    <row r="134" customFormat="false" ht="28.35" hidden="false" customHeight="false" outlineLevel="0" collapsed="false">
      <c r="A134" s="5" t="n">
        <f aca="false">IF($O134="","",INT($O134/1000))</f>
        <v>10</v>
      </c>
      <c r="B134" s="6" t="str">
        <f aca="false">IF($O134="","",INDEX(Scoring!$A$29:$A$361,MATCH($O134,Scoring!$AB$29:$AB$361,0)))</f>
        <v>Sun Pharma</v>
      </c>
      <c r="C134" s="5" t="n">
        <f aca="false">IF($O134="","",IF(INDEX(Scoring!$P$29:$P$361,MATCH($O134,Scoring!$AB$29:$AB$361,0))="","–",INDEX(Scoring!$P$29:$P$361,MATCH($O134,Scoring!$AB$29:$AB$361,0))))</f>
        <v>2</v>
      </c>
      <c r="D134" s="6" t="str">
        <f aca="false">IF($O134="","",INDEX(Scoring!$Q$29:$Q$361,MATCH($O134,Scoring!$AB$29:$AB$361,0)))</f>
        <v>Priority 1</v>
      </c>
      <c r="E134" s="7" t="str">
        <f aca="false">IF($O134="","",INDEX(Scoring!$AJ$29:$AJ$361,MATCH($O134,Scoring!$AB$29:$AB$361,0)))</f>
        <v>High price · high volume</v>
      </c>
      <c r="F134" s="6" t="str">
        <f aca="false">IF($O134="","",INDEX(Scoring!$B$29:$B$361,MATCH($O134,Scoring!$AB$29:$AB$361,0)))</f>
        <v>Fulvestrant</v>
      </c>
      <c r="G134" s="7" t="str">
        <f aca="false">IF($O134="","",INDEX(Scoring!$AG$29:$AG$361,MATCH($O134,Scoring!$AB$29:$AB$361,0)))</f>
        <v>Fulvestrant Sun</v>
      </c>
      <c r="H134" s="7" t="str">
        <f aca="false">IF($O134="","",INDEX(Scoring!$C$29:$C$361,MATCH($O134,Scoring!$AB$29:$AB$361,0)))</f>
        <v>Oncology: hormone receptor-positive advanced breast cancer</v>
      </c>
      <c r="I134" s="6" t="str">
        <f aca="false">IF($O134="","",INDEX(Scoring!$I$29:$I$361,MATCH($O134,Scoring!$AB$29:$AB$361,0)))</f>
        <v>Prefilled syringe</v>
      </c>
      <c r="J134" s="7" t="str">
        <f aca="false">IF($O134="","",INDEX(Scoring!$Z$29:$Z$361,MATCH($O134,Scoring!$AB$29:$AB$361,0)))</f>
        <v>250 mg/5 mL pre-filled syringe</v>
      </c>
      <c r="K134" s="8" t="n">
        <f aca="false">IF($O134="","",IF(INDEX(Scoring!$D$29:$D$361,MATCH($O134,Scoring!$AB$29:$AB$361,0))="",INDEX(Scoring!$AF$29:$AF$361,MATCH($O134,Scoring!$AB$29:$AB$361,0)),INDEX(Scoring!$D$29:$D$361,MATCH($O134,Scoring!$AB$29:$AB$361,0))))</f>
        <v>438.59</v>
      </c>
      <c r="L134" s="9" t="n">
        <f aca="false">IF($O134="","",INDEX(Scoring!$M$29:$M$361,MATCH($O134,Scoring!$AB$29:$AB$361,0)))</f>
        <v>146</v>
      </c>
      <c r="M134" s="9" t="n">
        <f aca="false">IF($O134="","",INDEX(Scoring!$F$29:$F$361,MATCH($O134,Scoring!$AB$29:$AB$361,0)))</f>
        <v>11366.1</v>
      </c>
      <c r="N134" s="7" t="str">
        <f aca="false">IF($O134="","",INDEX(Scoring!$AI$29:$AI$361,MATCH($O134,Scoring!$AB$29:$AB$361,0)))</f>
        <v>UK, UK-NI | EU/EEA (5): Netherlands, Poland, Romania, Spain, Sweden</v>
      </c>
      <c r="O134" s="10" t="n">
        <f aca="false">IFERROR(SMALL(Scoring!$AB$29:$AB$361,130),"")</f>
        <v>10002</v>
      </c>
    </row>
    <row r="135" customFormat="false" ht="28.35" hidden="false" customHeight="false" outlineLevel="0" collapsed="false">
      <c r="A135" s="5" t="n">
        <f aca="false">IF($O135="","",INT($O135/1000))</f>
        <v>10</v>
      </c>
      <c r="B135" s="6" t="str">
        <f aca="false">IF($O135="","",INDEX(Scoring!$A$29:$A$361,MATCH($O135,Scoring!$AB$29:$AB$361,0)))</f>
        <v>Sun Pharma</v>
      </c>
      <c r="C135" s="5" t="n">
        <f aca="false">IF($O135="","",IF(INDEX(Scoring!$P$29:$P$361,MATCH($O135,Scoring!$AB$29:$AB$361,0))="","–",INDEX(Scoring!$P$29:$P$361,MATCH($O135,Scoring!$AB$29:$AB$361,0))))</f>
        <v>3</v>
      </c>
      <c r="D135" s="6" t="str">
        <f aca="false">IF($O135="","",INDEX(Scoring!$Q$29:$Q$361,MATCH($O135,Scoring!$AB$29:$AB$361,0)))</f>
        <v>Priority 2</v>
      </c>
      <c r="E135" s="7" t="str">
        <f aca="false">IF($O135="","",INDEX(Scoring!$AJ$29:$AJ$361,MATCH($O135,Scoring!$AB$29:$AB$361,0)))</f>
        <v>Lower price · high volume</v>
      </c>
      <c r="F135" s="6" t="str">
        <f aca="false">IF($O135="","",INDEX(Scoring!$B$29:$B$361,MATCH($O135,Scoring!$AB$29:$AB$361,0)))</f>
        <v>Octreotide</v>
      </c>
      <c r="G135" s="7" t="str">
        <f aca="false">IF($O135="","",INDEX(Scoring!$AG$29:$AG$361,MATCH($O135,Scoring!$AB$29:$AB$361,0)))</f>
        <v>Octreotide Sun</v>
      </c>
      <c r="H135" s="7" t="str">
        <f aca="false">IF($O135="","",INDEX(Scoring!$C$29:$C$361,MATCH($O135,Scoring!$AB$29:$AB$361,0)))</f>
        <v>Endocrinology and oncology: acromegaly, carcinoid and neuroendocrine tumours</v>
      </c>
      <c r="I135" s="6" t="str">
        <f aca="false">IF($O135="","",INDEX(Scoring!$I$29:$I$361,MATCH($O135,Scoring!$AB$29:$AB$361,0)))</f>
        <v>Ampoule</v>
      </c>
      <c r="J135" s="7" t="str">
        <f aca="false">IF($O135="","",INDEX(Scoring!$Z$29:$Z$361,MATCH($O135,Scoring!$AB$29:$AB$361,0)))</f>
        <v>500 mcg/1 mL ampoule</v>
      </c>
      <c r="K135" s="8" t="n">
        <f aca="false">IF($O135="","",IF(INDEX(Scoring!$D$29:$D$361,MATCH($O135,Scoring!$AB$29:$AB$361,0))="",INDEX(Scoring!$AF$29:$AF$361,MATCH($O135,Scoring!$AB$29:$AB$361,0)),INDEX(Scoring!$D$29:$D$361,MATCH($O135,Scoring!$AB$29:$AB$361,0))))</f>
        <v>14.55</v>
      </c>
      <c r="L135" s="9" t="n">
        <f aca="false">IF($O135="","",INDEX(Scoring!$M$29:$M$361,MATCH($O135,Scoring!$AB$29:$AB$361,0)))</f>
        <v>338</v>
      </c>
      <c r="M135" s="9" t="n">
        <f aca="false">IF($O135="","",INDEX(Scoring!$F$29:$F$361,MATCH($O135,Scoring!$AB$29:$AB$361,0)))</f>
        <v>8594.3</v>
      </c>
      <c r="N135" s="7" t="str">
        <f aca="false">IF($O135="","",INDEX(Scoring!$AI$29:$AI$361,MATCH($O135,Scoring!$AB$29:$AB$361,0)))</f>
        <v>Australia, UK-NI | EU/EEA (5): Germany, Denmark, Italy, Spain, Sweden</v>
      </c>
      <c r="O135" s="10" t="n">
        <f aca="false">IFERROR(SMALL(Scoring!$AB$29:$AB$361,131),"")</f>
        <v>10003</v>
      </c>
    </row>
    <row r="136" customFormat="false" ht="28.35" hidden="false" customHeight="false" outlineLevel="0" collapsed="false">
      <c r="A136" s="5" t="n">
        <f aca="false">IF($O136="","",INT($O136/1000))</f>
        <v>10</v>
      </c>
      <c r="B136" s="6" t="str">
        <f aca="false">IF($O136="","",INDEX(Scoring!$A$29:$A$361,MATCH($O136,Scoring!$AB$29:$AB$361,0)))</f>
        <v>Sun Pharma</v>
      </c>
      <c r="C136" s="5" t="n">
        <f aca="false">IF($O136="","",IF(INDEX(Scoring!$P$29:$P$361,MATCH($O136,Scoring!$AB$29:$AB$361,0))="","–",INDEX(Scoring!$P$29:$P$361,MATCH($O136,Scoring!$AB$29:$AB$361,0))))</f>
        <v>4</v>
      </c>
      <c r="D136" s="6" t="str">
        <f aca="false">IF($O136="","",INDEX(Scoring!$Q$29:$Q$361,MATCH($O136,Scoring!$AB$29:$AB$361,0)))</f>
        <v>Priority 2</v>
      </c>
      <c r="E136" s="7" t="str">
        <f aca="false">IF($O136="","",INDEX(Scoring!$AJ$29:$AJ$361,MATCH($O136,Scoring!$AB$29:$AB$361,0)))</f>
        <v>Lower price · high volume</v>
      </c>
      <c r="F136" s="6" t="str">
        <f aca="false">IF($O136="","",INDEX(Scoring!$B$29:$B$361,MATCH($O136,Scoring!$AB$29:$AB$361,0)))</f>
        <v>Testosterone Cypionate</v>
      </c>
      <c r="G136" s="7" t="str">
        <f aca="false">IF($O136="","",INDEX(Scoring!$AG$29:$AG$361,MATCH($O136,Scoring!$AB$29:$AB$361,0)))</f>
        <v>Taro-Testosterone Cypionate</v>
      </c>
      <c r="H136" s="7" t="str">
        <f aca="false">IF($O136="","",INDEX(Scoring!$C$29:$C$361,MATCH($O136,Scoring!$AB$29:$AB$361,0)))</f>
        <v>Endocrinology: testosterone replacement in male hypogonadism</v>
      </c>
      <c r="I136" s="6" t="str">
        <f aca="false">IF($O136="","",INDEX(Scoring!$I$29:$I$361,MATCH($O136,Scoring!$AB$29:$AB$361,0)))</f>
        <v>Vial</v>
      </c>
      <c r="J136" s="7" t="str">
        <f aca="false">IF($O136="","",INDEX(Scoring!$Z$29:$Z$361,MATCH($O136,Scoring!$AB$29:$AB$361,0)))</f>
        <v>1000 mg/10 mL vial</v>
      </c>
      <c r="K136" s="8" t="n">
        <f aca="false">IF($O136="","",IF(INDEX(Scoring!$D$29:$D$361,MATCH($O136,Scoring!$AB$29:$AB$361,0))="",INDEX(Scoring!$AF$29:$AF$361,MATCH($O136,Scoring!$AB$29:$AB$361,0)),INDEX(Scoring!$D$29:$D$361,MATCH($O136,Scoring!$AB$29:$AB$361,0))))</f>
        <v>24.41</v>
      </c>
      <c r="L136" s="9" t="n">
        <f aca="false">IF($O136="","",INDEX(Scoring!$M$29:$M$361,MATCH($O136,Scoring!$AB$29:$AB$361,0)))</f>
        <v>291</v>
      </c>
      <c r="M136" s="9" t="n">
        <f aca="false">IF($O136="","",INDEX(Scoring!$F$29:$F$361,MATCH($O136,Scoring!$AB$29:$AB$361,0)))</f>
        <v>6893.7</v>
      </c>
      <c r="N136" s="7" t="str">
        <f aca="false">IF($O136="","",INDEX(Scoring!$AI$29:$AI$361,MATCH($O136,Scoring!$AB$29:$AB$361,0)))</f>
        <v>Canada</v>
      </c>
      <c r="O136" s="10" t="n">
        <f aca="false">IFERROR(SMALL(Scoring!$AB$29:$AB$361,132),"")</f>
        <v>10004</v>
      </c>
    </row>
    <row r="137" customFormat="false" ht="28.35" hidden="false" customHeight="false" outlineLevel="0" collapsed="false">
      <c r="A137" s="5" t="n">
        <f aca="false">IF($O137="","",INT($O137/1000))</f>
        <v>10</v>
      </c>
      <c r="B137" s="6" t="str">
        <f aca="false">IF($O137="","",INDEX(Scoring!$A$29:$A$361,MATCH($O137,Scoring!$AB$29:$AB$361,0)))</f>
        <v>Sun Pharma</v>
      </c>
      <c r="C137" s="5" t="n">
        <f aca="false">IF($O137="","",IF(INDEX(Scoring!$P$29:$P$361,MATCH($O137,Scoring!$AB$29:$AB$361,0))="","–",INDEX(Scoring!$P$29:$P$361,MATCH($O137,Scoring!$AB$29:$AB$361,0))))</f>
        <v>5</v>
      </c>
      <c r="D137" s="6" t="str">
        <f aca="false">IF($O137="","",INDEX(Scoring!$Q$29:$Q$361,MATCH($O137,Scoring!$AB$29:$AB$361,0)))</f>
        <v>Priority 2</v>
      </c>
      <c r="E137" s="7" t="str">
        <f aca="false">IF($O137="","",INDEX(Scoring!$AJ$29:$AJ$361,MATCH($O137,Scoring!$AB$29:$AB$361,0)))</f>
        <v>High price · lower volume</v>
      </c>
      <c r="F137" s="6" t="str">
        <f aca="false">IF($O137="","",INDEX(Scoring!$B$29:$B$361,MATCH($O137,Scoring!$AB$29:$AB$361,0)))</f>
        <v>Teicoplanin</v>
      </c>
      <c r="G137" s="7" t="str">
        <f aca="false">IF($O137="","",INDEX(Scoring!$AG$29:$AG$361,MATCH($O137,Scoring!$AB$29:$AB$361,0)))</f>
        <v>Teicoplanin; Teicoplanin Ranbaxy</v>
      </c>
      <c r="H137" s="7" t="str">
        <f aca="false">IF($O137="","",INDEX(Scoring!$C$29:$C$361,MATCH($O137,Scoring!$AB$29:$AB$361,0)))</f>
        <v>Anti-infective: MRSA and serious Gram-positive infections</v>
      </c>
      <c r="I137" s="6" t="str">
        <f aca="false">IF($O137="","",INDEX(Scoring!$I$29:$I$361,MATCH($O137,Scoring!$AB$29:$AB$361,0)))</f>
        <v>Vial</v>
      </c>
      <c r="J137" s="7" t="str">
        <f aca="false">IF($O137="","",INDEX(Scoring!$Z$29:$Z$361,MATCH($O137,Scoring!$AB$29:$AB$361,0)))</f>
        <v>400 mg/20 mL vial; 400 mg powder vial</v>
      </c>
      <c r="K137" s="8" t="n">
        <f aca="false">IF($O137="","",IF(INDEX(Scoring!$D$29:$D$361,MATCH($O137,Scoring!$AB$29:$AB$361,0))="",INDEX(Scoring!$AF$29:$AF$361,MATCH($O137,Scoring!$AB$29:$AB$361,0)),INDEX(Scoring!$D$29:$D$361,MATCH($O137,Scoring!$AB$29:$AB$361,0))))</f>
        <v>36.53</v>
      </c>
      <c r="L137" s="9" t="n">
        <f aca="false">IF($O137="","",INDEX(Scoring!$M$29:$M$361,MATCH($O137,Scoring!$AB$29:$AB$361,0)))</f>
        <v>99</v>
      </c>
      <c r="M137" s="9" t="n">
        <f aca="false">IF($O137="","",INDEX(Scoring!$F$29:$F$361,MATCH($O137,Scoring!$AB$29:$AB$361,0)))</f>
        <v>6632.6</v>
      </c>
      <c r="N137" s="7" t="str">
        <f aca="false">IF($O137="","",INDEX(Scoring!$AI$29:$AI$361,MATCH($O137,Scoring!$AB$29:$AB$361,0)))</f>
        <v>UK, UK-NI | EU/EEA (2): Netherlands, Italy</v>
      </c>
      <c r="O137" s="10" t="n">
        <f aca="false">IFERROR(SMALL(Scoring!$AB$29:$AB$361,133),"")</f>
        <v>10005</v>
      </c>
    </row>
    <row r="138" customFormat="false" ht="28.35" hidden="false" customHeight="false" outlineLevel="0" collapsed="false">
      <c r="A138" s="5" t="n">
        <f aca="false">IF($O138="","",INT($O138/1000))</f>
        <v>10</v>
      </c>
      <c r="B138" s="6" t="str">
        <f aca="false">IF($O138="","",INDEX(Scoring!$A$29:$A$361,MATCH($O138,Scoring!$AB$29:$AB$361,0)))</f>
        <v>Sun Pharma</v>
      </c>
      <c r="C138" s="5" t="n">
        <f aca="false">IF($O138="","",IF(INDEX(Scoring!$P$29:$P$361,MATCH($O138,Scoring!$AB$29:$AB$361,0))="","–",INDEX(Scoring!$P$29:$P$361,MATCH($O138,Scoring!$AB$29:$AB$361,0))))</f>
        <v>6</v>
      </c>
      <c r="D138" s="6" t="str">
        <f aca="false">IF($O138="","",INDEX(Scoring!$Q$29:$Q$361,MATCH($O138,Scoring!$AB$29:$AB$361,0)))</f>
        <v>Priority 2</v>
      </c>
      <c r="E138" s="7" t="str">
        <f aca="false">IF($O138="","",INDEX(Scoring!$AJ$29:$AJ$361,MATCH($O138,Scoring!$AB$29:$AB$361,0)))</f>
        <v>High price · lower volume</v>
      </c>
      <c r="F138" s="6" t="str">
        <f aca="false">IF($O138="","",INDEX(Scoring!$B$29:$B$361,MATCH($O138,Scoring!$AB$29:$AB$361,0)))</f>
        <v>Aripiprazole</v>
      </c>
      <c r="G138" s="7" t="str">
        <f aca="false">IF($O138="","",INDEX(Scoring!$AG$29:$AG$361,MATCH($O138,Scoring!$AB$29:$AB$361,0)))</f>
        <v>Aripiprazole; Aripena</v>
      </c>
      <c r="H138" s="7" t="str">
        <f aca="false">IF($O138="","",INDEX(Scoring!$C$29:$C$361,MATCH($O138,Scoring!$AB$29:$AB$361,0)))</f>
        <v>Psychiatry: long-acting injection for schizophrenia and bipolar disorder</v>
      </c>
      <c r="I138" s="6" t="str">
        <f aca="false">IF($O138="","",INDEX(Scoring!$I$29:$I$361,MATCH($O138,Scoring!$AB$29:$AB$361,0)))</f>
        <v>Vial</v>
      </c>
      <c r="J138" s="7" t="str">
        <f aca="false">IF($O138="","",INDEX(Scoring!$Z$29:$Z$361,MATCH($O138,Scoring!$AB$29:$AB$361,0)))</f>
        <v>300 mg powder vial; 400 mg powder vial</v>
      </c>
      <c r="K138" s="8" t="n">
        <f aca="false">IF($O138="","",IF(INDEX(Scoring!$D$29:$D$361,MATCH($O138,Scoring!$AB$29:$AB$361,0))="",INDEX(Scoring!$AF$29:$AF$361,MATCH($O138,Scoring!$AB$29:$AB$361,0)),INDEX(Scoring!$D$29:$D$361,MATCH($O138,Scoring!$AB$29:$AB$361,0))))</f>
        <v>198.74</v>
      </c>
      <c r="L138" s="9" t="n">
        <f aca="false">IF($O138="","",INDEX(Scoring!$M$29:$M$361,MATCH($O138,Scoring!$AB$29:$AB$361,0)))</f>
        <v>113</v>
      </c>
      <c r="M138" s="9" t="n">
        <f aca="false">IF($O138="","",INDEX(Scoring!$F$29:$F$361,MATCH($O138,Scoring!$AB$29:$AB$361,0)))</f>
        <v>1976.6</v>
      </c>
      <c r="N138" s="7" t="str">
        <f aca="false">IF($O138="","",INDEX(Scoring!$AI$29:$AI$361,MATCH($O138,Scoring!$AB$29:$AB$361,0)))</f>
        <v>UK, Australia</v>
      </c>
      <c r="O138" s="10" t="n">
        <f aca="false">IFERROR(SMALL(Scoring!$AB$29:$AB$361,134),"")</f>
        <v>10006</v>
      </c>
    </row>
    <row r="139" customFormat="false" ht="28.35" hidden="false" customHeight="false" outlineLevel="0" collapsed="false">
      <c r="A139" s="5" t="n">
        <f aca="false">IF($O139="","",INT($O139/1000))</f>
        <v>10</v>
      </c>
      <c r="B139" s="6" t="str">
        <f aca="false">IF($O139="","",INDEX(Scoring!$A$29:$A$361,MATCH($O139,Scoring!$AB$29:$AB$361,0)))</f>
        <v>Sun Pharma</v>
      </c>
      <c r="C139" s="5" t="n">
        <f aca="false">IF($O139="","",IF(INDEX(Scoring!$P$29:$P$361,MATCH($O139,Scoring!$AB$29:$AB$361,0))="","–",INDEX(Scoring!$P$29:$P$361,MATCH($O139,Scoring!$AB$29:$AB$361,0))))</f>
        <v>7</v>
      </c>
      <c r="D139" s="6" t="str">
        <f aca="false">IF($O139="","",INDEX(Scoring!$Q$29:$Q$361,MATCH($O139,Scoring!$AB$29:$AB$361,0)))</f>
        <v>Priority 2</v>
      </c>
      <c r="E139" s="7" t="str">
        <f aca="false">IF($O139="","",INDEX(Scoring!$AJ$29:$AJ$361,MATCH($O139,Scoring!$AB$29:$AB$361,0)))</f>
        <v>High price · lower volume</v>
      </c>
      <c r="F139" s="6" t="str">
        <f aca="false">IF($O139="","",INDEX(Scoring!$B$29:$B$361,MATCH($O139,Scoring!$AB$29:$AB$361,0)))</f>
        <v>Testosterone Undecanoate</v>
      </c>
      <c r="G139" s="7" t="str">
        <f aca="false">IF($O139="","",INDEX(Scoring!$AG$29:$AG$361,MATCH($O139,Scoring!$AB$29:$AB$361,0)))</f>
        <v>Testosterone; Testosteron Basics; Testosterone Sun</v>
      </c>
      <c r="H139" s="7" t="str">
        <f aca="false">IF($O139="","",INDEX(Scoring!$C$29:$C$361,MATCH($O139,Scoring!$AB$29:$AB$361,0)))</f>
        <v>Endocrinology: long-acting testosterone replacement in male hypogonadism</v>
      </c>
      <c r="I139" s="6" t="str">
        <f aca="false">IF($O139="","",INDEX(Scoring!$I$29:$I$361,MATCH($O139,Scoring!$AB$29:$AB$361,0)))</f>
        <v>Vial</v>
      </c>
      <c r="J139" s="7" t="str">
        <f aca="false">IF($O139="","",INDEX(Scoring!$Z$29:$Z$361,MATCH($O139,Scoring!$AB$29:$AB$361,0)))</f>
        <v>1000 mg/4 mL vial</v>
      </c>
      <c r="K139" s="8" t="n">
        <f aca="false">IF($O139="","",IF(INDEX(Scoring!$D$29:$D$361,MATCH($O139,Scoring!$AB$29:$AB$361,0))="",INDEX(Scoring!$AF$29:$AF$361,MATCH($O139,Scoring!$AB$29:$AB$361,0)),INDEX(Scoring!$D$29:$D$361,MATCH($O139,Scoring!$AB$29:$AB$361,0))))</f>
        <v>64.26</v>
      </c>
      <c r="L139" s="9" t="n">
        <f aca="false">IF($O139="","",INDEX(Scoring!$M$29:$M$361,MATCH($O139,Scoring!$AB$29:$AB$361,0)))</f>
        <v>132</v>
      </c>
      <c r="M139" s="9" t="n">
        <f aca="false">IF($O139="","",INDEX(Scoring!$F$29:$F$361,MATCH($O139,Scoring!$AB$29:$AB$361,0)))</f>
        <v>184.9</v>
      </c>
      <c r="N139" s="7" t="str">
        <f aca="false">IF($O139="","",INDEX(Scoring!$AI$29:$AI$361,MATCH($O139,Scoring!$AB$29:$AB$361,0)))</f>
        <v>UK, Australia | EU/EEA (10): Germany, France, Netherlands, Finland + 6 more</v>
      </c>
      <c r="O139" s="10" t="n">
        <f aca="false">IFERROR(SMALL(Scoring!$AB$29:$AB$361,135),"")</f>
        <v>10007</v>
      </c>
    </row>
    <row r="140" customFormat="false" ht="41.75" hidden="false" customHeight="false" outlineLevel="0" collapsed="false">
      <c r="A140" s="5" t="n">
        <f aca="false">IF($O140="","",INT($O140/1000))</f>
        <v>11</v>
      </c>
      <c r="B140" s="6" t="str">
        <f aca="false">IF($O140="","",INDEX(Scoring!$A$29:$A$361,MATCH($O140,Scoring!$AB$29:$AB$361,0)))</f>
        <v>MSN</v>
      </c>
      <c r="C140" s="5" t="n">
        <f aca="false">IF($O140="","",IF(INDEX(Scoring!$P$29:$P$361,MATCH($O140,Scoring!$AB$29:$AB$361,0))="","–",INDEX(Scoring!$P$29:$P$361,MATCH($O140,Scoring!$AB$29:$AB$361,0))))</f>
        <v>1</v>
      </c>
      <c r="D140" s="6" t="str">
        <f aca="false">IF($O140="","",INDEX(Scoring!$Q$29:$Q$361,MATCH($O140,Scoring!$AB$29:$AB$361,0)))</f>
        <v>Priority 1</v>
      </c>
      <c r="E140" s="7" t="str">
        <f aca="false">IF($O140="","",INDEX(Scoring!$AJ$29:$AJ$361,MATCH($O140,Scoring!$AB$29:$AB$361,0)))</f>
        <v>High price · high volume</v>
      </c>
      <c r="F140" s="6" t="str">
        <f aca="false">IF($O140="","",INDEX(Scoring!$B$29:$B$361,MATCH($O140,Scoring!$AB$29:$AB$361,0)))</f>
        <v>Bortezomib</v>
      </c>
      <c r="G140" s="7" t="str">
        <f aca="false">IF($O140="","",INDEX(Scoring!$AG$29:$AG$361,MATCH($O140,Scoring!$AB$29:$AB$361,0)))</f>
        <v>Bortezomib; Bortezomib MSN Laboratories Europe; MSN-Bortezomib</v>
      </c>
      <c r="H140" s="7" t="str">
        <f aca="false">IF($O140="","",INDEX(Scoring!$C$29:$C$361,MATCH($O140,Scoring!$AB$29:$AB$361,0)))</f>
        <v>Oncology: multiple myeloma, mantle cell lymphoma</v>
      </c>
      <c r="I140" s="6" t="str">
        <f aca="false">IF($O140="","",INDEX(Scoring!$I$29:$I$361,MATCH($O140,Scoring!$AB$29:$AB$361,0)))</f>
        <v>Vial</v>
      </c>
      <c r="J140" s="7" t="str">
        <f aca="false">IF($O140="","",INDEX(Scoring!$Z$29:$Z$361,MATCH($O140,Scoring!$AB$29:$AB$361,0)))</f>
        <v>3.5 mg powder vial</v>
      </c>
      <c r="K140" s="8" t="n">
        <f aca="false">IF($O140="","",IF(INDEX(Scoring!$D$29:$D$361,MATCH($O140,Scoring!$AB$29:$AB$361,0))="",INDEX(Scoring!$AF$29:$AF$361,MATCH($O140,Scoring!$AB$29:$AB$361,0)),INDEX(Scoring!$D$29:$D$361,MATCH($O140,Scoring!$AB$29:$AB$361,0))))</f>
        <v>360.02</v>
      </c>
      <c r="L140" s="9" t="n">
        <f aca="false">IF($O140="","",INDEX(Scoring!$M$29:$M$361,MATCH($O140,Scoring!$AB$29:$AB$361,0)))</f>
        <v>905</v>
      </c>
      <c r="M140" s="9" t="n">
        <f aca="false">IF($O140="","",INDEX(Scoring!$F$29:$F$361,MATCH($O140,Scoring!$AB$29:$AB$361,0)))</f>
        <v>28093.4</v>
      </c>
      <c r="N140" s="7" t="str">
        <f aca="false">IF($O140="","",INDEX(Scoring!$AI$29:$AI$361,MATCH($O140,Scoring!$AB$29:$AB$361,0)))</f>
        <v>US, UK, Australia, UK-NI | EU/EEA (1): Ireland</v>
      </c>
      <c r="O140" s="10" t="n">
        <f aca="false">IFERROR(SMALL(Scoring!$AB$29:$AB$361,136),"")</f>
        <v>11001</v>
      </c>
    </row>
    <row r="141" customFormat="false" ht="28.35" hidden="false" customHeight="false" outlineLevel="0" collapsed="false">
      <c r="A141" s="5" t="n">
        <f aca="false">IF($O141="","",INT($O141/1000))</f>
        <v>11</v>
      </c>
      <c r="B141" s="6" t="str">
        <f aca="false">IF($O141="","",INDEX(Scoring!$A$29:$A$361,MATCH($O141,Scoring!$AB$29:$AB$361,0)))</f>
        <v>MSN</v>
      </c>
      <c r="C141" s="5" t="n">
        <f aca="false">IF($O141="","",IF(INDEX(Scoring!$P$29:$P$361,MATCH($O141,Scoring!$AB$29:$AB$361,0))="","–",INDEX(Scoring!$P$29:$P$361,MATCH($O141,Scoring!$AB$29:$AB$361,0))))</f>
        <v>2</v>
      </c>
      <c r="D141" s="6" t="str">
        <f aca="false">IF($O141="","",INDEX(Scoring!$Q$29:$Q$361,MATCH($O141,Scoring!$AB$29:$AB$361,0)))</f>
        <v>Priority 2</v>
      </c>
      <c r="E141" s="7" t="str">
        <f aca="false">IF($O141="","",INDEX(Scoring!$AJ$29:$AJ$361,MATCH($O141,Scoring!$AB$29:$AB$361,0)))</f>
        <v>High price · lower volume</v>
      </c>
      <c r="F141" s="6" t="str">
        <f aca="false">IF($O141="","",INDEX(Scoring!$B$29:$B$361,MATCH($O141,Scoring!$AB$29:$AB$361,0)))</f>
        <v>Plerixafor</v>
      </c>
      <c r="G141" s="7" t="str">
        <f aca="false">IF($O141="","",INDEX(Scoring!$AG$29:$AG$361,MATCH($O141,Scoring!$AB$29:$AB$361,0)))</f>
        <v>Plerixafor</v>
      </c>
      <c r="H141" s="7" t="str">
        <f aca="false">IF($O141="","",INDEX(Scoring!$C$29:$C$361,MATCH($O141,Scoring!$AB$29:$AB$361,0)))</f>
        <v>Oncology support: stem cell mobilisation in myeloma and lymphoma</v>
      </c>
      <c r="I141" s="6" t="str">
        <f aca="false">IF($O141="","",INDEX(Scoring!$I$29:$I$361,MATCH($O141,Scoring!$AB$29:$AB$361,0)))</f>
        <v>Vial</v>
      </c>
      <c r="J141" s="7" t="str">
        <f aca="false">IF($O141="","",INDEX(Scoring!$Z$29:$Z$361,MATCH($O141,Scoring!$AB$29:$AB$361,0)))</f>
        <v>24 mg/1.2 mL vial</v>
      </c>
      <c r="K141" s="8" t="n">
        <f aca="false">IF($O141="","",IF(INDEX(Scoring!$D$29:$D$361,MATCH($O141,Scoring!$AB$29:$AB$361,0))="",INDEX(Scoring!$AF$29:$AF$361,MATCH($O141,Scoring!$AB$29:$AB$361,0)),INDEX(Scoring!$D$29:$D$361,MATCH($O141,Scoring!$AB$29:$AB$361,0))))</f>
        <v>343.8</v>
      </c>
      <c r="L141" s="9" t="n">
        <f aca="false">IF($O141="","",INDEX(Scoring!$M$29:$M$361,MATCH($O141,Scoring!$AB$29:$AB$361,0)))</f>
        <v>47</v>
      </c>
      <c r="M141" s="9" t="n">
        <f aca="false">IF($O141="","",INDEX(Scoring!$F$29:$F$361,MATCH($O141,Scoring!$AB$29:$AB$361,0)))</f>
        <v>7904.7</v>
      </c>
      <c r="N141" s="7" t="str">
        <f aca="false">IF($O141="","",INDEX(Scoring!$AI$29:$AI$361,MATCH($O141,Scoring!$AB$29:$AB$361,0)))</f>
        <v>US | EU/EEA (8): Bulgaria, Croatia, Czech Republic, Hungary + 4 more</v>
      </c>
      <c r="O141" s="10" t="n">
        <f aca="false">IFERROR(SMALL(Scoring!$AB$29:$AB$361,137),"")</f>
        <v>11002</v>
      </c>
    </row>
    <row r="142" customFormat="false" ht="28.35" hidden="false" customHeight="false" outlineLevel="0" collapsed="false">
      <c r="A142" s="5" t="n">
        <f aca="false">IF($O142="","",INT($O142/1000))</f>
        <v>11</v>
      </c>
      <c r="B142" s="6" t="str">
        <f aca="false">IF($O142="","",INDEX(Scoring!$A$29:$A$361,MATCH($O142,Scoring!$AB$29:$AB$361,0)))</f>
        <v>MSN</v>
      </c>
      <c r="C142" s="5" t="n">
        <f aca="false">IF($O142="","",IF(INDEX(Scoring!$P$29:$P$361,MATCH($O142,Scoring!$AB$29:$AB$361,0))="","–",INDEX(Scoring!$P$29:$P$361,MATCH($O142,Scoring!$AB$29:$AB$361,0))))</f>
        <v>3</v>
      </c>
      <c r="D142" s="6" t="str">
        <f aca="false">IF($O142="","",INDEX(Scoring!$Q$29:$Q$361,MATCH($O142,Scoring!$AB$29:$AB$361,0)))</f>
        <v>Priority 2</v>
      </c>
      <c r="E142" s="7" t="str">
        <f aca="false">IF($O142="","",INDEX(Scoring!$AJ$29:$AJ$361,MATCH($O142,Scoring!$AB$29:$AB$361,0)))</f>
        <v>High price · lower volume</v>
      </c>
      <c r="F142" s="6" t="str">
        <f aca="false">IF($O142="","",INDEX(Scoring!$B$29:$B$361,MATCH($O142,Scoring!$AB$29:$AB$361,0)))</f>
        <v>Fluphenazine Decanoate</v>
      </c>
      <c r="G142" s="7" t="str">
        <f aca="false">IF($O142="","",INDEX(Scoring!$AG$29:$AG$361,MATCH($O142,Scoring!$AB$29:$AB$361,0)))</f>
        <v>Fluphenazine Decanoate</v>
      </c>
      <c r="H142" s="7" t="str">
        <f aca="false">IF($O142="","",INDEX(Scoring!$C$29:$C$361,MATCH($O142,Scoring!$AB$29:$AB$361,0)))</f>
        <v>Psychiatry: long-acting maintenance treatment for schizophrenia</v>
      </c>
      <c r="I142" s="6" t="str">
        <f aca="false">IF($O142="","",INDEX(Scoring!$I$29:$I$361,MATCH($O142,Scoring!$AB$29:$AB$361,0)))</f>
        <v>Vial</v>
      </c>
      <c r="J142" s="7" t="str">
        <f aca="false">IF($O142="","",INDEX(Scoring!$Z$29:$Z$361,MATCH($O142,Scoring!$AB$29:$AB$361,0)))</f>
        <v>125 mg/5 mL vial</v>
      </c>
      <c r="K142" s="8" t="n">
        <f aca="false">IF($O142="","",IF(INDEX(Scoring!$D$29:$D$361,MATCH($O142,Scoring!$AB$29:$AB$361,0))="",INDEX(Scoring!$AF$29:$AF$361,MATCH($O142,Scoring!$AB$29:$AB$361,0)),INDEX(Scoring!$D$29:$D$361,MATCH($O142,Scoring!$AB$29:$AB$361,0))))</f>
        <v>54.55</v>
      </c>
      <c r="L142" s="9" t="n">
        <f aca="false">IF($O142="","",INDEX(Scoring!$M$29:$M$361,MATCH($O142,Scoring!$AB$29:$AB$361,0)))</f>
        <v>126</v>
      </c>
      <c r="M142" s="9" t="n">
        <f aca="false">IF($O142="","",INDEX(Scoring!$F$29:$F$361,MATCH($O142,Scoring!$AB$29:$AB$361,0)))</f>
        <v>3407.5</v>
      </c>
      <c r="N142" s="7" t="str">
        <f aca="false">IF($O142="","",INDEX(Scoring!$AI$29:$AI$361,MATCH($O142,Scoring!$AB$29:$AB$361,0)))</f>
        <v>US</v>
      </c>
      <c r="O142" s="10" t="n">
        <f aca="false">IFERROR(SMALL(Scoring!$AB$29:$AB$361,138),"")</f>
        <v>11003</v>
      </c>
    </row>
    <row r="143" customFormat="false" ht="28.35" hidden="false" customHeight="false" outlineLevel="0" collapsed="false">
      <c r="A143" s="5" t="n">
        <f aca="false">IF($O143="","",INT($O143/1000))</f>
        <v>11</v>
      </c>
      <c r="B143" s="6" t="str">
        <f aca="false">IF($O143="","",INDEX(Scoring!$A$29:$A$361,MATCH($O143,Scoring!$AB$29:$AB$361,0)))</f>
        <v>MSN</v>
      </c>
      <c r="C143" s="5" t="n">
        <f aca="false">IF($O143="","",IF(INDEX(Scoring!$P$29:$P$361,MATCH($O143,Scoring!$AB$29:$AB$361,0))="","–",INDEX(Scoring!$P$29:$P$361,MATCH($O143,Scoring!$AB$29:$AB$361,0))))</f>
        <v>4</v>
      </c>
      <c r="D143" s="6" t="str">
        <f aca="false">IF($O143="","",INDEX(Scoring!$Q$29:$Q$361,MATCH($O143,Scoring!$AB$29:$AB$361,0)))</f>
        <v>Priority 3</v>
      </c>
      <c r="E143" s="7" t="str">
        <f aca="false">IF($O143="","",INDEX(Scoring!$AJ$29:$AJ$361,MATCH($O143,Scoring!$AB$29:$AB$361,0)))</f>
        <v>Lower price · lower volume</v>
      </c>
      <c r="F143" s="6" t="str">
        <f aca="false">IF($O143="","",INDEX(Scoring!$B$29:$B$361,MATCH($O143,Scoring!$AB$29:$AB$361,0)))</f>
        <v>Chlorpromazine</v>
      </c>
      <c r="G143" s="7" t="str">
        <f aca="false">IF($O143="","",INDEX(Scoring!$AG$29:$AG$361,MATCH($O143,Scoring!$AB$29:$AB$361,0)))</f>
        <v>Chlorpromazine Hydrochloride</v>
      </c>
      <c r="H143" s="7" t="str">
        <f aca="false">IF($O143="","",INDEX(Scoring!$C$29:$C$361,MATCH($O143,Scoring!$AB$29:$AB$361,0)))</f>
        <v>Psychiatry: acute psychosis and agitation, severe nausea and vomiting</v>
      </c>
      <c r="I143" s="6" t="str">
        <f aca="false">IF($O143="","",INDEX(Scoring!$I$29:$I$361,MATCH($O143,Scoring!$AB$29:$AB$361,0)))</f>
        <v>Vial</v>
      </c>
      <c r="J143" s="7" t="str">
        <f aca="false">IF($O143="","",INDEX(Scoring!$Z$29:$Z$361,MATCH($O143,Scoring!$AB$29:$AB$361,0)))</f>
        <v>25 mg/1 mL vial</v>
      </c>
      <c r="K143" s="8" t="n">
        <f aca="false">IF($O143="","",IF(INDEX(Scoring!$D$29:$D$361,MATCH($O143,Scoring!$AB$29:$AB$361,0))="",INDEX(Scoring!$AF$29:$AF$361,MATCH($O143,Scoring!$AB$29:$AB$361,0)),INDEX(Scoring!$D$29:$D$361,MATCH($O143,Scoring!$AB$29:$AB$361,0))))</f>
        <v>14.96</v>
      </c>
      <c r="L143" s="9" t="n">
        <f aca="false">IF($O143="","",INDEX(Scoring!$M$29:$M$361,MATCH($O143,Scoring!$AB$29:$AB$361,0)))</f>
        <v>82</v>
      </c>
      <c r="M143" s="9" t="n">
        <f aca="false">IF($O143="","",INDEX(Scoring!$F$29:$F$361,MATCH($O143,Scoring!$AB$29:$AB$361,0)))</f>
        <v>1358.2</v>
      </c>
      <c r="N143" s="7" t="str">
        <f aca="false">IF($O143="","",INDEX(Scoring!$AI$29:$AI$361,MATCH($O143,Scoring!$AB$29:$AB$361,0)))</f>
        <v>US</v>
      </c>
      <c r="O143" s="10" t="n">
        <f aca="false">IFERROR(SMALL(Scoring!$AB$29:$AB$361,139),"")</f>
        <v>11004</v>
      </c>
    </row>
    <row r="144" customFormat="false" ht="28.35" hidden="false" customHeight="false" outlineLevel="0" collapsed="false">
      <c r="A144" s="5" t="n">
        <f aca="false">IF($O144="","",INT($O144/1000))</f>
        <v>12</v>
      </c>
      <c r="B144" s="6" t="str">
        <f aca="false">IF($O144="","",INDEX(Scoring!$A$29:$A$361,MATCH($O144,Scoring!$AB$29:$AB$361,0)))</f>
        <v>Alembic</v>
      </c>
      <c r="C144" s="5" t="n">
        <f aca="false">IF($O144="","",IF(INDEX(Scoring!$P$29:$P$361,MATCH($O144,Scoring!$AB$29:$AB$361,0))="","–",INDEX(Scoring!$P$29:$P$361,MATCH($O144,Scoring!$AB$29:$AB$361,0))))</f>
        <v>1</v>
      </c>
      <c r="D144" s="6" t="str">
        <f aca="false">IF($O144="","",INDEX(Scoring!$Q$29:$Q$361,MATCH($O144,Scoring!$AB$29:$AB$361,0)))</f>
        <v>Priority 1</v>
      </c>
      <c r="E144" s="7" t="str">
        <f aca="false">IF($O144="","",INDEX(Scoring!$AJ$29:$AJ$361,MATCH($O144,Scoring!$AB$29:$AB$361,0)))</f>
        <v>High price · high volume</v>
      </c>
      <c r="F144" s="6" t="str">
        <f aca="false">IF($O144="","",INDEX(Scoring!$B$29:$B$361,MATCH($O144,Scoring!$AB$29:$AB$361,0)))</f>
        <v>Fulvestrant</v>
      </c>
      <c r="G144" s="7" t="str">
        <f aca="false">IF($O144="","",INDEX(Scoring!$AG$29:$AG$361,MATCH($O144,Scoring!$AB$29:$AB$361,0)))</f>
        <v>Fulvestrant</v>
      </c>
      <c r="H144" s="7" t="str">
        <f aca="false">IF($O144="","",INDEX(Scoring!$C$29:$C$361,MATCH($O144,Scoring!$AB$29:$AB$361,0)))</f>
        <v>Oncology: hormone receptor-positive advanced breast cancer</v>
      </c>
      <c r="I144" s="6" t="str">
        <f aca="false">IF($O144="","",INDEX(Scoring!$I$29:$I$361,MATCH($O144,Scoring!$AB$29:$AB$361,0)))</f>
        <v>Prefilled syringe</v>
      </c>
      <c r="J144" s="7" t="str">
        <f aca="false">IF($O144="","",INDEX(Scoring!$Z$29:$Z$361,MATCH($O144,Scoring!$AB$29:$AB$361,0)))</f>
        <v>250 mg/5 mL pre-filled syringe</v>
      </c>
      <c r="K144" s="8" t="n">
        <f aca="false">IF($O144="","",IF(INDEX(Scoring!$D$29:$D$361,MATCH($O144,Scoring!$AB$29:$AB$361,0))="",INDEX(Scoring!$AF$29:$AF$361,MATCH($O144,Scoring!$AB$29:$AB$361,0)),INDEX(Scoring!$D$29:$D$361,MATCH($O144,Scoring!$AB$29:$AB$361,0))))</f>
        <v>29.97</v>
      </c>
      <c r="L144" s="9" t="n">
        <f aca="false">IF($O144="","",INDEX(Scoring!$M$29:$M$361,MATCH($O144,Scoring!$AB$29:$AB$361,0)))</f>
        <v>146</v>
      </c>
      <c r="M144" s="9" t="n">
        <f aca="false">IF($O144="","",INDEX(Scoring!$F$29:$F$361,MATCH($O144,Scoring!$AB$29:$AB$361,0)))</f>
        <v>11366.1</v>
      </c>
      <c r="N144" s="7" t="str">
        <f aca="false">IF($O144="","",INDEX(Scoring!$AI$29:$AI$361,MATCH($O144,Scoring!$AB$29:$AB$361,0)))</f>
        <v>US</v>
      </c>
      <c r="O144" s="10" t="n">
        <f aca="false">IFERROR(SMALL(Scoring!$AB$29:$AB$361,140),"")</f>
        <v>12001</v>
      </c>
    </row>
    <row r="145" customFormat="false" ht="41.75" hidden="false" customHeight="false" outlineLevel="0" collapsed="false">
      <c r="A145" s="5" t="n">
        <f aca="false">IF($O145="","",INT($O145/1000))</f>
        <v>12</v>
      </c>
      <c r="B145" s="6" t="str">
        <f aca="false">IF($O145="","",INDEX(Scoring!$A$29:$A$361,MATCH($O145,Scoring!$AB$29:$AB$361,0)))</f>
        <v>Alembic</v>
      </c>
      <c r="C145" s="5" t="n">
        <f aca="false">IF($O145="","",IF(INDEX(Scoring!$P$29:$P$361,MATCH($O145,Scoring!$AB$29:$AB$361,0))="","–",INDEX(Scoring!$P$29:$P$361,MATCH($O145,Scoring!$AB$29:$AB$361,0))))</f>
        <v>2</v>
      </c>
      <c r="D145" s="6" t="str">
        <f aca="false">IF($O145="","",INDEX(Scoring!$Q$29:$Q$361,MATCH($O145,Scoring!$AB$29:$AB$361,0)))</f>
        <v>Priority 2</v>
      </c>
      <c r="E145" s="7" t="str">
        <f aca="false">IF($O145="","",INDEX(Scoring!$AJ$29:$AJ$361,MATCH($O145,Scoring!$AB$29:$AB$361,0)))</f>
        <v>Lower price · high volume</v>
      </c>
      <c r="F145" s="6" t="str">
        <f aca="false">IF($O145="","",INDEX(Scoring!$B$29:$B$361,MATCH($O145,Scoring!$AB$29:$AB$361,0)))</f>
        <v>Methotrexate</v>
      </c>
      <c r="G145" s="7" t="str">
        <f aca="false">IF($O145="","",INDEX(Scoring!$AG$29:$AG$361,MATCH($O145,Scoring!$AB$29:$AB$361,0)))</f>
        <v>Methotrexate Sodium</v>
      </c>
      <c r="H145" s="7" t="str">
        <f aca="false">IF($O145="","",INDEX(Scoring!$C$29:$C$361,MATCH($O145,Scoring!$AB$29:$AB$361,0)))</f>
        <v>Oncology and immunology: leukaemia, lymphoma, bone cancer, rheumatoid arthritis, psoriasis</v>
      </c>
      <c r="I145" s="6" t="str">
        <f aca="false">IF($O145="","",INDEX(Scoring!$I$29:$I$361,MATCH($O145,Scoring!$AB$29:$AB$361,0)))</f>
        <v>Vial</v>
      </c>
      <c r="J145" s="7" t="str">
        <f aca="false">IF($O145="","",INDEX(Scoring!$Z$29:$Z$361,MATCH($O145,Scoring!$AB$29:$AB$361,0)))</f>
        <v>1 g/40 mL vial; 50 mg/2 mL vial</v>
      </c>
      <c r="K145" s="8" t="n">
        <f aca="false">IF($O145="","",IF(INDEX(Scoring!$D$29:$D$361,MATCH($O145,Scoring!$AB$29:$AB$361,0))="",INDEX(Scoring!$AF$29:$AF$361,MATCH($O145,Scoring!$AB$29:$AB$361,0)),INDEX(Scoring!$D$29:$D$361,MATCH($O145,Scoring!$AB$29:$AB$361,0))))</f>
        <v>10.36</v>
      </c>
      <c r="L145" s="9" t="n">
        <f aca="false">IF($O145="","",INDEX(Scoring!$M$29:$M$361,MATCH($O145,Scoring!$AB$29:$AB$361,0)))</f>
        <v>996</v>
      </c>
      <c r="M145" s="9" t="n">
        <f aca="false">IF($O145="","",INDEX(Scoring!$F$29:$F$361,MATCH($O145,Scoring!$AB$29:$AB$361,0)))</f>
        <v>13045.6</v>
      </c>
      <c r="N145" s="7" t="str">
        <f aca="false">IF($O145="","",INDEX(Scoring!$AI$29:$AI$361,MATCH($O145,Scoring!$AB$29:$AB$361,0)))</f>
        <v>US</v>
      </c>
      <c r="O145" s="10" t="n">
        <f aca="false">IFERROR(SMALL(Scoring!$AB$29:$AB$361,141),"")</f>
        <v>12002</v>
      </c>
    </row>
    <row r="146" customFormat="false" ht="28.35" hidden="false" customHeight="false" outlineLevel="0" collapsed="false">
      <c r="A146" s="5" t="n">
        <f aca="false">IF($O146="","",INT($O146/1000))</f>
        <v>12</v>
      </c>
      <c r="B146" s="6" t="str">
        <f aca="false">IF($O146="","",INDEX(Scoring!$A$29:$A$361,MATCH($O146,Scoring!$AB$29:$AB$361,0)))</f>
        <v>Alembic</v>
      </c>
      <c r="C146" s="5" t="n">
        <f aca="false">IF($O146="","",IF(INDEX(Scoring!$P$29:$P$361,MATCH($O146,Scoring!$AB$29:$AB$361,0))="","–",INDEX(Scoring!$P$29:$P$361,MATCH($O146,Scoring!$AB$29:$AB$361,0))))</f>
        <v>3</v>
      </c>
      <c r="D146" s="6" t="str">
        <f aca="false">IF($O146="","",INDEX(Scoring!$Q$29:$Q$361,MATCH($O146,Scoring!$AB$29:$AB$361,0)))</f>
        <v>Priority 2</v>
      </c>
      <c r="E146" s="7" t="str">
        <f aca="false">IF($O146="","",INDEX(Scoring!$AJ$29:$AJ$361,MATCH($O146,Scoring!$AB$29:$AB$361,0)))</f>
        <v>High price · lower volume</v>
      </c>
      <c r="F146" s="6" t="str">
        <f aca="false">IF($O146="","",INDEX(Scoring!$B$29:$B$361,MATCH($O146,Scoring!$AB$29:$AB$361,0)))</f>
        <v>Carboprost</v>
      </c>
      <c r="G146" s="7" t="str">
        <f aca="false">IF($O146="","",INDEX(Scoring!$AG$29:$AG$361,MATCH($O146,Scoring!$AB$29:$AB$361,0)))</f>
        <v>Carboprost Tromethamine; Carboprost Alembic</v>
      </c>
      <c r="H146" s="7" t="str">
        <f aca="false">IF($O146="","",INDEX(Scoring!$C$29:$C$361,MATCH($O146,Scoring!$AB$29:$AB$361,0)))</f>
        <v>Women's health: postpartum haemorrhage, pregnancy termination</v>
      </c>
      <c r="I146" s="6" t="str">
        <f aca="false">IF($O146="","",INDEX(Scoring!$I$29:$I$361,MATCH($O146,Scoring!$AB$29:$AB$361,0)))</f>
        <v>Vial</v>
      </c>
      <c r="J146" s="7" t="str">
        <f aca="false">IF($O146="","",INDEX(Scoring!$Z$29:$Z$361,MATCH($O146,Scoring!$AB$29:$AB$361,0)))</f>
        <v>0.25 mg/1 mL vial</v>
      </c>
      <c r="K146" s="8" t="n">
        <f aca="false">IF($O146="","",IF(INDEX(Scoring!$D$29:$D$361,MATCH($O146,Scoring!$AB$29:$AB$361,0))="",INDEX(Scoring!$AF$29:$AF$361,MATCH($O146,Scoring!$AB$29:$AB$361,0)),INDEX(Scoring!$D$29:$D$361,MATCH($O146,Scoring!$AB$29:$AB$361,0))))</f>
        <v>52.42</v>
      </c>
      <c r="L146" s="9" t="n">
        <f aca="false">IF($O146="","",INDEX(Scoring!$M$29:$M$361,MATCH($O146,Scoring!$AB$29:$AB$361,0)))</f>
        <v>143</v>
      </c>
      <c r="M146" s="9" t="n">
        <f aca="false">IF($O146="","",INDEX(Scoring!$F$29:$F$361,MATCH($O146,Scoring!$AB$29:$AB$361,0)))</f>
        <v>3625.3</v>
      </c>
      <c r="N146" s="7" t="str">
        <f aca="false">IF($O146="","",INDEX(Scoring!$AI$29:$AI$361,MATCH($O146,Scoring!$AB$29:$AB$361,0)))</f>
        <v>US | EU/EEA (2): Malta, Sweden</v>
      </c>
      <c r="O146" s="10" t="n">
        <f aca="false">IFERROR(SMALL(Scoring!$AB$29:$AB$361,142),"")</f>
        <v>12003</v>
      </c>
    </row>
    <row r="147" customFormat="false" ht="28.35" hidden="false" customHeight="false" outlineLevel="0" collapsed="false">
      <c r="A147" s="5" t="n">
        <f aca="false">IF($O147="","",INT($O147/1000))</f>
        <v>12</v>
      </c>
      <c r="B147" s="6" t="str">
        <f aca="false">IF($O147="","",INDEX(Scoring!$A$29:$A$361,MATCH($O147,Scoring!$AB$29:$AB$361,0)))</f>
        <v>Alembic</v>
      </c>
      <c r="C147" s="5" t="n">
        <f aca="false">IF($O147="","",IF(INDEX(Scoring!$P$29:$P$361,MATCH($O147,Scoring!$AB$29:$AB$361,0))="","–",INDEX(Scoring!$P$29:$P$361,MATCH($O147,Scoring!$AB$29:$AB$361,0))))</f>
        <v>4</v>
      </c>
      <c r="D147" s="6" t="str">
        <f aca="false">IF($O147="","",INDEX(Scoring!$Q$29:$Q$361,MATCH($O147,Scoring!$AB$29:$AB$361,0)))</f>
        <v>Priority 3</v>
      </c>
      <c r="E147" s="7" t="str">
        <f aca="false">IF($O147="","",INDEX(Scoring!$AJ$29:$AJ$361,MATCH($O147,Scoring!$AB$29:$AB$361,0)))</f>
        <v>Lower price · lower volume</v>
      </c>
      <c r="F147" s="6" t="str">
        <f aca="false">IF($O147="","",INDEX(Scoring!$B$29:$B$361,MATCH($O147,Scoring!$AB$29:$AB$361,0)))</f>
        <v>Diazepam</v>
      </c>
      <c r="G147" s="7" t="str">
        <f aca="false">IF($O147="","",INDEX(Scoring!$AG$29:$AG$361,MATCH($O147,Scoring!$AB$29:$AB$361,0)))</f>
        <v>Diazepam</v>
      </c>
      <c r="H147" s="7" t="str">
        <f aca="false">IF($O147="","",INDEX(Scoring!$C$29:$C$361,MATCH($O147,Scoring!$AB$29:$AB$361,0)))</f>
        <v>Neurology: status epilepticus, seizures, acute anxiety and sedation</v>
      </c>
      <c r="I147" s="6" t="str">
        <f aca="false">IF($O147="","",INDEX(Scoring!$I$29:$I$361,MATCH($O147,Scoring!$AB$29:$AB$361,0)))</f>
        <v>Prefilled syringe</v>
      </c>
      <c r="J147" s="7" t="str">
        <f aca="false">IF($O147="","",INDEX(Scoring!$Z$29:$Z$361,MATCH($O147,Scoring!$AB$29:$AB$361,0)))</f>
        <v>10 mg/2 mL pre-filled syringe</v>
      </c>
      <c r="K147" s="8" t="n">
        <f aca="false">IF($O147="","",IF(INDEX(Scoring!$D$29:$D$361,MATCH($O147,Scoring!$AB$29:$AB$361,0))="",INDEX(Scoring!$AF$29:$AF$361,MATCH($O147,Scoring!$AB$29:$AB$361,0)),INDEX(Scoring!$D$29:$D$361,MATCH($O147,Scoring!$AB$29:$AB$361,0))))</f>
        <v>10.14</v>
      </c>
      <c r="L147" s="9" t="n">
        <f aca="false">IF($O147="","",INDEX(Scoring!$M$29:$M$361,MATCH($O147,Scoring!$AB$29:$AB$361,0)))</f>
        <v>35</v>
      </c>
      <c r="M147" s="9" t="n">
        <f aca="false">IF($O147="","",INDEX(Scoring!$F$29:$F$361,MATCH($O147,Scoring!$AB$29:$AB$361,0)))</f>
        <v>1053.6</v>
      </c>
      <c r="N147" s="7" t="str">
        <f aca="false">IF($O147="","",INDEX(Scoring!$AI$29:$AI$361,MATCH($O147,Scoring!$AB$29:$AB$361,0)))</f>
        <v>US</v>
      </c>
      <c r="O147" s="10" t="n">
        <f aca="false">IFERROR(SMALL(Scoring!$AB$29:$AB$361,143),"")</f>
        <v>12004</v>
      </c>
    </row>
    <row r="148" customFormat="false" ht="28.35" hidden="false" customHeight="false" outlineLevel="0" collapsed="false">
      <c r="A148" s="5" t="n">
        <f aca="false">IF($O148="","",INT($O148/1000))</f>
        <v>12</v>
      </c>
      <c r="B148" s="6" t="str">
        <f aca="false">IF($O148="","",INDEX(Scoring!$A$29:$A$361,MATCH($O148,Scoring!$AB$29:$AB$361,0)))</f>
        <v>Alembic</v>
      </c>
      <c r="C148" s="5" t="str">
        <f aca="false">IF($O148="","",IF(INDEX(Scoring!$P$29:$P$361,MATCH($O148,Scoring!$AB$29:$AB$361,0))="","–",INDEX(Scoring!$P$29:$P$361,MATCH($O148,Scoring!$AB$29:$AB$361,0))))</f>
        <v>–</v>
      </c>
      <c r="D148" s="6" t="str">
        <f aca="false">IF($O148="","",INDEX(Scoring!$Q$29:$Q$361,MATCH($O148,Scoring!$AB$29:$AB$361,0)))</f>
        <v>Excluded – price ≤ $5</v>
      </c>
      <c r="E148" s="7" t="str">
        <f aca="false">IF($O148="","",INDEX(Scoring!$AJ$29:$AJ$361,MATCH($O148,Scoring!$AB$29:$AB$361,0)))</f>
        <v/>
      </c>
      <c r="F148" s="6" t="str">
        <f aca="false">IF($O148="","",INDEX(Scoring!$B$29:$B$361,MATCH($O148,Scoring!$AB$29:$AB$361,0)))</f>
        <v>Phytonadione</v>
      </c>
      <c r="G148" s="7" t="str">
        <f aca="false">IF($O148="","",INDEX(Scoring!$AG$29:$AG$361,MATCH($O148,Scoring!$AB$29:$AB$361,0)))</f>
        <v>Phytonadione</v>
      </c>
      <c r="H148" s="7" t="str">
        <f aca="false">IF($O148="","",INDEX(Scoring!$C$29:$C$361,MATCH($O148,Scoring!$AB$29:$AB$361,0)))</f>
        <v>Haematology: vitamin K for newborn bleeding prevention, warfarin reversal</v>
      </c>
      <c r="I148" s="6" t="str">
        <f aca="false">IF($O148="","",INDEX(Scoring!$I$29:$I$361,MATCH($O148,Scoring!$AB$29:$AB$361,0)))</f>
        <v>Prefilled syringe</v>
      </c>
      <c r="J148" s="7" t="str">
        <f aca="false">IF($O148="","",INDEX(Scoring!$Z$29:$Z$361,MATCH($O148,Scoring!$AB$29:$AB$361,0)))</f>
        <v>1 mg/0.5 mL pre-filled syringe</v>
      </c>
      <c r="K148" s="8" t="n">
        <f aca="false">IF($O148="","",IF(INDEX(Scoring!$D$29:$D$361,MATCH($O148,Scoring!$AB$29:$AB$361,0))="",INDEX(Scoring!$AF$29:$AF$361,MATCH($O148,Scoring!$AB$29:$AB$361,0)),INDEX(Scoring!$D$29:$D$361,MATCH($O148,Scoring!$AB$29:$AB$361,0))))</f>
        <v>3.99</v>
      </c>
      <c r="L148" s="9" t="n">
        <f aca="false">IF($O148="","",INDEX(Scoring!$M$29:$M$361,MATCH($O148,Scoring!$AB$29:$AB$361,0)))</f>
        <v>24</v>
      </c>
      <c r="M148" s="9" t="n">
        <f aca="false">IF($O148="","",INDEX(Scoring!$F$29:$F$361,MATCH($O148,Scoring!$AB$29:$AB$361,0)))</f>
        <v>2702.3</v>
      </c>
      <c r="N148" s="7" t="str">
        <f aca="false">IF($O148="","",INDEX(Scoring!$AI$29:$AI$361,MATCH($O148,Scoring!$AB$29:$AB$361,0)))</f>
        <v>US</v>
      </c>
      <c r="O148" s="10" t="n">
        <f aca="false">IFERROR(SMALL(Scoring!$AB$29:$AB$361,144),"")</f>
        <v>12901</v>
      </c>
    </row>
    <row r="149" customFormat="false" ht="41.75" hidden="false" customHeight="false" outlineLevel="0" collapsed="false">
      <c r="A149" s="5" t="n">
        <f aca="false">IF($O149="","",INT($O149/1000))</f>
        <v>12</v>
      </c>
      <c r="B149" s="6" t="str">
        <f aca="false">IF($O149="","",INDEX(Scoring!$A$29:$A$361,MATCH($O149,Scoring!$AB$29:$AB$361,0)))</f>
        <v>Alembic</v>
      </c>
      <c r="C149" s="5" t="str">
        <f aca="false">IF($O149="","",IF(INDEX(Scoring!$P$29:$P$361,MATCH($O149,Scoring!$AB$29:$AB$361,0))="","–",INDEX(Scoring!$P$29:$P$361,MATCH($O149,Scoring!$AB$29:$AB$361,0))))</f>
        <v>–</v>
      </c>
      <c r="D149" s="6" t="str">
        <f aca="false">IF($O149="","",INDEX(Scoring!$Q$29:$Q$361,MATCH($O149,Scoring!$AB$29:$AB$361,0)))</f>
        <v>Excluded – price ≤ $5</v>
      </c>
      <c r="E149" s="7" t="str">
        <f aca="false">IF($O149="","",INDEX(Scoring!$AJ$29:$AJ$361,MATCH($O149,Scoring!$AB$29:$AB$361,0)))</f>
        <v/>
      </c>
      <c r="F149" s="6" t="str">
        <f aca="false">IF($O149="","",INDEX(Scoring!$B$29:$B$361,MATCH($O149,Scoring!$AB$29:$AB$361,0)))</f>
        <v>Triamcinolone Acetonide</v>
      </c>
      <c r="G149" s="7" t="str">
        <f aca="false">IF($O149="","",INDEX(Scoring!$AG$29:$AG$361,MATCH($O149,Scoring!$AB$29:$AB$361,0)))</f>
        <v>Triamcinolone Acetonide</v>
      </c>
      <c r="H149" s="7" t="str">
        <f aca="false">IF($O149="","",INDEX(Scoring!$C$29:$C$361,MATCH($O149,Scoring!$AB$29:$AB$361,0)))</f>
        <v>Musculoskeletal and immunology: joint and soft-tissue injections, allergic and skin conditions</v>
      </c>
      <c r="I149" s="6" t="str">
        <f aca="false">IF($O149="","",INDEX(Scoring!$I$29:$I$361,MATCH($O149,Scoring!$AB$29:$AB$361,0)))</f>
        <v>Not stated</v>
      </c>
      <c r="J149" s="7" t="str">
        <f aca="false">IF($O149="","",INDEX(Scoring!$Z$29:$Z$361,MATCH($O149,Scoring!$AB$29:$AB$361,0)))</f>
        <v>40 mg/mL (container not stated)</v>
      </c>
      <c r="K149" s="8" t="n">
        <f aca="false">IF($O149="","",IF(INDEX(Scoring!$D$29:$D$361,MATCH($O149,Scoring!$AB$29:$AB$361,0))="",INDEX(Scoring!$AF$29:$AF$361,MATCH($O149,Scoring!$AB$29:$AB$361,0)),INDEX(Scoring!$D$29:$D$361,MATCH($O149,Scoring!$AB$29:$AB$361,0))))</f>
        <v>3.15</v>
      </c>
      <c r="L149" s="9" t="n">
        <f aca="false">IF($O149="","",INDEX(Scoring!$M$29:$M$361,MATCH($O149,Scoring!$AB$29:$AB$361,0)))</f>
        <v>193</v>
      </c>
      <c r="M149" s="9" t="n">
        <f aca="false">IF($O149="","",INDEX(Scoring!$F$29:$F$361,MATCH($O149,Scoring!$AB$29:$AB$361,0)))</f>
        <v>4256.8</v>
      </c>
      <c r="N149" s="7" t="str">
        <f aca="false">IF($O149="","",INDEX(Scoring!$AI$29:$AI$361,MATCH($O149,Scoring!$AB$29:$AB$361,0)))</f>
        <v>US</v>
      </c>
      <c r="O149" s="10" t="n">
        <f aca="false">IFERROR(SMALL(Scoring!$AB$29:$AB$361,145),"")</f>
        <v>12902</v>
      </c>
    </row>
    <row r="150" customFormat="false" ht="28.35" hidden="false" customHeight="false" outlineLevel="0" collapsed="false">
      <c r="A150" s="5" t="n">
        <f aca="false">IF($O150="","",INT($O150/1000))</f>
        <v>13</v>
      </c>
      <c r="B150" s="6" t="str">
        <f aca="false">IF($O150="","",INDEX(Scoring!$A$29:$A$361,MATCH($O150,Scoring!$AB$29:$AB$361,0)))</f>
        <v>Torrent</v>
      </c>
      <c r="C150" s="5" t="n">
        <f aca="false">IF($O150="","",IF(INDEX(Scoring!$P$29:$P$361,MATCH($O150,Scoring!$AB$29:$AB$361,0))="","–",INDEX(Scoring!$P$29:$P$361,MATCH($O150,Scoring!$AB$29:$AB$361,0))))</f>
        <v>1</v>
      </c>
      <c r="D150" s="6" t="str">
        <f aca="false">IF($O150="","",INDEX(Scoring!$Q$29:$Q$361,MATCH($O150,Scoring!$AB$29:$AB$361,0)))</f>
        <v>Priority 1</v>
      </c>
      <c r="E150" s="7" t="str">
        <f aca="false">IF($O150="","",INDEX(Scoring!$AJ$29:$AJ$361,MATCH($O150,Scoring!$AB$29:$AB$361,0)))</f>
        <v>High price · high volume</v>
      </c>
      <c r="F150" s="6" t="str">
        <f aca="false">IF($O150="","",INDEX(Scoring!$B$29:$B$361,MATCH($O150,Scoring!$AB$29:$AB$361,0)))</f>
        <v>Fulvestrant</v>
      </c>
      <c r="G150" s="7" t="str">
        <f aca="false">IF($O150="","",INDEX(Scoring!$AG$29:$AG$361,MATCH($O150,Scoring!$AB$29:$AB$361,0)))</f>
        <v>Fulvestrant Heumann</v>
      </c>
      <c r="H150" s="7" t="str">
        <f aca="false">IF($O150="","",INDEX(Scoring!$C$29:$C$361,MATCH($O150,Scoring!$AB$29:$AB$361,0)))</f>
        <v>Oncology: hormone receptor-positive advanced breast cancer</v>
      </c>
      <c r="I150" s="6" t="str">
        <f aca="false">IF($O150="","",INDEX(Scoring!$I$29:$I$361,MATCH($O150,Scoring!$AB$29:$AB$361,0)))</f>
        <v>Prefilled syringe</v>
      </c>
      <c r="J150" s="7" t="str">
        <f aca="false">IF($O150="","",INDEX(Scoring!$Z$29:$Z$361,MATCH($O150,Scoring!$AB$29:$AB$361,0)))</f>
        <v>250 mg/5 mL pre-filled syringe</v>
      </c>
      <c r="K150" s="8" t="n">
        <f aca="false">IF($O150="","",IF(INDEX(Scoring!$D$29:$D$361,MATCH($O150,Scoring!$AB$29:$AB$361,0))="",INDEX(Scoring!$AF$29:$AF$361,MATCH($O150,Scoring!$AB$29:$AB$361,0)),INDEX(Scoring!$D$29:$D$361,MATCH($O150,Scoring!$AB$29:$AB$361,0))))</f>
        <v>531.87</v>
      </c>
      <c r="L150" s="9" t="n">
        <f aca="false">IF($O150="","",INDEX(Scoring!$M$29:$M$361,MATCH($O150,Scoring!$AB$29:$AB$361,0)))</f>
        <v>146</v>
      </c>
      <c r="M150" s="9" t="n">
        <f aca="false">IF($O150="","",INDEX(Scoring!$F$29:$F$361,MATCH($O150,Scoring!$AB$29:$AB$361,0)))</f>
        <v>11366.1</v>
      </c>
      <c r="N150" s="7" t="str">
        <f aca="false">IF($O150="","",INDEX(Scoring!$AI$29:$AI$361,MATCH($O150,Scoring!$AB$29:$AB$361,0)))</f>
        <v>EU/EEA (1): Germany</v>
      </c>
      <c r="O150" s="10" t="n">
        <f aca="false">IFERROR(SMALL(Scoring!$AB$29:$AB$361,146),"")</f>
        <v>13001</v>
      </c>
    </row>
    <row r="151" customFormat="false" ht="28.35" hidden="false" customHeight="false" outlineLevel="0" collapsed="false">
      <c r="A151" s="5" t="n">
        <f aca="false">IF($O151="","",INT($O151/1000))</f>
        <v>13</v>
      </c>
      <c r="B151" s="6" t="str">
        <f aca="false">IF($O151="","",INDEX(Scoring!$A$29:$A$361,MATCH($O151,Scoring!$AB$29:$AB$361,0)))</f>
        <v>Torrent</v>
      </c>
      <c r="C151" s="5" t="n">
        <f aca="false">IF($O151="","",IF(INDEX(Scoring!$P$29:$P$361,MATCH($O151,Scoring!$AB$29:$AB$361,0))="","–",INDEX(Scoring!$P$29:$P$361,MATCH($O151,Scoring!$AB$29:$AB$361,0))))</f>
        <v>2</v>
      </c>
      <c r="D151" s="6" t="str">
        <f aca="false">IF($O151="","",INDEX(Scoring!$Q$29:$Q$361,MATCH($O151,Scoring!$AB$29:$AB$361,0)))</f>
        <v>Priority 2</v>
      </c>
      <c r="E151" s="7" t="str">
        <f aca="false">IF($O151="","",INDEX(Scoring!$AJ$29:$AJ$361,MATCH($O151,Scoring!$AB$29:$AB$361,0)))</f>
        <v>High price · lower volume</v>
      </c>
      <c r="F151" s="6" t="str">
        <f aca="false">IF($O151="","",INDEX(Scoring!$B$29:$B$361,MATCH($O151,Scoring!$AB$29:$AB$361,0)))</f>
        <v>Paliperidone</v>
      </c>
      <c r="G151" s="7" t="str">
        <f aca="false">IF($O151="","",INDEX(Scoring!$AG$29:$AG$361,MATCH($O151,Scoring!$AB$29:$AB$361,0)))</f>
        <v>Paliperidon Heumann</v>
      </c>
      <c r="H151" s="7" t="str">
        <f aca="false">IF($O151="","",INDEX(Scoring!$C$29:$C$361,MATCH($O151,Scoring!$AB$29:$AB$361,0)))</f>
        <v>Psychiatry: long-acting injection for schizophrenia</v>
      </c>
      <c r="I151" s="6" t="str">
        <f aca="false">IF($O151="","",INDEX(Scoring!$I$29:$I$361,MATCH($O151,Scoring!$AB$29:$AB$361,0)))</f>
        <v>Prefilled syringe</v>
      </c>
      <c r="J151" s="7" t="str">
        <f aca="false">IF($O151="","",INDEX(Scoring!$Z$29:$Z$361,MATCH($O151,Scoring!$AB$29:$AB$361,0)))</f>
        <v>50 mg/0.5 mL pre-filled syringe</v>
      </c>
      <c r="K151" s="8" t="n">
        <f aca="false">IF($O151="","",IF(INDEX(Scoring!$D$29:$D$361,MATCH($O151,Scoring!$AB$29:$AB$361,0))="",INDEX(Scoring!$AF$29:$AF$361,MATCH($O151,Scoring!$AB$29:$AB$361,0)),INDEX(Scoring!$D$29:$D$361,MATCH($O151,Scoring!$AB$29:$AB$361,0))))</f>
        <v>118.34</v>
      </c>
      <c r="L151" s="9" t="n">
        <f aca="false">IF($O151="","",INDEX(Scoring!$M$29:$M$361,MATCH($O151,Scoring!$AB$29:$AB$361,0)))</f>
        <v>115</v>
      </c>
      <c r="M151" s="9" t="n">
        <f aca="false">IF($O151="","",INDEX(Scoring!$F$29:$F$361,MATCH($O151,Scoring!$AB$29:$AB$361,0)))</f>
        <v>6183.2</v>
      </c>
      <c r="N151" s="7" t="str">
        <f aca="false">IF($O151="","",INDEX(Scoring!$AI$29:$AI$361,MATCH($O151,Scoring!$AB$29:$AB$361,0)))</f>
        <v>EU/EEA (2): Germany, Sweden</v>
      </c>
      <c r="O151" s="10" t="n">
        <f aca="false">IFERROR(SMALL(Scoring!$AB$29:$AB$361,147),"")</f>
        <v>13002</v>
      </c>
    </row>
    <row r="152" customFormat="false" ht="28.35" hidden="false" customHeight="false" outlineLevel="0" collapsed="false">
      <c r="A152" s="5" t="n">
        <f aca="false">IF($O152="","",INT($O152/1000))</f>
        <v>14</v>
      </c>
      <c r="B152" s="6" t="str">
        <f aca="false">IF($O152="","",INDEX(Scoring!$A$29:$A$361,MATCH($O152,Scoring!$AB$29:$AB$361,0)))</f>
        <v>Wockhardt</v>
      </c>
      <c r="C152" s="5" t="n">
        <f aca="false">IF($O152="","",IF(INDEX(Scoring!$P$29:$P$361,MATCH($O152,Scoring!$AB$29:$AB$361,0))="","–",INDEX(Scoring!$P$29:$P$361,MATCH($O152,Scoring!$AB$29:$AB$361,0))))</f>
        <v>1</v>
      </c>
      <c r="D152" s="6" t="str">
        <f aca="false">IF($O152="","",INDEX(Scoring!$Q$29:$Q$361,MATCH($O152,Scoring!$AB$29:$AB$361,0)))</f>
        <v>Priority 2</v>
      </c>
      <c r="E152" s="7" t="str">
        <f aca="false">IF($O152="","",INDEX(Scoring!$AJ$29:$AJ$361,MATCH($O152,Scoring!$AB$29:$AB$361,0)))</f>
        <v>Lower price · high volume</v>
      </c>
      <c r="F152" s="6" t="str">
        <f aca="false">IF($O152="","",INDEX(Scoring!$B$29:$B$361,MATCH($O152,Scoring!$AB$29:$AB$361,0)))</f>
        <v>Ceftriaxone</v>
      </c>
      <c r="G152" s="7" t="str">
        <f aca="false">IF($O152="","",INDEX(Scoring!$AG$29:$AG$361,MATCH($O152,Scoring!$AB$29:$AB$361,0)))</f>
        <v>Ceftriaxone</v>
      </c>
      <c r="H152" s="7" t="str">
        <f aca="false">IF($O152="","",INDEX(Scoring!$C$29:$C$361,MATCH($O152,Scoring!$AB$29:$AB$361,0)))</f>
        <v>Anti-infective: pneumonia, meningitis, sepsis, gonorrhoea, typhoid</v>
      </c>
      <c r="I152" s="6" t="str">
        <f aca="false">IF($O152="","",INDEX(Scoring!$I$29:$I$361,MATCH($O152,Scoring!$AB$29:$AB$361,0)))</f>
        <v>Vial</v>
      </c>
      <c r="J152" s="7" t="str">
        <f aca="false">IF($O152="","",INDEX(Scoring!$Z$29:$Z$361,MATCH($O152,Scoring!$AB$29:$AB$361,0)))</f>
        <v>250 mg vial; 500 mg vial; 2 g powder vial</v>
      </c>
      <c r="K152" s="8" t="n">
        <f aca="false">IF($O152="","",IF(INDEX(Scoring!$D$29:$D$361,MATCH($O152,Scoring!$AB$29:$AB$361,0))="",INDEX(Scoring!$AF$29:$AF$361,MATCH($O152,Scoring!$AB$29:$AB$361,0)),INDEX(Scoring!$D$29:$D$361,MATCH($O152,Scoring!$AB$29:$AB$361,0))))</f>
        <v>12.3</v>
      </c>
      <c r="L152" s="9" t="n">
        <f aca="false">IF($O152="","",INDEX(Scoring!$M$29:$M$361,MATCH($O152,Scoring!$AB$29:$AB$361,0)))</f>
        <v>3110</v>
      </c>
      <c r="M152" s="9" t="n">
        <f aca="false">IF($O152="","",INDEX(Scoring!$F$29:$F$361,MATCH($O152,Scoring!$AB$29:$AB$361,0)))</f>
        <v>93119.2</v>
      </c>
      <c r="N152" s="7" t="str">
        <f aca="false">IF($O152="","",INDEX(Scoring!$AI$29:$AI$361,MATCH($O152,Scoring!$AB$29:$AB$361,0)))</f>
        <v>US, UK, UK-NI | EU/EEA (2): Ireland, Malta</v>
      </c>
      <c r="O152" s="10" t="n">
        <f aca="false">IFERROR(SMALL(Scoring!$AB$29:$AB$361,148),"")</f>
        <v>14001</v>
      </c>
    </row>
    <row r="153" customFormat="false" ht="28.35" hidden="false" customHeight="false" outlineLevel="0" collapsed="false">
      <c r="A153" s="5" t="n">
        <f aca="false">IF($O153="","",INT($O153/1000))</f>
        <v>14</v>
      </c>
      <c r="B153" s="6" t="str">
        <f aca="false">IF($O153="","",INDEX(Scoring!$A$29:$A$361,MATCH($O153,Scoring!$AB$29:$AB$361,0)))</f>
        <v>Wockhardt</v>
      </c>
      <c r="C153" s="5" t="n">
        <f aca="false">IF($O153="","",IF(INDEX(Scoring!$P$29:$P$361,MATCH($O153,Scoring!$AB$29:$AB$361,0))="","–",INDEX(Scoring!$P$29:$P$361,MATCH($O153,Scoring!$AB$29:$AB$361,0))))</f>
        <v>2</v>
      </c>
      <c r="D153" s="6" t="str">
        <f aca="false">IF($O153="","",INDEX(Scoring!$Q$29:$Q$361,MATCH($O153,Scoring!$AB$29:$AB$361,0)))</f>
        <v>Priority 2</v>
      </c>
      <c r="E153" s="7" t="str">
        <f aca="false">IF($O153="","",INDEX(Scoring!$AJ$29:$AJ$361,MATCH($O153,Scoring!$AB$29:$AB$361,0)))</f>
        <v>Lower price · high volume</v>
      </c>
      <c r="F153" s="6" t="str">
        <f aca="false">IF($O153="","",INDEX(Scoring!$B$29:$B$361,MATCH($O153,Scoring!$AB$29:$AB$361,0)))</f>
        <v>Ondansetron</v>
      </c>
      <c r="G153" s="7" t="str">
        <f aca="false">IF($O153="","",INDEX(Scoring!$AG$29:$AG$361,MATCH($O153,Scoring!$AB$29:$AB$361,0)))</f>
        <v>Ondansetron Wockhardt</v>
      </c>
      <c r="H153" s="7" t="str">
        <f aca="false">IF($O153="","",INDEX(Scoring!$C$29:$C$361,MATCH($O153,Scoring!$AB$29:$AB$361,0)))</f>
        <v>Oncology support: nausea and vomiting from chemotherapy and surgery</v>
      </c>
      <c r="I153" s="6" t="str">
        <f aca="false">IF($O153="","",INDEX(Scoring!$I$29:$I$361,MATCH($O153,Scoring!$AB$29:$AB$361,0)))</f>
        <v>Ampoule</v>
      </c>
      <c r="J153" s="7" t="str">
        <f aca="false">IF($O153="","",INDEX(Scoring!$Z$29:$Z$361,MATCH($O153,Scoring!$AB$29:$AB$361,0)))</f>
        <v>4 mg/2 mL ampoule</v>
      </c>
      <c r="K153" s="8" t="n">
        <f aca="false">IF($O153="","",IF(INDEX(Scoring!$D$29:$D$361,MATCH($O153,Scoring!$AB$29:$AB$361,0))="",INDEX(Scoring!$AF$29:$AF$361,MATCH($O153,Scoring!$AB$29:$AB$361,0)),INDEX(Scoring!$D$29:$D$361,MATCH($O153,Scoring!$AB$29:$AB$361,0))))</f>
        <v>5.32</v>
      </c>
      <c r="L153" s="9" t="n">
        <f aca="false">IF($O153="","",INDEX(Scoring!$M$29:$M$361,MATCH($O153,Scoring!$AB$29:$AB$361,0)))</f>
        <v>963</v>
      </c>
      <c r="M153" s="9" t="n">
        <f aca="false">IF($O153="","",INDEX(Scoring!$F$29:$F$361,MATCH($O153,Scoring!$AB$29:$AB$361,0)))</f>
        <v>17590.5</v>
      </c>
      <c r="N153" s="7" t="str">
        <f aca="false">IF($O153="","",INDEX(Scoring!$AI$29:$AI$361,MATCH($O153,Scoring!$AB$29:$AB$361,0)))</f>
        <v>UK-NI</v>
      </c>
      <c r="O153" s="10" t="n">
        <f aca="false">IFERROR(SMALL(Scoring!$AB$29:$AB$361,149),"")</f>
        <v>14002</v>
      </c>
    </row>
    <row r="154" customFormat="false" ht="28.35" hidden="false" customHeight="false" outlineLevel="0" collapsed="false">
      <c r="A154" s="5" t="n">
        <f aca="false">IF($O154="","",INT($O154/1000))</f>
        <v>14</v>
      </c>
      <c r="B154" s="6" t="str">
        <f aca="false">IF($O154="","",INDEX(Scoring!$A$29:$A$361,MATCH($O154,Scoring!$AB$29:$AB$361,0)))</f>
        <v>Wockhardt</v>
      </c>
      <c r="C154" s="5" t="n">
        <f aca="false">IF($O154="","",IF(INDEX(Scoring!$P$29:$P$361,MATCH($O154,Scoring!$AB$29:$AB$361,0))="","–",INDEX(Scoring!$P$29:$P$361,MATCH($O154,Scoring!$AB$29:$AB$361,0))))</f>
        <v>3</v>
      </c>
      <c r="D154" s="6" t="str">
        <f aca="false">IF($O154="","",INDEX(Scoring!$Q$29:$Q$361,MATCH($O154,Scoring!$AB$29:$AB$361,0)))</f>
        <v>Priority 2</v>
      </c>
      <c r="E154" s="7" t="str">
        <f aca="false">IF($O154="","",INDEX(Scoring!$AJ$29:$AJ$361,MATCH($O154,Scoring!$AB$29:$AB$361,0)))</f>
        <v>Lower price · high volume</v>
      </c>
      <c r="F154" s="6" t="str">
        <f aca="false">IF($O154="","",INDEX(Scoring!$B$29:$B$361,MATCH($O154,Scoring!$AB$29:$AB$361,0)))</f>
        <v>Ceftazidime</v>
      </c>
      <c r="G154" s="7" t="str">
        <f aca="false">IF($O154="","",INDEX(Scoring!$AG$29:$AG$361,MATCH($O154,Scoring!$AB$29:$AB$361,0)))</f>
        <v>Ceftazidime</v>
      </c>
      <c r="H154" s="7" t="str">
        <f aca="false">IF($O154="","",INDEX(Scoring!$C$29:$C$361,MATCH($O154,Scoring!$AB$29:$AB$361,0)))</f>
        <v>Anti-infective: Pseudomonas and other hospital Gram-negative infections</v>
      </c>
      <c r="I154" s="6" t="str">
        <f aca="false">IF($O154="","",INDEX(Scoring!$I$29:$I$361,MATCH($O154,Scoring!$AB$29:$AB$361,0)))</f>
        <v>Vial</v>
      </c>
      <c r="J154" s="7" t="str">
        <f aca="false">IF($O154="","",INDEX(Scoring!$Z$29:$Z$361,MATCH($O154,Scoring!$AB$29:$AB$361,0)))</f>
        <v>2 g powder vial</v>
      </c>
      <c r="K154" s="8" t="n">
        <f aca="false">IF($O154="","",IF(INDEX(Scoring!$D$29:$D$361,MATCH($O154,Scoring!$AB$29:$AB$361,0))="",INDEX(Scoring!$AF$29:$AF$361,MATCH($O154,Scoring!$AB$29:$AB$361,0)),INDEX(Scoring!$D$29:$D$361,MATCH($O154,Scoring!$AB$29:$AB$361,0))))</f>
        <v>20.27</v>
      </c>
      <c r="L154" s="9" t="n">
        <f aca="false">IF($O154="","",INDEX(Scoring!$M$29:$M$361,MATCH($O154,Scoring!$AB$29:$AB$361,0)))</f>
        <v>335</v>
      </c>
      <c r="M154" s="9" t="n">
        <f aca="false">IF($O154="","",INDEX(Scoring!$F$29:$F$361,MATCH($O154,Scoring!$AB$29:$AB$361,0)))</f>
        <v>5713.6</v>
      </c>
      <c r="N154" s="7" t="str">
        <f aca="false">IF($O154="","",INDEX(Scoring!$AI$29:$AI$361,MATCH($O154,Scoring!$AB$29:$AB$361,0)))</f>
        <v>UK, UK-NI | EU/EEA (2): Ireland, Malta</v>
      </c>
      <c r="O154" s="10" t="n">
        <f aca="false">IFERROR(SMALL(Scoring!$AB$29:$AB$361,150),"")</f>
        <v>14003</v>
      </c>
    </row>
    <row r="155" customFormat="false" ht="28.35" hidden="false" customHeight="false" outlineLevel="0" collapsed="false">
      <c r="A155" s="5" t="n">
        <f aca="false">IF($O155="","",INT($O155/1000))</f>
        <v>14</v>
      </c>
      <c r="B155" s="6" t="str">
        <f aca="false">IF($O155="","",INDEX(Scoring!$A$29:$A$361,MATCH($O155,Scoring!$AB$29:$AB$361,0)))</f>
        <v>Wockhardt</v>
      </c>
      <c r="C155" s="5" t="n">
        <f aca="false">IF($O155="","",IF(INDEX(Scoring!$P$29:$P$361,MATCH($O155,Scoring!$AB$29:$AB$361,0))="","–",INDEX(Scoring!$P$29:$P$361,MATCH($O155,Scoring!$AB$29:$AB$361,0))))</f>
        <v>4</v>
      </c>
      <c r="D155" s="6" t="str">
        <f aca="false">IF($O155="","",INDEX(Scoring!$Q$29:$Q$361,MATCH($O155,Scoring!$AB$29:$AB$361,0)))</f>
        <v>Priority 2</v>
      </c>
      <c r="E155" s="7" t="str">
        <f aca="false">IF($O155="","",INDEX(Scoring!$AJ$29:$AJ$361,MATCH($O155,Scoring!$AB$29:$AB$361,0)))</f>
        <v>Lower price · high volume</v>
      </c>
      <c r="F155" s="6" t="str">
        <f aca="false">IF($O155="","",INDEX(Scoring!$B$29:$B$361,MATCH($O155,Scoring!$AB$29:$AB$361,0)))</f>
        <v>Haloperidol</v>
      </c>
      <c r="G155" s="7" t="str">
        <f aca="false">IF($O155="","",INDEX(Scoring!$AG$29:$AG$361,MATCH($O155,Scoring!$AB$29:$AB$361,0)))</f>
        <v>Haloperidol</v>
      </c>
      <c r="H155" s="7" t="str">
        <f aca="false">IF($O155="","",INDEX(Scoring!$C$29:$C$361,MATCH($O155,Scoring!$AB$29:$AB$361,0)))</f>
        <v>Psychiatry: acute agitation, psychosis, delirium</v>
      </c>
      <c r="I155" s="6" t="str">
        <f aca="false">IF($O155="","",INDEX(Scoring!$I$29:$I$361,MATCH($O155,Scoring!$AB$29:$AB$361,0)))</f>
        <v>Ampoule</v>
      </c>
      <c r="J155" s="7" t="str">
        <f aca="false">IF($O155="","",INDEX(Scoring!$Z$29:$Z$361,MATCH($O155,Scoring!$AB$29:$AB$361,0)))</f>
        <v>5 mg/1 mL ampoule</v>
      </c>
      <c r="K155" s="8" t="n">
        <f aca="false">IF($O155="","",IF(INDEX(Scoring!$D$29:$D$361,MATCH($O155,Scoring!$AB$29:$AB$361,0))="",INDEX(Scoring!$AF$29:$AF$361,MATCH($O155,Scoring!$AB$29:$AB$361,0)),INDEX(Scoring!$D$29:$D$361,MATCH($O155,Scoring!$AB$29:$AB$361,0))))</f>
        <v>8.98</v>
      </c>
      <c r="L155" s="9" t="n">
        <f aca="false">IF($O155="","",INDEX(Scoring!$M$29:$M$361,MATCH($O155,Scoring!$AB$29:$AB$361,0)))</f>
        <v>273</v>
      </c>
      <c r="M155" s="9" t="n">
        <f aca="false">IF($O155="","",INDEX(Scoring!$F$29:$F$361,MATCH($O155,Scoring!$AB$29:$AB$361,0)))</f>
        <v>4492.8</v>
      </c>
      <c r="N155" s="7" t="str">
        <f aca="false">IF($O155="","",INDEX(Scoring!$AI$29:$AI$361,MATCH($O155,Scoring!$AB$29:$AB$361,0)))</f>
        <v>UK, UK-NI</v>
      </c>
      <c r="O155" s="10" t="n">
        <f aca="false">IFERROR(SMALL(Scoring!$AB$29:$AB$361,151),"")</f>
        <v>14004</v>
      </c>
    </row>
    <row r="156" customFormat="false" ht="28.35" hidden="false" customHeight="false" outlineLevel="0" collapsed="false">
      <c r="A156" s="5" t="n">
        <f aca="false">IF($O156="","",INT($O156/1000))</f>
        <v>14</v>
      </c>
      <c r="B156" s="6" t="str">
        <f aca="false">IF($O156="","",INDEX(Scoring!$A$29:$A$361,MATCH($O156,Scoring!$AB$29:$AB$361,0)))</f>
        <v>Wockhardt</v>
      </c>
      <c r="C156" s="5" t="n">
        <f aca="false">IF($O156="","",IF(INDEX(Scoring!$P$29:$P$361,MATCH($O156,Scoring!$AB$29:$AB$361,0))="","–",INDEX(Scoring!$P$29:$P$361,MATCH($O156,Scoring!$AB$29:$AB$361,0))))</f>
        <v>5</v>
      </c>
      <c r="D156" s="6" t="str">
        <f aca="false">IF($O156="","",INDEX(Scoring!$Q$29:$Q$361,MATCH($O156,Scoring!$AB$29:$AB$361,0)))</f>
        <v>Priority 2</v>
      </c>
      <c r="E156" s="7" t="str">
        <f aca="false">IF($O156="","",INDEX(Scoring!$AJ$29:$AJ$361,MATCH($O156,Scoring!$AB$29:$AB$361,0)))</f>
        <v>High price · lower volume</v>
      </c>
      <c r="F156" s="6" t="str">
        <f aca="false">IF($O156="","",INDEX(Scoring!$B$29:$B$361,MATCH($O156,Scoring!$AB$29:$AB$361,0)))</f>
        <v>Hyaluronidase</v>
      </c>
      <c r="G156" s="7" t="str">
        <f aca="false">IF($O156="","",INDEX(Scoring!$AG$29:$AG$361,MATCH($O156,Scoring!$AB$29:$AB$361,0)))</f>
        <v>Hyalase</v>
      </c>
      <c r="H156" s="7" t="str">
        <f aca="false">IF($O156="","",INDEX(Scoring!$C$29:$C$361,MATCH($O156,Scoring!$AB$29:$AB$361,0)))</f>
        <v>Anaesthesia: improves spread of injected drugs and fluids</v>
      </c>
      <c r="I156" s="6" t="str">
        <f aca="false">IF($O156="","",INDEX(Scoring!$I$29:$I$361,MATCH($O156,Scoring!$AB$29:$AB$361,0)))</f>
        <v>Ampoule</v>
      </c>
      <c r="J156" s="7" t="str">
        <f aca="false">IF($O156="","",INDEX(Scoring!$Z$29:$Z$361,MATCH($O156,Scoring!$AB$29:$AB$361,0)))</f>
        <v>1500 IU powder ampoule</v>
      </c>
      <c r="K156" s="8" t="n">
        <f aca="false">IF($O156="","",IF(INDEX(Scoring!$D$29:$D$361,MATCH($O156,Scoring!$AB$29:$AB$361,0))="",INDEX(Scoring!$AF$29:$AF$361,MATCH($O156,Scoring!$AB$29:$AB$361,0)),INDEX(Scoring!$D$29:$D$361,MATCH($O156,Scoring!$AB$29:$AB$361,0))))</f>
        <v>59.12</v>
      </c>
      <c r="L156" s="9" t="n">
        <f aca="false">IF($O156="","",INDEX(Scoring!$M$29:$M$361,MATCH($O156,Scoring!$AB$29:$AB$361,0)))</f>
        <v>106</v>
      </c>
      <c r="M156" s="9" t="n">
        <f aca="false">IF($O156="","",INDEX(Scoring!$F$29:$F$361,MATCH($O156,Scoring!$AB$29:$AB$361,0)))</f>
        <v>175.1</v>
      </c>
      <c r="N156" s="7" t="str">
        <f aca="false">IF($O156="","",INDEX(Scoring!$AI$29:$AI$361,MATCH($O156,Scoring!$AB$29:$AB$361,0)))</f>
        <v>UK-NI | EU/EEA (2): Ireland, Malta</v>
      </c>
      <c r="O156" s="10" t="n">
        <f aca="false">IFERROR(SMALL(Scoring!$AB$29:$AB$361,152),"")</f>
        <v>14005</v>
      </c>
    </row>
    <row r="157" customFormat="false" ht="28.35" hidden="false" customHeight="false" outlineLevel="0" collapsed="false">
      <c r="A157" s="5" t="n">
        <f aca="false">IF($O157="","",INT($O157/1000))</f>
        <v>14</v>
      </c>
      <c r="B157" s="6" t="str">
        <f aca="false">IF($O157="","",INDEX(Scoring!$A$29:$A$361,MATCH($O157,Scoring!$AB$29:$AB$361,0)))</f>
        <v>Wockhardt</v>
      </c>
      <c r="C157" s="5" t="n">
        <f aca="false">IF($O157="","",IF(INDEX(Scoring!$P$29:$P$361,MATCH($O157,Scoring!$AB$29:$AB$361,0))="","–",INDEX(Scoring!$P$29:$P$361,MATCH($O157,Scoring!$AB$29:$AB$361,0))))</f>
        <v>6</v>
      </c>
      <c r="D157" s="6" t="str">
        <f aca="false">IF($O157="","",INDEX(Scoring!$Q$29:$Q$361,MATCH($O157,Scoring!$AB$29:$AB$361,0)))</f>
        <v>Priority 2</v>
      </c>
      <c r="E157" s="7" t="str">
        <f aca="false">IF($O157="","",INDEX(Scoring!$AJ$29:$AJ$361,MATCH($O157,Scoring!$AB$29:$AB$361,0)))</f>
        <v>High price · lower volume</v>
      </c>
      <c r="F157" s="6" t="str">
        <f aca="false">IF($O157="","",INDEX(Scoring!$B$29:$B$361,MATCH($O157,Scoring!$AB$29:$AB$361,0)))</f>
        <v>Hyoscine Hydrobromide</v>
      </c>
      <c r="G157" s="7" t="str">
        <f aca="false">IF($O157="","",INDEX(Scoring!$AG$29:$AG$361,MATCH($O157,Scoring!$AB$29:$AB$361,0)))</f>
        <v>Hyoscine Hydrobromide</v>
      </c>
      <c r="H157" s="7" t="str">
        <f aca="false">IF($O157="","",INDEX(Scoring!$C$29:$C$361,MATCH($O157,Scoring!$AB$29:$AB$361,0)))</f>
        <v>Palliative care and anaesthesia: reduces secretions, nausea</v>
      </c>
      <c r="I157" s="6" t="str">
        <f aca="false">IF($O157="","",INDEX(Scoring!$I$29:$I$361,MATCH($O157,Scoring!$AB$29:$AB$361,0)))</f>
        <v>Ampoule</v>
      </c>
      <c r="J157" s="7" t="str">
        <f aca="false">IF($O157="","",INDEX(Scoring!$Z$29:$Z$361,MATCH($O157,Scoring!$AB$29:$AB$361,0)))</f>
        <v>600 mcg/1 mL ampoule</v>
      </c>
      <c r="K157" s="8" t="n">
        <f aca="false">IF($O157="","",IF(INDEX(Scoring!$D$29:$D$361,MATCH($O157,Scoring!$AB$29:$AB$361,0))="",INDEX(Scoring!$AF$29:$AF$361,MATCH($O157,Scoring!$AB$29:$AB$361,0)),INDEX(Scoring!$D$29:$D$361,MATCH($O157,Scoring!$AB$29:$AB$361,0))))</f>
        <v>29.63</v>
      </c>
      <c r="L157" s="9" t="n">
        <f aca="false">IF($O157="","",INDEX(Scoring!$M$29:$M$361,MATCH($O157,Scoring!$AB$29:$AB$361,0)))</f>
        <v>23</v>
      </c>
      <c r="M157" s="9" t="n">
        <f aca="false">IF($O157="","",INDEX(Scoring!$F$29:$F$361,MATCH($O157,Scoring!$AB$29:$AB$361,0)))</f>
        <v>19</v>
      </c>
      <c r="N157" s="7" t="str">
        <f aca="false">IF($O157="","",INDEX(Scoring!$AI$29:$AI$361,MATCH($O157,Scoring!$AB$29:$AB$361,0)))</f>
        <v>UK, UK-NI</v>
      </c>
      <c r="O157" s="10" t="n">
        <f aca="false">IFERROR(SMALL(Scoring!$AB$29:$AB$361,153),"")</f>
        <v>14006</v>
      </c>
    </row>
    <row r="158" customFormat="false" ht="28.35" hidden="false" customHeight="false" outlineLevel="0" collapsed="false">
      <c r="A158" s="5" t="n">
        <f aca="false">IF($O158="","",INT($O158/1000))</f>
        <v>14</v>
      </c>
      <c r="B158" s="6" t="str">
        <f aca="false">IF($O158="","",INDEX(Scoring!$A$29:$A$361,MATCH($O158,Scoring!$AB$29:$AB$361,0)))</f>
        <v>Wockhardt</v>
      </c>
      <c r="C158" s="5" t="n">
        <f aca="false">IF($O158="","",IF(INDEX(Scoring!$P$29:$P$361,MATCH($O158,Scoring!$AB$29:$AB$361,0))="","–",INDEX(Scoring!$P$29:$P$361,MATCH($O158,Scoring!$AB$29:$AB$361,0))))</f>
        <v>7</v>
      </c>
      <c r="D158" s="6" t="str">
        <f aca="false">IF($O158="","",INDEX(Scoring!$Q$29:$Q$361,MATCH($O158,Scoring!$AB$29:$AB$361,0)))</f>
        <v>Priority 3</v>
      </c>
      <c r="E158" s="7" t="str">
        <f aca="false">IF($O158="","",INDEX(Scoring!$AJ$29:$AJ$361,MATCH($O158,Scoring!$AB$29:$AB$361,0)))</f>
        <v>Lower price · lower volume</v>
      </c>
      <c r="F158" s="6" t="str">
        <f aca="false">IF($O158="","",INDEX(Scoring!$B$29:$B$361,MATCH($O158,Scoring!$AB$29:$AB$361,0)))</f>
        <v>Morphine</v>
      </c>
      <c r="G158" s="7" t="str">
        <f aca="false">IF($O158="","",INDEX(Scoring!$AG$29:$AG$361,MATCH($O158,Scoring!$AB$29:$AB$361,0)))</f>
        <v>Morphine Sulfate</v>
      </c>
      <c r="H158" s="7" t="str">
        <f aca="false">IF($O158="","",INDEX(Scoring!$C$29:$C$361,MATCH($O158,Scoring!$AB$29:$AB$361,0)))</f>
        <v>Pain management: severe acute and palliative pain</v>
      </c>
      <c r="I158" s="6" t="str">
        <f aca="false">IF($O158="","",INDEX(Scoring!$I$29:$I$361,MATCH($O158,Scoring!$AB$29:$AB$361,0)))</f>
        <v>Ampoule</v>
      </c>
      <c r="J158" s="7" t="str">
        <f aca="false">IF($O158="","",INDEX(Scoring!$Z$29:$Z$361,MATCH($O158,Scoring!$AB$29:$AB$361,0)))</f>
        <v>30 mg/1 mL ampoule</v>
      </c>
      <c r="K158" s="8" t="n">
        <f aca="false">IF($O158="","",IF(INDEX(Scoring!$D$29:$D$361,MATCH($O158,Scoring!$AB$29:$AB$361,0))="",INDEX(Scoring!$AF$29:$AF$361,MATCH($O158,Scoring!$AB$29:$AB$361,0)),INDEX(Scoring!$D$29:$D$361,MATCH($O158,Scoring!$AB$29:$AB$361,0))))</f>
        <v>6.4</v>
      </c>
      <c r="L158" s="9" t="n">
        <f aca="false">IF($O158="","",INDEX(Scoring!$M$29:$M$361,MATCH($O158,Scoring!$AB$29:$AB$361,0)))</f>
        <v>62</v>
      </c>
      <c r="M158" s="9" t="n">
        <f aca="false">IF($O158="","",INDEX(Scoring!$F$29:$F$361,MATCH($O158,Scoring!$AB$29:$AB$361,0)))</f>
        <v>1768.8</v>
      </c>
      <c r="N158" s="7" t="str">
        <f aca="false">IF($O158="","",INDEX(Scoring!$AI$29:$AI$361,MATCH($O158,Scoring!$AB$29:$AB$361,0)))</f>
        <v>UK, UK-NI</v>
      </c>
      <c r="O158" s="10" t="n">
        <f aca="false">IFERROR(SMALL(Scoring!$AB$29:$AB$361,154),"")</f>
        <v>14007</v>
      </c>
    </row>
    <row r="159" customFormat="false" ht="28.35" hidden="false" customHeight="false" outlineLevel="0" collapsed="false">
      <c r="A159" s="5" t="n">
        <f aca="false">IF($O159="","",INT($O159/1000))</f>
        <v>14</v>
      </c>
      <c r="B159" s="6" t="str">
        <f aca="false">IF($O159="","",INDEX(Scoring!$A$29:$A$361,MATCH($O159,Scoring!$AB$29:$AB$361,0)))</f>
        <v>Wockhardt</v>
      </c>
      <c r="C159" s="5" t="n">
        <f aca="false">IF($O159="","",IF(INDEX(Scoring!$P$29:$P$361,MATCH($O159,Scoring!$AB$29:$AB$361,0))="","–",INDEX(Scoring!$P$29:$P$361,MATCH($O159,Scoring!$AB$29:$AB$361,0))))</f>
        <v>8</v>
      </c>
      <c r="D159" s="6" t="str">
        <f aca="false">IF($O159="","",INDEX(Scoring!$Q$29:$Q$361,MATCH($O159,Scoring!$AB$29:$AB$361,0)))</f>
        <v>Priority 3</v>
      </c>
      <c r="E159" s="7" t="str">
        <f aca="false">IF($O159="","",INDEX(Scoring!$AJ$29:$AJ$361,MATCH($O159,Scoring!$AB$29:$AB$361,0)))</f>
        <v>Lower price · lower volume</v>
      </c>
      <c r="F159" s="6" t="str">
        <f aca="false">IF($O159="","",INDEX(Scoring!$B$29:$B$361,MATCH($O159,Scoring!$AB$29:$AB$361,0)))</f>
        <v>Oxacillin</v>
      </c>
      <c r="G159" s="7" t="str">
        <f aca="false">IF($O159="","",INDEX(Scoring!$AG$29:$AG$361,MATCH($O159,Scoring!$AB$29:$AB$361,0)))</f>
        <v>Oxacillin Sodium</v>
      </c>
      <c r="H159" s="7" t="str">
        <f aca="false">IF($O159="","",INDEX(Scoring!$C$29:$C$361,MATCH($O159,Scoring!$AB$29:$AB$361,0)))</f>
        <v>Anti-infective: staphylococcal infections</v>
      </c>
      <c r="I159" s="6" t="str">
        <f aca="false">IF($O159="","",INDEX(Scoring!$I$29:$I$361,MATCH($O159,Scoring!$AB$29:$AB$361,0)))</f>
        <v>Vial</v>
      </c>
      <c r="J159" s="7" t="str">
        <f aca="false">IF($O159="","",INDEX(Scoring!$Z$29:$Z$361,MATCH($O159,Scoring!$AB$29:$AB$361,0)))</f>
        <v>1 g powder vial; 2 g powder vial</v>
      </c>
      <c r="K159" s="8" t="n">
        <f aca="false">IF($O159="","",IF(INDEX(Scoring!$D$29:$D$361,MATCH($O159,Scoring!$AB$29:$AB$361,0))="",INDEX(Scoring!$AF$29:$AF$361,MATCH($O159,Scoring!$AB$29:$AB$361,0)),INDEX(Scoring!$D$29:$D$361,MATCH($O159,Scoring!$AB$29:$AB$361,0))))</f>
        <v>10.93</v>
      </c>
      <c r="L159" s="9" t="n">
        <f aca="false">IF($O159="","",INDEX(Scoring!$M$29:$M$361,MATCH($O159,Scoring!$AB$29:$AB$361,0)))</f>
        <v>9</v>
      </c>
      <c r="M159" s="9" t="n">
        <f aca="false">IF($O159="","",INDEX(Scoring!$F$29:$F$361,MATCH($O159,Scoring!$AB$29:$AB$361,0)))</f>
        <v>260.9</v>
      </c>
      <c r="N159" s="7" t="str">
        <f aca="false">IF($O159="","",INDEX(Scoring!$AI$29:$AI$361,MATCH($O159,Scoring!$AB$29:$AB$361,0)))</f>
        <v>US</v>
      </c>
      <c r="O159" s="10" t="n">
        <f aca="false">IFERROR(SMALL(Scoring!$AB$29:$AB$361,155),"")</f>
        <v>14008</v>
      </c>
    </row>
    <row r="160" customFormat="false" ht="28.35" hidden="false" customHeight="false" outlineLevel="0" collapsed="false">
      <c r="A160" s="5" t="n">
        <f aca="false">IF($O160="","",INT($O160/1000))</f>
        <v>14</v>
      </c>
      <c r="B160" s="6" t="str">
        <f aca="false">IF($O160="","",INDEX(Scoring!$A$29:$A$361,MATCH($O160,Scoring!$AB$29:$AB$361,0)))</f>
        <v>Wockhardt</v>
      </c>
      <c r="C160" s="5" t="n">
        <f aca="false">IF($O160="","",IF(INDEX(Scoring!$P$29:$P$361,MATCH($O160,Scoring!$AB$29:$AB$361,0))="","–",INDEX(Scoring!$P$29:$P$361,MATCH($O160,Scoring!$AB$29:$AB$361,0))))</f>
        <v>9</v>
      </c>
      <c r="D160" s="6" t="str">
        <f aca="false">IF($O160="","",INDEX(Scoring!$Q$29:$Q$361,MATCH($O160,Scoring!$AB$29:$AB$361,0)))</f>
        <v>Priority 3</v>
      </c>
      <c r="E160" s="7" t="str">
        <f aca="false">IF($O160="","",INDEX(Scoring!$AJ$29:$AJ$361,MATCH($O160,Scoring!$AB$29:$AB$361,0)))</f>
        <v>Lower price · lower volume</v>
      </c>
      <c r="F160" s="6" t="str">
        <f aca="false">IF($O160="","",INDEX(Scoring!$B$29:$B$361,MATCH($O160,Scoring!$AB$29:$AB$361,0)))</f>
        <v>Chlorphenamine</v>
      </c>
      <c r="G160" s="7" t="str">
        <f aca="false">IF($O160="","",INDEX(Scoring!$AG$29:$AG$361,MATCH($O160,Scoring!$AB$29:$AB$361,0)))</f>
        <v>Chlorphenamine</v>
      </c>
      <c r="H160" s="7" t="str">
        <f aca="false">IF($O160="","",INDEX(Scoring!$C$29:$C$361,MATCH($O160,Scoring!$AB$29:$AB$361,0)))</f>
        <v>Allergy: anaphylaxis support, acute allergic reactions</v>
      </c>
      <c r="I160" s="6" t="str">
        <f aca="false">IF($O160="","",INDEX(Scoring!$I$29:$I$361,MATCH($O160,Scoring!$AB$29:$AB$361,0)))</f>
        <v>Ampoule</v>
      </c>
      <c r="J160" s="7" t="str">
        <f aca="false">IF($O160="","",INDEX(Scoring!$Z$29:$Z$361,MATCH($O160,Scoring!$AB$29:$AB$361,0)))</f>
        <v>10 mg/1 mL ampoule</v>
      </c>
      <c r="K160" s="8" t="n">
        <f aca="false">IF($O160="","",IF(INDEX(Scoring!$D$29:$D$361,MATCH($O160,Scoring!$AB$29:$AB$361,0))="",INDEX(Scoring!$AF$29:$AF$361,MATCH($O160,Scoring!$AB$29:$AB$361,0)),INDEX(Scoring!$D$29:$D$361,MATCH($O160,Scoring!$AB$29:$AB$361,0))))</f>
        <v>6.74</v>
      </c>
      <c r="L160" s="9" t="n">
        <f aca="false">IF($O160="","",INDEX(Scoring!$M$29:$M$361,MATCH($O160,Scoring!$AB$29:$AB$361,0)))</f>
        <v>9</v>
      </c>
      <c r="M160" s="9" t="n">
        <f aca="false">IF($O160="","",INDEX(Scoring!$F$29:$F$361,MATCH($O160,Scoring!$AB$29:$AB$361,0)))</f>
        <v>154.9</v>
      </c>
      <c r="N160" s="7" t="str">
        <f aca="false">IF($O160="","",INDEX(Scoring!$AI$29:$AI$361,MATCH($O160,Scoring!$AB$29:$AB$361,0)))</f>
        <v>UK, UK-NI</v>
      </c>
      <c r="O160" s="10" t="n">
        <f aca="false">IFERROR(SMALL(Scoring!$AB$29:$AB$361,156),"")</f>
        <v>14009</v>
      </c>
    </row>
    <row r="161" customFormat="false" ht="28.35" hidden="false" customHeight="false" outlineLevel="0" collapsed="false">
      <c r="A161" s="5" t="n">
        <f aca="false">IF($O161="","",INT($O161/1000))</f>
        <v>14</v>
      </c>
      <c r="B161" s="6" t="str">
        <f aca="false">IF($O161="","",INDEX(Scoring!$A$29:$A$361,MATCH($O161,Scoring!$AB$29:$AB$361,0)))</f>
        <v>Wockhardt</v>
      </c>
      <c r="C161" s="5" t="str">
        <f aca="false">IF($O161="","",IF(INDEX(Scoring!$P$29:$P$361,MATCH($O161,Scoring!$AB$29:$AB$361,0))="","–",INDEX(Scoring!$P$29:$P$361,MATCH($O161,Scoring!$AB$29:$AB$361,0))))</f>
        <v>–</v>
      </c>
      <c r="D161" s="6" t="str">
        <f aca="false">IF($O161="","",INDEX(Scoring!$Q$29:$Q$361,MATCH($O161,Scoring!$AB$29:$AB$361,0)))</f>
        <v>Excluded – price ≤ $5</v>
      </c>
      <c r="E161" s="7" t="str">
        <f aca="false">IF($O161="","",INDEX(Scoring!$AJ$29:$AJ$361,MATCH($O161,Scoring!$AB$29:$AB$361,0)))</f>
        <v/>
      </c>
      <c r="F161" s="6" t="str">
        <f aca="false">IF($O161="","",INDEX(Scoring!$B$29:$B$361,MATCH($O161,Scoring!$AB$29:$AB$361,0)))</f>
        <v>Amikacin</v>
      </c>
      <c r="G161" s="7" t="str">
        <f aca="false">IF($O161="","",INDEX(Scoring!$AG$29:$AG$361,MATCH($O161,Scoring!$AB$29:$AB$361,0)))</f>
        <v>Amikacin Wockhardt</v>
      </c>
      <c r="H161" s="7" t="str">
        <f aca="false">IF($O161="","",INDEX(Scoring!$C$29:$C$361,MATCH($O161,Scoring!$AB$29:$AB$361,0)))</f>
        <v>Anti-infective: serious and drug-resistant Gram-negative infections, resistant TB</v>
      </c>
      <c r="I161" s="6" t="str">
        <f aca="false">IF($O161="","",INDEX(Scoring!$I$29:$I$361,MATCH($O161,Scoring!$AB$29:$AB$361,0)))</f>
        <v>Vial</v>
      </c>
      <c r="J161" s="7" t="str">
        <f aca="false">IF($O161="","",INDEX(Scoring!$Z$29:$Z$361,MATCH($O161,Scoring!$AB$29:$AB$361,0)))</f>
        <v>500 mg/2 mL vial</v>
      </c>
      <c r="K161" s="8" t="n">
        <f aca="false">IF($O161="","",IF(INDEX(Scoring!$D$29:$D$361,MATCH($O161,Scoring!$AB$29:$AB$361,0))="",INDEX(Scoring!$AF$29:$AF$361,MATCH($O161,Scoring!$AB$29:$AB$361,0)),INDEX(Scoring!$D$29:$D$361,MATCH($O161,Scoring!$AB$29:$AB$361,0))))</f>
        <v>3.06</v>
      </c>
      <c r="L161" s="9" t="n">
        <f aca="false">IF($O161="","",INDEX(Scoring!$M$29:$M$361,MATCH($O161,Scoring!$AB$29:$AB$361,0)))</f>
        <v>657</v>
      </c>
      <c r="M161" s="9" t="n">
        <f aca="false">IF($O161="","",INDEX(Scoring!$F$29:$F$361,MATCH($O161,Scoring!$AB$29:$AB$361,0)))</f>
        <v>8433.6</v>
      </c>
      <c r="N161" s="7" t="str">
        <f aca="false">IF($O161="","",INDEX(Scoring!$AI$29:$AI$361,MATCH($O161,Scoring!$AB$29:$AB$361,0)))</f>
        <v>Australia</v>
      </c>
      <c r="O161" s="10" t="n">
        <f aca="false">IFERROR(SMALL(Scoring!$AB$29:$AB$361,157),"")</f>
        <v>14901</v>
      </c>
    </row>
    <row r="162" customFormat="false" ht="28.35" hidden="false" customHeight="false" outlineLevel="0" collapsed="false">
      <c r="A162" s="5" t="n">
        <f aca="false">IF($O162="","",INT($O162/1000))</f>
        <v>15</v>
      </c>
      <c r="B162" s="6" t="str">
        <f aca="false">IF($O162="","",INDEX(Scoring!$A$29:$A$361,MATCH($O162,Scoring!$AB$29:$AB$361,0)))</f>
        <v>Lupin</v>
      </c>
      <c r="C162" s="5" t="n">
        <f aca="false">IF($O162="","",IF(INDEX(Scoring!$P$29:$P$361,MATCH($O162,Scoring!$AB$29:$AB$361,0))="","–",INDEX(Scoring!$P$29:$P$361,MATCH($O162,Scoring!$AB$29:$AB$361,0))))</f>
        <v>1</v>
      </c>
      <c r="D162" s="6" t="str">
        <f aca="false">IF($O162="","",INDEX(Scoring!$Q$29:$Q$361,MATCH($O162,Scoring!$AB$29:$AB$361,0)))</f>
        <v>Priority 2</v>
      </c>
      <c r="E162" s="7" t="str">
        <f aca="false">IF($O162="","",INDEX(Scoring!$AJ$29:$AJ$361,MATCH($O162,Scoring!$AB$29:$AB$361,0)))</f>
        <v>Lower price · high volume</v>
      </c>
      <c r="F162" s="6" t="str">
        <f aca="false">IF($O162="","",INDEX(Scoring!$B$29:$B$361,MATCH($O162,Scoring!$AB$29:$AB$361,0)))</f>
        <v>Ertapenem</v>
      </c>
      <c r="G162" s="7" t="str">
        <f aca="false">IF($O162="","",INDEX(Scoring!$AG$29:$AG$361,MATCH($O162,Scoring!$AB$29:$AB$361,0)))</f>
        <v>Invabex</v>
      </c>
      <c r="H162" s="7" t="str">
        <f aca="false">IF($O162="","",INDEX(Scoring!$C$29:$C$361,MATCH($O162,Scoring!$AB$29:$AB$361,0)))</f>
        <v>Anti-infective: abdominal, skin and urinary infections, pneumonia</v>
      </c>
      <c r="I162" s="6" t="str">
        <f aca="false">IF($O162="","",INDEX(Scoring!$I$29:$I$361,MATCH($O162,Scoring!$AB$29:$AB$361,0)))</f>
        <v>Vial</v>
      </c>
      <c r="J162" s="7" t="str">
        <f aca="false">IF($O162="","",INDEX(Scoring!$Z$29:$Z$361,MATCH($O162,Scoring!$AB$29:$AB$361,0)))</f>
        <v>1 g in 20 mL powder vial</v>
      </c>
      <c r="K162" s="8" t="n">
        <f aca="false">IF($O162="","",IF(INDEX(Scoring!$D$29:$D$361,MATCH($O162,Scoring!$AB$29:$AB$361,0))="",INDEX(Scoring!$AF$29:$AF$361,MATCH($O162,Scoring!$AB$29:$AB$361,0)),INDEX(Scoring!$D$29:$D$361,MATCH($O162,Scoring!$AB$29:$AB$361,0))))</f>
        <v>21.3</v>
      </c>
      <c r="L162" s="9" t="n">
        <f aca="false">IF($O162="","",INDEX(Scoring!$M$29:$M$361,MATCH($O162,Scoring!$AB$29:$AB$361,0)))</f>
        <v>223</v>
      </c>
      <c r="M162" s="9" t="n">
        <f aca="false">IF($O162="","",INDEX(Scoring!$F$29:$F$361,MATCH($O162,Scoring!$AB$29:$AB$361,0)))</f>
        <v>53539.9</v>
      </c>
      <c r="N162" s="7" t="str">
        <f aca="false">IF($O162="","",INDEX(Scoring!$AI$29:$AI$361,MATCH($O162,Scoring!$AB$29:$AB$361,0)))</f>
        <v>South Africa</v>
      </c>
      <c r="O162" s="10" t="n">
        <f aca="false">IFERROR(SMALL(Scoring!$AB$29:$AB$361,158),"")</f>
        <v>15001</v>
      </c>
    </row>
    <row r="163" customFormat="false" ht="28.35" hidden="false" customHeight="false" outlineLevel="0" collapsed="false">
      <c r="A163" s="5" t="n">
        <f aca="false">IF($O163="","",INT($O163/1000))</f>
        <v>15</v>
      </c>
      <c r="B163" s="6" t="str">
        <f aca="false">IF($O163="","",INDEX(Scoring!$A$29:$A$361,MATCH($O163,Scoring!$AB$29:$AB$361,0)))</f>
        <v>Lupin</v>
      </c>
      <c r="C163" s="5" t="n">
        <f aca="false">IF($O163="","",IF(INDEX(Scoring!$P$29:$P$361,MATCH($O163,Scoring!$AB$29:$AB$361,0))="","–",INDEX(Scoring!$P$29:$P$361,MATCH($O163,Scoring!$AB$29:$AB$361,0))))</f>
        <v>2</v>
      </c>
      <c r="D163" s="6" t="str">
        <f aca="false">IF($O163="","",INDEX(Scoring!$Q$29:$Q$361,MATCH($O163,Scoring!$AB$29:$AB$361,0)))</f>
        <v>Priority 2</v>
      </c>
      <c r="E163" s="7" t="str">
        <f aca="false">IF($O163="","",INDEX(Scoring!$AJ$29:$AJ$361,MATCH($O163,Scoring!$AB$29:$AB$361,0)))</f>
        <v>Lower price · high volume</v>
      </c>
      <c r="F163" s="6" t="str">
        <f aca="false">IF($O163="","",INDEX(Scoring!$B$29:$B$361,MATCH($O163,Scoring!$AB$29:$AB$361,0)))</f>
        <v>Oxytocin</v>
      </c>
      <c r="G163" s="7" t="str">
        <f aca="false">IF($O163="","",INDEX(Scoring!$AG$29:$AG$361,MATCH($O163,Scoring!$AB$29:$AB$361,0)))</f>
        <v>Oxytocin GH</v>
      </c>
      <c r="H163" s="7" t="str">
        <f aca="false">IF($O163="","",INDEX(Scoring!$C$29:$C$361,MATCH($O163,Scoring!$AB$29:$AB$361,0)))</f>
        <v>Women's health: labour induction, postpartum haemorrhage</v>
      </c>
      <c r="I163" s="6" t="str">
        <f aca="false">IF($O163="","",INDEX(Scoring!$I$29:$I$361,MATCH($O163,Scoring!$AB$29:$AB$361,0)))</f>
        <v>Ampoule</v>
      </c>
      <c r="J163" s="7" t="str">
        <f aca="false">IF($O163="","",INDEX(Scoring!$Z$29:$Z$361,MATCH($O163,Scoring!$AB$29:$AB$361,0)))</f>
        <v>10 IU/1 mL ampoule</v>
      </c>
      <c r="K163" s="8" t="n">
        <f aca="false">IF($O163="","",IF(INDEX(Scoring!$D$29:$D$361,MATCH($O163,Scoring!$AB$29:$AB$361,0))="",INDEX(Scoring!$AF$29:$AF$361,MATCH($O163,Scoring!$AB$29:$AB$361,0)),INDEX(Scoring!$D$29:$D$361,MATCH($O163,Scoring!$AB$29:$AB$361,0))))</f>
        <v>8.11</v>
      </c>
      <c r="L163" s="9" t="n">
        <f aca="false">IF($O163="","",INDEX(Scoring!$M$29:$M$361,MATCH($O163,Scoring!$AB$29:$AB$361,0)))</f>
        <v>304</v>
      </c>
      <c r="M163" s="9" t="n">
        <f aca="false">IF($O163="","",INDEX(Scoring!$F$29:$F$361,MATCH($O163,Scoring!$AB$29:$AB$361,0)))</f>
        <v>8224.2</v>
      </c>
      <c r="N163" s="7" t="str">
        <f aca="false">IF($O163="","",INDEX(Scoring!$AI$29:$AI$361,MATCH($O163,Scoring!$AB$29:$AB$361,0)))</f>
        <v>Australia</v>
      </c>
      <c r="O163" s="10" t="n">
        <f aca="false">IFERROR(SMALL(Scoring!$AB$29:$AB$361,159),"")</f>
        <v>15002</v>
      </c>
    </row>
    <row r="164" customFormat="false" ht="28.35" hidden="false" customHeight="false" outlineLevel="0" collapsed="false">
      <c r="A164" s="5" t="n">
        <f aca="false">IF($O164="","",INT($O164/1000))</f>
        <v>15</v>
      </c>
      <c r="B164" s="6" t="str">
        <f aca="false">IF($O164="","",INDEX(Scoring!$A$29:$A$361,MATCH($O164,Scoring!$AB$29:$AB$361,0)))</f>
        <v>Lupin</v>
      </c>
      <c r="C164" s="5" t="n">
        <f aca="false">IF($O164="","",IF(INDEX(Scoring!$P$29:$P$361,MATCH($O164,Scoring!$AB$29:$AB$361,0))="","–",INDEX(Scoring!$P$29:$P$361,MATCH($O164,Scoring!$AB$29:$AB$361,0))))</f>
        <v>3</v>
      </c>
      <c r="D164" s="6" t="str">
        <f aca="false">IF($O164="","",INDEX(Scoring!$Q$29:$Q$361,MATCH($O164,Scoring!$AB$29:$AB$361,0)))</f>
        <v>Priority 2</v>
      </c>
      <c r="E164" s="7" t="str">
        <f aca="false">IF($O164="","",INDEX(Scoring!$AJ$29:$AJ$361,MATCH($O164,Scoring!$AB$29:$AB$361,0)))</f>
        <v>High price · lower volume</v>
      </c>
      <c r="F164" s="6" t="str">
        <f aca="false">IF($O164="","",INDEX(Scoring!$B$29:$B$361,MATCH($O164,Scoring!$AB$29:$AB$361,0)))</f>
        <v>Teicoplanin</v>
      </c>
      <c r="G164" s="7" t="str">
        <f aca="false">IF($O164="","",INDEX(Scoring!$AG$29:$AG$361,MATCH($O164,Scoring!$AB$29:$AB$361,0)))</f>
        <v>Teicoplanin SXP; Dyna Teicoplanin; Teicoplanin PD</v>
      </c>
      <c r="H164" s="7" t="str">
        <f aca="false">IF($O164="","",INDEX(Scoring!$C$29:$C$361,MATCH($O164,Scoring!$AB$29:$AB$361,0)))</f>
        <v>Anti-infective: MRSA and serious Gram-positive infections</v>
      </c>
      <c r="I164" s="6" t="str">
        <f aca="false">IF($O164="","",INDEX(Scoring!$I$29:$I$361,MATCH($O164,Scoring!$AB$29:$AB$361,0)))</f>
        <v>Vial</v>
      </c>
      <c r="J164" s="7" t="str">
        <f aca="false">IF($O164="","",INDEX(Scoring!$Z$29:$Z$361,MATCH($O164,Scoring!$AB$29:$AB$361,0)))</f>
        <v>400 mg powder vial; 200 mg in 20 mL powder vial; 400 mg in 20 mL powder vial</v>
      </c>
      <c r="K164" s="8" t="n">
        <f aca="false">IF($O164="","",IF(INDEX(Scoring!$D$29:$D$361,MATCH($O164,Scoring!$AB$29:$AB$361,0))="",INDEX(Scoring!$AF$29:$AF$361,MATCH($O164,Scoring!$AB$29:$AB$361,0)),INDEX(Scoring!$D$29:$D$361,MATCH($O164,Scoring!$AB$29:$AB$361,0))))</f>
        <v>32.43</v>
      </c>
      <c r="L164" s="9" t="n">
        <f aca="false">IF($O164="","",INDEX(Scoring!$M$29:$M$361,MATCH($O164,Scoring!$AB$29:$AB$361,0)))</f>
        <v>99</v>
      </c>
      <c r="M164" s="9" t="n">
        <f aca="false">IF($O164="","",INDEX(Scoring!$F$29:$F$361,MATCH($O164,Scoring!$AB$29:$AB$361,0)))</f>
        <v>6632.6</v>
      </c>
      <c r="N164" s="7" t="str">
        <f aca="false">IF($O164="","",INDEX(Scoring!$AI$29:$AI$361,MATCH($O164,Scoring!$AB$29:$AB$361,0)))</f>
        <v>Australia, South Africa</v>
      </c>
      <c r="O164" s="10" t="n">
        <f aca="false">IFERROR(SMALL(Scoring!$AB$29:$AB$361,160),"")</f>
        <v>15003</v>
      </c>
    </row>
    <row r="165" customFormat="false" ht="28.35" hidden="false" customHeight="false" outlineLevel="0" collapsed="false">
      <c r="A165" s="5" t="n">
        <f aca="false">IF($O165="","",INT($O165/1000))</f>
        <v>15</v>
      </c>
      <c r="B165" s="6" t="str">
        <f aca="false">IF($O165="","",INDEX(Scoring!$A$29:$A$361,MATCH($O165,Scoring!$AB$29:$AB$361,0)))</f>
        <v>Lupin</v>
      </c>
      <c r="C165" s="5" t="n">
        <f aca="false">IF($O165="","",IF(INDEX(Scoring!$P$29:$P$361,MATCH($O165,Scoring!$AB$29:$AB$361,0))="","–",INDEX(Scoring!$P$29:$P$361,MATCH($O165,Scoring!$AB$29:$AB$361,0))))</f>
        <v>4</v>
      </c>
      <c r="D165" s="6" t="str">
        <f aca="false">IF($O165="","",INDEX(Scoring!$Q$29:$Q$361,MATCH($O165,Scoring!$AB$29:$AB$361,0)))</f>
        <v>Priority 2</v>
      </c>
      <c r="E165" s="7" t="str">
        <f aca="false">IF($O165="","",INDEX(Scoring!$AJ$29:$AJ$361,MATCH($O165,Scoring!$AB$29:$AB$361,0)))</f>
        <v>High price · lower volume</v>
      </c>
      <c r="F165" s="6" t="str">
        <f aca="false">IF($O165="","",INDEX(Scoring!$B$29:$B$361,MATCH($O165,Scoring!$AB$29:$AB$361,0)))</f>
        <v>Testosterone Undecanoate</v>
      </c>
      <c r="G165" s="7" t="str">
        <f aca="false">IF($O165="","",INDEX(Scoring!$AG$29:$AG$361,MATCH($O165,Scoring!$AB$29:$AB$361,0)))</f>
        <v>Testosterone PD</v>
      </c>
      <c r="H165" s="7" t="str">
        <f aca="false">IF($O165="","",INDEX(Scoring!$C$29:$C$361,MATCH($O165,Scoring!$AB$29:$AB$361,0)))</f>
        <v>Endocrinology: long-acting testosterone replacement in male hypogonadism</v>
      </c>
      <c r="I165" s="6" t="str">
        <f aca="false">IF($O165="","",INDEX(Scoring!$I$29:$I$361,MATCH($O165,Scoring!$AB$29:$AB$361,0)))</f>
        <v>Vial</v>
      </c>
      <c r="J165" s="7" t="str">
        <f aca="false">IF($O165="","",INDEX(Scoring!$Z$29:$Z$361,MATCH($O165,Scoring!$AB$29:$AB$361,0)))</f>
        <v>1000 mg/4 mL vial</v>
      </c>
      <c r="K165" s="8" t="n">
        <f aca="false">IF($O165="","",IF(INDEX(Scoring!$D$29:$D$361,MATCH($O165,Scoring!$AB$29:$AB$361,0))="",INDEX(Scoring!$AF$29:$AF$361,MATCH($O165,Scoring!$AB$29:$AB$361,0)),INDEX(Scoring!$D$29:$D$361,MATCH($O165,Scoring!$AB$29:$AB$361,0))))</f>
        <v>125.38</v>
      </c>
      <c r="L165" s="9" t="n">
        <f aca="false">IF($O165="","",INDEX(Scoring!$M$29:$M$361,MATCH($O165,Scoring!$AB$29:$AB$361,0)))</f>
        <v>132</v>
      </c>
      <c r="M165" s="9" t="n">
        <f aca="false">IF($O165="","",INDEX(Scoring!$F$29:$F$361,MATCH($O165,Scoring!$AB$29:$AB$361,0)))</f>
        <v>184.9</v>
      </c>
      <c r="N165" s="7" t="str">
        <f aca="false">IF($O165="","",INDEX(Scoring!$AI$29:$AI$361,MATCH($O165,Scoring!$AB$29:$AB$361,0)))</f>
        <v>South Africa</v>
      </c>
      <c r="O165" s="10" t="n">
        <f aca="false">IFERROR(SMALL(Scoring!$AB$29:$AB$361,161),"")</f>
        <v>15004</v>
      </c>
    </row>
    <row r="166" customFormat="false" ht="28.35" hidden="false" customHeight="false" outlineLevel="0" collapsed="false">
      <c r="A166" s="5" t="n">
        <f aca="false">IF($O166="","",INT($O166/1000))</f>
        <v>15</v>
      </c>
      <c r="B166" s="6" t="str">
        <f aca="false">IF($O166="","",INDEX(Scoring!$A$29:$A$361,MATCH($O166,Scoring!$AB$29:$AB$361,0)))</f>
        <v>Lupin</v>
      </c>
      <c r="C166" s="5" t="n">
        <f aca="false">IF($O166="","",IF(INDEX(Scoring!$P$29:$P$361,MATCH($O166,Scoring!$AB$29:$AB$361,0))="","–",INDEX(Scoring!$P$29:$P$361,MATCH($O166,Scoring!$AB$29:$AB$361,0))))</f>
        <v>5</v>
      </c>
      <c r="D166" s="6" t="str">
        <f aca="false">IF($O166="","",INDEX(Scoring!$Q$29:$Q$361,MATCH($O166,Scoring!$AB$29:$AB$361,0)))</f>
        <v>Priority 3</v>
      </c>
      <c r="E166" s="7" t="str">
        <f aca="false">IF($O166="","",INDEX(Scoring!$AJ$29:$AJ$361,MATCH($O166,Scoring!$AB$29:$AB$361,0)))</f>
        <v>Lower price · lower volume</v>
      </c>
      <c r="F166" s="6" t="str">
        <f aca="false">IF($O166="","",INDEX(Scoring!$B$29:$B$361,MATCH($O166,Scoring!$AB$29:$AB$361,0)))</f>
        <v>Olanzapine</v>
      </c>
      <c r="G166" s="7" t="str">
        <f aca="false">IF($O166="","",INDEX(Scoring!$AG$29:$AG$361,MATCH($O166,Scoring!$AB$29:$AB$361,0)))</f>
        <v>Olanzapine GH IM</v>
      </c>
      <c r="H166" s="7" t="str">
        <f aca="false">IF($O166="","",INDEX(Scoring!$C$29:$C$361,MATCH($O166,Scoring!$AB$29:$AB$361,0)))</f>
        <v>Psychiatry: acute agitation in schizophrenia and bipolar mania</v>
      </c>
      <c r="I166" s="6" t="str">
        <f aca="false">IF($O166="","",INDEX(Scoring!$I$29:$I$361,MATCH($O166,Scoring!$AB$29:$AB$361,0)))</f>
        <v>Vial</v>
      </c>
      <c r="J166" s="7" t="str">
        <f aca="false">IF($O166="","",INDEX(Scoring!$Z$29:$Z$361,MATCH($O166,Scoring!$AB$29:$AB$361,0)))</f>
        <v>10 mg powder vial</v>
      </c>
      <c r="K166" s="8" t="n">
        <f aca="false">IF($O166="","",IF(INDEX(Scoring!$D$29:$D$361,MATCH($O166,Scoring!$AB$29:$AB$361,0))="",INDEX(Scoring!$AF$29:$AF$361,MATCH($O166,Scoring!$AB$29:$AB$361,0)),INDEX(Scoring!$D$29:$D$361,MATCH($O166,Scoring!$AB$29:$AB$361,0))))</f>
        <v>18.28</v>
      </c>
      <c r="L166" s="9" t="n">
        <f aca="false">IF($O166="","",INDEX(Scoring!$M$29:$M$361,MATCH($O166,Scoring!$AB$29:$AB$361,0)))</f>
        <v>65</v>
      </c>
      <c r="M166" s="9" t="n">
        <f aca="false">IF($O166="","",INDEX(Scoring!$F$29:$F$361,MATCH($O166,Scoring!$AB$29:$AB$361,0)))</f>
        <v>1223.2</v>
      </c>
      <c r="N166" s="7" t="str">
        <f aca="false">IF($O166="","",INDEX(Scoring!$AI$29:$AI$361,MATCH($O166,Scoring!$AB$29:$AB$361,0)))</f>
        <v>Australia</v>
      </c>
      <c r="O166" s="10" t="n">
        <f aca="false">IFERROR(SMALL(Scoring!$AB$29:$AB$361,162),"")</f>
        <v>15005</v>
      </c>
    </row>
    <row r="167" customFormat="false" ht="28.35" hidden="false" customHeight="false" outlineLevel="0" collapsed="false">
      <c r="A167" s="5" t="n">
        <f aca="false">IF($O167="","",INT($O167/1000))</f>
        <v>15</v>
      </c>
      <c r="B167" s="6" t="str">
        <f aca="false">IF($O167="","",INDEX(Scoring!$A$29:$A$361,MATCH($O167,Scoring!$AB$29:$AB$361,0)))</f>
        <v>Lupin</v>
      </c>
      <c r="C167" s="5" t="n">
        <f aca="false">IF($O167="","",IF(INDEX(Scoring!$P$29:$P$361,MATCH($O167,Scoring!$AB$29:$AB$361,0))="","–",INDEX(Scoring!$P$29:$P$361,MATCH($O167,Scoring!$AB$29:$AB$361,0))))</f>
        <v>6</v>
      </c>
      <c r="D167" s="6" t="str">
        <f aca="false">IF($O167="","",INDEX(Scoring!$Q$29:$Q$361,MATCH($O167,Scoring!$AB$29:$AB$361,0)))</f>
        <v>Priority 3</v>
      </c>
      <c r="E167" s="7" t="str">
        <f aca="false">IF($O167="","",INDEX(Scoring!$AJ$29:$AJ$361,MATCH($O167,Scoring!$AB$29:$AB$361,0)))</f>
        <v>Lower price · lower volume</v>
      </c>
      <c r="F167" s="6" t="str">
        <f aca="false">IF($O167="","",INDEX(Scoring!$B$29:$B$361,MATCH($O167,Scoring!$AB$29:$AB$361,0)))</f>
        <v>Diazepam</v>
      </c>
      <c r="G167" s="7" t="str">
        <f aca="false">IF($O167="","",INDEX(Scoring!$AG$29:$AG$361,MATCH($O167,Scoring!$AB$29:$AB$361,0)))</f>
        <v>Diazepam</v>
      </c>
      <c r="H167" s="7" t="str">
        <f aca="false">IF($O167="","",INDEX(Scoring!$C$29:$C$361,MATCH($O167,Scoring!$AB$29:$AB$361,0)))</f>
        <v>Neurology: status epilepticus, seizures, acute anxiety and sedation</v>
      </c>
      <c r="I167" s="6" t="str">
        <f aca="false">IF($O167="","",INDEX(Scoring!$I$29:$I$361,MATCH($O167,Scoring!$AB$29:$AB$361,0)))</f>
        <v>Not stated</v>
      </c>
      <c r="J167" s="7" t="str">
        <f aca="false">IF($O167="","",INDEX(Scoring!$Z$29:$Z$361,MATCH($O167,Scoring!$AB$29:$AB$361,0)))</f>
        <v>10 mg/2 mL (container not stated)</v>
      </c>
      <c r="K167" s="8" t="n">
        <f aca="false">IF($O167="","",IF(INDEX(Scoring!$D$29:$D$361,MATCH($O167,Scoring!$AB$29:$AB$361,0))="",INDEX(Scoring!$AF$29:$AF$361,MATCH($O167,Scoring!$AB$29:$AB$361,0)),INDEX(Scoring!$D$29:$D$361,MATCH($O167,Scoring!$AB$29:$AB$361,0))))</f>
        <v>10.14</v>
      </c>
      <c r="L167" s="9" t="n">
        <f aca="false">IF($O167="","",INDEX(Scoring!$M$29:$M$361,MATCH($O167,Scoring!$AB$29:$AB$361,0)))</f>
        <v>35</v>
      </c>
      <c r="M167" s="9" t="n">
        <f aca="false">IF($O167="","",INDEX(Scoring!$F$29:$F$361,MATCH($O167,Scoring!$AB$29:$AB$361,0)))</f>
        <v>1053.6</v>
      </c>
      <c r="N167" s="7" t="str">
        <f aca="false">IF($O167="","",INDEX(Scoring!$AI$29:$AI$361,MATCH($O167,Scoring!$AB$29:$AB$361,0)))</f>
        <v>US</v>
      </c>
      <c r="O167" s="10" t="n">
        <f aca="false">IFERROR(SMALL(Scoring!$AB$29:$AB$361,163),"")</f>
        <v>15006</v>
      </c>
    </row>
    <row r="168" customFormat="false" ht="28.35" hidden="false" customHeight="false" outlineLevel="0" collapsed="false">
      <c r="A168" s="5" t="n">
        <f aca="false">IF($O168="","",INT($O168/1000))</f>
        <v>15</v>
      </c>
      <c r="B168" s="6" t="str">
        <f aca="false">IF($O168="","",INDEX(Scoring!$A$29:$A$361,MATCH($O168,Scoring!$AB$29:$AB$361,0)))</f>
        <v>Lupin</v>
      </c>
      <c r="C168" s="5" t="n">
        <f aca="false">IF($O168="","",IF(INDEX(Scoring!$P$29:$P$361,MATCH($O168,Scoring!$AB$29:$AB$361,0))="","–",INDEX(Scoring!$P$29:$P$361,MATCH($O168,Scoring!$AB$29:$AB$361,0))))</f>
        <v>7</v>
      </c>
      <c r="D168" s="6" t="str">
        <f aca="false">IF($O168="","",INDEX(Scoring!$Q$29:$Q$361,MATCH($O168,Scoring!$AB$29:$AB$361,0)))</f>
        <v>Priority 3</v>
      </c>
      <c r="E168" s="7" t="str">
        <f aca="false">IF($O168="","",INDEX(Scoring!$AJ$29:$AJ$361,MATCH($O168,Scoring!$AB$29:$AB$361,0)))</f>
        <v>Lower price · lower volume</v>
      </c>
      <c r="F168" s="6" t="str">
        <f aca="false">IF($O168="","",INDEX(Scoring!$B$29:$B$361,MATCH($O168,Scoring!$AB$29:$AB$361,0)))</f>
        <v>Fentanyl</v>
      </c>
      <c r="G168" s="7" t="str">
        <f aca="false">IF($O168="","",INDEX(Scoring!$AG$29:$AG$361,MATCH($O168,Scoring!$AB$29:$AB$361,0)))</f>
        <v>Fentanyl GH</v>
      </c>
      <c r="H168" s="7" t="str">
        <f aca="false">IF($O168="","",INDEX(Scoring!$C$29:$C$361,MATCH($O168,Scoring!$AB$29:$AB$361,0)))</f>
        <v>Anaesthesia and pain: opioid pain relief in surgery and ICU</v>
      </c>
      <c r="I168" s="6" t="str">
        <f aca="false">IF($O168="","",INDEX(Scoring!$I$29:$I$361,MATCH($O168,Scoring!$AB$29:$AB$361,0)))</f>
        <v>Ampoule</v>
      </c>
      <c r="J168" s="7" t="str">
        <f aca="false">IF($O168="","",INDEX(Scoring!$Z$29:$Z$361,MATCH($O168,Scoring!$AB$29:$AB$361,0)))</f>
        <v>500 mcg/10 mL ampoule; 100 mcg/2 mL ampoule</v>
      </c>
      <c r="K168" s="8" t="n">
        <f aca="false">IF($O168="","",IF(INDEX(Scoring!$D$29:$D$361,MATCH($O168,Scoring!$AB$29:$AB$361,0))="",INDEX(Scoring!$AF$29:$AF$361,MATCH($O168,Scoring!$AB$29:$AB$361,0)),INDEX(Scoring!$D$29:$D$361,MATCH($O168,Scoring!$AB$29:$AB$361,0))))</f>
        <v>6.81</v>
      </c>
      <c r="L168" s="9" t="n">
        <f aca="false">IF($O168="","",INDEX(Scoring!$M$29:$M$361,MATCH($O168,Scoring!$AB$29:$AB$361,0)))</f>
        <v>15</v>
      </c>
      <c r="M168" s="9" t="n">
        <f aca="false">IF($O168="","",INDEX(Scoring!$F$29:$F$361,MATCH($O168,Scoring!$AB$29:$AB$361,0)))</f>
        <v>287.5</v>
      </c>
      <c r="N168" s="7" t="str">
        <f aca="false">IF($O168="","",INDEX(Scoring!$AI$29:$AI$361,MATCH($O168,Scoring!$AB$29:$AB$361,0)))</f>
        <v>Australia</v>
      </c>
      <c r="O168" s="10" t="n">
        <f aca="false">IFERROR(SMALL(Scoring!$AB$29:$AB$361,164),"")</f>
        <v>15007</v>
      </c>
    </row>
    <row r="169" customFormat="false" ht="28.35" hidden="false" customHeight="false" outlineLevel="0" collapsed="false">
      <c r="A169" s="5" t="n">
        <f aca="false">IF($O169="","",INT($O169/1000))</f>
        <v>15</v>
      </c>
      <c r="B169" s="6" t="str">
        <f aca="false">IF($O169="","",INDEX(Scoring!$A$29:$A$361,MATCH($O169,Scoring!$AB$29:$AB$361,0)))</f>
        <v>Lupin</v>
      </c>
      <c r="C169" s="5" t="n">
        <f aca="false">IF($O169="","",IF(INDEX(Scoring!$P$29:$P$361,MATCH($O169,Scoring!$AB$29:$AB$361,0))="","–",INDEX(Scoring!$P$29:$P$361,MATCH($O169,Scoring!$AB$29:$AB$361,0))))</f>
        <v>8</v>
      </c>
      <c r="D169" s="6" t="str">
        <f aca="false">IF($O169="","",INDEX(Scoring!$Q$29:$Q$361,MATCH($O169,Scoring!$AB$29:$AB$361,0)))</f>
        <v>Priority 3</v>
      </c>
      <c r="E169" s="7" t="str">
        <f aca="false">IF($O169="","",INDEX(Scoring!$AJ$29:$AJ$361,MATCH($O169,Scoring!$AB$29:$AB$361,0)))</f>
        <v>Lower price · lower volume</v>
      </c>
      <c r="F169" s="6" t="str">
        <f aca="false">IF($O169="","",INDEX(Scoring!$B$29:$B$361,MATCH($O169,Scoring!$AB$29:$AB$361,0)))</f>
        <v>Droperidol</v>
      </c>
      <c r="G169" s="7" t="str">
        <f aca="false">IF($O169="","",INDEX(Scoring!$AG$29:$AG$361,MATCH($O169,Scoring!$AB$29:$AB$361,0)))</f>
        <v>Droperidol Lupin; Droperidol AJS</v>
      </c>
      <c r="H169" s="7" t="str">
        <f aca="false">IF($O169="","",INDEX(Scoring!$C$29:$C$361,MATCH($O169,Scoring!$AB$29:$AB$361,0)))</f>
        <v>Anaesthesia: post-operative nausea and vomiting</v>
      </c>
      <c r="I169" s="6" t="str">
        <f aca="false">IF($O169="","",INDEX(Scoring!$I$29:$I$361,MATCH($O169,Scoring!$AB$29:$AB$361,0)))</f>
        <v>Ampoule</v>
      </c>
      <c r="J169" s="7" t="str">
        <f aca="false">IF($O169="","",INDEX(Scoring!$Z$29:$Z$361,MATCH($O169,Scoring!$AB$29:$AB$361,0)))</f>
        <v>2.5 mg/1 mL ampoule; 5 mg/2 mL ampoule</v>
      </c>
      <c r="K169" s="8" t="n">
        <f aca="false">IF($O169="","",IF(INDEX(Scoring!$D$29:$D$361,MATCH($O169,Scoring!$AB$29:$AB$361,0))="",INDEX(Scoring!$AF$29:$AF$361,MATCH($O169,Scoring!$AB$29:$AB$361,0)),INDEX(Scoring!$D$29:$D$361,MATCH($O169,Scoring!$AB$29:$AB$361,0))))</f>
        <v>5.35</v>
      </c>
      <c r="L169" s="9" t="n">
        <f aca="false">IF($O169="","",INDEX(Scoring!$M$29:$M$361,MATCH($O169,Scoring!$AB$29:$AB$361,0)))</f>
        <v>17</v>
      </c>
      <c r="M169" s="9" t="n">
        <f aca="false">IF($O169="","",INDEX(Scoring!$F$29:$F$361,MATCH($O169,Scoring!$AB$29:$AB$361,0)))</f>
        <v>170.5</v>
      </c>
      <c r="N169" s="7" t="str">
        <f aca="false">IF($O169="","",INDEX(Scoring!$AI$29:$AI$361,MATCH($O169,Scoring!$AB$29:$AB$361,0)))</f>
        <v>Australia</v>
      </c>
      <c r="O169" s="10" t="n">
        <f aca="false">IFERROR(SMALL(Scoring!$AB$29:$AB$361,165),"")</f>
        <v>15008</v>
      </c>
    </row>
    <row r="170" customFormat="false" ht="28.35" hidden="false" customHeight="false" outlineLevel="0" collapsed="false">
      <c r="A170" s="5" t="n">
        <f aca="false">IF($O170="","",INT($O170/1000))</f>
        <v>15</v>
      </c>
      <c r="B170" s="6" t="str">
        <f aca="false">IF($O170="","",INDEX(Scoring!$A$29:$A$361,MATCH($O170,Scoring!$AB$29:$AB$361,0)))</f>
        <v>Lupin</v>
      </c>
      <c r="C170" s="5" t="str">
        <f aca="false">IF($O170="","",IF(INDEX(Scoring!$P$29:$P$361,MATCH($O170,Scoring!$AB$29:$AB$361,0))="","–",INDEX(Scoring!$P$29:$P$361,MATCH($O170,Scoring!$AB$29:$AB$361,0))))</f>
        <v>–</v>
      </c>
      <c r="D170" s="6" t="str">
        <f aca="false">IF($O170="","",INDEX(Scoring!$Q$29:$Q$361,MATCH($O170,Scoring!$AB$29:$AB$361,0)))</f>
        <v>Excluded – price ≤ $5</v>
      </c>
      <c r="E170" s="7" t="str">
        <f aca="false">IF($O170="","",INDEX(Scoring!$AJ$29:$AJ$361,MATCH($O170,Scoring!$AB$29:$AB$361,0)))</f>
        <v/>
      </c>
      <c r="F170" s="6" t="str">
        <f aca="false">IF($O170="","",INDEX(Scoring!$B$29:$B$361,MATCH($O170,Scoring!$AB$29:$AB$361,0)))</f>
        <v>Cefazolin</v>
      </c>
      <c r="G170" s="7" t="str">
        <f aca="false">IF($O170="","",INDEX(Scoring!$AG$29:$AG$361,MATCH($O170,Scoring!$AB$29:$AB$361,0)))</f>
        <v>Cefazolin SXP</v>
      </c>
      <c r="H170" s="7" t="str">
        <f aca="false">IF($O170="","",INDEX(Scoring!$C$29:$C$361,MATCH($O170,Scoring!$AB$29:$AB$361,0)))</f>
        <v>Anti-infective: surgical infection prevention, staphylococcal infections</v>
      </c>
      <c r="I170" s="6" t="str">
        <f aca="false">IF($O170="","",INDEX(Scoring!$I$29:$I$361,MATCH($O170,Scoring!$AB$29:$AB$361,0)))</f>
        <v>Vial</v>
      </c>
      <c r="J170" s="7" t="str">
        <f aca="false">IF($O170="","",INDEX(Scoring!$Z$29:$Z$361,MATCH($O170,Scoring!$AB$29:$AB$361,0)))</f>
        <v>1000 mg powder vial</v>
      </c>
      <c r="K170" s="8" t="n">
        <f aca="false">IF($O170="","",IF(INDEX(Scoring!$D$29:$D$361,MATCH($O170,Scoring!$AB$29:$AB$361,0))="",INDEX(Scoring!$AF$29:$AF$361,MATCH($O170,Scoring!$AB$29:$AB$361,0)),INDEX(Scoring!$D$29:$D$361,MATCH($O170,Scoring!$AB$29:$AB$361,0))))</f>
        <v>0.57</v>
      </c>
      <c r="L170" s="9" t="n">
        <f aca="false">IF($O170="","",INDEX(Scoring!$M$29:$M$361,MATCH($O170,Scoring!$AB$29:$AB$361,0)))</f>
        <v>93</v>
      </c>
      <c r="M170" s="9" t="n">
        <f aca="false">IF($O170="","",INDEX(Scoring!$F$29:$F$361,MATCH($O170,Scoring!$AB$29:$AB$361,0)))</f>
        <v>1930</v>
      </c>
      <c r="N170" s="7" t="str">
        <f aca="false">IF($O170="","",INDEX(Scoring!$AI$29:$AI$361,MATCH($O170,Scoring!$AB$29:$AB$361,0)))</f>
        <v>Australia</v>
      </c>
      <c r="O170" s="10" t="n">
        <f aca="false">IFERROR(SMALL(Scoring!$AB$29:$AB$361,166),"")</f>
        <v>15901</v>
      </c>
    </row>
    <row r="171" customFormat="false" ht="28.35" hidden="false" customHeight="false" outlineLevel="0" collapsed="false">
      <c r="A171" s="5" t="n">
        <f aca="false">IF($O171="","",INT($O171/1000))</f>
        <v>15</v>
      </c>
      <c r="B171" s="6" t="str">
        <f aca="false">IF($O171="","",INDEX(Scoring!$A$29:$A$361,MATCH($O171,Scoring!$AB$29:$AB$361,0)))</f>
        <v>Lupin</v>
      </c>
      <c r="C171" s="5" t="str">
        <f aca="false">IF($O171="","",IF(INDEX(Scoring!$P$29:$P$361,MATCH($O171,Scoring!$AB$29:$AB$361,0))="","–",INDEX(Scoring!$P$29:$P$361,MATCH($O171,Scoring!$AB$29:$AB$361,0))))</f>
        <v>–</v>
      </c>
      <c r="D171" s="6" t="str">
        <f aca="false">IF($O171="","",INDEX(Scoring!$Q$29:$Q$361,MATCH($O171,Scoring!$AB$29:$AB$361,0)))</f>
        <v>Excluded – price ≤ $5</v>
      </c>
      <c r="E171" s="7" t="str">
        <f aca="false">IF($O171="","",INDEX(Scoring!$AJ$29:$AJ$361,MATCH($O171,Scoring!$AB$29:$AB$361,0)))</f>
        <v/>
      </c>
      <c r="F171" s="6" t="str">
        <f aca="false">IF($O171="","",INDEX(Scoring!$B$29:$B$361,MATCH($O171,Scoring!$AB$29:$AB$361,0)))</f>
        <v>Ephedrine</v>
      </c>
      <c r="G171" s="7" t="str">
        <f aca="false">IF($O171="","",INDEX(Scoring!$AG$29:$AG$361,MATCH($O171,Scoring!$AB$29:$AB$361,0)))</f>
        <v>Ephedrine Hydrochloride AJS</v>
      </c>
      <c r="H171" s="7" t="str">
        <f aca="false">IF($O171="","",INDEX(Scoring!$C$29:$C$361,MATCH($O171,Scoring!$AB$29:$AB$361,0)))</f>
        <v>Anaesthesia: low blood pressure during spinal anaesthesia and caesarean section</v>
      </c>
      <c r="I171" s="6" t="str">
        <f aca="false">IF($O171="","",INDEX(Scoring!$I$29:$I$361,MATCH($O171,Scoring!$AB$29:$AB$361,0)))</f>
        <v>Ampoule</v>
      </c>
      <c r="J171" s="7" t="str">
        <f aca="false">IF($O171="","",INDEX(Scoring!$Z$29:$Z$361,MATCH($O171,Scoring!$AB$29:$AB$361,0)))</f>
        <v>30 mg/mL ampoule</v>
      </c>
      <c r="K171" s="8" t="n">
        <f aca="false">IF($O171="","",IF(INDEX(Scoring!$D$29:$D$361,MATCH($O171,Scoring!$AB$29:$AB$361,0))="",INDEX(Scoring!$AF$29:$AF$361,MATCH($O171,Scoring!$AB$29:$AB$361,0)),INDEX(Scoring!$D$29:$D$361,MATCH($O171,Scoring!$AB$29:$AB$361,0))))</f>
        <v>3.53</v>
      </c>
      <c r="L171" s="9" t="n">
        <f aca="false">IF($O171="","",INDEX(Scoring!$M$29:$M$361,MATCH($O171,Scoring!$AB$29:$AB$361,0)))</f>
        <v>49</v>
      </c>
      <c r="M171" s="9" t="n">
        <f aca="false">IF($O171="","",INDEX(Scoring!$F$29:$F$361,MATCH($O171,Scoring!$AB$29:$AB$361,0)))</f>
        <v>2937.3</v>
      </c>
      <c r="N171" s="7" t="str">
        <f aca="false">IF($O171="","",INDEX(Scoring!$AI$29:$AI$361,MATCH($O171,Scoring!$AB$29:$AB$361,0)))</f>
        <v>Australia</v>
      </c>
      <c r="O171" s="10" t="n">
        <f aca="false">IFERROR(SMALL(Scoring!$AB$29:$AB$361,167),"")</f>
        <v>15902</v>
      </c>
    </row>
    <row r="172" customFormat="false" ht="28.35" hidden="false" customHeight="false" outlineLevel="0" collapsed="false">
      <c r="A172" s="5" t="n">
        <f aca="false">IF($O172="","",INT($O172/1000))</f>
        <v>16</v>
      </c>
      <c r="B172" s="6" t="str">
        <f aca="false">IF($O172="","",INDEX(Scoring!$A$29:$A$361,MATCH($O172,Scoring!$AB$29:$AB$361,0)))</f>
        <v>OneSource</v>
      </c>
      <c r="C172" s="5" t="n">
        <f aca="false">IF($O172="","",IF(INDEX(Scoring!$P$29:$P$361,MATCH($O172,Scoring!$AB$29:$AB$361,0))="","–",INDEX(Scoring!$P$29:$P$361,MATCH($O172,Scoring!$AB$29:$AB$361,0))))</f>
        <v>1</v>
      </c>
      <c r="D172" s="6" t="str">
        <f aca="false">IF($O172="","",INDEX(Scoring!$Q$29:$Q$361,MATCH($O172,Scoring!$AB$29:$AB$361,0)))</f>
        <v>Priority 2</v>
      </c>
      <c r="E172" s="7" t="str">
        <f aca="false">IF($O172="","",INDEX(Scoring!$AJ$29:$AJ$361,MATCH($O172,Scoring!$AB$29:$AB$361,0)))</f>
        <v>Lower price · high volume</v>
      </c>
      <c r="F172" s="6" t="str">
        <f aca="false">IF($O172="","",INDEX(Scoring!$B$29:$B$361,MATCH($O172,Scoring!$AB$29:$AB$361,0)))</f>
        <v>Bupivacaine</v>
      </c>
      <c r="G172" s="7" t="str">
        <f aca="false">IF($O172="","",INDEX(Scoring!$AG$29:$AG$361,MATCH($O172,Scoring!$AB$29:$AB$361,0)))</f>
        <v>Bupivacaine Hydrochloride</v>
      </c>
      <c r="H172" s="7" t="str">
        <f aca="false">IF($O172="","",INDEX(Scoring!$C$29:$C$361,MATCH($O172,Scoring!$AB$29:$AB$361,0)))</f>
        <v>Anaesthesia: long-acting local anaesthetic for spinal, epidural and nerve block</v>
      </c>
      <c r="I172" s="6" t="str">
        <f aca="false">IF($O172="","",INDEX(Scoring!$I$29:$I$361,MATCH($O172,Scoring!$AB$29:$AB$361,0)))</f>
        <v>Vial</v>
      </c>
      <c r="J172" s="7" t="str">
        <f aca="false">IF($O172="","",INDEX(Scoring!$Z$29:$Z$361,MATCH($O172,Scoring!$AB$29:$AB$361,0)))</f>
        <v>0.25% in 10 mL vial; 0.5% in 30 mL vial</v>
      </c>
      <c r="K172" s="8" t="n">
        <f aca="false">IF($O172="","",IF(INDEX(Scoring!$D$29:$D$361,MATCH($O172,Scoring!$AB$29:$AB$361,0))="",INDEX(Scoring!$AF$29:$AF$361,MATCH($O172,Scoring!$AB$29:$AB$361,0)),INDEX(Scoring!$D$29:$D$361,MATCH($O172,Scoring!$AB$29:$AB$361,0))))</f>
        <v>6.38</v>
      </c>
      <c r="L172" s="9" t="n">
        <f aca="false">IF($O172="","",INDEX(Scoring!$M$29:$M$361,MATCH($O172,Scoring!$AB$29:$AB$361,0)))</f>
        <v>581</v>
      </c>
      <c r="M172" s="9" t="n">
        <f aca="false">IF($O172="","",INDEX(Scoring!$F$29:$F$361,MATCH($O172,Scoring!$AB$29:$AB$361,0)))</f>
        <v>16359.3</v>
      </c>
      <c r="N172" s="7" t="str">
        <f aca="false">IF($O172="","",INDEX(Scoring!$AI$29:$AI$361,MATCH($O172,Scoring!$AB$29:$AB$361,0)))</f>
        <v>US</v>
      </c>
      <c r="O172" s="10" t="n">
        <f aca="false">IFERROR(SMALL(Scoring!$AB$29:$AB$361,168),"")</f>
        <v>16001</v>
      </c>
    </row>
    <row r="173" customFormat="false" ht="28.35" hidden="false" customHeight="false" outlineLevel="0" collapsed="false">
      <c r="A173" s="5" t="n">
        <f aca="false">IF($O173="","",INT($O173/1000))</f>
        <v>16</v>
      </c>
      <c r="B173" s="6" t="str">
        <f aca="false">IF($O173="","",INDEX(Scoring!$A$29:$A$361,MATCH($O173,Scoring!$AB$29:$AB$361,0)))</f>
        <v>OneSource</v>
      </c>
      <c r="C173" s="5" t="n">
        <f aca="false">IF($O173="","",IF(INDEX(Scoring!$P$29:$P$361,MATCH($O173,Scoring!$AB$29:$AB$361,0))="","–",INDEX(Scoring!$P$29:$P$361,MATCH($O173,Scoring!$AB$29:$AB$361,0))))</f>
        <v>2</v>
      </c>
      <c r="D173" s="6" t="str">
        <f aca="false">IF($O173="","",INDEX(Scoring!$Q$29:$Q$361,MATCH($O173,Scoring!$AB$29:$AB$361,0)))</f>
        <v>Priority 2</v>
      </c>
      <c r="E173" s="7" t="str">
        <f aca="false">IF($O173="","",INDEX(Scoring!$AJ$29:$AJ$361,MATCH($O173,Scoring!$AB$29:$AB$361,0)))</f>
        <v>High price · lower volume</v>
      </c>
      <c r="F173" s="6" t="str">
        <f aca="false">IF($O173="","",INDEX(Scoring!$B$29:$B$361,MATCH($O173,Scoring!$AB$29:$AB$361,0)))</f>
        <v>Carboprost</v>
      </c>
      <c r="G173" s="7" t="str">
        <f aca="false">IF($O173="","",INDEX(Scoring!$AG$29:$AG$361,MATCH($O173,Scoring!$AB$29:$AB$361,0)))</f>
        <v>Carboprost Tromethamine</v>
      </c>
      <c r="H173" s="7" t="str">
        <f aca="false">IF($O173="","",INDEX(Scoring!$C$29:$C$361,MATCH($O173,Scoring!$AB$29:$AB$361,0)))</f>
        <v>Women's health: postpartum haemorrhage, pregnancy termination</v>
      </c>
      <c r="I173" s="6" t="str">
        <f aca="false">IF($O173="","",INDEX(Scoring!$I$29:$I$361,MATCH($O173,Scoring!$AB$29:$AB$361,0)))</f>
        <v>Vial</v>
      </c>
      <c r="J173" s="7" t="str">
        <f aca="false">IF($O173="","",INDEX(Scoring!$Z$29:$Z$361,MATCH($O173,Scoring!$AB$29:$AB$361,0)))</f>
        <v>0.25 mg/1 mL vial</v>
      </c>
      <c r="K173" s="8" t="n">
        <f aca="false">IF($O173="","",IF(INDEX(Scoring!$D$29:$D$361,MATCH($O173,Scoring!$AB$29:$AB$361,0))="",INDEX(Scoring!$AF$29:$AF$361,MATCH($O173,Scoring!$AB$29:$AB$361,0)),INDEX(Scoring!$D$29:$D$361,MATCH($O173,Scoring!$AB$29:$AB$361,0))))</f>
        <v>30.01</v>
      </c>
      <c r="L173" s="9" t="n">
        <f aca="false">IF($O173="","",INDEX(Scoring!$M$29:$M$361,MATCH($O173,Scoring!$AB$29:$AB$361,0)))</f>
        <v>143</v>
      </c>
      <c r="M173" s="9" t="n">
        <f aca="false">IF($O173="","",INDEX(Scoring!$F$29:$F$361,MATCH($O173,Scoring!$AB$29:$AB$361,0)))</f>
        <v>3625.3</v>
      </c>
      <c r="N173" s="7" t="str">
        <f aca="false">IF($O173="","",INDEX(Scoring!$AI$29:$AI$361,MATCH($O173,Scoring!$AB$29:$AB$361,0)))</f>
        <v>US</v>
      </c>
      <c r="O173" s="10" t="n">
        <f aca="false">IFERROR(SMALL(Scoring!$AB$29:$AB$361,169),"")</f>
        <v>16002</v>
      </c>
    </row>
    <row r="174" customFormat="false" ht="28.35" hidden="false" customHeight="false" outlineLevel="0" collapsed="false">
      <c r="A174" s="5" t="n">
        <f aca="false">IF($O174="","",INT($O174/1000))</f>
        <v>16</v>
      </c>
      <c r="B174" s="6" t="str">
        <f aca="false">IF($O174="","",INDEX(Scoring!$A$29:$A$361,MATCH($O174,Scoring!$AB$29:$AB$361,0)))</f>
        <v>OneSource</v>
      </c>
      <c r="C174" s="5" t="n">
        <f aca="false">IF($O174="","",IF(INDEX(Scoring!$P$29:$P$361,MATCH($O174,Scoring!$AB$29:$AB$361,0))="","–",INDEX(Scoring!$P$29:$P$361,MATCH($O174,Scoring!$AB$29:$AB$361,0))))</f>
        <v>3</v>
      </c>
      <c r="D174" s="6" t="str">
        <f aca="false">IF($O174="","",INDEX(Scoring!$Q$29:$Q$361,MATCH($O174,Scoring!$AB$29:$AB$361,0)))</f>
        <v>Priority 2</v>
      </c>
      <c r="E174" s="7" t="str">
        <f aca="false">IF($O174="","",INDEX(Scoring!$AJ$29:$AJ$361,MATCH($O174,Scoring!$AB$29:$AB$361,0)))</f>
        <v>High price · lower volume</v>
      </c>
      <c r="F174" s="6" t="str">
        <f aca="false">IF($O174="","",INDEX(Scoring!$B$29:$B$361,MATCH($O174,Scoring!$AB$29:$AB$361,0)))</f>
        <v>Methohexital</v>
      </c>
      <c r="G174" s="7" t="str">
        <f aca="false">IF($O174="","",INDEX(Scoring!$AG$29:$AG$361,MATCH($O174,Scoring!$AB$29:$AB$361,0)))</f>
        <v>Methohexital Sodium</v>
      </c>
      <c r="H174" s="7" t="str">
        <f aca="false">IF($O174="","",INDEX(Scoring!$C$29:$C$361,MATCH($O174,Scoring!$AB$29:$AB$361,0)))</f>
        <v>Anaesthesia: short procedures and electroconvulsive therapy</v>
      </c>
      <c r="I174" s="6" t="str">
        <f aca="false">IF($O174="","",INDEX(Scoring!$I$29:$I$361,MATCH($O174,Scoring!$AB$29:$AB$361,0)))</f>
        <v>Vial</v>
      </c>
      <c r="J174" s="7" t="str">
        <f aca="false">IF($O174="","",INDEX(Scoring!$Z$29:$Z$361,MATCH($O174,Scoring!$AB$29:$AB$361,0)))</f>
        <v>500 mg vial</v>
      </c>
      <c r="K174" s="8" t="n">
        <f aca="false">IF($O174="","",IF(INDEX(Scoring!$D$29:$D$361,MATCH($O174,Scoring!$AB$29:$AB$361,0))="",INDEX(Scoring!$AF$29:$AF$361,MATCH($O174,Scoring!$AB$29:$AB$361,0)),INDEX(Scoring!$D$29:$D$361,MATCH($O174,Scoring!$AB$29:$AB$361,0))))</f>
        <v>54.62</v>
      </c>
      <c r="L174" s="9" t="n">
        <f aca="false">IF($O174="","",INDEX(Scoring!$M$29:$M$361,MATCH($O174,Scoring!$AB$29:$AB$361,0)))</f>
        <v>2</v>
      </c>
      <c r="M174" s="9" t="n">
        <f aca="false">IF($O174="","",INDEX(Scoring!$F$29:$F$361,MATCH($O174,Scoring!$AB$29:$AB$361,0)))</f>
        <v>117.1</v>
      </c>
      <c r="N174" s="7" t="str">
        <f aca="false">IF($O174="","",INDEX(Scoring!$AI$29:$AI$361,MATCH($O174,Scoring!$AB$29:$AB$361,0)))</f>
        <v>US</v>
      </c>
      <c r="O174" s="10" t="n">
        <f aca="false">IFERROR(SMALL(Scoring!$AB$29:$AB$361,170),"")</f>
        <v>16003</v>
      </c>
    </row>
    <row r="175" customFormat="false" ht="28.35" hidden="false" customHeight="false" outlineLevel="0" collapsed="false">
      <c r="A175" s="5" t="n">
        <f aca="false">IF($O175="","",INT($O175/1000))</f>
        <v>16</v>
      </c>
      <c r="B175" s="6" t="str">
        <f aca="false">IF($O175="","",INDEX(Scoring!$A$29:$A$361,MATCH($O175,Scoring!$AB$29:$AB$361,0)))</f>
        <v>OneSource</v>
      </c>
      <c r="C175" s="5" t="n">
        <f aca="false">IF($O175="","",IF(INDEX(Scoring!$P$29:$P$361,MATCH($O175,Scoring!$AB$29:$AB$361,0))="","–",INDEX(Scoring!$P$29:$P$361,MATCH($O175,Scoring!$AB$29:$AB$361,0))))</f>
        <v>4</v>
      </c>
      <c r="D175" s="6" t="str">
        <f aca="false">IF($O175="","",INDEX(Scoring!$Q$29:$Q$361,MATCH($O175,Scoring!$AB$29:$AB$361,0)))</f>
        <v>Priority 3</v>
      </c>
      <c r="E175" s="7" t="str">
        <f aca="false">IF($O175="","",INDEX(Scoring!$AJ$29:$AJ$361,MATCH($O175,Scoring!$AB$29:$AB$361,0)))</f>
        <v>Lower price · lower volume</v>
      </c>
      <c r="F175" s="6" t="str">
        <f aca="false">IF($O175="","",INDEX(Scoring!$B$29:$B$361,MATCH($O175,Scoring!$AB$29:$AB$361,0)))</f>
        <v>Nafcillin</v>
      </c>
      <c r="G175" s="7" t="str">
        <f aca="false">IF($O175="","",INDEX(Scoring!$AG$29:$AG$361,MATCH($O175,Scoring!$AB$29:$AB$361,0)))</f>
        <v>Nafcillin Sodium</v>
      </c>
      <c r="H175" s="7" t="str">
        <f aca="false">IF($O175="","",INDEX(Scoring!$C$29:$C$361,MATCH($O175,Scoring!$AB$29:$AB$361,0)))</f>
        <v>Anti-infective: staphylococcal infections</v>
      </c>
      <c r="I175" s="6" t="str">
        <f aca="false">IF($O175="","",INDEX(Scoring!$I$29:$I$361,MATCH($O175,Scoring!$AB$29:$AB$361,0)))</f>
        <v>Vial</v>
      </c>
      <c r="J175" s="7" t="str">
        <f aca="false">IF($O175="","",INDEX(Scoring!$Z$29:$Z$361,MATCH($O175,Scoring!$AB$29:$AB$361,0)))</f>
        <v>1 g powder vial; 2 g powder vial</v>
      </c>
      <c r="K175" s="8" t="n">
        <f aca="false">IF($O175="","",IF(INDEX(Scoring!$D$29:$D$361,MATCH($O175,Scoring!$AB$29:$AB$361,0))="",INDEX(Scoring!$AF$29:$AF$361,MATCH($O175,Scoring!$AB$29:$AB$361,0)),INDEX(Scoring!$D$29:$D$361,MATCH($O175,Scoring!$AB$29:$AB$361,0))))</f>
        <v>7.41</v>
      </c>
      <c r="L175" s="9" t="n">
        <f aca="false">IF($O175="","",INDEX(Scoring!$M$29:$M$361,MATCH($O175,Scoring!$AB$29:$AB$361,0)))</f>
        <v>4</v>
      </c>
      <c r="M175" s="9" t="n">
        <f aca="false">IF($O175="","",INDEX(Scoring!$F$29:$F$361,MATCH($O175,Scoring!$AB$29:$AB$361,0)))</f>
        <v>570.1</v>
      </c>
      <c r="N175" s="7" t="str">
        <f aca="false">IF($O175="","",INDEX(Scoring!$AI$29:$AI$361,MATCH($O175,Scoring!$AB$29:$AB$361,0)))</f>
        <v>US</v>
      </c>
      <c r="O175" s="10" t="n">
        <f aca="false">IFERROR(SMALL(Scoring!$AB$29:$AB$361,171),"")</f>
        <v>16004</v>
      </c>
    </row>
    <row r="176" customFormat="false" ht="28.35" hidden="false" customHeight="false" outlineLevel="0" collapsed="false">
      <c r="A176" s="5" t="n">
        <f aca="false">IF($O176="","",INT($O176/1000))</f>
        <v>17</v>
      </c>
      <c r="B176" s="6" t="str">
        <f aca="false">IF($O176="","",INDEX(Scoring!$A$29:$A$361,MATCH($O176,Scoring!$AB$29:$AB$361,0)))</f>
        <v>Strides</v>
      </c>
      <c r="C176" s="5" t="n">
        <f aca="false">IF($O176="","",IF(INDEX(Scoring!$P$29:$P$361,MATCH($O176,Scoring!$AB$29:$AB$361,0))="","–",INDEX(Scoring!$P$29:$P$361,MATCH($O176,Scoring!$AB$29:$AB$361,0))))</f>
        <v>1</v>
      </c>
      <c r="D176" s="6" t="str">
        <f aca="false">IF($O176="","",INDEX(Scoring!$Q$29:$Q$361,MATCH($O176,Scoring!$AB$29:$AB$361,0)))</f>
        <v>Priority 2</v>
      </c>
      <c r="E176" s="7" t="str">
        <f aca="false">IF($O176="","",INDEX(Scoring!$AJ$29:$AJ$361,MATCH($O176,Scoring!$AB$29:$AB$361,0)))</f>
        <v>Lower price · high volume</v>
      </c>
      <c r="F176" s="6" t="str">
        <f aca="false">IF($O176="","",INDEX(Scoring!$B$29:$B$361,MATCH($O176,Scoring!$AB$29:$AB$361,0)))</f>
        <v>Cefepime</v>
      </c>
      <c r="G176" s="7" t="str">
        <f aca="false">IF($O176="","",INDEX(Scoring!$AG$29:$AG$361,MATCH($O176,Scoring!$AB$29:$AB$361,0)))</f>
        <v>Bindozef</v>
      </c>
      <c r="H176" s="7" t="str">
        <f aca="false">IF($O176="","",INDEX(Scoring!$C$29:$C$361,MATCH($O176,Scoring!$AB$29:$AB$361,0)))</f>
        <v>Anti-infective: hospital Gram-negative infections, febrile neutropenia</v>
      </c>
      <c r="I176" s="6" t="str">
        <f aca="false">IF($O176="","",INDEX(Scoring!$I$29:$I$361,MATCH($O176,Scoring!$AB$29:$AB$361,0)))</f>
        <v>Vial</v>
      </c>
      <c r="J176" s="7" t="str">
        <f aca="false">IF($O176="","",INDEX(Scoring!$Z$29:$Z$361,MATCH($O176,Scoring!$AB$29:$AB$361,0)))</f>
        <v>1 g powder vial; 2 g powder vial</v>
      </c>
      <c r="K176" s="8" t="n">
        <f aca="false">IF($O176="","",IF(INDEX(Scoring!$D$29:$D$361,MATCH($O176,Scoring!$AB$29:$AB$361,0))="",INDEX(Scoring!$AF$29:$AF$361,MATCH($O176,Scoring!$AB$29:$AB$361,0)),INDEX(Scoring!$D$29:$D$361,MATCH($O176,Scoring!$AB$29:$AB$361,0))))</f>
        <v>13.03</v>
      </c>
      <c r="L176" s="9" t="n">
        <f aca="false">IF($O176="","",INDEX(Scoring!$M$29:$M$361,MATCH($O176,Scoring!$AB$29:$AB$361,0)))</f>
        <v>288</v>
      </c>
      <c r="M176" s="9" t="n">
        <f aca="false">IF($O176="","",INDEX(Scoring!$F$29:$F$361,MATCH($O176,Scoring!$AB$29:$AB$361,0)))</f>
        <v>6294.9</v>
      </c>
      <c r="N176" s="7" t="str">
        <f aca="false">IF($O176="","",INDEX(Scoring!$AI$29:$AI$361,MATCH($O176,Scoring!$AB$29:$AB$361,0)))</f>
        <v>Australia</v>
      </c>
      <c r="O176" s="10" t="n">
        <f aca="false">IFERROR(SMALL(Scoring!$AB$29:$AB$361,172),"")</f>
        <v>17001</v>
      </c>
    </row>
    <row r="177" customFormat="false" ht="28.35" hidden="false" customHeight="false" outlineLevel="0" collapsed="false">
      <c r="A177" s="5" t="n">
        <f aca="false">IF($O177="","",INT($O177/1000))</f>
        <v>17</v>
      </c>
      <c r="B177" s="6" t="str">
        <f aca="false">IF($O177="","",INDEX(Scoring!$A$29:$A$361,MATCH($O177,Scoring!$AB$29:$AB$361,0)))</f>
        <v>Strides</v>
      </c>
      <c r="C177" s="5" t="n">
        <f aca="false">IF($O177="","",IF(INDEX(Scoring!$P$29:$P$361,MATCH($O177,Scoring!$AB$29:$AB$361,0))="","–",INDEX(Scoring!$P$29:$P$361,MATCH($O177,Scoring!$AB$29:$AB$361,0))))</f>
        <v>2</v>
      </c>
      <c r="D177" s="6" t="str">
        <f aca="false">IF($O177="","",INDEX(Scoring!$Q$29:$Q$361,MATCH($O177,Scoring!$AB$29:$AB$361,0)))</f>
        <v>Priority 2</v>
      </c>
      <c r="E177" s="7" t="str">
        <f aca="false">IF($O177="","",INDEX(Scoring!$AJ$29:$AJ$361,MATCH($O177,Scoring!$AB$29:$AB$361,0)))</f>
        <v>Lower price · high volume</v>
      </c>
      <c r="F177" s="6" t="str">
        <f aca="false">IF($O177="","",INDEX(Scoring!$B$29:$B$361,MATCH($O177,Scoring!$AB$29:$AB$361,0)))</f>
        <v>Ceftazidime</v>
      </c>
      <c r="G177" s="7" t="str">
        <f aca="false">IF($O177="","",INDEX(Scoring!$AG$29:$AG$361,MATCH($O177,Scoring!$AB$29:$AB$361,0)))</f>
        <v>Zetaf</v>
      </c>
      <c r="H177" s="7" t="str">
        <f aca="false">IF($O177="","",INDEX(Scoring!$C$29:$C$361,MATCH($O177,Scoring!$AB$29:$AB$361,0)))</f>
        <v>Anti-infective: Pseudomonas and other hospital Gram-negative infections</v>
      </c>
      <c r="I177" s="6" t="str">
        <f aca="false">IF($O177="","",INDEX(Scoring!$I$29:$I$361,MATCH($O177,Scoring!$AB$29:$AB$361,0)))</f>
        <v>Vial</v>
      </c>
      <c r="J177" s="7" t="str">
        <f aca="false">IF($O177="","",INDEX(Scoring!$Z$29:$Z$361,MATCH($O177,Scoring!$AB$29:$AB$361,0)))</f>
        <v>2 g powder vial; 1 g powder vial</v>
      </c>
      <c r="K177" s="8" t="n">
        <f aca="false">IF($O177="","",IF(INDEX(Scoring!$D$29:$D$361,MATCH($O177,Scoring!$AB$29:$AB$361,0))="",INDEX(Scoring!$AF$29:$AF$361,MATCH($O177,Scoring!$AB$29:$AB$361,0)),INDEX(Scoring!$D$29:$D$361,MATCH($O177,Scoring!$AB$29:$AB$361,0))))</f>
        <v>23.05</v>
      </c>
      <c r="L177" s="9" t="n">
        <f aca="false">IF($O177="","",INDEX(Scoring!$M$29:$M$361,MATCH($O177,Scoring!$AB$29:$AB$361,0)))</f>
        <v>335</v>
      </c>
      <c r="M177" s="9" t="n">
        <f aca="false">IF($O177="","",INDEX(Scoring!$F$29:$F$361,MATCH($O177,Scoring!$AB$29:$AB$361,0)))</f>
        <v>5713.6</v>
      </c>
      <c r="N177" s="7" t="str">
        <f aca="false">IF($O177="","",INDEX(Scoring!$AI$29:$AI$361,MATCH($O177,Scoring!$AB$29:$AB$361,0)))</f>
        <v>Australia</v>
      </c>
      <c r="O177" s="10" t="n">
        <f aca="false">IFERROR(SMALL(Scoring!$AB$29:$AB$361,173),"")</f>
        <v>17002</v>
      </c>
    </row>
    <row r="178" customFormat="false" ht="28.35" hidden="false" customHeight="false" outlineLevel="0" collapsed="false">
      <c r="A178" s="5" t="n">
        <f aca="false">IF($O178="","",INT($O178/1000))</f>
        <v>17</v>
      </c>
      <c r="B178" s="6" t="str">
        <f aca="false">IF($O178="","",INDEX(Scoring!$A$29:$A$361,MATCH($O178,Scoring!$AB$29:$AB$361,0)))</f>
        <v>Strides</v>
      </c>
      <c r="C178" s="5" t="n">
        <f aca="false">IF($O178="","",IF(INDEX(Scoring!$P$29:$P$361,MATCH($O178,Scoring!$AB$29:$AB$361,0))="","–",INDEX(Scoring!$P$29:$P$361,MATCH($O178,Scoring!$AB$29:$AB$361,0))))</f>
        <v>3</v>
      </c>
      <c r="D178" s="6" t="str">
        <f aca="false">IF($O178="","",INDEX(Scoring!$Q$29:$Q$361,MATCH($O178,Scoring!$AB$29:$AB$361,0)))</f>
        <v>Priority 2</v>
      </c>
      <c r="E178" s="7" t="str">
        <f aca="false">IF($O178="","",INDEX(Scoring!$AJ$29:$AJ$361,MATCH($O178,Scoring!$AB$29:$AB$361,0)))</f>
        <v>Lower price · high volume</v>
      </c>
      <c r="F178" s="6" t="str">
        <f aca="false">IF($O178="","",INDEX(Scoring!$B$29:$B$361,MATCH($O178,Scoring!$AB$29:$AB$361,0)))</f>
        <v>Hydrocortisone</v>
      </c>
      <c r="G178" s="7" t="str">
        <f aca="false">IF($O178="","",INDEX(Scoring!$AG$29:$AG$361,MATCH($O178,Scoring!$AB$29:$AB$361,0)))</f>
        <v>Cortaject</v>
      </c>
      <c r="H178" s="7" t="str">
        <f aca="false">IF($O178="","",INDEX(Scoring!$C$29:$C$361,MATCH($O178,Scoring!$AB$29:$AB$361,0)))</f>
        <v>Endocrinology and critical care: adrenal crisis, anaphylaxis, severe asthma, shock</v>
      </c>
      <c r="I178" s="6" t="str">
        <f aca="false">IF($O178="","",INDEX(Scoring!$I$29:$I$361,MATCH($O178,Scoring!$AB$29:$AB$361,0)))</f>
        <v>Vial</v>
      </c>
      <c r="J178" s="7" t="str">
        <f aca="false">IF($O178="","",INDEX(Scoring!$Z$29:$Z$361,MATCH($O178,Scoring!$AB$29:$AB$361,0)))</f>
        <v>100 mg/5 mL vial</v>
      </c>
      <c r="K178" s="8" t="n">
        <f aca="false">IF($O178="","",IF(INDEX(Scoring!$D$29:$D$361,MATCH($O178,Scoring!$AB$29:$AB$361,0))="",INDEX(Scoring!$AF$29:$AF$361,MATCH($O178,Scoring!$AB$29:$AB$361,0)),INDEX(Scoring!$D$29:$D$361,MATCH($O178,Scoring!$AB$29:$AB$361,0))))</f>
        <v>6.94</v>
      </c>
      <c r="L178" s="9" t="n">
        <f aca="false">IF($O178="","",INDEX(Scoring!$M$29:$M$361,MATCH($O178,Scoring!$AB$29:$AB$361,0)))</f>
        <v>325</v>
      </c>
      <c r="M178" s="9" t="n">
        <f aca="false">IF($O178="","",INDEX(Scoring!$F$29:$F$361,MATCH($O178,Scoring!$AB$29:$AB$361,0)))</f>
        <v>4796.6</v>
      </c>
      <c r="N178" s="7" t="str">
        <f aca="false">IF($O178="","",INDEX(Scoring!$AI$29:$AI$361,MATCH($O178,Scoring!$AB$29:$AB$361,0)))</f>
        <v>South Africa</v>
      </c>
      <c r="O178" s="10" t="n">
        <f aca="false">IFERROR(SMALL(Scoring!$AB$29:$AB$361,174),"")</f>
        <v>17003</v>
      </c>
    </row>
    <row r="179" customFormat="false" ht="28.35" hidden="false" customHeight="false" outlineLevel="0" collapsed="false">
      <c r="A179" s="5" t="n">
        <f aca="false">IF($O179="","",INT($O179/1000))</f>
        <v>18</v>
      </c>
      <c r="B179" s="6" t="str">
        <f aca="false">IF($O179="","",INDEX(Scoring!$A$29:$A$361,MATCH($O179,Scoring!$AB$29:$AB$361,0)))</f>
        <v>Micro Labs</v>
      </c>
      <c r="C179" s="5" t="n">
        <f aca="false">IF($O179="","",IF(INDEX(Scoring!$P$29:$P$361,MATCH($O179,Scoring!$AB$29:$AB$361,0))="","–",INDEX(Scoring!$P$29:$P$361,MATCH($O179,Scoring!$AB$29:$AB$361,0))))</f>
        <v>1</v>
      </c>
      <c r="D179" s="6" t="str">
        <f aca="false">IF($O179="","",INDEX(Scoring!$Q$29:$Q$361,MATCH($O179,Scoring!$AB$29:$AB$361,0)))</f>
        <v>Priority 2</v>
      </c>
      <c r="E179" s="7" t="str">
        <f aca="false">IF($O179="","",INDEX(Scoring!$AJ$29:$AJ$361,MATCH($O179,Scoring!$AB$29:$AB$361,0)))</f>
        <v>High price · lower volume</v>
      </c>
      <c r="F179" s="6" t="str">
        <f aca="false">IF($O179="","",INDEX(Scoring!$B$29:$B$361,MATCH($O179,Scoring!$AB$29:$AB$361,0)))</f>
        <v>Carboprost</v>
      </c>
      <c r="G179" s="7" t="str">
        <f aca="false">IF($O179="","",INDEX(Scoring!$AG$29:$AG$361,MATCH($O179,Scoring!$AB$29:$AB$361,0)))</f>
        <v>Carboprost Tromethamine</v>
      </c>
      <c r="H179" s="7" t="str">
        <f aca="false">IF($O179="","",INDEX(Scoring!$C$29:$C$361,MATCH($O179,Scoring!$AB$29:$AB$361,0)))</f>
        <v>Women's health: postpartum haemorrhage, pregnancy termination</v>
      </c>
      <c r="I179" s="6" t="str">
        <f aca="false">IF($O179="","",INDEX(Scoring!$I$29:$I$361,MATCH($O179,Scoring!$AB$29:$AB$361,0)))</f>
        <v>Vial</v>
      </c>
      <c r="J179" s="7" t="str">
        <f aca="false">IF($O179="","",INDEX(Scoring!$Z$29:$Z$361,MATCH($O179,Scoring!$AB$29:$AB$361,0)))</f>
        <v>0.25 mg/1 mL vial</v>
      </c>
      <c r="K179" s="8" t="n">
        <f aca="false">IF($O179="","",IF(INDEX(Scoring!$D$29:$D$361,MATCH($O179,Scoring!$AB$29:$AB$361,0))="",INDEX(Scoring!$AF$29:$AF$361,MATCH($O179,Scoring!$AB$29:$AB$361,0)),INDEX(Scoring!$D$29:$D$361,MATCH($O179,Scoring!$AB$29:$AB$361,0))))</f>
        <v>30.01</v>
      </c>
      <c r="L179" s="9" t="n">
        <f aca="false">IF($O179="","",INDEX(Scoring!$M$29:$M$361,MATCH($O179,Scoring!$AB$29:$AB$361,0)))</f>
        <v>143</v>
      </c>
      <c r="M179" s="9" t="n">
        <f aca="false">IF($O179="","",INDEX(Scoring!$F$29:$F$361,MATCH($O179,Scoring!$AB$29:$AB$361,0)))</f>
        <v>3625.3</v>
      </c>
      <c r="N179" s="7" t="str">
        <f aca="false">IF($O179="","",INDEX(Scoring!$AI$29:$AI$361,MATCH($O179,Scoring!$AB$29:$AB$361,0)))</f>
        <v>US</v>
      </c>
      <c r="O179" s="10" t="n">
        <f aca="false">IFERROR(SMALL(Scoring!$AB$29:$AB$361,175),"")</f>
        <v>18001</v>
      </c>
    </row>
    <row r="180" customFormat="false" ht="28.35" hidden="false" customHeight="false" outlineLevel="0" collapsed="false">
      <c r="A180" s="5" t="n">
        <f aca="false">IF($O180="","",INT($O180/1000))</f>
        <v>18</v>
      </c>
      <c r="B180" s="6" t="str">
        <f aca="false">IF($O180="","",INDEX(Scoring!$A$29:$A$361,MATCH($O180,Scoring!$AB$29:$AB$361,0)))</f>
        <v>Micro Labs</v>
      </c>
      <c r="C180" s="5" t="n">
        <f aca="false">IF($O180="","",IF(INDEX(Scoring!$P$29:$P$361,MATCH($O180,Scoring!$AB$29:$AB$361,0))="","–",INDEX(Scoring!$P$29:$P$361,MATCH($O180,Scoring!$AB$29:$AB$361,0))))</f>
        <v>2</v>
      </c>
      <c r="D180" s="6" t="str">
        <f aca="false">IF($O180="","",INDEX(Scoring!$Q$29:$Q$361,MATCH($O180,Scoring!$AB$29:$AB$361,0)))</f>
        <v>Priority 2</v>
      </c>
      <c r="E180" s="7" t="str">
        <f aca="false">IF($O180="","",INDEX(Scoring!$AJ$29:$AJ$361,MATCH($O180,Scoring!$AB$29:$AB$361,0)))</f>
        <v>Lower price · high volume</v>
      </c>
      <c r="F180" s="6" t="str">
        <f aca="false">IF($O180="","",INDEX(Scoring!$B$29:$B$361,MATCH($O180,Scoring!$AB$29:$AB$361,0)))</f>
        <v>Succinylcholine (Suxamethonium)</v>
      </c>
      <c r="G180" s="7" t="str">
        <f aca="false">IF($O180="","",INDEX(Scoring!$AG$29:$AG$361,MATCH($O180,Scoring!$AB$29:$AB$361,0)))</f>
        <v>Succinylcholine Chloride</v>
      </c>
      <c r="H180" s="7" t="str">
        <f aca="false">IF($O180="","",INDEX(Scoring!$C$29:$C$361,MATCH($O180,Scoring!$AB$29:$AB$361,0)))</f>
        <v>Anaesthesia: muscle relaxant for rapid intubation</v>
      </c>
      <c r="I180" s="6" t="str">
        <f aca="false">IF($O180="","",INDEX(Scoring!$I$29:$I$361,MATCH($O180,Scoring!$AB$29:$AB$361,0)))</f>
        <v>Vial</v>
      </c>
      <c r="J180" s="7" t="str">
        <f aca="false">IF($O180="","",INDEX(Scoring!$Z$29:$Z$361,MATCH($O180,Scoring!$AB$29:$AB$361,0)))</f>
        <v>200 mg/10 mL vial</v>
      </c>
      <c r="K180" s="8" t="n">
        <f aca="false">IF($O180="","",IF(INDEX(Scoring!$D$29:$D$361,MATCH($O180,Scoring!$AB$29:$AB$361,0))="",INDEX(Scoring!$AF$29:$AF$361,MATCH($O180,Scoring!$AB$29:$AB$361,0)),INDEX(Scoring!$D$29:$D$361,MATCH($O180,Scoring!$AB$29:$AB$361,0))))</f>
        <v>5.03</v>
      </c>
      <c r="L180" s="9" t="n">
        <f aca="false">IF($O180="","",INDEX(Scoring!$M$29:$M$361,MATCH($O180,Scoring!$AB$29:$AB$361,0)))</f>
        <v>286</v>
      </c>
      <c r="M180" s="9" t="n">
        <f aca="false">IF($O180="","",INDEX(Scoring!$F$29:$F$361,MATCH($O180,Scoring!$AB$29:$AB$361,0)))</f>
        <v>3067.4</v>
      </c>
      <c r="N180" s="7" t="str">
        <f aca="false">IF($O180="","",INDEX(Scoring!$AI$29:$AI$361,MATCH($O180,Scoring!$AB$29:$AB$361,0)))</f>
        <v>US</v>
      </c>
      <c r="O180" s="10" t="n">
        <f aca="false">IFERROR(SMALL(Scoring!$AB$29:$AB$361,176),"")</f>
        <v>18002</v>
      </c>
    </row>
    <row r="181" customFormat="false" ht="28.35" hidden="false" customHeight="false" outlineLevel="0" collapsed="false">
      <c r="A181" s="5" t="n">
        <f aca="false">IF($O181="","",INT($O181/1000))</f>
        <v>18</v>
      </c>
      <c r="B181" s="6" t="str">
        <f aca="false">IF($O181="","",INDEX(Scoring!$A$29:$A$361,MATCH($O181,Scoring!$AB$29:$AB$361,0)))</f>
        <v>Micro Labs</v>
      </c>
      <c r="C181" s="5" t="n">
        <f aca="false">IF($O181="","",IF(INDEX(Scoring!$P$29:$P$361,MATCH($O181,Scoring!$AB$29:$AB$361,0))="","–",INDEX(Scoring!$P$29:$P$361,MATCH($O181,Scoring!$AB$29:$AB$361,0))))</f>
        <v>3</v>
      </c>
      <c r="D181" s="6" t="str">
        <f aca="false">IF($O181="","",INDEX(Scoring!$Q$29:$Q$361,MATCH($O181,Scoring!$AB$29:$AB$361,0)))</f>
        <v>Priority 2</v>
      </c>
      <c r="E181" s="7" t="str">
        <f aca="false">IF($O181="","",INDEX(Scoring!$AJ$29:$AJ$361,MATCH($O181,Scoring!$AB$29:$AB$361,0)))</f>
        <v>High price · lower volume</v>
      </c>
      <c r="F181" s="6" t="str">
        <f aca="false">IF($O181="","",INDEX(Scoring!$B$29:$B$361,MATCH($O181,Scoring!$AB$29:$AB$361,0)))</f>
        <v>Isoprenaline (Isoproterenol)</v>
      </c>
      <c r="G181" s="7" t="str">
        <f aca="false">IF($O181="","",INDEX(Scoring!$AG$29:$AG$361,MATCH($O181,Scoring!$AB$29:$AB$361,0)))</f>
        <v>Isoproterenol Hydrochloride; Isoprika</v>
      </c>
      <c r="H181" s="7" t="str">
        <f aca="false">IF($O181="","",INDEX(Scoring!$C$29:$C$361,MATCH($O181,Scoring!$AB$29:$AB$361,0)))</f>
        <v>Cardiovascular: heart block, severe slow heart rate</v>
      </c>
      <c r="I181" s="6" t="str">
        <f aca="false">IF($O181="","",INDEX(Scoring!$I$29:$I$361,MATCH($O181,Scoring!$AB$29:$AB$361,0)))</f>
        <v>Ampoule</v>
      </c>
      <c r="J181" s="7" t="str">
        <f aca="false">IF($O181="","",INDEX(Scoring!$Z$29:$Z$361,MATCH($O181,Scoring!$AB$29:$AB$361,0)))</f>
        <v>0.2 mg/1 mL ampoule; 1 mg/5 mL ampoule</v>
      </c>
      <c r="K181" s="8" t="n">
        <f aca="false">IF($O181="","",IF(INDEX(Scoring!$D$29:$D$361,MATCH($O181,Scoring!$AB$29:$AB$361,0))="",INDEX(Scoring!$AF$29:$AF$361,MATCH($O181,Scoring!$AB$29:$AB$361,0)),INDEX(Scoring!$D$29:$D$361,MATCH($O181,Scoring!$AB$29:$AB$361,0))))</f>
        <v>51.18</v>
      </c>
      <c r="L181" s="9" t="n">
        <f aca="false">IF($O181="","",INDEX(Scoring!$M$29:$M$361,MATCH($O181,Scoring!$AB$29:$AB$361,0)))</f>
        <v>87</v>
      </c>
      <c r="M181" s="9" t="n">
        <f aca="false">IF($O181="","",INDEX(Scoring!$F$29:$F$361,MATCH($O181,Scoring!$AB$29:$AB$361,0)))</f>
        <v>2931.4</v>
      </c>
      <c r="N181" s="7" t="str">
        <f aca="false">IF($O181="","",INDEX(Scoring!$AI$29:$AI$361,MATCH($O181,Scoring!$AB$29:$AB$361,0)))</f>
        <v>US, Australia</v>
      </c>
      <c r="O181" s="10" t="n">
        <f aca="false">IFERROR(SMALL(Scoring!$AB$29:$AB$361,177),"")</f>
        <v>18003</v>
      </c>
    </row>
    <row r="182" customFormat="false" ht="28.35" hidden="false" customHeight="false" outlineLevel="0" collapsed="false">
      <c r="A182" s="5" t="n">
        <f aca="false">IF($O182="","",INT($O182/1000))</f>
        <v>18</v>
      </c>
      <c r="B182" s="6" t="str">
        <f aca="false">IF($O182="","",INDEX(Scoring!$A$29:$A$361,MATCH($O182,Scoring!$AB$29:$AB$361,0)))</f>
        <v>Micro Labs</v>
      </c>
      <c r="C182" s="5" t="n">
        <f aca="false">IF($O182="","",IF(INDEX(Scoring!$P$29:$P$361,MATCH($O182,Scoring!$AB$29:$AB$361,0))="","–",INDEX(Scoring!$P$29:$P$361,MATCH($O182,Scoring!$AB$29:$AB$361,0))))</f>
        <v>4</v>
      </c>
      <c r="D182" s="6" t="str">
        <f aca="false">IF($O182="","",INDEX(Scoring!$Q$29:$Q$361,MATCH($O182,Scoring!$AB$29:$AB$361,0)))</f>
        <v>Priority 2</v>
      </c>
      <c r="E182" s="7" t="str">
        <f aca="false">IF($O182="","",INDEX(Scoring!$AJ$29:$AJ$361,MATCH($O182,Scoring!$AB$29:$AB$361,0)))</f>
        <v>High price · lower volume</v>
      </c>
      <c r="F182" s="6" t="str">
        <f aca="false">IF($O182="","",INDEX(Scoring!$B$29:$B$361,MATCH($O182,Scoring!$AB$29:$AB$361,0)))</f>
        <v>Cyclizine</v>
      </c>
      <c r="G182" s="7" t="str">
        <f aca="false">IF($O182="","",INDEX(Scoring!$AG$29:$AG$361,MATCH($O182,Scoring!$AB$29:$AB$361,0)))</f>
        <v>Cyclact</v>
      </c>
      <c r="H182" s="7" t="str">
        <f aca="false">IF($O182="","",INDEX(Scoring!$C$29:$C$361,MATCH($O182,Scoring!$AB$29:$AB$361,0)))</f>
        <v>Gastroenterology: nausea and vomiting after surgery or with opioids</v>
      </c>
      <c r="I182" s="6" t="str">
        <f aca="false">IF($O182="","",INDEX(Scoring!$I$29:$I$361,MATCH($O182,Scoring!$AB$29:$AB$361,0)))</f>
        <v>Ampoule</v>
      </c>
      <c r="J182" s="7" t="str">
        <f aca="false">IF($O182="","",INDEX(Scoring!$Z$29:$Z$361,MATCH($O182,Scoring!$AB$29:$AB$361,0)))</f>
        <v>50 mg/1 mL ampoule</v>
      </c>
      <c r="K182" s="8" t="n">
        <f aca="false">IF($O182="","",IF(INDEX(Scoring!$D$29:$D$361,MATCH($O182,Scoring!$AB$29:$AB$361,0))="",INDEX(Scoring!$AF$29:$AF$361,MATCH($O182,Scoring!$AB$29:$AB$361,0)),INDEX(Scoring!$D$29:$D$361,MATCH($O182,Scoring!$AB$29:$AB$361,0))))</f>
        <v>30.35</v>
      </c>
      <c r="L182" s="9" t="n">
        <f aca="false">IF($O182="","",INDEX(Scoring!$M$29:$M$361,MATCH($O182,Scoring!$AB$29:$AB$361,0)))</f>
        <v>24</v>
      </c>
      <c r="M182" s="9" t="n">
        <f aca="false">IF($O182="","",INDEX(Scoring!$F$29:$F$361,MATCH($O182,Scoring!$AB$29:$AB$361,0)))</f>
        <v>1296.8</v>
      </c>
      <c r="N182" s="7" t="str">
        <f aca="false">IF($O182="","",INDEX(Scoring!$AI$29:$AI$361,MATCH($O182,Scoring!$AB$29:$AB$361,0)))</f>
        <v>Australia, UK-NI</v>
      </c>
      <c r="O182" s="10" t="n">
        <f aca="false">IFERROR(SMALL(Scoring!$AB$29:$AB$361,178),"")</f>
        <v>18004</v>
      </c>
    </row>
    <row r="183" customFormat="false" ht="28.35" hidden="false" customHeight="false" outlineLevel="0" collapsed="false">
      <c r="A183" s="5" t="n">
        <f aca="false">IF($O183="","",INT($O183/1000))</f>
        <v>18</v>
      </c>
      <c r="B183" s="6" t="str">
        <f aca="false">IF($O183="","",INDEX(Scoring!$A$29:$A$361,MATCH($O183,Scoring!$AB$29:$AB$361,0)))</f>
        <v>Micro Labs</v>
      </c>
      <c r="C183" s="5" t="n">
        <f aca="false">IF($O183="","",IF(INDEX(Scoring!$P$29:$P$361,MATCH($O183,Scoring!$AB$29:$AB$361,0))="","–",INDEX(Scoring!$P$29:$P$361,MATCH($O183,Scoring!$AB$29:$AB$361,0))))</f>
        <v>5</v>
      </c>
      <c r="D183" s="6" t="str">
        <f aca="false">IF($O183="","",INDEX(Scoring!$Q$29:$Q$361,MATCH($O183,Scoring!$AB$29:$AB$361,0)))</f>
        <v>Priority 3</v>
      </c>
      <c r="E183" s="7" t="str">
        <f aca="false">IF($O183="","",INDEX(Scoring!$AJ$29:$AJ$361,MATCH($O183,Scoring!$AB$29:$AB$361,0)))</f>
        <v>Lower price · lower volume</v>
      </c>
      <c r="F183" s="6" t="str">
        <f aca="false">IF($O183="","",INDEX(Scoring!$B$29:$B$361,MATCH($O183,Scoring!$AB$29:$AB$361,0)))</f>
        <v>Lincomycin</v>
      </c>
      <c r="G183" s="7" t="str">
        <f aca="false">IF($O183="","",INDEX(Scoring!$AG$29:$AG$361,MATCH($O183,Scoring!$AB$29:$AB$361,0)))</f>
        <v>Lincomycin Hydrochloride</v>
      </c>
      <c r="H183" s="7" t="str">
        <f aca="false">IF($O183="","",INDEX(Scoring!$C$29:$C$361,MATCH($O183,Scoring!$AB$29:$AB$361,0)))</f>
        <v>Anti-infective: serious Gram-positive infections in penicillin-allergic patients</v>
      </c>
      <c r="I183" s="6" t="str">
        <f aca="false">IF($O183="","",INDEX(Scoring!$I$29:$I$361,MATCH($O183,Scoring!$AB$29:$AB$361,0)))</f>
        <v>Vial</v>
      </c>
      <c r="J183" s="7" t="str">
        <f aca="false">IF($O183="","",INDEX(Scoring!$Z$29:$Z$361,MATCH($O183,Scoring!$AB$29:$AB$361,0)))</f>
        <v>600 mg/2 mL vial</v>
      </c>
      <c r="K183" s="8" t="n">
        <f aca="false">IF($O183="","",IF(INDEX(Scoring!$D$29:$D$361,MATCH($O183,Scoring!$AB$29:$AB$361,0))="",INDEX(Scoring!$AF$29:$AF$361,MATCH($O183,Scoring!$AB$29:$AB$361,0)),INDEX(Scoring!$D$29:$D$361,MATCH($O183,Scoring!$AB$29:$AB$361,0))))</f>
        <v>22.55</v>
      </c>
      <c r="L183" s="9" t="n">
        <f aca="false">IF($O183="","",INDEX(Scoring!$M$29:$M$361,MATCH($O183,Scoring!$AB$29:$AB$361,0)))</f>
        <v>54</v>
      </c>
      <c r="M183" s="9" t="n">
        <f aca="false">IF($O183="","",INDEX(Scoring!$F$29:$F$361,MATCH($O183,Scoring!$AB$29:$AB$361,0)))</f>
        <v>1076.1</v>
      </c>
      <c r="N183" s="7" t="str">
        <f aca="false">IF($O183="","",INDEX(Scoring!$AI$29:$AI$361,MATCH($O183,Scoring!$AB$29:$AB$361,0)))</f>
        <v>US</v>
      </c>
      <c r="O183" s="10" t="n">
        <f aca="false">IFERROR(SMALL(Scoring!$AB$29:$AB$361,179),"")</f>
        <v>18005</v>
      </c>
    </row>
    <row r="184" customFormat="false" ht="28.35" hidden="false" customHeight="false" outlineLevel="0" collapsed="false">
      <c r="A184" s="5" t="n">
        <f aca="false">IF($O184="","",INT($O184/1000))</f>
        <v>18</v>
      </c>
      <c r="B184" s="6" t="str">
        <f aca="false">IF($O184="","",INDEX(Scoring!$A$29:$A$361,MATCH($O184,Scoring!$AB$29:$AB$361,0)))</f>
        <v>Micro Labs</v>
      </c>
      <c r="C184" s="5" t="n">
        <f aca="false">IF($O184="","",IF(INDEX(Scoring!$P$29:$P$361,MATCH($O184,Scoring!$AB$29:$AB$361,0))="","–",INDEX(Scoring!$P$29:$P$361,MATCH($O184,Scoring!$AB$29:$AB$361,0))))</f>
        <v>6</v>
      </c>
      <c r="D184" s="6" t="str">
        <f aca="false">IF($O184="","",INDEX(Scoring!$Q$29:$Q$361,MATCH($O184,Scoring!$AB$29:$AB$361,0)))</f>
        <v>Priority 3</v>
      </c>
      <c r="E184" s="7" t="str">
        <f aca="false">IF($O184="","",INDEX(Scoring!$AJ$29:$AJ$361,MATCH($O184,Scoring!$AB$29:$AB$361,0)))</f>
        <v>Lower price · lower volume</v>
      </c>
      <c r="F184" s="6" t="str">
        <f aca="false">IF($O184="","",INDEX(Scoring!$B$29:$B$361,MATCH($O184,Scoring!$AB$29:$AB$361,0)))</f>
        <v>Diphenhydramine</v>
      </c>
      <c r="G184" s="7" t="str">
        <f aca="false">IF($O184="","",INDEX(Scoring!$AG$29:$AG$361,MATCH($O184,Scoring!$AB$29:$AB$361,0)))</f>
        <v>Diphenhydramine Hydrochloride</v>
      </c>
      <c r="H184" s="7" t="str">
        <f aca="false">IF($O184="","",INDEX(Scoring!$C$29:$C$361,MATCH($O184,Scoring!$AB$29:$AB$361,0)))</f>
        <v>Allergy: acute allergic reactions, drug-induced dystonia</v>
      </c>
      <c r="I184" s="6" t="str">
        <f aca="false">IF($O184="","",INDEX(Scoring!$I$29:$I$361,MATCH($O184,Scoring!$AB$29:$AB$361,0)))</f>
        <v>Vial</v>
      </c>
      <c r="J184" s="7" t="str">
        <f aca="false">IF($O184="","",INDEX(Scoring!$Z$29:$Z$361,MATCH($O184,Scoring!$AB$29:$AB$361,0)))</f>
        <v>500 mg/10 mL vial</v>
      </c>
      <c r="K184" s="8" t="n">
        <f aca="false">IF($O184="","",IF(INDEX(Scoring!$D$29:$D$361,MATCH($O184,Scoring!$AB$29:$AB$361,0))="",INDEX(Scoring!$AF$29:$AF$361,MATCH($O184,Scoring!$AB$29:$AB$361,0)),INDEX(Scoring!$D$29:$D$361,MATCH($O184,Scoring!$AB$29:$AB$361,0))))</f>
        <v>18</v>
      </c>
      <c r="L184" s="9" t="n">
        <f aca="false">IF($O184="","",INDEX(Scoring!$M$29:$M$361,MATCH($O184,Scoring!$AB$29:$AB$361,0)))</f>
        <v>14</v>
      </c>
      <c r="M184" s="9" t="n">
        <f aca="false">IF($O184="","",INDEX(Scoring!$F$29:$F$361,MATCH($O184,Scoring!$AB$29:$AB$361,0)))</f>
        <v>513.2</v>
      </c>
      <c r="N184" s="7" t="str">
        <f aca="false">IF($O184="","",INDEX(Scoring!$AI$29:$AI$361,MATCH($O184,Scoring!$AB$29:$AB$361,0)))</f>
        <v>US</v>
      </c>
      <c r="O184" s="10" t="n">
        <f aca="false">IFERROR(SMALL(Scoring!$AB$29:$AB$361,180),"")</f>
        <v>18006</v>
      </c>
    </row>
    <row r="185" customFormat="false" ht="28.35" hidden="false" customHeight="false" outlineLevel="0" collapsed="false">
      <c r="A185" s="5" t="n">
        <f aca="false">IF($O185="","",INT($O185/1000))</f>
        <v>19</v>
      </c>
      <c r="B185" s="6" t="str">
        <f aca="false">IF($O185="","",INDEX(Scoring!$A$29:$A$361,MATCH($O185,Scoring!$AB$29:$AB$361,0)))</f>
        <v>Piramal</v>
      </c>
      <c r="C185" s="5" t="n">
        <f aca="false">IF($O185="","",IF(INDEX(Scoring!$P$29:$P$361,MATCH($O185,Scoring!$AB$29:$AB$361,0))="","–",INDEX(Scoring!$P$29:$P$361,MATCH($O185,Scoring!$AB$29:$AB$361,0))))</f>
        <v>1</v>
      </c>
      <c r="D185" s="6" t="str">
        <f aca="false">IF($O185="","",INDEX(Scoring!$Q$29:$Q$361,MATCH($O185,Scoring!$AB$29:$AB$361,0)))</f>
        <v>Priority 3</v>
      </c>
      <c r="E185" s="7" t="str">
        <f aca="false">IF($O185="","",INDEX(Scoring!$AJ$29:$AJ$361,MATCH($O185,Scoring!$AB$29:$AB$361,0)))</f>
        <v>Lower price · lower volume</v>
      </c>
      <c r="F185" s="6" t="str">
        <f aca="false">IF($O185="","",INDEX(Scoring!$B$29:$B$361,MATCH($O185,Scoring!$AB$29:$AB$361,0)))</f>
        <v>Fentanyl</v>
      </c>
      <c r="G185" s="7" t="str">
        <f aca="false">IF($O185="","",INDEX(Scoring!$AG$29:$AG$361,MATCH($O185,Scoring!$AB$29:$AB$361,0)))</f>
        <v>Sublimaze</v>
      </c>
      <c r="H185" s="7" t="str">
        <f aca="false">IF($O185="","",INDEX(Scoring!$C$29:$C$361,MATCH($O185,Scoring!$AB$29:$AB$361,0)))</f>
        <v>Anaesthesia and pain: opioid pain relief in surgery and ICU</v>
      </c>
      <c r="I185" s="6" t="str">
        <f aca="false">IF($O185="","",INDEX(Scoring!$I$29:$I$361,MATCH($O185,Scoring!$AB$29:$AB$361,0)))</f>
        <v>Ampoule</v>
      </c>
      <c r="J185" s="7" t="str">
        <f aca="false">IF($O185="","",INDEX(Scoring!$Z$29:$Z$361,MATCH($O185,Scoring!$AB$29:$AB$361,0)))</f>
        <v>100 mcg/2 mL ampoule; 500 mcg/10 mL ampoule</v>
      </c>
      <c r="K185" s="8" t="n">
        <f aca="false">IF($O185="","",IF(INDEX(Scoring!$D$29:$D$361,MATCH($O185,Scoring!$AB$29:$AB$361,0))="",INDEX(Scoring!$AF$29:$AF$361,MATCH($O185,Scoring!$AB$29:$AB$361,0)),INDEX(Scoring!$D$29:$D$361,MATCH($O185,Scoring!$AB$29:$AB$361,0))))</f>
        <v>15.8</v>
      </c>
      <c r="L185" s="9" t="n">
        <f aca="false">IF($O185="","",INDEX(Scoring!$M$29:$M$361,MATCH($O185,Scoring!$AB$29:$AB$361,0)))</f>
        <v>15</v>
      </c>
      <c r="M185" s="9" t="n">
        <f aca="false">IF($O185="","",INDEX(Scoring!$F$29:$F$361,MATCH($O185,Scoring!$AB$29:$AB$361,0)))</f>
        <v>287.5</v>
      </c>
      <c r="N185" s="7" t="str">
        <f aca="false">IF($O185="","",INDEX(Scoring!$AI$29:$AI$361,MATCH($O185,Scoring!$AB$29:$AB$361,0)))</f>
        <v>South Africa, UK-NI | EU/EEA (16): Germany, France, Netherlands, Belgium + 12 more</v>
      </c>
      <c r="O185" s="10" t="n">
        <f aca="false">IFERROR(SMALL(Scoring!$AB$29:$AB$361,181),"")</f>
        <v>19001</v>
      </c>
    </row>
    <row r="186" customFormat="false" ht="15" hidden="false" customHeight="false" outlineLevel="0" collapsed="false">
      <c r="A186" s="5" t="str">
        <f aca="false">IF($O186="","",INT($O186/1000))</f>
        <v/>
      </c>
      <c r="B186" s="6" t="str">
        <f aca="false">IF($O186="","",INDEX(Scoring!$A$29:$A$361,MATCH($O186,Scoring!$AB$29:$AB$361,0)))</f>
        <v/>
      </c>
      <c r="C186" s="5" t="str">
        <f aca="false">IF($O186="","",IF(INDEX(Scoring!$P$29:$P$361,MATCH($O186,Scoring!$AB$29:$AB$361,0))="","–",INDEX(Scoring!$P$29:$P$361,MATCH($O186,Scoring!$AB$29:$AB$361,0))))</f>
        <v/>
      </c>
      <c r="D186" s="6" t="str">
        <f aca="false">IF($O186="","",INDEX(Scoring!$Q$29:$Q$361,MATCH($O186,Scoring!$AB$29:$AB$361,0)))</f>
        <v/>
      </c>
      <c r="E186" s="7" t="str">
        <f aca="false">IF($O186="","",INDEX(Scoring!$AJ$29:$AJ$361,MATCH($O186,Scoring!$AB$29:$AB$361,0)))</f>
        <v/>
      </c>
      <c r="F186" s="6" t="str">
        <f aca="false">IF($O186="","",INDEX(Scoring!$B$29:$B$361,MATCH($O186,Scoring!$AB$29:$AB$361,0)))</f>
        <v/>
      </c>
      <c r="G186" s="7" t="str">
        <f aca="false">IF($O186="","",INDEX(Scoring!$AG$29:$AG$361,MATCH($O186,Scoring!$AB$29:$AB$361,0)))</f>
        <v/>
      </c>
      <c r="H186" s="7" t="str">
        <f aca="false">IF($O186="","",INDEX(Scoring!$C$29:$C$361,MATCH($O186,Scoring!$AB$29:$AB$361,0)))</f>
        <v/>
      </c>
      <c r="I186" s="6" t="str">
        <f aca="false">IF($O186="","",INDEX(Scoring!$I$29:$I$361,MATCH($O186,Scoring!$AB$29:$AB$361,0)))</f>
        <v/>
      </c>
      <c r="J186" s="7" t="str">
        <f aca="false">IF($O186="","",INDEX(Scoring!$Z$29:$Z$361,MATCH($O186,Scoring!$AB$29:$AB$361,0)))</f>
        <v/>
      </c>
      <c r="K186" s="8" t="str">
        <f aca="false">IF($O186="","",IF(INDEX(Scoring!$D$29:$D$361,MATCH($O186,Scoring!$AB$29:$AB$361,0))="",INDEX(Scoring!$AF$29:$AF$361,MATCH($O186,Scoring!$AB$29:$AB$361,0)),INDEX(Scoring!$D$29:$D$361,MATCH($O186,Scoring!$AB$29:$AB$361,0))))</f>
        <v/>
      </c>
      <c r="L186" s="9" t="str">
        <f aca="false">IF($O186="","",INDEX(Scoring!$M$29:$M$361,MATCH($O186,Scoring!$AB$29:$AB$361,0)))</f>
        <v/>
      </c>
      <c r="M186" s="9" t="str">
        <f aca="false">IF($O186="","",INDEX(Scoring!$F$29:$F$361,MATCH($O186,Scoring!$AB$29:$AB$361,0)))</f>
        <v/>
      </c>
      <c r="N186" s="7" t="str">
        <f aca="false">IF($O186="","",INDEX(Scoring!$AI$29:$AI$361,MATCH($O186,Scoring!$AB$29:$AB$361,0)))</f>
        <v/>
      </c>
      <c r="O186" s="10" t="str">
        <f aca="false">IFERROR(SMALL(Scoring!$AB$29:$AB$361,182),"")</f>
        <v/>
      </c>
    </row>
    <row r="187" customFormat="false" ht="15" hidden="false" customHeight="false" outlineLevel="0" collapsed="false">
      <c r="A187" s="5" t="str">
        <f aca="false">IF($O187="","",INT($O187/1000))</f>
        <v/>
      </c>
      <c r="B187" s="6" t="str">
        <f aca="false">IF($O187="","",INDEX(Scoring!$A$29:$A$361,MATCH($O187,Scoring!$AB$29:$AB$361,0)))</f>
        <v/>
      </c>
      <c r="C187" s="5" t="str">
        <f aca="false">IF($O187="","",IF(INDEX(Scoring!$P$29:$P$361,MATCH($O187,Scoring!$AB$29:$AB$361,0))="","–",INDEX(Scoring!$P$29:$P$361,MATCH($O187,Scoring!$AB$29:$AB$361,0))))</f>
        <v/>
      </c>
      <c r="D187" s="6" t="str">
        <f aca="false">IF($O187="","",INDEX(Scoring!$Q$29:$Q$361,MATCH($O187,Scoring!$AB$29:$AB$361,0)))</f>
        <v/>
      </c>
      <c r="E187" s="7" t="str">
        <f aca="false">IF($O187="","",INDEX(Scoring!$AJ$29:$AJ$361,MATCH($O187,Scoring!$AB$29:$AB$361,0)))</f>
        <v/>
      </c>
      <c r="F187" s="6" t="str">
        <f aca="false">IF($O187="","",INDEX(Scoring!$B$29:$B$361,MATCH($O187,Scoring!$AB$29:$AB$361,0)))</f>
        <v/>
      </c>
      <c r="G187" s="7" t="str">
        <f aca="false">IF($O187="","",INDEX(Scoring!$AG$29:$AG$361,MATCH($O187,Scoring!$AB$29:$AB$361,0)))</f>
        <v/>
      </c>
      <c r="H187" s="7" t="str">
        <f aca="false">IF($O187="","",INDEX(Scoring!$C$29:$C$361,MATCH($O187,Scoring!$AB$29:$AB$361,0)))</f>
        <v/>
      </c>
      <c r="I187" s="6" t="str">
        <f aca="false">IF($O187="","",INDEX(Scoring!$I$29:$I$361,MATCH($O187,Scoring!$AB$29:$AB$361,0)))</f>
        <v/>
      </c>
      <c r="J187" s="7" t="str">
        <f aca="false">IF($O187="","",INDEX(Scoring!$Z$29:$Z$361,MATCH($O187,Scoring!$AB$29:$AB$361,0)))</f>
        <v/>
      </c>
      <c r="K187" s="8" t="str">
        <f aca="false">IF($O187="","",IF(INDEX(Scoring!$D$29:$D$361,MATCH($O187,Scoring!$AB$29:$AB$361,0))="",INDEX(Scoring!$AF$29:$AF$361,MATCH($O187,Scoring!$AB$29:$AB$361,0)),INDEX(Scoring!$D$29:$D$361,MATCH($O187,Scoring!$AB$29:$AB$361,0))))</f>
        <v/>
      </c>
      <c r="L187" s="9" t="str">
        <f aca="false">IF($O187="","",INDEX(Scoring!$M$29:$M$361,MATCH($O187,Scoring!$AB$29:$AB$361,0)))</f>
        <v/>
      </c>
      <c r="M187" s="9" t="str">
        <f aca="false">IF($O187="","",INDEX(Scoring!$F$29:$F$361,MATCH($O187,Scoring!$AB$29:$AB$361,0)))</f>
        <v/>
      </c>
      <c r="N187" s="7" t="str">
        <f aca="false">IF($O187="","",INDEX(Scoring!$AI$29:$AI$361,MATCH($O187,Scoring!$AB$29:$AB$361,0)))</f>
        <v/>
      </c>
      <c r="O187" s="10" t="str">
        <f aca="false">IFERROR(SMALL(Scoring!$AB$29:$AB$361,183),"")</f>
        <v/>
      </c>
    </row>
    <row r="188" customFormat="false" ht="15" hidden="false" customHeight="false" outlineLevel="0" collapsed="false">
      <c r="A188" s="5" t="str">
        <f aca="false">IF($O188="","",INT($O188/1000))</f>
        <v/>
      </c>
      <c r="B188" s="6" t="str">
        <f aca="false">IF($O188="","",INDEX(Scoring!$A$29:$A$361,MATCH($O188,Scoring!$AB$29:$AB$361,0)))</f>
        <v/>
      </c>
      <c r="C188" s="5" t="str">
        <f aca="false">IF($O188="","",IF(INDEX(Scoring!$P$29:$P$361,MATCH($O188,Scoring!$AB$29:$AB$361,0))="","–",INDEX(Scoring!$P$29:$P$361,MATCH($O188,Scoring!$AB$29:$AB$361,0))))</f>
        <v/>
      </c>
      <c r="D188" s="6" t="str">
        <f aca="false">IF($O188="","",INDEX(Scoring!$Q$29:$Q$361,MATCH($O188,Scoring!$AB$29:$AB$361,0)))</f>
        <v/>
      </c>
      <c r="E188" s="7" t="str">
        <f aca="false">IF($O188="","",INDEX(Scoring!$AJ$29:$AJ$361,MATCH($O188,Scoring!$AB$29:$AB$361,0)))</f>
        <v/>
      </c>
      <c r="F188" s="6" t="str">
        <f aca="false">IF($O188="","",INDEX(Scoring!$B$29:$B$361,MATCH($O188,Scoring!$AB$29:$AB$361,0)))</f>
        <v/>
      </c>
      <c r="G188" s="7" t="str">
        <f aca="false">IF($O188="","",INDEX(Scoring!$AG$29:$AG$361,MATCH($O188,Scoring!$AB$29:$AB$361,0)))</f>
        <v/>
      </c>
      <c r="H188" s="7" t="str">
        <f aca="false">IF($O188="","",INDEX(Scoring!$C$29:$C$361,MATCH($O188,Scoring!$AB$29:$AB$361,0)))</f>
        <v/>
      </c>
      <c r="I188" s="6" t="str">
        <f aca="false">IF($O188="","",INDEX(Scoring!$I$29:$I$361,MATCH($O188,Scoring!$AB$29:$AB$361,0)))</f>
        <v/>
      </c>
      <c r="J188" s="7" t="str">
        <f aca="false">IF($O188="","",INDEX(Scoring!$Z$29:$Z$361,MATCH($O188,Scoring!$AB$29:$AB$361,0)))</f>
        <v/>
      </c>
      <c r="K188" s="8" t="str">
        <f aca="false">IF($O188="","",IF(INDEX(Scoring!$D$29:$D$361,MATCH($O188,Scoring!$AB$29:$AB$361,0))="",INDEX(Scoring!$AF$29:$AF$361,MATCH($O188,Scoring!$AB$29:$AB$361,0)),INDEX(Scoring!$D$29:$D$361,MATCH($O188,Scoring!$AB$29:$AB$361,0))))</f>
        <v/>
      </c>
      <c r="L188" s="9" t="str">
        <f aca="false">IF($O188="","",INDEX(Scoring!$M$29:$M$361,MATCH($O188,Scoring!$AB$29:$AB$361,0)))</f>
        <v/>
      </c>
      <c r="M188" s="9" t="str">
        <f aca="false">IF($O188="","",INDEX(Scoring!$F$29:$F$361,MATCH($O188,Scoring!$AB$29:$AB$361,0)))</f>
        <v/>
      </c>
      <c r="N188" s="7" t="str">
        <f aca="false">IF($O188="","",INDEX(Scoring!$AI$29:$AI$361,MATCH($O188,Scoring!$AB$29:$AB$361,0)))</f>
        <v/>
      </c>
      <c r="O188" s="10" t="str">
        <f aca="false">IFERROR(SMALL(Scoring!$AB$29:$AB$361,184),"")</f>
        <v/>
      </c>
    </row>
    <row r="189" customFormat="false" ht="15" hidden="false" customHeight="false" outlineLevel="0" collapsed="false">
      <c r="A189" s="5" t="str">
        <f aca="false">IF($O189="","",INT($O189/1000))</f>
        <v/>
      </c>
      <c r="B189" s="6" t="str">
        <f aca="false">IF($O189="","",INDEX(Scoring!$A$29:$A$361,MATCH($O189,Scoring!$AB$29:$AB$361,0)))</f>
        <v/>
      </c>
      <c r="C189" s="5" t="str">
        <f aca="false">IF($O189="","",IF(INDEX(Scoring!$P$29:$P$361,MATCH($O189,Scoring!$AB$29:$AB$361,0))="","–",INDEX(Scoring!$P$29:$P$361,MATCH($O189,Scoring!$AB$29:$AB$361,0))))</f>
        <v/>
      </c>
      <c r="D189" s="6" t="str">
        <f aca="false">IF($O189="","",INDEX(Scoring!$Q$29:$Q$361,MATCH($O189,Scoring!$AB$29:$AB$361,0)))</f>
        <v/>
      </c>
      <c r="E189" s="7" t="str">
        <f aca="false">IF($O189="","",INDEX(Scoring!$AJ$29:$AJ$361,MATCH($O189,Scoring!$AB$29:$AB$361,0)))</f>
        <v/>
      </c>
      <c r="F189" s="6" t="str">
        <f aca="false">IF($O189="","",INDEX(Scoring!$B$29:$B$361,MATCH($O189,Scoring!$AB$29:$AB$361,0)))</f>
        <v/>
      </c>
      <c r="G189" s="7" t="str">
        <f aca="false">IF($O189="","",INDEX(Scoring!$AG$29:$AG$361,MATCH($O189,Scoring!$AB$29:$AB$361,0)))</f>
        <v/>
      </c>
      <c r="H189" s="7" t="str">
        <f aca="false">IF($O189="","",INDEX(Scoring!$C$29:$C$361,MATCH($O189,Scoring!$AB$29:$AB$361,0)))</f>
        <v/>
      </c>
      <c r="I189" s="6" t="str">
        <f aca="false">IF($O189="","",INDEX(Scoring!$I$29:$I$361,MATCH($O189,Scoring!$AB$29:$AB$361,0)))</f>
        <v/>
      </c>
      <c r="J189" s="7" t="str">
        <f aca="false">IF($O189="","",INDEX(Scoring!$Z$29:$Z$361,MATCH($O189,Scoring!$AB$29:$AB$361,0)))</f>
        <v/>
      </c>
      <c r="K189" s="8" t="str">
        <f aca="false">IF($O189="","",IF(INDEX(Scoring!$D$29:$D$361,MATCH($O189,Scoring!$AB$29:$AB$361,0))="",INDEX(Scoring!$AF$29:$AF$361,MATCH($O189,Scoring!$AB$29:$AB$361,0)),INDEX(Scoring!$D$29:$D$361,MATCH($O189,Scoring!$AB$29:$AB$361,0))))</f>
        <v/>
      </c>
      <c r="L189" s="9" t="str">
        <f aca="false">IF($O189="","",INDEX(Scoring!$M$29:$M$361,MATCH($O189,Scoring!$AB$29:$AB$361,0)))</f>
        <v/>
      </c>
      <c r="M189" s="9" t="str">
        <f aca="false">IF($O189="","",INDEX(Scoring!$F$29:$F$361,MATCH($O189,Scoring!$AB$29:$AB$361,0)))</f>
        <v/>
      </c>
      <c r="N189" s="7" t="str">
        <f aca="false">IF($O189="","",INDEX(Scoring!$AI$29:$AI$361,MATCH($O189,Scoring!$AB$29:$AB$361,0)))</f>
        <v/>
      </c>
      <c r="O189" s="10" t="str">
        <f aca="false">IFERROR(SMALL(Scoring!$AB$29:$AB$361,185),"")</f>
        <v/>
      </c>
    </row>
    <row r="190" customFormat="false" ht="15" hidden="false" customHeight="false" outlineLevel="0" collapsed="false">
      <c r="A190" s="5" t="str">
        <f aca="false">IF($O190="","",INT($O190/1000))</f>
        <v/>
      </c>
      <c r="B190" s="6" t="str">
        <f aca="false">IF($O190="","",INDEX(Scoring!$A$29:$A$361,MATCH($O190,Scoring!$AB$29:$AB$361,0)))</f>
        <v/>
      </c>
      <c r="C190" s="5" t="str">
        <f aca="false">IF($O190="","",IF(INDEX(Scoring!$P$29:$P$361,MATCH($O190,Scoring!$AB$29:$AB$361,0))="","–",INDEX(Scoring!$P$29:$P$361,MATCH($O190,Scoring!$AB$29:$AB$361,0))))</f>
        <v/>
      </c>
      <c r="D190" s="6" t="str">
        <f aca="false">IF($O190="","",INDEX(Scoring!$Q$29:$Q$361,MATCH($O190,Scoring!$AB$29:$AB$361,0)))</f>
        <v/>
      </c>
      <c r="E190" s="7" t="str">
        <f aca="false">IF($O190="","",INDEX(Scoring!$AJ$29:$AJ$361,MATCH($O190,Scoring!$AB$29:$AB$361,0)))</f>
        <v/>
      </c>
      <c r="F190" s="6" t="str">
        <f aca="false">IF($O190="","",INDEX(Scoring!$B$29:$B$361,MATCH($O190,Scoring!$AB$29:$AB$361,0)))</f>
        <v/>
      </c>
      <c r="G190" s="7" t="str">
        <f aca="false">IF($O190="","",INDEX(Scoring!$AG$29:$AG$361,MATCH($O190,Scoring!$AB$29:$AB$361,0)))</f>
        <v/>
      </c>
      <c r="H190" s="7" t="str">
        <f aca="false">IF($O190="","",INDEX(Scoring!$C$29:$C$361,MATCH($O190,Scoring!$AB$29:$AB$361,0)))</f>
        <v/>
      </c>
      <c r="I190" s="6" t="str">
        <f aca="false">IF($O190="","",INDEX(Scoring!$I$29:$I$361,MATCH($O190,Scoring!$AB$29:$AB$361,0)))</f>
        <v/>
      </c>
      <c r="J190" s="7" t="str">
        <f aca="false">IF($O190="","",INDEX(Scoring!$Z$29:$Z$361,MATCH($O190,Scoring!$AB$29:$AB$361,0)))</f>
        <v/>
      </c>
      <c r="K190" s="8" t="str">
        <f aca="false">IF($O190="","",IF(INDEX(Scoring!$D$29:$D$361,MATCH($O190,Scoring!$AB$29:$AB$361,0))="",INDEX(Scoring!$AF$29:$AF$361,MATCH($O190,Scoring!$AB$29:$AB$361,0)),INDEX(Scoring!$D$29:$D$361,MATCH($O190,Scoring!$AB$29:$AB$361,0))))</f>
        <v/>
      </c>
      <c r="L190" s="9" t="str">
        <f aca="false">IF($O190="","",INDEX(Scoring!$M$29:$M$361,MATCH($O190,Scoring!$AB$29:$AB$361,0)))</f>
        <v/>
      </c>
      <c r="M190" s="9" t="str">
        <f aca="false">IF($O190="","",INDEX(Scoring!$F$29:$F$361,MATCH($O190,Scoring!$AB$29:$AB$361,0)))</f>
        <v/>
      </c>
      <c r="N190" s="7" t="str">
        <f aca="false">IF($O190="","",INDEX(Scoring!$AI$29:$AI$361,MATCH($O190,Scoring!$AB$29:$AB$361,0)))</f>
        <v/>
      </c>
      <c r="O190" s="10" t="str">
        <f aca="false">IFERROR(SMALL(Scoring!$AB$29:$AB$361,186),"")</f>
        <v/>
      </c>
    </row>
    <row r="191" customFormat="false" ht="15" hidden="false" customHeight="false" outlineLevel="0" collapsed="false">
      <c r="A191" s="5" t="str">
        <f aca="false">IF($O191="","",INT($O191/1000))</f>
        <v/>
      </c>
      <c r="B191" s="6" t="str">
        <f aca="false">IF($O191="","",INDEX(Scoring!$A$29:$A$361,MATCH($O191,Scoring!$AB$29:$AB$361,0)))</f>
        <v/>
      </c>
      <c r="C191" s="5" t="str">
        <f aca="false">IF($O191="","",IF(INDEX(Scoring!$P$29:$P$361,MATCH($O191,Scoring!$AB$29:$AB$361,0))="","–",INDEX(Scoring!$P$29:$P$361,MATCH($O191,Scoring!$AB$29:$AB$361,0))))</f>
        <v/>
      </c>
      <c r="D191" s="6" t="str">
        <f aca="false">IF($O191="","",INDEX(Scoring!$Q$29:$Q$361,MATCH($O191,Scoring!$AB$29:$AB$361,0)))</f>
        <v/>
      </c>
      <c r="E191" s="7" t="str">
        <f aca="false">IF($O191="","",INDEX(Scoring!$AJ$29:$AJ$361,MATCH($O191,Scoring!$AB$29:$AB$361,0)))</f>
        <v/>
      </c>
      <c r="F191" s="6" t="str">
        <f aca="false">IF($O191="","",INDEX(Scoring!$B$29:$B$361,MATCH($O191,Scoring!$AB$29:$AB$361,0)))</f>
        <v/>
      </c>
      <c r="G191" s="7" t="str">
        <f aca="false">IF($O191="","",INDEX(Scoring!$AG$29:$AG$361,MATCH($O191,Scoring!$AB$29:$AB$361,0)))</f>
        <v/>
      </c>
      <c r="H191" s="7" t="str">
        <f aca="false">IF($O191="","",INDEX(Scoring!$C$29:$C$361,MATCH($O191,Scoring!$AB$29:$AB$361,0)))</f>
        <v/>
      </c>
      <c r="I191" s="6" t="str">
        <f aca="false">IF($O191="","",INDEX(Scoring!$I$29:$I$361,MATCH($O191,Scoring!$AB$29:$AB$361,0)))</f>
        <v/>
      </c>
      <c r="J191" s="7" t="str">
        <f aca="false">IF($O191="","",INDEX(Scoring!$Z$29:$Z$361,MATCH($O191,Scoring!$AB$29:$AB$361,0)))</f>
        <v/>
      </c>
      <c r="K191" s="8" t="str">
        <f aca="false">IF($O191="","",IF(INDEX(Scoring!$D$29:$D$361,MATCH($O191,Scoring!$AB$29:$AB$361,0))="",INDEX(Scoring!$AF$29:$AF$361,MATCH($O191,Scoring!$AB$29:$AB$361,0)),INDEX(Scoring!$D$29:$D$361,MATCH($O191,Scoring!$AB$29:$AB$361,0))))</f>
        <v/>
      </c>
      <c r="L191" s="9" t="str">
        <f aca="false">IF($O191="","",INDEX(Scoring!$M$29:$M$361,MATCH($O191,Scoring!$AB$29:$AB$361,0)))</f>
        <v/>
      </c>
      <c r="M191" s="9" t="str">
        <f aca="false">IF($O191="","",INDEX(Scoring!$F$29:$F$361,MATCH($O191,Scoring!$AB$29:$AB$361,0)))</f>
        <v/>
      </c>
      <c r="N191" s="7" t="str">
        <f aca="false">IF($O191="","",INDEX(Scoring!$AI$29:$AI$361,MATCH($O191,Scoring!$AB$29:$AB$361,0)))</f>
        <v/>
      </c>
      <c r="O191" s="10" t="str">
        <f aca="false">IFERROR(SMALL(Scoring!$AB$29:$AB$361,187),"")</f>
        <v/>
      </c>
    </row>
    <row r="192" customFormat="false" ht="15" hidden="false" customHeight="false" outlineLevel="0" collapsed="false">
      <c r="A192" s="5" t="str">
        <f aca="false">IF($O192="","",INT($O192/1000))</f>
        <v/>
      </c>
      <c r="B192" s="6" t="str">
        <f aca="false">IF($O192="","",INDEX(Scoring!$A$29:$A$361,MATCH($O192,Scoring!$AB$29:$AB$361,0)))</f>
        <v/>
      </c>
      <c r="C192" s="5" t="str">
        <f aca="false">IF($O192="","",IF(INDEX(Scoring!$P$29:$P$361,MATCH($O192,Scoring!$AB$29:$AB$361,0))="","–",INDEX(Scoring!$P$29:$P$361,MATCH($O192,Scoring!$AB$29:$AB$361,0))))</f>
        <v/>
      </c>
      <c r="D192" s="6" t="str">
        <f aca="false">IF($O192="","",INDEX(Scoring!$Q$29:$Q$361,MATCH($O192,Scoring!$AB$29:$AB$361,0)))</f>
        <v/>
      </c>
      <c r="E192" s="7" t="str">
        <f aca="false">IF($O192="","",INDEX(Scoring!$AJ$29:$AJ$361,MATCH($O192,Scoring!$AB$29:$AB$361,0)))</f>
        <v/>
      </c>
      <c r="F192" s="6" t="str">
        <f aca="false">IF($O192="","",INDEX(Scoring!$B$29:$B$361,MATCH($O192,Scoring!$AB$29:$AB$361,0)))</f>
        <v/>
      </c>
      <c r="G192" s="7" t="str">
        <f aca="false">IF($O192="","",INDEX(Scoring!$AG$29:$AG$361,MATCH($O192,Scoring!$AB$29:$AB$361,0)))</f>
        <v/>
      </c>
      <c r="H192" s="7" t="str">
        <f aca="false">IF($O192="","",INDEX(Scoring!$C$29:$C$361,MATCH($O192,Scoring!$AB$29:$AB$361,0)))</f>
        <v/>
      </c>
      <c r="I192" s="6" t="str">
        <f aca="false">IF($O192="","",INDEX(Scoring!$I$29:$I$361,MATCH($O192,Scoring!$AB$29:$AB$361,0)))</f>
        <v/>
      </c>
      <c r="J192" s="7" t="str">
        <f aca="false">IF($O192="","",INDEX(Scoring!$Z$29:$Z$361,MATCH($O192,Scoring!$AB$29:$AB$361,0)))</f>
        <v/>
      </c>
      <c r="K192" s="8" t="str">
        <f aca="false">IF($O192="","",IF(INDEX(Scoring!$D$29:$D$361,MATCH($O192,Scoring!$AB$29:$AB$361,0))="",INDEX(Scoring!$AF$29:$AF$361,MATCH($O192,Scoring!$AB$29:$AB$361,0)),INDEX(Scoring!$D$29:$D$361,MATCH($O192,Scoring!$AB$29:$AB$361,0))))</f>
        <v/>
      </c>
      <c r="L192" s="9" t="str">
        <f aca="false">IF($O192="","",INDEX(Scoring!$M$29:$M$361,MATCH($O192,Scoring!$AB$29:$AB$361,0)))</f>
        <v/>
      </c>
      <c r="M192" s="9" t="str">
        <f aca="false">IF($O192="","",INDEX(Scoring!$F$29:$F$361,MATCH($O192,Scoring!$AB$29:$AB$361,0)))</f>
        <v/>
      </c>
      <c r="N192" s="7" t="str">
        <f aca="false">IF($O192="","",INDEX(Scoring!$AI$29:$AI$361,MATCH($O192,Scoring!$AB$29:$AB$361,0)))</f>
        <v/>
      </c>
      <c r="O192" s="10" t="str">
        <f aca="false">IFERROR(SMALL(Scoring!$AB$29:$AB$361,188),"")</f>
        <v/>
      </c>
    </row>
    <row r="193" customFormat="false" ht="15" hidden="false" customHeight="false" outlineLevel="0" collapsed="false">
      <c r="A193" s="5" t="str">
        <f aca="false">IF($O193="","",INT($O193/1000))</f>
        <v/>
      </c>
      <c r="B193" s="6" t="str">
        <f aca="false">IF($O193="","",INDEX(Scoring!$A$29:$A$361,MATCH($O193,Scoring!$AB$29:$AB$361,0)))</f>
        <v/>
      </c>
      <c r="C193" s="5" t="str">
        <f aca="false">IF($O193="","",IF(INDEX(Scoring!$P$29:$P$361,MATCH($O193,Scoring!$AB$29:$AB$361,0))="","–",INDEX(Scoring!$P$29:$P$361,MATCH($O193,Scoring!$AB$29:$AB$361,0))))</f>
        <v/>
      </c>
      <c r="D193" s="6" t="str">
        <f aca="false">IF($O193="","",INDEX(Scoring!$Q$29:$Q$361,MATCH($O193,Scoring!$AB$29:$AB$361,0)))</f>
        <v/>
      </c>
      <c r="E193" s="7" t="str">
        <f aca="false">IF($O193="","",INDEX(Scoring!$AJ$29:$AJ$361,MATCH($O193,Scoring!$AB$29:$AB$361,0)))</f>
        <v/>
      </c>
      <c r="F193" s="6" t="str">
        <f aca="false">IF($O193="","",INDEX(Scoring!$B$29:$B$361,MATCH($O193,Scoring!$AB$29:$AB$361,0)))</f>
        <v/>
      </c>
      <c r="G193" s="7" t="str">
        <f aca="false">IF($O193="","",INDEX(Scoring!$AG$29:$AG$361,MATCH($O193,Scoring!$AB$29:$AB$361,0)))</f>
        <v/>
      </c>
      <c r="H193" s="7" t="str">
        <f aca="false">IF($O193="","",INDEX(Scoring!$C$29:$C$361,MATCH($O193,Scoring!$AB$29:$AB$361,0)))</f>
        <v/>
      </c>
      <c r="I193" s="6" t="str">
        <f aca="false">IF($O193="","",INDEX(Scoring!$I$29:$I$361,MATCH($O193,Scoring!$AB$29:$AB$361,0)))</f>
        <v/>
      </c>
      <c r="J193" s="7" t="str">
        <f aca="false">IF($O193="","",INDEX(Scoring!$Z$29:$Z$361,MATCH($O193,Scoring!$AB$29:$AB$361,0)))</f>
        <v/>
      </c>
      <c r="K193" s="8" t="str">
        <f aca="false">IF($O193="","",IF(INDEX(Scoring!$D$29:$D$361,MATCH($O193,Scoring!$AB$29:$AB$361,0))="",INDEX(Scoring!$AF$29:$AF$361,MATCH($O193,Scoring!$AB$29:$AB$361,0)),INDEX(Scoring!$D$29:$D$361,MATCH($O193,Scoring!$AB$29:$AB$361,0))))</f>
        <v/>
      </c>
      <c r="L193" s="9" t="str">
        <f aca="false">IF($O193="","",INDEX(Scoring!$M$29:$M$361,MATCH($O193,Scoring!$AB$29:$AB$361,0)))</f>
        <v/>
      </c>
      <c r="M193" s="9" t="str">
        <f aca="false">IF($O193="","",INDEX(Scoring!$F$29:$F$361,MATCH($O193,Scoring!$AB$29:$AB$361,0)))</f>
        <v/>
      </c>
      <c r="N193" s="7" t="str">
        <f aca="false">IF($O193="","",INDEX(Scoring!$AI$29:$AI$361,MATCH($O193,Scoring!$AB$29:$AB$361,0)))</f>
        <v/>
      </c>
      <c r="O193" s="10" t="str">
        <f aca="false">IFERROR(SMALL(Scoring!$AB$29:$AB$361,189),"")</f>
        <v/>
      </c>
    </row>
    <row r="194" customFormat="false" ht="15" hidden="false" customHeight="false" outlineLevel="0" collapsed="false">
      <c r="A194" s="5" t="str">
        <f aca="false">IF($O194="","",INT($O194/1000))</f>
        <v/>
      </c>
      <c r="B194" s="6" t="str">
        <f aca="false">IF($O194="","",INDEX(Scoring!$A$29:$A$361,MATCH($O194,Scoring!$AB$29:$AB$361,0)))</f>
        <v/>
      </c>
      <c r="C194" s="5" t="str">
        <f aca="false">IF($O194="","",IF(INDEX(Scoring!$P$29:$P$361,MATCH($O194,Scoring!$AB$29:$AB$361,0))="","–",INDEX(Scoring!$P$29:$P$361,MATCH($O194,Scoring!$AB$29:$AB$361,0))))</f>
        <v/>
      </c>
      <c r="D194" s="6" t="str">
        <f aca="false">IF($O194="","",INDEX(Scoring!$Q$29:$Q$361,MATCH($O194,Scoring!$AB$29:$AB$361,0)))</f>
        <v/>
      </c>
      <c r="E194" s="7" t="str">
        <f aca="false">IF($O194="","",INDEX(Scoring!$AJ$29:$AJ$361,MATCH($O194,Scoring!$AB$29:$AB$361,0)))</f>
        <v/>
      </c>
      <c r="F194" s="6" t="str">
        <f aca="false">IF($O194="","",INDEX(Scoring!$B$29:$B$361,MATCH($O194,Scoring!$AB$29:$AB$361,0)))</f>
        <v/>
      </c>
      <c r="G194" s="7" t="str">
        <f aca="false">IF($O194="","",INDEX(Scoring!$AG$29:$AG$361,MATCH($O194,Scoring!$AB$29:$AB$361,0)))</f>
        <v/>
      </c>
      <c r="H194" s="7" t="str">
        <f aca="false">IF($O194="","",INDEX(Scoring!$C$29:$C$361,MATCH($O194,Scoring!$AB$29:$AB$361,0)))</f>
        <v/>
      </c>
      <c r="I194" s="6" t="str">
        <f aca="false">IF($O194="","",INDEX(Scoring!$I$29:$I$361,MATCH($O194,Scoring!$AB$29:$AB$361,0)))</f>
        <v/>
      </c>
      <c r="J194" s="7" t="str">
        <f aca="false">IF($O194="","",INDEX(Scoring!$Z$29:$Z$361,MATCH($O194,Scoring!$AB$29:$AB$361,0)))</f>
        <v/>
      </c>
      <c r="K194" s="8" t="str">
        <f aca="false">IF($O194="","",IF(INDEX(Scoring!$D$29:$D$361,MATCH($O194,Scoring!$AB$29:$AB$361,0))="",INDEX(Scoring!$AF$29:$AF$361,MATCH($O194,Scoring!$AB$29:$AB$361,0)),INDEX(Scoring!$D$29:$D$361,MATCH($O194,Scoring!$AB$29:$AB$361,0))))</f>
        <v/>
      </c>
      <c r="L194" s="9" t="str">
        <f aca="false">IF($O194="","",INDEX(Scoring!$M$29:$M$361,MATCH($O194,Scoring!$AB$29:$AB$361,0)))</f>
        <v/>
      </c>
      <c r="M194" s="9" t="str">
        <f aca="false">IF($O194="","",INDEX(Scoring!$F$29:$F$361,MATCH($O194,Scoring!$AB$29:$AB$361,0)))</f>
        <v/>
      </c>
      <c r="N194" s="7" t="str">
        <f aca="false">IF($O194="","",INDEX(Scoring!$AI$29:$AI$361,MATCH($O194,Scoring!$AB$29:$AB$361,0)))</f>
        <v/>
      </c>
      <c r="O194" s="10" t="str">
        <f aca="false">IFERROR(SMALL(Scoring!$AB$29:$AB$361,190),"")</f>
        <v/>
      </c>
    </row>
    <row r="195" customFormat="false" ht="15" hidden="false" customHeight="false" outlineLevel="0" collapsed="false">
      <c r="A195" s="5" t="str">
        <f aca="false">IF($O195="","",INT($O195/1000))</f>
        <v/>
      </c>
      <c r="B195" s="6" t="str">
        <f aca="false">IF($O195="","",INDEX(Scoring!$A$29:$A$361,MATCH($O195,Scoring!$AB$29:$AB$361,0)))</f>
        <v/>
      </c>
      <c r="C195" s="5" t="str">
        <f aca="false">IF($O195="","",IF(INDEX(Scoring!$P$29:$P$361,MATCH($O195,Scoring!$AB$29:$AB$361,0))="","–",INDEX(Scoring!$P$29:$P$361,MATCH($O195,Scoring!$AB$29:$AB$361,0))))</f>
        <v/>
      </c>
      <c r="D195" s="6" t="str">
        <f aca="false">IF($O195="","",INDEX(Scoring!$Q$29:$Q$361,MATCH($O195,Scoring!$AB$29:$AB$361,0)))</f>
        <v/>
      </c>
      <c r="E195" s="7" t="str">
        <f aca="false">IF($O195="","",INDEX(Scoring!$AJ$29:$AJ$361,MATCH($O195,Scoring!$AB$29:$AB$361,0)))</f>
        <v/>
      </c>
      <c r="F195" s="6" t="str">
        <f aca="false">IF($O195="","",INDEX(Scoring!$B$29:$B$361,MATCH($O195,Scoring!$AB$29:$AB$361,0)))</f>
        <v/>
      </c>
      <c r="G195" s="7" t="str">
        <f aca="false">IF($O195="","",INDEX(Scoring!$AG$29:$AG$361,MATCH($O195,Scoring!$AB$29:$AB$361,0)))</f>
        <v/>
      </c>
      <c r="H195" s="7" t="str">
        <f aca="false">IF($O195="","",INDEX(Scoring!$C$29:$C$361,MATCH($O195,Scoring!$AB$29:$AB$361,0)))</f>
        <v/>
      </c>
      <c r="I195" s="6" t="str">
        <f aca="false">IF($O195="","",INDEX(Scoring!$I$29:$I$361,MATCH($O195,Scoring!$AB$29:$AB$361,0)))</f>
        <v/>
      </c>
      <c r="J195" s="7" t="str">
        <f aca="false">IF($O195="","",INDEX(Scoring!$Z$29:$Z$361,MATCH($O195,Scoring!$AB$29:$AB$361,0)))</f>
        <v/>
      </c>
      <c r="K195" s="8" t="str">
        <f aca="false">IF($O195="","",IF(INDEX(Scoring!$D$29:$D$361,MATCH($O195,Scoring!$AB$29:$AB$361,0))="",INDEX(Scoring!$AF$29:$AF$361,MATCH($O195,Scoring!$AB$29:$AB$361,0)),INDEX(Scoring!$D$29:$D$361,MATCH($O195,Scoring!$AB$29:$AB$361,0))))</f>
        <v/>
      </c>
      <c r="L195" s="9" t="str">
        <f aca="false">IF($O195="","",INDEX(Scoring!$M$29:$M$361,MATCH($O195,Scoring!$AB$29:$AB$361,0)))</f>
        <v/>
      </c>
      <c r="M195" s="9" t="str">
        <f aca="false">IF($O195="","",INDEX(Scoring!$F$29:$F$361,MATCH($O195,Scoring!$AB$29:$AB$361,0)))</f>
        <v/>
      </c>
      <c r="N195" s="7" t="str">
        <f aca="false">IF($O195="","",INDEX(Scoring!$AI$29:$AI$361,MATCH($O195,Scoring!$AB$29:$AB$361,0)))</f>
        <v/>
      </c>
      <c r="O195" s="10" t="str">
        <f aca="false">IFERROR(SMALL(Scoring!$AB$29:$AB$361,191),"")</f>
        <v/>
      </c>
    </row>
    <row r="196" customFormat="false" ht="15" hidden="false" customHeight="false" outlineLevel="0" collapsed="false">
      <c r="A196" s="5" t="str">
        <f aca="false">IF($O196="","",INT($O196/1000))</f>
        <v/>
      </c>
      <c r="B196" s="6" t="str">
        <f aca="false">IF($O196="","",INDEX(Scoring!$A$29:$A$361,MATCH($O196,Scoring!$AB$29:$AB$361,0)))</f>
        <v/>
      </c>
      <c r="C196" s="5" t="str">
        <f aca="false">IF($O196="","",IF(INDEX(Scoring!$P$29:$P$361,MATCH($O196,Scoring!$AB$29:$AB$361,0))="","–",INDEX(Scoring!$P$29:$P$361,MATCH($O196,Scoring!$AB$29:$AB$361,0))))</f>
        <v/>
      </c>
      <c r="D196" s="6" t="str">
        <f aca="false">IF($O196="","",INDEX(Scoring!$Q$29:$Q$361,MATCH($O196,Scoring!$AB$29:$AB$361,0)))</f>
        <v/>
      </c>
      <c r="E196" s="7" t="str">
        <f aca="false">IF($O196="","",INDEX(Scoring!$AJ$29:$AJ$361,MATCH($O196,Scoring!$AB$29:$AB$361,0)))</f>
        <v/>
      </c>
      <c r="F196" s="6" t="str">
        <f aca="false">IF($O196="","",INDEX(Scoring!$B$29:$B$361,MATCH($O196,Scoring!$AB$29:$AB$361,0)))</f>
        <v/>
      </c>
      <c r="G196" s="7" t="str">
        <f aca="false">IF($O196="","",INDEX(Scoring!$AG$29:$AG$361,MATCH($O196,Scoring!$AB$29:$AB$361,0)))</f>
        <v/>
      </c>
      <c r="H196" s="7" t="str">
        <f aca="false">IF($O196="","",INDEX(Scoring!$C$29:$C$361,MATCH($O196,Scoring!$AB$29:$AB$361,0)))</f>
        <v/>
      </c>
      <c r="I196" s="6" t="str">
        <f aca="false">IF($O196="","",INDEX(Scoring!$I$29:$I$361,MATCH($O196,Scoring!$AB$29:$AB$361,0)))</f>
        <v/>
      </c>
      <c r="J196" s="7" t="str">
        <f aca="false">IF($O196="","",INDEX(Scoring!$Z$29:$Z$361,MATCH($O196,Scoring!$AB$29:$AB$361,0)))</f>
        <v/>
      </c>
      <c r="K196" s="8" t="str">
        <f aca="false">IF($O196="","",IF(INDEX(Scoring!$D$29:$D$361,MATCH($O196,Scoring!$AB$29:$AB$361,0))="",INDEX(Scoring!$AF$29:$AF$361,MATCH($O196,Scoring!$AB$29:$AB$361,0)),INDEX(Scoring!$D$29:$D$361,MATCH($O196,Scoring!$AB$29:$AB$361,0))))</f>
        <v/>
      </c>
      <c r="L196" s="9" t="str">
        <f aca="false">IF($O196="","",INDEX(Scoring!$M$29:$M$361,MATCH($O196,Scoring!$AB$29:$AB$361,0)))</f>
        <v/>
      </c>
      <c r="M196" s="9" t="str">
        <f aca="false">IF($O196="","",INDEX(Scoring!$F$29:$F$361,MATCH($O196,Scoring!$AB$29:$AB$361,0)))</f>
        <v/>
      </c>
      <c r="N196" s="7" t="str">
        <f aca="false">IF($O196="","",INDEX(Scoring!$AI$29:$AI$361,MATCH($O196,Scoring!$AB$29:$AB$361,0)))</f>
        <v/>
      </c>
      <c r="O196" s="10" t="str">
        <f aca="false">IFERROR(SMALL(Scoring!$AB$29:$AB$361,192),"")</f>
        <v/>
      </c>
    </row>
    <row r="197" customFormat="false" ht="15" hidden="false" customHeight="false" outlineLevel="0" collapsed="false">
      <c r="A197" s="5" t="str">
        <f aca="false">IF($O197="","",INT($O197/1000))</f>
        <v/>
      </c>
      <c r="B197" s="6" t="str">
        <f aca="false">IF($O197="","",INDEX(Scoring!$A$29:$A$361,MATCH($O197,Scoring!$AB$29:$AB$361,0)))</f>
        <v/>
      </c>
      <c r="C197" s="5" t="str">
        <f aca="false">IF($O197="","",IF(INDEX(Scoring!$P$29:$P$361,MATCH($O197,Scoring!$AB$29:$AB$361,0))="","–",INDEX(Scoring!$P$29:$P$361,MATCH($O197,Scoring!$AB$29:$AB$361,0))))</f>
        <v/>
      </c>
      <c r="D197" s="6" t="str">
        <f aca="false">IF($O197="","",INDEX(Scoring!$Q$29:$Q$361,MATCH($O197,Scoring!$AB$29:$AB$361,0)))</f>
        <v/>
      </c>
      <c r="E197" s="7" t="str">
        <f aca="false">IF($O197="","",INDEX(Scoring!$AJ$29:$AJ$361,MATCH($O197,Scoring!$AB$29:$AB$361,0)))</f>
        <v/>
      </c>
      <c r="F197" s="6" t="str">
        <f aca="false">IF($O197="","",INDEX(Scoring!$B$29:$B$361,MATCH($O197,Scoring!$AB$29:$AB$361,0)))</f>
        <v/>
      </c>
      <c r="G197" s="7" t="str">
        <f aca="false">IF($O197="","",INDEX(Scoring!$AG$29:$AG$361,MATCH($O197,Scoring!$AB$29:$AB$361,0)))</f>
        <v/>
      </c>
      <c r="H197" s="7" t="str">
        <f aca="false">IF($O197="","",INDEX(Scoring!$C$29:$C$361,MATCH($O197,Scoring!$AB$29:$AB$361,0)))</f>
        <v/>
      </c>
      <c r="I197" s="6" t="str">
        <f aca="false">IF($O197="","",INDEX(Scoring!$I$29:$I$361,MATCH($O197,Scoring!$AB$29:$AB$361,0)))</f>
        <v/>
      </c>
      <c r="J197" s="7" t="str">
        <f aca="false">IF($O197="","",INDEX(Scoring!$Z$29:$Z$361,MATCH($O197,Scoring!$AB$29:$AB$361,0)))</f>
        <v/>
      </c>
      <c r="K197" s="8" t="str">
        <f aca="false">IF($O197="","",IF(INDEX(Scoring!$D$29:$D$361,MATCH($O197,Scoring!$AB$29:$AB$361,0))="",INDEX(Scoring!$AF$29:$AF$361,MATCH($O197,Scoring!$AB$29:$AB$361,0)),INDEX(Scoring!$D$29:$D$361,MATCH($O197,Scoring!$AB$29:$AB$361,0))))</f>
        <v/>
      </c>
      <c r="L197" s="9" t="str">
        <f aca="false">IF($O197="","",INDEX(Scoring!$M$29:$M$361,MATCH($O197,Scoring!$AB$29:$AB$361,0)))</f>
        <v/>
      </c>
      <c r="M197" s="9" t="str">
        <f aca="false">IF($O197="","",INDEX(Scoring!$F$29:$F$361,MATCH($O197,Scoring!$AB$29:$AB$361,0)))</f>
        <v/>
      </c>
      <c r="N197" s="7" t="str">
        <f aca="false">IF($O197="","",INDEX(Scoring!$AI$29:$AI$361,MATCH($O197,Scoring!$AB$29:$AB$361,0)))</f>
        <v/>
      </c>
      <c r="O197" s="10" t="str">
        <f aca="false">IFERROR(SMALL(Scoring!$AB$29:$AB$361,193),"")</f>
        <v/>
      </c>
    </row>
    <row r="198" customFormat="false" ht="15" hidden="false" customHeight="false" outlineLevel="0" collapsed="false">
      <c r="A198" s="5" t="str">
        <f aca="false">IF($O198="","",INT($O198/1000))</f>
        <v/>
      </c>
      <c r="B198" s="6" t="str">
        <f aca="false">IF($O198="","",INDEX(Scoring!$A$29:$A$361,MATCH($O198,Scoring!$AB$29:$AB$361,0)))</f>
        <v/>
      </c>
      <c r="C198" s="5" t="str">
        <f aca="false">IF($O198="","",IF(INDEX(Scoring!$P$29:$P$361,MATCH($O198,Scoring!$AB$29:$AB$361,0))="","–",INDEX(Scoring!$P$29:$P$361,MATCH($O198,Scoring!$AB$29:$AB$361,0))))</f>
        <v/>
      </c>
      <c r="D198" s="6" t="str">
        <f aca="false">IF($O198="","",INDEX(Scoring!$Q$29:$Q$361,MATCH($O198,Scoring!$AB$29:$AB$361,0)))</f>
        <v/>
      </c>
      <c r="E198" s="7" t="str">
        <f aca="false">IF($O198="","",INDEX(Scoring!$AJ$29:$AJ$361,MATCH($O198,Scoring!$AB$29:$AB$361,0)))</f>
        <v/>
      </c>
      <c r="F198" s="6" t="str">
        <f aca="false">IF($O198="","",INDEX(Scoring!$B$29:$B$361,MATCH($O198,Scoring!$AB$29:$AB$361,0)))</f>
        <v/>
      </c>
      <c r="G198" s="7" t="str">
        <f aca="false">IF($O198="","",INDEX(Scoring!$AG$29:$AG$361,MATCH($O198,Scoring!$AB$29:$AB$361,0)))</f>
        <v/>
      </c>
      <c r="H198" s="7" t="str">
        <f aca="false">IF($O198="","",INDEX(Scoring!$C$29:$C$361,MATCH($O198,Scoring!$AB$29:$AB$361,0)))</f>
        <v/>
      </c>
      <c r="I198" s="6" t="str">
        <f aca="false">IF($O198="","",INDEX(Scoring!$I$29:$I$361,MATCH($O198,Scoring!$AB$29:$AB$361,0)))</f>
        <v/>
      </c>
      <c r="J198" s="7" t="str">
        <f aca="false">IF($O198="","",INDEX(Scoring!$Z$29:$Z$361,MATCH($O198,Scoring!$AB$29:$AB$361,0)))</f>
        <v/>
      </c>
      <c r="K198" s="8" t="str">
        <f aca="false">IF($O198="","",IF(INDEX(Scoring!$D$29:$D$361,MATCH($O198,Scoring!$AB$29:$AB$361,0))="",INDEX(Scoring!$AF$29:$AF$361,MATCH($O198,Scoring!$AB$29:$AB$361,0)),INDEX(Scoring!$D$29:$D$361,MATCH($O198,Scoring!$AB$29:$AB$361,0))))</f>
        <v/>
      </c>
      <c r="L198" s="9" t="str">
        <f aca="false">IF($O198="","",INDEX(Scoring!$M$29:$M$361,MATCH($O198,Scoring!$AB$29:$AB$361,0)))</f>
        <v/>
      </c>
      <c r="M198" s="9" t="str">
        <f aca="false">IF($O198="","",INDEX(Scoring!$F$29:$F$361,MATCH($O198,Scoring!$AB$29:$AB$361,0)))</f>
        <v/>
      </c>
      <c r="N198" s="7" t="str">
        <f aca="false">IF($O198="","",INDEX(Scoring!$AI$29:$AI$361,MATCH($O198,Scoring!$AB$29:$AB$361,0)))</f>
        <v/>
      </c>
      <c r="O198" s="10" t="str">
        <f aca="false">IFERROR(SMALL(Scoring!$AB$29:$AB$361,194),"")</f>
        <v/>
      </c>
    </row>
    <row r="199" customFormat="false" ht="15" hidden="false" customHeight="false" outlineLevel="0" collapsed="false">
      <c r="A199" s="5" t="str">
        <f aca="false">IF($O199="","",INT($O199/1000))</f>
        <v/>
      </c>
      <c r="B199" s="6" t="str">
        <f aca="false">IF($O199="","",INDEX(Scoring!$A$29:$A$361,MATCH($O199,Scoring!$AB$29:$AB$361,0)))</f>
        <v/>
      </c>
      <c r="C199" s="5" t="str">
        <f aca="false">IF($O199="","",IF(INDEX(Scoring!$P$29:$P$361,MATCH($O199,Scoring!$AB$29:$AB$361,0))="","–",INDEX(Scoring!$P$29:$P$361,MATCH($O199,Scoring!$AB$29:$AB$361,0))))</f>
        <v/>
      </c>
      <c r="D199" s="6" t="str">
        <f aca="false">IF($O199="","",INDEX(Scoring!$Q$29:$Q$361,MATCH($O199,Scoring!$AB$29:$AB$361,0)))</f>
        <v/>
      </c>
      <c r="E199" s="7" t="str">
        <f aca="false">IF($O199="","",INDEX(Scoring!$AJ$29:$AJ$361,MATCH($O199,Scoring!$AB$29:$AB$361,0)))</f>
        <v/>
      </c>
      <c r="F199" s="6" t="str">
        <f aca="false">IF($O199="","",INDEX(Scoring!$B$29:$B$361,MATCH($O199,Scoring!$AB$29:$AB$361,0)))</f>
        <v/>
      </c>
      <c r="G199" s="7" t="str">
        <f aca="false">IF($O199="","",INDEX(Scoring!$AG$29:$AG$361,MATCH($O199,Scoring!$AB$29:$AB$361,0)))</f>
        <v/>
      </c>
      <c r="H199" s="7" t="str">
        <f aca="false">IF($O199="","",INDEX(Scoring!$C$29:$C$361,MATCH($O199,Scoring!$AB$29:$AB$361,0)))</f>
        <v/>
      </c>
      <c r="I199" s="6" t="str">
        <f aca="false">IF($O199="","",INDEX(Scoring!$I$29:$I$361,MATCH($O199,Scoring!$AB$29:$AB$361,0)))</f>
        <v/>
      </c>
      <c r="J199" s="7" t="str">
        <f aca="false">IF($O199="","",INDEX(Scoring!$Z$29:$Z$361,MATCH($O199,Scoring!$AB$29:$AB$361,0)))</f>
        <v/>
      </c>
      <c r="K199" s="8" t="str">
        <f aca="false">IF($O199="","",IF(INDEX(Scoring!$D$29:$D$361,MATCH($O199,Scoring!$AB$29:$AB$361,0))="",INDEX(Scoring!$AF$29:$AF$361,MATCH($O199,Scoring!$AB$29:$AB$361,0)),INDEX(Scoring!$D$29:$D$361,MATCH($O199,Scoring!$AB$29:$AB$361,0))))</f>
        <v/>
      </c>
      <c r="L199" s="9" t="str">
        <f aca="false">IF($O199="","",INDEX(Scoring!$M$29:$M$361,MATCH($O199,Scoring!$AB$29:$AB$361,0)))</f>
        <v/>
      </c>
      <c r="M199" s="9" t="str">
        <f aca="false">IF($O199="","",INDEX(Scoring!$F$29:$F$361,MATCH($O199,Scoring!$AB$29:$AB$361,0)))</f>
        <v/>
      </c>
      <c r="N199" s="7" t="str">
        <f aca="false">IF($O199="","",INDEX(Scoring!$AI$29:$AI$361,MATCH($O199,Scoring!$AB$29:$AB$361,0)))</f>
        <v/>
      </c>
      <c r="O199" s="10" t="str">
        <f aca="false">IFERROR(SMALL(Scoring!$AB$29:$AB$361,195),"")</f>
        <v/>
      </c>
    </row>
    <row r="200" customFormat="false" ht="15" hidden="false" customHeight="false" outlineLevel="0" collapsed="false">
      <c r="A200" s="5" t="str">
        <f aca="false">IF($O200="","",INT($O200/1000))</f>
        <v/>
      </c>
      <c r="B200" s="6" t="str">
        <f aca="false">IF($O200="","",INDEX(Scoring!$A$29:$A$361,MATCH($O200,Scoring!$AB$29:$AB$361,0)))</f>
        <v/>
      </c>
      <c r="C200" s="5" t="str">
        <f aca="false">IF($O200="","",IF(INDEX(Scoring!$P$29:$P$361,MATCH($O200,Scoring!$AB$29:$AB$361,0))="","–",INDEX(Scoring!$P$29:$P$361,MATCH($O200,Scoring!$AB$29:$AB$361,0))))</f>
        <v/>
      </c>
      <c r="D200" s="6" t="str">
        <f aca="false">IF($O200="","",INDEX(Scoring!$Q$29:$Q$361,MATCH($O200,Scoring!$AB$29:$AB$361,0)))</f>
        <v/>
      </c>
      <c r="E200" s="7" t="str">
        <f aca="false">IF($O200="","",INDEX(Scoring!$AJ$29:$AJ$361,MATCH($O200,Scoring!$AB$29:$AB$361,0)))</f>
        <v/>
      </c>
      <c r="F200" s="6" t="str">
        <f aca="false">IF($O200="","",INDEX(Scoring!$B$29:$B$361,MATCH($O200,Scoring!$AB$29:$AB$361,0)))</f>
        <v/>
      </c>
      <c r="G200" s="7" t="str">
        <f aca="false">IF($O200="","",INDEX(Scoring!$AG$29:$AG$361,MATCH($O200,Scoring!$AB$29:$AB$361,0)))</f>
        <v/>
      </c>
      <c r="H200" s="7" t="str">
        <f aca="false">IF($O200="","",INDEX(Scoring!$C$29:$C$361,MATCH($O200,Scoring!$AB$29:$AB$361,0)))</f>
        <v/>
      </c>
      <c r="I200" s="6" t="str">
        <f aca="false">IF($O200="","",INDEX(Scoring!$I$29:$I$361,MATCH($O200,Scoring!$AB$29:$AB$361,0)))</f>
        <v/>
      </c>
      <c r="J200" s="7" t="str">
        <f aca="false">IF($O200="","",INDEX(Scoring!$Z$29:$Z$361,MATCH($O200,Scoring!$AB$29:$AB$361,0)))</f>
        <v/>
      </c>
      <c r="K200" s="8" t="str">
        <f aca="false">IF($O200="","",IF(INDEX(Scoring!$D$29:$D$361,MATCH($O200,Scoring!$AB$29:$AB$361,0))="",INDEX(Scoring!$AF$29:$AF$361,MATCH($O200,Scoring!$AB$29:$AB$361,0)),INDEX(Scoring!$D$29:$D$361,MATCH($O200,Scoring!$AB$29:$AB$361,0))))</f>
        <v/>
      </c>
      <c r="L200" s="9" t="str">
        <f aca="false">IF($O200="","",INDEX(Scoring!$M$29:$M$361,MATCH($O200,Scoring!$AB$29:$AB$361,0)))</f>
        <v/>
      </c>
      <c r="M200" s="9" t="str">
        <f aca="false">IF($O200="","",INDEX(Scoring!$F$29:$F$361,MATCH($O200,Scoring!$AB$29:$AB$361,0)))</f>
        <v/>
      </c>
      <c r="N200" s="7" t="str">
        <f aca="false">IF($O200="","",INDEX(Scoring!$AI$29:$AI$361,MATCH($O200,Scoring!$AB$29:$AB$361,0)))</f>
        <v/>
      </c>
      <c r="O200" s="10" t="str">
        <f aca="false">IFERROR(SMALL(Scoring!$AB$29:$AB$361,196),"")</f>
        <v/>
      </c>
    </row>
    <row r="201" customFormat="false" ht="15" hidden="false" customHeight="false" outlineLevel="0" collapsed="false">
      <c r="A201" s="5" t="str">
        <f aca="false">IF($O201="","",INT($O201/1000))</f>
        <v/>
      </c>
      <c r="B201" s="6" t="str">
        <f aca="false">IF($O201="","",INDEX(Scoring!$A$29:$A$361,MATCH($O201,Scoring!$AB$29:$AB$361,0)))</f>
        <v/>
      </c>
      <c r="C201" s="5" t="str">
        <f aca="false">IF($O201="","",IF(INDEX(Scoring!$P$29:$P$361,MATCH($O201,Scoring!$AB$29:$AB$361,0))="","–",INDEX(Scoring!$P$29:$P$361,MATCH($O201,Scoring!$AB$29:$AB$361,0))))</f>
        <v/>
      </c>
      <c r="D201" s="6" t="str">
        <f aca="false">IF($O201="","",INDEX(Scoring!$Q$29:$Q$361,MATCH($O201,Scoring!$AB$29:$AB$361,0)))</f>
        <v/>
      </c>
      <c r="E201" s="7" t="str">
        <f aca="false">IF($O201="","",INDEX(Scoring!$AJ$29:$AJ$361,MATCH($O201,Scoring!$AB$29:$AB$361,0)))</f>
        <v/>
      </c>
      <c r="F201" s="6" t="str">
        <f aca="false">IF($O201="","",INDEX(Scoring!$B$29:$B$361,MATCH($O201,Scoring!$AB$29:$AB$361,0)))</f>
        <v/>
      </c>
      <c r="G201" s="7" t="str">
        <f aca="false">IF($O201="","",INDEX(Scoring!$AG$29:$AG$361,MATCH($O201,Scoring!$AB$29:$AB$361,0)))</f>
        <v/>
      </c>
      <c r="H201" s="7" t="str">
        <f aca="false">IF($O201="","",INDEX(Scoring!$C$29:$C$361,MATCH($O201,Scoring!$AB$29:$AB$361,0)))</f>
        <v/>
      </c>
      <c r="I201" s="6" t="str">
        <f aca="false">IF($O201="","",INDEX(Scoring!$I$29:$I$361,MATCH($O201,Scoring!$AB$29:$AB$361,0)))</f>
        <v/>
      </c>
      <c r="J201" s="7" t="str">
        <f aca="false">IF($O201="","",INDEX(Scoring!$Z$29:$Z$361,MATCH($O201,Scoring!$AB$29:$AB$361,0)))</f>
        <v/>
      </c>
      <c r="K201" s="8" t="str">
        <f aca="false">IF($O201="","",IF(INDEX(Scoring!$D$29:$D$361,MATCH($O201,Scoring!$AB$29:$AB$361,0))="",INDEX(Scoring!$AF$29:$AF$361,MATCH($O201,Scoring!$AB$29:$AB$361,0)),INDEX(Scoring!$D$29:$D$361,MATCH($O201,Scoring!$AB$29:$AB$361,0))))</f>
        <v/>
      </c>
      <c r="L201" s="9" t="str">
        <f aca="false">IF($O201="","",INDEX(Scoring!$M$29:$M$361,MATCH($O201,Scoring!$AB$29:$AB$361,0)))</f>
        <v/>
      </c>
      <c r="M201" s="9" t="str">
        <f aca="false">IF($O201="","",INDEX(Scoring!$F$29:$F$361,MATCH($O201,Scoring!$AB$29:$AB$361,0)))</f>
        <v/>
      </c>
      <c r="N201" s="7" t="str">
        <f aca="false">IF($O201="","",INDEX(Scoring!$AI$29:$AI$361,MATCH($O201,Scoring!$AB$29:$AB$361,0)))</f>
        <v/>
      </c>
      <c r="O201" s="10" t="str">
        <f aca="false">IFERROR(SMALL(Scoring!$AB$29:$AB$361,197),"")</f>
        <v/>
      </c>
    </row>
    <row r="202" customFormat="false" ht="15" hidden="false" customHeight="false" outlineLevel="0" collapsed="false">
      <c r="A202" s="5" t="str">
        <f aca="false">IF($O202="","",INT($O202/1000))</f>
        <v/>
      </c>
      <c r="B202" s="6" t="str">
        <f aca="false">IF($O202="","",INDEX(Scoring!$A$29:$A$361,MATCH($O202,Scoring!$AB$29:$AB$361,0)))</f>
        <v/>
      </c>
      <c r="C202" s="5" t="str">
        <f aca="false">IF($O202="","",IF(INDEX(Scoring!$P$29:$P$361,MATCH($O202,Scoring!$AB$29:$AB$361,0))="","–",INDEX(Scoring!$P$29:$P$361,MATCH($O202,Scoring!$AB$29:$AB$361,0))))</f>
        <v/>
      </c>
      <c r="D202" s="6" t="str">
        <f aca="false">IF($O202="","",INDEX(Scoring!$Q$29:$Q$361,MATCH($O202,Scoring!$AB$29:$AB$361,0)))</f>
        <v/>
      </c>
      <c r="E202" s="7" t="str">
        <f aca="false">IF($O202="","",INDEX(Scoring!$AJ$29:$AJ$361,MATCH($O202,Scoring!$AB$29:$AB$361,0)))</f>
        <v/>
      </c>
      <c r="F202" s="6" t="str">
        <f aca="false">IF($O202="","",INDEX(Scoring!$B$29:$B$361,MATCH($O202,Scoring!$AB$29:$AB$361,0)))</f>
        <v/>
      </c>
      <c r="G202" s="7" t="str">
        <f aca="false">IF($O202="","",INDEX(Scoring!$AG$29:$AG$361,MATCH($O202,Scoring!$AB$29:$AB$361,0)))</f>
        <v/>
      </c>
      <c r="H202" s="7" t="str">
        <f aca="false">IF($O202="","",INDEX(Scoring!$C$29:$C$361,MATCH($O202,Scoring!$AB$29:$AB$361,0)))</f>
        <v/>
      </c>
      <c r="I202" s="6" t="str">
        <f aca="false">IF($O202="","",INDEX(Scoring!$I$29:$I$361,MATCH($O202,Scoring!$AB$29:$AB$361,0)))</f>
        <v/>
      </c>
      <c r="J202" s="7" t="str">
        <f aca="false">IF($O202="","",INDEX(Scoring!$Z$29:$Z$361,MATCH($O202,Scoring!$AB$29:$AB$361,0)))</f>
        <v/>
      </c>
      <c r="K202" s="8" t="str">
        <f aca="false">IF($O202="","",IF(INDEX(Scoring!$D$29:$D$361,MATCH($O202,Scoring!$AB$29:$AB$361,0))="",INDEX(Scoring!$AF$29:$AF$361,MATCH($O202,Scoring!$AB$29:$AB$361,0)),INDEX(Scoring!$D$29:$D$361,MATCH($O202,Scoring!$AB$29:$AB$361,0))))</f>
        <v/>
      </c>
      <c r="L202" s="9" t="str">
        <f aca="false">IF($O202="","",INDEX(Scoring!$M$29:$M$361,MATCH($O202,Scoring!$AB$29:$AB$361,0)))</f>
        <v/>
      </c>
      <c r="M202" s="9" t="str">
        <f aca="false">IF($O202="","",INDEX(Scoring!$F$29:$F$361,MATCH($O202,Scoring!$AB$29:$AB$361,0)))</f>
        <v/>
      </c>
      <c r="N202" s="7" t="str">
        <f aca="false">IF($O202="","",INDEX(Scoring!$AI$29:$AI$361,MATCH($O202,Scoring!$AB$29:$AB$361,0)))</f>
        <v/>
      </c>
      <c r="O202" s="10" t="str">
        <f aca="false">IFERROR(SMALL(Scoring!$AB$29:$AB$361,198),"")</f>
        <v/>
      </c>
    </row>
    <row r="203" customFormat="false" ht="15" hidden="false" customHeight="false" outlineLevel="0" collapsed="false">
      <c r="A203" s="5" t="str">
        <f aca="false">IF($O203="","",INT($O203/1000))</f>
        <v/>
      </c>
      <c r="B203" s="6" t="str">
        <f aca="false">IF($O203="","",INDEX(Scoring!$A$29:$A$361,MATCH($O203,Scoring!$AB$29:$AB$361,0)))</f>
        <v/>
      </c>
      <c r="C203" s="5" t="str">
        <f aca="false">IF($O203="","",IF(INDEX(Scoring!$P$29:$P$361,MATCH($O203,Scoring!$AB$29:$AB$361,0))="","–",INDEX(Scoring!$P$29:$P$361,MATCH($O203,Scoring!$AB$29:$AB$361,0))))</f>
        <v/>
      </c>
      <c r="D203" s="6" t="str">
        <f aca="false">IF($O203="","",INDEX(Scoring!$Q$29:$Q$361,MATCH($O203,Scoring!$AB$29:$AB$361,0)))</f>
        <v/>
      </c>
      <c r="E203" s="7" t="str">
        <f aca="false">IF($O203="","",INDEX(Scoring!$AJ$29:$AJ$361,MATCH($O203,Scoring!$AB$29:$AB$361,0)))</f>
        <v/>
      </c>
      <c r="F203" s="6" t="str">
        <f aca="false">IF($O203="","",INDEX(Scoring!$B$29:$B$361,MATCH($O203,Scoring!$AB$29:$AB$361,0)))</f>
        <v/>
      </c>
      <c r="G203" s="7" t="str">
        <f aca="false">IF($O203="","",INDEX(Scoring!$AG$29:$AG$361,MATCH($O203,Scoring!$AB$29:$AB$361,0)))</f>
        <v/>
      </c>
      <c r="H203" s="7" t="str">
        <f aca="false">IF($O203="","",INDEX(Scoring!$C$29:$C$361,MATCH($O203,Scoring!$AB$29:$AB$361,0)))</f>
        <v/>
      </c>
      <c r="I203" s="6" t="str">
        <f aca="false">IF($O203="","",INDEX(Scoring!$I$29:$I$361,MATCH($O203,Scoring!$AB$29:$AB$361,0)))</f>
        <v/>
      </c>
      <c r="J203" s="7" t="str">
        <f aca="false">IF($O203="","",INDEX(Scoring!$Z$29:$Z$361,MATCH($O203,Scoring!$AB$29:$AB$361,0)))</f>
        <v/>
      </c>
      <c r="K203" s="8" t="str">
        <f aca="false">IF($O203="","",IF(INDEX(Scoring!$D$29:$D$361,MATCH($O203,Scoring!$AB$29:$AB$361,0))="",INDEX(Scoring!$AF$29:$AF$361,MATCH($O203,Scoring!$AB$29:$AB$361,0)),INDEX(Scoring!$D$29:$D$361,MATCH($O203,Scoring!$AB$29:$AB$361,0))))</f>
        <v/>
      </c>
      <c r="L203" s="9" t="str">
        <f aca="false">IF($O203="","",INDEX(Scoring!$M$29:$M$361,MATCH($O203,Scoring!$AB$29:$AB$361,0)))</f>
        <v/>
      </c>
      <c r="M203" s="9" t="str">
        <f aca="false">IF($O203="","",INDEX(Scoring!$F$29:$F$361,MATCH($O203,Scoring!$AB$29:$AB$361,0)))</f>
        <v/>
      </c>
      <c r="N203" s="7" t="str">
        <f aca="false">IF($O203="","",INDEX(Scoring!$AI$29:$AI$361,MATCH($O203,Scoring!$AB$29:$AB$361,0)))</f>
        <v/>
      </c>
      <c r="O203" s="10" t="str">
        <f aca="false">IFERROR(SMALL(Scoring!$AB$29:$AB$361,199),"")</f>
        <v/>
      </c>
    </row>
    <row r="204" customFormat="false" ht="15" hidden="false" customHeight="false" outlineLevel="0" collapsed="false">
      <c r="A204" s="5" t="str">
        <f aca="false">IF($O204="","",INT($O204/1000))</f>
        <v/>
      </c>
      <c r="B204" s="6" t="str">
        <f aca="false">IF($O204="","",INDEX(Scoring!$A$29:$A$361,MATCH($O204,Scoring!$AB$29:$AB$361,0)))</f>
        <v/>
      </c>
      <c r="C204" s="5" t="str">
        <f aca="false">IF($O204="","",IF(INDEX(Scoring!$P$29:$P$361,MATCH($O204,Scoring!$AB$29:$AB$361,0))="","–",INDEX(Scoring!$P$29:$P$361,MATCH($O204,Scoring!$AB$29:$AB$361,0))))</f>
        <v/>
      </c>
      <c r="D204" s="6" t="str">
        <f aca="false">IF($O204="","",INDEX(Scoring!$Q$29:$Q$361,MATCH($O204,Scoring!$AB$29:$AB$361,0)))</f>
        <v/>
      </c>
      <c r="E204" s="7" t="str">
        <f aca="false">IF($O204="","",INDEX(Scoring!$AJ$29:$AJ$361,MATCH($O204,Scoring!$AB$29:$AB$361,0)))</f>
        <v/>
      </c>
      <c r="F204" s="6" t="str">
        <f aca="false">IF($O204="","",INDEX(Scoring!$B$29:$B$361,MATCH($O204,Scoring!$AB$29:$AB$361,0)))</f>
        <v/>
      </c>
      <c r="G204" s="7" t="str">
        <f aca="false">IF($O204="","",INDEX(Scoring!$AG$29:$AG$361,MATCH($O204,Scoring!$AB$29:$AB$361,0)))</f>
        <v/>
      </c>
      <c r="H204" s="7" t="str">
        <f aca="false">IF($O204="","",INDEX(Scoring!$C$29:$C$361,MATCH($O204,Scoring!$AB$29:$AB$361,0)))</f>
        <v/>
      </c>
      <c r="I204" s="6" t="str">
        <f aca="false">IF($O204="","",INDEX(Scoring!$I$29:$I$361,MATCH($O204,Scoring!$AB$29:$AB$361,0)))</f>
        <v/>
      </c>
      <c r="J204" s="7" t="str">
        <f aca="false">IF($O204="","",INDEX(Scoring!$Z$29:$Z$361,MATCH($O204,Scoring!$AB$29:$AB$361,0)))</f>
        <v/>
      </c>
      <c r="K204" s="8" t="str">
        <f aca="false">IF($O204="","",IF(INDEX(Scoring!$D$29:$D$361,MATCH($O204,Scoring!$AB$29:$AB$361,0))="",INDEX(Scoring!$AF$29:$AF$361,MATCH($O204,Scoring!$AB$29:$AB$361,0)),INDEX(Scoring!$D$29:$D$361,MATCH($O204,Scoring!$AB$29:$AB$361,0))))</f>
        <v/>
      </c>
      <c r="L204" s="9" t="str">
        <f aca="false">IF($O204="","",INDEX(Scoring!$M$29:$M$361,MATCH($O204,Scoring!$AB$29:$AB$361,0)))</f>
        <v/>
      </c>
      <c r="M204" s="9" t="str">
        <f aca="false">IF($O204="","",INDEX(Scoring!$F$29:$F$361,MATCH($O204,Scoring!$AB$29:$AB$361,0)))</f>
        <v/>
      </c>
      <c r="N204" s="7" t="str">
        <f aca="false">IF($O204="","",INDEX(Scoring!$AI$29:$AI$361,MATCH($O204,Scoring!$AB$29:$AB$361,0)))</f>
        <v/>
      </c>
      <c r="O204" s="10" t="str">
        <f aca="false">IFERROR(SMALL(Scoring!$AB$29:$AB$361,200),"")</f>
        <v/>
      </c>
    </row>
    <row r="205" customFormat="false" ht="15" hidden="false" customHeight="false" outlineLevel="0" collapsed="false">
      <c r="A205" s="5" t="str">
        <f aca="false">IF($O205="","",INT($O205/1000))</f>
        <v/>
      </c>
      <c r="B205" s="6" t="str">
        <f aca="false">IF($O205="","",INDEX(Scoring!$A$29:$A$361,MATCH($O205,Scoring!$AB$29:$AB$361,0)))</f>
        <v/>
      </c>
      <c r="C205" s="5" t="str">
        <f aca="false">IF($O205="","",IF(INDEX(Scoring!$P$29:$P$361,MATCH($O205,Scoring!$AB$29:$AB$361,0))="","–",INDEX(Scoring!$P$29:$P$361,MATCH($O205,Scoring!$AB$29:$AB$361,0))))</f>
        <v/>
      </c>
      <c r="D205" s="6" t="str">
        <f aca="false">IF($O205="","",INDEX(Scoring!$Q$29:$Q$361,MATCH($O205,Scoring!$AB$29:$AB$361,0)))</f>
        <v/>
      </c>
      <c r="E205" s="7" t="str">
        <f aca="false">IF($O205="","",INDEX(Scoring!$AJ$29:$AJ$361,MATCH($O205,Scoring!$AB$29:$AB$361,0)))</f>
        <v/>
      </c>
      <c r="F205" s="6" t="str">
        <f aca="false">IF($O205="","",INDEX(Scoring!$B$29:$B$361,MATCH($O205,Scoring!$AB$29:$AB$361,0)))</f>
        <v/>
      </c>
      <c r="G205" s="7" t="str">
        <f aca="false">IF($O205="","",INDEX(Scoring!$AG$29:$AG$361,MATCH($O205,Scoring!$AB$29:$AB$361,0)))</f>
        <v/>
      </c>
      <c r="H205" s="7" t="str">
        <f aca="false">IF($O205="","",INDEX(Scoring!$C$29:$C$361,MATCH($O205,Scoring!$AB$29:$AB$361,0)))</f>
        <v/>
      </c>
      <c r="I205" s="6" t="str">
        <f aca="false">IF($O205="","",INDEX(Scoring!$I$29:$I$361,MATCH($O205,Scoring!$AB$29:$AB$361,0)))</f>
        <v/>
      </c>
      <c r="J205" s="7" t="str">
        <f aca="false">IF($O205="","",INDEX(Scoring!$Z$29:$Z$361,MATCH($O205,Scoring!$AB$29:$AB$361,0)))</f>
        <v/>
      </c>
      <c r="K205" s="8" t="str">
        <f aca="false">IF($O205="","",IF(INDEX(Scoring!$D$29:$D$361,MATCH($O205,Scoring!$AB$29:$AB$361,0))="",INDEX(Scoring!$AF$29:$AF$361,MATCH($O205,Scoring!$AB$29:$AB$361,0)),INDEX(Scoring!$D$29:$D$361,MATCH($O205,Scoring!$AB$29:$AB$361,0))))</f>
        <v/>
      </c>
      <c r="L205" s="9" t="str">
        <f aca="false">IF($O205="","",INDEX(Scoring!$M$29:$M$361,MATCH($O205,Scoring!$AB$29:$AB$361,0)))</f>
        <v/>
      </c>
      <c r="M205" s="9" t="str">
        <f aca="false">IF($O205="","",INDEX(Scoring!$F$29:$F$361,MATCH($O205,Scoring!$AB$29:$AB$361,0)))</f>
        <v/>
      </c>
      <c r="N205" s="7" t="str">
        <f aca="false">IF($O205="","",INDEX(Scoring!$AI$29:$AI$361,MATCH($O205,Scoring!$AB$29:$AB$361,0)))</f>
        <v/>
      </c>
      <c r="O205" s="10" t="str">
        <f aca="false">IFERROR(SMALL(Scoring!$AB$29:$AB$361,201),"")</f>
        <v/>
      </c>
    </row>
    <row r="206" customFormat="false" ht="15" hidden="false" customHeight="false" outlineLevel="0" collapsed="false">
      <c r="A206" s="5" t="str">
        <f aca="false">IF($O206="","",INT($O206/1000))</f>
        <v/>
      </c>
      <c r="B206" s="6" t="str">
        <f aca="false">IF($O206="","",INDEX(Scoring!$A$29:$A$361,MATCH($O206,Scoring!$AB$29:$AB$361,0)))</f>
        <v/>
      </c>
      <c r="C206" s="5" t="str">
        <f aca="false">IF($O206="","",IF(INDEX(Scoring!$P$29:$P$361,MATCH($O206,Scoring!$AB$29:$AB$361,0))="","–",INDEX(Scoring!$P$29:$P$361,MATCH($O206,Scoring!$AB$29:$AB$361,0))))</f>
        <v/>
      </c>
      <c r="D206" s="6" t="str">
        <f aca="false">IF($O206="","",INDEX(Scoring!$Q$29:$Q$361,MATCH($O206,Scoring!$AB$29:$AB$361,0)))</f>
        <v/>
      </c>
      <c r="E206" s="7" t="str">
        <f aca="false">IF($O206="","",INDEX(Scoring!$AJ$29:$AJ$361,MATCH($O206,Scoring!$AB$29:$AB$361,0)))</f>
        <v/>
      </c>
      <c r="F206" s="6" t="str">
        <f aca="false">IF($O206="","",INDEX(Scoring!$B$29:$B$361,MATCH($O206,Scoring!$AB$29:$AB$361,0)))</f>
        <v/>
      </c>
      <c r="G206" s="7" t="str">
        <f aca="false">IF($O206="","",INDEX(Scoring!$AG$29:$AG$361,MATCH($O206,Scoring!$AB$29:$AB$361,0)))</f>
        <v/>
      </c>
      <c r="H206" s="7" t="str">
        <f aca="false">IF($O206="","",INDEX(Scoring!$C$29:$C$361,MATCH($O206,Scoring!$AB$29:$AB$361,0)))</f>
        <v/>
      </c>
      <c r="I206" s="6" t="str">
        <f aca="false">IF($O206="","",INDEX(Scoring!$I$29:$I$361,MATCH($O206,Scoring!$AB$29:$AB$361,0)))</f>
        <v/>
      </c>
      <c r="J206" s="7" t="str">
        <f aca="false">IF($O206="","",INDEX(Scoring!$Z$29:$Z$361,MATCH($O206,Scoring!$AB$29:$AB$361,0)))</f>
        <v/>
      </c>
      <c r="K206" s="8" t="str">
        <f aca="false">IF($O206="","",IF(INDEX(Scoring!$D$29:$D$361,MATCH($O206,Scoring!$AB$29:$AB$361,0))="",INDEX(Scoring!$AF$29:$AF$361,MATCH($O206,Scoring!$AB$29:$AB$361,0)),INDEX(Scoring!$D$29:$D$361,MATCH($O206,Scoring!$AB$29:$AB$361,0))))</f>
        <v/>
      </c>
      <c r="L206" s="9" t="str">
        <f aca="false">IF($O206="","",INDEX(Scoring!$M$29:$M$361,MATCH($O206,Scoring!$AB$29:$AB$361,0)))</f>
        <v/>
      </c>
      <c r="M206" s="9" t="str">
        <f aca="false">IF($O206="","",INDEX(Scoring!$F$29:$F$361,MATCH($O206,Scoring!$AB$29:$AB$361,0)))</f>
        <v/>
      </c>
      <c r="N206" s="7" t="str">
        <f aca="false">IF($O206="","",INDEX(Scoring!$AI$29:$AI$361,MATCH($O206,Scoring!$AB$29:$AB$361,0)))</f>
        <v/>
      </c>
      <c r="O206" s="10" t="str">
        <f aca="false">IFERROR(SMALL(Scoring!$AB$29:$AB$361,202),"")</f>
        <v/>
      </c>
    </row>
    <row r="207" customFormat="false" ht="15" hidden="false" customHeight="false" outlineLevel="0" collapsed="false">
      <c r="A207" s="5" t="str">
        <f aca="false">IF($O207="","",INT($O207/1000))</f>
        <v/>
      </c>
      <c r="B207" s="6" t="str">
        <f aca="false">IF($O207="","",INDEX(Scoring!$A$29:$A$361,MATCH($O207,Scoring!$AB$29:$AB$361,0)))</f>
        <v/>
      </c>
      <c r="C207" s="5" t="str">
        <f aca="false">IF($O207="","",IF(INDEX(Scoring!$P$29:$P$361,MATCH($O207,Scoring!$AB$29:$AB$361,0))="","–",INDEX(Scoring!$P$29:$P$361,MATCH($O207,Scoring!$AB$29:$AB$361,0))))</f>
        <v/>
      </c>
      <c r="D207" s="6" t="str">
        <f aca="false">IF($O207="","",INDEX(Scoring!$Q$29:$Q$361,MATCH($O207,Scoring!$AB$29:$AB$361,0)))</f>
        <v/>
      </c>
      <c r="E207" s="7" t="str">
        <f aca="false">IF($O207="","",INDEX(Scoring!$AJ$29:$AJ$361,MATCH($O207,Scoring!$AB$29:$AB$361,0)))</f>
        <v/>
      </c>
      <c r="F207" s="6" t="str">
        <f aca="false">IF($O207="","",INDEX(Scoring!$B$29:$B$361,MATCH($O207,Scoring!$AB$29:$AB$361,0)))</f>
        <v/>
      </c>
      <c r="G207" s="7" t="str">
        <f aca="false">IF($O207="","",INDEX(Scoring!$AG$29:$AG$361,MATCH($O207,Scoring!$AB$29:$AB$361,0)))</f>
        <v/>
      </c>
      <c r="H207" s="7" t="str">
        <f aca="false">IF($O207="","",INDEX(Scoring!$C$29:$C$361,MATCH($O207,Scoring!$AB$29:$AB$361,0)))</f>
        <v/>
      </c>
      <c r="I207" s="6" t="str">
        <f aca="false">IF($O207="","",INDEX(Scoring!$I$29:$I$361,MATCH($O207,Scoring!$AB$29:$AB$361,0)))</f>
        <v/>
      </c>
      <c r="J207" s="7" t="str">
        <f aca="false">IF($O207="","",INDEX(Scoring!$Z$29:$Z$361,MATCH($O207,Scoring!$AB$29:$AB$361,0)))</f>
        <v/>
      </c>
      <c r="K207" s="8" t="str">
        <f aca="false">IF($O207="","",IF(INDEX(Scoring!$D$29:$D$361,MATCH($O207,Scoring!$AB$29:$AB$361,0))="",INDEX(Scoring!$AF$29:$AF$361,MATCH($O207,Scoring!$AB$29:$AB$361,0)),INDEX(Scoring!$D$29:$D$361,MATCH($O207,Scoring!$AB$29:$AB$361,0))))</f>
        <v/>
      </c>
      <c r="L207" s="9" t="str">
        <f aca="false">IF($O207="","",INDEX(Scoring!$M$29:$M$361,MATCH($O207,Scoring!$AB$29:$AB$361,0)))</f>
        <v/>
      </c>
      <c r="M207" s="9" t="str">
        <f aca="false">IF($O207="","",INDEX(Scoring!$F$29:$F$361,MATCH($O207,Scoring!$AB$29:$AB$361,0)))</f>
        <v/>
      </c>
      <c r="N207" s="7" t="str">
        <f aca="false">IF($O207="","",INDEX(Scoring!$AI$29:$AI$361,MATCH($O207,Scoring!$AB$29:$AB$361,0)))</f>
        <v/>
      </c>
      <c r="O207" s="10" t="str">
        <f aca="false">IFERROR(SMALL(Scoring!$AB$29:$AB$361,203),"")</f>
        <v/>
      </c>
    </row>
    <row r="208" customFormat="false" ht="15" hidden="false" customHeight="false" outlineLevel="0" collapsed="false">
      <c r="A208" s="5" t="str">
        <f aca="false">IF($O208="","",INT($O208/1000))</f>
        <v/>
      </c>
      <c r="B208" s="6" t="str">
        <f aca="false">IF($O208="","",INDEX(Scoring!$A$29:$A$361,MATCH($O208,Scoring!$AB$29:$AB$361,0)))</f>
        <v/>
      </c>
      <c r="C208" s="5" t="str">
        <f aca="false">IF($O208="","",IF(INDEX(Scoring!$P$29:$P$361,MATCH($O208,Scoring!$AB$29:$AB$361,0))="","–",INDEX(Scoring!$P$29:$P$361,MATCH($O208,Scoring!$AB$29:$AB$361,0))))</f>
        <v/>
      </c>
      <c r="D208" s="6" t="str">
        <f aca="false">IF($O208="","",INDEX(Scoring!$Q$29:$Q$361,MATCH($O208,Scoring!$AB$29:$AB$361,0)))</f>
        <v/>
      </c>
      <c r="E208" s="7" t="str">
        <f aca="false">IF($O208="","",INDEX(Scoring!$AJ$29:$AJ$361,MATCH($O208,Scoring!$AB$29:$AB$361,0)))</f>
        <v/>
      </c>
      <c r="F208" s="6" t="str">
        <f aca="false">IF($O208="","",INDEX(Scoring!$B$29:$B$361,MATCH($O208,Scoring!$AB$29:$AB$361,0)))</f>
        <v/>
      </c>
      <c r="G208" s="7" t="str">
        <f aca="false">IF($O208="","",INDEX(Scoring!$AG$29:$AG$361,MATCH($O208,Scoring!$AB$29:$AB$361,0)))</f>
        <v/>
      </c>
      <c r="H208" s="7" t="str">
        <f aca="false">IF($O208="","",INDEX(Scoring!$C$29:$C$361,MATCH($O208,Scoring!$AB$29:$AB$361,0)))</f>
        <v/>
      </c>
      <c r="I208" s="6" t="str">
        <f aca="false">IF($O208="","",INDEX(Scoring!$I$29:$I$361,MATCH($O208,Scoring!$AB$29:$AB$361,0)))</f>
        <v/>
      </c>
      <c r="J208" s="7" t="str">
        <f aca="false">IF($O208="","",INDEX(Scoring!$Z$29:$Z$361,MATCH($O208,Scoring!$AB$29:$AB$361,0)))</f>
        <v/>
      </c>
      <c r="K208" s="8" t="str">
        <f aca="false">IF($O208="","",IF(INDEX(Scoring!$D$29:$D$361,MATCH($O208,Scoring!$AB$29:$AB$361,0))="",INDEX(Scoring!$AF$29:$AF$361,MATCH($O208,Scoring!$AB$29:$AB$361,0)),INDEX(Scoring!$D$29:$D$361,MATCH($O208,Scoring!$AB$29:$AB$361,0))))</f>
        <v/>
      </c>
      <c r="L208" s="9" t="str">
        <f aca="false">IF($O208="","",INDEX(Scoring!$M$29:$M$361,MATCH($O208,Scoring!$AB$29:$AB$361,0)))</f>
        <v/>
      </c>
      <c r="M208" s="9" t="str">
        <f aca="false">IF($O208="","",INDEX(Scoring!$F$29:$F$361,MATCH($O208,Scoring!$AB$29:$AB$361,0)))</f>
        <v/>
      </c>
      <c r="N208" s="7" t="str">
        <f aca="false">IF($O208="","",INDEX(Scoring!$AI$29:$AI$361,MATCH($O208,Scoring!$AB$29:$AB$361,0)))</f>
        <v/>
      </c>
      <c r="O208" s="10" t="str">
        <f aca="false">IFERROR(SMALL(Scoring!$AB$29:$AB$361,204),"")</f>
        <v/>
      </c>
    </row>
    <row r="209" customFormat="false" ht="15" hidden="false" customHeight="false" outlineLevel="0" collapsed="false">
      <c r="A209" s="5" t="str">
        <f aca="false">IF($O209="","",INT($O209/1000))</f>
        <v/>
      </c>
      <c r="B209" s="6" t="str">
        <f aca="false">IF($O209="","",INDEX(Scoring!$A$29:$A$361,MATCH($O209,Scoring!$AB$29:$AB$361,0)))</f>
        <v/>
      </c>
      <c r="C209" s="5" t="str">
        <f aca="false">IF($O209="","",IF(INDEX(Scoring!$P$29:$P$361,MATCH($O209,Scoring!$AB$29:$AB$361,0))="","–",INDEX(Scoring!$P$29:$P$361,MATCH($O209,Scoring!$AB$29:$AB$361,0))))</f>
        <v/>
      </c>
      <c r="D209" s="6" t="str">
        <f aca="false">IF($O209="","",INDEX(Scoring!$Q$29:$Q$361,MATCH($O209,Scoring!$AB$29:$AB$361,0)))</f>
        <v/>
      </c>
      <c r="E209" s="7" t="str">
        <f aca="false">IF($O209="","",INDEX(Scoring!$AJ$29:$AJ$361,MATCH($O209,Scoring!$AB$29:$AB$361,0)))</f>
        <v/>
      </c>
      <c r="F209" s="6" t="str">
        <f aca="false">IF($O209="","",INDEX(Scoring!$B$29:$B$361,MATCH($O209,Scoring!$AB$29:$AB$361,0)))</f>
        <v/>
      </c>
      <c r="G209" s="7" t="str">
        <f aca="false">IF($O209="","",INDEX(Scoring!$AG$29:$AG$361,MATCH($O209,Scoring!$AB$29:$AB$361,0)))</f>
        <v/>
      </c>
      <c r="H209" s="7" t="str">
        <f aca="false">IF($O209="","",INDEX(Scoring!$C$29:$C$361,MATCH($O209,Scoring!$AB$29:$AB$361,0)))</f>
        <v/>
      </c>
      <c r="I209" s="6" t="str">
        <f aca="false">IF($O209="","",INDEX(Scoring!$I$29:$I$361,MATCH($O209,Scoring!$AB$29:$AB$361,0)))</f>
        <v/>
      </c>
      <c r="J209" s="7" t="str">
        <f aca="false">IF($O209="","",INDEX(Scoring!$Z$29:$Z$361,MATCH($O209,Scoring!$AB$29:$AB$361,0)))</f>
        <v/>
      </c>
      <c r="K209" s="8" t="str">
        <f aca="false">IF($O209="","",IF(INDEX(Scoring!$D$29:$D$361,MATCH($O209,Scoring!$AB$29:$AB$361,0))="",INDEX(Scoring!$AF$29:$AF$361,MATCH($O209,Scoring!$AB$29:$AB$361,0)),INDEX(Scoring!$D$29:$D$361,MATCH($O209,Scoring!$AB$29:$AB$361,0))))</f>
        <v/>
      </c>
      <c r="L209" s="9" t="str">
        <f aca="false">IF($O209="","",INDEX(Scoring!$M$29:$M$361,MATCH($O209,Scoring!$AB$29:$AB$361,0)))</f>
        <v/>
      </c>
      <c r="M209" s="9" t="str">
        <f aca="false">IF($O209="","",INDEX(Scoring!$F$29:$F$361,MATCH($O209,Scoring!$AB$29:$AB$361,0)))</f>
        <v/>
      </c>
      <c r="N209" s="7" t="str">
        <f aca="false">IF($O209="","",INDEX(Scoring!$AI$29:$AI$361,MATCH($O209,Scoring!$AB$29:$AB$361,0)))</f>
        <v/>
      </c>
      <c r="O209" s="10" t="str">
        <f aca="false">IFERROR(SMALL(Scoring!$AB$29:$AB$361,205),"")</f>
        <v/>
      </c>
    </row>
    <row r="210" customFormat="false" ht="15" hidden="false" customHeight="false" outlineLevel="0" collapsed="false">
      <c r="A210" s="5" t="str">
        <f aca="false">IF($O210="","",INT($O210/1000))</f>
        <v/>
      </c>
      <c r="B210" s="6" t="str">
        <f aca="false">IF($O210="","",INDEX(Scoring!$A$29:$A$361,MATCH($O210,Scoring!$AB$29:$AB$361,0)))</f>
        <v/>
      </c>
      <c r="C210" s="5" t="str">
        <f aca="false">IF($O210="","",IF(INDEX(Scoring!$P$29:$P$361,MATCH($O210,Scoring!$AB$29:$AB$361,0))="","–",INDEX(Scoring!$P$29:$P$361,MATCH($O210,Scoring!$AB$29:$AB$361,0))))</f>
        <v/>
      </c>
      <c r="D210" s="6" t="str">
        <f aca="false">IF($O210="","",INDEX(Scoring!$Q$29:$Q$361,MATCH($O210,Scoring!$AB$29:$AB$361,0)))</f>
        <v/>
      </c>
      <c r="E210" s="7" t="str">
        <f aca="false">IF($O210="","",INDEX(Scoring!$AJ$29:$AJ$361,MATCH($O210,Scoring!$AB$29:$AB$361,0)))</f>
        <v/>
      </c>
      <c r="F210" s="6" t="str">
        <f aca="false">IF($O210="","",INDEX(Scoring!$B$29:$B$361,MATCH($O210,Scoring!$AB$29:$AB$361,0)))</f>
        <v/>
      </c>
      <c r="G210" s="7" t="str">
        <f aca="false">IF($O210="","",INDEX(Scoring!$AG$29:$AG$361,MATCH($O210,Scoring!$AB$29:$AB$361,0)))</f>
        <v/>
      </c>
      <c r="H210" s="7" t="str">
        <f aca="false">IF($O210="","",INDEX(Scoring!$C$29:$C$361,MATCH($O210,Scoring!$AB$29:$AB$361,0)))</f>
        <v/>
      </c>
      <c r="I210" s="6" t="str">
        <f aca="false">IF($O210="","",INDEX(Scoring!$I$29:$I$361,MATCH($O210,Scoring!$AB$29:$AB$361,0)))</f>
        <v/>
      </c>
      <c r="J210" s="7" t="str">
        <f aca="false">IF($O210="","",INDEX(Scoring!$Z$29:$Z$361,MATCH($O210,Scoring!$AB$29:$AB$361,0)))</f>
        <v/>
      </c>
      <c r="K210" s="8" t="str">
        <f aca="false">IF($O210="","",IF(INDEX(Scoring!$D$29:$D$361,MATCH($O210,Scoring!$AB$29:$AB$361,0))="",INDEX(Scoring!$AF$29:$AF$361,MATCH($O210,Scoring!$AB$29:$AB$361,0)),INDEX(Scoring!$D$29:$D$361,MATCH($O210,Scoring!$AB$29:$AB$361,0))))</f>
        <v/>
      </c>
      <c r="L210" s="9" t="str">
        <f aca="false">IF($O210="","",INDEX(Scoring!$M$29:$M$361,MATCH($O210,Scoring!$AB$29:$AB$361,0)))</f>
        <v/>
      </c>
      <c r="M210" s="9" t="str">
        <f aca="false">IF($O210="","",INDEX(Scoring!$F$29:$F$361,MATCH($O210,Scoring!$AB$29:$AB$361,0)))</f>
        <v/>
      </c>
      <c r="N210" s="7" t="str">
        <f aca="false">IF($O210="","",INDEX(Scoring!$AI$29:$AI$361,MATCH($O210,Scoring!$AB$29:$AB$361,0)))</f>
        <v/>
      </c>
      <c r="O210" s="10" t="str">
        <f aca="false">IFERROR(SMALL(Scoring!$AB$29:$AB$361,206),"")</f>
        <v/>
      </c>
    </row>
    <row r="211" customFormat="false" ht="15" hidden="false" customHeight="false" outlineLevel="0" collapsed="false">
      <c r="A211" s="5" t="str">
        <f aca="false">IF($O211="","",INT($O211/1000))</f>
        <v/>
      </c>
      <c r="B211" s="6" t="str">
        <f aca="false">IF($O211="","",INDEX(Scoring!$A$29:$A$361,MATCH($O211,Scoring!$AB$29:$AB$361,0)))</f>
        <v/>
      </c>
      <c r="C211" s="5" t="str">
        <f aca="false">IF($O211="","",IF(INDEX(Scoring!$P$29:$P$361,MATCH($O211,Scoring!$AB$29:$AB$361,0))="","–",INDEX(Scoring!$P$29:$P$361,MATCH($O211,Scoring!$AB$29:$AB$361,0))))</f>
        <v/>
      </c>
      <c r="D211" s="6" t="str">
        <f aca="false">IF($O211="","",INDEX(Scoring!$Q$29:$Q$361,MATCH($O211,Scoring!$AB$29:$AB$361,0)))</f>
        <v/>
      </c>
      <c r="E211" s="7" t="str">
        <f aca="false">IF($O211="","",INDEX(Scoring!$AJ$29:$AJ$361,MATCH($O211,Scoring!$AB$29:$AB$361,0)))</f>
        <v/>
      </c>
      <c r="F211" s="6" t="str">
        <f aca="false">IF($O211="","",INDEX(Scoring!$B$29:$B$361,MATCH($O211,Scoring!$AB$29:$AB$361,0)))</f>
        <v/>
      </c>
      <c r="G211" s="7" t="str">
        <f aca="false">IF($O211="","",INDEX(Scoring!$AG$29:$AG$361,MATCH($O211,Scoring!$AB$29:$AB$361,0)))</f>
        <v/>
      </c>
      <c r="H211" s="7" t="str">
        <f aca="false">IF($O211="","",INDEX(Scoring!$C$29:$C$361,MATCH($O211,Scoring!$AB$29:$AB$361,0)))</f>
        <v/>
      </c>
      <c r="I211" s="6" t="str">
        <f aca="false">IF($O211="","",INDEX(Scoring!$I$29:$I$361,MATCH($O211,Scoring!$AB$29:$AB$361,0)))</f>
        <v/>
      </c>
      <c r="J211" s="7" t="str">
        <f aca="false">IF($O211="","",INDEX(Scoring!$Z$29:$Z$361,MATCH($O211,Scoring!$AB$29:$AB$361,0)))</f>
        <v/>
      </c>
      <c r="K211" s="8" t="str">
        <f aca="false">IF($O211="","",IF(INDEX(Scoring!$D$29:$D$361,MATCH($O211,Scoring!$AB$29:$AB$361,0))="",INDEX(Scoring!$AF$29:$AF$361,MATCH($O211,Scoring!$AB$29:$AB$361,0)),INDEX(Scoring!$D$29:$D$361,MATCH($O211,Scoring!$AB$29:$AB$361,0))))</f>
        <v/>
      </c>
      <c r="L211" s="9" t="str">
        <f aca="false">IF($O211="","",INDEX(Scoring!$M$29:$M$361,MATCH($O211,Scoring!$AB$29:$AB$361,0)))</f>
        <v/>
      </c>
      <c r="M211" s="9" t="str">
        <f aca="false">IF($O211="","",INDEX(Scoring!$F$29:$F$361,MATCH($O211,Scoring!$AB$29:$AB$361,0)))</f>
        <v/>
      </c>
      <c r="N211" s="7" t="str">
        <f aca="false">IF($O211="","",INDEX(Scoring!$AI$29:$AI$361,MATCH($O211,Scoring!$AB$29:$AB$361,0)))</f>
        <v/>
      </c>
      <c r="O211" s="10" t="str">
        <f aca="false">IFERROR(SMALL(Scoring!$AB$29:$AB$361,207),"")</f>
        <v/>
      </c>
    </row>
    <row r="212" customFormat="false" ht="15" hidden="false" customHeight="false" outlineLevel="0" collapsed="false">
      <c r="A212" s="5" t="str">
        <f aca="false">IF($O212="","",INT($O212/1000))</f>
        <v/>
      </c>
      <c r="B212" s="6" t="str">
        <f aca="false">IF($O212="","",INDEX(Scoring!$A$29:$A$361,MATCH($O212,Scoring!$AB$29:$AB$361,0)))</f>
        <v/>
      </c>
      <c r="C212" s="5" t="str">
        <f aca="false">IF($O212="","",IF(INDEX(Scoring!$P$29:$P$361,MATCH($O212,Scoring!$AB$29:$AB$361,0))="","–",INDEX(Scoring!$P$29:$P$361,MATCH($O212,Scoring!$AB$29:$AB$361,0))))</f>
        <v/>
      </c>
      <c r="D212" s="6" t="str">
        <f aca="false">IF($O212="","",INDEX(Scoring!$Q$29:$Q$361,MATCH($O212,Scoring!$AB$29:$AB$361,0)))</f>
        <v/>
      </c>
      <c r="E212" s="7" t="str">
        <f aca="false">IF($O212="","",INDEX(Scoring!$AJ$29:$AJ$361,MATCH($O212,Scoring!$AB$29:$AB$361,0)))</f>
        <v/>
      </c>
      <c r="F212" s="6" t="str">
        <f aca="false">IF($O212="","",INDEX(Scoring!$B$29:$B$361,MATCH($O212,Scoring!$AB$29:$AB$361,0)))</f>
        <v/>
      </c>
      <c r="G212" s="7" t="str">
        <f aca="false">IF($O212="","",INDEX(Scoring!$AG$29:$AG$361,MATCH($O212,Scoring!$AB$29:$AB$361,0)))</f>
        <v/>
      </c>
      <c r="H212" s="7" t="str">
        <f aca="false">IF($O212="","",INDEX(Scoring!$C$29:$C$361,MATCH($O212,Scoring!$AB$29:$AB$361,0)))</f>
        <v/>
      </c>
      <c r="I212" s="6" t="str">
        <f aca="false">IF($O212="","",INDEX(Scoring!$I$29:$I$361,MATCH($O212,Scoring!$AB$29:$AB$361,0)))</f>
        <v/>
      </c>
      <c r="J212" s="7" t="str">
        <f aca="false">IF($O212="","",INDEX(Scoring!$Z$29:$Z$361,MATCH($O212,Scoring!$AB$29:$AB$361,0)))</f>
        <v/>
      </c>
      <c r="K212" s="8" t="str">
        <f aca="false">IF($O212="","",IF(INDEX(Scoring!$D$29:$D$361,MATCH($O212,Scoring!$AB$29:$AB$361,0))="",INDEX(Scoring!$AF$29:$AF$361,MATCH($O212,Scoring!$AB$29:$AB$361,0)),INDEX(Scoring!$D$29:$D$361,MATCH($O212,Scoring!$AB$29:$AB$361,0))))</f>
        <v/>
      </c>
      <c r="L212" s="9" t="str">
        <f aca="false">IF($O212="","",INDEX(Scoring!$M$29:$M$361,MATCH($O212,Scoring!$AB$29:$AB$361,0)))</f>
        <v/>
      </c>
      <c r="M212" s="9" t="str">
        <f aca="false">IF($O212="","",INDEX(Scoring!$F$29:$F$361,MATCH($O212,Scoring!$AB$29:$AB$361,0)))</f>
        <v/>
      </c>
      <c r="N212" s="7" t="str">
        <f aca="false">IF($O212="","",INDEX(Scoring!$AI$29:$AI$361,MATCH($O212,Scoring!$AB$29:$AB$361,0)))</f>
        <v/>
      </c>
      <c r="O212" s="10" t="str">
        <f aca="false">IFERROR(SMALL(Scoring!$AB$29:$AB$361,208),"")</f>
        <v/>
      </c>
    </row>
    <row r="213" customFormat="false" ht="15" hidden="false" customHeight="false" outlineLevel="0" collapsed="false">
      <c r="A213" s="5" t="str">
        <f aca="false">IF($O213="","",INT($O213/1000))</f>
        <v/>
      </c>
      <c r="B213" s="6" t="str">
        <f aca="false">IF($O213="","",INDEX(Scoring!$A$29:$A$361,MATCH($O213,Scoring!$AB$29:$AB$361,0)))</f>
        <v/>
      </c>
      <c r="C213" s="5" t="str">
        <f aca="false">IF($O213="","",IF(INDEX(Scoring!$P$29:$P$361,MATCH($O213,Scoring!$AB$29:$AB$361,0))="","–",INDEX(Scoring!$P$29:$P$361,MATCH($O213,Scoring!$AB$29:$AB$361,0))))</f>
        <v/>
      </c>
      <c r="D213" s="6" t="str">
        <f aca="false">IF($O213="","",INDEX(Scoring!$Q$29:$Q$361,MATCH($O213,Scoring!$AB$29:$AB$361,0)))</f>
        <v/>
      </c>
      <c r="E213" s="7" t="str">
        <f aca="false">IF($O213="","",INDEX(Scoring!$AJ$29:$AJ$361,MATCH($O213,Scoring!$AB$29:$AB$361,0)))</f>
        <v/>
      </c>
      <c r="F213" s="6" t="str">
        <f aca="false">IF($O213="","",INDEX(Scoring!$B$29:$B$361,MATCH($O213,Scoring!$AB$29:$AB$361,0)))</f>
        <v/>
      </c>
      <c r="G213" s="7" t="str">
        <f aca="false">IF($O213="","",INDEX(Scoring!$AG$29:$AG$361,MATCH($O213,Scoring!$AB$29:$AB$361,0)))</f>
        <v/>
      </c>
      <c r="H213" s="7" t="str">
        <f aca="false">IF($O213="","",INDEX(Scoring!$C$29:$C$361,MATCH($O213,Scoring!$AB$29:$AB$361,0)))</f>
        <v/>
      </c>
      <c r="I213" s="6" t="str">
        <f aca="false">IF($O213="","",INDEX(Scoring!$I$29:$I$361,MATCH($O213,Scoring!$AB$29:$AB$361,0)))</f>
        <v/>
      </c>
      <c r="J213" s="7" t="str">
        <f aca="false">IF($O213="","",INDEX(Scoring!$Z$29:$Z$361,MATCH($O213,Scoring!$AB$29:$AB$361,0)))</f>
        <v/>
      </c>
      <c r="K213" s="8" t="str">
        <f aca="false">IF($O213="","",IF(INDEX(Scoring!$D$29:$D$361,MATCH($O213,Scoring!$AB$29:$AB$361,0))="",INDEX(Scoring!$AF$29:$AF$361,MATCH($O213,Scoring!$AB$29:$AB$361,0)),INDEX(Scoring!$D$29:$D$361,MATCH($O213,Scoring!$AB$29:$AB$361,0))))</f>
        <v/>
      </c>
      <c r="L213" s="9" t="str">
        <f aca="false">IF($O213="","",INDEX(Scoring!$M$29:$M$361,MATCH($O213,Scoring!$AB$29:$AB$361,0)))</f>
        <v/>
      </c>
      <c r="M213" s="9" t="str">
        <f aca="false">IF($O213="","",INDEX(Scoring!$F$29:$F$361,MATCH($O213,Scoring!$AB$29:$AB$361,0)))</f>
        <v/>
      </c>
      <c r="N213" s="7" t="str">
        <f aca="false">IF($O213="","",INDEX(Scoring!$AI$29:$AI$361,MATCH($O213,Scoring!$AB$29:$AB$361,0)))</f>
        <v/>
      </c>
      <c r="O213" s="10" t="str">
        <f aca="false">IFERROR(SMALL(Scoring!$AB$29:$AB$361,209),"")</f>
        <v/>
      </c>
    </row>
    <row r="214" customFormat="false" ht="15" hidden="false" customHeight="false" outlineLevel="0" collapsed="false">
      <c r="A214" s="5" t="str">
        <f aca="false">IF($O214="","",INT($O214/1000))</f>
        <v/>
      </c>
      <c r="B214" s="6" t="str">
        <f aca="false">IF($O214="","",INDEX(Scoring!$A$29:$A$361,MATCH($O214,Scoring!$AB$29:$AB$361,0)))</f>
        <v/>
      </c>
      <c r="C214" s="5" t="str">
        <f aca="false">IF($O214="","",IF(INDEX(Scoring!$P$29:$P$361,MATCH($O214,Scoring!$AB$29:$AB$361,0))="","–",INDEX(Scoring!$P$29:$P$361,MATCH($O214,Scoring!$AB$29:$AB$361,0))))</f>
        <v/>
      </c>
      <c r="D214" s="6" t="str">
        <f aca="false">IF($O214="","",INDEX(Scoring!$Q$29:$Q$361,MATCH($O214,Scoring!$AB$29:$AB$361,0)))</f>
        <v/>
      </c>
      <c r="E214" s="7" t="str">
        <f aca="false">IF($O214="","",INDEX(Scoring!$AJ$29:$AJ$361,MATCH($O214,Scoring!$AB$29:$AB$361,0)))</f>
        <v/>
      </c>
      <c r="F214" s="6" t="str">
        <f aca="false">IF($O214="","",INDEX(Scoring!$B$29:$B$361,MATCH($O214,Scoring!$AB$29:$AB$361,0)))</f>
        <v/>
      </c>
      <c r="G214" s="7" t="str">
        <f aca="false">IF($O214="","",INDEX(Scoring!$AG$29:$AG$361,MATCH($O214,Scoring!$AB$29:$AB$361,0)))</f>
        <v/>
      </c>
      <c r="H214" s="7" t="str">
        <f aca="false">IF($O214="","",INDEX(Scoring!$C$29:$C$361,MATCH($O214,Scoring!$AB$29:$AB$361,0)))</f>
        <v/>
      </c>
      <c r="I214" s="6" t="str">
        <f aca="false">IF($O214="","",INDEX(Scoring!$I$29:$I$361,MATCH($O214,Scoring!$AB$29:$AB$361,0)))</f>
        <v/>
      </c>
      <c r="J214" s="7" t="str">
        <f aca="false">IF($O214="","",INDEX(Scoring!$Z$29:$Z$361,MATCH($O214,Scoring!$AB$29:$AB$361,0)))</f>
        <v/>
      </c>
      <c r="K214" s="8" t="str">
        <f aca="false">IF($O214="","",IF(INDEX(Scoring!$D$29:$D$361,MATCH($O214,Scoring!$AB$29:$AB$361,0))="",INDEX(Scoring!$AF$29:$AF$361,MATCH($O214,Scoring!$AB$29:$AB$361,0)),INDEX(Scoring!$D$29:$D$361,MATCH($O214,Scoring!$AB$29:$AB$361,0))))</f>
        <v/>
      </c>
      <c r="L214" s="9" t="str">
        <f aca="false">IF($O214="","",INDEX(Scoring!$M$29:$M$361,MATCH($O214,Scoring!$AB$29:$AB$361,0)))</f>
        <v/>
      </c>
      <c r="M214" s="9" t="str">
        <f aca="false">IF($O214="","",INDEX(Scoring!$F$29:$F$361,MATCH($O214,Scoring!$AB$29:$AB$361,0)))</f>
        <v/>
      </c>
      <c r="N214" s="7" t="str">
        <f aca="false">IF($O214="","",INDEX(Scoring!$AI$29:$AI$361,MATCH($O214,Scoring!$AB$29:$AB$361,0)))</f>
        <v/>
      </c>
      <c r="O214" s="10" t="str">
        <f aca="false">IFERROR(SMALL(Scoring!$AB$29:$AB$361,210),"")</f>
        <v/>
      </c>
    </row>
    <row r="215" customFormat="false" ht="15" hidden="false" customHeight="false" outlineLevel="0" collapsed="false">
      <c r="A215" s="5" t="str">
        <f aca="false">IF($O215="","",INT($O215/1000))</f>
        <v/>
      </c>
      <c r="B215" s="6" t="str">
        <f aca="false">IF($O215="","",INDEX(Scoring!$A$29:$A$361,MATCH($O215,Scoring!$AB$29:$AB$361,0)))</f>
        <v/>
      </c>
      <c r="C215" s="5" t="str">
        <f aca="false">IF($O215="","",IF(INDEX(Scoring!$P$29:$P$361,MATCH($O215,Scoring!$AB$29:$AB$361,0))="","–",INDEX(Scoring!$P$29:$P$361,MATCH($O215,Scoring!$AB$29:$AB$361,0))))</f>
        <v/>
      </c>
      <c r="D215" s="6" t="str">
        <f aca="false">IF($O215="","",INDEX(Scoring!$Q$29:$Q$361,MATCH($O215,Scoring!$AB$29:$AB$361,0)))</f>
        <v/>
      </c>
      <c r="E215" s="7" t="str">
        <f aca="false">IF($O215="","",INDEX(Scoring!$AJ$29:$AJ$361,MATCH($O215,Scoring!$AB$29:$AB$361,0)))</f>
        <v/>
      </c>
      <c r="F215" s="6" t="str">
        <f aca="false">IF($O215="","",INDEX(Scoring!$B$29:$B$361,MATCH($O215,Scoring!$AB$29:$AB$361,0)))</f>
        <v/>
      </c>
      <c r="G215" s="7" t="str">
        <f aca="false">IF($O215="","",INDEX(Scoring!$AG$29:$AG$361,MATCH($O215,Scoring!$AB$29:$AB$361,0)))</f>
        <v/>
      </c>
      <c r="H215" s="7" t="str">
        <f aca="false">IF($O215="","",INDEX(Scoring!$C$29:$C$361,MATCH($O215,Scoring!$AB$29:$AB$361,0)))</f>
        <v/>
      </c>
      <c r="I215" s="6" t="str">
        <f aca="false">IF($O215="","",INDEX(Scoring!$I$29:$I$361,MATCH($O215,Scoring!$AB$29:$AB$361,0)))</f>
        <v/>
      </c>
      <c r="J215" s="7" t="str">
        <f aca="false">IF($O215="","",INDEX(Scoring!$Z$29:$Z$361,MATCH($O215,Scoring!$AB$29:$AB$361,0)))</f>
        <v/>
      </c>
      <c r="K215" s="8" t="str">
        <f aca="false">IF($O215="","",IF(INDEX(Scoring!$D$29:$D$361,MATCH($O215,Scoring!$AB$29:$AB$361,0))="",INDEX(Scoring!$AF$29:$AF$361,MATCH($O215,Scoring!$AB$29:$AB$361,0)),INDEX(Scoring!$D$29:$D$361,MATCH($O215,Scoring!$AB$29:$AB$361,0))))</f>
        <v/>
      </c>
      <c r="L215" s="9" t="str">
        <f aca="false">IF($O215="","",INDEX(Scoring!$M$29:$M$361,MATCH($O215,Scoring!$AB$29:$AB$361,0)))</f>
        <v/>
      </c>
      <c r="M215" s="9" t="str">
        <f aca="false">IF($O215="","",INDEX(Scoring!$F$29:$F$361,MATCH($O215,Scoring!$AB$29:$AB$361,0)))</f>
        <v/>
      </c>
      <c r="N215" s="7" t="str">
        <f aca="false">IF($O215="","",INDEX(Scoring!$AI$29:$AI$361,MATCH($O215,Scoring!$AB$29:$AB$361,0)))</f>
        <v/>
      </c>
      <c r="O215" s="10" t="str">
        <f aca="false">IFERROR(SMALL(Scoring!$AB$29:$AB$361,211),"")</f>
        <v/>
      </c>
    </row>
    <row r="216" customFormat="false" ht="15" hidden="false" customHeight="false" outlineLevel="0" collapsed="false">
      <c r="A216" s="5" t="str">
        <f aca="false">IF($O216="","",INT($O216/1000))</f>
        <v/>
      </c>
      <c r="B216" s="6" t="str">
        <f aca="false">IF($O216="","",INDEX(Scoring!$A$29:$A$361,MATCH($O216,Scoring!$AB$29:$AB$361,0)))</f>
        <v/>
      </c>
      <c r="C216" s="5" t="str">
        <f aca="false">IF($O216="","",IF(INDEX(Scoring!$P$29:$P$361,MATCH($O216,Scoring!$AB$29:$AB$361,0))="","–",INDEX(Scoring!$P$29:$P$361,MATCH($O216,Scoring!$AB$29:$AB$361,0))))</f>
        <v/>
      </c>
      <c r="D216" s="6" t="str">
        <f aca="false">IF($O216="","",INDEX(Scoring!$Q$29:$Q$361,MATCH($O216,Scoring!$AB$29:$AB$361,0)))</f>
        <v/>
      </c>
      <c r="E216" s="7" t="str">
        <f aca="false">IF($O216="","",INDEX(Scoring!$AJ$29:$AJ$361,MATCH($O216,Scoring!$AB$29:$AB$361,0)))</f>
        <v/>
      </c>
      <c r="F216" s="6" t="str">
        <f aca="false">IF($O216="","",INDEX(Scoring!$B$29:$B$361,MATCH($O216,Scoring!$AB$29:$AB$361,0)))</f>
        <v/>
      </c>
      <c r="G216" s="7" t="str">
        <f aca="false">IF($O216="","",INDEX(Scoring!$AG$29:$AG$361,MATCH($O216,Scoring!$AB$29:$AB$361,0)))</f>
        <v/>
      </c>
      <c r="H216" s="7" t="str">
        <f aca="false">IF($O216="","",INDEX(Scoring!$C$29:$C$361,MATCH($O216,Scoring!$AB$29:$AB$361,0)))</f>
        <v/>
      </c>
      <c r="I216" s="6" t="str">
        <f aca="false">IF($O216="","",INDEX(Scoring!$I$29:$I$361,MATCH($O216,Scoring!$AB$29:$AB$361,0)))</f>
        <v/>
      </c>
      <c r="J216" s="7" t="str">
        <f aca="false">IF($O216="","",INDEX(Scoring!$Z$29:$Z$361,MATCH($O216,Scoring!$AB$29:$AB$361,0)))</f>
        <v/>
      </c>
      <c r="K216" s="8" t="str">
        <f aca="false">IF($O216="","",IF(INDEX(Scoring!$D$29:$D$361,MATCH($O216,Scoring!$AB$29:$AB$361,0))="",INDEX(Scoring!$AF$29:$AF$361,MATCH($O216,Scoring!$AB$29:$AB$361,0)),INDEX(Scoring!$D$29:$D$361,MATCH($O216,Scoring!$AB$29:$AB$361,0))))</f>
        <v/>
      </c>
      <c r="L216" s="9" t="str">
        <f aca="false">IF($O216="","",INDEX(Scoring!$M$29:$M$361,MATCH($O216,Scoring!$AB$29:$AB$361,0)))</f>
        <v/>
      </c>
      <c r="M216" s="9" t="str">
        <f aca="false">IF($O216="","",INDEX(Scoring!$F$29:$F$361,MATCH($O216,Scoring!$AB$29:$AB$361,0)))</f>
        <v/>
      </c>
      <c r="N216" s="7" t="str">
        <f aca="false">IF($O216="","",INDEX(Scoring!$AI$29:$AI$361,MATCH($O216,Scoring!$AB$29:$AB$361,0)))</f>
        <v/>
      </c>
      <c r="O216" s="10" t="str">
        <f aca="false">IFERROR(SMALL(Scoring!$AB$29:$AB$361,212),"")</f>
        <v/>
      </c>
    </row>
    <row r="217" customFormat="false" ht="15" hidden="false" customHeight="false" outlineLevel="0" collapsed="false">
      <c r="A217" s="5" t="str">
        <f aca="false">IF($O217="","",INT($O217/1000))</f>
        <v/>
      </c>
      <c r="B217" s="6" t="str">
        <f aca="false">IF($O217="","",INDEX(Scoring!$A$29:$A$361,MATCH($O217,Scoring!$AB$29:$AB$361,0)))</f>
        <v/>
      </c>
      <c r="C217" s="5" t="str">
        <f aca="false">IF($O217="","",IF(INDEX(Scoring!$P$29:$P$361,MATCH($O217,Scoring!$AB$29:$AB$361,0))="","–",INDEX(Scoring!$P$29:$P$361,MATCH($O217,Scoring!$AB$29:$AB$361,0))))</f>
        <v/>
      </c>
      <c r="D217" s="6" t="str">
        <f aca="false">IF($O217="","",INDEX(Scoring!$Q$29:$Q$361,MATCH($O217,Scoring!$AB$29:$AB$361,0)))</f>
        <v/>
      </c>
      <c r="E217" s="7" t="str">
        <f aca="false">IF($O217="","",INDEX(Scoring!$AJ$29:$AJ$361,MATCH($O217,Scoring!$AB$29:$AB$361,0)))</f>
        <v/>
      </c>
      <c r="F217" s="6" t="str">
        <f aca="false">IF($O217="","",INDEX(Scoring!$B$29:$B$361,MATCH($O217,Scoring!$AB$29:$AB$361,0)))</f>
        <v/>
      </c>
      <c r="G217" s="7" t="str">
        <f aca="false">IF($O217="","",INDEX(Scoring!$AG$29:$AG$361,MATCH($O217,Scoring!$AB$29:$AB$361,0)))</f>
        <v/>
      </c>
      <c r="H217" s="7" t="str">
        <f aca="false">IF($O217="","",INDEX(Scoring!$C$29:$C$361,MATCH($O217,Scoring!$AB$29:$AB$361,0)))</f>
        <v/>
      </c>
      <c r="I217" s="6" t="str">
        <f aca="false">IF($O217="","",INDEX(Scoring!$I$29:$I$361,MATCH($O217,Scoring!$AB$29:$AB$361,0)))</f>
        <v/>
      </c>
      <c r="J217" s="7" t="str">
        <f aca="false">IF($O217="","",INDEX(Scoring!$Z$29:$Z$361,MATCH($O217,Scoring!$AB$29:$AB$361,0)))</f>
        <v/>
      </c>
      <c r="K217" s="8" t="str">
        <f aca="false">IF($O217="","",IF(INDEX(Scoring!$D$29:$D$361,MATCH($O217,Scoring!$AB$29:$AB$361,0))="",INDEX(Scoring!$AF$29:$AF$361,MATCH($O217,Scoring!$AB$29:$AB$361,0)),INDEX(Scoring!$D$29:$D$361,MATCH($O217,Scoring!$AB$29:$AB$361,0))))</f>
        <v/>
      </c>
      <c r="L217" s="9" t="str">
        <f aca="false">IF($O217="","",INDEX(Scoring!$M$29:$M$361,MATCH($O217,Scoring!$AB$29:$AB$361,0)))</f>
        <v/>
      </c>
      <c r="M217" s="9" t="str">
        <f aca="false">IF($O217="","",INDEX(Scoring!$F$29:$F$361,MATCH($O217,Scoring!$AB$29:$AB$361,0)))</f>
        <v/>
      </c>
      <c r="N217" s="7" t="str">
        <f aca="false">IF($O217="","",INDEX(Scoring!$AI$29:$AI$361,MATCH($O217,Scoring!$AB$29:$AB$361,0)))</f>
        <v/>
      </c>
      <c r="O217" s="10" t="str">
        <f aca="false">IFERROR(SMALL(Scoring!$AB$29:$AB$361,213),"")</f>
        <v/>
      </c>
    </row>
    <row r="218" customFormat="false" ht="15" hidden="false" customHeight="false" outlineLevel="0" collapsed="false">
      <c r="A218" s="5" t="str">
        <f aca="false">IF($O218="","",INT($O218/1000))</f>
        <v/>
      </c>
      <c r="B218" s="6" t="str">
        <f aca="false">IF($O218="","",INDEX(Scoring!$A$29:$A$361,MATCH($O218,Scoring!$AB$29:$AB$361,0)))</f>
        <v/>
      </c>
      <c r="C218" s="5" t="str">
        <f aca="false">IF($O218="","",IF(INDEX(Scoring!$P$29:$P$361,MATCH($O218,Scoring!$AB$29:$AB$361,0))="","–",INDEX(Scoring!$P$29:$P$361,MATCH($O218,Scoring!$AB$29:$AB$361,0))))</f>
        <v/>
      </c>
      <c r="D218" s="6" t="str">
        <f aca="false">IF($O218="","",INDEX(Scoring!$Q$29:$Q$361,MATCH($O218,Scoring!$AB$29:$AB$361,0)))</f>
        <v/>
      </c>
      <c r="E218" s="7" t="str">
        <f aca="false">IF($O218="","",INDEX(Scoring!$AJ$29:$AJ$361,MATCH($O218,Scoring!$AB$29:$AB$361,0)))</f>
        <v/>
      </c>
      <c r="F218" s="6" t="str">
        <f aca="false">IF($O218="","",INDEX(Scoring!$B$29:$B$361,MATCH($O218,Scoring!$AB$29:$AB$361,0)))</f>
        <v/>
      </c>
      <c r="G218" s="7" t="str">
        <f aca="false">IF($O218="","",INDEX(Scoring!$AG$29:$AG$361,MATCH($O218,Scoring!$AB$29:$AB$361,0)))</f>
        <v/>
      </c>
      <c r="H218" s="7" t="str">
        <f aca="false">IF($O218="","",INDEX(Scoring!$C$29:$C$361,MATCH($O218,Scoring!$AB$29:$AB$361,0)))</f>
        <v/>
      </c>
      <c r="I218" s="6" t="str">
        <f aca="false">IF($O218="","",INDEX(Scoring!$I$29:$I$361,MATCH($O218,Scoring!$AB$29:$AB$361,0)))</f>
        <v/>
      </c>
      <c r="J218" s="7" t="str">
        <f aca="false">IF($O218="","",INDEX(Scoring!$Z$29:$Z$361,MATCH($O218,Scoring!$AB$29:$AB$361,0)))</f>
        <v/>
      </c>
      <c r="K218" s="8" t="str">
        <f aca="false">IF($O218="","",IF(INDEX(Scoring!$D$29:$D$361,MATCH($O218,Scoring!$AB$29:$AB$361,0))="",INDEX(Scoring!$AF$29:$AF$361,MATCH($O218,Scoring!$AB$29:$AB$361,0)),INDEX(Scoring!$D$29:$D$361,MATCH($O218,Scoring!$AB$29:$AB$361,0))))</f>
        <v/>
      </c>
      <c r="L218" s="9" t="str">
        <f aca="false">IF($O218="","",INDEX(Scoring!$M$29:$M$361,MATCH($O218,Scoring!$AB$29:$AB$361,0)))</f>
        <v/>
      </c>
      <c r="M218" s="9" t="str">
        <f aca="false">IF($O218="","",INDEX(Scoring!$F$29:$F$361,MATCH($O218,Scoring!$AB$29:$AB$361,0)))</f>
        <v/>
      </c>
      <c r="N218" s="7" t="str">
        <f aca="false">IF($O218="","",INDEX(Scoring!$AI$29:$AI$361,MATCH($O218,Scoring!$AB$29:$AB$361,0)))</f>
        <v/>
      </c>
      <c r="O218" s="10" t="str">
        <f aca="false">IFERROR(SMALL(Scoring!$AB$29:$AB$361,214),"")</f>
        <v/>
      </c>
    </row>
    <row r="219" customFormat="false" ht="15" hidden="false" customHeight="false" outlineLevel="0" collapsed="false">
      <c r="A219" s="5" t="str">
        <f aca="false">IF($O219="","",INT($O219/1000))</f>
        <v/>
      </c>
      <c r="B219" s="6" t="str">
        <f aca="false">IF($O219="","",INDEX(Scoring!$A$29:$A$361,MATCH($O219,Scoring!$AB$29:$AB$361,0)))</f>
        <v/>
      </c>
      <c r="C219" s="5" t="str">
        <f aca="false">IF($O219="","",IF(INDEX(Scoring!$P$29:$P$361,MATCH($O219,Scoring!$AB$29:$AB$361,0))="","–",INDEX(Scoring!$P$29:$P$361,MATCH($O219,Scoring!$AB$29:$AB$361,0))))</f>
        <v/>
      </c>
      <c r="D219" s="6" t="str">
        <f aca="false">IF($O219="","",INDEX(Scoring!$Q$29:$Q$361,MATCH($O219,Scoring!$AB$29:$AB$361,0)))</f>
        <v/>
      </c>
      <c r="E219" s="7" t="str">
        <f aca="false">IF($O219="","",INDEX(Scoring!$AJ$29:$AJ$361,MATCH($O219,Scoring!$AB$29:$AB$361,0)))</f>
        <v/>
      </c>
      <c r="F219" s="6" t="str">
        <f aca="false">IF($O219="","",INDEX(Scoring!$B$29:$B$361,MATCH($O219,Scoring!$AB$29:$AB$361,0)))</f>
        <v/>
      </c>
      <c r="G219" s="7" t="str">
        <f aca="false">IF($O219="","",INDEX(Scoring!$AG$29:$AG$361,MATCH($O219,Scoring!$AB$29:$AB$361,0)))</f>
        <v/>
      </c>
      <c r="H219" s="7" t="str">
        <f aca="false">IF($O219="","",INDEX(Scoring!$C$29:$C$361,MATCH($O219,Scoring!$AB$29:$AB$361,0)))</f>
        <v/>
      </c>
      <c r="I219" s="6" t="str">
        <f aca="false">IF($O219="","",INDEX(Scoring!$I$29:$I$361,MATCH($O219,Scoring!$AB$29:$AB$361,0)))</f>
        <v/>
      </c>
      <c r="J219" s="7" t="str">
        <f aca="false">IF($O219="","",INDEX(Scoring!$Z$29:$Z$361,MATCH($O219,Scoring!$AB$29:$AB$361,0)))</f>
        <v/>
      </c>
      <c r="K219" s="8" t="str">
        <f aca="false">IF($O219="","",IF(INDEX(Scoring!$D$29:$D$361,MATCH($O219,Scoring!$AB$29:$AB$361,0))="",INDEX(Scoring!$AF$29:$AF$361,MATCH($O219,Scoring!$AB$29:$AB$361,0)),INDEX(Scoring!$D$29:$D$361,MATCH($O219,Scoring!$AB$29:$AB$361,0))))</f>
        <v/>
      </c>
      <c r="L219" s="9" t="str">
        <f aca="false">IF($O219="","",INDEX(Scoring!$M$29:$M$361,MATCH($O219,Scoring!$AB$29:$AB$361,0)))</f>
        <v/>
      </c>
      <c r="M219" s="9" t="str">
        <f aca="false">IF($O219="","",INDEX(Scoring!$F$29:$F$361,MATCH($O219,Scoring!$AB$29:$AB$361,0)))</f>
        <v/>
      </c>
      <c r="N219" s="7" t="str">
        <f aca="false">IF($O219="","",INDEX(Scoring!$AI$29:$AI$361,MATCH($O219,Scoring!$AB$29:$AB$361,0)))</f>
        <v/>
      </c>
      <c r="O219" s="10" t="str">
        <f aca="false">IFERROR(SMALL(Scoring!$AB$29:$AB$361,215),"")</f>
        <v/>
      </c>
    </row>
    <row r="220" customFormat="false" ht="15" hidden="false" customHeight="false" outlineLevel="0" collapsed="false">
      <c r="A220" s="5" t="str">
        <f aca="false">IF($O220="","",INT($O220/1000))</f>
        <v/>
      </c>
      <c r="B220" s="6" t="str">
        <f aca="false">IF($O220="","",INDEX(Scoring!$A$29:$A$361,MATCH($O220,Scoring!$AB$29:$AB$361,0)))</f>
        <v/>
      </c>
      <c r="C220" s="5" t="str">
        <f aca="false">IF($O220="","",IF(INDEX(Scoring!$P$29:$P$361,MATCH($O220,Scoring!$AB$29:$AB$361,0))="","–",INDEX(Scoring!$P$29:$P$361,MATCH($O220,Scoring!$AB$29:$AB$361,0))))</f>
        <v/>
      </c>
      <c r="D220" s="6" t="str">
        <f aca="false">IF($O220="","",INDEX(Scoring!$Q$29:$Q$361,MATCH($O220,Scoring!$AB$29:$AB$361,0)))</f>
        <v/>
      </c>
      <c r="E220" s="7" t="str">
        <f aca="false">IF($O220="","",INDEX(Scoring!$AJ$29:$AJ$361,MATCH($O220,Scoring!$AB$29:$AB$361,0)))</f>
        <v/>
      </c>
      <c r="F220" s="6" t="str">
        <f aca="false">IF($O220="","",INDEX(Scoring!$B$29:$B$361,MATCH($O220,Scoring!$AB$29:$AB$361,0)))</f>
        <v/>
      </c>
      <c r="G220" s="7" t="str">
        <f aca="false">IF($O220="","",INDEX(Scoring!$AG$29:$AG$361,MATCH($O220,Scoring!$AB$29:$AB$361,0)))</f>
        <v/>
      </c>
      <c r="H220" s="7" t="str">
        <f aca="false">IF($O220="","",INDEX(Scoring!$C$29:$C$361,MATCH($O220,Scoring!$AB$29:$AB$361,0)))</f>
        <v/>
      </c>
      <c r="I220" s="6" t="str">
        <f aca="false">IF($O220="","",INDEX(Scoring!$I$29:$I$361,MATCH($O220,Scoring!$AB$29:$AB$361,0)))</f>
        <v/>
      </c>
      <c r="J220" s="7" t="str">
        <f aca="false">IF($O220="","",INDEX(Scoring!$Z$29:$Z$361,MATCH($O220,Scoring!$AB$29:$AB$361,0)))</f>
        <v/>
      </c>
      <c r="K220" s="8" t="str">
        <f aca="false">IF($O220="","",IF(INDEX(Scoring!$D$29:$D$361,MATCH($O220,Scoring!$AB$29:$AB$361,0))="",INDEX(Scoring!$AF$29:$AF$361,MATCH($O220,Scoring!$AB$29:$AB$361,0)),INDEX(Scoring!$D$29:$D$361,MATCH($O220,Scoring!$AB$29:$AB$361,0))))</f>
        <v/>
      </c>
      <c r="L220" s="9" t="str">
        <f aca="false">IF($O220="","",INDEX(Scoring!$M$29:$M$361,MATCH($O220,Scoring!$AB$29:$AB$361,0)))</f>
        <v/>
      </c>
      <c r="M220" s="9" t="str">
        <f aca="false">IF($O220="","",INDEX(Scoring!$F$29:$F$361,MATCH($O220,Scoring!$AB$29:$AB$361,0)))</f>
        <v/>
      </c>
      <c r="N220" s="7" t="str">
        <f aca="false">IF($O220="","",INDEX(Scoring!$AI$29:$AI$361,MATCH($O220,Scoring!$AB$29:$AB$361,0)))</f>
        <v/>
      </c>
      <c r="O220" s="10" t="str">
        <f aca="false">IFERROR(SMALL(Scoring!$AB$29:$AB$361,216),"")</f>
        <v/>
      </c>
    </row>
    <row r="221" customFormat="false" ht="15" hidden="false" customHeight="false" outlineLevel="0" collapsed="false">
      <c r="A221" s="5" t="str">
        <f aca="false">IF($O221="","",INT($O221/1000))</f>
        <v/>
      </c>
      <c r="B221" s="6" t="str">
        <f aca="false">IF($O221="","",INDEX(Scoring!$A$29:$A$361,MATCH($O221,Scoring!$AB$29:$AB$361,0)))</f>
        <v/>
      </c>
      <c r="C221" s="5" t="str">
        <f aca="false">IF($O221="","",IF(INDEX(Scoring!$P$29:$P$361,MATCH($O221,Scoring!$AB$29:$AB$361,0))="","–",INDEX(Scoring!$P$29:$P$361,MATCH($O221,Scoring!$AB$29:$AB$361,0))))</f>
        <v/>
      </c>
      <c r="D221" s="6" t="str">
        <f aca="false">IF($O221="","",INDEX(Scoring!$Q$29:$Q$361,MATCH($O221,Scoring!$AB$29:$AB$361,0)))</f>
        <v/>
      </c>
      <c r="E221" s="7" t="str">
        <f aca="false">IF($O221="","",INDEX(Scoring!$AJ$29:$AJ$361,MATCH($O221,Scoring!$AB$29:$AB$361,0)))</f>
        <v/>
      </c>
      <c r="F221" s="6" t="str">
        <f aca="false">IF($O221="","",INDEX(Scoring!$B$29:$B$361,MATCH($O221,Scoring!$AB$29:$AB$361,0)))</f>
        <v/>
      </c>
      <c r="G221" s="7" t="str">
        <f aca="false">IF($O221="","",INDEX(Scoring!$AG$29:$AG$361,MATCH($O221,Scoring!$AB$29:$AB$361,0)))</f>
        <v/>
      </c>
      <c r="H221" s="7" t="str">
        <f aca="false">IF($O221="","",INDEX(Scoring!$C$29:$C$361,MATCH($O221,Scoring!$AB$29:$AB$361,0)))</f>
        <v/>
      </c>
      <c r="I221" s="6" t="str">
        <f aca="false">IF($O221="","",INDEX(Scoring!$I$29:$I$361,MATCH($O221,Scoring!$AB$29:$AB$361,0)))</f>
        <v/>
      </c>
      <c r="J221" s="7" t="str">
        <f aca="false">IF($O221="","",INDEX(Scoring!$Z$29:$Z$361,MATCH($O221,Scoring!$AB$29:$AB$361,0)))</f>
        <v/>
      </c>
      <c r="K221" s="8" t="str">
        <f aca="false">IF($O221="","",IF(INDEX(Scoring!$D$29:$D$361,MATCH($O221,Scoring!$AB$29:$AB$361,0))="",INDEX(Scoring!$AF$29:$AF$361,MATCH($O221,Scoring!$AB$29:$AB$361,0)),INDEX(Scoring!$D$29:$D$361,MATCH($O221,Scoring!$AB$29:$AB$361,0))))</f>
        <v/>
      </c>
      <c r="L221" s="9" t="str">
        <f aca="false">IF($O221="","",INDEX(Scoring!$M$29:$M$361,MATCH($O221,Scoring!$AB$29:$AB$361,0)))</f>
        <v/>
      </c>
      <c r="M221" s="9" t="str">
        <f aca="false">IF($O221="","",INDEX(Scoring!$F$29:$F$361,MATCH($O221,Scoring!$AB$29:$AB$361,0)))</f>
        <v/>
      </c>
      <c r="N221" s="7" t="str">
        <f aca="false">IF($O221="","",INDEX(Scoring!$AI$29:$AI$361,MATCH($O221,Scoring!$AB$29:$AB$361,0)))</f>
        <v/>
      </c>
      <c r="O221" s="10" t="str">
        <f aca="false">IFERROR(SMALL(Scoring!$AB$29:$AB$361,217),"")</f>
        <v/>
      </c>
    </row>
    <row r="222" customFormat="false" ht="15" hidden="false" customHeight="false" outlineLevel="0" collapsed="false">
      <c r="A222" s="5" t="str">
        <f aca="false">IF($O222="","",INT($O222/1000))</f>
        <v/>
      </c>
      <c r="B222" s="6" t="str">
        <f aca="false">IF($O222="","",INDEX(Scoring!$A$29:$A$361,MATCH($O222,Scoring!$AB$29:$AB$361,0)))</f>
        <v/>
      </c>
      <c r="C222" s="5" t="str">
        <f aca="false">IF($O222="","",IF(INDEX(Scoring!$P$29:$P$361,MATCH($O222,Scoring!$AB$29:$AB$361,0))="","–",INDEX(Scoring!$P$29:$P$361,MATCH($O222,Scoring!$AB$29:$AB$361,0))))</f>
        <v/>
      </c>
      <c r="D222" s="6" t="str">
        <f aca="false">IF($O222="","",INDEX(Scoring!$Q$29:$Q$361,MATCH($O222,Scoring!$AB$29:$AB$361,0)))</f>
        <v/>
      </c>
      <c r="E222" s="7" t="str">
        <f aca="false">IF($O222="","",INDEX(Scoring!$AJ$29:$AJ$361,MATCH($O222,Scoring!$AB$29:$AB$361,0)))</f>
        <v/>
      </c>
      <c r="F222" s="6" t="str">
        <f aca="false">IF($O222="","",INDEX(Scoring!$B$29:$B$361,MATCH($O222,Scoring!$AB$29:$AB$361,0)))</f>
        <v/>
      </c>
      <c r="G222" s="7" t="str">
        <f aca="false">IF($O222="","",INDEX(Scoring!$AG$29:$AG$361,MATCH($O222,Scoring!$AB$29:$AB$361,0)))</f>
        <v/>
      </c>
      <c r="H222" s="7" t="str">
        <f aca="false">IF($O222="","",INDEX(Scoring!$C$29:$C$361,MATCH($O222,Scoring!$AB$29:$AB$361,0)))</f>
        <v/>
      </c>
      <c r="I222" s="6" t="str">
        <f aca="false">IF($O222="","",INDEX(Scoring!$I$29:$I$361,MATCH($O222,Scoring!$AB$29:$AB$361,0)))</f>
        <v/>
      </c>
      <c r="J222" s="7" t="str">
        <f aca="false">IF($O222="","",INDEX(Scoring!$Z$29:$Z$361,MATCH($O222,Scoring!$AB$29:$AB$361,0)))</f>
        <v/>
      </c>
      <c r="K222" s="8" t="str">
        <f aca="false">IF($O222="","",IF(INDEX(Scoring!$D$29:$D$361,MATCH($O222,Scoring!$AB$29:$AB$361,0))="",INDEX(Scoring!$AF$29:$AF$361,MATCH($O222,Scoring!$AB$29:$AB$361,0)),INDEX(Scoring!$D$29:$D$361,MATCH($O222,Scoring!$AB$29:$AB$361,0))))</f>
        <v/>
      </c>
      <c r="L222" s="9" t="str">
        <f aca="false">IF($O222="","",INDEX(Scoring!$M$29:$M$361,MATCH($O222,Scoring!$AB$29:$AB$361,0)))</f>
        <v/>
      </c>
      <c r="M222" s="9" t="str">
        <f aca="false">IF($O222="","",INDEX(Scoring!$F$29:$F$361,MATCH($O222,Scoring!$AB$29:$AB$361,0)))</f>
        <v/>
      </c>
      <c r="N222" s="7" t="str">
        <f aca="false">IF($O222="","",INDEX(Scoring!$AI$29:$AI$361,MATCH($O222,Scoring!$AB$29:$AB$361,0)))</f>
        <v/>
      </c>
      <c r="O222" s="10" t="str">
        <f aca="false">IFERROR(SMALL(Scoring!$AB$29:$AB$361,218),"")</f>
        <v/>
      </c>
    </row>
    <row r="223" customFormat="false" ht="15" hidden="false" customHeight="false" outlineLevel="0" collapsed="false">
      <c r="A223" s="5" t="str">
        <f aca="false">IF($O223="","",INT($O223/1000))</f>
        <v/>
      </c>
      <c r="B223" s="6" t="str">
        <f aca="false">IF($O223="","",INDEX(Scoring!$A$29:$A$361,MATCH($O223,Scoring!$AB$29:$AB$361,0)))</f>
        <v/>
      </c>
      <c r="C223" s="5" t="str">
        <f aca="false">IF($O223="","",IF(INDEX(Scoring!$P$29:$P$361,MATCH($O223,Scoring!$AB$29:$AB$361,0))="","–",INDEX(Scoring!$P$29:$P$361,MATCH($O223,Scoring!$AB$29:$AB$361,0))))</f>
        <v/>
      </c>
      <c r="D223" s="6" t="str">
        <f aca="false">IF($O223="","",INDEX(Scoring!$Q$29:$Q$361,MATCH($O223,Scoring!$AB$29:$AB$361,0)))</f>
        <v/>
      </c>
      <c r="E223" s="7" t="str">
        <f aca="false">IF($O223="","",INDEX(Scoring!$AJ$29:$AJ$361,MATCH($O223,Scoring!$AB$29:$AB$361,0)))</f>
        <v/>
      </c>
      <c r="F223" s="6" t="str">
        <f aca="false">IF($O223="","",INDEX(Scoring!$B$29:$B$361,MATCH($O223,Scoring!$AB$29:$AB$361,0)))</f>
        <v/>
      </c>
      <c r="G223" s="7" t="str">
        <f aca="false">IF($O223="","",INDEX(Scoring!$AG$29:$AG$361,MATCH($O223,Scoring!$AB$29:$AB$361,0)))</f>
        <v/>
      </c>
      <c r="H223" s="7" t="str">
        <f aca="false">IF($O223="","",INDEX(Scoring!$C$29:$C$361,MATCH($O223,Scoring!$AB$29:$AB$361,0)))</f>
        <v/>
      </c>
      <c r="I223" s="6" t="str">
        <f aca="false">IF($O223="","",INDEX(Scoring!$I$29:$I$361,MATCH($O223,Scoring!$AB$29:$AB$361,0)))</f>
        <v/>
      </c>
      <c r="J223" s="7" t="str">
        <f aca="false">IF($O223="","",INDEX(Scoring!$Z$29:$Z$361,MATCH($O223,Scoring!$AB$29:$AB$361,0)))</f>
        <v/>
      </c>
      <c r="K223" s="8" t="str">
        <f aca="false">IF($O223="","",IF(INDEX(Scoring!$D$29:$D$361,MATCH($O223,Scoring!$AB$29:$AB$361,0))="",INDEX(Scoring!$AF$29:$AF$361,MATCH($O223,Scoring!$AB$29:$AB$361,0)),INDEX(Scoring!$D$29:$D$361,MATCH($O223,Scoring!$AB$29:$AB$361,0))))</f>
        <v/>
      </c>
      <c r="L223" s="9" t="str">
        <f aca="false">IF($O223="","",INDEX(Scoring!$M$29:$M$361,MATCH($O223,Scoring!$AB$29:$AB$361,0)))</f>
        <v/>
      </c>
      <c r="M223" s="9" t="str">
        <f aca="false">IF($O223="","",INDEX(Scoring!$F$29:$F$361,MATCH($O223,Scoring!$AB$29:$AB$361,0)))</f>
        <v/>
      </c>
      <c r="N223" s="7" t="str">
        <f aca="false">IF($O223="","",INDEX(Scoring!$AI$29:$AI$361,MATCH($O223,Scoring!$AB$29:$AB$361,0)))</f>
        <v/>
      </c>
      <c r="O223" s="10" t="str">
        <f aca="false">IFERROR(SMALL(Scoring!$AB$29:$AB$361,219),"")</f>
        <v/>
      </c>
    </row>
    <row r="224" customFormat="false" ht="15" hidden="false" customHeight="false" outlineLevel="0" collapsed="false">
      <c r="A224" s="5" t="str">
        <f aca="false">IF($O224="","",INT($O224/1000))</f>
        <v/>
      </c>
      <c r="B224" s="6" t="str">
        <f aca="false">IF($O224="","",INDEX(Scoring!$A$29:$A$361,MATCH($O224,Scoring!$AB$29:$AB$361,0)))</f>
        <v/>
      </c>
      <c r="C224" s="5" t="str">
        <f aca="false">IF($O224="","",IF(INDEX(Scoring!$P$29:$P$361,MATCH($O224,Scoring!$AB$29:$AB$361,0))="","–",INDEX(Scoring!$P$29:$P$361,MATCH($O224,Scoring!$AB$29:$AB$361,0))))</f>
        <v/>
      </c>
      <c r="D224" s="6" t="str">
        <f aca="false">IF($O224="","",INDEX(Scoring!$Q$29:$Q$361,MATCH($O224,Scoring!$AB$29:$AB$361,0)))</f>
        <v/>
      </c>
      <c r="E224" s="7" t="str">
        <f aca="false">IF($O224="","",INDEX(Scoring!$AJ$29:$AJ$361,MATCH($O224,Scoring!$AB$29:$AB$361,0)))</f>
        <v/>
      </c>
      <c r="F224" s="6" t="str">
        <f aca="false">IF($O224="","",INDEX(Scoring!$B$29:$B$361,MATCH($O224,Scoring!$AB$29:$AB$361,0)))</f>
        <v/>
      </c>
      <c r="G224" s="7" t="str">
        <f aca="false">IF($O224="","",INDEX(Scoring!$AG$29:$AG$361,MATCH($O224,Scoring!$AB$29:$AB$361,0)))</f>
        <v/>
      </c>
      <c r="H224" s="7" t="str">
        <f aca="false">IF($O224="","",INDEX(Scoring!$C$29:$C$361,MATCH($O224,Scoring!$AB$29:$AB$361,0)))</f>
        <v/>
      </c>
      <c r="I224" s="6" t="str">
        <f aca="false">IF($O224="","",INDEX(Scoring!$I$29:$I$361,MATCH($O224,Scoring!$AB$29:$AB$361,0)))</f>
        <v/>
      </c>
      <c r="J224" s="7" t="str">
        <f aca="false">IF($O224="","",INDEX(Scoring!$Z$29:$Z$361,MATCH($O224,Scoring!$AB$29:$AB$361,0)))</f>
        <v/>
      </c>
      <c r="K224" s="8" t="str">
        <f aca="false">IF($O224="","",IF(INDEX(Scoring!$D$29:$D$361,MATCH($O224,Scoring!$AB$29:$AB$361,0))="",INDEX(Scoring!$AF$29:$AF$361,MATCH($O224,Scoring!$AB$29:$AB$361,0)),INDEX(Scoring!$D$29:$D$361,MATCH($O224,Scoring!$AB$29:$AB$361,0))))</f>
        <v/>
      </c>
      <c r="L224" s="9" t="str">
        <f aca="false">IF($O224="","",INDEX(Scoring!$M$29:$M$361,MATCH($O224,Scoring!$AB$29:$AB$361,0)))</f>
        <v/>
      </c>
      <c r="M224" s="9" t="str">
        <f aca="false">IF($O224="","",INDEX(Scoring!$F$29:$F$361,MATCH($O224,Scoring!$AB$29:$AB$361,0)))</f>
        <v/>
      </c>
      <c r="N224" s="7" t="str">
        <f aca="false">IF($O224="","",INDEX(Scoring!$AI$29:$AI$361,MATCH($O224,Scoring!$AB$29:$AB$361,0)))</f>
        <v/>
      </c>
      <c r="O224" s="10" t="str">
        <f aca="false">IFERROR(SMALL(Scoring!$AB$29:$AB$361,220),"")</f>
        <v/>
      </c>
    </row>
    <row r="225" customFormat="false" ht="15" hidden="false" customHeight="false" outlineLevel="0" collapsed="false">
      <c r="A225" s="5" t="str">
        <f aca="false">IF($O225="","",INT($O225/1000))</f>
        <v/>
      </c>
      <c r="B225" s="6" t="str">
        <f aca="false">IF($O225="","",INDEX(Scoring!$A$29:$A$361,MATCH($O225,Scoring!$AB$29:$AB$361,0)))</f>
        <v/>
      </c>
      <c r="C225" s="5" t="str">
        <f aca="false">IF($O225="","",IF(INDEX(Scoring!$P$29:$P$361,MATCH($O225,Scoring!$AB$29:$AB$361,0))="","–",INDEX(Scoring!$P$29:$P$361,MATCH($O225,Scoring!$AB$29:$AB$361,0))))</f>
        <v/>
      </c>
      <c r="D225" s="6" t="str">
        <f aca="false">IF($O225="","",INDEX(Scoring!$Q$29:$Q$361,MATCH($O225,Scoring!$AB$29:$AB$361,0)))</f>
        <v/>
      </c>
      <c r="E225" s="7" t="str">
        <f aca="false">IF($O225="","",INDEX(Scoring!$AJ$29:$AJ$361,MATCH($O225,Scoring!$AB$29:$AB$361,0)))</f>
        <v/>
      </c>
      <c r="F225" s="6" t="str">
        <f aca="false">IF($O225="","",INDEX(Scoring!$B$29:$B$361,MATCH($O225,Scoring!$AB$29:$AB$361,0)))</f>
        <v/>
      </c>
      <c r="G225" s="7" t="str">
        <f aca="false">IF($O225="","",INDEX(Scoring!$AG$29:$AG$361,MATCH($O225,Scoring!$AB$29:$AB$361,0)))</f>
        <v/>
      </c>
      <c r="H225" s="7" t="str">
        <f aca="false">IF($O225="","",INDEX(Scoring!$C$29:$C$361,MATCH($O225,Scoring!$AB$29:$AB$361,0)))</f>
        <v/>
      </c>
      <c r="I225" s="6" t="str">
        <f aca="false">IF($O225="","",INDEX(Scoring!$I$29:$I$361,MATCH($O225,Scoring!$AB$29:$AB$361,0)))</f>
        <v/>
      </c>
      <c r="J225" s="7" t="str">
        <f aca="false">IF($O225="","",INDEX(Scoring!$Z$29:$Z$361,MATCH($O225,Scoring!$AB$29:$AB$361,0)))</f>
        <v/>
      </c>
      <c r="K225" s="8" t="str">
        <f aca="false">IF($O225="","",IF(INDEX(Scoring!$D$29:$D$361,MATCH($O225,Scoring!$AB$29:$AB$361,0))="",INDEX(Scoring!$AF$29:$AF$361,MATCH($O225,Scoring!$AB$29:$AB$361,0)),INDEX(Scoring!$D$29:$D$361,MATCH($O225,Scoring!$AB$29:$AB$361,0))))</f>
        <v/>
      </c>
      <c r="L225" s="9" t="str">
        <f aca="false">IF($O225="","",INDEX(Scoring!$M$29:$M$361,MATCH($O225,Scoring!$AB$29:$AB$361,0)))</f>
        <v/>
      </c>
      <c r="M225" s="9" t="str">
        <f aca="false">IF($O225="","",INDEX(Scoring!$F$29:$F$361,MATCH($O225,Scoring!$AB$29:$AB$361,0)))</f>
        <v/>
      </c>
      <c r="N225" s="7" t="str">
        <f aca="false">IF($O225="","",INDEX(Scoring!$AI$29:$AI$361,MATCH($O225,Scoring!$AB$29:$AB$361,0)))</f>
        <v/>
      </c>
      <c r="O225" s="10" t="str">
        <f aca="false">IFERROR(SMALL(Scoring!$AB$29:$AB$361,221),"")</f>
        <v/>
      </c>
    </row>
    <row r="226" customFormat="false" ht="15" hidden="false" customHeight="false" outlineLevel="0" collapsed="false">
      <c r="A226" s="5" t="str">
        <f aca="false">IF($O226="","",INT($O226/1000))</f>
        <v/>
      </c>
      <c r="B226" s="6" t="str">
        <f aca="false">IF($O226="","",INDEX(Scoring!$A$29:$A$361,MATCH($O226,Scoring!$AB$29:$AB$361,0)))</f>
        <v/>
      </c>
      <c r="C226" s="5" t="str">
        <f aca="false">IF($O226="","",IF(INDEX(Scoring!$P$29:$P$361,MATCH($O226,Scoring!$AB$29:$AB$361,0))="","–",INDEX(Scoring!$P$29:$P$361,MATCH($O226,Scoring!$AB$29:$AB$361,0))))</f>
        <v/>
      </c>
      <c r="D226" s="6" t="str">
        <f aca="false">IF($O226="","",INDEX(Scoring!$Q$29:$Q$361,MATCH($O226,Scoring!$AB$29:$AB$361,0)))</f>
        <v/>
      </c>
      <c r="E226" s="7" t="str">
        <f aca="false">IF($O226="","",INDEX(Scoring!$AJ$29:$AJ$361,MATCH($O226,Scoring!$AB$29:$AB$361,0)))</f>
        <v/>
      </c>
      <c r="F226" s="6" t="str">
        <f aca="false">IF($O226="","",INDEX(Scoring!$B$29:$B$361,MATCH($O226,Scoring!$AB$29:$AB$361,0)))</f>
        <v/>
      </c>
      <c r="G226" s="7" t="str">
        <f aca="false">IF($O226="","",INDEX(Scoring!$AG$29:$AG$361,MATCH($O226,Scoring!$AB$29:$AB$361,0)))</f>
        <v/>
      </c>
      <c r="H226" s="7" t="str">
        <f aca="false">IF($O226="","",INDEX(Scoring!$C$29:$C$361,MATCH($O226,Scoring!$AB$29:$AB$361,0)))</f>
        <v/>
      </c>
      <c r="I226" s="6" t="str">
        <f aca="false">IF($O226="","",INDEX(Scoring!$I$29:$I$361,MATCH($O226,Scoring!$AB$29:$AB$361,0)))</f>
        <v/>
      </c>
      <c r="J226" s="7" t="str">
        <f aca="false">IF($O226="","",INDEX(Scoring!$Z$29:$Z$361,MATCH($O226,Scoring!$AB$29:$AB$361,0)))</f>
        <v/>
      </c>
      <c r="K226" s="8" t="str">
        <f aca="false">IF($O226="","",IF(INDEX(Scoring!$D$29:$D$361,MATCH($O226,Scoring!$AB$29:$AB$361,0))="",INDEX(Scoring!$AF$29:$AF$361,MATCH($O226,Scoring!$AB$29:$AB$361,0)),INDEX(Scoring!$D$29:$D$361,MATCH($O226,Scoring!$AB$29:$AB$361,0))))</f>
        <v/>
      </c>
      <c r="L226" s="9" t="str">
        <f aca="false">IF($O226="","",INDEX(Scoring!$M$29:$M$361,MATCH($O226,Scoring!$AB$29:$AB$361,0)))</f>
        <v/>
      </c>
      <c r="M226" s="9" t="str">
        <f aca="false">IF($O226="","",INDEX(Scoring!$F$29:$F$361,MATCH($O226,Scoring!$AB$29:$AB$361,0)))</f>
        <v/>
      </c>
      <c r="N226" s="7" t="str">
        <f aca="false">IF($O226="","",INDEX(Scoring!$AI$29:$AI$361,MATCH($O226,Scoring!$AB$29:$AB$361,0)))</f>
        <v/>
      </c>
      <c r="O226" s="10" t="str">
        <f aca="false">IFERROR(SMALL(Scoring!$AB$29:$AB$361,222),"")</f>
        <v/>
      </c>
    </row>
    <row r="227" customFormat="false" ht="15" hidden="false" customHeight="false" outlineLevel="0" collapsed="false">
      <c r="A227" s="5" t="str">
        <f aca="false">IF($O227="","",INT($O227/1000))</f>
        <v/>
      </c>
      <c r="B227" s="6" t="str">
        <f aca="false">IF($O227="","",INDEX(Scoring!$A$29:$A$361,MATCH($O227,Scoring!$AB$29:$AB$361,0)))</f>
        <v/>
      </c>
      <c r="C227" s="5" t="str">
        <f aca="false">IF($O227="","",IF(INDEX(Scoring!$P$29:$P$361,MATCH($O227,Scoring!$AB$29:$AB$361,0))="","–",INDEX(Scoring!$P$29:$P$361,MATCH($O227,Scoring!$AB$29:$AB$361,0))))</f>
        <v/>
      </c>
      <c r="D227" s="6" t="str">
        <f aca="false">IF($O227="","",INDEX(Scoring!$Q$29:$Q$361,MATCH($O227,Scoring!$AB$29:$AB$361,0)))</f>
        <v/>
      </c>
      <c r="E227" s="7" t="str">
        <f aca="false">IF($O227="","",INDEX(Scoring!$AJ$29:$AJ$361,MATCH($O227,Scoring!$AB$29:$AB$361,0)))</f>
        <v/>
      </c>
      <c r="F227" s="6" t="str">
        <f aca="false">IF($O227="","",INDEX(Scoring!$B$29:$B$361,MATCH($O227,Scoring!$AB$29:$AB$361,0)))</f>
        <v/>
      </c>
      <c r="G227" s="7" t="str">
        <f aca="false">IF($O227="","",INDEX(Scoring!$AG$29:$AG$361,MATCH($O227,Scoring!$AB$29:$AB$361,0)))</f>
        <v/>
      </c>
      <c r="H227" s="7" t="str">
        <f aca="false">IF($O227="","",INDEX(Scoring!$C$29:$C$361,MATCH($O227,Scoring!$AB$29:$AB$361,0)))</f>
        <v/>
      </c>
      <c r="I227" s="6" t="str">
        <f aca="false">IF($O227="","",INDEX(Scoring!$I$29:$I$361,MATCH($O227,Scoring!$AB$29:$AB$361,0)))</f>
        <v/>
      </c>
      <c r="J227" s="7" t="str">
        <f aca="false">IF($O227="","",INDEX(Scoring!$Z$29:$Z$361,MATCH($O227,Scoring!$AB$29:$AB$361,0)))</f>
        <v/>
      </c>
      <c r="K227" s="8" t="str">
        <f aca="false">IF($O227="","",IF(INDEX(Scoring!$D$29:$D$361,MATCH($O227,Scoring!$AB$29:$AB$361,0))="",INDEX(Scoring!$AF$29:$AF$361,MATCH($O227,Scoring!$AB$29:$AB$361,0)),INDEX(Scoring!$D$29:$D$361,MATCH($O227,Scoring!$AB$29:$AB$361,0))))</f>
        <v/>
      </c>
      <c r="L227" s="9" t="str">
        <f aca="false">IF($O227="","",INDEX(Scoring!$M$29:$M$361,MATCH($O227,Scoring!$AB$29:$AB$361,0)))</f>
        <v/>
      </c>
      <c r="M227" s="9" t="str">
        <f aca="false">IF($O227="","",INDEX(Scoring!$F$29:$F$361,MATCH($O227,Scoring!$AB$29:$AB$361,0)))</f>
        <v/>
      </c>
      <c r="N227" s="7" t="str">
        <f aca="false">IF($O227="","",INDEX(Scoring!$AI$29:$AI$361,MATCH($O227,Scoring!$AB$29:$AB$361,0)))</f>
        <v/>
      </c>
      <c r="O227" s="10" t="str">
        <f aca="false">IFERROR(SMALL(Scoring!$AB$29:$AB$361,223),"")</f>
        <v/>
      </c>
    </row>
    <row r="228" customFormat="false" ht="15" hidden="false" customHeight="false" outlineLevel="0" collapsed="false">
      <c r="A228" s="5" t="str">
        <f aca="false">IF($O228="","",INT($O228/1000))</f>
        <v/>
      </c>
      <c r="B228" s="6" t="str">
        <f aca="false">IF($O228="","",INDEX(Scoring!$A$29:$A$361,MATCH($O228,Scoring!$AB$29:$AB$361,0)))</f>
        <v/>
      </c>
      <c r="C228" s="5" t="str">
        <f aca="false">IF($O228="","",IF(INDEX(Scoring!$P$29:$P$361,MATCH($O228,Scoring!$AB$29:$AB$361,0))="","–",INDEX(Scoring!$P$29:$P$361,MATCH($O228,Scoring!$AB$29:$AB$361,0))))</f>
        <v/>
      </c>
      <c r="D228" s="6" t="str">
        <f aca="false">IF($O228="","",INDEX(Scoring!$Q$29:$Q$361,MATCH($O228,Scoring!$AB$29:$AB$361,0)))</f>
        <v/>
      </c>
      <c r="E228" s="7" t="str">
        <f aca="false">IF($O228="","",INDEX(Scoring!$AJ$29:$AJ$361,MATCH($O228,Scoring!$AB$29:$AB$361,0)))</f>
        <v/>
      </c>
      <c r="F228" s="6" t="str">
        <f aca="false">IF($O228="","",INDEX(Scoring!$B$29:$B$361,MATCH($O228,Scoring!$AB$29:$AB$361,0)))</f>
        <v/>
      </c>
      <c r="G228" s="7" t="str">
        <f aca="false">IF($O228="","",INDEX(Scoring!$AG$29:$AG$361,MATCH($O228,Scoring!$AB$29:$AB$361,0)))</f>
        <v/>
      </c>
      <c r="H228" s="7" t="str">
        <f aca="false">IF($O228="","",INDEX(Scoring!$C$29:$C$361,MATCH($O228,Scoring!$AB$29:$AB$361,0)))</f>
        <v/>
      </c>
      <c r="I228" s="6" t="str">
        <f aca="false">IF($O228="","",INDEX(Scoring!$I$29:$I$361,MATCH($O228,Scoring!$AB$29:$AB$361,0)))</f>
        <v/>
      </c>
      <c r="J228" s="7" t="str">
        <f aca="false">IF($O228="","",INDEX(Scoring!$Z$29:$Z$361,MATCH($O228,Scoring!$AB$29:$AB$361,0)))</f>
        <v/>
      </c>
      <c r="K228" s="8" t="str">
        <f aca="false">IF($O228="","",IF(INDEX(Scoring!$D$29:$D$361,MATCH($O228,Scoring!$AB$29:$AB$361,0))="",INDEX(Scoring!$AF$29:$AF$361,MATCH($O228,Scoring!$AB$29:$AB$361,0)),INDEX(Scoring!$D$29:$D$361,MATCH($O228,Scoring!$AB$29:$AB$361,0))))</f>
        <v/>
      </c>
      <c r="L228" s="9" t="str">
        <f aca="false">IF($O228="","",INDEX(Scoring!$M$29:$M$361,MATCH($O228,Scoring!$AB$29:$AB$361,0)))</f>
        <v/>
      </c>
      <c r="M228" s="9" t="str">
        <f aca="false">IF($O228="","",INDEX(Scoring!$F$29:$F$361,MATCH($O228,Scoring!$AB$29:$AB$361,0)))</f>
        <v/>
      </c>
      <c r="N228" s="7" t="str">
        <f aca="false">IF($O228="","",INDEX(Scoring!$AI$29:$AI$361,MATCH($O228,Scoring!$AB$29:$AB$361,0)))</f>
        <v/>
      </c>
      <c r="O228" s="10" t="str">
        <f aca="false">IFERROR(SMALL(Scoring!$AB$29:$AB$361,224),"")</f>
        <v/>
      </c>
    </row>
    <row r="229" customFormat="false" ht="15" hidden="false" customHeight="false" outlineLevel="0" collapsed="false">
      <c r="A229" s="5" t="str">
        <f aca="false">IF($O229="","",INT($O229/1000))</f>
        <v/>
      </c>
      <c r="B229" s="6" t="str">
        <f aca="false">IF($O229="","",INDEX(Scoring!$A$29:$A$361,MATCH($O229,Scoring!$AB$29:$AB$361,0)))</f>
        <v/>
      </c>
      <c r="C229" s="5" t="str">
        <f aca="false">IF($O229="","",IF(INDEX(Scoring!$P$29:$P$361,MATCH($O229,Scoring!$AB$29:$AB$361,0))="","–",INDEX(Scoring!$P$29:$P$361,MATCH($O229,Scoring!$AB$29:$AB$361,0))))</f>
        <v/>
      </c>
      <c r="D229" s="6" t="str">
        <f aca="false">IF($O229="","",INDEX(Scoring!$Q$29:$Q$361,MATCH($O229,Scoring!$AB$29:$AB$361,0)))</f>
        <v/>
      </c>
      <c r="E229" s="7" t="str">
        <f aca="false">IF($O229="","",INDEX(Scoring!$AJ$29:$AJ$361,MATCH($O229,Scoring!$AB$29:$AB$361,0)))</f>
        <v/>
      </c>
      <c r="F229" s="6" t="str">
        <f aca="false">IF($O229="","",INDEX(Scoring!$B$29:$B$361,MATCH($O229,Scoring!$AB$29:$AB$361,0)))</f>
        <v/>
      </c>
      <c r="G229" s="7" t="str">
        <f aca="false">IF($O229="","",INDEX(Scoring!$AG$29:$AG$361,MATCH($O229,Scoring!$AB$29:$AB$361,0)))</f>
        <v/>
      </c>
      <c r="H229" s="7" t="str">
        <f aca="false">IF($O229="","",INDEX(Scoring!$C$29:$C$361,MATCH($O229,Scoring!$AB$29:$AB$361,0)))</f>
        <v/>
      </c>
      <c r="I229" s="6" t="str">
        <f aca="false">IF($O229="","",INDEX(Scoring!$I$29:$I$361,MATCH($O229,Scoring!$AB$29:$AB$361,0)))</f>
        <v/>
      </c>
      <c r="J229" s="7" t="str">
        <f aca="false">IF($O229="","",INDEX(Scoring!$Z$29:$Z$361,MATCH($O229,Scoring!$AB$29:$AB$361,0)))</f>
        <v/>
      </c>
      <c r="K229" s="8" t="str">
        <f aca="false">IF($O229="","",IF(INDEX(Scoring!$D$29:$D$361,MATCH($O229,Scoring!$AB$29:$AB$361,0))="",INDEX(Scoring!$AF$29:$AF$361,MATCH($O229,Scoring!$AB$29:$AB$361,0)),INDEX(Scoring!$D$29:$D$361,MATCH($O229,Scoring!$AB$29:$AB$361,0))))</f>
        <v/>
      </c>
      <c r="L229" s="9" t="str">
        <f aca="false">IF($O229="","",INDEX(Scoring!$M$29:$M$361,MATCH($O229,Scoring!$AB$29:$AB$361,0)))</f>
        <v/>
      </c>
      <c r="M229" s="9" t="str">
        <f aca="false">IF($O229="","",INDEX(Scoring!$F$29:$F$361,MATCH($O229,Scoring!$AB$29:$AB$361,0)))</f>
        <v/>
      </c>
      <c r="N229" s="7" t="str">
        <f aca="false">IF($O229="","",INDEX(Scoring!$AI$29:$AI$361,MATCH($O229,Scoring!$AB$29:$AB$361,0)))</f>
        <v/>
      </c>
      <c r="O229" s="10" t="str">
        <f aca="false">IFERROR(SMALL(Scoring!$AB$29:$AB$361,225),"")</f>
        <v/>
      </c>
    </row>
    <row r="230" customFormat="false" ht="15" hidden="false" customHeight="false" outlineLevel="0" collapsed="false">
      <c r="A230" s="5" t="str">
        <f aca="false">IF($O230="","",INT($O230/1000))</f>
        <v/>
      </c>
      <c r="B230" s="6" t="str">
        <f aca="false">IF($O230="","",INDEX(Scoring!$A$29:$A$361,MATCH($O230,Scoring!$AB$29:$AB$361,0)))</f>
        <v/>
      </c>
      <c r="C230" s="5" t="str">
        <f aca="false">IF($O230="","",IF(INDEX(Scoring!$P$29:$P$361,MATCH($O230,Scoring!$AB$29:$AB$361,0))="","–",INDEX(Scoring!$P$29:$P$361,MATCH($O230,Scoring!$AB$29:$AB$361,0))))</f>
        <v/>
      </c>
      <c r="D230" s="6" t="str">
        <f aca="false">IF($O230="","",INDEX(Scoring!$Q$29:$Q$361,MATCH($O230,Scoring!$AB$29:$AB$361,0)))</f>
        <v/>
      </c>
      <c r="E230" s="7" t="str">
        <f aca="false">IF($O230="","",INDEX(Scoring!$AJ$29:$AJ$361,MATCH($O230,Scoring!$AB$29:$AB$361,0)))</f>
        <v/>
      </c>
      <c r="F230" s="6" t="str">
        <f aca="false">IF($O230="","",INDEX(Scoring!$B$29:$B$361,MATCH($O230,Scoring!$AB$29:$AB$361,0)))</f>
        <v/>
      </c>
      <c r="G230" s="7" t="str">
        <f aca="false">IF($O230="","",INDEX(Scoring!$AG$29:$AG$361,MATCH($O230,Scoring!$AB$29:$AB$361,0)))</f>
        <v/>
      </c>
      <c r="H230" s="7" t="str">
        <f aca="false">IF($O230="","",INDEX(Scoring!$C$29:$C$361,MATCH($O230,Scoring!$AB$29:$AB$361,0)))</f>
        <v/>
      </c>
      <c r="I230" s="6" t="str">
        <f aca="false">IF($O230="","",INDEX(Scoring!$I$29:$I$361,MATCH($O230,Scoring!$AB$29:$AB$361,0)))</f>
        <v/>
      </c>
      <c r="J230" s="7" t="str">
        <f aca="false">IF($O230="","",INDEX(Scoring!$Z$29:$Z$361,MATCH($O230,Scoring!$AB$29:$AB$361,0)))</f>
        <v/>
      </c>
      <c r="K230" s="8" t="str">
        <f aca="false">IF($O230="","",IF(INDEX(Scoring!$D$29:$D$361,MATCH($O230,Scoring!$AB$29:$AB$361,0))="",INDEX(Scoring!$AF$29:$AF$361,MATCH($O230,Scoring!$AB$29:$AB$361,0)),INDEX(Scoring!$D$29:$D$361,MATCH($O230,Scoring!$AB$29:$AB$361,0))))</f>
        <v/>
      </c>
      <c r="L230" s="9" t="str">
        <f aca="false">IF($O230="","",INDEX(Scoring!$M$29:$M$361,MATCH($O230,Scoring!$AB$29:$AB$361,0)))</f>
        <v/>
      </c>
      <c r="M230" s="9" t="str">
        <f aca="false">IF($O230="","",INDEX(Scoring!$F$29:$F$361,MATCH($O230,Scoring!$AB$29:$AB$361,0)))</f>
        <v/>
      </c>
      <c r="N230" s="7" t="str">
        <f aca="false">IF($O230="","",INDEX(Scoring!$AI$29:$AI$361,MATCH($O230,Scoring!$AB$29:$AB$361,0)))</f>
        <v/>
      </c>
      <c r="O230" s="10" t="str">
        <f aca="false">IFERROR(SMALL(Scoring!$AB$29:$AB$361,226),"")</f>
        <v/>
      </c>
    </row>
    <row r="231" customFormat="false" ht="15" hidden="false" customHeight="false" outlineLevel="0" collapsed="false">
      <c r="A231" s="5" t="str">
        <f aca="false">IF($O231="","",INT($O231/1000))</f>
        <v/>
      </c>
      <c r="B231" s="6" t="str">
        <f aca="false">IF($O231="","",INDEX(Scoring!$A$29:$A$361,MATCH($O231,Scoring!$AB$29:$AB$361,0)))</f>
        <v/>
      </c>
      <c r="C231" s="5" t="str">
        <f aca="false">IF($O231="","",IF(INDEX(Scoring!$P$29:$P$361,MATCH($O231,Scoring!$AB$29:$AB$361,0))="","–",INDEX(Scoring!$P$29:$P$361,MATCH($O231,Scoring!$AB$29:$AB$361,0))))</f>
        <v/>
      </c>
      <c r="D231" s="6" t="str">
        <f aca="false">IF($O231="","",INDEX(Scoring!$Q$29:$Q$361,MATCH($O231,Scoring!$AB$29:$AB$361,0)))</f>
        <v/>
      </c>
      <c r="E231" s="7" t="str">
        <f aca="false">IF($O231="","",INDEX(Scoring!$AJ$29:$AJ$361,MATCH($O231,Scoring!$AB$29:$AB$361,0)))</f>
        <v/>
      </c>
      <c r="F231" s="6" t="str">
        <f aca="false">IF($O231="","",INDEX(Scoring!$B$29:$B$361,MATCH($O231,Scoring!$AB$29:$AB$361,0)))</f>
        <v/>
      </c>
      <c r="G231" s="7" t="str">
        <f aca="false">IF($O231="","",INDEX(Scoring!$AG$29:$AG$361,MATCH($O231,Scoring!$AB$29:$AB$361,0)))</f>
        <v/>
      </c>
      <c r="H231" s="7" t="str">
        <f aca="false">IF($O231="","",INDEX(Scoring!$C$29:$C$361,MATCH($O231,Scoring!$AB$29:$AB$361,0)))</f>
        <v/>
      </c>
      <c r="I231" s="6" t="str">
        <f aca="false">IF($O231="","",INDEX(Scoring!$I$29:$I$361,MATCH($O231,Scoring!$AB$29:$AB$361,0)))</f>
        <v/>
      </c>
      <c r="J231" s="7" t="str">
        <f aca="false">IF($O231="","",INDEX(Scoring!$Z$29:$Z$361,MATCH($O231,Scoring!$AB$29:$AB$361,0)))</f>
        <v/>
      </c>
      <c r="K231" s="8" t="str">
        <f aca="false">IF($O231="","",IF(INDEX(Scoring!$D$29:$D$361,MATCH($O231,Scoring!$AB$29:$AB$361,0))="",INDEX(Scoring!$AF$29:$AF$361,MATCH($O231,Scoring!$AB$29:$AB$361,0)),INDEX(Scoring!$D$29:$D$361,MATCH($O231,Scoring!$AB$29:$AB$361,0))))</f>
        <v/>
      </c>
      <c r="L231" s="9" t="str">
        <f aca="false">IF($O231="","",INDEX(Scoring!$M$29:$M$361,MATCH($O231,Scoring!$AB$29:$AB$361,0)))</f>
        <v/>
      </c>
      <c r="M231" s="9" t="str">
        <f aca="false">IF($O231="","",INDEX(Scoring!$F$29:$F$361,MATCH($O231,Scoring!$AB$29:$AB$361,0)))</f>
        <v/>
      </c>
      <c r="N231" s="7" t="str">
        <f aca="false">IF($O231="","",INDEX(Scoring!$AI$29:$AI$361,MATCH($O231,Scoring!$AB$29:$AB$361,0)))</f>
        <v/>
      </c>
      <c r="O231" s="10" t="str">
        <f aca="false">IFERROR(SMALL(Scoring!$AB$29:$AB$361,227),"")</f>
        <v/>
      </c>
    </row>
    <row r="232" customFormat="false" ht="15" hidden="false" customHeight="false" outlineLevel="0" collapsed="false">
      <c r="A232" s="5" t="str">
        <f aca="false">IF($O232="","",INT($O232/1000))</f>
        <v/>
      </c>
      <c r="B232" s="6" t="str">
        <f aca="false">IF($O232="","",INDEX(Scoring!$A$29:$A$361,MATCH($O232,Scoring!$AB$29:$AB$361,0)))</f>
        <v/>
      </c>
      <c r="C232" s="5" t="str">
        <f aca="false">IF($O232="","",IF(INDEX(Scoring!$P$29:$P$361,MATCH($O232,Scoring!$AB$29:$AB$361,0))="","–",INDEX(Scoring!$P$29:$P$361,MATCH($O232,Scoring!$AB$29:$AB$361,0))))</f>
        <v/>
      </c>
      <c r="D232" s="6" t="str">
        <f aca="false">IF($O232="","",INDEX(Scoring!$Q$29:$Q$361,MATCH($O232,Scoring!$AB$29:$AB$361,0)))</f>
        <v/>
      </c>
      <c r="E232" s="7" t="str">
        <f aca="false">IF($O232="","",INDEX(Scoring!$AJ$29:$AJ$361,MATCH($O232,Scoring!$AB$29:$AB$361,0)))</f>
        <v/>
      </c>
      <c r="F232" s="6" t="str">
        <f aca="false">IF($O232="","",INDEX(Scoring!$B$29:$B$361,MATCH($O232,Scoring!$AB$29:$AB$361,0)))</f>
        <v/>
      </c>
      <c r="G232" s="7" t="str">
        <f aca="false">IF($O232="","",INDEX(Scoring!$AG$29:$AG$361,MATCH($O232,Scoring!$AB$29:$AB$361,0)))</f>
        <v/>
      </c>
      <c r="H232" s="7" t="str">
        <f aca="false">IF($O232="","",INDEX(Scoring!$C$29:$C$361,MATCH($O232,Scoring!$AB$29:$AB$361,0)))</f>
        <v/>
      </c>
      <c r="I232" s="6" t="str">
        <f aca="false">IF($O232="","",INDEX(Scoring!$I$29:$I$361,MATCH($O232,Scoring!$AB$29:$AB$361,0)))</f>
        <v/>
      </c>
      <c r="J232" s="7" t="str">
        <f aca="false">IF($O232="","",INDEX(Scoring!$Z$29:$Z$361,MATCH($O232,Scoring!$AB$29:$AB$361,0)))</f>
        <v/>
      </c>
      <c r="K232" s="8" t="str">
        <f aca="false">IF($O232="","",IF(INDEX(Scoring!$D$29:$D$361,MATCH($O232,Scoring!$AB$29:$AB$361,0))="",INDEX(Scoring!$AF$29:$AF$361,MATCH($O232,Scoring!$AB$29:$AB$361,0)),INDEX(Scoring!$D$29:$D$361,MATCH($O232,Scoring!$AB$29:$AB$361,0))))</f>
        <v/>
      </c>
      <c r="L232" s="9" t="str">
        <f aca="false">IF($O232="","",INDEX(Scoring!$M$29:$M$361,MATCH($O232,Scoring!$AB$29:$AB$361,0)))</f>
        <v/>
      </c>
      <c r="M232" s="9" t="str">
        <f aca="false">IF($O232="","",INDEX(Scoring!$F$29:$F$361,MATCH($O232,Scoring!$AB$29:$AB$361,0)))</f>
        <v/>
      </c>
      <c r="N232" s="7" t="str">
        <f aca="false">IF($O232="","",INDEX(Scoring!$AI$29:$AI$361,MATCH($O232,Scoring!$AB$29:$AB$361,0)))</f>
        <v/>
      </c>
      <c r="O232" s="10" t="str">
        <f aca="false">IFERROR(SMALL(Scoring!$AB$29:$AB$361,228),"")</f>
        <v/>
      </c>
    </row>
    <row r="233" customFormat="false" ht="15" hidden="false" customHeight="false" outlineLevel="0" collapsed="false">
      <c r="A233" s="5" t="str">
        <f aca="false">IF($O233="","",INT($O233/1000))</f>
        <v/>
      </c>
      <c r="B233" s="6" t="str">
        <f aca="false">IF($O233="","",INDEX(Scoring!$A$29:$A$361,MATCH($O233,Scoring!$AB$29:$AB$361,0)))</f>
        <v/>
      </c>
      <c r="C233" s="5" t="str">
        <f aca="false">IF($O233="","",IF(INDEX(Scoring!$P$29:$P$361,MATCH($O233,Scoring!$AB$29:$AB$361,0))="","–",INDEX(Scoring!$P$29:$P$361,MATCH($O233,Scoring!$AB$29:$AB$361,0))))</f>
        <v/>
      </c>
      <c r="D233" s="6" t="str">
        <f aca="false">IF($O233="","",INDEX(Scoring!$Q$29:$Q$361,MATCH($O233,Scoring!$AB$29:$AB$361,0)))</f>
        <v/>
      </c>
      <c r="E233" s="7" t="str">
        <f aca="false">IF($O233="","",INDEX(Scoring!$AJ$29:$AJ$361,MATCH($O233,Scoring!$AB$29:$AB$361,0)))</f>
        <v/>
      </c>
      <c r="F233" s="6" t="str">
        <f aca="false">IF($O233="","",INDEX(Scoring!$B$29:$B$361,MATCH($O233,Scoring!$AB$29:$AB$361,0)))</f>
        <v/>
      </c>
      <c r="G233" s="7" t="str">
        <f aca="false">IF($O233="","",INDEX(Scoring!$AG$29:$AG$361,MATCH($O233,Scoring!$AB$29:$AB$361,0)))</f>
        <v/>
      </c>
      <c r="H233" s="7" t="str">
        <f aca="false">IF($O233="","",INDEX(Scoring!$C$29:$C$361,MATCH($O233,Scoring!$AB$29:$AB$361,0)))</f>
        <v/>
      </c>
      <c r="I233" s="6" t="str">
        <f aca="false">IF($O233="","",INDEX(Scoring!$I$29:$I$361,MATCH($O233,Scoring!$AB$29:$AB$361,0)))</f>
        <v/>
      </c>
      <c r="J233" s="7" t="str">
        <f aca="false">IF($O233="","",INDEX(Scoring!$Z$29:$Z$361,MATCH($O233,Scoring!$AB$29:$AB$361,0)))</f>
        <v/>
      </c>
      <c r="K233" s="8" t="str">
        <f aca="false">IF($O233="","",IF(INDEX(Scoring!$D$29:$D$361,MATCH($O233,Scoring!$AB$29:$AB$361,0))="",INDEX(Scoring!$AF$29:$AF$361,MATCH($O233,Scoring!$AB$29:$AB$361,0)),INDEX(Scoring!$D$29:$D$361,MATCH($O233,Scoring!$AB$29:$AB$361,0))))</f>
        <v/>
      </c>
      <c r="L233" s="9" t="str">
        <f aca="false">IF($O233="","",INDEX(Scoring!$M$29:$M$361,MATCH($O233,Scoring!$AB$29:$AB$361,0)))</f>
        <v/>
      </c>
      <c r="M233" s="9" t="str">
        <f aca="false">IF($O233="","",INDEX(Scoring!$F$29:$F$361,MATCH($O233,Scoring!$AB$29:$AB$361,0)))</f>
        <v/>
      </c>
      <c r="N233" s="7" t="str">
        <f aca="false">IF($O233="","",INDEX(Scoring!$AI$29:$AI$361,MATCH($O233,Scoring!$AB$29:$AB$361,0)))</f>
        <v/>
      </c>
      <c r="O233" s="10" t="str">
        <f aca="false">IFERROR(SMALL(Scoring!$AB$29:$AB$361,229),"")</f>
        <v/>
      </c>
    </row>
    <row r="234" customFormat="false" ht="15" hidden="false" customHeight="false" outlineLevel="0" collapsed="false">
      <c r="A234" s="5" t="str">
        <f aca="false">IF($O234="","",INT($O234/1000))</f>
        <v/>
      </c>
      <c r="B234" s="6" t="str">
        <f aca="false">IF($O234="","",INDEX(Scoring!$A$29:$A$361,MATCH($O234,Scoring!$AB$29:$AB$361,0)))</f>
        <v/>
      </c>
      <c r="C234" s="5" t="str">
        <f aca="false">IF($O234="","",IF(INDEX(Scoring!$P$29:$P$361,MATCH($O234,Scoring!$AB$29:$AB$361,0))="","–",INDEX(Scoring!$P$29:$P$361,MATCH($O234,Scoring!$AB$29:$AB$361,0))))</f>
        <v/>
      </c>
      <c r="D234" s="6" t="str">
        <f aca="false">IF($O234="","",INDEX(Scoring!$Q$29:$Q$361,MATCH($O234,Scoring!$AB$29:$AB$361,0)))</f>
        <v/>
      </c>
      <c r="E234" s="7" t="str">
        <f aca="false">IF($O234="","",INDEX(Scoring!$AJ$29:$AJ$361,MATCH($O234,Scoring!$AB$29:$AB$361,0)))</f>
        <v/>
      </c>
      <c r="F234" s="6" t="str">
        <f aca="false">IF($O234="","",INDEX(Scoring!$B$29:$B$361,MATCH($O234,Scoring!$AB$29:$AB$361,0)))</f>
        <v/>
      </c>
      <c r="G234" s="7" t="str">
        <f aca="false">IF($O234="","",INDEX(Scoring!$AG$29:$AG$361,MATCH($O234,Scoring!$AB$29:$AB$361,0)))</f>
        <v/>
      </c>
      <c r="H234" s="7" t="str">
        <f aca="false">IF($O234="","",INDEX(Scoring!$C$29:$C$361,MATCH($O234,Scoring!$AB$29:$AB$361,0)))</f>
        <v/>
      </c>
      <c r="I234" s="6" t="str">
        <f aca="false">IF($O234="","",INDEX(Scoring!$I$29:$I$361,MATCH($O234,Scoring!$AB$29:$AB$361,0)))</f>
        <v/>
      </c>
      <c r="J234" s="7" t="str">
        <f aca="false">IF($O234="","",INDEX(Scoring!$Z$29:$Z$361,MATCH($O234,Scoring!$AB$29:$AB$361,0)))</f>
        <v/>
      </c>
      <c r="K234" s="8" t="str">
        <f aca="false">IF($O234="","",IF(INDEX(Scoring!$D$29:$D$361,MATCH($O234,Scoring!$AB$29:$AB$361,0))="",INDEX(Scoring!$AF$29:$AF$361,MATCH($O234,Scoring!$AB$29:$AB$361,0)),INDEX(Scoring!$D$29:$D$361,MATCH($O234,Scoring!$AB$29:$AB$361,0))))</f>
        <v/>
      </c>
      <c r="L234" s="9" t="str">
        <f aca="false">IF($O234="","",INDEX(Scoring!$M$29:$M$361,MATCH($O234,Scoring!$AB$29:$AB$361,0)))</f>
        <v/>
      </c>
      <c r="M234" s="9" t="str">
        <f aca="false">IF($O234="","",INDEX(Scoring!$F$29:$F$361,MATCH($O234,Scoring!$AB$29:$AB$361,0)))</f>
        <v/>
      </c>
      <c r="N234" s="7" t="str">
        <f aca="false">IF($O234="","",INDEX(Scoring!$AI$29:$AI$361,MATCH($O234,Scoring!$AB$29:$AB$361,0)))</f>
        <v/>
      </c>
      <c r="O234" s="10" t="str">
        <f aca="false">IFERROR(SMALL(Scoring!$AB$29:$AB$361,230),"")</f>
        <v/>
      </c>
    </row>
    <row r="235" customFormat="false" ht="15" hidden="false" customHeight="false" outlineLevel="0" collapsed="false">
      <c r="A235" s="5" t="str">
        <f aca="false">IF($O235="","",INT($O235/1000))</f>
        <v/>
      </c>
      <c r="B235" s="6" t="str">
        <f aca="false">IF($O235="","",INDEX(Scoring!$A$29:$A$361,MATCH($O235,Scoring!$AB$29:$AB$361,0)))</f>
        <v/>
      </c>
      <c r="C235" s="5" t="str">
        <f aca="false">IF($O235="","",IF(INDEX(Scoring!$P$29:$P$361,MATCH($O235,Scoring!$AB$29:$AB$361,0))="","–",INDEX(Scoring!$P$29:$P$361,MATCH($O235,Scoring!$AB$29:$AB$361,0))))</f>
        <v/>
      </c>
      <c r="D235" s="6" t="str">
        <f aca="false">IF($O235="","",INDEX(Scoring!$Q$29:$Q$361,MATCH($O235,Scoring!$AB$29:$AB$361,0)))</f>
        <v/>
      </c>
      <c r="E235" s="7" t="str">
        <f aca="false">IF($O235="","",INDEX(Scoring!$AJ$29:$AJ$361,MATCH($O235,Scoring!$AB$29:$AB$361,0)))</f>
        <v/>
      </c>
      <c r="F235" s="6" t="str">
        <f aca="false">IF($O235="","",INDEX(Scoring!$B$29:$B$361,MATCH($O235,Scoring!$AB$29:$AB$361,0)))</f>
        <v/>
      </c>
      <c r="G235" s="7" t="str">
        <f aca="false">IF($O235="","",INDEX(Scoring!$AG$29:$AG$361,MATCH($O235,Scoring!$AB$29:$AB$361,0)))</f>
        <v/>
      </c>
      <c r="H235" s="7" t="str">
        <f aca="false">IF($O235="","",INDEX(Scoring!$C$29:$C$361,MATCH($O235,Scoring!$AB$29:$AB$361,0)))</f>
        <v/>
      </c>
      <c r="I235" s="6" t="str">
        <f aca="false">IF($O235="","",INDEX(Scoring!$I$29:$I$361,MATCH($O235,Scoring!$AB$29:$AB$361,0)))</f>
        <v/>
      </c>
      <c r="J235" s="7" t="str">
        <f aca="false">IF($O235="","",INDEX(Scoring!$Z$29:$Z$361,MATCH($O235,Scoring!$AB$29:$AB$361,0)))</f>
        <v/>
      </c>
      <c r="K235" s="8" t="str">
        <f aca="false">IF($O235="","",IF(INDEX(Scoring!$D$29:$D$361,MATCH($O235,Scoring!$AB$29:$AB$361,0))="",INDEX(Scoring!$AF$29:$AF$361,MATCH($O235,Scoring!$AB$29:$AB$361,0)),INDEX(Scoring!$D$29:$D$361,MATCH($O235,Scoring!$AB$29:$AB$361,0))))</f>
        <v/>
      </c>
      <c r="L235" s="9" t="str">
        <f aca="false">IF($O235="","",INDEX(Scoring!$M$29:$M$361,MATCH($O235,Scoring!$AB$29:$AB$361,0)))</f>
        <v/>
      </c>
      <c r="M235" s="9" t="str">
        <f aca="false">IF($O235="","",INDEX(Scoring!$F$29:$F$361,MATCH($O235,Scoring!$AB$29:$AB$361,0)))</f>
        <v/>
      </c>
      <c r="N235" s="7" t="str">
        <f aca="false">IF($O235="","",INDEX(Scoring!$AI$29:$AI$361,MATCH($O235,Scoring!$AB$29:$AB$361,0)))</f>
        <v/>
      </c>
      <c r="O235" s="10" t="str">
        <f aca="false">IFERROR(SMALL(Scoring!$AB$29:$AB$361,231),"")</f>
        <v/>
      </c>
    </row>
    <row r="236" customFormat="false" ht="15" hidden="false" customHeight="false" outlineLevel="0" collapsed="false">
      <c r="A236" s="5" t="str">
        <f aca="false">IF($O236="","",INT($O236/1000))</f>
        <v/>
      </c>
      <c r="B236" s="6" t="str">
        <f aca="false">IF($O236="","",INDEX(Scoring!$A$29:$A$361,MATCH($O236,Scoring!$AB$29:$AB$361,0)))</f>
        <v/>
      </c>
      <c r="C236" s="5" t="str">
        <f aca="false">IF($O236="","",IF(INDEX(Scoring!$P$29:$P$361,MATCH($O236,Scoring!$AB$29:$AB$361,0))="","–",INDEX(Scoring!$P$29:$P$361,MATCH($O236,Scoring!$AB$29:$AB$361,0))))</f>
        <v/>
      </c>
      <c r="D236" s="6" t="str">
        <f aca="false">IF($O236="","",INDEX(Scoring!$Q$29:$Q$361,MATCH($O236,Scoring!$AB$29:$AB$361,0)))</f>
        <v/>
      </c>
      <c r="E236" s="7" t="str">
        <f aca="false">IF($O236="","",INDEX(Scoring!$AJ$29:$AJ$361,MATCH($O236,Scoring!$AB$29:$AB$361,0)))</f>
        <v/>
      </c>
      <c r="F236" s="6" t="str">
        <f aca="false">IF($O236="","",INDEX(Scoring!$B$29:$B$361,MATCH($O236,Scoring!$AB$29:$AB$361,0)))</f>
        <v/>
      </c>
      <c r="G236" s="7" t="str">
        <f aca="false">IF($O236="","",INDEX(Scoring!$AG$29:$AG$361,MATCH($O236,Scoring!$AB$29:$AB$361,0)))</f>
        <v/>
      </c>
      <c r="H236" s="7" t="str">
        <f aca="false">IF($O236="","",INDEX(Scoring!$C$29:$C$361,MATCH($O236,Scoring!$AB$29:$AB$361,0)))</f>
        <v/>
      </c>
      <c r="I236" s="6" t="str">
        <f aca="false">IF($O236="","",INDEX(Scoring!$I$29:$I$361,MATCH($O236,Scoring!$AB$29:$AB$361,0)))</f>
        <v/>
      </c>
      <c r="J236" s="7" t="str">
        <f aca="false">IF($O236="","",INDEX(Scoring!$Z$29:$Z$361,MATCH($O236,Scoring!$AB$29:$AB$361,0)))</f>
        <v/>
      </c>
      <c r="K236" s="8" t="str">
        <f aca="false">IF($O236="","",IF(INDEX(Scoring!$D$29:$D$361,MATCH($O236,Scoring!$AB$29:$AB$361,0))="",INDEX(Scoring!$AF$29:$AF$361,MATCH($O236,Scoring!$AB$29:$AB$361,0)),INDEX(Scoring!$D$29:$D$361,MATCH($O236,Scoring!$AB$29:$AB$361,0))))</f>
        <v/>
      </c>
      <c r="L236" s="9" t="str">
        <f aca="false">IF($O236="","",INDEX(Scoring!$M$29:$M$361,MATCH($O236,Scoring!$AB$29:$AB$361,0)))</f>
        <v/>
      </c>
      <c r="M236" s="9" t="str">
        <f aca="false">IF($O236="","",INDEX(Scoring!$F$29:$F$361,MATCH($O236,Scoring!$AB$29:$AB$361,0)))</f>
        <v/>
      </c>
      <c r="N236" s="7" t="str">
        <f aca="false">IF($O236="","",INDEX(Scoring!$AI$29:$AI$361,MATCH($O236,Scoring!$AB$29:$AB$361,0)))</f>
        <v/>
      </c>
      <c r="O236" s="10" t="str">
        <f aca="false">IFERROR(SMALL(Scoring!$AB$29:$AB$361,232),"")</f>
        <v/>
      </c>
    </row>
    <row r="237" customFormat="false" ht="15" hidden="false" customHeight="false" outlineLevel="0" collapsed="false">
      <c r="A237" s="5" t="str">
        <f aca="false">IF($O237="","",INT($O237/1000))</f>
        <v/>
      </c>
      <c r="B237" s="6" t="str">
        <f aca="false">IF($O237="","",INDEX(Scoring!$A$29:$A$361,MATCH($O237,Scoring!$AB$29:$AB$361,0)))</f>
        <v/>
      </c>
      <c r="C237" s="5" t="str">
        <f aca="false">IF($O237="","",IF(INDEX(Scoring!$P$29:$P$361,MATCH($O237,Scoring!$AB$29:$AB$361,0))="","–",INDEX(Scoring!$P$29:$P$361,MATCH($O237,Scoring!$AB$29:$AB$361,0))))</f>
        <v/>
      </c>
      <c r="D237" s="6" t="str">
        <f aca="false">IF($O237="","",INDEX(Scoring!$Q$29:$Q$361,MATCH($O237,Scoring!$AB$29:$AB$361,0)))</f>
        <v/>
      </c>
      <c r="E237" s="7" t="str">
        <f aca="false">IF($O237="","",INDEX(Scoring!$AJ$29:$AJ$361,MATCH($O237,Scoring!$AB$29:$AB$361,0)))</f>
        <v/>
      </c>
      <c r="F237" s="6" t="str">
        <f aca="false">IF($O237="","",INDEX(Scoring!$B$29:$B$361,MATCH($O237,Scoring!$AB$29:$AB$361,0)))</f>
        <v/>
      </c>
      <c r="G237" s="7" t="str">
        <f aca="false">IF($O237="","",INDEX(Scoring!$AG$29:$AG$361,MATCH($O237,Scoring!$AB$29:$AB$361,0)))</f>
        <v/>
      </c>
      <c r="H237" s="7" t="str">
        <f aca="false">IF($O237="","",INDEX(Scoring!$C$29:$C$361,MATCH($O237,Scoring!$AB$29:$AB$361,0)))</f>
        <v/>
      </c>
      <c r="I237" s="6" t="str">
        <f aca="false">IF($O237="","",INDEX(Scoring!$I$29:$I$361,MATCH($O237,Scoring!$AB$29:$AB$361,0)))</f>
        <v/>
      </c>
      <c r="J237" s="7" t="str">
        <f aca="false">IF($O237="","",INDEX(Scoring!$Z$29:$Z$361,MATCH($O237,Scoring!$AB$29:$AB$361,0)))</f>
        <v/>
      </c>
      <c r="K237" s="8" t="str">
        <f aca="false">IF($O237="","",IF(INDEX(Scoring!$D$29:$D$361,MATCH($O237,Scoring!$AB$29:$AB$361,0))="",INDEX(Scoring!$AF$29:$AF$361,MATCH($O237,Scoring!$AB$29:$AB$361,0)),INDEX(Scoring!$D$29:$D$361,MATCH($O237,Scoring!$AB$29:$AB$361,0))))</f>
        <v/>
      </c>
      <c r="L237" s="9" t="str">
        <f aca="false">IF($O237="","",INDEX(Scoring!$M$29:$M$361,MATCH($O237,Scoring!$AB$29:$AB$361,0)))</f>
        <v/>
      </c>
      <c r="M237" s="9" t="str">
        <f aca="false">IF($O237="","",INDEX(Scoring!$F$29:$F$361,MATCH($O237,Scoring!$AB$29:$AB$361,0)))</f>
        <v/>
      </c>
      <c r="N237" s="7" t="str">
        <f aca="false">IF($O237="","",INDEX(Scoring!$AI$29:$AI$361,MATCH($O237,Scoring!$AB$29:$AB$361,0)))</f>
        <v/>
      </c>
      <c r="O237" s="10" t="str">
        <f aca="false">IFERROR(SMALL(Scoring!$AB$29:$AB$361,233),"")</f>
        <v/>
      </c>
    </row>
    <row r="238" customFormat="false" ht="15" hidden="false" customHeight="false" outlineLevel="0" collapsed="false">
      <c r="A238" s="5" t="str">
        <f aca="false">IF($O238="","",INT($O238/1000))</f>
        <v/>
      </c>
      <c r="B238" s="6" t="str">
        <f aca="false">IF($O238="","",INDEX(Scoring!$A$29:$A$361,MATCH($O238,Scoring!$AB$29:$AB$361,0)))</f>
        <v/>
      </c>
      <c r="C238" s="5" t="str">
        <f aca="false">IF($O238="","",IF(INDEX(Scoring!$P$29:$P$361,MATCH($O238,Scoring!$AB$29:$AB$361,0))="","–",INDEX(Scoring!$P$29:$P$361,MATCH($O238,Scoring!$AB$29:$AB$361,0))))</f>
        <v/>
      </c>
      <c r="D238" s="6" t="str">
        <f aca="false">IF($O238="","",INDEX(Scoring!$Q$29:$Q$361,MATCH($O238,Scoring!$AB$29:$AB$361,0)))</f>
        <v/>
      </c>
      <c r="E238" s="7" t="str">
        <f aca="false">IF($O238="","",INDEX(Scoring!$AJ$29:$AJ$361,MATCH($O238,Scoring!$AB$29:$AB$361,0)))</f>
        <v/>
      </c>
      <c r="F238" s="6" t="str">
        <f aca="false">IF($O238="","",INDEX(Scoring!$B$29:$B$361,MATCH($O238,Scoring!$AB$29:$AB$361,0)))</f>
        <v/>
      </c>
      <c r="G238" s="7" t="str">
        <f aca="false">IF($O238="","",INDEX(Scoring!$AG$29:$AG$361,MATCH($O238,Scoring!$AB$29:$AB$361,0)))</f>
        <v/>
      </c>
      <c r="H238" s="7" t="str">
        <f aca="false">IF($O238="","",INDEX(Scoring!$C$29:$C$361,MATCH($O238,Scoring!$AB$29:$AB$361,0)))</f>
        <v/>
      </c>
      <c r="I238" s="6" t="str">
        <f aca="false">IF($O238="","",INDEX(Scoring!$I$29:$I$361,MATCH($O238,Scoring!$AB$29:$AB$361,0)))</f>
        <v/>
      </c>
      <c r="J238" s="7" t="str">
        <f aca="false">IF($O238="","",INDEX(Scoring!$Z$29:$Z$361,MATCH($O238,Scoring!$AB$29:$AB$361,0)))</f>
        <v/>
      </c>
      <c r="K238" s="8" t="str">
        <f aca="false">IF($O238="","",IF(INDEX(Scoring!$D$29:$D$361,MATCH($O238,Scoring!$AB$29:$AB$361,0))="",INDEX(Scoring!$AF$29:$AF$361,MATCH($O238,Scoring!$AB$29:$AB$361,0)),INDEX(Scoring!$D$29:$D$361,MATCH($O238,Scoring!$AB$29:$AB$361,0))))</f>
        <v/>
      </c>
      <c r="L238" s="9" t="str">
        <f aca="false">IF($O238="","",INDEX(Scoring!$M$29:$M$361,MATCH($O238,Scoring!$AB$29:$AB$361,0)))</f>
        <v/>
      </c>
      <c r="M238" s="9" t="str">
        <f aca="false">IF($O238="","",INDEX(Scoring!$F$29:$F$361,MATCH($O238,Scoring!$AB$29:$AB$361,0)))</f>
        <v/>
      </c>
      <c r="N238" s="7" t="str">
        <f aca="false">IF($O238="","",INDEX(Scoring!$AI$29:$AI$361,MATCH($O238,Scoring!$AB$29:$AB$361,0)))</f>
        <v/>
      </c>
      <c r="O238" s="10" t="str">
        <f aca="false">IFERROR(SMALL(Scoring!$AB$29:$AB$361,234),"")</f>
        <v/>
      </c>
    </row>
    <row r="239" customFormat="false" ht="15" hidden="false" customHeight="false" outlineLevel="0" collapsed="false">
      <c r="A239" s="5" t="str">
        <f aca="false">IF($O239="","",INT($O239/1000))</f>
        <v/>
      </c>
      <c r="B239" s="6" t="str">
        <f aca="false">IF($O239="","",INDEX(Scoring!$A$29:$A$361,MATCH($O239,Scoring!$AB$29:$AB$361,0)))</f>
        <v/>
      </c>
      <c r="C239" s="5" t="str">
        <f aca="false">IF($O239="","",IF(INDEX(Scoring!$P$29:$P$361,MATCH($O239,Scoring!$AB$29:$AB$361,0))="","–",INDEX(Scoring!$P$29:$P$361,MATCH($O239,Scoring!$AB$29:$AB$361,0))))</f>
        <v/>
      </c>
      <c r="D239" s="6" t="str">
        <f aca="false">IF($O239="","",INDEX(Scoring!$Q$29:$Q$361,MATCH($O239,Scoring!$AB$29:$AB$361,0)))</f>
        <v/>
      </c>
      <c r="E239" s="7" t="str">
        <f aca="false">IF($O239="","",INDEX(Scoring!$AJ$29:$AJ$361,MATCH($O239,Scoring!$AB$29:$AB$361,0)))</f>
        <v/>
      </c>
      <c r="F239" s="6" t="str">
        <f aca="false">IF($O239="","",INDEX(Scoring!$B$29:$B$361,MATCH($O239,Scoring!$AB$29:$AB$361,0)))</f>
        <v/>
      </c>
      <c r="G239" s="7" t="str">
        <f aca="false">IF($O239="","",INDEX(Scoring!$AG$29:$AG$361,MATCH($O239,Scoring!$AB$29:$AB$361,0)))</f>
        <v/>
      </c>
      <c r="H239" s="7" t="str">
        <f aca="false">IF($O239="","",INDEX(Scoring!$C$29:$C$361,MATCH($O239,Scoring!$AB$29:$AB$361,0)))</f>
        <v/>
      </c>
      <c r="I239" s="6" t="str">
        <f aca="false">IF($O239="","",INDEX(Scoring!$I$29:$I$361,MATCH($O239,Scoring!$AB$29:$AB$361,0)))</f>
        <v/>
      </c>
      <c r="J239" s="7" t="str">
        <f aca="false">IF($O239="","",INDEX(Scoring!$Z$29:$Z$361,MATCH($O239,Scoring!$AB$29:$AB$361,0)))</f>
        <v/>
      </c>
      <c r="K239" s="8" t="str">
        <f aca="false">IF($O239="","",IF(INDEX(Scoring!$D$29:$D$361,MATCH($O239,Scoring!$AB$29:$AB$361,0))="",INDEX(Scoring!$AF$29:$AF$361,MATCH($O239,Scoring!$AB$29:$AB$361,0)),INDEX(Scoring!$D$29:$D$361,MATCH($O239,Scoring!$AB$29:$AB$361,0))))</f>
        <v/>
      </c>
      <c r="L239" s="9" t="str">
        <f aca="false">IF($O239="","",INDEX(Scoring!$M$29:$M$361,MATCH($O239,Scoring!$AB$29:$AB$361,0)))</f>
        <v/>
      </c>
      <c r="M239" s="9" t="str">
        <f aca="false">IF($O239="","",INDEX(Scoring!$F$29:$F$361,MATCH($O239,Scoring!$AB$29:$AB$361,0)))</f>
        <v/>
      </c>
      <c r="N239" s="7" t="str">
        <f aca="false">IF($O239="","",INDEX(Scoring!$AI$29:$AI$361,MATCH($O239,Scoring!$AB$29:$AB$361,0)))</f>
        <v/>
      </c>
      <c r="O239" s="10" t="str">
        <f aca="false">IFERROR(SMALL(Scoring!$AB$29:$AB$361,235),"")</f>
        <v/>
      </c>
    </row>
    <row r="240" customFormat="false" ht="15" hidden="false" customHeight="false" outlineLevel="0" collapsed="false">
      <c r="A240" s="5" t="str">
        <f aca="false">IF($O240="","",INT($O240/1000))</f>
        <v/>
      </c>
      <c r="B240" s="6" t="str">
        <f aca="false">IF($O240="","",INDEX(Scoring!$A$29:$A$361,MATCH($O240,Scoring!$AB$29:$AB$361,0)))</f>
        <v/>
      </c>
      <c r="C240" s="5" t="str">
        <f aca="false">IF($O240="","",IF(INDEX(Scoring!$P$29:$P$361,MATCH($O240,Scoring!$AB$29:$AB$361,0))="","–",INDEX(Scoring!$P$29:$P$361,MATCH($O240,Scoring!$AB$29:$AB$361,0))))</f>
        <v/>
      </c>
      <c r="D240" s="6" t="str">
        <f aca="false">IF($O240="","",INDEX(Scoring!$Q$29:$Q$361,MATCH($O240,Scoring!$AB$29:$AB$361,0)))</f>
        <v/>
      </c>
      <c r="E240" s="7" t="str">
        <f aca="false">IF($O240="","",INDEX(Scoring!$AJ$29:$AJ$361,MATCH($O240,Scoring!$AB$29:$AB$361,0)))</f>
        <v/>
      </c>
      <c r="F240" s="6" t="str">
        <f aca="false">IF($O240="","",INDEX(Scoring!$B$29:$B$361,MATCH($O240,Scoring!$AB$29:$AB$361,0)))</f>
        <v/>
      </c>
      <c r="G240" s="7" t="str">
        <f aca="false">IF($O240="","",INDEX(Scoring!$AG$29:$AG$361,MATCH($O240,Scoring!$AB$29:$AB$361,0)))</f>
        <v/>
      </c>
      <c r="H240" s="7" t="str">
        <f aca="false">IF($O240="","",INDEX(Scoring!$C$29:$C$361,MATCH($O240,Scoring!$AB$29:$AB$361,0)))</f>
        <v/>
      </c>
      <c r="I240" s="6" t="str">
        <f aca="false">IF($O240="","",INDEX(Scoring!$I$29:$I$361,MATCH($O240,Scoring!$AB$29:$AB$361,0)))</f>
        <v/>
      </c>
      <c r="J240" s="7" t="str">
        <f aca="false">IF($O240="","",INDEX(Scoring!$Z$29:$Z$361,MATCH($O240,Scoring!$AB$29:$AB$361,0)))</f>
        <v/>
      </c>
      <c r="K240" s="8" t="str">
        <f aca="false">IF($O240="","",IF(INDEX(Scoring!$D$29:$D$361,MATCH($O240,Scoring!$AB$29:$AB$361,0))="",INDEX(Scoring!$AF$29:$AF$361,MATCH($O240,Scoring!$AB$29:$AB$361,0)),INDEX(Scoring!$D$29:$D$361,MATCH($O240,Scoring!$AB$29:$AB$361,0))))</f>
        <v/>
      </c>
      <c r="L240" s="9" t="str">
        <f aca="false">IF($O240="","",INDEX(Scoring!$M$29:$M$361,MATCH($O240,Scoring!$AB$29:$AB$361,0)))</f>
        <v/>
      </c>
      <c r="M240" s="9" t="str">
        <f aca="false">IF($O240="","",INDEX(Scoring!$F$29:$F$361,MATCH($O240,Scoring!$AB$29:$AB$361,0)))</f>
        <v/>
      </c>
      <c r="N240" s="7" t="str">
        <f aca="false">IF($O240="","",INDEX(Scoring!$AI$29:$AI$361,MATCH($O240,Scoring!$AB$29:$AB$361,0)))</f>
        <v/>
      </c>
      <c r="O240" s="10" t="str">
        <f aca="false">IFERROR(SMALL(Scoring!$AB$29:$AB$361,236),"")</f>
        <v/>
      </c>
    </row>
    <row r="241" customFormat="false" ht="15" hidden="false" customHeight="false" outlineLevel="0" collapsed="false">
      <c r="A241" s="5" t="str">
        <f aca="false">IF($O241="","",INT($O241/1000))</f>
        <v/>
      </c>
      <c r="B241" s="6" t="str">
        <f aca="false">IF($O241="","",INDEX(Scoring!$A$29:$A$361,MATCH($O241,Scoring!$AB$29:$AB$361,0)))</f>
        <v/>
      </c>
      <c r="C241" s="5" t="str">
        <f aca="false">IF($O241="","",IF(INDEX(Scoring!$P$29:$P$361,MATCH($O241,Scoring!$AB$29:$AB$361,0))="","–",INDEX(Scoring!$P$29:$P$361,MATCH($O241,Scoring!$AB$29:$AB$361,0))))</f>
        <v/>
      </c>
      <c r="D241" s="6" t="str">
        <f aca="false">IF($O241="","",INDEX(Scoring!$Q$29:$Q$361,MATCH($O241,Scoring!$AB$29:$AB$361,0)))</f>
        <v/>
      </c>
      <c r="E241" s="7" t="str">
        <f aca="false">IF($O241="","",INDEX(Scoring!$AJ$29:$AJ$361,MATCH($O241,Scoring!$AB$29:$AB$361,0)))</f>
        <v/>
      </c>
      <c r="F241" s="6" t="str">
        <f aca="false">IF($O241="","",INDEX(Scoring!$B$29:$B$361,MATCH($O241,Scoring!$AB$29:$AB$361,0)))</f>
        <v/>
      </c>
      <c r="G241" s="7" t="str">
        <f aca="false">IF($O241="","",INDEX(Scoring!$AG$29:$AG$361,MATCH($O241,Scoring!$AB$29:$AB$361,0)))</f>
        <v/>
      </c>
      <c r="H241" s="7" t="str">
        <f aca="false">IF($O241="","",INDEX(Scoring!$C$29:$C$361,MATCH($O241,Scoring!$AB$29:$AB$361,0)))</f>
        <v/>
      </c>
      <c r="I241" s="6" t="str">
        <f aca="false">IF($O241="","",INDEX(Scoring!$I$29:$I$361,MATCH($O241,Scoring!$AB$29:$AB$361,0)))</f>
        <v/>
      </c>
      <c r="J241" s="7" t="str">
        <f aca="false">IF($O241="","",INDEX(Scoring!$Z$29:$Z$361,MATCH($O241,Scoring!$AB$29:$AB$361,0)))</f>
        <v/>
      </c>
      <c r="K241" s="8" t="str">
        <f aca="false">IF($O241="","",IF(INDEX(Scoring!$D$29:$D$361,MATCH($O241,Scoring!$AB$29:$AB$361,0))="",INDEX(Scoring!$AF$29:$AF$361,MATCH($O241,Scoring!$AB$29:$AB$361,0)),INDEX(Scoring!$D$29:$D$361,MATCH($O241,Scoring!$AB$29:$AB$361,0))))</f>
        <v/>
      </c>
      <c r="L241" s="9" t="str">
        <f aca="false">IF($O241="","",INDEX(Scoring!$M$29:$M$361,MATCH($O241,Scoring!$AB$29:$AB$361,0)))</f>
        <v/>
      </c>
      <c r="M241" s="9" t="str">
        <f aca="false">IF($O241="","",INDEX(Scoring!$F$29:$F$361,MATCH($O241,Scoring!$AB$29:$AB$361,0)))</f>
        <v/>
      </c>
      <c r="N241" s="7" t="str">
        <f aca="false">IF($O241="","",INDEX(Scoring!$AI$29:$AI$361,MATCH($O241,Scoring!$AB$29:$AB$361,0)))</f>
        <v/>
      </c>
      <c r="O241" s="10" t="str">
        <f aca="false">IFERROR(SMALL(Scoring!$AB$29:$AB$361,237),"")</f>
        <v/>
      </c>
    </row>
    <row r="242" customFormat="false" ht="15" hidden="false" customHeight="false" outlineLevel="0" collapsed="false">
      <c r="A242" s="5" t="str">
        <f aca="false">IF($O242="","",INT($O242/1000))</f>
        <v/>
      </c>
      <c r="B242" s="6" t="str">
        <f aca="false">IF($O242="","",INDEX(Scoring!$A$29:$A$361,MATCH($O242,Scoring!$AB$29:$AB$361,0)))</f>
        <v/>
      </c>
      <c r="C242" s="5" t="str">
        <f aca="false">IF($O242="","",IF(INDEX(Scoring!$P$29:$P$361,MATCH($O242,Scoring!$AB$29:$AB$361,0))="","–",INDEX(Scoring!$P$29:$P$361,MATCH($O242,Scoring!$AB$29:$AB$361,0))))</f>
        <v/>
      </c>
      <c r="D242" s="6" t="str">
        <f aca="false">IF($O242="","",INDEX(Scoring!$Q$29:$Q$361,MATCH($O242,Scoring!$AB$29:$AB$361,0)))</f>
        <v/>
      </c>
      <c r="E242" s="7" t="str">
        <f aca="false">IF($O242="","",INDEX(Scoring!$AJ$29:$AJ$361,MATCH($O242,Scoring!$AB$29:$AB$361,0)))</f>
        <v/>
      </c>
      <c r="F242" s="6" t="str">
        <f aca="false">IF($O242="","",INDEX(Scoring!$B$29:$B$361,MATCH($O242,Scoring!$AB$29:$AB$361,0)))</f>
        <v/>
      </c>
      <c r="G242" s="7" t="str">
        <f aca="false">IF($O242="","",INDEX(Scoring!$AG$29:$AG$361,MATCH($O242,Scoring!$AB$29:$AB$361,0)))</f>
        <v/>
      </c>
      <c r="H242" s="7" t="str">
        <f aca="false">IF($O242="","",INDEX(Scoring!$C$29:$C$361,MATCH($O242,Scoring!$AB$29:$AB$361,0)))</f>
        <v/>
      </c>
      <c r="I242" s="6" t="str">
        <f aca="false">IF($O242="","",INDEX(Scoring!$I$29:$I$361,MATCH($O242,Scoring!$AB$29:$AB$361,0)))</f>
        <v/>
      </c>
      <c r="J242" s="7" t="str">
        <f aca="false">IF($O242="","",INDEX(Scoring!$Z$29:$Z$361,MATCH($O242,Scoring!$AB$29:$AB$361,0)))</f>
        <v/>
      </c>
      <c r="K242" s="8" t="str">
        <f aca="false">IF($O242="","",IF(INDEX(Scoring!$D$29:$D$361,MATCH($O242,Scoring!$AB$29:$AB$361,0))="",INDEX(Scoring!$AF$29:$AF$361,MATCH($O242,Scoring!$AB$29:$AB$361,0)),INDEX(Scoring!$D$29:$D$361,MATCH($O242,Scoring!$AB$29:$AB$361,0))))</f>
        <v/>
      </c>
      <c r="L242" s="9" t="str">
        <f aca="false">IF($O242="","",INDEX(Scoring!$M$29:$M$361,MATCH($O242,Scoring!$AB$29:$AB$361,0)))</f>
        <v/>
      </c>
      <c r="M242" s="9" t="str">
        <f aca="false">IF($O242="","",INDEX(Scoring!$F$29:$F$361,MATCH($O242,Scoring!$AB$29:$AB$361,0)))</f>
        <v/>
      </c>
      <c r="N242" s="7" t="str">
        <f aca="false">IF($O242="","",INDEX(Scoring!$AI$29:$AI$361,MATCH($O242,Scoring!$AB$29:$AB$361,0)))</f>
        <v/>
      </c>
      <c r="O242" s="10" t="str">
        <f aca="false">IFERROR(SMALL(Scoring!$AB$29:$AB$361,238),"")</f>
        <v/>
      </c>
    </row>
    <row r="243" customFormat="false" ht="15" hidden="false" customHeight="false" outlineLevel="0" collapsed="false">
      <c r="A243" s="5" t="str">
        <f aca="false">IF($O243="","",INT($O243/1000))</f>
        <v/>
      </c>
      <c r="B243" s="6" t="str">
        <f aca="false">IF($O243="","",INDEX(Scoring!$A$29:$A$361,MATCH($O243,Scoring!$AB$29:$AB$361,0)))</f>
        <v/>
      </c>
      <c r="C243" s="5" t="str">
        <f aca="false">IF($O243="","",IF(INDEX(Scoring!$P$29:$P$361,MATCH($O243,Scoring!$AB$29:$AB$361,0))="","–",INDEX(Scoring!$P$29:$P$361,MATCH($O243,Scoring!$AB$29:$AB$361,0))))</f>
        <v/>
      </c>
      <c r="D243" s="6" t="str">
        <f aca="false">IF($O243="","",INDEX(Scoring!$Q$29:$Q$361,MATCH($O243,Scoring!$AB$29:$AB$361,0)))</f>
        <v/>
      </c>
      <c r="E243" s="7" t="str">
        <f aca="false">IF($O243="","",INDEX(Scoring!$AJ$29:$AJ$361,MATCH($O243,Scoring!$AB$29:$AB$361,0)))</f>
        <v/>
      </c>
      <c r="F243" s="6" t="str">
        <f aca="false">IF($O243="","",INDEX(Scoring!$B$29:$B$361,MATCH($O243,Scoring!$AB$29:$AB$361,0)))</f>
        <v/>
      </c>
      <c r="G243" s="7" t="str">
        <f aca="false">IF($O243="","",INDEX(Scoring!$AG$29:$AG$361,MATCH($O243,Scoring!$AB$29:$AB$361,0)))</f>
        <v/>
      </c>
      <c r="H243" s="7" t="str">
        <f aca="false">IF($O243="","",INDEX(Scoring!$C$29:$C$361,MATCH($O243,Scoring!$AB$29:$AB$361,0)))</f>
        <v/>
      </c>
      <c r="I243" s="6" t="str">
        <f aca="false">IF($O243="","",INDEX(Scoring!$I$29:$I$361,MATCH($O243,Scoring!$AB$29:$AB$361,0)))</f>
        <v/>
      </c>
      <c r="J243" s="7" t="str">
        <f aca="false">IF($O243="","",INDEX(Scoring!$Z$29:$Z$361,MATCH($O243,Scoring!$AB$29:$AB$361,0)))</f>
        <v/>
      </c>
      <c r="K243" s="8" t="str">
        <f aca="false">IF($O243="","",IF(INDEX(Scoring!$D$29:$D$361,MATCH($O243,Scoring!$AB$29:$AB$361,0))="",INDEX(Scoring!$AF$29:$AF$361,MATCH($O243,Scoring!$AB$29:$AB$361,0)),INDEX(Scoring!$D$29:$D$361,MATCH($O243,Scoring!$AB$29:$AB$361,0))))</f>
        <v/>
      </c>
      <c r="L243" s="9" t="str">
        <f aca="false">IF($O243="","",INDEX(Scoring!$M$29:$M$361,MATCH($O243,Scoring!$AB$29:$AB$361,0)))</f>
        <v/>
      </c>
      <c r="M243" s="9" t="str">
        <f aca="false">IF($O243="","",INDEX(Scoring!$F$29:$F$361,MATCH($O243,Scoring!$AB$29:$AB$361,0)))</f>
        <v/>
      </c>
      <c r="N243" s="7" t="str">
        <f aca="false">IF($O243="","",INDEX(Scoring!$AI$29:$AI$361,MATCH($O243,Scoring!$AB$29:$AB$361,0)))</f>
        <v/>
      </c>
      <c r="O243" s="10" t="str">
        <f aca="false">IFERROR(SMALL(Scoring!$AB$29:$AB$361,239),"")</f>
        <v/>
      </c>
    </row>
    <row r="244" customFormat="false" ht="15" hidden="false" customHeight="false" outlineLevel="0" collapsed="false">
      <c r="A244" s="5" t="str">
        <f aca="false">IF($O244="","",INT($O244/1000))</f>
        <v/>
      </c>
      <c r="B244" s="6" t="str">
        <f aca="false">IF($O244="","",INDEX(Scoring!$A$29:$A$361,MATCH($O244,Scoring!$AB$29:$AB$361,0)))</f>
        <v/>
      </c>
      <c r="C244" s="5" t="str">
        <f aca="false">IF($O244="","",IF(INDEX(Scoring!$P$29:$P$361,MATCH($O244,Scoring!$AB$29:$AB$361,0))="","–",INDEX(Scoring!$P$29:$P$361,MATCH($O244,Scoring!$AB$29:$AB$361,0))))</f>
        <v/>
      </c>
      <c r="D244" s="6" t="str">
        <f aca="false">IF($O244="","",INDEX(Scoring!$Q$29:$Q$361,MATCH($O244,Scoring!$AB$29:$AB$361,0)))</f>
        <v/>
      </c>
      <c r="E244" s="7" t="str">
        <f aca="false">IF($O244="","",INDEX(Scoring!$AJ$29:$AJ$361,MATCH($O244,Scoring!$AB$29:$AB$361,0)))</f>
        <v/>
      </c>
      <c r="F244" s="6" t="str">
        <f aca="false">IF($O244="","",INDEX(Scoring!$B$29:$B$361,MATCH($O244,Scoring!$AB$29:$AB$361,0)))</f>
        <v/>
      </c>
      <c r="G244" s="7" t="str">
        <f aca="false">IF($O244="","",INDEX(Scoring!$AG$29:$AG$361,MATCH($O244,Scoring!$AB$29:$AB$361,0)))</f>
        <v/>
      </c>
      <c r="H244" s="7" t="str">
        <f aca="false">IF($O244="","",INDEX(Scoring!$C$29:$C$361,MATCH($O244,Scoring!$AB$29:$AB$361,0)))</f>
        <v/>
      </c>
      <c r="I244" s="6" t="str">
        <f aca="false">IF($O244="","",INDEX(Scoring!$I$29:$I$361,MATCH($O244,Scoring!$AB$29:$AB$361,0)))</f>
        <v/>
      </c>
      <c r="J244" s="7" t="str">
        <f aca="false">IF($O244="","",INDEX(Scoring!$Z$29:$Z$361,MATCH($O244,Scoring!$AB$29:$AB$361,0)))</f>
        <v/>
      </c>
      <c r="K244" s="8" t="str">
        <f aca="false">IF($O244="","",IF(INDEX(Scoring!$D$29:$D$361,MATCH($O244,Scoring!$AB$29:$AB$361,0))="",INDEX(Scoring!$AF$29:$AF$361,MATCH($O244,Scoring!$AB$29:$AB$361,0)),INDEX(Scoring!$D$29:$D$361,MATCH($O244,Scoring!$AB$29:$AB$361,0))))</f>
        <v/>
      </c>
      <c r="L244" s="9" t="str">
        <f aca="false">IF($O244="","",INDEX(Scoring!$M$29:$M$361,MATCH($O244,Scoring!$AB$29:$AB$361,0)))</f>
        <v/>
      </c>
      <c r="M244" s="9" t="str">
        <f aca="false">IF($O244="","",INDEX(Scoring!$F$29:$F$361,MATCH($O244,Scoring!$AB$29:$AB$361,0)))</f>
        <v/>
      </c>
      <c r="N244" s="7" t="str">
        <f aca="false">IF($O244="","",INDEX(Scoring!$AI$29:$AI$361,MATCH($O244,Scoring!$AB$29:$AB$361,0)))</f>
        <v/>
      </c>
      <c r="O244" s="10" t="str">
        <f aca="false">IFERROR(SMALL(Scoring!$AB$29:$AB$361,240),"")</f>
        <v/>
      </c>
    </row>
    <row r="245" customFormat="false" ht="15" hidden="false" customHeight="false" outlineLevel="0" collapsed="false">
      <c r="A245" s="5" t="str">
        <f aca="false">IF($O245="","",INT($O245/1000))</f>
        <v/>
      </c>
      <c r="B245" s="6" t="str">
        <f aca="false">IF($O245="","",INDEX(Scoring!$A$29:$A$361,MATCH($O245,Scoring!$AB$29:$AB$361,0)))</f>
        <v/>
      </c>
      <c r="C245" s="5" t="str">
        <f aca="false">IF($O245="","",IF(INDEX(Scoring!$P$29:$P$361,MATCH($O245,Scoring!$AB$29:$AB$361,0))="","–",INDEX(Scoring!$P$29:$P$361,MATCH($O245,Scoring!$AB$29:$AB$361,0))))</f>
        <v/>
      </c>
      <c r="D245" s="6" t="str">
        <f aca="false">IF($O245="","",INDEX(Scoring!$Q$29:$Q$361,MATCH($O245,Scoring!$AB$29:$AB$361,0)))</f>
        <v/>
      </c>
      <c r="E245" s="7" t="str">
        <f aca="false">IF($O245="","",INDEX(Scoring!$AJ$29:$AJ$361,MATCH($O245,Scoring!$AB$29:$AB$361,0)))</f>
        <v/>
      </c>
      <c r="F245" s="6" t="str">
        <f aca="false">IF($O245="","",INDEX(Scoring!$B$29:$B$361,MATCH($O245,Scoring!$AB$29:$AB$361,0)))</f>
        <v/>
      </c>
      <c r="G245" s="7" t="str">
        <f aca="false">IF($O245="","",INDEX(Scoring!$AG$29:$AG$361,MATCH($O245,Scoring!$AB$29:$AB$361,0)))</f>
        <v/>
      </c>
      <c r="H245" s="7" t="str">
        <f aca="false">IF($O245="","",INDEX(Scoring!$C$29:$C$361,MATCH($O245,Scoring!$AB$29:$AB$361,0)))</f>
        <v/>
      </c>
      <c r="I245" s="6" t="str">
        <f aca="false">IF($O245="","",INDEX(Scoring!$I$29:$I$361,MATCH($O245,Scoring!$AB$29:$AB$361,0)))</f>
        <v/>
      </c>
      <c r="J245" s="7" t="str">
        <f aca="false">IF($O245="","",INDEX(Scoring!$Z$29:$Z$361,MATCH($O245,Scoring!$AB$29:$AB$361,0)))</f>
        <v/>
      </c>
      <c r="K245" s="8" t="str">
        <f aca="false">IF($O245="","",IF(INDEX(Scoring!$D$29:$D$361,MATCH($O245,Scoring!$AB$29:$AB$361,0))="",INDEX(Scoring!$AF$29:$AF$361,MATCH($O245,Scoring!$AB$29:$AB$361,0)),INDEX(Scoring!$D$29:$D$361,MATCH($O245,Scoring!$AB$29:$AB$361,0))))</f>
        <v/>
      </c>
      <c r="L245" s="9" t="str">
        <f aca="false">IF($O245="","",INDEX(Scoring!$M$29:$M$361,MATCH($O245,Scoring!$AB$29:$AB$361,0)))</f>
        <v/>
      </c>
      <c r="M245" s="9" t="str">
        <f aca="false">IF($O245="","",INDEX(Scoring!$F$29:$F$361,MATCH($O245,Scoring!$AB$29:$AB$361,0)))</f>
        <v/>
      </c>
      <c r="N245" s="7" t="str">
        <f aca="false">IF($O245="","",INDEX(Scoring!$AI$29:$AI$361,MATCH($O245,Scoring!$AB$29:$AB$361,0)))</f>
        <v/>
      </c>
      <c r="O245" s="10" t="str">
        <f aca="false">IFERROR(SMALL(Scoring!$AB$29:$AB$361,241),"")</f>
        <v/>
      </c>
    </row>
    <row r="246" customFormat="false" ht="15" hidden="false" customHeight="false" outlineLevel="0" collapsed="false">
      <c r="A246" s="5" t="str">
        <f aca="false">IF($O246="","",INT($O246/1000))</f>
        <v/>
      </c>
      <c r="B246" s="6" t="str">
        <f aca="false">IF($O246="","",INDEX(Scoring!$A$29:$A$361,MATCH($O246,Scoring!$AB$29:$AB$361,0)))</f>
        <v/>
      </c>
      <c r="C246" s="5" t="str">
        <f aca="false">IF($O246="","",IF(INDEX(Scoring!$P$29:$P$361,MATCH($O246,Scoring!$AB$29:$AB$361,0))="","–",INDEX(Scoring!$P$29:$P$361,MATCH($O246,Scoring!$AB$29:$AB$361,0))))</f>
        <v/>
      </c>
      <c r="D246" s="6" t="str">
        <f aca="false">IF($O246="","",INDEX(Scoring!$Q$29:$Q$361,MATCH($O246,Scoring!$AB$29:$AB$361,0)))</f>
        <v/>
      </c>
      <c r="E246" s="7" t="str">
        <f aca="false">IF($O246="","",INDEX(Scoring!$AJ$29:$AJ$361,MATCH($O246,Scoring!$AB$29:$AB$361,0)))</f>
        <v/>
      </c>
      <c r="F246" s="6" t="str">
        <f aca="false">IF($O246="","",INDEX(Scoring!$B$29:$B$361,MATCH($O246,Scoring!$AB$29:$AB$361,0)))</f>
        <v/>
      </c>
      <c r="G246" s="7" t="str">
        <f aca="false">IF($O246="","",INDEX(Scoring!$AG$29:$AG$361,MATCH($O246,Scoring!$AB$29:$AB$361,0)))</f>
        <v/>
      </c>
      <c r="H246" s="7" t="str">
        <f aca="false">IF($O246="","",INDEX(Scoring!$C$29:$C$361,MATCH($O246,Scoring!$AB$29:$AB$361,0)))</f>
        <v/>
      </c>
      <c r="I246" s="6" t="str">
        <f aca="false">IF($O246="","",INDEX(Scoring!$I$29:$I$361,MATCH($O246,Scoring!$AB$29:$AB$361,0)))</f>
        <v/>
      </c>
      <c r="J246" s="7" t="str">
        <f aca="false">IF($O246="","",INDEX(Scoring!$Z$29:$Z$361,MATCH($O246,Scoring!$AB$29:$AB$361,0)))</f>
        <v/>
      </c>
      <c r="K246" s="8" t="str">
        <f aca="false">IF($O246="","",IF(INDEX(Scoring!$D$29:$D$361,MATCH($O246,Scoring!$AB$29:$AB$361,0))="",INDEX(Scoring!$AF$29:$AF$361,MATCH($O246,Scoring!$AB$29:$AB$361,0)),INDEX(Scoring!$D$29:$D$361,MATCH($O246,Scoring!$AB$29:$AB$361,0))))</f>
        <v/>
      </c>
      <c r="L246" s="9" t="str">
        <f aca="false">IF($O246="","",INDEX(Scoring!$M$29:$M$361,MATCH($O246,Scoring!$AB$29:$AB$361,0)))</f>
        <v/>
      </c>
      <c r="M246" s="9" t="str">
        <f aca="false">IF($O246="","",INDEX(Scoring!$F$29:$F$361,MATCH($O246,Scoring!$AB$29:$AB$361,0)))</f>
        <v/>
      </c>
      <c r="N246" s="7" t="str">
        <f aca="false">IF($O246="","",INDEX(Scoring!$AI$29:$AI$361,MATCH($O246,Scoring!$AB$29:$AB$361,0)))</f>
        <v/>
      </c>
      <c r="O246" s="10" t="str">
        <f aca="false">IFERROR(SMALL(Scoring!$AB$29:$AB$361,242),"")</f>
        <v/>
      </c>
    </row>
    <row r="247" customFormat="false" ht="15" hidden="false" customHeight="false" outlineLevel="0" collapsed="false">
      <c r="A247" s="5" t="str">
        <f aca="false">IF($O247="","",INT($O247/1000))</f>
        <v/>
      </c>
      <c r="B247" s="6" t="str">
        <f aca="false">IF($O247="","",INDEX(Scoring!$A$29:$A$361,MATCH($O247,Scoring!$AB$29:$AB$361,0)))</f>
        <v/>
      </c>
      <c r="C247" s="5" t="str">
        <f aca="false">IF($O247="","",IF(INDEX(Scoring!$P$29:$P$361,MATCH($O247,Scoring!$AB$29:$AB$361,0))="","–",INDEX(Scoring!$P$29:$P$361,MATCH($O247,Scoring!$AB$29:$AB$361,0))))</f>
        <v/>
      </c>
      <c r="D247" s="6" t="str">
        <f aca="false">IF($O247="","",INDEX(Scoring!$Q$29:$Q$361,MATCH($O247,Scoring!$AB$29:$AB$361,0)))</f>
        <v/>
      </c>
      <c r="E247" s="7" t="str">
        <f aca="false">IF($O247="","",INDEX(Scoring!$AJ$29:$AJ$361,MATCH($O247,Scoring!$AB$29:$AB$361,0)))</f>
        <v/>
      </c>
      <c r="F247" s="6" t="str">
        <f aca="false">IF($O247="","",INDEX(Scoring!$B$29:$B$361,MATCH($O247,Scoring!$AB$29:$AB$361,0)))</f>
        <v/>
      </c>
      <c r="G247" s="7" t="str">
        <f aca="false">IF($O247="","",INDEX(Scoring!$AG$29:$AG$361,MATCH($O247,Scoring!$AB$29:$AB$361,0)))</f>
        <v/>
      </c>
      <c r="H247" s="7" t="str">
        <f aca="false">IF($O247="","",INDEX(Scoring!$C$29:$C$361,MATCH($O247,Scoring!$AB$29:$AB$361,0)))</f>
        <v/>
      </c>
      <c r="I247" s="6" t="str">
        <f aca="false">IF($O247="","",INDEX(Scoring!$I$29:$I$361,MATCH($O247,Scoring!$AB$29:$AB$361,0)))</f>
        <v/>
      </c>
      <c r="J247" s="7" t="str">
        <f aca="false">IF($O247="","",INDEX(Scoring!$Z$29:$Z$361,MATCH($O247,Scoring!$AB$29:$AB$361,0)))</f>
        <v/>
      </c>
      <c r="K247" s="8" t="str">
        <f aca="false">IF($O247="","",IF(INDEX(Scoring!$D$29:$D$361,MATCH($O247,Scoring!$AB$29:$AB$361,0))="",INDEX(Scoring!$AF$29:$AF$361,MATCH($O247,Scoring!$AB$29:$AB$361,0)),INDEX(Scoring!$D$29:$D$361,MATCH($O247,Scoring!$AB$29:$AB$361,0))))</f>
        <v/>
      </c>
      <c r="L247" s="9" t="str">
        <f aca="false">IF($O247="","",INDEX(Scoring!$M$29:$M$361,MATCH($O247,Scoring!$AB$29:$AB$361,0)))</f>
        <v/>
      </c>
      <c r="M247" s="9" t="str">
        <f aca="false">IF($O247="","",INDEX(Scoring!$F$29:$F$361,MATCH($O247,Scoring!$AB$29:$AB$361,0)))</f>
        <v/>
      </c>
      <c r="N247" s="7" t="str">
        <f aca="false">IF($O247="","",INDEX(Scoring!$AI$29:$AI$361,MATCH($O247,Scoring!$AB$29:$AB$361,0)))</f>
        <v/>
      </c>
      <c r="O247" s="10" t="str">
        <f aca="false">IFERROR(SMALL(Scoring!$AB$29:$AB$361,243),"")</f>
        <v/>
      </c>
    </row>
    <row r="248" customFormat="false" ht="15" hidden="false" customHeight="false" outlineLevel="0" collapsed="false">
      <c r="A248" s="5" t="str">
        <f aca="false">IF($O248="","",INT($O248/1000))</f>
        <v/>
      </c>
      <c r="B248" s="6" t="str">
        <f aca="false">IF($O248="","",INDEX(Scoring!$A$29:$A$361,MATCH($O248,Scoring!$AB$29:$AB$361,0)))</f>
        <v/>
      </c>
      <c r="C248" s="5" t="str">
        <f aca="false">IF($O248="","",IF(INDEX(Scoring!$P$29:$P$361,MATCH($O248,Scoring!$AB$29:$AB$361,0))="","–",INDEX(Scoring!$P$29:$P$361,MATCH($O248,Scoring!$AB$29:$AB$361,0))))</f>
        <v/>
      </c>
      <c r="D248" s="6" t="str">
        <f aca="false">IF($O248="","",INDEX(Scoring!$Q$29:$Q$361,MATCH($O248,Scoring!$AB$29:$AB$361,0)))</f>
        <v/>
      </c>
      <c r="E248" s="7" t="str">
        <f aca="false">IF($O248="","",INDEX(Scoring!$AJ$29:$AJ$361,MATCH($O248,Scoring!$AB$29:$AB$361,0)))</f>
        <v/>
      </c>
      <c r="F248" s="6" t="str">
        <f aca="false">IF($O248="","",INDEX(Scoring!$B$29:$B$361,MATCH($O248,Scoring!$AB$29:$AB$361,0)))</f>
        <v/>
      </c>
      <c r="G248" s="7" t="str">
        <f aca="false">IF($O248="","",INDEX(Scoring!$AG$29:$AG$361,MATCH($O248,Scoring!$AB$29:$AB$361,0)))</f>
        <v/>
      </c>
      <c r="H248" s="7" t="str">
        <f aca="false">IF($O248="","",INDEX(Scoring!$C$29:$C$361,MATCH($O248,Scoring!$AB$29:$AB$361,0)))</f>
        <v/>
      </c>
      <c r="I248" s="6" t="str">
        <f aca="false">IF($O248="","",INDEX(Scoring!$I$29:$I$361,MATCH($O248,Scoring!$AB$29:$AB$361,0)))</f>
        <v/>
      </c>
      <c r="J248" s="7" t="str">
        <f aca="false">IF($O248="","",INDEX(Scoring!$Z$29:$Z$361,MATCH($O248,Scoring!$AB$29:$AB$361,0)))</f>
        <v/>
      </c>
      <c r="K248" s="8" t="str">
        <f aca="false">IF($O248="","",IF(INDEX(Scoring!$D$29:$D$361,MATCH($O248,Scoring!$AB$29:$AB$361,0))="",INDEX(Scoring!$AF$29:$AF$361,MATCH($O248,Scoring!$AB$29:$AB$361,0)),INDEX(Scoring!$D$29:$D$361,MATCH($O248,Scoring!$AB$29:$AB$361,0))))</f>
        <v/>
      </c>
      <c r="L248" s="9" t="str">
        <f aca="false">IF($O248="","",INDEX(Scoring!$M$29:$M$361,MATCH($O248,Scoring!$AB$29:$AB$361,0)))</f>
        <v/>
      </c>
      <c r="M248" s="9" t="str">
        <f aca="false">IF($O248="","",INDEX(Scoring!$F$29:$F$361,MATCH($O248,Scoring!$AB$29:$AB$361,0)))</f>
        <v/>
      </c>
      <c r="N248" s="7" t="str">
        <f aca="false">IF($O248="","",INDEX(Scoring!$AI$29:$AI$361,MATCH($O248,Scoring!$AB$29:$AB$361,0)))</f>
        <v/>
      </c>
      <c r="O248" s="10" t="str">
        <f aca="false">IFERROR(SMALL(Scoring!$AB$29:$AB$361,244),"")</f>
        <v/>
      </c>
    </row>
    <row r="249" customFormat="false" ht="15" hidden="false" customHeight="false" outlineLevel="0" collapsed="false">
      <c r="A249" s="5" t="str">
        <f aca="false">IF($O249="","",INT($O249/1000))</f>
        <v/>
      </c>
      <c r="B249" s="6" t="str">
        <f aca="false">IF($O249="","",INDEX(Scoring!$A$29:$A$361,MATCH($O249,Scoring!$AB$29:$AB$361,0)))</f>
        <v/>
      </c>
      <c r="C249" s="5" t="str">
        <f aca="false">IF($O249="","",IF(INDEX(Scoring!$P$29:$P$361,MATCH($O249,Scoring!$AB$29:$AB$361,0))="","–",INDEX(Scoring!$P$29:$P$361,MATCH($O249,Scoring!$AB$29:$AB$361,0))))</f>
        <v/>
      </c>
      <c r="D249" s="6" t="str">
        <f aca="false">IF($O249="","",INDEX(Scoring!$Q$29:$Q$361,MATCH($O249,Scoring!$AB$29:$AB$361,0)))</f>
        <v/>
      </c>
      <c r="E249" s="7" t="str">
        <f aca="false">IF($O249="","",INDEX(Scoring!$AJ$29:$AJ$361,MATCH($O249,Scoring!$AB$29:$AB$361,0)))</f>
        <v/>
      </c>
      <c r="F249" s="6" t="str">
        <f aca="false">IF($O249="","",INDEX(Scoring!$B$29:$B$361,MATCH($O249,Scoring!$AB$29:$AB$361,0)))</f>
        <v/>
      </c>
      <c r="G249" s="7" t="str">
        <f aca="false">IF($O249="","",INDEX(Scoring!$AG$29:$AG$361,MATCH($O249,Scoring!$AB$29:$AB$361,0)))</f>
        <v/>
      </c>
      <c r="H249" s="7" t="str">
        <f aca="false">IF($O249="","",INDEX(Scoring!$C$29:$C$361,MATCH($O249,Scoring!$AB$29:$AB$361,0)))</f>
        <v/>
      </c>
      <c r="I249" s="6" t="str">
        <f aca="false">IF($O249="","",INDEX(Scoring!$I$29:$I$361,MATCH($O249,Scoring!$AB$29:$AB$361,0)))</f>
        <v/>
      </c>
      <c r="J249" s="7" t="str">
        <f aca="false">IF($O249="","",INDEX(Scoring!$Z$29:$Z$361,MATCH($O249,Scoring!$AB$29:$AB$361,0)))</f>
        <v/>
      </c>
      <c r="K249" s="8" t="str">
        <f aca="false">IF($O249="","",IF(INDEX(Scoring!$D$29:$D$361,MATCH($O249,Scoring!$AB$29:$AB$361,0))="",INDEX(Scoring!$AF$29:$AF$361,MATCH($O249,Scoring!$AB$29:$AB$361,0)),INDEX(Scoring!$D$29:$D$361,MATCH($O249,Scoring!$AB$29:$AB$361,0))))</f>
        <v/>
      </c>
      <c r="L249" s="9" t="str">
        <f aca="false">IF($O249="","",INDEX(Scoring!$M$29:$M$361,MATCH($O249,Scoring!$AB$29:$AB$361,0)))</f>
        <v/>
      </c>
      <c r="M249" s="9" t="str">
        <f aca="false">IF($O249="","",INDEX(Scoring!$F$29:$F$361,MATCH($O249,Scoring!$AB$29:$AB$361,0)))</f>
        <v/>
      </c>
      <c r="N249" s="7" t="str">
        <f aca="false">IF($O249="","",INDEX(Scoring!$AI$29:$AI$361,MATCH($O249,Scoring!$AB$29:$AB$361,0)))</f>
        <v/>
      </c>
      <c r="O249" s="10" t="str">
        <f aca="false">IFERROR(SMALL(Scoring!$AB$29:$AB$361,245),"")</f>
        <v/>
      </c>
    </row>
    <row r="250" customFormat="false" ht="15" hidden="false" customHeight="false" outlineLevel="0" collapsed="false">
      <c r="A250" s="5" t="str">
        <f aca="false">IF($O250="","",INT($O250/1000))</f>
        <v/>
      </c>
      <c r="B250" s="6" t="str">
        <f aca="false">IF($O250="","",INDEX(Scoring!$A$29:$A$361,MATCH($O250,Scoring!$AB$29:$AB$361,0)))</f>
        <v/>
      </c>
      <c r="C250" s="5" t="str">
        <f aca="false">IF($O250="","",IF(INDEX(Scoring!$P$29:$P$361,MATCH($O250,Scoring!$AB$29:$AB$361,0))="","–",INDEX(Scoring!$P$29:$P$361,MATCH($O250,Scoring!$AB$29:$AB$361,0))))</f>
        <v/>
      </c>
      <c r="D250" s="6" t="str">
        <f aca="false">IF($O250="","",INDEX(Scoring!$Q$29:$Q$361,MATCH($O250,Scoring!$AB$29:$AB$361,0)))</f>
        <v/>
      </c>
      <c r="E250" s="7" t="str">
        <f aca="false">IF($O250="","",INDEX(Scoring!$AJ$29:$AJ$361,MATCH($O250,Scoring!$AB$29:$AB$361,0)))</f>
        <v/>
      </c>
      <c r="F250" s="6" t="str">
        <f aca="false">IF($O250="","",INDEX(Scoring!$B$29:$B$361,MATCH($O250,Scoring!$AB$29:$AB$361,0)))</f>
        <v/>
      </c>
      <c r="G250" s="7" t="str">
        <f aca="false">IF($O250="","",INDEX(Scoring!$AG$29:$AG$361,MATCH($O250,Scoring!$AB$29:$AB$361,0)))</f>
        <v/>
      </c>
      <c r="H250" s="7" t="str">
        <f aca="false">IF($O250="","",INDEX(Scoring!$C$29:$C$361,MATCH($O250,Scoring!$AB$29:$AB$361,0)))</f>
        <v/>
      </c>
      <c r="I250" s="6" t="str">
        <f aca="false">IF($O250="","",INDEX(Scoring!$I$29:$I$361,MATCH($O250,Scoring!$AB$29:$AB$361,0)))</f>
        <v/>
      </c>
      <c r="J250" s="7" t="str">
        <f aca="false">IF($O250="","",INDEX(Scoring!$Z$29:$Z$361,MATCH($O250,Scoring!$AB$29:$AB$361,0)))</f>
        <v/>
      </c>
      <c r="K250" s="8" t="str">
        <f aca="false">IF($O250="","",IF(INDEX(Scoring!$D$29:$D$361,MATCH($O250,Scoring!$AB$29:$AB$361,0))="",INDEX(Scoring!$AF$29:$AF$361,MATCH($O250,Scoring!$AB$29:$AB$361,0)),INDEX(Scoring!$D$29:$D$361,MATCH($O250,Scoring!$AB$29:$AB$361,0))))</f>
        <v/>
      </c>
      <c r="L250" s="9" t="str">
        <f aca="false">IF($O250="","",INDEX(Scoring!$M$29:$M$361,MATCH($O250,Scoring!$AB$29:$AB$361,0)))</f>
        <v/>
      </c>
      <c r="M250" s="9" t="str">
        <f aca="false">IF($O250="","",INDEX(Scoring!$F$29:$F$361,MATCH($O250,Scoring!$AB$29:$AB$361,0)))</f>
        <v/>
      </c>
      <c r="N250" s="7" t="str">
        <f aca="false">IF($O250="","",INDEX(Scoring!$AI$29:$AI$361,MATCH($O250,Scoring!$AB$29:$AB$361,0)))</f>
        <v/>
      </c>
      <c r="O250" s="10" t="str">
        <f aca="false">IFERROR(SMALL(Scoring!$AB$29:$AB$361,246),"")</f>
        <v/>
      </c>
    </row>
    <row r="251" customFormat="false" ht="15" hidden="false" customHeight="false" outlineLevel="0" collapsed="false">
      <c r="A251" s="5" t="str">
        <f aca="false">IF($O251="","",INT($O251/1000))</f>
        <v/>
      </c>
      <c r="B251" s="6" t="str">
        <f aca="false">IF($O251="","",INDEX(Scoring!$A$29:$A$361,MATCH($O251,Scoring!$AB$29:$AB$361,0)))</f>
        <v/>
      </c>
      <c r="C251" s="5" t="str">
        <f aca="false">IF($O251="","",IF(INDEX(Scoring!$P$29:$P$361,MATCH($O251,Scoring!$AB$29:$AB$361,0))="","–",INDEX(Scoring!$P$29:$P$361,MATCH($O251,Scoring!$AB$29:$AB$361,0))))</f>
        <v/>
      </c>
      <c r="D251" s="6" t="str">
        <f aca="false">IF($O251="","",INDEX(Scoring!$Q$29:$Q$361,MATCH($O251,Scoring!$AB$29:$AB$361,0)))</f>
        <v/>
      </c>
      <c r="E251" s="7" t="str">
        <f aca="false">IF($O251="","",INDEX(Scoring!$AJ$29:$AJ$361,MATCH($O251,Scoring!$AB$29:$AB$361,0)))</f>
        <v/>
      </c>
      <c r="F251" s="6" t="str">
        <f aca="false">IF($O251="","",INDEX(Scoring!$B$29:$B$361,MATCH($O251,Scoring!$AB$29:$AB$361,0)))</f>
        <v/>
      </c>
      <c r="G251" s="7" t="str">
        <f aca="false">IF($O251="","",INDEX(Scoring!$AG$29:$AG$361,MATCH($O251,Scoring!$AB$29:$AB$361,0)))</f>
        <v/>
      </c>
      <c r="H251" s="7" t="str">
        <f aca="false">IF($O251="","",INDEX(Scoring!$C$29:$C$361,MATCH($O251,Scoring!$AB$29:$AB$361,0)))</f>
        <v/>
      </c>
      <c r="I251" s="6" t="str">
        <f aca="false">IF($O251="","",INDEX(Scoring!$I$29:$I$361,MATCH($O251,Scoring!$AB$29:$AB$361,0)))</f>
        <v/>
      </c>
      <c r="J251" s="7" t="str">
        <f aca="false">IF($O251="","",INDEX(Scoring!$Z$29:$Z$361,MATCH($O251,Scoring!$AB$29:$AB$361,0)))</f>
        <v/>
      </c>
      <c r="K251" s="8" t="str">
        <f aca="false">IF($O251="","",IF(INDEX(Scoring!$D$29:$D$361,MATCH($O251,Scoring!$AB$29:$AB$361,0))="",INDEX(Scoring!$AF$29:$AF$361,MATCH($O251,Scoring!$AB$29:$AB$361,0)),INDEX(Scoring!$D$29:$D$361,MATCH($O251,Scoring!$AB$29:$AB$361,0))))</f>
        <v/>
      </c>
      <c r="L251" s="9" t="str">
        <f aca="false">IF($O251="","",INDEX(Scoring!$M$29:$M$361,MATCH($O251,Scoring!$AB$29:$AB$361,0)))</f>
        <v/>
      </c>
      <c r="M251" s="9" t="str">
        <f aca="false">IF($O251="","",INDEX(Scoring!$F$29:$F$361,MATCH($O251,Scoring!$AB$29:$AB$361,0)))</f>
        <v/>
      </c>
      <c r="N251" s="7" t="str">
        <f aca="false">IF($O251="","",INDEX(Scoring!$AI$29:$AI$361,MATCH($O251,Scoring!$AB$29:$AB$361,0)))</f>
        <v/>
      </c>
      <c r="O251" s="10" t="str">
        <f aca="false">IFERROR(SMALL(Scoring!$AB$29:$AB$361,247),"")</f>
        <v/>
      </c>
    </row>
    <row r="252" customFormat="false" ht="15" hidden="false" customHeight="false" outlineLevel="0" collapsed="false">
      <c r="A252" s="5" t="str">
        <f aca="false">IF($O252="","",INT($O252/1000))</f>
        <v/>
      </c>
      <c r="B252" s="6" t="str">
        <f aca="false">IF($O252="","",INDEX(Scoring!$A$29:$A$361,MATCH($O252,Scoring!$AB$29:$AB$361,0)))</f>
        <v/>
      </c>
      <c r="C252" s="5" t="str">
        <f aca="false">IF($O252="","",IF(INDEX(Scoring!$P$29:$P$361,MATCH($O252,Scoring!$AB$29:$AB$361,0))="","–",INDEX(Scoring!$P$29:$P$361,MATCH($O252,Scoring!$AB$29:$AB$361,0))))</f>
        <v/>
      </c>
      <c r="D252" s="6" t="str">
        <f aca="false">IF($O252="","",INDEX(Scoring!$Q$29:$Q$361,MATCH($O252,Scoring!$AB$29:$AB$361,0)))</f>
        <v/>
      </c>
      <c r="E252" s="7" t="str">
        <f aca="false">IF($O252="","",INDEX(Scoring!$AJ$29:$AJ$361,MATCH($O252,Scoring!$AB$29:$AB$361,0)))</f>
        <v/>
      </c>
      <c r="F252" s="6" t="str">
        <f aca="false">IF($O252="","",INDEX(Scoring!$B$29:$B$361,MATCH($O252,Scoring!$AB$29:$AB$361,0)))</f>
        <v/>
      </c>
      <c r="G252" s="7" t="str">
        <f aca="false">IF($O252="","",INDEX(Scoring!$AG$29:$AG$361,MATCH($O252,Scoring!$AB$29:$AB$361,0)))</f>
        <v/>
      </c>
      <c r="H252" s="7" t="str">
        <f aca="false">IF($O252="","",INDEX(Scoring!$C$29:$C$361,MATCH($O252,Scoring!$AB$29:$AB$361,0)))</f>
        <v/>
      </c>
      <c r="I252" s="6" t="str">
        <f aca="false">IF($O252="","",INDEX(Scoring!$I$29:$I$361,MATCH($O252,Scoring!$AB$29:$AB$361,0)))</f>
        <v/>
      </c>
      <c r="J252" s="7" t="str">
        <f aca="false">IF($O252="","",INDEX(Scoring!$Z$29:$Z$361,MATCH($O252,Scoring!$AB$29:$AB$361,0)))</f>
        <v/>
      </c>
      <c r="K252" s="8" t="str">
        <f aca="false">IF($O252="","",IF(INDEX(Scoring!$D$29:$D$361,MATCH($O252,Scoring!$AB$29:$AB$361,0))="",INDEX(Scoring!$AF$29:$AF$361,MATCH($O252,Scoring!$AB$29:$AB$361,0)),INDEX(Scoring!$D$29:$D$361,MATCH($O252,Scoring!$AB$29:$AB$361,0))))</f>
        <v/>
      </c>
      <c r="L252" s="9" t="str">
        <f aca="false">IF($O252="","",INDEX(Scoring!$M$29:$M$361,MATCH($O252,Scoring!$AB$29:$AB$361,0)))</f>
        <v/>
      </c>
      <c r="M252" s="9" t="str">
        <f aca="false">IF($O252="","",INDEX(Scoring!$F$29:$F$361,MATCH($O252,Scoring!$AB$29:$AB$361,0)))</f>
        <v/>
      </c>
      <c r="N252" s="7" t="str">
        <f aca="false">IF($O252="","",INDEX(Scoring!$AI$29:$AI$361,MATCH($O252,Scoring!$AB$29:$AB$361,0)))</f>
        <v/>
      </c>
      <c r="O252" s="10" t="str">
        <f aca="false">IFERROR(SMALL(Scoring!$AB$29:$AB$361,248),"")</f>
        <v/>
      </c>
    </row>
    <row r="253" customFormat="false" ht="15" hidden="false" customHeight="false" outlineLevel="0" collapsed="false">
      <c r="A253" s="5" t="str">
        <f aca="false">IF($O253="","",INT($O253/1000))</f>
        <v/>
      </c>
      <c r="B253" s="6" t="str">
        <f aca="false">IF($O253="","",INDEX(Scoring!$A$29:$A$361,MATCH($O253,Scoring!$AB$29:$AB$361,0)))</f>
        <v/>
      </c>
      <c r="C253" s="5" t="str">
        <f aca="false">IF($O253="","",IF(INDEX(Scoring!$P$29:$P$361,MATCH($O253,Scoring!$AB$29:$AB$361,0))="","–",INDEX(Scoring!$P$29:$P$361,MATCH($O253,Scoring!$AB$29:$AB$361,0))))</f>
        <v/>
      </c>
      <c r="D253" s="6" t="str">
        <f aca="false">IF($O253="","",INDEX(Scoring!$Q$29:$Q$361,MATCH($O253,Scoring!$AB$29:$AB$361,0)))</f>
        <v/>
      </c>
      <c r="E253" s="7" t="str">
        <f aca="false">IF($O253="","",INDEX(Scoring!$AJ$29:$AJ$361,MATCH($O253,Scoring!$AB$29:$AB$361,0)))</f>
        <v/>
      </c>
      <c r="F253" s="6" t="str">
        <f aca="false">IF($O253="","",INDEX(Scoring!$B$29:$B$361,MATCH($O253,Scoring!$AB$29:$AB$361,0)))</f>
        <v/>
      </c>
      <c r="G253" s="7" t="str">
        <f aca="false">IF($O253="","",INDEX(Scoring!$AG$29:$AG$361,MATCH($O253,Scoring!$AB$29:$AB$361,0)))</f>
        <v/>
      </c>
      <c r="H253" s="7" t="str">
        <f aca="false">IF($O253="","",INDEX(Scoring!$C$29:$C$361,MATCH($O253,Scoring!$AB$29:$AB$361,0)))</f>
        <v/>
      </c>
      <c r="I253" s="6" t="str">
        <f aca="false">IF($O253="","",INDEX(Scoring!$I$29:$I$361,MATCH($O253,Scoring!$AB$29:$AB$361,0)))</f>
        <v/>
      </c>
      <c r="J253" s="7" t="str">
        <f aca="false">IF($O253="","",INDEX(Scoring!$Z$29:$Z$361,MATCH($O253,Scoring!$AB$29:$AB$361,0)))</f>
        <v/>
      </c>
      <c r="K253" s="8" t="str">
        <f aca="false">IF($O253="","",IF(INDEX(Scoring!$D$29:$D$361,MATCH($O253,Scoring!$AB$29:$AB$361,0))="",INDEX(Scoring!$AF$29:$AF$361,MATCH($O253,Scoring!$AB$29:$AB$361,0)),INDEX(Scoring!$D$29:$D$361,MATCH($O253,Scoring!$AB$29:$AB$361,0))))</f>
        <v/>
      </c>
      <c r="L253" s="9" t="str">
        <f aca="false">IF($O253="","",INDEX(Scoring!$M$29:$M$361,MATCH($O253,Scoring!$AB$29:$AB$361,0)))</f>
        <v/>
      </c>
      <c r="M253" s="9" t="str">
        <f aca="false">IF($O253="","",INDEX(Scoring!$F$29:$F$361,MATCH($O253,Scoring!$AB$29:$AB$361,0)))</f>
        <v/>
      </c>
      <c r="N253" s="7" t="str">
        <f aca="false">IF($O253="","",INDEX(Scoring!$AI$29:$AI$361,MATCH($O253,Scoring!$AB$29:$AB$361,0)))</f>
        <v/>
      </c>
      <c r="O253" s="10" t="str">
        <f aca="false">IFERROR(SMALL(Scoring!$AB$29:$AB$361,249),"")</f>
        <v/>
      </c>
    </row>
    <row r="254" customFormat="false" ht="15" hidden="false" customHeight="false" outlineLevel="0" collapsed="false">
      <c r="A254" s="5" t="str">
        <f aca="false">IF($O254="","",INT($O254/1000))</f>
        <v/>
      </c>
      <c r="B254" s="6" t="str">
        <f aca="false">IF($O254="","",INDEX(Scoring!$A$29:$A$361,MATCH($O254,Scoring!$AB$29:$AB$361,0)))</f>
        <v/>
      </c>
      <c r="C254" s="5" t="str">
        <f aca="false">IF($O254="","",IF(INDEX(Scoring!$P$29:$P$361,MATCH($O254,Scoring!$AB$29:$AB$361,0))="","–",INDEX(Scoring!$P$29:$P$361,MATCH($O254,Scoring!$AB$29:$AB$361,0))))</f>
        <v/>
      </c>
      <c r="D254" s="6" t="str">
        <f aca="false">IF($O254="","",INDEX(Scoring!$Q$29:$Q$361,MATCH($O254,Scoring!$AB$29:$AB$361,0)))</f>
        <v/>
      </c>
      <c r="E254" s="7" t="str">
        <f aca="false">IF($O254="","",INDEX(Scoring!$AJ$29:$AJ$361,MATCH($O254,Scoring!$AB$29:$AB$361,0)))</f>
        <v/>
      </c>
      <c r="F254" s="6" t="str">
        <f aca="false">IF($O254="","",INDEX(Scoring!$B$29:$B$361,MATCH($O254,Scoring!$AB$29:$AB$361,0)))</f>
        <v/>
      </c>
      <c r="G254" s="7" t="str">
        <f aca="false">IF($O254="","",INDEX(Scoring!$AG$29:$AG$361,MATCH($O254,Scoring!$AB$29:$AB$361,0)))</f>
        <v/>
      </c>
      <c r="H254" s="7" t="str">
        <f aca="false">IF($O254="","",INDEX(Scoring!$C$29:$C$361,MATCH($O254,Scoring!$AB$29:$AB$361,0)))</f>
        <v/>
      </c>
      <c r="I254" s="6" t="str">
        <f aca="false">IF($O254="","",INDEX(Scoring!$I$29:$I$361,MATCH($O254,Scoring!$AB$29:$AB$361,0)))</f>
        <v/>
      </c>
      <c r="J254" s="7" t="str">
        <f aca="false">IF($O254="","",INDEX(Scoring!$Z$29:$Z$361,MATCH($O254,Scoring!$AB$29:$AB$361,0)))</f>
        <v/>
      </c>
      <c r="K254" s="8" t="str">
        <f aca="false">IF($O254="","",IF(INDEX(Scoring!$D$29:$D$361,MATCH($O254,Scoring!$AB$29:$AB$361,0))="",INDEX(Scoring!$AF$29:$AF$361,MATCH($O254,Scoring!$AB$29:$AB$361,0)),INDEX(Scoring!$D$29:$D$361,MATCH($O254,Scoring!$AB$29:$AB$361,0))))</f>
        <v/>
      </c>
      <c r="L254" s="9" t="str">
        <f aca="false">IF($O254="","",INDEX(Scoring!$M$29:$M$361,MATCH($O254,Scoring!$AB$29:$AB$361,0)))</f>
        <v/>
      </c>
      <c r="M254" s="9" t="str">
        <f aca="false">IF($O254="","",INDEX(Scoring!$F$29:$F$361,MATCH($O254,Scoring!$AB$29:$AB$361,0)))</f>
        <v/>
      </c>
      <c r="N254" s="7" t="str">
        <f aca="false">IF($O254="","",INDEX(Scoring!$AI$29:$AI$361,MATCH($O254,Scoring!$AB$29:$AB$361,0)))</f>
        <v/>
      </c>
      <c r="O254" s="10" t="str">
        <f aca="false">IFERROR(SMALL(Scoring!$AB$29:$AB$361,250),"")</f>
        <v/>
      </c>
    </row>
    <row r="255" customFormat="false" ht="15" hidden="false" customHeight="false" outlineLevel="0" collapsed="false">
      <c r="A255" s="5" t="str">
        <f aca="false">IF($O255="","",INT($O255/1000))</f>
        <v/>
      </c>
      <c r="B255" s="6" t="str">
        <f aca="false">IF($O255="","",INDEX(Scoring!$A$29:$A$361,MATCH($O255,Scoring!$AB$29:$AB$361,0)))</f>
        <v/>
      </c>
      <c r="C255" s="5" t="str">
        <f aca="false">IF($O255="","",IF(INDEX(Scoring!$P$29:$P$361,MATCH($O255,Scoring!$AB$29:$AB$361,0))="","–",INDEX(Scoring!$P$29:$P$361,MATCH($O255,Scoring!$AB$29:$AB$361,0))))</f>
        <v/>
      </c>
      <c r="D255" s="6" t="str">
        <f aca="false">IF($O255="","",INDEX(Scoring!$Q$29:$Q$361,MATCH($O255,Scoring!$AB$29:$AB$361,0)))</f>
        <v/>
      </c>
      <c r="E255" s="7" t="str">
        <f aca="false">IF($O255="","",INDEX(Scoring!$AJ$29:$AJ$361,MATCH($O255,Scoring!$AB$29:$AB$361,0)))</f>
        <v/>
      </c>
      <c r="F255" s="6" t="str">
        <f aca="false">IF($O255="","",INDEX(Scoring!$B$29:$B$361,MATCH($O255,Scoring!$AB$29:$AB$361,0)))</f>
        <v/>
      </c>
      <c r="G255" s="7" t="str">
        <f aca="false">IF($O255="","",INDEX(Scoring!$AG$29:$AG$361,MATCH($O255,Scoring!$AB$29:$AB$361,0)))</f>
        <v/>
      </c>
      <c r="H255" s="7" t="str">
        <f aca="false">IF($O255="","",INDEX(Scoring!$C$29:$C$361,MATCH($O255,Scoring!$AB$29:$AB$361,0)))</f>
        <v/>
      </c>
      <c r="I255" s="6" t="str">
        <f aca="false">IF($O255="","",INDEX(Scoring!$I$29:$I$361,MATCH($O255,Scoring!$AB$29:$AB$361,0)))</f>
        <v/>
      </c>
      <c r="J255" s="7" t="str">
        <f aca="false">IF($O255="","",INDEX(Scoring!$Z$29:$Z$361,MATCH($O255,Scoring!$AB$29:$AB$361,0)))</f>
        <v/>
      </c>
      <c r="K255" s="8" t="str">
        <f aca="false">IF($O255="","",IF(INDEX(Scoring!$D$29:$D$361,MATCH($O255,Scoring!$AB$29:$AB$361,0))="",INDEX(Scoring!$AF$29:$AF$361,MATCH($O255,Scoring!$AB$29:$AB$361,0)),INDEX(Scoring!$D$29:$D$361,MATCH($O255,Scoring!$AB$29:$AB$361,0))))</f>
        <v/>
      </c>
      <c r="L255" s="9" t="str">
        <f aca="false">IF($O255="","",INDEX(Scoring!$M$29:$M$361,MATCH($O255,Scoring!$AB$29:$AB$361,0)))</f>
        <v/>
      </c>
      <c r="M255" s="9" t="str">
        <f aca="false">IF($O255="","",INDEX(Scoring!$F$29:$F$361,MATCH($O255,Scoring!$AB$29:$AB$361,0)))</f>
        <v/>
      </c>
      <c r="N255" s="7" t="str">
        <f aca="false">IF($O255="","",INDEX(Scoring!$AI$29:$AI$361,MATCH($O255,Scoring!$AB$29:$AB$361,0)))</f>
        <v/>
      </c>
      <c r="O255" s="10" t="str">
        <f aca="false">IFERROR(SMALL(Scoring!$AB$29:$AB$361,251),"")</f>
        <v/>
      </c>
    </row>
    <row r="256" customFormat="false" ht="15" hidden="false" customHeight="false" outlineLevel="0" collapsed="false">
      <c r="A256" s="5" t="str">
        <f aca="false">IF($O256="","",INT($O256/1000))</f>
        <v/>
      </c>
      <c r="B256" s="6" t="str">
        <f aca="false">IF($O256="","",INDEX(Scoring!$A$29:$A$361,MATCH($O256,Scoring!$AB$29:$AB$361,0)))</f>
        <v/>
      </c>
      <c r="C256" s="5" t="str">
        <f aca="false">IF($O256="","",IF(INDEX(Scoring!$P$29:$P$361,MATCH($O256,Scoring!$AB$29:$AB$361,0))="","–",INDEX(Scoring!$P$29:$P$361,MATCH($O256,Scoring!$AB$29:$AB$361,0))))</f>
        <v/>
      </c>
      <c r="D256" s="6" t="str">
        <f aca="false">IF($O256="","",INDEX(Scoring!$Q$29:$Q$361,MATCH($O256,Scoring!$AB$29:$AB$361,0)))</f>
        <v/>
      </c>
      <c r="E256" s="7" t="str">
        <f aca="false">IF($O256="","",INDEX(Scoring!$AJ$29:$AJ$361,MATCH($O256,Scoring!$AB$29:$AB$361,0)))</f>
        <v/>
      </c>
      <c r="F256" s="6" t="str">
        <f aca="false">IF($O256="","",INDEX(Scoring!$B$29:$B$361,MATCH($O256,Scoring!$AB$29:$AB$361,0)))</f>
        <v/>
      </c>
      <c r="G256" s="7" t="str">
        <f aca="false">IF($O256="","",INDEX(Scoring!$AG$29:$AG$361,MATCH($O256,Scoring!$AB$29:$AB$361,0)))</f>
        <v/>
      </c>
      <c r="H256" s="7" t="str">
        <f aca="false">IF($O256="","",INDEX(Scoring!$C$29:$C$361,MATCH($O256,Scoring!$AB$29:$AB$361,0)))</f>
        <v/>
      </c>
      <c r="I256" s="6" t="str">
        <f aca="false">IF($O256="","",INDEX(Scoring!$I$29:$I$361,MATCH($O256,Scoring!$AB$29:$AB$361,0)))</f>
        <v/>
      </c>
      <c r="J256" s="7" t="str">
        <f aca="false">IF($O256="","",INDEX(Scoring!$Z$29:$Z$361,MATCH($O256,Scoring!$AB$29:$AB$361,0)))</f>
        <v/>
      </c>
      <c r="K256" s="8" t="str">
        <f aca="false">IF($O256="","",IF(INDEX(Scoring!$D$29:$D$361,MATCH($O256,Scoring!$AB$29:$AB$361,0))="",INDEX(Scoring!$AF$29:$AF$361,MATCH($O256,Scoring!$AB$29:$AB$361,0)),INDEX(Scoring!$D$29:$D$361,MATCH($O256,Scoring!$AB$29:$AB$361,0))))</f>
        <v/>
      </c>
      <c r="L256" s="9" t="str">
        <f aca="false">IF($O256="","",INDEX(Scoring!$M$29:$M$361,MATCH($O256,Scoring!$AB$29:$AB$361,0)))</f>
        <v/>
      </c>
      <c r="M256" s="9" t="str">
        <f aca="false">IF($O256="","",INDEX(Scoring!$F$29:$F$361,MATCH($O256,Scoring!$AB$29:$AB$361,0)))</f>
        <v/>
      </c>
      <c r="N256" s="7" t="str">
        <f aca="false">IF($O256="","",INDEX(Scoring!$AI$29:$AI$361,MATCH($O256,Scoring!$AB$29:$AB$361,0)))</f>
        <v/>
      </c>
      <c r="O256" s="10" t="str">
        <f aca="false">IFERROR(SMALL(Scoring!$AB$29:$AB$361,252),"")</f>
        <v/>
      </c>
    </row>
    <row r="257" customFormat="false" ht="15" hidden="false" customHeight="false" outlineLevel="0" collapsed="false">
      <c r="A257" s="5" t="str">
        <f aca="false">IF($O257="","",INT($O257/1000))</f>
        <v/>
      </c>
      <c r="B257" s="6" t="str">
        <f aca="false">IF($O257="","",INDEX(Scoring!$A$29:$A$361,MATCH($O257,Scoring!$AB$29:$AB$361,0)))</f>
        <v/>
      </c>
      <c r="C257" s="5" t="str">
        <f aca="false">IF($O257="","",IF(INDEX(Scoring!$P$29:$P$361,MATCH($O257,Scoring!$AB$29:$AB$361,0))="","–",INDEX(Scoring!$P$29:$P$361,MATCH($O257,Scoring!$AB$29:$AB$361,0))))</f>
        <v/>
      </c>
      <c r="D257" s="6" t="str">
        <f aca="false">IF($O257="","",INDEX(Scoring!$Q$29:$Q$361,MATCH($O257,Scoring!$AB$29:$AB$361,0)))</f>
        <v/>
      </c>
      <c r="E257" s="7" t="str">
        <f aca="false">IF($O257="","",INDEX(Scoring!$AJ$29:$AJ$361,MATCH($O257,Scoring!$AB$29:$AB$361,0)))</f>
        <v/>
      </c>
      <c r="F257" s="6" t="str">
        <f aca="false">IF($O257="","",INDEX(Scoring!$B$29:$B$361,MATCH($O257,Scoring!$AB$29:$AB$361,0)))</f>
        <v/>
      </c>
      <c r="G257" s="7" t="str">
        <f aca="false">IF($O257="","",INDEX(Scoring!$AG$29:$AG$361,MATCH($O257,Scoring!$AB$29:$AB$361,0)))</f>
        <v/>
      </c>
      <c r="H257" s="7" t="str">
        <f aca="false">IF($O257="","",INDEX(Scoring!$C$29:$C$361,MATCH($O257,Scoring!$AB$29:$AB$361,0)))</f>
        <v/>
      </c>
      <c r="I257" s="6" t="str">
        <f aca="false">IF($O257="","",INDEX(Scoring!$I$29:$I$361,MATCH($O257,Scoring!$AB$29:$AB$361,0)))</f>
        <v/>
      </c>
      <c r="J257" s="7" t="str">
        <f aca="false">IF($O257="","",INDEX(Scoring!$Z$29:$Z$361,MATCH($O257,Scoring!$AB$29:$AB$361,0)))</f>
        <v/>
      </c>
      <c r="K257" s="8" t="str">
        <f aca="false">IF($O257="","",IF(INDEX(Scoring!$D$29:$D$361,MATCH($O257,Scoring!$AB$29:$AB$361,0))="",INDEX(Scoring!$AF$29:$AF$361,MATCH($O257,Scoring!$AB$29:$AB$361,0)),INDEX(Scoring!$D$29:$D$361,MATCH($O257,Scoring!$AB$29:$AB$361,0))))</f>
        <v/>
      </c>
      <c r="L257" s="9" t="str">
        <f aca="false">IF($O257="","",INDEX(Scoring!$M$29:$M$361,MATCH($O257,Scoring!$AB$29:$AB$361,0)))</f>
        <v/>
      </c>
      <c r="M257" s="9" t="str">
        <f aca="false">IF($O257="","",INDEX(Scoring!$F$29:$F$361,MATCH($O257,Scoring!$AB$29:$AB$361,0)))</f>
        <v/>
      </c>
      <c r="N257" s="7" t="str">
        <f aca="false">IF($O257="","",INDEX(Scoring!$AI$29:$AI$361,MATCH($O257,Scoring!$AB$29:$AB$361,0)))</f>
        <v/>
      </c>
      <c r="O257" s="10" t="str">
        <f aca="false">IFERROR(SMALL(Scoring!$AB$29:$AB$361,253),"")</f>
        <v/>
      </c>
    </row>
    <row r="258" customFormat="false" ht="15" hidden="false" customHeight="false" outlineLevel="0" collapsed="false">
      <c r="A258" s="5" t="str">
        <f aca="false">IF($O258="","",INT($O258/1000))</f>
        <v/>
      </c>
      <c r="B258" s="6" t="str">
        <f aca="false">IF($O258="","",INDEX(Scoring!$A$29:$A$361,MATCH($O258,Scoring!$AB$29:$AB$361,0)))</f>
        <v/>
      </c>
      <c r="C258" s="5" t="str">
        <f aca="false">IF($O258="","",IF(INDEX(Scoring!$P$29:$P$361,MATCH($O258,Scoring!$AB$29:$AB$361,0))="","–",INDEX(Scoring!$P$29:$P$361,MATCH($O258,Scoring!$AB$29:$AB$361,0))))</f>
        <v/>
      </c>
      <c r="D258" s="6" t="str">
        <f aca="false">IF($O258="","",INDEX(Scoring!$Q$29:$Q$361,MATCH($O258,Scoring!$AB$29:$AB$361,0)))</f>
        <v/>
      </c>
      <c r="E258" s="7" t="str">
        <f aca="false">IF($O258="","",INDEX(Scoring!$AJ$29:$AJ$361,MATCH($O258,Scoring!$AB$29:$AB$361,0)))</f>
        <v/>
      </c>
      <c r="F258" s="6" t="str">
        <f aca="false">IF($O258="","",INDEX(Scoring!$B$29:$B$361,MATCH($O258,Scoring!$AB$29:$AB$361,0)))</f>
        <v/>
      </c>
      <c r="G258" s="7" t="str">
        <f aca="false">IF($O258="","",INDEX(Scoring!$AG$29:$AG$361,MATCH($O258,Scoring!$AB$29:$AB$361,0)))</f>
        <v/>
      </c>
      <c r="H258" s="7" t="str">
        <f aca="false">IF($O258="","",INDEX(Scoring!$C$29:$C$361,MATCH($O258,Scoring!$AB$29:$AB$361,0)))</f>
        <v/>
      </c>
      <c r="I258" s="6" t="str">
        <f aca="false">IF($O258="","",INDEX(Scoring!$I$29:$I$361,MATCH($O258,Scoring!$AB$29:$AB$361,0)))</f>
        <v/>
      </c>
      <c r="J258" s="7" t="str">
        <f aca="false">IF($O258="","",INDEX(Scoring!$Z$29:$Z$361,MATCH($O258,Scoring!$AB$29:$AB$361,0)))</f>
        <v/>
      </c>
      <c r="K258" s="8" t="str">
        <f aca="false">IF($O258="","",IF(INDEX(Scoring!$D$29:$D$361,MATCH($O258,Scoring!$AB$29:$AB$361,0))="",INDEX(Scoring!$AF$29:$AF$361,MATCH($O258,Scoring!$AB$29:$AB$361,0)),INDEX(Scoring!$D$29:$D$361,MATCH($O258,Scoring!$AB$29:$AB$361,0))))</f>
        <v/>
      </c>
      <c r="L258" s="9" t="str">
        <f aca="false">IF($O258="","",INDEX(Scoring!$M$29:$M$361,MATCH($O258,Scoring!$AB$29:$AB$361,0)))</f>
        <v/>
      </c>
      <c r="M258" s="9" t="str">
        <f aca="false">IF($O258="","",INDEX(Scoring!$F$29:$F$361,MATCH($O258,Scoring!$AB$29:$AB$361,0)))</f>
        <v/>
      </c>
      <c r="N258" s="7" t="str">
        <f aca="false">IF($O258="","",INDEX(Scoring!$AI$29:$AI$361,MATCH($O258,Scoring!$AB$29:$AB$361,0)))</f>
        <v/>
      </c>
      <c r="O258" s="10" t="str">
        <f aca="false">IFERROR(SMALL(Scoring!$AB$29:$AB$361,254),"")</f>
        <v/>
      </c>
    </row>
    <row r="259" customFormat="false" ht="15" hidden="false" customHeight="false" outlineLevel="0" collapsed="false">
      <c r="A259" s="5" t="str">
        <f aca="false">IF($O259="","",INT($O259/1000))</f>
        <v/>
      </c>
      <c r="B259" s="6" t="str">
        <f aca="false">IF($O259="","",INDEX(Scoring!$A$29:$A$361,MATCH($O259,Scoring!$AB$29:$AB$361,0)))</f>
        <v/>
      </c>
      <c r="C259" s="5" t="str">
        <f aca="false">IF($O259="","",IF(INDEX(Scoring!$P$29:$P$361,MATCH($O259,Scoring!$AB$29:$AB$361,0))="","–",INDEX(Scoring!$P$29:$P$361,MATCH($O259,Scoring!$AB$29:$AB$361,0))))</f>
        <v/>
      </c>
      <c r="D259" s="6" t="str">
        <f aca="false">IF($O259="","",INDEX(Scoring!$Q$29:$Q$361,MATCH($O259,Scoring!$AB$29:$AB$361,0)))</f>
        <v/>
      </c>
      <c r="E259" s="7" t="str">
        <f aca="false">IF($O259="","",INDEX(Scoring!$AJ$29:$AJ$361,MATCH($O259,Scoring!$AB$29:$AB$361,0)))</f>
        <v/>
      </c>
      <c r="F259" s="6" t="str">
        <f aca="false">IF($O259="","",INDEX(Scoring!$B$29:$B$361,MATCH($O259,Scoring!$AB$29:$AB$361,0)))</f>
        <v/>
      </c>
      <c r="G259" s="7" t="str">
        <f aca="false">IF($O259="","",INDEX(Scoring!$AG$29:$AG$361,MATCH($O259,Scoring!$AB$29:$AB$361,0)))</f>
        <v/>
      </c>
      <c r="H259" s="7" t="str">
        <f aca="false">IF($O259="","",INDEX(Scoring!$C$29:$C$361,MATCH($O259,Scoring!$AB$29:$AB$361,0)))</f>
        <v/>
      </c>
      <c r="I259" s="6" t="str">
        <f aca="false">IF($O259="","",INDEX(Scoring!$I$29:$I$361,MATCH($O259,Scoring!$AB$29:$AB$361,0)))</f>
        <v/>
      </c>
      <c r="J259" s="7" t="str">
        <f aca="false">IF($O259="","",INDEX(Scoring!$Z$29:$Z$361,MATCH($O259,Scoring!$AB$29:$AB$361,0)))</f>
        <v/>
      </c>
      <c r="K259" s="8" t="str">
        <f aca="false">IF($O259="","",IF(INDEX(Scoring!$D$29:$D$361,MATCH($O259,Scoring!$AB$29:$AB$361,0))="",INDEX(Scoring!$AF$29:$AF$361,MATCH($O259,Scoring!$AB$29:$AB$361,0)),INDEX(Scoring!$D$29:$D$361,MATCH($O259,Scoring!$AB$29:$AB$361,0))))</f>
        <v/>
      </c>
      <c r="L259" s="9" t="str">
        <f aca="false">IF($O259="","",INDEX(Scoring!$M$29:$M$361,MATCH($O259,Scoring!$AB$29:$AB$361,0)))</f>
        <v/>
      </c>
      <c r="M259" s="9" t="str">
        <f aca="false">IF($O259="","",INDEX(Scoring!$F$29:$F$361,MATCH($O259,Scoring!$AB$29:$AB$361,0)))</f>
        <v/>
      </c>
      <c r="N259" s="7" t="str">
        <f aca="false">IF($O259="","",INDEX(Scoring!$AI$29:$AI$361,MATCH($O259,Scoring!$AB$29:$AB$361,0)))</f>
        <v/>
      </c>
      <c r="O259" s="10" t="str">
        <f aca="false">IFERROR(SMALL(Scoring!$AB$29:$AB$361,255),"")</f>
        <v/>
      </c>
    </row>
    <row r="260" customFormat="false" ht="15" hidden="false" customHeight="false" outlineLevel="0" collapsed="false">
      <c r="A260" s="5" t="str">
        <f aca="false">IF($O260="","",INT($O260/1000))</f>
        <v/>
      </c>
      <c r="B260" s="6" t="str">
        <f aca="false">IF($O260="","",INDEX(Scoring!$A$29:$A$361,MATCH($O260,Scoring!$AB$29:$AB$361,0)))</f>
        <v/>
      </c>
      <c r="C260" s="5" t="str">
        <f aca="false">IF($O260="","",IF(INDEX(Scoring!$P$29:$P$361,MATCH($O260,Scoring!$AB$29:$AB$361,0))="","–",INDEX(Scoring!$P$29:$P$361,MATCH($O260,Scoring!$AB$29:$AB$361,0))))</f>
        <v/>
      </c>
      <c r="D260" s="6" t="str">
        <f aca="false">IF($O260="","",INDEX(Scoring!$Q$29:$Q$361,MATCH($O260,Scoring!$AB$29:$AB$361,0)))</f>
        <v/>
      </c>
      <c r="E260" s="7" t="str">
        <f aca="false">IF($O260="","",INDEX(Scoring!$AJ$29:$AJ$361,MATCH($O260,Scoring!$AB$29:$AB$361,0)))</f>
        <v/>
      </c>
      <c r="F260" s="6" t="str">
        <f aca="false">IF($O260="","",INDEX(Scoring!$B$29:$B$361,MATCH($O260,Scoring!$AB$29:$AB$361,0)))</f>
        <v/>
      </c>
      <c r="G260" s="7" t="str">
        <f aca="false">IF($O260="","",INDEX(Scoring!$AG$29:$AG$361,MATCH($O260,Scoring!$AB$29:$AB$361,0)))</f>
        <v/>
      </c>
      <c r="H260" s="7" t="str">
        <f aca="false">IF($O260="","",INDEX(Scoring!$C$29:$C$361,MATCH($O260,Scoring!$AB$29:$AB$361,0)))</f>
        <v/>
      </c>
      <c r="I260" s="6" t="str">
        <f aca="false">IF($O260="","",INDEX(Scoring!$I$29:$I$361,MATCH($O260,Scoring!$AB$29:$AB$361,0)))</f>
        <v/>
      </c>
      <c r="J260" s="7" t="str">
        <f aca="false">IF($O260="","",INDEX(Scoring!$Z$29:$Z$361,MATCH($O260,Scoring!$AB$29:$AB$361,0)))</f>
        <v/>
      </c>
      <c r="K260" s="8" t="str">
        <f aca="false">IF($O260="","",IF(INDEX(Scoring!$D$29:$D$361,MATCH($O260,Scoring!$AB$29:$AB$361,0))="",INDEX(Scoring!$AF$29:$AF$361,MATCH($O260,Scoring!$AB$29:$AB$361,0)),INDEX(Scoring!$D$29:$D$361,MATCH($O260,Scoring!$AB$29:$AB$361,0))))</f>
        <v/>
      </c>
      <c r="L260" s="9" t="str">
        <f aca="false">IF($O260="","",INDEX(Scoring!$M$29:$M$361,MATCH($O260,Scoring!$AB$29:$AB$361,0)))</f>
        <v/>
      </c>
      <c r="M260" s="9" t="str">
        <f aca="false">IF($O260="","",INDEX(Scoring!$F$29:$F$361,MATCH($O260,Scoring!$AB$29:$AB$361,0)))</f>
        <v/>
      </c>
      <c r="N260" s="7" t="str">
        <f aca="false">IF($O260="","",INDEX(Scoring!$AI$29:$AI$361,MATCH($O260,Scoring!$AB$29:$AB$361,0)))</f>
        <v/>
      </c>
      <c r="O260" s="10" t="str">
        <f aca="false">IFERROR(SMALL(Scoring!$AB$29:$AB$361,256),"")</f>
        <v/>
      </c>
    </row>
    <row r="261" customFormat="false" ht="15" hidden="false" customHeight="false" outlineLevel="0" collapsed="false">
      <c r="A261" s="5" t="str">
        <f aca="false">IF($O261="","",INT($O261/1000))</f>
        <v/>
      </c>
      <c r="B261" s="6" t="str">
        <f aca="false">IF($O261="","",INDEX(Scoring!$A$29:$A$361,MATCH($O261,Scoring!$AB$29:$AB$361,0)))</f>
        <v/>
      </c>
      <c r="C261" s="5" t="str">
        <f aca="false">IF($O261="","",IF(INDEX(Scoring!$P$29:$P$361,MATCH($O261,Scoring!$AB$29:$AB$361,0))="","–",INDEX(Scoring!$P$29:$P$361,MATCH($O261,Scoring!$AB$29:$AB$361,0))))</f>
        <v/>
      </c>
      <c r="D261" s="6" t="str">
        <f aca="false">IF($O261="","",INDEX(Scoring!$Q$29:$Q$361,MATCH($O261,Scoring!$AB$29:$AB$361,0)))</f>
        <v/>
      </c>
      <c r="E261" s="7" t="str">
        <f aca="false">IF($O261="","",INDEX(Scoring!$AJ$29:$AJ$361,MATCH($O261,Scoring!$AB$29:$AB$361,0)))</f>
        <v/>
      </c>
      <c r="F261" s="6" t="str">
        <f aca="false">IF($O261="","",INDEX(Scoring!$B$29:$B$361,MATCH($O261,Scoring!$AB$29:$AB$361,0)))</f>
        <v/>
      </c>
      <c r="G261" s="7" t="str">
        <f aca="false">IF($O261="","",INDEX(Scoring!$AG$29:$AG$361,MATCH($O261,Scoring!$AB$29:$AB$361,0)))</f>
        <v/>
      </c>
      <c r="H261" s="7" t="str">
        <f aca="false">IF($O261="","",INDEX(Scoring!$C$29:$C$361,MATCH($O261,Scoring!$AB$29:$AB$361,0)))</f>
        <v/>
      </c>
      <c r="I261" s="6" t="str">
        <f aca="false">IF($O261="","",INDEX(Scoring!$I$29:$I$361,MATCH($O261,Scoring!$AB$29:$AB$361,0)))</f>
        <v/>
      </c>
      <c r="J261" s="7" t="str">
        <f aca="false">IF($O261="","",INDEX(Scoring!$Z$29:$Z$361,MATCH($O261,Scoring!$AB$29:$AB$361,0)))</f>
        <v/>
      </c>
      <c r="K261" s="8" t="str">
        <f aca="false">IF($O261="","",IF(INDEX(Scoring!$D$29:$D$361,MATCH($O261,Scoring!$AB$29:$AB$361,0))="",INDEX(Scoring!$AF$29:$AF$361,MATCH($O261,Scoring!$AB$29:$AB$361,0)),INDEX(Scoring!$D$29:$D$361,MATCH($O261,Scoring!$AB$29:$AB$361,0))))</f>
        <v/>
      </c>
      <c r="L261" s="9" t="str">
        <f aca="false">IF($O261="","",INDEX(Scoring!$M$29:$M$361,MATCH($O261,Scoring!$AB$29:$AB$361,0)))</f>
        <v/>
      </c>
      <c r="M261" s="9" t="str">
        <f aca="false">IF($O261="","",INDEX(Scoring!$F$29:$F$361,MATCH($O261,Scoring!$AB$29:$AB$361,0)))</f>
        <v/>
      </c>
      <c r="N261" s="7" t="str">
        <f aca="false">IF($O261="","",INDEX(Scoring!$AI$29:$AI$361,MATCH($O261,Scoring!$AB$29:$AB$361,0)))</f>
        <v/>
      </c>
      <c r="O261" s="10" t="str">
        <f aca="false">IFERROR(SMALL(Scoring!$AB$29:$AB$361,257),"")</f>
        <v/>
      </c>
    </row>
    <row r="262" customFormat="false" ht="15" hidden="false" customHeight="false" outlineLevel="0" collapsed="false">
      <c r="A262" s="5" t="str">
        <f aca="false">IF($O262="","",INT($O262/1000))</f>
        <v/>
      </c>
      <c r="B262" s="6" t="str">
        <f aca="false">IF($O262="","",INDEX(Scoring!$A$29:$A$361,MATCH($O262,Scoring!$AB$29:$AB$361,0)))</f>
        <v/>
      </c>
      <c r="C262" s="5" t="str">
        <f aca="false">IF($O262="","",IF(INDEX(Scoring!$P$29:$P$361,MATCH($O262,Scoring!$AB$29:$AB$361,0))="","–",INDEX(Scoring!$P$29:$P$361,MATCH($O262,Scoring!$AB$29:$AB$361,0))))</f>
        <v/>
      </c>
      <c r="D262" s="6" t="str">
        <f aca="false">IF($O262="","",INDEX(Scoring!$Q$29:$Q$361,MATCH($O262,Scoring!$AB$29:$AB$361,0)))</f>
        <v/>
      </c>
      <c r="E262" s="7" t="str">
        <f aca="false">IF($O262="","",INDEX(Scoring!$AJ$29:$AJ$361,MATCH($O262,Scoring!$AB$29:$AB$361,0)))</f>
        <v/>
      </c>
      <c r="F262" s="6" t="str">
        <f aca="false">IF($O262="","",INDEX(Scoring!$B$29:$B$361,MATCH($O262,Scoring!$AB$29:$AB$361,0)))</f>
        <v/>
      </c>
      <c r="G262" s="7" t="str">
        <f aca="false">IF($O262="","",INDEX(Scoring!$AG$29:$AG$361,MATCH($O262,Scoring!$AB$29:$AB$361,0)))</f>
        <v/>
      </c>
      <c r="H262" s="7" t="str">
        <f aca="false">IF($O262="","",INDEX(Scoring!$C$29:$C$361,MATCH($O262,Scoring!$AB$29:$AB$361,0)))</f>
        <v/>
      </c>
      <c r="I262" s="6" t="str">
        <f aca="false">IF($O262="","",INDEX(Scoring!$I$29:$I$361,MATCH($O262,Scoring!$AB$29:$AB$361,0)))</f>
        <v/>
      </c>
      <c r="J262" s="7" t="str">
        <f aca="false">IF($O262="","",INDEX(Scoring!$Z$29:$Z$361,MATCH($O262,Scoring!$AB$29:$AB$361,0)))</f>
        <v/>
      </c>
      <c r="K262" s="8" t="str">
        <f aca="false">IF($O262="","",IF(INDEX(Scoring!$D$29:$D$361,MATCH($O262,Scoring!$AB$29:$AB$361,0))="",INDEX(Scoring!$AF$29:$AF$361,MATCH($O262,Scoring!$AB$29:$AB$361,0)),INDEX(Scoring!$D$29:$D$361,MATCH($O262,Scoring!$AB$29:$AB$361,0))))</f>
        <v/>
      </c>
      <c r="L262" s="9" t="str">
        <f aca="false">IF($O262="","",INDEX(Scoring!$M$29:$M$361,MATCH($O262,Scoring!$AB$29:$AB$361,0)))</f>
        <v/>
      </c>
      <c r="M262" s="9" t="str">
        <f aca="false">IF($O262="","",INDEX(Scoring!$F$29:$F$361,MATCH($O262,Scoring!$AB$29:$AB$361,0)))</f>
        <v/>
      </c>
      <c r="N262" s="7" t="str">
        <f aca="false">IF($O262="","",INDEX(Scoring!$AI$29:$AI$361,MATCH($O262,Scoring!$AB$29:$AB$361,0)))</f>
        <v/>
      </c>
      <c r="O262" s="10" t="str">
        <f aca="false">IFERROR(SMALL(Scoring!$AB$29:$AB$361,258),"")</f>
        <v/>
      </c>
    </row>
    <row r="263" customFormat="false" ht="15" hidden="false" customHeight="false" outlineLevel="0" collapsed="false">
      <c r="A263" s="5" t="str">
        <f aca="false">IF($O263="","",INT($O263/1000))</f>
        <v/>
      </c>
      <c r="B263" s="6" t="str">
        <f aca="false">IF($O263="","",INDEX(Scoring!$A$29:$A$361,MATCH($O263,Scoring!$AB$29:$AB$361,0)))</f>
        <v/>
      </c>
      <c r="C263" s="5" t="str">
        <f aca="false">IF($O263="","",IF(INDEX(Scoring!$P$29:$P$361,MATCH($O263,Scoring!$AB$29:$AB$361,0))="","–",INDEX(Scoring!$P$29:$P$361,MATCH($O263,Scoring!$AB$29:$AB$361,0))))</f>
        <v/>
      </c>
      <c r="D263" s="6" t="str">
        <f aca="false">IF($O263="","",INDEX(Scoring!$Q$29:$Q$361,MATCH($O263,Scoring!$AB$29:$AB$361,0)))</f>
        <v/>
      </c>
      <c r="E263" s="7" t="str">
        <f aca="false">IF($O263="","",INDEX(Scoring!$AJ$29:$AJ$361,MATCH($O263,Scoring!$AB$29:$AB$361,0)))</f>
        <v/>
      </c>
      <c r="F263" s="6" t="str">
        <f aca="false">IF($O263="","",INDEX(Scoring!$B$29:$B$361,MATCH($O263,Scoring!$AB$29:$AB$361,0)))</f>
        <v/>
      </c>
      <c r="G263" s="7" t="str">
        <f aca="false">IF($O263="","",INDEX(Scoring!$AG$29:$AG$361,MATCH($O263,Scoring!$AB$29:$AB$361,0)))</f>
        <v/>
      </c>
      <c r="H263" s="7" t="str">
        <f aca="false">IF($O263="","",INDEX(Scoring!$C$29:$C$361,MATCH($O263,Scoring!$AB$29:$AB$361,0)))</f>
        <v/>
      </c>
      <c r="I263" s="6" t="str">
        <f aca="false">IF($O263="","",INDEX(Scoring!$I$29:$I$361,MATCH($O263,Scoring!$AB$29:$AB$361,0)))</f>
        <v/>
      </c>
      <c r="J263" s="7" t="str">
        <f aca="false">IF($O263="","",INDEX(Scoring!$Z$29:$Z$361,MATCH($O263,Scoring!$AB$29:$AB$361,0)))</f>
        <v/>
      </c>
      <c r="K263" s="8" t="str">
        <f aca="false">IF($O263="","",IF(INDEX(Scoring!$D$29:$D$361,MATCH($O263,Scoring!$AB$29:$AB$361,0))="",INDEX(Scoring!$AF$29:$AF$361,MATCH($O263,Scoring!$AB$29:$AB$361,0)),INDEX(Scoring!$D$29:$D$361,MATCH($O263,Scoring!$AB$29:$AB$361,0))))</f>
        <v/>
      </c>
      <c r="L263" s="9" t="str">
        <f aca="false">IF($O263="","",INDEX(Scoring!$M$29:$M$361,MATCH($O263,Scoring!$AB$29:$AB$361,0)))</f>
        <v/>
      </c>
      <c r="M263" s="9" t="str">
        <f aca="false">IF($O263="","",INDEX(Scoring!$F$29:$F$361,MATCH($O263,Scoring!$AB$29:$AB$361,0)))</f>
        <v/>
      </c>
      <c r="N263" s="7" t="str">
        <f aca="false">IF($O263="","",INDEX(Scoring!$AI$29:$AI$361,MATCH($O263,Scoring!$AB$29:$AB$361,0)))</f>
        <v/>
      </c>
      <c r="O263" s="10" t="str">
        <f aca="false">IFERROR(SMALL(Scoring!$AB$29:$AB$361,259),"")</f>
        <v/>
      </c>
    </row>
    <row r="264" customFormat="false" ht="15" hidden="false" customHeight="false" outlineLevel="0" collapsed="false">
      <c r="A264" s="5" t="str">
        <f aca="false">IF($O264="","",INT($O264/1000))</f>
        <v/>
      </c>
      <c r="B264" s="6" t="str">
        <f aca="false">IF($O264="","",INDEX(Scoring!$A$29:$A$361,MATCH($O264,Scoring!$AB$29:$AB$361,0)))</f>
        <v/>
      </c>
      <c r="C264" s="5" t="str">
        <f aca="false">IF($O264="","",IF(INDEX(Scoring!$P$29:$P$361,MATCH($O264,Scoring!$AB$29:$AB$361,0))="","–",INDEX(Scoring!$P$29:$P$361,MATCH($O264,Scoring!$AB$29:$AB$361,0))))</f>
        <v/>
      </c>
      <c r="D264" s="6" t="str">
        <f aca="false">IF($O264="","",INDEX(Scoring!$Q$29:$Q$361,MATCH($O264,Scoring!$AB$29:$AB$361,0)))</f>
        <v/>
      </c>
      <c r="E264" s="7" t="str">
        <f aca="false">IF($O264="","",INDEX(Scoring!$AJ$29:$AJ$361,MATCH($O264,Scoring!$AB$29:$AB$361,0)))</f>
        <v/>
      </c>
      <c r="F264" s="6" t="str">
        <f aca="false">IF($O264="","",INDEX(Scoring!$B$29:$B$361,MATCH($O264,Scoring!$AB$29:$AB$361,0)))</f>
        <v/>
      </c>
      <c r="G264" s="7" t="str">
        <f aca="false">IF($O264="","",INDEX(Scoring!$AG$29:$AG$361,MATCH($O264,Scoring!$AB$29:$AB$361,0)))</f>
        <v/>
      </c>
      <c r="H264" s="7" t="str">
        <f aca="false">IF($O264="","",INDEX(Scoring!$C$29:$C$361,MATCH($O264,Scoring!$AB$29:$AB$361,0)))</f>
        <v/>
      </c>
      <c r="I264" s="6" t="str">
        <f aca="false">IF($O264="","",INDEX(Scoring!$I$29:$I$361,MATCH($O264,Scoring!$AB$29:$AB$361,0)))</f>
        <v/>
      </c>
      <c r="J264" s="7" t="str">
        <f aca="false">IF($O264="","",INDEX(Scoring!$Z$29:$Z$361,MATCH($O264,Scoring!$AB$29:$AB$361,0)))</f>
        <v/>
      </c>
      <c r="K264" s="8" t="str">
        <f aca="false">IF($O264="","",IF(INDEX(Scoring!$D$29:$D$361,MATCH($O264,Scoring!$AB$29:$AB$361,0))="",INDEX(Scoring!$AF$29:$AF$361,MATCH($O264,Scoring!$AB$29:$AB$361,0)),INDEX(Scoring!$D$29:$D$361,MATCH($O264,Scoring!$AB$29:$AB$361,0))))</f>
        <v/>
      </c>
      <c r="L264" s="9" t="str">
        <f aca="false">IF($O264="","",INDEX(Scoring!$M$29:$M$361,MATCH($O264,Scoring!$AB$29:$AB$361,0)))</f>
        <v/>
      </c>
      <c r="M264" s="9" t="str">
        <f aca="false">IF($O264="","",INDEX(Scoring!$F$29:$F$361,MATCH($O264,Scoring!$AB$29:$AB$361,0)))</f>
        <v/>
      </c>
      <c r="N264" s="7" t="str">
        <f aca="false">IF($O264="","",INDEX(Scoring!$AI$29:$AI$361,MATCH($O264,Scoring!$AB$29:$AB$361,0)))</f>
        <v/>
      </c>
      <c r="O264" s="10" t="str">
        <f aca="false">IFERROR(SMALL(Scoring!$AB$29:$AB$361,260),"")</f>
        <v/>
      </c>
    </row>
    <row r="265" customFormat="false" ht="15" hidden="false" customHeight="false" outlineLevel="0" collapsed="false">
      <c r="A265" s="5" t="str">
        <f aca="false">IF($O265="","",INT($O265/1000))</f>
        <v/>
      </c>
      <c r="B265" s="6" t="str">
        <f aca="false">IF($O265="","",INDEX(Scoring!$A$29:$A$361,MATCH($O265,Scoring!$AB$29:$AB$361,0)))</f>
        <v/>
      </c>
      <c r="C265" s="5" t="str">
        <f aca="false">IF($O265="","",IF(INDEX(Scoring!$P$29:$P$361,MATCH($O265,Scoring!$AB$29:$AB$361,0))="","–",INDEX(Scoring!$P$29:$P$361,MATCH($O265,Scoring!$AB$29:$AB$361,0))))</f>
        <v/>
      </c>
      <c r="D265" s="6" t="str">
        <f aca="false">IF($O265="","",INDEX(Scoring!$Q$29:$Q$361,MATCH($O265,Scoring!$AB$29:$AB$361,0)))</f>
        <v/>
      </c>
      <c r="E265" s="7" t="str">
        <f aca="false">IF($O265="","",INDEX(Scoring!$AJ$29:$AJ$361,MATCH($O265,Scoring!$AB$29:$AB$361,0)))</f>
        <v/>
      </c>
      <c r="F265" s="6" t="str">
        <f aca="false">IF($O265="","",INDEX(Scoring!$B$29:$B$361,MATCH($O265,Scoring!$AB$29:$AB$361,0)))</f>
        <v/>
      </c>
      <c r="G265" s="7" t="str">
        <f aca="false">IF($O265="","",INDEX(Scoring!$AG$29:$AG$361,MATCH($O265,Scoring!$AB$29:$AB$361,0)))</f>
        <v/>
      </c>
      <c r="H265" s="7" t="str">
        <f aca="false">IF($O265="","",INDEX(Scoring!$C$29:$C$361,MATCH($O265,Scoring!$AB$29:$AB$361,0)))</f>
        <v/>
      </c>
      <c r="I265" s="6" t="str">
        <f aca="false">IF($O265="","",INDEX(Scoring!$I$29:$I$361,MATCH($O265,Scoring!$AB$29:$AB$361,0)))</f>
        <v/>
      </c>
      <c r="J265" s="7" t="str">
        <f aca="false">IF($O265="","",INDEX(Scoring!$Z$29:$Z$361,MATCH($O265,Scoring!$AB$29:$AB$361,0)))</f>
        <v/>
      </c>
      <c r="K265" s="8" t="str">
        <f aca="false">IF($O265="","",IF(INDEX(Scoring!$D$29:$D$361,MATCH($O265,Scoring!$AB$29:$AB$361,0))="",INDEX(Scoring!$AF$29:$AF$361,MATCH($O265,Scoring!$AB$29:$AB$361,0)),INDEX(Scoring!$D$29:$D$361,MATCH($O265,Scoring!$AB$29:$AB$361,0))))</f>
        <v/>
      </c>
      <c r="L265" s="9" t="str">
        <f aca="false">IF($O265="","",INDEX(Scoring!$M$29:$M$361,MATCH($O265,Scoring!$AB$29:$AB$361,0)))</f>
        <v/>
      </c>
      <c r="M265" s="9" t="str">
        <f aca="false">IF($O265="","",INDEX(Scoring!$F$29:$F$361,MATCH($O265,Scoring!$AB$29:$AB$361,0)))</f>
        <v/>
      </c>
      <c r="N265" s="7" t="str">
        <f aca="false">IF($O265="","",INDEX(Scoring!$AI$29:$AI$361,MATCH($O265,Scoring!$AB$29:$AB$361,0)))</f>
        <v/>
      </c>
      <c r="O265" s="10" t="str">
        <f aca="false">IFERROR(SMALL(Scoring!$AB$29:$AB$361,261),"")</f>
        <v/>
      </c>
    </row>
    <row r="266" customFormat="false" ht="15" hidden="false" customHeight="false" outlineLevel="0" collapsed="false">
      <c r="A266" s="5" t="str">
        <f aca="false">IF($O266="","",INT($O266/1000))</f>
        <v/>
      </c>
      <c r="B266" s="6" t="str">
        <f aca="false">IF($O266="","",INDEX(Scoring!$A$29:$A$361,MATCH($O266,Scoring!$AB$29:$AB$361,0)))</f>
        <v/>
      </c>
      <c r="C266" s="5" t="str">
        <f aca="false">IF($O266="","",IF(INDEX(Scoring!$P$29:$P$361,MATCH($O266,Scoring!$AB$29:$AB$361,0))="","–",INDEX(Scoring!$P$29:$P$361,MATCH($O266,Scoring!$AB$29:$AB$361,0))))</f>
        <v/>
      </c>
      <c r="D266" s="6" t="str">
        <f aca="false">IF($O266="","",INDEX(Scoring!$Q$29:$Q$361,MATCH($O266,Scoring!$AB$29:$AB$361,0)))</f>
        <v/>
      </c>
      <c r="E266" s="7" t="str">
        <f aca="false">IF($O266="","",INDEX(Scoring!$AJ$29:$AJ$361,MATCH($O266,Scoring!$AB$29:$AB$361,0)))</f>
        <v/>
      </c>
      <c r="F266" s="6" t="str">
        <f aca="false">IF($O266="","",INDEX(Scoring!$B$29:$B$361,MATCH($O266,Scoring!$AB$29:$AB$361,0)))</f>
        <v/>
      </c>
      <c r="G266" s="7" t="str">
        <f aca="false">IF($O266="","",INDEX(Scoring!$AG$29:$AG$361,MATCH($O266,Scoring!$AB$29:$AB$361,0)))</f>
        <v/>
      </c>
      <c r="H266" s="7" t="str">
        <f aca="false">IF($O266="","",INDEX(Scoring!$C$29:$C$361,MATCH($O266,Scoring!$AB$29:$AB$361,0)))</f>
        <v/>
      </c>
      <c r="I266" s="6" t="str">
        <f aca="false">IF($O266="","",INDEX(Scoring!$I$29:$I$361,MATCH($O266,Scoring!$AB$29:$AB$361,0)))</f>
        <v/>
      </c>
      <c r="J266" s="7" t="str">
        <f aca="false">IF($O266="","",INDEX(Scoring!$Z$29:$Z$361,MATCH($O266,Scoring!$AB$29:$AB$361,0)))</f>
        <v/>
      </c>
      <c r="K266" s="8" t="str">
        <f aca="false">IF($O266="","",IF(INDEX(Scoring!$D$29:$D$361,MATCH($O266,Scoring!$AB$29:$AB$361,0))="",INDEX(Scoring!$AF$29:$AF$361,MATCH($O266,Scoring!$AB$29:$AB$361,0)),INDEX(Scoring!$D$29:$D$361,MATCH($O266,Scoring!$AB$29:$AB$361,0))))</f>
        <v/>
      </c>
      <c r="L266" s="9" t="str">
        <f aca="false">IF($O266="","",INDEX(Scoring!$M$29:$M$361,MATCH($O266,Scoring!$AB$29:$AB$361,0)))</f>
        <v/>
      </c>
      <c r="M266" s="9" t="str">
        <f aca="false">IF($O266="","",INDEX(Scoring!$F$29:$F$361,MATCH($O266,Scoring!$AB$29:$AB$361,0)))</f>
        <v/>
      </c>
      <c r="N266" s="7" t="str">
        <f aca="false">IF($O266="","",INDEX(Scoring!$AI$29:$AI$361,MATCH($O266,Scoring!$AB$29:$AB$361,0)))</f>
        <v/>
      </c>
      <c r="O266" s="10" t="str">
        <f aca="false">IFERROR(SMALL(Scoring!$AB$29:$AB$361,262),"")</f>
        <v/>
      </c>
    </row>
    <row r="267" customFormat="false" ht="15" hidden="false" customHeight="false" outlineLevel="0" collapsed="false">
      <c r="A267" s="5" t="str">
        <f aca="false">IF($O267="","",INT($O267/1000))</f>
        <v/>
      </c>
      <c r="B267" s="6" t="str">
        <f aca="false">IF($O267="","",INDEX(Scoring!$A$29:$A$361,MATCH($O267,Scoring!$AB$29:$AB$361,0)))</f>
        <v/>
      </c>
      <c r="C267" s="5" t="str">
        <f aca="false">IF($O267="","",IF(INDEX(Scoring!$P$29:$P$361,MATCH($O267,Scoring!$AB$29:$AB$361,0))="","–",INDEX(Scoring!$P$29:$P$361,MATCH($O267,Scoring!$AB$29:$AB$361,0))))</f>
        <v/>
      </c>
      <c r="D267" s="6" t="str">
        <f aca="false">IF($O267="","",INDEX(Scoring!$Q$29:$Q$361,MATCH($O267,Scoring!$AB$29:$AB$361,0)))</f>
        <v/>
      </c>
      <c r="E267" s="7" t="str">
        <f aca="false">IF($O267="","",INDEX(Scoring!$AJ$29:$AJ$361,MATCH($O267,Scoring!$AB$29:$AB$361,0)))</f>
        <v/>
      </c>
      <c r="F267" s="6" t="str">
        <f aca="false">IF($O267="","",INDEX(Scoring!$B$29:$B$361,MATCH($O267,Scoring!$AB$29:$AB$361,0)))</f>
        <v/>
      </c>
      <c r="G267" s="7" t="str">
        <f aca="false">IF($O267="","",INDEX(Scoring!$AG$29:$AG$361,MATCH($O267,Scoring!$AB$29:$AB$361,0)))</f>
        <v/>
      </c>
      <c r="H267" s="7" t="str">
        <f aca="false">IF($O267="","",INDEX(Scoring!$C$29:$C$361,MATCH($O267,Scoring!$AB$29:$AB$361,0)))</f>
        <v/>
      </c>
      <c r="I267" s="6" t="str">
        <f aca="false">IF($O267="","",INDEX(Scoring!$I$29:$I$361,MATCH($O267,Scoring!$AB$29:$AB$361,0)))</f>
        <v/>
      </c>
      <c r="J267" s="7" t="str">
        <f aca="false">IF($O267="","",INDEX(Scoring!$Z$29:$Z$361,MATCH($O267,Scoring!$AB$29:$AB$361,0)))</f>
        <v/>
      </c>
      <c r="K267" s="8" t="str">
        <f aca="false">IF($O267="","",IF(INDEX(Scoring!$D$29:$D$361,MATCH($O267,Scoring!$AB$29:$AB$361,0))="",INDEX(Scoring!$AF$29:$AF$361,MATCH($O267,Scoring!$AB$29:$AB$361,0)),INDEX(Scoring!$D$29:$D$361,MATCH($O267,Scoring!$AB$29:$AB$361,0))))</f>
        <v/>
      </c>
      <c r="L267" s="9" t="str">
        <f aca="false">IF($O267="","",INDEX(Scoring!$M$29:$M$361,MATCH($O267,Scoring!$AB$29:$AB$361,0)))</f>
        <v/>
      </c>
      <c r="M267" s="9" t="str">
        <f aca="false">IF($O267="","",INDEX(Scoring!$F$29:$F$361,MATCH($O267,Scoring!$AB$29:$AB$361,0)))</f>
        <v/>
      </c>
      <c r="N267" s="7" t="str">
        <f aca="false">IF($O267="","",INDEX(Scoring!$AI$29:$AI$361,MATCH($O267,Scoring!$AB$29:$AB$361,0)))</f>
        <v/>
      </c>
      <c r="O267" s="10" t="str">
        <f aca="false">IFERROR(SMALL(Scoring!$AB$29:$AB$361,263),"")</f>
        <v/>
      </c>
    </row>
    <row r="268" customFormat="false" ht="15" hidden="false" customHeight="false" outlineLevel="0" collapsed="false">
      <c r="A268" s="5" t="str">
        <f aca="false">IF($O268="","",INT($O268/1000))</f>
        <v/>
      </c>
      <c r="B268" s="6" t="str">
        <f aca="false">IF($O268="","",INDEX(Scoring!$A$29:$A$361,MATCH($O268,Scoring!$AB$29:$AB$361,0)))</f>
        <v/>
      </c>
      <c r="C268" s="5" t="str">
        <f aca="false">IF($O268="","",IF(INDEX(Scoring!$P$29:$P$361,MATCH($O268,Scoring!$AB$29:$AB$361,0))="","–",INDEX(Scoring!$P$29:$P$361,MATCH($O268,Scoring!$AB$29:$AB$361,0))))</f>
        <v/>
      </c>
      <c r="D268" s="6" t="str">
        <f aca="false">IF($O268="","",INDEX(Scoring!$Q$29:$Q$361,MATCH($O268,Scoring!$AB$29:$AB$361,0)))</f>
        <v/>
      </c>
      <c r="E268" s="7" t="str">
        <f aca="false">IF($O268="","",INDEX(Scoring!$AJ$29:$AJ$361,MATCH($O268,Scoring!$AB$29:$AB$361,0)))</f>
        <v/>
      </c>
      <c r="F268" s="6" t="str">
        <f aca="false">IF($O268="","",INDEX(Scoring!$B$29:$B$361,MATCH($O268,Scoring!$AB$29:$AB$361,0)))</f>
        <v/>
      </c>
      <c r="G268" s="7" t="str">
        <f aca="false">IF($O268="","",INDEX(Scoring!$AG$29:$AG$361,MATCH($O268,Scoring!$AB$29:$AB$361,0)))</f>
        <v/>
      </c>
      <c r="H268" s="7" t="str">
        <f aca="false">IF($O268="","",INDEX(Scoring!$C$29:$C$361,MATCH($O268,Scoring!$AB$29:$AB$361,0)))</f>
        <v/>
      </c>
      <c r="I268" s="6" t="str">
        <f aca="false">IF($O268="","",INDEX(Scoring!$I$29:$I$361,MATCH($O268,Scoring!$AB$29:$AB$361,0)))</f>
        <v/>
      </c>
      <c r="J268" s="7" t="str">
        <f aca="false">IF($O268="","",INDEX(Scoring!$Z$29:$Z$361,MATCH($O268,Scoring!$AB$29:$AB$361,0)))</f>
        <v/>
      </c>
      <c r="K268" s="8" t="str">
        <f aca="false">IF($O268="","",IF(INDEX(Scoring!$D$29:$D$361,MATCH($O268,Scoring!$AB$29:$AB$361,0))="",INDEX(Scoring!$AF$29:$AF$361,MATCH($O268,Scoring!$AB$29:$AB$361,0)),INDEX(Scoring!$D$29:$D$361,MATCH($O268,Scoring!$AB$29:$AB$361,0))))</f>
        <v/>
      </c>
      <c r="L268" s="9" t="str">
        <f aca="false">IF($O268="","",INDEX(Scoring!$M$29:$M$361,MATCH($O268,Scoring!$AB$29:$AB$361,0)))</f>
        <v/>
      </c>
      <c r="M268" s="9" t="str">
        <f aca="false">IF($O268="","",INDEX(Scoring!$F$29:$F$361,MATCH($O268,Scoring!$AB$29:$AB$361,0)))</f>
        <v/>
      </c>
      <c r="N268" s="7" t="str">
        <f aca="false">IF($O268="","",INDEX(Scoring!$AI$29:$AI$361,MATCH($O268,Scoring!$AB$29:$AB$361,0)))</f>
        <v/>
      </c>
      <c r="O268" s="10" t="str">
        <f aca="false">IFERROR(SMALL(Scoring!$AB$29:$AB$361,264),"")</f>
        <v/>
      </c>
    </row>
    <row r="269" customFormat="false" ht="15" hidden="false" customHeight="false" outlineLevel="0" collapsed="false">
      <c r="A269" s="5" t="str">
        <f aca="false">IF($O269="","",INT($O269/1000))</f>
        <v/>
      </c>
      <c r="B269" s="6" t="str">
        <f aca="false">IF($O269="","",INDEX(Scoring!$A$29:$A$361,MATCH($O269,Scoring!$AB$29:$AB$361,0)))</f>
        <v/>
      </c>
      <c r="C269" s="5" t="str">
        <f aca="false">IF($O269="","",IF(INDEX(Scoring!$P$29:$P$361,MATCH($O269,Scoring!$AB$29:$AB$361,0))="","–",INDEX(Scoring!$P$29:$P$361,MATCH($O269,Scoring!$AB$29:$AB$361,0))))</f>
        <v/>
      </c>
      <c r="D269" s="6" t="str">
        <f aca="false">IF($O269="","",INDEX(Scoring!$Q$29:$Q$361,MATCH($O269,Scoring!$AB$29:$AB$361,0)))</f>
        <v/>
      </c>
      <c r="E269" s="7" t="str">
        <f aca="false">IF($O269="","",INDEX(Scoring!$AJ$29:$AJ$361,MATCH($O269,Scoring!$AB$29:$AB$361,0)))</f>
        <v/>
      </c>
      <c r="F269" s="6" t="str">
        <f aca="false">IF($O269="","",INDEX(Scoring!$B$29:$B$361,MATCH($O269,Scoring!$AB$29:$AB$361,0)))</f>
        <v/>
      </c>
      <c r="G269" s="7" t="str">
        <f aca="false">IF($O269="","",INDEX(Scoring!$AG$29:$AG$361,MATCH($O269,Scoring!$AB$29:$AB$361,0)))</f>
        <v/>
      </c>
      <c r="H269" s="7" t="str">
        <f aca="false">IF($O269="","",INDEX(Scoring!$C$29:$C$361,MATCH($O269,Scoring!$AB$29:$AB$361,0)))</f>
        <v/>
      </c>
      <c r="I269" s="6" t="str">
        <f aca="false">IF($O269="","",INDEX(Scoring!$I$29:$I$361,MATCH($O269,Scoring!$AB$29:$AB$361,0)))</f>
        <v/>
      </c>
      <c r="J269" s="7" t="str">
        <f aca="false">IF($O269="","",INDEX(Scoring!$Z$29:$Z$361,MATCH($O269,Scoring!$AB$29:$AB$361,0)))</f>
        <v/>
      </c>
      <c r="K269" s="8" t="str">
        <f aca="false">IF($O269="","",IF(INDEX(Scoring!$D$29:$D$361,MATCH($O269,Scoring!$AB$29:$AB$361,0))="",INDEX(Scoring!$AF$29:$AF$361,MATCH($O269,Scoring!$AB$29:$AB$361,0)),INDEX(Scoring!$D$29:$D$361,MATCH($O269,Scoring!$AB$29:$AB$361,0))))</f>
        <v/>
      </c>
      <c r="L269" s="9" t="str">
        <f aca="false">IF($O269="","",INDEX(Scoring!$M$29:$M$361,MATCH($O269,Scoring!$AB$29:$AB$361,0)))</f>
        <v/>
      </c>
      <c r="M269" s="9" t="str">
        <f aca="false">IF($O269="","",INDEX(Scoring!$F$29:$F$361,MATCH($O269,Scoring!$AB$29:$AB$361,0)))</f>
        <v/>
      </c>
      <c r="N269" s="7" t="str">
        <f aca="false">IF($O269="","",INDEX(Scoring!$AI$29:$AI$361,MATCH($O269,Scoring!$AB$29:$AB$361,0)))</f>
        <v/>
      </c>
      <c r="O269" s="10" t="str">
        <f aca="false">IFERROR(SMALL(Scoring!$AB$29:$AB$361,265),"")</f>
        <v/>
      </c>
    </row>
    <row r="270" customFormat="false" ht="15" hidden="false" customHeight="false" outlineLevel="0" collapsed="false">
      <c r="A270" s="5" t="str">
        <f aca="false">IF($O270="","",INT($O270/1000))</f>
        <v/>
      </c>
      <c r="B270" s="6" t="str">
        <f aca="false">IF($O270="","",INDEX(Scoring!$A$29:$A$361,MATCH($O270,Scoring!$AB$29:$AB$361,0)))</f>
        <v/>
      </c>
      <c r="C270" s="5" t="str">
        <f aca="false">IF($O270="","",IF(INDEX(Scoring!$P$29:$P$361,MATCH($O270,Scoring!$AB$29:$AB$361,0))="","–",INDEX(Scoring!$P$29:$P$361,MATCH($O270,Scoring!$AB$29:$AB$361,0))))</f>
        <v/>
      </c>
      <c r="D270" s="6" t="str">
        <f aca="false">IF($O270="","",INDEX(Scoring!$Q$29:$Q$361,MATCH($O270,Scoring!$AB$29:$AB$361,0)))</f>
        <v/>
      </c>
      <c r="E270" s="7" t="str">
        <f aca="false">IF($O270="","",INDEX(Scoring!$AJ$29:$AJ$361,MATCH($O270,Scoring!$AB$29:$AB$361,0)))</f>
        <v/>
      </c>
      <c r="F270" s="6" t="str">
        <f aca="false">IF($O270="","",INDEX(Scoring!$B$29:$B$361,MATCH($O270,Scoring!$AB$29:$AB$361,0)))</f>
        <v/>
      </c>
      <c r="G270" s="7" t="str">
        <f aca="false">IF($O270="","",INDEX(Scoring!$AG$29:$AG$361,MATCH($O270,Scoring!$AB$29:$AB$361,0)))</f>
        <v/>
      </c>
      <c r="H270" s="7" t="str">
        <f aca="false">IF($O270="","",INDEX(Scoring!$C$29:$C$361,MATCH($O270,Scoring!$AB$29:$AB$361,0)))</f>
        <v/>
      </c>
      <c r="I270" s="6" t="str">
        <f aca="false">IF($O270="","",INDEX(Scoring!$I$29:$I$361,MATCH($O270,Scoring!$AB$29:$AB$361,0)))</f>
        <v/>
      </c>
      <c r="J270" s="7" t="str">
        <f aca="false">IF($O270="","",INDEX(Scoring!$Z$29:$Z$361,MATCH($O270,Scoring!$AB$29:$AB$361,0)))</f>
        <v/>
      </c>
      <c r="K270" s="8" t="str">
        <f aca="false">IF($O270="","",IF(INDEX(Scoring!$D$29:$D$361,MATCH($O270,Scoring!$AB$29:$AB$361,0))="",INDEX(Scoring!$AF$29:$AF$361,MATCH($O270,Scoring!$AB$29:$AB$361,0)),INDEX(Scoring!$D$29:$D$361,MATCH($O270,Scoring!$AB$29:$AB$361,0))))</f>
        <v/>
      </c>
      <c r="L270" s="9" t="str">
        <f aca="false">IF($O270="","",INDEX(Scoring!$M$29:$M$361,MATCH($O270,Scoring!$AB$29:$AB$361,0)))</f>
        <v/>
      </c>
      <c r="M270" s="9" t="str">
        <f aca="false">IF($O270="","",INDEX(Scoring!$F$29:$F$361,MATCH($O270,Scoring!$AB$29:$AB$361,0)))</f>
        <v/>
      </c>
      <c r="N270" s="7" t="str">
        <f aca="false">IF($O270="","",INDEX(Scoring!$AI$29:$AI$361,MATCH($O270,Scoring!$AB$29:$AB$361,0)))</f>
        <v/>
      </c>
      <c r="O270" s="10" t="str">
        <f aca="false">IFERROR(SMALL(Scoring!$AB$29:$AB$361,266),"")</f>
        <v/>
      </c>
    </row>
    <row r="271" customFormat="false" ht="15" hidden="false" customHeight="false" outlineLevel="0" collapsed="false">
      <c r="A271" s="5" t="str">
        <f aca="false">IF($O271="","",INT($O271/1000))</f>
        <v/>
      </c>
      <c r="B271" s="6" t="str">
        <f aca="false">IF($O271="","",INDEX(Scoring!$A$29:$A$361,MATCH($O271,Scoring!$AB$29:$AB$361,0)))</f>
        <v/>
      </c>
      <c r="C271" s="5" t="str">
        <f aca="false">IF($O271="","",IF(INDEX(Scoring!$P$29:$P$361,MATCH($O271,Scoring!$AB$29:$AB$361,0))="","–",INDEX(Scoring!$P$29:$P$361,MATCH($O271,Scoring!$AB$29:$AB$361,0))))</f>
        <v/>
      </c>
      <c r="D271" s="6" t="str">
        <f aca="false">IF($O271="","",INDEX(Scoring!$Q$29:$Q$361,MATCH($O271,Scoring!$AB$29:$AB$361,0)))</f>
        <v/>
      </c>
      <c r="E271" s="7" t="str">
        <f aca="false">IF($O271="","",INDEX(Scoring!$AJ$29:$AJ$361,MATCH($O271,Scoring!$AB$29:$AB$361,0)))</f>
        <v/>
      </c>
      <c r="F271" s="6" t="str">
        <f aca="false">IF($O271="","",INDEX(Scoring!$B$29:$B$361,MATCH($O271,Scoring!$AB$29:$AB$361,0)))</f>
        <v/>
      </c>
      <c r="G271" s="7" t="str">
        <f aca="false">IF($O271="","",INDEX(Scoring!$AG$29:$AG$361,MATCH($O271,Scoring!$AB$29:$AB$361,0)))</f>
        <v/>
      </c>
      <c r="H271" s="7" t="str">
        <f aca="false">IF($O271="","",INDEX(Scoring!$C$29:$C$361,MATCH($O271,Scoring!$AB$29:$AB$361,0)))</f>
        <v/>
      </c>
      <c r="I271" s="6" t="str">
        <f aca="false">IF($O271="","",INDEX(Scoring!$I$29:$I$361,MATCH($O271,Scoring!$AB$29:$AB$361,0)))</f>
        <v/>
      </c>
      <c r="J271" s="7" t="str">
        <f aca="false">IF($O271="","",INDEX(Scoring!$Z$29:$Z$361,MATCH($O271,Scoring!$AB$29:$AB$361,0)))</f>
        <v/>
      </c>
      <c r="K271" s="8" t="str">
        <f aca="false">IF($O271="","",IF(INDEX(Scoring!$D$29:$D$361,MATCH($O271,Scoring!$AB$29:$AB$361,0))="",INDEX(Scoring!$AF$29:$AF$361,MATCH($O271,Scoring!$AB$29:$AB$361,0)),INDEX(Scoring!$D$29:$D$361,MATCH($O271,Scoring!$AB$29:$AB$361,0))))</f>
        <v/>
      </c>
      <c r="L271" s="9" t="str">
        <f aca="false">IF($O271="","",INDEX(Scoring!$M$29:$M$361,MATCH($O271,Scoring!$AB$29:$AB$361,0)))</f>
        <v/>
      </c>
      <c r="M271" s="9" t="str">
        <f aca="false">IF($O271="","",INDEX(Scoring!$F$29:$F$361,MATCH($O271,Scoring!$AB$29:$AB$361,0)))</f>
        <v/>
      </c>
      <c r="N271" s="7" t="str">
        <f aca="false">IF($O271="","",INDEX(Scoring!$AI$29:$AI$361,MATCH($O271,Scoring!$AB$29:$AB$361,0)))</f>
        <v/>
      </c>
      <c r="O271" s="10" t="str">
        <f aca="false">IFERROR(SMALL(Scoring!$AB$29:$AB$361,267),"")</f>
        <v/>
      </c>
    </row>
    <row r="272" customFormat="false" ht="15" hidden="false" customHeight="false" outlineLevel="0" collapsed="false">
      <c r="A272" s="5" t="str">
        <f aca="false">IF($O272="","",INT($O272/1000))</f>
        <v/>
      </c>
      <c r="B272" s="6" t="str">
        <f aca="false">IF($O272="","",INDEX(Scoring!$A$29:$A$361,MATCH($O272,Scoring!$AB$29:$AB$361,0)))</f>
        <v/>
      </c>
      <c r="C272" s="5" t="str">
        <f aca="false">IF($O272="","",IF(INDEX(Scoring!$P$29:$P$361,MATCH($O272,Scoring!$AB$29:$AB$361,0))="","–",INDEX(Scoring!$P$29:$P$361,MATCH($O272,Scoring!$AB$29:$AB$361,0))))</f>
        <v/>
      </c>
      <c r="D272" s="6" t="str">
        <f aca="false">IF($O272="","",INDEX(Scoring!$Q$29:$Q$361,MATCH($O272,Scoring!$AB$29:$AB$361,0)))</f>
        <v/>
      </c>
      <c r="E272" s="7" t="str">
        <f aca="false">IF($O272="","",INDEX(Scoring!$AJ$29:$AJ$361,MATCH($O272,Scoring!$AB$29:$AB$361,0)))</f>
        <v/>
      </c>
      <c r="F272" s="6" t="str">
        <f aca="false">IF($O272="","",INDEX(Scoring!$B$29:$B$361,MATCH($O272,Scoring!$AB$29:$AB$361,0)))</f>
        <v/>
      </c>
      <c r="G272" s="7" t="str">
        <f aca="false">IF($O272="","",INDEX(Scoring!$AG$29:$AG$361,MATCH($O272,Scoring!$AB$29:$AB$361,0)))</f>
        <v/>
      </c>
      <c r="H272" s="7" t="str">
        <f aca="false">IF($O272="","",INDEX(Scoring!$C$29:$C$361,MATCH($O272,Scoring!$AB$29:$AB$361,0)))</f>
        <v/>
      </c>
      <c r="I272" s="6" t="str">
        <f aca="false">IF($O272="","",INDEX(Scoring!$I$29:$I$361,MATCH($O272,Scoring!$AB$29:$AB$361,0)))</f>
        <v/>
      </c>
      <c r="J272" s="7" t="str">
        <f aca="false">IF($O272="","",INDEX(Scoring!$Z$29:$Z$361,MATCH($O272,Scoring!$AB$29:$AB$361,0)))</f>
        <v/>
      </c>
      <c r="K272" s="8" t="str">
        <f aca="false">IF($O272="","",IF(INDEX(Scoring!$D$29:$D$361,MATCH($O272,Scoring!$AB$29:$AB$361,0))="",INDEX(Scoring!$AF$29:$AF$361,MATCH($O272,Scoring!$AB$29:$AB$361,0)),INDEX(Scoring!$D$29:$D$361,MATCH($O272,Scoring!$AB$29:$AB$361,0))))</f>
        <v/>
      </c>
      <c r="L272" s="9" t="str">
        <f aca="false">IF($O272="","",INDEX(Scoring!$M$29:$M$361,MATCH($O272,Scoring!$AB$29:$AB$361,0)))</f>
        <v/>
      </c>
      <c r="M272" s="9" t="str">
        <f aca="false">IF($O272="","",INDEX(Scoring!$F$29:$F$361,MATCH($O272,Scoring!$AB$29:$AB$361,0)))</f>
        <v/>
      </c>
      <c r="N272" s="7" t="str">
        <f aca="false">IF($O272="","",INDEX(Scoring!$AI$29:$AI$361,MATCH($O272,Scoring!$AB$29:$AB$361,0)))</f>
        <v/>
      </c>
      <c r="O272" s="10" t="str">
        <f aca="false">IFERROR(SMALL(Scoring!$AB$29:$AB$361,268),"")</f>
        <v/>
      </c>
    </row>
    <row r="273" customFormat="false" ht="15" hidden="false" customHeight="false" outlineLevel="0" collapsed="false">
      <c r="A273" s="5" t="str">
        <f aca="false">IF($O273="","",INT($O273/1000))</f>
        <v/>
      </c>
      <c r="B273" s="6" t="str">
        <f aca="false">IF($O273="","",INDEX(Scoring!$A$29:$A$361,MATCH($O273,Scoring!$AB$29:$AB$361,0)))</f>
        <v/>
      </c>
      <c r="C273" s="5" t="str">
        <f aca="false">IF($O273="","",IF(INDEX(Scoring!$P$29:$P$361,MATCH($O273,Scoring!$AB$29:$AB$361,0))="","–",INDEX(Scoring!$P$29:$P$361,MATCH($O273,Scoring!$AB$29:$AB$361,0))))</f>
        <v/>
      </c>
      <c r="D273" s="6" t="str">
        <f aca="false">IF($O273="","",INDEX(Scoring!$Q$29:$Q$361,MATCH($O273,Scoring!$AB$29:$AB$361,0)))</f>
        <v/>
      </c>
      <c r="E273" s="7" t="str">
        <f aca="false">IF($O273="","",INDEX(Scoring!$AJ$29:$AJ$361,MATCH($O273,Scoring!$AB$29:$AB$361,0)))</f>
        <v/>
      </c>
      <c r="F273" s="6" t="str">
        <f aca="false">IF($O273="","",INDEX(Scoring!$B$29:$B$361,MATCH($O273,Scoring!$AB$29:$AB$361,0)))</f>
        <v/>
      </c>
      <c r="G273" s="7" t="str">
        <f aca="false">IF($O273="","",INDEX(Scoring!$AG$29:$AG$361,MATCH($O273,Scoring!$AB$29:$AB$361,0)))</f>
        <v/>
      </c>
      <c r="H273" s="7" t="str">
        <f aca="false">IF($O273="","",INDEX(Scoring!$C$29:$C$361,MATCH($O273,Scoring!$AB$29:$AB$361,0)))</f>
        <v/>
      </c>
      <c r="I273" s="6" t="str">
        <f aca="false">IF($O273="","",INDEX(Scoring!$I$29:$I$361,MATCH($O273,Scoring!$AB$29:$AB$361,0)))</f>
        <v/>
      </c>
      <c r="J273" s="7" t="str">
        <f aca="false">IF($O273="","",INDEX(Scoring!$Z$29:$Z$361,MATCH($O273,Scoring!$AB$29:$AB$361,0)))</f>
        <v/>
      </c>
      <c r="K273" s="8" t="str">
        <f aca="false">IF($O273="","",IF(INDEX(Scoring!$D$29:$D$361,MATCH($O273,Scoring!$AB$29:$AB$361,0))="",INDEX(Scoring!$AF$29:$AF$361,MATCH($O273,Scoring!$AB$29:$AB$361,0)),INDEX(Scoring!$D$29:$D$361,MATCH($O273,Scoring!$AB$29:$AB$361,0))))</f>
        <v/>
      </c>
      <c r="L273" s="9" t="str">
        <f aca="false">IF($O273="","",INDEX(Scoring!$M$29:$M$361,MATCH($O273,Scoring!$AB$29:$AB$361,0)))</f>
        <v/>
      </c>
      <c r="M273" s="9" t="str">
        <f aca="false">IF($O273="","",INDEX(Scoring!$F$29:$F$361,MATCH($O273,Scoring!$AB$29:$AB$361,0)))</f>
        <v/>
      </c>
      <c r="N273" s="7" t="str">
        <f aca="false">IF($O273="","",INDEX(Scoring!$AI$29:$AI$361,MATCH($O273,Scoring!$AB$29:$AB$361,0)))</f>
        <v/>
      </c>
      <c r="O273" s="10" t="str">
        <f aca="false">IFERROR(SMALL(Scoring!$AB$29:$AB$361,269),"")</f>
        <v/>
      </c>
    </row>
    <row r="274" customFormat="false" ht="15" hidden="false" customHeight="false" outlineLevel="0" collapsed="false">
      <c r="A274" s="5" t="str">
        <f aca="false">IF($O274="","",INT($O274/1000))</f>
        <v/>
      </c>
      <c r="B274" s="6" t="str">
        <f aca="false">IF($O274="","",INDEX(Scoring!$A$29:$A$361,MATCH($O274,Scoring!$AB$29:$AB$361,0)))</f>
        <v/>
      </c>
      <c r="C274" s="5" t="str">
        <f aca="false">IF($O274="","",IF(INDEX(Scoring!$P$29:$P$361,MATCH($O274,Scoring!$AB$29:$AB$361,0))="","–",INDEX(Scoring!$P$29:$P$361,MATCH($O274,Scoring!$AB$29:$AB$361,0))))</f>
        <v/>
      </c>
      <c r="D274" s="6" t="str">
        <f aca="false">IF($O274="","",INDEX(Scoring!$Q$29:$Q$361,MATCH($O274,Scoring!$AB$29:$AB$361,0)))</f>
        <v/>
      </c>
      <c r="E274" s="7" t="str">
        <f aca="false">IF($O274="","",INDEX(Scoring!$AJ$29:$AJ$361,MATCH($O274,Scoring!$AB$29:$AB$361,0)))</f>
        <v/>
      </c>
      <c r="F274" s="6" t="str">
        <f aca="false">IF($O274="","",INDEX(Scoring!$B$29:$B$361,MATCH($O274,Scoring!$AB$29:$AB$361,0)))</f>
        <v/>
      </c>
      <c r="G274" s="7" t="str">
        <f aca="false">IF($O274="","",INDEX(Scoring!$AG$29:$AG$361,MATCH($O274,Scoring!$AB$29:$AB$361,0)))</f>
        <v/>
      </c>
      <c r="H274" s="7" t="str">
        <f aca="false">IF($O274="","",INDEX(Scoring!$C$29:$C$361,MATCH($O274,Scoring!$AB$29:$AB$361,0)))</f>
        <v/>
      </c>
      <c r="I274" s="6" t="str">
        <f aca="false">IF($O274="","",INDEX(Scoring!$I$29:$I$361,MATCH($O274,Scoring!$AB$29:$AB$361,0)))</f>
        <v/>
      </c>
      <c r="J274" s="7" t="str">
        <f aca="false">IF($O274="","",INDEX(Scoring!$Z$29:$Z$361,MATCH($O274,Scoring!$AB$29:$AB$361,0)))</f>
        <v/>
      </c>
      <c r="K274" s="8" t="str">
        <f aca="false">IF($O274="","",IF(INDEX(Scoring!$D$29:$D$361,MATCH($O274,Scoring!$AB$29:$AB$361,0))="",INDEX(Scoring!$AF$29:$AF$361,MATCH($O274,Scoring!$AB$29:$AB$361,0)),INDEX(Scoring!$D$29:$D$361,MATCH($O274,Scoring!$AB$29:$AB$361,0))))</f>
        <v/>
      </c>
      <c r="L274" s="9" t="str">
        <f aca="false">IF($O274="","",INDEX(Scoring!$M$29:$M$361,MATCH($O274,Scoring!$AB$29:$AB$361,0)))</f>
        <v/>
      </c>
      <c r="M274" s="9" t="str">
        <f aca="false">IF($O274="","",INDEX(Scoring!$F$29:$F$361,MATCH($O274,Scoring!$AB$29:$AB$361,0)))</f>
        <v/>
      </c>
      <c r="N274" s="7" t="str">
        <f aca="false">IF($O274="","",INDEX(Scoring!$AI$29:$AI$361,MATCH($O274,Scoring!$AB$29:$AB$361,0)))</f>
        <v/>
      </c>
      <c r="O274" s="10" t="str">
        <f aca="false">IFERROR(SMALL(Scoring!$AB$29:$AB$361,270),"")</f>
        <v/>
      </c>
    </row>
    <row r="275" customFormat="false" ht="15" hidden="false" customHeight="false" outlineLevel="0" collapsed="false">
      <c r="A275" s="5" t="str">
        <f aca="false">IF($O275="","",INT($O275/1000))</f>
        <v/>
      </c>
      <c r="B275" s="6" t="str">
        <f aca="false">IF($O275="","",INDEX(Scoring!$A$29:$A$361,MATCH($O275,Scoring!$AB$29:$AB$361,0)))</f>
        <v/>
      </c>
      <c r="C275" s="5" t="str">
        <f aca="false">IF($O275="","",IF(INDEX(Scoring!$P$29:$P$361,MATCH($O275,Scoring!$AB$29:$AB$361,0))="","–",INDEX(Scoring!$P$29:$P$361,MATCH($O275,Scoring!$AB$29:$AB$361,0))))</f>
        <v/>
      </c>
      <c r="D275" s="6" t="str">
        <f aca="false">IF($O275="","",INDEX(Scoring!$Q$29:$Q$361,MATCH($O275,Scoring!$AB$29:$AB$361,0)))</f>
        <v/>
      </c>
      <c r="E275" s="7" t="str">
        <f aca="false">IF($O275="","",INDEX(Scoring!$AJ$29:$AJ$361,MATCH($O275,Scoring!$AB$29:$AB$361,0)))</f>
        <v/>
      </c>
      <c r="F275" s="6" t="str">
        <f aca="false">IF($O275="","",INDEX(Scoring!$B$29:$B$361,MATCH($O275,Scoring!$AB$29:$AB$361,0)))</f>
        <v/>
      </c>
      <c r="G275" s="7" t="str">
        <f aca="false">IF($O275="","",INDEX(Scoring!$AG$29:$AG$361,MATCH($O275,Scoring!$AB$29:$AB$361,0)))</f>
        <v/>
      </c>
      <c r="H275" s="7" t="str">
        <f aca="false">IF($O275="","",INDEX(Scoring!$C$29:$C$361,MATCH($O275,Scoring!$AB$29:$AB$361,0)))</f>
        <v/>
      </c>
      <c r="I275" s="6" t="str">
        <f aca="false">IF($O275="","",INDEX(Scoring!$I$29:$I$361,MATCH($O275,Scoring!$AB$29:$AB$361,0)))</f>
        <v/>
      </c>
      <c r="J275" s="7" t="str">
        <f aca="false">IF($O275="","",INDEX(Scoring!$Z$29:$Z$361,MATCH($O275,Scoring!$AB$29:$AB$361,0)))</f>
        <v/>
      </c>
      <c r="K275" s="8" t="str">
        <f aca="false">IF($O275="","",IF(INDEX(Scoring!$D$29:$D$361,MATCH($O275,Scoring!$AB$29:$AB$361,0))="",INDEX(Scoring!$AF$29:$AF$361,MATCH($O275,Scoring!$AB$29:$AB$361,0)),INDEX(Scoring!$D$29:$D$361,MATCH($O275,Scoring!$AB$29:$AB$361,0))))</f>
        <v/>
      </c>
      <c r="L275" s="9" t="str">
        <f aca="false">IF($O275="","",INDEX(Scoring!$M$29:$M$361,MATCH($O275,Scoring!$AB$29:$AB$361,0)))</f>
        <v/>
      </c>
      <c r="M275" s="9" t="str">
        <f aca="false">IF($O275="","",INDEX(Scoring!$F$29:$F$361,MATCH($O275,Scoring!$AB$29:$AB$361,0)))</f>
        <v/>
      </c>
      <c r="N275" s="7" t="str">
        <f aca="false">IF($O275="","",INDEX(Scoring!$AI$29:$AI$361,MATCH($O275,Scoring!$AB$29:$AB$361,0)))</f>
        <v/>
      </c>
      <c r="O275" s="10" t="str">
        <f aca="false">IFERROR(SMALL(Scoring!$AB$29:$AB$361,271),"")</f>
        <v/>
      </c>
    </row>
    <row r="276" customFormat="false" ht="15" hidden="false" customHeight="false" outlineLevel="0" collapsed="false">
      <c r="A276" s="5" t="str">
        <f aca="false">IF($O276="","",INT($O276/1000))</f>
        <v/>
      </c>
      <c r="B276" s="6" t="str">
        <f aca="false">IF($O276="","",INDEX(Scoring!$A$29:$A$361,MATCH($O276,Scoring!$AB$29:$AB$361,0)))</f>
        <v/>
      </c>
      <c r="C276" s="5" t="str">
        <f aca="false">IF($O276="","",IF(INDEX(Scoring!$P$29:$P$361,MATCH($O276,Scoring!$AB$29:$AB$361,0))="","–",INDEX(Scoring!$P$29:$P$361,MATCH($O276,Scoring!$AB$29:$AB$361,0))))</f>
        <v/>
      </c>
      <c r="D276" s="6" t="str">
        <f aca="false">IF($O276="","",INDEX(Scoring!$Q$29:$Q$361,MATCH($O276,Scoring!$AB$29:$AB$361,0)))</f>
        <v/>
      </c>
      <c r="E276" s="7" t="str">
        <f aca="false">IF($O276="","",INDEX(Scoring!$AJ$29:$AJ$361,MATCH($O276,Scoring!$AB$29:$AB$361,0)))</f>
        <v/>
      </c>
      <c r="F276" s="6" t="str">
        <f aca="false">IF($O276="","",INDEX(Scoring!$B$29:$B$361,MATCH($O276,Scoring!$AB$29:$AB$361,0)))</f>
        <v/>
      </c>
      <c r="G276" s="7" t="str">
        <f aca="false">IF($O276="","",INDEX(Scoring!$AG$29:$AG$361,MATCH($O276,Scoring!$AB$29:$AB$361,0)))</f>
        <v/>
      </c>
      <c r="H276" s="7" t="str">
        <f aca="false">IF($O276="","",INDEX(Scoring!$C$29:$C$361,MATCH($O276,Scoring!$AB$29:$AB$361,0)))</f>
        <v/>
      </c>
      <c r="I276" s="6" t="str">
        <f aca="false">IF($O276="","",INDEX(Scoring!$I$29:$I$361,MATCH($O276,Scoring!$AB$29:$AB$361,0)))</f>
        <v/>
      </c>
      <c r="J276" s="7" t="str">
        <f aca="false">IF($O276="","",INDEX(Scoring!$Z$29:$Z$361,MATCH($O276,Scoring!$AB$29:$AB$361,0)))</f>
        <v/>
      </c>
      <c r="K276" s="8" t="str">
        <f aca="false">IF($O276="","",IF(INDEX(Scoring!$D$29:$D$361,MATCH($O276,Scoring!$AB$29:$AB$361,0))="",INDEX(Scoring!$AF$29:$AF$361,MATCH($O276,Scoring!$AB$29:$AB$361,0)),INDEX(Scoring!$D$29:$D$361,MATCH($O276,Scoring!$AB$29:$AB$361,0))))</f>
        <v/>
      </c>
      <c r="L276" s="9" t="str">
        <f aca="false">IF($O276="","",INDEX(Scoring!$M$29:$M$361,MATCH($O276,Scoring!$AB$29:$AB$361,0)))</f>
        <v/>
      </c>
      <c r="M276" s="9" t="str">
        <f aca="false">IF($O276="","",INDEX(Scoring!$F$29:$F$361,MATCH($O276,Scoring!$AB$29:$AB$361,0)))</f>
        <v/>
      </c>
      <c r="N276" s="7" t="str">
        <f aca="false">IF($O276="","",INDEX(Scoring!$AI$29:$AI$361,MATCH($O276,Scoring!$AB$29:$AB$361,0)))</f>
        <v/>
      </c>
      <c r="O276" s="10" t="str">
        <f aca="false">IFERROR(SMALL(Scoring!$AB$29:$AB$361,272),"")</f>
        <v/>
      </c>
    </row>
    <row r="277" customFormat="false" ht="15" hidden="false" customHeight="false" outlineLevel="0" collapsed="false">
      <c r="A277" s="5" t="str">
        <f aca="false">IF($O277="","",INT($O277/1000))</f>
        <v/>
      </c>
      <c r="B277" s="6" t="str">
        <f aca="false">IF($O277="","",INDEX(Scoring!$A$29:$A$361,MATCH($O277,Scoring!$AB$29:$AB$361,0)))</f>
        <v/>
      </c>
      <c r="C277" s="5" t="str">
        <f aca="false">IF($O277="","",IF(INDEX(Scoring!$P$29:$P$361,MATCH($O277,Scoring!$AB$29:$AB$361,0))="","–",INDEX(Scoring!$P$29:$P$361,MATCH($O277,Scoring!$AB$29:$AB$361,0))))</f>
        <v/>
      </c>
      <c r="D277" s="6" t="str">
        <f aca="false">IF($O277="","",INDEX(Scoring!$Q$29:$Q$361,MATCH($O277,Scoring!$AB$29:$AB$361,0)))</f>
        <v/>
      </c>
      <c r="E277" s="7" t="str">
        <f aca="false">IF($O277="","",INDEX(Scoring!$AJ$29:$AJ$361,MATCH($O277,Scoring!$AB$29:$AB$361,0)))</f>
        <v/>
      </c>
      <c r="F277" s="6" t="str">
        <f aca="false">IF($O277="","",INDEX(Scoring!$B$29:$B$361,MATCH($O277,Scoring!$AB$29:$AB$361,0)))</f>
        <v/>
      </c>
      <c r="G277" s="7" t="str">
        <f aca="false">IF($O277="","",INDEX(Scoring!$AG$29:$AG$361,MATCH($O277,Scoring!$AB$29:$AB$361,0)))</f>
        <v/>
      </c>
      <c r="H277" s="7" t="str">
        <f aca="false">IF($O277="","",INDEX(Scoring!$C$29:$C$361,MATCH($O277,Scoring!$AB$29:$AB$361,0)))</f>
        <v/>
      </c>
      <c r="I277" s="6" t="str">
        <f aca="false">IF($O277="","",INDEX(Scoring!$I$29:$I$361,MATCH($O277,Scoring!$AB$29:$AB$361,0)))</f>
        <v/>
      </c>
      <c r="J277" s="7" t="str">
        <f aca="false">IF($O277="","",INDEX(Scoring!$Z$29:$Z$361,MATCH($O277,Scoring!$AB$29:$AB$361,0)))</f>
        <v/>
      </c>
      <c r="K277" s="8" t="str">
        <f aca="false">IF($O277="","",IF(INDEX(Scoring!$D$29:$D$361,MATCH($O277,Scoring!$AB$29:$AB$361,0))="",INDEX(Scoring!$AF$29:$AF$361,MATCH($O277,Scoring!$AB$29:$AB$361,0)),INDEX(Scoring!$D$29:$D$361,MATCH($O277,Scoring!$AB$29:$AB$361,0))))</f>
        <v/>
      </c>
      <c r="L277" s="9" t="str">
        <f aca="false">IF($O277="","",INDEX(Scoring!$M$29:$M$361,MATCH($O277,Scoring!$AB$29:$AB$361,0)))</f>
        <v/>
      </c>
      <c r="M277" s="9" t="str">
        <f aca="false">IF($O277="","",INDEX(Scoring!$F$29:$F$361,MATCH($O277,Scoring!$AB$29:$AB$361,0)))</f>
        <v/>
      </c>
      <c r="N277" s="7" t="str">
        <f aca="false">IF($O277="","",INDEX(Scoring!$AI$29:$AI$361,MATCH($O277,Scoring!$AB$29:$AB$361,0)))</f>
        <v/>
      </c>
      <c r="O277" s="10" t="str">
        <f aca="false">IFERROR(SMALL(Scoring!$AB$29:$AB$361,273),"")</f>
        <v/>
      </c>
    </row>
    <row r="278" customFormat="false" ht="15" hidden="false" customHeight="false" outlineLevel="0" collapsed="false">
      <c r="A278" s="5" t="str">
        <f aca="false">IF($O278="","",INT($O278/1000))</f>
        <v/>
      </c>
      <c r="B278" s="6" t="str">
        <f aca="false">IF($O278="","",INDEX(Scoring!$A$29:$A$361,MATCH($O278,Scoring!$AB$29:$AB$361,0)))</f>
        <v/>
      </c>
      <c r="C278" s="5" t="str">
        <f aca="false">IF($O278="","",IF(INDEX(Scoring!$P$29:$P$361,MATCH($O278,Scoring!$AB$29:$AB$361,0))="","–",INDEX(Scoring!$P$29:$P$361,MATCH($O278,Scoring!$AB$29:$AB$361,0))))</f>
        <v/>
      </c>
      <c r="D278" s="6" t="str">
        <f aca="false">IF($O278="","",INDEX(Scoring!$Q$29:$Q$361,MATCH($O278,Scoring!$AB$29:$AB$361,0)))</f>
        <v/>
      </c>
      <c r="E278" s="7" t="str">
        <f aca="false">IF($O278="","",INDEX(Scoring!$AJ$29:$AJ$361,MATCH($O278,Scoring!$AB$29:$AB$361,0)))</f>
        <v/>
      </c>
      <c r="F278" s="6" t="str">
        <f aca="false">IF($O278="","",INDEX(Scoring!$B$29:$B$361,MATCH($O278,Scoring!$AB$29:$AB$361,0)))</f>
        <v/>
      </c>
      <c r="G278" s="7" t="str">
        <f aca="false">IF($O278="","",INDEX(Scoring!$AG$29:$AG$361,MATCH($O278,Scoring!$AB$29:$AB$361,0)))</f>
        <v/>
      </c>
      <c r="H278" s="7" t="str">
        <f aca="false">IF($O278="","",INDEX(Scoring!$C$29:$C$361,MATCH($O278,Scoring!$AB$29:$AB$361,0)))</f>
        <v/>
      </c>
      <c r="I278" s="6" t="str">
        <f aca="false">IF($O278="","",INDEX(Scoring!$I$29:$I$361,MATCH($O278,Scoring!$AB$29:$AB$361,0)))</f>
        <v/>
      </c>
      <c r="J278" s="7" t="str">
        <f aca="false">IF($O278="","",INDEX(Scoring!$Z$29:$Z$361,MATCH($O278,Scoring!$AB$29:$AB$361,0)))</f>
        <v/>
      </c>
      <c r="K278" s="8" t="str">
        <f aca="false">IF($O278="","",IF(INDEX(Scoring!$D$29:$D$361,MATCH($O278,Scoring!$AB$29:$AB$361,0))="",INDEX(Scoring!$AF$29:$AF$361,MATCH($O278,Scoring!$AB$29:$AB$361,0)),INDEX(Scoring!$D$29:$D$361,MATCH($O278,Scoring!$AB$29:$AB$361,0))))</f>
        <v/>
      </c>
      <c r="L278" s="9" t="str">
        <f aca="false">IF($O278="","",INDEX(Scoring!$M$29:$M$361,MATCH($O278,Scoring!$AB$29:$AB$361,0)))</f>
        <v/>
      </c>
      <c r="M278" s="9" t="str">
        <f aca="false">IF($O278="","",INDEX(Scoring!$F$29:$F$361,MATCH($O278,Scoring!$AB$29:$AB$361,0)))</f>
        <v/>
      </c>
      <c r="N278" s="7" t="str">
        <f aca="false">IF($O278="","",INDEX(Scoring!$AI$29:$AI$361,MATCH($O278,Scoring!$AB$29:$AB$361,0)))</f>
        <v/>
      </c>
      <c r="O278" s="10" t="str">
        <f aca="false">IFERROR(SMALL(Scoring!$AB$29:$AB$361,274),"")</f>
        <v/>
      </c>
    </row>
    <row r="279" customFormat="false" ht="15" hidden="false" customHeight="false" outlineLevel="0" collapsed="false">
      <c r="A279" s="5" t="str">
        <f aca="false">IF($O279="","",INT($O279/1000))</f>
        <v/>
      </c>
      <c r="B279" s="6" t="str">
        <f aca="false">IF($O279="","",INDEX(Scoring!$A$29:$A$361,MATCH($O279,Scoring!$AB$29:$AB$361,0)))</f>
        <v/>
      </c>
      <c r="C279" s="5" t="str">
        <f aca="false">IF($O279="","",IF(INDEX(Scoring!$P$29:$P$361,MATCH($O279,Scoring!$AB$29:$AB$361,0))="","–",INDEX(Scoring!$P$29:$P$361,MATCH($O279,Scoring!$AB$29:$AB$361,0))))</f>
        <v/>
      </c>
      <c r="D279" s="6" t="str">
        <f aca="false">IF($O279="","",INDEX(Scoring!$Q$29:$Q$361,MATCH($O279,Scoring!$AB$29:$AB$361,0)))</f>
        <v/>
      </c>
      <c r="E279" s="7" t="str">
        <f aca="false">IF($O279="","",INDEX(Scoring!$AJ$29:$AJ$361,MATCH($O279,Scoring!$AB$29:$AB$361,0)))</f>
        <v/>
      </c>
      <c r="F279" s="6" t="str">
        <f aca="false">IF($O279="","",INDEX(Scoring!$B$29:$B$361,MATCH($O279,Scoring!$AB$29:$AB$361,0)))</f>
        <v/>
      </c>
      <c r="G279" s="7" t="str">
        <f aca="false">IF($O279="","",INDEX(Scoring!$AG$29:$AG$361,MATCH($O279,Scoring!$AB$29:$AB$361,0)))</f>
        <v/>
      </c>
      <c r="H279" s="7" t="str">
        <f aca="false">IF($O279="","",INDEX(Scoring!$C$29:$C$361,MATCH($O279,Scoring!$AB$29:$AB$361,0)))</f>
        <v/>
      </c>
      <c r="I279" s="6" t="str">
        <f aca="false">IF($O279="","",INDEX(Scoring!$I$29:$I$361,MATCH($O279,Scoring!$AB$29:$AB$361,0)))</f>
        <v/>
      </c>
      <c r="J279" s="7" t="str">
        <f aca="false">IF($O279="","",INDEX(Scoring!$Z$29:$Z$361,MATCH($O279,Scoring!$AB$29:$AB$361,0)))</f>
        <v/>
      </c>
      <c r="K279" s="8" t="str">
        <f aca="false">IF($O279="","",IF(INDEX(Scoring!$D$29:$D$361,MATCH($O279,Scoring!$AB$29:$AB$361,0))="",INDEX(Scoring!$AF$29:$AF$361,MATCH($O279,Scoring!$AB$29:$AB$361,0)),INDEX(Scoring!$D$29:$D$361,MATCH($O279,Scoring!$AB$29:$AB$361,0))))</f>
        <v/>
      </c>
      <c r="L279" s="9" t="str">
        <f aca="false">IF($O279="","",INDEX(Scoring!$M$29:$M$361,MATCH($O279,Scoring!$AB$29:$AB$361,0)))</f>
        <v/>
      </c>
      <c r="M279" s="9" t="str">
        <f aca="false">IF($O279="","",INDEX(Scoring!$F$29:$F$361,MATCH($O279,Scoring!$AB$29:$AB$361,0)))</f>
        <v/>
      </c>
      <c r="N279" s="7" t="str">
        <f aca="false">IF($O279="","",INDEX(Scoring!$AI$29:$AI$361,MATCH($O279,Scoring!$AB$29:$AB$361,0)))</f>
        <v/>
      </c>
      <c r="O279" s="10" t="str">
        <f aca="false">IFERROR(SMALL(Scoring!$AB$29:$AB$361,275),"")</f>
        <v/>
      </c>
    </row>
    <row r="280" customFormat="false" ht="15" hidden="false" customHeight="false" outlineLevel="0" collapsed="false">
      <c r="A280" s="5" t="str">
        <f aca="false">IF($O280="","",INT($O280/1000))</f>
        <v/>
      </c>
      <c r="B280" s="6" t="str">
        <f aca="false">IF($O280="","",INDEX(Scoring!$A$29:$A$361,MATCH($O280,Scoring!$AB$29:$AB$361,0)))</f>
        <v/>
      </c>
      <c r="C280" s="5" t="str">
        <f aca="false">IF($O280="","",IF(INDEX(Scoring!$P$29:$P$361,MATCH($O280,Scoring!$AB$29:$AB$361,0))="","–",INDEX(Scoring!$P$29:$P$361,MATCH($O280,Scoring!$AB$29:$AB$361,0))))</f>
        <v/>
      </c>
      <c r="D280" s="6" t="str">
        <f aca="false">IF($O280="","",INDEX(Scoring!$Q$29:$Q$361,MATCH($O280,Scoring!$AB$29:$AB$361,0)))</f>
        <v/>
      </c>
      <c r="E280" s="7" t="str">
        <f aca="false">IF($O280="","",INDEX(Scoring!$AJ$29:$AJ$361,MATCH($O280,Scoring!$AB$29:$AB$361,0)))</f>
        <v/>
      </c>
      <c r="F280" s="6" t="str">
        <f aca="false">IF($O280="","",INDEX(Scoring!$B$29:$B$361,MATCH($O280,Scoring!$AB$29:$AB$361,0)))</f>
        <v/>
      </c>
      <c r="G280" s="7" t="str">
        <f aca="false">IF($O280="","",INDEX(Scoring!$AG$29:$AG$361,MATCH($O280,Scoring!$AB$29:$AB$361,0)))</f>
        <v/>
      </c>
      <c r="H280" s="7" t="str">
        <f aca="false">IF($O280="","",INDEX(Scoring!$C$29:$C$361,MATCH($O280,Scoring!$AB$29:$AB$361,0)))</f>
        <v/>
      </c>
      <c r="I280" s="6" t="str">
        <f aca="false">IF($O280="","",INDEX(Scoring!$I$29:$I$361,MATCH($O280,Scoring!$AB$29:$AB$361,0)))</f>
        <v/>
      </c>
      <c r="J280" s="7" t="str">
        <f aca="false">IF($O280="","",INDEX(Scoring!$Z$29:$Z$361,MATCH($O280,Scoring!$AB$29:$AB$361,0)))</f>
        <v/>
      </c>
      <c r="K280" s="8" t="str">
        <f aca="false">IF($O280="","",IF(INDEX(Scoring!$D$29:$D$361,MATCH($O280,Scoring!$AB$29:$AB$361,0))="",INDEX(Scoring!$AF$29:$AF$361,MATCH($O280,Scoring!$AB$29:$AB$361,0)),INDEX(Scoring!$D$29:$D$361,MATCH($O280,Scoring!$AB$29:$AB$361,0))))</f>
        <v/>
      </c>
      <c r="L280" s="9" t="str">
        <f aca="false">IF($O280="","",INDEX(Scoring!$M$29:$M$361,MATCH($O280,Scoring!$AB$29:$AB$361,0)))</f>
        <v/>
      </c>
      <c r="M280" s="9" t="str">
        <f aca="false">IF($O280="","",INDEX(Scoring!$F$29:$F$361,MATCH($O280,Scoring!$AB$29:$AB$361,0)))</f>
        <v/>
      </c>
      <c r="N280" s="7" t="str">
        <f aca="false">IF($O280="","",INDEX(Scoring!$AI$29:$AI$361,MATCH($O280,Scoring!$AB$29:$AB$361,0)))</f>
        <v/>
      </c>
      <c r="O280" s="10" t="str">
        <f aca="false">IFERROR(SMALL(Scoring!$AB$29:$AB$361,276),"")</f>
        <v/>
      </c>
    </row>
    <row r="281" customFormat="false" ht="15" hidden="false" customHeight="false" outlineLevel="0" collapsed="false">
      <c r="A281" s="5" t="str">
        <f aca="false">IF($O281="","",INT($O281/1000))</f>
        <v/>
      </c>
      <c r="B281" s="6" t="str">
        <f aca="false">IF($O281="","",INDEX(Scoring!$A$29:$A$361,MATCH($O281,Scoring!$AB$29:$AB$361,0)))</f>
        <v/>
      </c>
      <c r="C281" s="5" t="str">
        <f aca="false">IF($O281="","",IF(INDEX(Scoring!$P$29:$P$361,MATCH($O281,Scoring!$AB$29:$AB$361,0))="","–",INDEX(Scoring!$P$29:$P$361,MATCH($O281,Scoring!$AB$29:$AB$361,0))))</f>
        <v/>
      </c>
      <c r="D281" s="6" t="str">
        <f aca="false">IF($O281="","",INDEX(Scoring!$Q$29:$Q$361,MATCH($O281,Scoring!$AB$29:$AB$361,0)))</f>
        <v/>
      </c>
      <c r="E281" s="7" t="str">
        <f aca="false">IF($O281="","",INDEX(Scoring!$AJ$29:$AJ$361,MATCH($O281,Scoring!$AB$29:$AB$361,0)))</f>
        <v/>
      </c>
      <c r="F281" s="6" t="str">
        <f aca="false">IF($O281="","",INDEX(Scoring!$B$29:$B$361,MATCH($O281,Scoring!$AB$29:$AB$361,0)))</f>
        <v/>
      </c>
      <c r="G281" s="7" t="str">
        <f aca="false">IF($O281="","",INDEX(Scoring!$AG$29:$AG$361,MATCH($O281,Scoring!$AB$29:$AB$361,0)))</f>
        <v/>
      </c>
      <c r="H281" s="7" t="str">
        <f aca="false">IF($O281="","",INDEX(Scoring!$C$29:$C$361,MATCH($O281,Scoring!$AB$29:$AB$361,0)))</f>
        <v/>
      </c>
      <c r="I281" s="6" t="str">
        <f aca="false">IF($O281="","",INDEX(Scoring!$I$29:$I$361,MATCH($O281,Scoring!$AB$29:$AB$361,0)))</f>
        <v/>
      </c>
      <c r="J281" s="7" t="str">
        <f aca="false">IF($O281="","",INDEX(Scoring!$Z$29:$Z$361,MATCH($O281,Scoring!$AB$29:$AB$361,0)))</f>
        <v/>
      </c>
      <c r="K281" s="8" t="str">
        <f aca="false">IF($O281="","",IF(INDEX(Scoring!$D$29:$D$361,MATCH($O281,Scoring!$AB$29:$AB$361,0))="",INDEX(Scoring!$AF$29:$AF$361,MATCH($O281,Scoring!$AB$29:$AB$361,0)),INDEX(Scoring!$D$29:$D$361,MATCH($O281,Scoring!$AB$29:$AB$361,0))))</f>
        <v/>
      </c>
      <c r="L281" s="9" t="str">
        <f aca="false">IF($O281="","",INDEX(Scoring!$M$29:$M$361,MATCH($O281,Scoring!$AB$29:$AB$361,0)))</f>
        <v/>
      </c>
      <c r="M281" s="9" t="str">
        <f aca="false">IF($O281="","",INDEX(Scoring!$F$29:$F$361,MATCH($O281,Scoring!$AB$29:$AB$361,0)))</f>
        <v/>
      </c>
      <c r="N281" s="7" t="str">
        <f aca="false">IF($O281="","",INDEX(Scoring!$AI$29:$AI$361,MATCH($O281,Scoring!$AB$29:$AB$361,0)))</f>
        <v/>
      </c>
      <c r="O281" s="10" t="str">
        <f aca="false">IFERROR(SMALL(Scoring!$AB$29:$AB$361,277),"")</f>
        <v/>
      </c>
    </row>
    <row r="282" customFormat="false" ht="15" hidden="false" customHeight="false" outlineLevel="0" collapsed="false">
      <c r="A282" s="5" t="str">
        <f aca="false">IF($O282="","",INT($O282/1000))</f>
        <v/>
      </c>
      <c r="B282" s="6" t="str">
        <f aca="false">IF($O282="","",INDEX(Scoring!$A$29:$A$361,MATCH($O282,Scoring!$AB$29:$AB$361,0)))</f>
        <v/>
      </c>
      <c r="C282" s="5" t="str">
        <f aca="false">IF($O282="","",IF(INDEX(Scoring!$P$29:$P$361,MATCH($O282,Scoring!$AB$29:$AB$361,0))="","–",INDEX(Scoring!$P$29:$P$361,MATCH($O282,Scoring!$AB$29:$AB$361,0))))</f>
        <v/>
      </c>
      <c r="D282" s="6" t="str">
        <f aca="false">IF($O282="","",INDEX(Scoring!$Q$29:$Q$361,MATCH($O282,Scoring!$AB$29:$AB$361,0)))</f>
        <v/>
      </c>
      <c r="E282" s="7" t="str">
        <f aca="false">IF($O282="","",INDEX(Scoring!$AJ$29:$AJ$361,MATCH($O282,Scoring!$AB$29:$AB$361,0)))</f>
        <v/>
      </c>
      <c r="F282" s="6" t="str">
        <f aca="false">IF($O282="","",INDEX(Scoring!$B$29:$B$361,MATCH($O282,Scoring!$AB$29:$AB$361,0)))</f>
        <v/>
      </c>
      <c r="G282" s="7" t="str">
        <f aca="false">IF($O282="","",INDEX(Scoring!$AG$29:$AG$361,MATCH($O282,Scoring!$AB$29:$AB$361,0)))</f>
        <v/>
      </c>
      <c r="H282" s="7" t="str">
        <f aca="false">IF($O282="","",INDEX(Scoring!$C$29:$C$361,MATCH($O282,Scoring!$AB$29:$AB$361,0)))</f>
        <v/>
      </c>
      <c r="I282" s="6" t="str">
        <f aca="false">IF($O282="","",INDEX(Scoring!$I$29:$I$361,MATCH($O282,Scoring!$AB$29:$AB$361,0)))</f>
        <v/>
      </c>
      <c r="J282" s="7" t="str">
        <f aca="false">IF($O282="","",INDEX(Scoring!$Z$29:$Z$361,MATCH($O282,Scoring!$AB$29:$AB$361,0)))</f>
        <v/>
      </c>
      <c r="K282" s="8" t="str">
        <f aca="false">IF($O282="","",IF(INDEX(Scoring!$D$29:$D$361,MATCH($O282,Scoring!$AB$29:$AB$361,0))="",INDEX(Scoring!$AF$29:$AF$361,MATCH($O282,Scoring!$AB$29:$AB$361,0)),INDEX(Scoring!$D$29:$D$361,MATCH($O282,Scoring!$AB$29:$AB$361,0))))</f>
        <v/>
      </c>
      <c r="L282" s="9" t="str">
        <f aca="false">IF($O282="","",INDEX(Scoring!$M$29:$M$361,MATCH($O282,Scoring!$AB$29:$AB$361,0)))</f>
        <v/>
      </c>
      <c r="M282" s="9" t="str">
        <f aca="false">IF($O282="","",INDEX(Scoring!$F$29:$F$361,MATCH($O282,Scoring!$AB$29:$AB$361,0)))</f>
        <v/>
      </c>
      <c r="N282" s="7" t="str">
        <f aca="false">IF($O282="","",INDEX(Scoring!$AI$29:$AI$361,MATCH($O282,Scoring!$AB$29:$AB$361,0)))</f>
        <v/>
      </c>
      <c r="O282" s="10" t="str">
        <f aca="false">IFERROR(SMALL(Scoring!$AB$29:$AB$361,278),"")</f>
        <v/>
      </c>
    </row>
    <row r="283" customFormat="false" ht="15" hidden="false" customHeight="false" outlineLevel="0" collapsed="false">
      <c r="A283" s="5" t="str">
        <f aca="false">IF($O283="","",INT($O283/1000))</f>
        <v/>
      </c>
      <c r="B283" s="6" t="str">
        <f aca="false">IF($O283="","",INDEX(Scoring!$A$29:$A$361,MATCH($O283,Scoring!$AB$29:$AB$361,0)))</f>
        <v/>
      </c>
      <c r="C283" s="5" t="str">
        <f aca="false">IF($O283="","",IF(INDEX(Scoring!$P$29:$P$361,MATCH($O283,Scoring!$AB$29:$AB$361,0))="","–",INDEX(Scoring!$P$29:$P$361,MATCH($O283,Scoring!$AB$29:$AB$361,0))))</f>
        <v/>
      </c>
      <c r="D283" s="6" t="str">
        <f aca="false">IF($O283="","",INDEX(Scoring!$Q$29:$Q$361,MATCH($O283,Scoring!$AB$29:$AB$361,0)))</f>
        <v/>
      </c>
      <c r="E283" s="7" t="str">
        <f aca="false">IF($O283="","",INDEX(Scoring!$AJ$29:$AJ$361,MATCH($O283,Scoring!$AB$29:$AB$361,0)))</f>
        <v/>
      </c>
      <c r="F283" s="6" t="str">
        <f aca="false">IF($O283="","",INDEX(Scoring!$B$29:$B$361,MATCH($O283,Scoring!$AB$29:$AB$361,0)))</f>
        <v/>
      </c>
      <c r="G283" s="7" t="str">
        <f aca="false">IF($O283="","",INDEX(Scoring!$AG$29:$AG$361,MATCH($O283,Scoring!$AB$29:$AB$361,0)))</f>
        <v/>
      </c>
      <c r="H283" s="7" t="str">
        <f aca="false">IF($O283="","",INDEX(Scoring!$C$29:$C$361,MATCH($O283,Scoring!$AB$29:$AB$361,0)))</f>
        <v/>
      </c>
      <c r="I283" s="6" t="str">
        <f aca="false">IF($O283="","",INDEX(Scoring!$I$29:$I$361,MATCH($O283,Scoring!$AB$29:$AB$361,0)))</f>
        <v/>
      </c>
      <c r="J283" s="7" t="str">
        <f aca="false">IF($O283="","",INDEX(Scoring!$Z$29:$Z$361,MATCH($O283,Scoring!$AB$29:$AB$361,0)))</f>
        <v/>
      </c>
      <c r="K283" s="8" t="str">
        <f aca="false">IF($O283="","",IF(INDEX(Scoring!$D$29:$D$361,MATCH($O283,Scoring!$AB$29:$AB$361,0))="",INDEX(Scoring!$AF$29:$AF$361,MATCH($O283,Scoring!$AB$29:$AB$361,0)),INDEX(Scoring!$D$29:$D$361,MATCH($O283,Scoring!$AB$29:$AB$361,0))))</f>
        <v/>
      </c>
      <c r="L283" s="9" t="str">
        <f aca="false">IF($O283="","",INDEX(Scoring!$M$29:$M$361,MATCH($O283,Scoring!$AB$29:$AB$361,0)))</f>
        <v/>
      </c>
      <c r="M283" s="9" t="str">
        <f aca="false">IF($O283="","",INDEX(Scoring!$F$29:$F$361,MATCH($O283,Scoring!$AB$29:$AB$361,0)))</f>
        <v/>
      </c>
      <c r="N283" s="7" t="str">
        <f aca="false">IF($O283="","",INDEX(Scoring!$AI$29:$AI$361,MATCH($O283,Scoring!$AB$29:$AB$361,0)))</f>
        <v/>
      </c>
      <c r="O283" s="10" t="str">
        <f aca="false">IFERROR(SMALL(Scoring!$AB$29:$AB$361,279),"")</f>
        <v/>
      </c>
    </row>
    <row r="284" customFormat="false" ht="15" hidden="false" customHeight="false" outlineLevel="0" collapsed="false">
      <c r="A284" s="5" t="str">
        <f aca="false">IF($O284="","",INT($O284/1000))</f>
        <v/>
      </c>
      <c r="B284" s="6" t="str">
        <f aca="false">IF($O284="","",INDEX(Scoring!$A$29:$A$361,MATCH($O284,Scoring!$AB$29:$AB$361,0)))</f>
        <v/>
      </c>
      <c r="C284" s="5" t="str">
        <f aca="false">IF($O284="","",IF(INDEX(Scoring!$P$29:$P$361,MATCH($O284,Scoring!$AB$29:$AB$361,0))="","–",INDEX(Scoring!$P$29:$P$361,MATCH($O284,Scoring!$AB$29:$AB$361,0))))</f>
        <v/>
      </c>
      <c r="D284" s="6" t="str">
        <f aca="false">IF($O284="","",INDEX(Scoring!$Q$29:$Q$361,MATCH($O284,Scoring!$AB$29:$AB$361,0)))</f>
        <v/>
      </c>
      <c r="E284" s="7" t="str">
        <f aca="false">IF($O284="","",INDEX(Scoring!$AJ$29:$AJ$361,MATCH($O284,Scoring!$AB$29:$AB$361,0)))</f>
        <v/>
      </c>
      <c r="F284" s="6" t="str">
        <f aca="false">IF($O284="","",INDEX(Scoring!$B$29:$B$361,MATCH($O284,Scoring!$AB$29:$AB$361,0)))</f>
        <v/>
      </c>
      <c r="G284" s="7" t="str">
        <f aca="false">IF($O284="","",INDEX(Scoring!$AG$29:$AG$361,MATCH($O284,Scoring!$AB$29:$AB$361,0)))</f>
        <v/>
      </c>
      <c r="H284" s="7" t="str">
        <f aca="false">IF($O284="","",INDEX(Scoring!$C$29:$C$361,MATCH($O284,Scoring!$AB$29:$AB$361,0)))</f>
        <v/>
      </c>
      <c r="I284" s="6" t="str">
        <f aca="false">IF($O284="","",INDEX(Scoring!$I$29:$I$361,MATCH($O284,Scoring!$AB$29:$AB$361,0)))</f>
        <v/>
      </c>
      <c r="J284" s="7" t="str">
        <f aca="false">IF($O284="","",INDEX(Scoring!$Z$29:$Z$361,MATCH($O284,Scoring!$AB$29:$AB$361,0)))</f>
        <v/>
      </c>
      <c r="K284" s="8" t="str">
        <f aca="false">IF($O284="","",IF(INDEX(Scoring!$D$29:$D$361,MATCH($O284,Scoring!$AB$29:$AB$361,0))="",INDEX(Scoring!$AF$29:$AF$361,MATCH($O284,Scoring!$AB$29:$AB$361,0)),INDEX(Scoring!$D$29:$D$361,MATCH($O284,Scoring!$AB$29:$AB$361,0))))</f>
        <v/>
      </c>
      <c r="L284" s="9" t="str">
        <f aca="false">IF($O284="","",INDEX(Scoring!$M$29:$M$361,MATCH($O284,Scoring!$AB$29:$AB$361,0)))</f>
        <v/>
      </c>
      <c r="M284" s="9" t="str">
        <f aca="false">IF($O284="","",INDEX(Scoring!$F$29:$F$361,MATCH($O284,Scoring!$AB$29:$AB$361,0)))</f>
        <v/>
      </c>
      <c r="N284" s="7" t="str">
        <f aca="false">IF($O284="","",INDEX(Scoring!$AI$29:$AI$361,MATCH($O284,Scoring!$AB$29:$AB$361,0)))</f>
        <v/>
      </c>
      <c r="O284" s="10" t="str">
        <f aca="false">IFERROR(SMALL(Scoring!$AB$29:$AB$361,280),"")</f>
        <v/>
      </c>
    </row>
    <row r="285" customFormat="false" ht="15" hidden="false" customHeight="false" outlineLevel="0" collapsed="false">
      <c r="A285" s="5" t="str">
        <f aca="false">IF($O285="","",INT($O285/1000))</f>
        <v/>
      </c>
      <c r="B285" s="6" t="str">
        <f aca="false">IF($O285="","",INDEX(Scoring!$A$29:$A$361,MATCH($O285,Scoring!$AB$29:$AB$361,0)))</f>
        <v/>
      </c>
      <c r="C285" s="5" t="str">
        <f aca="false">IF($O285="","",IF(INDEX(Scoring!$P$29:$P$361,MATCH($O285,Scoring!$AB$29:$AB$361,0))="","–",INDEX(Scoring!$P$29:$P$361,MATCH($O285,Scoring!$AB$29:$AB$361,0))))</f>
        <v/>
      </c>
      <c r="D285" s="6" t="str">
        <f aca="false">IF($O285="","",INDEX(Scoring!$Q$29:$Q$361,MATCH($O285,Scoring!$AB$29:$AB$361,0)))</f>
        <v/>
      </c>
      <c r="E285" s="7" t="str">
        <f aca="false">IF($O285="","",INDEX(Scoring!$AJ$29:$AJ$361,MATCH($O285,Scoring!$AB$29:$AB$361,0)))</f>
        <v/>
      </c>
      <c r="F285" s="6" t="str">
        <f aca="false">IF($O285="","",INDEX(Scoring!$B$29:$B$361,MATCH($O285,Scoring!$AB$29:$AB$361,0)))</f>
        <v/>
      </c>
      <c r="G285" s="7" t="str">
        <f aca="false">IF($O285="","",INDEX(Scoring!$AG$29:$AG$361,MATCH($O285,Scoring!$AB$29:$AB$361,0)))</f>
        <v/>
      </c>
      <c r="H285" s="7" t="str">
        <f aca="false">IF($O285="","",INDEX(Scoring!$C$29:$C$361,MATCH($O285,Scoring!$AB$29:$AB$361,0)))</f>
        <v/>
      </c>
      <c r="I285" s="6" t="str">
        <f aca="false">IF($O285="","",INDEX(Scoring!$I$29:$I$361,MATCH($O285,Scoring!$AB$29:$AB$361,0)))</f>
        <v/>
      </c>
      <c r="J285" s="7" t="str">
        <f aca="false">IF($O285="","",INDEX(Scoring!$Z$29:$Z$361,MATCH($O285,Scoring!$AB$29:$AB$361,0)))</f>
        <v/>
      </c>
      <c r="K285" s="8" t="str">
        <f aca="false">IF($O285="","",IF(INDEX(Scoring!$D$29:$D$361,MATCH($O285,Scoring!$AB$29:$AB$361,0))="",INDEX(Scoring!$AF$29:$AF$361,MATCH($O285,Scoring!$AB$29:$AB$361,0)),INDEX(Scoring!$D$29:$D$361,MATCH($O285,Scoring!$AB$29:$AB$361,0))))</f>
        <v/>
      </c>
      <c r="L285" s="9" t="str">
        <f aca="false">IF($O285="","",INDEX(Scoring!$M$29:$M$361,MATCH($O285,Scoring!$AB$29:$AB$361,0)))</f>
        <v/>
      </c>
      <c r="M285" s="9" t="str">
        <f aca="false">IF($O285="","",INDEX(Scoring!$F$29:$F$361,MATCH($O285,Scoring!$AB$29:$AB$361,0)))</f>
        <v/>
      </c>
      <c r="N285" s="7" t="str">
        <f aca="false">IF($O285="","",INDEX(Scoring!$AI$29:$AI$361,MATCH($O285,Scoring!$AB$29:$AB$361,0)))</f>
        <v/>
      </c>
      <c r="O285" s="10" t="str">
        <f aca="false">IFERROR(SMALL(Scoring!$AB$29:$AB$361,281),"")</f>
        <v/>
      </c>
    </row>
    <row r="286" customFormat="false" ht="15" hidden="false" customHeight="false" outlineLevel="0" collapsed="false">
      <c r="A286" s="5" t="str">
        <f aca="false">IF($O286="","",INT($O286/1000))</f>
        <v/>
      </c>
      <c r="B286" s="6" t="str">
        <f aca="false">IF($O286="","",INDEX(Scoring!$A$29:$A$361,MATCH($O286,Scoring!$AB$29:$AB$361,0)))</f>
        <v/>
      </c>
      <c r="C286" s="5" t="str">
        <f aca="false">IF($O286="","",IF(INDEX(Scoring!$P$29:$P$361,MATCH($O286,Scoring!$AB$29:$AB$361,0))="","–",INDEX(Scoring!$P$29:$P$361,MATCH($O286,Scoring!$AB$29:$AB$361,0))))</f>
        <v/>
      </c>
      <c r="D286" s="6" t="str">
        <f aca="false">IF($O286="","",INDEX(Scoring!$Q$29:$Q$361,MATCH($O286,Scoring!$AB$29:$AB$361,0)))</f>
        <v/>
      </c>
      <c r="E286" s="7" t="str">
        <f aca="false">IF($O286="","",INDEX(Scoring!$AJ$29:$AJ$361,MATCH($O286,Scoring!$AB$29:$AB$361,0)))</f>
        <v/>
      </c>
      <c r="F286" s="6" t="str">
        <f aca="false">IF($O286="","",INDEX(Scoring!$B$29:$B$361,MATCH($O286,Scoring!$AB$29:$AB$361,0)))</f>
        <v/>
      </c>
      <c r="G286" s="7" t="str">
        <f aca="false">IF($O286="","",INDEX(Scoring!$AG$29:$AG$361,MATCH($O286,Scoring!$AB$29:$AB$361,0)))</f>
        <v/>
      </c>
      <c r="H286" s="7" t="str">
        <f aca="false">IF($O286="","",INDEX(Scoring!$C$29:$C$361,MATCH($O286,Scoring!$AB$29:$AB$361,0)))</f>
        <v/>
      </c>
      <c r="I286" s="6" t="str">
        <f aca="false">IF($O286="","",INDEX(Scoring!$I$29:$I$361,MATCH($O286,Scoring!$AB$29:$AB$361,0)))</f>
        <v/>
      </c>
      <c r="J286" s="7" t="str">
        <f aca="false">IF($O286="","",INDEX(Scoring!$Z$29:$Z$361,MATCH($O286,Scoring!$AB$29:$AB$361,0)))</f>
        <v/>
      </c>
      <c r="K286" s="8" t="str">
        <f aca="false">IF($O286="","",IF(INDEX(Scoring!$D$29:$D$361,MATCH($O286,Scoring!$AB$29:$AB$361,0))="",INDEX(Scoring!$AF$29:$AF$361,MATCH($O286,Scoring!$AB$29:$AB$361,0)),INDEX(Scoring!$D$29:$D$361,MATCH($O286,Scoring!$AB$29:$AB$361,0))))</f>
        <v/>
      </c>
      <c r="L286" s="9" t="str">
        <f aca="false">IF($O286="","",INDEX(Scoring!$M$29:$M$361,MATCH($O286,Scoring!$AB$29:$AB$361,0)))</f>
        <v/>
      </c>
      <c r="M286" s="9" t="str">
        <f aca="false">IF($O286="","",INDEX(Scoring!$F$29:$F$361,MATCH($O286,Scoring!$AB$29:$AB$361,0)))</f>
        <v/>
      </c>
      <c r="N286" s="7" t="str">
        <f aca="false">IF($O286="","",INDEX(Scoring!$AI$29:$AI$361,MATCH($O286,Scoring!$AB$29:$AB$361,0)))</f>
        <v/>
      </c>
      <c r="O286" s="10" t="str">
        <f aca="false">IFERROR(SMALL(Scoring!$AB$29:$AB$361,282),"")</f>
        <v/>
      </c>
    </row>
    <row r="287" customFormat="false" ht="15" hidden="false" customHeight="false" outlineLevel="0" collapsed="false">
      <c r="A287" s="5" t="str">
        <f aca="false">IF($O287="","",INT($O287/1000))</f>
        <v/>
      </c>
      <c r="B287" s="6" t="str">
        <f aca="false">IF($O287="","",INDEX(Scoring!$A$29:$A$361,MATCH($O287,Scoring!$AB$29:$AB$361,0)))</f>
        <v/>
      </c>
      <c r="C287" s="5" t="str">
        <f aca="false">IF($O287="","",IF(INDEX(Scoring!$P$29:$P$361,MATCH($O287,Scoring!$AB$29:$AB$361,0))="","–",INDEX(Scoring!$P$29:$P$361,MATCH($O287,Scoring!$AB$29:$AB$361,0))))</f>
        <v/>
      </c>
      <c r="D287" s="6" t="str">
        <f aca="false">IF($O287="","",INDEX(Scoring!$Q$29:$Q$361,MATCH($O287,Scoring!$AB$29:$AB$361,0)))</f>
        <v/>
      </c>
      <c r="E287" s="7" t="str">
        <f aca="false">IF($O287="","",INDEX(Scoring!$AJ$29:$AJ$361,MATCH($O287,Scoring!$AB$29:$AB$361,0)))</f>
        <v/>
      </c>
      <c r="F287" s="6" t="str">
        <f aca="false">IF($O287="","",INDEX(Scoring!$B$29:$B$361,MATCH($O287,Scoring!$AB$29:$AB$361,0)))</f>
        <v/>
      </c>
      <c r="G287" s="7" t="str">
        <f aca="false">IF($O287="","",INDEX(Scoring!$AG$29:$AG$361,MATCH($O287,Scoring!$AB$29:$AB$361,0)))</f>
        <v/>
      </c>
      <c r="H287" s="7" t="str">
        <f aca="false">IF($O287="","",INDEX(Scoring!$C$29:$C$361,MATCH($O287,Scoring!$AB$29:$AB$361,0)))</f>
        <v/>
      </c>
      <c r="I287" s="6" t="str">
        <f aca="false">IF($O287="","",INDEX(Scoring!$I$29:$I$361,MATCH($O287,Scoring!$AB$29:$AB$361,0)))</f>
        <v/>
      </c>
      <c r="J287" s="7" t="str">
        <f aca="false">IF($O287="","",INDEX(Scoring!$Z$29:$Z$361,MATCH($O287,Scoring!$AB$29:$AB$361,0)))</f>
        <v/>
      </c>
      <c r="K287" s="8" t="str">
        <f aca="false">IF($O287="","",IF(INDEX(Scoring!$D$29:$D$361,MATCH($O287,Scoring!$AB$29:$AB$361,0))="",INDEX(Scoring!$AF$29:$AF$361,MATCH($O287,Scoring!$AB$29:$AB$361,0)),INDEX(Scoring!$D$29:$D$361,MATCH($O287,Scoring!$AB$29:$AB$361,0))))</f>
        <v/>
      </c>
      <c r="L287" s="9" t="str">
        <f aca="false">IF($O287="","",INDEX(Scoring!$M$29:$M$361,MATCH($O287,Scoring!$AB$29:$AB$361,0)))</f>
        <v/>
      </c>
      <c r="M287" s="9" t="str">
        <f aca="false">IF($O287="","",INDEX(Scoring!$F$29:$F$361,MATCH($O287,Scoring!$AB$29:$AB$361,0)))</f>
        <v/>
      </c>
      <c r="N287" s="7" t="str">
        <f aca="false">IF($O287="","",INDEX(Scoring!$AI$29:$AI$361,MATCH($O287,Scoring!$AB$29:$AB$361,0)))</f>
        <v/>
      </c>
      <c r="O287" s="10" t="str">
        <f aca="false">IFERROR(SMALL(Scoring!$AB$29:$AB$361,283),"")</f>
        <v/>
      </c>
    </row>
    <row r="288" customFormat="false" ht="15" hidden="false" customHeight="false" outlineLevel="0" collapsed="false">
      <c r="A288" s="5" t="str">
        <f aca="false">IF($O288="","",INT($O288/1000))</f>
        <v/>
      </c>
      <c r="B288" s="6" t="str">
        <f aca="false">IF($O288="","",INDEX(Scoring!$A$29:$A$361,MATCH($O288,Scoring!$AB$29:$AB$361,0)))</f>
        <v/>
      </c>
      <c r="C288" s="5" t="str">
        <f aca="false">IF($O288="","",IF(INDEX(Scoring!$P$29:$P$361,MATCH($O288,Scoring!$AB$29:$AB$361,0))="","–",INDEX(Scoring!$P$29:$P$361,MATCH($O288,Scoring!$AB$29:$AB$361,0))))</f>
        <v/>
      </c>
      <c r="D288" s="6" t="str">
        <f aca="false">IF($O288="","",INDEX(Scoring!$Q$29:$Q$361,MATCH($O288,Scoring!$AB$29:$AB$361,0)))</f>
        <v/>
      </c>
      <c r="E288" s="7" t="str">
        <f aca="false">IF($O288="","",INDEX(Scoring!$AJ$29:$AJ$361,MATCH($O288,Scoring!$AB$29:$AB$361,0)))</f>
        <v/>
      </c>
      <c r="F288" s="6" t="str">
        <f aca="false">IF($O288="","",INDEX(Scoring!$B$29:$B$361,MATCH($O288,Scoring!$AB$29:$AB$361,0)))</f>
        <v/>
      </c>
      <c r="G288" s="7" t="str">
        <f aca="false">IF($O288="","",INDEX(Scoring!$AG$29:$AG$361,MATCH($O288,Scoring!$AB$29:$AB$361,0)))</f>
        <v/>
      </c>
      <c r="H288" s="7" t="str">
        <f aca="false">IF($O288="","",INDEX(Scoring!$C$29:$C$361,MATCH($O288,Scoring!$AB$29:$AB$361,0)))</f>
        <v/>
      </c>
      <c r="I288" s="6" t="str">
        <f aca="false">IF($O288="","",INDEX(Scoring!$I$29:$I$361,MATCH($O288,Scoring!$AB$29:$AB$361,0)))</f>
        <v/>
      </c>
      <c r="J288" s="7" t="str">
        <f aca="false">IF($O288="","",INDEX(Scoring!$Z$29:$Z$361,MATCH($O288,Scoring!$AB$29:$AB$361,0)))</f>
        <v/>
      </c>
      <c r="K288" s="8" t="str">
        <f aca="false">IF($O288="","",IF(INDEX(Scoring!$D$29:$D$361,MATCH($O288,Scoring!$AB$29:$AB$361,0))="",INDEX(Scoring!$AF$29:$AF$361,MATCH($O288,Scoring!$AB$29:$AB$361,0)),INDEX(Scoring!$D$29:$D$361,MATCH($O288,Scoring!$AB$29:$AB$361,0))))</f>
        <v/>
      </c>
      <c r="L288" s="9" t="str">
        <f aca="false">IF($O288="","",INDEX(Scoring!$M$29:$M$361,MATCH($O288,Scoring!$AB$29:$AB$361,0)))</f>
        <v/>
      </c>
      <c r="M288" s="9" t="str">
        <f aca="false">IF($O288="","",INDEX(Scoring!$F$29:$F$361,MATCH($O288,Scoring!$AB$29:$AB$361,0)))</f>
        <v/>
      </c>
      <c r="N288" s="7" t="str">
        <f aca="false">IF($O288="","",INDEX(Scoring!$AI$29:$AI$361,MATCH($O288,Scoring!$AB$29:$AB$361,0)))</f>
        <v/>
      </c>
      <c r="O288" s="10" t="str">
        <f aca="false">IFERROR(SMALL(Scoring!$AB$29:$AB$361,284),"")</f>
        <v/>
      </c>
    </row>
    <row r="289" customFormat="false" ht="15" hidden="false" customHeight="false" outlineLevel="0" collapsed="false">
      <c r="A289" s="5" t="str">
        <f aca="false">IF($O289="","",INT($O289/1000))</f>
        <v/>
      </c>
      <c r="B289" s="6" t="str">
        <f aca="false">IF($O289="","",INDEX(Scoring!$A$29:$A$361,MATCH($O289,Scoring!$AB$29:$AB$361,0)))</f>
        <v/>
      </c>
      <c r="C289" s="5" t="str">
        <f aca="false">IF($O289="","",IF(INDEX(Scoring!$P$29:$P$361,MATCH($O289,Scoring!$AB$29:$AB$361,0))="","–",INDEX(Scoring!$P$29:$P$361,MATCH($O289,Scoring!$AB$29:$AB$361,0))))</f>
        <v/>
      </c>
      <c r="D289" s="6" t="str">
        <f aca="false">IF($O289="","",INDEX(Scoring!$Q$29:$Q$361,MATCH($O289,Scoring!$AB$29:$AB$361,0)))</f>
        <v/>
      </c>
      <c r="E289" s="7" t="str">
        <f aca="false">IF($O289="","",INDEX(Scoring!$AJ$29:$AJ$361,MATCH($O289,Scoring!$AB$29:$AB$361,0)))</f>
        <v/>
      </c>
      <c r="F289" s="6" t="str">
        <f aca="false">IF($O289="","",INDEX(Scoring!$B$29:$B$361,MATCH($O289,Scoring!$AB$29:$AB$361,0)))</f>
        <v/>
      </c>
      <c r="G289" s="7" t="str">
        <f aca="false">IF($O289="","",INDEX(Scoring!$AG$29:$AG$361,MATCH($O289,Scoring!$AB$29:$AB$361,0)))</f>
        <v/>
      </c>
      <c r="H289" s="7" t="str">
        <f aca="false">IF($O289="","",INDEX(Scoring!$C$29:$C$361,MATCH($O289,Scoring!$AB$29:$AB$361,0)))</f>
        <v/>
      </c>
      <c r="I289" s="6" t="str">
        <f aca="false">IF($O289="","",INDEX(Scoring!$I$29:$I$361,MATCH($O289,Scoring!$AB$29:$AB$361,0)))</f>
        <v/>
      </c>
      <c r="J289" s="7" t="str">
        <f aca="false">IF($O289="","",INDEX(Scoring!$Z$29:$Z$361,MATCH($O289,Scoring!$AB$29:$AB$361,0)))</f>
        <v/>
      </c>
      <c r="K289" s="8" t="str">
        <f aca="false">IF($O289="","",IF(INDEX(Scoring!$D$29:$D$361,MATCH($O289,Scoring!$AB$29:$AB$361,0))="",INDEX(Scoring!$AF$29:$AF$361,MATCH($O289,Scoring!$AB$29:$AB$361,0)),INDEX(Scoring!$D$29:$D$361,MATCH($O289,Scoring!$AB$29:$AB$361,0))))</f>
        <v/>
      </c>
      <c r="L289" s="9" t="str">
        <f aca="false">IF($O289="","",INDEX(Scoring!$M$29:$M$361,MATCH($O289,Scoring!$AB$29:$AB$361,0)))</f>
        <v/>
      </c>
      <c r="M289" s="9" t="str">
        <f aca="false">IF($O289="","",INDEX(Scoring!$F$29:$F$361,MATCH($O289,Scoring!$AB$29:$AB$361,0)))</f>
        <v/>
      </c>
      <c r="N289" s="7" t="str">
        <f aca="false">IF($O289="","",INDEX(Scoring!$AI$29:$AI$361,MATCH($O289,Scoring!$AB$29:$AB$361,0)))</f>
        <v/>
      </c>
      <c r="O289" s="10" t="str">
        <f aca="false">IFERROR(SMALL(Scoring!$AB$29:$AB$361,285),"")</f>
        <v/>
      </c>
    </row>
    <row r="290" customFormat="false" ht="15" hidden="false" customHeight="false" outlineLevel="0" collapsed="false">
      <c r="A290" s="5" t="str">
        <f aca="false">IF($O290="","",INT($O290/1000))</f>
        <v/>
      </c>
      <c r="B290" s="6" t="str">
        <f aca="false">IF($O290="","",INDEX(Scoring!$A$29:$A$361,MATCH($O290,Scoring!$AB$29:$AB$361,0)))</f>
        <v/>
      </c>
      <c r="C290" s="5" t="str">
        <f aca="false">IF($O290="","",IF(INDEX(Scoring!$P$29:$P$361,MATCH($O290,Scoring!$AB$29:$AB$361,0))="","–",INDEX(Scoring!$P$29:$P$361,MATCH($O290,Scoring!$AB$29:$AB$361,0))))</f>
        <v/>
      </c>
      <c r="D290" s="6" t="str">
        <f aca="false">IF($O290="","",INDEX(Scoring!$Q$29:$Q$361,MATCH($O290,Scoring!$AB$29:$AB$361,0)))</f>
        <v/>
      </c>
      <c r="E290" s="7" t="str">
        <f aca="false">IF($O290="","",INDEX(Scoring!$AJ$29:$AJ$361,MATCH($O290,Scoring!$AB$29:$AB$361,0)))</f>
        <v/>
      </c>
      <c r="F290" s="6" t="str">
        <f aca="false">IF($O290="","",INDEX(Scoring!$B$29:$B$361,MATCH($O290,Scoring!$AB$29:$AB$361,0)))</f>
        <v/>
      </c>
      <c r="G290" s="7" t="str">
        <f aca="false">IF($O290="","",INDEX(Scoring!$AG$29:$AG$361,MATCH($O290,Scoring!$AB$29:$AB$361,0)))</f>
        <v/>
      </c>
      <c r="H290" s="7" t="str">
        <f aca="false">IF($O290="","",INDEX(Scoring!$C$29:$C$361,MATCH($O290,Scoring!$AB$29:$AB$361,0)))</f>
        <v/>
      </c>
      <c r="I290" s="6" t="str">
        <f aca="false">IF($O290="","",INDEX(Scoring!$I$29:$I$361,MATCH($O290,Scoring!$AB$29:$AB$361,0)))</f>
        <v/>
      </c>
      <c r="J290" s="7" t="str">
        <f aca="false">IF($O290="","",INDEX(Scoring!$Z$29:$Z$361,MATCH($O290,Scoring!$AB$29:$AB$361,0)))</f>
        <v/>
      </c>
      <c r="K290" s="8" t="str">
        <f aca="false">IF($O290="","",IF(INDEX(Scoring!$D$29:$D$361,MATCH($O290,Scoring!$AB$29:$AB$361,0))="",INDEX(Scoring!$AF$29:$AF$361,MATCH($O290,Scoring!$AB$29:$AB$361,0)),INDEX(Scoring!$D$29:$D$361,MATCH($O290,Scoring!$AB$29:$AB$361,0))))</f>
        <v/>
      </c>
      <c r="L290" s="9" t="str">
        <f aca="false">IF($O290="","",INDEX(Scoring!$M$29:$M$361,MATCH($O290,Scoring!$AB$29:$AB$361,0)))</f>
        <v/>
      </c>
      <c r="M290" s="9" t="str">
        <f aca="false">IF($O290="","",INDEX(Scoring!$F$29:$F$361,MATCH($O290,Scoring!$AB$29:$AB$361,0)))</f>
        <v/>
      </c>
      <c r="N290" s="7" t="str">
        <f aca="false">IF($O290="","",INDEX(Scoring!$AI$29:$AI$361,MATCH($O290,Scoring!$AB$29:$AB$361,0)))</f>
        <v/>
      </c>
      <c r="O290" s="10" t="str">
        <f aca="false">IFERROR(SMALL(Scoring!$AB$29:$AB$361,286),"")</f>
        <v/>
      </c>
    </row>
    <row r="291" customFormat="false" ht="15" hidden="false" customHeight="false" outlineLevel="0" collapsed="false">
      <c r="A291" s="5" t="str">
        <f aca="false">IF($O291="","",INT($O291/1000))</f>
        <v/>
      </c>
      <c r="B291" s="6" t="str">
        <f aca="false">IF($O291="","",INDEX(Scoring!$A$29:$A$361,MATCH($O291,Scoring!$AB$29:$AB$361,0)))</f>
        <v/>
      </c>
      <c r="C291" s="5" t="str">
        <f aca="false">IF($O291="","",IF(INDEX(Scoring!$P$29:$P$361,MATCH($O291,Scoring!$AB$29:$AB$361,0))="","–",INDEX(Scoring!$P$29:$P$361,MATCH($O291,Scoring!$AB$29:$AB$361,0))))</f>
        <v/>
      </c>
      <c r="D291" s="6" t="str">
        <f aca="false">IF($O291="","",INDEX(Scoring!$Q$29:$Q$361,MATCH($O291,Scoring!$AB$29:$AB$361,0)))</f>
        <v/>
      </c>
      <c r="E291" s="7" t="str">
        <f aca="false">IF($O291="","",INDEX(Scoring!$AJ$29:$AJ$361,MATCH($O291,Scoring!$AB$29:$AB$361,0)))</f>
        <v/>
      </c>
      <c r="F291" s="6" t="str">
        <f aca="false">IF($O291="","",INDEX(Scoring!$B$29:$B$361,MATCH($O291,Scoring!$AB$29:$AB$361,0)))</f>
        <v/>
      </c>
      <c r="G291" s="7" t="str">
        <f aca="false">IF($O291="","",INDEX(Scoring!$AG$29:$AG$361,MATCH($O291,Scoring!$AB$29:$AB$361,0)))</f>
        <v/>
      </c>
      <c r="H291" s="7" t="str">
        <f aca="false">IF($O291="","",INDEX(Scoring!$C$29:$C$361,MATCH($O291,Scoring!$AB$29:$AB$361,0)))</f>
        <v/>
      </c>
      <c r="I291" s="6" t="str">
        <f aca="false">IF($O291="","",INDEX(Scoring!$I$29:$I$361,MATCH($O291,Scoring!$AB$29:$AB$361,0)))</f>
        <v/>
      </c>
      <c r="J291" s="7" t="str">
        <f aca="false">IF($O291="","",INDEX(Scoring!$Z$29:$Z$361,MATCH($O291,Scoring!$AB$29:$AB$361,0)))</f>
        <v/>
      </c>
      <c r="K291" s="8" t="str">
        <f aca="false">IF($O291="","",IF(INDEX(Scoring!$D$29:$D$361,MATCH($O291,Scoring!$AB$29:$AB$361,0))="",INDEX(Scoring!$AF$29:$AF$361,MATCH($O291,Scoring!$AB$29:$AB$361,0)),INDEX(Scoring!$D$29:$D$361,MATCH($O291,Scoring!$AB$29:$AB$361,0))))</f>
        <v/>
      </c>
      <c r="L291" s="9" t="str">
        <f aca="false">IF($O291="","",INDEX(Scoring!$M$29:$M$361,MATCH($O291,Scoring!$AB$29:$AB$361,0)))</f>
        <v/>
      </c>
      <c r="M291" s="9" t="str">
        <f aca="false">IF($O291="","",INDEX(Scoring!$F$29:$F$361,MATCH($O291,Scoring!$AB$29:$AB$361,0)))</f>
        <v/>
      </c>
      <c r="N291" s="7" t="str">
        <f aca="false">IF($O291="","",INDEX(Scoring!$AI$29:$AI$361,MATCH($O291,Scoring!$AB$29:$AB$361,0)))</f>
        <v/>
      </c>
      <c r="O291" s="10" t="str">
        <f aca="false">IFERROR(SMALL(Scoring!$AB$29:$AB$361,287),"")</f>
        <v/>
      </c>
    </row>
    <row r="292" customFormat="false" ht="15" hidden="false" customHeight="false" outlineLevel="0" collapsed="false">
      <c r="A292" s="5" t="str">
        <f aca="false">IF($O292="","",INT($O292/1000))</f>
        <v/>
      </c>
      <c r="B292" s="6" t="str">
        <f aca="false">IF($O292="","",INDEX(Scoring!$A$29:$A$361,MATCH($O292,Scoring!$AB$29:$AB$361,0)))</f>
        <v/>
      </c>
      <c r="C292" s="5" t="str">
        <f aca="false">IF($O292="","",IF(INDEX(Scoring!$P$29:$P$361,MATCH($O292,Scoring!$AB$29:$AB$361,0))="","–",INDEX(Scoring!$P$29:$P$361,MATCH($O292,Scoring!$AB$29:$AB$361,0))))</f>
        <v/>
      </c>
      <c r="D292" s="6" t="str">
        <f aca="false">IF($O292="","",INDEX(Scoring!$Q$29:$Q$361,MATCH($O292,Scoring!$AB$29:$AB$361,0)))</f>
        <v/>
      </c>
      <c r="E292" s="7" t="str">
        <f aca="false">IF($O292="","",INDEX(Scoring!$AJ$29:$AJ$361,MATCH($O292,Scoring!$AB$29:$AB$361,0)))</f>
        <v/>
      </c>
      <c r="F292" s="6" t="str">
        <f aca="false">IF($O292="","",INDEX(Scoring!$B$29:$B$361,MATCH($O292,Scoring!$AB$29:$AB$361,0)))</f>
        <v/>
      </c>
      <c r="G292" s="7" t="str">
        <f aca="false">IF($O292="","",INDEX(Scoring!$AG$29:$AG$361,MATCH($O292,Scoring!$AB$29:$AB$361,0)))</f>
        <v/>
      </c>
      <c r="H292" s="7" t="str">
        <f aca="false">IF($O292="","",INDEX(Scoring!$C$29:$C$361,MATCH($O292,Scoring!$AB$29:$AB$361,0)))</f>
        <v/>
      </c>
      <c r="I292" s="6" t="str">
        <f aca="false">IF($O292="","",INDEX(Scoring!$I$29:$I$361,MATCH($O292,Scoring!$AB$29:$AB$361,0)))</f>
        <v/>
      </c>
      <c r="J292" s="7" t="str">
        <f aca="false">IF($O292="","",INDEX(Scoring!$Z$29:$Z$361,MATCH($O292,Scoring!$AB$29:$AB$361,0)))</f>
        <v/>
      </c>
      <c r="K292" s="8" t="str">
        <f aca="false">IF($O292="","",IF(INDEX(Scoring!$D$29:$D$361,MATCH($O292,Scoring!$AB$29:$AB$361,0))="",INDEX(Scoring!$AF$29:$AF$361,MATCH($O292,Scoring!$AB$29:$AB$361,0)),INDEX(Scoring!$D$29:$D$361,MATCH($O292,Scoring!$AB$29:$AB$361,0))))</f>
        <v/>
      </c>
      <c r="L292" s="9" t="str">
        <f aca="false">IF($O292="","",INDEX(Scoring!$M$29:$M$361,MATCH($O292,Scoring!$AB$29:$AB$361,0)))</f>
        <v/>
      </c>
      <c r="M292" s="9" t="str">
        <f aca="false">IF($O292="","",INDEX(Scoring!$F$29:$F$361,MATCH($O292,Scoring!$AB$29:$AB$361,0)))</f>
        <v/>
      </c>
      <c r="N292" s="7" t="str">
        <f aca="false">IF($O292="","",INDEX(Scoring!$AI$29:$AI$361,MATCH($O292,Scoring!$AB$29:$AB$361,0)))</f>
        <v/>
      </c>
      <c r="O292" s="10" t="str">
        <f aca="false">IFERROR(SMALL(Scoring!$AB$29:$AB$361,288),"")</f>
        <v/>
      </c>
    </row>
    <row r="293" customFormat="false" ht="15" hidden="false" customHeight="false" outlineLevel="0" collapsed="false">
      <c r="A293" s="5" t="str">
        <f aca="false">IF($O293="","",INT($O293/1000))</f>
        <v/>
      </c>
      <c r="B293" s="6" t="str">
        <f aca="false">IF($O293="","",INDEX(Scoring!$A$29:$A$361,MATCH($O293,Scoring!$AB$29:$AB$361,0)))</f>
        <v/>
      </c>
      <c r="C293" s="5" t="str">
        <f aca="false">IF($O293="","",IF(INDEX(Scoring!$P$29:$P$361,MATCH($O293,Scoring!$AB$29:$AB$361,0))="","–",INDEX(Scoring!$P$29:$P$361,MATCH($O293,Scoring!$AB$29:$AB$361,0))))</f>
        <v/>
      </c>
      <c r="D293" s="6" t="str">
        <f aca="false">IF($O293="","",INDEX(Scoring!$Q$29:$Q$361,MATCH($O293,Scoring!$AB$29:$AB$361,0)))</f>
        <v/>
      </c>
      <c r="E293" s="7" t="str">
        <f aca="false">IF($O293="","",INDEX(Scoring!$AJ$29:$AJ$361,MATCH($O293,Scoring!$AB$29:$AB$361,0)))</f>
        <v/>
      </c>
      <c r="F293" s="6" t="str">
        <f aca="false">IF($O293="","",INDEX(Scoring!$B$29:$B$361,MATCH($O293,Scoring!$AB$29:$AB$361,0)))</f>
        <v/>
      </c>
      <c r="G293" s="7" t="str">
        <f aca="false">IF($O293="","",INDEX(Scoring!$AG$29:$AG$361,MATCH($O293,Scoring!$AB$29:$AB$361,0)))</f>
        <v/>
      </c>
      <c r="H293" s="7" t="str">
        <f aca="false">IF($O293="","",INDEX(Scoring!$C$29:$C$361,MATCH($O293,Scoring!$AB$29:$AB$361,0)))</f>
        <v/>
      </c>
      <c r="I293" s="6" t="str">
        <f aca="false">IF($O293="","",INDEX(Scoring!$I$29:$I$361,MATCH($O293,Scoring!$AB$29:$AB$361,0)))</f>
        <v/>
      </c>
      <c r="J293" s="7" t="str">
        <f aca="false">IF($O293="","",INDEX(Scoring!$Z$29:$Z$361,MATCH($O293,Scoring!$AB$29:$AB$361,0)))</f>
        <v/>
      </c>
      <c r="K293" s="8" t="str">
        <f aca="false">IF($O293="","",IF(INDEX(Scoring!$D$29:$D$361,MATCH($O293,Scoring!$AB$29:$AB$361,0))="",INDEX(Scoring!$AF$29:$AF$361,MATCH($O293,Scoring!$AB$29:$AB$361,0)),INDEX(Scoring!$D$29:$D$361,MATCH($O293,Scoring!$AB$29:$AB$361,0))))</f>
        <v/>
      </c>
      <c r="L293" s="9" t="str">
        <f aca="false">IF($O293="","",INDEX(Scoring!$M$29:$M$361,MATCH($O293,Scoring!$AB$29:$AB$361,0)))</f>
        <v/>
      </c>
      <c r="M293" s="9" t="str">
        <f aca="false">IF($O293="","",INDEX(Scoring!$F$29:$F$361,MATCH($O293,Scoring!$AB$29:$AB$361,0)))</f>
        <v/>
      </c>
      <c r="N293" s="7" t="str">
        <f aca="false">IF($O293="","",INDEX(Scoring!$AI$29:$AI$361,MATCH($O293,Scoring!$AB$29:$AB$361,0)))</f>
        <v/>
      </c>
      <c r="O293" s="10" t="str">
        <f aca="false">IFERROR(SMALL(Scoring!$AB$29:$AB$361,289),"")</f>
        <v/>
      </c>
    </row>
    <row r="294" customFormat="false" ht="15" hidden="false" customHeight="false" outlineLevel="0" collapsed="false">
      <c r="A294" s="5" t="str">
        <f aca="false">IF($O294="","",INT($O294/1000))</f>
        <v/>
      </c>
      <c r="B294" s="6" t="str">
        <f aca="false">IF($O294="","",INDEX(Scoring!$A$29:$A$361,MATCH($O294,Scoring!$AB$29:$AB$361,0)))</f>
        <v/>
      </c>
      <c r="C294" s="5" t="str">
        <f aca="false">IF($O294="","",IF(INDEX(Scoring!$P$29:$P$361,MATCH($O294,Scoring!$AB$29:$AB$361,0))="","–",INDEX(Scoring!$P$29:$P$361,MATCH($O294,Scoring!$AB$29:$AB$361,0))))</f>
        <v/>
      </c>
      <c r="D294" s="6" t="str">
        <f aca="false">IF($O294="","",INDEX(Scoring!$Q$29:$Q$361,MATCH($O294,Scoring!$AB$29:$AB$361,0)))</f>
        <v/>
      </c>
      <c r="E294" s="7" t="str">
        <f aca="false">IF($O294="","",INDEX(Scoring!$AJ$29:$AJ$361,MATCH($O294,Scoring!$AB$29:$AB$361,0)))</f>
        <v/>
      </c>
      <c r="F294" s="6" t="str">
        <f aca="false">IF($O294="","",INDEX(Scoring!$B$29:$B$361,MATCH($O294,Scoring!$AB$29:$AB$361,0)))</f>
        <v/>
      </c>
      <c r="G294" s="7" t="str">
        <f aca="false">IF($O294="","",INDEX(Scoring!$AG$29:$AG$361,MATCH($O294,Scoring!$AB$29:$AB$361,0)))</f>
        <v/>
      </c>
      <c r="H294" s="7" t="str">
        <f aca="false">IF($O294="","",INDEX(Scoring!$C$29:$C$361,MATCH($O294,Scoring!$AB$29:$AB$361,0)))</f>
        <v/>
      </c>
      <c r="I294" s="6" t="str">
        <f aca="false">IF($O294="","",INDEX(Scoring!$I$29:$I$361,MATCH($O294,Scoring!$AB$29:$AB$361,0)))</f>
        <v/>
      </c>
      <c r="J294" s="7" t="str">
        <f aca="false">IF($O294="","",INDEX(Scoring!$Z$29:$Z$361,MATCH($O294,Scoring!$AB$29:$AB$361,0)))</f>
        <v/>
      </c>
      <c r="K294" s="8" t="str">
        <f aca="false">IF($O294="","",IF(INDEX(Scoring!$D$29:$D$361,MATCH($O294,Scoring!$AB$29:$AB$361,0))="",INDEX(Scoring!$AF$29:$AF$361,MATCH($O294,Scoring!$AB$29:$AB$361,0)),INDEX(Scoring!$D$29:$D$361,MATCH($O294,Scoring!$AB$29:$AB$361,0))))</f>
        <v/>
      </c>
      <c r="L294" s="9" t="str">
        <f aca="false">IF($O294="","",INDEX(Scoring!$M$29:$M$361,MATCH($O294,Scoring!$AB$29:$AB$361,0)))</f>
        <v/>
      </c>
      <c r="M294" s="9" t="str">
        <f aca="false">IF($O294="","",INDEX(Scoring!$F$29:$F$361,MATCH($O294,Scoring!$AB$29:$AB$361,0)))</f>
        <v/>
      </c>
      <c r="N294" s="7" t="str">
        <f aca="false">IF($O294="","",INDEX(Scoring!$AI$29:$AI$361,MATCH($O294,Scoring!$AB$29:$AB$361,0)))</f>
        <v/>
      </c>
      <c r="O294" s="10" t="str">
        <f aca="false">IFERROR(SMALL(Scoring!$AB$29:$AB$361,290),"")</f>
        <v/>
      </c>
    </row>
    <row r="295" customFormat="false" ht="15" hidden="false" customHeight="false" outlineLevel="0" collapsed="false">
      <c r="A295" s="5" t="str">
        <f aca="false">IF($O295="","",INT($O295/1000))</f>
        <v/>
      </c>
      <c r="B295" s="6" t="str">
        <f aca="false">IF($O295="","",INDEX(Scoring!$A$29:$A$361,MATCH($O295,Scoring!$AB$29:$AB$361,0)))</f>
        <v/>
      </c>
      <c r="C295" s="5" t="str">
        <f aca="false">IF($O295="","",IF(INDEX(Scoring!$P$29:$P$361,MATCH($O295,Scoring!$AB$29:$AB$361,0))="","–",INDEX(Scoring!$P$29:$P$361,MATCH($O295,Scoring!$AB$29:$AB$361,0))))</f>
        <v/>
      </c>
      <c r="D295" s="6" t="str">
        <f aca="false">IF($O295="","",INDEX(Scoring!$Q$29:$Q$361,MATCH($O295,Scoring!$AB$29:$AB$361,0)))</f>
        <v/>
      </c>
      <c r="E295" s="7" t="str">
        <f aca="false">IF($O295="","",INDEX(Scoring!$AJ$29:$AJ$361,MATCH($O295,Scoring!$AB$29:$AB$361,0)))</f>
        <v/>
      </c>
      <c r="F295" s="6" t="str">
        <f aca="false">IF($O295="","",INDEX(Scoring!$B$29:$B$361,MATCH($O295,Scoring!$AB$29:$AB$361,0)))</f>
        <v/>
      </c>
      <c r="G295" s="7" t="str">
        <f aca="false">IF($O295="","",INDEX(Scoring!$AG$29:$AG$361,MATCH($O295,Scoring!$AB$29:$AB$361,0)))</f>
        <v/>
      </c>
      <c r="H295" s="7" t="str">
        <f aca="false">IF($O295="","",INDEX(Scoring!$C$29:$C$361,MATCH($O295,Scoring!$AB$29:$AB$361,0)))</f>
        <v/>
      </c>
      <c r="I295" s="6" t="str">
        <f aca="false">IF($O295="","",INDEX(Scoring!$I$29:$I$361,MATCH($O295,Scoring!$AB$29:$AB$361,0)))</f>
        <v/>
      </c>
      <c r="J295" s="7" t="str">
        <f aca="false">IF($O295="","",INDEX(Scoring!$Z$29:$Z$361,MATCH($O295,Scoring!$AB$29:$AB$361,0)))</f>
        <v/>
      </c>
      <c r="K295" s="8" t="str">
        <f aca="false">IF($O295="","",IF(INDEX(Scoring!$D$29:$D$361,MATCH($O295,Scoring!$AB$29:$AB$361,0))="",INDEX(Scoring!$AF$29:$AF$361,MATCH($O295,Scoring!$AB$29:$AB$361,0)),INDEX(Scoring!$D$29:$D$361,MATCH($O295,Scoring!$AB$29:$AB$361,0))))</f>
        <v/>
      </c>
      <c r="L295" s="9" t="str">
        <f aca="false">IF($O295="","",INDEX(Scoring!$M$29:$M$361,MATCH($O295,Scoring!$AB$29:$AB$361,0)))</f>
        <v/>
      </c>
      <c r="M295" s="9" t="str">
        <f aca="false">IF($O295="","",INDEX(Scoring!$F$29:$F$361,MATCH($O295,Scoring!$AB$29:$AB$361,0)))</f>
        <v/>
      </c>
      <c r="N295" s="7" t="str">
        <f aca="false">IF($O295="","",INDEX(Scoring!$AI$29:$AI$361,MATCH($O295,Scoring!$AB$29:$AB$361,0)))</f>
        <v/>
      </c>
      <c r="O295" s="10" t="str">
        <f aca="false">IFERROR(SMALL(Scoring!$AB$29:$AB$361,291),"")</f>
        <v/>
      </c>
    </row>
    <row r="296" customFormat="false" ht="15" hidden="false" customHeight="false" outlineLevel="0" collapsed="false">
      <c r="A296" s="5" t="str">
        <f aca="false">IF($O296="","",INT($O296/1000))</f>
        <v/>
      </c>
      <c r="B296" s="6" t="str">
        <f aca="false">IF($O296="","",INDEX(Scoring!$A$29:$A$361,MATCH($O296,Scoring!$AB$29:$AB$361,0)))</f>
        <v/>
      </c>
      <c r="C296" s="5" t="str">
        <f aca="false">IF($O296="","",IF(INDEX(Scoring!$P$29:$P$361,MATCH($O296,Scoring!$AB$29:$AB$361,0))="","–",INDEX(Scoring!$P$29:$P$361,MATCH($O296,Scoring!$AB$29:$AB$361,0))))</f>
        <v/>
      </c>
      <c r="D296" s="6" t="str">
        <f aca="false">IF($O296="","",INDEX(Scoring!$Q$29:$Q$361,MATCH($O296,Scoring!$AB$29:$AB$361,0)))</f>
        <v/>
      </c>
      <c r="E296" s="7" t="str">
        <f aca="false">IF($O296="","",INDEX(Scoring!$AJ$29:$AJ$361,MATCH($O296,Scoring!$AB$29:$AB$361,0)))</f>
        <v/>
      </c>
      <c r="F296" s="6" t="str">
        <f aca="false">IF($O296="","",INDEX(Scoring!$B$29:$B$361,MATCH($O296,Scoring!$AB$29:$AB$361,0)))</f>
        <v/>
      </c>
      <c r="G296" s="7" t="str">
        <f aca="false">IF($O296="","",INDEX(Scoring!$AG$29:$AG$361,MATCH($O296,Scoring!$AB$29:$AB$361,0)))</f>
        <v/>
      </c>
      <c r="H296" s="7" t="str">
        <f aca="false">IF($O296="","",INDEX(Scoring!$C$29:$C$361,MATCH($O296,Scoring!$AB$29:$AB$361,0)))</f>
        <v/>
      </c>
      <c r="I296" s="6" t="str">
        <f aca="false">IF($O296="","",INDEX(Scoring!$I$29:$I$361,MATCH($O296,Scoring!$AB$29:$AB$361,0)))</f>
        <v/>
      </c>
      <c r="J296" s="7" t="str">
        <f aca="false">IF($O296="","",INDEX(Scoring!$Z$29:$Z$361,MATCH($O296,Scoring!$AB$29:$AB$361,0)))</f>
        <v/>
      </c>
      <c r="K296" s="8" t="str">
        <f aca="false">IF($O296="","",IF(INDEX(Scoring!$D$29:$D$361,MATCH($O296,Scoring!$AB$29:$AB$361,0))="",INDEX(Scoring!$AF$29:$AF$361,MATCH($O296,Scoring!$AB$29:$AB$361,0)),INDEX(Scoring!$D$29:$D$361,MATCH($O296,Scoring!$AB$29:$AB$361,0))))</f>
        <v/>
      </c>
      <c r="L296" s="9" t="str">
        <f aca="false">IF($O296="","",INDEX(Scoring!$M$29:$M$361,MATCH($O296,Scoring!$AB$29:$AB$361,0)))</f>
        <v/>
      </c>
      <c r="M296" s="9" t="str">
        <f aca="false">IF($O296="","",INDEX(Scoring!$F$29:$F$361,MATCH($O296,Scoring!$AB$29:$AB$361,0)))</f>
        <v/>
      </c>
      <c r="N296" s="7" t="str">
        <f aca="false">IF($O296="","",INDEX(Scoring!$AI$29:$AI$361,MATCH($O296,Scoring!$AB$29:$AB$361,0)))</f>
        <v/>
      </c>
      <c r="O296" s="10" t="str">
        <f aca="false">IFERROR(SMALL(Scoring!$AB$29:$AB$361,292),"")</f>
        <v/>
      </c>
    </row>
    <row r="297" customFormat="false" ht="15" hidden="false" customHeight="false" outlineLevel="0" collapsed="false">
      <c r="A297" s="5" t="str">
        <f aca="false">IF($O297="","",INT($O297/1000))</f>
        <v/>
      </c>
      <c r="B297" s="6" t="str">
        <f aca="false">IF($O297="","",INDEX(Scoring!$A$29:$A$361,MATCH($O297,Scoring!$AB$29:$AB$361,0)))</f>
        <v/>
      </c>
      <c r="C297" s="5" t="str">
        <f aca="false">IF($O297="","",IF(INDEX(Scoring!$P$29:$P$361,MATCH($O297,Scoring!$AB$29:$AB$361,0))="","–",INDEX(Scoring!$P$29:$P$361,MATCH($O297,Scoring!$AB$29:$AB$361,0))))</f>
        <v/>
      </c>
      <c r="D297" s="6" t="str">
        <f aca="false">IF($O297="","",INDEX(Scoring!$Q$29:$Q$361,MATCH($O297,Scoring!$AB$29:$AB$361,0)))</f>
        <v/>
      </c>
      <c r="E297" s="7" t="str">
        <f aca="false">IF($O297="","",INDEX(Scoring!$AJ$29:$AJ$361,MATCH($O297,Scoring!$AB$29:$AB$361,0)))</f>
        <v/>
      </c>
      <c r="F297" s="6" t="str">
        <f aca="false">IF($O297="","",INDEX(Scoring!$B$29:$B$361,MATCH($O297,Scoring!$AB$29:$AB$361,0)))</f>
        <v/>
      </c>
      <c r="G297" s="7" t="str">
        <f aca="false">IF($O297="","",INDEX(Scoring!$AG$29:$AG$361,MATCH($O297,Scoring!$AB$29:$AB$361,0)))</f>
        <v/>
      </c>
      <c r="H297" s="7" t="str">
        <f aca="false">IF($O297="","",INDEX(Scoring!$C$29:$C$361,MATCH($O297,Scoring!$AB$29:$AB$361,0)))</f>
        <v/>
      </c>
      <c r="I297" s="6" t="str">
        <f aca="false">IF($O297="","",INDEX(Scoring!$I$29:$I$361,MATCH($O297,Scoring!$AB$29:$AB$361,0)))</f>
        <v/>
      </c>
      <c r="J297" s="7" t="str">
        <f aca="false">IF($O297="","",INDEX(Scoring!$Z$29:$Z$361,MATCH($O297,Scoring!$AB$29:$AB$361,0)))</f>
        <v/>
      </c>
      <c r="K297" s="8" t="str">
        <f aca="false">IF($O297="","",IF(INDEX(Scoring!$D$29:$D$361,MATCH($O297,Scoring!$AB$29:$AB$361,0))="",INDEX(Scoring!$AF$29:$AF$361,MATCH($O297,Scoring!$AB$29:$AB$361,0)),INDEX(Scoring!$D$29:$D$361,MATCH($O297,Scoring!$AB$29:$AB$361,0))))</f>
        <v/>
      </c>
      <c r="L297" s="9" t="str">
        <f aca="false">IF($O297="","",INDEX(Scoring!$M$29:$M$361,MATCH($O297,Scoring!$AB$29:$AB$361,0)))</f>
        <v/>
      </c>
      <c r="M297" s="9" t="str">
        <f aca="false">IF($O297="","",INDEX(Scoring!$F$29:$F$361,MATCH($O297,Scoring!$AB$29:$AB$361,0)))</f>
        <v/>
      </c>
      <c r="N297" s="7" t="str">
        <f aca="false">IF($O297="","",INDEX(Scoring!$AI$29:$AI$361,MATCH($O297,Scoring!$AB$29:$AB$361,0)))</f>
        <v/>
      </c>
      <c r="O297" s="10" t="str">
        <f aca="false">IFERROR(SMALL(Scoring!$AB$29:$AB$361,293),"")</f>
        <v/>
      </c>
    </row>
    <row r="298" customFormat="false" ht="15" hidden="false" customHeight="false" outlineLevel="0" collapsed="false">
      <c r="A298" s="5" t="str">
        <f aca="false">IF($O298="","",INT($O298/1000))</f>
        <v/>
      </c>
      <c r="B298" s="6" t="str">
        <f aca="false">IF($O298="","",INDEX(Scoring!$A$29:$A$361,MATCH($O298,Scoring!$AB$29:$AB$361,0)))</f>
        <v/>
      </c>
      <c r="C298" s="5" t="str">
        <f aca="false">IF($O298="","",IF(INDEX(Scoring!$P$29:$P$361,MATCH($O298,Scoring!$AB$29:$AB$361,0))="","–",INDEX(Scoring!$P$29:$P$361,MATCH($O298,Scoring!$AB$29:$AB$361,0))))</f>
        <v/>
      </c>
      <c r="D298" s="6" t="str">
        <f aca="false">IF($O298="","",INDEX(Scoring!$Q$29:$Q$361,MATCH($O298,Scoring!$AB$29:$AB$361,0)))</f>
        <v/>
      </c>
      <c r="E298" s="7" t="str">
        <f aca="false">IF($O298="","",INDEX(Scoring!$AJ$29:$AJ$361,MATCH($O298,Scoring!$AB$29:$AB$361,0)))</f>
        <v/>
      </c>
      <c r="F298" s="6" t="str">
        <f aca="false">IF($O298="","",INDEX(Scoring!$B$29:$B$361,MATCH($O298,Scoring!$AB$29:$AB$361,0)))</f>
        <v/>
      </c>
      <c r="G298" s="7" t="str">
        <f aca="false">IF($O298="","",INDEX(Scoring!$AG$29:$AG$361,MATCH($O298,Scoring!$AB$29:$AB$361,0)))</f>
        <v/>
      </c>
      <c r="H298" s="7" t="str">
        <f aca="false">IF($O298="","",INDEX(Scoring!$C$29:$C$361,MATCH($O298,Scoring!$AB$29:$AB$361,0)))</f>
        <v/>
      </c>
      <c r="I298" s="6" t="str">
        <f aca="false">IF($O298="","",INDEX(Scoring!$I$29:$I$361,MATCH($O298,Scoring!$AB$29:$AB$361,0)))</f>
        <v/>
      </c>
      <c r="J298" s="7" t="str">
        <f aca="false">IF($O298="","",INDEX(Scoring!$Z$29:$Z$361,MATCH($O298,Scoring!$AB$29:$AB$361,0)))</f>
        <v/>
      </c>
      <c r="K298" s="8" t="str">
        <f aca="false">IF($O298="","",IF(INDEX(Scoring!$D$29:$D$361,MATCH($O298,Scoring!$AB$29:$AB$361,0))="",INDEX(Scoring!$AF$29:$AF$361,MATCH($O298,Scoring!$AB$29:$AB$361,0)),INDEX(Scoring!$D$29:$D$361,MATCH($O298,Scoring!$AB$29:$AB$361,0))))</f>
        <v/>
      </c>
      <c r="L298" s="9" t="str">
        <f aca="false">IF($O298="","",INDEX(Scoring!$M$29:$M$361,MATCH($O298,Scoring!$AB$29:$AB$361,0)))</f>
        <v/>
      </c>
      <c r="M298" s="9" t="str">
        <f aca="false">IF($O298="","",INDEX(Scoring!$F$29:$F$361,MATCH($O298,Scoring!$AB$29:$AB$361,0)))</f>
        <v/>
      </c>
      <c r="N298" s="7" t="str">
        <f aca="false">IF($O298="","",INDEX(Scoring!$AI$29:$AI$361,MATCH($O298,Scoring!$AB$29:$AB$361,0)))</f>
        <v/>
      </c>
      <c r="O298" s="10" t="str">
        <f aca="false">IFERROR(SMALL(Scoring!$AB$29:$AB$361,294),"")</f>
        <v/>
      </c>
    </row>
    <row r="299" customFormat="false" ht="15" hidden="false" customHeight="false" outlineLevel="0" collapsed="false">
      <c r="A299" s="5" t="str">
        <f aca="false">IF($O299="","",INT($O299/1000))</f>
        <v/>
      </c>
      <c r="B299" s="6" t="str">
        <f aca="false">IF($O299="","",INDEX(Scoring!$A$29:$A$361,MATCH($O299,Scoring!$AB$29:$AB$361,0)))</f>
        <v/>
      </c>
      <c r="C299" s="5" t="str">
        <f aca="false">IF($O299="","",IF(INDEX(Scoring!$P$29:$P$361,MATCH($O299,Scoring!$AB$29:$AB$361,0))="","–",INDEX(Scoring!$P$29:$P$361,MATCH($O299,Scoring!$AB$29:$AB$361,0))))</f>
        <v/>
      </c>
      <c r="D299" s="6" t="str">
        <f aca="false">IF($O299="","",INDEX(Scoring!$Q$29:$Q$361,MATCH($O299,Scoring!$AB$29:$AB$361,0)))</f>
        <v/>
      </c>
      <c r="E299" s="7" t="str">
        <f aca="false">IF($O299="","",INDEX(Scoring!$AJ$29:$AJ$361,MATCH($O299,Scoring!$AB$29:$AB$361,0)))</f>
        <v/>
      </c>
      <c r="F299" s="6" t="str">
        <f aca="false">IF($O299="","",INDEX(Scoring!$B$29:$B$361,MATCH($O299,Scoring!$AB$29:$AB$361,0)))</f>
        <v/>
      </c>
      <c r="G299" s="7" t="str">
        <f aca="false">IF($O299="","",INDEX(Scoring!$AG$29:$AG$361,MATCH($O299,Scoring!$AB$29:$AB$361,0)))</f>
        <v/>
      </c>
      <c r="H299" s="7" t="str">
        <f aca="false">IF($O299="","",INDEX(Scoring!$C$29:$C$361,MATCH($O299,Scoring!$AB$29:$AB$361,0)))</f>
        <v/>
      </c>
      <c r="I299" s="6" t="str">
        <f aca="false">IF($O299="","",INDEX(Scoring!$I$29:$I$361,MATCH($O299,Scoring!$AB$29:$AB$361,0)))</f>
        <v/>
      </c>
      <c r="J299" s="7" t="str">
        <f aca="false">IF($O299="","",INDEX(Scoring!$Z$29:$Z$361,MATCH($O299,Scoring!$AB$29:$AB$361,0)))</f>
        <v/>
      </c>
      <c r="K299" s="8" t="str">
        <f aca="false">IF($O299="","",IF(INDEX(Scoring!$D$29:$D$361,MATCH($O299,Scoring!$AB$29:$AB$361,0))="",INDEX(Scoring!$AF$29:$AF$361,MATCH($O299,Scoring!$AB$29:$AB$361,0)),INDEX(Scoring!$D$29:$D$361,MATCH($O299,Scoring!$AB$29:$AB$361,0))))</f>
        <v/>
      </c>
      <c r="L299" s="9" t="str">
        <f aca="false">IF($O299="","",INDEX(Scoring!$M$29:$M$361,MATCH($O299,Scoring!$AB$29:$AB$361,0)))</f>
        <v/>
      </c>
      <c r="M299" s="9" t="str">
        <f aca="false">IF($O299="","",INDEX(Scoring!$F$29:$F$361,MATCH($O299,Scoring!$AB$29:$AB$361,0)))</f>
        <v/>
      </c>
      <c r="N299" s="7" t="str">
        <f aca="false">IF($O299="","",INDEX(Scoring!$AI$29:$AI$361,MATCH($O299,Scoring!$AB$29:$AB$361,0)))</f>
        <v/>
      </c>
      <c r="O299" s="10" t="str">
        <f aca="false">IFERROR(SMALL(Scoring!$AB$29:$AB$361,295),"")</f>
        <v/>
      </c>
    </row>
    <row r="300" customFormat="false" ht="15" hidden="false" customHeight="false" outlineLevel="0" collapsed="false">
      <c r="A300" s="5" t="str">
        <f aca="false">IF($O300="","",INT($O300/1000))</f>
        <v/>
      </c>
      <c r="B300" s="6" t="str">
        <f aca="false">IF($O300="","",INDEX(Scoring!$A$29:$A$361,MATCH($O300,Scoring!$AB$29:$AB$361,0)))</f>
        <v/>
      </c>
      <c r="C300" s="5" t="str">
        <f aca="false">IF($O300="","",IF(INDEX(Scoring!$P$29:$P$361,MATCH($O300,Scoring!$AB$29:$AB$361,0))="","–",INDEX(Scoring!$P$29:$P$361,MATCH($O300,Scoring!$AB$29:$AB$361,0))))</f>
        <v/>
      </c>
      <c r="D300" s="6" t="str">
        <f aca="false">IF($O300="","",INDEX(Scoring!$Q$29:$Q$361,MATCH($O300,Scoring!$AB$29:$AB$361,0)))</f>
        <v/>
      </c>
      <c r="E300" s="7" t="str">
        <f aca="false">IF($O300="","",INDEX(Scoring!$AJ$29:$AJ$361,MATCH($O300,Scoring!$AB$29:$AB$361,0)))</f>
        <v/>
      </c>
      <c r="F300" s="6" t="str">
        <f aca="false">IF($O300="","",INDEX(Scoring!$B$29:$B$361,MATCH($O300,Scoring!$AB$29:$AB$361,0)))</f>
        <v/>
      </c>
      <c r="G300" s="7" t="str">
        <f aca="false">IF($O300="","",INDEX(Scoring!$AG$29:$AG$361,MATCH($O300,Scoring!$AB$29:$AB$361,0)))</f>
        <v/>
      </c>
      <c r="H300" s="7" t="str">
        <f aca="false">IF($O300="","",INDEX(Scoring!$C$29:$C$361,MATCH($O300,Scoring!$AB$29:$AB$361,0)))</f>
        <v/>
      </c>
      <c r="I300" s="6" t="str">
        <f aca="false">IF($O300="","",INDEX(Scoring!$I$29:$I$361,MATCH($O300,Scoring!$AB$29:$AB$361,0)))</f>
        <v/>
      </c>
      <c r="J300" s="7" t="str">
        <f aca="false">IF($O300="","",INDEX(Scoring!$Z$29:$Z$361,MATCH($O300,Scoring!$AB$29:$AB$361,0)))</f>
        <v/>
      </c>
      <c r="K300" s="8" t="str">
        <f aca="false">IF($O300="","",IF(INDEX(Scoring!$D$29:$D$361,MATCH($O300,Scoring!$AB$29:$AB$361,0))="",INDEX(Scoring!$AF$29:$AF$361,MATCH($O300,Scoring!$AB$29:$AB$361,0)),INDEX(Scoring!$D$29:$D$361,MATCH($O300,Scoring!$AB$29:$AB$361,0))))</f>
        <v/>
      </c>
      <c r="L300" s="9" t="str">
        <f aca="false">IF($O300="","",INDEX(Scoring!$M$29:$M$361,MATCH($O300,Scoring!$AB$29:$AB$361,0)))</f>
        <v/>
      </c>
      <c r="M300" s="9" t="str">
        <f aca="false">IF($O300="","",INDEX(Scoring!$F$29:$F$361,MATCH($O300,Scoring!$AB$29:$AB$361,0)))</f>
        <v/>
      </c>
      <c r="N300" s="7" t="str">
        <f aca="false">IF($O300="","",INDEX(Scoring!$AI$29:$AI$361,MATCH($O300,Scoring!$AB$29:$AB$361,0)))</f>
        <v/>
      </c>
      <c r="O300" s="10" t="str">
        <f aca="false">IFERROR(SMALL(Scoring!$AB$29:$AB$361,296),"")</f>
        <v/>
      </c>
    </row>
    <row r="301" customFormat="false" ht="15" hidden="false" customHeight="false" outlineLevel="0" collapsed="false">
      <c r="A301" s="5" t="str">
        <f aca="false">IF($O301="","",INT($O301/1000))</f>
        <v/>
      </c>
      <c r="B301" s="6" t="str">
        <f aca="false">IF($O301="","",INDEX(Scoring!$A$29:$A$361,MATCH($O301,Scoring!$AB$29:$AB$361,0)))</f>
        <v/>
      </c>
      <c r="C301" s="5" t="str">
        <f aca="false">IF($O301="","",IF(INDEX(Scoring!$P$29:$P$361,MATCH($O301,Scoring!$AB$29:$AB$361,0))="","–",INDEX(Scoring!$P$29:$P$361,MATCH($O301,Scoring!$AB$29:$AB$361,0))))</f>
        <v/>
      </c>
      <c r="D301" s="6" t="str">
        <f aca="false">IF($O301="","",INDEX(Scoring!$Q$29:$Q$361,MATCH($O301,Scoring!$AB$29:$AB$361,0)))</f>
        <v/>
      </c>
      <c r="E301" s="7" t="str">
        <f aca="false">IF($O301="","",INDEX(Scoring!$AJ$29:$AJ$361,MATCH($O301,Scoring!$AB$29:$AB$361,0)))</f>
        <v/>
      </c>
      <c r="F301" s="6" t="str">
        <f aca="false">IF($O301="","",INDEX(Scoring!$B$29:$B$361,MATCH($O301,Scoring!$AB$29:$AB$361,0)))</f>
        <v/>
      </c>
      <c r="G301" s="7" t="str">
        <f aca="false">IF($O301="","",INDEX(Scoring!$AG$29:$AG$361,MATCH($O301,Scoring!$AB$29:$AB$361,0)))</f>
        <v/>
      </c>
      <c r="H301" s="7" t="str">
        <f aca="false">IF($O301="","",INDEX(Scoring!$C$29:$C$361,MATCH($O301,Scoring!$AB$29:$AB$361,0)))</f>
        <v/>
      </c>
      <c r="I301" s="6" t="str">
        <f aca="false">IF($O301="","",INDEX(Scoring!$I$29:$I$361,MATCH($O301,Scoring!$AB$29:$AB$361,0)))</f>
        <v/>
      </c>
      <c r="J301" s="7" t="str">
        <f aca="false">IF($O301="","",INDEX(Scoring!$Z$29:$Z$361,MATCH($O301,Scoring!$AB$29:$AB$361,0)))</f>
        <v/>
      </c>
      <c r="K301" s="8" t="str">
        <f aca="false">IF($O301="","",IF(INDEX(Scoring!$D$29:$D$361,MATCH($O301,Scoring!$AB$29:$AB$361,0))="",INDEX(Scoring!$AF$29:$AF$361,MATCH($O301,Scoring!$AB$29:$AB$361,0)),INDEX(Scoring!$D$29:$D$361,MATCH($O301,Scoring!$AB$29:$AB$361,0))))</f>
        <v/>
      </c>
      <c r="L301" s="9" t="str">
        <f aca="false">IF($O301="","",INDEX(Scoring!$M$29:$M$361,MATCH($O301,Scoring!$AB$29:$AB$361,0)))</f>
        <v/>
      </c>
      <c r="M301" s="9" t="str">
        <f aca="false">IF($O301="","",INDEX(Scoring!$F$29:$F$361,MATCH($O301,Scoring!$AB$29:$AB$361,0)))</f>
        <v/>
      </c>
      <c r="N301" s="7" t="str">
        <f aca="false">IF($O301="","",INDEX(Scoring!$AI$29:$AI$361,MATCH($O301,Scoring!$AB$29:$AB$361,0)))</f>
        <v/>
      </c>
      <c r="O301" s="10" t="str">
        <f aca="false">IFERROR(SMALL(Scoring!$AB$29:$AB$361,297),"")</f>
        <v/>
      </c>
    </row>
    <row r="302" customFormat="false" ht="15" hidden="false" customHeight="false" outlineLevel="0" collapsed="false">
      <c r="A302" s="5" t="str">
        <f aca="false">IF($O302="","",INT($O302/1000))</f>
        <v/>
      </c>
      <c r="B302" s="6" t="str">
        <f aca="false">IF($O302="","",INDEX(Scoring!$A$29:$A$361,MATCH($O302,Scoring!$AB$29:$AB$361,0)))</f>
        <v/>
      </c>
      <c r="C302" s="5" t="str">
        <f aca="false">IF($O302="","",IF(INDEX(Scoring!$P$29:$P$361,MATCH($O302,Scoring!$AB$29:$AB$361,0))="","–",INDEX(Scoring!$P$29:$P$361,MATCH($O302,Scoring!$AB$29:$AB$361,0))))</f>
        <v/>
      </c>
      <c r="D302" s="6" t="str">
        <f aca="false">IF($O302="","",INDEX(Scoring!$Q$29:$Q$361,MATCH($O302,Scoring!$AB$29:$AB$361,0)))</f>
        <v/>
      </c>
      <c r="E302" s="7" t="str">
        <f aca="false">IF($O302="","",INDEX(Scoring!$AJ$29:$AJ$361,MATCH($O302,Scoring!$AB$29:$AB$361,0)))</f>
        <v/>
      </c>
      <c r="F302" s="6" t="str">
        <f aca="false">IF($O302="","",INDEX(Scoring!$B$29:$B$361,MATCH($O302,Scoring!$AB$29:$AB$361,0)))</f>
        <v/>
      </c>
      <c r="G302" s="7" t="str">
        <f aca="false">IF($O302="","",INDEX(Scoring!$AG$29:$AG$361,MATCH($O302,Scoring!$AB$29:$AB$361,0)))</f>
        <v/>
      </c>
      <c r="H302" s="7" t="str">
        <f aca="false">IF($O302="","",INDEX(Scoring!$C$29:$C$361,MATCH($O302,Scoring!$AB$29:$AB$361,0)))</f>
        <v/>
      </c>
      <c r="I302" s="6" t="str">
        <f aca="false">IF($O302="","",INDEX(Scoring!$I$29:$I$361,MATCH($O302,Scoring!$AB$29:$AB$361,0)))</f>
        <v/>
      </c>
      <c r="J302" s="7" t="str">
        <f aca="false">IF($O302="","",INDEX(Scoring!$Z$29:$Z$361,MATCH($O302,Scoring!$AB$29:$AB$361,0)))</f>
        <v/>
      </c>
      <c r="K302" s="8" t="str">
        <f aca="false">IF($O302="","",IF(INDEX(Scoring!$D$29:$D$361,MATCH($O302,Scoring!$AB$29:$AB$361,0))="",INDEX(Scoring!$AF$29:$AF$361,MATCH($O302,Scoring!$AB$29:$AB$361,0)),INDEX(Scoring!$D$29:$D$361,MATCH($O302,Scoring!$AB$29:$AB$361,0))))</f>
        <v/>
      </c>
      <c r="L302" s="9" t="str">
        <f aca="false">IF($O302="","",INDEX(Scoring!$M$29:$M$361,MATCH($O302,Scoring!$AB$29:$AB$361,0)))</f>
        <v/>
      </c>
      <c r="M302" s="9" t="str">
        <f aca="false">IF($O302="","",INDEX(Scoring!$F$29:$F$361,MATCH($O302,Scoring!$AB$29:$AB$361,0)))</f>
        <v/>
      </c>
      <c r="N302" s="7" t="str">
        <f aca="false">IF($O302="","",INDEX(Scoring!$AI$29:$AI$361,MATCH($O302,Scoring!$AB$29:$AB$361,0)))</f>
        <v/>
      </c>
      <c r="O302" s="10" t="str">
        <f aca="false">IFERROR(SMALL(Scoring!$AB$29:$AB$361,298),"")</f>
        <v/>
      </c>
    </row>
    <row r="303" customFormat="false" ht="15" hidden="false" customHeight="false" outlineLevel="0" collapsed="false">
      <c r="A303" s="5" t="str">
        <f aca="false">IF($O303="","",INT($O303/1000))</f>
        <v/>
      </c>
      <c r="B303" s="6" t="str">
        <f aca="false">IF($O303="","",INDEX(Scoring!$A$29:$A$361,MATCH($O303,Scoring!$AB$29:$AB$361,0)))</f>
        <v/>
      </c>
      <c r="C303" s="5" t="str">
        <f aca="false">IF($O303="","",IF(INDEX(Scoring!$P$29:$P$361,MATCH($O303,Scoring!$AB$29:$AB$361,0))="","–",INDEX(Scoring!$P$29:$P$361,MATCH($O303,Scoring!$AB$29:$AB$361,0))))</f>
        <v/>
      </c>
      <c r="D303" s="6" t="str">
        <f aca="false">IF($O303="","",INDEX(Scoring!$Q$29:$Q$361,MATCH($O303,Scoring!$AB$29:$AB$361,0)))</f>
        <v/>
      </c>
      <c r="E303" s="7" t="str">
        <f aca="false">IF($O303="","",INDEX(Scoring!$AJ$29:$AJ$361,MATCH($O303,Scoring!$AB$29:$AB$361,0)))</f>
        <v/>
      </c>
      <c r="F303" s="6" t="str">
        <f aca="false">IF($O303="","",INDEX(Scoring!$B$29:$B$361,MATCH($O303,Scoring!$AB$29:$AB$361,0)))</f>
        <v/>
      </c>
      <c r="G303" s="7" t="str">
        <f aca="false">IF($O303="","",INDEX(Scoring!$AG$29:$AG$361,MATCH($O303,Scoring!$AB$29:$AB$361,0)))</f>
        <v/>
      </c>
      <c r="H303" s="7" t="str">
        <f aca="false">IF($O303="","",INDEX(Scoring!$C$29:$C$361,MATCH($O303,Scoring!$AB$29:$AB$361,0)))</f>
        <v/>
      </c>
      <c r="I303" s="6" t="str">
        <f aca="false">IF($O303="","",INDEX(Scoring!$I$29:$I$361,MATCH($O303,Scoring!$AB$29:$AB$361,0)))</f>
        <v/>
      </c>
      <c r="J303" s="7" t="str">
        <f aca="false">IF($O303="","",INDEX(Scoring!$Z$29:$Z$361,MATCH($O303,Scoring!$AB$29:$AB$361,0)))</f>
        <v/>
      </c>
      <c r="K303" s="8" t="str">
        <f aca="false">IF($O303="","",IF(INDEX(Scoring!$D$29:$D$361,MATCH($O303,Scoring!$AB$29:$AB$361,0))="",INDEX(Scoring!$AF$29:$AF$361,MATCH($O303,Scoring!$AB$29:$AB$361,0)),INDEX(Scoring!$D$29:$D$361,MATCH($O303,Scoring!$AB$29:$AB$361,0))))</f>
        <v/>
      </c>
      <c r="L303" s="9" t="str">
        <f aca="false">IF($O303="","",INDEX(Scoring!$M$29:$M$361,MATCH($O303,Scoring!$AB$29:$AB$361,0)))</f>
        <v/>
      </c>
      <c r="M303" s="9" t="str">
        <f aca="false">IF($O303="","",INDEX(Scoring!$F$29:$F$361,MATCH($O303,Scoring!$AB$29:$AB$361,0)))</f>
        <v/>
      </c>
      <c r="N303" s="7" t="str">
        <f aca="false">IF($O303="","",INDEX(Scoring!$AI$29:$AI$361,MATCH($O303,Scoring!$AB$29:$AB$361,0)))</f>
        <v/>
      </c>
      <c r="O303" s="10" t="str">
        <f aca="false">IFERROR(SMALL(Scoring!$AB$29:$AB$361,299),"")</f>
        <v/>
      </c>
    </row>
    <row r="304" customFormat="false" ht="15" hidden="false" customHeight="false" outlineLevel="0" collapsed="false">
      <c r="A304" s="5" t="str">
        <f aca="false">IF($O304="","",INT($O304/1000))</f>
        <v/>
      </c>
      <c r="B304" s="6" t="str">
        <f aca="false">IF($O304="","",INDEX(Scoring!$A$29:$A$361,MATCH($O304,Scoring!$AB$29:$AB$361,0)))</f>
        <v/>
      </c>
      <c r="C304" s="5" t="str">
        <f aca="false">IF($O304="","",IF(INDEX(Scoring!$P$29:$P$361,MATCH($O304,Scoring!$AB$29:$AB$361,0))="","–",INDEX(Scoring!$P$29:$P$361,MATCH($O304,Scoring!$AB$29:$AB$361,0))))</f>
        <v/>
      </c>
      <c r="D304" s="6" t="str">
        <f aca="false">IF($O304="","",INDEX(Scoring!$Q$29:$Q$361,MATCH($O304,Scoring!$AB$29:$AB$361,0)))</f>
        <v/>
      </c>
      <c r="E304" s="7" t="str">
        <f aca="false">IF($O304="","",INDEX(Scoring!$AJ$29:$AJ$361,MATCH($O304,Scoring!$AB$29:$AB$361,0)))</f>
        <v/>
      </c>
      <c r="F304" s="6" t="str">
        <f aca="false">IF($O304="","",INDEX(Scoring!$B$29:$B$361,MATCH($O304,Scoring!$AB$29:$AB$361,0)))</f>
        <v/>
      </c>
      <c r="G304" s="7" t="str">
        <f aca="false">IF($O304="","",INDEX(Scoring!$AG$29:$AG$361,MATCH($O304,Scoring!$AB$29:$AB$361,0)))</f>
        <v/>
      </c>
      <c r="H304" s="7" t="str">
        <f aca="false">IF($O304="","",INDEX(Scoring!$C$29:$C$361,MATCH($O304,Scoring!$AB$29:$AB$361,0)))</f>
        <v/>
      </c>
      <c r="I304" s="6" t="str">
        <f aca="false">IF($O304="","",INDEX(Scoring!$I$29:$I$361,MATCH($O304,Scoring!$AB$29:$AB$361,0)))</f>
        <v/>
      </c>
      <c r="J304" s="7" t="str">
        <f aca="false">IF($O304="","",INDEX(Scoring!$Z$29:$Z$361,MATCH($O304,Scoring!$AB$29:$AB$361,0)))</f>
        <v/>
      </c>
      <c r="K304" s="8" t="str">
        <f aca="false">IF($O304="","",IF(INDEX(Scoring!$D$29:$D$361,MATCH($O304,Scoring!$AB$29:$AB$361,0))="",INDEX(Scoring!$AF$29:$AF$361,MATCH($O304,Scoring!$AB$29:$AB$361,0)),INDEX(Scoring!$D$29:$D$361,MATCH($O304,Scoring!$AB$29:$AB$361,0))))</f>
        <v/>
      </c>
      <c r="L304" s="9" t="str">
        <f aca="false">IF($O304="","",INDEX(Scoring!$M$29:$M$361,MATCH($O304,Scoring!$AB$29:$AB$361,0)))</f>
        <v/>
      </c>
      <c r="M304" s="9" t="str">
        <f aca="false">IF($O304="","",INDEX(Scoring!$F$29:$F$361,MATCH($O304,Scoring!$AB$29:$AB$361,0)))</f>
        <v/>
      </c>
      <c r="N304" s="7" t="str">
        <f aca="false">IF($O304="","",INDEX(Scoring!$AI$29:$AI$361,MATCH($O304,Scoring!$AB$29:$AB$361,0)))</f>
        <v/>
      </c>
      <c r="O304" s="10" t="str">
        <f aca="false">IFERROR(SMALL(Scoring!$AB$29:$AB$361,300),"")</f>
        <v/>
      </c>
    </row>
    <row r="305" customFormat="false" ht="15" hidden="false" customHeight="false" outlineLevel="0" collapsed="false">
      <c r="A305" s="5" t="str">
        <f aca="false">IF($O305="","",INT($O305/1000))</f>
        <v/>
      </c>
      <c r="B305" s="6" t="str">
        <f aca="false">IF($O305="","",INDEX(Scoring!$A$29:$A$361,MATCH($O305,Scoring!$AB$29:$AB$361,0)))</f>
        <v/>
      </c>
      <c r="C305" s="5" t="str">
        <f aca="false">IF($O305="","",IF(INDEX(Scoring!$P$29:$P$361,MATCH($O305,Scoring!$AB$29:$AB$361,0))="","–",INDEX(Scoring!$P$29:$P$361,MATCH($O305,Scoring!$AB$29:$AB$361,0))))</f>
        <v/>
      </c>
      <c r="D305" s="6" t="str">
        <f aca="false">IF($O305="","",INDEX(Scoring!$Q$29:$Q$361,MATCH($O305,Scoring!$AB$29:$AB$361,0)))</f>
        <v/>
      </c>
      <c r="E305" s="7" t="str">
        <f aca="false">IF($O305="","",INDEX(Scoring!$AJ$29:$AJ$361,MATCH($O305,Scoring!$AB$29:$AB$361,0)))</f>
        <v/>
      </c>
      <c r="F305" s="6" t="str">
        <f aca="false">IF($O305="","",INDEX(Scoring!$B$29:$B$361,MATCH($O305,Scoring!$AB$29:$AB$361,0)))</f>
        <v/>
      </c>
      <c r="G305" s="7" t="str">
        <f aca="false">IF($O305="","",INDEX(Scoring!$AG$29:$AG$361,MATCH($O305,Scoring!$AB$29:$AB$361,0)))</f>
        <v/>
      </c>
      <c r="H305" s="7" t="str">
        <f aca="false">IF($O305="","",INDEX(Scoring!$C$29:$C$361,MATCH($O305,Scoring!$AB$29:$AB$361,0)))</f>
        <v/>
      </c>
      <c r="I305" s="6" t="str">
        <f aca="false">IF($O305="","",INDEX(Scoring!$I$29:$I$361,MATCH($O305,Scoring!$AB$29:$AB$361,0)))</f>
        <v/>
      </c>
      <c r="J305" s="7" t="str">
        <f aca="false">IF($O305="","",INDEX(Scoring!$Z$29:$Z$361,MATCH($O305,Scoring!$AB$29:$AB$361,0)))</f>
        <v/>
      </c>
      <c r="K305" s="8" t="str">
        <f aca="false">IF($O305="","",IF(INDEX(Scoring!$D$29:$D$361,MATCH($O305,Scoring!$AB$29:$AB$361,0))="",INDEX(Scoring!$AF$29:$AF$361,MATCH($O305,Scoring!$AB$29:$AB$361,0)),INDEX(Scoring!$D$29:$D$361,MATCH($O305,Scoring!$AB$29:$AB$361,0))))</f>
        <v/>
      </c>
      <c r="L305" s="9" t="str">
        <f aca="false">IF($O305="","",INDEX(Scoring!$M$29:$M$361,MATCH($O305,Scoring!$AB$29:$AB$361,0)))</f>
        <v/>
      </c>
      <c r="M305" s="9" t="str">
        <f aca="false">IF($O305="","",INDEX(Scoring!$F$29:$F$361,MATCH($O305,Scoring!$AB$29:$AB$361,0)))</f>
        <v/>
      </c>
      <c r="N305" s="7" t="str">
        <f aca="false">IF($O305="","",INDEX(Scoring!$AI$29:$AI$361,MATCH($O305,Scoring!$AB$29:$AB$361,0)))</f>
        <v/>
      </c>
      <c r="O305" s="10" t="str">
        <f aca="false">IFERROR(SMALL(Scoring!$AB$29:$AB$361,301),"")</f>
        <v/>
      </c>
    </row>
    <row r="306" customFormat="false" ht="15" hidden="false" customHeight="false" outlineLevel="0" collapsed="false">
      <c r="A306" s="5" t="str">
        <f aca="false">IF($O306="","",INT($O306/1000))</f>
        <v/>
      </c>
      <c r="B306" s="6" t="str">
        <f aca="false">IF($O306="","",INDEX(Scoring!$A$29:$A$361,MATCH($O306,Scoring!$AB$29:$AB$361,0)))</f>
        <v/>
      </c>
      <c r="C306" s="5" t="str">
        <f aca="false">IF($O306="","",IF(INDEX(Scoring!$P$29:$P$361,MATCH($O306,Scoring!$AB$29:$AB$361,0))="","–",INDEX(Scoring!$P$29:$P$361,MATCH($O306,Scoring!$AB$29:$AB$361,0))))</f>
        <v/>
      </c>
      <c r="D306" s="6" t="str">
        <f aca="false">IF($O306="","",INDEX(Scoring!$Q$29:$Q$361,MATCH($O306,Scoring!$AB$29:$AB$361,0)))</f>
        <v/>
      </c>
      <c r="E306" s="7" t="str">
        <f aca="false">IF($O306="","",INDEX(Scoring!$AJ$29:$AJ$361,MATCH($O306,Scoring!$AB$29:$AB$361,0)))</f>
        <v/>
      </c>
      <c r="F306" s="6" t="str">
        <f aca="false">IF($O306="","",INDEX(Scoring!$B$29:$B$361,MATCH($O306,Scoring!$AB$29:$AB$361,0)))</f>
        <v/>
      </c>
      <c r="G306" s="7" t="str">
        <f aca="false">IF($O306="","",INDEX(Scoring!$AG$29:$AG$361,MATCH($O306,Scoring!$AB$29:$AB$361,0)))</f>
        <v/>
      </c>
      <c r="H306" s="7" t="str">
        <f aca="false">IF($O306="","",INDEX(Scoring!$C$29:$C$361,MATCH($O306,Scoring!$AB$29:$AB$361,0)))</f>
        <v/>
      </c>
      <c r="I306" s="6" t="str">
        <f aca="false">IF($O306="","",INDEX(Scoring!$I$29:$I$361,MATCH($O306,Scoring!$AB$29:$AB$361,0)))</f>
        <v/>
      </c>
      <c r="J306" s="7" t="str">
        <f aca="false">IF($O306="","",INDEX(Scoring!$Z$29:$Z$361,MATCH($O306,Scoring!$AB$29:$AB$361,0)))</f>
        <v/>
      </c>
      <c r="K306" s="8" t="str">
        <f aca="false">IF($O306="","",IF(INDEX(Scoring!$D$29:$D$361,MATCH($O306,Scoring!$AB$29:$AB$361,0))="",INDEX(Scoring!$AF$29:$AF$361,MATCH($O306,Scoring!$AB$29:$AB$361,0)),INDEX(Scoring!$D$29:$D$361,MATCH($O306,Scoring!$AB$29:$AB$361,0))))</f>
        <v/>
      </c>
      <c r="L306" s="9" t="str">
        <f aca="false">IF($O306="","",INDEX(Scoring!$M$29:$M$361,MATCH($O306,Scoring!$AB$29:$AB$361,0)))</f>
        <v/>
      </c>
      <c r="M306" s="9" t="str">
        <f aca="false">IF($O306="","",INDEX(Scoring!$F$29:$F$361,MATCH($O306,Scoring!$AB$29:$AB$361,0)))</f>
        <v/>
      </c>
      <c r="N306" s="7" t="str">
        <f aca="false">IF($O306="","",INDEX(Scoring!$AI$29:$AI$361,MATCH($O306,Scoring!$AB$29:$AB$361,0)))</f>
        <v/>
      </c>
      <c r="O306" s="10" t="str">
        <f aca="false">IFERROR(SMALL(Scoring!$AB$29:$AB$361,302),"")</f>
        <v/>
      </c>
    </row>
    <row r="307" customFormat="false" ht="15" hidden="false" customHeight="false" outlineLevel="0" collapsed="false">
      <c r="A307" s="5" t="str">
        <f aca="false">IF($O307="","",INT($O307/1000))</f>
        <v/>
      </c>
      <c r="B307" s="6" t="str">
        <f aca="false">IF($O307="","",INDEX(Scoring!$A$29:$A$361,MATCH($O307,Scoring!$AB$29:$AB$361,0)))</f>
        <v/>
      </c>
      <c r="C307" s="5" t="str">
        <f aca="false">IF($O307="","",IF(INDEX(Scoring!$P$29:$P$361,MATCH($O307,Scoring!$AB$29:$AB$361,0))="","–",INDEX(Scoring!$P$29:$P$361,MATCH($O307,Scoring!$AB$29:$AB$361,0))))</f>
        <v/>
      </c>
      <c r="D307" s="6" t="str">
        <f aca="false">IF($O307="","",INDEX(Scoring!$Q$29:$Q$361,MATCH($O307,Scoring!$AB$29:$AB$361,0)))</f>
        <v/>
      </c>
      <c r="E307" s="7" t="str">
        <f aca="false">IF($O307="","",INDEX(Scoring!$AJ$29:$AJ$361,MATCH($O307,Scoring!$AB$29:$AB$361,0)))</f>
        <v/>
      </c>
      <c r="F307" s="6" t="str">
        <f aca="false">IF($O307="","",INDEX(Scoring!$B$29:$B$361,MATCH($O307,Scoring!$AB$29:$AB$361,0)))</f>
        <v/>
      </c>
      <c r="G307" s="7" t="str">
        <f aca="false">IF($O307="","",INDEX(Scoring!$AG$29:$AG$361,MATCH($O307,Scoring!$AB$29:$AB$361,0)))</f>
        <v/>
      </c>
      <c r="H307" s="7" t="str">
        <f aca="false">IF($O307="","",INDEX(Scoring!$C$29:$C$361,MATCH($O307,Scoring!$AB$29:$AB$361,0)))</f>
        <v/>
      </c>
      <c r="I307" s="6" t="str">
        <f aca="false">IF($O307="","",INDEX(Scoring!$I$29:$I$361,MATCH($O307,Scoring!$AB$29:$AB$361,0)))</f>
        <v/>
      </c>
      <c r="J307" s="7" t="str">
        <f aca="false">IF($O307="","",INDEX(Scoring!$Z$29:$Z$361,MATCH($O307,Scoring!$AB$29:$AB$361,0)))</f>
        <v/>
      </c>
      <c r="K307" s="8" t="str">
        <f aca="false">IF($O307="","",IF(INDEX(Scoring!$D$29:$D$361,MATCH($O307,Scoring!$AB$29:$AB$361,0))="",INDEX(Scoring!$AF$29:$AF$361,MATCH($O307,Scoring!$AB$29:$AB$361,0)),INDEX(Scoring!$D$29:$D$361,MATCH($O307,Scoring!$AB$29:$AB$361,0))))</f>
        <v/>
      </c>
      <c r="L307" s="9" t="str">
        <f aca="false">IF($O307="","",INDEX(Scoring!$M$29:$M$361,MATCH($O307,Scoring!$AB$29:$AB$361,0)))</f>
        <v/>
      </c>
      <c r="M307" s="9" t="str">
        <f aca="false">IF($O307="","",INDEX(Scoring!$F$29:$F$361,MATCH($O307,Scoring!$AB$29:$AB$361,0)))</f>
        <v/>
      </c>
      <c r="N307" s="7" t="str">
        <f aca="false">IF($O307="","",INDEX(Scoring!$AI$29:$AI$361,MATCH($O307,Scoring!$AB$29:$AB$361,0)))</f>
        <v/>
      </c>
      <c r="O307" s="10" t="str">
        <f aca="false">IFERROR(SMALL(Scoring!$AB$29:$AB$361,303),"")</f>
        <v/>
      </c>
    </row>
    <row r="308" customFormat="false" ht="15" hidden="false" customHeight="false" outlineLevel="0" collapsed="false">
      <c r="A308" s="5" t="str">
        <f aca="false">IF($O308="","",INT($O308/1000))</f>
        <v/>
      </c>
      <c r="B308" s="6" t="str">
        <f aca="false">IF($O308="","",INDEX(Scoring!$A$29:$A$361,MATCH($O308,Scoring!$AB$29:$AB$361,0)))</f>
        <v/>
      </c>
      <c r="C308" s="5" t="str">
        <f aca="false">IF($O308="","",IF(INDEX(Scoring!$P$29:$P$361,MATCH($O308,Scoring!$AB$29:$AB$361,0))="","–",INDEX(Scoring!$P$29:$P$361,MATCH($O308,Scoring!$AB$29:$AB$361,0))))</f>
        <v/>
      </c>
      <c r="D308" s="6" t="str">
        <f aca="false">IF($O308="","",INDEX(Scoring!$Q$29:$Q$361,MATCH($O308,Scoring!$AB$29:$AB$361,0)))</f>
        <v/>
      </c>
      <c r="E308" s="7" t="str">
        <f aca="false">IF($O308="","",INDEX(Scoring!$AJ$29:$AJ$361,MATCH($O308,Scoring!$AB$29:$AB$361,0)))</f>
        <v/>
      </c>
      <c r="F308" s="6" t="str">
        <f aca="false">IF($O308="","",INDEX(Scoring!$B$29:$B$361,MATCH($O308,Scoring!$AB$29:$AB$361,0)))</f>
        <v/>
      </c>
      <c r="G308" s="7" t="str">
        <f aca="false">IF($O308="","",INDEX(Scoring!$AG$29:$AG$361,MATCH($O308,Scoring!$AB$29:$AB$361,0)))</f>
        <v/>
      </c>
      <c r="H308" s="7" t="str">
        <f aca="false">IF($O308="","",INDEX(Scoring!$C$29:$C$361,MATCH($O308,Scoring!$AB$29:$AB$361,0)))</f>
        <v/>
      </c>
      <c r="I308" s="6" t="str">
        <f aca="false">IF($O308="","",INDEX(Scoring!$I$29:$I$361,MATCH($O308,Scoring!$AB$29:$AB$361,0)))</f>
        <v/>
      </c>
      <c r="J308" s="7" t="str">
        <f aca="false">IF($O308="","",INDEX(Scoring!$Z$29:$Z$361,MATCH($O308,Scoring!$AB$29:$AB$361,0)))</f>
        <v/>
      </c>
      <c r="K308" s="8" t="str">
        <f aca="false">IF($O308="","",IF(INDEX(Scoring!$D$29:$D$361,MATCH($O308,Scoring!$AB$29:$AB$361,0))="",INDEX(Scoring!$AF$29:$AF$361,MATCH($O308,Scoring!$AB$29:$AB$361,0)),INDEX(Scoring!$D$29:$D$361,MATCH($O308,Scoring!$AB$29:$AB$361,0))))</f>
        <v/>
      </c>
      <c r="L308" s="9" t="str">
        <f aca="false">IF($O308="","",INDEX(Scoring!$M$29:$M$361,MATCH($O308,Scoring!$AB$29:$AB$361,0)))</f>
        <v/>
      </c>
      <c r="M308" s="9" t="str">
        <f aca="false">IF($O308="","",INDEX(Scoring!$F$29:$F$361,MATCH($O308,Scoring!$AB$29:$AB$361,0)))</f>
        <v/>
      </c>
      <c r="N308" s="7" t="str">
        <f aca="false">IF($O308="","",INDEX(Scoring!$AI$29:$AI$361,MATCH($O308,Scoring!$AB$29:$AB$361,0)))</f>
        <v/>
      </c>
      <c r="O308" s="10" t="str">
        <f aca="false">IFERROR(SMALL(Scoring!$AB$29:$AB$361,304),"")</f>
        <v/>
      </c>
    </row>
    <row r="309" customFormat="false" ht="15" hidden="false" customHeight="false" outlineLevel="0" collapsed="false">
      <c r="A309" s="5" t="str">
        <f aca="false">IF($O309="","",INT($O309/1000))</f>
        <v/>
      </c>
      <c r="B309" s="6" t="str">
        <f aca="false">IF($O309="","",INDEX(Scoring!$A$29:$A$361,MATCH($O309,Scoring!$AB$29:$AB$361,0)))</f>
        <v/>
      </c>
      <c r="C309" s="5" t="str">
        <f aca="false">IF($O309="","",IF(INDEX(Scoring!$P$29:$P$361,MATCH($O309,Scoring!$AB$29:$AB$361,0))="","–",INDEX(Scoring!$P$29:$P$361,MATCH($O309,Scoring!$AB$29:$AB$361,0))))</f>
        <v/>
      </c>
      <c r="D309" s="6" t="str">
        <f aca="false">IF($O309="","",INDEX(Scoring!$Q$29:$Q$361,MATCH($O309,Scoring!$AB$29:$AB$361,0)))</f>
        <v/>
      </c>
      <c r="E309" s="7" t="str">
        <f aca="false">IF($O309="","",INDEX(Scoring!$AJ$29:$AJ$361,MATCH($O309,Scoring!$AB$29:$AB$361,0)))</f>
        <v/>
      </c>
      <c r="F309" s="6" t="str">
        <f aca="false">IF($O309="","",INDEX(Scoring!$B$29:$B$361,MATCH($O309,Scoring!$AB$29:$AB$361,0)))</f>
        <v/>
      </c>
      <c r="G309" s="7" t="str">
        <f aca="false">IF($O309="","",INDEX(Scoring!$AG$29:$AG$361,MATCH($O309,Scoring!$AB$29:$AB$361,0)))</f>
        <v/>
      </c>
      <c r="H309" s="7" t="str">
        <f aca="false">IF($O309="","",INDEX(Scoring!$C$29:$C$361,MATCH($O309,Scoring!$AB$29:$AB$361,0)))</f>
        <v/>
      </c>
      <c r="I309" s="6" t="str">
        <f aca="false">IF($O309="","",INDEX(Scoring!$I$29:$I$361,MATCH($O309,Scoring!$AB$29:$AB$361,0)))</f>
        <v/>
      </c>
      <c r="J309" s="7" t="str">
        <f aca="false">IF($O309="","",INDEX(Scoring!$Z$29:$Z$361,MATCH($O309,Scoring!$AB$29:$AB$361,0)))</f>
        <v/>
      </c>
      <c r="K309" s="8" t="str">
        <f aca="false">IF($O309="","",IF(INDEX(Scoring!$D$29:$D$361,MATCH($O309,Scoring!$AB$29:$AB$361,0))="",INDEX(Scoring!$AF$29:$AF$361,MATCH($O309,Scoring!$AB$29:$AB$361,0)),INDEX(Scoring!$D$29:$D$361,MATCH($O309,Scoring!$AB$29:$AB$361,0))))</f>
        <v/>
      </c>
      <c r="L309" s="9" t="str">
        <f aca="false">IF($O309="","",INDEX(Scoring!$M$29:$M$361,MATCH($O309,Scoring!$AB$29:$AB$361,0)))</f>
        <v/>
      </c>
      <c r="M309" s="9" t="str">
        <f aca="false">IF($O309="","",INDEX(Scoring!$F$29:$F$361,MATCH($O309,Scoring!$AB$29:$AB$361,0)))</f>
        <v/>
      </c>
      <c r="N309" s="7" t="str">
        <f aca="false">IF($O309="","",INDEX(Scoring!$AI$29:$AI$361,MATCH($O309,Scoring!$AB$29:$AB$361,0)))</f>
        <v/>
      </c>
      <c r="O309" s="10" t="str">
        <f aca="false">IFERROR(SMALL(Scoring!$AB$29:$AB$361,305),"")</f>
        <v/>
      </c>
    </row>
    <row r="310" customFormat="false" ht="15" hidden="false" customHeight="false" outlineLevel="0" collapsed="false">
      <c r="A310" s="5" t="str">
        <f aca="false">IF($O310="","",INT($O310/1000))</f>
        <v/>
      </c>
      <c r="B310" s="6" t="str">
        <f aca="false">IF($O310="","",INDEX(Scoring!$A$29:$A$361,MATCH($O310,Scoring!$AB$29:$AB$361,0)))</f>
        <v/>
      </c>
      <c r="C310" s="5" t="str">
        <f aca="false">IF($O310="","",IF(INDEX(Scoring!$P$29:$P$361,MATCH($O310,Scoring!$AB$29:$AB$361,0))="","–",INDEX(Scoring!$P$29:$P$361,MATCH($O310,Scoring!$AB$29:$AB$361,0))))</f>
        <v/>
      </c>
      <c r="D310" s="6" t="str">
        <f aca="false">IF($O310="","",INDEX(Scoring!$Q$29:$Q$361,MATCH($O310,Scoring!$AB$29:$AB$361,0)))</f>
        <v/>
      </c>
      <c r="E310" s="7" t="str">
        <f aca="false">IF($O310="","",INDEX(Scoring!$AJ$29:$AJ$361,MATCH($O310,Scoring!$AB$29:$AB$361,0)))</f>
        <v/>
      </c>
      <c r="F310" s="6" t="str">
        <f aca="false">IF($O310="","",INDEX(Scoring!$B$29:$B$361,MATCH($O310,Scoring!$AB$29:$AB$361,0)))</f>
        <v/>
      </c>
      <c r="G310" s="7" t="str">
        <f aca="false">IF($O310="","",INDEX(Scoring!$AG$29:$AG$361,MATCH($O310,Scoring!$AB$29:$AB$361,0)))</f>
        <v/>
      </c>
      <c r="H310" s="7" t="str">
        <f aca="false">IF($O310="","",INDEX(Scoring!$C$29:$C$361,MATCH($O310,Scoring!$AB$29:$AB$361,0)))</f>
        <v/>
      </c>
      <c r="I310" s="6" t="str">
        <f aca="false">IF($O310="","",INDEX(Scoring!$I$29:$I$361,MATCH($O310,Scoring!$AB$29:$AB$361,0)))</f>
        <v/>
      </c>
      <c r="J310" s="7" t="str">
        <f aca="false">IF($O310="","",INDEX(Scoring!$Z$29:$Z$361,MATCH($O310,Scoring!$AB$29:$AB$361,0)))</f>
        <v/>
      </c>
      <c r="K310" s="8" t="str">
        <f aca="false">IF($O310="","",IF(INDEX(Scoring!$D$29:$D$361,MATCH($O310,Scoring!$AB$29:$AB$361,0))="",INDEX(Scoring!$AF$29:$AF$361,MATCH($O310,Scoring!$AB$29:$AB$361,0)),INDEX(Scoring!$D$29:$D$361,MATCH($O310,Scoring!$AB$29:$AB$361,0))))</f>
        <v/>
      </c>
      <c r="L310" s="9" t="str">
        <f aca="false">IF($O310="","",INDEX(Scoring!$M$29:$M$361,MATCH($O310,Scoring!$AB$29:$AB$361,0)))</f>
        <v/>
      </c>
      <c r="M310" s="9" t="str">
        <f aca="false">IF($O310="","",INDEX(Scoring!$F$29:$F$361,MATCH($O310,Scoring!$AB$29:$AB$361,0)))</f>
        <v/>
      </c>
      <c r="N310" s="7" t="str">
        <f aca="false">IF($O310="","",INDEX(Scoring!$AI$29:$AI$361,MATCH($O310,Scoring!$AB$29:$AB$361,0)))</f>
        <v/>
      </c>
      <c r="O310" s="10" t="str">
        <f aca="false">IFERROR(SMALL(Scoring!$AB$29:$AB$361,306),"")</f>
        <v/>
      </c>
    </row>
    <row r="311" customFormat="false" ht="15" hidden="false" customHeight="false" outlineLevel="0" collapsed="false">
      <c r="A311" s="5" t="str">
        <f aca="false">IF($O311="","",INT($O311/1000))</f>
        <v/>
      </c>
      <c r="B311" s="6" t="str">
        <f aca="false">IF($O311="","",INDEX(Scoring!$A$29:$A$361,MATCH($O311,Scoring!$AB$29:$AB$361,0)))</f>
        <v/>
      </c>
      <c r="C311" s="5" t="str">
        <f aca="false">IF($O311="","",IF(INDEX(Scoring!$P$29:$P$361,MATCH($O311,Scoring!$AB$29:$AB$361,0))="","–",INDEX(Scoring!$P$29:$P$361,MATCH($O311,Scoring!$AB$29:$AB$361,0))))</f>
        <v/>
      </c>
      <c r="D311" s="6" t="str">
        <f aca="false">IF($O311="","",INDEX(Scoring!$Q$29:$Q$361,MATCH($O311,Scoring!$AB$29:$AB$361,0)))</f>
        <v/>
      </c>
      <c r="E311" s="7" t="str">
        <f aca="false">IF($O311="","",INDEX(Scoring!$AJ$29:$AJ$361,MATCH($O311,Scoring!$AB$29:$AB$361,0)))</f>
        <v/>
      </c>
      <c r="F311" s="6" t="str">
        <f aca="false">IF($O311="","",INDEX(Scoring!$B$29:$B$361,MATCH($O311,Scoring!$AB$29:$AB$361,0)))</f>
        <v/>
      </c>
      <c r="G311" s="7" t="str">
        <f aca="false">IF($O311="","",INDEX(Scoring!$AG$29:$AG$361,MATCH($O311,Scoring!$AB$29:$AB$361,0)))</f>
        <v/>
      </c>
      <c r="H311" s="7" t="str">
        <f aca="false">IF($O311="","",INDEX(Scoring!$C$29:$C$361,MATCH($O311,Scoring!$AB$29:$AB$361,0)))</f>
        <v/>
      </c>
      <c r="I311" s="6" t="str">
        <f aca="false">IF($O311="","",INDEX(Scoring!$I$29:$I$361,MATCH($O311,Scoring!$AB$29:$AB$361,0)))</f>
        <v/>
      </c>
      <c r="J311" s="7" t="str">
        <f aca="false">IF($O311="","",INDEX(Scoring!$Z$29:$Z$361,MATCH($O311,Scoring!$AB$29:$AB$361,0)))</f>
        <v/>
      </c>
      <c r="K311" s="8" t="str">
        <f aca="false">IF($O311="","",IF(INDEX(Scoring!$D$29:$D$361,MATCH($O311,Scoring!$AB$29:$AB$361,0))="",INDEX(Scoring!$AF$29:$AF$361,MATCH($O311,Scoring!$AB$29:$AB$361,0)),INDEX(Scoring!$D$29:$D$361,MATCH($O311,Scoring!$AB$29:$AB$361,0))))</f>
        <v/>
      </c>
      <c r="L311" s="9" t="str">
        <f aca="false">IF($O311="","",INDEX(Scoring!$M$29:$M$361,MATCH($O311,Scoring!$AB$29:$AB$361,0)))</f>
        <v/>
      </c>
      <c r="M311" s="9" t="str">
        <f aca="false">IF($O311="","",INDEX(Scoring!$F$29:$F$361,MATCH($O311,Scoring!$AB$29:$AB$361,0)))</f>
        <v/>
      </c>
      <c r="N311" s="7" t="str">
        <f aca="false">IF($O311="","",INDEX(Scoring!$AI$29:$AI$361,MATCH($O311,Scoring!$AB$29:$AB$361,0)))</f>
        <v/>
      </c>
      <c r="O311" s="10" t="str">
        <f aca="false">IFERROR(SMALL(Scoring!$AB$29:$AB$361,307),"")</f>
        <v/>
      </c>
    </row>
    <row r="312" customFormat="false" ht="15" hidden="false" customHeight="false" outlineLevel="0" collapsed="false">
      <c r="A312" s="5" t="str">
        <f aca="false">IF($O312="","",INT($O312/1000))</f>
        <v/>
      </c>
      <c r="B312" s="6" t="str">
        <f aca="false">IF($O312="","",INDEX(Scoring!$A$29:$A$361,MATCH($O312,Scoring!$AB$29:$AB$361,0)))</f>
        <v/>
      </c>
      <c r="C312" s="5" t="str">
        <f aca="false">IF($O312="","",IF(INDEX(Scoring!$P$29:$P$361,MATCH($O312,Scoring!$AB$29:$AB$361,0))="","–",INDEX(Scoring!$P$29:$P$361,MATCH($O312,Scoring!$AB$29:$AB$361,0))))</f>
        <v/>
      </c>
      <c r="D312" s="6" t="str">
        <f aca="false">IF($O312="","",INDEX(Scoring!$Q$29:$Q$361,MATCH($O312,Scoring!$AB$29:$AB$361,0)))</f>
        <v/>
      </c>
      <c r="E312" s="7" t="str">
        <f aca="false">IF($O312="","",INDEX(Scoring!$AJ$29:$AJ$361,MATCH($O312,Scoring!$AB$29:$AB$361,0)))</f>
        <v/>
      </c>
      <c r="F312" s="6" t="str">
        <f aca="false">IF($O312="","",INDEX(Scoring!$B$29:$B$361,MATCH($O312,Scoring!$AB$29:$AB$361,0)))</f>
        <v/>
      </c>
      <c r="G312" s="7" t="str">
        <f aca="false">IF($O312="","",INDEX(Scoring!$AG$29:$AG$361,MATCH($O312,Scoring!$AB$29:$AB$361,0)))</f>
        <v/>
      </c>
      <c r="H312" s="7" t="str">
        <f aca="false">IF($O312="","",INDEX(Scoring!$C$29:$C$361,MATCH($O312,Scoring!$AB$29:$AB$361,0)))</f>
        <v/>
      </c>
      <c r="I312" s="6" t="str">
        <f aca="false">IF($O312="","",INDEX(Scoring!$I$29:$I$361,MATCH($O312,Scoring!$AB$29:$AB$361,0)))</f>
        <v/>
      </c>
      <c r="J312" s="7" t="str">
        <f aca="false">IF($O312="","",INDEX(Scoring!$Z$29:$Z$361,MATCH($O312,Scoring!$AB$29:$AB$361,0)))</f>
        <v/>
      </c>
      <c r="K312" s="8" t="str">
        <f aca="false">IF($O312="","",IF(INDEX(Scoring!$D$29:$D$361,MATCH($O312,Scoring!$AB$29:$AB$361,0))="",INDEX(Scoring!$AF$29:$AF$361,MATCH($O312,Scoring!$AB$29:$AB$361,0)),INDEX(Scoring!$D$29:$D$361,MATCH($O312,Scoring!$AB$29:$AB$361,0))))</f>
        <v/>
      </c>
      <c r="L312" s="9" t="str">
        <f aca="false">IF($O312="","",INDEX(Scoring!$M$29:$M$361,MATCH($O312,Scoring!$AB$29:$AB$361,0)))</f>
        <v/>
      </c>
      <c r="M312" s="9" t="str">
        <f aca="false">IF($O312="","",INDEX(Scoring!$F$29:$F$361,MATCH($O312,Scoring!$AB$29:$AB$361,0)))</f>
        <v/>
      </c>
      <c r="N312" s="7" t="str">
        <f aca="false">IF($O312="","",INDEX(Scoring!$AI$29:$AI$361,MATCH($O312,Scoring!$AB$29:$AB$361,0)))</f>
        <v/>
      </c>
      <c r="O312" s="10" t="str">
        <f aca="false">IFERROR(SMALL(Scoring!$AB$29:$AB$361,308),"")</f>
        <v/>
      </c>
    </row>
    <row r="313" customFormat="false" ht="15" hidden="false" customHeight="false" outlineLevel="0" collapsed="false">
      <c r="A313" s="5" t="str">
        <f aca="false">IF($O313="","",INT($O313/1000))</f>
        <v/>
      </c>
      <c r="B313" s="6" t="str">
        <f aca="false">IF($O313="","",INDEX(Scoring!$A$29:$A$361,MATCH($O313,Scoring!$AB$29:$AB$361,0)))</f>
        <v/>
      </c>
      <c r="C313" s="5" t="str">
        <f aca="false">IF($O313="","",IF(INDEX(Scoring!$P$29:$P$361,MATCH($O313,Scoring!$AB$29:$AB$361,0))="","–",INDEX(Scoring!$P$29:$P$361,MATCH($O313,Scoring!$AB$29:$AB$361,0))))</f>
        <v/>
      </c>
      <c r="D313" s="6" t="str">
        <f aca="false">IF($O313="","",INDEX(Scoring!$Q$29:$Q$361,MATCH($O313,Scoring!$AB$29:$AB$361,0)))</f>
        <v/>
      </c>
      <c r="E313" s="7" t="str">
        <f aca="false">IF($O313="","",INDEX(Scoring!$AJ$29:$AJ$361,MATCH($O313,Scoring!$AB$29:$AB$361,0)))</f>
        <v/>
      </c>
      <c r="F313" s="6" t="str">
        <f aca="false">IF($O313="","",INDEX(Scoring!$B$29:$B$361,MATCH($O313,Scoring!$AB$29:$AB$361,0)))</f>
        <v/>
      </c>
      <c r="G313" s="7" t="str">
        <f aca="false">IF($O313="","",INDEX(Scoring!$AG$29:$AG$361,MATCH($O313,Scoring!$AB$29:$AB$361,0)))</f>
        <v/>
      </c>
      <c r="H313" s="7" t="str">
        <f aca="false">IF($O313="","",INDEX(Scoring!$C$29:$C$361,MATCH($O313,Scoring!$AB$29:$AB$361,0)))</f>
        <v/>
      </c>
      <c r="I313" s="6" t="str">
        <f aca="false">IF($O313="","",INDEX(Scoring!$I$29:$I$361,MATCH($O313,Scoring!$AB$29:$AB$361,0)))</f>
        <v/>
      </c>
      <c r="J313" s="7" t="str">
        <f aca="false">IF($O313="","",INDEX(Scoring!$Z$29:$Z$361,MATCH($O313,Scoring!$AB$29:$AB$361,0)))</f>
        <v/>
      </c>
      <c r="K313" s="8" t="str">
        <f aca="false">IF($O313="","",IF(INDEX(Scoring!$D$29:$D$361,MATCH($O313,Scoring!$AB$29:$AB$361,0))="",INDEX(Scoring!$AF$29:$AF$361,MATCH($O313,Scoring!$AB$29:$AB$361,0)),INDEX(Scoring!$D$29:$D$361,MATCH($O313,Scoring!$AB$29:$AB$361,0))))</f>
        <v/>
      </c>
      <c r="L313" s="9" t="str">
        <f aca="false">IF($O313="","",INDEX(Scoring!$M$29:$M$361,MATCH($O313,Scoring!$AB$29:$AB$361,0)))</f>
        <v/>
      </c>
      <c r="M313" s="9" t="str">
        <f aca="false">IF($O313="","",INDEX(Scoring!$F$29:$F$361,MATCH($O313,Scoring!$AB$29:$AB$361,0)))</f>
        <v/>
      </c>
      <c r="N313" s="7" t="str">
        <f aca="false">IF($O313="","",INDEX(Scoring!$AI$29:$AI$361,MATCH($O313,Scoring!$AB$29:$AB$361,0)))</f>
        <v/>
      </c>
      <c r="O313" s="10" t="str">
        <f aca="false">IFERROR(SMALL(Scoring!$AB$29:$AB$361,309),"")</f>
        <v/>
      </c>
    </row>
    <row r="314" customFormat="false" ht="15" hidden="false" customHeight="false" outlineLevel="0" collapsed="false">
      <c r="A314" s="5" t="str">
        <f aca="false">IF($O314="","",INT($O314/1000))</f>
        <v/>
      </c>
      <c r="B314" s="6" t="str">
        <f aca="false">IF($O314="","",INDEX(Scoring!$A$29:$A$361,MATCH($O314,Scoring!$AB$29:$AB$361,0)))</f>
        <v/>
      </c>
      <c r="C314" s="5" t="str">
        <f aca="false">IF($O314="","",IF(INDEX(Scoring!$P$29:$P$361,MATCH($O314,Scoring!$AB$29:$AB$361,0))="","–",INDEX(Scoring!$P$29:$P$361,MATCH($O314,Scoring!$AB$29:$AB$361,0))))</f>
        <v/>
      </c>
      <c r="D314" s="6" t="str">
        <f aca="false">IF($O314="","",INDEX(Scoring!$Q$29:$Q$361,MATCH($O314,Scoring!$AB$29:$AB$361,0)))</f>
        <v/>
      </c>
      <c r="E314" s="7" t="str">
        <f aca="false">IF($O314="","",INDEX(Scoring!$AJ$29:$AJ$361,MATCH($O314,Scoring!$AB$29:$AB$361,0)))</f>
        <v/>
      </c>
      <c r="F314" s="6" t="str">
        <f aca="false">IF($O314="","",INDEX(Scoring!$B$29:$B$361,MATCH($O314,Scoring!$AB$29:$AB$361,0)))</f>
        <v/>
      </c>
      <c r="G314" s="7" t="str">
        <f aca="false">IF($O314="","",INDEX(Scoring!$AG$29:$AG$361,MATCH($O314,Scoring!$AB$29:$AB$361,0)))</f>
        <v/>
      </c>
      <c r="H314" s="7" t="str">
        <f aca="false">IF($O314="","",INDEX(Scoring!$C$29:$C$361,MATCH($O314,Scoring!$AB$29:$AB$361,0)))</f>
        <v/>
      </c>
      <c r="I314" s="6" t="str">
        <f aca="false">IF($O314="","",INDEX(Scoring!$I$29:$I$361,MATCH($O314,Scoring!$AB$29:$AB$361,0)))</f>
        <v/>
      </c>
      <c r="J314" s="7" t="str">
        <f aca="false">IF($O314="","",INDEX(Scoring!$Z$29:$Z$361,MATCH($O314,Scoring!$AB$29:$AB$361,0)))</f>
        <v/>
      </c>
      <c r="K314" s="8" t="str">
        <f aca="false">IF($O314="","",IF(INDEX(Scoring!$D$29:$D$361,MATCH($O314,Scoring!$AB$29:$AB$361,0))="",INDEX(Scoring!$AF$29:$AF$361,MATCH($O314,Scoring!$AB$29:$AB$361,0)),INDEX(Scoring!$D$29:$D$361,MATCH($O314,Scoring!$AB$29:$AB$361,0))))</f>
        <v/>
      </c>
      <c r="L314" s="9" t="str">
        <f aca="false">IF($O314="","",INDEX(Scoring!$M$29:$M$361,MATCH($O314,Scoring!$AB$29:$AB$361,0)))</f>
        <v/>
      </c>
      <c r="M314" s="9" t="str">
        <f aca="false">IF($O314="","",INDEX(Scoring!$F$29:$F$361,MATCH($O314,Scoring!$AB$29:$AB$361,0)))</f>
        <v/>
      </c>
      <c r="N314" s="7" t="str">
        <f aca="false">IF($O314="","",INDEX(Scoring!$AI$29:$AI$361,MATCH($O314,Scoring!$AB$29:$AB$361,0)))</f>
        <v/>
      </c>
      <c r="O314" s="10" t="str">
        <f aca="false">IFERROR(SMALL(Scoring!$AB$29:$AB$361,310),"")</f>
        <v/>
      </c>
    </row>
    <row r="315" customFormat="false" ht="15" hidden="false" customHeight="false" outlineLevel="0" collapsed="false">
      <c r="A315" s="5" t="str">
        <f aca="false">IF($O315="","",INT($O315/1000))</f>
        <v/>
      </c>
      <c r="B315" s="6" t="str">
        <f aca="false">IF($O315="","",INDEX(Scoring!$A$29:$A$361,MATCH($O315,Scoring!$AB$29:$AB$361,0)))</f>
        <v/>
      </c>
      <c r="C315" s="5" t="str">
        <f aca="false">IF($O315="","",IF(INDEX(Scoring!$P$29:$P$361,MATCH($O315,Scoring!$AB$29:$AB$361,0))="","–",INDEX(Scoring!$P$29:$P$361,MATCH($O315,Scoring!$AB$29:$AB$361,0))))</f>
        <v/>
      </c>
      <c r="D315" s="6" t="str">
        <f aca="false">IF($O315="","",INDEX(Scoring!$Q$29:$Q$361,MATCH($O315,Scoring!$AB$29:$AB$361,0)))</f>
        <v/>
      </c>
      <c r="E315" s="7" t="str">
        <f aca="false">IF($O315="","",INDEX(Scoring!$AJ$29:$AJ$361,MATCH($O315,Scoring!$AB$29:$AB$361,0)))</f>
        <v/>
      </c>
      <c r="F315" s="6" t="str">
        <f aca="false">IF($O315="","",INDEX(Scoring!$B$29:$B$361,MATCH($O315,Scoring!$AB$29:$AB$361,0)))</f>
        <v/>
      </c>
      <c r="G315" s="7" t="str">
        <f aca="false">IF($O315="","",INDEX(Scoring!$AG$29:$AG$361,MATCH($O315,Scoring!$AB$29:$AB$361,0)))</f>
        <v/>
      </c>
      <c r="H315" s="7" t="str">
        <f aca="false">IF($O315="","",INDEX(Scoring!$C$29:$C$361,MATCH($O315,Scoring!$AB$29:$AB$361,0)))</f>
        <v/>
      </c>
      <c r="I315" s="6" t="str">
        <f aca="false">IF($O315="","",INDEX(Scoring!$I$29:$I$361,MATCH($O315,Scoring!$AB$29:$AB$361,0)))</f>
        <v/>
      </c>
      <c r="J315" s="7" t="str">
        <f aca="false">IF($O315="","",INDEX(Scoring!$Z$29:$Z$361,MATCH($O315,Scoring!$AB$29:$AB$361,0)))</f>
        <v/>
      </c>
      <c r="K315" s="8" t="str">
        <f aca="false">IF($O315="","",IF(INDEX(Scoring!$D$29:$D$361,MATCH($O315,Scoring!$AB$29:$AB$361,0))="",INDEX(Scoring!$AF$29:$AF$361,MATCH($O315,Scoring!$AB$29:$AB$361,0)),INDEX(Scoring!$D$29:$D$361,MATCH($O315,Scoring!$AB$29:$AB$361,0))))</f>
        <v/>
      </c>
      <c r="L315" s="9" t="str">
        <f aca="false">IF($O315="","",INDEX(Scoring!$M$29:$M$361,MATCH($O315,Scoring!$AB$29:$AB$361,0)))</f>
        <v/>
      </c>
      <c r="M315" s="9" t="str">
        <f aca="false">IF($O315="","",INDEX(Scoring!$F$29:$F$361,MATCH($O315,Scoring!$AB$29:$AB$361,0)))</f>
        <v/>
      </c>
      <c r="N315" s="7" t="str">
        <f aca="false">IF($O315="","",INDEX(Scoring!$AI$29:$AI$361,MATCH($O315,Scoring!$AB$29:$AB$361,0)))</f>
        <v/>
      </c>
      <c r="O315" s="10" t="str">
        <f aca="false">IFERROR(SMALL(Scoring!$AB$29:$AB$361,311),"")</f>
        <v/>
      </c>
    </row>
    <row r="316" customFormat="false" ht="15" hidden="false" customHeight="false" outlineLevel="0" collapsed="false">
      <c r="A316" s="5" t="str">
        <f aca="false">IF($O316="","",INT($O316/1000))</f>
        <v/>
      </c>
      <c r="B316" s="6" t="str">
        <f aca="false">IF($O316="","",INDEX(Scoring!$A$29:$A$361,MATCH($O316,Scoring!$AB$29:$AB$361,0)))</f>
        <v/>
      </c>
      <c r="C316" s="5" t="str">
        <f aca="false">IF($O316="","",IF(INDEX(Scoring!$P$29:$P$361,MATCH($O316,Scoring!$AB$29:$AB$361,0))="","–",INDEX(Scoring!$P$29:$P$361,MATCH($O316,Scoring!$AB$29:$AB$361,0))))</f>
        <v/>
      </c>
      <c r="D316" s="6" t="str">
        <f aca="false">IF($O316="","",INDEX(Scoring!$Q$29:$Q$361,MATCH($O316,Scoring!$AB$29:$AB$361,0)))</f>
        <v/>
      </c>
      <c r="E316" s="7" t="str">
        <f aca="false">IF($O316="","",INDEX(Scoring!$AJ$29:$AJ$361,MATCH($O316,Scoring!$AB$29:$AB$361,0)))</f>
        <v/>
      </c>
      <c r="F316" s="6" t="str">
        <f aca="false">IF($O316="","",INDEX(Scoring!$B$29:$B$361,MATCH($O316,Scoring!$AB$29:$AB$361,0)))</f>
        <v/>
      </c>
      <c r="G316" s="7" t="str">
        <f aca="false">IF($O316="","",INDEX(Scoring!$AG$29:$AG$361,MATCH($O316,Scoring!$AB$29:$AB$361,0)))</f>
        <v/>
      </c>
      <c r="H316" s="7" t="str">
        <f aca="false">IF($O316="","",INDEX(Scoring!$C$29:$C$361,MATCH($O316,Scoring!$AB$29:$AB$361,0)))</f>
        <v/>
      </c>
      <c r="I316" s="6" t="str">
        <f aca="false">IF($O316="","",INDEX(Scoring!$I$29:$I$361,MATCH($O316,Scoring!$AB$29:$AB$361,0)))</f>
        <v/>
      </c>
      <c r="J316" s="7" t="str">
        <f aca="false">IF($O316="","",INDEX(Scoring!$Z$29:$Z$361,MATCH($O316,Scoring!$AB$29:$AB$361,0)))</f>
        <v/>
      </c>
      <c r="K316" s="8" t="str">
        <f aca="false">IF($O316="","",IF(INDEX(Scoring!$D$29:$D$361,MATCH($O316,Scoring!$AB$29:$AB$361,0))="",INDEX(Scoring!$AF$29:$AF$361,MATCH($O316,Scoring!$AB$29:$AB$361,0)),INDEX(Scoring!$D$29:$D$361,MATCH($O316,Scoring!$AB$29:$AB$361,0))))</f>
        <v/>
      </c>
      <c r="L316" s="9" t="str">
        <f aca="false">IF($O316="","",INDEX(Scoring!$M$29:$M$361,MATCH($O316,Scoring!$AB$29:$AB$361,0)))</f>
        <v/>
      </c>
      <c r="M316" s="9" t="str">
        <f aca="false">IF($O316="","",INDEX(Scoring!$F$29:$F$361,MATCH($O316,Scoring!$AB$29:$AB$361,0)))</f>
        <v/>
      </c>
      <c r="N316" s="7" t="str">
        <f aca="false">IF($O316="","",INDEX(Scoring!$AI$29:$AI$361,MATCH($O316,Scoring!$AB$29:$AB$361,0)))</f>
        <v/>
      </c>
      <c r="O316" s="10" t="str">
        <f aca="false">IFERROR(SMALL(Scoring!$AB$29:$AB$361,312),"")</f>
        <v/>
      </c>
    </row>
    <row r="317" customFormat="false" ht="15" hidden="false" customHeight="false" outlineLevel="0" collapsed="false">
      <c r="A317" s="5" t="str">
        <f aca="false">IF($O317="","",INT($O317/1000))</f>
        <v/>
      </c>
      <c r="B317" s="6" t="str">
        <f aca="false">IF($O317="","",INDEX(Scoring!$A$29:$A$361,MATCH($O317,Scoring!$AB$29:$AB$361,0)))</f>
        <v/>
      </c>
      <c r="C317" s="5" t="str">
        <f aca="false">IF($O317="","",IF(INDEX(Scoring!$P$29:$P$361,MATCH($O317,Scoring!$AB$29:$AB$361,0))="","–",INDEX(Scoring!$P$29:$P$361,MATCH($O317,Scoring!$AB$29:$AB$361,0))))</f>
        <v/>
      </c>
      <c r="D317" s="6" t="str">
        <f aca="false">IF($O317="","",INDEX(Scoring!$Q$29:$Q$361,MATCH($O317,Scoring!$AB$29:$AB$361,0)))</f>
        <v/>
      </c>
      <c r="E317" s="7" t="str">
        <f aca="false">IF($O317="","",INDEX(Scoring!$AJ$29:$AJ$361,MATCH($O317,Scoring!$AB$29:$AB$361,0)))</f>
        <v/>
      </c>
      <c r="F317" s="6" t="str">
        <f aca="false">IF($O317="","",INDEX(Scoring!$B$29:$B$361,MATCH($O317,Scoring!$AB$29:$AB$361,0)))</f>
        <v/>
      </c>
      <c r="G317" s="7" t="str">
        <f aca="false">IF($O317="","",INDEX(Scoring!$AG$29:$AG$361,MATCH($O317,Scoring!$AB$29:$AB$361,0)))</f>
        <v/>
      </c>
      <c r="H317" s="7" t="str">
        <f aca="false">IF($O317="","",INDEX(Scoring!$C$29:$C$361,MATCH($O317,Scoring!$AB$29:$AB$361,0)))</f>
        <v/>
      </c>
      <c r="I317" s="6" t="str">
        <f aca="false">IF($O317="","",INDEX(Scoring!$I$29:$I$361,MATCH($O317,Scoring!$AB$29:$AB$361,0)))</f>
        <v/>
      </c>
      <c r="J317" s="7" t="str">
        <f aca="false">IF($O317="","",INDEX(Scoring!$Z$29:$Z$361,MATCH($O317,Scoring!$AB$29:$AB$361,0)))</f>
        <v/>
      </c>
      <c r="K317" s="8" t="str">
        <f aca="false">IF($O317="","",IF(INDEX(Scoring!$D$29:$D$361,MATCH($O317,Scoring!$AB$29:$AB$361,0))="",INDEX(Scoring!$AF$29:$AF$361,MATCH($O317,Scoring!$AB$29:$AB$361,0)),INDEX(Scoring!$D$29:$D$361,MATCH($O317,Scoring!$AB$29:$AB$361,0))))</f>
        <v/>
      </c>
      <c r="L317" s="9" t="str">
        <f aca="false">IF($O317="","",INDEX(Scoring!$M$29:$M$361,MATCH($O317,Scoring!$AB$29:$AB$361,0)))</f>
        <v/>
      </c>
      <c r="M317" s="9" t="str">
        <f aca="false">IF($O317="","",INDEX(Scoring!$F$29:$F$361,MATCH($O317,Scoring!$AB$29:$AB$361,0)))</f>
        <v/>
      </c>
      <c r="N317" s="7" t="str">
        <f aca="false">IF($O317="","",INDEX(Scoring!$AI$29:$AI$361,MATCH($O317,Scoring!$AB$29:$AB$361,0)))</f>
        <v/>
      </c>
      <c r="O317" s="10" t="str">
        <f aca="false">IFERROR(SMALL(Scoring!$AB$29:$AB$361,313),"")</f>
        <v/>
      </c>
    </row>
    <row r="318" customFormat="false" ht="15" hidden="false" customHeight="false" outlineLevel="0" collapsed="false">
      <c r="A318" s="5" t="str">
        <f aca="false">IF($O318="","",INT($O318/1000))</f>
        <v/>
      </c>
      <c r="B318" s="6" t="str">
        <f aca="false">IF($O318="","",INDEX(Scoring!$A$29:$A$361,MATCH($O318,Scoring!$AB$29:$AB$361,0)))</f>
        <v/>
      </c>
      <c r="C318" s="5" t="str">
        <f aca="false">IF($O318="","",IF(INDEX(Scoring!$P$29:$P$361,MATCH($O318,Scoring!$AB$29:$AB$361,0))="","–",INDEX(Scoring!$P$29:$P$361,MATCH($O318,Scoring!$AB$29:$AB$361,0))))</f>
        <v/>
      </c>
      <c r="D318" s="6" t="str">
        <f aca="false">IF($O318="","",INDEX(Scoring!$Q$29:$Q$361,MATCH($O318,Scoring!$AB$29:$AB$361,0)))</f>
        <v/>
      </c>
      <c r="E318" s="7" t="str">
        <f aca="false">IF($O318="","",INDEX(Scoring!$AJ$29:$AJ$361,MATCH($O318,Scoring!$AB$29:$AB$361,0)))</f>
        <v/>
      </c>
      <c r="F318" s="6" t="str">
        <f aca="false">IF($O318="","",INDEX(Scoring!$B$29:$B$361,MATCH($O318,Scoring!$AB$29:$AB$361,0)))</f>
        <v/>
      </c>
      <c r="G318" s="7" t="str">
        <f aca="false">IF($O318="","",INDEX(Scoring!$AG$29:$AG$361,MATCH($O318,Scoring!$AB$29:$AB$361,0)))</f>
        <v/>
      </c>
      <c r="H318" s="7" t="str">
        <f aca="false">IF($O318="","",INDEX(Scoring!$C$29:$C$361,MATCH($O318,Scoring!$AB$29:$AB$361,0)))</f>
        <v/>
      </c>
      <c r="I318" s="6" t="str">
        <f aca="false">IF($O318="","",INDEX(Scoring!$I$29:$I$361,MATCH($O318,Scoring!$AB$29:$AB$361,0)))</f>
        <v/>
      </c>
      <c r="J318" s="7" t="str">
        <f aca="false">IF($O318="","",INDEX(Scoring!$Z$29:$Z$361,MATCH($O318,Scoring!$AB$29:$AB$361,0)))</f>
        <v/>
      </c>
      <c r="K318" s="8" t="str">
        <f aca="false">IF($O318="","",IF(INDEX(Scoring!$D$29:$D$361,MATCH($O318,Scoring!$AB$29:$AB$361,0))="",INDEX(Scoring!$AF$29:$AF$361,MATCH($O318,Scoring!$AB$29:$AB$361,0)),INDEX(Scoring!$D$29:$D$361,MATCH($O318,Scoring!$AB$29:$AB$361,0))))</f>
        <v/>
      </c>
      <c r="L318" s="9" t="str">
        <f aca="false">IF($O318="","",INDEX(Scoring!$M$29:$M$361,MATCH($O318,Scoring!$AB$29:$AB$361,0)))</f>
        <v/>
      </c>
      <c r="M318" s="9" t="str">
        <f aca="false">IF($O318="","",INDEX(Scoring!$F$29:$F$361,MATCH($O318,Scoring!$AB$29:$AB$361,0)))</f>
        <v/>
      </c>
      <c r="N318" s="7" t="str">
        <f aca="false">IF($O318="","",INDEX(Scoring!$AI$29:$AI$361,MATCH($O318,Scoring!$AB$29:$AB$361,0)))</f>
        <v/>
      </c>
      <c r="O318" s="10" t="str">
        <f aca="false">IFERROR(SMALL(Scoring!$AB$29:$AB$361,314),"")</f>
        <v/>
      </c>
    </row>
    <row r="319" customFormat="false" ht="15" hidden="false" customHeight="false" outlineLevel="0" collapsed="false">
      <c r="A319" s="5" t="str">
        <f aca="false">IF($O319="","",INT($O319/1000))</f>
        <v/>
      </c>
      <c r="B319" s="6" t="str">
        <f aca="false">IF($O319="","",INDEX(Scoring!$A$29:$A$361,MATCH($O319,Scoring!$AB$29:$AB$361,0)))</f>
        <v/>
      </c>
      <c r="C319" s="5" t="str">
        <f aca="false">IF($O319="","",IF(INDEX(Scoring!$P$29:$P$361,MATCH($O319,Scoring!$AB$29:$AB$361,0))="","–",INDEX(Scoring!$P$29:$P$361,MATCH($O319,Scoring!$AB$29:$AB$361,0))))</f>
        <v/>
      </c>
      <c r="D319" s="6" t="str">
        <f aca="false">IF($O319="","",INDEX(Scoring!$Q$29:$Q$361,MATCH($O319,Scoring!$AB$29:$AB$361,0)))</f>
        <v/>
      </c>
      <c r="E319" s="7" t="str">
        <f aca="false">IF($O319="","",INDEX(Scoring!$AJ$29:$AJ$361,MATCH($O319,Scoring!$AB$29:$AB$361,0)))</f>
        <v/>
      </c>
      <c r="F319" s="6" t="str">
        <f aca="false">IF($O319="","",INDEX(Scoring!$B$29:$B$361,MATCH($O319,Scoring!$AB$29:$AB$361,0)))</f>
        <v/>
      </c>
      <c r="G319" s="7" t="str">
        <f aca="false">IF($O319="","",INDEX(Scoring!$AG$29:$AG$361,MATCH($O319,Scoring!$AB$29:$AB$361,0)))</f>
        <v/>
      </c>
      <c r="H319" s="7" t="str">
        <f aca="false">IF($O319="","",INDEX(Scoring!$C$29:$C$361,MATCH($O319,Scoring!$AB$29:$AB$361,0)))</f>
        <v/>
      </c>
      <c r="I319" s="6" t="str">
        <f aca="false">IF($O319="","",INDEX(Scoring!$I$29:$I$361,MATCH($O319,Scoring!$AB$29:$AB$361,0)))</f>
        <v/>
      </c>
      <c r="J319" s="7" t="str">
        <f aca="false">IF($O319="","",INDEX(Scoring!$Z$29:$Z$361,MATCH($O319,Scoring!$AB$29:$AB$361,0)))</f>
        <v/>
      </c>
      <c r="K319" s="8" t="str">
        <f aca="false">IF($O319="","",IF(INDEX(Scoring!$D$29:$D$361,MATCH($O319,Scoring!$AB$29:$AB$361,0))="",INDEX(Scoring!$AF$29:$AF$361,MATCH($O319,Scoring!$AB$29:$AB$361,0)),INDEX(Scoring!$D$29:$D$361,MATCH($O319,Scoring!$AB$29:$AB$361,0))))</f>
        <v/>
      </c>
      <c r="L319" s="9" t="str">
        <f aca="false">IF($O319="","",INDEX(Scoring!$M$29:$M$361,MATCH($O319,Scoring!$AB$29:$AB$361,0)))</f>
        <v/>
      </c>
      <c r="M319" s="9" t="str">
        <f aca="false">IF($O319="","",INDEX(Scoring!$F$29:$F$361,MATCH($O319,Scoring!$AB$29:$AB$361,0)))</f>
        <v/>
      </c>
      <c r="N319" s="7" t="str">
        <f aca="false">IF($O319="","",INDEX(Scoring!$AI$29:$AI$361,MATCH($O319,Scoring!$AB$29:$AB$361,0)))</f>
        <v/>
      </c>
      <c r="O319" s="10" t="str">
        <f aca="false">IFERROR(SMALL(Scoring!$AB$29:$AB$361,315),"")</f>
        <v/>
      </c>
    </row>
    <row r="320" customFormat="false" ht="15" hidden="false" customHeight="false" outlineLevel="0" collapsed="false">
      <c r="A320" s="5" t="str">
        <f aca="false">IF($O320="","",INT($O320/1000))</f>
        <v/>
      </c>
      <c r="B320" s="6" t="str">
        <f aca="false">IF($O320="","",INDEX(Scoring!$A$29:$A$361,MATCH($O320,Scoring!$AB$29:$AB$361,0)))</f>
        <v/>
      </c>
      <c r="C320" s="5" t="str">
        <f aca="false">IF($O320="","",IF(INDEX(Scoring!$P$29:$P$361,MATCH($O320,Scoring!$AB$29:$AB$361,0))="","–",INDEX(Scoring!$P$29:$P$361,MATCH($O320,Scoring!$AB$29:$AB$361,0))))</f>
        <v/>
      </c>
      <c r="D320" s="6" t="str">
        <f aca="false">IF($O320="","",INDEX(Scoring!$Q$29:$Q$361,MATCH($O320,Scoring!$AB$29:$AB$361,0)))</f>
        <v/>
      </c>
      <c r="E320" s="7" t="str">
        <f aca="false">IF($O320="","",INDEX(Scoring!$AJ$29:$AJ$361,MATCH($O320,Scoring!$AB$29:$AB$361,0)))</f>
        <v/>
      </c>
      <c r="F320" s="6" t="str">
        <f aca="false">IF($O320="","",INDEX(Scoring!$B$29:$B$361,MATCH($O320,Scoring!$AB$29:$AB$361,0)))</f>
        <v/>
      </c>
      <c r="G320" s="7" t="str">
        <f aca="false">IF($O320="","",INDEX(Scoring!$AG$29:$AG$361,MATCH($O320,Scoring!$AB$29:$AB$361,0)))</f>
        <v/>
      </c>
      <c r="H320" s="7" t="str">
        <f aca="false">IF($O320="","",INDEX(Scoring!$C$29:$C$361,MATCH($O320,Scoring!$AB$29:$AB$361,0)))</f>
        <v/>
      </c>
      <c r="I320" s="6" t="str">
        <f aca="false">IF($O320="","",INDEX(Scoring!$I$29:$I$361,MATCH($O320,Scoring!$AB$29:$AB$361,0)))</f>
        <v/>
      </c>
      <c r="J320" s="7" t="str">
        <f aca="false">IF($O320="","",INDEX(Scoring!$Z$29:$Z$361,MATCH($O320,Scoring!$AB$29:$AB$361,0)))</f>
        <v/>
      </c>
      <c r="K320" s="8" t="str">
        <f aca="false">IF($O320="","",IF(INDEX(Scoring!$D$29:$D$361,MATCH($O320,Scoring!$AB$29:$AB$361,0))="",INDEX(Scoring!$AF$29:$AF$361,MATCH($O320,Scoring!$AB$29:$AB$361,0)),INDEX(Scoring!$D$29:$D$361,MATCH($O320,Scoring!$AB$29:$AB$361,0))))</f>
        <v/>
      </c>
      <c r="L320" s="9" t="str">
        <f aca="false">IF($O320="","",INDEX(Scoring!$M$29:$M$361,MATCH($O320,Scoring!$AB$29:$AB$361,0)))</f>
        <v/>
      </c>
      <c r="M320" s="9" t="str">
        <f aca="false">IF($O320="","",INDEX(Scoring!$F$29:$F$361,MATCH($O320,Scoring!$AB$29:$AB$361,0)))</f>
        <v/>
      </c>
      <c r="N320" s="7" t="str">
        <f aca="false">IF($O320="","",INDEX(Scoring!$AI$29:$AI$361,MATCH($O320,Scoring!$AB$29:$AB$361,0)))</f>
        <v/>
      </c>
      <c r="O320" s="10" t="str">
        <f aca="false">IFERROR(SMALL(Scoring!$AB$29:$AB$361,316),"")</f>
        <v/>
      </c>
    </row>
    <row r="321" customFormat="false" ht="15" hidden="false" customHeight="false" outlineLevel="0" collapsed="false">
      <c r="A321" s="5" t="str">
        <f aca="false">IF($O321="","",INT($O321/1000))</f>
        <v/>
      </c>
      <c r="B321" s="6" t="str">
        <f aca="false">IF($O321="","",INDEX(Scoring!$A$29:$A$361,MATCH($O321,Scoring!$AB$29:$AB$361,0)))</f>
        <v/>
      </c>
      <c r="C321" s="5" t="str">
        <f aca="false">IF($O321="","",IF(INDEX(Scoring!$P$29:$P$361,MATCH($O321,Scoring!$AB$29:$AB$361,0))="","–",INDEX(Scoring!$P$29:$P$361,MATCH($O321,Scoring!$AB$29:$AB$361,0))))</f>
        <v/>
      </c>
      <c r="D321" s="6" t="str">
        <f aca="false">IF($O321="","",INDEX(Scoring!$Q$29:$Q$361,MATCH($O321,Scoring!$AB$29:$AB$361,0)))</f>
        <v/>
      </c>
      <c r="E321" s="7" t="str">
        <f aca="false">IF($O321="","",INDEX(Scoring!$AJ$29:$AJ$361,MATCH($O321,Scoring!$AB$29:$AB$361,0)))</f>
        <v/>
      </c>
      <c r="F321" s="6" t="str">
        <f aca="false">IF($O321="","",INDEX(Scoring!$B$29:$B$361,MATCH($O321,Scoring!$AB$29:$AB$361,0)))</f>
        <v/>
      </c>
      <c r="G321" s="7" t="str">
        <f aca="false">IF($O321="","",INDEX(Scoring!$AG$29:$AG$361,MATCH($O321,Scoring!$AB$29:$AB$361,0)))</f>
        <v/>
      </c>
      <c r="H321" s="7" t="str">
        <f aca="false">IF($O321="","",INDEX(Scoring!$C$29:$C$361,MATCH($O321,Scoring!$AB$29:$AB$361,0)))</f>
        <v/>
      </c>
      <c r="I321" s="6" t="str">
        <f aca="false">IF($O321="","",INDEX(Scoring!$I$29:$I$361,MATCH($O321,Scoring!$AB$29:$AB$361,0)))</f>
        <v/>
      </c>
      <c r="J321" s="7" t="str">
        <f aca="false">IF($O321="","",INDEX(Scoring!$Z$29:$Z$361,MATCH($O321,Scoring!$AB$29:$AB$361,0)))</f>
        <v/>
      </c>
      <c r="K321" s="8" t="str">
        <f aca="false">IF($O321="","",IF(INDEX(Scoring!$D$29:$D$361,MATCH($O321,Scoring!$AB$29:$AB$361,0))="",INDEX(Scoring!$AF$29:$AF$361,MATCH($O321,Scoring!$AB$29:$AB$361,0)),INDEX(Scoring!$D$29:$D$361,MATCH($O321,Scoring!$AB$29:$AB$361,0))))</f>
        <v/>
      </c>
      <c r="L321" s="9" t="str">
        <f aca="false">IF($O321="","",INDEX(Scoring!$M$29:$M$361,MATCH($O321,Scoring!$AB$29:$AB$361,0)))</f>
        <v/>
      </c>
      <c r="M321" s="9" t="str">
        <f aca="false">IF($O321="","",INDEX(Scoring!$F$29:$F$361,MATCH($O321,Scoring!$AB$29:$AB$361,0)))</f>
        <v/>
      </c>
      <c r="N321" s="7" t="str">
        <f aca="false">IF($O321="","",INDEX(Scoring!$AI$29:$AI$361,MATCH($O321,Scoring!$AB$29:$AB$361,0)))</f>
        <v/>
      </c>
      <c r="O321" s="10" t="str">
        <f aca="false">IFERROR(SMALL(Scoring!$AB$29:$AB$361,317),"")</f>
        <v/>
      </c>
    </row>
    <row r="322" customFormat="false" ht="15" hidden="false" customHeight="false" outlineLevel="0" collapsed="false">
      <c r="A322" s="5" t="str">
        <f aca="false">IF($O322="","",INT($O322/1000))</f>
        <v/>
      </c>
      <c r="B322" s="6" t="str">
        <f aca="false">IF($O322="","",INDEX(Scoring!$A$29:$A$361,MATCH($O322,Scoring!$AB$29:$AB$361,0)))</f>
        <v/>
      </c>
      <c r="C322" s="5" t="str">
        <f aca="false">IF($O322="","",IF(INDEX(Scoring!$P$29:$P$361,MATCH($O322,Scoring!$AB$29:$AB$361,0))="","–",INDEX(Scoring!$P$29:$P$361,MATCH($O322,Scoring!$AB$29:$AB$361,0))))</f>
        <v/>
      </c>
      <c r="D322" s="6" t="str">
        <f aca="false">IF($O322="","",INDEX(Scoring!$Q$29:$Q$361,MATCH($O322,Scoring!$AB$29:$AB$361,0)))</f>
        <v/>
      </c>
      <c r="E322" s="7" t="str">
        <f aca="false">IF($O322="","",INDEX(Scoring!$AJ$29:$AJ$361,MATCH($O322,Scoring!$AB$29:$AB$361,0)))</f>
        <v/>
      </c>
      <c r="F322" s="6" t="str">
        <f aca="false">IF($O322="","",INDEX(Scoring!$B$29:$B$361,MATCH($O322,Scoring!$AB$29:$AB$361,0)))</f>
        <v/>
      </c>
      <c r="G322" s="7" t="str">
        <f aca="false">IF($O322="","",INDEX(Scoring!$AG$29:$AG$361,MATCH($O322,Scoring!$AB$29:$AB$361,0)))</f>
        <v/>
      </c>
      <c r="H322" s="7" t="str">
        <f aca="false">IF($O322="","",INDEX(Scoring!$C$29:$C$361,MATCH($O322,Scoring!$AB$29:$AB$361,0)))</f>
        <v/>
      </c>
      <c r="I322" s="6" t="str">
        <f aca="false">IF($O322="","",INDEX(Scoring!$I$29:$I$361,MATCH($O322,Scoring!$AB$29:$AB$361,0)))</f>
        <v/>
      </c>
      <c r="J322" s="7" t="str">
        <f aca="false">IF($O322="","",INDEX(Scoring!$Z$29:$Z$361,MATCH($O322,Scoring!$AB$29:$AB$361,0)))</f>
        <v/>
      </c>
      <c r="K322" s="8" t="str">
        <f aca="false">IF($O322="","",IF(INDEX(Scoring!$D$29:$D$361,MATCH($O322,Scoring!$AB$29:$AB$361,0))="",INDEX(Scoring!$AF$29:$AF$361,MATCH($O322,Scoring!$AB$29:$AB$361,0)),INDEX(Scoring!$D$29:$D$361,MATCH($O322,Scoring!$AB$29:$AB$361,0))))</f>
        <v/>
      </c>
      <c r="L322" s="9" t="str">
        <f aca="false">IF($O322="","",INDEX(Scoring!$M$29:$M$361,MATCH($O322,Scoring!$AB$29:$AB$361,0)))</f>
        <v/>
      </c>
      <c r="M322" s="9" t="str">
        <f aca="false">IF($O322="","",INDEX(Scoring!$F$29:$F$361,MATCH($O322,Scoring!$AB$29:$AB$361,0)))</f>
        <v/>
      </c>
      <c r="N322" s="7" t="str">
        <f aca="false">IF($O322="","",INDEX(Scoring!$AI$29:$AI$361,MATCH($O322,Scoring!$AB$29:$AB$361,0)))</f>
        <v/>
      </c>
      <c r="O322" s="10" t="str">
        <f aca="false">IFERROR(SMALL(Scoring!$AB$29:$AB$361,318),"")</f>
        <v/>
      </c>
    </row>
    <row r="323" customFormat="false" ht="15" hidden="false" customHeight="false" outlineLevel="0" collapsed="false">
      <c r="A323" s="5" t="str">
        <f aca="false">IF($O323="","",INT($O323/1000))</f>
        <v/>
      </c>
      <c r="B323" s="6" t="str">
        <f aca="false">IF($O323="","",INDEX(Scoring!$A$29:$A$361,MATCH($O323,Scoring!$AB$29:$AB$361,0)))</f>
        <v/>
      </c>
      <c r="C323" s="5" t="str">
        <f aca="false">IF($O323="","",IF(INDEX(Scoring!$P$29:$P$361,MATCH($O323,Scoring!$AB$29:$AB$361,0))="","–",INDEX(Scoring!$P$29:$P$361,MATCH($O323,Scoring!$AB$29:$AB$361,0))))</f>
        <v/>
      </c>
      <c r="D323" s="6" t="str">
        <f aca="false">IF($O323="","",INDEX(Scoring!$Q$29:$Q$361,MATCH($O323,Scoring!$AB$29:$AB$361,0)))</f>
        <v/>
      </c>
      <c r="E323" s="7" t="str">
        <f aca="false">IF($O323="","",INDEX(Scoring!$AJ$29:$AJ$361,MATCH($O323,Scoring!$AB$29:$AB$361,0)))</f>
        <v/>
      </c>
      <c r="F323" s="6" t="str">
        <f aca="false">IF($O323="","",INDEX(Scoring!$B$29:$B$361,MATCH($O323,Scoring!$AB$29:$AB$361,0)))</f>
        <v/>
      </c>
      <c r="G323" s="7" t="str">
        <f aca="false">IF($O323="","",INDEX(Scoring!$AG$29:$AG$361,MATCH($O323,Scoring!$AB$29:$AB$361,0)))</f>
        <v/>
      </c>
      <c r="H323" s="7" t="str">
        <f aca="false">IF($O323="","",INDEX(Scoring!$C$29:$C$361,MATCH($O323,Scoring!$AB$29:$AB$361,0)))</f>
        <v/>
      </c>
      <c r="I323" s="6" t="str">
        <f aca="false">IF($O323="","",INDEX(Scoring!$I$29:$I$361,MATCH($O323,Scoring!$AB$29:$AB$361,0)))</f>
        <v/>
      </c>
      <c r="J323" s="7" t="str">
        <f aca="false">IF($O323="","",INDEX(Scoring!$Z$29:$Z$361,MATCH($O323,Scoring!$AB$29:$AB$361,0)))</f>
        <v/>
      </c>
      <c r="K323" s="8" t="str">
        <f aca="false">IF($O323="","",IF(INDEX(Scoring!$D$29:$D$361,MATCH($O323,Scoring!$AB$29:$AB$361,0))="",INDEX(Scoring!$AF$29:$AF$361,MATCH($O323,Scoring!$AB$29:$AB$361,0)),INDEX(Scoring!$D$29:$D$361,MATCH($O323,Scoring!$AB$29:$AB$361,0))))</f>
        <v/>
      </c>
      <c r="L323" s="9" t="str">
        <f aca="false">IF($O323="","",INDEX(Scoring!$M$29:$M$361,MATCH($O323,Scoring!$AB$29:$AB$361,0)))</f>
        <v/>
      </c>
      <c r="M323" s="9" t="str">
        <f aca="false">IF($O323="","",INDEX(Scoring!$F$29:$F$361,MATCH($O323,Scoring!$AB$29:$AB$361,0)))</f>
        <v/>
      </c>
      <c r="N323" s="7" t="str">
        <f aca="false">IF($O323="","",INDEX(Scoring!$AI$29:$AI$361,MATCH($O323,Scoring!$AB$29:$AB$361,0)))</f>
        <v/>
      </c>
      <c r="O323" s="10" t="str">
        <f aca="false">IFERROR(SMALL(Scoring!$AB$29:$AB$361,319),"")</f>
        <v/>
      </c>
    </row>
    <row r="324" customFormat="false" ht="15" hidden="false" customHeight="false" outlineLevel="0" collapsed="false">
      <c r="A324" s="5" t="str">
        <f aca="false">IF($O324="","",INT($O324/1000))</f>
        <v/>
      </c>
      <c r="B324" s="6" t="str">
        <f aca="false">IF($O324="","",INDEX(Scoring!$A$29:$A$361,MATCH($O324,Scoring!$AB$29:$AB$361,0)))</f>
        <v/>
      </c>
      <c r="C324" s="5" t="str">
        <f aca="false">IF($O324="","",IF(INDEX(Scoring!$P$29:$P$361,MATCH($O324,Scoring!$AB$29:$AB$361,0))="","–",INDEX(Scoring!$P$29:$P$361,MATCH($O324,Scoring!$AB$29:$AB$361,0))))</f>
        <v/>
      </c>
      <c r="D324" s="6" t="str">
        <f aca="false">IF($O324="","",INDEX(Scoring!$Q$29:$Q$361,MATCH($O324,Scoring!$AB$29:$AB$361,0)))</f>
        <v/>
      </c>
      <c r="E324" s="7" t="str">
        <f aca="false">IF($O324="","",INDEX(Scoring!$AJ$29:$AJ$361,MATCH($O324,Scoring!$AB$29:$AB$361,0)))</f>
        <v/>
      </c>
      <c r="F324" s="6" t="str">
        <f aca="false">IF($O324="","",INDEX(Scoring!$B$29:$B$361,MATCH($O324,Scoring!$AB$29:$AB$361,0)))</f>
        <v/>
      </c>
      <c r="G324" s="7" t="str">
        <f aca="false">IF($O324="","",INDEX(Scoring!$AG$29:$AG$361,MATCH($O324,Scoring!$AB$29:$AB$361,0)))</f>
        <v/>
      </c>
      <c r="H324" s="7" t="str">
        <f aca="false">IF($O324="","",INDEX(Scoring!$C$29:$C$361,MATCH($O324,Scoring!$AB$29:$AB$361,0)))</f>
        <v/>
      </c>
      <c r="I324" s="6" t="str">
        <f aca="false">IF($O324="","",INDEX(Scoring!$I$29:$I$361,MATCH($O324,Scoring!$AB$29:$AB$361,0)))</f>
        <v/>
      </c>
      <c r="J324" s="7" t="str">
        <f aca="false">IF($O324="","",INDEX(Scoring!$Z$29:$Z$361,MATCH($O324,Scoring!$AB$29:$AB$361,0)))</f>
        <v/>
      </c>
      <c r="K324" s="8" t="str">
        <f aca="false">IF($O324="","",IF(INDEX(Scoring!$D$29:$D$361,MATCH($O324,Scoring!$AB$29:$AB$361,0))="",INDEX(Scoring!$AF$29:$AF$361,MATCH($O324,Scoring!$AB$29:$AB$361,0)),INDEX(Scoring!$D$29:$D$361,MATCH($O324,Scoring!$AB$29:$AB$361,0))))</f>
        <v/>
      </c>
      <c r="L324" s="9" t="str">
        <f aca="false">IF($O324="","",INDEX(Scoring!$M$29:$M$361,MATCH($O324,Scoring!$AB$29:$AB$361,0)))</f>
        <v/>
      </c>
      <c r="M324" s="9" t="str">
        <f aca="false">IF($O324="","",INDEX(Scoring!$F$29:$F$361,MATCH($O324,Scoring!$AB$29:$AB$361,0)))</f>
        <v/>
      </c>
      <c r="N324" s="7" t="str">
        <f aca="false">IF($O324="","",INDEX(Scoring!$AI$29:$AI$361,MATCH($O324,Scoring!$AB$29:$AB$361,0)))</f>
        <v/>
      </c>
      <c r="O324" s="10" t="str">
        <f aca="false">IFERROR(SMALL(Scoring!$AB$29:$AB$361,320),"")</f>
        <v/>
      </c>
    </row>
    <row r="325" customFormat="false" ht="15" hidden="false" customHeight="false" outlineLevel="0" collapsed="false">
      <c r="A325" s="5" t="str">
        <f aca="false">IF($O325="","",INT($O325/1000))</f>
        <v/>
      </c>
      <c r="B325" s="6" t="str">
        <f aca="false">IF($O325="","",INDEX(Scoring!$A$29:$A$361,MATCH($O325,Scoring!$AB$29:$AB$361,0)))</f>
        <v/>
      </c>
      <c r="C325" s="5" t="str">
        <f aca="false">IF($O325="","",IF(INDEX(Scoring!$P$29:$P$361,MATCH($O325,Scoring!$AB$29:$AB$361,0))="","–",INDEX(Scoring!$P$29:$P$361,MATCH($O325,Scoring!$AB$29:$AB$361,0))))</f>
        <v/>
      </c>
      <c r="D325" s="6" t="str">
        <f aca="false">IF($O325="","",INDEX(Scoring!$Q$29:$Q$361,MATCH($O325,Scoring!$AB$29:$AB$361,0)))</f>
        <v/>
      </c>
      <c r="E325" s="7" t="str">
        <f aca="false">IF($O325="","",INDEX(Scoring!$AJ$29:$AJ$361,MATCH($O325,Scoring!$AB$29:$AB$361,0)))</f>
        <v/>
      </c>
      <c r="F325" s="6" t="str">
        <f aca="false">IF($O325="","",INDEX(Scoring!$B$29:$B$361,MATCH($O325,Scoring!$AB$29:$AB$361,0)))</f>
        <v/>
      </c>
      <c r="G325" s="7" t="str">
        <f aca="false">IF($O325="","",INDEX(Scoring!$AG$29:$AG$361,MATCH($O325,Scoring!$AB$29:$AB$361,0)))</f>
        <v/>
      </c>
      <c r="H325" s="7" t="str">
        <f aca="false">IF($O325="","",INDEX(Scoring!$C$29:$C$361,MATCH($O325,Scoring!$AB$29:$AB$361,0)))</f>
        <v/>
      </c>
      <c r="I325" s="6" t="str">
        <f aca="false">IF($O325="","",INDEX(Scoring!$I$29:$I$361,MATCH($O325,Scoring!$AB$29:$AB$361,0)))</f>
        <v/>
      </c>
      <c r="J325" s="7" t="str">
        <f aca="false">IF($O325="","",INDEX(Scoring!$Z$29:$Z$361,MATCH($O325,Scoring!$AB$29:$AB$361,0)))</f>
        <v/>
      </c>
      <c r="K325" s="8" t="str">
        <f aca="false">IF($O325="","",IF(INDEX(Scoring!$D$29:$D$361,MATCH($O325,Scoring!$AB$29:$AB$361,0))="",INDEX(Scoring!$AF$29:$AF$361,MATCH($O325,Scoring!$AB$29:$AB$361,0)),INDEX(Scoring!$D$29:$D$361,MATCH($O325,Scoring!$AB$29:$AB$361,0))))</f>
        <v/>
      </c>
      <c r="L325" s="9" t="str">
        <f aca="false">IF($O325="","",INDEX(Scoring!$M$29:$M$361,MATCH($O325,Scoring!$AB$29:$AB$361,0)))</f>
        <v/>
      </c>
      <c r="M325" s="9" t="str">
        <f aca="false">IF($O325="","",INDEX(Scoring!$F$29:$F$361,MATCH($O325,Scoring!$AB$29:$AB$361,0)))</f>
        <v/>
      </c>
      <c r="N325" s="7" t="str">
        <f aca="false">IF($O325="","",INDEX(Scoring!$AI$29:$AI$361,MATCH($O325,Scoring!$AB$29:$AB$361,0)))</f>
        <v/>
      </c>
      <c r="O325" s="10" t="str">
        <f aca="false">IFERROR(SMALL(Scoring!$AB$29:$AB$361,321),"")</f>
        <v/>
      </c>
    </row>
    <row r="326" customFormat="false" ht="15" hidden="false" customHeight="false" outlineLevel="0" collapsed="false">
      <c r="A326" s="5" t="str">
        <f aca="false">IF($O326="","",INT($O326/1000))</f>
        <v/>
      </c>
      <c r="B326" s="6" t="str">
        <f aca="false">IF($O326="","",INDEX(Scoring!$A$29:$A$361,MATCH($O326,Scoring!$AB$29:$AB$361,0)))</f>
        <v/>
      </c>
      <c r="C326" s="5" t="str">
        <f aca="false">IF($O326="","",IF(INDEX(Scoring!$P$29:$P$361,MATCH($O326,Scoring!$AB$29:$AB$361,0))="","–",INDEX(Scoring!$P$29:$P$361,MATCH($O326,Scoring!$AB$29:$AB$361,0))))</f>
        <v/>
      </c>
      <c r="D326" s="6" t="str">
        <f aca="false">IF($O326="","",INDEX(Scoring!$Q$29:$Q$361,MATCH($O326,Scoring!$AB$29:$AB$361,0)))</f>
        <v/>
      </c>
      <c r="E326" s="7" t="str">
        <f aca="false">IF($O326="","",INDEX(Scoring!$AJ$29:$AJ$361,MATCH($O326,Scoring!$AB$29:$AB$361,0)))</f>
        <v/>
      </c>
      <c r="F326" s="6" t="str">
        <f aca="false">IF($O326="","",INDEX(Scoring!$B$29:$B$361,MATCH($O326,Scoring!$AB$29:$AB$361,0)))</f>
        <v/>
      </c>
      <c r="G326" s="7" t="str">
        <f aca="false">IF($O326="","",INDEX(Scoring!$AG$29:$AG$361,MATCH($O326,Scoring!$AB$29:$AB$361,0)))</f>
        <v/>
      </c>
      <c r="H326" s="7" t="str">
        <f aca="false">IF($O326="","",INDEX(Scoring!$C$29:$C$361,MATCH($O326,Scoring!$AB$29:$AB$361,0)))</f>
        <v/>
      </c>
      <c r="I326" s="6" t="str">
        <f aca="false">IF($O326="","",INDEX(Scoring!$I$29:$I$361,MATCH($O326,Scoring!$AB$29:$AB$361,0)))</f>
        <v/>
      </c>
      <c r="J326" s="7" t="str">
        <f aca="false">IF($O326="","",INDEX(Scoring!$Z$29:$Z$361,MATCH($O326,Scoring!$AB$29:$AB$361,0)))</f>
        <v/>
      </c>
      <c r="K326" s="8" t="str">
        <f aca="false">IF($O326="","",IF(INDEX(Scoring!$D$29:$D$361,MATCH($O326,Scoring!$AB$29:$AB$361,0))="",INDEX(Scoring!$AF$29:$AF$361,MATCH($O326,Scoring!$AB$29:$AB$361,0)),INDEX(Scoring!$D$29:$D$361,MATCH($O326,Scoring!$AB$29:$AB$361,0))))</f>
        <v/>
      </c>
      <c r="L326" s="9" t="str">
        <f aca="false">IF($O326="","",INDEX(Scoring!$M$29:$M$361,MATCH($O326,Scoring!$AB$29:$AB$361,0)))</f>
        <v/>
      </c>
      <c r="M326" s="9" t="str">
        <f aca="false">IF($O326="","",INDEX(Scoring!$F$29:$F$361,MATCH($O326,Scoring!$AB$29:$AB$361,0)))</f>
        <v/>
      </c>
      <c r="N326" s="7" t="str">
        <f aca="false">IF($O326="","",INDEX(Scoring!$AI$29:$AI$361,MATCH($O326,Scoring!$AB$29:$AB$361,0)))</f>
        <v/>
      </c>
      <c r="O326" s="10" t="str">
        <f aca="false">IFERROR(SMALL(Scoring!$AB$29:$AB$361,322),"")</f>
        <v/>
      </c>
    </row>
    <row r="327" customFormat="false" ht="15" hidden="false" customHeight="false" outlineLevel="0" collapsed="false">
      <c r="A327" s="5" t="str">
        <f aca="false">IF($O327="","",INT($O327/1000))</f>
        <v/>
      </c>
      <c r="B327" s="6" t="str">
        <f aca="false">IF($O327="","",INDEX(Scoring!$A$29:$A$361,MATCH($O327,Scoring!$AB$29:$AB$361,0)))</f>
        <v/>
      </c>
      <c r="C327" s="5" t="str">
        <f aca="false">IF($O327="","",IF(INDEX(Scoring!$P$29:$P$361,MATCH($O327,Scoring!$AB$29:$AB$361,0))="","–",INDEX(Scoring!$P$29:$P$361,MATCH($O327,Scoring!$AB$29:$AB$361,0))))</f>
        <v/>
      </c>
      <c r="D327" s="6" t="str">
        <f aca="false">IF($O327="","",INDEX(Scoring!$Q$29:$Q$361,MATCH($O327,Scoring!$AB$29:$AB$361,0)))</f>
        <v/>
      </c>
      <c r="E327" s="7" t="str">
        <f aca="false">IF($O327="","",INDEX(Scoring!$AJ$29:$AJ$361,MATCH($O327,Scoring!$AB$29:$AB$361,0)))</f>
        <v/>
      </c>
      <c r="F327" s="6" t="str">
        <f aca="false">IF($O327="","",INDEX(Scoring!$B$29:$B$361,MATCH($O327,Scoring!$AB$29:$AB$361,0)))</f>
        <v/>
      </c>
      <c r="G327" s="7" t="str">
        <f aca="false">IF($O327="","",INDEX(Scoring!$AG$29:$AG$361,MATCH($O327,Scoring!$AB$29:$AB$361,0)))</f>
        <v/>
      </c>
      <c r="H327" s="7" t="str">
        <f aca="false">IF($O327="","",INDEX(Scoring!$C$29:$C$361,MATCH($O327,Scoring!$AB$29:$AB$361,0)))</f>
        <v/>
      </c>
      <c r="I327" s="6" t="str">
        <f aca="false">IF($O327="","",INDEX(Scoring!$I$29:$I$361,MATCH($O327,Scoring!$AB$29:$AB$361,0)))</f>
        <v/>
      </c>
      <c r="J327" s="7" t="str">
        <f aca="false">IF($O327="","",INDEX(Scoring!$Z$29:$Z$361,MATCH($O327,Scoring!$AB$29:$AB$361,0)))</f>
        <v/>
      </c>
      <c r="K327" s="8" t="str">
        <f aca="false">IF($O327="","",IF(INDEX(Scoring!$D$29:$D$361,MATCH($O327,Scoring!$AB$29:$AB$361,0))="",INDEX(Scoring!$AF$29:$AF$361,MATCH($O327,Scoring!$AB$29:$AB$361,0)),INDEX(Scoring!$D$29:$D$361,MATCH($O327,Scoring!$AB$29:$AB$361,0))))</f>
        <v/>
      </c>
      <c r="L327" s="9" t="str">
        <f aca="false">IF($O327="","",INDEX(Scoring!$M$29:$M$361,MATCH($O327,Scoring!$AB$29:$AB$361,0)))</f>
        <v/>
      </c>
      <c r="M327" s="9" t="str">
        <f aca="false">IF($O327="","",INDEX(Scoring!$F$29:$F$361,MATCH($O327,Scoring!$AB$29:$AB$361,0)))</f>
        <v/>
      </c>
      <c r="N327" s="7" t="str">
        <f aca="false">IF($O327="","",INDEX(Scoring!$AI$29:$AI$361,MATCH($O327,Scoring!$AB$29:$AB$361,0)))</f>
        <v/>
      </c>
      <c r="O327" s="10" t="str">
        <f aca="false">IFERROR(SMALL(Scoring!$AB$29:$AB$361,323),"")</f>
        <v/>
      </c>
    </row>
    <row r="328" customFormat="false" ht="15" hidden="false" customHeight="false" outlineLevel="0" collapsed="false">
      <c r="A328" s="5" t="str">
        <f aca="false">IF($O328="","",INT($O328/1000))</f>
        <v/>
      </c>
      <c r="B328" s="6" t="str">
        <f aca="false">IF($O328="","",INDEX(Scoring!$A$29:$A$361,MATCH($O328,Scoring!$AB$29:$AB$361,0)))</f>
        <v/>
      </c>
      <c r="C328" s="5" t="str">
        <f aca="false">IF($O328="","",IF(INDEX(Scoring!$P$29:$P$361,MATCH($O328,Scoring!$AB$29:$AB$361,0))="","–",INDEX(Scoring!$P$29:$P$361,MATCH($O328,Scoring!$AB$29:$AB$361,0))))</f>
        <v/>
      </c>
      <c r="D328" s="6" t="str">
        <f aca="false">IF($O328="","",INDEX(Scoring!$Q$29:$Q$361,MATCH($O328,Scoring!$AB$29:$AB$361,0)))</f>
        <v/>
      </c>
      <c r="E328" s="7" t="str">
        <f aca="false">IF($O328="","",INDEX(Scoring!$AJ$29:$AJ$361,MATCH($O328,Scoring!$AB$29:$AB$361,0)))</f>
        <v/>
      </c>
      <c r="F328" s="6" t="str">
        <f aca="false">IF($O328="","",INDEX(Scoring!$B$29:$B$361,MATCH($O328,Scoring!$AB$29:$AB$361,0)))</f>
        <v/>
      </c>
      <c r="G328" s="7" t="str">
        <f aca="false">IF($O328="","",INDEX(Scoring!$AG$29:$AG$361,MATCH($O328,Scoring!$AB$29:$AB$361,0)))</f>
        <v/>
      </c>
      <c r="H328" s="7" t="str">
        <f aca="false">IF($O328="","",INDEX(Scoring!$C$29:$C$361,MATCH($O328,Scoring!$AB$29:$AB$361,0)))</f>
        <v/>
      </c>
      <c r="I328" s="6" t="str">
        <f aca="false">IF($O328="","",INDEX(Scoring!$I$29:$I$361,MATCH($O328,Scoring!$AB$29:$AB$361,0)))</f>
        <v/>
      </c>
      <c r="J328" s="7" t="str">
        <f aca="false">IF($O328="","",INDEX(Scoring!$Z$29:$Z$361,MATCH($O328,Scoring!$AB$29:$AB$361,0)))</f>
        <v/>
      </c>
      <c r="K328" s="8" t="str">
        <f aca="false">IF($O328="","",IF(INDEX(Scoring!$D$29:$D$361,MATCH($O328,Scoring!$AB$29:$AB$361,0))="",INDEX(Scoring!$AF$29:$AF$361,MATCH($O328,Scoring!$AB$29:$AB$361,0)),INDEX(Scoring!$D$29:$D$361,MATCH($O328,Scoring!$AB$29:$AB$361,0))))</f>
        <v/>
      </c>
      <c r="L328" s="9" t="str">
        <f aca="false">IF($O328="","",INDEX(Scoring!$M$29:$M$361,MATCH($O328,Scoring!$AB$29:$AB$361,0)))</f>
        <v/>
      </c>
      <c r="M328" s="9" t="str">
        <f aca="false">IF($O328="","",INDEX(Scoring!$F$29:$F$361,MATCH($O328,Scoring!$AB$29:$AB$361,0)))</f>
        <v/>
      </c>
      <c r="N328" s="7" t="str">
        <f aca="false">IF($O328="","",INDEX(Scoring!$AI$29:$AI$361,MATCH($O328,Scoring!$AB$29:$AB$361,0)))</f>
        <v/>
      </c>
      <c r="O328" s="10" t="str">
        <f aca="false">IFERROR(SMALL(Scoring!$AB$29:$AB$361,324),"")</f>
        <v/>
      </c>
    </row>
    <row r="329" customFormat="false" ht="15" hidden="false" customHeight="false" outlineLevel="0" collapsed="false">
      <c r="A329" s="5" t="str">
        <f aca="false">IF($O329="","",INT($O329/1000))</f>
        <v/>
      </c>
      <c r="B329" s="6" t="str">
        <f aca="false">IF($O329="","",INDEX(Scoring!$A$29:$A$361,MATCH($O329,Scoring!$AB$29:$AB$361,0)))</f>
        <v/>
      </c>
      <c r="C329" s="5" t="str">
        <f aca="false">IF($O329="","",IF(INDEX(Scoring!$P$29:$P$361,MATCH($O329,Scoring!$AB$29:$AB$361,0))="","–",INDEX(Scoring!$P$29:$P$361,MATCH($O329,Scoring!$AB$29:$AB$361,0))))</f>
        <v/>
      </c>
      <c r="D329" s="6" t="str">
        <f aca="false">IF($O329="","",INDEX(Scoring!$Q$29:$Q$361,MATCH($O329,Scoring!$AB$29:$AB$361,0)))</f>
        <v/>
      </c>
      <c r="E329" s="7" t="str">
        <f aca="false">IF($O329="","",INDEX(Scoring!$AJ$29:$AJ$361,MATCH($O329,Scoring!$AB$29:$AB$361,0)))</f>
        <v/>
      </c>
      <c r="F329" s="6" t="str">
        <f aca="false">IF($O329="","",INDEX(Scoring!$B$29:$B$361,MATCH($O329,Scoring!$AB$29:$AB$361,0)))</f>
        <v/>
      </c>
      <c r="G329" s="7" t="str">
        <f aca="false">IF($O329="","",INDEX(Scoring!$AG$29:$AG$361,MATCH($O329,Scoring!$AB$29:$AB$361,0)))</f>
        <v/>
      </c>
      <c r="H329" s="7" t="str">
        <f aca="false">IF($O329="","",INDEX(Scoring!$C$29:$C$361,MATCH($O329,Scoring!$AB$29:$AB$361,0)))</f>
        <v/>
      </c>
      <c r="I329" s="6" t="str">
        <f aca="false">IF($O329="","",INDEX(Scoring!$I$29:$I$361,MATCH($O329,Scoring!$AB$29:$AB$361,0)))</f>
        <v/>
      </c>
      <c r="J329" s="7" t="str">
        <f aca="false">IF($O329="","",INDEX(Scoring!$Z$29:$Z$361,MATCH($O329,Scoring!$AB$29:$AB$361,0)))</f>
        <v/>
      </c>
      <c r="K329" s="8" t="str">
        <f aca="false">IF($O329="","",IF(INDEX(Scoring!$D$29:$D$361,MATCH($O329,Scoring!$AB$29:$AB$361,0))="",INDEX(Scoring!$AF$29:$AF$361,MATCH($O329,Scoring!$AB$29:$AB$361,0)),INDEX(Scoring!$D$29:$D$361,MATCH($O329,Scoring!$AB$29:$AB$361,0))))</f>
        <v/>
      </c>
      <c r="L329" s="9" t="str">
        <f aca="false">IF($O329="","",INDEX(Scoring!$M$29:$M$361,MATCH($O329,Scoring!$AB$29:$AB$361,0)))</f>
        <v/>
      </c>
      <c r="M329" s="9" t="str">
        <f aca="false">IF($O329="","",INDEX(Scoring!$F$29:$F$361,MATCH($O329,Scoring!$AB$29:$AB$361,0)))</f>
        <v/>
      </c>
      <c r="N329" s="7" t="str">
        <f aca="false">IF($O329="","",INDEX(Scoring!$AI$29:$AI$361,MATCH($O329,Scoring!$AB$29:$AB$361,0)))</f>
        <v/>
      </c>
      <c r="O329" s="10" t="str">
        <f aca="false">IFERROR(SMALL(Scoring!$AB$29:$AB$361,325),"")</f>
        <v/>
      </c>
    </row>
    <row r="330" customFormat="false" ht="15" hidden="false" customHeight="false" outlineLevel="0" collapsed="false">
      <c r="A330" s="5" t="str">
        <f aca="false">IF($O330="","",INT($O330/1000))</f>
        <v/>
      </c>
      <c r="B330" s="6" t="str">
        <f aca="false">IF($O330="","",INDEX(Scoring!$A$29:$A$361,MATCH($O330,Scoring!$AB$29:$AB$361,0)))</f>
        <v/>
      </c>
      <c r="C330" s="5" t="str">
        <f aca="false">IF($O330="","",IF(INDEX(Scoring!$P$29:$P$361,MATCH($O330,Scoring!$AB$29:$AB$361,0))="","–",INDEX(Scoring!$P$29:$P$361,MATCH($O330,Scoring!$AB$29:$AB$361,0))))</f>
        <v/>
      </c>
      <c r="D330" s="6" t="str">
        <f aca="false">IF($O330="","",INDEX(Scoring!$Q$29:$Q$361,MATCH($O330,Scoring!$AB$29:$AB$361,0)))</f>
        <v/>
      </c>
      <c r="E330" s="7" t="str">
        <f aca="false">IF($O330="","",INDEX(Scoring!$AJ$29:$AJ$361,MATCH($O330,Scoring!$AB$29:$AB$361,0)))</f>
        <v/>
      </c>
      <c r="F330" s="6" t="str">
        <f aca="false">IF($O330="","",INDEX(Scoring!$B$29:$B$361,MATCH($O330,Scoring!$AB$29:$AB$361,0)))</f>
        <v/>
      </c>
      <c r="G330" s="7" t="str">
        <f aca="false">IF($O330="","",INDEX(Scoring!$AG$29:$AG$361,MATCH($O330,Scoring!$AB$29:$AB$361,0)))</f>
        <v/>
      </c>
      <c r="H330" s="7" t="str">
        <f aca="false">IF($O330="","",INDEX(Scoring!$C$29:$C$361,MATCH($O330,Scoring!$AB$29:$AB$361,0)))</f>
        <v/>
      </c>
      <c r="I330" s="6" t="str">
        <f aca="false">IF($O330="","",INDEX(Scoring!$I$29:$I$361,MATCH($O330,Scoring!$AB$29:$AB$361,0)))</f>
        <v/>
      </c>
      <c r="J330" s="7" t="str">
        <f aca="false">IF($O330="","",INDEX(Scoring!$Z$29:$Z$361,MATCH($O330,Scoring!$AB$29:$AB$361,0)))</f>
        <v/>
      </c>
      <c r="K330" s="8" t="str">
        <f aca="false">IF($O330="","",IF(INDEX(Scoring!$D$29:$D$361,MATCH($O330,Scoring!$AB$29:$AB$361,0))="",INDEX(Scoring!$AF$29:$AF$361,MATCH($O330,Scoring!$AB$29:$AB$361,0)),INDEX(Scoring!$D$29:$D$361,MATCH($O330,Scoring!$AB$29:$AB$361,0))))</f>
        <v/>
      </c>
      <c r="L330" s="9" t="str">
        <f aca="false">IF($O330="","",INDEX(Scoring!$M$29:$M$361,MATCH($O330,Scoring!$AB$29:$AB$361,0)))</f>
        <v/>
      </c>
      <c r="M330" s="9" t="str">
        <f aca="false">IF($O330="","",INDEX(Scoring!$F$29:$F$361,MATCH($O330,Scoring!$AB$29:$AB$361,0)))</f>
        <v/>
      </c>
      <c r="N330" s="7" t="str">
        <f aca="false">IF($O330="","",INDEX(Scoring!$AI$29:$AI$361,MATCH($O330,Scoring!$AB$29:$AB$361,0)))</f>
        <v/>
      </c>
      <c r="O330" s="10" t="str">
        <f aca="false">IFERROR(SMALL(Scoring!$AB$29:$AB$361,326),"")</f>
        <v/>
      </c>
    </row>
    <row r="331" customFormat="false" ht="15" hidden="false" customHeight="false" outlineLevel="0" collapsed="false">
      <c r="A331" s="5" t="str">
        <f aca="false">IF($O331="","",INT($O331/1000))</f>
        <v/>
      </c>
      <c r="B331" s="6" t="str">
        <f aca="false">IF($O331="","",INDEX(Scoring!$A$29:$A$361,MATCH($O331,Scoring!$AB$29:$AB$361,0)))</f>
        <v/>
      </c>
      <c r="C331" s="5" t="str">
        <f aca="false">IF($O331="","",IF(INDEX(Scoring!$P$29:$P$361,MATCH($O331,Scoring!$AB$29:$AB$361,0))="","–",INDEX(Scoring!$P$29:$P$361,MATCH($O331,Scoring!$AB$29:$AB$361,0))))</f>
        <v/>
      </c>
      <c r="D331" s="6" t="str">
        <f aca="false">IF($O331="","",INDEX(Scoring!$Q$29:$Q$361,MATCH($O331,Scoring!$AB$29:$AB$361,0)))</f>
        <v/>
      </c>
      <c r="E331" s="7" t="str">
        <f aca="false">IF($O331="","",INDEX(Scoring!$AJ$29:$AJ$361,MATCH($O331,Scoring!$AB$29:$AB$361,0)))</f>
        <v/>
      </c>
      <c r="F331" s="6" t="str">
        <f aca="false">IF($O331="","",INDEX(Scoring!$B$29:$B$361,MATCH($O331,Scoring!$AB$29:$AB$361,0)))</f>
        <v/>
      </c>
      <c r="G331" s="7" t="str">
        <f aca="false">IF($O331="","",INDEX(Scoring!$AG$29:$AG$361,MATCH($O331,Scoring!$AB$29:$AB$361,0)))</f>
        <v/>
      </c>
      <c r="H331" s="7" t="str">
        <f aca="false">IF($O331="","",INDEX(Scoring!$C$29:$C$361,MATCH($O331,Scoring!$AB$29:$AB$361,0)))</f>
        <v/>
      </c>
      <c r="I331" s="6" t="str">
        <f aca="false">IF($O331="","",INDEX(Scoring!$I$29:$I$361,MATCH($O331,Scoring!$AB$29:$AB$361,0)))</f>
        <v/>
      </c>
      <c r="J331" s="7" t="str">
        <f aca="false">IF($O331="","",INDEX(Scoring!$Z$29:$Z$361,MATCH($O331,Scoring!$AB$29:$AB$361,0)))</f>
        <v/>
      </c>
      <c r="K331" s="8" t="str">
        <f aca="false">IF($O331="","",IF(INDEX(Scoring!$D$29:$D$361,MATCH($O331,Scoring!$AB$29:$AB$361,0))="",INDEX(Scoring!$AF$29:$AF$361,MATCH($O331,Scoring!$AB$29:$AB$361,0)),INDEX(Scoring!$D$29:$D$361,MATCH($O331,Scoring!$AB$29:$AB$361,0))))</f>
        <v/>
      </c>
      <c r="L331" s="9" t="str">
        <f aca="false">IF($O331="","",INDEX(Scoring!$M$29:$M$361,MATCH($O331,Scoring!$AB$29:$AB$361,0)))</f>
        <v/>
      </c>
      <c r="M331" s="9" t="str">
        <f aca="false">IF($O331="","",INDEX(Scoring!$F$29:$F$361,MATCH($O331,Scoring!$AB$29:$AB$361,0)))</f>
        <v/>
      </c>
      <c r="N331" s="7" t="str">
        <f aca="false">IF($O331="","",INDEX(Scoring!$AI$29:$AI$361,MATCH($O331,Scoring!$AB$29:$AB$361,0)))</f>
        <v/>
      </c>
      <c r="O331" s="10" t="str">
        <f aca="false">IFERROR(SMALL(Scoring!$AB$29:$AB$361,327),"")</f>
        <v/>
      </c>
    </row>
    <row r="332" customFormat="false" ht="15" hidden="false" customHeight="false" outlineLevel="0" collapsed="false">
      <c r="A332" s="5" t="str">
        <f aca="false">IF($O332="","",INT($O332/1000))</f>
        <v/>
      </c>
      <c r="B332" s="6" t="str">
        <f aca="false">IF($O332="","",INDEX(Scoring!$A$29:$A$361,MATCH($O332,Scoring!$AB$29:$AB$361,0)))</f>
        <v/>
      </c>
      <c r="C332" s="5" t="str">
        <f aca="false">IF($O332="","",IF(INDEX(Scoring!$P$29:$P$361,MATCH($O332,Scoring!$AB$29:$AB$361,0))="","–",INDEX(Scoring!$P$29:$P$361,MATCH($O332,Scoring!$AB$29:$AB$361,0))))</f>
        <v/>
      </c>
      <c r="D332" s="6" t="str">
        <f aca="false">IF($O332="","",INDEX(Scoring!$Q$29:$Q$361,MATCH($O332,Scoring!$AB$29:$AB$361,0)))</f>
        <v/>
      </c>
      <c r="E332" s="7" t="str">
        <f aca="false">IF($O332="","",INDEX(Scoring!$AJ$29:$AJ$361,MATCH($O332,Scoring!$AB$29:$AB$361,0)))</f>
        <v/>
      </c>
      <c r="F332" s="6" t="str">
        <f aca="false">IF($O332="","",INDEX(Scoring!$B$29:$B$361,MATCH($O332,Scoring!$AB$29:$AB$361,0)))</f>
        <v/>
      </c>
      <c r="G332" s="7" t="str">
        <f aca="false">IF($O332="","",INDEX(Scoring!$AG$29:$AG$361,MATCH($O332,Scoring!$AB$29:$AB$361,0)))</f>
        <v/>
      </c>
      <c r="H332" s="7" t="str">
        <f aca="false">IF($O332="","",INDEX(Scoring!$C$29:$C$361,MATCH($O332,Scoring!$AB$29:$AB$361,0)))</f>
        <v/>
      </c>
      <c r="I332" s="6" t="str">
        <f aca="false">IF($O332="","",INDEX(Scoring!$I$29:$I$361,MATCH($O332,Scoring!$AB$29:$AB$361,0)))</f>
        <v/>
      </c>
      <c r="J332" s="7" t="str">
        <f aca="false">IF($O332="","",INDEX(Scoring!$Z$29:$Z$361,MATCH($O332,Scoring!$AB$29:$AB$361,0)))</f>
        <v/>
      </c>
      <c r="K332" s="8" t="str">
        <f aca="false">IF($O332="","",IF(INDEX(Scoring!$D$29:$D$361,MATCH($O332,Scoring!$AB$29:$AB$361,0))="",INDEX(Scoring!$AF$29:$AF$361,MATCH($O332,Scoring!$AB$29:$AB$361,0)),INDEX(Scoring!$D$29:$D$361,MATCH($O332,Scoring!$AB$29:$AB$361,0))))</f>
        <v/>
      </c>
      <c r="L332" s="9" t="str">
        <f aca="false">IF($O332="","",INDEX(Scoring!$M$29:$M$361,MATCH($O332,Scoring!$AB$29:$AB$361,0)))</f>
        <v/>
      </c>
      <c r="M332" s="9" t="str">
        <f aca="false">IF($O332="","",INDEX(Scoring!$F$29:$F$361,MATCH($O332,Scoring!$AB$29:$AB$361,0)))</f>
        <v/>
      </c>
      <c r="N332" s="7" t="str">
        <f aca="false">IF($O332="","",INDEX(Scoring!$AI$29:$AI$361,MATCH($O332,Scoring!$AB$29:$AB$361,0)))</f>
        <v/>
      </c>
      <c r="O332" s="10" t="str">
        <f aca="false">IFERROR(SMALL(Scoring!$AB$29:$AB$361,328),"")</f>
        <v/>
      </c>
    </row>
    <row r="333" customFormat="false" ht="15" hidden="false" customHeight="false" outlineLevel="0" collapsed="false">
      <c r="A333" s="5" t="str">
        <f aca="false">IF($O333="","",INT($O333/1000))</f>
        <v/>
      </c>
      <c r="B333" s="6" t="str">
        <f aca="false">IF($O333="","",INDEX(Scoring!$A$29:$A$361,MATCH($O333,Scoring!$AB$29:$AB$361,0)))</f>
        <v/>
      </c>
      <c r="C333" s="5" t="str">
        <f aca="false">IF($O333="","",IF(INDEX(Scoring!$P$29:$P$361,MATCH($O333,Scoring!$AB$29:$AB$361,0))="","–",INDEX(Scoring!$P$29:$P$361,MATCH($O333,Scoring!$AB$29:$AB$361,0))))</f>
        <v/>
      </c>
      <c r="D333" s="6" t="str">
        <f aca="false">IF($O333="","",INDEX(Scoring!$Q$29:$Q$361,MATCH($O333,Scoring!$AB$29:$AB$361,0)))</f>
        <v/>
      </c>
      <c r="E333" s="7" t="str">
        <f aca="false">IF($O333="","",INDEX(Scoring!$AJ$29:$AJ$361,MATCH($O333,Scoring!$AB$29:$AB$361,0)))</f>
        <v/>
      </c>
      <c r="F333" s="6" t="str">
        <f aca="false">IF($O333="","",INDEX(Scoring!$B$29:$B$361,MATCH($O333,Scoring!$AB$29:$AB$361,0)))</f>
        <v/>
      </c>
      <c r="G333" s="7" t="str">
        <f aca="false">IF($O333="","",INDEX(Scoring!$AG$29:$AG$361,MATCH($O333,Scoring!$AB$29:$AB$361,0)))</f>
        <v/>
      </c>
      <c r="H333" s="7" t="str">
        <f aca="false">IF($O333="","",INDEX(Scoring!$C$29:$C$361,MATCH($O333,Scoring!$AB$29:$AB$361,0)))</f>
        <v/>
      </c>
      <c r="I333" s="6" t="str">
        <f aca="false">IF($O333="","",INDEX(Scoring!$I$29:$I$361,MATCH($O333,Scoring!$AB$29:$AB$361,0)))</f>
        <v/>
      </c>
      <c r="J333" s="7" t="str">
        <f aca="false">IF($O333="","",INDEX(Scoring!$Z$29:$Z$361,MATCH($O333,Scoring!$AB$29:$AB$361,0)))</f>
        <v/>
      </c>
      <c r="K333" s="8" t="str">
        <f aca="false">IF($O333="","",IF(INDEX(Scoring!$D$29:$D$361,MATCH($O333,Scoring!$AB$29:$AB$361,0))="",INDEX(Scoring!$AF$29:$AF$361,MATCH($O333,Scoring!$AB$29:$AB$361,0)),INDEX(Scoring!$D$29:$D$361,MATCH($O333,Scoring!$AB$29:$AB$361,0))))</f>
        <v/>
      </c>
      <c r="L333" s="9" t="str">
        <f aca="false">IF($O333="","",INDEX(Scoring!$M$29:$M$361,MATCH($O333,Scoring!$AB$29:$AB$361,0)))</f>
        <v/>
      </c>
      <c r="M333" s="9" t="str">
        <f aca="false">IF($O333="","",INDEX(Scoring!$F$29:$F$361,MATCH($O333,Scoring!$AB$29:$AB$361,0)))</f>
        <v/>
      </c>
      <c r="N333" s="7" t="str">
        <f aca="false">IF($O333="","",INDEX(Scoring!$AI$29:$AI$361,MATCH($O333,Scoring!$AB$29:$AB$361,0)))</f>
        <v/>
      </c>
      <c r="O333" s="10" t="str">
        <f aca="false">IFERROR(SMALL(Scoring!$AB$29:$AB$361,329),"")</f>
        <v/>
      </c>
    </row>
    <row r="334" customFormat="false" ht="15" hidden="false" customHeight="false" outlineLevel="0" collapsed="false">
      <c r="A334" s="5" t="str">
        <f aca="false">IF($O334="","",INT($O334/1000))</f>
        <v/>
      </c>
      <c r="B334" s="6" t="str">
        <f aca="false">IF($O334="","",INDEX(Scoring!$A$29:$A$361,MATCH($O334,Scoring!$AB$29:$AB$361,0)))</f>
        <v/>
      </c>
      <c r="C334" s="5" t="str">
        <f aca="false">IF($O334="","",IF(INDEX(Scoring!$P$29:$P$361,MATCH($O334,Scoring!$AB$29:$AB$361,0))="","–",INDEX(Scoring!$P$29:$P$361,MATCH($O334,Scoring!$AB$29:$AB$361,0))))</f>
        <v/>
      </c>
      <c r="D334" s="6" t="str">
        <f aca="false">IF($O334="","",INDEX(Scoring!$Q$29:$Q$361,MATCH($O334,Scoring!$AB$29:$AB$361,0)))</f>
        <v/>
      </c>
      <c r="E334" s="7" t="str">
        <f aca="false">IF($O334="","",INDEX(Scoring!$AJ$29:$AJ$361,MATCH($O334,Scoring!$AB$29:$AB$361,0)))</f>
        <v/>
      </c>
      <c r="F334" s="6" t="str">
        <f aca="false">IF($O334="","",INDEX(Scoring!$B$29:$B$361,MATCH($O334,Scoring!$AB$29:$AB$361,0)))</f>
        <v/>
      </c>
      <c r="G334" s="7" t="str">
        <f aca="false">IF($O334="","",INDEX(Scoring!$AG$29:$AG$361,MATCH($O334,Scoring!$AB$29:$AB$361,0)))</f>
        <v/>
      </c>
      <c r="H334" s="7" t="str">
        <f aca="false">IF($O334="","",INDEX(Scoring!$C$29:$C$361,MATCH($O334,Scoring!$AB$29:$AB$361,0)))</f>
        <v/>
      </c>
      <c r="I334" s="6" t="str">
        <f aca="false">IF($O334="","",INDEX(Scoring!$I$29:$I$361,MATCH($O334,Scoring!$AB$29:$AB$361,0)))</f>
        <v/>
      </c>
      <c r="J334" s="7" t="str">
        <f aca="false">IF($O334="","",INDEX(Scoring!$Z$29:$Z$361,MATCH($O334,Scoring!$AB$29:$AB$361,0)))</f>
        <v/>
      </c>
      <c r="K334" s="8" t="str">
        <f aca="false">IF($O334="","",IF(INDEX(Scoring!$D$29:$D$361,MATCH($O334,Scoring!$AB$29:$AB$361,0))="",INDEX(Scoring!$AF$29:$AF$361,MATCH($O334,Scoring!$AB$29:$AB$361,0)),INDEX(Scoring!$D$29:$D$361,MATCH($O334,Scoring!$AB$29:$AB$361,0))))</f>
        <v/>
      </c>
      <c r="L334" s="9" t="str">
        <f aca="false">IF($O334="","",INDEX(Scoring!$M$29:$M$361,MATCH($O334,Scoring!$AB$29:$AB$361,0)))</f>
        <v/>
      </c>
      <c r="M334" s="9" t="str">
        <f aca="false">IF($O334="","",INDEX(Scoring!$F$29:$F$361,MATCH($O334,Scoring!$AB$29:$AB$361,0)))</f>
        <v/>
      </c>
      <c r="N334" s="7" t="str">
        <f aca="false">IF($O334="","",INDEX(Scoring!$AI$29:$AI$361,MATCH($O334,Scoring!$AB$29:$AB$361,0)))</f>
        <v/>
      </c>
      <c r="O334" s="10" t="str">
        <f aca="false">IFERROR(SMALL(Scoring!$AB$29:$AB$361,330),"")</f>
        <v/>
      </c>
    </row>
    <row r="335" customFormat="false" ht="15" hidden="false" customHeight="false" outlineLevel="0" collapsed="false">
      <c r="A335" s="5" t="str">
        <f aca="false">IF($O335="","",INT($O335/1000))</f>
        <v/>
      </c>
      <c r="B335" s="6" t="str">
        <f aca="false">IF($O335="","",INDEX(Scoring!$A$29:$A$361,MATCH($O335,Scoring!$AB$29:$AB$361,0)))</f>
        <v/>
      </c>
      <c r="C335" s="5" t="str">
        <f aca="false">IF($O335="","",IF(INDEX(Scoring!$P$29:$P$361,MATCH($O335,Scoring!$AB$29:$AB$361,0))="","–",INDEX(Scoring!$P$29:$P$361,MATCH($O335,Scoring!$AB$29:$AB$361,0))))</f>
        <v/>
      </c>
      <c r="D335" s="6" t="str">
        <f aca="false">IF($O335="","",INDEX(Scoring!$Q$29:$Q$361,MATCH($O335,Scoring!$AB$29:$AB$361,0)))</f>
        <v/>
      </c>
      <c r="E335" s="7" t="str">
        <f aca="false">IF($O335="","",INDEX(Scoring!$AJ$29:$AJ$361,MATCH($O335,Scoring!$AB$29:$AB$361,0)))</f>
        <v/>
      </c>
      <c r="F335" s="6" t="str">
        <f aca="false">IF($O335="","",INDEX(Scoring!$B$29:$B$361,MATCH($O335,Scoring!$AB$29:$AB$361,0)))</f>
        <v/>
      </c>
      <c r="G335" s="7" t="str">
        <f aca="false">IF($O335="","",INDEX(Scoring!$AG$29:$AG$361,MATCH($O335,Scoring!$AB$29:$AB$361,0)))</f>
        <v/>
      </c>
      <c r="H335" s="7" t="str">
        <f aca="false">IF($O335="","",INDEX(Scoring!$C$29:$C$361,MATCH($O335,Scoring!$AB$29:$AB$361,0)))</f>
        <v/>
      </c>
      <c r="I335" s="6" t="str">
        <f aca="false">IF($O335="","",INDEX(Scoring!$I$29:$I$361,MATCH($O335,Scoring!$AB$29:$AB$361,0)))</f>
        <v/>
      </c>
      <c r="J335" s="7" t="str">
        <f aca="false">IF($O335="","",INDEX(Scoring!$Z$29:$Z$361,MATCH($O335,Scoring!$AB$29:$AB$361,0)))</f>
        <v/>
      </c>
      <c r="K335" s="8" t="str">
        <f aca="false">IF($O335="","",IF(INDEX(Scoring!$D$29:$D$361,MATCH($O335,Scoring!$AB$29:$AB$361,0))="",INDEX(Scoring!$AF$29:$AF$361,MATCH($O335,Scoring!$AB$29:$AB$361,0)),INDEX(Scoring!$D$29:$D$361,MATCH($O335,Scoring!$AB$29:$AB$361,0))))</f>
        <v/>
      </c>
      <c r="L335" s="9" t="str">
        <f aca="false">IF($O335="","",INDEX(Scoring!$M$29:$M$361,MATCH($O335,Scoring!$AB$29:$AB$361,0)))</f>
        <v/>
      </c>
      <c r="M335" s="9" t="str">
        <f aca="false">IF($O335="","",INDEX(Scoring!$F$29:$F$361,MATCH($O335,Scoring!$AB$29:$AB$361,0)))</f>
        <v/>
      </c>
      <c r="N335" s="7" t="str">
        <f aca="false">IF($O335="","",INDEX(Scoring!$AI$29:$AI$361,MATCH($O335,Scoring!$AB$29:$AB$361,0)))</f>
        <v/>
      </c>
      <c r="O335" s="10" t="str">
        <f aca="false">IFERROR(SMALL(Scoring!$AB$29:$AB$361,331),"")</f>
        <v/>
      </c>
    </row>
    <row r="336" customFormat="false" ht="15" hidden="false" customHeight="false" outlineLevel="0" collapsed="false">
      <c r="A336" s="5" t="str">
        <f aca="false">IF($O336="","",INT($O336/1000))</f>
        <v/>
      </c>
      <c r="B336" s="6" t="str">
        <f aca="false">IF($O336="","",INDEX(Scoring!$A$29:$A$361,MATCH($O336,Scoring!$AB$29:$AB$361,0)))</f>
        <v/>
      </c>
      <c r="C336" s="5" t="str">
        <f aca="false">IF($O336="","",IF(INDEX(Scoring!$P$29:$P$361,MATCH($O336,Scoring!$AB$29:$AB$361,0))="","–",INDEX(Scoring!$P$29:$P$361,MATCH($O336,Scoring!$AB$29:$AB$361,0))))</f>
        <v/>
      </c>
      <c r="D336" s="6" t="str">
        <f aca="false">IF($O336="","",INDEX(Scoring!$Q$29:$Q$361,MATCH($O336,Scoring!$AB$29:$AB$361,0)))</f>
        <v/>
      </c>
      <c r="E336" s="7" t="str">
        <f aca="false">IF($O336="","",INDEX(Scoring!$AJ$29:$AJ$361,MATCH($O336,Scoring!$AB$29:$AB$361,0)))</f>
        <v/>
      </c>
      <c r="F336" s="6" t="str">
        <f aca="false">IF($O336="","",INDEX(Scoring!$B$29:$B$361,MATCH($O336,Scoring!$AB$29:$AB$361,0)))</f>
        <v/>
      </c>
      <c r="G336" s="7" t="str">
        <f aca="false">IF($O336="","",INDEX(Scoring!$AG$29:$AG$361,MATCH($O336,Scoring!$AB$29:$AB$361,0)))</f>
        <v/>
      </c>
      <c r="H336" s="7" t="str">
        <f aca="false">IF($O336="","",INDEX(Scoring!$C$29:$C$361,MATCH($O336,Scoring!$AB$29:$AB$361,0)))</f>
        <v/>
      </c>
      <c r="I336" s="6" t="str">
        <f aca="false">IF($O336="","",INDEX(Scoring!$I$29:$I$361,MATCH($O336,Scoring!$AB$29:$AB$361,0)))</f>
        <v/>
      </c>
      <c r="J336" s="7" t="str">
        <f aca="false">IF($O336="","",INDEX(Scoring!$Z$29:$Z$361,MATCH($O336,Scoring!$AB$29:$AB$361,0)))</f>
        <v/>
      </c>
      <c r="K336" s="8" t="str">
        <f aca="false">IF($O336="","",IF(INDEX(Scoring!$D$29:$D$361,MATCH($O336,Scoring!$AB$29:$AB$361,0))="",INDEX(Scoring!$AF$29:$AF$361,MATCH($O336,Scoring!$AB$29:$AB$361,0)),INDEX(Scoring!$D$29:$D$361,MATCH($O336,Scoring!$AB$29:$AB$361,0))))</f>
        <v/>
      </c>
      <c r="L336" s="9" t="str">
        <f aca="false">IF($O336="","",INDEX(Scoring!$M$29:$M$361,MATCH($O336,Scoring!$AB$29:$AB$361,0)))</f>
        <v/>
      </c>
      <c r="M336" s="9" t="str">
        <f aca="false">IF($O336="","",INDEX(Scoring!$F$29:$F$361,MATCH($O336,Scoring!$AB$29:$AB$361,0)))</f>
        <v/>
      </c>
      <c r="N336" s="7" t="str">
        <f aca="false">IF($O336="","",INDEX(Scoring!$AI$29:$AI$361,MATCH($O336,Scoring!$AB$29:$AB$361,0)))</f>
        <v/>
      </c>
      <c r="O336" s="10" t="str">
        <f aca="false">IFERROR(SMALL(Scoring!$AB$29:$AB$361,332),"")</f>
        <v/>
      </c>
    </row>
    <row r="337" customFormat="false" ht="15" hidden="false" customHeight="false" outlineLevel="0" collapsed="false">
      <c r="A337" s="5" t="str">
        <f aca="false">IF($O337="","",INT($O337/1000))</f>
        <v/>
      </c>
      <c r="B337" s="6" t="str">
        <f aca="false">IF($O337="","",INDEX(Scoring!$A$29:$A$361,MATCH($O337,Scoring!$AB$29:$AB$361,0)))</f>
        <v/>
      </c>
      <c r="C337" s="5" t="str">
        <f aca="false">IF($O337="","",IF(INDEX(Scoring!$P$29:$P$361,MATCH($O337,Scoring!$AB$29:$AB$361,0))="","–",INDEX(Scoring!$P$29:$P$361,MATCH($O337,Scoring!$AB$29:$AB$361,0))))</f>
        <v/>
      </c>
      <c r="D337" s="6" t="str">
        <f aca="false">IF($O337="","",INDEX(Scoring!$Q$29:$Q$361,MATCH($O337,Scoring!$AB$29:$AB$361,0)))</f>
        <v/>
      </c>
      <c r="E337" s="7" t="str">
        <f aca="false">IF($O337="","",INDEX(Scoring!$AJ$29:$AJ$361,MATCH($O337,Scoring!$AB$29:$AB$361,0)))</f>
        <v/>
      </c>
      <c r="F337" s="6" t="str">
        <f aca="false">IF($O337="","",INDEX(Scoring!$B$29:$B$361,MATCH($O337,Scoring!$AB$29:$AB$361,0)))</f>
        <v/>
      </c>
      <c r="G337" s="7" t="str">
        <f aca="false">IF($O337="","",INDEX(Scoring!$AG$29:$AG$361,MATCH($O337,Scoring!$AB$29:$AB$361,0)))</f>
        <v/>
      </c>
      <c r="H337" s="7" t="str">
        <f aca="false">IF($O337="","",INDEX(Scoring!$C$29:$C$361,MATCH($O337,Scoring!$AB$29:$AB$361,0)))</f>
        <v/>
      </c>
      <c r="I337" s="6" t="str">
        <f aca="false">IF($O337="","",INDEX(Scoring!$I$29:$I$361,MATCH($O337,Scoring!$AB$29:$AB$361,0)))</f>
        <v/>
      </c>
      <c r="J337" s="7" t="str">
        <f aca="false">IF($O337="","",INDEX(Scoring!$Z$29:$Z$361,MATCH($O337,Scoring!$AB$29:$AB$361,0)))</f>
        <v/>
      </c>
      <c r="K337" s="8" t="str">
        <f aca="false">IF($O337="","",IF(INDEX(Scoring!$D$29:$D$361,MATCH($O337,Scoring!$AB$29:$AB$361,0))="",INDEX(Scoring!$AF$29:$AF$361,MATCH($O337,Scoring!$AB$29:$AB$361,0)),INDEX(Scoring!$D$29:$D$361,MATCH($O337,Scoring!$AB$29:$AB$361,0))))</f>
        <v/>
      </c>
      <c r="L337" s="9" t="str">
        <f aca="false">IF($O337="","",INDEX(Scoring!$M$29:$M$361,MATCH($O337,Scoring!$AB$29:$AB$361,0)))</f>
        <v/>
      </c>
      <c r="M337" s="9" t="str">
        <f aca="false">IF($O337="","",INDEX(Scoring!$F$29:$F$361,MATCH($O337,Scoring!$AB$29:$AB$361,0)))</f>
        <v/>
      </c>
      <c r="N337" s="7" t="str">
        <f aca="false">IF($O337="","",INDEX(Scoring!$AI$29:$AI$361,MATCH($O337,Scoring!$AB$29:$AB$361,0)))</f>
        <v/>
      </c>
      <c r="O337" s="10" t="str">
        <f aca="false">IFERROR(SMALL(Scoring!$AB$29:$AB$361,333),"")</f>
        <v/>
      </c>
    </row>
  </sheetData>
  <autoFilter ref="A4:O337"/>
  <conditionalFormatting sqref="A5:O337">
    <cfRule type="expression" priority="2" aboveAverage="0" equalAverage="0" bottom="0" percent="0" rank="0" text="" dxfId="4">
      <formula>AND($B5&lt;&gt;$B4,$B5&lt;&gt;"")</formula>
    </cfRule>
    <cfRule type="expression" priority="3" aboveAverage="0" equalAverage="0" bottom="0" percent="0" rank="0" text="" dxfId="5">
      <formula>$O5&lt;&gt;""</formula>
    </cfRule>
  </conditionalFormatting>
  <conditionalFormatting sqref="A5:B337">
    <cfRule type="expression" priority="4" aboveAverage="0" equalAverage="0" bottom="0" percent="0" rank="0" text="" dxfId="6">
      <formula>AND($B5=$B4,$B5&lt;&gt;"")</formula>
    </cfRule>
  </conditionalFormatting>
  <conditionalFormatting sqref="C5:N337">
    <cfRule type="expression" priority="5" aboveAverage="0" equalAverage="0" bottom="0" percent="0" rank="0" text="" dxfId="7">
      <formula>$D5="Priority 1"</formula>
    </cfRule>
    <cfRule type="expression" priority="6" aboveAverage="0" equalAverage="0" bottom="0" percent="0" rank="0" text="" dxfId="8">
      <formula>LEFT($D5,8)="Excluded"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false"/>
  </sheetPr>
  <dimension ref="A1:Q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4"/>
    <col collapsed="false" customWidth="true" hidden="false" outlineLevel="0" max="3" min="3" style="0" width="18"/>
    <col collapsed="false" customWidth="true" hidden="false" outlineLevel="0" max="4" min="4" style="0" width="26"/>
    <col collapsed="false" customWidth="true" hidden="false" outlineLevel="0" max="5" min="5" style="0" width="12"/>
    <col collapsed="false" customWidth="true" hidden="false" outlineLevel="0" max="7" min="6" style="0" width="14"/>
    <col collapsed="false" customWidth="true" hidden="false" outlineLevel="0" max="8" min="8" style="0" width="26"/>
    <col collapsed="false" customWidth="true" hidden="true" outlineLevel="0" max="17" min="9" style="0" width="9"/>
  </cols>
  <sheetData>
    <row r="1" customFormat="false" ht="17.35" hidden="false" customHeight="false" outlineLevel="0" collapsed="false">
      <c r="A1" s="1" t="s">
        <v>18</v>
      </c>
    </row>
    <row r="2" customFormat="false" ht="15" hidden="false" customHeight="false" outlineLevel="0" collapsed="false">
      <c r="A2" s="2" t="s">
        <v>19</v>
      </c>
    </row>
    <row r="3" customFormat="false" ht="15" hidden="false" customHeight="false" outlineLevel="0" collapsed="false">
      <c r="A3" s="11" t="s">
        <v>20</v>
      </c>
      <c r="B3" s="12" t="s">
        <v>21</v>
      </c>
      <c r="D3" s="13" t="s">
        <v>22</v>
      </c>
      <c r="E3" s="13" t="n">
        <f aca="false">MATCH($B$3,'Summary – Option 1'!$B$5:$B$337,0)</f>
        <v>1</v>
      </c>
    </row>
    <row r="5" customFormat="false" ht="45" hidden="false" customHeight="true" outlineLevel="0" collapsed="false">
      <c r="A5" s="3" t="s">
        <v>23</v>
      </c>
      <c r="B5" s="3" t="s">
        <v>8</v>
      </c>
      <c r="C5" s="3" t="s">
        <v>6</v>
      </c>
      <c r="D5" s="3" t="s">
        <v>7</v>
      </c>
      <c r="E5" s="3" t="s">
        <v>13</v>
      </c>
      <c r="F5" s="3" t="s">
        <v>14</v>
      </c>
      <c r="G5" s="3" t="s">
        <v>15</v>
      </c>
      <c r="H5" s="3" t="s">
        <v>24</v>
      </c>
      <c r="I5" s="4" t="s">
        <v>25</v>
      </c>
      <c r="J5" s="4" t="s">
        <v>26</v>
      </c>
      <c r="K5" s="4" t="s">
        <v>27</v>
      </c>
      <c r="L5" s="4" t="s">
        <v>28</v>
      </c>
      <c r="M5" s="4" t="s">
        <v>29</v>
      </c>
      <c r="N5" s="4" t="s">
        <v>30</v>
      </c>
      <c r="O5" s="4" t="s">
        <v>31</v>
      </c>
      <c r="P5" s="4" t="s">
        <v>32</v>
      </c>
      <c r="Q5" s="4" t="s">
        <v>33</v>
      </c>
    </row>
    <row r="6" customFormat="false" ht="15" hidden="false" customHeight="false" outlineLevel="0" collapsed="false">
      <c r="A6" s="14" t="n">
        <v>1</v>
      </c>
      <c r="B6" s="15" t="str">
        <f aca="false">IFERROR(IF(INDEX('Summary – Option 1'!$B$5:$B$337,$E$3+$A6-1)=$B$3,INDEX('Summary – Option 1'!$F$5:$F$337,$E$3+$A6-1),""),"")</f>
        <v>Azacitidine</v>
      </c>
      <c r="C6" s="15" t="str">
        <f aca="false">IF($B6="","",INDEX('Summary – Option 1'!$D$5:$D$337,$E$3+$A6-1))</f>
        <v>Priority 1</v>
      </c>
      <c r="D6" s="16" t="str">
        <f aca="false">IF($B6="","",INDEX('Summary – Option 1'!$E$5:$E$337,$E$3+$A6-1))</f>
        <v>High price · high volume</v>
      </c>
      <c r="E6" s="17" t="n">
        <f aca="false">IF($B6="","",INDEX('Summary – Option 1'!$K$5:$K$337,$E$3+$A6-1))</f>
        <v>256.12</v>
      </c>
      <c r="F6" s="18" t="n">
        <f aca="false">IF($B6="","",INDEX('Summary – Option 1'!$L$5:$L$337,$E$3+$A6-1))</f>
        <v>632</v>
      </c>
      <c r="G6" s="18" t="n">
        <f aca="false">IF($B6="","",INDEX('Summary – Option 1'!$M$5:$M$337,$E$3+$A6-1))</f>
        <v>42181.7</v>
      </c>
      <c r="H6" s="15" t="str">
        <f aca="false">IF(OR($B6="",LEFT($C6,8)="Excluded",NOT(ISNUMBER($E6))),"",$B6&amp;" (P"&amp;RIGHT($C6,1)&amp;")")</f>
        <v>Azacitidine (P1)</v>
      </c>
      <c r="I6" s="19" t="n">
        <f aca="false">IF(OR($H6="",N($F6)&lt;=0,$C6&lt;&gt;"Priority 1"),NA(),$E6)</f>
        <v>256.12</v>
      </c>
      <c r="J6" s="20" t="n">
        <f aca="false">IF(OR($H6="",N($F6)&lt;=0,$C6&lt;&gt;"Priority 1"),NA(),$F6)</f>
        <v>632</v>
      </c>
      <c r="K6" s="20" t="n">
        <f aca="false">IF(OR($H6="",N($F6)&lt;=0,$C6&lt;&gt;"Priority 1"),NA(),MAX($G6,1))</f>
        <v>42181.7</v>
      </c>
      <c r="L6" s="19" t="e">
        <f aca="false">IF(OR($H6="",N($F6)&lt;=0,$C6&lt;&gt;"Priority 2"),NA(),$E6)</f>
        <v>#N/A</v>
      </c>
      <c r="M6" s="20" t="e">
        <f aca="false">IF(OR($H6="",N($F6)&lt;=0,$C6&lt;&gt;"Priority 2"),NA(),$F6)</f>
        <v>#N/A</v>
      </c>
      <c r="N6" s="20" t="e">
        <f aca="false">IF(OR($H6="",N($F6)&lt;=0,$C6&lt;&gt;"Priority 2"),NA(),MAX($G6,1))</f>
        <v>#N/A</v>
      </c>
      <c r="O6" s="19" t="e">
        <f aca="false">IF(OR($H6="",N($F6)&lt;=0,$C6&lt;&gt;"Priority 3"),NA(),$E6)</f>
        <v>#N/A</v>
      </c>
      <c r="P6" s="20" t="e">
        <f aca="false">IF(OR($H6="",N($F6)&lt;=0,$C6&lt;&gt;"Priority 3"),NA(),$F6)</f>
        <v>#N/A</v>
      </c>
      <c r="Q6" s="20" t="e">
        <f aca="false">IF(OR($H6="",N($F6)&lt;=0,$C6&lt;&gt;"Priority 3"),NA(),MAX($G6,1))</f>
        <v>#N/A</v>
      </c>
    </row>
    <row r="7" customFormat="false" ht="15" hidden="false" customHeight="false" outlineLevel="0" collapsed="false">
      <c r="A7" s="14" t="n">
        <v>2</v>
      </c>
      <c r="B7" s="15" t="str">
        <f aca="false">IFERROR(IF(INDEX('Summary – Option 1'!$B$5:$B$337,$E$3+$A7-1)=$B$3,INDEX('Summary – Option 1'!$F$5:$F$337,$E$3+$A7-1),""),"")</f>
        <v>Bortezomib</v>
      </c>
      <c r="C7" s="15" t="str">
        <f aca="false">IF($B7="","",INDEX('Summary – Option 1'!$D$5:$D$337,$E$3+$A7-1))</f>
        <v>Priority 1</v>
      </c>
      <c r="D7" s="16" t="str">
        <f aca="false">IF($B7="","",INDEX('Summary – Option 1'!$E$5:$E$337,$E$3+$A7-1))</f>
        <v>High price · high volume</v>
      </c>
      <c r="E7" s="17" t="n">
        <f aca="false">IF($B7="","",INDEX('Summary – Option 1'!$K$5:$K$337,$E$3+$A7-1))</f>
        <v>569.27</v>
      </c>
      <c r="F7" s="18" t="n">
        <f aca="false">IF($B7="","",INDEX('Summary – Option 1'!$L$5:$L$337,$E$3+$A7-1))</f>
        <v>905</v>
      </c>
      <c r="G7" s="18" t="n">
        <f aca="false">IF($B7="","",INDEX('Summary – Option 1'!$M$5:$M$337,$E$3+$A7-1))</f>
        <v>28093.4</v>
      </c>
      <c r="H7" s="15" t="str">
        <f aca="false">IF(OR($B7="",LEFT($C7,8)="Excluded",NOT(ISNUMBER($E7))),"",$B7&amp;" (P"&amp;RIGHT($C7,1)&amp;")")</f>
        <v>Bortezomib (P1)</v>
      </c>
      <c r="I7" s="19" t="n">
        <f aca="false">IF(OR($H7="",N($F7)&lt;=0,$C7&lt;&gt;"Priority 1"),NA(),$E7)</f>
        <v>569.27</v>
      </c>
      <c r="J7" s="20" t="n">
        <f aca="false">IF(OR($H7="",N($F7)&lt;=0,$C7&lt;&gt;"Priority 1"),NA(),$F7)</f>
        <v>905</v>
      </c>
      <c r="K7" s="20" t="n">
        <f aca="false">IF(OR($H7="",N($F7)&lt;=0,$C7&lt;&gt;"Priority 1"),NA(),MAX($G7,1))</f>
        <v>28093.4</v>
      </c>
      <c r="L7" s="19" t="e">
        <f aca="false">IF(OR($H7="",N($F7)&lt;=0,$C7&lt;&gt;"Priority 2"),NA(),$E7)</f>
        <v>#N/A</v>
      </c>
      <c r="M7" s="20" t="e">
        <f aca="false">IF(OR($H7="",N($F7)&lt;=0,$C7&lt;&gt;"Priority 2"),NA(),$F7)</f>
        <v>#N/A</v>
      </c>
      <c r="N7" s="20" t="e">
        <f aca="false">IF(OR($H7="",N($F7)&lt;=0,$C7&lt;&gt;"Priority 2"),NA(),MAX($G7,1))</f>
        <v>#N/A</v>
      </c>
      <c r="O7" s="19" t="e">
        <f aca="false">IF(OR($H7="",N($F7)&lt;=0,$C7&lt;&gt;"Priority 3"),NA(),$E7)</f>
        <v>#N/A</v>
      </c>
      <c r="P7" s="20" t="e">
        <f aca="false">IF(OR($H7="",N($F7)&lt;=0,$C7&lt;&gt;"Priority 3"),NA(),$F7)</f>
        <v>#N/A</v>
      </c>
      <c r="Q7" s="20" t="e">
        <f aca="false">IF(OR($H7="",N($F7)&lt;=0,$C7&lt;&gt;"Priority 3"),NA(),MAX($G7,1))</f>
        <v>#N/A</v>
      </c>
    </row>
    <row r="8" customFormat="false" ht="15" hidden="false" customHeight="false" outlineLevel="0" collapsed="false">
      <c r="A8" s="14" t="n">
        <v>3</v>
      </c>
      <c r="B8" s="15" t="str">
        <f aca="false">IFERROR(IF(INDEX('Summary – Option 1'!$B$5:$B$337,$E$3+$A8-1)=$B$3,INDEX('Summary – Option 1'!$F$5:$F$337,$E$3+$A8-1),""),"")</f>
        <v>Pegfilgrastim</v>
      </c>
      <c r="C8" s="15" t="str">
        <f aca="false">IF($B8="","",INDEX('Summary – Option 1'!$D$5:$D$337,$E$3+$A8-1))</f>
        <v>Priority 1</v>
      </c>
      <c r="D8" s="16" t="str">
        <f aca="false">IF($B8="","",INDEX('Summary – Option 1'!$E$5:$E$337,$E$3+$A8-1))</f>
        <v>High price · high volume</v>
      </c>
      <c r="E8" s="17" t="n">
        <f aca="false">IF($B8="","",INDEX('Summary – Option 1'!$K$5:$K$337,$E$3+$A8-1))</f>
        <v>907.38</v>
      </c>
      <c r="F8" s="18" t="n">
        <f aca="false">IF($B8="","",INDEX('Summary – Option 1'!$L$5:$L$337,$E$3+$A8-1))</f>
        <v>155</v>
      </c>
      <c r="G8" s="18" t="n">
        <f aca="false">IF($B8="","",INDEX('Summary – Option 1'!$M$5:$M$337,$E$3+$A8-1))</f>
        <v>22036.1</v>
      </c>
      <c r="H8" s="15" t="str">
        <f aca="false">IF(OR($B8="",LEFT($C8,8)="Excluded",NOT(ISNUMBER($E8))),"",$B8&amp;" (P"&amp;RIGHT($C8,1)&amp;")")</f>
        <v>Pegfilgrastim (P1)</v>
      </c>
      <c r="I8" s="19" t="n">
        <f aca="false">IF(OR($H8="",N($F8)&lt;=0,$C8&lt;&gt;"Priority 1"),NA(),$E8)</f>
        <v>907.38</v>
      </c>
      <c r="J8" s="20" t="n">
        <f aca="false">IF(OR($H8="",N($F8)&lt;=0,$C8&lt;&gt;"Priority 1"),NA(),$F8)</f>
        <v>155</v>
      </c>
      <c r="K8" s="20" t="n">
        <f aca="false">IF(OR($H8="",N($F8)&lt;=0,$C8&lt;&gt;"Priority 1"),NA(),MAX($G8,1))</f>
        <v>22036.1</v>
      </c>
      <c r="L8" s="19" t="e">
        <f aca="false">IF(OR($H8="",N($F8)&lt;=0,$C8&lt;&gt;"Priority 2"),NA(),$E8)</f>
        <v>#N/A</v>
      </c>
      <c r="M8" s="20" t="e">
        <f aca="false">IF(OR($H8="",N($F8)&lt;=0,$C8&lt;&gt;"Priority 2"),NA(),$F8)</f>
        <v>#N/A</v>
      </c>
      <c r="N8" s="20" t="e">
        <f aca="false">IF(OR($H8="",N($F8)&lt;=0,$C8&lt;&gt;"Priority 2"),NA(),MAX($G8,1))</f>
        <v>#N/A</v>
      </c>
      <c r="O8" s="19" t="e">
        <f aca="false">IF(OR($H8="",N($F8)&lt;=0,$C8&lt;&gt;"Priority 3"),NA(),$E8)</f>
        <v>#N/A</v>
      </c>
      <c r="P8" s="20" t="e">
        <f aca="false">IF(OR($H8="",N($F8)&lt;=0,$C8&lt;&gt;"Priority 3"),NA(),$F8)</f>
        <v>#N/A</v>
      </c>
      <c r="Q8" s="20" t="e">
        <f aca="false">IF(OR($H8="",N($F8)&lt;=0,$C8&lt;&gt;"Priority 3"),NA(),MAX($G8,1))</f>
        <v>#N/A</v>
      </c>
    </row>
    <row r="9" customFormat="false" ht="15" hidden="false" customHeight="false" outlineLevel="0" collapsed="false">
      <c r="A9" s="14" t="n">
        <v>4</v>
      </c>
      <c r="B9" s="15" t="str">
        <f aca="false">IFERROR(IF(INDEX('Summary – Option 1'!$B$5:$B$337,$E$3+$A9-1)=$B$3,INDEX('Summary – Option 1'!$F$5:$F$337,$E$3+$A9-1),""),"")</f>
        <v>Methotrexate</v>
      </c>
      <c r="C9" s="15" t="str">
        <f aca="false">IF($B9="","",INDEX('Summary – Option 1'!$D$5:$D$337,$E$3+$A9-1))</f>
        <v>Priority 1</v>
      </c>
      <c r="D9" s="16" t="str">
        <f aca="false">IF($B9="","",INDEX('Summary – Option 1'!$E$5:$E$337,$E$3+$A9-1))</f>
        <v>High price · high volume</v>
      </c>
      <c r="E9" s="17" t="n">
        <f aca="false">IF($B9="","",INDEX('Summary – Option 1'!$K$5:$K$337,$E$3+$A9-1))</f>
        <v>50.77</v>
      </c>
      <c r="F9" s="18" t="n">
        <f aca="false">IF($B9="","",INDEX('Summary – Option 1'!$L$5:$L$337,$E$3+$A9-1))</f>
        <v>996</v>
      </c>
      <c r="G9" s="18" t="n">
        <f aca="false">IF($B9="","",INDEX('Summary – Option 1'!$M$5:$M$337,$E$3+$A9-1))</f>
        <v>13045.6</v>
      </c>
      <c r="H9" s="15" t="str">
        <f aca="false">IF(OR($B9="",LEFT($C9,8)="Excluded",NOT(ISNUMBER($E9))),"",$B9&amp;" (P"&amp;RIGHT($C9,1)&amp;")")</f>
        <v>Methotrexate (P1)</v>
      </c>
      <c r="I9" s="19" t="n">
        <f aca="false">IF(OR($H9="",N($F9)&lt;=0,$C9&lt;&gt;"Priority 1"),NA(),$E9)</f>
        <v>50.77</v>
      </c>
      <c r="J9" s="20" t="n">
        <f aca="false">IF(OR($H9="",N($F9)&lt;=0,$C9&lt;&gt;"Priority 1"),NA(),$F9)</f>
        <v>996</v>
      </c>
      <c r="K9" s="20" t="n">
        <f aca="false">IF(OR($H9="",N($F9)&lt;=0,$C9&lt;&gt;"Priority 1"),NA(),MAX($G9,1))</f>
        <v>13045.6</v>
      </c>
      <c r="L9" s="19" t="e">
        <f aca="false">IF(OR($H9="",N($F9)&lt;=0,$C9&lt;&gt;"Priority 2"),NA(),$E9)</f>
        <v>#N/A</v>
      </c>
      <c r="M9" s="20" t="e">
        <f aca="false">IF(OR($H9="",N($F9)&lt;=0,$C9&lt;&gt;"Priority 2"),NA(),$F9)</f>
        <v>#N/A</v>
      </c>
      <c r="N9" s="20" t="e">
        <f aca="false">IF(OR($H9="",N($F9)&lt;=0,$C9&lt;&gt;"Priority 2"),NA(),MAX($G9,1))</f>
        <v>#N/A</v>
      </c>
      <c r="O9" s="19" t="e">
        <f aca="false">IF(OR($H9="",N($F9)&lt;=0,$C9&lt;&gt;"Priority 3"),NA(),$E9)</f>
        <v>#N/A</v>
      </c>
      <c r="P9" s="20" t="e">
        <f aca="false">IF(OR($H9="",N($F9)&lt;=0,$C9&lt;&gt;"Priority 3"),NA(),$F9)</f>
        <v>#N/A</v>
      </c>
      <c r="Q9" s="20" t="e">
        <f aca="false">IF(OR($H9="",N($F9)&lt;=0,$C9&lt;&gt;"Priority 3"),NA(),MAX($G9,1))</f>
        <v>#N/A</v>
      </c>
    </row>
    <row r="10" customFormat="false" ht="15" hidden="false" customHeight="false" outlineLevel="0" collapsed="false">
      <c r="A10" s="14" t="n">
        <v>5</v>
      </c>
      <c r="B10" s="15" t="str">
        <f aca="false">IFERROR(IF(INDEX('Summary – Option 1'!$B$5:$B$337,$E$3+$A10-1)=$B$3,INDEX('Summary – Option 1'!$F$5:$F$337,$E$3+$A10-1),""),"")</f>
        <v>Fulvestrant</v>
      </c>
      <c r="C10" s="15" t="str">
        <f aca="false">IF($B10="","",INDEX('Summary – Option 1'!$D$5:$D$337,$E$3+$A10-1))</f>
        <v>Priority 1</v>
      </c>
      <c r="D10" s="16" t="str">
        <f aca="false">IF($B10="","",INDEX('Summary – Option 1'!$E$5:$E$337,$E$3+$A10-1))</f>
        <v>High price · high volume</v>
      </c>
      <c r="E10" s="17" t="n">
        <f aca="false">IF($B10="","",INDEX('Summary – Option 1'!$K$5:$K$337,$E$3+$A10-1))</f>
        <v>246.46</v>
      </c>
      <c r="F10" s="18" t="n">
        <f aca="false">IF($B10="","",INDEX('Summary – Option 1'!$L$5:$L$337,$E$3+$A10-1))</f>
        <v>146</v>
      </c>
      <c r="G10" s="18" t="n">
        <f aca="false">IF($B10="","",INDEX('Summary – Option 1'!$M$5:$M$337,$E$3+$A10-1))</f>
        <v>11366.1</v>
      </c>
      <c r="H10" s="15" t="str">
        <f aca="false">IF(OR($B10="",LEFT($C10,8)="Excluded",NOT(ISNUMBER($E10))),"",$B10&amp;" (P"&amp;RIGHT($C10,1)&amp;")")</f>
        <v>Fulvestrant (P1)</v>
      </c>
      <c r="I10" s="19" t="n">
        <f aca="false">IF(OR($H10="",N($F10)&lt;=0,$C10&lt;&gt;"Priority 1"),NA(),$E10)</f>
        <v>246.46</v>
      </c>
      <c r="J10" s="20" t="n">
        <f aca="false">IF(OR($H10="",N($F10)&lt;=0,$C10&lt;&gt;"Priority 1"),NA(),$F10)</f>
        <v>146</v>
      </c>
      <c r="K10" s="20" t="n">
        <f aca="false">IF(OR($H10="",N($F10)&lt;=0,$C10&lt;&gt;"Priority 1"),NA(),MAX($G10,1))</f>
        <v>11366.1</v>
      </c>
      <c r="L10" s="19" t="e">
        <f aca="false">IF(OR($H10="",N($F10)&lt;=0,$C10&lt;&gt;"Priority 2"),NA(),$E10)</f>
        <v>#N/A</v>
      </c>
      <c r="M10" s="20" t="e">
        <f aca="false">IF(OR($H10="",N($F10)&lt;=0,$C10&lt;&gt;"Priority 2"),NA(),$F10)</f>
        <v>#N/A</v>
      </c>
      <c r="N10" s="20" t="e">
        <f aca="false">IF(OR($H10="",N($F10)&lt;=0,$C10&lt;&gt;"Priority 2"),NA(),MAX($G10,1))</f>
        <v>#N/A</v>
      </c>
      <c r="O10" s="19" t="e">
        <f aca="false">IF(OR($H10="",N($F10)&lt;=0,$C10&lt;&gt;"Priority 3"),NA(),$E10)</f>
        <v>#N/A</v>
      </c>
      <c r="P10" s="20" t="e">
        <f aca="false">IF(OR($H10="",N($F10)&lt;=0,$C10&lt;&gt;"Priority 3"),NA(),$F10)</f>
        <v>#N/A</v>
      </c>
      <c r="Q10" s="20" t="e">
        <f aca="false">IF(OR($H10="",N($F10)&lt;=0,$C10&lt;&gt;"Priority 3"),NA(),MAX($G10,1))</f>
        <v>#N/A</v>
      </c>
    </row>
    <row r="11" customFormat="false" ht="15" hidden="false" customHeight="false" outlineLevel="0" collapsed="false">
      <c r="A11" s="14" t="n">
        <v>6</v>
      </c>
      <c r="B11" s="15" t="str">
        <f aca="false">IFERROR(IF(INDEX('Summary – Option 1'!$B$5:$B$337,$E$3+$A11-1)=$B$3,INDEX('Summary – Option 1'!$F$5:$F$337,$E$3+$A11-1),""),"")</f>
        <v>Phenylephrine</v>
      </c>
      <c r="C11" s="15" t="str">
        <f aca="false">IF($B11="","",INDEX('Summary – Option 1'!$D$5:$D$337,$E$3+$A11-1))</f>
        <v>Priority 1</v>
      </c>
      <c r="D11" s="16" t="str">
        <f aca="false">IF($B11="","",INDEX('Summary – Option 1'!$E$5:$E$337,$E$3+$A11-1))</f>
        <v>High price · high volume</v>
      </c>
      <c r="E11" s="17" t="n">
        <f aca="false">IF($B11="","",INDEX('Summary – Option 1'!$K$5:$K$337,$E$3+$A11-1))</f>
        <v>32.6</v>
      </c>
      <c r="F11" s="18" t="n">
        <f aca="false">IF($B11="","",INDEX('Summary – Option 1'!$L$5:$L$337,$E$3+$A11-1))</f>
        <v>226</v>
      </c>
      <c r="G11" s="18" t="n">
        <f aca="false">IF($B11="","",INDEX('Summary – Option 1'!$M$5:$M$337,$E$3+$A11-1))</f>
        <v>5695.2</v>
      </c>
      <c r="H11" s="15" t="str">
        <f aca="false">IF(OR($B11="",LEFT($C11,8)="Excluded",NOT(ISNUMBER($E11))),"",$B11&amp;" (P"&amp;RIGHT($C11,1)&amp;")")</f>
        <v>Phenylephrine (P1)</v>
      </c>
      <c r="I11" s="19" t="n">
        <f aca="false">IF(OR($H11="",N($F11)&lt;=0,$C11&lt;&gt;"Priority 1"),NA(),$E11)</f>
        <v>32.6</v>
      </c>
      <c r="J11" s="20" t="n">
        <f aca="false">IF(OR($H11="",N($F11)&lt;=0,$C11&lt;&gt;"Priority 1"),NA(),$F11)</f>
        <v>226</v>
      </c>
      <c r="K11" s="20" t="n">
        <f aca="false">IF(OR($H11="",N($F11)&lt;=0,$C11&lt;&gt;"Priority 1"),NA(),MAX($G11,1))</f>
        <v>5695.2</v>
      </c>
      <c r="L11" s="19" t="e">
        <f aca="false">IF(OR($H11="",N($F11)&lt;=0,$C11&lt;&gt;"Priority 2"),NA(),$E11)</f>
        <v>#N/A</v>
      </c>
      <c r="M11" s="20" t="e">
        <f aca="false">IF(OR($H11="",N($F11)&lt;=0,$C11&lt;&gt;"Priority 2"),NA(),$F11)</f>
        <v>#N/A</v>
      </c>
      <c r="N11" s="20" t="e">
        <f aca="false">IF(OR($H11="",N($F11)&lt;=0,$C11&lt;&gt;"Priority 2"),NA(),MAX($G11,1))</f>
        <v>#N/A</v>
      </c>
      <c r="O11" s="19" t="e">
        <f aca="false">IF(OR($H11="",N($F11)&lt;=0,$C11&lt;&gt;"Priority 3"),NA(),$E11)</f>
        <v>#N/A</v>
      </c>
      <c r="P11" s="20" t="e">
        <f aca="false">IF(OR($H11="",N($F11)&lt;=0,$C11&lt;&gt;"Priority 3"),NA(),$F11)</f>
        <v>#N/A</v>
      </c>
      <c r="Q11" s="20" t="e">
        <f aca="false">IF(OR($H11="",N($F11)&lt;=0,$C11&lt;&gt;"Priority 3"),NA(),MAX($G11,1))</f>
        <v>#N/A</v>
      </c>
    </row>
    <row r="12" customFormat="false" ht="15" hidden="false" customHeight="false" outlineLevel="0" collapsed="false">
      <c r="A12" s="14" t="n">
        <v>7</v>
      </c>
      <c r="B12" s="15" t="str">
        <f aca="false">IFERROR(IF(INDEX('Summary – Option 1'!$B$5:$B$337,$E$3+$A12-1)=$B$3,INDEX('Summary – Option 1'!$F$5:$F$337,$E$3+$A12-1),""),"")</f>
        <v>Epinephrine (Adrenaline)</v>
      </c>
      <c r="C12" s="15" t="str">
        <f aca="false">IF($B12="","",INDEX('Summary – Option 1'!$D$5:$D$337,$E$3+$A12-1))</f>
        <v>Priority 1</v>
      </c>
      <c r="D12" s="16" t="str">
        <f aca="false">IF($B12="","",INDEX('Summary – Option 1'!$E$5:$E$337,$E$3+$A12-1))</f>
        <v>High price · high volume</v>
      </c>
      <c r="E12" s="17" t="n">
        <f aca="false">IF($B12="","",INDEX('Summary – Option 1'!$K$5:$K$337,$E$3+$A12-1))</f>
        <v>28.67</v>
      </c>
      <c r="F12" s="18" t="n">
        <f aca="false">IF($B12="","",INDEX('Summary – Option 1'!$L$5:$L$337,$E$3+$A12-1))</f>
        <v>799</v>
      </c>
      <c r="G12" s="18" t="n">
        <f aca="false">IF($B12="","",INDEX('Summary – Option 1'!$M$5:$M$337,$E$3+$A12-1))</f>
        <v>4049.5</v>
      </c>
      <c r="H12" s="15" t="str">
        <f aca="false">IF(OR($B12="",LEFT($C12,8)="Excluded",NOT(ISNUMBER($E12))),"",$B12&amp;" (P"&amp;RIGHT($C12,1)&amp;")")</f>
        <v>Epinephrine (Adrenaline) (P1)</v>
      </c>
      <c r="I12" s="19" t="n">
        <f aca="false">IF(OR($H12="",N($F12)&lt;=0,$C12&lt;&gt;"Priority 1"),NA(),$E12)</f>
        <v>28.67</v>
      </c>
      <c r="J12" s="20" t="n">
        <f aca="false">IF(OR($H12="",N($F12)&lt;=0,$C12&lt;&gt;"Priority 1"),NA(),$F12)</f>
        <v>799</v>
      </c>
      <c r="K12" s="20" t="n">
        <f aca="false">IF(OR($H12="",N($F12)&lt;=0,$C12&lt;&gt;"Priority 1"),NA(),MAX($G12,1))</f>
        <v>4049.5</v>
      </c>
      <c r="L12" s="19" t="e">
        <f aca="false">IF(OR($H12="",N($F12)&lt;=0,$C12&lt;&gt;"Priority 2"),NA(),$E12)</f>
        <v>#N/A</v>
      </c>
      <c r="M12" s="20" t="e">
        <f aca="false">IF(OR($H12="",N($F12)&lt;=0,$C12&lt;&gt;"Priority 2"),NA(),$F12)</f>
        <v>#N/A</v>
      </c>
      <c r="N12" s="20" t="e">
        <f aca="false">IF(OR($H12="",N($F12)&lt;=0,$C12&lt;&gt;"Priority 2"),NA(),MAX($G12,1))</f>
        <v>#N/A</v>
      </c>
      <c r="O12" s="19" t="e">
        <f aca="false">IF(OR($H12="",N($F12)&lt;=0,$C12&lt;&gt;"Priority 3"),NA(),$E12)</f>
        <v>#N/A</v>
      </c>
      <c r="P12" s="20" t="e">
        <f aca="false">IF(OR($H12="",N($F12)&lt;=0,$C12&lt;&gt;"Priority 3"),NA(),$F12)</f>
        <v>#N/A</v>
      </c>
      <c r="Q12" s="20" t="e">
        <f aca="false">IF(OR($H12="",N($F12)&lt;=0,$C12&lt;&gt;"Priority 3"),NA(),MAX($G12,1))</f>
        <v>#N/A</v>
      </c>
    </row>
    <row r="13" customFormat="false" ht="15" hidden="false" customHeight="false" outlineLevel="0" collapsed="false">
      <c r="A13" s="14" t="n">
        <v>8</v>
      </c>
      <c r="B13" s="15" t="str">
        <f aca="false">IFERROR(IF(INDEX('Summary – Option 1'!$B$5:$B$337,$E$3+$A13-1)=$B$3,INDEX('Summary – Option 1'!$F$5:$F$337,$E$3+$A13-1),""),"")</f>
        <v>Bleomycin</v>
      </c>
      <c r="C13" s="15" t="str">
        <f aca="false">IF($B13="","",INDEX('Summary – Option 1'!$D$5:$D$337,$E$3+$A13-1))</f>
        <v>Priority 1</v>
      </c>
      <c r="D13" s="16" t="str">
        <f aca="false">IF($B13="","",INDEX('Summary – Option 1'!$E$5:$E$337,$E$3+$A13-1))</f>
        <v>High price · high volume</v>
      </c>
      <c r="E13" s="17" t="n">
        <f aca="false">IF($B13="","",INDEX('Summary – Option 1'!$K$5:$K$337,$E$3+$A13-1))</f>
        <v>50.27</v>
      </c>
      <c r="F13" s="18" t="n">
        <f aca="false">IF($B13="","",INDEX('Summary – Option 1'!$L$5:$L$337,$E$3+$A13-1))</f>
        <v>441</v>
      </c>
      <c r="G13" s="18" t="n">
        <f aca="false">IF($B13="","",INDEX('Summary – Option 1'!$M$5:$M$337,$E$3+$A13-1))</f>
        <v>3973.7</v>
      </c>
      <c r="H13" s="15" t="str">
        <f aca="false">IF(OR($B13="",LEFT($C13,8)="Excluded",NOT(ISNUMBER($E13))),"",$B13&amp;" (P"&amp;RIGHT($C13,1)&amp;")")</f>
        <v>Bleomycin (P1)</v>
      </c>
      <c r="I13" s="19" t="n">
        <f aca="false">IF(OR($H13="",N($F13)&lt;=0,$C13&lt;&gt;"Priority 1"),NA(),$E13)</f>
        <v>50.27</v>
      </c>
      <c r="J13" s="20" t="n">
        <f aca="false">IF(OR($H13="",N($F13)&lt;=0,$C13&lt;&gt;"Priority 1"),NA(),$F13)</f>
        <v>441</v>
      </c>
      <c r="K13" s="20" t="n">
        <f aca="false">IF(OR($H13="",N($F13)&lt;=0,$C13&lt;&gt;"Priority 1"),NA(),MAX($G13,1))</f>
        <v>3973.7</v>
      </c>
      <c r="L13" s="19" t="e">
        <f aca="false">IF(OR($H13="",N($F13)&lt;=0,$C13&lt;&gt;"Priority 2"),NA(),$E13)</f>
        <v>#N/A</v>
      </c>
      <c r="M13" s="20" t="e">
        <f aca="false">IF(OR($H13="",N($F13)&lt;=0,$C13&lt;&gt;"Priority 2"),NA(),$F13)</f>
        <v>#N/A</v>
      </c>
      <c r="N13" s="20" t="e">
        <f aca="false">IF(OR($H13="",N($F13)&lt;=0,$C13&lt;&gt;"Priority 2"),NA(),MAX($G13,1))</f>
        <v>#N/A</v>
      </c>
      <c r="O13" s="19" t="e">
        <f aca="false">IF(OR($H13="",N($F13)&lt;=0,$C13&lt;&gt;"Priority 3"),NA(),$E13)</f>
        <v>#N/A</v>
      </c>
      <c r="P13" s="20" t="e">
        <f aca="false">IF(OR($H13="",N($F13)&lt;=0,$C13&lt;&gt;"Priority 3"),NA(),$F13)</f>
        <v>#N/A</v>
      </c>
      <c r="Q13" s="20" t="e">
        <f aca="false">IF(OR($H13="",N($F13)&lt;=0,$C13&lt;&gt;"Priority 3"),NA(),MAX($G13,1))</f>
        <v>#N/A</v>
      </c>
    </row>
    <row r="14" customFormat="false" ht="15" hidden="false" customHeight="false" outlineLevel="0" collapsed="false">
      <c r="A14" s="14" t="n">
        <v>9</v>
      </c>
      <c r="B14" s="15" t="str">
        <f aca="false">IFERROR(IF(INDEX('Summary – Option 1'!$B$5:$B$337,$E$3+$A14-1)=$B$3,INDEX('Summary – Option 1'!$F$5:$F$337,$E$3+$A14-1),""),"")</f>
        <v>Denosumab</v>
      </c>
      <c r="C14" s="15" t="str">
        <f aca="false">IF($B14="","",INDEX('Summary – Option 1'!$D$5:$D$337,$E$3+$A14-1))</f>
        <v>Priority 1</v>
      </c>
      <c r="D14" s="16" t="str">
        <f aca="false">IF($B14="","",INDEX('Summary – Option 1'!$E$5:$E$337,$E$3+$A14-1))</f>
        <v>High price · high volume</v>
      </c>
      <c r="E14" s="17" t="n">
        <f aca="false">IF($B14="","",INDEX('Summary – Option 1'!$K$5:$K$337,$E$3+$A14-1))</f>
        <v>162.77</v>
      </c>
      <c r="F14" s="18" t="n">
        <f aca="false">IF($B14="","",INDEX('Summary – Option 1'!$L$5:$L$337,$E$3+$A14-1))</f>
        <v>314</v>
      </c>
      <c r="G14" s="18" t="n">
        <f aca="false">IF($B14="","",INDEX('Summary – Option 1'!$M$5:$M$337,$E$3+$A14-1))</f>
        <v>3429.5</v>
      </c>
      <c r="H14" s="15" t="str">
        <f aca="false">IF(OR($B14="",LEFT($C14,8)="Excluded",NOT(ISNUMBER($E14))),"",$B14&amp;" (P"&amp;RIGHT($C14,1)&amp;")")</f>
        <v>Denosumab (P1)</v>
      </c>
      <c r="I14" s="19" t="n">
        <f aca="false">IF(OR($H14="",N($F14)&lt;=0,$C14&lt;&gt;"Priority 1"),NA(),$E14)</f>
        <v>162.77</v>
      </c>
      <c r="J14" s="20" t="n">
        <f aca="false">IF(OR($H14="",N($F14)&lt;=0,$C14&lt;&gt;"Priority 1"),NA(),$F14)</f>
        <v>314</v>
      </c>
      <c r="K14" s="20" t="n">
        <f aca="false">IF(OR($H14="",N($F14)&lt;=0,$C14&lt;&gt;"Priority 1"),NA(),MAX($G14,1))</f>
        <v>3429.5</v>
      </c>
      <c r="L14" s="19" t="e">
        <f aca="false">IF(OR($H14="",N($F14)&lt;=0,$C14&lt;&gt;"Priority 2"),NA(),$E14)</f>
        <v>#N/A</v>
      </c>
      <c r="M14" s="20" t="e">
        <f aca="false">IF(OR($H14="",N($F14)&lt;=0,$C14&lt;&gt;"Priority 2"),NA(),$F14)</f>
        <v>#N/A</v>
      </c>
      <c r="N14" s="20" t="e">
        <f aca="false">IF(OR($H14="",N($F14)&lt;=0,$C14&lt;&gt;"Priority 2"),NA(),MAX($G14,1))</f>
        <v>#N/A</v>
      </c>
      <c r="O14" s="19" t="e">
        <f aca="false">IF(OR($H14="",N($F14)&lt;=0,$C14&lt;&gt;"Priority 3"),NA(),$E14)</f>
        <v>#N/A</v>
      </c>
      <c r="P14" s="20" t="e">
        <f aca="false">IF(OR($H14="",N($F14)&lt;=0,$C14&lt;&gt;"Priority 3"),NA(),$F14)</f>
        <v>#N/A</v>
      </c>
      <c r="Q14" s="20" t="e">
        <f aca="false">IF(OR($H14="",N($F14)&lt;=0,$C14&lt;&gt;"Priority 3"),NA(),MAX($G14,1))</f>
        <v>#N/A</v>
      </c>
    </row>
    <row r="15" customFormat="false" ht="15" hidden="false" customHeight="false" outlineLevel="0" collapsed="false">
      <c r="A15" s="14" t="n">
        <v>10</v>
      </c>
      <c r="B15" s="15" t="str">
        <f aca="false">IFERROR(IF(INDEX('Summary – Option 1'!$B$5:$B$337,$E$3+$A15-1)=$B$3,INDEX('Summary – Option 1'!$F$5:$F$337,$E$3+$A15-1),""),"")</f>
        <v>Ceftriaxone</v>
      </c>
      <c r="C15" s="15" t="str">
        <f aca="false">IF($B15="","",INDEX('Summary – Option 1'!$D$5:$D$337,$E$3+$A15-1))</f>
        <v>Priority 2</v>
      </c>
      <c r="D15" s="16" t="str">
        <f aca="false">IF($B15="","",INDEX('Summary – Option 1'!$E$5:$E$337,$E$3+$A15-1))</f>
        <v>Lower price · high volume</v>
      </c>
      <c r="E15" s="17" t="n">
        <f aca="false">IF($B15="","",INDEX('Summary – Option 1'!$K$5:$K$337,$E$3+$A15-1))</f>
        <v>5.6</v>
      </c>
      <c r="F15" s="18" t="n">
        <f aca="false">IF($B15="","",INDEX('Summary – Option 1'!$L$5:$L$337,$E$3+$A15-1))</f>
        <v>3110</v>
      </c>
      <c r="G15" s="18" t="n">
        <f aca="false">IF($B15="","",INDEX('Summary – Option 1'!$M$5:$M$337,$E$3+$A15-1))</f>
        <v>93119.2</v>
      </c>
      <c r="H15" s="15" t="str">
        <f aca="false">IF(OR($B15="",LEFT($C15,8)="Excluded",NOT(ISNUMBER($E15))),"",$B15&amp;" (P"&amp;RIGHT($C15,1)&amp;")")</f>
        <v>Ceftriaxone (P2)</v>
      </c>
      <c r="I15" s="19" t="e">
        <f aca="false">IF(OR($H15="",N($F15)&lt;=0,$C15&lt;&gt;"Priority 1"),NA(),$E15)</f>
        <v>#N/A</v>
      </c>
      <c r="J15" s="20" t="e">
        <f aca="false">IF(OR($H15="",N($F15)&lt;=0,$C15&lt;&gt;"Priority 1"),NA(),$F15)</f>
        <v>#N/A</v>
      </c>
      <c r="K15" s="20" t="e">
        <f aca="false">IF(OR($H15="",N($F15)&lt;=0,$C15&lt;&gt;"Priority 1"),NA(),MAX($G15,1))</f>
        <v>#N/A</v>
      </c>
      <c r="L15" s="19" t="n">
        <f aca="false">IF(OR($H15="",N($F15)&lt;=0,$C15&lt;&gt;"Priority 2"),NA(),$E15)</f>
        <v>5.6</v>
      </c>
      <c r="M15" s="20" t="n">
        <f aca="false">IF(OR($H15="",N($F15)&lt;=0,$C15&lt;&gt;"Priority 2"),NA(),$F15)</f>
        <v>3110</v>
      </c>
      <c r="N15" s="20" t="n">
        <f aca="false">IF(OR($H15="",N($F15)&lt;=0,$C15&lt;&gt;"Priority 2"),NA(),MAX($G15,1))</f>
        <v>93119.2</v>
      </c>
      <c r="O15" s="19" t="e">
        <f aca="false">IF(OR($H15="",N($F15)&lt;=0,$C15&lt;&gt;"Priority 3"),NA(),$E15)</f>
        <v>#N/A</v>
      </c>
      <c r="P15" s="20" t="e">
        <f aca="false">IF(OR($H15="",N($F15)&lt;=0,$C15&lt;&gt;"Priority 3"),NA(),$F15)</f>
        <v>#N/A</v>
      </c>
      <c r="Q15" s="20" t="e">
        <f aca="false">IF(OR($H15="",N($F15)&lt;=0,$C15&lt;&gt;"Priority 3"),NA(),MAX($G15,1))</f>
        <v>#N/A</v>
      </c>
    </row>
    <row r="16" customFormat="false" ht="15" hidden="false" customHeight="false" outlineLevel="0" collapsed="false">
      <c r="A16" s="14" t="n">
        <v>11</v>
      </c>
      <c r="B16" s="15" t="str">
        <f aca="false">IFERROR(IF(INDEX('Summary – Option 1'!$B$5:$B$337,$E$3+$A16-1)=$B$3,INDEX('Summary – Option 1'!$F$5:$F$337,$E$3+$A16-1),""),"")</f>
        <v>Ondansetron</v>
      </c>
      <c r="C16" s="15" t="str">
        <f aca="false">IF($B16="","",INDEX('Summary – Option 1'!$D$5:$D$337,$E$3+$A16-1))</f>
        <v>Priority 2</v>
      </c>
      <c r="D16" s="16" t="str">
        <f aca="false">IF($B16="","",INDEX('Summary – Option 1'!$E$5:$E$337,$E$3+$A16-1))</f>
        <v>Lower price · high volume</v>
      </c>
      <c r="E16" s="17" t="n">
        <f aca="false">IF($B16="","",INDEX('Summary – Option 1'!$K$5:$K$337,$E$3+$A16-1))</f>
        <v>24.05</v>
      </c>
      <c r="F16" s="18" t="n">
        <f aca="false">IF($B16="","",INDEX('Summary – Option 1'!$L$5:$L$337,$E$3+$A16-1))</f>
        <v>963</v>
      </c>
      <c r="G16" s="18" t="n">
        <f aca="false">IF($B16="","",INDEX('Summary – Option 1'!$M$5:$M$337,$E$3+$A16-1))</f>
        <v>17590.5</v>
      </c>
      <c r="H16" s="15" t="str">
        <f aca="false">IF(OR($B16="",LEFT($C16,8)="Excluded",NOT(ISNUMBER($E16))),"",$B16&amp;" (P"&amp;RIGHT($C16,1)&amp;")")</f>
        <v>Ondansetron (P2)</v>
      </c>
      <c r="I16" s="19" t="e">
        <f aca="false">IF(OR($H16="",N($F16)&lt;=0,$C16&lt;&gt;"Priority 1"),NA(),$E16)</f>
        <v>#N/A</v>
      </c>
      <c r="J16" s="20" t="e">
        <f aca="false">IF(OR($H16="",N($F16)&lt;=0,$C16&lt;&gt;"Priority 1"),NA(),$F16)</f>
        <v>#N/A</v>
      </c>
      <c r="K16" s="20" t="e">
        <f aca="false">IF(OR($H16="",N($F16)&lt;=0,$C16&lt;&gt;"Priority 1"),NA(),MAX($G16,1))</f>
        <v>#N/A</v>
      </c>
      <c r="L16" s="19" t="n">
        <f aca="false">IF(OR($H16="",N($F16)&lt;=0,$C16&lt;&gt;"Priority 2"),NA(),$E16)</f>
        <v>24.05</v>
      </c>
      <c r="M16" s="20" t="n">
        <f aca="false">IF(OR($H16="",N($F16)&lt;=0,$C16&lt;&gt;"Priority 2"),NA(),$F16)</f>
        <v>963</v>
      </c>
      <c r="N16" s="20" t="n">
        <f aca="false">IF(OR($H16="",N($F16)&lt;=0,$C16&lt;&gt;"Priority 2"),NA(),MAX($G16,1))</f>
        <v>17590.5</v>
      </c>
      <c r="O16" s="19" t="e">
        <f aca="false">IF(OR($H16="",N($F16)&lt;=0,$C16&lt;&gt;"Priority 3"),NA(),$E16)</f>
        <v>#N/A</v>
      </c>
      <c r="P16" s="20" t="e">
        <f aca="false">IF(OR($H16="",N($F16)&lt;=0,$C16&lt;&gt;"Priority 3"),NA(),$F16)</f>
        <v>#N/A</v>
      </c>
      <c r="Q16" s="20" t="e">
        <f aca="false">IF(OR($H16="",N($F16)&lt;=0,$C16&lt;&gt;"Priority 3"),NA(),MAX($G16,1))</f>
        <v>#N/A</v>
      </c>
    </row>
    <row r="17" customFormat="false" ht="15" hidden="false" customHeight="false" outlineLevel="0" collapsed="false">
      <c r="A17" s="14" t="n">
        <v>12</v>
      </c>
      <c r="B17" s="15" t="str">
        <f aca="false">IFERROR(IF(INDEX('Summary – Option 1'!$B$5:$B$337,$E$3+$A17-1)=$B$3,INDEX('Summary – Option 1'!$F$5:$F$337,$E$3+$A17-1),""),"")</f>
        <v>Plerixafor</v>
      </c>
      <c r="C17" s="15" t="str">
        <f aca="false">IF($B17="","",INDEX('Summary – Option 1'!$D$5:$D$337,$E$3+$A17-1))</f>
        <v>Priority 2</v>
      </c>
      <c r="D17" s="16" t="str">
        <f aca="false">IF($B17="","",INDEX('Summary – Option 1'!$E$5:$E$337,$E$3+$A17-1))</f>
        <v>High price · lower volume</v>
      </c>
      <c r="E17" s="17" t="n">
        <f aca="false">IF($B17="","",INDEX('Summary – Option 1'!$K$5:$K$337,$E$3+$A17-1))</f>
        <v>4779</v>
      </c>
      <c r="F17" s="18" t="n">
        <f aca="false">IF($B17="","",INDEX('Summary – Option 1'!$L$5:$L$337,$E$3+$A17-1))</f>
        <v>47</v>
      </c>
      <c r="G17" s="18" t="n">
        <f aca="false">IF($B17="","",INDEX('Summary – Option 1'!$M$5:$M$337,$E$3+$A17-1))</f>
        <v>7904.7</v>
      </c>
      <c r="H17" s="15" t="str">
        <f aca="false">IF(OR($B17="",LEFT($C17,8)="Excluded",NOT(ISNUMBER($E17))),"",$B17&amp;" (P"&amp;RIGHT($C17,1)&amp;")")</f>
        <v>Plerixafor (P2)</v>
      </c>
      <c r="I17" s="19" t="e">
        <f aca="false">IF(OR($H17="",N($F17)&lt;=0,$C17&lt;&gt;"Priority 1"),NA(),$E17)</f>
        <v>#N/A</v>
      </c>
      <c r="J17" s="20" t="e">
        <f aca="false">IF(OR($H17="",N($F17)&lt;=0,$C17&lt;&gt;"Priority 1"),NA(),$F17)</f>
        <v>#N/A</v>
      </c>
      <c r="K17" s="20" t="e">
        <f aca="false">IF(OR($H17="",N($F17)&lt;=0,$C17&lt;&gt;"Priority 1"),NA(),MAX($G17,1))</f>
        <v>#N/A</v>
      </c>
      <c r="L17" s="19" t="n">
        <f aca="false">IF(OR($H17="",N($F17)&lt;=0,$C17&lt;&gt;"Priority 2"),NA(),$E17)</f>
        <v>4779</v>
      </c>
      <c r="M17" s="20" t="n">
        <f aca="false">IF(OR($H17="",N($F17)&lt;=0,$C17&lt;&gt;"Priority 2"),NA(),$F17)</f>
        <v>47</v>
      </c>
      <c r="N17" s="20" t="n">
        <f aca="false">IF(OR($H17="",N($F17)&lt;=0,$C17&lt;&gt;"Priority 2"),NA(),MAX($G17,1))</f>
        <v>7904.7</v>
      </c>
      <c r="O17" s="19" t="e">
        <f aca="false">IF(OR($H17="",N($F17)&lt;=0,$C17&lt;&gt;"Priority 3"),NA(),$E17)</f>
        <v>#N/A</v>
      </c>
      <c r="P17" s="20" t="e">
        <f aca="false">IF(OR($H17="",N($F17)&lt;=0,$C17&lt;&gt;"Priority 3"),NA(),$F17)</f>
        <v>#N/A</v>
      </c>
      <c r="Q17" s="20" t="e">
        <f aca="false">IF(OR($H17="",N($F17)&lt;=0,$C17&lt;&gt;"Priority 3"),NA(),MAX($G17,1))</f>
        <v>#N/A</v>
      </c>
    </row>
    <row r="18" customFormat="false" ht="15" hidden="false" customHeight="false" outlineLevel="0" collapsed="false">
      <c r="A18" s="14" t="n">
        <v>13</v>
      </c>
      <c r="B18" s="15" t="str">
        <f aca="false">IFERROR(IF(INDEX('Summary – Option 1'!$B$5:$B$337,$E$3+$A18-1)=$B$3,INDEX('Summary – Option 1'!$F$5:$F$337,$E$3+$A18-1),""),"")</f>
        <v>Cytarabine</v>
      </c>
      <c r="C18" s="15" t="str">
        <f aca="false">IF($B18="","",INDEX('Summary – Option 1'!$D$5:$D$337,$E$3+$A18-1))</f>
        <v>Priority 2</v>
      </c>
      <c r="D18" s="16" t="str">
        <f aca="false">IF($B18="","",INDEX('Summary – Option 1'!$E$5:$E$337,$E$3+$A18-1))</f>
        <v>Lower price · high volume</v>
      </c>
      <c r="E18" s="17" t="n">
        <f aca="false">IF($B18="","",INDEX('Summary – Option 1'!$K$5:$K$337,$E$3+$A18-1))</f>
        <v>6.7</v>
      </c>
      <c r="F18" s="18" t="n">
        <f aca="false">IF($B18="","",INDEX('Summary – Option 1'!$L$5:$L$337,$E$3+$A18-1))</f>
        <v>799</v>
      </c>
      <c r="G18" s="18" t="n">
        <f aca="false">IF($B18="","",INDEX('Summary – Option 1'!$M$5:$M$337,$E$3+$A18-1))</f>
        <v>7739</v>
      </c>
      <c r="H18" s="15" t="str">
        <f aca="false">IF(OR($B18="",LEFT($C18,8)="Excluded",NOT(ISNUMBER($E18))),"",$B18&amp;" (P"&amp;RIGHT($C18,1)&amp;")")</f>
        <v>Cytarabine (P2)</v>
      </c>
      <c r="I18" s="19" t="e">
        <f aca="false">IF(OR($H18="",N($F18)&lt;=0,$C18&lt;&gt;"Priority 1"),NA(),$E18)</f>
        <v>#N/A</v>
      </c>
      <c r="J18" s="20" t="e">
        <f aca="false">IF(OR($H18="",N($F18)&lt;=0,$C18&lt;&gt;"Priority 1"),NA(),$F18)</f>
        <v>#N/A</v>
      </c>
      <c r="K18" s="20" t="e">
        <f aca="false">IF(OR($H18="",N($F18)&lt;=0,$C18&lt;&gt;"Priority 1"),NA(),MAX($G18,1))</f>
        <v>#N/A</v>
      </c>
      <c r="L18" s="19" t="n">
        <f aca="false">IF(OR($H18="",N($F18)&lt;=0,$C18&lt;&gt;"Priority 2"),NA(),$E18)</f>
        <v>6.7</v>
      </c>
      <c r="M18" s="20" t="n">
        <f aca="false">IF(OR($H18="",N($F18)&lt;=0,$C18&lt;&gt;"Priority 2"),NA(),$F18)</f>
        <v>799</v>
      </c>
      <c r="N18" s="20" t="n">
        <f aca="false">IF(OR($H18="",N($F18)&lt;=0,$C18&lt;&gt;"Priority 2"),NA(),MAX($G18,1))</f>
        <v>7739</v>
      </c>
      <c r="O18" s="19" t="e">
        <f aca="false">IF(OR($H18="",N($F18)&lt;=0,$C18&lt;&gt;"Priority 3"),NA(),$E18)</f>
        <v>#N/A</v>
      </c>
      <c r="P18" s="20" t="e">
        <f aca="false">IF(OR($H18="",N($F18)&lt;=0,$C18&lt;&gt;"Priority 3"),NA(),$F18)</f>
        <v>#N/A</v>
      </c>
      <c r="Q18" s="20" t="e">
        <f aca="false">IF(OR($H18="",N($F18)&lt;=0,$C18&lt;&gt;"Priority 3"),NA(),MAX($G18,1))</f>
        <v>#N/A</v>
      </c>
    </row>
    <row r="19" customFormat="false" ht="15" hidden="false" customHeight="false" outlineLevel="0" collapsed="false">
      <c r="A19" s="14" t="n">
        <v>14</v>
      </c>
      <c r="B19" s="15" t="str">
        <f aca="false">IFERROR(IF(INDEX('Summary – Option 1'!$B$5:$B$337,$E$3+$A19-1)=$B$3,INDEX('Summary – Option 1'!$F$5:$F$337,$E$3+$A19-1),""),"")</f>
        <v>Atropine</v>
      </c>
      <c r="C19" s="15" t="str">
        <f aca="false">IF($B19="","",INDEX('Summary – Option 1'!$D$5:$D$337,$E$3+$A19-1))</f>
        <v>Priority 2</v>
      </c>
      <c r="D19" s="16" t="str">
        <f aca="false">IF($B19="","",INDEX('Summary – Option 1'!$E$5:$E$337,$E$3+$A19-1))</f>
        <v>Lower price · high volume</v>
      </c>
      <c r="E19" s="17" t="n">
        <f aca="false">IF($B19="","",INDEX('Summary – Option 1'!$K$5:$K$337,$E$3+$A19-1))</f>
        <v>16.48</v>
      </c>
      <c r="F19" s="18" t="n">
        <f aca="false">IF($B19="","",INDEX('Summary – Option 1'!$L$5:$L$337,$E$3+$A19-1))</f>
        <v>715</v>
      </c>
      <c r="G19" s="18" t="n">
        <f aca="false">IF($B19="","",INDEX('Summary – Option 1'!$M$5:$M$337,$E$3+$A19-1))</f>
        <v>6805</v>
      </c>
      <c r="H19" s="15" t="str">
        <f aca="false">IF(OR($B19="",LEFT($C19,8)="Excluded",NOT(ISNUMBER($E19))),"",$B19&amp;" (P"&amp;RIGHT($C19,1)&amp;")")</f>
        <v>Atropine (P2)</v>
      </c>
      <c r="I19" s="19" t="e">
        <f aca="false">IF(OR($H19="",N($F19)&lt;=0,$C19&lt;&gt;"Priority 1"),NA(),$E19)</f>
        <v>#N/A</v>
      </c>
      <c r="J19" s="20" t="e">
        <f aca="false">IF(OR($H19="",N($F19)&lt;=0,$C19&lt;&gt;"Priority 1"),NA(),$F19)</f>
        <v>#N/A</v>
      </c>
      <c r="K19" s="20" t="e">
        <f aca="false">IF(OR($H19="",N($F19)&lt;=0,$C19&lt;&gt;"Priority 1"),NA(),MAX($G19,1))</f>
        <v>#N/A</v>
      </c>
      <c r="L19" s="19" t="n">
        <f aca="false">IF(OR($H19="",N($F19)&lt;=0,$C19&lt;&gt;"Priority 2"),NA(),$E19)</f>
        <v>16.48</v>
      </c>
      <c r="M19" s="20" t="n">
        <f aca="false">IF(OR($H19="",N($F19)&lt;=0,$C19&lt;&gt;"Priority 2"),NA(),$F19)</f>
        <v>715</v>
      </c>
      <c r="N19" s="20" t="n">
        <f aca="false">IF(OR($H19="",N($F19)&lt;=0,$C19&lt;&gt;"Priority 2"),NA(),MAX($G19,1))</f>
        <v>6805</v>
      </c>
      <c r="O19" s="19" t="e">
        <f aca="false">IF(OR($H19="",N($F19)&lt;=0,$C19&lt;&gt;"Priority 3"),NA(),$E19)</f>
        <v>#N/A</v>
      </c>
      <c r="P19" s="20" t="e">
        <f aca="false">IF(OR($H19="",N($F19)&lt;=0,$C19&lt;&gt;"Priority 3"),NA(),$F19)</f>
        <v>#N/A</v>
      </c>
      <c r="Q19" s="20" t="e">
        <f aca="false">IF(OR($H19="",N($F19)&lt;=0,$C19&lt;&gt;"Priority 3"),NA(),MAX($G19,1))</f>
        <v>#N/A</v>
      </c>
    </row>
    <row r="20" customFormat="false" ht="15" hidden="false" customHeight="false" outlineLevel="0" collapsed="false">
      <c r="A20" s="14" t="n">
        <v>15</v>
      </c>
      <c r="B20" s="15" t="str">
        <f aca="false">IFERROR(IF(INDEX('Summary – Option 1'!$B$5:$B$337,$E$3+$A20-1)=$B$3,INDEX('Summary – Option 1'!$F$5:$F$337,$E$3+$A20-1),""),"")</f>
        <v>Teicoplanin</v>
      </c>
      <c r="C20" s="15" t="str">
        <f aca="false">IF($B20="","",INDEX('Summary – Option 1'!$D$5:$D$337,$E$3+$A20-1))</f>
        <v>Priority 2</v>
      </c>
      <c r="D20" s="16" t="str">
        <f aca="false">IF($B20="","",INDEX('Summary – Option 1'!$E$5:$E$337,$E$3+$A20-1))</f>
        <v>High price · lower volume</v>
      </c>
      <c r="E20" s="17" t="n">
        <f aca="false">IF($B20="","",INDEX('Summary – Option 1'!$K$5:$K$337,$E$3+$A20-1))</f>
        <v>35.27</v>
      </c>
      <c r="F20" s="18" t="n">
        <f aca="false">IF($B20="","",INDEX('Summary – Option 1'!$L$5:$L$337,$E$3+$A20-1))</f>
        <v>99</v>
      </c>
      <c r="G20" s="18" t="n">
        <f aca="false">IF($B20="","",INDEX('Summary – Option 1'!$M$5:$M$337,$E$3+$A20-1))</f>
        <v>6632.6</v>
      </c>
      <c r="H20" s="15" t="str">
        <f aca="false">IF(OR($B20="",LEFT($C20,8)="Excluded",NOT(ISNUMBER($E20))),"",$B20&amp;" (P"&amp;RIGHT($C20,1)&amp;")")</f>
        <v>Teicoplanin (P2)</v>
      </c>
      <c r="I20" s="19" t="e">
        <f aca="false">IF(OR($H20="",N($F20)&lt;=0,$C20&lt;&gt;"Priority 1"),NA(),$E20)</f>
        <v>#N/A</v>
      </c>
      <c r="J20" s="20" t="e">
        <f aca="false">IF(OR($H20="",N($F20)&lt;=0,$C20&lt;&gt;"Priority 1"),NA(),$F20)</f>
        <v>#N/A</v>
      </c>
      <c r="K20" s="20" t="e">
        <f aca="false">IF(OR($H20="",N($F20)&lt;=0,$C20&lt;&gt;"Priority 1"),NA(),MAX($G20,1))</f>
        <v>#N/A</v>
      </c>
      <c r="L20" s="19" t="n">
        <f aca="false">IF(OR($H20="",N($F20)&lt;=0,$C20&lt;&gt;"Priority 2"),NA(),$E20)</f>
        <v>35.27</v>
      </c>
      <c r="M20" s="20" t="n">
        <f aca="false">IF(OR($H20="",N($F20)&lt;=0,$C20&lt;&gt;"Priority 2"),NA(),$F20)</f>
        <v>99</v>
      </c>
      <c r="N20" s="20" t="n">
        <f aca="false">IF(OR($H20="",N($F20)&lt;=0,$C20&lt;&gt;"Priority 2"),NA(),MAX($G20,1))</f>
        <v>6632.6</v>
      </c>
      <c r="O20" s="19" t="e">
        <f aca="false">IF(OR($H20="",N($F20)&lt;=0,$C20&lt;&gt;"Priority 3"),NA(),$E20)</f>
        <v>#N/A</v>
      </c>
      <c r="P20" s="20" t="e">
        <f aca="false">IF(OR($H20="",N($F20)&lt;=0,$C20&lt;&gt;"Priority 3"),NA(),$F20)</f>
        <v>#N/A</v>
      </c>
      <c r="Q20" s="20" t="e">
        <f aca="false">IF(OR($H20="",N($F20)&lt;=0,$C20&lt;&gt;"Priority 3"),NA(),MAX($G20,1))</f>
        <v>#N/A</v>
      </c>
    </row>
    <row r="21" customFormat="false" ht="15" hidden="false" customHeight="false" outlineLevel="0" collapsed="false">
      <c r="A21" s="14" t="n">
        <v>16</v>
      </c>
      <c r="B21" s="15" t="str">
        <f aca="false">IFERROR(IF(INDEX('Summary – Option 1'!$B$5:$B$337,$E$3+$A21-1)=$B$3,INDEX('Summary – Option 1'!$F$5:$F$337,$E$3+$A21-1),""),"")</f>
        <v>Cefepime</v>
      </c>
      <c r="C21" s="15" t="str">
        <f aca="false">IF($B21="","",INDEX('Summary – Option 1'!$D$5:$D$337,$E$3+$A21-1))</f>
        <v>Priority 2</v>
      </c>
      <c r="D21" s="16" t="str">
        <f aca="false">IF($B21="","",INDEX('Summary – Option 1'!$E$5:$E$337,$E$3+$A21-1))</f>
        <v>Lower price · high volume</v>
      </c>
      <c r="E21" s="17" t="n">
        <f aca="false">IF($B21="","",INDEX('Summary – Option 1'!$K$5:$K$337,$E$3+$A21-1))</f>
        <v>9.65</v>
      </c>
      <c r="F21" s="18" t="n">
        <f aca="false">IF($B21="","",INDEX('Summary – Option 1'!$L$5:$L$337,$E$3+$A21-1))</f>
        <v>288</v>
      </c>
      <c r="G21" s="18" t="n">
        <f aca="false">IF($B21="","",INDEX('Summary – Option 1'!$M$5:$M$337,$E$3+$A21-1))</f>
        <v>6294.9</v>
      </c>
      <c r="H21" s="15" t="str">
        <f aca="false">IF(OR($B21="",LEFT($C21,8)="Excluded",NOT(ISNUMBER($E21))),"",$B21&amp;" (P"&amp;RIGHT($C21,1)&amp;")")</f>
        <v>Cefepime (P2)</v>
      </c>
      <c r="I21" s="19" t="e">
        <f aca="false">IF(OR($H21="",N($F21)&lt;=0,$C21&lt;&gt;"Priority 1"),NA(),$E21)</f>
        <v>#N/A</v>
      </c>
      <c r="J21" s="20" t="e">
        <f aca="false">IF(OR($H21="",N($F21)&lt;=0,$C21&lt;&gt;"Priority 1"),NA(),$F21)</f>
        <v>#N/A</v>
      </c>
      <c r="K21" s="20" t="e">
        <f aca="false">IF(OR($H21="",N($F21)&lt;=0,$C21&lt;&gt;"Priority 1"),NA(),MAX($G21,1))</f>
        <v>#N/A</v>
      </c>
      <c r="L21" s="19" t="n">
        <f aca="false">IF(OR($H21="",N($F21)&lt;=0,$C21&lt;&gt;"Priority 2"),NA(),$E21)</f>
        <v>9.65</v>
      </c>
      <c r="M21" s="20" t="n">
        <f aca="false">IF(OR($H21="",N($F21)&lt;=0,$C21&lt;&gt;"Priority 2"),NA(),$F21)</f>
        <v>288</v>
      </c>
      <c r="N21" s="20" t="n">
        <f aca="false">IF(OR($H21="",N($F21)&lt;=0,$C21&lt;&gt;"Priority 2"),NA(),MAX($G21,1))</f>
        <v>6294.9</v>
      </c>
      <c r="O21" s="19" t="e">
        <f aca="false">IF(OR($H21="",N($F21)&lt;=0,$C21&lt;&gt;"Priority 3"),NA(),$E21)</f>
        <v>#N/A</v>
      </c>
      <c r="P21" s="20" t="e">
        <f aca="false">IF(OR($H21="",N($F21)&lt;=0,$C21&lt;&gt;"Priority 3"),NA(),$F21)</f>
        <v>#N/A</v>
      </c>
      <c r="Q21" s="20" t="e">
        <f aca="false">IF(OR($H21="",N($F21)&lt;=0,$C21&lt;&gt;"Priority 3"),NA(),MAX($G21,1))</f>
        <v>#N/A</v>
      </c>
    </row>
    <row r="22" customFormat="false" ht="15" hidden="false" customHeight="false" outlineLevel="0" collapsed="false">
      <c r="A22" s="14" t="n">
        <v>17</v>
      </c>
      <c r="B22" s="15" t="str">
        <f aca="false">IFERROR(IF(INDEX('Summary – Option 1'!$B$5:$B$337,$E$3+$A22-1)=$B$3,INDEX('Summary – Option 1'!$F$5:$F$337,$E$3+$A22-1),""),"")</f>
        <v>Midazolam</v>
      </c>
      <c r="C22" s="15" t="str">
        <f aca="false">IF($B22="","",INDEX('Summary – Option 1'!$D$5:$D$337,$E$3+$A22-1))</f>
        <v>Priority 2</v>
      </c>
      <c r="D22" s="16" t="str">
        <f aca="false">IF($B22="","",INDEX('Summary – Option 1'!$E$5:$E$337,$E$3+$A22-1))</f>
        <v>Lower price · high volume</v>
      </c>
      <c r="E22" s="17" t="n">
        <f aca="false">IF($B22="","",INDEX('Summary – Option 1'!$K$5:$K$337,$E$3+$A22-1))</f>
        <v>11.33</v>
      </c>
      <c r="F22" s="18" t="n">
        <f aca="false">IF($B22="","",INDEX('Summary – Option 1'!$L$5:$L$337,$E$3+$A22-1))</f>
        <v>177</v>
      </c>
      <c r="G22" s="18" t="n">
        <f aca="false">IF($B22="","",INDEX('Summary – Option 1'!$M$5:$M$337,$E$3+$A22-1))</f>
        <v>4675.1</v>
      </c>
      <c r="H22" s="15" t="str">
        <f aca="false">IF(OR($B22="",LEFT($C22,8)="Excluded",NOT(ISNUMBER($E22))),"",$B22&amp;" (P"&amp;RIGHT($C22,1)&amp;")")</f>
        <v>Midazolam (P2)</v>
      </c>
      <c r="I22" s="19" t="e">
        <f aca="false">IF(OR($H22="",N($F22)&lt;=0,$C22&lt;&gt;"Priority 1"),NA(),$E22)</f>
        <v>#N/A</v>
      </c>
      <c r="J22" s="20" t="e">
        <f aca="false">IF(OR($H22="",N($F22)&lt;=0,$C22&lt;&gt;"Priority 1"),NA(),$F22)</f>
        <v>#N/A</v>
      </c>
      <c r="K22" s="20" t="e">
        <f aca="false">IF(OR($H22="",N($F22)&lt;=0,$C22&lt;&gt;"Priority 1"),NA(),MAX($G22,1))</f>
        <v>#N/A</v>
      </c>
      <c r="L22" s="19" t="n">
        <f aca="false">IF(OR($H22="",N($F22)&lt;=0,$C22&lt;&gt;"Priority 2"),NA(),$E22)</f>
        <v>11.33</v>
      </c>
      <c r="M22" s="20" t="n">
        <f aca="false">IF(OR($H22="",N($F22)&lt;=0,$C22&lt;&gt;"Priority 2"),NA(),$F22)</f>
        <v>177</v>
      </c>
      <c r="N22" s="20" t="n">
        <f aca="false">IF(OR($H22="",N($F22)&lt;=0,$C22&lt;&gt;"Priority 2"),NA(),MAX($G22,1))</f>
        <v>4675.1</v>
      </c>
      <c r="O22" s="19" t="e">
        <f aca="false">IF(OR($H22="",N($F22)&lt;=0,$C22&lt;&gt;"Priority 3"),NA(),$E22)</f>
        <v>#N/A</v>
      </c>
      <c r="P22" s="20" t="e">
        <f aca="false">IF(OR($H22="",N($F22)&lt;=0,$C22&lt;&gt;"Priority 3"),NA(),$F22)</f>
        <v>#N/A</v>
      </c>
      <c r="Q22" s="20" t="e">
        <f aca="false">IF(OR($H22="",N($F22)&lt;=0,$C22&lt;&gt;"Priority 3"),NA(),MAX($G22,1))</f>
        <v>#N/A</v>
      </c>
    </row>
    <row r="23" customFormat="false" ht="15" hidden="false" customHeight="false" outlineLevel="0" collapsed="false">
      <c r="A23" s="14" t="n">
        <v>18</v>
      </c>
      <c r="B23" s="15" t="str">
        <f aca="false">IFERROR(IF(INDEX('Summary – Option 1'!$B$5:$B$337,$E$3+$A23-1)=$B$3,INDEX('Summary – Option 1'!$F$5:$F$337,$E$3+$A23-1),""),"")</f>
        <v>Succinylcholine (Suxamethonium)</v>
      </c>
      <c r="C23" s="15" t="str">
        <f aca="false">IF($B23="","",INDEX('Summary – Option 1'!$D$5:$D$337,$E$3+$A23-1))</f>
        <v>Priority 2</v>
      </c>
      <c r="D23" s="16" t="str">
        <f aca="false">IF($B23="","",INDEX('Summary – Option 1'!$E$5:$E$337,$E$3+$A23-1))</f>
        <v>Lower price · high volume</v>
      </c>
      <c r="E23" s="17" t="n">
        <f aca="false">IF($B23="","",INDEX('Summary – Option 1'!$K$5:$K$337,$E$3+$A23-1))</f>
        <v>5.12</v>
      </c>
      <c r="F23" s="18" t="n">
        <f aca="false">IF($B23="","",INDEX('Summary – Option 1'!$L$5:$L$337,$E$3+$A23-1))</f>
        <v>286</v>
      </c>
      <c r="G23" s="18" t="n">
        <f aca="false">IF($B23="","",INDEX('Summary – Option 1'!$M$5:$M$337,$E$3+$A23-1))</f>
        <v>3067.4</v>
      </c>
      <c r="H23" s="15" t="str">
        <f aca="false">IF(OR($B23="",LEFT($C23,8)="Excluded",NOT(ISNUMBER($E23))),"",$B23&amp;" (P"&amp;RIGHT($C23,1)&amp;")")</f>
        <v>Succinylcholine (Suxamethonium) (P2)</v>
      </c>
      <c r="I23" s="19" t="e">
        <f aca="false">IF(OR($H23="",N($F23)&lt;=0,$C23&lt;&gt;"Priority 1"),NA(),$E23)</f>
        <v>#N/A</v>
      </c>
      <c r="J23" s="20" t="e">
        <f aca="false">IF(OR($H23="",N($F23)&lt;=0,$C23&lt;&gt;"Priority 1"),NA(),$F23)</f>
        <v>#N/A</v>
      </c>
      <c r="K23" s="20" t="e">
        <f aca="false">IF(OR($H23="",N($F23)&lt;=0,$C23&lt;&gt;"Priority 1"),NA(),MAX($G23,1))</f>
        <v>#N/A</v>
      </c>
      <c r="L23" s="19" t="n">
        <f aca="false">IF(OR($H23="",N($F23)&lt;=0,$C23&lt;&gt;"Priority 2"),NA(),$E23)</f>
        <v>5.12</v>
      </c>
      <c r="M23" s="20" t="n">
        <f aca="false">IF(OR($H23="",N($F23)&lt;=0,$C23&lt;&gt;"Priority 2"),NA(),$F23)</f>
        <v>286</v>
      </c>
      <c r="N23" s="20" t="n">
        <f aca="false">IF(OR($H23="",N($F23)&lt;=0,$C23&lt;&gt;"Priority 2"),NA(),MAX($G23,1))</f>
        <v>3067.4</v>
      </c>
      <c r="O23" s="19" t="e">
        <f aca="false">IF(OR($H23="",N($F23)&lt;=0,$C23&lt;&gt;"Priority 3"),NA(),$E23)</f>
        <v>#N/A</v>
      </c>
      <c r="P23" s="20" t="e">
        <f aca="false">IF(OR($H23="",N($F23)&lt;=0,$C23&lt;&gt;"Priority 3"),NA(),$F23)</f>
        <v>#N/A</v>
      </c>
      <c r="Q23" s="20" t="e">
        <f aca="false">IF(OR($H23="",N($F23)&lt;=0,$C23&lt;&gt;"Priority 3"),NA(),MAX($G23,1))</f>
        <v>#N/A</v>
      </c>
    </row>
    <row r="24" customFormat="false" ht="15" hidden="false" customHeight="false" outlineLevel="0" collapsed="false">
      <c r="A24" s="14" t="n">
        <v>19</v>
      </c>
      <c r="B24" s="15" t="str">
        <f aca="false">IFERROR(IF(INDEX('Summary – Option 1'!$B$5:$B$337,$E$3+$A24-1)=$B$3,INDEX('Summary – Option 1'!$F$5:$F$337,$E$3+$A24-1),""),"")</f>
        <v>Leuprorelin</v>
      </c>
      <c r="C24" s="15" t="str">
        <f aca="false">IF($B24="","",INDEX('Summary – Option 1'!$D$5:$D$337,$E$3+$A24-1))</f>
        <v>Priority 2</v>
      </c>
      <c r="D24" s="16" t="str">
        <f aca="false">IF($B24="","",INDEX('Summary – Option 1'!$E$5:$E$337,$E$3+$A24-1))</f>
        <v>High price · lower volume</v>
      </c>
      <c r="E24" s="17" t="n">
        <f aca="false">IF($B24="","",INDEX('Summary – Option 1'!$K$5:$K$337,$E$3+$A24-1))</f>
        <v>433.94</v>
      </c>
      <c r="F24" s="18" t="n">
        <f aca="false">IF($B24="","",INDEX('Summary – Option 1'!$L$5:$L$337,$E$3+$A24-1))</f>
        <v>111</v>
      </c>
      <c r="G24" s="18" t="n">
        <f aca="false">IF($B24="","",INDEX('Summary – Option 1'!$M$5:$M$337,$E$3+$A24-1))</f>
        <v>2489.4</v>
      </c>
      <c r="H24" s="15" t="str">
        <f aca="false">IF(OR($B24="",LEFT($C24,8)="Excluded",NOT(ISNUMBER($E24))),"",$B24&amp;" (P"&amp;RIGHT($C24,1)&amp;")")</f>
        <v>Leuprorelin (P2)</v>
      </c>
      <c r="I24" s="19" t="e">
        <f aca="false">IF(OR($H24="",N($F24)&lt;=0,$C24&lt;&gt;"Priority 1"),NA(),$E24)</f>
        <v>#N/A</v>
      </c>
      <c r="J24" s="20" t="e">
        <f aca="false">IF(OR($H24="",N($F24)&lt;=0,$C24&lt;&gt;"Priority 1"),NA(),$F24)</f>
        <v>#N/A</v>
      </c>
      <c r="K24" s="20" t="e">
        <f aca="false">IF(OR($H24="",N($F24)&lt;=0,$C24&lt;&gt;"Priority 1"),NA(),MAX($G24,1))</f>
        <v>#N/A</v>
      </c>
      <c r="L24" s="19" t="n">
        <f aca="false">IF(OR($H24="",N($F24)&lt;=0,$C24&lt;&gt;"Priority 2"),NA(),$E24)</f>
        <v>433.94</v>
      </c>
      <c r="M24" s="20" t="n">
        <f aca="false">IF(OR($H24="",N($F24)&lt;=0,$C24&lt;&gt;"Priority 2"),NA(),$F24)</f>
        <v>111</v>
      </c>
      <c r="N24" s="20" t="n">
        <f aca="false">IF(OR($H24="",N($F24)&lt;=0,$C24&lt;&gt;"Priority 2"),NA(),MAX($G24,1))</f>
        <v>2489.4</v>
      </c>
      <c r="O24" s="19" t="e">
        <f aca="false">IF(OR($H24="",N($F24)&lt;=0,$C24&lt;&gt;"Priority 3"),NA(),$E24)</f>
        <v>#N/A</v>
      </c>
      <c r="P24" s="20" t="e">
        <f aca="false">IF(OR($H24="",N($F24)&lt;=0,$C24&lt;&gt;"Priority 3"),NA(),$F24)</f>
        <v>#N/A</v>
      </c>
      <c r="Q24" s="20" t="e">
        <f aca="false">IF(OR($H24="",N($F24)&lt;=0,$C24&lt;&gt;"Priority 3"),NA(),MAX($G24,1))</f>
        <v>#N/A</v>
      </c>
    </row>
    <row r="25" customFormat="false" ht="15" hidden="false" customHeight="false" outlineLevel="0" collapsed="false">
      <c r="A25" s="14" t="n">
        <v>20</v>
      </c>
      <c r="B25" s="15" t="str">
        <f aca="false">IFERROR(IF(INDEX('Summary – Option 1'!$B$5:$B$337,$E$3+$A25-1)=$B$3,INDEX('Summary – Option 1'!$F$5:$F$337,$E$3+$A25-1),""),"")</f>
        <v>Ustekinumab</v>
      </c>
      <c r="C25" s="15" t="str">
        <f aca="false">IF($B25="","",INDEX('Summary – Option 1'!$D$5:$D$337,$E$3+$A25-1))</f>
        <v>Priority 2</v>
      </c>
      <c r="D25" s="16" t="str">
        <f aca="false">IF($B25="","",INDEX('Summary – Option 1'!$E$5:$E$337,$E$3+$A25-1))</f>
        <v>High price · lower volume</v>
      </c>
      <c r="E25" s="17" t="n">
        <f aca="false">IF($B25="","",INDEX('Summary – Option 1'!$K$5:$K$337,$E$3+$A25-1))</f>
        <v>2838.33</v>
      </c>
      <c r="F25" s="18" t="n">
        <f aca="false">IF($B25="","",INDEX('Summary – Option 1'!$L$5:$L$337,$E$3+$A25-1))</f>
        <v>125</v>
      </c>
      <c r="G25" s="18" t="n">
        <f aca="false">IF($B25="","",INDEX('Summary – Option 1'!$M$5:$M$337,$E$3+$A25-1))</f>
        <v>2485.9</v>
      </c>
      <c r="H25" s="15" t="str">
        <f aca="false">IF(OR($B25="",LEFT($C25,8)="Excluded",NOT(ISNUMBER($E25))),"",$B25&amp;" (P"&amp;RIGHT($C25,1)&amp;")")</f>
        <v>Ustekinumab (P2)</v>
      </c>
      <c r="I25" s="19" t="e">
        <f aca="false">IF(OR($H25="",N($F25)&lt;=0,$C25&lt;&gt;"Priority 1"),NA(),$E25)</f>
        <v>#N/A</v>
      </c>
      <c r="J25" s="20" t="e">
        <f aca="false">IF(OR($H25="",N($F25)&lt;=0,$C25&lt;&gt;"Priority 1"),NA(),$F25)</f>
        <v>#N/A</v>
      </c>
      <c r="K25" s="20" t="e">
        <f aca="false">IF(OR($H25="",N($F25)&lt;=0,$C25&lt;&gt;"Priority 1"),NA(),MAX($G25,1))</f>
        <v>#N/A</v>
      </c>
      <c r="L25" s="19" t="n">
        <f aca="false">IF(OR($H25="",N($F25)&lt;=0,$C25&lt;&gt;"Priority 2"),NA(),$E25)</f>
        <v>2838.33</v>
      </c>
      <c r="M25" s="20" t="n">
        <f aca="false">IF(OR($H25="",N($F25)&lt;=0,$C25&lt;&gt;"Priority 2"),NA(),$F25)</f>
        <v>125</v>
      </c>
      <c r="N25" s="20" t="n">
        <f aca="false">IF(OR($H25="",N($F25)&lt;=0,$C25&lt;&gt;"Priority 2"),NA(),MAX($G25,1))</f>
        <v>2485.9</v>
      </c>
      <c r="O25" s="19" t="e">
        <f aca="false">IF(OR($H25="",N($F25)&lt;=0,$C25&lt;&gt;"Priority 3"),NA(),$E25)</f>
        <v>#N/A</v>
      </c>
      <c r="P25" s="20" t="e">
        <f aca="false">IF(OR($H25="",N($F25)&lt;=0,$C25&lt;&gt;"Priority 3"),NA(),$F25)</f>
        <v>#N/A</v>
      </c>
      <c r="Q25" s="20" t="e">
        <f aca="false">IF(OR($H25="",N($F25)&lt;=0,$C25&lt;&gt;"Priority 3"),NA(),MAX($G25,1))</f>
        <v>#N/A</v>
      </c>
    </row>
    <row r="26" customFormat="false" ht="15" hidden="false" customHeight="false" outlineLevel="0" collapsed="false">
      <c r="A26" s="14" t="n">
        <v>21</v>
      </c>
      <c r="B26" s="15" t="str">
        <f aca="false">IFERROR(IF(INDEX('Summary – Option 1'!$B$5:$B$337,$E$3+$A26-1)=$B$3,INDEX('Summary – Option 1'!$F$5:$F$337,$E$3+$A26-1),""),"")</f>
        <v>Degarelix</v>
      </c>
      <c r="C26" s="15" t="str">
        <f aca="false">IF($B26="","",INDEX('Summary – Option 1'!$D$5:$D$337,$E$3+$A26-1))</f>
        <v>Priority 2</v>
      </c>
      <c r="D26" s="16" t="str">
        <f aca="false">IF($B26="","",INDEX('Summary – Option 1'!$E$5:$E$337,$E$3+$A26-1))</f>
        <v>High price · lower volume</v>
      </c>
      <c r="E26" s="17" t="n">
        <f aca="false">IF($B26="","",INDEX('Summary – Option 1'!$K$5:$K$337,$E$3+$A26-1))</f>
        <v>92.62</v>
      </c>
      <c r="F26" s="18" t="n">
        <f aca="false">IF($B26="","",INDEX('Summary – Option 1'!$L$5:$L$337,$E$3+$A26-1))</f>
        <v>26</v>
      </c>
      <c r="G26" s="18" t="n">
        <f aca="false">IF($B26="","",INDEX('Summary – Option 1'!$M$5:$M$337,$E$3+$A26-1))</f>
        <v>140.9</v>
      </c>
      <c r="H26" s="15" t="str">
        <f aca="false">IF(OR($B26="",LEFT($C26,8)="Excluded",NOT(ISNUMBER($E26))),"",$B26&amp;" (P"&amp;RIGHT($C26,1)&amp;")")</f>
        <v>Degarelix (P2)</v>
      </c>
      <c r="I26" s="19" t="e">
        <f aca="false">IF(OR($H26="",N($F26)&lt;=0,$C26&lt;&gt;"Priority 1"),NA(),$E26)</f>
        <v>#N/A</v>
      </c>
      <c r="J26" s="20" t="e">
        <f aca="false">IF(OR($H26="",N($F26)&lt;=0,$C26&lt;&gt;"Priority 1"),NA(),$F26)</f>
        <v>#N/A</v>
      </c>
      <c r="K26" s="20" t="e">
        <f aca="false">IF(OR($H26="",N($F26)&lt;=0,$C26&lt;&gt;"Priority 1"),NA(),MAX($G26,1))</f>
        <v>#N/A</v>
      </c>
      <c r="L26" s="19" t="n">
        <f aca="false">IF(OR($H26="",N($F26)&lt;=0,$C26&lt;&gt;"Priority 2"),NA(),$E26)</f>
        <v>92.62</v>
      </c>
      <c r="M26" s="20" t="n">
        <f aca="false">IF(OR($H26="",N($F26)&lt;=0,$C26&lt;&gt;"Priority 2"),NA(),$F26)</f>
        <v>26</v>
      </c>
      <c r="N26" s="20" t="n">
        <f aca="false">IF(OR($H26="",N($F26)&lt;=0,$C26&lt;&gt;"Priority 2"),NA(),MAX($G26,1))</f>
        <v>140.9</v>
      </c>
      <c r="O26" s="19" t="e">
        <f aca="false">IF(OR($H26="",N($F26)&lt;=0,$C26&lt;&gt;"Priority 3"),NA(),$E26)</f>
        <v>#N/A</v>
      </c>
      <c r="P26" s="20" t="e">
        <f aca="false">IF(OR($H26="",N($F26)&lt;=0,$C26&lt;&gt;"Priority 3"),NA(),$F26)</f>
        <v>#N/A</v>
      </c>
      <c r="Q26" s="20" t="e">
        <f aca="false">IF(OR($H26="",N($F26)&lt;=0,$C26&lt;&gt;"Priority 3"),NA(),MAX($G26,1))</f>
        <v>#N/A</v>
      </c>
    </row>
    <row r="27" customFormat="false" ht="15" hidden="false" customHeight="false" outlineLevel="0" collapsed="false">
      <c r="A27" s="14" t="n">
        <v>22</v>
      </c>
      <c r="B27" s="15" t="str">
        <f aca="false">IFERROR(IF(INDEX('Summary – Option 1'!$B$5:$B$337,$E$3+$A27-1)=$B$3,INDEX('Summary – Option 1'!$F$5:$F$337,$E$3+$A27-1),""),"")</f>
        <v>Flucloxacillin</v>
      </c>
      <c r="C27" s="15" t="str">
        <f aca="false">IF($B27="","",INDEX('Summary – Option 1'!$D$5:$D$337,$E$3+$A27-1))</f>
        <v>Priority 3</v>
      </c>
      <c r="D27" s="16" t="str">
        <f aca="false">IF($B27="","",INDEX('Summary – Option 1'!$E$5:$E$337,$E$3+$A27-1))</f>
        <v>Lower price · lower volume</v>
      </c>
      <c r="E27" s="17" t="n">
        <f aca="false">IF($B27="","",INDEX('Summary – Option 1'!$K$5:$K$337,$E$3+$A27-1))</f>
        <v>6.07</v>
      </c>
      <c r="F27" s="18" t="n">
        <f aca="false">IF($B27="","",INDEX('Summary – Option 1'!$L$5:$L$337,$E$3+$A27-1))</f>
        <v>116</v>
      </c>
      <c r="G27" s="18" t="n">
        <f aca="false">IF($B27="","",INDEX('Summary – Option 1'!$M$5:$M$337,$E$3+$A27-1))</f>
        <v>6287.6</v>
      </c>
      <c r="H27" s="15" t="str">
        <f aca="false">IF(OR($B27="",LEFT($C27,8)="Excluded",NOT(ISNUMBER($E27))),"",$B27&amp;" (P"&amp;RIGHT($C27,1)&amp;")")</f>
        <v>Flucloxacillin (P3)</v>
      </c>
      <c r="I27" s="19" t="e">
        <f aca="false">IF(OR($H27="",N($F27)&lt;=0,$C27&lt;&gt;"Priority 1"),NA(),$E27)</f>
        <v>#N/A</v>
      </c>
      <c r="J27" s="20" t="e">
        <f aca="false">IF(OR($H27="",N($F27)&lt;=0,$C27&lt;&gt;"Priority 1"),NA(),$F27)</f>
        <v>#N/A</v>
      </c>
      <c r="K27" s="20" t="e">
        <f aca="false">IF(OR($H27="",N($F27)&lt;=0,$C27&lt;&gt;"Priority 1"),NA(),MAX($G27,1))</f>
        <v>#N/A</v>
      </c>
      <c r="L27" s="19" t="e">
        <f aca="false">IF(OR($H27="",N($F27)&lt;=0,$C27&lt;&gt;"Priority 2"),NA(),$E27)</f>
        <v>#N/A</v>
      </c>
      <c r="M27" s="20" t="e">
        <f aca="false">IF(OR($H27="",N($F27)&lt;=0,$C27&lt;&gt;"Priority 2"),NA(),$F27)</f>
        <v>#N/A</v>
      </c>
      <c r="N27" s="20" t="e">
        <f aca="false">IF(OR($H27="",N($F27)&lt;=0,$C27&lt;&gt;"Priority 2"),NA(),MAX($G27,1))</f>
        <v>#N/A</v>
      </c>
      <c r="O27" s="19" t="n">
        <f aca="false">IF(OR($H27="",N($F27)&lt;=0,$C27&lt;&gt;"Priority 3"),NA(),$E27)</f>
        <v>6.07</v>
      </c>
      <c r="P27" s="20" t="n">
        <f aca="false">IF(OR($H27="",N($F27)&lt;=0,$C27&lt;&gt;"Priority 3"),NA(),$F27)</f>
        <v>116</v>
      </c>
      <c r="Q27" s="20" t="n">
        <f aca="false">IF(OR($H27="",N($F27)&lt;=0,$C27&lt;&gt;"Priority 3"),NA(),MAX($G27,1))</f>
        <v>6287.6</v>
      </c>
    </row>
    <row r="28" customFormat="false" ht="15" hidden="false" customHeight="false" outlineLevel="0" collapsed="false">
      <c r="A28" s="14" t="n">
        <v>23</v>
      </c>
      <c r="B28" s="15" t="str">
        <f aca="false">IFERROR(IF(INDEX('Summary – Option 1'!$B$5:$B$337,$E$3+$A28-1)=$B$3,INDEX('Summary – Option 1'!$F$5:$F$337,$E$3+$A28-1),""),"")</f>
        <v>Progesterone</v>
      </c>
      <c r="C28" s="15" t="str">
        <f aca="false">IF($B28="","",INDEX('Summary – Option 1'!$D$5:$D$337,$E$3+$A28-1))</f>
        <v>Priority 3</v>
      </c>
      <c r="D28" s="16" t="str">
        <f aca="false">IF($B28="","",INDEX('Summary – Option 1'!$E$5:$E$337,$E$3+$A28-1))</f>
        <v>Lower price · lower volume</v>
      </c>
      <c r="E28" s="17" t="n">
        <f aca="false">IF($B28="","",INDEX('Summary – Option 1'!$K$5:$K$337,$E$3+$A28-1))</f>
        <v>6.23</v>
      </c>
      <c r="F28" s="18" t="n">
        <f aca="false">IF($B28="","",INDEX('Summary – Option 1'!$L$5:$L$337,$E$3+$A28-1))</f>
        <v>88</v>
      </c>
      <c r="G28" s="18" t="n">
        <f aca="false">IF($B28="","",INDEX('Summary – Option 1'!$M$5:$M$337,$E$3+$A28-1))</f>
        <v>2646.6</v>
      </c>
      <c r="H28" s="15" t="str">
        <f aca="false">IF(OR($B28="",LEFT($C28,8)="Excluded",NOT(ISNUMBER($E28))),"",$B28&amp;" (P"&amp;RIGHT($C28,1)&amp;")")</f>
        <v>Progesterone (P3)</v>
      </c>
      <c r="I28" s="19" t="e">
        <f aca="false">IF(OR($H28="",N($F28)&lt;=0,$C28&lt;&gt;"Priority 1"),NA(),$E28)</f>
        <v>#N/A</v>
      </c>
      <c r="J28" s="20" t="e">
        <f aca="false">IF(OR($H28="",N($F28)&lt;=0,$C28&lt;&gt;"Priority 1"),NA(),$F28)</f>
        <v>#N/A</v>
      </c>
      <c r="K28" s="20" t="e">
        <f aca="false">IF(OR($H28="",N($F28)&lt;=0,$C28&lt;&gt;"Priority 1"),NA(),MAX($G28,1))</f>
        <v>#N/A</v>
      </c>
      <c r="L28" s="19" t="e">
        <f aca="false">IF(OR($H28="",N($F28)&lt;=0,$C28&lt;&gt;"Priority 2"),NA(),$E28)</f>
        <v>#N/A</v>
      </c>
      <c r="M28" s="20" t="e">
        <f aca="false">IF(OR($H28="",N($F28)&lt;=0,$C28&lt;&gt;"Priority 2"),NA(),$F28)</f>
        <v>#N/A</v>
      </c>
      <c r="N28" s="20" t="e">
        <f aca="false">IF(OR($H28="",N($F28)&lt;=0,$C28&lt;&gt;"Priority 2"),NA(),MAX($G28,1))</f>
        <v>#N/A</v>
      </c>
      <c r="O28" s="19" t="n">
        <f aca="false">IF(OR($H28="",N($F28)&lt;=0,$C28&lt;&gt;"Priority 3"),NA(),$E28)</f>
        <v>6.23</v>
      </c>
      <c r="P28" s="20" t="n">
        <f aca="false">IF(OR($H28="",N($F28)&lt;=0,$C28&lt;&gt;"Priority 3"),NA(),$F28)</f>
        <v>88</v>
      </c>
      <c r="Q28" s="20" t="n">
        <f aca="false">IF(OR($H28="",N($F28)&lt;=0,$C28&lt;&gt;"Priority 3"),NA(),MAX($G28,1))</f>
        <v>2646.6</v>
      </c>
    </row>
    <row r="29" customFormat="false" ht="15" hidden="false" customHeight="false" outlineLevel="0" collapsed="false">
      <c r="A29" s="14" t="n">
        <v>24</v>
      </c>
      <c r="B29" s="15" t="str">
        <f aca="false">IFERROR(IF(INDEX('Summary – Option 1'!$B$5:$B$337,$E$3+$A29-1)=$B$3,INDEX('Summary – Option 1'!$F$5:$F$337,$E$3+$A29-1),""),"")</f>
        <v>Colistimethate Sodium</v>
      </c>
      <c r="C29" s="15" t="str">
        <f aca="false">IF($B29="","",INDEX('Summary – Option 1'!$D$5:$D$337,$E$3+$A29-1))</f>
        <v>Priority 3</v>
      </c>
      <c r="D29" s="16" t="str">
        <f aca="false">IF($B29="","",INDEX('Summary – Option 1'!$E$5:$E$337,$E$3+$A29-1))</f>
        <v>Lower price · lower volume</v>
      </c>
      <c r="E29" s="17" t="n">
        <f aca="false">IF($B29="","",INDEX('Summary – Option 1'!$K$5:$K$337,$E$3+$A29-1))</f>
        <v>9.75</v>
      </c>
      <c r="F29" s="18" t="n">
        <f aca="false">IF($B29="","",INDEX('Summary – Option 1'!$L$5:$L$337,$E$3+$A29-1))</f>
        <v>83</v>
      </c>
      <c r="G29" s="18" t="n">
        <f aca="false">IF($B29="","",INDEX('Summary – Option 1'!$M$5:$M$337,$E$3+$A29-1))</f>
        <v>2033.7</v>
      </c>
      <c r="H29" s="15" t="str">
        <f aca="false">IF(OR($B29="",LEFT($C29,8)="Excluded",NOT(ISNUMBER($E29))),"",$B29&amp;" (P"&amp;RIGHT($C29,1)&amp;")")</f>
        <v>Colistimethate Sodium (P3)</v>
      </c>
      <c r="I29" s="19" t="e">
        <f aca="false">IF(OR($H29="",N($F29)&lt;=0,$C29&lt;&gt;"Priority 1"),NA(),$E29)</f>
        <v>#N/A</v>
      </c>
      <c r="J29" s="20" t="e">
        <f aca="false">IF(OR($H29="",N($F29)&lt;=0,$C29&lt;&gt;"Priority 1"),NA(),$F29)</f>
        <v>#N/A</v>
      </c>
      <c r="K29" s="20" t="e">
        <f aca="false">IF(OR($H29="",N($F29)&lt;=0,$C29&lt;&gt;"Priority 1"),NA(),MAX($G29,1))</f>
        <v>#N/A</v>
      </c>
      <c r="L29" s="19" t="e">
        <f aca="false">IF(OR($H29="",N($F29)&lt;=0,$C29&lt;&gt;"Priority 2"),NA(),$E29)</f>
        <v>#N/A</v>
      </c>
      <c r="M29" s="20" t="e">
        <f aca="false">IF(OR($H29="",N($F29)&lt;=0,$C29&lt;&gt;"Priority 2"),NA(),$F29)</f>
        <v>#N/A</v>
      </c>
      <c r="N29" s="20" t="e">
        <f aca="false">IF(OR($H29="",N($F29)&lt;=0,$C29&lt;&gt;"Priority 2"),NA(),MAX($G29,1))</f>
        <v>#N/A</v>
      </c>
      <c r="O29" s="19" t="n">
        <f aca="false">IF(OR($H29="",N($F29)&lt;=0,$C29&lt;&gt;"Priority 3"),NA(),$E29)</f>
        <v>9.75</v>
      </c>
      <c r="P29" s="20" t="n">
        <f aca="false">IF(OR($H29="",N($F29)&lt;=0,$C29&lt;&gt;"Priority 3"),NA(),$F29)</f>
        <v>83</v>
      </c>
      <c r="Q29" s="20" t="n">
        <f aca="false">IF(OR($H29="",N($F29)&lt;=0,$C29&lt;&gt;"Priority 3"),NA(),MAX($G29,1))</f>
        <v>2033.7</v>
      </c>
    </row>
    <row r="30" customFormat="false" ht="15" hidden="false" customHeight="false" outlineLevel="0" collapsed="false">
      <c r="A30" s="14" t="n">
        <v>25</v>
      </c>
      <c r="B30" s="15" t="str">
        <f aca="false">IFERROR(IF(INDEX('Summary – Option 1'!$B$5:$B$337,$E$3+$A30-1)=$B$3,INDEX('Summary – Option 1'!$F$5:$F$337,$E$3+$A30-1),""),"")</f>
        <v>Naloxone</v>
      </c>
      <c r="C30" s="15" t="str">
        <f aca="false">IF($B30="","",INDEX('Summary – Option 1'!$D$5:$D$337,$E$3+$A30-1))</f>
        <v>Priority 3</v>
      </c>
      <c r="D30" s="16" t="str">
        <f aca="false">IF($B30="","",INDEX('Summary – Option 1'!$E$5:$E$337,$E$3+$A30-1))</f>
        <v>Lower price · lower volume</v>
      </c>
      <c r="E30" s="17" t="n">
        <f aca="false">IF($B30="","",INDEX('Summary – Option 1'!$K$5:$K$337,$E$3+$A30-1))</f>
        <v>5.42</v>
      </c>
      <c r="F30" s="18" t="n">
        <f aca="false">IF($B30="","",INDEX('Summary – Option 1'!$L$5:$L$337,$E$3+$A30-1))</f>
        <v>88</v>
      </c>
      <c r="G30" s="18" t="n">
        <f aca="false">IF($B30="","",INDEX('Summary – Option 1'!$M$5:$M$337,$E$3+$A30-1))</f>
        <v>1437.9</v>
      </c>
      <c r="H30" s="15" t="str">
        <f aca="false">IF(OR($B30="",LEFT($C30,8)="Excluded",NOT(ISNUMBER($E30))),"",$B30&amp;" (P"&amp;RIGHT($C30,1)&amp;")")</f>
        <v>Naloxone (P3)</v>
      </c>
      <c r="I30" s="19" t="e">
        <f aca="false">IF(OR($H30="",N($F30)&lt;=0,$C30&lt;&gt;"Priority 1"),NA(),$E30)</f>
        <v>#N/A</v>
      </c>
      <c r="J30" s="20" t="e">
        <f aca="false">IF(OR($H30="",N($F30)&lt;=0,$C30&lt;&gt;"Priority 1"),NA(),$F30)</f>
        <v>#N/A</v>
      </c>
      <c r="K30" s="20" t="e">
        <f aca="false">IF(OR($H30="",N($F30)&lt;=0,$C30&lt;&gt;"Priority 1"),NA(),MAX($G30,1))</f>
        <v>#N/A</v>
      </c>
      <c r="L30" s="19" t="e">
        <f aca="false">IF(OR($H30="",N($F30)&lt;=0,$C30&lt;&gt;"Priority 2"),NA(),$E30)</f>
        <v>#N/A</v>
      </c>
      <c r="M30" s="20" t="e">
        <f aca="false">IF(OR($H30="",N($F30)&lt;=0,$C30&lt;&gt;"Priority 2"),NA(),$F30)</f>
        <v>#N/A</v>
      </c>
      <c r="N30" s="20" t="e">
        <f aca="false">IF(OR($H30="",N($F30)&lt;=0,$C30&lt;&gt;"Priority 2"),NA(),MAX($G30,1))</f>
        <v>#N/A</v>
      </c>
      <c r="O30" s="19" t="n">
        <f aca="false">IF(OR($H30="",N($F30)&lt;=0,$C30&lt;&gt;"Priority 3"),NA(),$E30)</f>
        <v>5.42</v>
      </c>
      <c r="P30" s="20" t="n">
        <f aca="false">IF(OR($H30="",N($F30)&lt;=0,$C30&lt;&gt;"Priority 3"),NA(),$F30)</f>
        <v>88</v>
      </c>
      <c r="Q30" s="20" t="n">
        <f aca="false">IF(OR($H30="",N($F30)&lt;=0,$C30&lt;&gt;"Priority 3"),NA(),MAX($G30,1))</f>
        <v>1437.9</v>
      </c>
    </row>
    <row r="31" customFormat="false" ht="15" hidden="false" customHeight="false" outlineLevel="0" collapsed="false">
      <c r="A31" s="14" t="n">
        <v>26</v>
      </c>
      <c r="B31" s="15" t="str">
        <f aca="false">IFERROR(IF(INDEX('Summary – Option 1'!$B$5:$B$337,$E$3+$A31-1)=$B$3,INDEX('Summary – Option 1'!$F$5:$F$337,$E$3+$A31-1),""),"")</f>
        <v>Hydroxocobalamin</v>
      </c>
      <c r="C31" s="15" t="str">
        <f aca="false">IF($B31="","",INDEX('Summary – Option 1'!$D$5:$D$337,$E$3+$A31-1))</f>
        <v>Priority 3</v>
      </c>
      <c r="D31" s="16" t="str">
        <f aca="false">IF($B31="","",INDEX('Summary – Option 1'!$E$5:$E$337,$E$3+$A31-1))</f>
        <v>Lower price · lower volume</v>
      </c>
      <c r="E31" s="17" t="n">
        <f aca="false">IF($B31="","",INDEX('Summary – Option 1'!$K$5:$K$337,$E$3+$A31-1))</f>
        <v>9.83</v>
      </c>
      <c r="F31" s="18" t="n">
        <f aca="false">IF($B31="","",INDEX('Summary – Option 1'!$L$5:$L$337,$E$3+$A31-1))</f>
        <v>22</v>
      </c>
      <c r="G31" s="18" t="n">
        <f aca="false">IF($B31="","",INDEX('Summary – Option 1'!$M$5:$M$337,$E$3+$A31-1))</f>
        <v>315.7</v>
      </c>
      <c r="H31" s="15" t="str">
        <f aca="false">IF(OR($B31="",LEFT($C31,8)="Excluded",NOT(ISNUMBER($E31))),"",$B31&amp;" (P"&amp;RIGHT($C31,1)&amp;")")</f>
        <v>Hydroxocobalamin (P3)</v>
      </c>
      <c r="I31" s="19" t="e">
        <f aca="false">IF(OR($H31="",N($F31)&lt;=0,$C31&lt;&gt;"Priority 1"),NA(),$E31)</f>
        <v>#N/A</v>
      </c>
      <c r="J31" s="20" t="e">
        <f aca="false">IF(OR($H31="",N($F31)&lt;=0,$C31&lt;&gt;"Priority 1"),NA(),$F31)</f>
        <v>#N/A</v>
      </c>
      <c r="K31" s="20" t="e">
        <f aca="false">IF(OR($H31="",N($F31)&lt;=0,$C31&lt;&gt;"Priority 1"),NA(),MAX($G31,1))</f>
        <v>#N/A</v>
      </c>
      <c r="L31" s="19" t="e">
        <f aca="false">IF(OR($H31="",N($F31)&lt;=0,$C31&lt;&gt;"Priority 2"),NA(),$E31)</f>
        <v>#N/A</v>
      </c>
      <c r="M31" s="20" t="e">
        <f aca="false">IF(OR($H31="",N($F31)&lt;=0,$C31&lt;&gt;"Priority 2"),NA(),$F31)</f>
        <v>#N/A</v>
      </c>
      <c r="N31" s="20" t="e">
        <f aca="false">IF(OR($H31="",N($F31)&lt;=0,$C31&lt;&gt;"Priority 2"),NA(),MAX($G31,1))</f>
        <v>#N/A</v>
      </c>
      <c r="O31" s="19" t="n">
        <f aca="false">IF(OR($H31="",N($F31)&lt;=0,$C31&lt;&gt;"Priority 3"),NA(),$E31)</f>
        <v>9.83</v>
      </c>
      <c r="P31" s="20" t="n">
        <f aca="false">IF(OR($H31="",N($F31)&lt;=0,$C31&lt;&gt;"Priority 3"),NA(),$F31)</f>
        <v>22</v>
      </c>
      <c r="Q31" s="20" t="n">
        <f aca="false">IF(OR($H31="",N($F31)&lt;=0,$C31&lt;&gt;"Priority 3"),NA(),MAX($G31,1))</f>
        <v>315.7</v>
      </c>
    </row>
    <row r="32" customFormat="false" ht="15" hidden="false" customHeight="false" outlineLevel="0" collapsed="false">
      <c r="A32" s="14" t="n">
        <v>27</v>
      </c>
      <c r="B32" s="15" t="str">
        <f aca="false">IFERROR(IF(INDEX('Summary – Option 1'!$B$5:$B$337,$E$3+$A32-1)=$B$3,INDEX('Summary – Option 1'!$F$5:$F$337,$E$3+$A32-1),""),"")</f>
        <v>Amoxicillin</v>
      </c>
      <c r="C32" s="15" t="str">
        <f aca="false">IF($B32="","",INDEX('Summary – Option 1'!$D$5:$D$337,$E$3+$A32-1))</f>
        <v>Excluded – price ≤ $5</v>
      </c>
      <c r="D32" s="16" t="str">
        <f aca="false">IF($B32="","",INDEX('Summary – Option 1'!$E$5:$E$337,$E$3+$A32-1))</f>
        <v/>
      </c>
      <c r="E32" s="17" t="n">
        <f aca="false">IF($B32="","",INDEX('Summary – Option 1'!$K$5:$K$337,$E$3+$A32-1))</f>
        <v>1.59</v>
      </c>
      <c r="F32" s="18" t="n">
        <f aca="false">IF($B32="","",INDEX('Summary – Option 1'!$L$5:$L$337,$E$3+$A32-1))</f>
        <v>715</v>
      </c>
      <c r="G32" s="18" t="n">
        <f aca="false">IF($B32="","",INDEX('Summary – Option 1'!$M$5:$M$337,$E$3+$A32-1))</f>
        <v>33794.9</v>
      </c>
      <c r="H32" s="15" t="str">
        <f aca="false">IF(OR($B32="",LEFT($C32,8)="Excluded",NOT(ISNUMBER($E32))),"",$B32&amp;" (P"&amp;RIGHT($C32,1)&amp;")")</f>
        <v/>
      </c>
      <c r="I32" s="19" t="e">
        <f aca="false">IF(OR($H32="",N($F32)&lt;=0,$C32&lt;&gt;"Priority 1"),NA(),$E32)</f>
        <v>#N/A</v>
      </c>
      <c r="J32" s="20" t="e">
        <f aca="false">IF(OR($H32="",N($F32)&lt;=0,$C32&lt;&gt;"Priority 1"),NA(),$F32)</f>
        <v>#N/A</v>
      </c>
      <c r="K32" s="20" t="e">
        <f aca="false">IF(OR($H32="",N($F32)&lt;=0,$C32&lt;&gt;"Priority 1"),NA(),MAX($G32,1))</f>
        <v>#N/A</v>
      </c>
      <c r="L32" s="19" t="e">
        <f aca="false">IF(OR($H32="",N($F32)&lt;=0,$C32&lt;&gt;"Priority 2"),NA(),$E32)</f>
        <v>#N/A</v>
      </c>
      <c r="M32" s="20" t="e">
        <f aca="false">IF(OR($H32="",N($F32)&lt;=0,$C32&lt;&gt;"Priority 2"),NA(),$F32)</f>
        <v>#N/A</v>
      </c>
      <c r="N32" s="20" t="e">
        <f aca="false">IF(OR($H32="",N($F32)&lt;=0,$C32&lt;&gt;"Priority 2"),NA(),MAX($G32,1))</f>
        <v>#N/A</v>
      </c>
      <c r="O32" s="19" t="e">
        <f aca="false">IF(OR($H32="",N($F32)&lt;=0,$C32&lt;&gt;"Priority 3"),NA(),$E32)</f>
        <v>#N/A</v>
      </c>
      <c r="P32" s="20" t="e">
        <f aca="false">IF(OR($H32="",N($F32)&lt;=0,$C32&lt;&gt;"Priority 3"),NA(),$F32)</f>
        <v>#N/A</v>
      </c>
      <c r="Q32" s="20" t="e">
        <f aca="false">IF(OR($H32="",N($F32)&lt;=0,$C32&lt;&gt;"Priority 3"),NA(),MAX($G32,1))</f>
        <v>#N/A</v>
      </c>
    </row>
    <row r="33" customFormat="false" ht="15" hidden="false" customHeight="false" outlineLevel="0" collapsed="false">
      <c r="A33" s="14" t="n">
        <v>28</v>
      </c>
      <c r="B33" s="15" t="str">
        <f aca="false">IFERROR(IF(INDEX('Summary – Option 1'!$B$5:$B$337,$E$3+$A33-1)=$B$3,INDEX('Summary – Option 1'!$F$5:$F$337,$E$3+$A33-1),""),"")</f>
        <v>Glycopyrrolate</v>
      </c>
      <c r="C33" s="15" t="str">
        <f aca="false">IF($B33="","",INDEX('Summary – Option 1'!$D$5:$D$337,$E$3+$A33-1))</f>
        <v>Excluded – price ≤ $5</v>
      </c>
      <c r="D33" s="16" t="str">
        <f aca="false">IF($B33="","",INDEX('Summary – Option 1'!$E$5:$E$337,$E$3+$A33-1))</f>
        <v/>
      </c>
      <c r="E33" s="17" t="n">
        <f aca="false">IF($B33="","",INDEX('Summary – Option 1'!$K$5:$K$337,$E$3+$A33-1))</f>
        <v>3</v>
      </c>
      <c r="F33" s="18" t="n">
        <f aca="false">IF($B33="","",INDEX('Summary – Option 1'!$L$5:$L$337,$E$3+$A33-1))</f>
        <v>119</v>
      </c>
      <c r="G33" s="18" t="n">
        <f aca="false">IF($B33="","",INDEX('Summary – Option 1'!$M$5:$M$337,$E$3+$A33-1))</f>
        <v>1332.4</v>
      </c>
      <c r="H33" s="15" t="str">
        <f aca="false">IF(OR($B33="",LEFT($C33,8)="Excluded",NOT(ISNUMBER($E33))),"",$B33&amp;" (P"&amp;RIGHT($C33,1)&amp;")")</f>
        <v/>
      </c>
      <c r="I33" s="19" t="e">
        <f aca="false">IF(OR($H33="",N($F33)&lt;=0,$C33&lt;&gt;"Priority 1"),NA(),$E33)</f>
        <v>#N/A</v>
      </c>
      <c r="J33" s="20" t="e">
        <f aca="false">IF(OR($H33="",N($F33)&lt;=0,$C33&lt;&gt;"Priority 1"),NA(),$F33)</f>
        <v>#N/A</v>
      </c>
      <c r="K33" s="20" t="e">
        <f aca="false">IF(OR($H33="",N($F33)&lt;=0,$C33&lt;&gt;"Priority 1"),NA(),MAX($G33,1))</f>
        <v>#N/A</v>
      </c>
      <c r="L33" s="19" t="e">
        <f aca="false">IF(OR($H33="",N($F33)&lt;=0,$C33&lt;&gt;"Priority 2"),NA(),$E33)</f>
        <v>#N/A</v>
      </c>
      <c r="M33" s="20" t="e">
        <f aca="false">IF(OR($H33="",N($F33)&lt;=0,$C33&lt;&gt;"Priority 2"),NA(),$F33)</f>
        <v>#N/A</v>
      </c>
      <c r="N33" s="20" t="e">
        <f aca="false">IF(OR($H33="",N($F33)&lt;=0,$C33&lt;&gt;"Priority 2"),NA(),MAX($G33,1))</f>
        <v>#N/A</v>
      </c>
      <c r="O33" s="19" t="e">
        <f aca="false">IF(OR($H33="",N($F33)&lt;=0,$C33&lt;&gt;"Priority 3"),NA(),$E33)</f>
        <v>#N/A</v>
      </c>
      <c r="P33" s="20" t="e">
        <f aca="false">IF(OR($H33="",N($F33)&lt;=0,$C33&lt;&gt;"Priority 3"),NA(),$F33)</f>
        <v>#N/A</v>
      </c>
      <c r="Q33" s="20" t="e">
        <f aca="false">IF(OR($H33="",N($F33)&lt;=0,$C33&lt;&gt;"Priority 3"),NA(),MAX($G33,1))</f>
        <v>#N/A</v>
      </c>
    </row>
    <row r="34" customFormat="false" ht="15" hidden="false" customHeight="false" outlineLevel="0" collapsed="false">
      <c r="A34" s="14" t="n">
        <v>29</v>
      </c>
      <c r="B34" s="15" t="str">
        <f aca="false">IFERROR(IF(INDEX('Summary – Option 1'!$B$5:$B$337,$E$3+$A34-1)=$B$3,INDEX('Summary – Option 1'!$F$5:$F$337,$E$3+$A34-1),""),"")</f>
        <v>Lidocaine</v>
      </c>
      <c r="C34" s="15" t="str">
        <f aca="false">IF($B34="","",INDEX('Summary – Option 1'!$D$5:$D$337,$E$3+$A34-1))</f>
        <v>Excluded – price ≤ $5</v>
      </c>
      <c r="D34" s="16" t="str">
        <f aca="false">IF($B34="","",INDEX('Summary – Option 1'!$E$5:$E$337,$E$3+$A34-1))</f>
        <v/>
      </c>
      <c r="E34" s="17" t="n">
        <f aca="false">IF($B34="","",INDEX('Summary – Option 1'!$K$5:$K$337,$E$3+$A34-1))</f>
        <v>1.42</v>
      </c>
      <c r="F34" s="18" t="n">
        <f aca="false">IF($B34="","",INDEX('Summary – Option 1'!$L$5:$L$337,$E$3+$A34-1))</f>
        <v>670</v>
      </c>
      <c r="G34" s="18" t="n">
        <f aca="false">IF($B34="","",INDEX('Summary – Option 1'!$M$5:$M$337,$E$3+$A34-1))</f>
        <v>18611.6</v>
      </c>
      <c r="H34" s="15" t="str">
        <f aca="false">IF(OR($B34="",LEFT($C34,8)="Excluded",NOT(ISNUMBER($E34))),"",$B34&amp;" (P"&amp;RIGHT($C34,1)&amp;")")</f>
        <v/>
      </c>
      <c r="I34" s="19" t="e">
        <f aca="false">IF(OR($H34="",N($F34)&lt;=0,$C34&lt;&gt;"Priority 1"),NA(),$E34)</f>
        <v>#N/A</v>
      </c>
      <c r="J34" s="20" t="e">
        <f aca="false">IF(OR($H34="",N($F34)&lt;=0,$C34&lt;&gt;"Priority 1"),NA(),$F34)</f>
        <v>#N/A</v>
      </c>
      <c r="K34" s="20" t="e">
        <f aca="false">IF(OR($H34="",N($F34)&lt;=0,$C34&lt;&gt;"Priority 1"),NA(),MAX($G34,1))</f>
        <v>#N/A</v>
      </c>
      <c r="L34" s="19" t="e">
        <f aca="false">IF(OR($H34="",N($F34)&lt;=0,$C34&lt;&gt;"Priority 2"),NA(),$E34)</f>
        <v>#N/A</v>
      </c>
      <c r="M34" s="20" t="e">
        <f aca="false">IF(OR($H34="",N($F34)&lt;=0,$C34&lt;&gt;"Priority 2"),NA(),$F34)</f>
        <v>#N/A</v>
      </c>
      <c r="N34" s="20" t="e">
        <f aca="false">IF(OR($H34="",N($F34)&lt;=0,$C34&lt;&gt;"Priority 2"),NA(),MAX($G34,1))</f>
        <v>#N/A</v>
      </c>
      <c r="O34" s="19" t="e">
        <f aca="false">IF(OR($H34="",N($F34)&lt;=0,$C34&lt;&gt;"Priority 3"),NA(),$E34)</f>
        <v>#N/A</v>
      </c>
      <c r="P34" s="20" t="e">
        <f aca="false">IF(OR($H34="",N($F34)&lt;=0,$C34&lt;&gt;"Priority 3"),NA(),$F34)</f>
        <v>#N/A</v>
      </c>
      <c r="Q34" s="20" t="e">
        <f aca="false">IF(OR($H34="",N($F34)&lt;=0,$C34&lt;&gt;"Priority 3"),NA(),MAX($G34,1))</f>
        <v>#N/A</v>
      </c>
    </row>
    <row r="35" customFormat="false" ht="15" hidden="false" customHeight="false" outlineLevel="0" collapsed="false">
      <c r="A35" s="14" t="n">
        <v>30</v>
      </c>
      <c r="B35" s="15" t="str">
        <f aca="false">IFERROR(IF(INDEX('Summary – Option 1'!$B$5:$B$337,$E$3+$A35-1)=$B$3,INDEX('Summary – Option 1'!$F$5:$F$337,$E$3+$A35-1),""),"")</f>
        <v>Phenytoin</v>
      </c>
      <c r="C35" s="15" t="str">
        <f aca="false">IF($B35="","",INDEX('Summary – Option 1'!$D$5:$D$337,$E$3+$A35-1))</f>
        <v>Excluded – price ≤ $5</v>
      </c>
      <c r="D35" s="16" t="str">
        <f aca="false">IF($B35="","",INDEX('Summary – Option 1'!$E$5:$E$337,$E$3+$A35-1))</f>
        <v/>
      </c>
      <c r="E35" s="17" t="n">
        <f aca="false">IF($B35="","",INDEX('Summary – Option 1'!$K$5:$K$337,$E$3+$A35-1))</f>
        <v>4.49</v>
      </c>
      <c r="F35" s="18" t="n">
        <f aca="false">IF($B35="","",INDEX('Summary – Option 1'!$L$5:$L$337,$E$3+$A35-1))</f>
        <v>208</v>
      </c>
      <c r="G35" s="18" t="n">
        <f aca="false">IF($B35="","",INDEX('Summary – Option 1'!$M$5:$M$337,$E$3+$A35-1))</f>
        <v>2009.5</v>
      </c>
      <c r="H35" s="15" t="str">
        <f aca="false">IF(OR($B35="",LEFT($C35,8)="Excluded",NOT(ISNUMBER($E35))),"",$B35&amp;" (P"&amp;RIGHT($C35,1)&amp;")")</f>
        <v/>
      </c>
      <c r="I35" s="19" t="e">
        <f aca="false">IF(OR($H35="",N($F35)&lt;=0,$C35&lt;&gt;"Priority 1"),NA(),$E35)</f>
        <v>#N/A</v>
      </c>
      <c r="J35" s="20" t="e">
        <f aca="false">IF(OR($H35="",N($F35)&lt;=0,$C35&lt;&gt;"Priority 1"),NA(),$F35)</f>
        <v>#N/A</v>
      </c>
      <c r="K35" s="20" t="e">
        <f aca="false">IF(OR($H35="",N($F35)&lt;=0,$C35&lt;&gt;"Priority 1"),NA(),MAX($G35,1))</f>
        <v>#N/A</v>
      </c>
      <c r="L35" s="19" t="e">
        <f aca="false">IF(OR($H35="",N($F35)&lt;=0,$C35&lt;&gt;"Priority 2"),NA(),$E35)</f>
        <v>#N/A</v>
      </c>
      <c r="M35" s="20" t="e">
        <f aca="false">IF(OR($H35="",N($F35)&lt;=0,$C35&lt;&gt;"Priority 2"),NA(),$F35)</f>
        <v>#N/A</v>
      </c>
      <c r="N35" s="20" t="e">
        <f aca="false">IF(OR($H35="",N($F35)&lt;=0,$C35&lt;&gt;"Priority 2"),NA(),MAX($G35,1))</f>
        <v>#N/A</v>
      </c>
      <c r="O35" s="19" t="e">
        <f aca="false">IF(OR($H35="",N($F35)&lt;=0,$C35&lt;&gt;"Priority 3"),NA(),$E35)</f>
        <v>#N/A</v>
      </c>
      <c r="P35" s="20" t="e">
        <f aca="false">IF(OR($H35="",N($F35)&lt;=0,$C35&lt;&gt;"Priority 3"),NA(),$F35)</f>
        <v>#N/A</v>
      </c>
      <c r="Q35" s="20" t="e">
        <f aca="false">IF(OR($H35="",N($F35)&lt;=0,$C35&lt;&gt;"Priority 3"),NA(),MAX($G35,1))</f>
        <v>#N/A</v>
      </c>
    </row>
    <row r="37" customFormat="false" ht="15" hidden="false" customHeight="false" outlineLevel="0" collapsed="false">
      <c r="A37" s="21" t="s">
        <v>34</v>
      </c>
    </row>
  </sheetData>
  <conditionalFormatting sqref="B6:H35">
    <cfRule type="expression" priority="2" aboveAverage="0" equalAverage="0" bottom="0" percent="0" rank="0" text="" dxfId="7">
      <formula>$C6="Priority 1"</formula>
    </cfRule>
    <cfRule type="expression" priority="3" aboveAverage="0" equalAverage="0" bottom="0" percent="0" rank="0" text="" dxfId="8">
      <formula>LEFT($C6,8)="Excluded"</formula>
    </cfRule>
  </conditionalFormatting>
  <dataValidations count="1">
    <dataValidation allowBlank="false" errorStyle="stop" operator="between" showDropDown="false" showErrorMessage="false" showInputMessage="false" sqref="B3" type="list">
      <formula1>"Alembic,Aurobindo,Cipla,Dr. Reddy's,Emcure,Glenmark,Hetero,Intas,Lupin,MSN,Micro Labs,OneSource,Piramal,Strides,Sun Pharma,Torrent,Venus Remedies,Wockhardt,Zydus"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O3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8"/>
    <col collapsed="false" customWidth="true" hidden="false" outlineLevel="0" max="3" min="3" style="0" width="7"/>
    <col collapsed="false" customWidth="true" hidden="false" outlineLevel="0" max="4" min="4" style="0" width="13"/>
    <col collapsed="false" customWidth="true" hidden="false" outlineLevel="0" max="6" min="5" style="0" width="22"/>
    <col collapsed="false" customWidth="true" hidden="false" outlineLevel="0" max="7" min="7" style="0" width="28"/>
    <col collapsed="false" customWidth="true" hidden="false" outlineLevel="0" max="8" min="8" style="0" width="40"/>
    <col collapsed="false" customWidth="true" hidden="false" outlineLevel="0" max="9" min="9" style="0" width="18"/>
    <col collapsed="false" customWidth="true" hidden="false" outlineLevel="0" max="10" min="10" style="0" width="40"/>
    <col collapsed="false" customWidth="true" hidden="false" outlineLevel="0" max="11" min="11" style="0" width="12"/>
    <col collapsed="false" customWidth="true" hidden="false" outlineLevel="0" max="12" min="12" style="0" width="13"/>
    <col collapsed="false" customWidth="true" hidden="false" outlineLevel="0" max="13" min="13" style="0" width="14"/>
    <col collapsed="false" customWidth="true" hidden="false" outlineLevel="0" max="14" min="14" style="0" width="44"/>
    <col collapsed="false" customWidth="true" hidden="false" outlineLevel="0" max="15" min="15" style="0" width="9"/>
  </cols>
  <sheetData>
    <row r="1" customFormat="false" ht="17.35" hidden="false" customHeight="false" outlineLevel="0" collapsed="false">
      <c r="A1" s="1" t="s">
        <v>35</v>
      </c>
    </row>
    <row r="2" customFormat="false" ht="15" hidden="false" customHeight="false" outlineLevel="0" collapsed="false">
      <c r="A2" s="2" t="s">
        <v>36</v>
      </c>
    </row>
    <row r="3" customFormat="false" ht="15" hidden="false" customHeight="false" outlineLevel="0" collapsed="false">
      <c r="A3" s="2" t="s">
        <v>37</v>
      </c>
    </row>
    <row r="4" customFormat="false" ht="45" hidden="false" customHeight="true" outlineLevel="0" collapsed="false">
      <c r="A4" s="3" t="s">
        <v>3</v>
      </c>
      <c r="B4" s="3" t="s">
        <v>4</v>
      </c>
      <c r="C4" s="3" t="s">
        <v>5</v>
      </c>
      <c r="D4" s="3" t="s">
        <v>6</v>
      </c>
      <c r="E4" s="3" t="s">
        <v>7</v>
      </c>
      <c r="F4" s="3" t="s">
        <v>8</v>
      </c>
      <c r="G4" s="3" t="s">
        <v>9</v>
      </c>
      <c r="H4" s="3" t="s">
        <v>10</v>
      </c>
      <c r="I4" s="3" t="s">
        <v>11</v>
      </c>
      <c r="J4" s="3" t="s">
        <v>12</v>
      </c>
      <c r="K4" s="3" t="s">
        <v>13</v>
      </c>
      <c r="L4" s="3" t="s">
        <v>38</v>
      </c>
      <c r="M4" s="3" t="s">
        <v>39</v>
      </c>
      <c r="N4" s="3" t="s">
        <v>16</v>
      </c>
      <c r="O4" s="4" t="s">
        <v>17</v>
      </c>
    </row>
    <row r="5" customFormat="false" ht="28.35" hidden="false" customHeight="false" outlineLevel="0" collapsed="false">
      <c r="A5" s="5" t="n">
        <f aca="false">IF($O5="","",INT($O5/1000))</f>
        <v>1</v>
      </c>
      <c r="B5" s="6" t="str">
        <f aca="false">IF($O5="","",INDEX(Scoring!$A$29:$A$361,MATCH($O5,Scoring!$AS$29:$AS$361,0)))</f>
        <v>Intas</v>
      </c>
      <c r="C5" s="5" t="n">
        <f aca="false">IF($O5="","",IF(INDEX(Scoring!$AM$29:$AM$361,MATCH($O5,Scoring!$AS$29:$AS$361,0))="","–",INDEX(Scoring!$AM$29:$AM$361,MATCH($O5,Scoring!$AS$29:$AS$361,0))))</f>
        <v>1</v>
      </c>
      <c r="D5" s="6" t="str">
        <f aca="false">IF($O5="","",INDEX(Scoring!$AK$29:$AK$361,MATCH($O5,Scoring!$AS$29:$AS$361,0)))</f>
        <v>Priority 1</v>
      </c>
      <c r="E5" s="7" t="str">
        <f aca="false">IF($O5="","",INDEX(Scoring!$AL$29:$AL$361,MATCH($O5,Scoring!$AS$29:$AS$361,0)))</f>
        <v>High price · high volume</v>
      </c>
      <c r="F5" s="6" t="str">
        <f aca="false">IF($O5="","",INDEX(Scoring!$B$29:$B$361,MATCH($O5,Scoring!$AS$29:$AS$361,0)))</f>
        <v>Azacitidine</v>
      </c>
      <c r="G5" s="7" t="str">
        <f aca="false">IF($O5="","",INDEX(Scoring!$AG$29:$AG$361,MATCH($O5,Scoring!$AS$29:$AS$361,0)))</f>
        <v>Azacitidine Accord; Azaccord</v>
      </c>
      <c r="H5" s="7" t="str">
        <f aca="false">IF($O5="","",INDEX(Scoring!$C$29:$C$361,MATCH($O5,Scoring!$AS$29:$AS$361,0)))</f>
        <v>Oncology: myelodysplastic syndromes, acute myeloid leukaemia</v>
      </c>
      <c r="I5" s="6" t="str">
        <f aca="false">IF($O5="","",INDEX(Scoring!$I$29:$I$361,MATCH($O5,Scoring!$AS$29:$AS$361,0)))</f>
        <v>Vial</v>
      </c>
      <c r="J5" s="7" t="str">
        <f aca="false">IF($O5="","",INDEX(Scoring!$Z$29:$Z$361,MATCH($O5,Scoring!$AS$29:$AS$361,0)))</f>
        <v>25 mg/mL vial; 100 mg powder vial</v>
      </c>
      <c r="K5" s="8" t="n">
        <f aca="false">IF($O5="","",IF(INDEX(Scoring!$D$29:$D$361,MATCH($O5,Scoring!$AS$29:$AS$361,0))="",INDEX(Scoring!$AF$29:$AF$361,MATCH($O5,Scoring!$AS$29:$AS$361,0)),INDEX(Scoring!$D$29:$D$361,MATCH($O5,Scoring!$AS$29:$AS$361,0))))</f>
        <v>256.12</v>
      </c>
      <c r="L5" s="9" t="n">
        <f aca="false">IF($O5="","",INDEX(Scoring!$L$29:$L$361,MATCH($O5,Scoring!$AS$29:$AS$361,0)))</f>
        <v>762</v>
      </c>
      <c r="M5" s="9" t="n">
        <f aca="false">IF($O5="","",INDEX(Scoring!$N$29:$N$361,MATCH($O5,Scoring!$AS$29:$AS$361,0)))</f>
        <v>50865.56</v>
      </c>
      <c r="N5" s="7" t="str">
        <f aca="false">IF($O5="","",INDEX(Scoring!$AI$29:$AI$361,MATCH($O5,Scoring!$AS$29:$AS$361,0)))</f>
        <v>UK, Australia | EU/EEA: all 30 countries</v>
      </c>
      <c r="O5" s="10" t="n">
        <f aca="false">IFERROR(SMALL(Scoring!$AS$29:$AS$361,1),"")</f>
        <v>1001</v>
      </c>
    </row>
    <row r="6" customFormat="false" ht="28.35" hidden="false" customHeight="false" outlineLevel="0" collapsed="false">
      <c r="A6" s="5" t="n">
        <f aca="false">IF($O6="","",INT($O6/1000))</f>
        <v>1</v>
      </c>
      <c r="B6" s="6" t="str">
        <f aca="false">IF($O6="","",INDEX(Scoring!$A$29:$A$361,MATCH($O6,Scoring!$AS$29:$AS$361,0)))</f>
        <v>Intas</v>
      </c>
      <c r="C6" s="5" t="n">
        <f aca="false">IF($O6="","",IF(INDEX(Scoring!$AM$29:$AM$361,MATCH($O6,Scoring!$AS$29:$AS$361,0))="","–",INDEX(Scoring!$AM$29:$AM$361,MATCH($O6,Scoring!$AS$29:$AS$361,0))))</f>
        <v>2</v>
      </c>
      <c r="D6" s="6" t="str">
        <f aca="false">IF($O6="","",INDEX(Scoring!$AK$29:$AK$361,MATCH($O6,Scoring!$AS$29:$AS$361,0)))</f>
        <v>Priority 1</v>
      </c>
      <c r="E6" s="7" t="str">
        <f aca="false">IF($O6="","",INDEX(Scoring!$AL$29:$AL$361,MATCH($O6,Scoring!$AS$29:$AS$361,0)))</f>
        <v>High price · high volume</v>
      </c>
      <c r="F6" s="6" t="str">
        <f aca="false">IF($O6="","",INDEX(Scoring!$B$29:$B$361,MATCH($O6,Scoring!$AS$29:$AS$361,0)))</f>
        <v>Phenylephrine</v>
      </c>
      <c r="G6" s="7" t="str">
        <f aca="false">IF($O6="","",INDEX(Scoring!$AG$29:$AG$361,MATCH($O6,Scoring!$AS$29:$AS$361,0)))</f>
        <v>Phenylephrine Accord; Phenylcord</v>
      </c>
      <c r="H6" s="7" t="str">
        <f aca="false">IF($O6="","",INDEX(Scoring!$C$29:$C$361,MATCH($O6,Scoring!$AS$29:$AS$361,0)))</f>
        <v>Anaesthesia: low blood pressure during anaesthesia</v>
      </c>
      <c r="I6" s="6" t="str">
        <f aca="false">IF($O6="","",INDEX(Scoring!$I$29:$I$361,MATCH($O6,Scoring!$AS$29:$AS$361,0)))</f>
        <v>Vial</v>
      </c>
      <c r="J6" s="7" t="str">
        <f aca="false">IF($O6="","",INDEX(Scoring!$Z$29:$Z$361,MATCH($O6,Scoring!$AS$29:$AS$361,0)))</f>
        <v>10 mg/1 mL vial; 100 mg/10 mL vial</v>
      </c>
      <c r="K6" s="8" t="n">
        <f aca="false">IF($O6="","",IF(INDEX(Scoring!$D$29:$D$361,MATCH($O6,Scoring!$AS$29:$AS$361,0))="",INDEX(Scoring!$AF$29:$AF$361,MATCH($O6,Scoring!$AS$29:$AS$361,0)),INDEX(Scoring!$D$29:$D$361,MATCH($O6,Scoring!$AS$29:$AS$361,0))))</f>
        <v>32.6</v>
      </c>
      <c r="L6" s="9" t="n">
        <f aca="false">IF($O6="","",INDEX(Scoring!$L$29:$L$361,MATCH($O6,Scoring!$AS$29:$AS$361,0)))</f>
        <v>1963</v>
      </c>
      <c r="M6" s="9" t="n">
        <f aca="false">IF($O6="","",INDEX(Scoring!$N$29:$N$361,MATCH($O6,Scoring!$AS$29:$AS$361,0)))</f>
        <v>49365.77</v>
      </c>
      <c r="N6" s="7" t="str">
        <f aca="false">IF($O6="","",INDEX(Scoring!$AI$29:$AI$361,MATCH($O6,Scoring!$AS$29:$AS$361,0)))</f>
        <v>Australia, South Africa</v>
      </c>
      <c r="O6" s="10" t="n">
        <f aca="false">IFERROR(SMALL(Scoring!$AS$29:$AS$361,2),"")</f>
        <v>1002</v>
      </c>
    </row>
    <row r="7" customFormat="false" ht="41.75" hidden="false" customHeight="false" outlineLevel="0" collapsed="false">
      <c r="A7" s="5" t="n">
        <f aca="false">IF($O7="","",INT($O7/1000))</f>
        <v>1</v>
      </c>
      <c r="B7" s="6" t="str">
        <f aca="false">IF($O7="","",INDEX(Scoring!$A$29:$A$361,MATCH($O7,Scoring!$AS$29:$AS$361,0)))</f>
        <v>Intas</v>
      </c>
      <c r="C7" s="5" t="n">
        <f aca="false">IF($O7="","",IF(INDEX(Scoring!$AM$29:$AM$361,MATCH($O7,Scoring!$AS$29:$AS$361,0))="","–",INDEX(Scoring!$AM$29:$AM$361,MATCH($O7,Scoring!$AS$29:$AS$361,0))))</f>
        <v>3</v>
      </c>
      <c r="D7" s="6" t="str">
        <f aca="false">IF($O7="","",INDEX(Scoring!$AK$29:$AK$361,MATCH($O7,Scoring!$AS$29:$AS$361,0)))</f>
        <v>Priority 1</v>
      </c>
      <c r="E7" s="7" t="str">
        <f aca="false">IF($O7="","",INDEX(Scoring!$AL$29:$AL$361,MATCH($O7,Scoring!$AS$29:$AS$361,0)))</f>
        <v>High price · high volume</v>
      </c>
      <c r="F7" s="6" t="str">
        <f aca="false">IF($O7="","",INDEX(Scoring!$B$29:$B$361,MATCH($O7,Scoring!$AS$29:$AS$361,0)))</f>
        <v>Bortezomib</v>
      </c>
      <c r="G7" s="7" t="str">
        <f aca="false">IF($O7="","",INDEX(Scoring!$AG$29:$AG$361,MATCH($O7,Scoring!$AS$29:$AS$361,0)))</f>
        <v>Bortezomib; Bortezomib Accord; Bortezomib Intas (+1 more)</v>
      </c>
      <c r="H7" s="7" t="str">
        <f aca="false">IF($O7="","",INDEX(Scoring!$C$29:$C$361,MATCH($O7,Scoring!$AS$29:$AS$361,0)))</f>
        <v>Oncology: multiple myeloma, mantle cell lymphoma</v>
      </c>
      <c r="I7" s="6" t="str">
        <f aca="false">IF($O7="","",INDEX(Scoring!$I$29:$I$361,MATCH($O7,Scoring!$AS$29:$AS$361,0)))</f>
        <v>Vial, Prefilled syringe</v>
      </c>
      <c r="J7" s="7" t="str">
        <f aca="false">IF($O7="","",INDEX(Scoring!$Z$29:$Z$361,MATCH($O7,Scoring!$AS$29:$AS$361,0)))</f>
        <v>2 mg pre-filled syringe; 3.5 mg/1.4 mL vial; 2.5 mg/1 mL vial; 1 mg powder vial (+2 more)</v>
      </c>
      <c r="K7" s="8" t="n">
        <f aca="false">IF($O7="","",IF(INDEX(Scoring!$D$29:$D$361,MATCH($O7,Scoring!$AS$29:$AS$361,0))="",INDEX(Scoring!$AF$29:$AF$361,MATCH($O7,Scoring!$AS$29:$AS$361,0)),INDEX(Scoring!$D$29:$D$361,MATCH($O7,Scoring!$AS$29:$AS$361,0))))</f>
        <v>569.27</v>
      </c>
      <c r="L7" s="9" t="n">
        <f aca="false">IF($O7="","",INDEX(Scoring!$L$29:$L$361,MATCH($O7,Scoring!$AS$29:$AS$361,0)))</f>
        <v>905</v>
      </c>
      <c r="M7" s="9" t="n">
        <f aca="false">IF($O7="","",INDEX(Scoring!$N$29:$N$361,MATCH($O7,Scoring!$AS$29:$AS$361,0)))</f>
        <v>28093.38</v>
      </c>
      <c r="N7" s="7" t="str">
        <f aca="false">IF($O7="","",INDEX(Scoring!$AI$29:$AI$361,MATCH($O7,Scoring!$AS$29:$AS$361,0)))</f>
        <v>UK, Australia, South Africa, UK-NI | EU/EEA: all 30 countries</v>
      </c>
      <c r="O7" s="10" t="n">
        <f aca="false">IFERROR(SMALL(Scoring!$AS$29:$AS$361,3),"")</f>
        <v>1003</v>
      </c>
    </row>
    <row r="8" customFormat="false" ht="41.75" hidden="false" customHeight="false" outlineLevel="0" collapsed="false">
      <c r="A8" s="5" t="n">
        <f aca="false">IF($O8="","",INT($O8/1000))</f>
        <v>1</v>
      </c>
      <c r="B8" s="6" t="str">
        <f aca="false">IF($O8="","",INDEX(Scoring!$A$29:$A$361,MATCH($O8,Scoring!$AS$29:$AS$361,0)))</f>
        <v>Intas</v>
      </c>
      <c r="C8" s="5" t="n">
        <f aca="false">IF($O8="","",IF(INDEX(Scoring!$AM$29:$AM$361,MATCH($O8,Scoring!$AS$29:$AS$361,0))="","–",INDEX(Scoring!$AM$29:$AM$361,MATCH($O8,Scoring!$AS$29:$AS$361,0))))</f>
        <v>4</v>
      </c>
      <c r="D8" s="6" t="str">
        <f aca="false">IF($O8="","",INDEX(Scoring!$AK$29:$AK$361,MATCH($O8,Scoring!$AS$29:$AS$361,0)))</f>
        <v>Priority 1</v>
      </c>
      <c r="E8" s="7" t="str">
        <f aca="false">IF($O8="","",INDEX(Scoring!$AL$29:$AL$361,MATCH($O8,Scoring!$AS$29:$AS$361,0)))</f>
        <v>High price · high volume</v>
      </c>
      <c r="F8" s="6" t="str">
        <f aca="false">IF($O8="","",INDEX(Scoring!$B$29:$B$361,MATCH($O8,Scoring!$AS$29:$AS$361,0)))</f>
        <v>Methotrexate</v>
      </c>
      <c r="G8" s="7" t="str">
        <f aca="false">IF($O8="","",INDEX(Scoring!$AG$29:$AG$361,MATCH($O8,Scoring!$AS$29:$AS$361,0)))</f>
        <v>Methotrexate; Methotrexate Subcutaneous; Methotrexate Intas</v>
      </c>
      <c r="H8" s="7" t="str">
        <f aca="false">IF($O8="","",INDEX(Scoring!$C$29:$C$361,MATCH($O8,Scoring!$AS$29:$AS$361,0)))</f>
        <v>Oncology and immunology: leukaemia, lymphoma, bone cancer, rheumatoid arthritis, psoriasis</v>
      </c>
      <c r="I8" s="6" t="str">
        <f aca="false">IF($O8="","",INDEX(Scoring!$I$29:$I$361,MATCH($O8,Scoring!$AS$29:$AS$361,0)))</f>
        <v>Vial, Prefilled syringe</v>
      </c>
      <c r="J8" s="7" t="str">
        <f aca="false">IF($O8="","",INDEX(Scoring!$Z$29:$Z$361,MATCH($O8,Scoring!$AS$29:$AS$361,0)))</f>
        <v>50 mg/2 mL vial; 500 mg/20 mL vial; 1000 mg/40 mL vial; 10 mg/0.2 mL pre-filled syringe (+2 more)</v>
      </c>
      <c r="K8" s="8" t="n">
        <f aca="false">IF($O8="","",IF(INDEX(Scoring!$D$29:$D$361,MATCH($O8,Scoring!$AS$29:$AS$361,0))="",INDEX(Scoring!$AF$29:$AF$361,MATCH($O8,Scoring!$AS$29:$AS$361,0)),INDEX(Scoring!$D$29:$D$361,MATCH($O8,Scoring!$AS$29:$AS$361,0))))</f>
        <v>50.77</v>
      </c>
      <c r="L8" s="9" t="n">
        <f aca="false">IF($O8="","",INDEX(Scoring!$L$29:$L$361,MATCH($O8,Scoring!$AS$29:$AS$361,0)))</f>
        <v>1282</v>
      </c>
      <c r="M8" s="9" t="n">
        <f aca="false">IF($O8="","",INDEX(Scoring!$N$29:$N$361,MATCH($O8,Scoring!$AS$29:$AS$361,0)))</f>
        <v>16792.84</v>
      </c>
      <c r="N8" s="7" t="str">
        <f aca="false">IF($O8="","",INDEX(Scoring!$AI$29:$AI$361,MATCH($O8,Scoring!$AS$29:$AS$361,0)))</f>
        <v>UK, Canada, Australia, UK-NI | EU/EEA (25): Germany, France, Netherlands, Belgium + 21 more</v>
      </c>
      <c r="O8" s="10" t="n">
        <f aca="false">IFERROR(SMALL(Scoring!$AS$29:$AS$361,4),"")</f>
        <v>1004</v>
      </c>
    </row>
    <row r="9" customFormat="false" ht="15" hidden="false" customHeight="false" outlineLevel="0" collapsed="false">
      <c r="A9" s="5" t="n">
        <f aca="false">IF($O9="","",INT($O9/1000))</f>
        <v>1</v>
      </c>
      <c r="B9" s="6" t="str">
        <f aca="false">IF($O9="","",INDEX(Scoring!$A$29:$A$361,MATCH($O9,Scoring!$AS$29:$AS$361,0)))</f>
        <v>Intas</v>
      </c>
      <c r="C9" s="5" t="n">
        <f aca="false">IF($O9="","",IF(INDEX(Scoring!$AM$29:$AM$361,MATCH($O9,Scoring!$AS$29:$AS$361,0))="","–",INDEX(Scoring!$AM$29:$AM$361,MATCH($O9,Scoring!$AS$29:$AS$361,0))))</f>
        <v>5</v>
      </c>
      <c r="D9" s="6" t="str">
        <f aca="false">IF($O9="","",INDEX(Scoring!$AK$29:$AK$361,MATCH($O9,Scoring!$AS$29:$AS$361,0)))</f>
        <v>Priority 1</v>
      </c>
      <c r="E9" s="7" t="str">
        <f aca="false">IF($O9="","",INDEX(Scoring!$AL$29:$AL$361,MATCH($O9,Scoring!$AS$29:$AS$361,0)))</f>
        <v>High price · high volume</v>
      </c>
      <c r="F9" s="6" t="str">
        <f aca="false">IF($O9="","",INDEX(Scoring!$B$29:$B$361,MATCH($O9,Scoring!$AS$29:$AS$361,0)))</f>
        <v>Epinephrine (Adrenaline)</v>
      </c>
      <c r="G9" s="7" t="str">
        <f aca="false">IF($O9="","",INDEX(Scoring!$AG$29:$AG$361,MATCH($O9,Scoring!$AS$29:$AS$361,0)))</f>
        <v>Adrenaline Accord</v>
      </c>
      <c r="H9" s="7" t="str">
        <f aca="false">IF($O9="","",INDEX(Scoring!$C$29:$C$361,MATCH($O9,Scoring!$AS$29:$AS$361,0)))</f>
        <v>Critical care: anaphylaxis, cardiac arrest, shock</v>
      </c>
      <c r="I9" s="6" t="str">
        <f aca="false">IF($O9="","",INDEX(Scoring!$I$29:$I$361,MATCH($O9,Scoring!$AS$29:$AS$361,0)))</f>
        <v>Prefilled syringe</v>
      </c>
      <c r="J9" s="7" t="str">
        <f aca="false">IF($O9="","",INDEX(Scoring!$Z$29:$Z$361,MATCH($O9,Scoring!$AS$29:$AS$361,0)))</f>
        <v>1 mg/10 mL pre-filled syringe</v>
      </c>
      <c r="K9" s="8" t="n">
        <f aca="false">IF($O9="","",IF(INDEX(Scoring!$D$29:$D$361,MATCH($O9,Scoring!$AS$29:$AS$361,0))="",INDEX(Scoring!$AF$29:$AF$361,MATCH($O9,Scoring!$AS$29:$AS$361,0)),INDEX(Scoring!$D$29:$D$361,MATCH($O9,Scoring!$AS$29:$AS$361,0))))</f>
        <v>28.67</v>
      </c>
      <c r="L9" s="9" t="n">
        <f aca="false">IF($O9="","",INDEX(Scoring!$L$29:$L$361,MATCH($O9,Scoring!$AS$29:$AS$361,0)))</f>
        <v>912</v>
      </c>
      <c r="M9" s="9" t="n">
        <f aca="false">IF($O9="","",INDEX(Scoring!$N$29:$N$361,MATCH($O9,Scoring!$AS$29:$AS$361,0)))</f>
        <v>4620.39</v>
      </c>
      <c r="N9" s="7" t="str">
        <f aca="false">IF($O9="","",INDEX(Scoring!$AI$29:$AI$361,MATCH($O9,Scoring!$AS$29:$AS$361,0)))</f>
        <v>EU/EEA (3): France, Netherlands, Portugal</v>
      </c>
      <c r="O9" s="10" t="n">
        <f aca="false">IFERROR(SMALL(Scoring!$AS$29:$AS$361,5),"")</f>
        <v>1005</v>
      </c>
    </row>
    <row r="10" customFormat="false" ht="28.35" hidden="false" customHeight="false" outlineLevel="0" collapsed="false">
      <c r="A10" s="5" t="n">
        <f aca="false">IF($O10="","",INT($O10/1000))</f>
        <v>1</v>
      </c>
      <c r="B10" s="6" t="str">
        <f aca="false">IF($O10="","",INDEX(Scoring!$A$29:$A$361,MATCH($O10,Scoring!$AS$29:$AS$361,0)))</f>
        <v>Intas</v>
      </c>
      <c r="C10" s="5" t="n">
        <f aca="false">IF($O10="","",IF(INDEX(Scoring!$AM$29:$AM$361,MATCH($O10,Scoring!$AS$29:$AS$361,0))="","–",INDEX(Scoring!$AM$29:$AM$361,MATCH($O10,Scoring!$AS$29:$AS$361,0))))</f>
        <v>6</v>
      </c>
      <c r="D10" s="6" t="str">
        <f aca="false">IF($O10="","",INDEX(Scoring!$AK$29:$AK$361,MATCH($O10,Scoring!$AS$29:$AS$361,0)))</f>
        <v>Priority 1</v>
      </c>
      <c r="E10" s="7" t="str">
        <f aca="false">IF($O10="","",INDEX(Scoring!$AL$29:$AL$361,MATCH($O10,Scoring!$AS$29:$AS$361,0)))</f>
        <v>High price · high volume</v>
      </c>
      <c r="F10" s="6" t="str">
        <f aca="false">IF($O10="","",INDEX(Scoring!$B$29:$B$361,MATCH($O10,Scoring!$AS$29:$AS$361,0)))</f>
        <v>Bleomycin</v>
      </c>
      <c r="G10" s="7" t="str">
        <f aca="false">IF($O10="","",INDEX(Scoring!$AG$29:$AG$361,MATCH($O10,Scoring!$AS$29:$AS$361,0)))</f>
        <v>Bleomycin; Bleomicina Accord; Bleomycin Accord</v>
      </c>
      <c r="H10" s="7" t="str">
        <f aca="false">IF($O10="","",INDEX(Scoring!$C$29:$C$361,MATCH($O10,Scoring!$AS$29:$AS$361,0)))</f>
        <v>Oncology: Hodgkin lymphoma, testicular and squamous cell cancers</v>
      </c>
      <c r="I10" s="6" t="str">
        <f aca="false">IF($O10="","",INDEX(Scoring!$I$29:$I$361,MATCH($O10,Scoring!$AS$29:$AS$361,0)))</f>
        <v>Vial</v>
      </c>
      <c r="J10" s="7" t="str">
        <f aca="false">IF($O10="","",INDEX(Scoring!$Z$29:$Z$361,MATCH($O10,Scoring!$AS$29:$AS$361,0)))</f>
        <v>15000 IU powder vial</v>
      </c>
      <c r="K10" s="8" t="n">
        <f aca="false">IF($O10="","",IF(INDEX(Scoring!$D$29:$D$361,MATCH($O10,Scoring!$AS$29:$AS$361,0))="",INDEX(Scoring!$AF$29:$AF$361,MATCH($O10,Scoring!$AS$29:$AS$361,0)),INDEX(Scoring!$D$29:$D$361,MATCH($O10,Scoring!$AS$29:$AS$361,0))))</f>
        <v>50.27</v>
      </c>
      <c r="L10" s="9" t="n">
        <f aca="false">IF($O10="","",INDEX(Scoring!$L$29:$L$361,MATCH($O10,Scoring!$AS$29:$AS$361,0)))</f>
        <v>441</v>
      </c>
      <c r="M10" s="9" t="n">
        <f aca="false">IF($O10="","",INDEX(Scoring!$N$29:$N$361,MATCH($O10,Scoring!$AS$29:$AS$361,0)))</f>
        <v>3973.65</v>
      </c>
      <c r="N10" s="7" t="str">
        <f aca="false">IF($O10="","",INDEX(Scoring!$AI$29:$AI$361,MATCH($O10,Scoring!$AS$29:$AS$361,0)))</f>
        <v>UK, Australia, UK-NI | EU/EEA (14): Germany, France, Netherlands, Belgium + 10 more</v>
      </c>
      <c r="O10" s="10" t="n">
        <f aca="false">IFERROR(SMALL(Scoring!$AS$29:$AS$361,6),"")</f>
        <v>1006</v>
      </c>
    </row>
    <row r="11" customFormat="false" ht="28.35" hidden="false" customHeight="false" outlineLevel="0" collapsed="false">
      <c r="A11" s="5" t="n">
        <f aca="false">IF($O11="","",INT($O11/1000))</f>
        <v>1</v>
      </c>
      <c r="B11" s="6" t="str">
        <f aca="false">IF($O11="","",INDEX(Scoring!$A$29:$A$361,MATCH($O11,Scoring!$AS$29:$AS$361,0)))</f>
        <v>Intas</v>
      </c>
      <c r="C11" s="5" t="n">
        <f aca="false">IF($O11="","",IF(INDEX(Scoring!$AM$29:$AM$361,MATCH($O11,Scoring!$AS$29:$AS$361,0))="","–",INDEX(Scoring!$AM$29:$AM$361,MATCH($O11,Scoring!$AS$29:$AS$361,0))))</f>
        <v>7</v>
      </c>
      <c r="D11" s="6" t="str">
        <f aca="false">IF($O11="","",INDEX(Scoring!$AK$29:$AK$361,MATCH($O11,Scoring!$AS$29:$AS$361,0)))</f>
        <v>Priority 1</v>
      </c>
      <c r="E11" s="7" t="str">
        <f aca="false">IF($O11="","",INDEX(Scoring!$AL$29:$AL$361,MATCH($O11,Scoring!$AS$29:$AS$361,0)))</f>
        <v>High price · high volume</v>
      </c>
      <c r="F11" s="6" t="str">
        <f aca="false">IF($O11="","",INDEX(Scoring!$B$29:$B$361,MATCH($O11,Scoring!$AS$29:$AS$361,0)))</f>
        <v>Denosumab</v>
      </c>
      <c r="G11" s="7" t="str">
        <f aca="false">IF($O11="","",INDEX(Scoring!$AG$29:$AG$361,MATCH($O11,Scoring!$AS$29:$AS$361,0)))</f>
        <v>Jubereq; Dostiva</v>
      </c>
      <c r="H11" s="7" t="str">
        <f aca="false">IF($O11="","",INDEX(Scoring!$C$29:$C$361,MATCH($O11,Scoring!$AS$29:$AS$361,0)))</f>
        <v>Bone health and oncology: bone metastases, osteoporosis</v>
      </c>
      <c r="I11" s="6" t="str">
        <f aca="false">IF($O11="","",INDEX(Scoring!$I$29:$I$361,MATCH($O11,Scoring!$AS$29:$AS$361,0)))</f>
        <v>Vial</v>
      </c>
      <c r="J11" s="7" t="str">
        <f aca="false">IF($O11="","",INDEX(Scoring!$Z$29:$Z$361,MATCH($O11,Scoring!$AS$29:$AS$361,0)))</f>
        <v>120 mg/1.7 mL vial</v>
      </c>
      <c r="K11" s="8" t="n">
        <f aca="false">IF($O11="","",IF(INDEX(Scoring!$D$29:$D$361,MATCH($O11,Scoring!$AS$29:$AS$361,0))="",INDEX(Scoring!$AF$29:$AF$361,MATCH($O11,Scoring!$AS$29:$AS$361,0)),INDEX(Scoring!$D$29:$D$361,MATCH($O11,Scoring!$AS$29:$AS$361,0))))</f>
        <v>162.77</v>
      </c>
      <c r="L11" s="9" t="n">
        <f aca="false">IF($O11="","",INDEX(Scoring!$L$29:$L$361,MATCH($O11,Scoring!$AS$29:$AS$361,0)))</f>
        <v>314</v>
      </c>
      <c r="M11" s="9" t="n">
        <f aca="false">IF($O11="","",INDEX(Scoring!$N$29:$N$361,MATCH($O11,Scoring!$AS$29:$AS$361,0)))</f>
        <v>3429.51</v>
      </c>
      <c r="N11" s="7" t="str">
        <f aca="false">IF($O11="","",INDEX(Scoring!$AI$29:$AI$361,MATCH($O11,Scoring!$AS$29:$AS$361,0)))</f>
        <v>UK, Australia | EU/EEA: all 30 countries</v>
      </c>
      <c r="O11" s="10" t="n">
        <f aca="false">IFERROR(SMALL(Scoring!$AS$29:$AS$361,7),"")</f>
        <v>1007</v>
      </c>
    </row>
    <row r="12" customFormat="false" ht="28.35" hidden="false" customHeight="false" outlineLevel="0" collapsed="false">
      <c r="A12" s="5" t="n">
        <f aca="false">IF($O12="","",INT($O12/1000))</f>
        <v>1</v>
      </c>
      <c r="B12" s="6" t="str">
        <f aca="false">IF($O12="","",INDEX(Scoring!$A$29:$A$361,MATCH($O12,Scoring!$AS$29:$AS$361,0)))</f>
        <v>Intas</v>
      </c>
      <c r="C12" s="5" t="n">
        <f aca="false">IF($O12="","",IF(INDEX(Scoring!$AM$29:$AM$361,MATCH($O12,Scoring!$AS$29:$AS$361,0))="","–",INDEX(Scoring!$AM$29:$AM$361,MATCH($O12,Scoring!$AS$29:$AS$361,0))))</f>
        <v>8</v>
      </c>
      <c r="D12" s="6" t="str">
        <f aca="false">IF($O12="","",INDEX(Scoring!$AK$29:$AK$361,MATCH($O12,Scoring!$AS$29:$AS$361,0)))</f>
        <v>Priority 2</v>
      </c>
      <c r="E12" s="7" t="str">
        <f aca="false">IF($O12="","",INDEX(Scoring!$AL$29:$AL$361,MATCH($O12,Scoring!$AS$29:$AS$361,0)))</f>
        <v>Lower price · high volume</v>
      </c>
      <c r="F12" s="6" t="str">
        <f aca="false">IF($O12="","",INDEX(Scoring!$B$29:$B$361,MATCH($O12,Scoring!$AS$29:$AS$361,0)))</f>
        <v>Ceftriaxone</v>
      </c>
      <c r="G12" s="7" t="str">
        <f aca="false">IF($O12="","",INDEX(Scoring!$AG$29:$AG$361,MATCH($O12,Scoring!$AS$29:$AS$361,0)))</f>
        <v>Ceftriaxone Accord</v>
      </c>
      <c r="H12" s="7" t="str">
        <f aca="false">IF($O12="","",INDEX(Scoring!$C$29:$C$361,MATCH($O12,Scoring!$AS$29:$AS$361,0)))</f>
        <v>Anti-infective: pneumonia, meningitis, sepsis, gonorrhoea, typhoid</v>
      </c>
      <c r="I12" s="6" t="str">
        <f aca="false">IF($O12="","",INDEX(Scoring!$I$29:$I$361,MATCH($O12,Scoring!$AS$29:$AS$361,0)))</f>
        <v>Not stated</v>
      </c>
      <c r="J12" s="7" t="str">
        <f aca="false">IF($O12="","",INDEX(Scoring!$Z$29:$Z$361,MATCH($O12,Scoring!$AS$29:$AS$361,0)))</f>
        <v>1 g (container not stated)</v>
      </c>
      <c r="K12" s="8" t="n">
        <f aca="false">IF($O12="","",IF(INDEX(Scoring!$D$29:$D$361,MATCH($O12,Scoring!$AS$29:$AS$361,0))="",INDEX(Scoring!$AF$29:$AF$361,MATCH($O12,Scoring!$AS$29:$AS$361,0)),INDEX(Scoring!$D$29:$D$361,MATCH($O12,Scoring!$AS$29:$AS$361,0))))</f>
        <v>5.6</v>
      </c>
      <c r="L12" s="9" t="n">
        <f aca="false">IF($O12="","",INDEX(Scoring!$L$29:$L$361,MATCH($O12,Scoring!$AS$29:$AS$361,0)))</f>
        <v>3110</v>
      </c>
      <c r="M12" s="9" t="n">
        <f aca="false">IF($O12="","",INDEX(Scoring!$N$29:$N$361,MATCH($O12,Scoring!$AS$29:$AS$361,0)))</f>
        <v>93119.22</v>
      </c>
      <c r="N12" s="7" t="str">
        <f aca="false">IF($O12="","",INDEX(Scoring!$AI$29:$AI$361,MATCH($O12,Scoring!$AS$29:$AS$361,0)))</f>
        <v>EU/EEA (1): Italy</v>
      </c>
      <c r="O12" s="10" t="n">
        <f aca="false">IFERROR(SMALL(Scoring!$AS$29:$AS$361,8),"")</f>
        <v>1008</v>
      </c>
    </row>
    <row r="13" customFormat="false" ht="41.75" hidden="false" customHeight="false" outlineLevel="0" collapsed="false">
      <c r="A13" s="5" t="n">
        <f aca="false">IF($O13="","",INT($O13/1000))</f>
        <v>1</v>
      </c>
      <c r="B13" s="6" t="str">
        <f aca="false">IF($O13="","",INDEX(Scoring!$A$29:$A$361,MATCH($O13,Scoring!$AS$29:$AS$361,0)))</f>
        <v>Intas</v>
      </c>
      <c r="C13" s="5" t="n">
        <f aca="false">IF($O13="","",IF(INDEX(Scoring!$AM$29:$AM$361,MATCH($O13,Scoring!$AS$29:$AS$361,0))="","–",INDEX(Scoring!$AM$29:$AM$361,MATCH($O13,Scoring!$AS$29:$AS$361,0))))</f>
        <v>9</v>
      </c>
      <c r="D13" s="6" t="str">
        <f aca="false">IF($O13="","",INDEX(Scoring!$AK$29:$AK$361,MATCH($O13,Scoring!$AS$29:$AS$361,0)))</f>
        <v>Priority 2</v>
      </c>
      <c r="E13" s="7" t="str">
        <f aca="false">IF($O13="","",INDEX(Scoring!$AL$29:$AL$361,MATCH($O13,Scoring!$AS$29:$AS$361,0)))</f>
        <v>Lower price · high volume</v>
      </c>
      <c r="F13" s="6" t="str">
        <f aca="false">IF($O13="","",INDEX(Scoring!$B$29:$B$361,MATCH($O13,Scoring!$AS$29:$AS$361,0)))</f>
        <v>Ondansetron</v>
      </c>
      <c r="G13" s="7" t="str">
        <f aca="false">IF($O13="","",INDEX(Scoring!$AG$29:$AG$361,MATCH($O13,Scoring!$AS$29:$AS$361,0)))</f>
        <v>Ondansetron Hydrochloride; Ondansetron; Ondansetron Accord</v>
      </c>
      <c r="H13" s="7" t="str">
        <f aca="false">IF($O13="","",INDEX(Scoring!$C$29:$C$361,MATCH($O13,Scoring!$AS$29:$AS$361,0)))</f>
        <v>Oncology support: nausea and vomiting from chemotherapy and surgery</v>
      </c>
      <c r="I13" s="6" t="str">
        <f aca="false">IF($O13="","",INDEX(Scoring!$I$29:$I$361,MATCH($O13,Scoring!$AS$29:$AS$361,0)))</f>
        <v>Vial, Ampoule, Prefilled syringe</v>
      </c>
      <c r="J13" s="7" t="str">
        <f aca="false">IF($O13="","",INDEX(Scoring!$Z$29:$Z$361,MATCH($O13,Scoring!$AS$29:$AS$361,0)))</f>
        <v>40 mg/20 mL vial; 8 mg/4 mL pre-filled syringe; 4 mg/2 mL ampoule; 4 mg/2 mL pre-filled syringe</v>
      </c>
      <c r="K13" s="8" t="n">
        <f aca="false">IF($O13="","",IF(INDEX(Scoring!$D$29:$D$361,MATCH($O13,Scoring!$AS$29:$AS$361,0))="",INDEX(Scoring!$AF$29:$AF$361,MATCH($O13,Scoring!$AS$29:$AS$361,0)),INDEX(Scoring!$D$29:$D$361,MATCH($O13,Scoring!$AS$29:$AS$361,0))))</f>
        <v>24.05</v>
      </c>
      <c r="L13" s="9" t="n">
        <f aca="false">IF($O13="","",INDEX(Scoring!$L$29:$L$361,MATCH($O13,Scoring!$AS$29:$AS$361,0)))</f>
        <v>2546</v>
      </c>
      <c r="M13" s="9" t="n">
        <f aca="false">IF($O13="","",INDEX(Scoring!$N$29:$N$361,MATCH($O13,Scoring!$AS$29:$AS$361,0)))</f>
        <v>46507.62</v>
      </c>
      <c r="N13" s="7" t="str">
        <f aca="false">IF($O13="","",INDEX(Scoring!$AI$29:$AI$361,MATCH($O13,Scoring!$AS$29:$AS$361,0)))</f>
        <v>US, UK, Australia, UK-NI | EU/EEA (23): Germany, France, Netherlands, Belgium + 19 more</v>
      </c>
      <c r="O13" s="10" t="n">
        <f aca="false">IFERROR(SMALL(Scoring!$AS$29:$AS$361,9),"")</f>
        <v>1009</v>
      </c>
    </row>
    <row r="14" customFormat="false" ht="28.35" hidden="false" customHeight="false" outlineLevel="0" collapsed="false">
      <c r="A14" s="5" t="n">
        <f aca="false">IF($O14="","",INT($O14/1000))</f>
        <v>1</v>
      </c>
      <c r="B14" s="6" t="str">
        <f aca="false">IF($O14="","",INDEX(Scoring!$A$29:$A$361,MATCH($O14,Scoring!$AS$29:$AS$361,0)))</f>
        <v>Intas</v>
      </c>
      <c r="C14" s="5" t="n">
        <f aca="false">IF($O14="","",IF(INDEX(Scoring!$AM$29:$AM$361,MATCH($O14,Scoring!$AS$29:$AS$361,0))="","–",INDEX(Scoring!$AM$29:$AM$361,MATCH($O14,Scoring!$AS$29:$AS$361,0))))</f>
        <v>10</v>
      </c>
      <c r="D14" s="6" t="str">
        <f aca="false">IF($O14="","",INDEX(Scoring!$AK$29:$AK$361,MATCH($O14,Scoring!$AS$29:$AS$361,0)))</f>
        <v>Priority 2</v>
      </c>
      <c r="E14" s="7" t="str">
        <f aca="false">IF($O14="","",INDEX(Scoring!$AL$29:$AL$361,MATCH($O14,Scoring!$AS$29:$AS$361,0)))</f>
        <v>High price · lower volume</v>
      </c>
      <c r="F14" s="6" t="str">
        <f aca="false">IF($O14="","",INDEX(Scoring!$B$29:$B$361,MATCH($O14,Scoring!$AS$29:$AS$361,0)))</f>
        <v>Pegfilgrastim</v>
      </c>
      <c r="G14" s="7" t="str">
        <f aca="false">IF($O14="","",INDEX(Scoring!$AG$29:$AG$361,MATCH($O14,Scoring!$AS$29:$AS$361,0)))</f>
        <v>Pelgraz</v>
      </c>
      <c r="H14" s="7" t="str">
        <f aca="false">IF($O14="","",INDEX(Scoring!$C$29:$C$361,MATCH($O14,Scoring!$AS$29:$AS$361,0)))</f>
        <v>Oncology support: prevents low white cell counts after chemotherapy</v>
      </c>
      <c r="I14" s="6" t="str">
        <f aca="false">IF($O14="","",INDEX(Scoring!$I$29:$I$361,MATCH($O14,Scoring!$AS$29:$AS$361,0)))</f>
        <v>Prefilled syringe</v>
      </c>
      <c r="J14" s="7" t="str">
        <f aca="false">IF($O14="","",INDEX(Scoring!$Z$29:$Z$361,MATCH($O14,Scoring!$AS$29:$AS$361,0)))</f>
        <v>6 mg/0.6 mL pre-filled syringe</v>
      </c>
      <c r="K14" s="8" t="n">
        <f aca="false">IF($O14="","",IF(INDEX(Scoring!$D$29:$D$361,MATCH($O14,Scoring!$AS$29:$AS$361,0))="",INDEX(Scoring!$AF$29:$AF$361,MATCH($O14,Scoring!$AS$29:$AS$361,0)),INDEX(Scoring!$D$29:$D$361,MATCH($O14,Scoring!$AS$29:$AS$361,0))))</f>
        <v>907.38</v>
      </c>
      <c r="L14" s="9" t="n">
        <f aca="false">IF($O14="","",INDEX(Scoring!$L$29:$L$361,MATCH($O14,Scoring!$AS$29:$AS$361,0)))</f>
        <v>157</v>
      </c>
      <c r="M14" s="9" t="n">
        <f aca="false">IF($O14="","",INDEX(Scoring!$N$29:$N$361,MATCH($O14,Scoring!$AS$29:$AS$361,0)))</f>
        <v>22355.46</v>
      </c>
      <c r="N14" s="7" t="str">
        <f aca="false">IF($O14="","",INDEX(Scoring!$AI$29:$AI$361,MATCH($O14,Scoring!$AS$29:$AS$361,0)))</f>
        <v>UK | EU/EEA: all 30 countries</v>
      </c>
      <c r="O14" s="10" t="n">
        <f aca="false">IFERROR(SMALL(Scoring!$AS$29:$AS$361,10),"")</f>
        <v>1010</v>
      </c>
    </row>
    <row r="15" customFormat="false" ht="28.35" hidden="false" customHeight="false" outlineLevel="0" collapsed="false">
      <c r="A15" s="5" t="n">
        <f aca="false">IF($O15="","",INT($O15/1000))</f>
        <v>1</v>
      </c>
      <c r="B15" s="6" t="str">
        <f aca="false">IF($O15="","",INDEX(Scoring!$A$29:$A$361,MATCH($O15,Scoring!$AS$29:$AS$361,0)))</f>
        <v>Intas</v>
      </c>
      <c r="C15" s="5" t="n">
        <f aca="false">IF($O15="","",IF(INDEX(Scoring!$AM$29:$AM$361,MATCH($O15,Scoring!$AS$29:$AS$361,0))="","–",INDEX(Scoring!$AM$29:$AM$361,MATCH($O15,Scoring!$AS$29:$AS$361,0))))</f>
        <v>11</v>
      </c>
      <c r="D15" s="6" t="str">
        <f aca="false">IF($O15="","",INDEX(Scoring!$AK$29:$AK$361,MATCH($O15,Scoring!$AS$29:$AS$361,0)))</f>
        <v>Priority 2</v>
      </c>
      <c r="E15" s="7" t="str">
        <f aca="false">IF($O15="","",INDEX(Scoring!$AL$29:$AL$361,MATCH($O15,Scoring!$AS$29:$AS$361,0)))</f>
        <v>Lower price · high volume</v>
      </c>
      <c r="F15" s="6" t="str">
        <f aca="false">IF($O15="","",INDEX(Scoring!$B$29:$B$361,MATCH($O15,Scoring!$AS$29:$AS$361,0)))</f>
        <v>Progesterone</v>
      </c>
      <c r="G15" s="7" t="str">
        <f aca="false">IF($O15="","",INDEX(Scoring!$AG$29:$AG$361,MATCH($O15,Scoring!$AS$29:$AS$361,0)))</f>
        <v>Progesterone</v>
      </c>
      <c r="H15" s="7" t="str">
        <f aca="false">IF($O15="","",INDEX(Scoring!$C$29:$C$361,MATCH($O15,Scoring!$AS$29:$AS$361,0)))</f>
        <v>Women's health: IVF support, absent periods, abnormal uterine bleeding</v>
      </c>
      <c r="I15" s="6" t="str">
        <f aca="false">IF($O15="","",INDEX(Scoring!$I$29:$I$361,MATCH($O15,Scoring!$AS$29:$AS$361,0)))</f>
        <v>Not stated</v>
      </c>
      <c r="J15" s="7" t="str">
        <f aca="false">IF($O15="","",INDEX(Scoring!$Z$29:$Z$361,MATCH($O15,Scoring!$AS$29:$AS$361,0)))</f>
        <v>50 mg/mL (container not stated)</v>
      </c>
      <c r="K15" s="8" t="n">
        <f aca="false">IF($O15="","",IF(INDEX(Scoring!$D$29:$D$361,MATCH($O15,Scoring!$AS$29:$AS$361,0))="",INDEX(Scoring!$AF$29:$AF$361,MATCH($O15,Scoring!$AS$29:$AS$361,0)),INDEX(Scoring!$D$29:$D$361,MATCH($O15,Scoring!$AS$29:$AS$361,0))))</f>
        <v>6.23</v>
      </c>
      <c r="L15" s="9" t="n">
        <f aca="false">IF($O15="","",INDEX(Scoring!$L$29:$L$361,MATCH($O15,Scoring!$AS$29:$AS$361,0)))</f>
        <v>736</v>
      </c>
      <c r="M15" s="9" t="n">
        <f aca="false">IF($O15="","",INDEX(Scoring!$N$29:$N$361,MATCH($O15,Scoring!$AS$29:$AS$361,0)))</f>
        <v>22018.81</v>
      </c>
      <c r="N15" s="7" t="str">
        <f aca="false">IF($O15="","",INDEX(Scoring!$AI$29:$AI$361,MATCH($O15,Scoring!$AS$29:$AS$361,0)))</f>
        <v>US</v>
      </c>
      <c r="O15" s="10" t="n">
        <f aca="false">IFERROR(SMALL(Scoring!$AS$29:$AS$361,11),"")</f>
        <v>1011</v>
      </c>
    </row>
    <row r="16" customFormat="false" ht="28.35" hidden="false" customHeight="false" outlineLevel="0" collapsed="false">
      <c r="A16" s="5" t="n">
        <f aca="false">IF($O16="","",INT($O16/1000))</f>
        <v>1</v>
      </c>
      <c r="B16" s="6" t="str">
        <f aca="false">IF($O16="","",INDEX(Scoring!$A$29:$A$361,MATCH($O16,Scoring!$AS$29:$AS$361,0)))</f>
        <v>Intas</v>
      </c>
      <c r="C16" s="5" t="n">
        <f aca="false">IF($O16="","",IF(INDEX(Scoring!$AM$29:$AM$361,MATCH($O16,Scoring!$AS$29:$AS$361,0))="","–",INDEX(Scoring!$AM$29:$AM$361,MATCH($O16,Scoring!$AS$29:$AS$361,0))))</f>
        <v>12</v>
      </c>
      <c r="D16" s="6" t="str">
        <f aca="false">IF($O16="","",INDEX(Scoring!$AK$29:$AK$361,MATCH($O16,Scoring!$AS$29:$AS$361,0)))</f>
        <v>Priority 2</v>
      </c>
      <c r="E16" s="7" t="str">
        <f aca="false">IF($O16="","",INDEX(Scoring!$AL$29:$AL$361,MATCH($O16,Scoring!$AS$29:$AS$361,0)))</f>
        <v>Lower price · high volume</v>
      </c>
      <c r="F16" s="6" t="str">
        <f aca="false">IF($O16="","",INDEX(Scoring!$B$29:$B$361,MATCH($O16,Scoring!$AS$29:$AS$361,0)))</f>
        <v>Flucloxacillin</v>
      </c>
      <c r="G16" s="7" t="str">
        <f aca="false">IF($O16="","",INDEX(Scoring!$AG$29:$AG$361,MATCH($O16,Scoring!$AS$29:$AS$361,0)))</f>
        <v>Floxapen</v>
      </c>
      <c r="H16" s="7" t="str">
        <f aca="false">IF($O16="","",INDEX(Scoring!$C$29:$C$361,MATCH($O16,Scoring!$AS$29:$AS$361,0)))</f>
        <v>Anti-infective: staphylococcal skin, bone and heart infections</v>
      </c>
      <c r="I16" s="6" t="str">
        <f aca="false">IF($O16="","",INDEX(Scoring!$I$29:$I$361,MATCH($O16,Scoring!$AS$29:$AS$361,0)))</f>
        <v>Vial</v>
      </c>
      <c r="J16" s="7" t="str">
        <f aca="false">IF($O16="","",INDEX(Scoring!$Z$29:$Z$361,MATCH($O16,Scoring!$AS$29:$AS$361,0)))</f>
        <v>500 mg powder vial</v>
      </c>
      <c r="K16" s="8" t="n">
        <f aca="false">IF($O16="","",IF(INDEX(Scoring!$D$29:$D$361,MATCH($O16,Scoring!$AS$29:$AS$361,0))="",INDEX(Scoring!$AF$29:$AF$361,MATCH($O16,Scoring!$AS$29:$AS$361,0)),INDEX(Scoring!$D$29:$D$361,MATCH($O16,Scoring!$AS$29:$AS$361,0))))</f>
        <v>6.07</v>
      </c>
      <c r="L16" s="9" t="n">
        <f aca="false">IF($O16="","",INDEX(Scoring!$L$29:$L$361,MATCH($O16,Scoring!$AS$29:$AS$361,0)))</f>
        <v>347</v>
      </c>
      <c r="M16" s="9" t="n">
        <f aca="false">IF($O16="","",INDEX(Scoring!$N$29:$N$361,MATCH($O16,Scoring!$AS$29:$AS$361,0)))</f>
        <v>18803.98</v>
      </c>
      <c r="N16" s="7" t="str">
        <f aca="false">IF($O16="","",INDEX(Scoring!$AI$29:$AI$361,MATCH($O16,Scoring!$AS$29:$AS$361,0)))</f>
        <v>UK-NI</v>
      </c>
      <c r="O16" s="10" t="n">
        <f aca="false">IFERROR(SMALL(Scoring!$AS$29:$AS$361,12),"")</f>
        <v>1012</v>
      </c>
    </row>
    <row r="17" customFormat="false" ht="41.75" hidden="false" customHeight="false" outlineLevel="0" collapsed="false">
      <c r="A17" s="5" t="n">
        <f aca="false">IF($O17="","",INT($O17/1000))</f>
        <v>1</v>
      </c>
      <c r="B17" s="6" t="str">
        <f aca="false">IF($O17="","",INDEX(Scoring!$A$29:$A$361,MATCH($O17,Scoring!$AS$29:$AS$361,0)))</f>
        <v>Intas</v>
      </c>
      <c r="C17" s="5" t="n">
        <f aca="false">IF($O17="","",IF(INDEX(Scoring!$AM$29:$AM$361,MATCH($O17,Scoring!$AS$29:$AS$361,0))="","–",INDEX(Scoring!$AM$29:$AM$361,MATCH($O17,Scoring!$AS$29:$AS$361,0))))</f>
        <v>13</v>
      </c>
      <c r="D17" s="6" t="str">
        <f aca="false">IF($O17="","",INDEX(Scoring!$AK$29:$AK$361,MATCH($O17,Scoring!$AS$29:$AS$361,0)))</f>
        <v>Priority 2</v>
      </c>
      <c r="E17" s="7" t="str">
        <f aca="false">IF($O17="","",INDEX(Scoring!$AL$29:$AL$361,MATCH($O17,Scoring!$AS$29:$AS$361,0)))</f>
        <v>High price · lower volume</v>
      </c>
      <c r="F17" s="6" t="str">
        <f aca="false">IF($O17="","",INDEX(Scoring!$B$29:$B$361,MATCH($O17,Scoring!$AS$29:$AS$361,0)))</f>
        <v>Fulvestrant</v>
      </c>
      <c r="G17" s="7" t="str">
        <f aca="false">IF($O17="","",INDEX(Scoring!$AG$29:$AG$361,MATCH($O17,Scoring!$AS$29:$AS$361,0)))</f>
        <v>Fulvestrant; Fulvestrant Accord; Fulvestrant Intas (+1 more)</v>
      </c>
      <c r="H17" s="7" t="str">
        <f aca="false">IF($O17="","",INDEX(Scoring!$C$29:$C$361,MATCH($O17,Scoring!$AS$29:$AS$361,0)))</f>
        <v>Oncology: hormone receptor-positive advanced breast cancer</v>
      </c>
      <c r="I17" s="6" t="str">
        <f aca="false">IF($O17="","",INDEX(Scoring!$I$29:$I$361,MATCH($O17,Scoring!$AS$29:$AS$361,0)))</f>
        <v>Prefilled syringe</v>
      </c>
      <c r="J17" s="7" t="str">
        <f aca="false">IF($O17="","",INDEX(Scoring!$Z$29:$Z$361,MATCH($O17,Scoring!$AS$29:$AS$361,0)))</f>
        <v>250 mg/5 mL pre-filled syringe</v>
      </c>
      <c r="K17" s="8" t="n">
        <f aca="false">IF($O17="","",IF(INDEX(Scoring!$D$29:$D$361,MATCH($O17,Scoring!$AS$29:$AS$361,0))="",INDEX(Scoring!$AF$29:$AF$361,MATCH($O17,Scoring!$AS$29:$AS$361,0)),INDEX(Scoring!$D$29:$D$361,MATCH($O17,Scoring!$AS$29:$AS$361,0))))</f>
        <v>246.46</v>
      </c>
      <c r="L17" s="9" t="n">
        <f aca="false">IF($O17="","",INDEX(Scoring!$L$29:$L$361,MATCH($O17,Scoring!$AS$29:$AS$361,0)))</f>
        <v>146</v>
      </c>
      <c r="M17" s="9" t="n">
        <f aca="false">IF($O17="","",INDEX(Scoring!$N$29:$N$361,MATCH($O17,Scoring!$AS$29:$AS$361,0)))</f>
        <v>11366.06</v>
      </c>
      <c r="N17" s="7" t="str">
        <f aca="false">IF($O17="","",INDEX(Scoring!$AI$29:$AI$361,MATCH($O17,Scoring!$AS$29:$AS$361,0)))</f>
        <v>US, UK, Australia, South Africa, UK-NI | EU/EEA (25): Germany, France, Netherlands, Belgium + 21 more</v>
      </c>
      <c r="O17" s="10" t="n">
        <f aca="false">IFERROR(SMALL(Scoring!$AS$29:$AS$361,13),"")</f>
        <v>1013</v>
      </c>
    </row>
    <row r="18" customFormat="false" ht="41.75" hidden="false" customHeight="false" outlineLevel="0" collapsed="false">
      <c r="A18" s="5" t="n">
        <f aca="false">IF($O18="","",INT($O18/1000))</f>
        <v>1</v>
      </c>
      <c r="B18" s="6" t="str">
        <f aca="false">IF($O18="","",INDEX(Scoring!$A$29:$A$361,MATCH($O18,Scoring!$AS$29:$AS$361,0)))</f>
        <v>Intas</v>
      </c>
      <c r="C18" s="5" t="n">
        <f aca="false">IF($O18="","",IF(INDEX(Scoring!$AM$29:$AM$361,MATCH($O18,Scoring!$AS$29:$AS$361,0))="","–",INDEX(Scoring!$AM$29:$AM$361,MATCH($O18,Scoring!$AS$29:$AS$361,0))))</f>
        <v>14</v>
      </c>
      <c r="D18" s="6" t="str">
        <f aca="false">IF($O18="","",INDEX(Scoring!$AK$29:$AK$361,MATCH($O18,Scoring!$AS$29:$AS$361,0)))</f>
        <v>Priority 2</v>
      </c>
      <c r="E18" s="7" t="str">
        <f aca="false">IF($O18="","",INDEX(Scoring!$AL$29:$AL$361,MATCH($O18,Scoring!$AS$29:$AS$361,0)))</f>
        <v>Lower price · high volume</v>
      </c>
      <c r="F18" s="6" t="str">
        <f aca="false">IF($O18="","",INDEX(Scoring!$B$29:$B$361,MATCH($O18,Scoring!$AS$29:$AS$361,0)))</f>
        <v>Atropine</v>
      </c>
      <c r="G18" s="7" t="str">
        <f aca="false">IF($O18="","",INDEX(Scoring!$AG$29:$AG$361,MATCH($O18,Scoring!$AS$29:$AS$361,0)))</f>
        <v>Atropine Sulfate; Atropin Accord; Atropina Accord</v>
      </c>
      <c r="H18" s="7" t="str">
        <f aca="false">IF($O18="","",INDEX(Scoring!$C$29:$C$361,MATCH($O18,Scoring!$AS$29:$AS$361,0)))</f>
        <v>Critical care: slow heart rate, pre-anaesthesia, organophosphate poisoning</v>
      </c>
      <c r="I18" s="6" t="str">
        <f aca="false">IF($O18="","",INDEX(Scoring!$I$29:$I$361,MATCH($O18,Scoring!$AS$29:$AS$361,0)))</f>
        <v>Vial, Prefilled syringe</v>
      </c>
      <c r="J18" s="7" t="str">
        <f aca="false">IF($O18="","",INDEX(Scoring!$Z$29:$Z$361,MATCH($O18,Scoring!$AS$29:$AS$361,0)))</f>
        <v>0.25 mg/5 mL pre-filled syringe; 0.4 mg/1 mL vial; 0.5 mg/5 mL pre-filled syringe; 1 mg/10 mL pre-filled syringe (+3 more)</v>
      </c>
      <c r="K18" s="8" t="n">
        <f aca="false">IF($O18="","",IF(INDEX(Scoring!$D$29:$D$361,MATCH($O18,Scoring!$AS$29:$AS$361,0))="",INDEX(Scoring!$AF$29:$AF$361,MATCH($O18,Scoring!$AS$29:$AS$361,0)),INDEX(Scoring!$D$29:$D$361,MATCH($O18,Scoring!$AS$29:$AS$361,0))))</f>
        <v>16.48</v>
      </c>
      <c r="L18" s="9" t="n">
        <f aca="false">IF($O18="","",INDEX(Scoring!$L$29:$L$361,MATCH($O18,Scoring!$AS$29:$AS$361,0)))</f>
        <v>976</v>
      </c>
      <c r="M18" s="9" t="n">
        <f aca="false">IF($O18="","",INDEX(Scoring!$N$29:$N$361,MATCH($O18,Scoring!$AS$29:$AS$361,0)))</f>
        <v>9295.14</v>
      </c>
      <c r="N18" s="7" t="str">
        <f aca="false">IF($O18="","",INDEX(Scoring!$AI$29:$AI$361,MATCH($O18,Scoring!$AS$29:$AS$361,0)))</f>
        <v>US, UK, UK-NI | EU/EEA (13): Germany, France, Netherlands, Austria + 9 more</v>
      </c>
      <c r="O18" s="10" t="n">
        <f aca="false">IFERROR(SMALL(Scoring!$AS$29:$AS$361,14),"")</f>
        <v>1014</v>
      </c>
    </row>
    <row r="19" customFormat="false" ht="28.35" hidden="false" customHeight="false" outlineLevel="0" collapsed="false">
      <c r="A19" s="5" t="n">
        <f aca="false">IF($O19="","",INT($O19/1000))</f>
        <v>1</v>
      </c>
      <c r="B19" s="6" t="str">
        <f aca="false">IF($O19="","",INDEX(Scoring!$A$29:$A$361,MATCH($O19,Scoring!$AS$29:$AS$361,0)))</f>
        <v>Intas</v>
      </c>
      <c r="C19" s="5" t="n">
        <f aca="false">IF($O19="","",IF(INDEX(Scoring!$AM$29:$AM$361,MATCH($O19,Scoring!$AS$29:$AS$361,0))="","–",INDEX(Scoring!$AM$29:$AM$361,MATCH($O19,Scoring!$AS$29:$AS$361,0))))</f>
        <v>15</v>
      </c>
      <c r="D19" s="6" t="str">
        <f aca="false">IF($O19="","",INDEX(Scoring!$AK$29:$AK$361,MATCH($O19,Scoring!$AS$29:$AS$361,0)))</f>
        <v>Priority 2</v>
      </c>
      <c r="E19" s="7" t="str">
        <f aca="false">IF($O19="","",INDEX(Scoring!$AL$29:$AL$361,MATCH($O19,Scoring!$AS$29:$AS$361,0)))</f>
        <v>High price · lower volume</v>
      </c>
      <c r="F19" s="6" t="str">
        <f aca="false">IF($O19="","",INDEX(Scoring!$B$29:$B$361,MATCH($O19,Scoring!$AS$29:$AS$361,0)))</f>
        <v>Plerixafor</v>
      </c>
      <c r="G19" s="7" t="str">
        <f aca="false">IF($O19="","",INDEX(Scoring!$AG$29:$AG$361,MATCH($O19,Scoring!$AS$29:$AS$361,0)))</f>
        <v>Plerixafor; Plerixafor Accord</v>
      </c>
      <c r="H19" s="7" t="str">
        <f aca="false">IF($O19="","",INDEX(Scoring!$C$29:$C$361,MATCH($O19,Scoring!$AS$29:$AS$361,0)))</f>
        <v>Oncology support: stem cell mobilisation in myeloma and lymphoma</v>
      </c>
      <c r="I19" s="6" t="str">
        <f aca="false">IF($O19="","",INDEX(Scoring!$I$29:$I$361,MATCH($O19,Scoring!$AS$29:$AS$361,0)))</f>
        <v>Vial</v>
      </c>
      <c r="J19" s="7" t="str">
        <f aca="false">IF($O19="","",INDEX(Scoring!$Z$29:$Z$361,MATCH($O19,Scoring!$AS$29:$AS$361,0)))</f>
        <v>24 mg/1.2 mL vial</v>
      </c>
      <c r="K19" s="8" t="n">
        <f aca="false">IF($O19="","",IF(INDEX(Scoring!$D$29:$D$361,MATCH($O19,Scoring!$AS$29:$AS$361,0))="",INDEX(Scoring!$AF$29:$AF$361,MATCH($O19,Scoring!$AS$29:$AS$361,0)),INDEX(Scoring!$D$29:$D$361,MATCH($O19,Scoring!$AS$29:$AS$361,0))))</f>
        <v>4779</v>
      </c>
      <c r="L19" s="9" t="n">
        <f aca="false">IF($O19="","",INDEX(Scoring!$L$29:$L$361,MATCH($O19,Scoring!$AS$29:$AS$361,0)))</f>
        <v>47</v>
      </c>
      <c r="M19" s="9" t="n">
        <f aca="false">IF($O19="","",INDEX(Scoring!$N$29:$N$361,MATCH($O19,Scoring!$AS$29:$AS$361,0)))</f>
        <v>7904.67</v>
      </c>
      <c r="N19" s="7" t="str">
        <f aca="false">IF($O19="","",INDEX(Scoring!$AI$29:$AI$361,MATCH($O19,Scoring!$AS$29:$AS$361,0)))</f>
        <v>UK, Australia | EU/EEA: all 30 countries</v>
      </c>
      <c r="O19" s="10" t="n">
        <f aca="false">IFERROR(SMALL(Scoring!$AS$29:$AS$361,15),"")</f>
        <v>1015</v>
      </c>
    </row>
    <row r="20" customFormat="false" ht="28.35" hidden="false" customHeight="false" outlineLevel="0" collapsed="false">
      <c r="A20" s="5" t="n">
        <f aca="false">IF($O20="","",INT($O20/1000))</f>
        <v>1</v>
      </c>
      <c r="B20" s="6" t="str">
        <f aca="false">IF($O20="","",INDEX(Scoring!$A$29:$A$361,MATCH($O20,Scoring!$AS$29:$AS$361,0)))</f>
        <v>Intas</v>
      </c>
      <c r="C20" s="5" t="n">
        <f aca="false">IF($O20="","",IF(INDEX(Scoring!$AM$29:$AM$361,MATCH($O20,Scoring!$AS$29:$AS$361,0))="","–",INDEX(Scoring!$AM$29:$AM$361,MATCH($O20,Scoring!$AS$29:$AS$361,0))))</f>
        <v>16</v>
      </c>
      <c r="D20" s="6" t="str">
        <f aca="false">IF($O20="","",INDEX(Scoring!$AK$29:$AK$361,MATCH($O20,Scoring!$AS$29:$AS$361,0)))</f>
        <v>Priority 2</v>
      </c>
      <c r="E20" s="7" t="str">
        <f aca="false">IF($O20="","",INDEX(Scoring!$AL$29:$AL$361,MATCH($O20,Scoring!$AS$29:$AS$361,0)))</f>
        <v>Lower price · high volume</v>
      </c>
      <c r="F20" s="6" t="str">
        <f aca="false">IF($O20="","",INDEX(Scoring!$B$29:$B$361,MATCH($O20,Scoring!$AS$29:$AS$361,0)))</f>
        <v>Cytarabine</v>
      </c>
      <c r="G20" s="7" t="str">
        <f aca="false">IF($O20="","",INDEX(Scoring!$AG$29:$AG$361,MATCH($O20,Scoring!$AS$29:$AS$361,0)))</f>
        <v>Cytarabine; Cytarabine Accord; Cytarabine ACC</v>
      </c>
      <c r="H20" s="7" t="str">
        <f aca="false">IF($O20="","",INDEX(Scoring!$C$29:$C$361,MATCH($O20,Scoring!$AS$29:$AS$361,0)))</f>
        <v>Oncology: acute myeloid and acute lymphoblastic leukaemia</v>
      </c>
      <c r="I20" s="6" t="str">
        <f aca="false">IF($O20="","",INDEX(Scoring!$I$29:$I$361,MATCH($O20,Scoring!$AS$29:$AS$361,0)))</f>
        <v>Vial</v>
      </c>
      <c r="J20" s="7" t="str">
        <f aca="false">IF($O20="","",INDEX(Scoring!$Z$29:$Z$361,MATCH($O20,Scoring!$AS$29:$AS$361,0)))</f>
        <v>100 mg/5 mL vial; 4000 mg/40 mL vial; 2000 mg/20 mL vial; 500 mg/5 mL vial (+3 more)</v>
      </c>
      <c r="K20" s="8" t="n">
        <f aca="false">IF($O20="","",IF(INDEX(Scoring!$D$29:$D$361,MATCH($O20,Scoring!$AS$29:$AS$361,0))="",INDEX(Scoring!$AF$29:$AF$361,MATCH($O20,Scoring!$AS$29:$AS$361,0)),INDEX(Scoring!$D$29:$D$361,MATCH($O20,Scoring!$AS$29:$AS$361,0))))</f>
        <v>6.7</v>
      </c>
      <c r="L20" s="9" t="n">
        <f aca="false">IF($O20="","",INDEX(Scoring!$L$29:$L$361,MATCH($O20,Scoring!$AS$29:$AS$361,0)))</f>
        <v>799</v>
      </c>
      <c r="M20" s="9" t="n">
        <f aca="false">IF($O20="","",INDEX(Scoring!$N$29:$N$361,MATCH($O20,Scoring!$AS$29:$AS$361,0)))</f>
        <v>7738.99</v>
      </c>
      <c r="N20" s="7" t="str">
        <f aca="false">IF($O20="","",INDEX(Scoring!$AI$29:$AI$361,MATCH($O20,Scoring!$AS$29:$AS$361,0)))</f>
        <v>UK, Australia, UK-NI | EU/EEA (25): Germany, France, Netherlands, Belgium + 21 more</v>
      </c>
      <c r="O20" s="10" t="n">
        <f aca="false">IFERROR(SMALL(Scoring!$AS$29:$AS$361,16),"")</f>
        <v>1016</v>
      </c>
    </row>
    <row r="21" customFormat="false" ht="28.35" hidden="false" customHeight="false" outlineLevel="0" collapsed="false">
      <c r="A21" s="5" t="n">
        <f aca="false">IF($O21="","",INT($O21/1000))</f>
        <v>1</v>
      </c>
      <c r="B21" s="6" t="str">
        <f aca="false">IF($O21="","",INDEX(Scoring!$A$29:$A$361,MATCH($O21,Scoring!$AS$29:$AS$361,0)))</f>
        <v>Intas</v>
      </c>
      <c r="C21" s="5" t="n">
        <f aca="false">IF($O21="","",IF(INDEX(Scoring!$AM$29:$AM$361,MATCH($O21,Scoring!$AS$29:$AS$361,0))="","–",INDEX(Scoring!$AM$29:$AM$361,MATCH($O21,Scoring!$AS$29:$AS$361,0))))</f>
        <v>17</v>
      </c>
      <c r="D21" s="6" t="str">
        <f aca="false">IF($O21="","",INDEX(Scoring!$AK$29:$AK$361,MATCH($O21,Scoring!$AS$29:$AS$361,0)))</f>
        <v>Priority 2</v>
      </c>
      <c r="E21" s="7" t="str">
        <f aca="false">IF($O21="","",INDEX(Scoring!$AL$29:$AL$361,MATCH($O21,Scoring!$AS$29:$AS$361,0)))</f>
        <v>High price · lower volume</v>
      </c>
      <c r="F21" s="6" t="str">
        <f aca="false">IF($O21="","",INDEX(Scoring!$B$29:$B$361,MATCH($O21,Scoring!$AS$29:$AS$361,0)))</f>
        <v>Teicoplanin</v>
      </c>
      <c r="G21" s="7" t="str">
        <f aca="false">IF($O21="","",INDEX(Scoring!$AG$29:$AG$361,MATCH($O21,Scoring!$AS$29:$AS$361,0)))</f>
        <v>Teicoplanina Accord</v>
      </c>
      <c r="H21" s="7" t="str">
        <f aca="false">IF($O21="","",INDEX(Scoring!$C$29:$C$361,MATCH($O21,Scoring!$AS$29:$AS$361,0)))</f>
        <v>Anti-infective: MRSA and serious Gram-positive infections</v>
      </c>
      <c r="I21" s="6" t="str">
        <f aca="false">IF($O21="","",INDEX(Scoring!$I$29:$I$361,MATCH($O21,Scoring!$AS$29:$AS$361,0)))</f>
        <v>Vial</v>
      </c>
      <c r="J21" s="7" t="str">
        <f aca="false">IF($O21="","",INDEX(Scoring!$Z$29:$Z$361,MATCH($O21,Scoring!$AS$29:$AS$361,0)))</f>
        <v>200 mg powder vial</v>
      </c>
      <c r="K21" s="8" t="n">
        <f aca="false">IF($O21="","",IF(INDEX(Scoring!$D$29:$D$361,MATCH($O21,Scoring!$AS$29:$AS$361,0))="",INDEX(Scoring!$AF$29:$AF$361,MATCH($O21,Scoring!$AS$29:$AS$361,0)),INDEX(Scoring!$D$29:$D$361,MATCH($O21,Scoring!$AS$29:$AS$361,0))))</f>
        <v>35.27</v>
      </c>
      <c r="L21" s="9" t="n">
        <f aca="false">IF($O21="","",INDEX(Scoring!$L$29:$L$361,MATCH($O21,Scoring!$AS$29:$AS$361,0)))</f>
        <v>106</v>
      </c>
      <c r="M21" s="9" t="n">
        <f aca="false">IF($O21="","",INDEX(Scoring!$N$29:$N$361,MATCH($O21,Scoring!$AS$29:$AS$361,0)))</f>
        <v>7074.72</v>
      </c>
      <c r="N21" s="7" t="str">
        <f aca="false">IF($O21="","",INDEX(Scoring!$AI$29:$AI$361,MATCH($O21,Scoring!$AS$29:$AS$361,0)))</f>
        <v>EU/EEA (3): Austria, Portugal, Spain</v>
      </c>
      <c r="O21" s="10" t="n">
        <f aca="false">IFERROR(SMALL(Scoring!$AS$29:$AS$361,17),"")</f>
        <v>1017</v>
      </c>
    </row>
    <row r="22" customFormat="false" ht="28.35" hidden="false" customHeight="false" outlineLevel="0" collapsed="false">
      <c r="A22" s="5" t="n">
        <f aca="false">IF($O22="","",INT($O22/1000))</f>
        <v>1</v>
      </c>
      <c r="B22" s="6" t="str">
        <f aca="false">IF($O22="","",INDEX(Scoring!$A$29:$A$361,MATCH($O22,Scoring!$AS$29:$AS$361,0)))</f>
        <v>Intas</v>
      </c>
      <c r="C22" s="5" t="n">
        <f aca="false">IF($O22="","",IF(INDEX(Scoring!$AM$29:$AM$361,MATCH($O22,Scoring!$AS$29:$AS$361,0))="","–",INDEX(Scoring!$AM$29:$AM$361,MATCH($O22,Scoring!$AS$29:$AS$361,0))))</f>
        <v>18</v>
      </c>
      <c r="D22" s="6" t="str">
        <f aca="false">IF($O22="","",INDEX(Scoring!$AK$29:$AK$361,MATCH($O22,Scoring!$AS$29:$AS$361,0)))</f>
        <v>Priority 2</v>
      </c>
      <c r="E22" s="7" t="str">
        <f aca="false">IF($O22="","",INDEX(Scoring!$AL$29:$AL$361,MATCH($O22,Scoring!$AS$29:$AS$361,0)))</f>
        <v>Lower price · high volume</v>
      </c>
      <c r="F22" s="6" t="str">
        <f aca="false">IF($O22="","",INDEX(Scoring!$B$29:$B$361,MATCH($O22,Scoring!$AS$29:$AS$361,0)))</f>
        <v>Cefepime</v>
      </c>
      <c r="G22" s="7" t="str">
        <f aca="false">IF($O22="","",INDEX(Scoring!$AG$29:$AG$361,MATCH($O22,Scoring!$AS$29:$AS$361,0)))</f>
        <v>Cefepim Accord; Cefepime Accord</v>
      </c>
      <c r="H22" s="7" t="str">
        <f aca="false">IF($O22="","",INDEX(Scoring!$C$29:$C$361,MATCH($O22,Scoring!$AS$29:$AS$361,0)))</f>
        <v>Anti-infective: hospital Gram-negative infections, febrile neutropenia</v>
      </c>
      <c r="I22" s="6" t="str">
        <f aca="false">IF($O22="","",INDEX(Scoring!$I$29:$I$361,MATCH($O22,Scoring!$AS$29:$AS$361,0)))</f>
        <v>Vial</v>
      </c>
      <c r="J22" s="7" t="str">
        <f aca="false">IF($O22="","",INDEX(Scoring!$Z$29:$Z$361,MATCH($O22,Scoring!$AS$29:$AS$361,0)))</f>
        <v>1 g powder vial</v>
      </c>
      <c r="K22" s="8" t="n">
        <f aca="false">IF($O22="","",IF(INDEX(Scoring!$D$29:$D$361,MATCH($O22,Scoring!$AS$29:$AS$361,0))="",INDEX(Scoring!$AF$29:$AF$361,MATCH($O22,Scoring!$AS$29:$AS$361,0)),INDEX(Scoring!$D$29:$D$361,MATCH($O22,Scoring!$AS$29:$AS$361,0))))</f>
        <v>9.65</v>
      </c>
      <c r="L22" s="9" t="n">
        <f aca="false">IF($O22="","",INDEX(Scoring!$L$29:$L$361,MATCH($O22,Scoring!$AS$29:$AS$361,0)))</f>
        <v>290</v>
      </c>
      <c r="M22" s="9" t="n">
        <f aca="false">IF($O22="","",INDEX(Scoring!$N$29:$N$361,MATCH($O22,Scoring!$AS$29:$AS$361,0)))</f>
        <v>6348.25</v>
      </c>
      <c r="N22" s="7" t="str">
        <f aca="false">IF($O22="","",INDEX(Scoring!$AI$29:$AI$361,MATCH($O22,Scoring!$AS$29:$AS$361,0)))</f>
        <v>EU/EEA (4): Germany, France, Croatia, Portugal</v>
      </c>
      <c r="O22" s="10" t="n">
        <f aca="false">IFERROR(SMALL(Scoring!$AS$29:$AS$361,18),"")</f>
        <v>1018</v>
      </c>
    </row>
    <row r="23" customFormat="false" ht="41.75" hidden="false" customHeight="false" outlineLevel="0" collapsed="false">
      <c r="A23" s="5" t="n">
        <f aca="false">IF($O23="","",INT($O23/1000))</f>
        <v>1</v>
      </c>
      <c r="B23" s="6" t="str">
        <f aca="false">IF($O23="","",INDEX(Scoring!$A$29:$A$361,MATCH($O23,Scoring!$AS$29:$AS$361,0)))</f>
        <v>Intas</v>
      </c>
      <c r="C23" s="5" t="n">
        <f aca="false">IF($O23="","",IF(INDEX(Scoring!$AM$29:$AM$361,MATCH($O23,Scoring!$AS$29:$AS$361,0))="","–",INDEX(Scoring!$AM$29:$AM$361,MATCH($O23,Scoring!$AS$29:$AS$361,0))))</f>
        <v>19</v>
      </c>
      <c r="D23" s="6" t="str">
        <f aca="false">IF($O23="","",INDEX(Scoring!$AK$29:$AK$361,MATCH($O23,Scoring!$AS$29:$AS$361,0)))</f>
        <v>Priority 2</v>
      </c>
      <c r="E23" s="7" t="str">
        <f aca="false">IF($O23="","",INDEX(Scoring!$AL$29:$AL$361,MATCH($O23,Scoring!$AS$29:$AS$361,0)))</f>
        <v>Lower price · high volume</v>
      </c>
      <c r="F23" s="6" t="str">
        <f aca="false">IF($O23="","",INDEX(Scoring!$B$29:$B$361,MATCH($O23,Scoring!$AS$29:$AS$361,0)))</f>
        <v>Naloxone</v>
      </c>
      <c r="G23" s="7" t="str">
        <f aca="false">IF($O23="","",INDEX(Scoring!$AG$29:$AG$361,MATCH($O23,Scoring!$AS$29:$AS$361,0)))</f>
        <v>Naloxone Hydrochloride; Naloxone</v>
      </c>
      <c r="H23" s="7" t="str">
        <f aca="false">IF($O23="","",INDEX(Scoring!$C$29:$C$361,MATCH($O23,Scoring!$AS$29:$AS$361,0)))</f>
        <v>Critical care: reversal of opioid overdose</v>
      </c>
      <c r="I23" s="6" t="str">
        <f aca="false">IF($O23="","",INDEX(Scoring!$I$29:$I$361,MATCH($O23,Scoring!$AS$29:$AS$361,0)))</f>
        <v>Prefilled syringe</v>
      </c>
      <c r="J23" s="7" t="str">
        <f aca="false">IF($O23="","",INDEX(Scoring!$Z$29:$Z$361,MATCH($O23,Scoring!$AS$29:$AS$361,0)))</f>
        <v>0.4 mg/mL (container not stated); 1 mg/mL (container not stated); 400 mcg/mL pre-filled syringe</v>
      </c>
      <c r="K23" s="8" t="n">
        <f aca="false">IF($O23="","",IF(INDEX(Scoring!$D$29:$D$361,MATCH($O23,Scoring!$AS$29:$AS$361,0))="",INDEX(Scoring!$AF$29:$AF$361,MATCH($O23,Scoring!$AS$29:$AS$361,0)),INDEX(Scoring!$D$29:$D$361,MATCH($O23,Scoring!$AS$29:$AS$361,0))))</f>
        <v>5.42</v>
      </c>
      <c r="L23" s="9" t="n">
        <f aca="false">IF($O23="","",INDEX(Scoring!$L$29:$L$361,MATCH($O23,Scoring!$AS$29:$AS$361,0)))</f>
        <v>365</v>
      </c>
      <c r="M23" s="9" t="n">
        <f aca="false">IF($O23="","",INDEX(Scoring!$N$29:$N$361,MATCH($O23,Scoring!$AS$29:$AS$361,0)))</f>
        <v>5976.94</v>
      </c>
      <c r="N23" s="7" t="str">
        <f aca="false">IF($O23="","",INDEX(Scoring!$AI$29:$AI$361,MATCH($O23,Scoring!$AS$29:$AS$361,0)))</f>
        <v>US, UK, UK-NI | EU/EEA (12): Germany, France, Netherlands, Austria + 8 more</v>
      </c>
      <c r="O23" s="10" t="n">
        <f aca="false">IFERROR(SMALL(Scoring!$AS$29:$AS$361,19),"")</f>
        <v>1019</v>
      </c>
    </row>
    <row r="24" customFormat="false" ht="28.35" hidden="false" customHeight="false" outlineLevel="0" collapsed="false">
      <c r="A24" s="5" t="n">
        <f aca="false">IF($O24="","",INT($O24/1000))</f>
        <v>1</v>
      </c>
      <c r="B24" s="6" t="str">
        <f aca="false">IF($O24="","",INDEX(Scoring!$A$29:$A$361,MATCH($O24,Scoring!$AS$29:$AS$361,0)))</f>
        <v>Intas</v>
      </c>
      <c r="C24" s="5" t="n">
        <f aca="false">IF($O24="","",IF(INDEX(Scoring!$AM$29:$AM$361,MATCH($O24,Scoring!$AS$29:$AS$361,0))="","–",INDEX(Scoring!$AM$29:$AM$361,MATCH($O24,Scoring!$AS$29:$AS$361,0))))</f>
        <v>20</v>
      </c>
      <c r="D24" s="6" t="str">
        <f aca="false">IF($O24="","",INDEX(Scoring!$AK$29:$AK$361,MATCH($O24,Scoring!$AS$29:$AS$361,0)))</f>
        <v>Priority 2</v>
      </c>
      <c r="E24" s="7" t="str">
        <f aca="false">IF($O24="","",INDEX(Scoring!$AL$29:$AL$361,MATCH($O24,Scoring!$AS$29:$AS$361,0)))</f>
        <v>Lower price · high volume</v>
      </c>
      <c r="F24" s="6" t="str">
        <f aca="false">IF($O24="","",INDEX(Scoring!$B$29:$B$361,MATCH($O24,Scoring!$AS$29:$AS$361,0)))</f>
        <v>Succinylcholine (Suxamethonium)</v>
      </c>
      <c r="G24" s="7" t="str">
        <f aca="false">IF($O24="","",INDEX(Scoring!$AG$29:$AG$361,MATCH($O24,Scoring!$AS$29:$AS$361,0)))</f>
        <v>Suxamethonium Intas</v>
      </c>
      <c r="H24" s="7" t="str">
        <f aca="false">IF($O24="","",INDEX(Scoring!$C$29:$C$361,MATCH($O24,Scoring!$AS$29:$AS$361,0)))</f>
        <v>Anaesthesia: muscle relaxant for rapid intubation</v>
      </c>
      <c r="I24" s="6" t="str">
        <f aca="false">IF($O24="","",INDEX(Scoring!$I$29:$I$361,MATCH($O24,Scoring!$AS$29:$AS$361,0)))</f>
        <v>Prefilled syringe</v>
      </c>
      <c r="J24" s="7" t="str">
        <f aca="false">IF($O24="","",INDEX(Scoring!$Z$29:$Z$361,MATCH($O24,Scoring!$AS$29:$AS$361,0)))</f>
        <v>100 mg/2 mL pre-filled syringe</v>
      </c>
      <c r="K24" s="8" t="n">
        <f aca="false">IF($O24="","",IF(INDEX(Scoring!$D$29:$D$361,MATCH($O24,Scoring!$AS$29:$AS$361,0))="",INDEX(Scoring!$AF$29:$AF$361,MATCH($O24,Scoring!$AS$29:$AS$361,0)),INDEX(Scoring!$D$29:$D$361,MATCH($O24,Scoring!$AS$29:$AS$361,0))))</f>
        <v>5.12</v>
      </c>
      <c r="L24" s="9" t="n">
        <f aca="false">IF($O24="","",INDEX(Scoring!$L$29:$L$361,MATCH($O24,Scoring!$AS$29:$AS$361,0)))</f>
        <v>286</v>
      </c>
      <c r="M24" s="9" t="n">
        <f aca="false">IF($O24="","",INDEX(Scoring!$N$29:$N$361,MATCH($O24,Scoring!$AS$29:$AS$361,0)))</f>
        <v>3067.39</v>
      </c>
      <c r="N24" s="7" t="str">
        <f aca="false">IF($O24="","",INDEX(Scoring!$AI$29:$AI$361,MATCH($O24,Scoring!$AS$29:$AS$361,0)))</f>
        <v>Australia</v>
      </c>
      <c r="O24" s="10" t="n">
        <f aca="false">IFERROR(SMALL(Scoring!$AS$29:$AS$361,20),"")</f>
        <v>1020</v>
      </c>
    </row>
    <row r="25" customFormat="false" ht="28.35" hidden="false" customHeight="false" outlineLevel="0" collapsed="false">
      <c r="A25" s="5" t="n">
        <f aca="false">IF($O25="","",INT($O25/1000))</f>
        <v>1</v>
      </c>
      <c r="B25" s="6" t="str">
        <f aca="false">IF($O25="","",INDEX(Scoring!$A$29:$A$361,MATCH($O25,Scoring!$AS$29:$AS$361,0)))</f>
        <v>Intas</v>
      </c>
      <c r="C25" s="5" t="n">
        <f aca="false">IF($O25="","",IF(INDEX(Scoring!$AM$29:$AM$361,MATCH($O25,Scoring!$AS$29:$AS$361,0))="","–",INDEX(Scoring!$AM$29:$AM$361,MATCH($O25,Scoring!$AS$29:$AS$361,0))))</f>
        <v>21</v>
      </c>
      <c r="D25" s="6" t="str">
        <f aca="false">IF($O25="","",INDEX(Scoring!$AK$29:$AK$361,MATCH($O25,Scoring!$AS$29:$AS$361,0)))</f>
        <v>Priority 2</v>
      </c>
      <c r="E25" s="7" t="str">
        <f aca="false">IF($O25="","",INDEX(Scoring!$AL$29:$AL$361,MATCH($O25,Scoring!$AS$29:$AS$361,0)))</f>
        <v>High price · lower volume</v>
      </c>
      <c r="F25" s="6" t="str">
        <f aca="false">IF($O25="","",INDEX(Scoring!$B$29:$B$361,MATCH($O25,Scoring!$AS$29:$AS$361,0)))</f>
        <v>Leuprorelin</v>
      </c>
      <c r="G25" s="7" t="str">
        <f aca="false">IF($O25="","",INDEX(Scoring!$AG$29:$AG$361,MATCH($O25,Scoring!$AS$29:$AS$361,0)))</f>
        <v>Camcevi</v>
      </c>
      <c r="H25" s="7" t="str">
        <f aca="false">IF($O25="","",INDEX(Scoring!$C$29:$C$361,MATCH($O25,Scoring!$AS$29:$AS$361,0)))</f>
        <v>Oncology: hormone therapy for advanced prostate cancer</v>
      </c>
      <c r="I25" s="6" t="str">
        <f aca="false">IF($O25="","",INDEX(Scoring!$I$29:$I$361,MATCH($O25,Scoring!$AS$29:$AS$361,0)))</f>
        <v>Prefilled syringe</v>
      </c>
      <c r="J25" s="7" t="str">
        <f aca="false">IF($O25="","",INDEX(Scoring!$Z$29:$Z$361,MATCH($O25,Scoring!$AS$29:$AS$361,0)))</f>
        <v>21 mg pre-filled syringe; 21 mg/0.25 mL pre-filled syringe</v>
      </c>
      <c r="K25" s="8" t="n">
        <f aca="false">IF($O25="","",IF(INDEX(Scoring!$D$29:$D$361,MATCH($O25,Scoring!$AS$29:$AS$361,0))="",INDEX(Scoring!$AF$29:$AF$361,MATCH($O25,Scoring!$AS$29:$AS$361,0)),INDEX(Scoring!$D$29:$D$361,MATCH($O25,Scoring!$AS$29:$AS$361,0))))</f>
        <v>433.94</v>
      </c>
      <c r="L25" s="9" t="n">
        <f aca="false">IF($O25="","",INDEX(Scoring!$L$29:$L$361,MATCH($O25,Scoring!$AS$29:$AS$361,0)))</f>
        <v>121</v>
      </c>
      <c r="M25" s="9" t="n">
        <f aca="false">IF($O25="","",INDEX(Scoring!$N$29:$N$361,MATCH($O25,Scoring!$AS$29:$AS$361,0)))</f>
        <v>2714.83</v>
      </c>
      <c r="N25" s="7" t="str">
        <f aca="false">IF($O25="","",INDEX(Scoring!$AI$29:$AI$361,MATCH($O25,Scoring!$AS$29:$AS$361,0)))</f>
        <v>UK | EU/EEA: all 30 countries</v>
      </c>
      <c r="O25" s="10" t="n">
        <f aca="false">IFERROR(SMALL(Scoring!$AS$29:$AS$361,21),"")</f>
        <v>1021</v>
      </c>
    </row>
    <row r="26" customFormat="false" ht="28.35" hidden="false" customHeight="false" outlineLevel="0" collapsed="false">
      <c r="A26" s="5" t="n">
        <f aca="false">IF($O26="","",INT($O26/1000))</f>
        <v>1</v>
      </c>
      <c r="B26" s="6" t="str">
        <f aca="false">IF($O26="","",INDEX(Scoring!$A$29:$A$361,MATCH($O26,Scoring!$AS$29:$AS$361,0)))</f>
        <v>Intas</v>
      </c>
      <c r="C26" s="5" t="n">
        <f aca="false">IF($O26="","",IF(INDEX(Scoring!$AM$29:$AM$361,MATCH($O26,Scoring!$AS$29:$AS$361,0))="","–",INDEX(Scoring!$AM$29:$AM$361,MATCH($O26,Scoring!$AS$29:$AS$361,0))))</f>
        <v>22</v>
      </c>
      <c r="D26" s="6" t="str">
        <f aca="false">IF($O26="","",INDEX(Scoring!$AK$29:$AK$361,MATCH($O26,Scoring!$AS$29:$AS$361,0)))</f>
        <v>Priority 2</v>
      </c>
      <c r="E26" s="7" t="str">
        <f aca="false">IF($O26="","",INDEX(Scoring!$AL$29:$AL$361,MATCH($O26,Scoring!$AS$29:$AS$361,0)))</f>
        <v>High price · lower volume</v>
      </c>
      <c r="F26" s="6" t="str">
        <f aca="false">IF($O26="","",INDEX(Scoring!$B$29:$B$361,MATCH($O26,Scoring!$AS$29:$AS$361,0)))</f>
        <v>Ustekinumab</v>
      </c>
      <c r="G26" s="7" t="str">
        <f aca="false">IF($O26="","",INDEX(Scoring!$AG$29:$AG$361,MATCH($O26,Scoring!$AS$29:$AS$361,0)))</f>
        <v>Imuldosa</v>
      </c>
      <c r="H26" s="7" t="str">
        <f aca="false">IF($O26="","",INDEX(Scoring!$C$29:$C$361,MATCH($O26,Scoring!$AS$29:$AS$361,0)))</f>
        <v>Immunology: psoriasis, psoriatic arthritis, Crohn's disease, ulcerative colitis</v>
      </c>
      <c r="I26" s="6" t="str">
        <f aca="false">IF($O26="","",INDEX(Scoring!$I$29:$I$361,MATCH($O26,Scoring!$AS$29:$AS$361,0)))</f>
        <v>Prefilled syringe</v>
      </c>
      <c r="J26" s="7" t="str">
        <f aca="false">IF($O26="","",INDEX(Scoring!$Z$29:$Z$361,MATCH($O26,Scoring!$AS$29:$AS$361,0)))</f>
        <v>45 mg/0.5 mL pre-filled syringe</v>
      </c>
      <c r="K26" s="8" t="n">
        <f aca="false">IF($O26="","",IF(INDEX(Scoring!$D$29:$D$361,MATCH($O26,Scoring!$AS$29:$AS$361,0))="",INDEX(Scoring!$AF$29:$AF$361,MATCH($O26,Scoring!$AS$29:$AS$361,0)),INDEX(Scoring!$D$29:$D$361,MATCH($O26,Scoring!$AS$29:$AS$361,0))))</f>
        <v>2838.33</v>
      </c>
      <c r="L26" s="9" t="n">
        <f aca="false">IF($O26="","",INDEX(Scoring!$L$29:$L$361,MATCH($O26,Scoring!$AS$29:$AS$361,0)))</f>
        <v>125</v>
      </c>
      <c r="M26" s="9" t="n">
        <f aca="false">IF($O26="","",INDEX(Scoring!$N$29:$N$361,MATCH($O26,Scoring!$AS$29:$AS$361,0)))</f>
        <v>2485.93</v>
      </c>
      <c r="N26" s="7" t="str">
        <f aca="false">IF($O26="","",INDEX(Scoring!$AI$29:$AI$361,MATCH($O26,Scoring!$AS$29:$AS$361,0)))</f>
        <v>UK, UK-NI | EU/EEA: all 30 countries</v>
      </c>
      <c r="O26" s="10" t="n">
        <f aca="false">IFERROR(SMALL(Scoring!$AS$29:$AS$361,22),"")</f>
        <v>1022</v>
      </c>
    </row>
    <row r="27" customFormat="false" ht="28.35" hidden="false" customHeight="false" outlineLevel="0" collapsed="false">
      <c r="A27" s="5" t="n">
        <f aca="false">IF($O27="","",INT($O27/1000))</f>
        <v>1</v>
      </c>
      <c r="B27" s="6" t="str">
        <f aca="false">IF($O27="","",INDEX(Scoring!$A$29:$A$361,MATCH($O27,Scoring!$AS$29:$AS$361,0)))</f>
        <v>Intas</v>
      </c>
      <c r="C27" s="5" t="n">
        <f aca="false">IF($O27="","",IF(INDEX(Scoring!$AM$29:$AM$361,MATCH($O27,Scoring!$AS$29:$AS$361,0))="","–",INDEX(Scoring!$AM$29:$AM$361,MATCH($O27,Scoring!$AS$29:$AS$361,0))))</f>
        <v>23</v>
      </c>
      <c r="D27" s="6" t="str">
        <f aca="false">IF($O27="","",INDEX(Scoring!$AK$29:$AK$361,MATCH($O27,Scoring!$AS$29:$AS$361,0)))</f>
        <v>Priority 2</v>
      </c>
      <c r="E27" s="7" t="str">
        <f aca="false">IF($O27="","",INDEX(Scoring!$AL$29:$AL$361,MATCH($O27,Scoring!$AS$29:$AS$361,0)))</f>
        <v>High price · lower volume</v>
      </c>
      <c r="F27" s="6" t="str">
        <f aca="false">IF($O27="","",INDEX(Scoring!$B$29:$B$361,MATCH($O27,Scoring!$AS$29:$AS$361,0)))</f>
        <v>Degarelix</v>
      </c>
      <c r="G27" s="7" t="str">
        <f aca="false">IF($O27="","",INDEX(Scoring!$AG$29:$AG$361,MATCH($O27,Scoring!$AS$29:$AS$361,0)))</f>
        <v>Degarelix; Degarelix Accord</v>
      </c>
      <c r="H27" s="7" t="str">
        <f aca="false">IF($O27="","",INDEX(Scoring!$C$29:$C$361,MATCH($O27,Scoring!$AS$29:$AS$361,0)))</f>
        <v>Oncology: hormone therapy for advanced prostate cancer</v>
      </c>
      <c r="I27" s="6" t="str">
        <f aca="false">IF($O27="","",INDEX(Scoring!$I$29:$I$361,MATCH($O27,Scoring!$AS$29:$AS$361,0)))</f>
        <v>Vial</v>
      </c>
      <c r="J27" s="7" t="str">
        <f aca="false">IF($O27="","",INDEX(Scoring!$Z$29:$Z$361,MATCH($O27,Scoring!$AS$29:$AS$361,0)))</f>
        <v>80 mg powder vial</v>
      </c>
      <c r="K27" s="8" t="n">
        <f aca="false">IF($O27="","",IF(INDEX(Scoring!$D$29:$D$361,MATCH($O27,Scoring!$AS$29:$AS$361,0))="",INDEX(Scoring!$AF$29:$AF$361,MATCH($O27,Scoring!$AS$29:$AS$361,0)),INDEX(Scoring!$D$29:$D$361,MATCH($O27,Scoring!$AS$29:$AS$361,0))))</f>
        <v>92.62</v>
      </c>
      <c r="L27" s="9" t="n">
        <f aca="false">IF($O27="","",INDEX(Scoring!$L$29:$L$361,MATCH($O27,Scoring!$AS$29:$AS$361,0)))</f>
        <v>26</v>
      </c>
      <c r="M27" s="9" t="n">
        <f aca="false">IF($O27="","",INDEX(Scoring!$N$29:$N$361,MATCH($O27,Scoring!$AS$29:$AS$361,0)))</f>
        <v>140.86</v>
      </c>
      <c r="N27" s="7" t="str">
        <f aca="false">IF($O27="","",INDEX(Scoring!$AI$29:$AI$361,MATCH($O27,Scoring!$AS$29:$AS$361,0)))</f>
        <v>UK | EU/EEA: all 30 countries</v>
      </c>
      <c r="O27" s="10" t="n">
        <f aca="false">IFERROR(SMALL(Scoring!$AS$29:$AS$361,23),"")</f>
        <v>1023</v>
      </c>
    </row>
    <row r="28" customFormat="false" ht="28.35" hidden="false" customHeight="false" outlineLevel="0" collapsed="false">
      <c r="A28" s="5" t="n">
        <f aca="false">IF($O28="","",INT($O28/1000))</f>
        <v>1</v>
      </c>
      <c r="B28" s="6" t="str">
        <f aca="false">IF($O28="","",INDEX(Scoring!$A$29:$A$361,MATCH($O28,Scoring!$AS$29:$AS$361,0)))</f>
        <v>Intas</v>
      </c>
      <c r="C28" s="5" t="n">
        <f aca="false">IF($O28="","",IF(INDEX(Scoring!$AM$29:$AM$361,MATCH($O28,Scoring!$AS$29:$AS$361,0))="","–",INDEX(Scoring!$AM$29:$AM$361,MATCH($O28,Scoring!$AS$29:$AS$361,0))))</f>
        <v>24</v>
      </c>
      <c r="D28" s="6" t="str">
        <f aca="false">IF($O28="","",INDEX(Scoring!$AK$29:$AK$361,MATCH($O28,Scoring!$AS$29:$AS$361,0)))</f>
        <v>Priority 3</v>
      </c>
      <c r="E28" s="7" t="str">
        <f aca="false">IF($O28="","",INDEX(Scoring!$AL$29:$AL$361,MATCH($O28,Scoring!$AS$29:$AS$361,0)))</f>
        <v>Lower price · lower volume</v>
      </c>
      <c r="F28" s="6" t="str">
        <f aca="false">IF($O28="","",INDEX(Scoring!$B$29:$B$361,MATCH($O28,Scoring!$AS$29:$AS$361,0)))</f>
        <v>Midazolam</v>
      </c>
      <c r="G28" s="7" t="str">
        <f aca="false">IF($O28="","",INDEX(Scoring!$AG$29:$AG$361,MATCH($O28,Scoring!$AS$29:$AS$361,0)))</f>
        <v>Midazolam Accord; Intas Midazolam</v>
      </c>
      <c r="H28" s="7" t="str">
        <f aca="false">IF($O28="","",INDEX(Scoring!$C$29:$C$361,MATCH($O28,Scoring!$AS$29:$AS$361,0)))</f>
        <v>Anaesthesia: sedation for procedures and ICU, anaesthesia induction, seizures</v>
      </c>
      <c r="I28" s="6" t="str">
        <f aca="false">IF($O28="","",INDEX(Scoring!$I$29:$I$361,MATCH($O28,Scoring!$AS$29:$AS$361,0)))</f>
        <v>Ampoule, Prefilled syringe</v>
      </c>
      <c r="J28" s="7" t="str">
        <f aca="false">IF($O28="","",INDEX(Scoring!$Z$29:$Z$361,MATCH($O28,Scoring!$AS$29:$AS$361,0)))</f>
        <v>50 mg/10 mL pre-filled syringe; 5 mg/5 mL pre-filled syringe; 15 mg/3 mL ampoule</v>
      </c>
      <c r="K28" s="8" t="n">
        <f aca="false">IF($O28="","",IF(INDEX(Scoring!$D$29:$D$361,MATCH($O28,Scoring!$AS$29:$AS$361,0))="",INDEX(Scoring!$AF$29:$AF$361,MATCH($O28,Scoring!$AS$29:$AS$361,0)),INDEX(Scoring!$D$29:$D$361,MATCH($O28,Scoring!$AS$29:$AS$361,0))))</f>
        <v>11.33</v>
      </c>
      <c r="L28" s="9" t="n">
        <f aca="false">IF($O28="","",INDEX(Scoring!$L$29:$L$361,MATCH($O28,Scoring!$AS$29:$AS$361,0)))</f>
        <v>221</v>
      </c>
      <c r="M28" s="9" t="n">
        <f aca="false">IF($O28="","",INDEX(Scoring!$N$29:$N$361,MATCH($O28,Scoring!$AS$29:$AS$361,0)))</f>
        <v>5838.25</v>
      </c>
      <c r="N28" s="7" t="str">
        <f aca="false">IF($O28="","",INDEX(Scoring!$AI$29:$AI$361,MATCH($O28,Scoring!$AS$29:$AS$361,0)))</f>
        <v>Australia, UK-NI | EU/EEA (22): Germany, France, Netherlands, Belgium + 18 more</v>
      </c>
      <c r="O28" s="10" t="n">
        <f aca="false">IFERROR(SMALL(Scoring!$AS$29:$AS$361,24),"")</f>
        <v>1024</v>
      </c>
    </row>
    <row r="29" customFormat="false" ht="28.35" hidden="false" customHeight="false" outlineLevel="0" collapsed="false">
      <c r="A29" s="5" t="n">
        <f aca="false">IF($O29="","",INT($O29/1000))</f>
        <v>1</v>
      </c>
      <c r="B29" s="6" t="str">
        <f aca="false">IF($O29="","",INDEX(Scoring!$A$29:$A$361,MATCH($O29,Scoring!$AS$29:$AS$361,0)))</f>
        <v>Intas</v>
      </c>
      <c r="C29" s="5" t="n">
        <f aca="false">IF($O29="","",IF(INDEX(Scoring!$AM$29:$AM$361,MATCH($O29,Scoring!$AS$29:$AS$361,0))="","–",INDEX(Scoring!$AM$29:$AM$361,MATCH($O29,Scoring!$AS$29:$AS$361,0))))</f>
        <v>25</v>
      </c>
      <c r="D29" s="6" t="str">
        <f aca="false">IF($O29="","",INDEX(Scoring!$AK$29:$AK$361,MATCH($O29,Scoring!$AS$29:$AS$361,0)))</f>
        <v>Priority 3</v>
      </c>
      <c r="E29" s="7" t="str">
        <f aca="false">IF($O29="","",INDEX(Scoring!$AL$29:$AL$361,MATCH($O29,Scoring!$AS$29:$AS$361,0)))</f>
        <v>Lower price · lower volume</v>
      </c>
      <c r="F29" s="6" t="str">
        <f aca="false">IF($O29="","",INDEX(Scoring!$B$29:$B$361,MATCH($O29,Scoring!$AS$29:$AS$361,0)))</f>
        <v>Colistimethate Sodium</v>
      </c>
      <c r="G29" s="7" t="str">
        <f aca="false">IF($O29="","",INDEX(Scoring!$AG$29:$AG$361,MATCH($O29,Scoring!$AS$29:$AS$361,0)))</f>
        <v>Colistimethate Sodium; Colistimetato Accord</v>
      </c>
      <c r="H29" s="7" t="str">
        <f aca="false">IF($O29="","",INDEX(Scoring!$C$29:$C$361,MATCH($O29,Scoring!$AS$29:$AS$361,0)))</f>
        <v>Anti-infective: last-line treatment for drug-resistant Gram-negative infections</v>
      </c>
      <c r="I29" s="6" t="str">
        <f aca="false">IF($O29="","",INDEX(Scoring!$I$29:$I$361,MATCH($O29,Scoring!$AS$29:$AS$361,0)))</f>
        <v>Vial</v>
      </c>
      <c r="J29" s="7" t="str">
        <f aca="false">IF($O29="","",INDEX(Scoring!$Z$29:$Z$361,MATCH($O29,Scoring!$AS$29:$AS$361,0)))</f>
        <v>2 MIU powder vial; 1 MIU powder vial</v>
      </c>
      <c r="K29" s="8" t="n">
        <f aca="false">IF($O29="","",IF(INDEX(Scoring!$D$29:$D$361,MATCH($O29,Scoring!$AS$29:$AS$361,0))="",INDEX(Scoring!$AF$29:$AF$361,MATCH($O29,Scoring!$AS$29:$AS$361,0)),INDEX(Scoring!$D$29:$D$361,MATCH($O29,Scoring!$AS$29:$AS$361,0))))</f>
        <v>9.75</v>
      </c>
      <c r="L29" s="9" t="n">
        <f aca="false">IF($O29="","",INDEX(Scoring!$L$29:$L$361,MATCH($O29,Scoring!$AS$29:$AS$361,0)))</f>
        <v>123</v>
      </c>
      <c r="M29" s="9" t="n">
        <f aca="false">IF($O29="","",INDEX(Scoring!$N$29:$N$361,MATCH($O29,Scoring!$AS$29:$AS$361,0)))</f>
        <v>3010.2</v>
      </c>
      <c r="N29" s="7" t="str">
        <f aca="false">IF($O29="","",INDEX(Scoring!$AI$29:$AI$361,MATCH($O29,Scoring!$AS$29:$AS$361,0)))</f>
        <v>UK, UK-NI | EU/EEA (20): France, Netherlands, Belgium, Austria + 16 more</v>
      </c>
      <c r="O29" s="10" t="n">
        <f aca="false">IFERROR(SMALL(Scoring!$AS$29:$AS$361,25),"")</f>
        <v>1025</v>
      </c>
    </row>
    <row r="30" customFormat="false" ht="28.35" hidden="false" customHeight="false" outlineLevel="0" collapsed="false">
      <c r="A30" s="5" t="n">
        <f aca="false">IF($O30="","",INT($O30/1000))</f>
        <v>1</v>
      </c>
      <c r="B30" s="6" t="str">
        <f aca="false">IF($O30="","",INDEX(Scoring!$A$29:$A$361,MATCH($O30,Scoring!$AS$29:$AS$361,0)))</f>
        <v>Intas</v>
      </c>
      <c r="C30" s="5" t="n">
        <f aca="false">IF($O30="","",IF(INDEX(Scoring!$AM$29:$AM$361,MATCH($O30,Scoring!$AS$29:$AS$361,0))="","–",INDEX(Scoring!$AM$29:$AM$361,MATCH($O30,Scoring!$AS$29:$AS$361,0))))</f>
        <v>26</v>
      </c>
      <c r="D30" s="6" t="str">
        <f aca="false">IF($O30="","",INDEX(Scoring!$AK$29:$AK$361,MATCH($O30,Scoring!$AS$29:$AS$361,0)))</f>
        <v>Priority 3</v>
      </c>
      <c r="E30" s="7" t="str">
        <f aca="false">IF($O30="","",INDEX(Scoring!$AL$29:$AL$361,MATCH($O30,Scoring!$AS$29:$AS$361,0)))</f>
        <v>Lower price · lower volume</v>
      </c>
      <c r="F30" s="6" t="str">
        <f aca="false">IF($O30="","",INDEX(Scoring!$B$29:$B$361,MATCH($O30,Scoring!$AS$29:$AS$361,0)))</f>
        <v>Hydroxocobalamin</v>
      </c>
      <c r="G30" s="7" t="str">
        <f aca="false">IF($O30="","",INDEX(Scoring!$AG$29:$AG$361,MATCH($O30,Scoring!$AS$29:$AS$361,0)))</f>
        <v>Hydroxocobalamin Accord Healthcare</v>
      </c>
      <c r="H30" s="7" t="str">
        <f aca="false">IF($O30="","",INDEX(Scoring!$C$29:$C$361,MATCH($O30,Scoring!$AS$29:$AS$361,0)))</f>
        <v>Haematology: vitamin B12 deficiency, cyanide poisoning</v>
      </c>
      <c r="I30" s="6" t="str">
        <f aca="false">IF($O30="","",INDEX(Scoring!$I$29:$I$361,MATCH($O30,Scoring!$AS$29:$AS$361,0)))</f>
        <v>Not stated</v>
      </c>
      <c r="J30" s="7" t="str">
        <f aca="false">IF($O30="","",INDEX(Scoring!$Z$29:$Z$361,MATCH($O30,Scoring!$AS$29:$AS$361,0)))</f>
        <v>1 mg/mL (container not stated)</v>
      </c>
      <c r="K30" s="8" t="n">
        <f aca="false">IF($O30="","",IF(INDEX(Scoring!$D$29:$D$361,MATCH($O30,Scoring!$AS$29:$AS$361,0))="",INDEX(Scoring!$AF$29:$AF$361,MATCH($O30,Scoring!$AS$29:$AS$361,0)),INDEX(Scoring!$D$29:$D$361,MATCH($O30,Scoring!$AS$29:$AS$361,0))))</f>
        <v>9.83</v>
      </c>
      <c r="L30" s="9" t="n">
        <f aca="false">IF($O30="","",INDEX(Scoring!$L$29:$L$361,MATCH($O30,Scoring!$AS$29:$AS$361,0)))</f>
        <v>32</v>
      </c>
      <c r="M30" s="9" t="n">
        <f aca="false">IF($O30="","",INDEX(Scoring!$N$29:$N$361,MATCH($O30,Scoring!$AS$29:$AS$361,0)))</f>
        <v>457.96</v>
      </c>
      <c r="N30" s="7" t="str">
        <f aca="false">IF($O30="","",INDEX(Scoring!$AI$29:$AI$361,MATCH($O30,Scoring!$AS$29:$AS$361,0)))</f>
        <v>UK-NI</v>
      </c>
      <c r="O30" s="10" t="n">
        <f aca="false">IFERROR(SMALL(Scoring!$AS$29:$AS$361,26),"")</f>
        <v>1026</v>
      </c>
    </row>
    <row r="31" customFormat="false" ht="28.35" hidden="false" customHeight="false" outlineLevel="0" collapsed="false">
      <c r="A31" s="5" t="n">
        <f aca="false">IF($O31="","",INT($O31/1000))</f>
        <v>1</v>
      </c>
      <c r="B31" s="6" t="str">
        <f aca="false">IF($O31="","",INDEX(Scoring!$A$29:$A$361,MATCH($O31,Scoring!$AS$29:$AS$361,0)))</f>
        <v>Intas</v>
      </c>
      <c r="C31" s="5" t="str">
        <f aca="false">IF($O31="","",IF(INDEX(Scoring!$AM$29:$AM$361,MATCH($O31,Scoring!$AS$29:$AS$361,0))="","–",INDEX(Scoring!$AM$29:$AM$361,MATCH($O31,Scoring!$AS$29:$AS$361,0))))</f>
        <v>–</v>
      </c>
      <c r="D31" s="6" t="str">
        <f aca="false">IF($O31="","",INDEX(Scoring!$AK$29:$AK$361,MATCH($O31,Scoring!$AS$29:$AS$361,0)))</f>
        <v>Excluded – price ≤ $5</v>
      </c>
      <c r="E31" s="7" t="str">
        <f aca="false">IF($O31="","",INDEX(Scoring!$AL$29:$AL$361,MATCH($O31,Scoring!$AS$29:$AS$361,0)))</f>
        <v/>
      </c>
      <c r="F31" s="6" t="str">
        <f aca="false">IF($O31="","",INDEX(Scoring!$B$29:$B$361,MATCH($O31,Scoring!$AS$29:$AS$361,0)))</f>
        <v>Amoxicillin</v>
      </c>
      <c r="G31" s="7" t="str">
        <f aca="false">IF($O31="","",INDEX(Scoring!$AG$29:$AG$361,MATCH($O31,Scoring!$AS$29:$AS$361,0)))</f>
        <v>Amoxicillin Accord Healthcare</v>
      </c>
      <c r="H31" s="7" t="str">
        <f aca="false">IF($O31="","",INDEX(Scoring!$C$29:$C$361,MATCH($O31,Scoring!$AS$29:$AS$361,0)))</f>
        <v>Anti-infective: serious bacterial infections when oral treatment is not possible</v>
      </c>
      <c r="I31" s="6" t="str">
        <f aca="false">IF($O31="","",INDEX(Scoring!$I$29:$I$361,MATCH($O31,Scoring!$AS$29:$AS$361,0)))</f>
        <v>Not stated</v>
      </c>
      <c r="J31" s="7" t="str">
        <f aca="false">IF($O31="","",INDEX(Scoring!$Z$29:$Z$361,MATCH($O31,Scoring!$AS$29:$AS$361,0)))</f>
        <v>500 mg (container not stated)</v>
      </c>
      <c r="K31" s="8" t="n">
        <f aca="false">IF($O31="","",IF(INDEX(Scoring!$D$29:$D$361,MATCH($O31,Scoring!$AS$29:$AS$361,0))="",INDEX(Scoring!$AF$29:$AF$361,MATCH($O31,Scoring!$AS$29:$AS$361,0)),INDEX(Scoring!$D$29:$D$361,MATCH($O31,Scoring!$AS$29:$AS$361,0))))</f>
        <v>1.59</v>
      </c>
      <c r="L31" s="9" t="n">
        <f aca="false">IF($O31="","",INDEX(Scoring!$L$29:$L$361,MATCH($O31,Scoring!$AS$29:$AS$361,0)))</f>
        <v>9172</v>
      </c>
      <c r="M31" s="9" t="n">
        <f aca="false">IF($O31="","",INDEX(Scoring!$N$29:$N$361,MATCH($O31,Scoring!$AS$29:$AS$361,0)))</f>
        <v>433588.09</v>
      </c>
      <c r="N31" s="7" t="str">
        <f aca="false">IF($O31="","",INDEX(Scoring!$AI$29:$AI$361,MATCH($O31,Scoring!$AS$29:$AS$361,0)))</f>
        <v>UK-NI | EU/EEA (1): Portugal</v>
      </c>
      <c r="O31" s="10" t="n">
        <f aca="false">IFERROR(SMALL(Scoring!$AS$29:$AS$361,27),"")</f>
        <v>1901</v>
      </c>
    </row>
    <row r="32" customFormat="false" ht="28.35" hidden="false" customHeight="false" outlineLevel="0" collapsed="false">
      <c r="A32" s="5" t="n">
        <f aca="false">IF($O32="","",INT($O32/1000))</f>
        <v>1</v>
      </c>
      <c r="B32" s="6" t="str">
        <f aca="false">IF($O32="","",INDEX(Scoring!$A$29:$A$361,MATCH($O32,Scoring!$AS$29:$AS$361,0)))</f>
        <v>Intas</v>
      </c>
      <c r="C32" s="5" t="str">
        <f aca="false">IF($O32="","",IF(INDEX(Scoring!$AM$29:$AM$361,MATCH($O32,Scoring!$AS$29:$AS$361,0))="","–",INDEX(Scoring!$AM$29:$AM$361,MATCH($O32,Scoring!$AS$29:$AS$361,0))))</f>
        <v>–</v>
      </c>
      <c r="D32" s="6" t="str">
        <f aca="false">IF($O32="","",INDEX(Scoring!$AK$29:$AK$361,MATCH($O32,Scoring!$AS$29:$AS$361,0)))</f>
        <v>Excluded – price ≤ $5</v>
      </c>
      <c r="E32" s="7" t="str">
        <f aca="false">IF($O32="","",INDEX(Scoring!$AL$29:$AL$361,MATCH($O32,Scoring!$AS$29:$AS$361,0)))</f>
        <v/>
      </c>
      <c r="F32" s="6" t="str">
        <f aca="false">IF($O32="","",INDEX(Scoring!$B$29:$B$361,MATCH($O32,Scoring!$AS$29:$AS$361,0)))</f>
        <v>Glycopyrrolate</v>
      </c>
      <c r="G32" s="7" t="str">
        <f aca="false">IF($O32="","",INDEX(Scoring!$AG$29:$AG$361,MATCH($O32,Scoring!$AS$29:$AS$361,0)))</f>
        <v>Glycopyrrolate Accord</v>
      </c>
      <c r="H32" s="7" t="str">
        <f aca="false">IF($O32="","",INDEX(Scoring!$C$29:$C$361,MATCH($O32,Scoring!$AS$29:$AS$361,0)))</f>
        <v>Anaesthesia: reduces secretions, reversal of muscle relaxants</v>
      </c>
      <c r="I32" s="6" t="str">
        <f aca="false">IF($O32="","",INDEX(Scoring!$I$29:$I$361,MATCH($O32,Scoring!$AS$29:$AS$361,0)))</f>
        <v>Ampoule</v>
      </c>
      <c r="J32" s="7" t="str">
        <f aca="false">IF($O32="","",INDEX(Scoring!$Z$29:$Z$361,MATCH($O32,Scoring!$AS$29:$AS$361,0)))</f>
        <v>0.6 mg/3 mL ampoule</v>
      </c>
      <c r="K32" s="8" t="n">
        <f aca="false">IF($O32="","",IF(INDEX(Scoring!$D$29:$D$361,MATCH($O32,Scoring!$AS$29:$AS$361,0))="",INDEX(Scoring!$AF$29:$AF$361,MATCH($O32,Scoring!$AS$29:$AS$361,0)),INDEX(Scoring!$D$29:$D$361,MATCH($O32,Scoring!$AS$29:$AS$361,0))))</f>
        <v>3</v>
      </c>
      <c r="L32" s="9" t="n">
        <f aca="false">IF($O32="","",INDEX(Scoring!$L$29:$L$361,MATCH($O32,Scoring!$AS$29:$AS$361,0)))</f>
        <v>286</v>
      </c>
      <c r="M32" s="9" t="n">
        <f aca="false">IF($O32="","",INDEX(Scoring!$N$29:$N$361,MATCH($O32,Scoring!$AS$29:$AS$361,0)))</f>
        <v>3193.58</v>
      </c>
      <c r="N32" s="7" t="str">
        <f aca="false">IF($O32="","",INDEX(Scoring!$AI$29:$AI$361,MATCH($O32,Scoring!$AS$29:$AS$361,0)))</f>
        <v>Australia, UK-NI | EU/EEA (6): Germany, Austria, Cyprus, Finland, Italy, Sweden</v>
      </c>
      <c r="O32" s="10" t="n">
        <f aca="false">IFERROR(SMALL(Scoring!$AS$29:$AS$361,28),"")</f>
        <v>1902</v>
      </c>
    </row>
    <row r="33" customFormat="false" ht="28.35" hidden="false" customHeight="false" outlineLevel="0" collapsed="false">
      <c r="A33" s="5" t="n">
        <f aca="false">IF($O33="","",INT($O33/1000))</f>
        <v>1</v>
      </c>
      <c r="B33" s="6" t="str">
        <f aca="false">IF($O33="","",INDEX(Scoring!$A$29:$A$361,MATCH($O33,Scoring!$AS$29:$AS$361,0)))</f>
        <v>Intas</v>
      </c>
      <c r="C33" s="5" t="str">
        <f aca="false">IF($O33="","",IF(INDEX(Scoring!$AM$29:$AM$361,MATCH($O33,Scoring!$AS$29:$AS$361,0))="","–",INDEX(Scoring!$AM$29:$AM$361,MATCH($O33,Scoring!$AS$29:$AS$361,0))))</f>
        <v>–</v>
      </c>
      <c r="D33" s="6" t="str">
        <f aca="false">IF($O33="","",INDEX(Scoring!$AK$29:$AK$361,MATCH($O33,Scoring!$AS$29:$AS$361,0)))</f>
        <v>Excluded – price ≤ $5</v>
      </c>
      <c r="E33" s="7" t="str">
        <f aca="false">IF($O33="","",INDEX(Scoring!$AL$29:$AL$361,MATCH($O33,Scoring!$AS$29:$AS$361,0)))</f>
        <v/>
      </c>
      <c r="F33" s="6" t="str">
        <f aca="false">IF($O33="","",INDEX(Scoring!$B$29:$B$361,MATCH($O33,Scoring!$AS$29:$AS$361,0)))</f>
        <v>Lidocaine</v>
      </c>
      <c r="G33" s="7" t="str">
        <f aca="false">IF($O33="","",INDEX(Scoring!$AG$29:$AG$361,MATCH($O33,Scoring!$AS$29:$AS$361,0)))</f>
        <v>Lidocaine Accord; Lidocaine Intas</v>
      </c>
      <c r="H33" s="7" t="str">
        <f aca="false">IF($O33="","",INDEX(Scoring!$C$29:$C$361,MATCH($O33,Scoring!$AS$29:$AS$361,0)))</f>
        <v>Anaesthesia: local anaesthetic, ventricular arrhythmias</v>
      </c>
      <c r="I33" s="6" t="str">
        <f aca="false">IF($O33="","",INDEX(Scoring!$I$29:$I$361,MATCH($O33,Scoring!$AS$29:$AS$361,0)))</f>
        <v>Vial, Ampoule</v>
      </c>
      <c r="J33" s="7" t="str">
        <f aca="false">IF($O33="","",INDEX(Scoring!$Z$29:$Z$361,MATCH($O33,Scoring!$AS$29:$AS$361,0)))</f>
        <v>100 mg/5 mL ampoule; 400 mg/20 mL vial; 40 mg/2 mL ampoule; 200 mg/20 mL vial</v>
      </c>
      <c r="K33" s="8" t="n">
        <f aca="false">IF($O33="","",IF(INDEX(Scoring!$D$29:$D$361,MATCH($O33,Scoring!$AS$29:$AS$361,0))="",INDEX(Scoring!$AF$29:$AF$361,MATCH($O33,Scoring!$AS$29:$AS$361,0)),INDEX(Scoring!$D$29:$D$361,MATCH($O33,Scoring!$AS$29:$AS$361,0))))</f>
        <v>1.42</v>
      </c>
      <c r="L33" s="9" t="n">
        <f aca="false">IF($O33="","",INDEX(Scoring!$L$29:$L$361,MATCH($O33,Scoring!$AS$29:$AS$361,0)))</f>
        <v>1683</v>
      </c>
      <c r="M33" s="9" t="n">
        <f aca="false">IF($O33="","",INDEX(Scoring!$N$29:$N$361,MATCH($O33,Scoring!$AS$29:$AS$361,0)))</f>
        <v>46739.27</v>
      </c>
      <c r="N33" s="7" t="str">
        <f aca="false">IF($O33="","",INDEX(Scoring!$AI$29:$AI$361,MATCH($O33,Scoring!$AS$29:$AS$361,0)))</f>
        <v>Australia, UK-NI | EU/EEA (7): Austria, Cyprus, Estonia, Lithuania + 3 more</v>
      </c>
      <c r="O33" s="10" t="n">
        <f aca="false">IFERROR(SMALL(Scoring!$AS$29:$AS$361,29),"")</f>
        <v>1903</v>
      </c>
    </row>
    <row r="34" customFormat="false" ht="28.35" hidden="false" customHeight="false" outlineLevel="0" collapsed="false">
      <c r="A34" s="5" t="n">
        <f aca="false">IF($O34="","",INT($O34/1000))</f>
        <v>1</v>
      </c>
      <c r="B34" s="6" t="str">
        <f aca="false">IF($O34="","",INDEX(Scoring!$A$29:$A$361,MATCH($O34,Scoring!$AS$29:$AS$361,0)))</f>
        <v>Intas</v>
      </c>
      <c r="C34" s="5" t="str">
        <f aca="false">IF($O34="","",IF(INDEX(Scoring!$AM$29:$AM$361,MATCH($O34,Scoring!$AS$29:$AS$361,0))="","–",INDEX(Scoring!$AM$29:$AM$361,MATCH($O34,Scoring!$AS$29:$AS$361,0))))</f>
        <v>–</v>
      </c>
      <c r="D34" s="6" t="str">
        <f aca="false">IF($O34="","",INDEX(Scoring!$AK$29:$AK$361,MATCH($O34,Scoring!$AS$29:$AS$361,0)))</f>
        <v>Excluded – price ≤ $5</v>
      </c>
      <c r="E34" s="7" t="str">
        <f aca="false">IF($O34="","",INDEX(Scoring!$AL$29:$AL$361,MATCH($O34,Scoring!$AS$29:$AS$361,0)))</f>
        <v/>
      </c>
      <c r="F34" s="6" t="str">
        <f aca="false">IF($O34="","",INDEX(Scoring!$B$29:$B$361,MATCH($O34,Scoring!$AS$29:$AS$361,0)))</f>
        <v>Phenytoin</v>
      </c>
      <c r="G34" s="7" t="str">
        <f aca="false">IF($O34="","",INDEX(Scoring!$AG$29:$AG$361,MATCH($O34,Scoring!$AS$29:$AS$361,0)))</f>
        <v>Phenytoin Accord</v>
      </c>
      <c r="H34" s="7" t="str">
        <f aca="false">IF($O34="","",INDEX(Scoring!$C$29:$C$361,MATCH($O34,Scoring!$AS$29:$AS$361,0)))</f>
        <v>Neurology: status epilepticus, seizure prevention</v>
      </c>
      <c r="I34" s="6" t="str">
        <f aca="false">IF($O34="","",INDEX(Scoring!$I$29:$I$361,MATCH($O34,Scoring!$AS$29:$AS$361,0)))</f>
        <v>Not stated</v>
      </c>
      <c r="J34" s="7" t="str">
        <f aca="false">IF($O34="","",INDEX(Scoring!$Z$29:$Z$361,MATCH($O34,Scoring!$AS$29:$AS$361,0)))</f>
        <v>100 mg/2 mL (container not stated)</v>
      </c>
      <c r="K34" s="8" t="n">
        <f aca="false">IF($O34="","",IF(INDEX(Scoring!$D$29:$D$361,MATCH($O34,Scoring!$AS$29:$AS$361,0))="",INDEX(Scoring!$AF$29:$AF$361,MATCH($O34,Scoring!$AS$29:$AS$361,0)),INDEX(Scoring!$D$29:$D$361,MATCH($O34,Scoring!$AS$29:$AS$361,0))))</f>
        <v>4.49</v>
      </c>
      <c r="L34" s="9" t="n">
        <f aca="false">IF($O34="","",INDEX(Scoring!$L$29:$L$361,MATCH($O34,Scoring!$AS$29:$AS$361,0)))</f>
        <v>627</v>
      </c>
      <c r="M34" s="9" t="n">
        <f aca="false">IF($O34="","",INDEX(Scoring!$N$29:$N$361,MATCH($O34,Scoring!$AS$29:$AS$361,0)))</f>
        <v>6050.02</v>
      </c>
      <c r="N34" s="7" t="str">
        <f aca="false">IF($O34="","",INDEX(Scoring!$AI$29:$AI$361,MATCH($O34,Scoring!$AS$29:$AS$361,0)))</f>
        <v>UK-NI | EU/EEA (1): Portugal</v>
      </c>
      <c r="O34" s="10" t="n">
        <f aca="false">IFERROR(SMALL(Scoring!$AS$29:$AS$361,30),"")</f>
        <v>1904</v>
      </c>
    </row>
    <row r="35" customFormat="false" ht="28.35" hidden="false" customHeight="false" outlineLevel="0" collapsed="false">
      <c r="A35" s="5" t="n">
        <f aca="false">IF($O35="","",INT($O35/1000))</f>
        <v>2</v>
      </c>
      <c r="B35" s="6" t="str">
        <f aca="false">IF($O35="","",INDEX(Scoring!$A$29:$A$361,MATCH($O35,Scoring!$AS$29:$AS$361,0)))</f>
        <v>Aurobindo</v>
      </c>
      <c r="C35" s="5" t="n">
        <f aca="false">IF($O35="","",IF(INDEX(Scoring!$AM$29:$AM$361,MATCH($O35,Scoring!$AS$29:$AS$361,0))="","–",INDEX(Scoring!$AM$29:$AM$361,MATCH($O35,Scoring!$AS$29:$AS$361,0))))</f>
        <v>1</v>
      </c>
      <c r="D35" s="6" t="str">
        <f aca="false">IF($O35="","",INDEX(Scoring!$AK$29:$AK$361,MATCH($O35,Scoring!$AS$29:$AS$361,0)))</f>
        <v>Priority 1</v>
      </c>
      <c r="E35" s="7" t="str">
        <f aca="false">IF($O35="","",INDEX(Scoring!$AL$29:$AL$361,MATCH($O35,Scoring!$AS$29:$AS$361,0)))</f>
        <v>High price · high volume</v>
      </c>
      <c r="F35" s="6" t="str">
        <f aca="false">IF($O35="","",INDEX(Scoring!$B$29:$B$361,MATCH($O35,Scoring!$AS$29:$AS$361,0)))</f>
        <v>Azacitidine</v>
      </c>
      <c r="G35" s="7" t="str">
        <f aca="false">IF($O35="","",INDEX(Scoring!$AG$29:$AG$361,MATCH($O35,Scoring!$AS$29:$AS$361,0)))</f>
        <v>Azacitidine; Azacitidin Puren; Azacitidine Eugia</v>
      </c>
      <c r="H35" s="7" t="str">
        <f aca="false">IF($O35="","",INDEX(Scoring!$C$29:$C$361,MATCH($O35,Scoring!$AS$29:$AS$361,0)))</f>
        <v>Oncology: myelodysplastic syndromes, acute myeloid leukaemia</v>
      </c>
      <c r="I35" s="6" t="str">
        <f aca="false">IF($O35="","",INDEX(Scoring!$I$29:$I$361,MATCH($O35,Scoring!$AS$29:$AS$361,0)))</f>
        <v>Vial</v>
      </c>
      <c r="J35" s="7" t="str">
        <f aca="false">IF($O35="","",INDEX(Scoring!$Z$29:$Z$361,MATCH($O35,Scoring!$AS$29:$AS$361,0)))</f>
        <v>25 mg/mL powder vial; 100 mg powder vial</v>
      </c>
      <c r="K35" s="8" t="n">
        <f aca="false">IF($O35="","",IF(INDEX(Scoring!$D$29:$D$361,MATCH($O35,Scoring!$AS$29:$AS$361,0))="",INDEX(Scoring!$AF$29:$AF$361,MATCH($O35,Scoring!$AS$29:$AS$361,0)),INDEX(Scoring!$D$29:$D$361,MATCH($O35,Scoring!$AS$29:$AS$361,0))))</f>
        <v>256.12</v>
      </c>
      <c r="L35" s="9" t="n">
        <f aca="false">IF($O35="","",INDEX(Scoring!$L$29:$L$361,MATCH($O35,Scoring!$AS$29:$AS$361,0)))</f>
        <v>762</v>
      </c>
      <c r="M35" s="9" t="n">
        <f aca="false">IF($O35="","",INDEX(Scoring!$N$29:$N$361,MATCH($O35,Scoring!$AS$29:$AS$361,0)))</f>
        <v>50865.56</v>
      </c>
      <c r="N35" s="7" t="str">
        <f aca="false">IF($O35="","",INDEX(Scoring!$AI$29:$AI$361,MATCH($O35,Scoring!$AS$29:$AS$361,0)))</f>
        <v>UK, Australia, UK-NI | EU/EEA (8): Germany, France, Netherlands, Belgium + 4 more</v>
      </c>
      <c r="O35" s="10" t="n">
        <f aca="false">IFERROR(SMALL(Scoring!$AS$29:$AS$361,31),"")</f>
        <v>2001</v>
      </c>
    </row>
    <row r="36" customFormat="false" ht="41.75" hidden="false" customHeight="false" outlineLevel="0" collapsed="false">
      <c r="A36" s="5" t="n">
        <f aca="false">IF($O36="","",INT($O36/1000))</f>
        <v>2</v>
      </c>
      <c r="B36" s="6" t="str">
        <f aca="false">IF($O36="","",INDEX(Scoring!$A$29:$A$361,MATCH($O36,Scoring!$AS$29:$AS$361,0)))</f>
        <v>Aurobindo</v>
      </c>
      <c r="C36" s="5" t="n">
        <f aca="false">IF($O36="","",IF(INDEX(Scoring!$AM$29:$AM$361,MATCH($O36,Scoring!$AS$29:$AS$361,0))="","–",INDEX(Scoring!$AM$29:$AM$361,MATCH($O36,Scoring!$AS$29:$AS$361,0))))</f>
        <v>2</v>
      </c>
      <c r="D36" s="6" t="str">
        <f aca="false">IF($O36="","",INDEX(Scoring!$AK$29:$AK$361,MATCH($O36,Scoring!$AS$29:$AS$361,0)))</f>
        <v>Priority 1</v>
      </c>
      <c r="E36" s="7" t="str">
        <f aca="false">IF($O36="","",INDEX(Scoring!$AL$29:$AL$361,MATCH($O36,Scoring!$AS$29:$AS$361,0)))</f>
        <v>High price · high volume</v>
      </c>
      <c r="F36" s="6" t="str">
        <f aca="false">IF($O36="","",INDEX(Scoring!$B$29:$B$361,MATCH($O36,Scoring!$AS$29:$AS$361,0)))</f>
        <v>Bortezomib</v>
      </c>
      <c r="G36" s="7" t="str">
        <f aca="false">IF($O36="","",INDEX(Scoring!$AG$29:$AG$361,MATCH($O36,Scoring!$AS$29:$AS$361,0)))</f>
        <v>Bortezomib; Bortezomib Milpharm; Bortezomib Arrow (+1 more)</v>
      </c>
      <c r="H36" s="7" t="str">
        <f aca="false">IF($O36="","",INDEX(Scoring!$C$29:$C$361,MATCH($O36,Scoring!$AS$29:$AS$361,0)))</f>
        <v>Oncology: multiple myeloma, mantle cell lymphoma</v>
      </c>
      <c r="I36" s="6" t="str">
        <f aca="false">IF($O36="","",INDEX(Scoring!$I$29:$I$361,MATCH($O36,Scoring!$AS$29:$AS$361,0)))</f>
        <v>Vial</v>
      </c>
      <c r="J36" s="7" t="str">
        <f aca="false">IF($O36="","",INDEX(Scoring!$Z$29:$Z$361,MATCH($O36,Scoring!$AS$29:$AS$361,0)))</f>
        <v>3.5 mg powder vial</v>
      </c>
      <c r="K36" s="8" t="n">
        <f aca="false">IF($O36="","",IF(INDEX(Scoring!$D$29:$D$361,MATCH($O36,Scoring!$AS$29:$AS$361,0))="",INDEX(Scoring!$AF$29:$AF$361,MATCH($O36,Scoring!$AS$29:$AS$361,0)),INDEX(Scoring!$D$29:$D$361,MATCH($O36,Scoring!$AS$29:$AS$361,0))))</f>
        <v>584.34</v>
      </c>
      <c r="L36" s="9" t="n">
        <f aca="false">IF($O36="","",INDEX(Scoring!$L$29:$L$361,MATCH($O36,Scoring!$AS$29:$AS$361,0)))</f>
        <v>905</v>
      </c>
      <c r="M36" s="9" t="n">
        <f aca="false">IF($O36="","",INDEX(Scoring!$N$29:$N$361,MATCH($O36,Scoring!$AS$29:$AS$361,0)))</f>
        <v>28093.38</v>
      </c>
      <c r="N36" s="7" t="str">
        <f aca="false">IF($O36="","",INDEX(Scoring!$AI$29:$AI$361,MATCH($O36,Scoring!$AS$29:$AS$361,0)))</f>
        <v>US, UK, Australia, UK-NI | EU/EEA (8): Germany, France, Netherlands, Belgium + 4 more</v>
      </c>
      <c r="O36" s="10" t="n">
        <f aca="false">IFERROR(SMALL(Scoring!$AS$29:$AS$361,32),"")</f>
        <v>2002</v>
      </c>
    </row>
    <row r="37" customFormat="false" ht="28.35" hidden="false" customHeight="false" outlineLevel="0" collapsed="false">
      <c r="A37" s="5" t="n">
        <f aca="false">IF($O37="","",INT($O37/1000))</f>
        <v>2</v>
      </c>
      <c r="B37" s="6" t="str">
        <f aca="false">IF($O37="","",INDEX(Scoring!$A$29:$A$361,MATCH($O37,Scoring!$AS$29:$AS$361,0)))</f>
        <v>Aurobindo</v>
      </c>
      <c r="C37" s="5" t="n">
        <f aca="false">IF($O37="","",IF(INDEX(Scoring!$AM$29:$AM$361,MATCH($O37,Scoring!$AS$29:$AS$361,0))="","–",INDEX(Scoring!$AM$29:$AM$361,MATCH($O37,Scoring!$AS$29:$AS$361,0))))</f>
        <v>3</v>
      </c>
      <c r="D37" s="6" t="str">
        <f aca="false">IF($O37="","",INDEX(Scoring!$AK$29:$AK$361,MATCH($O37,Scoring!$AS$29:$AS$361,0)))</f>
        <v>Priority 1</v>
      </c>
      <c r="E37" s="7" t="str">
        <f aca="false">IF($O37="","",INDEX(Scoring!$AL$29:$AL$361,MATCH($O37,Scoring!$AS$29:$AS$361,0)))</f>
        <v>High price · high volume</v>
      </c>
      <c r="F37" s="6" t="str">
        <f aca="false">IF($O37="","",INDEX(Scoring!$B$29:$B$361,MATCH($O37,Scoring!$AS$29:$AS$361,0)))</f>
        <v>Naloxone</v>
      </c>
      <c r="G37" s="7" t="str">
        <f aca="false">IF($O37="","",INDEX(Scoring!$AG$29:$AG$361,MATCH($O37,Scoring!$AS$29:$AS$361,0)))</f>
        <v>Naloxone Hydrochloride</v>
      </c>
      <c r="H37" s="7" t="str">
        <f aca="false">IF($O37="","",INDEX(Scoring!$C$29:$C$361,MATCH($O37,Scoring!$AS$29:$AS$361,0)))</f>
        <v>Critical care: reversal of opioid overdose</v>
      </c>
      <c r="I37" s="6" t="str">
        <f aca="false">IF($O37="","",INDEX(Scoring!$I$29:$I$361,MATCH($O37,Scoring!$AS$29:$AS$361,0)))</f>
        <v>Vial, Prefilled syringe</v>
      </c>
      <c r="J37" s="7" t="str">
        <f aca="false">IF($O37="","",INDEX(Scoring!$Z$29:$Z$361,MATCH($O37,Scoring!$AS$29:$AS$361,0)))</f>
        <v>2 mg/2 mL pre-filled syringe; 0.4 mg/1 mL vial; 4 mg/10 mL vial</v>
      </c>
      <c r="K37" s="8" t="n">
        <f aca="false">IF($O37="","",IF(INDEX(Scoring!$D$29:$D$361,MATCH($O37,Scoring!$AS$29:$AS$361,0))="",INDEX(Scoring!$AF$29:$AF$361,MATCH($O37,Scoring!$AS$29:$AS$361,0)),INDEX(Scoring!$D$29:$D$361,MATCH($O37,Scoring!$AS$29:$AS$361,0))))</f>
        <v>51.32</v>
      </c>
      <c r="L37" s="9" t="n">
        <f aca="false">IF($O37="","",INDEX(Scoring!$L$29:$L$361,MATCH($O37,Scoring!$AS$29:$AS$361,0)))</f>
        <v>365</v>
      </c>
      <c r="M37" s="9" t="n">
        <f aca="false">IF($O37="","",INDEX(Scoring!$N$29:$N$361,MATCH($O37,Scoring!$AS$29:$AS$361,0)))</f>
        <v>5976.94</v>
      </c>
      <c r="N37" s="7" t="str">
        <f aca="false">IF($O37="","",INDEX(Scoring!$AI$29:$AI$361,MATCH($O37,Scoring!$AS$29:$AS$361,0)))</f>
        <v>US, Canada</v>
      </c>
      <c r="O37" s="10" t="n">
        <f aca="false">IFERROR(SMALL(Scoring!$AS$29:$AS$361,33),"")</f>
        <v>2003</v>
      </c>
    </row>
    <row r="38" customFormat="false" ht="28.35" hidden="false" customHeight="false" outlineLevel="0" collapsed="false">
      <c r="A38" s="5" t="n">
        <f aca="false">IF($O38="","",INT($O38/1000))</f>
        <v>2</v>
      </c>
      <c r="B38" s="6" t="str">
        <f aca="false">IF($O38="","",INDEX(Scoring!$A$29:$A$361,MATCH($O38,Scoring!$AS$29:$AS$361,0)))</f>
        <v>Aurobindo</v>
      </c>
      <c r="C38" s="5" t="n">
        <f aca="false">IF($O38="","",IF(INDEX(Scoring!$AM$29:$AM$361,MATCH($O38,Scoring!$AS$29:$AS$361,0))="","–",INDEX(Scoring!$AM$29:$AM$361,MATCH($O38,Scoring!$AS$29:$AS$361,0))))</f>
        <v>4</v>
      </c>
      <c r="D38" s="6" t="str">
        <f aca="false">IF($O38="","",INDEX(Scoring!$AK$29:$AK$361,MATCH($O38,Scoring!$AS$29:$AS$361,0)))</f>
        <v>Priority 1</v>
      </c>
      <c r="E38" s="7" t="str">
        <f aca="false">IF($O38="","",INDEX(Scoring!$AL$29:$AL$361,MATCH($O38,Scoring!$AS$29:$AS$361,0)))</f>
        <v>High price · high volume</v>
      </c>
      <c r="F38" s="6" t="str">
        <f aca="false">IF($O38="","",INDEX(Scoring!$B$29:$B$361,MATCH($O38,Scoring!$AS$29:$AS$361,0)))</f>
        <v>Folinic Acid (Leucovorin)</v>
      </c>
      <c r="G38" s="7" t="str">
        <f aca="false">IF($O38="","",INDEX(Scoring!$AG$29:$AG$361,MATCH($O38,Scoring!$AS$29:$AS$361,0)))</f>
        <v>Folinsäure Aurobindo</v>
      </c>
      <c r="H38" s="7" t="str">
        <f aca="false">IF($O38="","",INDEX(Scoring!$C$29:$C$361,MATCH($O38,Scoring!$AS$29:$AS$361,0)))</f>
        <v>Oncology support: methotrexate rescue, combination therapy in colorectal cancer</v>
      </c>
      <c r="I38" s="6" t="str">
        <f aca="false">IF($O38="","",INDEX(Scoring!$I$29:$I$361,MATCH($O38,Scoring!$AS$29:$AS$361,0)))</f>
        <v>Vial</v>
      </c>
      <c r="J38" s="7" t="str">
        <f aca="false">IF($O38="","",INDEX(Scoring!$Z$29:$Z$361,MATCH($O38,Scoring!$AS$29:$AS$361,0)))</f>
        <v>1000 mg/100 mL vial</v>
      </c>
      <c r="K38" s="8" t="n">
        <f aca="false">IF($O38="","",IF(INDEX(Scoring!$D$29:$D$361,MATCH($O38,Scoring!$AS$29:$AS$361,0))="",INDEX(Scoring!$AF$29:$AF$361,MATCH($O38,Scoring!$AS$29:$AS$361,0)),INDEX(Scoring!$D$29:$D$361,MATCH($O38,Scoring!$AS$29:$AS$361,0))))</f>
        <v>64.93</v>
      </c>
      <c r="L38" s="9" t="n">
        <f aca="false">IF($O38="","",INDEX(Scoring!$L$29:$L$361,MATCH($O38,Scoring!$AS$29:$AS$361,0)))</f>
        <v>366</v>
      </c>
      <c r="M38" s="9" t="n">
        <f aca="false">IF($O38="","",INDEX(Scoring!$N$29:$N$361,MATCH($O38,Scoring!$AS$29:$AS$361,0)))</f>
        <v>5357.19</v>
      </c>
      <c r="N38" s="7" t="str">
        <f aca="false">IF($O38="","",INDEX(Scoring!$AI$29:$AI$361,MATCH($O38,Scoring!$AS$29:$AS$361,0)))</f>
        <v>EU/EEA (1): Germany</v>
      </c>
      <c r="O38" s="10" t="n">
        <f aca="false">IFERROR(SMALL(Scoring!$AS$29:$AS$361,34),"")</f>
        <v>2004</v>
      </c>
    </row>
    <row r="39" customFormat="false" ht="28.35" hidden="false" customHeight="false" outlineLevel="0" collapsed="false">
      <c r="A39" s="5" t="n">
        <f aca="false">IF($O39="","",INT($O39/1000))</f>
        <v>2</v>
      </c>
      <c r="B39" s="6" t="str">
        <f aca="false">IF($O39="","",INDEX(Scoring!$A$29:$A$361,MATCH($O39,Scoring!$AS$29:$AS$361,0)))</f>
        <v>Aurobindo</v>
      </c>
      <c r="C39" s="5" t="n">
        <f aca="false">IF($O39="","",IF(INDEX(Scoring!$AM$29:$AM$361,MATCH($O39,Scoring!$AS$29:$AS$361,0))="","–",INDEX(Scoring!$AM$29:$AM$361,MATCH($O39,Scoring!$AS$29:$AS$361,0))))</f>
        <v>5</v>
      </c>
      <c r="D39" s="6" t="str">
        <f aca="false">IF($O39="","",INDEX(Scoring!$AK$29:$AK$361,MATCH($O39,Scoring!$AS$29:$AS$361,0)))</f>
        <v>Priority 1</v>
      </c>
      <c r="E39" s="7" t="str">
        <f aca="false">IF($O39="","",INDEX(Scoring!$AL$29:$AL$361,MATCH($O39,Scoring!$AS$29:$AS$361,0)))</f>
        <v>High price · high volume</v>
      </c>
      <c r="F39" s="6" t="str">
        <f aca="false">IF($O39="","",INDEX(Scoring!$B$29:$B$361,MATCH($O39,Scoring!$AS$29:$AS$361,0)))</f>
        <v>Testosterone Enanthate</v>
      </c>
      <c r="G39" s="7" t="str">
        <f aca="false">IF($O39="","",INDEX(Scoring!$AG$29:$AG$361,MATCH($O39,Scoring!$AS$29:$AS$361,0)))</f>
        <v>Testosterone Enanthate</v>
      </c>
      <c r="H39" s="7" t="str">
        <f aca="false">IF($O39="","",INDEX(Scoring!$C$29:$C$361,MATCH($O39,Scoring!$AS$29:$AS$361,0)))</f>
        <v>Endocrinology: male hypogonadism, delayed puberty</v>
      </c>
      <c r="I39" s="6" t="str">
        <f aca="false">IF($O39="","",INDEX(Scoring!$I$29:$I$361,MATCH($O39,Scoring!$AS$29:$AS$361,0)))</f>
        <v>Vial</v>
      </c>
      <c r="J39" s="7" t="str">
        <f aca="false">IF($O39="","",INDEX(Scoring!$Z$29:$Z$361,MATCH($O39,Scoring!$AS$29:$AS$361,0)))</f>
        <v>1000 mg/5 mL vial</v>
      </c>
      <c r="K39" s="8" t="n">
        <f aca="false">IF($O39="","",IF(INDEX(Scoring!$D$29:$D$361,MATCH($O39,Scoring!$AS$29:$AS$361,0))="",INDEX(Scoring!$AF$29:$AF$361,MATCH($O39,Scoring!$AS$29:$AS$361,0)),INDEX(Scoring!$D$29:$D$361,MATCH($O39,Scoring!$AS$29:$AS$361,0))))</f>
        <v>36.17</v>
      </c>
      <c r="L39" s="9" t="n">
        <f aca="false">IF($O39="","",INDEX(Scoring!$L$29:$L$361,MATCH($O39,Scoring!$AS$29:$AS$361,0)))</f>
        <v>448</v>
      </c>
      <c r="M39" s="9" t="n">
        <f aca="false">IF($O39="","",INDEX(Scoring!$N$29:$N$361,MATCH($O39,Scoring!$AS$29:$AS$361,0)))</f>
        <v>1202.23</v>
      </c>
      <c r="N39" s="7" t="str">
        <f aca="false">IF($O39="","",INDEX(Scoring!$AI$29:$AI$361,MATCH($O39,Scoring!$AS$29:$AS$361,0)))</f>
        <v>US</v>
      </c>
      <c r="O39" s="10" t="n">
        <f aca="false">IFERROR(SMALL(Scoring!$AS$29:$AS$361,35),"")</f>
        <v>2005</v>
      </c>
    </row>
    <row r="40" customFormat="false" ht="28.35" hidden="false" customHeight="false" outlineLevel="0" collapsed="false">
      <c r="A40" s="5" t="n">
        <f aca="false">IF($O40="","",INT($O40/1000))</f>
        <v>2</v>
      </c>
      <c r="B40" s="6" t="str">
        <f aca="false">IF($O40="","",INDEX(Scoring!$A$29:$A$361,MATCH($O40,Scoring!$AS$29:$AS$361,0)))</f>
        <v>Aurobindo</v>
      </c>
      <c r="C40" s="5" t="n">
        <f aca="false">IF($O40="","",IF(INDEX(Scoring!$AM$29:$AM$361,MATCH($O40,Scoring!$AS$29:$AS$361,0))="","–",INDEX(Scoring!$AM$29:$AM$361,MATCH($O40,Scoring!$AS$29:$AS$361,0))))</f>
        <v>6</v>
      </c>
      <c r="D40" s="6" t="str">
        <f aca="false">IF($O40="","",INDEX(Scoring!$AK$29:$AK$361,MATCH($O40,Scoring!$AS$29:$AS$361,0)))</f>
        <v>Priority 2</v>
      </c>
      <c r="E40" s="7" t="str">
        <f aca="false">IF($O40="","",INDEX(Scoring!$AL$29:$AL$361,MATCH($O40,Scoring!$AS$29:$AS$361,0)))</f>
        <v>Lower price · high volume</v>
      </c>
      <c r="F40" s="6" t="str">
        <f aca="false">IF($O40="","",INDEX(Scoring!$B$29:$B$361,MATCH($O40,Scoring!$AS$29:$AS$361,0)))</f>
        <v>Ceftriaxone</v>
      </c>
      <c r="G40" s="7" t="str">
        <f aca="false">IF($O40="","",INDEX(Scoring!$AG$29:$AG$361,MATCH($O40,Scoring!$AS$29:$AS$361,0)))</f>
        <v>Ceftriaxon Puren; Ceftriaxone Almus</v>
      </c>
      <c r="H40" s="7" t="str">
        <f aca="false">IF($O40="","",INDEX(Scoring!$C$29:$C$361,MATCH($O40,Scoring!$AS$29:$AS$361,0)))</f>
        <v>Anti-infective: pneumonia, meningitis, sepsis, gonorrhoea, typhoid</v>
      </c>
      <c r="I40" s="6" t="str">
        <f aca="false">IF($O40="","",INDEX(Scoring!$I$29:$I$361,MATCH($O40,Scoring!$AS$29:$AS$361,0)))</f>
        <v>Vial, Ampoule</v>
      </c>
      <c r="J40" s="7" t="str">
        <f aca="false">IF($O40="","",INDEX(Scoring!$Z$29:$Z$361,MATCH($O40,Scoring!$AS$29:$AS$361,0)))</f>
        <v>1 g powder vial</v>
      </c>
      <c r="K40" s="8" t="n">
        <f aca="false">IF($O40="","",IF(INDEX(Scoring!$D$29:$D$361,MATCH($O40,Scoring!$AS$29:$AS$361,0))="",INDEX(Scoring!$AF$29:$AF$361,MATCH($O40,Scoring!$AS$29:$AS$361,0)),INDEX(Scoring!$D$29:$D$361,MATCH($O40,Scoring!$AS$29:$AS$361,0))))</f>
        <v>5.6</v>
      </c>
      <c r="L40" s="9" t="n">
        <f aca="false">IF($O40="","",INDEX(Scoring!$L$29:$L$361,MATCH($O40,Scoring!$AS$29:$AS$361,0)))</f>
        <v>3110</v>
      </c>
      <c r="M40" s="9" t="n">
        <f aca="false">IF($O40="","",INDEX(Scoring!$N$29:$N$361,MATCH($O40,Scoring!$AS$29:$AS$361,0)))</f>
        <v>93119.22</v>
      </c>
      <c r="N40" s="7" t="str">
        <f aca="false">IF($O40="","",INDEX(Scoring!$AI$29:$AI$361,MATCH($O40,Scoring!$AS$29:$AS$361,0)))</f>
        <v>EU/EEA (4): Germany, France, Italy, Portugal</v>
      </c>
      <c r="O40" s="10" t="n">
        <f aca="false">IFERROR(SMALL(Scoring!$AS$29:$AS$361,36),"")</f>
        <v>2006</v>
      </c>
    </row>
    <row r="41" customFormat="false" ht="28.35" hidden="false" customHeight="false" outlineLevel="0" collapsed="false">
      <c r="A41" s="5" t="n">
        <f aca="false">IF($O41="","",INT($O41/1000))</f>
        <v>2</v>
      </c>
      <c r="B41" s="6" t="str">
        <f aca="false">IF($O41="","",INDEX(Scoring!$A$29:$A$361,MATCH($O41,Scoring!$AS$29:$AS$361,0)))</f>
        <v>Aurobindo</v>
      </c>
      <c r="C41" s="5" t="n">
        <f aca="false">IF($O41="","",IF(INDEX(Scoring!$AM$29:$AM$361,MATCH($O41,Scoring!$AS$29:$AS$361,0))="","–",INDEX(Scoring!$AM$29:$AM$361,MATCH($O41,Scoring!$AS$29:$AS$361,0))))</f>
        <v>7</v>
      </c>
      <c r="D41" s="6" t="str">
        <f aca="false">IF($O41="","",INDEX(Scoring!$AK$29:$AK$361,MATCH($O41,Scoring!$AS$29:$AS$361,0)))</f>
        <v>Priority 2</v>
      </c>
      <c r="E41" s="7" t="str">
        <f aca="false">IF($O41="","",INDEX(Scoring!$AL$29:$AL$361,MATCH($O41,Scoring!$AS$29:$AS$361,0)))</f>
        <v>High price · lower volume</v>
      </c>
      <c r="F41" s="6" t="str">
        <f aca="false">IF($O41="","",INDEX(Scoring!$B$29:$B$361,MATCH($O41,Scoring!$AS$29:$AS$361,0)))</f>
        <v>Ertapenem</v>
      </c>
      <c r="G41" s="7" t="str">
        <f aca="false">IF($O41="","",INDEX(Scoring!$AG$29:$AG$361,MATCH($O41,Scoring!$AS$29:$AS$361,0)))</f>
        <v>Ertapenem Sodium; Ertapenem; Etamep (+1 more)</v>
      </c>
      <c r="H41" s="7" t="str">
        <f aca="false">IF($O41="","",INDEX(Scoring!$C$29:$C$361,MATCH($O41,Scoring!$AS$29:$AS$361,0)))</f>
        <v>Anti-infective: abdominal, skin and urinary infections, pneumonia</v>
      </c>
      <c r="I41" s="6" t="str">
        <f aca="false">IF($O41="","",INDEX(Scoring!$I$29:$I$361,MATCH($O41,Scoring!$AS$29:$AS$361,0)))</f>
        <v>Vial</v>
      </c>
      <c r="J41" s="7" t="str">
        <f aca="false">IF($O41="","",INDEX(Scoring!$Z$29:$Z$361,MATCH($O41,Scoring!$AS$29:$AS$361,0)))</f>
        <v>1 g powder vial; 1 g in 20 mL powder vial</v>
      </c>
      <c r="K41" s="8" t="n">
        <f aca="false">IF($O41="","",IF(INDEX(Scoring!$D$29:$D$361,MATCH($O41,Scoring!$AS$29:$AS$361,0))="",INDEX(Scoring!$AF$29:$AF$361,MATCH($O41,Scoring!$AS$29:$AS$361,0)),INDEX(Scoring!$D$29:$D$361,MATCH($O41,Scoring!$AS$29:$AS$361,0))))</f>
        <v>28.55</v>
      </c>
      <c r="L41" s="9" t="n">
        <f aca="false">IF($O41="","",INDEX(Scoring!$L$29:$L$361,MATCH($O41,Scoring!$AS$29:$AS$361,0)))</f>
        <v>223</v>
      </c>
      <c r="M41" s="9" t="n">
        <f aca="false">IF($O41="","",INDEX(Scoring!$N$29:$N$361,MATCH($O41,Scoring!$AS$29:$AS$361,0)))</f>
        <v>53539.87</v>
      </c>
      <c r="N41" s="7" t="str">
        <f aca="false">IF($O41="","",INDEX(Scoring!$AI$29:$AI$361,MATCH($O41,Scoring!$AS$29:$AS$361,0)))</f>
        <v>US, Canada, South Africa, UK-NI | EU/EEA (6): France, Italy, Poland, Portugal, Romania, Spain</v>
      </c>
      <c r="O41" s="10" t="n">
        <f aca="false">IFERROR(SMALL(Scoring!$AS$29:$AS$361,37),"")</f>
        <v>2007</v>
      </c>
    </row>
    <row r="42" customFormat="false" ht="28.35" hidden="false" customHeight="false" outlineLevel="0" collapsed="false">
      <c r="A42" s="5" t="n">
        <f aca="false">IF($O42="","",INT($O42/1000))</f>
        <v>2</v>
      </c>
      <c r="B42" s="6" t="str">
        <f aca="false">IF($O42="","",INDEX(Scoring!$A$29:$A$361,MATCH($O42,Scoring!$AS$29:$AS$361,0)))</f>
        <v>Aurobindo</v>
      </c>
      <c r="C42" s="5" t="n">
        <f aca="false">IF($O42="","",IF(INDEX(Scoring!$AM$29:$AM$361,MATCH($O42,Scoring!$AS$29:$AS$361,0))="","–",INDEX(Scoring!$AM$29:$AM$361,MATCH($O42,Scoring!$AS$29:$AS$361,0))))</f>
        <v>8</v>
      </c>
      <c r="D42" s="6" t="str">
        <f aca="false">IF($O42="","",INDEX(Scoring!$AK$29:$AK$361,MATCH($O42,Scoring!$AS$29:$AS$361,0)))</f>
        <v>Priority 2</v>
      </c>
      <c r="E42" s="7" t="str">
        <f aca="false">IF($O42="","",INDEX(Scoring!$AL$29:$AL$361,MATCH($O42,Scoring!$AS$29:$AS$361,0)))</f>
        <v>Lower price · high volume</v>
      </c>
      <c r="F42" s="6" t="str">
        <f aca="false">IF($O42="","",INDEX(Scoring!$B$29:$B$361,MATCH($O42,Scoring!$AS$29:$AS$361,0)))</f>
        <v>Ampicillin</v>
      </c>
      <c r="G42" s="7" t="str">
        <f aca="false">IF($O42="","",INDEX(Scoring!$AG$29:$AG$361,MATCH($O42,Scoring!$AS$29:$AS$361,0)))</f>
        <v>Ampicillin Sodium</v>
      </c>
      <c r="H42" s="7" t="str">
        <f aca="false">IF($O42="","",INDEX(Scoring!$C$29:$C$361,MATCH($O42,Scoring!$AS$29:$AS$361,0)))</f>
        <v>Anti-infective: meningitis, endocarditis, neonatal sepsis</v>
      </c>
      <c r="I42" s="6" t="str">
        <f aca="false">IF($O42="","",INDEX(Scoring!$I$29:$I$361,MATCH($O42,Scoring!$AS$29:$AS$361,0)))</f>
        <v>Vial</v>
      </c>
      <c r="J42" s="7" t="str">
        <f aca="false">IF($O42="","",INDEX(Scoring!$Z$29:$Z$361,MATCH($O42,Scoring!$AS$29:$AS$361,0)))</f>
        <v>2 g/20 mL vial</v>
      </c>
      <c r="K42" s="8" t="n">
        <f aca="false">IF($O42="","",IF(INDEX(Scoring!$D$29:$D$361,MATCH($O42,Scoring!$AS$29:$AS$361,0))="",INDEX(Scoring!$AF$29:$AF$361,MATCH($O42,Scoring!$AS$29:$AS$361,0)),INDEX(Scoring!$D$29:$D$361,MATCH($O42,Scoring!$AS$29:$AS$361,0))))</f>
        <v>7.79</v>
      </c>
      <c r="L42" s="9" t="n">
        <f aca="false">IF($O42="","",INDEX(Scoring!$L$29:$L$361,MATCH($O42,Scoring!$AS$29:$AS$361,0)))</f>
        <v>1393</v>
      </c>
      <c r="M42" s="9" t="n">
        <f aca="false">IF($O42="","",INDEX(Scoring!$N$29:$N$361,MATCH($O42,Scoring!$AS$29:$AS$361,0)))</f>
        <v>52401.4</v>
      </c>
      <c r="N42" s="7" t="str">
        <f aca="false">IF($O42="","",INDEX(Scoring!$AI$29:$AI$361,MATCH($O42,Scoring!$AS$29:$AS$361,0)))</f>
        <v>Canada | EU/EEA (1): Germany</v>
      </c>
      <c r="O42" s="10" t="n">
        <f aca="false">IFERROR(SMALL(Scoring!$AS$29:$AS$361,38),"")</f>
        <v>2008</v>
      </c>
    </row>
    <row r="43" customFormat="false" ht="28.35" hidden="false" customHeight="false" outlineLevel="0" collapsed="false">
      <c r="A43" s="5" t="n">
        <f aca="false">IF($O43="","",INT($O43/1000))</f>
        <v>2</v>
      </c>
      <c r="B43" s="6" t="str">
        <f aca="false">IF($O43="","",INDEX(Scoring!$A$29:$A$361,MATCH($O43,Scoring!$AS$29:$AS$361,0)))</f>
        <v>Aurobindo</v>
      </c>
      <c r="C43" s="5" t="n">
        <f aca="false">IF($O43="","",IF(INDEX(Scoring!$AM$29:$AM$361,MATCH($O43,Scoring!$AS$29:$AS$361,0))="","–",INDEX(Scoring!$AM$29:$AM$361,MATCH($O43,Scoring!$AS$29:$AS$361,0))))</f>
        <v>9</v>
      </c>
      <c r="D43" s="6" t="str">
        <f aca="false">IF($O43="","",INDEX(Scoring!$AK$29:$AK$361,MATCH($O43,Scoring!$AS$29:$AS$361,0)))</f>
        <v>Priority 2</v>
      </c>
      <c r="E43" s="7" t="str">
        <f aca="false">IF($O43="","",INDEX(Scoring!$AL$29:$AL$361,MATCH($O43,Scoring!$AS$29:$AS$361,0)))</f>
        <v>Lower price · high volume</v>
      </c>
      <c r="F43" s="6" t="str">
        <f aca="false">IF($O43="","",INDEX(Scoring!$B$29:$B$361,MATCH($O43,Scoring!$AS$29:$AS$361,0)))</f>
        <v>Ondansetron</v>
      </c>
      <c r="G43" s="7" t="str">
        <f aca="false">IF($O43="","",INDEX(Scoring!$AG$29:$AG$361,MATCH($O43,Scoring!$AS$29:$AS$361,0)))</f>
        <v>Ondansetron; Ondansetron Ab; Auro-Ondansetron (+1 more)</v>
      </c>
      <c r="H43" s="7" t="str">
        <f aca="false">IF($O43="","",INDEX(Scoring!$C$29:$C$361,MATCH($O43,Scoring!$AS$29:$AS$361,0)))</f>
        <v>Oncology support: nausea and vomiting from chemotherapy and surgery</v>
      </c>
      <c r="I43" s="6" t="str">
        <f aca="false">IF($O43="","",INDEX(Scoring!$I$29:$I$361,MATCH($O43,Scoring!$AS$29:$AS$361,0)))</f>
        <v>Vial, Ampoule</v>
      </c>
      <c r="J43" s="7" t="str">
        <f aca="false">IF($O43="","",INDEX(Scoring!$Z$29:$Z$361,MATCH($O43,Scoring!$AS$29:$AS$361,0)))</f>
        <v>2 mg/mL ampoule; 4 mg/2 mL ampoule; 4 mg/2 mL vial; 8 mg/4 mL vial</v>
      </c>
      <c r="K43" s="8" t="n">
        <f aca="false">IF($O43="","",IF(INDEX(Scoring!$D$29:$D$361,MATCH($O43,Scoring!$AS$29:$AS$361,0))="",INDEX(Scoring!$AF$29:$AF$361,MATCH($O43,Scoring!$AS$29:$AS$361,0)),INDEX(Scoring!$D$29:$D$361,MATCH($O43,Scoring!$AS$29:$AS$361,0))))</f>
        <v>9.82</v>
      </c>
      <c r="L43" s="9" t="n">
        <f aca="false">IF($O43="","",INDEX(Scoring!$L$29:$L$361,MATCH($O43,Scoring!$AS$29:$AS$361,0)))</f>
        <v>2546</v>
      </c>
      <c r="M43" s="9" t="n">
        <f aca="false">IF($O43="","",INDEX(Scoring!$N$29:$N$361,MATCH($O43,Scoring!$AS$29:$AS$361,0)))</f>
        <v>46507.62</v>
      </c>
      <c r="N43" s="7" t="str">
        <f aca="false">IF($O43="","",INDEX(Scoring!$AI$29:$AI$361,MATCH($O43,Scoring!$AS$29:$AS$361,0)))</f>
        <v>UK, Canada, UK-NI | EU/EEA (7): Germany, Belgium, Italy, Luxembourg + 3 more</v>
      </c>
      <c r="O43" s="10" t="n">
        <f aca="false">IFERROR(SMALL(Scoring!$AS$29:$AS$361,39),"")</f>
        <v>2009</v>
      </c>
    </row>
    <row r="44" customFormat="false" ht="28.35" hidden="false" customHeight="false" outlineLevel="0" collapsed="false">
      <c r="A44" s="5" t="n">
        <f aca="false">IF($O44="","",INT($O44/1000))</f>
        <v>2</v>
      </c>
      <c r="B44" s="6" t="str">
        <f aca="false">IF($O44="","",INDEX(Scoring!$A$29:$A$361,MATCH($O44,Scoring!$AS$29:$AS$361,0)))</f>
        <v>Aurobindo</v>
      </c>
      <c r="C44" s="5" t="n">
        <f aca="false">IF($O44="","",IF(INDEX(Scoring!$AM$29:$AM$361,MATCH($O44,Scoring!$AS$29:$AS$361,0))="","–",INDEX(Scoring!$AM$29:$AM$361,MATCH($O44,Scoring!$AS$29:$AS$361,0))))</f>
        <v>10</v>
      </c>
      <c r="D44" s="6" t="str">
        <f aca="false">IF($O44="","",INDEX(Scoring!$AK$29:$AK$361,MATCH($O44,Scoring!$AS$29:$AS$361,0)))</f>
        <v>Priority 2</v>
      </c>
      <c r="E44" s="7" t="str">
        <f aca="false">IF($O44="","",INDEX(Scoring!$AL$29:$AL$361,MATCH($O44,Scoring!$AS$29:$AS$361,0)))</f>
        <v>Lower price · high volume</v>
      </c>
      <c r="F44" s="6" t="str">
        <f aca="false">IF($O44="","",INDEX(Scoring!$B$29:$B$361,MATCH($O44,Scoring!$AS$29:$AS$361,0)))</f>
        <v>Progesterone</v>
      </c>
      <c r="G44" s="7" t="str">
        <f aca="false">IF($O44="","",INDEX(Scoring!$AG$29:$AG$361,MATCH($O44,Scoring!$AS$29:$AS$361,0)))</f>
        <v>Progesterone</v>
      </c>
      <c r="H44" s="7" t="str">
        <f aca="false">IF($O44="","",INDEX(Scoring!$C$29:$C$361,MATCH($O44,Scoring!$AS$29:$AS$361,0)))</f>
        <v>Women's health: IVF support, absent periods, abnormal uterine bleeding</v>
      </c>
      <c r="I44" s="6" t="str">
        <f aca="false">IF($O44="","",INDEX(Scoring!$I$29:$I$361,MATCH($O44,Scoring!$AS$29:$AS$361,0)))</f>
        <v>Vial</v>
      </c>
      <c r="J44" s="7" t="str">
        <f aca="false">IF($O44="","",INDEX(Scoring!$Z$29:$Z$361,MATCH($O44,Scoring!$AS$29:$AS$361,0)))</f>
        <v>500 mg/10 mL vial</v>
      </c>
      <c r="K44" s="8" t="n">
        <f aca="false">IF($O44="","",IF(INDEX(Scoring!$D$29:$D$361,MATCH($O44,Scoring!$AS$29:$AS$361,0))="",INDEX(Scoring!$AF$29:$AF$361,MATCH($O44,Scoring!$AS$29:$AS$361,0)),INDEX(Scoring!$D$29:$D$361,MATCH($O44,Scoring!$AS$29:$AS$361,0))))</f>
        <v>22.25</v>
      </c>
      <c r="L44" s="9" t="n">
        <f aca="false">IF($O44="","",INDEX(Scoring!$L$29:$L$361,MATCH($O44,Scoring!$AS$29:$AS$361,0)))</f>
        <v>736</v>
      </c>
      <c r="M44" s="9" t="n">
        <f aca="false">IF($O44="","",INDEX(Scoring!$N$29:$N$361,MATCH($O44,Scoring!$AS$29:$AS$361,0)))</f>
        <v>22018.81</v>
      </c>
      <c r="N44" s="7" t="str">
        <f aca="false">IF($O44="","",INDEX(Scoring!$AI$29:$AI$361,MATCH($O44,Scoring!$AS$29:$AS$361,0)))</f>
        <v>US</v>
      </c>
      <c r="O44" s="10" t="n">
        <f aca="false">IFERROR(SMALL(Scoring!$AS$29:$AS$361,40),"")</f>
        <v>2010</v>
      </c>
    </row>
    <row r="45" customFormat="false" ht="28.35" hidden="false" customHeight="false" outlineLevel="0" collapsed="false">
      <c r="A45" s="5" t="n">
        <f aca="false">IF($O45="","",INT($O45/1000))</f>
        <v>2</v>
      </c>
      <c r="B45" s="6" t="str">
        <f aca="false">IF($O45="","",INDEX(Scoring!$A$29:$A$361,MATCH($O45,Scoring!$AS$29:$AS$361,0)))</f>
        <v>Aurobindo</v>
      </c>
      <c r="C45" s="5" t="n">
        <f aca="false">IF($O45="","",IF(INDEX(Scoring!$AM$29:$AM$361,MATCH($O45,Scoring!$AS$29:$AS$361,0))="","–",INDEX(Scoring!$AM$29:$AM$361,MATCH($O45,Scoring!$AS$29:$AS$361,0))))</f>
        <v>11</v>
      </c>
      <c r="D45" s="6" t="str">
        <f aca="false">IF($O45="","",INDEX(Scoring!$AK$29:$AK$361,MATCH($O45,Scoring!$AS$29:$AS$361,0)))</f>
        <v>Priority 2</v>
      </c>
      <c r="E45" s="7" t="str">
        <f aca="false">IF($O45="","",INDEX(Scoring!$AL$29:$AL$361,MATCH($O45,Scoring!$AS$29:$AS$361,0)))</f>
        <v>Lower price · high volume</v>
      </c>
      <c r="F45" s="6" t="str">
        <f aca="false">IF($O45="","",INDEX(Scoring!$B$29:$B$361,MATCH($O45,Scoring!$AS$29:$AS$361,0)))</f>
        <v>Hydralazine</v>
      </c>
      <c r="G45" s="7" t="str">
        <f aca="false">IF($O45="","",INDEX(Scoring!$AG$29:$AG$361,MATCH($O45,Scoring!$AS$29:$AS$361,0)))</f>
        <v>Hydralazine Hydrochloride</v>
      </c>
      <c r="H45" s="7" t="str">
        <f aca="false">IF($O45="","",INDEX(Scoring!$C$29:$C$361,MATCH($O45,Scoring!$AS$29:$AS$361,0)))</f>
        <v>Cardiovascular: severe high blood pressure in pregnancy, hypertensive emergency</v>
      </c>
      <c r="I45" s="6" t="str">
        <f aca="false">IF($O45="","",INDEX(Scoring!$I$29:$I$361,MATCH($O45,Scoring!$AS$29:$AS$361,0)))</f>
        <v>Vial</v>
      </c>
      <c r="J45" s="7" t="str">
        <f aca="false">IF($O45="","",INDEX(Scoring!$Z$29:$Z$361,MATCH($O45,Scoring!$AS$29:$AS$361,0)))</f>
        <v>20 mg/1 mL vial</v>
      </c>
      <c r="K45" s="8" t="n">
        <f aca="false">IF($O45="","",IF(INDEX(Scoring!$D$29:$D$361,MATCH($O45,Scoring!$AS$29:$AS$361,0))="",INDEX(Scoring!$AF$29:$AF$361,MATCH($O45,Scoring!$AS$29:$AS$361,0)),INDEX(Scoring!$D$29:$D$361,MATCH($O45,Scoring!$AS$29:$AS$361,0))))</f>
        <v>7.36</v>
      </c>
      <c r="L45" s="9" t="n">
        <f aca="false">IF($O45="","",INDEX(Scoring!$L$29:$L$361,MATCH($O45,Scoring!$AS$29:$AS$361,0)))</f>
        <v>503</v>
      </c>
      <c r="M45" s="9" t="n">
        <f aca="false">IF($O45="","",INDEX(Scoring!$N$29:$N$361,MATCH($O45,Scoring!$AS$29:$AS$361,0)))</f>
        <v>21671.77</v>
      </c>
      <c r="N45" s="7" t="str">
        <f aca="false">IF($O45="","",INDEX(Scoring!$AI$29:$AI$361,MATCH($O45,Scoring!$AS$29:$AS$361,0)))</f>
        <v>Canada</v>
      </c>
      <c r="O45" s="10" t="n">
        <f aca="false">IFERROR(SMALL(Scoring!$AS$29:$AS$361,41),"")</f>
        <v>2011</v>
      </c>
    </row>
    <row r="46" customFormat="false" ht="28.35" hidden="false" customHeight="false" outlineLevel="0" collapsed="false">
      <c r="A46" s="5" t="n">
        <f aca="false">IF($O46="","",INT($O46/1000))</f>
        <v>2</v>
      </c>
      <c r="B46" s="6" t="str">
        <f aca="false">IF($O46="","",INDEX(Scoring!$A$29:$A$361,MATCH($O46,Scoring!$AS$29:$AS$361,0)))</f>
        <v>Aurobindo</v>
      </c>
      <c r="C46" s="5" t="n">
        <f aca="false">IF($O46="","",IF(INDEX(Scoring!$AM$29:$AM$361,MATCH($O46,Scoring!$AS$29:$AS$361,0))="","–",INDEX(Scoring!$AM$29:$AM$361,MATCH($O46,Scoring!$AS$29:$AS$361,0))))</f>
        <v>12</v>
      </c>
      <c r="D46" s="6" t="str">
        <f aca="false">IF($O46="","",INDEX(Scoring!$AK$29:$AK$361,MATCH($O46,Scoring!$AS$29:$AS$361,0)))</f>
        <v>Priority 2</v>
      </c>
      <c r="E46" s="7" t="str">
        <f aca="false">IF($O46="","",INDEX(Scoring!$AL$29:$AL$361,MATCH($O46,Scoring!$AS$29:$AS$361,0)))</f>
        <v>Lower price · high volume</v>
      </c>
      <c r="F46" s="6" t="str">
        <f aca="false">IF($O46="","",INDEX(Scoring!$B$29:$B$361,MATCH($O46,Scoring!$AS$29:$AS$361,0)))</f>
        <v>Bupivacaine</v>
      </c>
      <c r="G46" s="7" t="str">
        <f aca="false">IF($O46="","",INDEX(Scoring!$AG$29:$AG$361,MATCH($O46,Scoring!$AS$29:$AS$361,0)))</f>
        <v>Bupivan</v>
      </c>
      <c r="H46" s="7" t="str">
        <f aca="false">IF($O46="","",INDEX(Scoring!$C$29:$C$361,MATCH($O46,Scoring!$AS$29:$AS$361,0)))</f>
        <v>Anaesthesia: long-acting local anaesthetic for spinal, epidural and nerve block</v>
      </c>
      <c r="I46" s="6" t="str">
        <f aca="false">IF($O46="","",INDEX(Scoring!$I$29:$I$361,MATCH($O46,Scoring!$AS$29:$AS$361,0)))</f>
        <v>Ampoule</v>
      </c>
      <c r="J46" s="7" t="str">
        <f aca="false">IF($O46="","",INDEX(Scoring!$Z$29:$Z$361,MATCH($O46,Scoring!$AS$29:$AS$361,0)))</f>
        <v>25 mg/5 mL ampoule</v>
      </c>
      <c r="K46" s="8" t="n">
        <f aca="false">IF($O46="","",IF(INDEX(Scoring!$D$29:$D$361,MATCH($O46,Scoring!$AS$29:$AS$361,0))="",INDEX(Scoring!$AF$29:$AF$361,MATCH($O46,Scoring!$AS$29:$AS$361,0)),INDEX(Scoring!$D$29:$D$361,MATCH($O46,Scoring!$AS$29:$AS$361,0))))</f>
        <v>5.15</v>
      </c>
      <c r="L46" s="9" t="n">
        <f aca="false">IF($O46="","",INDEX(Scoring!$L$29:$L$361,MATCH($O46,Scoring!$AS$29:$AS$361,0)))</f>
        <v>598</v>
      </c>
      <c r="M46" s="9" t="n">
        <f aca="false">IF($O46="","",INDEX(Scoring!$N$29:$N$361,MATCH($O46,Scoring!$AS$29:$AS$361,0)))</f>
        <v>16840.43</v>
      </c>
      <c r="N46" s="7" t="str">
        <f aca="false">IF($O46="","",INDEX(Scoring!$AI$29:$AI$361,MATCH($O46,Scoring!$AS$29:$AS$361,0)))</f>
        <v>UK-NI | EU/EEA (5): Germany, Netherlands, Italy, Portugal, Spain</v>
      </c>
      <c r="O46" s="10" t="n">
        <f aca="false">IFERROR(SMALL(Scoring!$AS$29:$AS$361,42),"")</f>
        <v>2012</v>
      </c>
    </row>
    <row r="47" customFormat="false" ht="41.75" hidden="false" customHeight="false" outlineLevel="0" collapsed="false">
      <c r="A47" s="5" t="n">
        <f aca="false">IF($O47="","",INT($O47/1000))</f>
        <v>2</v>
      </c>
      <c r="B47" s="6" t="str">
        <f aca="false">IF($O47="","",INDEX(Scoring!$A$29:$A$361,MATCH($O47,Scoring!$AS$29:$AS$361,0)))</f>
        <v>Aurobindo</v>
      </c>
      <c r="C47" s="5" t="n">
        <f aca="false">IF($O47="","",IF(INDEX(Scoring!$AM$29:$AM$361,MATCH($O47,Scoring!$AS$29:$AS$361,0))="","–",INDEX(Scoring!$AM$29:$AM$361,MATCH($O47,Scoring!$AS$29:$AS$361,0))))</f>
        <v>13</v>
      </c>
      <c r="D47" s="6" t="str">
        <f aca="false">IF($O47="","",INDEX(Scoring!$AK$29:$AK$361,MATCH($O47,Scoring!$AS$29:$AS$361,0)))</f>
        <v>Priority 2</v>
      </c>
      <c r="E47" s="7" t="str">
        <f aca="false">IF($O47="","",INDEX(Scoring!$AL$29:$AL$361,MATCH($O47,Scoring!$AS$29:$AS$361,0)))</f>
        <v>Lower price · high volume</v>
      </c>
      <c r="F47" s="6" t="str">
        <f aca="false">IF($O47="","",INDEX(Scoring!$B$29:$B$361,MATCH($O47,Scoring!$AS$29:$AS$361,0)))</f>
        <v>Methotrexate</v>
      </c>
      <c r="G47" s="7" t="str">
        <f aca="false">IF($O47="","",INDEX(Scoring!$AG$29:$AG$361,MATCH($O47,Scoring!$AS$29:$AS$361,0)))</f>
        <v>Methotrexate Sodium Preservative Free</v>
      </c>
      <c r="H47" s="7" t="str">
        <f aca="false">IF($O47="","",INDEX(Scoring!$C$29:$C$361,MATCH($O47,Scoring!$AS$29:$AS$361,0)))</f>
        <v>Oncology and immunology: leukaemia, lymphoma, bone cancer, rheumatoid arthritis, psoriasis</v>
      </c>
      <c r="I47" s="6" t="str">
        <f aca="false">IF($O47="","",INDEX(Scoring!$I$29:$I$361,MATCH($O47,Scoring!$AS$29:$AS$361,0)))</f>
        <v>Vial</v>
      </c>
      <c r="J47" s="7" t="str">
        <f aca="false">IF($O47="","",INDEX(Scoring!$Z$29:$Z$361,MATCH($O47,Scoring!$AS$29:$AS$361,0)))</f>
        <v>50 mg/2 mL vial; 200 mg/8 mL vial; 250 mg/10 mL vial</v>
      </c>
      <c r="K47" s="8" t="n">
        <f aca="false">IF($O47="","",IF(INDEX(Scoring!$D$29:$D$361,MATCH($O47,Scoring!$AS$29:$AS$361,0))="",INDEX(Scoring!$AF$29:$AF$361,MATCH($O47,Scoring!$AS$29:$AS$361,0)),INDEX(Scoring!$D$29:$D$361,MATCH($O47,Scoring!$AS$29:$AS$361,0))))</f>
        <v>9.81</v>
      </c>
      <c r="L47" s="9" t="n">
        <f aca="false">IF($O47="","",INDEX(Scoring!$L$29:$L$361,MATCH($O47,Scoring!$AS$29:$AS$361,0)))</f>
        <v>1282</v>
      </c>
      <c r="M47" s="9" t="n">
        <f aca="false">IF($O47="","",INDEX(Scoring!$N$29:$N$361,MATCH($O47,Scoring!$AS$29:$AS$361,0)))</f>
        <v>16792.84</v>
      </c>
      <c r="N47" s="7" t="str">
        <f aca="false">IF($O47="","",INDEX(Scoring!$AI$29:$AI$361,MATCH($O47,Scoring!$AS$29:$AS$361,0)))</f>
        <v>US</v>
      </c>
      <c r="O47" s="10" t="n">
        <f aca="false">IFERROR(SMALL(Scoring!$AS$29:$AS$361,43),"")</f>
        <v>2013</v>
      </c>
    </row>
    <row r="48" customFormat="false" ht="28.35" hidden="false" customHeight="false" outlineLevel="0" collapsed="false">
      <c r="A48" s="5" t="n">
        <f aca="false">IF($O48="","",INT($O48/1000))</f>
        <v>2</v>
      </c>
      <c r="B48" s="6" t="str">
        <f aca="false">IF($O48="","",INDEX(Scoring!$A$29:$A$361,MATCH($O48,Scoring!$AS$29:$AS$361,0)))</f>
        <v>Aurobindo</v>
      </c>
      <c r="C48" s="5" t="n">
        <f aca="false">IF($O48="","",IF(INDEX(Scoring!$AM$29:$AM$361,MATCH($O48,Scoring!$AS$29:$AS$361,0))="","–",INDEX(Scoring!$AM$29:$AM$361,MATCH($O48,Scoring!$AS$29:$AS$361,0))))</f>
        <v>14</v>
      </c>
      <c r="D48" s="6" t="str">
        <f aca="false">IF($O48="","",INDEX(Scoring!$AK$29:$AK$361,MATCH($O48,Scoring!$AS$29:$AS$361,0)))</f>
        <v>Priority 2</v>
      </c>
      <c r="E48" s="7" t="str">
        <f aca="false">IF($O48="","",INDEX(Scoring!$AL$29:$AL$361,MATCH($O48,Scoring!$AS$29:$AS$361,0)))</f>
        <v>High price · lower volume</v>
      </c>
      <c r="F48" s="6" t="str">
        <f aca="false">IF($O48="","",INDEX(Scoring!$B$29:$B$361,MATCH($O48,Scoring!$AS$29:$AS$361,0)))</f>
        <v>Fulvestrant</v>
      </c>
      <c r="G48" s="7" t="str">
        <f aca="false">IF($O48="","",INDEX(Scoring!$AG$29:$AG$361,MATCH($O48,Scoring!$AS$29:$AS$361,0)))</f>
        <v>Fulvestrant; Fulvestrant Arrow; EUG-Fulvestrant</v>
      </c>
      <c r="H48" s="7" t="str">
        <f aca="false">IF($O48="","",INDEX(Scoring!$C$29:$C$361,MATCH($O48,Scoring!$AS$29:$AS$361,0)))</f>
        <v>Oncology: hormone receptor-positive advanced breast cancer</v>
      </c>
      <c r="I48" s="6" t="str">
        <f aca="false">IF($O48="","",INDEX(Scoring!$I$29:$I$361,MATCH($O48,Scoring!$AS$29:$AS$361,0)))</f>
        <v>Prefilled syringe</v>
      </c>
      <c r="J48" s="7" t="str">
        <f aca="false">IF($O48="","",INDEX(Scoring!$Z$29:$Z$361,MATCH($O48,Scoring!$AS$29:$AS$361,0)))</f>
        <v>250 mg/5 mL pre-filled syringe</v>
      </c>
      <c r="K48" s="8" t="n">
        <f aca="false">IF($O48="","",IF(INDEX(Scoring!$D$29:$D$361,MATCH($O48,Scoring!$AS$29:$AS$361,0))="",INDEX(Scoring!$AF$29:$AF$361,MATCH($O48,Scoring!$AS$29:$AS$361,0)),INDEX(Scoring!$D$29:$D$361,MATCH($O48,Scoring!$AS$29:$AS$361,0))))</f>
        <v>308.1</v>
      </c>
      <c r="L48" s="9" t="n">
        <f aca="false">IF($O48="","",INDEX(Scoring!$L$29:$L$361,MATCH($O48,Scoring!$AS$29:$AS$361,0)))</f>
        <v>146</v>
      </c>
      <c r="M48" s="9" t="n">
        <f aca="false">IF($O48="","",INDEX(Scoring!$N$29:$N$361,MATCH($O48,Scoring!$AS$29:$AS$361,0)))</f>
        <v>11366.06</v>
      </c>
      <c r="N48" s="7" t="str">
        <f aca="false">IF($O48="","",INDEX(Scoring!$AI$29:$AI$361,MATCH($O48,Scoring!$AS$29:$AS$361,0)))</f>
        <v>UK, Australia | EU/EEA (8): Germany, France, Netherlands, Belgium + 4 more</v>
      </c>
      <c r="O48" s="10" t="n">
        <f aca="false">IFERROR(SMALL(Scoring!$AS$29:$AS$361,44),"")</f>
        <v>2014</v>
      </c>
    </row>
    <row r="49" customFormat="false" ht="28.35" hidden="false" customHeight="false" outlineLevel="0" collapsed="false">
      <c r="A49" s="5" t="n">
        <f aca="false">IF($O49="","",INT($O49/1000))</f>
        <v>2</v>
      </c>
      <c r="B49" s="6" t="str">
        <f aca="false">IF($O49="","",INDEX(Scoring!$A$29:$A$361,MATCH($O49,Scoring!$AS$29:$AS$361,0)))</f>
        <v>Aurobindo</v>
      </c>
      <c r="C49" s="5" t="n">
        <f aca="false">IF($O49="","",IF(INDEX(Scoring!$AM$29:$AM$361,MATCH($O49,Scoring!$AS$29:$AS$361,0))="","–",INDEX(Scoring!$AM$29:$AM$361,MATCH($O49,Scoring!$AS$29:$AS$361,0))))</f>
        <v>15</v>
      </c>
      <c r="D49" s="6" t="str">
        <f aca="false">IF($O49="","",INDEX(Scoring!$AK$29:$AK$361,MATCH($O49,Scoring!$AS$29:$AS$361,0)))</f>
        <v>Priority 2</v>
      </c>
      <c r="E49" s="7" t="str">
        <f aca="false">IF($O49="","",INDEX(Scoring!$AL$29:$AL$361,MATCH($O49,Scoring!$AS$29:$AS$361,0)))</f>
        <v>High price · lower volume</v>
      </c>
      <c r="F49" s="6" t="str">
        <f aca="false">IF($O49="","",INDEX(Scoring!$B$29:$B$361,MATCH($O49,Scoring!$AS$29:$AS$361,0)))</f>
        <v>Medroxyprogesterone Acetate</v>
      </c>
      <c r="G49" s="7" t="str">
        <f aca="false">IF($O49="","",INDEX(Scoring!$AG$29:$AG$361,MATCH($O49,Scoring!$AS$29:$AS$361,0)))</f>
        <v>Medroxyprogesterone Acetate</v>
      </c>
      <c r="H49" s="7" t="str">
        <f aca="false">IF($O49="","",INDEX(Scoring!$C$29:$C$361,MATCH($O49,Scoring!$AS$29:$AS$361,0)))</f>
        <v>Women's health: three-monthly contraceptive injection</v>
      </c>
      <c r="I49" s="6" t="str">
        <f aca="false">IF($O49="","",INDEX(Scoring!$I$29:$I$361,MATCH($O49,Scoring!$AS$29:$AS$361,0)))</f>
        <v>Vial, Prefilled syringe</v>
      </c>
      <c r="J49" s="7" t="str">
        <f aca="false">IF($O49="","",INDEX(Scoring!$Z$29:$Z$361,MATCH($O49,Scoring!$AS$29:$AS$361,0)))</f>
        <v>150 mg/1 mL vial; 150 mg/1 mL pre-filled syringe</v>
      </c>
      <c r="K49" s="8" t="n">
        <f aca="false">IF($O49="","",IF(INDEX(Scoring!$D$29:$D$361,MATCH($O49,Scoring!$AS$29:$AS$361,0))="",INDEX(Scoring!$AF$29:$AF$361,MATCH($O49,Scoring!$AS$29:$AS$361,0)),INDEX(Scoring!$D$29:$D$361,MATCH($O49,Scoring!$AS$29:$AS$361,0))))</f>
        <v>35.26</v>
      </c>
      <c r="L49" s="9" t="n">
        <f aca="false">IF($O49="","",INDEX(Scoring!$L$29:$L$361,MATCH($O49,Scoring!$AS$29:$AS$361,0)))</f>
        <v>122</v>
      </c>
      <c r="M49" s="9" t="n">
        <f aca="false">IF($O49="","",INDEX(Scoring!$N$29:$N$361,MATCH($O49,Scoring!$AS$29:$AS$361,0)))</f>
        <v>8000.57</v>
      </c>
      <c r="N49" s="7" t="str">
        <f aca="false">IF($O49="","",INDEX(Scoring!$AI$29:$AI$361,MATCH($O49,Scoring!$AS$29:$AS$361,0)))</f>
        <v>US</v>
      </c>
      <c r="O49" s="10" t="n">
        <f aca="false">IFERROR(SMALL(Scoring!$AS$29:$AS$361,45),"")</f>
        <v>2015</v>
      </c>
    </row>
    <row r="50" customFormat="false" ht="28.35" hidden="false" customHeight="false" outlineLevel="0" collapsed="false">
      <c r="A50" s="5" t="n">
        <f aca="false">IF($O50="","",INT($O50/1000))</f>
        <v>2</v>
      </c>
      <c r="B50" s="6" t="str">
        <f aca="false">IF($O50="","",INDEX(Scoring!$A$29:$A$361,MATCH($O50,Scoring!$AS$29:$AS$361,0)))</f>
        <v>Aurobindo</v>
      </c>
      <c r="C50" s="5" t="n">
        <f aca="false">IF($O50="","",IF(INDEX(Scoring!$AM$29:$AM$361,MATCH($O50,Scoring!$AS$29:$AS$361,0))="","–",INDEX(Scoring!$AM$29:$AM$361,MATCH($O50,Scoring!$AS$29:$AS$361,0))))</f>
        <v>16</v>
      </c>
      <c r="D50" s="6" t="str">
        <f aca="false">IF($O50="","",INDEX(Scoring!$AK$29:$AK$361,MATCH($O50,Scoring!$AS$29:$AS$361,0)))</f>
        <v>Priority 2</v>
      </c>
      <c r="E50" s="7" t="str">
        <f aca="false">IF($O50="","",INDEX(Scoring!$AL$29:$AL$361,MATCH($O50,Scoring!$AS$29:$AS$361,0)))</f>
        <v>High price · lower volume</v>
      </c>
      <c r="F50" s="6" t="str">
        <f aca="false">IF($O50="","",INDEX(Scoring!$B$29:$B$361,MATCH($O50,Scoring!$AS$29:$AS$361,0)))</f>
        <v>Plerixafor</v>
      </c>
      <c r="G50" s="7" t="str">
        <f aca="false">IF($O50="","",INDEX(Scoring!$AG$29:$AG$361,MATCH($O50,Scoring!$AS$29:$AS$361,0)))</f>
        <v>Plerixafor; Plerixafor Arrow; Plerixafor Eugia</v>
      </c>
      <c r="H50" s="7" t="str">
        <f aca="false">IF($O50="","",INDEX(Scoring!$C$29:$C$361,MATCH($O50,Scoring!$AS$29:$AS$361,0)))</f>
        <v>Oncology support: stem cell mobilisation in myeloma and lymphoma</v>
      </c>
      <c r="I50" s="6" t="str">
        <f aca="false">IF($O50="","",INDEX(Scoring!$I$29:$I$361,MATCH($O50,Scoring!$AS$29:$AS$361,0)))</f>
        <v>Vial</v>
      </c>
      <c r="J50" s="7" t="str">
        <f aca="false">IF($O50="","",INDEX(Scoring!$Z$29:$Z$361,MATCH($O50,Scoring!$AS$29:$AS$361,0)))</f>
        <v>24 mg/1.2 mL vial</v>
      </c>
      <c r="K50" s="8" t="n">
        <f aca="false">IF($O50="","",IF(INDEX(Scoring!$D$29:$D$361,MATCH($O50,Scoring!$AS$29:$AS$361,0))="",INDEX(Scoring!$AF$29:$AF$361,MATCH($O50,Scoring!$AS$29:$AS$361,0)),INDEX(Scoring!$D$29:$D$361,MATCH($O50,Scoring!$AS$29:$AS$361,0))))</f>
        <v>3710.2</v>
      </c>
      <c r="L50" s="9" t="n">
        <f aca="false">IF($O50="","",INDEX(Scoring!$L$29:$L$361,MATCH($O50,Scoring!$AS$29:$AS$361,0)))</f>
        <v>47</v>
      </c>
      <c r="M50" s="9" t="n">
        <f aca="false">IF($O50="","",INDEX(Scoring!$N$29:$N$361,MATCH($O50,Scoring!$AS$29:$AS$361,0)))</f>
        <v>7904.67</v>
      </c>
      <c r="N50" s="7" t="str">
        <f aca="false">IF($O50="","",INDEX(Scoring!$AI$29:$AI$361,MATCH($O50,Scoring!$AS$29:$AS$361,0)))</f>
        <v>US, UK, Canada, Australia, UK-NI | EU/EEA (5): Germany, France, Italy, Portugal, Spain</v>
      </c>
      <c r="O50" s="10" t="n">
        <f aca="false">IFERROR(SMALL(Scoring!$AS$29:$AS$361,46),"")</f>
        <v>2016</v>
      </c>
    </row>
    <row r="51" customFormat="false" ht="28.35" hidden="false" customHeight="false" outlineLevel="0" collapsed="false">
      <c r="A51" s="5" t="n">
        <f aca="false">IF($O51="","",INT($O51/1000))</f>
        <v>2</v>
      </c>
      <c r="B51" s="6" t="str">
        <f aca="false">IF($O51="","",INDEX(Scoring!$A$29:$A$361,MATCH($O51,Scoring!$AS$29:$AS$361,0)))</f>
        <v>Aurobindo</v>
      </c>
      <c r="C51" s="5" t="n">
        <f aca="false">IF($O51="","",IF(INDEX(Scoring!$AM$29:$AM$361,MATCH($O51,Scoring!$AS$29:$AS$361,0))="","–",INDEX(Scoring!$AM$29:$AM$361,MATCH($O51,Scoring!$AS$29:$AS$361,0))))</f>
        <v>17</v>
      </c>
      <c r="D51" s="6" t="str">
        <f aca="false">IF($O51="","",INDEX(Scoring!$AK$29:$AK$361,MATCH($O51,Scoring!$AS$29:$AS$361,0)))</f>
        <v>Priority 2</v>
      </c>
      <c r="E51" s="7" t="str">
        <f aca="false">IF($O51="","",INDEX(Scoring!$AL$29:$AL$361,MATCH($O51,Scoring!$AS$29:$AS$361,0)))</f>
        <v>Lower price · high volume</v>
      </c>
      <c r="F51" s="6" t="str">
        <f aca="false">IF($O51="","",INDEX(Scoring!$B$29:$B$361,MATCH($O51,Scoring!$AS$29:$AS$361,0)))</f>
        <v>Chlorpromazine</v>
      </c>
      <c r="G51" s="7" t="str">
        <f aca="false">IF($O51="","",INDEX(Scoring!$AG$29:$AG$361,MATCH($O51,Scoring!$AS$29:$AS$361,0)))</f>
        <v>Chlorpromazine Hydrochloride</v>
      </c>
      <c r="H51" s="7" t="str">
        <f aca="false">IF($O51="","",INDEX(Scoring!$C$29:$C$361,MATCH($O51,Scoring!$AS$29:$AS$361,0)))</f>
        <v>Psychiatry: acute psychosis and agitation, severe nausea and vomiting</v>
      </c>
      <c r="I51" s="6" t="str">
        <f aca="false">IF($O51="","",INDEX(Scoring!$I$29:$I$361,MATCH($O51,Scoring!$AS$29:$AS$361,0)))</f>
        <v>Ampoule</v>
      </c>
      <c r="J51" s="7" t="str">
        <f aca="false">IF($O51="","",INDEX(Scoring!$Z$29:$Z$361,MATCH($O51,Scoring!$AS$29:$AS$361,0)))</f>
        <v>25 mg/1 mL ampoule</v>
      </c>
      <c r="K51" s="8" t="n">
        <f aca="false">IF($O51="","",IF(INDEX(Scoring!$D$29:$D$361,MATCH($O51,Scoring!$AS$29:$AS$361,0))="",INDEX(Scoring!$AF$29:$AF$361,MATCH($O51,Scoring!$AS$29:$AS$361,0)),INDEX(Scoring!$D$29:$D$361,MATCH($O51,Scoring!$AS$29:$AS$361,0))))</f>
        <v>14.96</v>
      </c>
      <c r="L51" s="9" t="n">
        <f aca="false">IF($O51="","",INDEX(Scoring!$L$29:$L$361,MATCH($O51,Scoring!$AS$29:$AS$361,0)))</f>
        <v>472</v>
      </c>
      <c r="M51" s="9" t="n">
        <f aca="false">IF($O51="","",INDEX(Scoring!$N$29:$N$361,MATCH($O51,Scoring!$AS$29:$AS$361,0)))</f>
        <v>7831.08</v>
      </c>
      <c r="N51" s="7" t="str">
        <f aca="false">IF($O51="","",INDEX(Scoring!$AI$29:$AI$361,MATCH($O51,Scoring!$AS$29:$AS$361,0)))</f>
        <v>US</v>
      </c>
      <c r="O51" s="10" t="n">
        <f aca="false">IFERROR(SMALL(Scoring!$AS$29:$AS$361,47),"")</f>
        <v>2017</v>
      </c>
    </row>
    <row r="52" customFormat="false" ht="28.35" hidden="false" customHeight="false" outlineLevel="0" collapsed="false">
      <c r="A52" s="5" t="n">
        <f aca="false">IF($O52="","",INT($O52/1000))</f>
        <v>2</v>
      </c>
      <c r="B52" s="6" t="str">
        <f aca="false">IF($O52="","",INDEX(Scoring!$A$29:$A$361,MATCH($O52,Scoring!$AS$29:$AS$361,0)))</f>
        <v>Aurobindo</v>
      </c>
      <c r="C52" s="5" t="n">
        <f aca="false">IF($O52="","",IF(INDEX(Scoring!$AM$29:$AM$361,MATCH($O52,Scoring!$AS$29:$AS$361,0))="","–",INDEX(Scoring!$AM$29:$AM$361,MATCH($O52,Scoring!$AS$29:$AS$361,0))))</f>
        <v>18</v>
      </c>
      <c r="D52" s="6" t="str">
        <f aca="false">IF($O52="","",INDEX(Scoring!$AK$29:$AK$361,MATCH($O52,Scoring!$AS$29:$AS$361,0)))</f>
        <v>Priority 2</v>
      </c>
      <c r="E52" s="7" t="str">
        <f aca="false">IF($O52="","",INDEX(Scoring!$AL$29:$AL$361,MATCH($O52,Scoring!$AS$29:$AS$361,0)))</f>
        <v>Lower price · high volume</v>
      </c>
      <c r="F52" s="6" t="str">
        <f aca="false">IF($O52="","",INDEX(Scoring!$B$29:$B$361,MATCH($O52,Scoring!$AS$29:$AS$361,0)))</f>
        <v>Testosterone Cypionate</v>
      </c>
      <c r="G52" s="7" t="str">
        <f aca="false">IF($O52="","",INDEX(Scoring!$AG$29:$AG$361,MATCH($O52,Scoring!$AS$29:$AS$361,0)))</f>
        <v>Testosterone Cypionate</v>
      </c>
      <c r="H52" s="7" t="str">
        <f aca="false">IF($O52="","",INDEX(Scoring!$C$29:$C$361,MATCH($O52,Scoring!$AS$29:$AS$361,0)))</f>
        <v>Endocrinology: testosterone replacement in male hypogonadism</v>
      </c>
      <c r="I52" s="6" t="str">
        <f aca="false">IF($O52="","",INDEX(Scoring!$I$29:$I$361,MATCH($O52,Scoring!$AS$29:$AS$361,0)))</f>
        <v>Vial</v>
      </c>
      <c r="J52" s="7" t="str">
        <f aca="false">IF($O52="","",INDEX(Scoring!$Z$29:$Z$361,MATCH($O52,Scoring!$AS$29:$AS$361,0)))</f>
        <v>1000 mg/10 mL vial; 200 mg/1 mL vial</v>
      </c>
      <c r="K52" s="8" t="n">
        <f aca="false">IF($O52="","",IF(INDEX(Scoring!$D$29:$D$361,MATCH($O52,Scoring!$AS$29:$AS$361,0))="",INDEX(Scoring!$AF$29:$AF$361,MATCH($O52,Scoring!$AS$29:$AS$361,0)),INDEX(Scoring!$D$29:$D$361,MATCH($O52,Scoring!$AS$29:$AS$361,0))))</f>
        <v>20.63</v>
      </c>
      <c r="L52" s="9" t="n">
        <f aca="false">IF($O52="","",INDEX(Scoring!$L$29:$L$361,MATCH($O52,Scoring!$AS$29:$AS$361,0)))</f>
        <v>307</v>
      </c>
      <c r="M52" s="9" t="n">
        <f aca="false">IF($O52="","",INDEX(Scoring!$N$29:$N$361,MATCH($O52,Scoring!$AS$29:$AS$361,0)))</f>
        <v>7276.73</v>
      </c>
      <c r="N52" s="7" t="str">
        <f aca="false">IF($O52="","",INDEX(Scoring!$AI$29:$AI$361,MATCH($O52,Scoring!$AS$29:$AS$361,0)))</f>
        <v>US</v>
      </c>
      <c r="O52" s="10" t="n">
        <f aca="false">IFERROR(SMALL(Scoring!$AS$29:$AS$361,48),"")</f>
        <v>2018</v>
      </c>
    </row>
    <row r="53" customFormat="false" ht="28.35" hidden="false" customHeight="false" outlineLevel="0" collapsed="false">
      <c r="A53" s="5" t="n">
        <f aca="false">IF($O53="","",INT($O53/1000))</f>
        <v>2</v>
      </c>
      <c r="B53" s="6" t="str">
        <f aca="false">IF($O53="","",INDEX(Scoring!$A$29:$A$361,MATCH($O53,Scoring!$AS$29:$AS$361,0)))</f>
        <v>Aurobindo</v>
      </c>
      <c r="C53" s="5" t="n">
        <f aca="false">IF($O53="","",IF(INDEX(Scoring!$AM$29:$AM$361,MATCH($O53,Scoring!$AS$29:$AS$361,0))="","–",INDEX(Scoring!$AM$29:$AM$361,MATCH($O53,Scoring!$AS$29:$AS$361,0))))</f>
        <v>19</v>
      </c>
      <c r="D53" s="6" t="str">
        <f aca="false">IF($O53="","",INDEX(Scoring!$AK$29:$AK$361,MATCH($O53,Scoring!$AS$29:$AS$361,0)))</f>
        <v>Priority 2</v>
      </c>
      <c r="E53" s="7" t="str">
        <f aca="false">IF($O53="","",INDEX(Scoring!$AL$29:$AL$361,MATCH($O53,Scoring!$AS$29:$AS$361,0)))</f>
        <v>Lower price · high volume</v>
      </c>
      <c r="F53" s="6" t="str">
        <f aca="false">IF($O53="","",INDEX(Scoring!$B$29:$B$361,MATCH($O53,Scoring!$AS$29:$AS$361,0)))</f>
        <v>Cefepime</v>
      </c>
      <c r="G53" s="7" t="str">
        <f aca="false">IF($O53="","",INDEX(Scoring!$AG$29:$AG$361,MATCH($O53,Scoring!$AS$29:$AS$361,0)))</f>
        <v>Auro Cefepime</v>
      </c>
      <c r="H53" s="7" t="str">
        <f aca="false">IF($O53="","",INDEX(Scoring!$C$29:$C$361,MATCH($O53,Scoring!$AS$29:$AS$361,0)))</f>
        <v>Anti-infective: hospital Gram-negative infections, febrile neutropenia</v>
      </c>
      <c r="I53" s="6" t="str">
        <f aca="false">IF($O53="","",INDEX(Scoring!$I$29:$I$361,MATCH($O53,Scoring!$AS$29:$AS$361,0)))</f>
        <v>Vial</v>
      </c>
      <c r="J53" s="7" t="str">
        <f aca="false">IF($O53="","",INDEX(Scoring!$Z$29:$Z$361,MATCH($O53,Scoring!$AS$29:$AS$361,0)))</f>
        <v>1000 mg in 20 mL powder vial; 2000 mg in 50 mL powder vial</v>
      </c>
      <c r="K53" s="8" t="n">
        <f aca="false">IF($O53="","",IF(INDEX(Scoring!$D$29:$D$361,MATCH($O53,Scoring!$AS$29:$AS$361,0))="",INDEX(Scoring!$AF$29:$AF$361,MATCH($O53,Scoring!$AS$29:$AS$361,0)),INDEX(Scoring!$D$29:$D$361,MATCH($O53,Scoring!$AS$29:$AS$361,0))))</f>
        <v>9.08</v>
      </c>
      <c r="L53" s="9" t="n">
        <f aca="false">IF($O53="","",INDEX(Scoring!$L$29:$L$361,MATCH($O53,Scoring!$AS$29:$AS$361,0)))</f>
        <v>290</v>
      </c>
      <c r="M53" s="9" t="n">
        <f aca="false">IF($O53="","",INDEX(Scoring!$N$29:$N$361,MATCH($O53,Scoring!$AS$29:$AS$361,0)))</f>
        <v>6348.25</v>
      </c>
      <c r="N53" s="7" t="str">
        <f aca="false">IF($O53="","",INDEX(Scoring!$AI$29:$AI$361,MATCH($O53,Scoring!$AS$29:$AS$361,0)))</f>
        <v>South Africa</v>
      </c>
      <c r="O53" s="10" t="n">
        <f aca="false">IFERROR(SMALL(Scoring!$AS$29:$AS$361,49),"")</f>
        <v>2019</v>
      </c>
    </row>
    <row r="54" customFormat="false" ht="28.35" hidden="false" customHeight="false" outlineLevel="0" collapsed="false">
      <c r="A54" s="5" t="n">
        <f aca="false">IF($O54="","",INT($O54/1000))</f>
        <v>2</v>
      </c>
      <c r="B54" s="6" t="str">
        <f aca="false">IF($O54="","",INDEX(Scoring!$A$29:$A$361,MATCH($O54,Scoring!$AS$29:$AS$361,0)))</f>
        <v>Aurobindo</v>
      </c>
      <c r="C54" s="5" t="n">
        <f aca="false">IF($O54="","",IF(INDEX(Scoring!$AM$29:$AM$361,MATCH($O54,Scoring!$AS$29:$AS$361,0))="","–",INDEX(Scoring!$AM$29:$AM$361,MATCH($O54,Scoring!$AS$29:$AS$361,0))))</f>
        <v>20</v>
      </c>
      <c r="D54" s="6" t="str">
        <f aca="false">IF($O54="","",INDEX(Scoring!$AK$29:$AK$361,MATCH($O54,Scoring!$AS$29:$AS$361,0)))</f>
        <v>Priority 2</v>
      </c>
      <c r="E54" s="7" t="str">
        <f aca="false">IF($O54="","",INDEX(Scoring!$AL$29:$AL$361,MATCH($O54,Scoring!$AS$29:$AS$361,0)))</f>
        <v>Lower price · high volume</v>
      </c>
      <c r="F54" s="6" t="str">
        <f aca="false">IF($O54="","",INDEX(Scoring!$B$29:$B$361,MATCH($O54,Scoring!$AS$29:$AS$361,0)))</f>
        <v>Ceftazidime</v>
      </c>
      <c r="G54" s="7" t="str">
        <f aca="false">IF($O54="","",INDEX(Scoring!$AG$29:$AG$361,MATCH($O54,Scoring!$AS$29:$AS$361,0)))</f>
        <v>Ceftazidime Arrow</v>
      </c>
      <c r="H54" s="7" t="str">
        <f aca="false">IF($O54="","",INDEX(Scoring!$C$29:$C$361,MATCH($O54,Scoring!$AS$29:$AS$361,0)))</f>
        <v>Anti-infective: Pseudomonas and other hospital Gram-negative infections</v>
      </c>
      <c r="I54" s="6" t="str">
        <f aca="false">IF($O54="","",INDEX(Scoring!$I$29:$I$361,MATCH($O54,Scoring!$AS$29:$AS$361,0)))</f>
        <v>Vial</v>
      </c>
      <c r="J54" s="7" t="str">
        <f aca="false">IF($O54="","",INDEX(Scoring!$Z$29:$Z$361,MATCH($O54,Scoring!$AS$29:$AS$361,0)))</f>
        <v>1 g powder vial</v>
      </c>
      <c r="K54" s="8" t="n">
        <f aca="false">IF($O54="","",IF(INDEX(Scoring!$D$29:$D$361,MATCH($O54,Scoring!$AS$29:$AS$361,0))="",INDEX(Scoring!$AF$29:$AF$361,MATCH($O54,Scoring!$AS$29:$AS$361,0)),INDEX(Scoring!$D$29:$D$361,MATCH($O54,Scoring!$AS$29:$AS$361,0))))</f>
        <v>8.5</v>
      </c>
      <c r="L54" s="9" t="n">
        <f aca="false">IF($O54="","",INDEX(Scoring!$L$29:$L$361,MATCH($O54,Scoring!$AS$29:$AS$361,0)))</f>
        <v>335</v>
      </c>
      <c r="M54" s="9" t="n">
        <f aca="false">IF($O54="","",INDEX(Scoring!$N$29:$N$361,MATCH($O54,Scoring!$AS$29:$AS$361,0)))</f>
        <v>5713.56</v>
      </c>
      <c r="N54" s="7" t="str">
        <f aca="false">IF($O54="","",INDEX(Scoring!$AI$29:$AI$361,MATCH($O54,Scoring!$AS$29:$AS$361,0)))</f>
        <v>EU/EEA (1): France</v>
      </c>
      <c r="O54" s="10" t="n">
        <f aca="false">IFERROR(SMALL(Scoring!$AS$29:$AS$361,50),"")</f>
        <v>2020</v>
      </c>
    </row>
    <row r="55" customFormat="false" ht="28.35" hidden="false" customHeight="false" outlineLevel="0" collapsed="false">
      <c r="A55" s="5" t="n">
        <f aca="false">IF($O55="","",INT($O55/1000))</f>
        <v>2</v>
      </c>
      <c r="B55" s="6" t="str">
        <f aca="false">IF($O55="","",INDEX(Scoring!$A$29:$A$361,MATCH($O55,Scoring!$AS$29:$AS$361,0)))</f>
        <v>Aurobindo</v>
      </c>
      <c r="C55" s="5" t="n">
        <f aca="false">IF($O55="","",IF(INDEX(Scoring!$AM$29:$AM$361,MATCH($O55,Scoring!$AS$29:$AS$361,0))="","–",INDEX(Scoring!$AM$29:$AM$361,MATCH($O55,Scoring!$AS$29:$AS$361,0))))</f>
        <v>21</v>
      </c>
      <c r="D55" s="6" t="str">
        <f aca="false">IF($O55="","",INDEX(Scoring!$AK$29:$AK$361,MATCH($O55,Scoring!$AS$29:$AS$361,0)))</f>
        <v>Priority 2</v>
      </c>
      <c r="E55" s="7" t="str">
        <f aca="false">IF($O55="","",INDEX(Scoring!$AL$29:$AL$361,MATCH($O55,Scoring!$AS$29:$AS$361,0)))</f>
        <v>High price · lower volume</v>
      </c>
      <c r="F55" s="6" t="str">
        <f aca="false">IF($O55="","",INDEX(Scoring!$B$29:$B$361,MATCH($O55,Scoring!$AS$29:$AS$361,0)))</f>
        <v>Carboprost</v>
      </c>
      <c r="G55" s="7" t="str">
        <f aca="false">IF($O55="","",INDEX(Scoring!$AG$29:$AG$361,MATCH($O55,Scoring!$AS$29:$AS$361,0)))</f>
        <v>Carboprost Tromethamine</v>
      </c>
      <c r="H55" s="7" t="str">
        <f aca="false">IF($O55="","",INDEX(Scoring!$C$29:$C$361,MATCH($O55,Scoring!$AS$29:$AS$361,0)))</f>
        <v>Women's health: postpartum haemorrhage, pregnancy termination</v>
      </c>
      <c r="I55" s="6" t="str">
        <f aca="false">IF($O55="","",INDEX(Scoring!$I$29:$I$361,MATCH($O55,Scoring!$AS$29:$AS$361,0)))</f>
        <v>Vial</v>
      </c>
      <c r="J55" s="7" t="str">
        <f aca="false">IF($O55="","",INDEX(Scoring!$Z$29:$Z$361,MATCH($O55,Scoring!$AS$29:$AS$361,0)))</f>
        <v>0.25 mg/1 mL vial</v>
      </c>
      <c r="K55" s="8" t="n">
        <f aca="false">IF($O55="","",IF(INDEX(Scoring!$D$29:$D$361,MATCH($O55,Scoring!$AS$29:$AS$361,0))="",INDEX(Scoring!$AF$29:$AF$361,MATCH($O55,Scoring!$AS$29:$AS$361,0)),INDEX(Scoring!$D$29:$D$361,MATCH($O55,Scoring!$AS$29:$AS$361,0))))</f>
        <v>30.01</v>
      </c>
      <c r="L55" s="9" t="n">
        <f aca="false">IF($O55="","",INDEX(Scoring!$L$29:$L$361,MATCH($O55,Scoring!$AS$29:$AS$361,0)))</f>
        <v>156</v>
      </c>
      <c r="M55" s="9" t="n">
        <f aca="false">IF($O55="","",INDEX(Scoring!$N$29:$N$361,MATCH($O55,Scoring!$AS$29:$AS$361,0)))</f>
        <v>3954.83</v>
      </c>
      <c r="N55" s="7" t="str">
        <f aca="false">IF($O55="","",INDEX(Scoring!$AI$29:$AI$361,MATCH($O55,Scoring!$AS$29:$AS$361,0)))</f>
        <v>US</v>
      </c>
      <c r="O55" s="10" t="n">
        <f aca="false">IFERROR(SMALL(Scoring!$AS$29:$AS$361,51),"")</f>
        <v>2021</v>
      </c>
    </row>
    <row r="56" customFormat="false" ht="28.35" hidden="false" customHeight="false" outlineLevel="0" collapsed="false">
      <c r="A56" s="5" t="n">
        <f aca="false">IF($O56="","",INT($O56/1000))</f>
        <v>2</v>
      </c>
      <c r="B56" s="6" t="str">
        <f aca="false">IF($O56="","",INDEX(Scoring!$A$29:$A$361,MATCH($O56,Scoring!$AS$29:$AS$361,0)))</f>
        <v>Aurobindo</v>
      </c>
      <c r="C56" s="5" t="n">
        <f aca="false">IF($O56="","",IF(INDEX(Scoring!$AM$29:$AM$361,MATCH($O56,Scoring!$AS$29:$AS$361,0))="","–",INDEX(Scoring!$AM$29:$AM$361,MATCH($O56,Scoring!$AS$29:$AS$361,0))))</f>
        <v>22</v>
      </c>
      <c r="D56" s="6" t="str">
        <f aca="false">IF($O56="","",INDEX(Scoring!$AK$29:$AK$361,MATCH($O56,Scoring!$AS$29:$AS$361,0)))</f>
        <v>Priority 2</v>
      </c>
      <c r="E56" s="7" t="str">
        <f aca="false">IF($O56="","",INDEX(Scoring!$AL$29:$AL$361,MATCH($O56,Scoring!$AS$29:$AS$361,0)))</f>
        <v>High price · lower volume</v>
      </c>
      <c r="F56" s="6" t="str">
        <f aca="false">IF($O56="","",INDEX(Scoring!$B$29:$B$361,MATCH($O56,Scoring!$AS$29:$AS$361,0)))</f>
        <v>Fluphenazine Decanoate</v>
      </c>
      <c r="G56" s="7" t="str">
        <f aca="false">IF($O56="","",INDEX(Scoring!$AG$29:$AG$361,MATCH($O56,Scoring!$AS$29:$AS$361,0)))</f>
        <v>Fluphenazine Decanoate</v>
      </c>
      <c r="H56" s="7" t="str">
        <f aca="false">IF($O56="","",INDEX(Scoring!$C$29:$C$361,MATCH($O56,Scoring!$AS$29:$AS$361,0)))</f>
        <v>Psychiatry: long-acting maintenance treatment for schizophrenia</v>
      </c>
      <c r="I56" s="6" t="str">
        <f aca="false">IF($O56="","",INDEX(Scoring!$I$29:$I$361,MATCH($O56,Scoring!$AS$29:$AS$361,0)))</f>
        <v>Vial</v>
      </c>
      <c r="J56" s="7" t="str">
        <f aca="false">IF($O56="","",INDEX(Scoring!$Z$29:$Z$361,MATCH($O56,Scoring!$AS$29:$AS$361,0)))</f>
        <v>125 mg/5 mL vial</v>
      </c>
      <c r="K56" s="8" t="n">
        <f aca="false">IF($O56="","",IF(INDEX(Scoring!$D$29:$D$361,MATCH($O56,Scoring!$AS$29:$AS$361,0))="",INDEX(Scoring!$AF$29:$AF$361,MATCH($O56,Scoring!$AS$29:$AS$361,0)),INDEX(Scoring!$D$29:$D$361,MATCH($O56,Scoring!$AS$29:$AS$361,0))))</f>
        <v>54.55</v>
      </c>
      <c r="L56" s="9" t="n">
        <f aca="false">IF($O56="","",INDEX(Scoring!$L$29:$L$361,MATCH($O56,Scoring!$AS$29:$AS$361,0)))</f>
        <v>126</v>
      </c>
      <c r="M56" s="9" t="n">
        <f aca="false">IF($O56="","",INDEX(Scoring!$N$29:$N$361,MATCH($O56,Scoring!$AS$29:$AS$361,0)))</f>
        <v>3407.51</v>
      </c>
      <c r="N56" s="7" t="str">
        <f aca="false">IF($O56="","",INDEX(Scoring!$AI$29:$AI$361,MATCH($O56,Scoring!$AS$29:$AS$361,0)))</f>
        <v>US</v>
      </c>
      <c r="O56" s="10" t="n">
        <f aca="false">IFERROR(SMALL(Scoring!$AS$29:$AS$361,52),"")</f>
        <v>2022</v>
      </c>
    </row>
    <row r="57" customFormat="false" ht="41.75" hidden="false" customHeight="false" outlineLevel="0" collapsed="false">
      <c r="A57" s="5" t="n">
        <f aca="false">IF($O57="","",INT($O57/1000))</f>
        <v>2</v>
      </c>
      <c r="B57" s="6" t="str">
        <f aca="false">IF($O57="","",INDEX(Scoring!$A$29:$A$361,MATCH($O57,Scoring!$AS$29:$AS$361,0)))</f>
        <v>Aurobindo</v>
      </c>
      <c r="C57" s="5" t="n">
        <f aca="false">IF($O57="","",IF(INDEX(Scoring!$AM$29:$AM$361,MATCH($O57,Scoring!$AS$29:$AS$361,0))="","–",INDEX(Scoring!$AM$29:$AM$361,MATCH($O57,Scoring!$AS$29:$AS$361,0))))</f>
        <v>23</v>
      </c>
      <c r="D57" s="6" t="str">
        <f aca="false">IF($O57="","",INDEX(Scoring!$AK$29:$AK$361,MATCH($O57,Scoring!$AS$29:$AS$361,0)))</f>
        <v>Priority 3</v>
      </c>
      <c r="E57" s="7" t="str">
        <f aca="false">IF($O57="","",INDEX(Scoring!$AL$29:$AL$361,MATCH($O57,Scoring!$AS$29:$AS$361,0)))</f>
        <v>Lower price · lower volume</v>
      </c>
      <c r="F57" s="6" t="str">
        <f aca="false">IF($O57="","",INDEX(Scoring!$B$29:$B$361,MATCH($O57,Scoring!$AS$29:$AS$361,0)))</f>
        <v>Methylprednisolone Acetate</v>
      </c>
      <c r="G57" s="7" t="str">
        <f aca="false">IF($O57="","",INDEX(Scoring!$AG$29:$AG$361,MATCH($O57,Scoring!$AS$29:$AS$361,0)))</f>
        <v>Methylprednisolone Acetate</v>
      </c>
      <c r="H57" s="7" t="str">
        <f aca="false">IF($O57="","",INDEX(Scoring!$C$29:$C$361,MATCH($O57,Scoring!$AS$29:$AS$361,0)))</f>
        <v>Musculoskeletal and immunology: joint injections for arthritis and bursitis, inflammatory conditions</v>
      </c>
      <c r="I57" s="6" t="str">
        <f aca="false">IF($O57="","",INDEX(Scoring!$I$29:$I$361,MATCH($O57,Scoring!$AS$29:$AS$361,0)))</f>
        <v>Vial</v>
      </c>
      <c r="J57" s="7" t="str">
        <f aca="false">IF($O57="","",INDEX(Scoring!$Z$29:$Z$361,MATCH($O57,Scoring!$AS$29:$AS$361,0)))</f>
        <v>40 mg/mL powder vial; 80 mg/mL powder vial</v>
      </c>
      <c r="K57" s="8" t="n">
        <f aca="false">IF($O57="","",IF(INDEX(Scoring!$D$29:$D$361,MATCH($O57,Scoring!$AS$29:$AS$361,0))="",INDEX(Scoring!$AF$29:$AF$361,MATCH($O57,Scoring!$AS$29:$AS$361,0)),INDEX(Scoring!$D$29:$D$361,MATCH($O57,Scoring!$AS$29:$AS$361,0))))</f>
        <v>9.84</v>
      </c>
      <c r="L57" s="9" t="n">
        <f aca="false">IF($O57="","",INDEX(Scoring!$L$29:$L$361,MATCH($O57,Scoring!$AS$29:$AS$361,0)))</f>
        <v>81</v>
      </c>
      <c r="M57" s="9" t="n">
        <f aca="false">IF($O57="","",INDEX(Scoring!$N$29:$N$361,MATCH($O57,Scoring!$AS$29:$AS$361,0)))</f>
        <v>4745.88</v>
      </c>
      <c r="N57" s="7" t="str">
        <f aca="false">IF($O57="","",INDEX(Scoring!$AI$29:$AI$361,MATCH($O57,Scoring!$AS$29:$AS$361,0)))</f>
        <v>US</v>
      </c>
      <c r="O57" s="10" t="n">
        <f aca="false">IFERROR(SMALL(Scoring!$AS$29:$AS$361,53),"")</f>
        <v>2023</v>
      </c>
    </row>
    <row r="58" customFormat="false" ht="28.35" hidden="false" customHeight="false" outlineLevel="0" collapsed="false">
      <c r="A58" s="5" t="n">
        <f aca="false">IF($O58="","",INT($O58/1000))</f>
        <v>2</v>
      </c>
      <c r="B58" s="6" t="str">
        <f aca="false">IF($O58="","",INDEX(Scoring!$A$29:$A$361,MATCH($O58,Scoring!$AS$29:$AS$361,0)))</f>
        <v>Aurobindo</v>
      </c>
      <c r="C58" s="5" t="n">
        <f aca="false">IF($O58="","",IF(INDEX(Scoring!$AM$29:$AM$361,MATCH($O58,Scoring!$AS$29:$AS$361,0))="","–",INDEX(Scoring!$AM$29:$AM$361,MATCH($O58,Scoring!$AS$29:$AS$361,0))))</f>
        <v>24</v>
      </c>
      <c r="D58" s="6" t="str">
        <f aca="false">IF($O58="","",INDEX(Scoring!$AK$29:$AK$361,MATCH($O58,Scoring!$AS$29:$AS$361,0)))</f>
        <v>Priority 3</v>
      </c>
      <c r="E58" s="7" t="str">
        <f aca="false">IF($O58="","",INDEX(Scoring!$AL$29:$AL$361,MATCH($O58,Scoring!$AS$29:$AS$361,0)))</f>
        <v>Lower price · lower volume</v>
      </c>
      <c r="F58" s="6" t="str">
        <f aca="false">IF($O58="","",INDEX(Scoring!$B$29:$B$361,MATCH($O58,Scoring!$AS$29:$AS$361,0)))</f>
        <v>Ephedrine</v>
      </c>
      <c r="G58" s="7" t="str">
        <f aca="false">IF($O58="","",INDEX(Scoring!$AG$29:$AG$361,MATCH($O58,Scoring!$AS$29:$AS$361,0)))</f>
        <v>Ephedrine Sulfate</v>
      </c>
      <c r="H58" s="7" t="str">
        <f aca="false">IF($O58="","",INDEX(Scoring!$C$29:$C$361,MATCH($O58,Scoring!$AS$29:$AS$361,0)))</f>
        <v>Anaesthesia: low blood pressure during spinal anaesthesia and caesarean section</v>
      </c>
      <c r="I58" s="6" t="str">
        <f aca="false">IF($O58="","",INDEX(Scoring!$I$29:$I$361,MATCH($O58,Scoring!$AS$29:$AS$361,0)))</f>
        <v>Vial</v>
      </c>
      <c r="J58" s="7" t="str">
        <f aca="false">IF($O58="","",INDEX(Scoring!$Z$29:$Z$361,MATCH($O58,Scoring!$AS$29:$AS$361,0)))</f>
        <v>50 mg/1 mL vial</v>
      </c>
      <c r="K58" s="8" t="n">
        <f aca="false">IF($O58="","",IF(INDEX(Scoring!$D$29:$D$361,MATCH($O58,Scoring!$AS$29:$AS$361,0))="",INDEX(Scoring!$AF$29:$AF$361,MATCH($O58,Scoring!$AS$29:$AS$361,0)),INDEX(Scoring!$D$29:$D$361,MATCH($O58,Scoring!$AS$29:$AS$361,0))))</f>
        <v>5.35</v>
      </c>
      <c r="L58" s="9" t="n">
        <f aca="false">IF($O58="","",INDEX(Scoring!$L$29:$L$361,MATCH($O58,Scoring!$AS$29:$AS$361,0)))</f>
        <v>78</v>
      </c>
      <c r="M58" s="9" t="n">
        <f aca="false">IF($O58="","",INDEX(Scoring!$N$29:$N$361,MATCH($O58,Scoring!$AS$29:$AS$361,0)))</f>
        <v>4714.67</v>
      </c>
      <c r="N58" s="7" t="str">
        <f aca="false">IF($O58="","",INDEX(Scoring!$AI$29:$AI$361,MATCH($O58,Scoring!$AS$29:$AS$361,0)))</f>
        <v>US | EU/EEA (1): France</v>
      </c>
      <c r="O58" s="10" t="n">
        <f aca="false">IFERROR(SMALL(Scoring!$AS$29:$AS$361,54),"")</f>
        <v>2024</v>
      </c>
    </row>
    <row r="59" customFormat="false" ht="28.35" hidden="false" customHeight="false" outlineLevel="0" collapsed="false">
      <c r="A59" s="5" t="n">
        <f aca="false">IF($O59="","",INT($O59/1000))</f>
        <v>2</v>
      </c>
      <c r="B59" s="6" t="str">
        <f aca="false">IF($O59="","",INDEX(Scoring!$A$29:$A$361,MATCH($O59,Scoring!$AS$29:$AS$361,0)))</f>
        <v>Aurobindo</v>
      </c>
      <c r="C59" s="5" t="n">
        <f aca="false">IF($O59="","",IF(INDEX(Scoring!$AM$29:$AM$361,MATCH($O59,Scoring!$AS$29:$AS$361,0))="","–",INDEX(Scoring!$AM$29:$AM$361,MATCH($O59,Scoring!$AS$29:$AS$361,0))))</f>
        <v>25</v>
      </c>
      <c r="D59" s="6" t="str">
        <f aca="false">IF($O59="","",INDEX(Scoring!$AK$29:$AK$361,MATCH($O59,Scoring!$AS$29:$AS$361,0)))</f>
        <v>Priority 3</v>
      </c>
      <c r="E59" s="7" t="str">
        <f aca="false">IF($O59="","",INDEX(Scoring!$AL$29:$AL$361,MATCH($O59,Scoring!$AS$29:$AS$361,0)))</f>
        <v>Lower price · lower volume</v>
      </c>
      <c r="F59" s="6" t="str">
        <f aca="false">IF($O59="","",INDEX(Scoring!$B$29:$B$361,MATCH($O59,Scoring!$AS$29:$AS$361,0)))</f>
        <v>Nafcillin</v>
      </c>
      <c r="G59" s="7" t="str">
        <f aca="false">IF($O59="","",INDEX(Scoring!$AG$29:$AG$361,MATCH($O59,Scoring!$AS$29:$AS$361,0)))</f>
        <v>Nafcillin Sodium</v>
      </c>
      <c r="H59" s="7" t="str">
        <f aca="false">IF($O59="","",INDEX(Scoring!$C$29:$C$361,MATCH($O59,Scoring!$AS$29:$AS$361,0)))</f>
        <v>Anti-infective: staphylococcal infections</v>
      </c>
      <c r="I59" s="6" t="str">
        <f aca="false">IF($O59="","",INDEX(Scoring!$I$29:$I$361,MATCH($O59,Scoring!$AS$29:$AS$361,0)))</f>
        <v>Vial</v>
      </c>
      <c r="J59" s="7" t="str">
        <f aca="false">IF($O59="","",INDEX(Scoring!$Z$29:$Z$361,MATCH($O59,Scoring!$AS$29:$AS$361,0)))</f>
        <v>1 g powder vial; 2 g powder vial</v>
      </c>
      <c r="K59" s="8" t="n">
        <f aca="false">IF($O59="","",IF(INDEX(Scoring!$D$29:$D$361,MATCH($O59,Scoring!$AS$29:$AS$361,0))="",INDEX(Scoring!$AF$29:$AF$361,MATCH($O59,Scoring!$AS$29:$AS$361,0)),INDEX(Scoring!$D$29:$D$361,MATCH($O59,Scoring!$AS$29:$AS$361,0))))</f>
        <v>7.41</v>
      </c>
      <c r="L59" s="9" t="n">
        <f aca="false">IF($O59="","",INDEX(Scoring!$L$29:$L$361,MATCH($O59,Scoring!$AS$29:$AS$361,0)))</f>
        <v>4</v>
      </c>
      <c r="M59" s="9" t="n">
        <f aca="false">IF($O59="","",INDEX(Scoring!$N$29:$N$361,MATCH($O59,Scoring!$AS$29:$AS$361,0)))</f>
        <v>570.1</v>
      </c>
      <c r="N59" s="7" t="str">
        <f aca="false">IF($O59="","",INDEX(Scoring!$AI$29:$AI$361,MATCH($O59,Scoring!$AS$29:$AS$361,0)))</f>
        <v>US</v>
      </c>
      <c r="O59" s="10" t="n">
        <f aca="false">IFERROR(SMALL(Scoring!$AS$29:$AS$361,55),"")</f>
        <v>2025</v>
      </c>
    </row>
    <row r="60" customFormat="false" ht="28.35" hidden="false" customHeight="false" outlineLevel="0" collapsed="false">
      <c r="A60" s="5" t="n">
        <f aca="false">IF($O60="","",INT($O60/1000))</f>
        <v>2</v>
      </c>
      <c r="B60" s="6" t="str">
        <f aca="false">IF($O60="","",INDEX(Scoring!$A$29:$A$361,MATCH($O60,Scoring!$AS$29:$AS$361,0)))</f>
        <v>Aurobindo</v>
      </c>
      <c r="C60" s="5" t="n">
        <f aca="false">IF($O60="","",IF(INDEX(Scoring!$AM$29:$AM$361,MATCH($O60,Scoring!$AS$29:$AS$361,0))="","–",INDEX(Scoring!$AM$29:$AM$361,MATCH($O60,Scoring!$AS$29:$AS$361,0))))</f>
        <v>26</v>
      </c>
      <c r="D60" s="6" t="str">
        <f aca="false">IF($O60="","",INDEX(Scoring!$AK$29:$AK$361,MATCH($O60,Scoring!$AS$29:$AS$361,0)))</f>
        <v>Priority 3</v>
      </c>
      <c r="E60" s="7" t="str">
        <f aca="false">IF($O60="","",INDEX(Scoring!$AL$29:$AL$361,MATCH($O60,Scoring!$AS$29:$AS$361,0)))</f>
        <v>Lower price · lower volume</v>
      </c>
      <c r="F60" s="6" t="str">
        <f aca="false">IF($O60="","",INDEX(Scoring!$B$29:$B$361,MATCH($O60,Scoring!$AS$29:$AS$361,0)))</f>
        <v>Oxacillin</v>
      </c>
      <c r="G60" s="7" t="str">
        <f aca="false">IF($O60="","",INDEX(Scoring!$AG$29:$AG$361,MATCH($O60,Scoring!$AS$29:$AS$361,0)))</f>
        <v>Oxacillin Sodium</v>
      </c>
      <c r="H60" s="7" t="str">
        <f aca="false">IF($O60="","",INDEX(Scoring!$C$29:$C$361,MATCH($O60,Scoring!$AS$29:$AS$361,0)))</f>
        <v>Anti-infective: staphylococcal infections</v>
      </c>
      <c r="I60" s="6" t="str">
        <f aca="false">IF($O60="","",INDEX(Scoring!$I$29:$I$361,MATCH($O60,Scoring!$AS$29:$AS$361,0)))</f>
        <v>Vial</v>
      </c>
      <c r="J60" s="7" t="str">
        <f aca="false">IF($O60="","",INDEX(Scoring!$Z$29:$Z$361,MATCH($O60,Scoring!$AS$29:$AS$361,0)))</f>
        <v>1 g powder vial</v>
      </c>
      <c r="K60" s="8" t="n">
        <f aca="false">IF($O60="","",IF(INDEX(Scoring!$D$29:$D$361,MATCH($O60,Scoring!$AS$29:$AS$361,0))="",INDEX(Scoring!$AF$29:$AF$361,MATCH($O60,Scoring!$AS$29:$AS$361,0)),INDEX(Scoring!$D$29:$D$361,MATCH($O60,Scoring!$AS$29:$AS$361,0))))</f>
        <v>10.93</v>
      </c>
      <c r="L60" s="9" t="n">
        <f aca="false">IF($O60="","",INDEX(Scoring!$L$29:$L$361,MATCH($O60,Scoring!$AS$29:$AS$361,0)))</f>
        <v>10</v>
      </c>
      <c r="M60" s="9" t="n">
        <f aca="false">IF($O60="","",INDEX(Scoring!$N$29:$N$361,MATCH($O60,Scoring!$AS$29:$AS$361,0)))</f>
        <v>280.98</v>
      </c>
      <c r="N60" s="7" t="str">
        <f aca="false">IF($O60="","",INDEX(Scoring!$AI$29:$AI$361,MATCH($O60,Scoring!$AS$29:$AS$361,0)))</f>
        <v>US</v>
      </c>
      <c r="O60" s="10" t="n">
        <f aca="false">IFERROR(SMALL(Scoring!$AS$29:$AS$361,56),"")</f>
        <v>2026</v>
      </c>
    </row>
    <row r="61" customFormat="false" ht="28.35" hidden="false" customHeight="false" outlineLevel="0" collapsed="false">
      <c r="A61" s="5" t="n">
        <f aca="false">IF($O61="","",INT($O61/1000))</f>
        <v>2</v>
      </c>
      <c r="B61" s="6" t="str">
        <f aca="false">IF($O61="","",INDEX(Scoring!$A$29:$A$361,MATCH($O61,Scoring!$AS$29:$AS$361,0)))</f>
        <v>Aurobindo</v>
      </c>
      <c r="C61" s="5" t="str">
        <f aca="false">IF($O61="","",IF(INDEX(Scoring!$AM$29:$AM$361,MATCH($O61,Scoring!$AS$29:$AS$361,0))="","–",INDEX(Scoring!$AM$29:$AM$361,MATCH($O61,Scoring!$AS$29:$AS$361,0))))</f>
        <v>–</v>
      </c>
      <c r="D61" s="6" t="str">
        <f aca="false">IF($O61="","",INDEX(Scoring!$AK$29:$AK$361,MATCH($O61,Scoring!$AS$29:$AS$361,0)))</f>
        <v>Excluded – price ≤ $5</v>
      </c>
      <c r="E61" s="7" t="str">
        <f aca="false">IF($O61="","",INDEX(Scoring!$AL$29:$AL$361,MATCH($O61,Scoring!$AS$29:$AS$361,0)))</f>
        <v/>
      </c>
      <c r="F61" s="6" t="str">
        <f aca="false">IF($O61="","",INDEX(Scoring!$B$29:$B$361,MATCH($O61,Scoring!$AS$29:$AS$361,0)))</f>
        <v>Flucloxacillin</v>
      </c>
      <c r="G61" s="7" t="str">
        <f aca="false">IF($O61="","",INDEX(Scoring!$AG$29:$AG$361,MATCH($O61,Scoring!$AS$29:$AS$361,0)))</f>
        <v>EUG-Flucloxacillin</v>
      </c>
      <c r="H61" s="7" t="str">
        <f aca="false">IF($O61="","",INDEX(Scoring!$C$29:$C$361,MATCH($O61,Scoring!$AS$29:$AS$361,0)))</f>
        <v>Anti-infective: staphylococcal skin, bone and heart infections</v>
      </c>
      <c r="I61" s="6" t="str">
        <f aca="false">IF($O61="","",INDEX(Scoring!$I$29:$I$361,MATCH($O61,Scoring!$AS$29:$AS$361,0)))</f>
        <v>Vial</v>
      </c>
      <c r="J61" s="7" t="str">
        <f aca="false">IF($O61="","",INDEX(Scoring!$Z$29:$Z$361,MATCH($O61,Scoring!$AS$29:$AS$361,0)))</f>
        <v>500 mg powder vial; 1000 mg powder vial; 2000 mg powder vial</v>
      </c>
      <c r="K61" s="8" t="n">
        <f aca="false">IF($O61="","",IF(INDEX(Scoring!$D$29:$D$361,MATCH($O61,Scoring!$AS$29:$AS$361,0))="",INDEX(Scoring!$AF$29:$AF$361,MATCH($O61,Scoring!$AS$29:$AS$361,0)),INDEX(Scoring!$D$29:$D$361,MATCH($O61,Scoring!$AS$29:$AS$361,0))))</f>
        <v>3.32</v>
      </c>
      <c r="L61" s="9" t="n">
        <f aca="false">IF($O61="","",INDEX(Scoring!$L$29:$L$361,MATCH($O61,Scoring!$AS$29:$AS$361,0)))</f>
        <v>347</v>
      </c>
      <c r="M61" s="9" t="n">
        <f aca="false">IF($O61="","",INDEX(Scoring!$N$29:$N$361,MATCH($O61,Scoring!$AS$29:$AS$361,0)))</f>
        <v>18803.98</v>
      </c>
      <c r="N61" s="7" t="str">
        <f aca="false">IF($O61="","",INDEX(Scoring!$AI$29:$AI$361,MATCH($O61,Scoring!$AS$29:$AS$361,0)))</f>
        <v>Australia, UK-NI | EU/EEA (6): Germany, France, Netherlands, Belgium, Luxembourg, Portugal</v>
      </c>
      <c r="O61" s="10" t="n">
        <f aca="false">IFERROR(SMALL(Scoring!$AS$29:$AS$361,57),"")</f>
        <v>2901</v>
      </c>
    </row>
    <row r="62" customFormat="false" ht="41.75" hidden="false" customHeight="false" outlineLevel="0" collapsed="false">
      <c r="A62" s="5" t="n">
        <f aca="false">IF($O62="","",INT($O62/1000))</f>
        <v>2</v>
      </c>
      <c r="B62" s="6" t="str">
        <f aca="false">IF($O62="","",INDEX(Scoring!$A$29:$A$361,MATCH($O62,Scoring!$AS$29:$AS$361,0)))</f>
        <v>Aurobindo</v>
      </c>
      <c r="C62" s="5" t="str">
        <f aca="false">IF($O62="","",IF(INDEX(Scoring!$AM$29:$AM$361,MATCH($O62,Scoring!$AS$29:$AS$361,0))="","–",INDEX(Scoring!$AM$29:$AM$361,MATCH($O62,Scoring!$AS$29:$AS$361,0))))</f>
        <v>–</v>
      </c>
      <c r="D62" s="6" t="str">
        <f aca="false">IF($O62="","",INDEX(Scoring!$AK$29:$AK$361,MATCH($O62,Scoring!$AS$29:$AS$361,0)))</f>
        <v>Excluded – price ≤ $5</v>
      </c>
      <c r="E62" s="7" t="str">
        <f aca="false">IF($O62="","",INDEX(Scoring!$AL$29:$AL$361,MATCH($O62,Scoring!$AS$29:$AS$361,0)))</f>
        <v/>
      </c>
      <c r="F62" s="6" t="str">
        <f aca="false">IF($O62="","",INDEX(Scoring!$B$29:$B$361,MATCH($O62,Scoring!$AS$29:$AS$361,0)))</f>
        <v>Triamcinolone Acetonide</v>
      </c>
      <c r="G62" s="7" t="str">
        <f aca="false">IF($O62="","",INDEX(Scoring!$AG$29:$AG$361,MATCH($O62,Scoring!$AS$29:$AS$361,0)))</f>
        <v>Triamcinolone Acetonide</v>
      </c>
      <c r="H62" s="7" t="str">
        <f aca="false">IF($O62="","",INDEX(Scoring!$C$29:$C$361,MATCH($O62,Scoring!$AS$29:$AS$361,0)))</f>
        <v>Musculoskeletal and immunology: joint and soft-tissue injections, allergic and skin conditions</v>
      </c>
      <c r="I62" s="6" t="str">
        <f aca="false">IF($O62="","",INDEX(Scoring!$I$29:$I$361,MATCH($O62,Scoring!$AS$29:$AS$361,0)))</f>
        <v>Not stated</v>
      </c>
      <c r="J62" s="7" t="str">
        <f aca="false">IF($O62="","",INDEX(Scoring!$Z$29:$Z$361,MATCH($O62,Scoring!$AS$29:$AS$361,0)))</f>
        <v>40 mg/mL (container not stated)</v>
      </c>
      <c r="K62" s="8" t="n">
        <f aca="false">IF($O62="","",IF(INDEX(Scoring!$D$29:$D$361,MATCH($O62,Scoring!$AS$29:$AS$361,0))="",INDEX(Scoring!$AF$29:$AF$361,MATCH($O62,Scoring!$AS$29:$AS$361,0)),INDEX(Scoring!$D$29:$D$361,MATCH($O62,Scoring!$AS$29:$AS$361,0))))</f>
        <v>3.15</v>
      </c>
      <c r="L62" s="9" t="n">
        <f aca="false">IF($O62="","",INDEX(Scoring!$L$29:$L$361,MATCH($O62,Scoring!$AS$29:$AS$361,0)))</f>
        <v>735</v>
      </c>
      <c r="M62" s="9" t="n">
        <f aca="false">IF($O62="","",INDEX(Scoring!$N$29:$N$361,MATCH($O62,Scoring!$AS$29:$AS$361,0)))</f>
        <v>16205.48</v>
      </c>
      <c r="N62" s="7" t="str">
        <f aca="false">IF($O62="","",INDEX(Scoring!$AI$29:$AI$361,MATCH($O62,Scoring!$AS$29:$AS$361,0)))</f>
        <v>US</v>
      </c>
      <c r="O62" s="10" t="n">
        <f aca="false">IFERROR(SMALL(Scoring!$AS$29:$AS$361,58),"")</f>
        <v>2902</v>
      </c>
    </row>
    <row r="63" customFormat="false" ht="28.35" hidden="false" customHeight="false" outlineLevel="0" collapsed="false">
      <c r="A63" s="5" t="n">
        <f aca="false">IF($O63="","",INT($O63/1000))</f>
        <v>3</v>
      </c>
      <c r="B63" s="6" t="str">
        <f aca="false">IF($O63="","",INDEX(Scoring!$A$29:$A$361,MATCH($O63,Scoring!$AS$29:$AS$361,0)))</f>
        <v>Emcure</v>
      </c>
      <c r="C63" s="5" t="n">
        <f aca="false">IF($O63="","",IF(INDEX(Scoring!$AM$29:$AM$361,MATCH($O63,Scoring!$AS$29:$AS$361,0))="","–",INDEX(Scoring!$AM$29:$AM$361,MATCH($O63,Scoring!$AS$29:$AS$361,0))))</f>
        <v>1</v>
      </c>
      <c r="D63" s="6" t="str">
        <f aca="false">IF($O63="","",INDEX(Scoring!$AK$29:$AK$361,MATCH($O63,Scoring!$AS$29:$AS$361,0)))</f>
        <v>Priority 1</v>
      </c>
      <c r="E63" s="7" t="str">
        <f aca="false">IF($O63="","",INDEX(Scoring!$AL$29:$AL$361,MATCH($O63,Scoring!$AS$29:$AS$361,0)))</f>
        <v>High price · high volume</v>
      </c>
      <c r="F63" s="6" t="str">
        <f aca="false">IF($O63="","",INDEX(Scoring!$B$29:$B$361,MATCH($O63,Scoring!$AS$29:$AS$361,0)))</f>
        <v>Azacitidine</v>
      </c>
      <c r="G63" s="7" t="str">
        <f aca="false">IF($O63="","",INDEX(Scoring!$AG$29:$AG$361,MATCH($O63,Scoring!$AS$29:$AS$361,0)))</f>
        <v>Azacitidine Tillomed; Azacitidin Tillomed</v>
      </c>
      <c r="H63" s="7" t="str">
        <f aca="false">IF($O63="","",INDEX(Scoring!$C$29:$C$361,MATCH($O63,Scoring!$AS$29:$AS$361,0)))</f>
        <v>Oncology: myelodysplastic syndromes, acute myeloid leukaemia</v>
      </c>
      <c r="I63" s="6" t="str">
        <f aca="false">IF($O63="","",INDEX(Scoring!$I$29:$I$361,MATCH($O63,Scoring!$AS$29:$AS$361,0)))</f>
        <v>Vial</v>
      </c>
      <c r="J63" s="7" t="str">
        <f aca="false">IF($O63="","",INDEX(Scoring!$Z$29:$Z$361,MATCH($O63,Scoring!$AS$29:$AS$361,0)))</f>
        <v>25 mg/mL powder vial; 100 mg powder vial</v>
      </c>
      <c r="K63" s="8" t="n">
        <f aca="false">IF($O63="","",IF(INDEX(Scoring!$D$29:$D$361,MATCH($O63,Scoring!$AS$29:$AS$361,0))="",INDEX(Scoring!$AF$29:$AF$361,MATCH($O63,Scoring!$AS$29:$AS$361,0)),INDEX(Scoring!$D$29:$D$361,MATCH($O63,Scoring!$AS$29:$AS$361,0))))</f>
        <v>410.89</v>
      </c>
      <c r="L63" s="9" t="n">
        <f aca="false">IF($O63="","",INDEX(Scoring!$L$29:$L$361,MATCH($O63,Scoring!$AS$29:$AS$361,0)))</f>
        <v>762</v>
      </c>
      <c r="M63" s="9" t="n">
        <f aca="false">IF($O63="","",INDEX(Scoring!$N$29:$N$361,MATCH($O63,Scoring!$AS$29:$AS$361,0)))</f>
        <v>50865.56</v>
      </c>
      <c r="N63" s="7" t="str">
        <f aca="false">IF($O63="","",INDEX(Scoring!$AI$29:$AI$361,MATCH($O63,Scoring!$AS$29:$AS$361,0)))</f>
        <v>UK, UK-NI | EU/EEA (9): Germany, France, Netherlands, Austria + 5 more</v>
      </c>
      <c r="O63" s="10" t="n">
        <f aca="false">IFERROR(SMALL(Scoring!$AS$29:$AS$361,59),"")</f>
        <v>3001</v>
      </c>
    </row>
    <row r="64" customFormat="false" ht="28.35" hidden="false" customHeight="false" outlineLevel="0" collapsed="false">
      <c r="A64" s="5" t="n">
        <f aca="false">IF($O64="","",INT($O64/1000))</f>
        <v>3</v>
      </c>
      <c r="B64" s="6" t="str">
        <f aca="false">IF($O64="","",INDEX(Scoring!$A$29:$A$361,MATCH($O64,Scoring!$AS$29:$AS$361,0)))</f>
        <v>Emcure</v>
      </c>
      <c r="C64" s="5" t="n">
        <f aca="false">IF($O64="","",IF(INDEX(Scoring!$AM$29:$AM$361,MATCH($O64,Scoring!$AS$29:$AS$361,0))="","–",INDEX(Scoring!$AM$29:$AM$361,MATCH($O64,Scoring!$AS$29:$AS$361,0))))</f>
        <v>2</v>
      </c>
      <c r="D64" s="6" t="str">
        <f aca="false">IF($O64="","",INDEX(Scoring!$AK$29:$AK$361,MATCH($O64,Scoring!$AS$29:$AS$361,0)))</f>
        <v>Priority 1</v>
      </c>
      <c r="E64" s="7" t="str">
        <f aca="false">IF($O64="","",INDEX(Scoring!$AL$29:$AL$361,MATCH($O64,Scoring!$AS$29:$AS$361,0)))</f>
        <v>High price · high volume</v>
      </c>
      <c r="F64" s="6" t="str">
        <f aca="false">IF($O64="","",INDEX(Scoring!$B$29:$B$361,MATCH($O64,Scoring!$AS$29:$AS$361,0)))</f>
        <v>Bortezomib</v>
      </c>
      <c r="G64" s="7" t="str">
        <f aca="false">IF($O64="","",INDEX(Scoring!$AG$29:$AG$361,MATCH($O64,Scoring!$AS$29:$AS$361,0)))</f>
        <v>Bortezomib Tillomed; Bortezomib</v>
      </c>
      <c r="H64" s="7" t="str">
        <f aca="false">IF($O64="","",INDEX(Scoring!$C$29:$C$361,MATCH($O64,Scoring!$AS$29:$AS$361,0)))</f>
        <v>Oncology: multiple myeloma, mantle cell lymphoma</v>
      </c>
      <c r="I64" s="6" t="str">
        <f aca="false">IF($O64="","",INDEX(Scoring!$I$29:$I$361,MATCH($O64,Scoring!$AS$29:$AS$361,0)))</f>
        <v>Vial</v>
      </c>
      <c r="J64" s="7" t="str">
        <f aca="false">IF($O64="","",INDEX(Scoring!$Z$29:$Z$361,MATCH($O64,Scoring!$AS$29:$AS$361,0)))</f>
        <v>3.5 mg powder vial; 3.5 mg in 10 mL powder vial</v>
      </c>
      <c r="K64" s="8" t="n">
        <f aca="false">IF($O64="","",IF(INDEX(Scoring!$D$29:$D$361,MATCH($O64,Scoring!$AS$29:$AS$361,0))="",INDEX(Scoring!$AF$29:$AF$361,MATCH($O64,Scoring!$AS$29:$AS$361,0)),INDEX(Scoring!$D$29:$D$361,MATCH($O64,Scoring!$AS$29:$AS$361,0))))</f>
        <v>1212.91</v>
      </c>
      <c r="L64" s="9" t="n">
        <f aca="false">IF($O64="","",INDEX(Scoring!$L$29:$L$361,MATCH($O64,Scoring!$AS$29:$AS$361,0)))</f>
        <v>905</v>
      </c>
      <c r="M64" s="9" t="n">
        <f aca="false">IF($O64="","",INDEX(Scoring!$N$29:$N$361,MATCH($O64,Scoring!$AS$29:$AS$361,0)))</f>
        <v>28093.38</v>
      </c>
      <c r="N64" s="7" t="str">
        <f aca="false">IF($O64="","",INDEX(Scoring!$AI$29:$AI$361,MATCH($O64,Scoring!$AS$29:$AS$361,0)))</f>
        <v>Canada, UK-NI | EU/EEA (2): Germany, France</v>
      </c>
      <c r="O64" s="10" t="n">
        <f aca="false">IFERROR(SMALL(Scoring!$AS$29:$AS$361,60),"")</f>
        <v>3002</v>
      </c>
    </row>
    <row r="65" customFormat="false" ht="41.75" hidden="false" customHeight="false" outlineLevel="0" collapsed="false">
      <c r="A65" s="5" t="n">
        <f aca="false">IF($O65="","",INT($O65/1000))</f>
        <v>3</v>
      </c>
      <c r="B65" s="6" t="str">
        <f aca="false">IF($O65="","",INDEX(Scoring!$A$29:$A$361,MATCH($O65,Scoring!$AS$29:$AS$361,0)))</f>
        <v>Emcure</v>
      </c>
      <c r="C65" s="5" t="n">
        <f aca="false">IF($O65="","",IF(INDEX(Scoring!$AM$29:$AM$361,MATCH($O65,Scoring!$AS$29:$AS$361,0))="","–",INDEX(Scoring!$AM$29:$AM$361,MATCH($O65,Scoring!$AS$29:$AS$361,0))))</f>
        <v>3</v>
      </c>
      <c r="D65" s="6" t="str">
        <f aca="false">IF($O65="","",INDEX(Scoring!$AK$29:$AK$361,MATCH($O65,Scoring!$AS$29:$AS$361,0)))</f>
        <v>Priority 1</v>
      </c>
      <c r="E65" s="7" t="str">
        <f aca="false">IF($O65="","",INDEX(Scoring!$AL$29:$AL$361,MATCH($O65,Scoring!$AS$29:$AS$361,0)))</f>
        <v>High price · high volume</v>
      </c>
      <c r="F65" s="6" t="str">
        <f aca="false">IF($O65="","",INDEX(Scoring!$B$29:$B$361,MATCH($O65,Scoring!$AS$29:$AS$361,0)))</f>
        <v>Amikacin</v>
      </c>
      <c r="G65" s="7" t="str">
        <f aca="false">IF($O65="","",INDEX(Scoring!$AG$29:$AG$361,MATCH($O65,Scoring!$AS$29:$AS$361,0)))</f>
        <v>Amikacin; Amikacin Tillomed Laboratories; Amikacin Sulfate (+1 more)</v>
      </c>
      <c r="H65" s="7" t="str">
        <f aca="false">IF($O65="","",INDEX(Scoring!$C$29:$C$361,MATCH($O65,Scoring!$AS$29:$AS$361,0)))</f>
        <v>Anti-infective: serious and drug-resistant Gram-negative infections, resistant TB</v>
      </c>
      <c r="I65" s="6" t="str">
        <f aca="false">IF($O65="","",INDEX(Scoring!$I$29:$I$361,MATCH($O65,Scoring!$AS$29:$AS$361,0)))</f>
        <v>Vial</v>
      </c>
      <c r="J65" s="7" t="str">
        <f aca="false">IF($O65="","",INDEX(Scoring!$Z$29:$Z$361,MATCH($O65,Scoring!$AS$29:$AS$361,0)))</f>
        <v>500 mg/2 mL vial</v>
      </c>
      <c r="K65" s="8" t="n">
        <f aca="false">IF($O65="","",IF(INDEX(Scoring!$D$29:$D$361,MATCH($O65,Scoring!$AS$29:$AS$361,0))="",INDEX(Scoring!$AF$29:$AF$361,MATCH($O65,Scoring!$AS$29:$AS$361,0)),INDEX(Scoring!$D$29:$D$361,MATCH($O65,Scoring!$AS$29:$AS$361,0))))</f>
        <v>27.98</v>
      </c>
      <c r="L65" s="9" t="n">
        <f aca="false">IF($O65="","",INDEX(Scoring!$L$29:$L$361,MATCH($O65,Scoring!$AS$29:$AS$361,0)))</f>
        <v>684</v>
      </c>
      <c r="M65" s="9" t="n">
        <f aca="false">IF($O65="","",INDEX(Scoring!$N$29:$N$361,MATCH($O65,Scoring!$AS$29:$AS$361,0)))</f>
        <v>8785.35</v>
      </c>
      <c r="N65" s="7" t="str">
        <f aca="false">IF($O65="","",INDEX(Scoring!$AI$29:$AI$361,MATCH($O65,Scoring!$AS$29:$AS$361,0)))</f>
        <v>UK, Canada, Australia, UK-NI | EU/EEA (1): Malta</v>
      </c>
      <c r="O65" s="10" t="n">
        <f aca="false">IFERROR(SMALL(Scoring!$AS$29:$AS$361,61),"")</f>
        <v>3003</v>
      </c>
    </row>
    <row r="66" customFormat="false" ht="28.35" hidden="false" customHeight="false" outlineLevel="0" collapsed="false">
      <c r="A66" s="5" t="n">
        <f aca="false">IF($O66="","",INT($O66/1000))</f>
        <v>3</v>
      </c>
      <c r="B66" s="6" t="str">
        <f aca="false">IF($O66="","",INDEX(Scoring!$A$29:$A$361,MATCH($O66,Scoring!$AS$29:$AS$361,0)))</f>
        <v>Emcure</v>
      </c>
      <c r="C66" s="5" t="n">
        <f aca="false">IF($O66="","",IF(INDEX(Scoring!$AM$29:$AM$361,MATCH($O66,Scoring!$AS$29:$AS$361,0))="","–",INDEX(Scoring!$AM$29:$AM$361,MATCH($O66,Scoring!$AS$29:$AS$361,0))))</f>
        <v>4</v>
      </c>
      <c r="D66" s="6" t="str">
        <f aca="false">IF($O66="","",INDEX(Scoring!$AK$29:$AK$361,MATCH($O66,Scoring!$AS$29:$AS$361,0)))</f>
        <v>Priority 2</v>
      </c>
      <c r="E66" s="7" t="str">
        <f aca="false">IF($O66="","",INDEX(Scoring!$AL$29:$AL$361,MATCH($O66,Scoring!$AS$29:$AS$361,0)))</f>
        <v>Lower price · high volume</v>
      </c>
      <c r="F66" s="6" t="str">
        <f aca="false">IF($O66="","",INDEX(Scoring!$B$29:$B$361,MATCH($O66,Scoring!$AS$29:$AS$361,0)))</f>
        <v>Ampicillin</v>
      </c>
      <c r="G66" s="7" t="str">
        <f aca="false">IF($O66="","",INDEX(Scoring!$AG$29:$AG$361,MATCH($O66,Scoring!$AS$29:$AS$361,0)))</f>
        <v>Ampicillina Tillomed</v>
      </c>
      <c r="H66" s="7" t="str">
        <f aca="false">IF($O66="","",INDEX(Scoring!$C$29:$C$361,MATCH($O66,Scoring!$AS$29:$AS$361,0)))</f>
        <v>Anti-infective: meningitis, endocarditis, neonatal sepsis</v>
      </c>
      <c r="I66" s="6" t="str">
        <f aca="false">IF($O66="","",INDEX(Scoring!$I$29:$I$361,MATCH($O66,Scoring!$AS$29:$AS$361,0)))</f>
        <v>Vial</v>
      </c>
      <c r="J66" s="7" t="str">
        <f aca="false">IF($O66="","",INDEX(Scoring!$Z$29:$Z$361,MATCH($O66,Scoring!$AS$29:$AS$361,0)))</f>
        <v>1 g vial</v>
      </c>
      <c r="K66" s="8" t="n">
        <f aca="false">IF($O66="","",IF(INDEX(Scoring!$D$29:$D$361,MATCH($O66,Scoring!$AS$29:$AS$361,0))="",INDEX(Scoring!$AF$29:$AF$361,MATCH($O66,Scoring!$AS$29:$AS$361,0)),INDEX(Scoring!$D$29:$D$361,MATCH($O66,Scoring!$AS$29:$AS$361,0))))</f>
        <v>9.04</v>
      </c>
      <c r="L66" s="9" t="n">
        <f aca="false">IF($O66="","",INDEX(Scoring!$L$29:$L$361,MATCH($O66,Scoring!$AS$29:$AS$361,0)))</f>
        <v>1393</v>
      </c>
      <c r="M66" s="9" t="n">
        <f aca="false">IF($O66="","",INDEX(Scoring!$N$29:$N$361,MATCH($O66,Scoring!$AS$29:$AS$361,0)))</f>
        <v>52401.4</v>
      </c>
      <c r="N66" s="7" t="str">
        <f aca="false">IF($O66="","",INDEX(Scoring!$AI$29:$AI$361,MATCH($O66,Scoring!$AS$29:$AS$361,0)))</f>
        <v>EU/EEA (1): Italy</v>
      </c>
      <c r="O66" s="10" t="n">
        <f aca="false">IFERROR(SMALL(Scoring!$AS$29:$AS$361,62),"")</f>
        <v>3004</v>
      </c>
    </row>
    <row r="67" customFormat="false" ht="28.35" hidden="false" customHeight="false" outlineLevel="0" collapsed="false">
      <c r="A67" s="5" t="n">
        <f aca="false">IF($O67="","",INT($O67/1000))</f>
        <v>3</v>
      </c>
      <c r="B67" s="6" t="str">
        <f aca="false">IF($O67="","",INDEX(Scoring!$A$29:$A$361,MATCH($O67,Scoring!$AS$29:$AS$361,0)))</f>
        <v>Emcure</v>
      </c>
      <c r="C67" s="5" t="n">
        <f aca="false">IF($O67="","",IF(INDEX(Scoring!$AM$29:$AM$361,MATCH($O67,Scoring!$AS$29:$AS$361,0))="","–",INDEX(Scoring!$AM$29:$AM$361,MATCH($O67,Scoring!$AS$29:$AS$361,0))))</f>
        <v>5</v>
      </c>
      <c r="D67" s="6" t="str">
        <f aca="false">IF($O67="","",INDEX(Scoring!$AK$29:$AK$361,MATCH($O67,Scoring!$AS$29:$AS$361,0)))</f>
        <v>Priority 2</v>
      </c>
      <c r="E67" s="7" t="str">
        <f aca="false">IF($O67="","",INDEX(Scoring!$AL$29:$AL$361,MATCH($O67,Scoring!$AS$29:$AS$361,0)))</f>
        <v>Lower price · high volume</v>
      </c>
      <c r="F67" s="6" t="str">
        <f aca="false">IF($O67="","",INDEX(Scoring!$B$29:$B$361,MATCH($O67,Scoring!$AS$29:$AS$361,0)))</f>
        <v>Ondansetron</v>
      </c>
      <c r="G67" s="7" t="str">
        <f aca="false">IF($O67="","",INDEX(Scoring!$AG$29:$AG$361,MATCH($O67,Scoring!$AS$29:$AS$361,0)))</f>
        <v>Ondansetron Tillomed</v>
      </c>
      <c r="H67" s="7" t="str">
        <f aca="false">IF($O67="","",INDEX(Scoring!$C$29:$C$361,MATCH($O67,Scoring!$AS$29:$AS$361,0)))</f>
        <v>Oncology support: nausea and vomiting from chemotherapy and surgery</v>
      </c>
      <c r="I67" s="6" t="str">
        <f aca="false">IF($O67="","",INDEX(Scoring!$I$29:$I$361,MATCH($O67,Scoring!$AS$29:$AS$361,0)))</f>
        <v>Ampoule</v>
      </c>
      <c r="J67" s="7" t="str">
        <f aca="false">IF($O67="","",INDEX(Scoring!$Z$29:$Z$361,MATCH($O67,Scoring!$AS$29:$AS$361,0)))</f>
        <v>4 mg/2 mL ampoule</v>
      </c>
      <c r="K67" s="8" t="n">
        <f aca="false">IF($O67="","",IF(INDEX(Scoring!$D$29:$D$361,MATCH($O67,Scoring!$AS$29:$AS$361,0))="",INDEX(Scoring!$AF$29:$AF$361,MATCH($O67,Scoring!$AS$29:$AS$361,0)),INDEX(Scoring!$D$29:$D$361,MATCH($O67,Scoring!$AS$29:$AS$361,0))))</f>
        <v>5.32</v>
      </c>
      <c r="L67" s="9" t="n">
        <f aca="false">IF($O67="","",INDEX(Scoring!$L$29:$L$361,MATCH($O67,Scoring!$AS$29:$AS$361,0)))</f>
        <v>2546</v>
      </c>
      <c r="M67" s="9" t="n">
        <f aca="false">IF($O67="","",INDEX(Scoring!$N$29:$N$361,MATCH($O67,Scoring!$AS$29:$AS$361,0)))</f>
        <v>46507.62</v>
      </c>
      <c r="N67" s="7" t="str">
        <f aca="false">IF($O67="","",INDEX(Scoring!$AI$29:$AI$361,MATCH($O67,Scoring!$AS$29:$AS$361,0)))</f>
        <v>EU/EEA (1): Germany</v>
      </c>
      <c r="O67" s="10" t="n">
        <f aca="false">IFERROR(SMALL(Scoring!$AS$29:$AS$361,63),"")</f>
        <v>3005</v>
      </c>
    </row>
    <row r="68" customFormat="false" ht="28.35" hidden="false" customHeight="false" outlineLevel="0" collapsed="false">
      <c r="A68" s="5" t="n">
        <f aca="false">IF($O68="","",INT($O68/1000))</f>
        <v>3</v>
      </c>
      <c r="B68" s="6" t="str">
        <f aca="false">IF($O68="","",INDEX(Scoring!$A$29:$A$361,MATCH($O68,Scoring!$AS$29:$AS$361,0)))</f>
        <v>Emcure</v>
      </c>
      <c r="C68" s="5" t="n">
        <f aca="false">IF($O68="","",IF(INDEX(Scoring!$AM$29:$AM$361,MATCH($O68,Scoring!$AS$29:$AS$361,0))="","–",INDEX(Scoring!$AM$29:$AM$361,MATCH($O68,Scoring!$AS$29:$AS$361,0))))</f>
        <v>6</v>
      </c>
      <c r="D68" s="6" t="str">
        <f aca="false">IF($O68="","",INDEX(Scoring!$AK$29:$AK$361,MATCH($O68,Scoring!$AS$29:$AS$361,0)))</f>
        <v>Priority 2</v>
      </c>
      <c r="E68" s="7" t="str">
        <f aca="false">IF($O68="","",INDEX(Scoring!$AL$29:$AL$361,MATCH($O68,Scoring!$AS$29:$AS$361,0)))</f>
        <v>Lower price · high volume</v>
      </c>
      <c r="F68" s="6" t="str">
        <f aca="false">IF($O68="","",INDEX(Scoring!$B$29:$B$361,MATCH($O68,Scoring!$AS$29:$AS$361,0)))</f>
        <v>Acetazolamide</v>
      </c>
      <c r="G68" s="7" t="str">
        <f aca="false">IF($O68="","",INDEX(Scoring!$AG$29:$AG$361,MATCH($O68,Scoring!$AS$29:$AS$361,0)))</f>
        <v>Acetazolamide Tillomed</v>
      </c>
      <c r="H68" s="7" t="str">
        <f aca="false">IF($O68="","",INDEX(Scoring!$C$29:$C$361,MATCH($O68,Scoring!$AS$29:$AS$361,0)))</f>
        <v>Ophthalmology: acute angle-closure glaucoma, raised eye pressure, oedema</v>
      </c>
      <c r="I68" s="6" t="str">
        <f aca="false">IF($O68="","",INDEX(Scoring!$I$29:$I$361,MATCH($O68,Scoring!$AS$29:$AS$361,0)))</f>
        <v>Vial</v>
      </c>
      <c r="J68" s="7" t="str">
        <f aca="false">IF($O68="","",INDEX(Scoring!$Z$29:$Z$361,MATCH($O68,Scoring!$AS$29:$AS$361,0)))</f>
        <v>500 mg powder vial</v>
      </c>
      <c r="K68" s="8" t="n">
        <f aca="false">IF($O68="","",IF(INDEX(Scoring!$D$29:$D$361,MATCH($O68,Scoring!$AS$29:$AS$361,0))="",INDEX(Scoring!$AF$29:$AF$361,MATCH($O68,Scoring!$AS$29:$AS$361,0)),INDEX(Scoring!$D$29:$D$361,MATCH($O68,Scoring!$AS$29:$AS$361,0))))</f>
        <v>17.81</v>
      </c>
      <c r="L68" s="9" t="n">
        <f aca="false">IF($O68="","",INDEX(Scoring!$L$29:$L$361,MATCH($O68,Scoring!$AS$29:$AS$361,0)))</f>
        <v>310</v>
      </c>
      <c r="M68" s="9" t="n">
        <f aca="false">IF($O68="","",INDEX(Scoring!$N$29:$N$361,MATCH($O68,Scoring!$AS$29:$AS$361,0)))</f>
        <v>8995.42</v>
      </c>
      <c r="N68" s="7" t="str">
        <f aca="false">IF($O68="","",INDEX(Scoring!$AI$29:$AI$361,MATCH($O68,Scoring!$AS$29:$AS$361,0)))</f>
        <v>UK, UK-NI</v>
      </c>
      <c r="O68" s="10" t="n">
        <f aca="false">IFERROR(SMALL(Scoring!$AS$29:$AS$361,64),"")</f>
        <v>3006</v>
      </c>
    </row>
    <row r="69" customFormat="false" ht="28.35" hidden="false" customHeight="false" outlineLevel="0" collapsed="false">
      <c r="A69" s="5" t="n">
        <f aca="false">IF($O69="","",INT($O69/1000))</f>
        <v>3</v>
      </c>
      <c r="B69" s="6" t="str">
        <f aca="false">IF($O69="","",INDEX(Scoring!$A$29:$A$361,MATCH($O69,Scoring!$AS$29:$AS$361,0)))</f>
        <v>Emcure</v>
      </c>
      <c r="C69" s="5" t="n">
        <f aca="false">IF($O69="","",IF(INDEX(Scoring!$AM$29:$AM$361,MATCH($O69,Scoring!$AS$29:$AS$361,0))="","–",INDEX(Scoring!$AM$29:$AM$361,MATCH($O69,Scoring!$AS$29:$AS$361,0))))</f>
        <v>7</v>
      </c>
      <c r="D69" s="6" t="str">
        <f aca="false">IF($O69="","",INDEX(Scoring!$AK$29:$AK$361,MATCH($O69,Scoring!$AS$29:$AS$361,0)))</f>
        <v>Priority 2</v>
      </c>
      <c r="E69" s="7" t="str">
        <f aca="false">IF($O69="","",INDEX(Scoring!$AL$29:$AL$361,MATCH($O69,Scoring!$AS$29:$AS$361,0)))</f>
        <v>High price · lower volume</v>
      </c>
      <c r="F69" s="6" t="str">
        <f aca="false">IF($O69="","",INDEX(Scoring!$B$29:$B$361,MATCH($O69,Scoring!$AS$29:$AS$361,0)))</f>
        <v>Plerixafor</v>
      </c>
      <c r="G69" s="7" t="str">
        <f aca="false">IF($O69="","",INDEX(Scoring!$AG$29:$AG$361,MATCH($O69,Scoring!$AS$29:$AS$361,0)))</f>
        <v>Plerixafor; Plerixafor Tillomed</v>
      </c>
      <c r="H69" s="7" t="str">
        <f aca="false">IF($O69="","",INDEX(Scoring!$C$29:$C$361,MATCH($O69,Scoring!$AS$29:$AS$361,0)))</f>
        <v>Oncology support: stem cell mobilisation in myeloma and lymphoma</v>
      </c>
      <c r="I69" s="6" t="str">
        <f aca="false">IF($O69="","",INDEX(Scoring!$I$29:$I$361,MATCH($O69,Scoring!$AS$29:$AS$361,0)))</f>
        <v>Vial</v>
      </c>
      <c r="J69" s="7" t="str">
        <f aca="false">IF($O69="","",INDEX(Scoring!$Z$29:$Z$361,MATCH($O69,Scoring!$AS$29:$AS$361,0)))</f>
        <v>24 mg/1.2 mL vial</v>
      </c>
      <c r="K69" s="8" t="n">
        <f aca="false">IF($O69="","",IF(INDEX(Scoring!$D$29:$D$361,MATCH($O69,Scoring!$AS$29:$AS$361,0))="",INDEX(Scoring!$AF$29:$AF$361,MATCH($O69,Scoring!$AS$29:$AS$361,0)),INDEX(Scoring!$D$29:$D$361,MATCH($O69,Scoring!$AS$29:$AS$361,0))))</f>
        <v>6173.01</v>
      </c>
      <c r="L69" s="9" t="n">
        <f aca="false">IF($O69="","",INDEX(Scoring!$L$29:$L$361,MATCH($O69,Scoring!$AS$29:$AS$361,0)))</f>
        <v>47</v>
      </c>
      <c r="M69" s="9" t="n">
        <f aca="false">IF($O69="","",INDEX(Scoring!$N$29:$N$361,MATCH($O69,Scoring!$AS$29:$AS$361,0)))</f>
        <v>7904.67</v>
      </c>
      <c r="N69" s="7" t="str">
        <f aca="false">IF($O69="","",INDEX(Scoring!$AI$29:$AI$361,MATCH($O69,Scoring!$AS$29:$AS$361,0)))</f>
        <v>UK | EU/EEA (3): Germany, France, Italy</v>
      </c>
      <c r="O69" s="10" t="n">
        <f aca="false">IFERROR(SMALL(Scoring!$AS$29:$AS$361,65),"")</f>
        <v>3007</v>
      </c>
    </row>
    <row r="70" customFormat="false" ht="28.35" hidden="false" customHeight="false" outlineLevel="0" collapsed="false">
      <c r="A70" s="5" t="n">
        <f aca="false">IF($O70="","",INT($O70/1000))</f>
        <v>3</v>
      </c>
      <c r="B70" s="6" t="str">
        <f aca="false">IF($O70="","",INDEX(Scoring!$A$29:$A$361,MATCH($O70,Scoring!$AS$29:$AS$361,0)))</f>
        <v>Emcure</v>
      </c>
      <c r="C70" s="5" t="n">
        <f aca="false">IF($O70="","",IF(INDEX(Scoring!$AM$29:$AM$361,MATCH($O70,Scoring!$AS$29:$AS$361,0))="","–",INDEX(Scoring!$AM$29:$AM$361,MATCH($O70,Scoring!$AS$29:$AS$361,0))))</f>
        <v>8</v>
      </c>
      <c r="D70" s="6" t="str">
        <f aca="false">IF($O70="","",INDEX(Scoring!$AK$29:$AK$361,MATCH($O70,Scoring!$AS$29:$AS$361,0)))</f>
        <v>Priority 2</v>
      </c>
      <c r="E70" s="7" t="str">
        <f aca="false">IF($O70="","",INDEX(Scoring!$AL$29:$AL$361,MATCH($O70,Scoring!$AS$29:$AS$361,0)))</f>
        <v>High price · lower volume</v>
      </c>
      <c r="F70" s="6" t="str">
        <f aca="false">IF($O70="","",INDEX(Scoring!$B$29:$B$361,MATCH($O70,Scoring!$AS$29:$AS$361,0)))</f>
        <v>Isoprenaline (Isoproterenol)</v>
      </c>
      <c r="G70" s="7" t="str">
        <f aca="false">IF($O70="","",INDEX(Scoring!$AG$29:$AG$361,MATCH($O70,Scoring!$AS$29:$AS$361,0)))</f>
        <v>Isoproterenol Hydrochloride</v>
      </c>
      <c r="H70" s="7" t="str">
        <f aca="false">IF($O70="","",INDEX(Scoring!$C$29:$C$361,MATCH($O70,Scoring!$AS$29:$AS$361,0)))</f>
        <v>Cardiovascular: heart block, severe slow heart rate</v>
      </c>
      <c r="I70" s="6" t="str">
        <f aca="false">IF($O70="","",INDEX(Scoring!$I$29:$I$361,MATCH($O70,Scoring!$AS$29:$AS$361,0)))</f>
        <v>Vial</v>
      </c>
      <c r="J70" s="7" t="str">
        <f aca="false">IF($O70="","",INDEX(Scoring!$Z$29:$Z$361,MATCH($O70,Scoring!$AS$29:$AS$361,0)))</f>
        <v>0.2 mg/1 mL vial; 1 mg/5 mL vial</v>
      </c>
      <c r="K70" s="8" t="n">
        <f aca="false">IF($O70="","",IF(INDEX(Scoring!$D$29:$D$361,MATCH($O70,Scoring!$AS$29:$AS$361,0))="",INDEX(Scoring!$AF$29:$AF$361,MATCH($O70,Scoring!$AS$29:$AS$361,0)),INDEX(Scoring!$D$29:$D$361,MATCH($O70,Scoring!$AS$29:$AS$361,0))))</f>
        <v>25.24</v>
      </c>
      <c r="L70" s="9" t="n">
        <f aca="false">IF($O70="","",INDEX(Scoring!$L$29:$L$361,MATCH($O70,Scoring!$AS$29:$AS$361,0)))</f>
        <v>87</v>
      </c>
      <c r="M70" s="9" t="n">
        <f aca="false">IF($O70="","",INDEX(Scoring!$N$29:$N$361,MATCH($O70,Scoring!$AS$29:$AS$361,0)))</f>
        <v>2931.42</v>
      </c>
      <c r="N70" s="7" t="str">
        <f aca="false">IF($O70="","",INDEX(Scoring!$AI$29:$AI$361,MATCH($O70,Scoring!$AS$29:$AS$361,0)))</f>
        <v>Canada | EU/EEA (2): France, Portugal</v>
      </c>
      <c r="O70" s="10" t="n">
        <f aca="false">IFERROR(SMALL(Scoring!$AS$29:$AS$361,66),"")</f>
        <v>3008</v>
      </c>
    </row>
    <row r="71" customFormat="false" ht="55.2" hidden="false" customHeight="false" outlineLevel="0" collapsed="false">
      <c r="A71" s="5" t="n">
        <f aca="false">IF($O71="","",INT($O71/1000))</f>
        <v>3</v>
      </c>
      <c r="B71" s="6" t="str">
        <f aca="false">IF($O71="","",INDEX(Scoring!$A$29:$A$361,MATCH($O71,Scoring!$AS$29:$AS$361,0)))</f>
        <v>Emcure</v>
      </c>
      <c r="C71" s="5" t="n">
        <f aca="false">IF($O71="","",IF(INDEX(Scoring!$AM$29:$AM$361,MATCH($O71,Scoring!$AS$29:$AS$361,0))="","–",INDEX(Scoring!$AM$29:$AM$361,MATCH($O71,Scoring!$AS$29:$AS$361,0))))</f>
        <v>9</v>
      </c>
      <c r="D71" s="6" t="str">
        <f aca="false">IF($O71="","",INDEX(Scoring!$AK$29:$AK$361,MATCH($O71,Scoring!$AS$29:$AS$361,0)))</f>
        <v>Priority 2</v>
      </c>
      <c r="E71" s="7" t="str">
        <f aca="false">IF($O71="","",INDEX(Scoring!$AL$29:$AL$361,MATCH($O71,Scoring!$AS$29:$AS$361,0)))</f>
        <v>High price · lower volume</v>
      </c>
      <c r="F71" s="6" t="str">
        <f aca="false">IF($O71="","",INDEX(Scoring!$B$29:$B$361,MATCH($O71,Scoring!$AS$29:$AS$361,0)))</f>
        <v>Pentamidine</v>
      </c>
      <c r="G71" s="7" t="str">
        <f aca="false">IF($O71="","",INDEX(Scoring!$AG$29:$AG$361,MATCH($O71,Scoring!$AS$29:$AS$361,0)))</f>
        <v>Pentamidine Isetionate Tillomed; Pentamidindiisetionat Tillomed; Pentamidine Isetionate (+1 more)</v>
      </c>
      <c r="H71" s="7" t="str">
        <f aca="false">IF($O71="","",INDEX(Scoring!$C$29:$C$361,MATCH($O71,Scoring!$AS$29:$AS$361,0)))</f>
        <v>Anti-infective: Pneumocystis pneumonia, leishmaniasis</v>
      </c>
      <c r="I71" s="6" t="str">
        <f aca="false">IF($O71="","",INDEX(Scoring!$I$29:$I$361,MATCH($O71,Scoring!$AS$29:$AS$361,0)))</f>
        <v>Vial</v>
      </c>
      <c r="J71" s="7" t="str">
        <f aca="false">IF($O71="","",INDEX(Scoring!$Z$29:$Z$361,MATCH($O71,Scoring!$AS$29:$AS$361,0)))</f>
        <v>300 mg powder vial; 300 mg in 20 mL powder vial</v>
      </c>
      <c r="K71" s="8" t="n">
        <f aca="false">IF($O71="","",IF(INDEX(Scoring!$D$29:$D$361,MATCH($O71,Scoring!$AS$29:$AS$361,0))="",INDEX(Scoring!$AF$29:$AF$361,MATCH($O71,Scoring!$AS$29:$AS$361,0)),INDEX(Scoring!$D$29:$D$361,MATCH($O71,Scoring!$AS$29:$AS$361,0))))</f>
        <v>186.04</v>
      </c>
      <c r="L71" s="9" t="n">
        <f aca="false">IF($O71="","",INDEX(Scoring!$L$29:$L$361,MATCH($O71,Scoring!$AS$29:$AS$361,0)))</f>
        <v>12</v>
      </c>
      <c r="M71" s="9" t="n">
        <f aca="false">IF($O71="","",INDEX(Scoring!$N$29:$N$361,MATCH($O71,Scoring!$AS$29:$AS$361,0)))</f>
        <v>2202.64</v>
      </c>
      <c r="N71" s="7" t="str">
        <f aca="false">IF($O71="","",INDEX(Scoring!$AI$29:$AI$361,MATCH($O71,Scoring!$AS$29:$AS$361,0)))</f>
        <v>UK, Canada, Australia, UK-NI | EU/EEA (8): Germany, France, Netherlands, Denmark + 4 more</v>
      </c>
      <c r="O71" s="10" t="n">
        <f aca="false">IFERROR(SMALL(Scoring!$AS$29:$AS$361,67),"")</f>
        <v>3009</v>
      </c>
    </row>
    <row r="72" customFormat="false" ht="28.35" hidden="false" customHeight="false" outlineLevel="0" collapsed="false">
      <c r="A72" s="5" t="n">
        <f aca="false">IF($O72="","",INT($O72/1000))</f>
        <v>3</v>
      </c>
      <c r="B72" s="6" t="str">
        <f aca="false">IF($O72="","",INDEX(Scoring!$A$29:$A$361,MATCH($O72,Scoring!$AS$29:$AS$361,0)))</f>
        <v>Emcure</v>
      </c>
      <c r="C72" s="5" t="n">
        <f aca="false">IF($O72="","",IF(INDEX(Scoring!$AM$29:$AM$361,MATCH($O72,Scoring!$AS$29:$AS$361,0))="","–",INDEX(Scoring!$AM$29:$AM$361,MATCH($O72,Scoring!$AS$29:$AS$361,0))))</f>
        <v>10</v>
      </c>
      <c r="D72" s="6" t="str">
        <f aca="false">IF($O72="","",INDEX(Scoring!$AK$29:$AK$361,MATCH($O72,Scoring!$AS$29:$AS$361,0)))</f>
        <v>Priority 3</v>
      </c>
      <c r="E72" s="7" t="str">
        <f aca="false">IF($O72="","",INDEX(Scoring!$AL$29:$AL$361,MATCH($O72,Scoring!$AS$29:$AS$361,0)))</f>
        <v>Lower price · lower volume</v>
      </c>
      <c r="F72" s="6" t="str">
        <f aca="false">IF($O72="","",INDEX(Scoring!$B$29:$B$361,MATCH($O72,Scoring!$AS$29:$AS$361,0)))</f>
        <v>Colistimethate Sodium</v>
      </c>
      <c r="G72" s="7" t="str">
        <f aca="false">IF($O72="","",INDEX(Scoring!$AG$29:$AG$361,MATCH($O72,Scoring!$AS$29:$AS$361,0)))</f>
        <v>Colistimethate</v>
      </c>
      <c r="H72" s="7" t="str">
        <f aca="false">IF($O72="","",INDEX(Scoring!$C$29:$C$361,MATCH($O72,Scoring!$AS$29:$AS$361,0)))</f>
        <v>Anti-infective: last-line treatment for drug-resistant Gram-negative infections</v>
      </c>
      <c r="I72" s="6" t="str">
        <f aca="false">IF($O72="","",INDEX(Scoring!$I$29:$I$361,MATCH($O72,Scoring!$AS$29:$AS$361,0)))</f>
        <v>Vial</v>
      </c>
      <c r="J72" s="7" t="str">
        <f aca="false">IF($O72="","",INDEX(Scoring!$Z$29:$Z$361,MATCH($O72,Scoring!$AS$29:$AS$361,0)))</f>
        <v>150 mg/10 mL vial</v>
      </c>
      <c r="K72" s="8" t="n">
        <f aca="false">IF($O72="","",IF(INDEX(Scoring!$D$29:$D$361,MATCH($O72,Scoring!$AS$29:$AS$361,0))="",INDEX(Scoring!$AF$29:$AF$361,MATCH($O72,Scoring!$AS$29:$AS$361,0)),INDEX(Scoring!$D$29:$D$361,MATCH($O72,Scoring!$AS$29:$AS$361,0))))</f>
        <v>23.98</v>
      </c>
      <c r="L72" s="9" t="n">
        <f aca="false">IF($O72="","",INDEX(Scoring!$L$29:$L$361,MATCH($O72,Scoring!$AS$29:$AS$361,0)))</f>
        <v>123</v>
      </c>
      <c r="M72" s="9" t="n">
        <f aca="false">IF($O72="","",INDEX(Scoring!$N$29:$N$361,MATCH($O72,Scoring!$AS$29:$AS$361,0)))</f>
        <v>3010.2</v>
      </c>
      <c r="N72" s="7" t="str">
        <f aca="false">IF($O72="","",INDEX(Scoring!$AI$29:$AI$361,MATCH($O72,Scoring!$AS$29:$AS$361,0)))</f>
        <v>Canada</v>
      </c>
      <c r="O72" s="10" t="n">
        <f aca="false">IFERROR(SMALL(Scoring!$AS$29:$AS$361,68),"")</f>
        <v>3010</v>
      </c>
    </row>
    <row r="73" customFormat="false" ht="28.35" hidden="false" customHeight="false" outlineLevel="0" collapsed="false">
      <c r="A73" s="5" t="n">
        <f aca="false">IF($O73="","",INT($O73/1000))</f>
        <v>3</v>
      </c>
      <c r="B73" s="6" t="str">
        <f aca="false">IF($O73="","",INDEX(Scoring!$A$29:$A$361,MATCH($O73,Scoring!$AS$29:$AS$361,0)))</f>
        <v>Emcure</v>
      </c>
      <c r="C73" s="5" t="n">
        <f aca="false">IF($O73="","",IF(INDEX(Scoring!$AM$29:$AM$361,MATCH($O73,Scoring!$AS$29:$AS$361,0))="","–",INDEX(Scoring!$AM$29:$AM$361,MATCH($O73,Scoring!$AS$29:$AS$361,0))))</f>
        <v>11</v>
      </c>
      <c r="D73" s="6" t="str">
        <f aca="false">IF($O73="","",INDEX(Scoring!$AK$29:$AK$361,MATCH($O73,Scoring!$AS$29:$AS$361,0)))</f>
        <v>Priority 3</v>
      </c>
      <c r="E73" s="7" t="str">
        <f aca="false">IF($O73="","",INDEX(Scoring!$AL$29:$AL$361,MATCH($O73,Scoring!$AS$29:$AS$361,0)))</f>
        <v>Lower price · lower volume</v>
      </c>
      <c r="F73" s="6" t="str">
        <f aca="false">IF($O73="","",INDEX(Scoring!$B$29:$B$361,MATCH($O73,Scoring!$AS$29:$AS$361,0)))</f>
        <v>Neostigmine</v>
      </c>
      <c r="G73" s="7" t="str">
        <f aca="false">IF($O73="","",INDEX(Scoring!$AG$29:$AG$361,MATCH($O73,Scoring!$AS$29:$AS$361,0)))</f>
        <v>Neostigmine Methylsulfate</v>
      </c>
      <c r="H73" s="7" t="str">
        <f aca="false">IF($O73="","",INDEX(Scoring!$C$29:$C$361,MATCH($O73,Scoring!$AS$29:$AS$361,0)))</f>
        <v>Anaesthesia and neurology: reversal of muscle relaxants after surgery, myasthenia gravis</v>
      </c>
      <c r="I73" s="6" t="str">
        <f aca="false">IF($O73="","",INDEX(Scoring!$I$29:$I$361,MATCH($O73,Scoring!$AS$29:$AS$361,0)))</f>
        <v>Vial</v>
      </c>
      <c r="J73" s="7" t="str">
        <f aca="false">IF($O73="","",INDEX(Scoring!$Z$29:$Z$361,MATCH($O73,Scoring!$AS$29:$AS$361,0)))</f>
        <v>5 mg/10 mL vial; 10 mg/10 mL vial</v>
      </c>
      <c r="K73" s="8" t="n">
        <f aca="false">IF($O73="","",IF(INDEX(Scoring!$D$29:$D$361,MATCH($O73,Scoring!$AS$29:$AS$361,0))="",INDEX(Scoring!$AF$29:$AF$361,MATCH($O73,Scoring!$AS$29:$AS$361,0)),INDEX(Scoring!$D$29:$D$361,MATCH($O73,Scoring!$AS$29:$AS$361,0))))</f>
        <v>7.98</v>
      </c>
      <c r="L73" s="9" t="n">
        <f aca="false">IF($O73="","",INDEX(Scoring!$L$29:$L$361,MATCH($O73,Scoring!$AS$29:$AS$361,0)))</f>
        <v>236</v>
      </c>
      <c r="M73" s="9" t="n">
        <f aca="false">IF($O73="","",INDEX(Scoring!$N$29:$N$361,MATCH($O73,Scoring!$AS$29:$AS$361,0)))</f>
        <v>1845.67</v>
      </c>
      <c r="N73" s="7" t="str">
        <f aca="false">IF($O73="","",INDEX(Scoring!$AI$29:$AI$361,MATCH($O73,Scoring!$AS$29:$AS$361,0)))</f>
        <v>Canada</v>
      </c>
      <c r="O73" s="10" t="n">
        <f aca="false">IFERROR(SMALL(Scoring!$AS$29:$AS$361,69),"")</f>
        <v>3011</v>
      </c>
    </row>
    <row r="74" customFormat="false" ht="28.35" hidden="false" customHeight="false" outlineLevel="0" collapsed="false">
      <c r="A74" s="5" t="n">
        <f aca="false">IF($O74="","",INT($O74/1000))</f>
        <v>4</v>
      </c>
      <c r="B74" s="6" t="str">
        <f aca="false">IF($O74="","",INDEX(Scoring!$A$29:$A$361,MATCH($O74,Scoring!$AS$29:$AS$361,0)))</f>
        <v>Hetero</v>
      </c>
      <c r="C74" s="5" t="n">
        <f aca="false">IF($O74="","",IF(INDEX(Scoring!$AM$29:$AM$361,MATCH($O74,Scoring!$AS$29:$AS$361,0))="","–",INDEX(Scoring!$AM$29:$AM$361,MATCH($O74,Scoring!$AS$29:$AS$361,0))))</f>
        <v>1</v>
      </c>
      <c r="D74" s="6" t="str">
        <f aca="false">IF($O74="","",INDEX(Scoring!$AK$29:$AK$361,MATCH($O74,Scoring!$AS$29:$AS$361,0)))</f>
        <v>Priority 1</v>
      </c>
      <c r="E74" s="7" t="str">
        <f aca="false">IF($O74="","",INDEX(Scoring!$AL$29:$AL$361,MATCH($O74,Scoring!$AS$29:$AS$361,0)))</f>
        <v>High price · high volume</v>
      </c>
      <c r="F74" s="6" t="str">
        <f aca="false">IF($O74="","",INDEX(Scoring!$B$29:$B$361,MATCH($O74,Scoring!$AS$29:$AS$361,0)))</f>
        <v>Azacitidine</v>
      </c>
      <c r="G74" s="7" t="str">
        <f aca="false">IF($O74="","",INDEX(Scoring!$AG$29:$AG$361,MATCH($O74,Scoring!$AS$29:$AS$361,0)))</f>
        <v>Azacitidine; Azacitidine Amarox</v>
      </c>
      <c r="H74" s="7" t="str">
        <f aca="false">IF($O74="","",INDEX(Scoring!$C$29:$C$361,MATCH($O74,Scoring!$AS$29:$AS$361,0)))</f>
        <v>Oncology: myelodysplastic syndromes, acute myeloid leukaemia</v>
      </c>
      <c r="I74" s="6" t="str">
        <f aca="false">IF($O74="","",INDEX(Scoring!$I$29:$I$361,MATCH($O74,Scoring!$AS$29:$AS$361,0)))</f>
        <v>Vial</v>
      </c>
      <c r="J74" s="7" t="str">
        <f aca="false">IF($O74="","",INDEX(Scoring!$Z$29:$Z$361,MATCH($O74,Scoring!$AS$29:$AS$361,0)))</f>
        <v>25 mg/mL powder vial</v>
      </c>
      <c r="K74" s="8" t="n">
        <f aca="false">IF($O74="","",IF(INDEX(Scoring!$D$29:$D$361,MATCH($O74,Scoring!$AS$29:$AS$361,0))="",INDEX(Scoring!$AF$29:$AF$361,MATCH($O74,Scoring!$AS$29:$AS$361,0)),INDEX(Scoring!$D$29:$D$361,MATCH($O74,Scoring!$AS$29:$AS$361,0))))</f>
        <v>360.71</v>
      </c>
      <c r="L74" s="9" t="n">
        <f aca="false">IF($O74="","",INDEX(Scoring!$L$29:$L$361,MATCH($O74,Scoring!$AS$29:$AS$361,0)))</f>
        <v>762</v>
      </c>
      <c r="M74" s="9" t="n">
        <f aca="false">IF($O74="","",INDEX(Scoring!$N$29:$N$361,MATCH($O74,Scoring!$AS$29:$AS$361,0)))</f>
        <v>50865.56</v>
      </c>
      <c r="N74" s="7" t="str">
        <f aca="false">IF($O74="","",INDEX(Scoring!$AI$29:$AI$361,MATCH($O74,Scoring!$AS$29:$AS$361,0)))</f>
        <v>UK, UK-NI</v>
      </c>
      <c r="O74" s="10" t="n">
        <f aca="false">IFERROR(SMALL(Scoring!$AS$29:$AS$361,70),"")</f>
        <v>4001</v>
      </c>
    </row>
    <row r="75" customFormat="false" ht="41.75" hidden="false" customHeight="false" outlineLevel="0" collapsed="false">
      <c r="A75" s="5" t="n">
        <f aca="false">IF($O75="","",INT($O75/1000))</f>
        <v>4</v>
      </c>
      <c r="B75" s="6" t="str">
        <f aca="false">IF($O75="","",INDEX(Scoring!$A$29:$A$361,MATCH($O75,Scoring!$AS$29:$AS$361,0)))</f>
        <v>Hetero</v>
      </c>
      <c r="C75" s="5" t="n">
        <f aca="false">IF($O75="","",IF(INDEX(Scoring!$AM$29:$AM$361,MATCH($O75,Scoring!$AS$29:$AS$361,0))="","–",INDEX(Scoring!$AM$29:$AM$361,MATCH($O75,Scoring!$AS$29:$AS$361,0))))</f>
        <v>2</v>
      </c>
      <c r="D75" s="6" t="str">
        <f aca="false">IF($O75="","",INDEX(Scoring!$AK$29:$AK$361,MATCH($O75,Scoring!$AS$29:$AS$361,0)))</f>
        <v>Priority 1</v>
      </c>
      <c r="E75" s="7" t="str">
        <f aca="false">IF($O75="","",INDEX(Scoring!$AL$29:$AL$361,MATCH($O75,Scoring!$AS$29:$AS$361,0)))</f>
        <v>High price · high volume</v>
      </c>
      <c r="F75" s="6" t="str">
        <f aca="false">IF($O75="","",INDEX(Scoring!$B$29:$B$361,MATCH($O75,Scoring!$AS$29:$AS$361,0)))</f>
        <v>Bortezomib</v>
      </c>
      <c r="G75" s="7" t="str">
        <f aca="false">IF($O75="","",INDEX(Scoring!$AG$29:$AG$361,MATCH($O75,Scoring!$AS$29:$AS$361,0)))</f>
        <v>Bortezomib; Bortezomib Amarox; Bortezomib Hetero (+1 more)</v>
      </c>
      <c r="H75" s="7" t="str">
        <f aca="false">IF($O75="","",INDEX(Scoring!$C$29:$C$361,MATCH($O75,Scoring!$AS$29:$AS$361,0)))</f>
        <v>Oncology: multiple myeloma, mantle cell lymphoma</v>
      </c>
      <c r="I75" s="6" t="str">
        <f aca="false">IF($O75="","",INDEX(Scoring!$I$29:$I$361,MATCH($O75,Scoring!$AS$29:$AS$361,0)))</f>
        <v>Vial</v>
      </c>
      <c r="J75" s="7" t="str">
        <f aca="false">IF($O75="","",INDEX(Scoring!$Z$29:$Z$361,MATCH($O75,Scoring!$AS$29:$AS$361,0)))</f>
        <v>3.5 mg powder vial; 1 mg/0.4 mL vial; 3.5 mg/1.4 mL vial; 2.5 mg/1 mL vial (+1 more)</v>
      </c>
      <c r="K75" s="8" t="n">
        <f aca="false">IF($O75="","",IF(INDEX(Scoring!$D$29:$D$361,MATCH($O75,Scoring!$AS$29:$AS$361,0))="",INDEX(Scoring!$AF$29:$AF$361,MATCH($O75,Scoring!$AS$29:$AS$361,0)),INDEX(Scoring!$D$29:$D$361,MATCH($O75,Scoring!$AS$29:$AS$361,0))))</f>
        <v>295.75</v>
      </c>
      <c r="L75" s="9" t="n">
        <f aca="false">IF($O75="","",INDEX(Scoring!$L$29:$L$361,MATCH($O75,Scoring!$AS$29:$AS$361,0)))</f>
        <v>905</v>
      </c>
      <c r="M75" s="9" t="n">
        <f aca="false">IF($O75="","",INDEX(Scoring!$N$29:$N$361,MATCH($O75,Scoring!$AS$29:$AS$361,0)))</f>
        <v>28093.38</v>
      </c>
      <c r="N75" s="7" t="str">
        <f aca="false">IF($O75="","",INDEX(Scoring!$AI$29:$AI$361,MATCH($O75,Scoring!$AS$29:$AS$361,0)))</f>
        <v>US, UK, Australia, South Africa, UK-NI | EU/EEA (3): Germany, Netherlands, Spain</v>
      </c>
      <c r="O75" s="10" t="n">
        <f aca="false">IFERROR(SMALL(Scoring!$AS$29:$AS$361,71),"")</f>
        <v>4002</v>
      </c>
    </row>
    <row r="76" customFormat="false" ht="28.35" hidden="false" customHeight="false" outlineLevel="0" collapsed="false">
      <c r="A76" s="5" t="n">
        <f aca="false">IF($O76="","",INT($O76/1000))</f>
        <v>4</v>
      </c>
      <c r="B76" s="6" t="str">
        <f aca="false">IF($O76="","",INDEX(Scoring!$A$29:$A$361,MATCH($O76,Scoring!$AS$29:$AS$361,0)))</f>
        <v>Hetero</v>
      </c>
      <c r="C76" s="5" t="n">
        <f aca="false">IF($O76="","",IF(INDEX(Scoring!$AM$29:$AM$361,MATCH($O76,Scoring!$AS$29:$AS$361,0))="","–",INDEX(Scoring!$AM$29:$AM$361,MATCH($O76,Scoring!$AS$29:$AS$361,0))))</f>
        <v>3</v>
      </c>
      <c r="D76" s="6" t="str">
        <f aca="false">IF($O76="","",INDEX(Scoring!$AK$29:$AK$361,MATCH($O76,Scoring!$AS$29:$AS$361,0)))</f>
        <v>Priority 1</v>
      </c>
      <c r="E76" s="7" t="str">
        <f aca="false">IF($O76="","",INDEX(Scoring!$AL$29:$AL$361,MATCH($O76,Scoring!$AS$29:$AS$361,0)))</f>
        <v>High price · high volume</v>
      </c>
      <c r="F76" s="6" t="str">
        <f aca="false">IF($O76="","",INDEX(Scoring!$B$29:$B$361,MATCH($O76,Scoring!$AS$29:$AS$361,0)))</f>
        <v>Glycopyrrolate</v>
      </c>
      <c r="G76" s="7" t="str">
        <f aca="false">IF($O76="","",INDEX(Scoring!$AG$29:$AG$361,MATCH($O76,Scoring!$AS$29:$AS$361,0)))</f>
        <v>Glyopy</v>
      </c>
      <c r="H76" s="7" t="str">
        <f aca="false">IF($O76="","",INDEX(Scoring!$C$29:$C$361,MATCH($O76,Scoring!$AS$29:$AS$361,0)))</f>
        <v>Anaesthesia: reduces secretions, reversal of muscle relaxants</v>
      </c>
      <c r="I76" s="6" t="str">
        <f aca="false">IF($O76="","",INDEX(Scoring!$I$29:$I$361,MATCH($O76,Scoring!$AS$29:$AS$361,0)))</f>
        <v>Vial</v>
      </c>
      <c r="J76" s="7" t="str">
        <f aca="false">IF($O76="","",INDEX(Scoring!$Z$29:$Z$361,MATCH($O76,Scoring!$AS$29:$AS$361,0)))</f>
        <v>5 mg/5 mL vial</v>
      </c>
      <c r="K76" s="8" t="n">
        <f aca="false">IF($O76="","",IF(INDEX(Scoring!$D$29:$D$361,MATCH($O76,Scoring!$AS$29:$AS$361,0))="",INDEX(Scoring!$AF$29:$AF$361,MATCH($O76,Scoring!$AS$29:$AS$361,0)),INDEX(Scoring!$D$29:$D$361,MATCH($O76,Scoring!$AS$29:$AS$361,0))))</f>
        <v>30.23</v>
      </c>
      <c r="L76" s="9" t="n">
        <f aca="false">IF($O76="","",INDEX(Scoring!$L$29:$L$361,MATCH($O76,Scoring!$AS$29:$AS$361,0)))</f>
        <v>286</v>
      </c>
      <c r="M76" s="9" t="n">
        <f aca="false">IF($O76="","",INDEX(Scoring!$N$29:$N$361,MATCH($O76,Scoring!$AS$29:$AS$361,0)))</f>
        <v>3193.58</v>
      </c>
      <c r="N76" s="7" t="str">
        <f aca="false">IF($O76="","",INDEX(Scoring!$AI$29:$AI$361,MATCH($O76,Scoring!$AS$29:$AS$361,0)))</f>
        <v>South Africa</v>
      </c>
      <c r="O76" s="10" t="n">
        <f aca="false">IFERROR(SMALL(Scoring!$AS$29:$AS$361,72),"")</f>
        <v>4003</v>
      </c>
    </row>
    <row r="77" customFormat="false" ht="41.75" hidden="false" customHeight="false" outlineLevel="0" collapsed="false">
      <c r="A77" s="5" t="n">
        <f aca="false">IF($O77="","",INT($O77/1000))</f>
        <v>4</v>
      </c>
      <c r="B77" s="6" t="str">
        <f aca="false">IF($O77="","",INDEX(Scoring!$A$29:$A$361,MATCH($O77,Scoring!$AS$29:$AS$361,0)))</f>
        <v>Hetero</v>
      </c>
      <c r="C77" s="5" t="n">
        <f aca="false">IF($O77="","",IF(INDEX(Scoring!$AM$29:$AM$361,MATCH($O77,Scoring!$AS$29:$AS$361,0))="","–",INDEX(Scoring!$AM$29:$AM$361,MATCH($O77,Scoring!$AS$29:$AS$361,0))))</f>
        <v>4</v>
      </c>
      <c r="D77" s="6" t="str">
        <f aca="false">IF($O77="","",INDEX(Scoring!$AK$29:$AK$361,MATCH($O77,Scoring!$AS$29:$AS$361,0)))</f>
        <v>Priority 2</v>
      </c>
      <c r="E77" s="7" t="str">
        <f aca="false">IF($O77="","",INDEX(Scoring!$AL$29:$AL$361,MATCH($O77,Scoring!$AS$29:$AS$361,0)))</f>
        <v>Lower price · high volume</v>
      </c>
      <c r="F77" s="6" t="str">
        <f aca="false">IF($O77="","",INDEX(Scoring!$B$29:$B$361,MATCH($O77,Scoring!$AS$29:$AS$361,0)))</f>
        <v>Methotrexate</v>
      </c>
      <c r="G77" s="7" t="str">
        <f aca="false">IF($O77="","",INDEX(Scoring!$AG$29:$AG$361,MATCH($O77,Scoring!$AS$29:$AS$361,0)))</f>
        <v>Methotrexate Sodium</v>
      </c>
      <c r="H77" s="7" t="str">
        <f aca="false">IF($O77="","",INDEX(Scoring!$C$29:$C$361,MATCH($O77,Scoring!$AS$29:$AS$361,0)))</f>
        <v>Oncology and immunology: leukaemia, lymphoma, bone cancer, rheumatoid arthritis, psoriasis</v>
      </c>
      <c r="I77" s="6" t="str">
        <f aca="false">IF($O77="","",INDEX(Scoring!$I$29:$I$361,MATCH($O77,Scoring!$AS$29:$AS$361,0)))</f>
        <v>Not stated</v>
      </c>
      <c r="J77" s="7" t="str">
        <f aca="false">IF($O77="","",INDEX(Scoring!$Z$29:$Z$361,MATCH($O77,Scoring!$AS$29:$AS$361,0)))</f>
        <v>50 mg/2 mL (container not stated)</v>
      </c>
      <c r="K77" s="8" t="n">
        <f aca="false">IF($O77="","",IF(INDEX(Scoring!$D$29:$D$361,MATCH($O77,Scoring!$AS$29:$AS$361,0))="",INDEX(Scoring!$AF$29:$AF$361,MATCH($O77,Scoring!$AS$29:$AS$361,0)),INDEX(Scoring!$D$29:$D$361,MATCH($O77,Scoring!$AS$29:$AS$361,0))))</f>
        <v>7.15</v>
      </c>
      <c r="L77" s="9" t="n">
        <f aca="false">IF($O77="","",INDEX(Scoring!$L$29:$L$361,MATCH($O77,Scoring!$AS$29:$AS$361,0)))</f>
        <v>1282</v>
      </c>
      <c r="M77" s="9" t="n">
        <f aca="false">IF($O77="","",INDEX(Scoring!$N$29:$N$361,MATCH($O77,Scoring!$AS$29:$AS$361,0)))</f>
        <v>16792.84</v>
      </c>
      <c r="N77" s="7" t="str">
        <f aca="false">IF($O77="","",INDEX(Scoring!$AI$29:$AI$361,MATCH($O77,Scoring!$AS$29:$AS$361,0)))</f>
        <v>US</v>
      </c>
      <c r="O77" s="10" t="n">
        <f aca="false">IFERROR(SMALL(Scoring!$AS$29:$AS$361,73),"")</f>
        <v>4004</v>
      </c>
    </row>
    <row r="78" customFormat="false" ht="28.35" hidden="false" customHeight="false" outlineLevel="0" collapsed="false">
      <c r="A78" s="5" t="n">
        <f aca="false">IF($O78="","",INT($O78/1000))</f>
        <v>4</v>
      </c>
      <c r="B78" s="6" t="str">
        <f aca="false">IF($O78="","",INDEX(Scoring!$A$29:$A$361,MATCH($O78,Scoring!$AS$29:$AS$361,0)))</f>
        <v>Hetero</v>
      </c>
      <c r="C78" s="5" t="n">
        <f aca="false">IF($O78="","",IF(INDEX(Scoring!$AM$29:$AM$361,MATCH($O78,Scoring!$AS$29:$AS$361,0))="","–",INDEX(Scoring!$AM$29:$AM$361,MATCH($O78,Scoring!$AS$29:$AS$361,0))))</f>
        <v>5</v>
      </c>
      <c r="D78" s="6" t="str">
        <f aca="false">IF($O78="","",INDEX(Scoring!$AK$29:$AK$361,MATCH($O78,Scoring!$AS$29:$AS$361,0)))</f>
        <v>Priority 2</v>
      </c>
      <c r="E78" s="7" t="str">
        <f aca="false">IF($O78="","",INDEX(Scoring!$AL$29:$AL$361,MATCH($O78,Scoring!$AS$29:$AS$361,0)))</f>
        <v>High price · lower volume</v>
      </c>
      <c r="F78" s="6" t="str">
        <f aca="false">IF($O78="","",INDEX(Scoring!$B$29:$B$361,MATCH($O78,Scoring!$AS$29:$AS$361,0)))</f>
        <v>Plerixafor</v>
      </c>
      <c r="G78" s="7" t="str">
        <f aca="false">IF($O78="","",INDEX(Scoring!$AG$29:$AG$361,MATCH($O78,Scoring!$AS$29:$AS$361,0)))</f>
        <v>Plerixafor; Plerixafor Amarox; Heterix</v>
      </c>
      <c r="H78" s="7" t="str">
        <f aca="false">IF($O78="","",INDEX(Scoring!$C$29:$C$361,MATCH($O78,Scoring!$AS$29:$AS$361,0)))</f>
        <v>Oncology support: stem cell mobilisation in myeloma and lymphoma</v>
      </c>
      <c r="I78" s="6" t="str">
        <f aca="false">IF($O78="","",INDEX(Scoring!$I$29:$I$361,MATCH($O78,Scoring!$AS$29:$AS$361,0)))</f>
        <v>Vial</v>
      </c>
      <c r="J78" s="7" t="str">
        <f aca="false">IF($O78="","",INDEX(Scoring!$Z$29:$Z$361,MATCH($O78,Scoring!$AS$29:$AS$361,0)))</f>
        <v>24 mg/1.2 mL vial</v>
      </c>
      <c r="K78" s="8" t="n">
        <f aca="false">IF($O78="","",IF(INDEX(Scoring!$D$29:$D$361,MATCH($O78,Scoring!$AS$29:$AS$361,0))="",INDEX(Scoring!$AF$29:$AF$361,MATCH($O78,Scoring!$AS$29:$AS$361,0)),INDEX(Scoring!$D$29:$D$361,MATCH($O78,Scoring!$AS$29:$AS$361,0))))</f>
        <v>4289.93</v>
      </c>
      <c r="L78" s="9" t="n">
        <f aca="false">IF($O78="","",INDEX(Scoring!$L$29:$L$361,MATCH($O78,Scoring!$AS$29:$AS$361,0)))</f>
        <v>47</v>
      </c>
      <c r="M78" s="9" t="n">
        <f aca="false">IF($O78="","",INDEX(Scoring!$N$29:$N$361,MATCH($O78,Scoring!$AS$29:$AS$361,0)))</f>
        <v>7904.67</v>
      </c>
      <c r="N78" s="7" t="str">
        <f aca="false">IF($O78="","",INDEX(Scoring!$AI$29:$AI$361,MATCH($O78,Scoring!$AS$29:$AS$361,0)))</f>
        <v>US, UK, South Africa, UK-NI | EU/EEA (3): Germany, Netherlands, Spain</v>
      </c>
      <c r="O78" s="10" t="n">
        <f aca="false">IFERROR(SMALL(Scoring!$AS$29:$AS$361,74),"")</f>
        <v>4005</v>
      </c>
    </row>
    <row r="79" customFormat="false" ht="28.35" hidden="false" customHeight="false" outlineLevel="0" collapsed="false">
      <c r="A79" s="5" t="n">
        <f aca="false">IF($O79="","",INT($O79/1000))</f>
        <v>4</v>
      </c>
      <c r="B79" s="6" t="str">
        <f aca="false">IF($O79="","",INDEX(Scoring!$A$29:$A$361,MATCH($O79,Scoring!$AS$29:$AS$361,0)))</f>
        <v>Hetero</v>
      </c>
      <c r="C79" s="5" t="n">
        <f aca="false">IF($O79="","",IF(INDEX(Scoring!$AM$29:$AM$361,MATCH($O79,Scoring!$AS$29:$AS$361,0))="","–",INDEX(Scoring!$AM$29:$AM$361,MATCH($O79,Scoring!$AS$29:$AS$361,0))))</f>
        <v>6</v>
      </c>
      <c r="D79" s="6" t="str">
        <f aca="false">IF($O79="","",INDEX(Scoring!$AK$29:$AK$361,MATCH($O79,Scoring!$AS$29:$AS$361,0)))</f>
        <v>Priority 2</v>
      </c>
      <c r="E79" s="7" t="str">
        <f aca="false">IF($O79="","",INDEX(Scoring!$AL$29:$AL$361,MATCH($O79,Scoring!$AS$29:$AS$361,0)))</f>
        <v>Lower price · high volume</v>
      </c>
      <c r="F79" s="6" t="str">
        <f aca="false">IF($O79="","",INDEX(Scoring!$B$29:$B$361,MATCH($O79,Scoring!$AS$29:$AS$361,0)))</f>
        <v>Chlorpromazine</v>
      </c>
      <c r="G79" s="7" t="str">
        <f aca="false">IF($O79="","",INDEX(Scoring!$AG$29:$AG$361,MATCH($O79,Scoring!$AS$29:$AS$361,0)))</f>
        <v>Chlorpromazine Hydrochloride</v>
      </c>
      <c r="H79" s="7" t="str">
        <f aca="false">IF($O79="","",INDEX(Scoring!$C$29:$C$361,MATCH($O79,Scoring!$AS$29:$AS$361,0)))</f>
        <v>Psychiatry: acute psychosis and agitation, severe nausea and vomiting</v>
      </c>
      <c r="I79" s="6" t="str">
        <f aca="false">IF($O79="","",INDEX(Scoring!$I$29:$I$361,MATCH($O79,Scoring!$AS$29:$AS$361,0)))</f>
        <v>Vial</v>
      </c>
      <c r="J79" s="7" t="str">
        <f aca="false">IF($O79="","",INDEX(Scoring!$Z$29:$Z$361,MATCH($O79,Scoring!$AS$29:$AS$361,0)))</f>
        <v>25 mg/1 mL vial</v>
      </c>
      <c r="K79" s="8" t="n">
        <f aca="false">IF($O79="","",IF(INDEX(Scoring!$D$29:$D$361,MATCH($O79,Scoring!$AS$29:$AS$361,0))="",INDEX(Scoring!$AF$29:$AF$361,MATCH($O79,Scoring!$AS$29:$AS$361,0)),INDEX(Scoring!$D$29:$D$361,MATCH($O79,Scoring!$AS$29:$AS$361,0))))</f>
        <v>14.96</v>
      </c>
      <c r="L79" s="9" t="n">
        <f aca="false">IF($O79="","",INDEX(Scoring!$L$29:$L$361,MATCH($O79,Scoring!$AS$29:$AS$361,0)))</f>
        <v>472</v>
      </c>
      <c r="M79" s="9" t="n">
        <f aca="false">IF($O79="","",INDEX(Scoring!$N$29:$N$361,MATCH($O79,Scoring!$AS$29:$AS$361,0)))</f>
        <v>7831.08</v>
      </c>
      <c r="N79" s="7" t="str">
        <f aca="false">IF($O79="","",INDEX(Scoring!$AI$29:$AI$361,MATCH($O79,Scoring!$AS$29:$AS$361,0)))</f>
        <v>US</v>
      </c>
      <c r="O79" s="10" t="n">
        <f aca="false">IFERROR(SMALL(Scoring!$AS$29:$AS$361,75),"")</f>
        <v>4006</v>
      </c>
    </row>
    <row r="80" customFormat="false" ht="28.35" hidden="false" customHeight="false" outlineLevel="0" collapsed="false">
      <c r="A80" s="5" t="n">
        <f aca="false">IF($O80="","",INT($O80/1000))</f>
        <v>4</v>
      </c>
      <c r="B80" s="6" t="str">
        <f aca="false">IF($O80="","",INDEX(Scoring!$A$29:$A$361,MATCH($O80,Scoring!$AS$29:$AS$361,0)))</f>
        <v>Hetero</v>
      </c>
      <c r="C80" s="5" t="n">
        <f aca="false">IF($O80="","",IF(INDEX(Scoring!$AM$29:$AM$361,MATCH($O80,Scoring!$AS$29:$AS$361,0))="","–",INDEX(Scoring!$AM$29:$AM$361,MATCH($O80,Scoring!$AS$29:$AS$361,0))))</f>
        <v>7</v>
      </c>
      <c r="D80" s="6" t="str">
        <f aca="false">IF($O80="","",INDEX(Scoring!$AK$29:$AK$361,MATCH($O80,Scoring!$AS$29:$AS$361,0)))</f>
        <v>Priority 2</v>
      </c>
      <c r="E80" s="7" t="str">
        <f aca="false">IF($O80="","",INDEX(Scoring!$AL$29:$AL$361,MATCH($O80,Scoring!$AS$29:$AS$361,0)))</f>
        <v>High price · lower volume</v>
      </c>
      <c r="F80" s="6" t="str">
        <f aca="false">IF($O80="","",INDEX(Scoring!$B$29:$B$361,MATCH($O80,Scoring!$AS$29:$AS$361,0)))</f>
        <v>Teicoplanin</v>
      </c>
      <c r="G80" s="7" t="str">
        <f aca="false">IF($O80="","",INDEX(Scoring!$AG$29:$AG$361,MATCH($O80,Scoring!$AS$29:$AS$361,0)))</f>
        <v>Teicoplanin; Teicoplanin Amarox</v>
      </c>
      <c r="H80" s="7" t="str">
        <f aca="false">IF($O80="","",INDEX(Scoring!$C$29:$C$361,MATCH($O80,Scoring!$AS$29:$AS$361,0)))</f>
        <v>Anti-infective: MRSA and serious Gram-positive infections</v>
      </c>
      <c r="I80" s="6" t="str">
        <f aca="false">IF($O80="","",INDEX(Scoring!$I$29:$I$361,MATCH($O80,Scoring!$AS$29:$AS$361,0)))</f>
        <v>Vial</v>
      </c>
      <c r="J80" s="7" t="str">
        <f aca="false">IF($O80="","",INDEX(Scoring!$Z$29:$Z$361,MATCH($O80,Scoring!$AS$29:$AS$361,0)))</f>
        <v>400 mg powder vial</v>
      </c>
      <c r="K80" s="8" t="n">
        <f aca="false">IF($O80="","",IF(INDEX(Scoring!$D$29:$D$361,MATCH($O80,Scoring!$AS$29:$AS$361,0))="",INDEX(Scoring!$AF$29:$AF$361,MATCH($O80,Scoring!$AS$29:$AS$361,0)),INDEX(Scoring!$D$29:$D$361,MATCH($O80,Scoring!$AS$29:$AS$361,0))))</f>
        <v>36.53</v>
      </c>
      <c r="L80" s="9" t="n">
        <f aca="false">IF($O80="","",INDEX(Scoring!$L$29:$L$361,MATCH($O80,Scoring!$AS$29:$AS$361,0)))</f>
        <v>106</v>
      </c>
      <c r="M80" s="9" t="n">
        <f aca="false">IF($O80="","",INDEX(Scoring!$N$29:$N$361,MATCH($O80,Scoring!$AS$29:$AS$361,0)))</f>
        <v>7074.72</v>
      </c>
      <c r="N80" s="7" t="str">
        <f aca="false">IF($O80="","",INDEX(Scoring!$AI$29:$AI$361,MATCH($O80,Scoring!$AS$29:$AS$361,0)))</f>
        <v>UK, UK-NI</v>
      </c>
      <c r="O80" s="10" t="n">
        <f aca="false">IFERROR(SMALL(Scoring!$AS$29:$AS$361,76),"")</f>
        <v>4007</v>
      </c>
    </row>
    <row r="81" customFormat="false" ht="28.35" hidden="false" customHeight="false" outlineLevel="0" collapsed="false">
      <c r="A81" s="5" t="n">
        <f aca="false">IF($O81="","",INT($O81/1000))</f>
        <v>4</v>
      </c>
      <c r="B81" s="6" t="str">
        <f aca="false">IF($O81="","",INDEX(Scoring!$A$29:$A$361,MATCH($O81,Scoring!$AS$29:$AS$361,0)))</f>
        <v>Hetero</v>
      </c>
      <c r="C81" s="5" t="n">
        <f aca="false">IF($O81="","",IF(INDEX(Scoring!$AM$29:$AM$361,MATCH($O81,Scoring!$AS$29:$AS$361,0))="","–",INDEX(Scoring!$AM$29:$AM$361,MATCH($O81,Scoring!$AS$29:$AS$361,0))))</f>
        <v>8</v>
      </c>
      <c r="D81" s="6" t="str">
        <f aca="false">IF($O81="","",INDEX(Scoring!$AK$29:$AK$361,MATCH($O81,Scoring!$AS$29:$AS$361,0)))</f>
        <v>Priority 2</v>
      </c>
      <c r="E81" s="7" t="str">
        <f aca="false">IF($O81="","",INDEX(Scoring!$AL$29:$AL$361,MATCH($O81,Scoring!$AS$29:$AS$361,0)))</f>
        <v>Lower price · high volume</v>
      </c>
      <c r="F81" s="6" t="str">
        <f aca="false">IF($O81="","",INDEX(Scoring!$B$29:$B$361,MATCH($O81,Scoring!$AS$29:$AS$361,0)))</f>
        <v>Succinylcholine (Suxamethonium)</v>
      </c>
      <c r="G81" s="7" t="str">
        <f aca="false">IF($O81="","",INDEX(Scoring!$AG$29:$AG$361,MATCH($O81,Scoring!$AS$29:$AS$361,0)))</f>
        <v>Succinylcholine Chloride</v>
      </c>
      <c r="H81" s="7" t="str">
        <f aca="false">IF($O81="","",INDEX(Scoring!$C$29:$C$361,MATCH($O81,Scoring!$AS$29:$AS$361,0)))</f>
        <v>Anaesthesia: muscle relaxant for rapid intubation</v>
      </c>
      <c r="I81" s="6" t="str">
        <f aca="false">IF($O81="","",INDEX(Scoring!$I$29:$I$361,MATCH($O81,Scoring!$AS$29:$AS$361,0)))</f>
        <v>Vial</v>
      </c>
      <c r="J81" s="7" t="str">
        <f aca="false">IF($O81="","",INDEX(Scoring!$Z$29:$Z$361,MATCH($O81,Scoring!$AS$29:$AS$361,0)))</f>
        <v>200 mg/10 mL vial</v>
      </c>
      <c r="K81" s="8" t="n">
        <f aca="false">IF($O81="","",IF(INDEX(Scoring!$D$29:$D$361,MATCH($O81,Scoring!$AS$29:$AS$361,0))="",INDEX(Scoring!$AF$29:$AF$361,MATCH($O81,Scoring!$AS$29:$AS$361,0)),INDEX(Scoring!$D$29:$D$361,MATCH($O81,Scoring!$AS$29:$AS$361,0))))</f>
        <v>5.03</v>
      </c>
      <c r="L81" s="9" t="n">
        <f aca="false">IF($O81="","",INDEX(Scoring!$L$29:$L$361,MATCH($O81,Scoring!$AS$29:$AS$361,0)))</f>
        <v>286</v>
      </c>
      <c r="M81" s="9" t="n">
        <f aca="false">IF($O81="","",INDEX(Scoring!$N$29:$N$361,MATCH($O81,Scoring!$AS$29:$AS$361,0)))</f>
        <v>3067.39</v>
      </c>
      <c r="N81" s="7" t="str">
        <f aca="false">IF($O81="","",INDEX(Scoring!$AI$29:$AI$361,MATCH($O81,Scoring!$AS$29:$AS$361,0)))</f>
        <v>US</v>
      </c>
      <c r="O81" s="10" t="n">
        <f aca="false">IFERROR(SMALL(Scoring!$AS$29:$AS$361,77),"")</f>
        <v>4008</v>
      </c>
    </row>
    <row r="82" customFormat="false" ht="28.35" hidden="false" customHeight="false" outlineLevel="0" collapsed="false">
      <c r="A82" s="5" t="n">
        <f aca="false">IF($O82="","",INT($O82/1000))</f>
        <v>4</v>
      </c>
      <c r="B82" s="6" t="str">
        <f aca="false">IF($O82="","",INDEX(Scoring!$A$29:$A$361,MATCH($O82,Scoring!$AS$29:$AS$361,0)))</f>
        <v>Hetero</v>
      </c>
      <c r="C82" s="5" t="n">
        <f aca="false">IF($O82="","",IF(INDEX(Scoring!$AM$29:$AM$361,MATCH($O82,Scoring!$AS$29:$AS$361,0))="","–",INDEX(Scoring!$AM$29:$AM$361,MATCH($O82,Scoring!$AS$29:$AS$361,0))))</f>
        <v>9</v>
      </c>
      <c r="D82" s="6" t="str">
        <f aca="false">IF($O82="","",INDEX(Scoring!$AK$29:$AK$361,MATCH($O82,Scoring!$AS$29:$AS$361,0)))</f>
        <v>Priority 2</v>
      </c>
      <c r="E82" s="7" t="str">
        <f aca="false">IF($O82="","",INDEX(Scoring!$AL$29:$AL$361,MATCH($O82,Scoring!$AS$29:$AS$361,0)))</f>
        <v>High price · lower volume</v>
      </c>
      <c r="F82" s="6" t="str">
        <f aca="false">IF($O82="","",INDEX(Scoring!$B$29:$B$361,MATCH($O82,Scoring!$AS$29:$AS$361,0)))</f>
        <v>Isoprenaline (Isoproterenol)</v>
      </c>
      <c r="G82" s="7" t="str">
        <f aca="false">IF($O82="","",INDEX(Scoring!$AG$29:$AG$361,MATCH($O82,Scoring!$AS$29:$AS$361,0)))</f>
        <v>Isoproterenol Hydrochloride</v>
      </c>
      <c r="H82" s="7" t="str">
        <f aca="false">IF($O82="","",INDEX(Scoring!$C$29:$C$361,MATCH($O82,Scoring!$AS$29:$AS$361,0)))</f>
        <v>Cardiovascular: heart block, severe slow heart rate</v>
      </c>
      <c r="I82" s="6" t="str">
        <f aca="false">IF($O82="","",INDEX(Scoring!$I$29:$I$361,MATCH($O82,Scoring!$AS$29:$AS$361,0)))</f>
        <v>Not stated</v>
      </c>
      <c r="J82" s="7" t="str">
        <f aca="false">IF($O82="","",INDEX(Scoring!$Z$29:$Z$361,MATCH($O82,Scoring!$AS$29:$AS$361,0)))</f>
        <v>0.2 mg/mL (container not stated)</v>
      </c>
      <c r="K82" s="8" t="n">
        <f aca="false">IF($O82="","",IF(INDEX(Scoring!$D$29:$D$361,MATCH($O82,Scoring!$AS$29:$AS$361,0))="",INDEX(Scoring!$AF$29:$AF$361,MATCH($O82,Scoring!$AS$29:$AS$361,0)),INDEX(Scoring!$D$29:$D$361,MATCH($O82,Scoring!$AS$29:$AS$361,0))))</f>
        <v>69.18</v>
      </c>
      <c r="L82" s="9" t="n">
        <f aca="false">IF($O82="","",INDEX(Scoring!$L$29:$L$361,MATCH($O82,Scoring!$AS$29:$AS$361,0)))</f>
        <v>87</v>
      </c>
      <c r="M82" s="9" t="n">
        <f aca="false">IF($O82="","",INDEX(Scoring!$N$29:$N$361,MATCH($O82,Scoring!$AS$29:$AS$361,0)))</f>
        <v>2931.42</v>
      </c>
      <c r="N82" s="7" t="str">
        <f aca="false">IF($O82="","",INDEX(Scoring!$AI$29:$AI$361,MATCH($O82,Scoring!$AS$29:$AS$361,0)))</f>
        <v>US</v>
      </c>
      <c r="O82" s="10" t="n">
        <f aca="false">IFERROR(SMALL(Scoring!$AS$29:$AS$361,78),"")</f>
        <v>4009</v>
      </c>
    </row>
    <row r="83" customFormat="false" ht="28.35" hidden="false" customHeight="false" outlineLevel="0" collapsed="false">
      <c r="A83" s="5" t="n">
        <f aca="false">IF($O83="","",INT($O83/1000))</f>
        <v>4</v>
      </c>
      <c r="B83" s="6" t="str">
        <f aca="false">IF($O83="","",INDEX(Scoring!$A$29:$A$361,MATCH($O83,Scoring!$AS$29:$AS$361,0)))</f>
        <v>Hetero</v>
      </c>
      <c r="C83" s="5" t="n">
        <f aca="false">IF($O83="","",IF(INDEX(Scoring!$AM$29:$AM$361,MATCH($O83,Scoring!$AS$29:$AS$361,0))="","–",INDEX(Scoring!$AM$29:$AM$361,MATCH($O83,Scoring!$AS$29:$AS$361,0))))</f>
        <v>10</v>
      </c>
      <c r="D83" s="6" t="str">
        <f aca="false">IF($O83="","",INDEX(Scoring!$AK$29:$AK$361,MATCH($O83,Scoring!$AS$29:$AS$361,0)))</f>
        <v>Priority 3</v>
      </c>
      <c r="E83" s="7" t="str">
        <f aca="false">IF($O83="","",INDEX(Scoring!$AL$29:$AL$361,MATCH($O83,Scoring!$AS$29:$AS$361,0)))</f>
        <v>Lower price · lower volume</v>
      </c>
      <c r="F83" s="6" t="str">
        <f aca="false">IF($O83="","",INDEX(Scoring!$B$29:$B$361,MATCH($O83,Scoring!$AS$29:$AS$361,0)))</f>
        <v>Magnesium Sulfate</v>
      </c>
      <c r="G83" s="7" t="str">
        <f aca="false">IF($O83="","",INDEX(Scoring!$AG$29:$AG$361,MATCH($O83,Scoring!$AS$29:$AS$361,0)))</f>
        <v>Magnesium Sulfate</v>
      </c>
      <c r="H83" s="7" t="str">
        <f aca="false">IF($O83="","",INDEX(Scoring!$C$29:$C$361,MATCH($O83,Scoring!$AS$29:$AS$361,0)))</f>
        <v>Women's health and critical care: eclampsia seizures, low magnesium</v>
      </c>
      <c r="I83" s="6" t="str">
        <f aca="false">IF($O83="","",INDEX(Scoring!$I$29:$I$361,MATCH($O83,Scoring!$AS$29:$AS$361,0)))</f>
        <v>Vial</v>
      </c>
      <c r="J83" s="7" t="str">
        <f aca="false">IF($O83="","",INDEX(Scoring!$Z$29:$Z$361,MATCH($O83,Scoring!$AS$29:$AS$361,0)))</f>
        <v>25 g/50 mL vial</v>
      </c>
      <c r="K83" s="8" t="n">
        <f aca="false">IF($O83="","",IF(INDEX(Scoring!$D$29:$D$361,MATCH($O83,Scoring!$AS$29:$AS$361,0))="",INDEX(Scoring!$AF$29:$AF$361,MATCH($O83,Scoring!$AS$29:$AS$361,0)),INDEX(Scoring!$D$29:$D$361,MATCH($O83,Scoring!$AS$29:$AS$361,0))))</f>
        <v>9.12</v>
      </c>
      <c r="L83" s="9" t="n">
        <f aca="false">IF($O83="","",INDEX(Scoring!$L$29:$L$361,MATCH($O83,Scoring!$AS$29:$AS$361,0)))</f>
        <v>160</v>
      </c>
      <c r="M83" s="9" t="n">
        <f aca="false">IF($O83="","",INDEX(Scoring!$N$29:$N$361,MATCH($O83,Scoring!$AS$29:$AS$361,0)))</f>
        <v>16781.35</v>
      </c>
      <c r="N83" s="7" t="str">
        <f aca="false">IF($O83="","",INDEX(Scoring!$AI$29:$AI$361,MATCH($O83,Scoring!$AS$29:$AS$361,0)))</f>
        <v>US</v>
      </c>
      <c r="O83" s="10" t="n">
        <f aca="false">IFERROR(SMALL(Scoring!$AS$29:$AS$361,79),"")</f>
        <v>4010</v>
      </c>
    </row>
    <row r="84" customFormat="false" ht="28.35" hidden="false" customHeight="false" outlineLevel="0" collapsed="false">
      <c r="A84" s="5" t="n">
        <f aca="false">IF($O84="","",INT($O84/1000))</f>
        <v>4</v>
      </c>
      <c r="B84" s="6" t="str">
        <f aca="false">IF($O84="","",INDEX(Scoring!$A$29:$A$361,MATCH($O84,Scoring!$AS$29:$AS$361,0)))</f>
        <v>Hetero</v>
      </c>
      <c r="C84" s="5" t="str">
        <f aca="false">IF($O84="","",IF(INDEX(Scoring!$AM$29:$AM$361,MATCH($O84,Scoring!$AS$29:$AS$361,0))="","–",INDEX(Scoring!$AM$29:$AM$361,MATCH($O84,Scoring!$AS$29:$AS$361,0))))</f>
        <v>–</v>
      </c>
      <c r="D84" s="6" t="str">
        <f aca="false">IF($O84="","",INDEX(Scoring!$AK$29:$AK$361,MATCH($O84,Scoring!$AS$29:$AS$361,0)))</f>
        <v>Excluded – price ≤ $5</v>
      </c>
      <c r="E84" s="7" t="str">
        <f aca="false">IF($O84="","",INDEX(Scoring!$AL$29:$AL$361,MATCH($O84,Scoring!$AS$29:$AS$361,0)))</f>
        <v/>
      </c>
      <c r="F84" s="6" t="str">
        <f aca="false">IF($O84="","",INDEX(Scoring!$B$29:$B$361,MATCH($O84,Scoring!$AS$29:$AS$361,0)))</f>
        <v>Cyanocobalamin</v>
      </c>
      <c r="G84" s="7" t="str">
        <f aca="false">IF($O84="","",INDEX(Scoring!$AG$29:$AG$361,MATCH($O84,Scoring!$AS$29:$AS$361,0)))</f>
        <v>Cyanocobalamin</v>
      </c>
      <c r="H84" s="7" t="str">
        <f aca="false">IF($O84="","",INDEX(Scoring!$C$29:$C$361,MATCH($O84,Scoring!$AS$29:$AS$361,0)))</f>
        <v>Haematology: vitamin B12 deficiency, pernicious anaemia</v>
      </c>
      <c r="I84" s="6" t="str">
        <f aca="false">IF($O84="","",INDEX(Scoring!$I$29:$I$361,MATCH($O84,Scoring!$AS$29:$AS$361,0)))</f>
        <v>Not stated</v>
      </c>
      <c r="J84" s="7" t="str">
        <f aca="false">IF($O84="","",INDEX(Scoring!$Z$29:$Z$361,MATCH($O84,Scoring!$AS$29:$AS$361,0)))</f>
        <v>1 mg/mL (container not stated)</v>
      </c>
      <c r="K84" s="8" t="n">
        <f aca="false">IF($O84="","",IF(INDEX(Scoring!$D$29:$D$361,MATCH($O84,Scoring!$AS$29:$AS$361,0))="",INDEX(Scoring!$AF$29:$AF$361,MATCH($O84,Scoring!$AS$29:$AS$361,0)),INDEX(Scoring!$D$29:$D$361,MATCH($O84,Scoring!$AS$29:$AS$361,0))))</f>
        <v>0.65</v>
      </c>
      <c r="L84" s="9" t="n">
        <f aca="false">IF($O84="","",INDEX(Scoring!$L$29:$L$361,MATCH($O84,Scoring!$AS$29:$AS$361,0)))</f>
        <v>445</v>
      </c>
      <c r="M84" s="9" t="n">
        <f aca="false">IF($O84="","",INDEX(Scoring!$N$29:$N$361,MATCH($O84,Scoring!$AS$29:$AS$361,0)))</f>
        <v>8796.85</v>
      </c>
      <c r="N84" s="7" t="str">
        <f aca="false">IF($O84="","",INDEX(Scoring!$AI$29:$AI$361,MATCH($O84,Scoring!$AS$29:$AS$361,0)))</f>
        <v>US</v>
      </c>
      <c r="O84" s="10" t="n">
        <f aca="false">IFERROR(SMALL(Scoring!$AS$29:$AS$361,80),"")</f>
        <v>4901</v>
      </c>
    </row>
    <row r="85" customFormat="false" ht="28.35" hidden="false" customHeight="false" outlineLevel="0" collapsed="false">
      <c r="A85" s="5" t="n">
        <f aca="false">IF($O85="","",INT($O85/1000))</f>
        <v>4</v>
      </c>
      <c r="B85" s="6" t="str">
        <f aca="false">IF($O85="","",INDEX(Scoring!$A$29:$A$361,MATCH($O85,Scoring!$AS$29:$AS$361,0)))</f>
        <v>Hetero</v>
      </c>
      <c r="C85" s="5" t="str">
        <f aca="false">IF($O85="","",IF(INDEX(Scoring!$AM$29:$AM$361,MATCH($O85,Scoring!$AS$29:$AS$361,0))="","–",INDEX(Scoring!$AM$29:$AM$361,MATCH($O85,Scoring!$AS$29:$AS$361,0))))</f>
        <v>–</v>
      </c>
      <c r="D85" s="6" t="str">
        <f aca="false">IF($O85="","",INDEX(Scoring!$AK$29:$AK$361,MATCH($O85,Scoring!$AS$29:$AS$361,0)))</f>
        <v>Excluded – price ≤ $5</v>
      </c>
      <c r="E85" s="7" t="str">
        <f aca="false">IF($O85="","",INDEX(Scoring!$AL$29:$AL$361,MATCH($O85,Scoring!$AS$29:$AS$361,0)))</f>
        <v/>
      </c>
      <c r="F85" s="6" t="str">
        <f aca="false">IF($O85="","",INDEX(Scoring!$B$29:$B$361,MATCH($O85,Scoring!$AS$29:$AS$361,0)))</f>
        <v>Lidocaine</v>
      </c>
      <c r="G85" s="7" t="str">
        <f aca="false">IF($O85="","",INDEX(Scoring!$AG$29:$AG$361,MATCH($O85,Scoring!$AS$29:$AS$361,0)))</f>
        <v>Lidocaine Hydrochloride</v>
      </c>
      <c r="H85" s="7" t="str">
        <f aca="false">IF($O85="","",INDEX(Scoring!$C$29:$C$361,MATCH($O85,Scoring!$AS$29:$AS$361,0)))</f>
        <v>Anaesthesia: local anaesthetic, ventricular arrhythmias</v>
      </c>
      <c r="I85" s="6" t="str">
        <f aca="false">IF($O85="","",INDEX(Scoring!$I$29:$I$361,MATCH($O85,Scoring!$AS$29:$AS$361,0)))</f>
        <v>Vial</v>
      </c>
      <c r="J85" s="7" t="str">
        <f aca="false">IF($O85="","",INDEX(Scoring!$Z$29:$Z$361,MATCH($O85,Scoring!$AS$29:$AS$361,0)))</f>
        <v>1% in 20 mL vial</v>
      </c>
      <c r="K85" s="8" t="n">
        <f aca="false">IF($O85="","",IF(INDEX(Scoring!$D$29:$D$361,MATCH($O85,Scoring!$AS$29:$AS$361,0))="",INDEX(Scoring!$AF$29:$AF$361,MATCH($O85,Scoring!$AS$29:$AS$361,0)),INDEX(Scoring!$D$29:$D$361,MATCH($O85,Scoring!$AS$29:$AS$361,0))))</f>
        <v>1.91</v>
      </c>
      <c r="L85" s="9" t="n">
        <f aca="false">IF($O85="","",INDEX(Scoring!$L$29:$L$361,MATCH($O85,Scoring!$AS$29:$AS$361,0)))</f>
        <v>1683</v>
      </c>
      <c r="M85" s="9" t="n">
        <f aca="false">IF($O85="","",INDEX(Scoring!$N$29:$N$361,MATCH($O85,Scoring!$AS$29:$AS$361,0)))</f>
        <v>46739.27</v>
      </c>
      <c r="N85" s="7" t="str">
        <f aca="false">IF($O85="","",INDEX(Scoring!$AI$29:$AI$361,MATCH($O85,Scoring!$AS$29:$AS$361,0)))</f>
        <v>US</v>
      </c>
      <c r="O85" s="10" t="n">
        <f aca="false">IFERROR(SMALL(Scoring!$AS$29:$AS$361,81),"")</f>
        <v>4902</v>
      </c>
    </row>
    <row r="86" customFormat="false" ht="28.35" hidden="false" customHeight="false" outlineLevel="0" collapsed="false">
      <c r="A86" s="5" t="n">
        <f aca="false">IF($O86="","",INT($O86/1000))</f>
        <v>5</v>
      </c>
      <c r="B86" s="6" t="str">
        <f aca="false">IF($O86="","",INDEX(Scoring!$A$29:$A$361,MATCH($O86,Scoring!$AS$29:$AS$361,0)))</f>
        <v>Venus Remedies</v>
      </c>
      <c r="C86" s="5" t="n">
        <f aca="false">IF($O86="","",IF(INDEX(Scoring!$AM$29:$AM$361,MATCH($O86,Scoring!$AS$29:$AS$361,0))="","–",INDEX(Scoring!$AM$29:$AM$361,MATCH($O86,Scoring!$AS$29:$AS$361,0))))</f>
        <v>1</v>
      </c>
      <c r="D86" s="6" t="str">
        <f aca="false">IF($O86="","",INDEX(Scoring!$AK$29:$AK$361,MATCH($O86,Scoring!$AS$29:$AS$361,0)))</f>
        <v>Priority 1</v>
      </c>
      <c r="E86" s="7" t="str">
        <f aca="false">IF($O86="","",INDEX(Scoring!$AL$29:$AL$361,MATCH($O86,Scoring!$AS$29:$AS$361,0)))</f>
        <v>High price · high volume</v>
      </c>
      <c r="F86" s="6" t="str">
        <f aca="false">IF($O86="","",INDEX(Scoring!$B$29:$B$361,MATCH($O86,Scoring!$AS$29:$AS$361,0)))</f>
        <v>Ceftriaxone</v>
      </c>
      <c r="G86" s="7" t="str">
        <f aca="false">IF($O86="","",INDEX(Scoring!$AG$29:$AG$361,MATCH($O86,Scoring!$AS$29:$AS$361,0)))</f>
        <v>Ceftriaxone</v>
      </c>
      <c r="H86" s="7" t="str">
        <f aca="false">IF($O86="","",INDEX(Scoring!$C$29:$C$361,MATCH($O86,Scoring!$AS$29:$AS$361,0)))</f>
        <v>Anti-infective: pneumonia, meningitis, sepsis, gonorrhoea, typhoid</v>
      </c>
      <c r="I86" s="6" t="str">
        <f aca="false">IF($O86="","",INDEX(Scoring!$I$29:$I$361,MATCH($O86,Scoring!$AS$29:$AS$361,0)))</f>
        <v>Vial</v>
      </c>
      <c r="J86" s="7" t="str">
        <f aca="false">IF($O86="","",INDEX(Scoring!$Z$29:$Z$361,MATCH($O86,Scoring!$AS$29:$AS$361,0)))</f>
        <v>2 g powder vial</v>
      </c>
      <c r="K86" s="8" t="n">
        <f aca="false">IF($O86="","",IF(INDEX(Scoring!$D$29:$D$361,MATCH($O86,Scoring!$AS$29:$AS$361,0))="",INDEX(Scoring!$AF$29:$AF$361,MATCH($O86,Scoring!$AS$29:$AS$361,0)),INDEX(Scoring!$D$29:$D$361,MATCH($O86,Scoring!$AS$29:$AS$361,0))))</f>
        <v>25.36</v>
      </c>
      <c r="L86" s="9" t="n">
        <f aca="false">IF($O86="","",INDEX(Scoring!$L$29:$L$361,MATCH($O86,Scoring!$AS$29:$AS$361,0)))</f>
        <v>3110</v>
      </c>
      <c r="M86" s="9" t="n">
        <f aca="false">IF($O86="","",INDEX(Scoring!$N$29:$N$361,MATCH($O86,Scoring!$AS$29:$AS$361,0)))</f>
        <v>93119.22</v>
      </c>
      <c r="N86" s="7" t="str">
        <f aca="false">IF($O86="","",INDEX(Scoring!$AI$29:$AI$361,MATCH($O86,Scoring!$AS$29:$AS$361,0)))</f>
        <v>UK</v>
      </c>
      <c r="O86" s="10" t="n">
        <f aca="false">IFERROR(SMALL(Scoring!$AS$29:$AS$361,82),"")</f>
        <v>5001</v>
      </c>
    </row>
    <row r="87" customFormat="false" ht="28.35" hidden="false" customHeight="false" outlineLevel="0" collapsed="false">
      <c r="A87" s="5" t="n">
        <f aca="false">IF($O87="","",INT($O87/1000))</f>
        <v>5</v>
      </c>
      <c r="B87" s="6" t="str">
        <f aca="false">IF($O87="","",INDEX(Scoring!$A$29:$A$361,MATCH($O87,Scoring!$AS$29:$AS$361,0)))</f>
        <v>Venus Remedies</v>
      </c>
      <c r="C87" s="5" t="n">
        <f aca="false">IF($O87="","",IF(INDEX(Scoring!$AM$29:$AM$361,MATCH($O87,Scoring!$AS$29:$AS$361,0))="","–",INDEX(Scoring!$AM$29:$AM$361,MATCH($O87,Scoring!$AS$29:$AS$361,0))))</f>
        <v>2</v>
      </c>
      <c r="D87" s="6" t="str">
        <f aca="false">IF($O87="","",INDEX(Scoring!$AK$29:$AK$361,MATCH($O87,Scoring!$AS$29:$AS$361,0)))</f>
        <v>Priority 1</v>
      </c>
      <c r="E87" s="7" t="str">
        <f aca="false">IF($O87="","",INDEX(Scoring!$AL$29:$AL$361,MATCH($O87,Scoring!$AS$29:$AS$361,0)))</f>
        <v>High price · high volume</v>
      </c>
      <c r="F87" s="6" t="str">
        <f aca="false">IF($O87="","",INDEX(Scoring!$B$29:$B$361,MATCH($O87,Scoring!$AS$29:$AS$361,0)))</f>
        <v>Ceftazidime</v>
      </c>
      <c r="G87" s="7" t="str">
        <f aca="false">IF($O87="","",INDEX(Scoring!$AG$29:$AG$361,MATCH($O87,Scoring!$AS$29:$AS$361,0)))</f>
        <v>Ceftazidime Venus Pharma</v>
      </c>
      <c r="H87" s="7" t="str">
        <f aca="false">IF($O87="","",INDEX(Scoring!$C$29:$C$361,MATCH($O87,Scoring!$AS$29:$AS$361,0)))</f>
        <v>Anti-infective: Pseudomonas and other hospital Gram-negative infections</v>
      </c>
      <c r="I87" s="6" t="str">
        <f aca="false">IF($O87="","",INDEX(Scoring!$I$29:$I$361,MATCH($O87,Scoring!$AS$29:$AS$361,0)))</f>
        <v>Vial</v>
      </c>
      <c r="J87" s="7" t="str">
        <f aca="false">IF($O87="","",INDEX(Scoring!$Z$29:$Z$361,MATCH($O87,Scoring!$AS$29:$AS$361,0)))</f>
        <v>2 g vial</v>
      </c>
      <c r="K87" s="8" t="n">
        <f aca="false">IF($O87="","",IF(INDEX(Scoring!$D$29:$D$361,MATCH($O87,Scoring!$AS$29:$AS$361,0))="",INDEX(Scoring!$AF$29:$AF$361,MATCH($O87,Scoring!$AS$29:$AS$361,0)),INDEX(Scoring!$D$29:$D$361,MATCH($O87,Scoring!$AS$29:$AS$361,0))))</f>
        <v>34.58</v>
      </c>
      <c r="L87" s="9" t="n">
        <f aca="false">IF($O87="","",INDEX(Scoring!$L$29:$L$361,MATCH($O87,Scoring!$AS$29:$AS$361,0)))</f>
        <v>335</v>
      </c>
      <c r="M87" s="9" t="n">
        <f aca="false">IF($O87="","",INDEX(Scoring!$N$29:$N$361,MATCH($O87,Scoring!$AS$29:$AS$361,0)))</f>
        <v>5713.56</v>
      </c>
      <c r="N87" s="7" t="str">
        <f aca="false">IF($O87="","",INDEX(Scoring!$AI$29:$AI$361,MATCH($O87,Scoring!$AS$29:$AS$361,0)))</f>
        <v>UK</v>
      </c>
      <c r="O87" s="10" t="n">
        <f aca="false">IFERROR(SMALL(Scoring!$AS$29:$AS$361,83),"")</f>
        <v>5002</v>
      </c>
    </row>
    <row r="88" customFormat="false" ht="28.35" hidden="false" customHeight="false" outlineLevel="0" collapsed="false">
      <c r="A88" s="5" t="n">
        <f aca="false">IF($O88="","",INT($O88/1000))</f>
        <v>5</v>
      </c>
      <c r="B88" s="6" t="str">
        <f aca="false">IF($O88="","",INDEX(Scoring!$A$29:$A$361,MATCH($O88,Scoring!$AS$29:$AS$361,0)))</f>
        <v>Venus Remedies</v>
      </c>
      <c r="C88" s="5" t="n">
        <f aca="false">IF($O88="","",IF(INDEX(Scoring!$AM$29:$AM$361,MATCH($O88,Scoring!$AS$29:$AS$361,0))="","–",INDEX(Scoring!$AM$29:$AM$361,MATCH($O88,Scoring!$AS$29:$AS$361,0))))</f>
        <v>3</v>
      </c>
      <c r="D88" s="6" t="str">
        <f aca="false">IF($O88="","",INDEX(Scoring!$AK$29:$AK$361,MATCH($O88,Scoring!$AS$29:$AS$361,0)))</f>
        <v>Priority 1</v>
      </c>
      <c r="E88" s="7" t="str">
        <f aca="false">IF($O88="","",INDEX(Scoring!$AL$29:$AL$361,MATCH($O88,Scoring!$AS$29:$AS$361,0)))</f>
        <v>High price · high volume</v>
      </c>
      <c r="F88" s="6" t="str">
        <f aca="false">IF($O88="","",INDEX(Scoring!$B$29:$B$361,MATCH($O88,Scoring!$AS$29:$AS$361,0)))</f>
        <v>Bleomycin</v>
      </c>
      <c r="G88" s="7" t="str">
        <f aca="false">IF($O88="","",INDEX(Scoring!$AG$29:$AG$361,MATCH($O88,Scoring!$AS$29:$AS$361,0)))</f>
        <v>Bleomycin Venus Pharma</v>
      </c>
      <c r="H88" s="7" t="str">
        <f aca="false">IF($O88="","",INDEX(Scoring!$C$29:$C$361,MATCH($O88,Scoring!$AS$29:$AS$361,0)))</f>
        <v>Oncology: Hodgkin lymphoma, testicular and squamous cell cancers</v>
      </c>
      <c r="I88" s="6" t="str">
        <f aca="false">IF($O88="","",INDEX(Scoring!$I$29:$I$361,MATCH($O88,Scoring!$AS$29:$AS$361,0)))</f>
        <v>Vial</v>
      </c>
      <c r="J88" s="7" t="str">
        <f aca="false">IF($O88="","",INDEX(Scoring!$Z$29:$Z$361,MATCH($O88,Scoring!$AS$29:$AS$361,0)))</f>
        <v>15000 IU powder vial</v>
      </c>
      <c r="K88" s="8" t="n">
        <f aca="false">IF($O88="","",IF(INDEX(Scoring!$D$29:$D$361,MATCH($O88,Scoring!$AS$29:$AS$361,0))="",INDEX(Scoring!$AF$29:$AF$361,MATCH($O88,Scoring!$AS$29:$AS$361,0)),INDEX(Scoring!$D$29:$D$361,MATCH($O88,Scoring!$AS$29:$AS$361,0))))</f>
        <v>81.96</v>
      </c>
      <c r="L88" s="9" t="n">
        <f aca="false">IF($O88="","",INDEX(Scoring!$L$29:$L$361,MATCH($O88,Scoring!$AS$29:$AS$361,0)))</f>
        <v>441</v>
      </c>
      <c r="M88" s="9" t="n">
        <f aca="false">IF($O88="","",INDEX(Scoring!$N$29:$N$361,MATCH($O88,Scoring!$AS$29:$AS$361,0)))</f>
        <v>3973.65</v>
      </c>
      <c r="N88" s="7" t="str">
        <f aca="false">IF($O88="","",INDEX(Scoring!$AI$29:$AI$361,MATCH($O88,Scoring!$AS$29:$AS$361,0)))</f>
        <v>UK</v>
      </c>
      <c r="O88" s="10" t="n">
        <f aca="false">IFERROR(SMALL(Scoring!$AS$29:$AS$361,84),"")</f>
        <v>5003</v>
      </c>
    </row>
    <row r="89" customFormat="false" ht="28.35" hidden="false" customHeight="false" outlineLevel="0" collapsed="false">
      <c r="A89" s="5" t="n">
        <f aca="false">IF($O89="","",INT($O89/1000))</f>
        <v>6</v>
      </c>
      <c r="B89" s="6" t="str">
        <f aca="false">IF($O89="","",INDEX(Scoring!$A$29:$A$361,MATCH($O89,Scoring!$AS$29:$AS$361,0)))</f>
        <v>Cipla</v>
      </c>
      <c r="C89" s="5" t="n">
        <f aca="false">IF($O89="","",IF(INDEX(Scoring!$AM$29:$AM$361,MATCH($O89,Scoring!$AS$29:$AS$361,0))="","–",INDEX(Scoring!$AM$29:$AM$361,MATCH($O89,Scoring!$AS$29:$AS$361,0))))</f>
        <v>1</v>
      </c>
      <c r="D89" s="6" t="str">
        <f aca="false">IF($O89="","",INDEX(Scoring!$AK$29:$AK$361,MATCH($O89,Scoring!$AS$29:$AS$361,0)))</f>
        <v>Priority 1</v>
      </c>
      <c r="E89" s="7" t="str">
        <f aca="false">IF($O89="","",INDEX(Scoring!$AL$29:$AL$361,MATCH($O89,Scoring!$AS$29:$AS$361,0)))</f>
        <v>High price · high volume</v>
      </c>
      <c r="F89" s="6" t="str">
        <f aca="false">IF($O89="","",INDEX(Scoring!$B$29:$B$361,MATCH($O89,Scoring!$AS$29:$AS$361,0)))</f>
        <v>Bortezomib</v>
      </c>
      <c r="G89" s="7" t="str">
        <f aca="false">IF($O89="","",INDEX(Scoring!$AG$29:$AG$361,MATCH($O89,Scoring!$AS$29:$AS$361,0)))</f>
        <v>Onbort</v>
      </c>
      <c r="H89" s="7" t="str">
        <f aca="false">IF($O89="","",INDEX(Scoring!$C$29:$C$361,MATCH($O89,Scoring!$AS$29:$AS$361,0)))</f>
        <v>Oncology: multiple myeloma, mantle cell lymphoma</v>
      </c>
      <c r="I89" s="6" t="str">
        <f aca="false">IF($O89="","",INDEX(Scoring!$I$29:$I$361,MATCH($O89,Scoring!$AS$29:$AS$361,0)))</f>
        <v>Vial</v>
      </c>
      <c r="J89" s="7" t="str">
        <f aca="false">IF($O89="","",INDEX(Scoring!$Z$29:$Z$361,MATCH($O89,Scoring!$AS$29:$AS$361,0)))</f>
        <v>3.5 mg/1.4 mL vial</v>
      </c>
      <c r="K89" s="8" t="n">
        <f aca="false">IF($O89="","",IF(INDEX(Scoring!$D$29:$D$361,MATCH($O89,Scoring!$AS$29:$AS$361,0))="",INDEX(Scoring!$AF$29:$AF$361,MATCH($O89,Scoring!$AS$29:$AS$361,0)),INDEX(Scoring!$D$29:$D$361,MATCH($O89,Scoring!$AS$29:$AS$361,0))))</f>
        <v>163.29</v>
      </c>
      <c r="L89" s="9" t="n">
        <f aca="false">IF($O89="","",INDEX(Scoring!$L$29:$L$361,MATCH($O89,Scoring!$AS$29:$AS$361,0)))</f>
        <v>905</v>
      </c>
      <c r="M89" s="9" t="n">
        <f aca="false">IF($O89="","",INDEX(Scoring!$N$29:$N$361,MATCH($O89,Scoring!$AS$29:$AS$361,0)))</f>
        <v>28093.38</v>
      </c>
      <c r="N89" s="7" t="str">
        <f aca="false">IF($O89="","",INDEX(Scoring!$AI$29:$AI$361,MATCH($O89,Scoring!$AS$29:$AS$361,0)))</f>
        <v>South Africa</v>
      </c>
      <c r="O89" s="10" t="n">
        <f aca="false">IFERROR(SMALL(Scoring!$AS$29:$AS$361,85),"")</f>
        <v>6001</v>
      </c>
    </row>
    <row r="90" customFormat="false" ht="28.35" hidden="false" customHeight="false" outlineLevel="0" collapsed="false">
      <c r="A90" s="5" t="n">
        <f aca="false">IF($O90="","",INT($O90/1000))</f>
        <v>6</v>
      </c>
      <c r="B90" s="6" t="str">
        <f aca="false">IF($O90="","",INDEX(Scoring!$A$29:$A$361,MATCH($O90,Scoring!$AS$29:$AS$361,0)))</f>
        <v>Cipla</v>
      </c>
      <c r="C90" s="5" t="n">
        <f aca="false">IF($O90="","",IF(INDEX(Scoring!$AM$29:$AM$361,MATCH($O90,Scoring!$AS$29:$AS$361,0))="","–",INDEX(Scoring!$AM$29:$AM$361,MATCH($O90,Scoring!$AS$29:$AS$361,0))))</f>
        <v>2</v>
      </c>
      <c r="D90" s="6" t="str">
        <f aca="false">IF($O90="","",INDEX(Scoring!$AK$29:$AK$361,MATCH($O90,Scoring!$AS$29:$AS$361,0)))</f>
        <v>Priority 1</v>
      </c>
      <c r="E90" s="7" t="str">
        <f aca="false">IF($O90="","",INDEX(Scoring!$AL$29:$AL$361,MATCH($O90,Scoring!$AS$29:$AS$361,0)))</f>
        <v>High price · high volume</v>
      </c>
      <c r="F90" s="6" t="str">
        <f aca="false">IF($O90="","",INDEX(Scoring!$B$29:$B$361,MATCH($O90,Scoring!$AS$29:$AS$361,0)))</f>
        <v>Bleomycin</v>
      </c>
      <c r="G90" s="7" t="str">
        <f aca="false">IF($O90="","",INDEX(Scoring!$AG$29:$AG$361,MATCH($O90,Scoring!$AS$29:$AS$361,0)))</f>
        <v>Cipla Bleomycin 15K; Cipla Bleomycin</v>
      </c>
      <c r="H90" s="7" t="str">
        <f aca="false">IF($O90="","",INDEX(Scoring!$C$29:$C$361,MATCH($O90,Scoring!$AS$29:$AS$361,0)))</f>
        <v>Oncology: Hodgkin lymphoma, testicular and squamous cell cancers</v>
      </c>
      <c r="I90" s="6" t="str">
        <f aca="false">IF($O90="","",INDEX(Scoring!$I$29:$I$361,MATCH($O90,Scoring!$AS$29:$AS$361,0)))</f>
        <v>Vial</v>
      </c>
      <c r="J90" s="7" t="str">
        <f aca="false">IF($O90="","",INDEX(Scoring!$Z$29:$Z$361,MATCH($O90,Scoring!$AS$29:$AS$361,0)))</f>
        <v>15000 IU powder vial; 15 units (15000 IU) in 5 mL powder vial</v>
      </c>
      <c r="K90" s="8" t="n">
        <f aca="false">IF($O90="","",IF(INDEX(Scoring!$D$29:$D$361,MATCH($O90,Scoring!$AS$29:$AS$361,0))="",INDEX(Scoring!$AF$29:$AF$361,MATCH($O90,Scoring!$AS$29:$AS$361,0)),INDEX(Scoring!$D$29:$D$361,MATCH($O90,Scoring!$AS$29:$AS$361,0))))</f>
        <v>41.27</v>
      </c>
      <c r="L90" s="9" t="n">
        <f aca="false">IF($O90="","",INDEX(Scoring!$L$29:$L$361,MATCH($O90,Scoring!$AS$29:$AS$361,0)))</f>
        <v>441</v>
      </c>
      <c r="M90" s="9" t="n">
        <f aca="false">IF($O90="","",INDEX(Scoring!$N$29:$N$361,MATCH($O90,Scoring!$AS$29:$AS$361,0)))</f>
        <v>3973.65</v>
      </c>
      <c r="N90" s="7" t="str">
        <f aca="false">IF($O90="","",INDEX(Scoring!$AI$29:$AI$361,MATCH($O90,Scoring!$AS$29:$AS$361,0)))</f>
        <v>Australia, South Africa</v>
      </c>
      <c r="O90" s="10" t="n">
        <f aca="false">IFERROR(SMALL(Scoring!$AS$29:$AS$361,86),"")</f>
        <v>6002</v>
      </c>
    </row>
    <row r="91" customFormat="false" ht="28.35" hidden="false" customHeight="false" outlineLevel="0" collapsed="false">
      <c r="A91" s="5" t="n">
        <f aca="false">IF($O91="","",INT($O91/1000))</f>
        <v>6</v>
      </c>
      <c r="B91" s="6" t="str">
        <f aca="false">IF($O91="","",INDEX(Scoring!$A$29:$A$361,MATCH($O91,Scoring!$AS$29:$AS$361,0)))</f>
        <v>Cipla</v>
      </c>
      <c r="C91" s="5" t="n">
        <f aca="false">IF($O91="","",IF(INDEX(Scoring!$AM$29:$AM$361,MATCH($O91,Scoring!$AS$29:$AS$361,0))="","–",INDEX(Scoring!$AM$29:$AM$361,MATCH($O91,Scoring!$AS$29:$AS$361,0))))</f>
        <v>3</v>
      </c>
      <c r="D91" s="6" t="str">
        <f aca="false">IF($O91="","",INDEX(Scoring!$AK$29:$AK$361,MATCH($O91,Scoring!$AS$29:$AS$361,0)))</f>
        <v>Priority 2</v>
      </c>
      <c r="E91" s="7" t="str">
        <f aca="false">IF($O91="","",INDEX(Scoring!$AL$29:$AL$361,MATCH($O91,Scoring!$AS$29:$AS$361,0)))</f>
        <v>Lower price · high volume</v>
      </c>
      <c r="F91" s="6" t="str">
        <f aca="false">IF($O91="","",INDEX(Scoring!$B$29:$B$361,MATCH($O91,Scoring!$AS$29:$AS$361,0)))</f>
        <v>Measles Vaccine</v>
      </c>
      <c r="G91" s="7" t="str">
        <f aca="false">IF($O91="","",INDEX(Scoring!$AG$29:$AG$361,MATCH($O91,Scoring!$AS$29:$AS$361,0)))</f>
        <v>Measles Vaccine Cipla</v>
      </c>
      <c r="H91" s="7" t="str">
        <f aca="false">IF($O91="","",INDEX(Scoring!$C$29:$C$361,MATCH($O91,Scoring!$AS$29:$AS$361,0)))</f>
        <v>Vaccines: childhood measles immunisation</v>
      </c>
      <c r="I91" s="6" t="str">
        <f aca="false">IF($O91="","",INDEX(Scoring!$I$29:$I$361,MATCH($O91,Scoring!$AS$29:$AS$361,0)))</f>
        <v>Vial</v>
      </c>
      <c r="J91" s="7" t="str">
        <f aca="false">IF($O91="","",INDEX(Scoring!$Z$29:$Z$361,MATCH($O91,Scoring!$AS$29:$AS$361,0)))</f>
        <v>1000 CCID50/0.5 mL vial</v>
      </c>
      <c r="K91" s="8" t="n">
        <f aca="false">IF($O91="","",IF(INDEX(Scoring!$D$29:$D$361,MATCH($O91,Scoring!$AS$29:$AS$361,0))="",INDEX(Scoring!$AF$29:$AF$361,MATCH($O91,Scoring!$AS$29:$AS$361,0)),INDEX(Scoring!$D$29:$D$361,MATCH($O91,Scoring!$AS$29:$AS$361,0))))</f>
        <v>9.55</v>
      </c>
      <c r="L91" s="9" t="n">
        <f aca="false">IF($O91="","",INDEX(Scoring!$L$29:$L$361,MATCH($O91,Scoring!$AS$29:$AS$361,0)))</f>
        <v>590</v>
      </c>
      <c r="M91" s="9" t="n">
        <f aca="false">IF($O91="","",INDEX(Scoring!$N$29:$N$361,MATCH($O91,Scoring!$AS$29:$AS$361,0)))</f>
        <v>417765.21</v>
      </c>
      <c r="N91" s="7" t="str">
        <f aca="false">IF($O91="","",INDEX(Scoring!$AI$29:$AI$361,MATCH($O91,Scoring!$AS$29:$AS$361,0)))</f>
        <v>South Africa</v>
      </c>
      <c r="O91" s="10" t="n">
        <f aca="false">IFERROR(SMALL(Scoring!$AS$29:$AS$361,87),"")</f>
        <v>6003</v>
      </c>
    </row>
    <row r="92" customFormat="false" ht="28.35" hidden="false" customHeight="false" outlineLevel="0" collapsed="false">
      <c r="A92" s="5" t="n">
        <f aca="false">IF($O92="","",INT($O92/1000))</f>
        <v>6</v>
      </c>
      <c r="B92" s="6" t="str">
        <f aca="false">IF($O92="","",INDEX(Scoring!$A$29:$A$361,MATCH($O92,Scoring!$AS$29:$AS$361,0)))</f>
        <v>Cipla</v>
      </c>
      <c r="C92" s="5" t="n">
        <f aca="false">IF($O92="","",IF(INDEX(Scoring!$AM$29:$AM$361,MATCH($O92,Scoring!$AS$29:$AS$361,0))="","–",INDEX(Scoring!$AM$29:$AM$361,MATCH($O92,Scoring!$AS$29:$AS$361,0))))</f>
        <v>4</v>
      </c>
      <c r="D92" s="6" t="str">
        <f aca="false">IF($O92="","",INDEX(Scoring!$AK$29:$AK$361,MATCH($O92,Scoring!$AS$29:$AS$361,0)))</f>
        <v>Priority 2</v>
      </c>
      <c r="E92" s="7" t="str">
        <f aca="false">IF($O92="","",INDEX(Scoring!$AL$29:$AL$361,MATCH($O92,Scoring!$AS$29:$AS$361,0)))</f>
        <v>Lower price · high volume</v>
      </c>
      <c r="F92" s="6" t="str">
        <f aca="false">IF($O92="","",INDEX(Scoring!$B$29:$B$361,MATCH($O92,Scoring!$AS$29:$AS$361,0)))</f>
        <v>Azacitidine</v>
      </c>
      <c r="G92" s="7" t="str">
        <f aca="false">IF($O92="","",INDEX(Scoring!$AG$29:$AG$361,MATCH($O92,Scoring!$AS$29:$AS$361,0)))</f>
        <v>Azacitidine Cipla</v>
      </c>
      <c r="H92" s="7" t="str">
        <f aca="false">IF($O92="","",INDEX(Scoring!$C$29:$C$361,MATCH($O92,Scoring!$AS$29:$AS$361,0)))</f>
        <v>Oncology: myelodysplastic syndromes, acute myeloid leukaemia</v>
      </c>
      <c r="I92" s="6" t="str">
        <f aca="false">IF($O92="","",INDEX(Scoring!$I$29:$I$361,MATCH($O92,Scoring!$AS$29:$AS$361,0)))</f>
        <v>Vial</v>
      </c>
      <c r="J92" s="7" t="str">
        <f aca="false">IF($O92="","",INDEX(Scoring!$Z$29:$Z$361,MATCH($O92,Scoring!$AS$29:$AS$361,0)))</f>
        <v>100 mg powder vial</v>
      </c>
      <c r="K92" s="8" t="n">
        <f aca="false">IF($O92="","",IF(INDEX(Scoring!$D$29:$D$361,MATCH($O92,Scoring!$AS$29:$AS$361,0))="",INDEX(Scoring!$AF$29:$AF$361,MATCH($O92,Scoring!$AS$29:$AS$361,0)),INDEX(Scoring!$D$29:$D$361,MATCH($O92,Scoring!$AS$29:$AS$361,0))))</f>
        <v>10.24</v>
      </c>
      <c r="L92" s="9" t="n">
        <f aca="false">IF($O92="","",INDEX(Scoring!$L$29:$L$361,MATCH($O92,Scoring!$AS$29:$AS$361,0)))</f>
        <v>762</v>
      </c>
      <c r="M92" s="9" t="n">
        <f aca="false">IF($O92="","",INDEX(Scoring!$N$29:$N$361,MATCH($O92,Scoring!$AS$29:$AS$361,0)))</f>
        <v>50865.56</v>
      </c>
      <c r="N92" s="7" t="str">
        <f aca="false">IF($O92="","",INDEX(Scoring!$AI$29:$AI$361,MATCH($O92,Scoring!$AS$29:$AS$361,0)))</f>
        <v>Australia</v>
      </c>
      <c r="O92" s="10" t="n">
        <f aca="false">IFERROR(SMALL(Scoring!$AS$29:$AS$361,88),"")</f>
        <v>6004</v>
      </c>
    </row>
    <row r="93" customFormat="false" ht="28.35" hidden="false" customHeight="false" outlineLevel="0" collapsed="false">
      <c r="A93" s="5" t="n">
        <f aca="false">IF($O93="","",INT($O93/1000))</f>
        <v>6</v>
      </c>
      <c r="B93" s="6" t="str">
        <f aca="false">IF($O93="","",INDEX(Scoring!$A$29:$A$361,MATCH($O93,Scoring!$AS$29:$AS$361,0)))</f>
        <v>Cipla</v>
      </c>
      <c r="C93" s="5" t="n">
        <f aca="false">IF($O93="","",IF(INDEX(Scoring!$AM$29:$AM$361,MATCH($O93,Scoring!$AS$29:$AS$361,0))="","–",INDEX(Scoring!$AM$29:$AM$361,MATCH($O93,Scoring!$AS$29:$AS$361,0))))</f>
        <v>5</v>
      </c>
      <c r="D93" s="6" t="str">
        <f aca="false">IF($O93="","",INDEX(Scoring!$AK$29:$AK$361,MATCH($O93,Scoring!$AS$29:$AS$361,0)))</f>
        <v>Priority 2</v>
      </c>
      <c r="E93" s="7" t="str">
        <f aca="false">IF($O93="","",INDEX(Scoring!$AL$29:$AL$361,MATCH($O93,Scoring!$AS$29:$AS$361,0)))</f>
        <v>Lower price · high volume</v>
      </c>
      <c r="F93" s="6" t="str">
        <f aca="false">IF($O93="","",INDEX(Scoring!$B$29:$B$361,MATCH($O93,Scoring!$AS$29:$AS$361,0)))</f>
        <v>Hydrocortisone</v>
      </c>
      <c r="G93" s="7" t="str">
        <f aca="false">IF($O93="","",INDEX(Scoring!$AG$29:$AG$361,MATCH($O93,Scoring!$AS$29:$AS$361,0)))</f>
        <v>Hydrocortisone Sodium Succinate; Cipla Hydrocortisone</v>
      </c>
      <c r="H93" s="7" t="str">
        <f aca="false">IF($O93="","",INDEX(Scoring!$C$29:$C$361,MATCH($O93,Scoring!$AS$29:$AS$361,0)))</f>
        <v>Endocrinology and critical care: adrenal crisis, anaphylaxis, severe asthma, shock</v>
      </c>
      <c r="I93" s="6" t="str">
        <f aca="false">IF($O93="","",INDEX(Scoring!$I$29:$I$361,MATCH($O93,Scoring!$AS$29:$AS$361,0)))</f>
        <v>Vial</v>
      </c>
      <c r="J93" s="7" t="str">
        <f aca="false">IF($O93="","",INDEX(Scoring!$Z$29:$Z$361,MATCH($O93,Scoring!$AS$29:$AS$361,0)))</f>
        <v>100 mg powder vial</v>
      </c>
      <c r="K93" s="8" t="n">
        <f aca="false">IF($O93="","",IF(INDEX(Scoring!$D$29:$D$361,MATCH($O93,Scoring!$AS$29:$AS$361,0))="",INDEX(Scoring!$AF$29:$AF$361,MATCH($O93,Scoring!$AS$29:$AS$361,0)),INDEX(Scoring!$D$29:$D$361,MATCH($O93,Scoring!$AS$29:$AS$361,0))))</f>
        <v>23.15</v>
      </c>
      <c r="L93" s="9" t="n">
        <f aca="false">IF($O93="","",INDEX(Scoring!$L$29:$L$361,MATCH($O93,Scoring!$AS$29:$AS$361,0)))</f>
        <v>2582</v>
      </c>
      <c r="M93" s="9" t="n">
        <f aca="false">IF($O93="","",INDEX(Scoring!$N$29:$N$361,MATCH($O93,Scoring!$AS$29:$AS$361,0)))</f>
        <v>38106.07</v>
      </c>
      <c r="N93" s="7" t="str">
        <f aca="false">IF($O93="","",INDEX(Scoring!$AI$29:$AI$361,MATCH($O93,Scoring!$AS$29:$AS$361,0)))</f>
        <v>US, Australia</v>
      </c>
      <c r="O93" s="10" t="n">
        <f aca="false">IFERROR(SMALL(Scoring!$AS$29:$AS$361,89),"")</f>
        <v>6005</v>
      </c>
    </row>
    <row r="94" customFormat="false" ht="28.35" hidden="false" customHeight="false" outlineLevel="0" collapsed="false">
      <c r="A94" s="5" t="n">
        <f aca="false">IF($O94="","",INT($O94/1000))</f>
        <v>6</v>
      </c>
      <c r="B94" s="6" t="str">
        <f aca="false">IF($O94="","",INDEX(Scoring!$A$29:$A$361,MATCH($O94,Scoring!$AS$29:$AS$361,0)))</f>
        <v>Cipla</v>
      </c>
      <c r="C94" s="5" t="n">
        <f aca="false">IF($O94="","",IF(INDEX(Scoring!$AM$29:$AM$361,MATCH($O94,Scoring!$AS$29:$AS$361,0))="","–",INDEX(Scoring!$AM$29:$AM$361,MATCH($O94,Scoring!$AS$29:$AS$361,0))))</f>
        <v>6</v>
      </c>
      <c r="D94" s="6" t="str">
        <f aca="false">IF($O94="","",INDEX(Scoring!$AK$29:$AK$361,MATCH($O94,Scoring!$AS$29:$AS$361,0)))</f>
        <v>Priority 2</v>
      </c>
      <c r="E94" s="7" t="str">
        <f aca="false">IF($O94="","",INDEX(Scoring!$AL$29:$AL$361,MATCH($O94,Scoring!$AS$29:$AS$361,0)))</f>
        <v>High price · lower volume</v>
      </c>
      <c r="F94" s="6" t="str">
        <f aca="false">IF($O94="","",INDEX(Scoring!$B$29:$B$361,MATCH($O94,Scoring!$AS$29:$AS$361,0)))</f>
        <v>Fulvestrant</v>
      </c>
      <c r="G94" s="7" t="str">
        <f aca="false">IF($O94="","",INDEX(Scoring!$AG$29:$AG$361,MATCH($O94,Scoring!$AS$29:$AS$361,0)))</f>
        <v>Fulvestrant Cipla</v>
      </c>
      <c r="H94" s="7" t="str">
        <f aca="false">IF($O94="","",INDEX(Scoring!$C$29:$C$361,MATCH($O94,Scoring!$AS$29:$AS$361,0)))</f>
        <v>Oncology: hormone receptor-positive advanced breast cancer</v>
      </c>
      <c r="I94" s="6" t="str">
        <f aca="false">IF($O94="","",INDEX(Scoring!$I$29:$I$361,MATCH($O94,Scoring!$AS$29:$AS$361,0)))</f>
        <v>Prefilled syringe</v>
      </c>
      <c r="J94" s="7" t="str">
        <f aca="false">IF($O94="","",INDEX(Scoring!$Z$29:$Z$361,MATCH($O94,Scoring!$AS$29:$AS$361,0)))</f>
        <v>250 mg/5 mL pre-filled syringe</v>
      </c>
      <c r="K94" s="8" t="n">
        <f aca="false">IF($O94="","",IF(INDEX(Scoring!$D$29:$D$361,MATCH($O94,Scoring!$AS$29:$AS$361,0))="",INDEX(Scoring!$AF$29:$AF$361,MATCH($O94,Scoring!$AS$29:$AS$361,0)),INDEX(Scoring!$D$29:$D$361,MATCH($O94,Scoring!$AS$29:$AS$361,0))))</f>
        <v>531.87</v>
      </c>
      <c r="L94" s="9" t="n">
        <f aca="false">IF($O94="","",INDEX(Scoring!$L$29:$L$361,MATCH($O94,Scoring!$AS$29:$AS$361,0)))</f>
        <v>146</v>
      </c>
      <c r="M94" s="9" t="n">
        <f aca="false">IF($O94="","",INDEX(Scoring!$N$29:$N$361,MATCH($O94,Scoring!$AS$29:$AS$361,0)))</f>
        <v>11366.06</v>
      </c>
      <c r="N94" s="7" t="str">
        <f aca="false">IF($O94="","",INDEX(Scoring!$AI$29:$AI$361,MATCH($O94,Scoring!$AS$29:$AS$361,0)))</f>
        <v>EU/EEA (1): Germany</v>
      </c>
      <c r="O94" s="10" t="n">
        <f aca="false">IFERROR(SMALL(Scoring!$AS$29:$AS$361,90),"")</f>
        <v>6006</v>
      </c>
    </row>
    <row r="95" customFormat="false" ht="28.35" hidden="false" customHeight="false" outlineLevel="0" collapsed="false">
      <c r="A95" s="5" t="n">
        <f aca="false">IF($O95="","",INT($O95/1000))</f>
        <v>6</v>
      </c>
      <c r="B95" s="6" t="str">
        <f aca="false">IF($O95="","",INDEX(Scoring!$A$29:$A$361,MATCH($O95,Scoring!$AS$29:$AS$361,0)))</f>
        <v>Cipla</v>
      </c>
      <c r="C95" s="5" t="n">
        <f aca="false">IF($O95="","",IF(INDEX(Scoring!$AM$29:$AM$361,MATCH($O95,Scoring!$AS$29:$AS$361,0))="","–",INDEX(Scoring!$AM$29:$AM$361,MATCH($O95,Scoring!$AS$29:$AS$361,0))))</f>
        <v>7</v>
      </c>
      <c r="D95" s="6" t="str">
        <f aca="false">IF($O95="","",INDEX(Scoring!$AK$29:$AK$361,MATCH($O95,Scoring!$AS$29:$AS$361,0)))</f>
        <v>Priority 2</v>
      </c>
      <c r="E95" s="7" t="str">
        <f aca="false">IF($O95="","",INDEX(Scoring!$AL$29:$AL$361,MATCH($O95,Scoring!$AS$29:$AS$361,0)))</f>
        <v>Lower price · high volume</v>
      </c>
      <c r="F95" s="6" t="str">
        <f aca="false">IF($O95="","",INDEX(Scoring!$B$29:$B$361,MATCH($O95,Scoring!$AS$29:$AS$361,0)))</f>
        <v>Testosterone Cypionate</v>
      </c>
      <c r="G95" s="7" t="str">
        <f aca="false">IF($O95="","",INDEX(Scoring!$AG$29:$AG$361,MATCH($O95,Scoring!$AS$29:$AS$361,0)))</f>
        <v>Testosterone Cypionate</v>
      </c>
      <c r="H95" s="7" t="str">
        <f aca="false">IF($O95="","",INDEX(Scoring!$C$29:$C$361,MATCH($O95,Scoring!$AS$29:$AS$361,0)))</f>
        <v>Endocrinology: testosterone replacement in male hypogonadism</v>
      </c>
      <c r="I95" s="6" t="str">
        <f aca="false">IF($O95="","",INDEX(Scoring!$I$29:$I$361,MATCH($O95,Scoring!$AS$29:$AS$361,0)))</f>
        <v>Vial</v>
      </c>
      <c r="J95" s="7" t="str">
        <f aca="false">IF($O95="","",INDEX(Scoring!$Z$29:$Z$361,MATCH($O95,Scoring!$AS$29:$AS$361,0)))</f>
        <v>1000 mg/10 mL vial; 200 mg/1 mL vial</v>
      </c>
      <c r="K95" s="8" t="n">
        <f aca="false">IF($O95="","",IF(INDEX(Scoring!$D$29:$D$361,MATCH($O95,Scoring!$AS$29:$AS$361,0))="",INDEX(Scoring!$AF$29:$AF$361,MATCH($O95,Scoring!$AS$29:$AS$361,0)),INDEX(Scoring!$D$29:$D$361,MATCH($O95,Scoring!$AS$29:$AS$361,0))))</f>
        <v>20.63</v>
      </c>
      <c r="L95" s="9" t="n">
        <f aca="false">IF($O95="","",INDEX(Scoring!$L$29:$L$361,MATCH($O95,Scoring!$AS$29:$AS$361,0)))</f>
        <v>307</v>
      </c>
      <c r="M95" s="9" t="n">
        <f aca="false">IF($O95="","",INDEX(Scoring!$N$29:$N$361,MATCH($O95,Scoring!$AS$29:$AS$361,0)))</f>
        <v>7276.73</v>
      </c>
      <c r="N95" s="7" t="str">
        <f aca="false">IF($O95="","",INDEX(Scoring!$AI$29:$AI$361,MATCH($O95,Scoring!$AS$29:$AS$361,0)))</f>
        <v>US</v>
      </c>
      <c r="O95" s="10" t="n">
        <f aca="false">IFERROR(SMALL(Scoring!$AS$29:$AS$361,91),"")</f>
        <v>6007</v>
      </c>
    </row>
    <row r="96" customFormat="false" ht="28.35" hidden="false" customHeight="false" outlineLevel="0" collapsed="false">
      <c r="A96" s="5" t="n">
        <f aca="false">IF($O96="","",INT($O96/1000))</f>
        <v>6</v>
      </c>
      <c r="B96" s="6" t="str">
        <f aca="false">IF($O96="","",INDEX(Scoring!$A$29:$A$361,MATCH($O96,Scoring!$AS$29:$AS$361,0)))</f>
        <v>Cipla</v>
      </c>
      <c r="C96" s="5" t="n">
        <f aca="false">IF($O96="","",IF(INDEX(Scoring!$AM$29:$AM$361,MATCH($O96,Scoring!$AS$29:$AS$361,0))="","–",INDEX(Scoring!$AM$29:$AM$361,MATCH($O96,Scoring!$AS$29:$AS$361,0))))</f>
        <v>8</v>
      </c>
      <c r="D96" s="6" t="str">
        <f aca="false">IF($O96="","",INDEX(Scoring!$AK$29:$AK$361,MATCH($O96,Scoring!$AS$29:$AS$361,0)))</f>
        <v>Priority 2</v>
      </c>
      <c r="E96" s="7" t="str">
        <f aca="false">IF($O96="","",INDEX(Scoring!$AL$29:$AL$361,MATCH($O96,Scoring!$AS$29:$AS$361,0)))</f>
        <v>Lower price · high volume</v>
      </c>
      <c r="F96" s="6" t="str">
        <f aca="false">IF($O96="","",INDEX(Scoring!$B$29:$B$361,MATCH($O96,Scoring!$AS$29:$AS$361,0)))</f>
        <v>Cefepime</v>
      </c>
      <c r="G96" s="7" t="str">
        <f aca="false">IF($O96="","",INDEX(Scoring!$AG$29:$AG$361,MATCH($O96,Scoring!$AS$29:$AS$361,0)))</f>
        <v>Cefect</v>
      </c>
      <c r="H96" s="7" t="str">
        <f aca="false">IF($O96="","",INDEX(Scoring!$C$29:$C$361,MATCH($O96,Scoring!$AS$29:$AS$361,0)))</f>
        <v>Anti-infective: hospital Gram-negative infections, febrile neutropenia</v>
      </c>
      <c r="I96" s="6" t="str">
        <f aca="false">IF($O96="","",INDEX(Scoring!$I$29:$I$361,MATCH($O96,Scoring!$AS$29:$AS$361,0)))</f>
        <v>Not stated</v>
      </c>
      <c r="J96" s="7" t="str">
        <f aca="false">IF($O96="","",INDEX(Scoring!$Z$29:$Z$361,MATCH($O96,Scoring!$AS$29:$AS$361,0)))</f>
        <v>1 g (container not stated); 2 g (container not stated)</v>
      </c>
      <c r="K96" s="8" t="n">
        <f aca="false">IF($O96="","",IF(INDEX(Scoring!$D$29:$D$361,MATCH($O96,Scoring!$AS$29:$AS$361,0))="",INDEX(Scoring!$AF$29:$AF$361,MATCH($O96,Scoring!$AS$29:$AS$361,0)),INDEX(Scoring!$D$29:$D$361,MATCH($O96,Scoring!$AS$29:$AS$361,0))))</f>
        <v>24.42</v>
      </c>
      <c r="L96" s="9" t="n">
        <f aca="false">IF($O96="","",INDEX(Scoring!$L$29:$L$361,MATCH($O96,Scoring!$AS$29:$AS$361,0)))</f>
        <v>290</v>
      </c>
      <c r="M96" s="9" t="n">
        <f aca="false">IF($O96="","",INDEX(Scoring!$N$29:$N$361,MATCH($O96,Scoring!$AS$29:$AS$361,0)))</f>
        <v>6348.25</v>
      </c>
      <c r="N96" s="7" t="str">
        <f aca="false">IF($O96="","",INDEX(Scoring!$AI$29:$AI$361,MATCH($O96,Scoring!$AS$29:$AS$361,0)))</f>
        <v>South Africa</v>
      </c>
      <c r="O96" s="10" t="n">
        <f aca="false">IFERROR(SMALL(Scoring!$AS$29:$AS$361,92),"")</f>
        <v>6008</v>
      </c>
    </row>
    <row r="97" customFormat="false" ht="28.35" hidden="false" customHeight="false" outlineLevel="0" collapsed="false">
      <c r="A97" s="5" t="n">
        <f aca="false">IF($O97="","",INT($O97/1000))</f>
        <v>6</v>
      </c>
      <c r="B97" s="6" t="str">
        <f aca="false">IF($O97="","",INDEX(Scoring!$A$29:$A$361,MATCH($O97,Scoring!$AS$29:$AS$361,0)))</f>
        <v>Cipla</v>
      </c>
      <c r="C97" s="5" t="n">
        <f aca="false">IF($O97="","",IF(INDEX(Scoring!$AM$29:$AM$361,MATCH($O97,Scoring!$AS$29:$AS$361,0))="","–",INDEX(Scoring!$AM$29:$AM$361,MATCH($O97,Scoring!$AS$29:$AS$361,0))))</f>
        <v>9</v>
      </c>
      <c r="D97" s="6" t="str">
        <f aca="false">IF($O97="","",INDEX(Scoring!$AK$29:$AK$361,MATCH($O97,Scoring!$AS$29:$AS$361,0)))</f>
        <v>Priority 2</v>
      </c>
      <c r="E97" s="7" t="str">
        <f aca="false">IF($O97="","",INDEX(Scoring!$AL$29:$AL$361,MATCH($O97,Scoring!$AS$29:$AS$361,0)))</f>
        <v>High price · lower volume</v>
      </c>
      <c r="F97" s="6" t="str">
        <f aca="false">IF($O97="","",INDEX(Scoring!$B$29:$B$361,MATCH($O97,Scoring!$AS$29:$AS$361,0)))</f>
        <v>Phytonadione</v>
      </c>
      <c r="G97" s="7" t="str">
        <f aca="false">IF($O97="","",INDEX(Scoring!$AG$29:$AG$361,MATCH($O97,Scoring!$AS$29:$AS$361,0)))</f>
        <v>Phytonadione</v>
      </c>
      <c r="H97" s="7" t="str">
        <f aca="false">IF($O97="","",INDEX(Scoring!$C$29:$C$361,MATCH($O97,Scoring!$AS$29:$AS$361,0)))</f>
        <v>Haematology: vitamin K for newborn bleeding prevention, warfarin reversal</v>
      </c>
      <c r="I97" s="6" t="str">
        <f aca="false">IF($O97="","",INDEX(Scoring!$I$29:$I$361,MATCH($O97,Scoring!$AS$29:$AS$361,0)))</f>
        <v>Vial, Prefilled syringe</v>
      </c>
      <c r="J97" s="7" t="str">
        <f aca="false">IF($O97="","",INDEX(Scoring!$Z$29:$Z$361,MATCH($O97,Scoring!$AS$29:$AS$361,0)))</f>
        <v>1 mg/0.5 mL pre-filled syringe; 10 mg/1 mL vial</v>
      </c>
      <c r="K97" s="8" t="n">
        <f aca="false">IF($O97="","",IF(INDEX(Scoring!$D$29:$D$361,MATCH($O97,Scoring!$AS$29:$AS$361,0))="",INDEX(Scoring!$AF$29:$AF$361,MATCH($O97,Scoring!$AS$29:$AS$361,0)),INDEX(Scoring!$D$29:$D$361,MATCH($O97,Scoring!$AS$29:$AS$361,0))))</f>
        <v>39.89</v>
      </c>
      <c r="L97" s="9" t="n">
        <f aca="false">IF($O97="","",INDEX(Scoring!$L$29:$L$361,MATCH($O97,Scoring!$AS$29:$AS$361,0)))</f>
        <v>51</v>
      </c>
      <c r="M97" s="9" t="n">
        <f aca="false">IF($O97="","",INDEX(Scoring!$N$29:$N$361,MATCH($O97,Scoring!$AS$29:$AS$361,0)))</f>
        <v>5770.02</v>
      </c>
      <c r="N97" s="7" t="str">
        <f aca="false">IF($O97="","",INDEX(Scoring!$AI$29:$AI$361,MATCH($O97,Scoring!$AS$29:$AS$361,0)))</f>
        <v>US</v>
      </c>
      <c r="O97" s="10" t="n">
        <f aca="false">IFERROR(SMALL(Scoring!$AS$29:$AS$361,93),"")</f>
        <v>6009</v>
      </c>
    </row>
    <row r="98" customFormat="false" ht="28.35" hidden="false" customHeight="false" outlineLevel="0" collapsed="false">
      <c r="A98" s="5" t="n">
        <f aca="false">IF($O98="","",INT($O98/1000))</f>
        <v>6</v>
      </c>
      <c r="B98" s="6" t="str">
        <f aca="false">IF($O98="","",INDEX(Scoring!$A$29:$A$361,MATCH($O98,Scoring!$AS$29:$AS$361,0)))</f>
        <v>Cipla</v>
      </c>
      <c r="C98" s="5" t="n">
        <f aca="false">IF($O98="","",IF(INDEX(Scoring!$AM$29:$AM$361,MATCH($O98,Scoring!$AS$29:$AS$361,0))="","–",INDEX(Scoring!$AM$29:$AM$361,MATCH($O98,Scoring!$AS$29:$AS$361,0))))</f>
        <v>10</v>
      </c>
      <c r="D98" s="6" t="str">
        <f aca="false">IF($O98="","",INDEX(Scoring!$AK$29:$AK$361,MATCH($O98,Scoring!$AS$29:$AS$361,0)))</f>
        <v>Priority 2</v>
      </c>
      <c r="E98" s="7" t="str">
        <f aca="false">IF($O98="","",INDEX(Scoring!$AL$29:$AL$361,MATCH($O98,Scoring!$AS$29:$AS$361,0)))</f>
        <v>High price · lower volume</v>
      </c>
      <c r="F98" s="6" t="str">
        <f aca="false">IF($O98="","",INDEX(Scoring!$B$29:$B$361,MATCH($O98,Scoring!$AS$29:$AS$361,0)))</f>
        <v>Isoprenaline (Isoproterenol)</v>
      </c>
      <c r="G98" s="7" t="str">
        <f aca="false">IF($O98="","",INDEX(Scoring!$AG$29:$AG$361,MATCH($O98,Scoring!$AS$29:$AS$361,0)))</f>
        <v>Cipla Isoprenaline; Isocipraline</v>
      </c>
      <c r="H98" s="7" t="str">
        <f aca="false">IF($O98="","",INDEX(Scoring!$C$29:$C$361,MATCH($O98,Scoring!$AS$29:$AS$361,0)))</f>
        <v>Cardiovascular: heart block, severe slow heart rate</v>
      </c>
      <c r="I98" s="6" t="str">
        <f aca="false">IF($O98="","",INDEX(Scoring!$I$29:$I$361,MATCH($O98,Scoring!$AS$29:$AS$361,0)))</f>
        <v>Ampoule</v>
      </c>
      <c r="J98" s="7" t="str">
        <f aca="false">IF($O98="","",INDEX(Scoring!$Z$29:$Z$361,MATCH($O98,Scoring!$AS$29:$AS$361,0)))</f>
        <v>0.2 mg/1 mL ampoule; 1 mg/5 mL ampoule</v>
      </c>
      <c r="K98" s="8" t="n">
        <f aca="false">IF($O98="","",IF(INDEX(Scoring!$D$29:$D$361,MATCH($O98,Scoring!$AS$29:$AS$361,0))="",INDEX(Scoring!$AF$29:$AF$361,MATCH($O98,Scoring!$AS$29:$AS$361,0)),INDEX(Scoring!$D$29:$D$361,MATCH($O98,Scoring!$AS$29:$AS$361,0))))</f>
        <v>82.51</v>
      </c>
      <c r="L98" s="9" t="n">
        <f aca="false">IF($O98="","",INDEX(Scoring!$L$29:$L$361,MATCH($O98,Scoring!$AS$29:$AS$361,0)))</f>
        <v>87</v>
      </c>
      <c r="M98" s="9" t="n">
        <f aca="false">IF($O98="","",INDEX(Scoring!$N$29:$N$361,MATCH($O98,Scoring!$AS$29:$AS$361,0)))</f>
        <v>2931.42</v>
      </c>
      <c r="N98" s="7" t="str">
        <f aca="false">IF($O98="","",INDEX(Scoring!$AI$29:$AI$361,MATCH($O98,Scoring!$AS$29:$AS$361,0)))</f>
        <v>Australia</v>
      </c>
      <c r="O98" s="10" t="n">
        <f aca="false">IFERROR(SMALL(Scoring!$AS$29:$AS$361,94),"")</f>
        <v>6010</v>
      </c>
    </row>
    <row r="99" customFormat="false" ht="28.35" hidden="false" customHeight="false" outlineLevel="0" collapsed="false">
      <c r="A99" s="5" t="n">
        <f aca="false">IF($O99="","",INT($O99/1000))</f>
        <v>6</v>
      </c>
      <c r="B99" s="6" t="str">
        <f aca="false">IF($O99="","",INDEX(Scoring!$A$29:$A$361,MATCH($O99,Scoring!$AS$29:$AS$361,0)))</f>
        <v>Cipla</v>
      </c>
      <c r="C99" s="5" t="n">
        <f aca="false">IF($O99="","",IF(INDEX(Scoring!$AM$29:$AM$361,MATCH($O99,Scoring!$AS$29:$AS$361,0))="","–",INDEX(Scoring!$AM$29:$AM$361,MATCH($O99,Scoring!$AS$29:$AS$361,0))))</f>
        <v>11</v>
      </c>
      <c r="D99" s="6" t="str">
        <f aca="false">IF($O99="","",INDEX(Scoring!$AK$29:$AK$361,MATCH($O99,Scoring!$AS$29:$AS$361,0)))</f>
        <v>Priority 2</v>
      </c>
      <c r="E99" s="7" t="str">
        <f aca="false">IF($O99="","",INDEX(Scoring!$AL$29:$AL$361,MATCH($O99,Scoring!$AS$29:$AS$361,0)))</f>
        <v>High price · lower volume</v>
      </c>
      <c r="F99" s="6" t="str">
        <f aca="false">IF($O99="","",INDEX(Scoring!$B$29:$B$361,MATCH($O99,Scoring!$AS$29:$AS$361,0)))</f>
        <v>Testosterone Undecanoate</v>
      </c>
      <c r="G99" s="7" t="str">
        <f aca="false">IF($O99="","",INDEX(Scoring!$AG$29:$AG$361,MATCH($O99,Scoring!$AS$29:$AS$361,0)))</f>
        <v>Testosterone Cipla</v>
      </c>
      <c r="H99" s="7" t="str">
        <f aca="false">IF($O99="","",INDEX(Scoring!$C$29:$C$361,MATCH($O99,Scoring!$AS$29:$AS$361,0)))</f>
        <v>Endocrinology: long-acting testosterone replacement in male hypogonadism</v>
      </c>
      <c r="I99" s="6" t="str">
        <f aca="false">IF($O99="","",INDEX(Scoring!$I$29:$I$361,MATCH($O99,Scoring!$AS$29:$AS$361,0)))</f>
        <v>Vial</v>
      </c>
      <c r="J99" s="7" t="str">
        <f aca="false">IF($O99="","",INDEX(Scoring!$Z$29:$Z$361,MATCH($O99,Scoring!$AS$29:$AS$361,0)))</f>
        <v>1000 mg/4 mL vial</v>
      </c>
      <c r="K99" s="8" t="n">
        <f aca="false">IF($O99="","",IF(INDEX(Scoring!$D$29:$D$361,MATCH($O99,Scoring!$AS$29:$AS$361,0))="",INDEX(Scoring!$AF$29:$AF$361,MATCH($O99,Scoring!$AS$29:$AS$361,0)),INDEX(Scoring!$D$29:$D$361,MATCH($O99,Scoring!$AS$29:$AS$361,0))))</f>
        <v>118.45</v>
      </c>
      <c r="L99" s="9" t="n">
        <f aca="false">IF($O99="","",INDEX(Scoring!$L$29:$L$361,MATCH($O99,Scoring!$AS$29:$AS$361,0)))</f>
        <v>188</v>
      </c>
      <c r="M99" s="9" t="n">
        <f aca="false">IF($O99="","",INDEX(Scoring!$N$29:$N$361,MATCH($O99,Scoring!$AS$29:$AS$361,0)))</f>
        <v>262.84</v>
      </c>
      <c r="N99" s="7" t="str">
        <f aca="false">IF($O99="","",INDEX(Scoring!$AI$29:$AI$361,MATCH($O99,Scoring!$AS$29:$AS$361,0)))</f>
        <v>South Africa</v>
      </c>
      <c r="O99" s="10" t="n">
        <f aca="false">IFERROR(SMALL(Scoring!$AS$29:$AS$361,95),"")</f>
        <v>6011</v>
      </c>
    </row>
    <row r="100" customFormat="false" ht="41.75" hidden="false" customHeight="false" outlineLevel="0" collapsed="false">
      <c r="A100" s="5" t="n">
        <f aca="false">IF($O100="","",INT($O100/1000))</f>
        <v>6</v>
      </c>
      <c r="B100" s="6" t="str">
        <f aca="false">IF($O100="","",INDEX(Scoring!$A$29:$A$361,MATCH($O100,Scoring!$AS$29:$AS$361,0)))</f>
        <v>Cipla</v>
      </c>
      <c r="C100" s="5" t="n">
        <f aca="false">IF($O100="","",IF(INDEX(Scoring!$AM$29:$AM$361,MATCH($O100,Scoring!$AS$29:$AS$361,0))="","–",INDEX(Scoring!$AM$29:$AM$361,MATCH($O100,Scoring!$AS$29:$AS$361,0))))</f>
        <v>12</v>
      </c>
      <c r="D100" s="6" t="str">
        <f aca="false">IF($O100="","",INDEX(Scoring!$AK$29:$AK$361,MATCH($O100,Scoring!$AS$29:$AS$361,0)))</f>
        <v>Priority 2</v>
      </c>
      <c r="E100" s="7" t="str">
        <f aca="false">IF($O100="","",INDEX(Scoring!$AL$29:$AL$361,MATCH($O100,Scoring!$AS$29:$AS$361,0)))</f>
        <v>High price · lower volume</v>
      </c>
      <c r="F100" s="6" t="str">
        <f aca="false">IF($O100="","",INDEX(Scoring!$B$29:$B$361,MATCH($O100,Scoring!$AS$29:$AS$361,0)))</f>
        <v>Lanreotide</v>
      </c>
      <c r="G100" s="7" t="str">
        <f aca="false">IF($O100="","",INDEX(Scoring!$AG$29:$AG$361,MATCH($O100,Scoring!$AS$29:$AS$361,0)))</f>
        <v>Lanreotide Acetate</v>
      </c>
      <c r="H100" s="7" t="str">
        <f aca="false">IF($O100="","",INDEX(Scoring!$C$29:$C$361,MATCH($O100,Scoring!$AS$29:$AS$361,0)))</f>
        <v>Endocrinology and oncology: acromegaly, neuroendocrine tumours</v>
      </c>
      <c r="I100" s="6" t="str">
        <f aca="false">IF($O100="","",INDEX(Scoring!$I$29:$I$361,MATCH($O100,Scoring!$AS$29:$AS$361,0)))</f>
        <v>Prefilled syringe</v>
      </c>
      <c r="J100" s="7" t="str">
        <f aca="false">IF($O100="","",INDEX(Scoring!$Z$29:$Z$361,MATCH($O100,Scoring!$AS$29:$AS$361,0)))</f>
        <v>60 mg/0.2 mL pre-filled syringe; 90 mg/0.3 mL pre-filled syringe; 120 mg/0.5 mL pre-filled syringe</v>
      </c>
      <c r="K100" s="8" t="n">
        <f aca="false">IF($O100="","",IF(INDEX(Scoring!$D$29:$D$361,MATCH($O100,Scoring!$AS$29:$AS$361,0))="",INDEX(Scoring!$AF$29:$AF$361,MATCH($O100,Scoring!$AS$29:$AS$361,0)),INDEX(Scoring!$D$29:$D$361,MATCH($O100,Scoring!$AS$29:$AS$361,0))))</f>
        <v>5970.59</v>
      </c>
      <c r="L100" s="9" t="n">
        <f aca="false">IF($O100="","",INDEX(Scoring!$L$29:$L$361,MATCH($O100,Scoring!$AS$29:$AS$361,0)))</f>
        <v>25</v>
      </c>
      <c r="M100" s="9" t="n">
        <f aca="false">IF($O100="","",INDEX(Scoring!$N$29:$N$361,MATCH($O100,Scoring!$AS$29:$AS$361,0)))</f>
        <v>0.23</v>
      </c>
      <c r="N100" s="7" t="str">
        <f aca="false">IF($O100="","",INDEX(Scoring!$AI$29:$AI$361,MATCH($O100,Scoring!$AS$29:$AS$361,0)))</f>
        <v>US</v>
      </c>
      <c r="O100" s="10" t="n">
        <f aca="false">IFERROR(SMALL(Scoring!$AS$29:$AS$361,96),"")</f>
        <v>6012</v>
      </c>
    </row>
    <row r="101" customFormat="false" ht="28.35" hidden="false" customHeight="false" outlineLevel="0" collapsed="false">
      <c r="A101" s="5" t="n">
        <f aca="false">IF($O101="","",INT($O101/1000))</f>
        <v>6</v>
      </c>
      <c r="B101" s="6" t="str">
        <f aca="false">IF($O101="","",INDEX(Scoring!$A$29:$A$361,MATCH($O101,Scoring!$AS$29:$AS$361,0)))</f>
        <v>Cipla</v>
      </c>
      <c r="C101" s="5" t="n">
        <f aca="false">IF($O101="","",IF(INDEX(Scoring!$AM$29:$AM$361,MATCH($O101,Scoring!$AS$29:$AS$361,0))="","–",INDEX(Scoring!$AM$29:$AM$361,MATCH($O101,Scoring!$AS$29:$AS$361,0))))</f>
        <v>13</v>
      </c>
      <c r="D101" s="6" t="str">
        <f aca="false">IF($O101="","",INDEX(Scoring!$AK$29:$AK$361,MATCH($O101,Scoring!$AS$29:$AS$361,0)))</f>
        <v>Priority 3</v>
      </c>
      <c r="E101" s="7" t="str">
        <f aca="false">IF($O101="","",INDEX(Scoring!$AL$29:$AL$361,MATCH($O101,Scoring!$AS$29:$AS$361,0)))</f>
        <v>Lower price · lower volume</v>
      </c>
      <c r="F101" s="6" t="str">
        <f aca="false">IF($O101="","",INDEX(Scoring!$B$29:$B$361,MATCH($O101,Scoring!$AS$29:$AS$361,0)))</f>
        <v>Medroxyprogesterone Acetate</v>
      </c>
      <c r="G101" s="7" t="str">
        <f aca="false">IF($O101="","",INDEX(Scoring!$AG$29:$AG$361,MATCH($O101,Scoring!$AS$29:$AS$361,0)))</f>
        <v>Cipla Medroxyprogesterone</v>
      </c>
      <c r="H101" s="7" t="str">
        <f aca="false">IF($O101="","",INDEX(Scoring!$C$29:$C$361,MATCH($O101,Scoring!$AS$29:$AS$361,0)))</f>
        <v>Women's health: three-monthly contraceptive injection</v>
      </c>
      <c r="I101" s="6" t="str">
        <f aca="false">IF($O101="","",INDEX(Scoring!$I$29:$I$361,MATCH($O101,Scoring!$AS$29:$AS$361,0)))</f>
        <v>Vial</v>
      </c>
      <c r="J101" s="7" t="str">
        <f aca="false">IF($O101="","",INDEX(Scoring!$Z$29:$Z$361,MATCH($O101,Scoring!$AS$29:$AS$361,0)))</f>
        <v>150 mg/1 mL vial</v>
      </c>
      <c r="K101" s="8" t="n">
        <f aca="false">IF($O101="","",IF(INDEX(Scoring!$D$29:$D$361,MATCH($O101,Scoring!$AS$29:$AS$361,0))="",INDEX(Scoring!$AF$29:$AF$361,MATCH($O101,Scoring!$AS$29:$AS$361,0)),INDEX(Scoring!$D$29:$D$361,MATCH($O101,Scoring!$AS$29:$AS$361,0))))</f>
        <v>19.65</v>
      </c>
      <c r="L101" s="9" t="n">
        <f aca="false">IF($O101="","",INDEX(Scoring!$L$29:$L$361,MATCH($O101,Scoring!$AS$29:$AS$361,0)))</f>
        <v>122</v>
      </c>
      <c r="M101" s="9" t="n">
        <f aca="false">IF($O101="","",INDEX(Scoring!$N$29:$N$361,MATCH($O101,Scoring!$AS$29:$AS$361,0)))</f>
        <v>8000.57</v>
      </c>
      <c r="N101" s="7" t="str">
        <f aca="false">IF($O101="","",INDEX(Scoring!$AI$29:$AI$361,MATCH($O101,Scoring!$AS$29:$AS$361,0)))</f>
        <v>Australia</v>
      </c>
      <c r="O101" s="10" t="n">
        <f aca="false">IFERROR(SMALL(Scoring!$AS$29:$AS$361,97),"")</f>
        <v>6013</v>
      </c>
    </row>
    <row r="102" customFormat="false" ht="28.35" hidden="false" customHeight="false" outlineLevel="0" collapsed="false">
      <c r="A102" s="5" t="n">
        <f aca="false">IF($O102="","",INT($O102/1000))</f>
        <v>6</v>
      </c>
      <c r="B102" s="6" t="str">
        <f aca="false">IF($O102="","",INDEX(Scoring!$A$29:$A$361,MATCH($O102,Scoring!$AS$29:$AS$361,0)))</f>
        <v>Cipla</v>
      </c>
      <c r="C102" s="5" t="n">
        <f aca="false">IF($O102="","",IF(INDEX(Scoring!$AM$29:$AM$361,MATCH($O102,Scoring!$AS$29:$AS$361,0))="","–",INDEX(Scoring!$AM$29:$AM$361,MATCH($O102,Scoring!$AS$29:$AS$361,0))))</f>
        <v>14</v>
      </c>
      <c r="D102" s="6" t="str">
        <f aca="false">IF($O102="","",INDEX(Scoring!$AK$29:$AK$361,MATCH($O102,Scoring!$AS$29:$AS$361,0)))</f>
        <v>Priority 3</v>
      </c>
      <c r="E102" s="7" t="str">
        <f aca="false">IF($O102="","",INDEX(Scoring!$AL$29:$AL$361,MATCH($O102,Scoring!$AS$29:$AS$361,0)))</f>
        <v>Lower price · lower volume</v>
      </c>
      <c r="F102" s="6" t="str">
        <f aca="false">IF($O102="","",INDEX(Scoring!$B$29:$B$361,MATCH($O102,Scoring!$AS$29:$AS$361,0)))</f>
        <v>Teicoplanin</v>
      </c>
      <c r="G102" s="7" t="str">
        <f aca="false">IF($O102="","",INDEX(Scoring!$AG$29:$AG$361,MATCH($O102,Scoring!$AS$29:$AS$361,0)))</f>
        <v>Cipla Teicoplanin</v>
      </c>
      <c r="H102" s="7" t="str">
        <f aca="false">IF($O102="","",INDEX(Scoring!$C$29:$C$361,MATCH($O102,Scoring!$AS$29:$AS$361,0)))</f>
        <v>Anti-infective: MRSA and serious Gram-positive infections</v>
      </c>
      <c r="I102" s="6" t="str">
        <f aca="false">IF($O102="","",INDEX(Scoring!$I$29:$I$361,MATCH($O102,Scoring!$AS$29:$AS$361,0)))</f>
        <v>Vial</v>
      </c>
      <c r="J102" s="7" t="str">
        <f aca="false">IF($O102="","",INDEX(Scoring!$Z$29:$Z$361,MATCH($O102,Scoring!$AS$29:$AS$361,0)))</f>
        <v>400 mg in 3 mL powder vial</v>
      </c>
      <c r="K102" s="8" t="n">
        <f aca="false">IF($O102="","",IF(INDEX(Scoring!$D$29:$D$361,MATCH($O102,Scoring!$AS$29:$AS$361,0))="",INDEX(Scoring!$AF$29:$AF$361,MATCH($O102,Scoring!$AS$29:$AS$361,0)),INDEX(Scoring!$D$29:$D$361,MATCH($O102,Scoring!$AS$29:$AS$361,0))))</f>
        <v>13.97</v>
      </c>
      <c r="L102" s="9" t="n">
        <f aca="false">IF($O102="","",INDEX(Scoring!$L$29:$L$361,MATCH($O102,Scoring!$AS$29:$AS$361,0)))</f>
        <v>106</v>
      </c>
      <c r="M102" s="9" t="n">
        <f aca="false">IF($O102="","",INDEX(Scoring!$N$29:$N$361,MATCH($O102,Scoring!$AS$29:$AS$361,0)))</f>
        <v>7074.72</v>
      </c>
      <c r="N102" s="7" t="str">
        <f aca="false">IF($O102="","",INDEX(Scoring!$AI$29:$AI$361,MATCH($O102,Scoring!$AS$29:$AS$361,0)))</f>
        <v>South Africa</v>
      </c>
      <c r="O102" s="10" t="n">
        <f aca="false">IFERROR(SMALL(Scoring!$AS$29:$AS$361,98),"")</f>
        <v>6014</v>
      </c>
    </row>
    <row r="103" customFormat="false" ht="28.35" hidden="false" customHeight="false" outlineLevel="0" collapsed="false">
      <c r="A103" s="5" t="n">
        <f aca="false">IF($O103="","",INT($O103/1000))</f>
        <v>6</v>
      </c>
      <c r="B103" s="6" t="str">
        <f aca="false">IF($O103="","",INDEX(Scoring!$A$29:$A$361,MATCH($O103,Scoring!$AS$29:$AS$361,0)))</f>
        <v>Cipla</v>
      </c>
      <c r="C103" s="5" t="str">
        <f aca="false">IF($O103="","",IF(INDEX(Scoring!$AM$29:$AM$361,MATCH($O103,Scoring!$AS$29:$AS$361,0))="","–",INDEX(Scoring!$AM$29:$AM$361,MATCH($O103,Scoring!$AS$29:$AS$361,0))))</f>
        <v>–</v>
      </c>
      <c r="D103" s="6" t="str">
        <f aca="false">IF($O103="","",INDEX(Scoring!$AK$29:$AK$361,MATCH($O103,Scoring!$AS$29:$AS$361,0)))</f>
        <v>Excluded – price ≤ $5</v>
      </c>
      <c r="E103" s="7" t="str">
        <f aca="false">IF($O103="","",INDEX(Scoring!$AL$29:$AL$361,MATCH($O103,Scoring!$AS$29:$AS$361,0)))</f>
        <v/>
      </c>
      <c r="F103" s="6" t="str">
        <f aca="false">IF($O103="","",INDEX(Scoring!$B$29:$B$361,MATCH($O103,Scoring!$AS$29:$AS$361,0)))</f>
        <v>Phenylephrine</v>
      </c>
      <c r="G103" s="7" t="str">
        <f aca="false">IF($O103="","",INDEX(Scoring!$AG$29:$AG$361,MATCH($O103,Scoring!$AS$29:$AS$361,0)))</f>
        <v>Phenylephrine Cipla</v>
      </c>
      <c r="H103" s="7" t="str">
        <f aca="false">IF($O103="","",INDEX(Scoring!$C$29:$C$361,MATCH($O103,Scoring!$AS$29:$AS$361,0)))</f>
        <v>Anaesthesia: low blood pressure during anaesthesia</v>
      </c>
      <c r="I103" s="6" t="str">
        <f aca="false">IF($O103="","",INDEX(Scoring!$I$29:$I$361,MATCH($O103,Scoring!$AS$29:$AS$361,0)))</f>
        <v>Vial</v>
      </c>
      <c r="J103" s="7" t="str">
        <f aca="false">IF($O103="","",INDEX(Scoring!$Z$29:$Z$361,MATCH($O103,Scoring!$AS$29:$AS$361,0)))</f>
        <v>10 mg/1 mL vial</v>
      </c>
      <c r="K103" s="8" t="n">
        <f aca="false">IF($O103="","",IF(INDEX(Scoring!$D$29:$D$361,MATCH($O103,Scoring!$AS$29:$AS$361,0))="",INDEX(Scoring!$AF$29:$AF$361,MATCH($O103,Scoring!$AS$29:$AS$361,0)),INDEX(Scoring!$D$29:$D$361,MATCH($O103,Scoring!$AS$29:$AS$361,0))))</f>
        <v>1</v>
      </c>
      <c r="L103" s="9" t="n">
        <f aca="false">IF($O103="","",INDEX(Scoring!$L$29:$L$361,MATCH($O103,Scoring!$AS$29:$AS$361,0)))</f>
        <v>1963</v>
      </c>
      <c r="M103" s="9" t="n">
        <f aca="false">IF($O103="","",INDEX(Scoring!$N$29:$N$361,MATCH($O103,Scoring!$AS$29:$AS$361,0)))</f>
        <v>49365.77</v>
      </c>
      <c r="N103" s="7" t="str">
        <f aca="false">IF($O103="","",INDEX(Scoring!$AI$29:$AI$361,MATCH($O103,Scoring!$AS$29:$AS$361,0)))</f>
        <v>Australia</v>
      </c>
      <c r="O103" s="10" t="n">
        <f aca="false">IFERROR(SMALL(Scoring!$AS$29:$AS$361,99),"")</f>
        <v>6901</v>
      </c>
    </row>
    <row r="104" customFormat="false" ht="28.35" hidden="false" customHeight="false" outlineLevel="0" collapsed="false">
      <c r="A104" s="5" t="n">
        <f aca="false">IF($O104="","",INT($O104/1000))</f>
        <v>7</v>
      </c>
      <c r="B104" s="6" t="str">
        <f aca="false">IF($O104="","",INDEX(Scoring!$A$29:$A$361,MATCH($O104,Scoring!$AS$29:$AS$361,0)))</f>
        <v>Zydus</v>
      </c>
      <c r="C104" s="5" t="n">
        <f aca="false">IF($O104="","",IF(INDEX(Scoring!$AM$29:$AM$361,MATCH($O104,Scoring!$AS$29:$AS$361,0))="","–",INDEX(Scoring!$AM$29:$AM$361,MATCH($O104,Scoring!$AS$29:$AS$361,0))))</f>
        <v>1</v>
      </c>
      <c r="D104" s="6" t="str">
        <f aca="false">IF($O104="","",INDEX(Scoring!$AK$29:$AK$361,MATCH($O104,Scoring!$AS$29:$AS$361,0)))</f>
        <v>Priority 1</v>
      </c>
      <c r="E104" s="7" t="str">
        <f aca="false">IF($O104="","",INDEX(Scoring!$AL$29:$AL$361,MATCH($O104,Scoring!$AS$29:$AS$361,0)))</f>
        <v>High price · high volume</v>
      </c>
      <c r="F104" s="6" t="str">
        <f aca="false">IF($O104="","",INDEX(Scoring!$B$29:$B$361,MATCH($O104,Scoring!$AS$29:$AS$361,0)))</f>
        <v>Bortezomib</v>
      </c>
      <c r="G104" s="7" t="str">
        <f aca="false">IF($O104="","",INDEX(Scoring!$AG$29:$AG$361,MATCH($O104,Scoring!$AS$29:$AS$361,0)))</f>
        <v>Bortezomib; Bortezomib Combix; Zymib</v>
      </c>
      <c r="H104" s="7" t="str">
        <f aca="false">IF($O104="","",INDEX(Scoring!$C$29:$C$361,MATCH($O104,Scoring!$AS$29:$AS$361,0)))</f>
        <v>Oncology: multiple myeloma, mantle cell lymphoma</v>
      </c>
      <c r="I104" s="6" t="str">
        <f aca="false">IF($O104="","",INDEX(Scoring!$I$29:$I$361,MATCH($O104,Scoring!$AS$29:$AS$361,0)))</f>
        <v>Vial</v>
      </c>
      <c r="J104" s="7" t="str">
        <f aca="false">IF($O104="","",INDEX(Scoring!$Z$29:$Z$361,MATCH($O104,Scoring!$AS$29:$AS$361,0)))</f>
        <v>3.5 mg powder vial; 3.5 mg in 10 mL powder vial</v>
      </c>
      <c r="K104" s="8" t="n">
        <f aca="false">IF($O104="","",IF(INDEX(Scoring!$D$29:$D$361,MATCH($O104,Scoring!$AS$29:$AS$361,0))="",INDEX(Scoring!$AF$29:$AF$361,MATCH($O104,Scoring!$AS$29:$AS$361,0)),INDEX(Scoring!$D$29:$D$361,MATCH($O104,Scoring!$AS$29:$AS$361,0))))</f>
        <v>618.92</v>
      </c>
      <c r="L104" s="9" t="n">
        <f aca="false">IF($O104="","",INDEX(Scoring!$L$29:$L$361,MATCH($O104,Scoring!$AS$29:$AS$361,0)))</f>
        <v>905</v>
      </c>
      <c r="M104" s="9" t="n">
        <f aca="false">IF($O104="","",INDEX(Scoring!$N$29:$N$361,MATCH($O104,Scoring!$AS$29:$AS$361,0)))</f>
        <v>28093.38</v>
      </c>
      <c r="N104" s="7" t="str">
        <f aca="false">IF($O104="","",INDEX(Scoring!$AI$29:$AI$361,MATCH($O104,Scoring!$AS$29:$AS$361,0)))</f>
        <v>US, UK, South Africa, UK-NI | EU/EEA (2): France, Spain</v>
      </c>
      <c r="O104" s="10" t="n">
        <f aca="false">IFERROR(SMALL(Scoring!$AS$29:$AS$361,100),"")</f>
        <v>7001</v>
      </c>
    </row>
    <row r="105" customFormat="false" ht="28.35" hidden="false" customHeight="false" outlineLevel="0" collapsed="false">
      <c r="A105" s="5" t="n">
        <f aca="false">IF($O105="","",INT($O105/1000))</f>
        <v>7</v>
      </c>
      <c r="B105" s="6" t="str">
        <f aca="false">IF($O105="","",INDEX(Scoring!$A$29:$A$361,MATCH($O105,Scoring!$AS$29:$AS$361,0)))</f>
        <v>Zydus</v>
      </c>
      <c r="C105" s="5" t="n">
        <f aca="false">IF($O105="","",IF(INDEX(Scoring!$AM$29:$AM$361,MATCH($O105,Scoring!$AS$29:$AS$361,0))="","–",INDEX(Scoring!$AM$29:$AM$361,MATCH($O105,Scoring!$AS$29:$AS$361,0))))</f>
        <v>2</v>
      </c>
      <c r="D105" s="6" t="str">
        <f aca="false">IF($O105="","",INDEX(Scoring!$AK$29:$AK$361,MATCH($O105,Scoring!$AS$29:$AS$361,0)))</f>
        <v>Priority 1</v>
      </c>
      <c r="E105" s="7" t="str">
        <f aca="false">IF($O105="","",INDEX(Scoring!$AL$29:$AL$361,MATCH($O105,Scoring!$AS$29:$AS$361,0)))</f>
        <v>High price · high volume</v>
      </c>
      <c r="F105" s="6" t="str">
        <f aca="false">IF($O105="","",INDEX(Scoring!$B$29:$B$361,MATCH($O105,Scoring!$AS$29:$AS$361,0)))</f>
        <v>Cyanocobalamin</v>
      </c>
      <c r="G105" s="7" t="str">
        <f aca="false">IF($O105="","",INDEX(Scoring!$AG$29:$AG$361,MATCH($O105,Scoring!$AS$29:$AS$361,0)))</f>
        <v>Cyanocobalamin</v>
      </c>
      <c r="H105" s="7" t="str">
        <f aca="false">IF($O105="","",INDEX(Scoring!$C$29:$C$361,MATCH($O105,Scoring!$AS$29:$AS$361,0)))</f>
        <v>Haematology: vitamin B12 deficiency, pernicious anaemia</v>
      </c>
      <c r="I105" s="6" t="str">
        <f aca="false">IF($O105="","",INDEX(Scoring!$I$29:$I$361,MATCH($O105,Scoring!$AS$29:$AS$361,0)))</f>
        <v>Vial</v>
      </c>
      <c r="J105" s="7" t="str">
        <f aca="false">IF($O105="","",INDEX(Scoring!$Z$29:$Z$361,MATCH($O105,Scoring!$AS$29:$AS$361,0)))</f>
        <v>1 mg/1 mL vial</v>
      </c>
      <c r="K105" s="8" t="n">
        <f aca="false">IF($O105="","",IF(INDEX(Scoring!$D$29:$D$361,MATCH($O105,Scoring!$AS$29:$AS$361,0))="",INDEX(Scoring!$AF$29:$AF$361,MATCH($O105,Scoring!$AS$29:$AS$361,0)),INDEX(Scoring!$D$29:$D$361,MATCH($O105,Scoring!$AS$29:$AS$361,0))))</f>
        <v>31.25</v>
      </c>
      <c r="L105" s="9" t="n">
        <f aca="false">IF($O105="","",INDEX(Scoring!$L$29:$L$361,MATCH($O105,Scoring!$AS$29:$AS$361,0)))</f>
        <v>445</v>
      </c>
      <c r="M105" s="9" t="n">
        <f aca="false">IF($O105="","",INDEX(Scoring!$N$29:$N$361,MATCH($O105,Scoring!$AS$29:$AS$361,0)))</f>
        <v>8796.85</v>
      </c>
      <c r="N105" s="7" t="str">
        <f aca="false">IF($O105="","",INDEX(Scoring!$AI$29:$AI$361,MATCH($O105,Scoring!$AS$29:$AS$361,0)))</f>
        <v>US</v>
      </c>
      <c r="O105" s="10" t="n">
        <f aca="false">IFERROR(SMALL(Scoring!$AS$29:$AS$361,101),"")</f>
        <v>7002</v>
      </c>
    </row>
    <row r="106" customFormat="false" ht="28.35" hidden="false" customHeight="false" outlineLevel="0" collapsed="false">
      <c r="A106" s="5" t="n">
        <f aca="false">IF($O106="","",INT($O106/1000))</f>
        <v>7</v>
      </c>
      <c r="B106" s="6" t="str">
        <f aca="false">IF($O106="","",INDEX(Scoring!$A$29:$A$361,MATCH($O106,Scoring!$AS$29:$AS$361,0)))</f>
        <v>Zydus</v>
      </c>
      <c r="C106" s="5" t="n">
        <f aca="false">IF($O106="","",IF(INDEX(Scoring!$AM$29:$AM$361,MATCH($O106,Scoring!$AS$29:$AS$361,0))="","–",INDEX(Scoring!$AM$29:$AM$361,MATCH($O106,Scoring!$AS$29:$AS$361,0))))</f>
        <v>3</v>
      </c>
      <c r="D106" s="6" t="str">
        <f aca="false">IF($O106="","",INDEX(Scoring!$AK$29:$AK$361,MATCH($O106,Scoring!$AS$29:$AS$361,0)))</f>
        <v>Priority 2</v>
      </c>
      <c r="E106" s="7" t="str">
        <f aca="false">IF($O106="","",INDEX(Scoring!$AL$29:$AL$361,MATCH($O106,Scoring!$AS$29:$AS$361,0)))</f>
        <v>Lower price · high volume</v>
      </c>
      <c r="F106" s="6" t="str">
        <f aca="false">IF($O106="","",INDEX(Scoring!$B$29:$B$361,MATCH($O106,Scoring!$AS$29:$AS$361,0)))</f>
        <v>Ceftriaxone</v>
      </c>
      <c r="G106" s="7" t="str">
        <f aca="false">IF($O106="","",INDEX(Scoring!$AG$29:$AG$361,MATCH($O106,Scoring!$AS$29:$AS$361,0)))</f>
        <v>Ceftriaxone Zydus</v>
      </c>
      <c r="H106" s="7" t="str">
        <f aca="false">IF($O106="","",INDEX(Scoring!$C$29:$C$361,MATCH($O106,Scoring!$AS$29:$AS$361,0)))</f>
        <v>Anti-infective: pneumonia, meningitis, sepsis, gonorrhoea, typhoid</v>
      </c>
      <c r="I106" s="6" t="str">
        <f aca="false">IF($O106="","",INDEX(Scoring!$I$29:$I$361,MATCH($O106,Scoring!$AS$29:$AS$361,0)))</f>
        <v>Vial</v>
      </c>
      <c r="J106" s="7" t="str">
        <f aca="false">IF($O106="","",INDEX(Scoring!$Z$29:$Z$361,MATCH($O106,Scoring!$AS$29:$AS$361,0)))</f>
        <v>1 g powder vial</v>
      </c>
      <c r="K106" s="8" t="n">
        <f aca="false">IF($O106="","",IF(INDEX(Scoring!$D$29:$D$361,MATCH($O106,Scoring!$AS$29:$AS$361,0))="",INDEX(Scoring!$AF$29:$AF$361,MATCH($O106,Scoring!$AS$29:$AS$361,0)),INDEX(Scoring!$D$29:$D$361,MATCH($O106,Scoring!$AS$29:$AS$361,0))))</f>
        <v>7.82</v>
      </c>
      <c r="L106" s="9" t="n">
        <f aca="false">IF($O106="","",INDEX(Scoring!$L$29:$L$361,MATCH($O106,Scoring!$AS$29:$AS$361,0)))</f>
        <v>3110</v>
      </c>
      <c r="M106" s="9" t="n">
        <f aca="false">IF($O106="","",INDEX(Scoring!$N$29:$N$361,MATCH($O106,Scoring!$AS$29:$AS$361,0)))</f>
        <v>93119.22</v>
      </c>
      <c r="N106" s="7" t="str">
        <f aca="false">IF($O106="","",INDEX(Scoring!$AI$29:$AI$361,MATCH($O106,Scoring!$AS$29:$AS$361,0)))</f>
        <v>EU/EEA (1): France</v>
      </c>
      <c r="O106" s="10" t="n">
        <f aca="false">IFERROR(SMALL(Scoring!$AS$29:$AS$361,102),"")</f>
        <v>7003</v>
      </c>
    </row>
    <row r="107" customFormat="false" ht="28.35" hidden="false" customHeight="false" outlineLevel="0" collapsed="false">
      <c r="A107" s="5" t="n">
        <f aca="false">IF($O107="","",INT($O107/1000))</f>
        <v>7</v>
      </c>
      <c r="B107" s="6" t="str">
        <f aca="false">IF($O107="","",INDEX(Scoring!$A$29:$A$361,MATCH($O107,Scoring!$AS$29:$AS$361,0)))</f>
        <v>Zydus</v>
      </c>
      <c r="C107" s="5" t="n">
        <f aca="false">IF($O107="","",IF(INDEX(Scoring!$AM$29:$AM$361,MATCH($O107,Scoring!$AS$29:$AS$361,0))="","–",INDEX(Scoring!$AM$29:$AM$361,MATCH($O107,Scoring!$AS$29:$AS$361,0))))</f>
        <v>4</v>
      </c>
      <c r="D107" s="6" t="str">
        <f aca="false">IF($O107="","",INDEX(Scoring!$AK$29:$AK$361,MATCH($O107,Scoring!$AS$29:$AS$361,0)))</f>
        <v>Priority 2</v>
      </c>
      <c r="E107" s="7" t="str">
        <f aca="false">IF($O107="","",INDEX(Scoring!$AL$29:$AL$361,MATCH($O107,Scoring!$AS$29:$AS$361,0)))</f>
        <v>Lower price · high volume</v>
      </c>
      <c r="F107" s="6" t="str">
        <f aca="false">IF($O107="","",INDEX(Scoring!$B$29:$B$361,MATCH($O107,Scoring!$AS$29:$AS$361,0)))</f>
        <v>Ondansetron</v>
      </c>
      <c r="G107" s="7" t="str">
        <f aca="false">IF($O107="","",INDEX(Scoring!$AG$29:$AG$361,MATCH($O107,Scoring!$AS$29:$AS$361,0)))</f>
        <v>Zydus-Ondansetron</v>
      </c>
      <c r="H107" s="7" t="str">
        <f aca="false">IF($O107="","",INDEX(Scoring!$C$29:$C$361,MATCH($O107,Scoring!$AS$29:$AS$361,0)))</f>
        <v>Oncology support: nausea and vomiting from chemotherapy and surgery</v>
      </c>
      <c r="I107" s="6" t="str">
        <f aca="false">IF($O107="","",INDEX(Scoring!$I$29:$I$361,MATCH($O107,Scoring!$AS$29:$AS$361,0)))</f>
        <v>Vial</v>
      </c>
      <c r="J107" s="7" t="str">
        <f aca="false">IF($O107="","",INDEX(Scoring!$Z$29:$Z$361,MATCH($O107,Scoring!$AS$29:$AS$361,0)))</f>
        <v>8 mg vial</v>
      </c>
      <c r="K107" s="8" t="n">
        <f aca="false">IF($O107="","",IF(INDEX(Scoring!$D$29:$D$361,MATCH($O107,Scoring!$AS$29:$AS$361,0))="",INDEX(Scoring!$AF$29:$AF$361,MATCH($O107,Scoring!$AS$29:$AS$361,0)),INDEX(Scoring!$D$29:$D$361,MATCH($O107,Scoring!$AS$29:$AS$361,0))))</f>
        <v>6.29</v>
      </c>
      <c r="L107" s="9" t="n">
        <f aca="false">IF($O107="","",INDEX(Scoring!$L$29:$L$361,MATCH($O107,Scoring!$AS$29:$AS$361,0)))</f>
        <v>2546</v>
      </c>
      <c r="M107" s="9" t="n">
        <f aca="false">IF($O107="","",INDEX(Scoring!$N$29:$N$361,MATCH($O107,Scoring!$AS$29:$AS$361,0)))</f>
        <v>46507.62</v>
      </c>
      <c r="N107" s="7" t="str">
        <f aca="false">IF($O107="","",INDEX(Scoring!$AI$29:$AI$361,MATCH($O107,Scoring!$AS$29:$AS$361,0)))</f>
        <v>South Africa</v>
      </c>
      <c r="O107" s="10" t="n">
        <f aca="false">IFERROR(SMALL(Scoring!$AS$29:$AS$361,103),"")</f>
        <v>7004</v>
      </c>
    </row>
    <row r="108" customFormat="false" ht="28.35" hidden="false" customHeight="false" outlineLevel="0" collapsed="false">
      <c r="A108" s="5" t="n">
        <f aca="false">IF($O108="","",INT($O108/1000))</f>
        <v>7</v>
      </c>
      <c r="B108" s="6" t="str">
        <f aca="false">IF($O108="","",INDEX(Scoring!$A$29:$A$361,MATCH($O108,Scoring!$AS$29:$AS$361,0)))</f>
        <v>Zydus</v>
      </c>
      <c r="C108" s="5" t="n">
        <f aca="false">IF($O108="","",IF(INDEX(Scoring!$AM$29:$AM$361,MATCH($O108,Scoring!$AS$29:$AS$361,0))="","–",INDEX(Scoring!$AM$29:$AM$361,MATCH($O108,Scoring!$AS$29:$AS$361,0))))</f>
        <v>5</v>
      </c>
      <c r="D108" s="6" t="str">
        <f aca="false">IF($O108="","",INDEX(Scoring!$AK$29:$AK$361,MATCH($O108,Scoring!$AS$29:$AS$361,0)))</f>
        <v>Priority 2</v>
      </c>
      <c r="E108" s="7" t="str">
        <f aca="false">IF($O108="","",INDEX(Scoring!$AL$29:$AL$361,MATCH($O108,Scoring!$AS$29:$AS$361,0)))</f>
        <v>Lower price · high volume</v>
      </c>
      <c r="F108" s="6" t="str">
        <f aca="false">IF($O108="","",INDEX(Scoring!$B$29:$B$361,MATCH($O108,Scoring!$AS$29:$AS$361,0)))</f>
        <v>Hydrocortisone</v>
      </c>
      <c r="G108" s="7" t="str">
        <f aca="false">IF($O108="","",INDEX(Scoring!$AG$29:$AG$361,MATCH($O108,Scoring!$AS$29:$AS$361,0)))</f>
        <v>Hydrocortisone Sodium Succinate</v>
      </c>
      <c r="H108" s="7" t="str">
        <f aca="false">IF($O108="","",INDEX(Scoring!$C$29:$C$361,MATCH($O108,Scoring!$AS$29:$AS$361,0)))</f>
        <v>Endocrinology and critical care: adrenal crisis, anaphylaxis, severe asthma, shock</v>
      </c>
      <c r="I108" s="6" t="str">
        <f aca="false">IF($O108="","",INDEX(Scoring!$I$29:$I$361,MATCH($O108,Scoring!$AS$29:$AS$361,0)))</f>
        <v>Vial</v>
      </c>
      <c r="J108" s="7" t="str">
        <f aca="false">IF($O108="","",INDEX(Scoring!$Z$29:$Z$361,MATCH($O108,Scoring!$AS$29:$AS$361,0)))</f>
        <v>100 mg/2 mL vial</v>
      </c>
      <c r="K108" s="8" t="n">
        <f aca="false">IF($O108="","",IF(INDEX(Scoring!$D$29:$D$361,MATCH($O108,Scoring!$AS$29:$AS$361,0))="",INDEX(Scoring!$AF$29:$AF$361,MATCH($O108,Scoring!$AS$29:$AS$361,0)),INDEX(Scoring!$D$29:$D$361,MATCH($O108,Scoring!$AS$29:$AS$361,0))))</f>
        <v>23.15</v>
      </c>
      <c r="L108" s="9" t="n">
        <f aca="false">IF($O108="","",INDEX(Scoring!$L$29:$L$361,MATCH($O108,Scoring!$AS$29:$AS$361,0)))</f>
        <v>2582</v>
      </c>
      <c r="M108" s="9" t="n">
        <f aca="false">IF($O108="","",INDEX(Scoring!$N$29:$N$361,MATCH($O108,Scoring!$AS$29:$AS$361,0)))</f>
        <v>38106.07</v>
      </c>
      <c r="N108" s="7" t="str">
        <f aca="false">IF($O108="","",INDEX(Scoring!$AI$29:$AI$361,MATCH($O108,Scoring!$AS$29:$AS$361,0)))</f>
        <v>US</v>
      </c>
      <c r="O108" s="10" t="n">
        <f aca="false">IFERROR(SMALL(Scoring!$AS$29:$AS$361,104),"")</f>
        <v>7005</v>
      </c>
    </row>
    <row r="109" customFormat="false" ht="28.35" hidden="false" customHeight="false" outlineLevel="0" collapsed="false">
      <c r="A109" s="5" t="n">
        <f aca="false">IF($O109="","",INT($O109/1000))</f>
        <v>7</v>
      </c>
      <c r="B109" s="6" t="str">
        <f aca="false">IF($O109="","",INDEX(Scoring!$A$29:$A$361,MATCH($O109,Scoring!$AS$29:$AS$361,0)))</f>
        <v>Zydus</v>
      </c>
      <c r="C109" s="5" t="n">
        <f aca="false">IF($O109="","",IF(INDEX(Scoring!$AM$29:$AM$361,MATCH($O109,Scoring!$AS$29:$AS$361,0))="","–",INDEX(Scoring!$AM$29:$AM$361,MATCH($O109,Scoring!$AS$29:$AS$361,0))))</f>
        <v>6</v>
      </c>
      <c r="D109" s="6" t="str">
        <f aca="false">IF($O109="","",INDEX(Scoring!$AK$29:$AK$361,MATCH($O109,Scoring!$AS$29:$AS$361,0)))</f>
        <v>Priority 2</v>
      </c>
      <c r="E109" s="7" t="str">
        <f aca="false">IF($O109="","",INDEX(Scoring!$AL$29:$AL$361,MATCH($O109,Scoring!$AS$29:$AS$361,0)))</f>
        <v>High price · lower volume</v>
      </c>
      <c r="F109" s="6" t="str">
        <f aca="false">IF($O109="","",INDEX(Scoring!$B$29:$B$361,MATCH($O109,Scoring!$AS$29:$AS$361,0)))</f>
        <v>Fulvestrant</v>
      </c>
      <c r="G109" s="7" t="str">
        <f aca="false">IF($O109="","",INDEX(Scoring!$AG$29:$AG$361,MATCH($O109,Scoring!$AS$29:$AS$361,0)))</f>
        <v>Fulvestrant</v>
      </c>
      <c r="H109" s="7" t="str">
        <f aca="false">IF($O109="","",INDEX(Scoring!$C$29:$C$361,MATCH($O109,Scoring!$AS$29:$AS$361,0)))</f>
        <v>Oncology: hormone receptor-positive advanced breast cancer</v>
      </c>
      <c r="I109" s="6" t="str">
        <f aca="false">IF($O109="","",INDEX(Scoring!$I$29:$I$361,MATCH($O109,Scoring!$AS$29:$AS$361,0)))</f>
        <v>Prefilled syringe</v>
      </c>
      <c r="J109" s="7" t="str">
        <f aca="false">IF($O109="","",INDEX(Scoring!$Z$29:$Z$361,MATCH($O109,Scoring!$AS$29:$AS$361,0)))</f>
        <v>250 mg/5 mL pre-filled syringe</v>
      </c>
      <c r="K109" s="8" t="n">
        <f aca="false">IF($O109="","",IF(INDEX(Scoring!$D$29:$D$361,MATCH($O109,Scoring!$AS$29:$AS$361,0))="",INDEX(Scoring!$AF$29:$AF$361,MATCH($O109,Scoring!$AS$29:$AS$361,0)),INDEX(Scoring!$D$29:$D$361,MATCH($O109,Scoring!$AS$29:$AS$361,0))))</f>
        <v>29.97</v>
      </c>
      <c r="L109" s="9" t="n">
        <f aca="false">IF($O109="","",INDEX(Scoring!$L$29:$L$361,MATCH($O109,Scoring!$AS$29:$AS$361,0)))</f>
        <v>146</v>
      </c>
      <c r="M109" s="9" t="n">
        <f aca="false">IF($O109="","",INDEX(Scoring!$N$29:$N$361,MATCH($O109,Scoring!$AS$29:$AS$361,0)))</f>
        <v>11366.06</v>
      </c>
      <c r="N109" s="7" t="str">
        <f aca="false">IF($O109="","",INDEX(Scoring!$AI$29:$AI$361,MATCH($O109,Scoring!$AS$29:$AS$361,0)))</f>
        <v>US</v>
      </c>
      <c r="O109" s="10" t="n">
        <f aca="false">IFERROR(SMALL(Scoring!$AS$29:$AS$361,105),"")</f>
        <v>7006</v>
      </c>
    </row>
    <row r="110" customFormat="false" ht="28.35" hidden="false" customHeight="false" outlineLevel="0" collapsed="false">
      <c r="A110" s="5" t="n">
        <f aca="false">IF($O110="","",INT($O110/1000))</f>
        <v>7</v>
      </c>
      <c r="B110" s="6" t="str">
        <f aca="false">IF($O110="","",INDEX(Scoring!$A$29:$A$361,MATCH($O110,Scoring!$AS$29:$AS$361,0)))</f>
        <v>Zydus</v>
      </c>
      <c r="C110" s="5" t="n">
        <f aca="false">IF($O110="","",IF(INDEX(Scoring!$AM$29:$AM$361,MATCH($O110,Scoring!$AS$29:$AS$361,0))="","–",INDEX(Scoring!$AM$29:$AM$361,MATCH($O110,Scoring!$AS$29:$AS$361,0))))</f>
        <v>7</v>
      </c>
      <c r="D110" s="6" t="str">
        <f aca="false">IF($O110="","",INDEX(Scoring!$AK$29:$AK$361,MATCH($O110,Scoring!$AS$29:$AS$361,0)))</f>
        <v>Priority 2</v>
      </c>
      <c r="E110" s="7" t="str">
        <f aca="false">IF($O110="","",INDEX(Scoring!$AL$29:$AL$361,MATCH($O110,Scoring!$AS$29:$AS$361,0)))</f>
        <v>Lower price · high volume</v>
      </c>
      <c r="F110" s="6" t="str">
        <f aca="false">IF($O110="","",INDEX(Scoring!$B$29:$B$361,MATCH($O110,Scoring!$AS$29:$AS$361,0)))</f>
        <v>Acetazolamide</v>
      </c>
      <c r="G110" s="7" t="str">
        <f aca="false">IF($O110="","",INDEX(Scoring!$AG$29:$AG$361,MATCH($O110,Scoring!$AS$29:$AS$361,0)))</f>
        <v>Acetazolamide Sodium</v>
      </c>
      <c r="H110" s="7" t="str">
        <f aca="false">IF($O110="","",INDEX(Scoring!$C$29:$C$361,MATCH($O110,Scoring!$AS$29:$AS$361,0)))</f>
        <v>Ophthalmology: acute angle-closure glaucoma, raised eye pressure, oedema</v>
      </c>
      <c r="I110" s="6" t="str">
        <f aca="false">IF($O110="","",INDEX(Scoring!$I$29:$I$361,MATCH($O110,Scoring!$AS$29:$AS$361,0)))</f>
        <v>Not stated</v>
      </c>
      <c r="J110" s="7" t="str">
        <f aca="false">IF($O110="","",INDEX(Scoring!$Z$29:$Z$361,MATCH($O110,Scoring!$AS$29:$AS$361,0)))</f>
        <v>500 mg (container not stated)</v>
      </c>
      <c r="K110" s="8" t="n">
        <f aca="false">IF($O110="","",IF(INDEX(Scoring!$D$29:$D$361,MATCH($O110,Scoring!$AS$29:$AS$361,0))="",INDEX(Scoring!$AF$29:$AF$361,MATCH($O110,Scoring!$AS$29:$AS$361,0)),INDEX(Scoring!$D$29:$D$361,MATCH($O110,Scoring!$AS$29:$AS$361,0))))</f>
        <v>24.95</v>
      </c>
      <c r="L110" s="9" t="n">
        <f aca="false">IF($O110="","",INDEX(Scoring!$L$29:$L$361,MATCH($O110,Scoring!$AS$29:$AS$361,0)))</f>
        <v>310</v>
      </c>
      <c r="M110" s="9" t="n">
        <f aca="false">IF($O110="","",INDEX(Scoring!$N$29:$N$361,MATCH($O110,Scoring!$AS$29:$AS$361,0)))</f>
        <v>8995.42</v>
      </c>
      <c r="N110" s="7" t="str">
        <f aca="false">IF($O110="","",INDEX(Scoring!$AI$29:$AI$361,MATCH($O110,Scoring!$AS$29:$AS$361,0)))</f>
        <v>US</v>
      </c>
      <c r="O110" s="10" t="n">
        <f aca="false">IFERROR(SMALL(Scoring!$AS$29:$AS$361,106),"")</f>
        <v>7007</v>
      </c>
    </row>
    <row r="111" customFormat="false" ht="28.35" hidden="false" customHeight="false" outlineLevel="0" collapsed="false">
      <c r="A111" s="5" t="n">
        <f aca="false">IF($O111="","",INT($O111/1000))</f>
        <v>7</v>
      </c>
      <c r="B111" s="6" t="str">
        <f aca="false">IF($O111="","",INDEX(Scoring!$A$29:$A$361,MATCH($O111,Scoring!$AS$29:$AS$361,0)))</f>
        <v>Zydus</v>
      </c>
      <c r="C111" s="5" t="n">
        <f aca="false">IF($O111="","",IF(INDEX(Scoring!$AM$29:$AM$361,MATCH($O111,Scoring!$AS$29:$AS$361,0))="","–",INDEX(Scoring!$AM$29:$AM$361,MATCH($O111,Scoring!$AS$29:$AS$361,0))))</f>
        <v>8</v>
      </c>
      <c r="D111" s="6" t="str">
        <f aca="false">IF($O111="","",INDEX(Scoring!$AK$29:$AK$361,MATCH($O111,Scoring!$AS$29:$AS$361,0)))</f>
        <v>Priority 2</v>
      </c>
      <c r="E111" s="7" t="str">
        <f aca="false">IF($O111="","",INDEX(Scoring!$AL$29:$AL$361,MATCH($O111,Scoring!$AS$29:$AS$361,0)))</f>
        <v>Lower price · high volume</v>
      </c>
      <c r="F111" s="6" t="str">
        <f aca="false">IF($O111="","",INDEX(Scoring!$B$29:$B$361,MATCH($O111,Scoring!$AS$29:$AS$361,0)))</f>
        <v>Chlorpromazine</v>
      </c>
      <c r="G111" s="7" t="str">
        <f aca="false">IF($O111="","",INDEX(Scoring!$AG$29:$AG$361,MATCH($O111,Scoring!$AS$29:$AS$361,0)))</f>
        <v>Chlorpromazine Hydrochloride</v>
      </c>
      <c r="H111" s="7" t="str">
        <f aca="false">IF($O111="","",INDEX(Scoring!$C$29:$C$361,MATCH($O111,Scoring!$AS$29:$AS$361,0)))</f>
        <v>Psychiatry: acute psychosis and agitation, severe nausea and vomiting</v>
      </c>
      <c r="I111" s="6" t="str">
        <f aca="false">IF($O111="","",INDEX(Scoring!$I$29:$I$361,MATCH($O111,Scoring!$AS$29:$AS$361,0)))</f>
        <v>Vial</v>
      </c>
      <c r="J111" s="7" t="str">
        <f aca="false">IF($O111="","",INDEX(Scoring!$Z$29:$Z$361,MATCH($O111,Scoring!$AS$29:$AS$361,0)))</f>
        <v>25 mg/1 mL vial</v>
      </c>
      <c r="K111" s="8" t="n">
        <f aca="false">IF($O111="","",IF(INDEX(Scoring!$D$29:$D$361,MATCH($O111,Scoring!$AS$29:$AS$361,0))="",INDEX(Scoring!$AF$29:$AF$361,MATCH($O111,Scoring!$AS$29:$AS$361,0)),INDEX(Scoring!$D$29:$D$361,MATCH($O111,Scoring!$AS$29:$AS$361,0))))</f>
        <v>14.96</v>
      </c>
      <c r="L111" s="9" t="n">
        <f aca="false">IF($O111="","",INDEX(Scoring!$L$29:$L$361,MATCH($O111,Scoring!$AS$29:$AS$361,0)))</f>
        <v>472</v>
      </c>
      <c r="M111" s="9" t="n">
        <f aca="false">IF($O111="","",INDEX(Scoring!$N$29:$N$361,MATCH($O111,Scoring!$AS$29:$AS$361,0)))</f>
        <v>7831.08</v>
      </c>
      <c r="N111" s="7" t="str">
        <f aca="false">IF($O111="","",INDEX(Scoring!$AI$29:$AI$361,MATCH($O111,Scoring!$AS$29:$AS$361,0)))</f>
        <v>US</v>
      </c>
      <c r="O111" s="10" t="n">
        <f aca="false">IFERROR(SMALL(Scoring!$AS$29:$AS$361,107),"")</f>
        <v>7008</v>
      </c>
    </row>
    <row r="112" customFormat="false" ht="28.35" hidden="false" customHeight="false" outlineLevel="0" collapsed="false">
      <c r="A112" s="5" t="n">
        <f aca="false">IF($O112="","",INT($O112/1000))</f>
        <v>7</v>
      </c>
      <c r="B112" s="6" t="str">
        <f aca="false">IF($O112="","",INDEX(Scoring!$A$29:$A$361,MATCH($O112,Scoring!$AS$29:$AS$361,0)))</f>
        <v>Zydus</v>
      </c>
      <c r="C112" s="5" t="n">
        <f aca="false">IF($O112="","",IF(INDEX(Scoring!$AM$29:$AM$361,MATCH($O112,Scoring!$AS$29:$AS$361,0))="","–",INDEX(Scoring!$AM$29:$AM$361,MATCH($O112,Scoring!$AS$29:$AS$361,0))))</f>
        <v>9</v>
      </c>
      <c r="D112" s="6" t="str">
        <f aca="false">IF($O112="","",INDEX(Scoring!$AK$29:$AK$361,MATCH($O112,Scoring!$AS$29:$AS$361,0)))</f>
        <v>Priority 2</v>
      </c>
      <c r="E112" s="7" t="str">
        <f aca="false">IF($O112="","",INDEX(Scoring!$AL$29:$AL$361,MATCH($O112,Scoring!$AS$29:$AS$361,0)))</f>
        <v>Lower price · high volume</v>
      </c>
      <c r="F112" s="6" t="str">
        <f aca="false">IF($O112="","",INDEX(Scoring!$B$29:$B$361,MATCH($O112,Scoring!$AS$29:$AS$361,0)))</f>
        <v>Succinylcholine (Suxamethonium)</v>
      </c>
      <c r="G112" s="7" t="str">
        <f aca="false">IF($O112="","",INDEX(Scoring!$AG$29:$AG$361,MATCH($O112,Scoring!$AS$29:$AS$361,0)))</f>
        <v>Succinylcholine Chloride</v>
      </c>
      <c r="H112" s="7" t="str">
        <f aca="false">IF($O112="","",INDEX(Scoring!$C$29:$C$361,MATCH($O112,Scoring!$AS$29:$AS$361,0)))</f>
        <v>Anaesthesia: muscle relaxant for rapid intubation</v>
      </c>
      <c r="I112" s="6" t="str">
        <f aca="false">IF($O112="","",INDEX(Scoring!$I$29:$I$361,MATCH($O112,Scoring!$AS$29:$AS$361,0)))</f>
        <v>Vial</v>
      </c>
      <c r="J112" s="7" t="str">
        <f aca="false">IF($O112="","",INDEX(Scoring!$Z$29:$Z$361,MATCH($O112,Scoring!$AS$29:$AS$361,0)))</f>
        <v>200 mg/10 mL vial</v>
      </c>
      <c r="K112" s="8" t="n">
        <f aca="false">IF($O112="","",IF(INDEX(Scoring!$D$29:$D$361,MATCH($O112,Scoring!$AS$29:$AS$361,0))="",INDEX(Scoring!$AF$29:$AF$361,MATCH($O112,Scoring!$AS$29:$AS$361,0)),INDEX(Scoring!$D$29:$D$361,MATCH($O112,Scoring!$AS$29:$AS$361,0))))</f>
        <v>5.03</v>
      </c>
      <c r="L112" s="9" t="n">
        <f aca="false">IF($O112="","",INDEX(Scoring!$L$29:$L$361,MATCH($O112,Scoring!$AS$29:$AS$361,0)))</f>
        <v>286</v>
      </c>
      <c r="M112" s="9" t="n">
        <f aca="false">IF($O112="","",INDEX(Scoring!$N$29:$N$361,MATCH($O112,Scoring!$AS$29:$AS$361,0)))</f>
        <v>3067.39</v>
      </c>
      <c r="N112" s="7" t="str">
        <f aca="false">IF($O112="","",INDEX(Scoring!$AI$29:$AI$361,MATCH($O112,Scoring!$AS$29:$AS$361,0)))</f>
        <v>US</v>
      </c>
      <c r="O112" s="10" t="n">
        <f aca="false">IFERROR(SMALL(Scoring!$AS$29:$AS$361,108),"")</f>
        <v>7009</v>
      </c>
    </row>
    <row r="113" customFormat="false" ht="41.75" hidden="false" customHeight="false" outlineLevel="0" collapsed="false">
      <c r="A113" s="5" t="n">
        <f aca="false">IF($O113="","",INT($O113/1000))</f>
        <v>7</v>
      </c>
      <c r="B113" s="6" t="str">
        <f aca="false">IF($O113="","",INDEX(Scoring!$A$29:$A$361,MATCH($O113,Scoring!$AS$29:$AS$361,0)))</f>
        <v>Zydus</v>
      </c>
      <c r="C113" s="5" t="n">
        <f aca="false">IF($O113="","",IF(INDEX(Scoring!$AM$29:$AM$361,MATCH($O113,Scoring!$AS$29:$AS$361,0))="","–",INDEX(Scoring!$AM$29:$AM$361,MATCH($O113,Scoring!$AS$29:$AS$361,0))))</f>
        <v>10</v>
      </c>
      <c r="D113" s="6" t="str">
        <f aca="false">IF($O113="","",INDEX(Scoring!$AK$29:$AK$361,MATCH($O113,Scoring!$AS$29:$AS$361,0)))</f>
        <v>Priority 2</v>
      </c>
      <c r="E113" s="7" t="str">
        <f aca="false">IF($O113="","",INDEX(Scoring!$AL$29:$AL$361,MATCH($O113,Scoring!$AS$29:$AS$361,0)))</f>
        <v>High price · lower volume</v>
      </c>
      <c r="F113" s="6" t="str">
        <f aca="false">IF($O113="","",INDEX(Scoring!$B$29:$B$361,MATCH($O113,Scoring!$AS$29:$AS$361,0)))</f>
        <v>Indocyanine Green</v>
      </c>
      <c r="G113" s="7" t="str">
        <f aca="false">IF($O113="","",INDEX(Scoring!$AG$29:$AG$361,MATCH($O113,Scoring!$AS$29:$AS$361,0)))</f>
        <v>Indocyanine Green</v>
      </c>
      <c r="H113" s="7" t="str">
        <f aca="false">IF($O113="","",INDEX(Scoring!$C$29:$C$361,MATCH($O113,Scoring!$AS$29:$AS$361,0)))</f>
        <v>Diagnostics: lymph node mapping in cancer surgery, cardiac output, liver function, eye imaging</v>
      </c>
      <c r="I113" s="6" t="str">
        <f aca="false">IF($O113="","",INDEX(Scoring!$I$29:$I$361,MATCH($O113,Scoring!$AS$29:$AS$361,0)))</f>
        <v>Not stated</v>
      </c>
      <c r="J113" s="7" t="str">
        <f aca="false">IF($O113="","",INDEX(Scoring!$Z$29:$Z$361,MATCH($O113,Scoring!$AS$29:$AS$361,0)))</f>
        <v>25 mg (container not stated)</v>
      </c>
      <c r="K113" s="8" t="n">
        <f aca="false">IF($O113="","",IF(INDEX(Scoring!$D$29:$D$361,MATCH($O113,Scoring!$AS$29:$AS$361,0))="",INDEX(Scoring!$AF$29:$AF$361,MATCH($O113,Scoring!$AS$29:$AS$361,0)),INDEX(Scoring!$D$29:$D$361,MATCH($O113,Scoring!$AS$29:$AS$361,0))))</f>
        <v>179.58</v>
      </c>
      <c r="L113" s="9" t="n">
        <f aca="false">IF($O113="","",INDEX(Scoring!$L$29:$L$361,MATCH($O113,Scoring!$AS$29:$AS$361,0)))</f>
        <v>48</v>
      </c>
      <c r="M113" s="9" t="n">
        <f aca="false">IF($O113="","",INDEX(Scoring!$N$29:$N$361,MATCH($O113,Scoring!$AS$29:$AS$361,0)))</f>
        <v>304.87</v>
      </c>
      <c r="N113" s="7" t="str">
        <f aca="false">IF($O113="","",INDEX(Scoring!$AI$29:$AI$361,MATCH($O113,Scoring!$AS$29:$AS$361,0)))</f>
        <v>US</v>
      </c>
      <c r="O113" s="10" t="n">
        <f aca="false">IFERROR(SMALL(Scoring!$AS$29:$AS$361,109),"")</f>
        <v>7010</v>
      </c>
    </row>
    <row r="114" customFormat="false" ht="28.35" hidden="false" customHeight="false" outlineLevel="0" collapsed="false">
      <c r="A114" s="5" t="n">
        <f aca="false">IF($O114="","",INT($O114/1000))</f>
        <v>7</v>
      </c>
      <c r="B114" s="6" t="str">
        <f aca="false">IF($O114="","",INDEX(Scoring!$A$29:$A$361,MATCH($O114,Scoring!$AS$29:$AS$361,0)))</f>
        <v>Zydus</v>
      </c>
      <c r="C114" s="5" t="n">
        <f aca="false">IF($O114="","",IF(INDEX(Scoring!$AM$29:$AM$361,MATCH($O114,Scoring!$AS$29:$AS$361,0))="","–",INDEX(Scoring!$AM$29:$AM$361,MATCH($O114,Scoring!$AS$29:$AS$361,0))))</f>
        <v>11</v>
      </c>
      <c r="D114" s="6" t="str">
        <f aca="false">IF($O114="","",INDEX(Scoring!$AK$29:$AK$361,MATCH($O114,Scoring!$AS$29:$AS$361,0)))</f>
        <v>Priority 3</v>
      </c>
      <c r="E114" s="7" t="str">
        <f aca="false">IF($O114="","",INDEX(Scoring!$AL$29:$AL$361,MATCH($O114,Scoring!$AS$29:$AS$361,0)))</f>
        <v>Lower price · lower volume</v>
      </c>
      <c r="F114" s="6" t="str">
        <f aca="false">IF($O114="","",INDEX(Scoring!$B$29:$B$361,MATCH($O114,Scoring!$AS$29:$AS$361,0)))</f>
        <v>Haloperidol Decanoate</v>
      </c>
      <c r="G114" s="7" t="str">
        <f aca="false">IF($O114="","",INDEX(Scoring!$AG$29:$AG$361,MATCH($O114,Scoring!$AS$29:$AS$361,0)))</f>
        <v>Haloperidol Decanoate</v>
      </c>
      <c r="H114" s="7" t="str">
        <f aca="false">IF($O114="","",INDEX(Scoring!$C$29:$C$361,MATCH($O114,Scoring!$AS$29:$AS$361,0)))</f>
        <v>Psychiatry: long-acting maintenance treatment for schizophrenia</v>
      </c>
      <c r="I114" s="6" t="str">
        <f aca="false">IF($O114="","",INDEX(Scoring!$I$29:$I$361,MATCH($O114,Scoring!$AS$29:$AS$361,0)))</f>
        <v>Vial</v>
      </c>
      <c r="J114" s="7" t="str">
        <f aca="false">IF($O114="","",INDEX(Scoring!$Z$29:$Z$361,MATCH($O114,Scoring!$AS$29:$AS$361,0)))</f>
        <v>50 mg/1 mL vial; 100 mg/1 mL vial</v>
      </c>
      <c r="K114" s="8" t="n">
        <f aca="false">IF($O114="","",IF(INDEX(Scoring!$D$29:$D$361,MATCH($O114,Scoring!$AS$29:$AS$361,0))="",INDEX(Scoring!$AF$29:$AF$361,MATCH($O114,Scoring!$AS$29:$AS$361,0)),INDEX(Scoring!$D$29:$D$361,MATCH($O114,Scoring!$AS$29:$AS$361,0))))</f>
        <v>14.99</v>
      </c>
      <c r="L114" s="9" t="n">
        <f aca="false">IF($O114="","",INDEX(Scoring!$L$29:$L$361,MATCH($O114,Scoring!$AS$29:$AS$361,0)))</f>
        <v>43</v>
      </c>
      <c r="M114" s="9" t="n">
        <f aca="false">IF($O114="","",INDEX(Scoring!$N$29:$N$361,MATCH($O114,Scoring!$AS$29:$AS$361,0)))</f>
        <v>1942.31</v>
      </c>
      <c r="N114" s="7" t="str">
        <f aca="false">IF($O114="","",INDEX(Scoring!$AI$29:$AI$361,MATCH($O114,Scoring!$AS$29:$AS$361,0)))</f>
        <v>US</v>
      </c>
      <c r="O114" s="10" t="n">
        <f aca="false">IFERROR(SMALL(Scoring!$AS$29:$AS$361,110),"")</f>
        <v>7011</v>
      </c>
    </row>
    <row r="115" customFormat="false" ht="28.35" hidden="false" customHeight="false" outlineLevel="0" collapsed="false">
      <c r="A115" s="5" t="n">
        <f aca="false">IF($O115="","",INT($O115/1000))</f>
        <v>8</v>
      </c>
      <c r="B115" s="6" t="str">
        <f aca="false">IF($O115="","",INDEX(Scoring!$A$29:$A$361,MATCH($O115,Scoring!$AS$29:$AS$361,0)))</f>
        <v>Dr. Reddy's</v>
      </c>
      <c r="C115" s="5" t="n">
        <f aca="false">IF($O115="","",IF(INDEX(Scoring!$AM$29:$AM$361,MATCH($O115,Scoring!$AS$29:$AS$361,0))="","–",INDEX(Scoring!$AM$29:$AM$361,MATCH($O115,Scoring!$AS$29:$AS$361,0))))</f>
        <v>1</v>
      </c>
      <c r="D115" s="6" t="str">
        <f aca="false">IF($O115="","",INDEX(Scoring!$AK$29:$AK$361,MATCH($O115,Scoring!$AS$29:$AS$361,0)))</f>
        <v>Priority 1</v>
      </c>
      <c r="E115" s="7" t="str">
        <f aca="false">IF($O115="","",INDEX(Scoring!$AL$29:$AL$361,MATCH($O115,Scoring!$AS$29:$AS$361,0)))</f>
        <v>High price · high volume</v>
      </c>
      <c r="F115" s="6" t="str">
        <f aca="false">IF($O115="","",INDEX(Scoring!$B$29:$B$361,MATCH($O115,Scoring!$AS$29:$AS$361,0)))</f>
        <v>Azacitidine</v>
      </c>
      <c r="G115" s="7" t="str">
        <f aca="false">IF($O115="","",INDEX(Scoring!$AG$29:$AG$361,MATCH($O115,Scoring!$AS$29:$AS$361,0)))</f>
        <v>Azacitidine Betapharm; Azacitidine; Reddaza (+1 more)</v>
      </c>
      <c r="H115" s="7" t="str">
        <f aca="false">IF($O115="","",INDEX(Scoring!$C$29:$C$361,MATCH($O115,Scoring!$AS$29:$AS$361,0)))</f>
        <v>Oncology: myelodysplastic syndromes, acute myeloid leukaemia</v>
      </c>
      <c r="I115" s="6" t="str">
        <f aca="false">IF($O115="","",INDEX(Scoring!$I$29:$I$361,MATCH($O115,Scoring!$AS$29:$AS$361,0)))</f>
        <v>Vial</v>
      </c>
      <c r="J115" s="7" t="str">
        <f aca="false">IF($O115="","",INDEX(Scoring!$Z$29:$Z$361,MATCH($O115,Scoring!$AS$29:$AS$361,0)))</f>
        <v>25 mg/mL vial; 100 mg powder vial; 100 mg in 30 mL powder vial</v>
      </c>
      <c r="K115" s="8" t="n">
        <f aca="false">IF($O115="","",IF(INDEX(Scoring!$D$29:$D$361,MATCH($O115,Scoring!$AS$29:$AS$361,0))="",INDEX(Scoring!$AF$29:$AF$361,MATCH($O115,Scoring!$AS$29:$AS$361,0)),INDEX(Scoring!$D$29:$D$361,MATCH($O115,Scoring!$AS$29:$AS$361,0))))</f>
        <v>259.25</v>
      </c>
      <c r="L115" s="9" t="n">
        <f aca="false">IF($O115="","",INDEX(Scoring!$L$29:$L$361,MATCH($O115,Scoring!$AS$29:$AS$361,0)))</f>
        <v>762</v>
      </c>
      <c r="M115" s="9" t="n">
        <f aca="false">IF($O115="","",INDEX(Scoring!$N$29:$N$361,MATCH($O115,Scoring!$AS$29:$AS$361,0)))</f>
        <v>50865.56</v>
      </c>
      <c r="N115" s="7" t="str">
        <f aca="false">IF($O115="","",INDEX(Scoring!$AI$29:$AI$361,MATCH($O115,Scoring!$AS$29:$AS$361,0)))</f>
        <v>UK, Canada, Australia, South Africa | EU/EEA: all 30 countries</v>
      </c>
      <c r="O115" s="10" t="n">
        <f aca="false">IFERROR(SMALL(Scoring!$AS$29:$AS$361,111),"")</f>
        <v>8001</v>
      </c>
    </row>
    <row r="116" customFormat="false" ht="28.35" hidden="false" customHeight="false" outlineLevel="0" collapsed="false">
      <c r="A116" s="5" t="n">
        <f aca="false">IF($O116="","",INT($O116/1000))</f>
        <v>8</v>
      </c>
      <c r="B116" s="6" t="str">
        <f aca="false">IF($O116="","",INDEX(Scoring!$A$29:$A$361,MATCH($O116,Scoring!$AS$29:$AS$361,0)))</f>
        <v>Dr. Reddy's</v>
      </c>
      <c r="C116" s="5" t="n">
        <f aca="false">IF($O116="","",IF(INDEX(Scoring!$AM$29:$AM$361,MATCH($O116,Scoring!$AS$29:$AS$361,0))="","–",INDEX(Scoring!$AM$29:$AM$361,MATCH($O116,Scoring!$AS$29:$AS$361,0))))</f>
        <v>2</v>
      </c>
      <c r="D116" s="6" t="str">
        <f aca="false">IF($O116="","",INDEX(Scoring!$AK$29:$AK$361,MATCH($O116,Scoring!$AS$29:$AS$361,0)))</f>
        <v>Priority 1</v>
      </c>
      <c r="E116" s="7" t="str">
        <f aca="false">IF($O116="","",INDEX(Scoring!$AL$29:$AL$361,MATCH($O116,Scoring!$AS$29:$AS$361,0)))</f>
        <v>High price · high volume</v>
      </c>
      <c r="F116" s="6" t="str">
        <f aca="false">IF($O116="","",INDEX(Scoring!$B$29:$B$361,MATCH($O116,Scoring!$AS$29:$AS$361,0)))</f>
        <v>Bortezomib</v>
      </c>
      <c r="G116" s="7" t="str">
        <f aca="false">IF($O116="","",INDEX(Scoring!$AG$29:$AG$361,MATCH($O116,Scoring!$AS$29:$AS$361,0)))</f>
        <v>Bortezomib; Bortezomib Dr. Reddy's; Bertred</v>
      </c>
      <c r="H116" s="7" t="str">
        <f aca="false">IF($O116="","",INDEX(Scoring!$C$29:$C$361,MATCH($O116,Scoring!$AS$29:$AS$361,0)))</f>
        <v>Oncology: multiple myeloma, mantle cell lymphoma</v>
      </c>
      <c r="I116" s="6" t="str">
        <f aca="false">IF($O116="","",INDEX(Scoring!$I$29:$I$361,MATCH($O116,Scoring!$AS$29:$AS$361,0)))</f>
        <v>Vial</v>
      </c>
      <c r="J116" s="7" t="str">
        <f aca="false">IF($O116="","",INDEX(Scoring!$Z$29:$Z$361,MATCH($O116,Scoring!$AS$29:$AS$361,0)))</f>
        <v>3.5 mg powder vial; 3.5 mg in 10 mL powder vial</v>
      </c>
      <c r="K116" s="8" t="n">
        <f aca="false">IF($O116="","",IF(INDEX(Scoring!$D$29:$D$361,MATCH($O116,Scoring!$AS$29:$AS$361,0))="",INDEX(Scoring!$AF$29:$AF$361,MATCH($O116,Scoring!$AS$29:$AS$361,0)),INDEX(Scoring!$D$29:$D$361,MATCH($O116,Scoring!$AS$29:$AS$361,0))))</f>
        <v>711.76</v>
      </c>
      <c r="L116" s="9" t="n">
        <f aca="false">IF($O116="","",INDEX(Scoring!$L$29:$L$361,MATCH($O116,Scoring!$AS$29:$AS$361,0)))</f>
        <v>905</v>
      </c>
      <c r="M116" s="9" t="n">
        <f aca="false">IF($O116="","",INDEX(Scoring!$N$29:$N$361,MATCH($O116,Scoring!$AS$29:$AS$361,0)))</f>
        <v>28093.38</v>
      </c>
      <c r="N116" s="7" t="str">
        <f aca="false">IF($O116="","",INDEX(Scoring!$AI$29:$AI$361,MATCH($O116,Scoring!$AS$29:$AS$361,0)))</f>
        <v>US, UK, Canada, South Africa, UK-NI | EU/EEA (13): Germany, France, Netherlands, Finland + 9 more</v>
      </c>
      <c r="O116" s="10" t="n">
        <f aca="false">IFERROR(SMALL(Scoring!$AS$29:$AS$361,112),"")</f>
        <v>8002</v>
      </c>
    </row>
    <row r="117" customFormat="false" ht="28.35" hidden="false" customHeight="false" outlineLevel="0" collapsed="false">
      <c r="A117" s="5" t="n">
        <f aca="false">IF($O117="","",INT($O117/1000))</f>
        <v>8</v>
      </c>
      <c r="B117" s="6" t="str">
        <f aca="false">IF($O117="","",INDEX(Scoring!$A$29:$A$361,MATCH($O117,Scoring!$AS$29:$AS$361,0)))</f>
        <v>Dr. Reddy's</v>
      </c>
      <c r="C117" s="5" t="n">
        <f aca="false">IF($O117="","",IF(INDEX(Scoring!$AM$29:$AM$361,MATCH($O117,Scoring!$AS$29:$AS$361,0))="","–",INDEX(Scoring!$AM$29:$AM$361,MATCH($O117,Scoring!$AS$29:$AS$361,0))))</f>
        <v>3</v>
      </c>
      <c r="D117" s="6" t="str">
        <f aca="false">IF($O117="","",INDEX(Scoring!$AK$29:$AK$361,MATCH($O117,Scoring!$AS$29:$AS$361,0)))</f>
        <v>Priority 2</v>
      </c>
      <c r="E117" s="7" t="str">
        <f aca="false">IF($O117="","",INDEX(Scoring!$AL$29:$AL$361,MATCH($O117,Scoring!$AS$29:$AS$361,0)))</f>
        <v>High price · lower volume</v>
      </c>
      <c r="F117" s="6" t="str">
        <f aca="false">IF($O117="","",INDEX(Scoring!$B$29:$B$361,MATCH($O117,Scoring!$AS$29:$AS$361,0)))</f>
        <v>Ertapenem</v>
      </c>
      <c r="G117" s="7" t="str">
        <f aca="false">IF($O117="","",INDEX(Scoring!$AG$29:$AG$361,MATCH($O117,Scoring!$AS$29:$AS$361,0)))</f>
        <v>Ertapenem</v>
      </c>
      <c r="H117" s="7" t="str">
        <f aca="false">IF($O117="","",INDEX(Scoring!$C$29:$C$361,MATCH($O117,Scoring!$AS$29:$AS$361,0)))</f>
        <v>Anti-infective: abdominal, skin and urinary infections, pneumonia</v>
      </c>
      <c r="I117" s="6" t="str">
        <f aca="false">IF($O117="","",INDEX(Scoring!$I$29:$I$361,MATCH($O117,Scoring!$AS$29:$AS$361,0)))</f>
        <v>Vial</v>
      </c>
      <c r="J117" s="7" t="str">
        <f aca="false">IF($O117="","",INDEX(Scoring!$Z$29:$Z$361,MATCH($O117,Scoring!$AS$29:$AS$361,0)))</f>
        <v>1 g vial</v>
      </c>
      <c r="K117" s="8" t="n">
        <f aca="false">IF($O117="","",IF(INDEX(Scoring!$D$29:$D$361,MATCH($O117,Scoring!$AS$29:$AS$361,0))="",INDEX(Scoring!$AF$29:$AF$361,MATCH($O117,Scoring!$AS$29:$AS$361,0)),INDEX(Scoring!$D$29:$D$361,MATCH($O117,Scoring!$AS$29:$AS$361,0))))</f>
        <v>36.59</v>
      </c>
      <c r="L117" s="9" t="n">
        <f aca="false">IF($O117="","",INDEX(Scoring!$L$29:$L$361,MATCH($O117,Scoring!$AS$29:$AS$361,0)))</f>
        <v>223</v>
      </c>
      <c r="M117" s="9" t="n">
        <f aca="false">IF($O117="","",INDEX(Scoring!$N$29:$N$361,MATCH($O117,Scoring!$AS$29:$AS$361,0)))</f>
        <v>53539.87</v>
      </c>
      <c r="N117" s="7" t="str">
        <f aca="false">IF($O117="","",INDEX(Scoring!$AI$29:$AI$361,MATCH($O117,Scoring!$AS$29:$AS$361,0)))</f>
        <v>Canada</v>
      </c>
      <c r="O117" s="10" t="n">
        <f aca="false">IFERROR(SMALL(Scoring!$AS$29:$AS$361,113),"")</f>
        <v>8003</v>
      </c>
    </row>
    <row r="118" customFormat="false" ht="41.75" hidden="false" customHeight="false" outlineLevel="0" collapsed="false">
      <c r="A118" s="5" t="n">
        <f aca="false">IF($O118="","",INT($O118/1000))</f>
        <v>8</v>
      </c>
      <c r="B118" s="6" t="str">
        <f aca="false">IF($O118="","",INDEX(Scoring!$A$29:$A$361,MATCH($O118,Scoring!$AS$29:$AS$361,0)))</f>
        <v>Dr. Reddy's</v>
      </c>
      <c r="C118" s="5" t="n">
        <f aca="false">IF($O118="","",IF(INDEX(Scoring!$AM$29:$AM$361,MATCH($O118,Scoring!$AS$29:$AS$361,0))="","–",INDEX(Scoring!$AM$29:$AM$361,MATCH($O118,Scoring!$AS$29:$AS$361,0))))</f>
        <v>4</v>
      </c>
      <c r="D118" s="6" t="str">
        <f aca="false">IF($O118="","",INDEX(Scoring!$AK$29:$AK$361,MATCH($O118,Scoring!$AS$29:$AS$361,0)))</f>
        <v>Priority 2</v>
      </c>
      <c r="E118" s="7" t="str">
        <f aca="false">IF($O118="","",INDEX(Scoring!$AL$29:$AL$361,MATCH($O118,Scoring!$AS$29:$AS$361,0)))</f>
        <v>High price · lower volume</v>
      </c>
      <c r="F118" s="6" t="str">
        <f aca="false">IF($O118="","",INDEX(Scoring!$B$29:$B$361,MATCH($O118,Scoring!$AS$29:$AS$361,0)))</f>
        <v>Fulvestrant</v>
      </c>
      <c r="G118" s="7" t="str">
        <f aca="false">IF($O118="","",INDEX(Scoring!$AG$29:$AG$361,MATCH($O118,Scoring!$AS$29:$AS$361,0)))</f>
        <v>Fulvestrant; Fulvestrant Dr. Reddy's; Fulvestrant Beta (+1 more)</v>
      </c>
      <c r="H118" s="7" t="str">
        <f aca="false">IF($O118="","",INDEX(Scoring!$C$29:$C$361,MATCH($O118,Scoring!$AS$29:$AS$361,0)))</f>
        <v>Oncology: hormone receptor-positive advanced breast cancer</v>
      </c>
      <c r="I118" s="6" t="str">
        <f aca="false">IF($O118="","",INDEX(Scoring!$I$29:$I$361,MATCH($O118,Scoring!$AS$29:$AS$361,0)))</f>
        <v>Prefilled syringe</v>
      </c>
      <c r="J118" s="7" t="str">
        <f aca="false">IF($O118="","",INDEX(Scoring!$Z$29:$Z$361,MATCH($O118,Scoring!$AS$29:$AS$361,0)))</f>
        <v>250 mg/5 mL pre-filled syringe</v>
      </c>
      <c r="K118" s="8" t="n">
        <f aca="false">IF($O118="","",IF(INDEX(Scoring!$D$29:$D$361,MATCH($O118,Scoring!$AS$29:$AS$361,0))="",INDEX(Scoring!$AF$29:$AF$361,MATCH($O118,Scoring!$AS$29:$AS$361,0)),INDEX(Scoring!$D$29:$D$361,MATCH($O118,Scoring!$AS$29:$AS$361,0))))</f>
        <v>248.6</v>
      </c>
      <c r="L118" s="9" t="n">
        <f aca="false">IF($O118="","",INDEX(Scoring!$L$29:$L$361,MATCH($O118,Scoring!$AS$29:$AS$361,0)))</f>
        <v>146</v>
      </c>
      <c r="M118" s="9" t="n">
        <f aca="false">IF($O118="","",INDEX(Scoring!$N$29:$N$361,MATCH($O118,Scoring!$AS$29:$AS$361,0)))</f>
        <v>11366.06</v>
      </c>
      <c r="N118" s="7" t="str">
        <f aca="false">IF($O118="","",INDEX(Scoring!$AI$29:$AI$361,MATCH($O118,Scoring!$AS$29:$AS$361,0)))</f>
        <v>US, UK, South Africa, UK-NI | EU/EEA (10): Germany, Denmark, Ireland, Italy + 6 more</v>
      </c>
      <c r="O118" s="10" t="n">
        <f aca="false">IFERROR(SMALL(Scoring!$AS$29:$AS$361,114),"")</f>
        <v>8004</v>
      </c>
    </row>
    <row r="119" customFormat="false" ht="28.35" hidden="false" customHeight="false" outlineLevel="0" collapsed="false">
      <c r="A119" s="5" t="n">
        <f aca="false">IF($O119="","",INT($O119/1000))</f>
        <v>8</v>
      </c>
      <c r="B119" s="6" t="str">
        <f aca="false">IF($O119="","",INDEX(Scoring!$A$29:$A$361,MATCH($O119,Scoring!$AS$29:$AS$361,0)))</f>
        <v>Dr. Reddy's</v>
      </c>
      <c r="C119" s="5" t="n">
        <f aca="false">IF($O119="","",IF(INDEX(Scoring!$AM$29:$AM$361,MATCH($O119,Scoring!$AS$29:$AS$361,0))="","–",INDEX(Scoring!$AM$29:$AM$361,MATCH($O119,Scoring!$AS$29:$AS$361,0))))</f>
        <v>5</v>
      </c>
      <c r="D119" s="6" t="str">
        <f aca="false">IF($O119="","",INDEX(Scoring!$AK$29:$AK$361,MATCH($O119,Scoring!$AS$29:$AS$361,0)))</f>
        <v>Priority 2</v>
      </c>
      <c r="E119" s="7" t="str">
        <f aca="false">IF($O119="","",INDEX(Scoring!$AL$29:$AL$361,MATCH($O119,Scoring!$AS$29:$AS$361,0)))</f>
        <v>High price · lower volume</v>
      </c>
      <c r="F119" s="6" t="str">
        <f aca="false">IF($O119="","",INDEX(Scoring!$B$29:$B$361,MATCH($O119,Scoring!$AS$29:$AS$361,0)))</f>
        <v>Plerixafor</v>
      </c>
      <c r="G119" s="7" t="str">
        <f aca="false">IF($O119="","",INDEX(Scoring!$AG$29:$AG$361,MATCH($O119,Scoring!$AS$29:$AS$361,0)))</f>
        <v>Plerixafor</v>
      </c>
      <c r="H119" s="7" t="str">
        <f aca="false">IF($O119="","",INDEX(Scoring!$C$29:$C$361,MATCH($O119,Scoring!$AS$29:$AS$361,0)))</f>
        <v>Oncology support: stem cell mobilisation in myeloma and lymphoma</v>
      </c>
      <c r="I119" s="6" t="str">
        <f aca="false">IF($O119="","",INDEX(Scoring!$I$29:$I$361,MATCH($O119,Scoring!$AS$29:$AS$361,0)))</f>
        <v>Vial</v>
      </c>
      <c r="J119" s="7" t="str">
        <f aca="false">IF($O119="","",INDEX(Scoring!$Z$29:$Z$361,MATCH($O119,Scoring!$AS$29:$AS$361,0)))</f>
        <v>24 mg/1.2 mL vial</v>
      </c>
      <c r="K119" s="8" t="n">
        <f aca="false">IF($O119="","",IF(INDEX(Scoring!$D$29:$D$361,MATCH($O119,Scoring!$AS$29:$AS$361,0))="",INDEX(Scoring!$AF$29:$AF$361,MATCH($O119,Scoring!$AS$29:$AS$361,0)),INDEX(Scoring!$D$29:$D$361,MATCH($O119,Scoring!$AS$29:$AS$361,0))))</f>
        <v>343.8</v>
      </c>
      <c r="L119" s="9" t="n">
        <f aca="false">IF($O119="","",INDEX(Scoring!$L$29:$L$361,MATCH($O119,Scoring!$AS$29:$AS$361,0)))</f>
        <v>47</v>
      </c>
      <c r="M119" s="9" t="n">
        <f aca="false">IF($O119="","",INDEX(Scoring!$N$29:$N$361,MATCH($O119,Scoring!$AS$29:$AS$361,0)))</f>
        <v>7904.67</v>
      </c>
      <c r="N119" s="7" t="str">
        <f aca="false">IF($O119="","",INDEX(Scoring!$AI$29:$AI$361,MATCH($O119,Scoring!$AS$29:$AS$361,0)))</f>
        <v>US</v>
      </c>
      <c r="O119" s="10" t="n">
        <f aca="false">IFERROR(SMALL(Scoring!$AS$29:$AS$361,115),"")</f>
        <v>8005</v>
      </c>
    </row>
    <row r="120" customFormat="false" ht="28.35" hidden="false" customHeight="false" outlineLevel="0" collapsed="false">
      <c r="A120" s="5" t="n">
        <f aca="false">IF($O120="","",INT($O120/1000))</f>
        <v>8</v>
      </c>
      <c r="B120" s="6" t="str">
        <f aca="false">IF($O120="","",INDEX(Scoring!$A$29:$A$361,MATCH($O120,Scoring!$AS$29:$AS$361,0)))</f>
        <v>Dr. Reddy's</v>
      </c>
      <c r="C120" s="5" t="n">
        <f aca="false">IF($O120="","",IF(INDEX(Scoring!$AM$29:$AM$361,MATCH($O120,Scoring!$AS$29:$AS$361,0))="","–",INDEX(Scoring!$AM$29:$AM$361,MATCH($O120,Scoring!$AS$29:$AS$361,0))))</f>
        <v>6</v>
      </c>
      <c r="D120" s="6" t="str">
        <f aca="false">IF($O120="","",INDEX(Scoring!$AK$29:$AK$361,MATCH($O120,Scoring!$AS$29:$AS$361,0)))</f>
        <v>Priority 2</v>
      </c>
      <c r="E120" s="7" t="str">
        <f aca="false">IF($O120="","",INDEX(Scoring!$AL$29:$AL$361,MATCH($O120,Scoring!$AS$29:$AS$361,0)))</f>
        <v>Lower price · high volume</v>
      </c>
      <c r="F120" s="6" t="str">
        <f aca="false">IF($O120="","",INDEX(Scoring!$B$29:$B$361,MATCH($O120,Scoring!$AS$29:$AS$361,0)))</f>
        <v>Naloxone</v>
      </c>
      <c r="G120" s="7" t="str">
        <f aca="false">IF($O120="","",INDEX(Scoring!$AG$29:$AG$361,MATCH($O120,Scoring!$AS$29:$AS$361,0)))</f>
        <v>Naloxone Hydrochloride</v>
      </c>
      <c r="H120" s="7" t="str">
        <f aca="false">IF($O120="","",INDEX(Scoring!$C$29:$C$361,MATCH($O120,Scoring!$AS$29:$AS$361,0)))</f>
        <v>Critical care: reversal of opioid overdose</v>
      </c>
      <c r="I120" s="6" t="str">
        <f aca="false">IF($O120="","",INDEX(Scoring!$I$29:$I$361,MATCH($O120,Scoring!$AS$29:$AS$361,0)))</f>
        <v>Prefilled syringe</v>
      </c>
      <c r="J120" s="7" t="str">
        <f aca="false">IF($O120="","",INDEX(Scoring!$Z$29:$Z$361,MATCH($O120,Scoring!$AS$29:$AS$361,0)))</f>
        <v>2 mg/2 mL pre-filled syringe</v>
      </c>
      <c r="K120" s="8" t="n">
        <f aca="false">IF($O120="","",IF(INDEX(Scoring!$D$29:$D$361,MATCH($O120,Scoring!$AS$29:$AS$361,0))="",INDEX(Scoring!$AF$29:$AF$361,MATCH($O120,Scoring!$AS$29:$AS$361,0)),INDEX(Scoring!$D$29:$D$361,MATCH($O120,Scoring!$AS$29:$AS$361,0))))</f>
        <v>13.87</v>
      </c>
      <c r="L120" s="9" t="n">
        <f aca="false">IF($O120="","",INDEX(Scoring!$L$29:$L$361,MATCH($O120,Scoring!$AS$29:$AS$361,0)))</f>
        <v>365</v>
      </c>
      <c r="M120" s="9" t="n">
        <f aca="false">IF($O120="","",INDEX(Scoring!$N$29:$N$361,MATCH($O120,Scoring!$AS$29:$AS$361,0)))</f>
        <v>5976.94</v>
      </c>
      <c r="N120" s="7" t="str">
        <f aca="false">IF($O120="","",INDEX(Scoring!$AI$29:$AI$361,MATCH($O120,Scoring!$AS$29:$AS$361,0)))</f>
        <v>US</v>
      </c>
      <c r="O120" s="10" t="n">
        <f aca="false">IFERROR(SMALL(Scoring!$AS$29:$AS$361,116),"")</f>
        <v>8006</v>
      </c>
    </row>
    <row r="121" customFormat="false" ht="28.35" hidden="false" customHeight="false" outlineLevel="0" collapsed="false">
      <c r="A121" s="5" t="n">
        <f aca="false">IF($O121="","",INT($O121/1000))</f>
        <v>8</v>
      </c>
      <c r="B121" s="6" t="str">
        <f aca="false">IF($O121="","",INDEX(Scoring!$A$29:$A$361,MATCH($O121,Scoring!$AS$29:$AS$361,0)))</f>
        <v>Dr. Reddy's</v>
      </c>
      <c r="C121" s="5" t="n">
        <f aca="false">IF($O121="","",IF(INDEX(Scoring!$AM$29:$AM$361,MATCH($O121,Scoring!$AS$29:$AS$361,0))="","–",INDEX(Scoring!$AM$29:$AM$361,MATCH($O121,Scoring!$AS$29:$AS$361,0))))</f>
        <v>7</v>
      </c>
      <c r="D121" s="6" t="str">
        <f aca="false">IF($O121="","",INDEX(Scoring!$AK$29:$AK$361,MATCH($O121,Scoring!$AS$29:$AS$361,0)))</f>
        <v>Priority 2</v>
      </c>
      <c r="E121" s="7" t="str">
        <f aca="false">IF($O121="","",INDEX(Scoring!$AL$29:$AL$361,MATCH($O121,Scoring!$AS$29:$AS$361,0)))</f>
        <v>High price · lower volume</v>
      </c>
      <c r="F121" s="6" t="str">
        <f aca="false">IF($O121="","",INDEX(Scoring!$B$29:$B$361,MATCH($O121,Scoring!$AS$29:$AS$361,0)))</f>
        <v>Carboprost</v>
      </c>
      <c r="G121" s="7" t="str">
        <f aca="false">IF($O121="","",INDEX(Scoring!$AG$29:$AG$361,MATCH($O121,Scoring!$AS$29:$AS$361,0)))</f>
        <v>Carboprost Tromethamine; Carboprost Dr. Reddy's</v>
      </c>
      <c r="H121" s="7" t="str">
        <f aca="false">IF($O121="","",INDEX(Scoring!$C$29:$C$361,MATCH($O121,Scoring!$AS$29:$AS$361,0)))</f>
        <v>Women's health: postpartum haemorrhage, pregnancy termination</v>
      </c>
      <c r="I121" s="6" t="str">
        <f aca="false">IF($O121="","",INDEX(Scoring!$I$29:$I$361,MATCH($O121,Scoring!$AS$29:$AS$361,0)))</f>
        <v>Vial, Prefilled syringe</v>
      </c>
      <c r="J121" s="7" t="str">
        <f aca="false">IF($O121="","",INDEX(Scoring!$Z$29:$Z$361,MATCH($O121,Scoring!$AS$29:$AS$361,0)))</f>
        <v>0.25 mg/1 mL pre-filled syringe; 250 mcg/1 mL vial</v>
      </c>
      <c r="K121" s="8" t="n">
        <f aca="false">IF($O121="","",IF(INDEX(Scoring!$D$29:$D$361,MATCH($O121,Scoring!$AS$29:$AS$361,0))="",INDEX(Scoring!$AF$29:$AF$361,MATCH($O121,Scoring!$AS$29:$AS$361,0)),INDEX(Scoring!$D$29:$D$361,MATCH($O121,Scoring!$AS$29:$AS$361,0))))</f>
        <v>127.38</v>
      </c>
      <c r="L121" s="9" t="n">
        <f aca="false">IF($O121="","",INDEX(Scoring!$L$29:$L$361,MATCH($O121,Scoring!$AS$29:$AS$361,0)))</f>
        <v>156</v>
      </c>
      <c r="M121" s="9" t="n">
        <f aca="false">IF($O121="","",INDEX(Scoring!$N$29:$N$361,MATCH($O121,Scoring!$AS$29:$AS$361,0)))</f>
        <v>3954.83</v>
      </c>
      <c r="N121" s="7" t="str">
        <f aca="false">IF($O121="","",INDEX(Scoring!$AI$29:$AI$361,MATCH($O121,Scoring!$AS$29:$AS$361,0)))</f>
        <v>US, Australia</v>
      </c>
      <c r="O121" s="10" t="n">
        <f aca="false">IFERROR(SMALL(Scoring!$AS$29:$AS$361,117),"")</f>
        <v>8007</v>
      </c>
    </row>
    <row r="122" customFormat="false" ht="28.35" hidden="false" customHeight="false" outlineLevel="0" collapsed="false">
      <c r="A122" s="5" t="n">
        <f aca="false">IF($O122="","",INT($O122/1000))</f>
        <v>8</v>
      </c>
      <c r="B122" s="6" t="str">
        <f aca="false">IF($O122="","",INDEX(Scoring!$A$29:$A$361,MATCH($O122,Scoring!$AS$29:$AS$361,0)))</f>
        <v>Dr. Reddy's</v>
      </c>
      <c r="C122" s="5" t="n">
        <f aca="false">IF($O122="","",IF(INDEX(Scoring!$AM$29:$AM$361,MATCH($O122,Scoring!$AS$29:$AS$361,0))="","–",INDEX(Scoring!$AM$29:$AM$361,MATCH($O122,Scoring!$AS$29:$AS$361,0))))</f>
        <v>8</v>
      </c>
      <c r="D122" s="6" t="str">
        <f aca="false">IF($O122="","",INDEX(Scoring!$AK$29:$AK$361,MATCH($O122,Scoring!$AS$29:$AS$361,0)))</f>
        <v>Priority 2</v>
      </c>
      <c r="E122" s="7" t="str">
        <f aca="false">IF($O122="","",INDEX(Scoring!$AL$29:$AL$361,MATCH($O122,Scoring!$AS$29:$AS$361,0)))</f>
        <v>Lower price · high volume</v>
      </c>
      <c r="F122" s="6" t="str">
        <f aca="false">IF($O122="","",INDEX(Scoring!$B$29:$B$361,MATCH($O122,Scoring!$AS$29:$AS$361,0)))</f>
        <v>Succinylcholine (Suxamethonium)</v>
      </c>
      <c r="G122" s="7" t="str">
        <f aca="false">IF($O122="","",INDEX(Scoring!$AG$29:$AG$361,MATCH($O122,Scoring!$AS$29:$AS$361,0)))</f>
        <v>Succinylcholine Chloride</v>
      </c>
      <c r="H122" s="7" t="str">
        <f aca="false">IF($O122="","",INDEX(Scoring!$C$29:$C$361,MATCH($O122,Scoring!$AS$29:$AS$361,0)))</f>
        <v>Anaesthesia: muscle relaxant for rapid intubation</v>
      </c>
      <c r="I122" s="6" t="str">
        <f aca="false">IF($O122="","",INDEX(Scoring!$I$29:$I$361,MATCH($O122,Scoring!$AS$29:$AS$361,0)))</f>
        <v>Vial</v>
      </c>
      <c r="J122" s="7" t="str">
        <f aca="false">IF($O122="","",INDEX(Scoring!$Z$29:$Z$361,MATCH($O122,Scoring!$AS$29:$AS$361,0)))</f>
        <v>200 mg/10 mL vial</v>
      </c>
      <c r="K122" s="8" t="n">
        <f aca="false">IF($O122="","",IF(INDEX(Scoring!$D$29:$D$361,MATCH($O122,Scoring!$AS$29:$AS$361,0))="",INDEX(Scoring!$AF$29:$AF$361,MATCH($O122,Scoring!$AS$29:$AS$361,0)),INDEX(Scoring!$D$29:$D$361,MATCH($O122,Scoring!$AS$29:$AS$361,0))))</f>
        <v>22.76</v>
      </c>
      <c r="L122" s="9" t="n">
        <f aca="false">IF($O122="","",INDEX(Scoring!$L$29:$L$361,MATCH($O122,Scoring!$AS$29:$AS$361,0)))</f>
        <v>286</v>
      </c>
      <c r="M122" s="9" t="n">
        <f aca="false">IF($O122="","",INDEX(Scoring!$N$29:$N$361,MATCH($O122,Scoring!$AS$29:$AS$361,0)))</f>
        <v>3067.39</v>
      </c>
      <c r="N122" s="7" t="str">
        <f aca="false">IF($O122="","",INDEX(Scoring!$AI$29:$AI$361,MATCH($O122,Scoring!$AS$29:$AS$361,0)))</f>
        <v>US, Canada</v>
      </c>
      <c r="O122" s="10" t="n">
        <f aca="false">IFERROR(SMALL(Scoring!$AS$29:$AS$361,118),"")</f>
        <v>8008</v>
      </c>
    </row>
    <row r="123" customFormat="false" ht="41.75" hidden="false" customHeight="false" outlineLevel="0" collapsed="false">
      <c r="A123" s="5" t="n">
        <f aca="false">IF($O123="","",INT($O123/1000))</f>
        <v>8</v>
      </c>
      <c r="B123" s="6" t="str">
        <f aca="false">IF($O123="","",INDEX(Scoring!$A$29:$A$361,MATCH($O123,Scoring!$AS$29:$AS$361,0)))</f>
        <v>Dr. Reddy's</v>
      </c>
      <c r="C123" s="5" t="n">
        <f aca="false">IF($O123="","",IF(INDEX(Scoring!$AM$29:$AM$361,MATCH($O123,Scoring!$AS$29:$AS$361,0))="","–",INDEX(Scoring!$AM$29:$AM$361,MATCH($O123,Scoring!$AS$29:$AS$361,0))))</f>
        <v>9</v>
      </c>
      <c r="D123" s="6" t="str">
        <f aca="false">IF($O123="","",INDEX(Scoring!$AK$29:$AK$361,MATCH($O123,Scoring!$AS$29:$AS$361,0)))</f>
        <v>Priority 2</v>
      </c>
      <c r="E123" s="7" t="str">
        <f aca="false">IF($O123="","",INDEX(Scoring!$AL$29:$AL$361,MATCH($O123,Scoring!$AS$29:$AS$361,0)))</f>
        <v>High price · lower volume</v>
      </c>
      <c r="F123" s="6" t="str">
        <f aca="false">IF($O123="","",INDEX(Scoring!$B$29:$B$361,MATCH($O123,Scoring!$AS$29:$AS$361,0)))</f>
        <v>Desmopressin</v>
      </c>
      <c r="G123" s="7" t="str">
        <f aca="false">IF($O123="","",INDEX(Scoring!$AG$29:$AG$361,MATCH($O123,Scoring!$AS$29:$AS$361,0)))</f>
        <v>Desmopressin Acetate</v>
      </c>
      <c r="H123" s="7" t="str">
        <f aca="false">IF($O123="","",INDEX(Scoring!$C$29:$C$361,MATCH($O123,Scoring!$AS$29:$AS$361,0)))</f>
        <v>Endocrinology and haematology: diabetes insipidus, haemophilia A, von Willebrand disease</v>
      </c>
      <c r="I123" s="6" t="str">
        <f aca="false">IF($O123="","",INDEX(Scoring!$I$29:$I$361,MATCH($O123,Scoring!$AS$29:$AS$361,0)))</f>
        <v>Vial</v>
      </c>
      <c r="J123" s="7" t="str">
        <f aca="false">IF($O123="","",INDEX(Scoring!$Z$29:$Z$361,MATCH($O123,Scoring!$AS$29:$AS$361,0)))</f>
        <v>0.04 mg/10 mL vial</v>
      </c>
      <c r="K123" s="8" t="n">
        <f aca="false">IF($O123="","",IF(INDEX(Scoring!$D$29:$D$361,MATCH($O123,Scoring!$AS$29:$AS$361,0))="",INDEX(Scoring!$AF$29:$AF$361,MATCH($O123,Scoring!$AS$29:$AS$361,0)),INDEX(Scoring!$D$29:$D$361,MATCH($O123,Scoring!$AS$29:$AS$361,0))))</f>
        <v>133.8</v>
      </c>
      <c r="L123" s="9" t="n">
        <f aca="false">IF($O123="","",INDEX(Scoring!$L$29:$L$361,MATCH($O123,Scoring!$AS$29:$AS$361,0)))</f>
        <v>209</v>
      </c>
      <c r="M123" s="9" t="n">
        <f aca="false">IF($O123="","",INDEX(Scoring!$N$29:$N$361,MATCH($O123,Scoring!$AS$29:$AS$361,0)))</f>
        <v>2827.35</v>
      </c>
      <c r="N123" s="7" t="str">
        <f aca="false">IF($O123="","",INDEX(Scoring!$AI$29:$AI$361,MATCH($O123,Scoring!$AS$29:$AS$361,0)))</f>
        <v>US</v>
      </c>
      <c r="O123" s="10" t="n">
        <f aca="false">IFERROR(SMALL(Scoring!$AS$29:$AS$361,119),"")</f>
        <v>8009</v>
      </c>
    </row>
    <row r="124" customFormat="false" ht="28.35" hidden="false" customHeight="false" outlineLevel="0" collapsed="false">
      <c r="A124" s="5" t="n">
        <f aca="false">IF($O124="","",INT($O124/1000))</f>
        <v>8</v>
      </c>
      <c r="B124" s="6" t="str">
        <f aca="false">IF($O124="","",INDEX(Scoring!$A$29:$A$361,MATCH($O124,Scoring!$AS$29:$AS$361,0)))</f>
        <v>Dr. Reddy's</v>
      </c>
      <c r="C124" s="5" t="n">
        <f aca="false">IF($O124="","",IF(INDEX(Scoring!$AM$29:$AM$361,MATCH($O124,Scoring!$AS$29:$AS$361,0))="","–",INDEX(Scoring!$AM$29:$AM$361,MATCH($O124,Scoring!$AS$29:$AS$361,0))))</f>
        <v>10</v>
      </c>
      <c r="D124" s="6" t="str">
        <f aca="false">IF($O124="","",INDEX(Scoring!$AK$29:$AK$361,MATCH($O124,Scoring!$AS$29:$AS$361,0)))</f>
        <v>Priority 3</v>
      </c>
      <c r="E124" s="7" t="str">
        <f aca="false">IF($O124="","",INDEX(Scoring!$AL$29:$AL$361,MATCH($O124,Scoring!$AS$29:$AS$361,0)))</f>
        <v>Lower price · lower volume</v>
      </c>
      <c r="F124" s="6" t="str">
        <f aca="false">IF($O124="","",INDEX(Scoring!$B$29:$B$361,MATCH($O124,Scoring!$AS$29:$AS$361,0)))</f>
        <v>Phytonadione</v>
      </c>
      <c r="G124" s="7" t="str">
        <f aca="false">IF($O124="","",INDEX(Scoring!$AG$29:$AG$361,MATCH($O124,Scoring!$AS$29:$AS$361,0)))</f>
        <v>Phytonadione</v>
      </c>
      <c r="H124" s="7" t="str">
        <f aca="false">IF($O124="","",INDEX(Scoring!$C$29:$C$361,MATCH($O124,Scoring!$AS$29:$AS$361,0)))</f>
        <v>Haematology: vitamin K for newborn bleeding prevention, warfarin reversal</v>
      </c>
      <c r="I124" s="6" t="str">
        <f aca="false">IF($O124="","",INDEX(Scoring!$I$29:$I$361,MATCH($O124,Scoring!$AS$29:$AS$361,0)))</f>
        <v>Ampoule</v>
      </c>
      <c r="J124" s="7" t="str">
        <f aca="false">IF($O124="","",INDEX(Scoring!$Z$29:$Z$361,MATCH($O124,Scoring!$AS$29:$AS$361,0)))</f>
        <v>1 mg/0.5 mL in 1 mL ampoule; 10 mg/1 mL ampoule</v>
      </c>
      <c r="K124" s="8" t="n">
        <f aca="false">IF($O124="","",IF(INDEX(Scoring!$D$29:$D$361,MATCH($O124,Scoring!$AS$29:$AS$361,0))="",INDEX(Scoring!$AF$29:$AF$361,MATCH($O124,Scoring!$AS$29:$AS$361,0)),INDEX(Scoring!$D$29:$D$361,MATCH($O124,Scoring!$AS$29:$AS$361,0))))</f>
        <v>16.96</v>
      </c>
      <c r="L124" s="9" t="n">
        <f aca="false">IF($O124="","",INDEX(Scoring!$L$29:$L$361,MATCH($O124,Scoring!$AS$29:$AS$361,0)))</f>
        <v>51</v>
      </c>
      <c r="M124" s="9" t="n">
        <f aca="false">IF($O124="","",INDEX(Scoring!$N$29:$N$361,MATCH($O124,Scoring!$AS$29:$AS$361,0)))</f>
        <v>5770.02</v>
      </c>
      <c r="N124" s="7" t="str">
        <f aca="false">IF($O124="","",INDEX(Scoring!$AI$29:$AI$361,MATCH($O124,Scoring!$AS$29:$AS$361,0)))</f>
        <v>US</v>
      </c>
      <c r="O124" s="10" t="n">
        <f aca="false">IFERROR(SMALL(Scoring!$AS$29:$AS$361,120),"")</f>
        <v>8010</v>
      </c>
    </row>
    <row r="125" customFormat="false" ht="28.35" hidden="false" customHeight="false" outlineLevel="0" collapsed="false">
      <c r="A125" s="5" t="n">
        <f aca="false">IF($O125="","",INT($O125/1000))</f>
        <v>8</v>
      </c>
      <c r="B125" s="6" t="str">
        <f aca="false">IF($O125="","",INDEX(Scoring!$A$29:$A$361,MATCH($O125,Scoring!$AS$29:$AS$361,0)))</f>
        <v>Dr. Reddy's</v>
      </c>
      <c r="C125" s="5" t="n">
        <f aca="false">IF($O125="","",IF(INDEX(Scoring!$AM$29:$AM$361,MATCH($O125,Scoring!$AS$29:$AS$361,0))="","–",INDEX(Scoring!$AM$29:$AM$361,MATCH($O125,Scoring!$AS$29:$AS$361,0))))</f>
        <v>11</v>
      </c>
      <c r="D125" s="6" t="str">
        <f aca="false">IF($O125="","",INDEX(Scoring!$AK$29:$AK$361,MATCH($O125,Scoring!$AS$29:$AS$361,0)))</f>
        <v>Priority 3</v>
      </c>
      <c r="E125" s="7" t="str">
        <f aca="false">IF($O125="","",INDEX(Scoring!$AL$29:$AL$361,MATCH($O125,Scoring!$AS$29:$AS$361,0)))</f>
        <v>Lower price · lower volume</v>
      </c>
      <c r="F125" s="6" t="str">
        <f aca="false">IF($O125="","",INDEX(Scoring!$B$29:$B$361,MATCH($O125,Scoring!$AS$29:$AS$361,0)))</f>
        <v>Diazepam</v>
      </c>
      <c r="G125" s="7" t="str">
        <f aca="false">IF($O125="","",INDEX(Scoring!$AG$29:$AG$361,MATCH($O125,Scoring!$AS$29:$AS$361,0)))</f>
        <v>Diazepam</v>
      </c>
      <c r="H125" s="7" t="str">
        <f aca="false">IF($O125="","",INDEX(Scoring!$C$29:$C$361,MATCH($O125,Scoring!$AS$29:$AS$361,0)))</f>
        <v>Neurology: status epilepticus, seizures, acute anxiety and sedation</v>
      </c>
      <c r="I125" s="6" t="str">
        <f aca="false">IF($O125="","",INDEX(Scoring!$I$29:$I$361,MATCH($O125,Scoring!$AS$29:$AS$361,0)))</f>
        <v>Prefilled syringe</v>
      </c>
      <c r="J125" s="7" t="str">
        <f aca="false">IF($O125="","",INDEX(Scoring!$Z$29:$Z$361,MATCH($O125,Scoring!$AS$29:$AS$361,0)))</f>
        <v>10 mg/2 mL pre-filled syringe</v>
      </c>
      <c r="K125" s="8" t="n">
        <f aca="false">IF($O125="","",IF(INDEX(Scoring!$D$29:$D$361,MATCH($O125,Scoring!$AS$29:$AS$361,0))="",INDEX(Scoring!$AF$29:$AF$361,MATCH($O125,Scoring!$AS$29:$AS$361,0)),INDEX(Scoring!$D$29:$D$361,MATCH($O125,Scoring!$AS$29:$AS$361,0))))</f>
        <v>10.14</v>
      </c>
      <c r="L125" s="9" t="n">
        <f aca="false">IF($O125="","",INDEX(Scoring!$L$29:$L$361,MATCH($O125,Scoring!$AS$29:$AS$361,0)))</f>
        <v>180</v>
      </c>
      <c r="M125" s="9" t="n">
        <f aca="false">IF($O125="","",INDEX(Scoring!$N$29:$N$361,MATCH($O125,Scoring!$AS$29:$AS$361,0)))</f>
        <v>5403.25</v>
      </c>
      <c r="N125" s="7" t="str">
        <f aca="false">IF($O125="","",INDEX(Scoring!$AI$29:$AI$361,MATCH($O125,Scoring!$AS$29:$AS$361,0)))</f>
        <v>US</v>
      </c>
      <c r="O125" s="10" t="n">
        <f aca="false">IFERROR(SMALL(Scoring!$AS$29:$AS$361,121),"")</f>
        <v>8011</v>
      </c>
    </row>
    <row r="126" customFormat="false" ht="28.35" hidden="false" customHeight="false" outlineLevel="0" collapsed="false">
      <c r="A126" s="5" t="n">
        <f aca="false">IF($O126="","",INT($O126/1000))</f>
        <v>8</v>
      </c>
      <c r="B126" s="6" t="str">
        <f aca="false">IF($O126="","",INDEX(Scoring!$A$29:$A$361,MATCH($O126,Scoring!$AS$29:$AS$361,0)))</f>
        <v>Dr. Reddy's</v>
      </c>
      <c r="C126" s="5" t="n">
        <f aca="false">IF($O126="","",IF(INDEX(Scoring!$AM$29:$AM$361,MATCH($O126,Scoring!$AS$29:$AS$361,0))="","–",INDEX(Scoring!$AM$29:$AM$361,MATCH($O126,Scoring!$AS$29:$AS$361,0))))</f>
        <v>12</v>
      </c>
      <c r="D126" s="6" t="str">
        <f aca="false">IF($O126="","",INDEX(Scoring!$AK$29:$AK$361,MATCH($O126,Scoring!$AS$29:$AS$361,0)))</f>
        <v>Priority 3</v>
      </c>
      <c r="E126" s="7" t="str">
        <f aca="false">IF($O126="","",INDEX(Scoring!$AL$29:$AL$361,MATCH($O126,Scoring!$AS$29:$AS$361,0)))</f>
        <v>Lower price · lower volume</v>
      </c>
      <c r="F126" s="6" t="str">
        <f aca="false">IF($O126="","",INDEX(Scoring!$B$29:$B$361,MATCH($O126,Scoring!$AS$29:$AS$361,0)))</f>
        <v>Ephedrine</v>
      </c>
      <c r="G126" s="7" t="str">
        <f aca="false">IF($O126="","",INDEX(Scoring!$AG$29:$AG$361,MATCH($O126,Scoring!$AS$29:$AS$361,0)))</f>
        <v>Ephedrine Sulfate</v>
      </c>
      <c r="H126" s="7" t="str">
        <f aca="false">IF($O126="","",INDEX(Scoring!$C$29:$C$361,MATCH($O126,Scoring!$AS$29:$AS$361,0)))</f>
        <v>Anaesthesia: low blood pressure during spinal anaesthesia and caesarean section</v>
      </c>
      <c r="I126" s="6" t="str">
        <f aca="false">IF($O126="","",INDEX(Scoring!$I$29:$I$361,MATCH($O126,Scoring!$AS$29:$AS$361,0)))</f>
        <v>Vial</v>
      </c>
      <c r="J126" s="7" t="str">
        <f aca="false">IF($O126="","",INDEX(Scoring!$Z$29:$Z$361,MATCH($O126,Scoring!$AS$29:$AS$361,0)))</f>
        <v>50 mg/1 mL vial</v>
      </c>
      <c r="K126" s="8" t="n">
        <f aca="false">IF($O126="","",IF(INDEX(Scoring!$D$29:$D$361,MATCH($O126,Scoring!$AS$29:$AS$361,0))="",INDEX(Scoring!$AF$29:$AF$361,MATCH($O126,Scoring!$AS$29:$AS$361,0)),INDEX(Scoring!$D$29:$D$361,MATCH($O126,Scoring!$AS$29:$AS$361,0))))</f>
        <v>5.35</v>
      </c>
      <c r="L126" s="9" t="n">
        <f aca="false">IF($O126="","",INDEX(Scoring!$L$29:$L$361,MATCH($O126,Scoring!$AS$29:$AS$361,0)))</f>
        <v>78</v>
      </c>
      <c r="M126" s="9" t="n">
        <f aca="false">IF($O126="","",INDEX(Scoring!$N$29:$N$361,MATCH($O126,Scoring!$AS$29:$AS$361,0)))</f>
        <v>4714.67</v>
      </c>
      <c r="N126" s="7" t="str">
        <f aca="false">IF($O126="","",INDEX(Scoring!$AI$29:$AI$361,MATCH($O126,Scoring!$AS$29:$AS$361,0)))</f>
        <v>US</v>
      </c>
      <c r="O126" s="10" t="n">
        <f aca="false">IFERROR(SMALL(Scoring!$AS$29:$AS$361,122),"")</f>
        <v>8012</v>
      </c>
    </row>
    <row r="127" customFormat="false" ht="28.35" hidden="false" customHeight="false" outlineLevel="0" collapsed="false">
      <c r="A127" s="5" t="n">
        <f aca="false">IF($O127="","",INT($O127/1000))</f>
        <v>8</v>
      </c>
      <c r="B127" s="6" t="str">
        <f aca="false">IF($O127="","",INDEX(Scoring!$A$29:$A$361,MATCH($O127,Scoring!$AS$29:$AS$361,0)))</f>
        <v>Dr. Reddy's</v>
      </c>
      <c r="C127" s="5" t="n">
        <f aca="false">IF($O127="","",IF(INDEX(Scoring!$AM$29:$AM$361,MATCH($O127,Scoring!$AS$29:$AS$361,0))="","–",INDEX(Scoring!$AM$29:$AM$361,MATCH($O127,Scoring!$AS$29:$AS$361,0))))</f>
        <v>13</v>
      </c>
      <c r="D127" s="6" t="str">
        <f aca="false">IF($O127="","",INDEX(Scoring!$AK$29:$AK$361,MATCH($O127,Scoring!$AS$29:$AS$361,0)))</f>
        <v>Priority 3</v>
      </c>
      <c r="E127" s="7" t="str">
        <f aca="false">IF($O127="","",INDEX(Scoring!$AL$29:$AL$361,MATCH($O127,Scoring!$AS$29:$AS$361,0)))</f>
        <v>Lower price · lower volume</v>
      </c>
      <c r="F127" s="6" t="str">
        <f aca="false">IF($O127="","",INDEX(Scoring!$B$29:$B$361,MATCH($O127,Scoring!$AS$29:$AS$361,0)))</f>
        <v>Neostigmine</v>
      </c>
      <c r="G127" s="7" t="str">
        <f aca="false">IF($O127="","",INDEX(Scoring!$AG$29:$AG$361,MATCH($O127,Scoring!$AS$29:$AS$361,0)))</f>
        <v>Neostigmine Methylsulfate</v>
      </c>
      <c r="H127" s="7" t="str">
        <f aca="false">IF($O127="","",INDEX(Scoring!$C$29:$C$361,MATCH($O127,Scoring!$AS$29:$AS$361,0)))</f>
        <v>Anaesthesia and neurology: reversal of muscle relaxants after surgery, myasthenia gravis</v>
      </c>
      <c r="I127" s="6" t="str">
        <f aca="false">IF($O127="","",INDEX(Scoring!$I$29:$I$361,MATCH($O127,Scoring!$AS$29:$AS$361,0)))</f>
        <v>Vial, Prefilled syringe</v>
      </c>
      <c r="J127" s="7" t="str">
        <f aca="false">IF($O127="","",INDEX(Scoring!$Z$29:$Z$361,MATCH($O127,Scoring!$AS$29:$AS$361,0)))</f>
        <v>3 mg/3 mL pre-filled syringe; 5 mg/10 mL vial; 10 mg/10 mL vial</v>
      </c>
      <c r="K127" s="8" t="n">
        <f aca="false">IF($O127="","",IF(INDEX(Scoring!$D$29:$D$361,MATCH($O127,Scoring!$AS$29:$AS$361,0))="",INDEX(Scoring!$AF$29:$AF$361,MATCH($O127,Scoring!$AS$29:$AS$361,0)),INDEX(Scoring!$D$29:$D$361,MATCH($O127,Scoring!$AS$29:$AS$361,0))))</f>
        <v>17.79</v>
      </c>
      <c r="L127" s="9" t="n">
        <f aca="false">IF($O127="","",INDEX(Scoring!$L$29:$L$361,MATCH($O127,Scoring!$AS$29:$AS$361,0)))</f>
        <v>236</v>
      </c>
      <c r="M127" s="9" t="n">
        <f aca="false">IF($O127="","",INDEX(Scoring!$N$29:$N$361,MATCH($O127,Scoring!$AS$29:$AS$361,0)))</f>
        <v>1845.67</v>
      </c>
      <c r="N127" s="7" t="str">
        <f aca="false">IF($O127="","",INDEX(Scoring!$AI$29:$AI$361,MATCH($O127,Scoring!$AS$29:$AS$361,0)))</f>
        <v>US</v>
      </c>
      <c r="O127" s="10" t="n">
        <f aca="false">IFERROR(SMALL(Scoring!$AS$29:$AS$361,123),"")</f>
        <v>8013</v>
      </c>
    </row>
    <row r="128" customFormat="false" ht="41.75" hidden="false" customHeight="false" outlineLevel="0" collapsed="false">
      <c r="A128" s="5" t="n">
        <f aca="false">IF($O128="","",INT($O128/1000))</f>
        <v>8</v>
      </c>
      <c r="B128" s="6" t="str">
        <f aca="false">IF($O128="","",INDEX(Scoring!$A$29:$A$361,MATCH($O128,Scoring!$AS$29:$AS$361,0)))</f>
        <v>Dr. Reddy's</v>
      </c>
      <c r="C128" s="5" t="str">
        <f aca="false">IF($O128="","",IF(INDEX(Scoring!$AM$29:$AM$361,MATCH($O128,Scoring!$AS$29:$AS$361,0))="","–",INDEX(Scoring!$AM$29:$AM$361,MATCH($O128,Scoring!$AS$29:$AS$361,0))))</f>
        <v>–</v>
      </c>
      <c r="D128" s="6" t="str">
        <f aca="false">IF($O128="","",INDEX(Scoring!$AK$29:$AK$361,MATCH($O128,Scoring!$AS$29:$AS$361,0)))</f>
        <v>Excluded – price ≤ $5</v>
      </c>
      <c r="E128" s="7" t="str">
        <f aca="false">IF($O128="","",INDEX(Scoring!$AL$29:$AL$361,MATCH($O128,Scoring!$AS$29:$AS$361,0)))</f>
        <v/>
      </c>
      <c r="F128" s="6" t="str">
        <f aca="false">IF($O128="","",INDEX(Scoring!$B$29:$B$361,MATCH($O128,Scoring!$AS$29:$AS$361,0)))</f>
        <v>Triamcinolone Acetonide</v>
      </c>
      <c r="G128" s="7" t="str">
        <f aca="false">IF($O128="","",INDEX(Scoring!$AG$29:$AG$361,MATCH($O128,Scoring!$AS$29:$AS$361,0)))</f>
        <v>Triamcinolone Acetonide</v>
      </c>
      <c r="H128" s="7" t="str">
        <f aca="false">IF($O128="","",INDEX(Scoring!$C$29:$C$361,MATCH($O128,Scoring!$AS$29:$AS$361,0)))</f>
        <v>Musculoskeletal and immunology: joint and soft-tissue injections, allergic and skin conditions</v>
      </c>
      <c r="I128" s="6" t="str">
        <f aca="false">IF($O128="","",INDEX(Scoring!$I$29:$I$361,MATCH($O128,Scoring!$AS$29:$AS$361,0)))</f>
        <v>Not stated</v>
      </c>
      <c r="J128" s="7" t="str">
        <f aca="false">IF($O128="","",INDEX(Scoring!$Z$29:$Z$361,MATCH($O128,Scoring!$AS$29:$AS$361,0)))</f>
        <v>10 mg/mL (container not stated); 40 mg/mL (container not stated)</v>
      </c>
      <c r="K128" s="8" t="n">
        <f aca="false">IF($O128="","",IF(INDEX(Scoring!$D$29:$D$361,MATCH($O128,Scoring!$AS$29:$AS$361,0))="",INDEX(Scoring!$AF$29:$AF$361,MATCH($O128,Scoring!$AS$29:$AS$361,0)),INDEX(Scoring!$D$29:$D$361,MATCH($O128,Scoring!$AS$29:$AS$361,0))))</f>
        <v>3.55</v>
      </c>
      <c r="L128" s="9" t="n">
        <f aca="false">IF($O128="","",INDEX(Scoring!$L$29:$L$361,MATCH($O128,Scoring!$AS$29:$AS$361,0)))</f>
        <v>735</v>
      </c>
      <c r="M128" s="9" t="n">
        <f aca="false">IF($O128="","",INDEX(Scoring!$N$29:$N$361,MATCH($O128,Scoring!$AS$29:$AS$361,0)))</f>
        <v>16205.48</v>
      </c>
      <c r="N128" s="7" t="str">
        <f aca="false">IF($O128="","",INDEX(Scoring!$AI$29:$AI$361,MATCH($O128,Scoring!$AS$29:$AS$361,0)))</f>
        <v>US</v>
      </c>
      <c r="O128" s="10" t="n">
        <f aca="false">IFERROR(SMALL(Scoring!$AS$29:$AS$361,124),"")</f>
        <v>8901</v>
      </c>
    </row>
    <row r="129" customFormat="false" ht="28.35" hidden="false" customHeight="false" outlineLevel="0" collapsed="false">
      <c r="A129" s="5" t="n">
        <f aca="false">IF($O129="","",INT($O129/1000))</f>
        <v>9</v>
      </c>
      <c r="B129" s="6" t="str">
        <f aca="false">IF($O129="","",INDEX(Scoring!$A$29:$A$361,MATCH($O129,Scoring!$AS$29:$AS$361,0)))</f>
        <v>Glenmark</v>
      </c>
      <c r="C129" s="5" t="n">
        <f aca="false">IF($O129="","",IF(INDEX(Scoring!$AM$29:$AM$361,MATCH($O129,Scoring!$AS$29:$AS$361,0))="","–",INDEX(Scoring!$AM$29:$AM$361,MATCH($O129,Scoring!$AS$29:$AS$361,0))))</f>
        <v>1</v>
      </c>
      <c r="D129" s="6" t="str">
        <f aca="false">IF($O129="","",INDEX(Scoring!$AK$29:$AK$361,MATCH($O129,Scoring!$AS$29:$AS$361,0)))</f>
        <v>Priority 1</v>
      </c>
      <c r="E129" s="7" t="str">
        <f aca="false">IF($O129="","",INDEX(Scoring!$AL$29:$AL$361,MATCH($O129,Scoring!$AS$29:$AS$361,0)))</f>
        <v>High price · high volume</v>
      </c>
      <c r="F129" s="6" t="str">
        <f aca="false">IF($O129="","",INDEX(Scoring!$B$29:$B$361,MATCH($O129,Scoring!$AS$29:$AS$361,0)))</f>
        <v>Azacitidine</v>
      </c>
      <c r="G129" s="7" t="str">
        <f aca="false">IF($O129="","",INDEX(Scoring!$AG$29:$AG$361,MATCH($O129,Scoring!$AS$29:$AS$361,0)))</f>
        <v>Azacitidina Glenmark</v>
      </c>
      <c r="H129" s="7" t="str">
        <f aca="false">IF($O129="","",INDEX(Scoring!$C$29:$C$361,MATCH($O129,Scoring!$AS$29:$AS$361,0)))</f>
        <v>Oncology: myelodysplastic syndromes, acute myeloid leukaemia</v>
      </c>
      <c r="I129" s="6" t="str">
        <f aca="false">IF($O129="","",INDEX(Scoring!$I$29:$I$361,MATCH($O129,Scoring!$AS$29:$AS$361,0)))</f>
        <v>Vial</v>
      </c>
      <c r="J129" s="7" t="str">
        <f aca="false">IF($O129="","",INDEX(Scoring!$Z$29:$Z$361,MATCH($O129,Scoring!$AS$29:$AS$361,0)))</f>
        <v>100 mg powder vial</v>
      </c>
      <c r="K129" s="8" t="n">
        <f aca="false">IF($O129="","",IF(INDEX(Scoring!$D$29:$D$361,MATCH($O129,Scoring!$AS$29:$AS$361,0))="",INDEX(Scoring!$AF$29:$AF$361,MATCH($O129,Scoring!$AS$29:$AS$361,0)),INDEX(Scoring!$D$29:$D$361,MATCH($O129,Scoring!$AS$29:$AS$361,0))))</f>
        <v>397.42</v>
      </c>
      <c r="L129" s="9" t="n">
        <f aca="false">IF($O129="","",INDEX(Scoring!$L$29:$L$361,MATCH($O129,Scoring!$AS$29:$AS$361,0)))</f>
        <v>762</v>
      </c>
      <c r="M129" s="9" t="n">
        <f aca="false">IF($O129="","",INDEX(Scoring!$N$29:$N$361,MATCH($O129,Scoring!$AS$29:$AS$361,0)))</f>
        <v>50865.56</v>
      </c>
      <c r="N129" s="7" t="str">
        <f aca="false">IF($O129="","",INDEX(Scoring!$AI$29:$AI$361,MATCH($O129,Scoring!$AS$29:$AS$361,0)))</f>
        <v>EU/EEA (3): Iceland, Slovakia, Spain</v>
      </c>
      <c r="O129" s="10" t="n">
        <f aca="false">IFERROR(SMALL(Scoring!$AS$29:$AS$361,125),"")</f>
        <v>9001</v>
      </c>
    </row>
    <row r="130" customFormat="false" ht="28.35" hidden="false" customHeight="false" outlineLevel="0" collapsed="false">
      <c r="A130" s="5" t="n">
        <f aca="false">IF($O130="","",INT($O130/1000))</f>
        <v>9</v>
      </c>
      <c r="B130" s="6" t="str">
        <f aca="false">IF($O130="","",INDEX(Scoring!$A$29:$A$361,MATCH($O130,Scoring!$AS$29:$AS$361,0)))</f>
        <v>Glenmark</v>
      </c>
      <c r="C130" s="5" t="n">
        <f aca="false">IF($O130="","",IF(INDEX(Scoring!$AM$29:$AM$361,MATCH($O130,Scoring!$AS$29:$AS$361,0))="","–",INDEX(Scoring!$AM$29:$AM$361,MATCH($O130,Scoring!$AS$29:$AS$361,0))))</f>
        <v>2</v>
      </c>
      <c r="D130" s="6" t="str">
        <f aca="false">IF($O130="","",INDEX(Scoring!$AK$29:$AK$361,MATCH($O130,Scoring!$AS$29:$AS$361,0)))</f>
        <v>Priority 1</v>
      </c>
      <c r="E130" s="7" t="str">
        <f aca="false">IF($O130="","",INDEX(Scoring!$AL$29:$AL$361,MATCH($O130,Scoring!$AS$29:$AS$361,0)))</f>
        <v>High price · high volume</v>
      </c>
      <c r="F130" s="6" t="str">
        <f aca="false">IF($O130="","",INDEX(Scoring!$B$29:$B$361,MATCH($O130,Scoring!$AS$29:$AS$361,0)))</f>
        <v>Bortezomib</v>
      </c>
      <c r="G130" s="7" t="str">
        <f aca="false">IF($O130="","",INDEX(Scoring!$AG$29:$AG$361,MATCH($O130,Scoring!$AS$29:$AS$361,0)))</f>
        <v>Bortezomib Glenmark; Bortraczo</v>
      </c>
      <c r="H130" s="7" t="str">
        <f aca="false">IF($O130="","",INDEX(Scoring!$C$29:$C$361,MATCH($O130,Scoring!$AS$29:$AS$361,0)))</f>
        <v>Oncology: multiple myeloma, mantle cell lymphoma</v>
      </c>
      <c r="I130" s="6" t="str">
        <f aca="false">IF($O130="","",INDEX(Scoring!$I$29:$I$361,MATCH($O130,Scoring!$AS$29:$AS$361,0)))</f>
        <v>Vial</v>
      </c>
      <c r="J130" s="7" t="str">
        <f aca="false">IF($O130="","",INDEX(Scoring!$Z$29:$Z$361,MATCH($O130,Scoring!$AS$29:$AS$361,0)))</f>
        <v>1 mg powder vial; 2.5 mg/1 mL vial; 3.5 mg/1.4 mL vial</v>
      </c>
      <c r="K130" s="8" t="n">
        <f aca="false">IF($O130="","",IF(INDEX(Scoring!$D$29:$D$361,MATCH($O130,Scoring!$AS$29:$AS$361,0))="",INDEX(Scoring!$AF$29:$AF$361,MATCH($O130,Scoring!$AS$29:$AS$361,0)),INDEX(Scoring!$D$29:$D$361,MATCH($O130,Scoring!$AS$29:$AS$361,0))))</f>
        <v>64.91</v>
      </c>
      <c r="L130" s="9" t="n">
        <f aca="false">IF($O130="","",INDEX(Scoring!$L$29:$L$361,MATCH($O130,Scoring!$AS$29:$AS$361,0)))</f>
        <v>905</v>
      </c>
      <c r="M130" s="9" t="n">
        <f aca="false">IF($O130="","",INDEX(Scoring!$N$29:$N$361,MATCH($O130,Scoring!$AS$29:$AS$361,0)))</f>
        <v>28093.38</v>
      </c>
      <c r="N130" s="7" t="str">
        <f aca="false">IF($O130="","",INDEX(Scoring!$AI$29:$AI$361,MATCH($O130,Scoring!$AS$29:$AS$361,0)))</f>
        <v>Australia | EU/EEA (11): Germany, France, Netherlands, Denmark + 7 more</v>
      </c>
      <c r="O130" s="10" t="n">
        <f aca="false">IFERROR(SMALL(Scoring!$AS$29:$AS$361,126),"")</f>
        <v>9002</v>
      </c>
    </row>
    <row r="131" customFormat="false" ht="28.35" hidden="false" customHeight="false" outlineLevel="0" collapsed="false">
      <c r="A131" s="5" t="n">
        <f aca="false">IF($O131="","",INT($O131/1000))</f>
        <v>9</v>
      </c>
      <c r="B131" s="6" t="str">
        <f aca="false">IF($O131="","",INDEX(Scoring!$A$29:$A$361,MATCH($O131,Scoring!$AS$29:$AS$361,0)))</f>
        <v>Glenmark</v>
      </c>
      <c r="C131" s="5" t="n">
        <f aca="false">IF($O131="","",IF(INDEX(Scoring!$AM$29:$AM$361,MATCH($O131,Scoring!$AS$29:$AS$361,0))="","–",INDEX(Scoring!$AM$29:$AM$361,MATCH($O131,Scoring!$AS$29:$AS$361,0))))</f>
        <v>3</v>
      </c>
      <c r="D131" s="6" t="str">
        <f aca="false">IF($O131="","",INDEX(Scoring!$AK$29:$AK$361,MATCH($O131,Scoring!$AS$29:$AS$361,0)))</f>
        <v>Priority 2</v>
      </c>
      <c r="E131" s="7" t="str">
        <f aca="false">IF($O131="","",INDEX(Scoring!$AL$29:$AL$361,MATCH($O131,Scoring!$AS$29:$AS$361,0)))</f>
        <v>High price · lower volume</v>
      </c>
      <c r="F131" s="6" t="str">
        <f aca="false">IF($O131="","",INDEX(Scoring!$B$29:$B$361,MATCH($O131,Scoring!$AS$29:$AS$361,0)))</f>
        <v>Fulvestrant</v>
      </c>
      <c r="G131" s="7" t="str">
        <f aca="false">IF($O131="","",INDEX(Scoring!$AG$29:$AG$361,MATCH($O131,Scoring!$AS$29:$AS$361,0)))</f>
        <v>Fulvestrant; Fulvestrant Glenmark</v>
      </c>
      <c r="H131" s="7" t="str">
        <f aca="false">IF($O131="","",INDEX(Scoring!$C$29:$C$361,MATCH($O131,Scoring!$AS$29:$AS$361,0)))</f>
        <v>Oncology: hormone receptor-positive advanced breast cancer</v>
      </c>
      <c r="I131" s="6" t="str">
        <f aca="false">IF($O131="","",INDEX(Scoring!$I$29:$I$361,MATCH($O131,Scoring!$AS$29:$AS$361,0)))</f>
        <v>Prefilled syringe</v>
      </c>
      <c r="J131" s="7" t="str">
        <f aca="false">IF($O131="","",INDEX(Scoring!$Z$29:$Z$361,MATCH($O131,Scoring!$AS$29:$AS$361,0)))</f>
        <v>250 mg/5 mL pre-filled syringe; 250 mg pre-filled syringe</v>
      </c>
      <c r="K131" s="8" t="n">
        <f aca="false">IF($O131="","",IF(INDEX(Scoring!$D$29:$D$361,MATCH($O131,Scoring!$AS$29:$AS$361,0))="",INDEX(Scoring!$AF$29:$AF$361,MATCH($O131,Scoring!$AS$29:$AS$361,0)),INDEX(Scoring!$D$29:$D$361,MATCH($O131,Scoring!$AS$29:$AS$361,0))))</f>
        <v>302.38</v>
      </c>
      <c r="L131" s="9" t="n">
        <f aca="false">IF($O131="","",INDEX(Scoring!$L$29:$L$361,MATCH($O131,Scoring!$AS$29:$AS$361,0)))</f>
        <v>146</v>
      </c>
      <c r="M131" s="9" t="n">
        <f aca="false">IF($O131="","",INDEX(Scoring!$N$29:$N$361,MATCH($O131,Scoring!$AS$29:$AS$361,0)))</f>
        <v>11366.06</v>
      </c>
      <c r="N131" s="7" t="str">
        <f aca="false">IF($O131="","",INDEX(Scoring!$AI$29:$AI$361,MATCH($O131,Scoring!$AS$29:$AS$361,0)))</f>
        <v>US, UK, UK-NI | EU/EEA (5): Germany, Netherlands, Denmark, Spain, Sweden</v>
      </c>
      <c r="O131" s="10" t="n">
        <f aca="false">IFERROR(SMALL(Scoring!$AS$29:$AS$361,127),"")</f>
        <v>9003</v>
      </c>
    </row>
    <row r="132" customFormat="false" ht="28.35" hidden="false" customHeight="false" outlineLevel="0" collapsed="false">
      <c r="A132" s="5" t="n">
        <f aca="false">IF($O132="","",INT($O132/1000))</f>
        <v>9</v>
      </c>
      <c r="B132" s="6" t="str">
        <f aca="false">IF($O132="","",INDEX(Scoring!$A$29:$A$361,MATCH($O132,Scoring!$AS$29:$AS$361,0)))</f>
        <v>Glenmark</v>
      </c>
      <c r="C132" s="5" t="n">
        <f aca="false">IF($O132="","",IF(INDEX(Scoring!$AM$29:$AM$361,MATCH($O132,Scoring!$AS$29:$AS$361,0))="","–",INDEX(Scoring!$AM$29:$AM$361,MATCH($O132,Scoring!$AS$29:$AS$361,0))))</f>
        <v>4</v>
      </c>
      <c r="D132" s="6" t="str">
        <f aca="false">IF($O132="","",INDEX(Scoring!$AK$29:$AK$361,MATCH($O132,Scoring!$AS$29:$AS$361,0)))</f>
        <v>Priority 2</v>
      </c>
      <c r="E132" s="7" t="str">
        <f aca="false">IF($O132="","",INDEX(Scoring!$AL$29:$AL$361,MATCH($O132,Scoring!$AS$29:$AS$361,0)))</f>
        <v>High price · lower volume</v>
      </c>
      <c r="F132" s="6" t="str">
        <f aca="false">IF($O132="","",INDEX(Scoring!$B$29:$B$361,MATCH($O132,Scoring!$AS$29:$AS$361,0)))</f>
        <v>Plerixafor</v>
      </c>
      <c r="G132" s="7" t="str">
        <f aca="false">IF($O132="","",INDEX(Scoring!$AG$29:$AG$361,MATCH($O132,Scoring!$AS$29:$AS$361,0)))</f>
        <v>Plerixafor Glenmark</v>
      </c>
      <c r="H132" s="7" t="str">
        <f aca="false">IF($O132="","",INDEX(Scoring!$C$29:$C$361,MATCH($O132,Scoring!$AS$29:$AS$361,0)))</f>
        <v>Oncology support: stem cell mobilisation in myeloma and lymphoma</v>
      </c>
      <c r="I132" s="6" t="str">
        <f aca="false">IF($O132="","",INDEX(Scoring!$I$29:$I$361,MATCH($O132,Scoring!$AS$29:$AS$361,0)))</f>
        <v>Vial</v>
      </c>
      <c r="J132" s="7" t="str">
        <f aca="false">IF($O132="","",INDEX(Scoring!$Z$29:$Z$361,MATCH($O132,Scoring!$AS$29:$AS$361,0)))</f>
        <v>24 mg/1.2 mL vial</v>
      </c>
      <c r="K132" s="8" t="n">
        <f aca="false">IF($O132="","",IF(INDEX(Scoring!$D$29:$D$361,MATCH($O132,Scoring!$AS$29:$AS$361,0))="",INDEX(Scoring!$AF$29:$AF$361,MATCH($O132,Scoring!$AS$29:$AS$361,0)),INDEX(Scoring!$D$29:$D$361,MATCH($O132,Scoring!$AS$29:$AS$361,0))))</f>
        <v>7322.42</v>
      </c>
      <c r="L132" s="9" t="n">
        <f aca="false">IF($O132="","",INDEX(Scoring!$L$29:$L$361,MATCH($O132,Scoring!$AS$29:$AS$361,0)))</f>
        <v>47</v>
      </c>
      <c r="M132" s="9" t="n">
        <f aca="false">IF($O132="","",INDEX(Scoring!$N$29:$N$361,MATCH($O132,Scoring!$AS$29:$AS$361,0)))</f>
        <v>7904.67</v>
      </c>
      <c r="N132" s="7" t="str">
        <f aca="false">IF($O132="","",INDEX(Scoring!$AI$29:$AI$361,MATCH($O132,Scoring!$AS$29:$AS$361,0)))</f>
        <v>EU/EEA (1): Spain</v>
      </c>
      <c r="O132" s="10" t="n">
        <f aca="false">IFERROR(SMALL(Scoring!$AS$29:$AS$361,128),"")</f>
        <v>9004</v>
      </c>
    </row>
    <row r="133" customFormat="false" ht="28.35" hidden="false" customHeight="false" outlineLevel="0" collapsed="false">
      <c r="A133" s="5" t="n">
        <f aca="false">IF($O133="","",INT($O133/1000))</f>
        <v>10</v>
      </c>
      <c r="B133" s="6" t="str">
        <f aca="false">IF($O133="","",INDEX(Scoring!$A$29:$A$361,MATCH($O133,Scoring!$AS$29:$AS$361,0)))</f>
        <v>Sun Pharma</v>
      </c>
      <c r="C133" s="5" t="n">
        <f aca="false">IF($O133="","",IF(INDEX(Scoring!$AM$29:$AM$361,MATCH($O133,Scoring!$AS$29:$AS$361,0))="","–",INDEX(Scoring!$AM$29:$AM$361,MATCH($O133,Scoring!$AS$29:$AS$361,0))))</f>
        <v>1</v>
      </c>
      <c r="D133" s="6" t="str">
        <f aca="false">IF($O133="","",INDEX(Scoring!$AK$29:$AK$361,MATCH($O133,Scoring!$AS$29:$AS$361,0)))</f>
        <v>Priority 1</v>
      </c>
      <c r="E133" s="7" t="str">
        <f aca="false">IF($O133="","",INDEX(Scoring!$AL$29:$AL$361,MATCH($O133,Scoring!$AS$29:$AS$361,0)))</f>
        <v>High price · high volume</v>
      </c>
      <c r="F133" s="6" t="str">
        <f aca="false">IF($O133="","",INDEX(Scoring!$B$29:$B$361,MATCH($O133,Scoring!$AS$29:$AS$361,0)))</f>
        <v>Bortezomib</v>
      </c>
      <c r="G133" s="7" t="str">
        <f aca="false">IF($O133="","",INDEX(Scoring!$AG$29:$AG$361,MATCH($O133,Scoring!$AS$29:$AS$361,0)))</f>
        <v>Bortezomib Sun; Taro-Bortezomib; Botigen</v>
      </c>
      <c r="H133" s="7" t="str">
        <f aca="false">IF($O133="","",INDEX(Scoring!$C$29:$C$361,MATCH($O133,Scoring!$AS$29:$AS$361,0)))</f>
        <v>Oncology: multiple myeloma, mantle cell lymphoma</v>
      </c>
      <c r="I133" s="6" t="str">
        <f aca="false">IF($O133="","",INDEX(Scoring!$I$29:$I$361,MATCH($O133,Scoring!$AS$29:$AS$361,0)))</f>
        <v>Vial</v>
      </c>
      <c r="J133" s="7" t="str">
        <f aca="false">IF($O133="","",INDEX(Scoring!$Z$29:$Z$361,MATCH($O133,Scoring!$AS$29:$AS$361,0)))</f>
        <v>3.5 mg powder vial; 3.5 mg/10 mL vial; 3.5 mg in 10 mL powder vial</v>
      </c>
      <c r="K133" s="8" t="n">
        <f aca="false">IF($O133="","",IF(INDEX(Scoring!$D$29:$D$361,MATCH($O133,Scoring!$AS$29:$AS$361,0))="",INDEX(Scoring!$AF$29:$AF$361,MATCH($O133,Scoring!$AS$29:$AS$361,0)),INDEX(Scoring!$D$29:$D$361,MATCH($O133,Scoring!$AS$29:$AS$361,0))))</f>
        <v>887.33</v>
      </c>
      <c r="L133" s="9" t="n">
        <f aca="false">IF($O133="","",INDEX(Scoring!$L$29:$L$361,MATCH($O133,Scoring!$AS$29:$AS$361,0)))</f>
        <v>905</v>
      </c>
      <c r="M133" s="9" t="n">
        <f aca="false">IF($O133="","",INDEX(Scoring!$N$29:$N$361,MATCH($O133,Scoring!$AS$29:$AS$361,0)))</f>
        <v>28093.38</v>
      </c>
      <c r="N133" s="7" t="str">
        <f aca="false">IF($O133="","",INDEX(Scoring!$AI$29:$AI$361,MATCH($O133,Scoring!$AS$29:$AS$361,0)))</f>
        <v>UK, Canada, South Africa, UK-NI | EU/EEA: all 30 countries</v>
      </c>
      <c r="O133" s="10" t="n">
        <f aca="false">IFERROR(SMALL(Scoring!$AS$29:$AS$361,129),"")</f>
        <v>10001</v>
      </c>
    </row>
    <row r="134" customFormat="false" ht="28.35" hidden="false" customHeight="false" outlineLevel="0" collapsed="false">
      <c r="A134" s="5" t="n">
        <f aca="false">IF($O134="","",INT($O134/1000))</f>
        <v>10</v>
      </c>
      <c r="B134" s="6" t="str">
        <f aca="false">IF($O134="","",INDEX(Scoring!$A$29:$A$361,MATCH($O134,Scoring!$AS$29:$AS$361,0)))</f>
        <v>Sun Pharma</v>
      </c>
      <c r="C134" s="5" t="n">
        <f aca="false">IF($O134="","",IF(INDEX(Scoring!$AM$29:$AM$361,MATCH($O134,Scoring!$AS$29:$AS$361,0))="","–",INDEX(Scoring!$AM$29:$AM$361,MATCH($O134,Scoring!$AS$29:$AS$361,0))))</f>
        <v>2</v>
      </c>
      <c r="D134" s="6" t="str">
        <f aca="false">IF($O134="","",INDEX(Scoring!$AK$29:$AK$361,MATCH($O134,Scoring!$AS$29:$AS$361,0)))</f>
        <v>Priority 1</v>
      </c>
      <c r="E134" s="7" t="str">
        <f aca="false">IF($O134="","",INDEX(Scoring!$AL$29:$AL$361,MATCH($O134,Scoring!$AS$29:$AS$361,0)))</f>
        <v>High price · high volume</v>
      </c>
      <c r="F134" s="6" t="str">
        <f aca="false">IF($O134="","",INDEX(Scoring!$B$29:$B$361,MATCH($O134,Scoring!$AS$29:$AS$361,0)))</f>
        <v>Aripiprazole</v>
      </c>
      <c r="G134" s="7" t="str">
        <f aca="false">IF($O134="","",INDEX(Scoring!$AG$29:$AG$361,MATCH($O134,Scoring!$AS$29:$AS$361,0)))</f>
        <v>Aripiprazole; Aripena</v>
      </c>
      <c r="H134" s="7" t="str">
        <f aca="false">IF($O134="","",INDEX(Scoring!$C$29:$C$361,MATCH($O134,Scoring!$AS$29:$AS$361,0)))</f>
        <v>Psychiatry: long-acting injection for schizophrenia and bipolar disorder</v>
      </c>
      <c r="I134" s="6" t="str">
        <f aca="false">IF($O134="","",INDEX(Scoring!$I$29:$I$361,MATCH($O134,Scoring!$AS$29:$AS$361,0)))</f>
        <v>Vial</v>
      </c>
      <c r="J134" s="7" t="str">
        <f aca="false">IF($O134="","",INDEX(Scoring!$Z$29:$Z$361,MATCH($O134,Scoring!$AS$29:$AS$361,0)))</f>
        <v>300 mg powder vial; 400 mg powder vial</v>
      </c>
      <c r="K134" s="8" t="n">
        <f aca="false">IF($O134="","",IF(INDEX(Scoring!$D$29:$D$361,MATCH($O134,Scoring!$AS$29:$AS$361,0))="",INDEX(Scoring!$AF$29:$AF$361,MATCH($O134,Scoring!$AS$29:$AS$361,0)),INDEX(Scoring!$D$29:$D$361,MATCH($O134,Scoring!$AS$29:$AS$361,0))))</f>
        <v>198.74</v>
      </c>
      <c r="L134" s="9" t="n">
        <f aca="false">IF($O134="","",INDEX(Scoring!$L$29:$L$361,MATCH($O134,Scoring!$AS$29:$AS$361,0)))</f>
        <v>1331</v>
      </c>
      <c r="M134" s="9" t="n">
        <f aca="false">IF($O134="","",INDEX(Scoring!$N$29:$N$361,MATCH($O134,Scoring!$AS$29:$AS$361,0)))</f>
        <v>23317.34</v>
      </c>
      <c r="N134" s="7" t="str">
        <f aca="false">IF($O134="","",INDEX(Scoring!$AI$29:$AI$361,MATCH($O134,Scoring!$AS$29:$AS$361,0)))</f>
        <v>UK, Australia</v>
      </c>
      <c r="O134" s="10" t="n">
        <f aca="false">IFERROR(SMALL(Scoring!$AS$29:$AS$361,130),"")</f>
        <v>10002</v>
      </c>
    </row>
    <row r="135" customFormat="false" ht="28.35" hidden="false" customHeight="false" outlineLevel="0" collapsed="false">
      <c r="A135" s="5" t="n">
        <f aca="false">IF($O135="","",INT($O135/1000))</f>
        <v>10</v>
      </c>
      <c r="B135" s="6" t="str">
        <f aca="false">IF($O135="","",INDEX(Scoring!$A$29:$A$361,MATCH($O135,Scoring!$AS$29:$AS$361,0)))</f>
        <v>Sun Pharma</v>
      </c>
      <c r="C135" s="5" t="n">
        <f aca="false">IF($O135="","",IF(INDEX(Scoring!$AM$29:$AM$361,MATCH($O135,Scoring!$AS$29:$AS$361,0))="","–",INDEX(Scoring!$AM$29:$AM$361,MATCH($O135,Scoring!$AS$29:$AS$361,0))))</f>
        <v>3</v>
      </c>
      <c r="D135" s="6" t="str">
        <f aca="false">IF($O135="","",INDEX(Scoring!$AK$29:$AK$361,MATCH($O135,Scoring!$AS$29:$AS$361,0)))</f>
        <v>Priority 2</v>
      </c>
      <c r="E135" s="7" t="str">
        <f aca="false">IF($O135="","",INDEX(Scoring!$AL$29:$AL$361,MATCH($O135,Scoring!$AS$29:$AS$361,0)))</f>
        <v>High price · lower volume</v>
      </c>
      <c r="F135" s="6" t="str">
        <f aca="false">IF($O135="","",INDEX(Scoring!$B$29:$B$361,MATCH($O135,Scoring!$AS$29:$AS$361,0)))</f>
        <v>Fulvestrant</v>
      </c>
      <c r="G135" s="7" t="str">
        <f aca="false">IF($O135="","",INDEX(Scoring!$AG$29:$AG$361,MATCH($O135,Scoring!$AS$29:$AS$361,0)))</f>
        <v>Fulvestrant Sun</v>
      </c>
      <c r="H135" s="7" t="str">
        <f aca="false">IF($O135="","",INDEX(Scoring!$C$29:$C$361,MATCH($O135,Scoring!$AS$29:$AS$361,0)))</f>
        <v>Oncology: hormone receptor-positive advanced breast cancer</v>
      </c>
      <c r="I135" s="6" t="str">
        <f aca="false">IF($O135="","",INDEX(Scoring!$I$29:$I$361,MATCH($O135,Scoring!$AS$29:$AS$361,0)))</f>
        <v>Prefilled syringe</v>
      </c>
      <c r="J135" s="7" t="str">
        <f aca="false">IF($O135="","",INDEX(Scoring!$Z$29:$Z$361,MATCH($O135,Scoring!$AS$29:$AS$361,0)))</f>
        <v>250 mg/5 mL pre-filled syringe</v>
      </c>
      <c r="K135" s="8" t="n">
        <f aca="false">IF($O135="","",IF(INDEX(Scoring!$D$29:$D$361,MATCH($O135,Scoring!$AS$29:$AS$361,0))="",INDEX(Scoring!$AF$29:$AF$361,MATCH($O135,Scoring!$AS$29:$AS$361,0)),INDEX(Scoring!$D$29:$D$361,MATCH($O135,Scoring!$AS$29:$AS$361,0))))</f>
        <v>438.59</v>
      </c>
      <c r="L135" s="9" t="n">
        <f aca="false">IF($O135="","",INDEX(Scoring!$L$29:$L$361,MATCH($O135,Scoring!$AS$29:$AS$361,0)))</f>
        <v>146</v>
      </c>
      <c r="M135" s="9" t="n">
        <f aca="false">IF($O135="","",INDEX(Scoring!$N$29:$N$361,MATCH($O135,Scoring!$AS$29:$AS$361,0)))</f>
        <v>11366.06</v>
      </c>
      <c r="N135" s="7" t="str">
        <f aca="false">IF($O135="","",INDEX(Scoring!$AI$29:$AI$361,MATCH($O135,Scoring!$AS$29:$AS$361,0)))</f>
        <v>UK, UK-NI | EU/EEA (5): Netherlands, Poland, Romania, Spain, Sweden</v>
      </c>
      <c r="O135" s="10" t="n">
        <f aca="false">IFERROR(SMALL(Scoring!$AS$29:$AS$361,131),"")</f>
        <v>10003</v>
      </c>
    </row>
    <row r="136" customFormat="false" ht="28.35" hidden="false" customHeight="false" outlineLevel="0" collapsed="false">
      <c r="A136" s="5" t="n">
        <f aca="false">IF($O136="","",INT($O136/1000))</f>
        <v>10</v>
      </c>
      <c r="B136" s="6" t="str">
        <f aca="false">IF($O136="","",INDEX(Scoring!$A$29:$A$361,MATCH($O136,Scoring!$AS$29:$AS$361,0)))</f>
        <v>Sun Pharma</v>
      </c>
      <c r="C136" s="5" t="n">
        <f aca="false">IF($O136="","",IF(INDEX(Scoring!$AM$29:$AM$361,MATCH($O136,Scoring!$AS$29:$AS$361,0))="","–",INDEX(Scoring!$AM$29:$AM$361,MATCH($O136,Scoring!$AS$29:$AS$361,0))))</f>
        <v>4</v>
      </c>
      <c r="D136" s="6" t="str">
        <f aca="false">IF($O136="","",INDEX(Scoring!$AK$29:$AK$361,MATCH($O136,Scoring!$AS$29:$AS$361,0)))</f>
        <v>Priority 2</v>
      </c>
      <c r="E136" s="7" t="str">
        <f aca="false">IF($O136="","",INDEX(Scoring!$AL$29:$AL$361,MATCH($O136,Scoring!$AS$29:$AS$361,0)))</f>
        <v>Lower price · high volume</v>
      </c>
      <c r="F136" s="6" t="str">
        <f aca="false">IF($O136="","",INDEX(Scoring!$B$29:$B$361,MATCH($O136,Scoring!$AS$29:$AS$361,0)))</f>
        <v>Octreotide</v>
      </c>
      <c r="G136" s="7" t="str">
        <f aca="false">IF($O136="","",INDEX(Scoring!$AG$29:$AG$361,MATCH($O136,Scoring!$AS$29:$AS$361,0)))</f>
        <v>Octreotide Sun</v>
      </c>
      <c r="H136" s="7" t="str">
        <f aca="false">IF($O136="","",INDEX(Scoring!$C$29:$C$361,MATCH($O136,Scoring!$AS$29:$AS$361,0)))</f>
        <v>Endocrinology and oncology: acromegaly, carcinoid and neuroendocrine tumours</v>
      </c>
      <c r="I136" s="6" t="str">
        <f aca="false">IF($O136="","",INDEX(Scoring!$I$29:$I$361,MATCH($O136,Scoring!$AS$29:$AS$361,0)))</f>
        <v>Ampoule</v>
      </c>
      <c r="J136" s="7" t="str">
        <f aca="false">IF($O136="","",INDEX(Scoring!$Z$29:$Z$361,MATCH($O136,Scoring!$AS$29:$AS$361,0)))</f>
        <v>500 mcg/1 mL ampoule</v>
      </c>
      <c r="K136" s="8" t="n">
        <f aca="false">IF($O136="","",IF(INDEX(Scoring!$D$29:$D$361,MATCH($O136,Scoring!$AS$29:$AS$361,0))="",INDEX(Scoring!$AF$29:$AF$361,MATCH($O136,Scoring!$AS$29:$AS$361,0)),INDEX(Scoring!$D$29:$D$361,MATCH($O136,Scoring!$AS$29:$AS$361,0))))</f>
        <v>14.55</v>
      </c>
      <c r="L136" s="9" t="n">
        <f aca="false">IF($O136="","",INDEX(Scoring!$L$29:$L$361,MATCH($O136,Scoring!$AS$29:$AS$361,0)))</f>
        <v>344</v>
      </c>
      <c r="M136" s="9" t="n">
        <f aca="false">IF($O136="","",INDEX(Scoring!$N$29:$N$361,MATCH($O136,Scoring!$AS$29:$AS$361,0)))</f>
        <v>8758.04</v>
      </c>
      <c r="N136" s="7" t="str">
        <f aca="false">IF($O136="","",INDEX(Scoring!$AI$29:$AI$361,MATCH($O136,Scoring!$AS$29:$AS$361,0)))</f>
        <v>Australia, UK-NI | EU/EEA (5): Germany, Denmark, Italy, Spain, Sweden</v>
      </c>
      <c r="O136" s="10" t="n">
        <f aca="false">IFERROR(SMALL(Scoring!$AS$29:$AS$361,132),"")</f>
        <v>10004</v>
      </c>
    </row>
    <row r="137" customFormat="false" ht="28.35" hidden="false" customHeight="false" outlineLevel="0" collapsed="false">
      <c r="A137" s="5" t="n">
        <f aca="false">IF($O137="","",INT($O137/1000))</f>
        <v>10</v>
      </c>
      <c r="B137" s="6" t="str">
        <f aca="false">IF($O137="","",INDEX(Scoring!$A$29:$A$361,MATCH($O137,Scoring!$AS$29:$AS$361,0)))</f>
        <v>Sun Pharma</v>
      </c>
      <c r="C137" s="5" t="n">
        <f aca="false">IF($O137="","",IF(INDEX(Scoring!$AM$29:$AM$361,MATCH($O137,Scoring!$AS$29:$AS$361,0))="","–",INDEX(Scoring!$AM$29:$AM$361,MATCH($O137,Scoring!$AS$29:$AS$361,0))))</f>
        <v>5</v>
      </c>
      <c r="D137" s="6" t="str">
        <f aca="false">IF($O137="","",INDEX(Scoring!$AK$29:$AK$361,MATCH($O137,Scoring!$AS$29:$AS$361,0)))</f>
        <v>Priority 2</v>
      </c>
      <c r="E137" s="7" t="str">
        <f aca="false">IF($O137="","",INDEX(Scoring!$AL$29:$AL$361,MATCH($O137,Scoring!$AS$29:$AS$361,0)))</f>
        <v>Lower price · high volume</v>
      </c>
      <c r="F137" s="6" t="str">
        <f aca="false">IF($O137="","",INDEX(Scoring!$B$29:$B$361,MATCH($O137,Scoring!$AS$29:$AS$361,0)))</f>
        <v>Testosterone Cypionate</v>
      </c>
      <c r="G137" s="7" t="str">
        <f aca="false">IF($O137="","",INDEX(Scoring!$AG$29:$AG$361,MATCH($O137,Scoring!$AS$29:$AS$361,0)))</f>
        <v>Taro-Testosterone Cypionate</v>
      </c>
      <c r="H137" s="7" t="str">
        <f aca="false">IF($O137="","",INDEX(Scoring!$C$29:$C$361,MATCH($O137,Scoring!$AS$29:$AS$361,0)))</f>
        <v>Endocrinology: testosterone replacement in male hypogonadism</v>
      </c>
      <c r="I137" s="6" t="str">
        <f aca="false">IF($O137="","",INDEX(Scoring!$I$29:$I$361,MATCH($O137,Scoring!$AS$29:$AS$361,0)))</f>
        <v>Vial</v>
      </c>
      <c r="J137" s="7" t="str">
        <f aca="false">IF($O137="","",INDEX(Scoring!$Z$29:$Z$361,MATCH($O137,Scoring!$AS$29:$AS$361,0)))</f>
        <v>1000 mg/10 mL vial</v>
      </c>
      <c r="K137" s="8" t="n">
        <f aca="false">IF($O137="","",IF(INDEX(Scoring!$D$29:$D$361,MATCH($O137,Scoring!$AS$29:$AS$361,0))="",INDEX(Scoring!$AF$29:$AF$361,MATCH($O137,Scoring!$AS$29:$AS$361,0)),INDEX(Scoring!$D$29:$D$361,MATCH($O137,Scoring!$AS$29:$AS$361,0))))</f>
        <v>24.41</v>
      </c>
      <c r="L137" s="9" t="n">
        <f aca="false">IF($O137="","",INDEX(Scoring!$L$29:$L$361,MATCH($O137,Scoring!$AS$29:$AS$361,0)))</f>
        <v>307</v>
      </c>
      <c r="M137" s="9" t="n">
        <f aca="false">IF($O137="","",INDEX(Scoring!$N$29:$N$361,MATCH($O137,Scoring!$AS$29:$AS$361,0)))</f>
        <v>7276.73</v>
      </c>
      <c r="N137" s="7" t="str">
        <f aca="false">IF($O137="","",INDEX(Scoring!$AI$29:$AI$361,MATCH($O137,Scoring!$AS$29:$AS$361,0)))</f>
        <v>Canada</v>
      </c>
      <c r="O137" s="10" t="n">
        <f aca="false">IFERROR(SMALL(Scoring!$AS$29:$AS$361,133),"")</f>
        <v>10005</v>
      </c>
    </row>
    <row r="138" customFormat="false" ht="28.35" hidden="false" customHeight="false" outlineLevel="0" collapsed="false">
      <c r="A138" s="5" t="n">
        <f aca="false">IF($O138="","",INT($O138/1000))</f>
        <v>10</v>
      </c>
      <c r="B138" s="6" t="str">
        <f aca="false">IF($O138="","",INDEX(Scoring!$A$29:$A$361,MATCH($O138,Scoring!$AS$29:$AS$361,0)))</f>
        <v>Sun Pharma</v>
      </c>
      <c r="C138" s="5" t="n">
        <f aca="false">IF($O138="","",IF(INDEX(Scoring!$AM$29:$AM$361,MATCH($O138,Scoring!$AS$29:$AS$361,0))="","–",INDEX(Scoring!$AM$29:$AM$361,MATCH($O138,Scoring!$AS$29:$AS$361,0))))</f>
        <v>6</v>
      </c>
      <c r="D138" s="6" t="str">
        <f aca="false">IF($O138="","",INDEX(Scoring!$AK$29:$AK$361,MATCH($O138,Scoring!$AS$29:$AS$361,0)))</f>
        <v>Priority 2</v>
      </c>
      <c r="E138" s="7" t="str">
        <f aca="false">IF($O138="","",INDEX(Scoring!$AL$29:$AL$361,MATCH($O138,Scoring!$AS$29:$AS$361,0)))</f>
        <v>High price · lower volume</v>
      </c>
      <c r="F138" s="6" t="str">
        <f aca="false">IF($O138="","",INDEX(Scoring!$B$29:$B$361,MATCH($O138,Scoring!$AS$29:$AS$361,0)))</f>
        <v>Teicoplanin</v>
      </c>
      <c r="G138" s="7" t="str">
        <f aca="false">IF($O138="","",INDEX(Scoring!$AG$29:$AG$361,MATCH($O138,Scoring!$AS$29:$AS$361,0)))</f>
        <v>Teicoplanin; Teicoplanin Ranbaxy</v>
      </c>
      <c r="H138" s="7" t="str">
        <f aca="false">IF($O138="","",INDEX(Scoring!$C$29:$C$361,MATCH($O138,Scoring!$AS$29:$AS$361,0)))</f>
        <v>Anti-infective: MRSA and serious Gram-positive infections</v>
      </c>
      <c r="I138" s="6" t="str">
        <f aca="false">IF($O138="","",INDEX(Scoring!$I$29:$I$361,MATCH($O138,Scoring!$AS$29:$AS$361,0)))</f>
        <v>Vial</v>
      </c>
      <c r="J138" s="7" t="str">
        <f aca="false">IF($O138="","",INDEX(Scoring!$Z$29:$Z$361,MATCH($O138,Scoring!$AS$29:$AS$361,0)))</f>
        <v>400 mg/20 mL vial; 400 mg powder vial</v>
      </c>
      <c r="K138" s="8" t="n">
        <f aca="false">IF($O138="","",IF(INDEX(Scoring!$D$29:$D$361,MATCH($O138,Scoring!$AS$29:$AS$361,0))="",INDEX(Scoring!$AF$29:$AF$361,MATCH($O138,Scoring!$AS$29:$AS$361,0)),INDEX(Scoring!$D$29:$D$361,MATCH($O138,Scoring!$AS$29:$AS$361,0))))</f>
        <v>36.53</v>
      </c>
      <c r="L138" s="9" t="n">
        <f aca="false">IF($O138="","",INDEX(Scoring!$L$29:$L$361,MATCH($O138,Scoring!$AS$29:$AS$361,0)))</f>
        <v>106</v>
      </c>
      <c r="M138" s="9" t="n">
        <f aca="false">IF($O138="","",INDEX(Scoring!$N$29:$N$361,MATCH($O138,Scoring!$AS$29:$AS$361,0)))</f>
        <v>7074.72</v>
      </c>
      <c r="N138" s="7" t="str">
        <f aca="false">IF($O138="","",INDEX(Scoring!$AI$29:$AI$361,MATCH($O138,Scoring!$AS$29:$AS$361,0)))</f>
        <v>UK, UK-NI | EU/EEA (2): Netherlands, Italy</v>
      </c>
      <c r="O138" s="10" t="n">
        <f aca="false">IFERROR(SMALL(Scoring!$AS$29:$AS$361,134),"")</f>
        <v>10006</v>
      </c>
    </row>
    <row r="139" customFormat="false" ht="28.35" hidden="false" customHeight="false" outlineLevel="0" collapsed="false">
      <c r="A139" s="5" t="n">
        <f aca="false">IF($O139="","",INT($O139/1000))</f>
        <v>10</v>
      </c>
      <c r="B139" s="6" t="str">
        <f aca="false">IF($O139="","",INDEX(Scoring!$A$29:$A$361,MATCH($O139,Scoring!$AS$29:$AS$361,0)))</f>
        <v>Sun Pharma</v>
      </c>
      <c r="C139" s="5" t="n">
        <f aca="false">IF($O139="","",IF(INDEX(Scoring!$AM$29:$AM$361,MATCH($O139,Scoring!$AS$29:$AS$361,0))="","–",INDEX(Scoring!$AM$29:$AM$361,MATCH($O139,Scoring!$AS$29:$AS$361,0))))</f>
        <v>7</v>
      </c>
      <c r="D139" s="6" t="str">
        <f aca="false">IF($O139="","",INDEX(Scoring!$AK$29:$AK$361,MATCH($O139,Scoring!$AS$29:$AS$361,0)))</f>
        <v>Priority 2</v>
      </c>
      <c r="E139" s="7" t="str">
        <f aca="false">IF($O139="","",INDEX(Scoring!$AL$29:$AL$361,MATCH($O139,Scoring!$AS$29:$AS$361,0)))</f>
        <v>High price · lower volume</v>
      </c>
      <c r="F139" s="6" t="str">
        <f aca="false">IF($O139="","",INDEX(Scoring!$B$29:$B$361,MATCH($O139,Scoring!$AS$29:$AS$361,0)))</f>
        <v>Testosterone Undecanoate</v>
      </c>
      <c r="G139" s="7" t="str">
        <f aca="false">IF($O139="","",INDEX(Scoring!$AG$29:$AG$361,MATCH($O139,Scoring!$AS$29:$AS$361,0)))</f>
        <v>Testosterone; Testosteron Basics; Testosterone Sun</v>
      </c>
      <c r="H139" s="7" t="str">
        <f aca="false">IF($O139="","",INDEX(Scoring!$C$29:$C$361,MATCH($O139,Scoring!$AS$29:$AS$361,0)))</f>
        <v>Endocrinology: long-acting testosterone replacement in male hypogonadism</v>
      </c>
      <c r="I139" s="6" t="str">
        <f aca="false">IF($O139="","",INDEX(Scoring!$I$29:$I$361,MATCH($O139,Scoring!$AS$29:$AS$361,0)))</f>
        <v>Vial</v>
      </c>
      <c r="J139" s="7" t="str">
        <f aca="false">IF($O139="","",INDEX(Scoring!$Z$29:$Z$361,MATCH($O139,Scoring!$AS$29:$AS$361,0)))</f>
        <v>1000 mg/4 mL vial</v>
      </c>
      <c r="K139" s="8" t="n">
        <f aca="false">IF($O139="","",IF(INDEX(Scoring!$D$29:$D$361,MATCH($O139,Scoring!$AS$29:$AS$361,0))="",INDEX(Scoring!$AF$29:$AF$361,MATCH($O139,Scoring!$AS$29:$AS$361,0)),INDEX(Scoring!$D$29:$D$361,MATCH($O139,Scoring!$AS$29:$AS$361,0))))</f>
        <v>64.26</v>
      </c>
      <c r="L139" s="9" t="n">
        <f aca="false">IF($O139="","",INDEX(Scoring!$L$29:$L$361,MATCH($O139,Scoring!$AS$29:$AS$361,0)))</f>
        <v>188</v>
      </c>
      <c r="M139" s="9" t="n">
        <f aca="false">IF($O139="","",INDEX(Scoring!$N$29:$N$361,MATCH($O139,Scoring!$AS$29:$AS$361,0)))</f>
        <v>262.84</v>
      </c>
      <c r="N139" s="7" t="str">
        <f aca="false">IF($O139="","",INDEX(Scoring!$AI$29:$AI$361,MATCH($O139,Scoring!$AS$29:$AS$361,0)))</f>
        <v>UK, Australia | EU/EEA (10): Germany, France, Netherlands, Finland + 6 more</v>
      </c>
      <c r="O139" s="10" t="n">
        <f aca="false">IFERROR(SMALL(Scoring!$AS$29:$AS$361,135),"")</f>
        <v>10007</v>
      </c>
    </row>
    <row r="140" customFormat="false" ht="41.75" hidden="false" customHeight="false" outlineLevel="0" collapsed="false">
      <c r="A140" s="5" t="n">
        <f aca="false">IF($O140="","",INT($O140/1000))</f>
        <v>11</v>
      </c>
      <c r="B140" s="6" t="str">
        <f aca="false">IF($O140="","",INDEX(Scoring!$A$29:$A$361,MATCH($O140,Scoring!$AS$29:$AS$361,0)))</f>
        <v>MSN</v>
      </c>
      <c r="C140" s="5" t="n">
        <f aca="false">IF($O140="","",IF(INDEX(Scoring!$AM$29:$AM$361,MATCH($O140,Scoring!$AS$29:$AS$361,0))="","–",INDEX(Scoring!$AM$29:$AM$361,MATCH($O140,Scoring!$AS$29:$AS$361,0))))</f>
        <v>1</v>
      </c>
      <c r="D140" s="6" t="str">
        <f aca="false">IF($O140="","",INDEX(Scoring!$AK$29:$AK$361,MATCH($O140,Scoring!$AS$29:$AS$361,0)))</f>
        <v>Priority 1</v>
      </c>
      <c r="E140" s="7" t="str">
        <f aca="false">IF($O140="","",INDEX(Scoring!$AL$29:$AL$361,MATCH($O140,Scoring!$AS$29:$AS$361,0)))</f>
        <v>High price · high volume</v>
      </c>
      <c r="F140" s="6" t="str">
        <f aca="false">IF($O140="","",INDEX(Scoring!$B$29:$B$361,MATCH($O140,Scoring!$AS$29:$AS$361,0)))</f>
        <v>Bortezomib</v>
      </c>
      <c r="G140" s="7" t="str">
        <f aca="false">IF($O140="","",INDEX(Scoring!$AG$29:$AG$361,MATCH($O140,Scoring!$AS$29:$AS$361,0)))</f>
        <v>Bortezomib; Bortezomib MSN Laboratories Europe; MSN-Bortezomib</v>
      </c>
      <c r="H140" s="7" t="str">
        <f aca="false">IF($O140="","",INDEX(Scoring!$C$29:$C$361,MATCH($O140,Scoring!$AS$29:$AS$361,0)))</f>
        <v>Oncology: multiple myeloma, mantle cell lymphoma</v>
      </c>
      <c r="I140" s="6" t="str">
        <f aca="false">IF($O140="","",INDEX(Scoring!$I$29:$I$361,MATCH($O140,Scoring!$AS$29:$AS$361,0)))</f>
        <v>Vial</v>
      </c>
      <c r="J140" s="7" t="str">
        <f aca="false">IF($O140="","",INDEX(Scoring!$Z$29:$Z$361,MATCH($O140,Scoring!$AS$29:$AS$361,0)))</f>
        <v>3.5 mg powder vial</v>
      </c>
      <c r="K140" s="8" t="n">
        <f aca="false">IF($O140="","",IF(INDEX(Scoring!$D$29:$D$361,MATCH($O140,Scoring!$AS$29:$AS$361,0))="",INDEX(Scoring!$AF$29:$AF$361,MATCH($O140,Scoring!$AS$29:$AS$361,0)),INDEX(Scoring!$D$29:$D$361,MATCH($O140,Scoring!$AS$29:$AS$361,0))))</f>
        <v>360.02</v>
      </c>
      <c r="L140" s="9" t="n">
        <f aca="false">IF($O140="","",INDEX(Scoring!$L$29:$L$361,MATCH($O140,Scoring!$AS$29:$AS$361,0)))</f>
        <v>905</v>
      </c>
      <c r="M140" s="9" t="n">
        <f aca="false">IF($O140="","",INDEX(Scoring!$N$29:$N$361,MATCH($O140,Scoring!$AS$29:$AS$361,0)))</f>
        <v>28093.38</v>
      </c>
      <c r="N140" s="7" t="str">
        <f aca="false">IF($O140="","",INDEX(Scoring!$AI$29:$AI$361,MATCH($O140,Scoring!$AS$29:$AS$361,0)))</f>
        <v>US, UK, Australia, UK-NI | EU/EEA (1): Ireland</v>
      </c>
      <c r="O140" s="10" t="n">
        <f aca="false">IFERROR(SMALL(Scoring!$AS$29:$AS$361,136),"")</f>
        <v>11001</v>
      </c>
    </row>
    <row r="141" customFormat="false" ht="28.35" hidden="false" customHeight="false" outlineLevel="0" collapsed="false">
      <c r="A141" s="5" t="n">
        <f aca="false">IF($O141="","",INT($O141/1000))</f>
        <v>11</v>
      </c>
      <c r="B141" s="6" t="str">
        <f aca="false">IF($O141="","",INDEX(Scoring!$A$29:$A$361,MATCH($O141,Scoring!$AS$29:$AS$361,0)))</f>
        <v>MSN</v>
      </c>
      <c r="C141" s="5" t="n">
        <f aca="false">IF($O141="","",IF(INDEX(Scoring!$AM$29:$AM$361,MATCH($O141,Scoring!$AS$29:$AS$361,0))="","–",INDEX(Scoring!$AM$29:$AM$361,MATCH($O141,Scoring!$AS$29:$AS$361,0))))</f>
        <v>2</v>
      </c>
      <c r="D141" s="6" t="str">
        <f aca="false">IF($O141="","",INDEX(Scoring!$AK$29:$AK$361,MATCH($O141,Scoring!$AS$29:$AS$361,0)))</f>
        <v>Priority 2</v>
      </c>
      <c r="E141" s="7" t="str">
        <f aca="false">IF($O141="","",INDEX(Scoring!$AL$29:$AL$361,MATCH($O141,Scoring!$AS$29:$AS$361,0)))</f>
        <v>High price · lower volume</v>
      </c>
      <c r="F141" s="6" t="str">
        <f aca="false">IF($O141="","",INDEX(Scoring!$B$29:$B$361,MATCH($O141,Scoring!$AS$29:$AS$361,0)))</f>
        <v>Plerixafor</v>
      </c>
      <c r="G141" s="7" t="str">
        <f aca="false">IF($O141="","",INDEX(Scoring!$AG$29:$AG$361,MATCH($O141,Scoring!$AS$29:$AS$361,0)))</f>
        <v>Plerixafor</v>
      </c>
      <c r="H141" s="7" t="str">
        <f aca="false">IF($O141="","",INDEX(Scoring!$C$29:$C$361,MATCH($O141,Scoring!$AS$29:$AS$361,0)))</f>
        <v>Oncology support: stem cell mobilisation in myeloma and lymphoma</v>
      </c>
      <c r="I141" s="6" t="str">
        <f aca="false">IF($O141="","",INDEX(Scoring!$I$29:$I$361,MATCH($O141,Scoring!$AS$29:$AS$361,0)))</f>
        <v>Vial</v>
      </c>
      <c r="J141" s="7" t="str">
        <f aca="false">IF($O141="","",INDEX(Scoring!$Z$29:$Z$361,MATCH($O141,Scoring!$AS$29:$AS$361,0)))</f>
        <v>24 mg/1.2 mL vial</v>
      </c>
      <c r="K141" s="8" t="n">
        <f aca="false">IF($O141="","",IF(INDEX(Scoring!$D$29:$D$361,MATCH($O141,Scoring!$AS$29:$AS$361,0))="",INDEX(Scoring!$AF$29:$AF$361,MATCH($O141,Scoring!$AS$29:$AS$361,0)),INDEX(Scoring!$D$29:$D$361,MATCH($O141,Scoring!$AS$29:$AS$361,0))))</f>
        <v>343.8</v>
      </c>
      <c r="L141" s="9" t="n">
        <f aca="false">IF($O141="","",INDEX(Scoring!$L$29:$L$361,MATCH($O141,Scoring!$AS$29:$AS$361,0)))</f>
        <v>47</v>
      </c>
      <c r="M141" s="9" t="n">
        <f aca="false">IF($O141="","",INDEX(Scoring!$N$29:$N$361,MATCH($O141,Scoring!$AS$29:$AS$361,0)))</f>
        <v>7904.67</v>
      </c>
      <c r="N141" s="7" t="str">
        <f aca="false">IF($O141="","",INDEX(Scoring!$AI$29:$AI$361,MATCH($O141,Scoring!$AS$29:$AS$361,0)))</f>
        <v>US | EU/EEA (8): Bulgaria, Croatia, Czech Republic, Hungary + 4 more</v>
      </c>
      <c r="O141" s="10" t="n">
        <f aca="false">IFERROR(SMALL(Scoring!$AS$29:$AS$361,137),"")</f>
        <v>11002</v>
      </c>
    </row>
    <row r="142" customFormat="false" ht="28.35" hidden="false" customHeight="false" outlineLevel="0" collapsed="false">
      <c r="A142" s="5" t="n">
        <f aca="false">IF($O142="","",INT($O142/1000))</f>
        <v>11</v>
      </c>
      <c r="B142" s="6" t="str">
        <f aca="false">IF($O142="","",INDEX(Scoring!$A$29:$A$361,MATCH($O142,Scoring!$AS$29:$AS$361,0)))</f>
        <v>MSN</v>
      </c>
      <c r="C142" s="5" t="n">
        <f aca="false">IF($O142="","",IF(INDEX(Scoring!$AM$29:$AM$361,MATCH($O142,Scoring!$AS$29:$AS$361,0))="","–",INDEX(Scoring!$AM$29:$AM$361,MATCH($O142,Scoring!$AS$29:$AS$361,0))))</f>
        <v>3</v>
      </c>
      <c r="D142" s="6" t="str">
        <f aca="false">IF($O142="","",INDEX(Scoring!$AK$29:$AK$361,MATCH($O142,Scoring!$AS$29:$AS$361,0)))</f>
        <v>Priority 2</v>
      </c>
      <c r="E142" s="7" t="str">
        <f aca="false">IF($O142="","",INDEX(Scoring!$AL$29:$AL$361,MATCH($O142,Scoring!$AS$29:$AS$361,0)))</f>
        <v>Lower price · high volume</v>
      </c>
      <c r="F142" s="6" t="str">
        <f aca="false">IF($O142="","",INDEX(Scoring!$B$29:$B$361,MATCH($O142,Scoring!$AS$29:$AS$361,0)))</f>
        <v>Chlorpromazine</v>
      </c>
      <c r="G142" s="7" t="str">
        <f aca="false">IF($O142="","",INDEX(Scoring!$AG$29:$AG$361,MATCH($O142,Scoring!$AS$29:$AS$361,0)))</f>
        <v>Chlorpromazine Hydrochloride</v>
      </c>
      <c r="H142" s="7" t="str">
        <f aca="false">IF($O142="","",INDEX(Scoring!$C$29:$C$361,MATCH($O142,Scoring!$AS$29:$AS$361,0)))</f>
        <v>Psychiatry: acute psychosis and agitation, severe nausea and vomiting</v>
      </c>
      <c r="I142" s="6" t="str">
        <f aca="false">IF($O142="","",INDEX(Scoring!$I$29:$I$361,MATCH($O142,Scoring!$AS$29:$AS$361,0)))</f>
        <v>Vial</v>
      </c>
      <c r="J142" s="7" t="str">
        <f aca="false">IF($O142="","",INDEX(Scoring!$Z$29:$Z$361,MATCH($O142,Scoring!$AS$29:$AS$361,0)))</f>
        <v>25 mg/1 mL vial</v>
      </c>
      <c r="K142" s="8" t="n">
        <f aca="false">IF($O142="","",IF(INDEX(Scoring!$D$29:$D$361,MATCH($O142,Scoring!$AS$29:$AS$361,0))="",INDEX(Scoring!$AF$29:$AF$361,MATCH($O142,Scoring!$AS$29:$AS$361,0)),INDEX(Scoring!$D$29:$D$361,MATCH($O142,Scoring!$AS$29:$AS$361,0))))</f>
        <v>14.96</v>
      </c>
      <c r="L142" s="9" t="n">
        <f aca="false">IF($O142="","",INDEX(Scoring!$L$29:$L$361,MATCH($O142,Scoring!$AS$29:$AS$361,0)))</f>
        <v>472</v>
      </c>
      <c r="M142" s="9" t="n">
        <f aca="false">IF($O142="","",INDEX(Scoring!$N$29:$N$361,MATCH($O142,Scoring!$AS$29:$AS$361,0)))</f>
        <v>7831.08</v>
      </c>
      <c r="N142" s="7" t="str">
        <f aca="false">IF($O142="","",INDEX(Scoring!$AI$29:$AI$361,MATCH($O142,Scoring!$AS$29:$AS$361,0)))</f>
        <v>US</v>
      </c>
      <c r="O142" s="10" t="n">
        <f aca="false">IFERROR(SMALL(Scoring!$AS$29:$AS$361,138),"")</f>
        <v>11003</v>
      </c>
    </row>
    <row r="143" customFormat="false" ht="28.35" hidden="false" customHeight="false" outlineLevel="0" collapsed="false">
      <c r="A143" s="5" t="n">
        <f aca="false">IF($O143="","",INT($O143/1000))</f>
        <v>11</v>
      </c>
      <c r="B143" s="6" t="str">
        <f aca="false">IF($O143="","",INDEX(Scoring!$A$29:$A$361,MATCH($O143,Scoring!$AS$29:$AS$361,0)))</f>
        <v>MSN</v>
      </c>
      <c r="C143" s="5" t="n">
        <f aca="false">IF($O143="","",IF(INDEX(Scoring!$AM$29:$AM$361,MATCH($O143,Scoring!$AS$29:$AS$361,0))="","–",INDEX(Scoring!$AM$29:$AM$361,MATCH($O143,Scoring!$AS$29:$AS$361,0))))</f>
        <v>4</v>
      </c>
      <c r="D143" s="6" t="str">
        <f aca="false">IF($O143="","",INDEX(Scoring!$AK$29:$AK$361,MATCH($O143,Scoring!$AS$29:$AS$361,0)))</f>
        <v>Priority 2</v>
      </c>
      <c r="E143" s="7" t="str">
        <f aca="false">IF($O143="","",INDEX(Scoring!$AL$29:$AL$361,MATCH($O143,Scoring!$AS$29:$AS$361,0)))</f>
        <v>High price · lower volume</v>
      </c>
      <c r="F143" s="6" t="str">
        <f aca="false">IF($O143="","",INDEX(Scoring!$B$29:$B$361,MATCH($O143,Scoring!$AS$29:$AS$361,0)))</f>
        <v>Fluphenazine Decanoate</v>
      </c>
      <c r="G143" s="7" t="str">
        <f aca="false">IF($O143="","",INDEX(Scoring!$AG$29:$AG$361,MATCH($O143,Scoring!$AS$29:$AS$361,0)))</f>
        <v>Fluphenazine Decanoate</v>
      </c>
      <c r="H143" s="7" t="str">
        <f aca="false">IF($O143="","",INDEX(Scoring!$C$29:$C$361,MATCH($O143,Scoring!$AS$29:$AS$361,0)))</f>
        <v>Psychiatry: long-acting maintenance treatment for schizophrenia</v>
      </c>
      <c r="I143" s="6" t="str">
        <f aca="false">IF($O143="","",INDEX(Scoring!$I$29:$I$361,MATCH($O143,Scoring!$AS$29:$AS$361,0)))</f>
        <v>Vial</v>
      </c>
      <c r="J143" s="7" t="str">
        <f aca="false">IF($O143="","",INDEX(Scoring!$Z$29:$Z$361,MATCH($O143,Scoring!$AS$29:$AS$361,0)))</f>
        <v>125 mg/5 mL vial</v>
      </c>
      <c r="K143" s="8" t="n">
        <f aca="false">IF($O143="","",IF(INDEX(Scoring!$D$29:$D$361,MATCH($O143,Scoring!$AS$29:$AS$361,0))="",INDEX(Scoring!$AF$29:$AF$361,MATCH($O143,Scoring!$AS$29:$AS$361,0)),INDEX(Scoring!$D$29:$D$361,MATCH($O143,Scoring!$AS$29:$AS$361,0))))</f>
        <v>54.55</v>
      </c>
      <c r="L143" s="9" t="n">
        <f aca="false">IF($O143="","",INDEX(Scoring!$L$29:$L$361,MATCH($O143,Scoring!$AS$29:$AS$361,0)))</f>
        <v>126</v>
      </c>
      <c r="M143" s="9" t="n">
        <f aca="false">IF($O143="","",INDEX(Scoring!$N$29:$N$361,MATCH($O143,Scoring!$AS$29:$AS$361,0)))</f>
        <v>3407.51</v>
      </c>
      <c r="N143" s="7" t="str">
        <f aca="false">IF($O143="","",INDEX(Scoring!$AI$29:$AI$361,MATCH($O143,Scoring!$AS$29:$AS$361,0)))</f>
        <v>US</v>
      </c>
      <c r="O143" s="10" t="n">
        <f aca="false">IFERROR(SMALL(Scoring!$AS$29:$AS$361,139),"")</f>
        <v>11004</v>
      </c>
    </row>
    <row r="144" customFormat="false" ht="28.35" hidden="false" customHeight="false" outlineLevel="0" collapsed="false">
      <c r="A144" s="5" t="n">
        <f aca="false">IF($O144="","",INT($O144/1000))</f>
        <v>12</v>
      </c>
      <c r="B144" s="6" t="str">
        <f aca="false">IF($O144="","",INDEX(Scoring!$A$29:$A$361,MATCH($O144,Scoring!$AS$29:$AS$361,0)))</f>
        <v>Wockhardt</v>
      </c>
      <c r="C144" s="5" t="n">
        <f aca="false">IF($O144="","",IF(INDEX(Scoring!$AM$29:$AM$361,MATCH($O144,Scoring!$AS$29:$AS$361,0))="","–",INDEX(Scoring!$AM$29:$AM$361,MATCH($O144,Scoring!$AS$29:$AS$361,0))))</f>
        <v>1</v>
      </c>
      <c r="D144" s="6" t="str">
        <f aca="false">IF($O144="","",INDEX(Scoring!$AK$29:$AK$361,MATCH($O144,Scoring!$AS$29:$AS$361,0)))</f>
        <v>Priority 2</v>
      </c>
      <c r="E144" s="7" t="str">
        <f aca="false">IF($O144="","",INDEX(Scoring!$AL$29:$AL$361,MATCH($O144,Scoring!$AS$29:$AS$361,0)))</f>
        <v>Lower price · high volume</v>
      </c>
      <c r="F144" s="6" t="str">
        <f aca="false">IF($O144="","",INDEX(Scoring!$B$29:$B$361,MATCH($O144,Scoring!$AS$29:$AS$361,0)))</f>
        <v>Ceftriaxone</v>
      </c>
      <c r="G144" s="7" t="str">
        <f aca="false">IF($O144="","",INDEX(Scoring!$AG$29:$AG$361,MATCH($O144,Scoring!$AS$29:$AS$361,0)))</f>
        <v>Ceftriaxone</v>
      </c>
      <c r="H144" s="7" t="str">
        <f aca="false">IF($O144="","",INDEX(Scoring!$C$29:$C$361,MATCH($O144,Scoring!$AS$29:$AS$361,0)))</f>
        <v>Anti-infective: pneumonia, meningitis, sepsis, gonorrhoea, typhoid</v>
      </c>
      <c r="I144" s="6" t="str">
        <f aca="false">IF($O144="","",INDEX(Scoring!$I$29:$I$361,MATCH($O144,Scoring!$AS$29:$AS$361,0)))</f>
        <v>Vial</v>
      </c>
      <c r="J144" s="7" t="str">
        <f aca="false">IF($O144="","",INDEX(Scoring!$Z$29:$Z$361,MATCH($O144,Scoring!$AS$29:$AS$361,0)))</f>
        <v>250 mg vial; 500 mg vial; 2 g powder vial</v>
      </c>
      <c r="K144" s="8" t="n">
        <f aca="false">IF($O144="","",IF(INDEX(Scoring!$D$29:$D$361,MATCH($O144,Scoring!$AS$29:$AS$361,0))="",INDEX(Scoring!$AF$29:$AF$361,MATCH($O144,Scoring!$AS$29:$AS$361,0)),INDEX(Scoring!$D$29:$D$361,MATCH($O144,Scoring!$AS$29:$AS$361,0))))</f>
        <v>12.3</v>
      </c>
      <c r="L144" s="9" t="n">
        <f aca="false">IF($O144="","",INDEX(Scoring!$L$29:$L$361,MATCH($O144,Scoring!$AS$29:$AS$361,0)))</f>
        <v>3110</v>
      </c>
      <c r="M144" s="9" t="n">
        <f aca="false">IF($O144="","",INDEX(Scoring!$N$29:$N$361,MATCH($O144,Scoring!$AS$29:$AS$361,0)))</f>
        <v>93119.22</v>
      </c>
      <c r="N144" s="7" t="str">
        <f aca="false">IF($O144="","",INDEX(Scoring!$AI$29:$AI$361,MATCH($O144,Scoring!$AS$29:$AS$361,0)))</f>
        <v>US, UK, UK-NI | EU/EEA (2): Ireland, Malta</v>
      </c>
      <c r="O144" s="10" t="n">
        <f aca="false">IFERROR(SMALL(Scoring!$AS$29:$AS$361,140),"")</f>
        <v>12001</v>
      </c>
    </row>
    <row r="145" customFormat="false" ht="28.35" hidden="false" customHeight="false" outlineLevel="0" collapsed="false">
      <c r="A145" s="5" t="n">
        <f aca="false">IF($O145="","",INT($O145/1000))</f>
        <v>12</v>
      </c>
      <c r="B145" s="6" t="str">
        <f aca="false">IF($O145="","",INDEX(Scoring!$A$29:$A$361,MATCH($O145,Scoring!$AS$29:$AS$361,0)))</f>
        <v>Wockhardt</v>
      </c>
      <c r="C145" s="5" t="n">
        <f aca="false">IF($O145="","",IF(INDEX(Scoring!$AM$29:$AM$361,MATCH($O145,Scoring!$AS$29:$AS$361,0))="","–",INDEX(Scoring!$AM$29:$AM$361,MATCH($O145,Scoring!$AS$29:$AS$361,0))))</f>
        <v>2</v>
      </c>
      <c r="D145" s="6" t="str">
        <f aca="false">IF($O145="","",INDEX(Scoring!$AK$29:$AK$361,MATCH($O145,Scoring!$AS$29:$AS$361,0)))</f>
        <v>Priority 2</v>
      </c>
      <c r="E145" s="7" t="str">
        <f aca="false">IF($O145="","",INDEX(Scoring!$AL$29:$AL$361,MATCH($O145,Scoring!$AS$29:$AS$361,0)))</f>
        <v>Lower price · high volume</v>
      </c>
      <c r="F145" s="6" t="str">
        <f aca="false">IF($O145="","",INDEX(Scoring!$B$29:$B$361,MATCH($O145,Scoring!$AS$29:$AS$361,0)))</f>
        <v>Ondansetron</v>
      </c>
      <c r="G145" s="7" t="str">
        <f aca="false">IF($O145="","",INDEX(Scoring!$AG$29:$AG$361,MATCH($O145,Scoring!$AS$29:$AS$361,0)))</f>
        <v>Ondansetron Wockhardt</v>
      </c>
      <c r="H145" s="7" t="str">
        <f aca="false">IF($O145="","",INDEX(Scoring!$C$29:$C$361,MATCH($O145,Scoring!$AS$29:$AS$361,0)))</f>
        <v>Oncology support: nausea and vomiting from chemotherapy and surgery</v>
      </c>
      <c r="I145" s="6" t="str">
        <f aca="false">IF($O145="","",INDEX(Scoring!$I$29:$I$361,MATCH($O145,Scoring!$AS$29:$AS$361,0)))</f>
        <v>Ampoule</v>
      </c>
      <c r="J145" s="7" t="str">
        <f aca="false">IF($O145="","",INDEX(Scoring!$Z$29:$Z$361,MATCH($O145,Scoring!$AS$29:$AS$361,0)))</f>
        <v>4 mg/2 mL ampoule</v>
      </c>
      <c r="K145" s="8" t="n">
        <f aca="false">IF($O145="","",IF(INDEX(Scoring!$D$29:$D$361,MATCH($O145,Scoring!$AS$29:$AS$361,0))="",INDEX(Scoring!$AF$29:$AF$361,MATCH($O145,Scoring!$AS$29:$AS$361,0)),INDEX(Scoring!$D$29:$D$361,MATCH($O145,Scoring!$AS$29:$AS$361,0))))</f>
        <v>5.32</v>
      </c>
      <c r="L145" s="9" t="n">
        <f aca="false">IF($O145="","",INDEX(Scoring!$L$29:$L$361,MATCH($O145,Scoring!$AS$29:$AS$361,0)))</f>
        <v>2546</v>
      </c>
      <c r="M145" s="9" t="n">
        <f aca="false">IF($O145="","",INDEX(Scoring!$N$29:$N$361,MATCH($O145,Scoring!$AS$29:$AS$361,0)))</f>
        <v>46507.62</v>
      </c>
      <c r="N145" s="7" t="str">
        <f aca="false">IF($O145="","",INDEX(Scoring!$AI$29:$AI$361,MATCH($O145,Scoring!$AS$29:$AS$361,0)))</f>
        <v>UK-NI</v>
      </c>
      <c r="O145" s="10" t="n">
        <f aca="false">IFERROR(SMALL(Scoring!$AS$29:$AS$361,141),"")</f>
        <v>12002</v>
      </c>
    </row>
    <row r="146" customFormat="false" ht="28.35" hidden="false" customHeight="false" outlineLevel="0" collapsed="false">
      <c r="A146" s="5" t="n">
        <f aca="false">IF($O146="","",INT($O146/1000))</f>
        <v>12</v>
      </c>
      <c r="B146" s="6" t="str">
        <f aca="false">IF($O146="","",INDEX(Scoring!$A$29:$A$361,MATCH($O146,Scoring!$AS$29:$AS$361,0)))</f>
        <v>Wockhardt</v>
      </c>
      <c r="C146" s="5" t="n">
        <f aca="false">IF($O146="","",IF(INDEX(Scoring!$AM$29:$AM$361,MATCH($O146,Scoring!$AS$29:$AS$361,0))="","–",INDEX(Scoring!$AM$29:$AM$361,MATCH($O146,Scoring!$AS$29:$AS$361,0))))</f>
        <v>3</v>
      </c>
      <c r="D146" s="6" t="str">
        <f aca="false">IF($O146="","",INDEX(Scoring!$AK$29:$AK$361,MATCH($O146,Scoring!$AS$29:$AS$361,0)))</f>
        <v>Priority 2</v>
      </c>
      <c r="E146" s="7" t="str">
        <f aca="false">IF($O146="","",INDEX(Scoring!$AL$29:$AL$361,MATCH($O146,Scoring!$AS$29:$AS$361,0)))</f>
        <v>Lower price · high volume</v>
      </c>
      <c r="F146" s="6" t="str">
        <f aca="false">IF($O146="","",INDEX(Scoring!$B$29:$B$361,MATCH($O146,Scoring!$AS$29:$AS$361,0)))</f>
        <v>Haloperidol</v>
      </c>
      <c r="G146" s="7" t="str">
        <f aca="false">IF($O146="","",INDEX(Scoring!$AG$29:$AG$361,MATCH($O146,Scoring!$AS$29:$AS$361,0)))</f>
        <v>Haloperidol</v>
      </c>
      <c r="H146" s="7" t="str">
        <f aca="false">IF($O146="","",INDEX(Scoring!$C$29:$C$361,MATCH($O146,Scoring!$AS$29:$AS$361,0)))</f>
        <v>Psychiatry: acute agitation, psychosis, delirium</v>
      </c>
      <c r="I146" s="6" t="str">
        <f aca="false">IF($O146="","",INDEX(Scoring!$I$29:$I$361,MATCH($O146,Scoring!$AS$29:$AS$361,0)))</f>
        <v>Ampoule</v>
      </c>
      <c r="J146" s="7" t="str">
        <f aca="false">IF($O146="","",INDEX(Scoring!$Z$29:$Z$361,MATCH($O146,Scoring!$AS$29:$AS$361,0)))</f>
        <v>5 mg/1 mL ampoule</v>
      </c>
      <c r="K146" s="8" t="n">
        <f aca="false">IF($O146="","",IF(INDEX(Scoring!$D$29:$D$361,MATCH($O146,Scoring!$AS$29:$AS$361,0))="",INDEX(Scoring!$AF$29:$AF$361,MATCH($O146,Scoring!$AS$29:$AS$361,0)),INDEX(Scoring!$D$29:$D$361,MATCH($O146,Scoring!$AS$29:$AS$361,0))))</f>
        <v>8.98</v>
      </c>
      <c r="L146" s="9" t="n">
        <f aca="false">IF($O146="","",INDEX(Scoring!$L$29:$L$361,MATCH($O146,Scoring!$AS$29:$AS$361,0)))</f>
        <v>669</v>
      </c>
      <c r="M146" s="9" t="n">
        <f aca="false">IF($O146="","",INDEX(Scoring!$N$29:$N$361,MATCH($O146,Scoring!$AS$29:$AS$361,0)))</f>
        <v>11022.87</v>
      </c>
      <c r="N146" s="7" t="str">
        <f aca="false">IF($O146="","",INDEX(Scoring!$AI$29:$AI$361,MATCH($O146,Scoring!$AS$29:$AS$361,0)))</f>
        <v>UK, UK-NI</v>
      </c>
      <c r="O146" s="10" t="n">
        <f aca="false">IFERROR(SMALL(Scoring!$AS$29:$AS$361,142),"")</f>
        <v>12003</v>
      </c>
    </row>
    <row r="147" customFormat="false" ht="28.35" hidden="false" customHeight="false" outlineLevel="0" collapsed="false">
      <c r="A147" s="5" t="n">
        <f aca="false">IF($O147="","",INT($O147/1000))</f>
        <v>12</v>
      </c>
      <c r="B147" s="6" t="str">
        <f aca="false">IF($O147="","",INDEX(Scoring!$A$29:$A$361,MATCH($O147,Scoring!$AS$29:$AS$361,0)))</f>
        <v>Wockhardt</v>
      </c>
      <c r="C147" s="5" t="n">
        <f aca="false">IF($O147="","",IF(INDEX(Scoring!$AM$29:$AM$361,MATCH($O147,Scoring!$AS$29:$AS$361,0))="","–",INDEX(Scoring!$AM$29:$AM$361,MATCH($O147,Scoring!$AS$29:$AS$361,0))))</f>
        <v>4</v>
      </c>
      <c r="D147" s="6" t="str">
        <f aca="false">IF($O147="","",INDEX(Scoring!$AK$29:$AK$361,MATCH($O147,Scoring!$AS$29:$AS$361,0)))</f>
        <v>Priority 2</v>
      </c>
      <c r="E147" s="7" t="str">
        <f aca="false">IF($O147="","",INDEX(Scoring!$AL$29:$AL$361,MATCH($O147,Scoring!$AS$29:$AS$361,0)))</f>
        <v>Lower price · high volume</v>
      </c>
      <c r="F147" s="6" t="str">
        <f aca="false">IF($O147="","",INDEX(Scoring!$B$29:$B$361,MATCH($O147,Scoring!$AS$29:$AS$361,0)))</f>
        <v>Chlorphenamine</v>
      </c>
      <c r="G147" s="7" t="str">
        <f aca="false">IF($O147="","",INDEX(Scoring!$AG$29:$AG$361,MATCH($O147,Scoring!$AS$29:$AS$361,0)))</f>
        <v>Chlorphenamine</v>
      </c>
      <c r="H147" s="7" t="str">
        <f aca="false">IF($O147="","",INDEX(Scoring!$C$29:$C$361,MATCH($O147,Scoring!$AS$29:$AS$361,0)))</f>
        <v>Allergy: anaphylaxis support, acute allergic reactions</v>
      </c>
      <c r="I147" s="6" t="str">
        <f aca="false">IF($O147="","",INDEX(Scoring!$I$29:$I$361,MATCH($O147,Scoring!$AS$29:$AS$361,0)))</f>
        <v>Ampoule</v>
      </c>
      <c r="J147" s="7" t="str">
        <f aca="false">IF($O147="","",INDEX(Scoring!$Z$29:$Z$361,MATCH($O147,Scoring!$AS$29:$AS$361,0)))</f>
        <v>10 mg/1 mL ampoule</v>
      </c>
      <c r="K147" s="8" t="n">
        <f aca="false">IF($O147="","",IF(INDEX(Scoring!$D$29:$D$361,MATCH($O147,Scoring!$AS$29:$AS$361,0))="",INDEX(Scoring!$AF$29:$AF$361,MATCH($O147,Scoring!$AS$29:$AS$361,0)),INDEX(Scoring!$D$29:$D$361,MATCH($O147,Scoring!$AS$29:$AS$361,0))))</f>
        <v>6.74</v>
      </c>
      <c r="L147" s="9" t="n">
        <f aca="false">IF($O147="","",INDEX(Scoring!$L$29:$L$361,MATCH($O147,Scoring!$AS$29:$AS$361,0)))</f>
        <v>435</v>
      </c>
      <c r="M147" s="9" t="n">
        <f aca="false">IF($O147="","",INDEX(Scoring!$N$29:$N$361,MATCH($O147,Scoring!$AS$29:$AS$361,0)))</f>
        <v>7691.34</v>
      </c>
      <c r="N147" s="7" t="str">
        <f aca="false">IF($O147="","",INDEX(Scoring!$AI$29:$AI$361,MATCH($O147,Scoring!$AS$29:$AS$361,0)))</f>
        <v>UK, UK-NI</v>
      </c>
      <c r="O147" s="10" t="n">
        <f aca="false">IFERROR(SMALL(Scoring!$AS$29:$AS$361,143),"")</f>
        <v>12004</v>
      </c>
    </row>
    <row r="148" customFormat="false" ht="28.35" hidden="false" customHeight="false" outlineLevel="0" collapsed="false">
      <c r="A148" s="5" t="n">
        <f aca="false">IF($O148="","",INT($O148/1000))</f>
        <v>12</v>
      </c>
      <c r="B148" s="6" t="str">
        <f aca="false">IF($O148="","",INDEX(Scoring!$A$29:$A$361,MATCH($O148,Scoring!$AS$29:$AS$361,0)))</f>
        <v>Wockhardt</v>
      </c>
      <c r="C148" s="5" t="n">
        <f aca="false">IF($O148="","",IF(INDEX(Scoring!$AM$29:$AM$361,MATCH($O148,Scoring!$AS$29:$AS$361,0))="","–",INDEX(Scoring!$AM$29:$AM$361,MATCH($O148,Scoring!$AS$29:$AS$361,0))))</f>
        <v>5</v>
      </c>
      <c r="D148" s="6" t="str">
        <f aca="false">IF($O148="","",INDEX(Scoring!$AK$29:$AK$361,MATCH($O148,Scoring!$AS$29:$AS$361,0)))</f>
        <v>Priority 2</v>
      </c>
      <c r="E148" s="7" t="str">
        <f aca="false">IF($O148="","",INDEX(Scoring!$AL$29:$AL$361,MATCH($O148,Scoring!$AS$29:$AS$361,0)))</f>
        <v>Lower price · high volume</v>
      </c>
      <c r="F148" s="6" t="str">
        <f aca="false">IF($O148="","",INDEX(Scoring!$B$29:$B$361,MATCH($O148,Scoring!$AS$29:$AS$361,0)))</f>
        <v>Ceftazidime</v>
      </c>
      <c r="G148" s="7" t="str">
        <f aca="false">IF($O148="","",INDEX(Scoring!$AG$29:$AG$361,MATCH($O148,Scoring!$AS$29:$AS$361,0)))</f>
        <v>Ceftazidime</v>
      </c>
      <c r="H148" s="7" t="str">
        <f aca="false">IF($O148="","",INDEX(Scoring!$C$29:$C$361,MATCH($O148,Scoring!$AS$29:$AS$361,0)))</f>
        <v>Anti-infective: Pseudomonas and other hospital Gram-negative infections</v>
      </c>
      <c r="I148" s="6" t="str">
        <f aca="false">IF($O148="","",INDEX(Scoring!$I$29:$I$361,MATCH($O148,Scoring!$AS$29:$AS$361,0)))</f>
        <v>Vial</v>
      </c>
      <c r="J148" s="7" t="str">
        <f aca="false">IF($O148="","",INDEX(Scoring!$Z$29:$Z$361,MATCH($O148,Scoring!$AS$29:$AS$361,0)))</f>
        <v>2 g powder vial</v>
      </c>
      <c r="K148" s="8" t="n">
        <f aca="false">IF($O148="","",IF(INDEX(Scoring!$D$29:$D$361,MATCH($O148,Scoring!$AS$29:$AS$361,0))="",INDEX(Scoring!$AF$29:$AF$361,MATCH($O148,Scoring!$AS$29:$AS$361,0)),INDEX(Scoring!$D$29:$D$361,MATCH($O148,Scoring!$AS$29:$AS$361,0))))</f>
        <v>20.27</v>
      </c>
      <c r="L148" s="9" t="n">
        <f aca="false">IF($O148="","",INDEX(Scoring!$L$29:$L$361,MATCH($O148,Scoring!$AS$29:$AS$361,0)))</f>
        <v>335</v>
      </c>
      <c r="M148" s="9" t="n">
        <f aca="false">IF($O148="","",INDEX(Scoring!$N$29:$N$361,MATCH($O148,Scoring!$AS$29:$AS$361,0)))</f>
        <v>5713.56</v>
      </c>
      <c r="N148" s="7" t="str">
        <f aca="false">IF($O148="","",INDEX(Scoring!$AI$29:$AI$361,MATCH($O148,Scoring!$AS$29:$AS$361,0)))</f>
        <v>UK, UK-NI | EU/EEA (2): Ireland, Malta</v>
      </c>
      <c r="O148" s="10" t="n">
        <f aca="false">IFERROR(SMALL(Scoring!$AS$29:$AS$361,144),"")</f>
        <v>12005</v>
      </c>
    </row>
    <row r="149" customFormat="false" ht="28.35" hidden="false" customHeight="false" outlineLevel="0" collapsed="false">
      <c r="A149" s="5" t="n">
        <f aca="false">IF($O149="","",INT($O149/1000))</f>
        <v>12</v>
      </c>
      <c r="B149" s="6" t="str">
        <f aca="false">IF($O149="","",INDEX(Scoring!$A$29:$A$361,MATCH($O149,Scoring!$AS$29:$AS$361,0)))</f>
        <v>Wockhardt</v>
      </c>
      <c r="C149" s="5" t="n">
        <f aca="false">IF($O149="","",IF(INDEX(Scoring!$AM$29:$AM$361,MATCH($O149,Scoring!$AS$29:$AS$361,0))="","–",INDEX(Scoring!$AM$29:$AM$361,MATCH($O149,Scoring!$AS$29:$AS$361,0))))</f>
        <v>6</v>
      </c>
      <c r="D149" s="6" t="str">
        <f aca="false">IF($O149="","",INDEX(Scoring!$AK$29:$AK$361,MATCH($O149,Scoring!$AS$29:$AS$361,0)))</f>
        <v>Priority 2</v>
      </c>
      <c r="E149" s="7" t="str">
        <f aca="false">IF($O149="","",INDEX(Scoring!$AL$29:$AL$361,MATCH($O149,Scoring!$AS$29:$AS$361,0)))</f>
        <v>High price · lower volume</v>
      </c>
      <c r="F149" s="6" t="str">
        <f aca="false">IF($O149="","",INDEX(Scoring!$B$29:$B$361,MATCH($O149,Scoring!$AS$29:$AS$361,0)))</f>
        <v>Hyaluronidase</v>
      </c>
      <c r="G149" s="7" t="str">
        <f aca="false">IF($O149="","",INDEX(Scoring!$AG$29:$AG$361,MATCH($O149,Scoring!$AS$29:$AS$361,0)))</f>
        <v>Hyalase</v>
      </c>
      <c r="H149" s="7" t="str">
        <f aca="false">IF($O149="","",INDEX(Scoring!$C$29:$C$361,MATCH($O149,Scoring!$AS$29:$AS$361,0)))</f>
        <v>Anaesthesia: improves spread of injected drugs and fluids</v>
      </c>
      <c r="I149" s="6" t="str">
        <f aca="false">IF($O149="","",INDEX(Scoring!$I$29:$I$361,MATCH($O149,Scoring!$AS$29:$AS$361,0)))</f>
        <v>Ampoule</v>
      </c>
      <c r="J149" s="7" t="str">
        <f aca="false">IF($O149="","",INDEX(Scoring!$Z$29:$Z$361,MATCH($O149,Scoring!$AS$29:$AS$361,0)))</f>
        <v>1500 IU powder ampoule</v>
      </c>
      <c r="K149" s="8" t="n">
        <f aca="false">IF($O149="","",IF(INDEX(Scoring!$D$29:$D$361,MATCH($O149,Scoring!$AS$29:$AS$361,0))="",INDEX(Scoring!$AF$29:$AF$361,MATCH($O149,Scoring!$AS$29:$AS$361,0)),INDEX(Scoring!$D$29:$D$361,MATCH($O149,Scoring!$AS$29:$AS$361,0))))</f>
        <v>59.12</v>
      </c>
      <c r="L149" s="9" t="n">
        <f aca="false">IF($O149="","",INDEX(Scoring!$L$29:$L$361,MATCH($O149,Scoring!$AS$29:$AS$361,0)))</f>
        <v>106</v>
      </c>
      <c r="M149" s="9" t="n">
        <f aca="false">IF($O149="","",INDEX(Scoring!$N$29:$N$361,MATCH($O149,Scoring!$AS$29:$AS$361,0)))</f>
        <v>175.06</v>
      </c>
      <c r="N149" s="7" t="str">
        <f aca="false">IF($O149="","",INDEX(Scoring!$AI$29:$AI$361,MATCH($O149,Scoring!$AS$29:$AS$361,0)))</f>
        <v>UK-NI | EU/EEA (2): Ireland, Malta</v>
      </c>
      <c r="O149" s="10" t="n">
        <f aca="false">IFERROR(SMALL(Scoring!$AS$29:$AS$361,145),"")</f>
        <v>12006</v>
      </c>
    </row>
    <row r="150" customFormat="false" ht="28.35" hidden="false" customHeight="false" outlineLevel="0" collapsed="false">
      <c r="A150" s="5" t="n">
        <f aca="false">IF($O150="","",INT($O150/1000))</f>
        <v>12</v>
      </c>
      <c r="B150" s="6" t="str">
        <f aca="false">IF($O150="","",INDEX(Scoring!$A$29:$A$361,MATCH($O150,Scoring!$AS$29:$AS$361,0)))</f>
        <v>Wockhardt</v>
      </c>
      <c r="C150" s="5" t="n">
        <f aca="false">IF($O150="","",IF(INDEX(Scoring!$AM$29:$AM$361,MATCH($O150,Scoring!$AS$29:$AS$361,0))="","–",INDEX(Scoring!$AM$29:$AM$361,MATCH($O150,Scoring!$AS$29:$AS$361,0))))</f>
        <v>7</v>
      </c>
      <c r="D150" s="6" t="str">
        <f aca="false">IF($O150="","",INDEX(Scoring!$AK$29:$AK$361,MATCH($O150,Scoring!$AS$29:$AS$361,0)))</f>
        <v>Priority 2</v>
      </c>
      <c r="E150" s="7" t="str">
        <f aca="false">IF($O150="","",INDEX(Scoring!$AL$29:$AL$361,MATCH($O150,Scoring!$AS$29:$AS$361,0)))</f>
        <v>High price · lower volume</v>
      </c>
      <c r="F150" s="6" t="str">
        <f aca="false">IF($O150="","",INDEX(Scoring!$B$29:$B$361,MATCH($O150,Scoring!$AS$29:$AS$361,0)))</f>
        <v>Hyoscine Hydrobromide</v>
      </c>
      <c r="G150" s="7" t="str">
        <f aca="false">IF($O150="","",INDEX(Scoring!$AG$29:$AG$361,MATCH($O150,Scoring!$AS$29:$AS$361,0)))</f>
        <v>Hyoscine Hydrobromide</v>
      </c>
      <c r="H150" s="7" t="str">
        <f aca="false">IF($O150="","",INDEX(Scoring!$C$29:$C$361,MATCH($O150,Scoring!$AS$29:$AS$361,0)))</f>
        <v>Palliative care and anaesthesia: reduces secretions, nausea</v>
      </c>
      <c r="I150" s="6" t="str">
        <f aca="false">IF($O150="","",INDEX(Scoring!$I$29:$I$361,MATCH($O150,Scoring!$AS$29:$AS$361,0)))</f>
        <v>Ampoule</v>
      </c>
      <c r="J150" s="7" t="str">
        <f aca="false">IF($O150="","",INDEX(Scoring!$Z$29:$Z$361,MATCH($O150,Scoring!$AS$29:$AS$361,0)))</f>
        <v>600 mcg/1 mL ampoule</v>
      </c>
      <c r="K150" s="8" t="n">
        <f aca="false">IF($O150="","",IF(INDEX(Scoring!$D$29:$D$361,MATCH($O150,Scoring!$AS$29:$AS$361,0))="",INDEX(Scoring!$AF$29:$AF$361,MATCH($O150,Scoring!$AS$29:$AS$361,0)),INDEX(Scoring!$D$29:$D$361,MATCH($O150,Scoring!$AS$29:$AS$361,0))))</f>
        <v>29.63</v>
      </c>
      <c r="L150" s="9" t="n">
        <f aca="false">IF($O150="","",INDEX(Scoring!$L$29:$L$361,MATCH($O150,Scoring!$AS$29:$AS$361,0)))</f>
        <v>77</v>
      </c>
      <c r="M150" s="9" t="n">
        <f aca="false">IF($O150="","",INDEX(Scoring!$N$29:$N$361,MATCH($O150,Scoring!$AS$29:$AS$361,0)))</f>
        <v>64.81</v>
      </c>
      <c r="N150" s="7" t="str">
        <f aca="false">IF($O150="","",INDEX(Scoring!$AI$29:$AI$361,MATCH($O150,Scoring!$AS$29:$AS$361,0)))</f>
        <v>UK, UK-NI</v>
      </c>
      <c r="O150" s="10" t="n">
        <f aca="false">IFERROR(SMALL(Scoring!$AS$29:$AS$361,146),"")</f>
        <v>12007</v>
      </c>
    </row>
    <row r="151" customFormat="false" ht="28.35" hidden="false" customHeight="false" outlineLevel="0" collapsed="false">
      <c r="A151" s="5" t="n">
        <f aca="false">IF($O151="","",INT($O151/1000))</f>
        <v>12</v>
      </c>
      <c r="B151" s="6" t="str">
        <f aca="false">IF($O151="","",INDEX(Scoring!$A$29:$A$361,MATCH($O151,Scoring!$AS$29:$AS$361,0)))</f>
        <v>Wockhardt</v>
      </c>
      <c r="C151" s="5" t="n">
        <f aca="false">IF($O151="","",IF(INDEX(Scoring!$AM$29:$AM$361,MATCH($O151,Scoring!$AS$29:$AS$361,0))="","–",INDEX(Scoring!$AM$29:$AM$361,MATCH($O151,Scoring!$AS$29:$AS$361,0))))</f>
        <v>8</v>
      </c>
      <c r="D151" s="6" t="str">
        <f aca="false">IF($O151="","",INDEX(Scoring!$AK$29:$AK$361,MATCH($O151,Scoring!$AS$29:$AS$361,0)))</f>
        <v>Priority 3</v>
      </c>
      <c r="E151" s="7" t="str">
        <f aca="false">IF($O151="","",INDEX(Scoring!$AL$29:$AL$361,MATCH($O151,Scoring!$AS$29:$AS$361,0)))</f>
        <v>Lower price · lower volume</v>
      </c>
      <c r="F151" s="6" t="str">
        <f aca="false">IF($O151="","",INDEX(Scoring!$B$29:$B$361,MATCH($O151,Scoring!$AS$29:$AS$361,0)))</f>
        <v>Morphine</v>
      </c>
      <c r="G151" s="7" t="str">
        <f aca="false">IF($O151="","",INDEX(Scoring!$AG$29:$AG$361,MATCH($O151,Scoring!$AS$29:$AS$361,0)))</f>
        <v>Morphine Sulfate</v>
      </c>
      <c r="H151" s="7" t="str">
        <f aca="false">IF($O151="","",INDEX(Scoring!$C$29:$C$361,MATCH($O151,Scoring!$AS$29:$AS$361,0)))</f>
        <v>Pain management: severe acute and palliative pain</v>
      </c>
      <c r="I151" s="6" t="str">
        <f aca="false">IF($O151="","",INDEX(Scoring!$I$29:$I$361,MATCH($O151,Scoring!$AS$29:$AS$361,0)))</f>
        <v>Ampoule</v>
      </c>
      <c r="J151" s="7" t="str">
        <f aca="false">IF($O151="","",INDEX(Scoring!$Z$29:$Z$361,MATCH($O151,Scoring!$AS$29:$AS$361,0)))</f>
        <v>30 mg/1 mL ampoule</v>
      </c>
      <c r="K151" s="8" t="n">
        <f aca="false">IF($O151="","",IF(INDEX(Scoring!$D$29:$D$361,MATCH($O151,Scoring!$AS$29:$AS$361,0))="",INDEX(Scoring!$AF$29:$AF$361,MATCH($O151,Scoring!$AS$29:$AS$361,0)),INDEX(Scoring!$D$29:$D$361,MATCH($O151,Scoring!$AS$29:$AS$361,0))))</f>
        <v>6.4</v>
      </c>
      <c r="L151" s="9" t="n">
        <f aca="false">IF($O151="","",INDEX(Scoring!$L$29:$L$361,MATCH($O151,Scoring!$AS$29:$AS$361,0)))</f>
        <v>128</v>
      </c>
      <c r="M151" s="9" t="n">
        <f aca="false">IF($O151="","",INDEX(Scoring!$N$29:$N$361,MATCH($O151,Scoring!$AS$29:$AS$361,0)))</f>
        <v>3640.13</v>
      </c>
      <c r="N151" s="7" t="str">
        <f aca="false">IF($O151="","",INDEX(Scoring!$AI$29:$AI$361,MATCH($O151,Scoring!$AS$29:$AS$361,0)))</f>
        <v>UK, UK-NI</v>
      </c>
      <c r="O151" s="10" t="n">
        <f aca="false">IFERROR(SMALL(Scoring!$AS$29:$AS$361,147),"")</f>
        <v>12008</v>
      </c>
    </row>
    <row r="152" customFormat="false" ht="28.35" hidden="false" customHeight="false" outlineLevel="0" collapsed="false">
      <c r="A152" s="5" t="n">
        <f aca="false">IF($O152="","",INT($O152/1000))</f>
        <v>12</v>
      </c>
      <c r="B152" s="6" t="str">
        <f aca="false">IF($O152="","",INDEX(Scoring!$A$29:$A$361,MATCH($O152,Scoring!$AS$29:$AS$361,0)))</f>
        <v>Wockhardt</v>
      </c>
      <c r="C152" s="5" t="n">
        <f aca="false">IF($O152="","",IF(INDEX(Scoring!$AM$29:$AM$361,MATCH($O152,Scoring!$AS$29:$AS$361,0))="","–",INDEX(Scoring!$AM$29:$AM$361,MATCH($O152,Scoring!$AS$29:$AS$361,0))))</f>
        <v>9</v>
      </c>
      <c r="D152" s="6" t="str">
        <f aca="false">IF($O152="","",INDEX(Scoring!$AK$29:$AK$361,MATCH($O152,Scoring!$AS$29:$AS$361,0)))</f>
        <v>Priority 3</v>
      </c>
      <c r="E152" s="7" t="str">
        <f aca="false">IF($O152="","",INDEX(Scoring!$AL$29:$AL$361,MATCH($O152,Scoring!$AS$29:$AS$361,0)))</f>
        <v>Lower price · lower volume</v>
      </c>
      <c r="F152" s="6" t="str">
        <f aca="false">IF($O152="","",INDEX(Scoring!$B$29:$B$361,MATCH($O152,Scoring!$AS$29:$AS$361,0)))</f>
        <v>Oxacillin</v>
      </c>
      <c r="G152" s="7" t="str">
        <f aca="false">IF($O152="","",INDEX(Scoring!$AG$29:$AG$361,MATCH($O152,Scoring!$AS$29:$AS$361,0)))</f>
        <v>Oxacillin Sodium</v>
      </c>
      <c r="H152" s="7" t="str">
        <f aca="false">IF($O152="","",INDEX(Scoring!$C$29:$C$361,MATCH($O152,Scoring!$AS$29:$AS$361,0)))</f>
        <v>Anti-infective: staphylococcal infections</v>
      </c>
      <c r="I152" s="6" t="str">
        <f aca="false">IF($O152="","",INDEX(Scoring!$I$29:$I$361,MATCH($O152,Scoring!$AS$29:$AS$361,0)))</f>
        <v>Vial</v>
      </c>
      <c r="J152" s="7" t="str">
        <f aca="false">IF($O152="","",INDEX(Scoring!$Z$29:$Z$361,MATCH($O152,Scoring!$AS$29:$AS$361,0)))</f>
        <v>1 g powder vial; 2 g powder vial</v>
      </c>
      <c r="K152" s="8" t="n">
        <f aca="false">IF($O152="","",IF(INDEX(Scoring!$D$29:$D$361,MATCH($O152,Scoring!$AS$29:$AS$361,0))="",INDEX(Scoring!$AF$29:$AF$361,MATCH($O152,Scoring!$AS$29:$AS$361,0)),INDEX(Scoring!$D$29:$D$361,MATCH($O152,Scoring!$AS$29:$AS$361,0))))</f>
        <v>10.93</v>
      </c>
      <c r="L152" s="9" t="n">
        <f aca="false">IF($O152="","",INDEX(Scoring!$L$29:$L$361,MATCH($O152,Scoring!$AS$29:$AS$361,0)))</f>
        <v>10</v>
      </c>
      <c r="M152" s="9" t="n">
        <f aca="false">IF($O152="","",INDEX(Scoring!$N$29:$N$361,MATCH($O152,Scoring!$AS$29:$AS$361,0)))</f>
        <v>280.98</v>
      </c>
      <c r="N152" s="7" t="str">
        <f aca="false">IF($O152="","",INDEX(Scoring!$AI$29:$AI$361,MATCH($O152,Scoring!$AS$29:$AS$361,0)))</f>
        <v>US</v>
      </c>
      <c r="O152" s="10" t="n">
        <f aca="false">IFERROR(SMALL(Scoring!$AS$29:$AS$361,148),"")</f>
        <v>12009</v>
      </c>
    </row>
    <row r="153" customFormat="false" ht="28.35" hidden="false" customHeight="false" outlineLevel="0" collapsed="false">
      <c r="A153" s="5" t="n">
        <f aca="false">IF($O153="","",INT($O153/1000))</f>
        <v>12</v>
      </c>
      <c r="B153" s="6" t="str">
        <f aca="false">IF($O153="","",INDEX(Scoring!$A$29:$A$361,MATCH($O153,Scoring!$AS$29:$AS$361,0)))</f>
        <v>Wockhardt</v>
      </c>
      <c r="C153" s="5" t="str">
        <f aca="false">IF($O153="","",IF(INDEX(Scoring!$AM$29:$AM$361,MATCH($O153,Scoring!$AS$29:$AS$361,0))="","–",INDEX(Scoring!$AM$29:$AM$361,MATCH($O153,Scoring!$AS$29:$AS$361,0))))</f>
        <v>–</v>
      </c>
      <c r="D153" s="6" t="str">
        <f aca="false">IF($O153="","",INDEX(Scoring!$AK$29:$AK$361,MATCH($O153,Scoring!$AS$29:$AS$361,0)))</f>
        <v>Excluded – price ≤ $5</v>
      </c>
      <c r="E153" s="7" t="str">
        <f aca="false">IF($O153="","",INDEX(Scoring!$AL$29:$AL$361,MATCH($O153,Scoring!$AS$29:$AS$361,0)))</f>
        <v/>
      </c>
      <c r="F153" s="6" t="str">
        <f aca="false">IF($O153="","",INDEX(Scoring!$B$29:$B$361,MATCH($O153,Scoring!$AS$29:$AS$361,0)))</f>
        <v>Amikacin</v>
      </c>
      <c r="G153" s="7" t="str">
        <f aca="false">IF($O153="","",INDEX(Scoring!$AG$29:$AG$361,MATCH($O153,Scoring!$AS$29:$AS$361,0)))</f>
        <v>Amikacin Wockhardt</v>
      </c>
      <c r="H153" s="7" t="str">
        <f aca="false">IF($O153="","",INDEX(Scoring!$C$29:$C$361,MATCH($O153,Scoring!$AS$29:$AS$361,0)))</f>
        <v>Anti-infective: serious and drug-resistant Gram-negative infections, resistant TB</v>
      </c>
      <c r="I153" s="6" t="str">
        <f aca="false">IF($O153="","",INDEX(Scoring!$I$29:$I$361,MATCH($O153,Scoring!$AS$29:$AS$361,0)))</f>
        <v>Vial</v>
      </c>
      <c r="J153" s="7" t="str">
        <f aca="false">IF($O153="","",INDEX(Scoring!$Z$29:$Z$361,MATCH($O153,Scoring!$AS$29:$AS$361,0)))</f>
        <v>500 mg/2 mL vial</v>
      </c>
      <c r="K153" s="8" t="n">
        <f aca="false">IF($O153="","",IF(INDEX(Scoring!$D$29:$D$361,MATCH($O153,Scoring!$AS$29:$AS$361,0))="",INDEX(Scoring!$AF$29:$AF$361,MATCH($O153,Scoring!$AS$29:$AS$361,0)),INDEX(Scoring!$D$29:$D$361,MATCH($O153,Scoring!$AS$29:$AS$361,0))))</f>
        <v>3.06</v>
      </c>
      <c r="L153" s="9" t="n">
        <f aca="false">IF($O153="","",INDEX(Scoring!$L$29:$L$361,MATCH($O153,Scoring!$AS$29:$AS$361,0)))</f>
        <v>684</v>
      </c>
      <c r="M153" s="9" t="n">
        <f aca="false">IF($O153="","",INDEX(Scoring!$N$29:$N$361,MATCH($O153,Scoring!$AS$29:$AS$361,0)))</f>
        <v>8785.35</v>
      </c>
      <c r="N153" s="7" t="str">
        <f aca="false">IF($O153="","",INDEX(Scoring!$AI$29:$AI$361,MATCH($O153,Scoring!$AS$29:$AS$361,0)))</f>
        <v>Australia</v>
      </c>
      <c r="O153" s="10" t="n">
        <f aca="false">IFERROR(SMALL(Scoring!$AS$29:$AS$361,149),"")</f>
        <v>12901</v>
      </c>
    </row>
    <row r="154" customFormat="false" ht="28.35" hidden="false" customHeight="false" outlineLevel="0" collapsed="false">
      <c r="A154" s="5" t="n">
        <f aca="false">IF($O154="","",INT($O154/1000))</f>
        <v>13</v>
      </c>
      <c r="B154" s="6" t="str">
        <f aca="false">IF($O154="","",INDEX(Scoring!$A$29:$A$361,MATCH($O154,Scoring!$AS$29:$AS$361,0)))</f>
        <v>Lupin</v>
      </c>
      <c r="C154" s="5" t="n">
        <f aca="false">IF($O154="","",IF(INDEX(Scoring!$AM$29:$AM$361,MATCH($O154,Scoring!$AS$29:$AS$361,0))="","–",INDEX(Scoring!$AM$29:$AM$361,MATCH($O154,Scoring!$AS$29:$AS$361,0))))</f>
        <v>1</v>
      </c>
      <c r="D154" s="6" t="str">
        <f aca="false">IF($O154="","",INDEX(Scoring!$AK$29:$AK$361,MATCH($O154,Scoring!$AS$29:$AS$361,0)))</f>
        <v>Priority 2</v>
      </c>
      <c r="E154" s="7" t="str">
        <f aca="false">IF($O154="","",INDEX(Scoring!$AL$29:$AL$361,MATCH($O154,Scoring!$AS$29:$AS$361,0)))</f>
        <v>Lower price · high volume</v>
      </c>
      <c r="F154" s="6" t="str">
        <f aca="false">IF($O154="","",INDEX(Scoring!$B$29:$B$361,MATCH($O154,Scoring!$AS$29:$AS$361,0)))</f>
        <v>Olanzapine</v>
      </c>
      <c r="G154" s="7" t="str">
        <f aca="false">IF($O154="","",INDEX(Scoring!$AG$29:$AG$361,MATCH($O154,Scoring!$AS$29:$AS$361,0)))</f>
        <v>Olanzapine GH IM</v>
      </c>
      <c r="H154" s="7" t="str">
        <f aca="false">IF($O154="","",INDEX(Scoring!$C$29:$C$361,MATCH($O154,Scoring!$AS$29:$AS$361,0)))</f>
        <v>Psychiatry: acute agitation in schizophrenia and bipolar mania</v>
      </c>
      <c r="I154" s="6" t="str">
        <f aca="false">IF($O154="","",INDEX(Scoring!$I$29:$I$361,MATCH($O154,Scoring!$AS$29:$AS$361,0)))</f>
        <v>Vial</v>
      </c>
      <c r="J154" s="7" t="str">
        <f aca="false">IF($O154="","",INDEX(Scoring!$Z$29:$Z$361,MATCH($O154,Scoring!$AS$29:$AS$361,0)))</f>
        <v>10 mg powder vial</v>
      </c>
      <c r="K154" s="8" t="n">
        <f aca="false">IF($O154="","",IF(INDEX(Scoring!$D$29:$D$361,MATCH($O154,Scoring!$AS$29:$AS$361,0))="",INDEX(Scoring!$AF$29:$AF$361,MATCH($O154,Scoring!$AS$29:$AS$361,0)),INDEX(Scoring!$D$29:$D$361,MATCH($O154,Scoring!$AS$29:$AS$361,0))))</f>
        <v>18.28</v>
      </c>
      <c r="L154" s="9" t="n">
        <f aca="false">IF($O154="","",INDEX(Scoring!$L$29:$L$361,MATCH($O154,Scoring!$AS$29:$AS$361,0)))</f>
        <v>2061</v>
      </c>
      <c r="M154" s="9" t="n">
        <f aca="false">IF($O154="","",INDEX(Scoring!$N$29:$N$361,MATCH($O154,Scoring!$AS$29:$AS$361,0)))</f>
        <v>38680.23</v>
      </c>
      <c r="N154" s="7" t="str">
        <f aca="false">IF($O154="","",INDEX(Scoring!$AI$29:$AI$361,MATCH($O154,Scoring!$AS$29:$AS$361,0)))</f>
        <v>Australia</v>
      </c>
      <c r="O154" s="10" t="n">
        <f aca="false">IFERROR(SMALL(Scoring!$AS$29:$AS$361,150),"")</f>
        <v>13001</v>
      </c>
    </row>
    <row r="155" customFormat="false" ht="28.35" hidden="false" customHeight="false" outlineLevel="0" collapsed="false">
      <c r="A155" s="5" t="n">
        <f aca="false">IF($O155="","",INT($O155/1000))</f>
        <v>13</v>
      </c>
      <c r="B155" s="6" t="str">
        <f aca="false">IF($O155="","",INDEX(Scoring!$A$29:$A$361,MATCH($O155,Scoring!$AS$29:$AS$361,0)))</f>
        <v>Lupin</v>
      </c>
      <c r="C155" s="5" t="n">
        <f aca="false">IF($O155="","",IF(INDEX(Scoring!$AM$29:$AM$361,MATCH($O155,Scoring!$AS$29:$AS$361,0))="","–",INDEX(Scoring!$AM$29:$AM$361,MATCH($O155,Scoring!$AS$29:$AS$361,0))))</f>
        <v>2</v>
      </c>
      <c r="D155" s="6" t="str">
        <f aca="false">IF($O155="","",INDEX(Scoring!$AK$29:$AK$361,MATCH($O155,Scoring!$AS$29:$AS$361,0)))</f>
        <v>Priority 2</v>
      </c>
      <c r="E155" s="7" t="str">
        <f aca="false">IF($O155="","",INDEX(Scoring!$AL$29:$AL$361,MATCH($O155,Scoring!$AS$29:$AS$361,0)))</f>
        <v>Lower price · high volume</v>
      </c>
      <c r="F155" s="6" t="str">
        <f aca="false">IF($O155="","",INDEX(Scoring!$B$29:$B$361,MATCH($O155,Scoring!$AS$29:$AS$361,0)))</f>
        <v>Oxytocin</v>
      </c>
      <c r="G155" s="7" t="str">
        <f aca="false">IF($O155="","",INDEX(Scoring!$AG$29:$AG$361,MATCH($O155,Scoring!$AS$29:$AS$361,0)))</f>
        <v>Oxytocin GH</v>
      </c>
      <c r="H155" s="7" t="str">
        <f aca="false">IF($O155="","",INDEX(Scoring!$C$29:$C$361,MATCH($O155,Scoring!$AS$29:$AS$361,0)))</f>
        <v>Women's health: labour induction, postpartum haemorrhage</v>
      </c>
      <c r="I155" s="6" t="str">
        <f aca="false">IF($O155="","",INDEX(Scoring!$I$29:$I$361,MATCH($O155,Scoring!$AS$29:$AS$361,0)))</f>
        <v>Ampoule</v>
      </c>
      <c r="J155" s="7" t="str">
        <f aca="false">IF($O155="","",INDEX(Scoring!$Z$29:$Z$361,MATCH($O155,Scoring!$AS$29:$AS$361,0)))</f>
        <v>10 IU/1 mL ampoule</v>
      </c>
      <c r="K155" s="8" t="n">
        <f aca="false">IF($O155="","",IF(INDEX(Scoring!$D$29:$D$361,MATCH($O155,Scoring!$AS$29:$AS$361,0))="",INDEX(Scoring!$AF$29:$AF$361,MATCH($O155,Scoring!$AS$29:$AS$361,0)),INDEX(Scoring!$D$29:$D$361,MATCH($O155,Scoring!$AS$29:$AS$361,0))))</f>
        <v>8.11</v>
      </c>
      <c r="L155" s="9" t="n">
        <f aca="false">IF($O155="","",INDEX(Scoring!$L$29:$L$361,MATCH($O155,Scoring!$AS$29:$AS$361,0)))</f>
        <v>309</v>
      </c>
      <c r="M155" s="9" t="n">
        <f aca="false">IF($O155="","",INDEX(Scoring!$N$29:$N$361,MATCH($O155,Scoring!$AS$29:$AS$361,0)))</f>
        <v>8362.23</v>
      </c>
      <c r="N155" s="7" t="str">
        <f aca="false">IF($O155="","",INDEX(Scoring!$AI$29:$AI$361,MATCH($O155,Scoring!$AS$29:$AS$361,0)))</f>
        <v>Australia</v>
      </c>
      <c r="O155" s="10" t="n">
        <f aca="false">IFERROR(SMALL(Scoring!$AS$29:$AS$361,151),"")</f>
        <v>13002</v>
      </c>
    </row>
    <row r="156" customFormat="false" ht="28.35" hidden="false" customHeight="false" outlineLevel="0" collapsed="false">
      <c r="A156" s="5" t="n">
        <f aca="false">IF($O156="","",INT($O156/1000))</f>
        <v>13</v>
      </c>
      <c r="B156" s="6" t="str">
        <f aca="false">IF($O156="","",INDEX(Scoring!$A$29:$A$361,MATCH($O156,Scoring!$AS$29:$AS$361,0)))</f>
        <v>Lupin</v>
      </c>
      <c r="C156" s="5" t="n">
        <f aca="false">IF($O156="","",IF(INDEX(Scoring!$AM$29:$AM$361,MATCH($O156,Scoring!$AS$29:$AS$361,0))="","–",INDEX(Scoring!$AM$29:$AM$361,MATCH($O156,Scoring!$AS$29:$AS$361,0))))</f>
        <v>3</v>
      </c>
      <c r="D156" s="6" t="str">
        <f aca="false">IF($O156="","",INDEX(Scoring!$AK$29:$AK$361,MATCH($O156,Scoring!$AS$29:$AS$361,0)))</f>
        <v>Priority 2</v>
      </c>
      <c r="E156" s="7" t="str">
        <f aca="false">IF($O156="","",INDEX(Scoring!$AL$29:$AL$361,MATCH($O156,Scoring!$AS$29:$AS$361,0)))</f>
        <v>High price · lower volume</v>
      </c>
      <c r="F156" s="6" t="str">
        <f aca="false">IF($O156="","",INDEX(Scoring!$B$29:$B$361,MATCH($O156,Scoring!$AS$29:$AS$361,0)))</f>
        <v>Teicoplanin</v>
      </c>
      <c r="G156" s="7" t="str">
        <f aca="false">IF($O156="","",INDEX(Scoring!$AG$29:$AG$361,MATCH($O156,Scoring!$AS$29:$AS$361,0)))</f>
        <v>Teicoplanin SXP; Dyna Teicoplanin; Teicoplanin PD</v>
      </c>
      <c r="H156" s="7" t="str">
        <f aca="false">IF($O156="","",INDEX(Scoring!$C$29:$C$361,MATCH($O156,Scoring!$AS$29:$AS$361,0)))</f>
        <v>Anti-infective: MRSA and serious Gram-positive infections</v>
      </c>
      <c r="I156" s="6" t="str">
        <f aca="false">IF($O156="","",INDEX(Scoring!$I$29:$I$361,MATCH($O156,Scoring!$AS$29:$AS$361,0)))</f>
        <v>Vial</v>
      </c>
      <c r="J156" s="7" t="str">
        <f aca="false">IF($O156="","",INDEX(Scoring!$Z$29:$Z$361,MATCH($O156,Scoring!$AS$29:$AS$361,0)))</f>
        <v>400 mg powder vial; 200 mg in 20 mL powder vial; 400 mg in 20 mL powder vial</v>
      </c>
      <c r="K156" s="8" t="n">
        <f aca="false">IF($O156="","",IF(INDEX(Scoring!$D$29:$D$361,MATCH($O156,Scoring!$AS$29:$AS$361,0))="",INDEX(Scoring!$AF$29:$AF$361,MATCH($O156,Scoring!$AS$29:$AS$361,0)),INDEX(Scoring!$D$29:$D$361,MATCH($O156,Scoring!$AS$29:$AS$361,0))))</f>
        <v>32.43</v>
      </c>
      <c r="L156" s="9" t="n">
        <f aca="false">IF($O156="","",INDEX(Scoring!$L$29:$L$361,MATCH($O156,Scoring!$AS$29:$AS$361,0)))</f>
        <v>106</v>
      </c>
      <c r="M156" s="9" t="n">
        <f aca="false">IF($O156="","",INDEX(Scoring!$N$29:$N$361,MATCH($O156,Scoring!$AS$29:$AS$361,0)))</f>
        <v>7074.72</v>
      </c>
      <c r="N156" s="7" t="str">
        <f aca="false">IF($O156="","",INDEX(Scoring!$AI$29:$AI$361,MATCH($O156,Scoring!$AS$29:$AS$361,0)))</f>
        <v>Australia, South Africa</v>
      </c>
      <c r="O156" s="10" t="n">
        <f aca="false">IFERROR(SMALL(Scoring!$AS$29:$AS$361,152),"")</f>
        <v>13003</v>
      </c>
    </row>
    <row r="157" customFormat="false" ht="28.35" hidden="false" customHeight="false" outlineLevel="0" collapsed="false">
      <c r="A157" s="5" t="n">
        <f aca="false">IF($O157="","",INT($O157/1000))</f>
        <v>13</v>
      </c>
      <c r="B157" s="6" t="str">
        <f aca="false">IF($O157="","",INDEX(Scoring!$A$29:$A$361,MATCH($O157,Scoring!$AS$29:$AS$361,0)))</f>
        <v>Lupin</v>
      </c>
      <c r="C157" s="5" t="n">
        <f aca="false">IF($O157="","",IF(INDEX(Scoring!$AM$29:$AM$361,MATCH($O157,Scoring!$AS$29:$AS$361,0))="","–",INDEX(Scoring!$AM$29:$AM$361,MATCH($O157,Scoring!$AS$29:$AS$361,0))))</f>
        <v>4</v>
      </c>
      <c r="D157" s="6" t="str">
        <f aca="false">IF($O157="","",INDEX(Scoring!$AK$29:$AK$361,MATCH($O157,Scoring!$AS$29:$AS$361,0)))</f>
        <v>Priority 2</v>
      </c>
      <c r="E157" s="7" t="str">
        <f aca="false">IF($O157="","",INDEX(Scoring!$AL$29:$AL$361,MATCH($O157,Scoring!$AS$29:$AS$361,0)))</f>
        <v>High price · lower volume</v>
      </c>
      <c r="F157" s="6" t="str">
        <f aca="false">IF($O157="","",INDEX(Scoring!$B$29:$B$361,MATCH($O157,Scoring!$AS$29:$AS$361,0)))</f>
        <v>Testosterone Undecanoate</v>
      </c>
      <c r="G157" s="7" t="str">
        <f aca="false">IF($O157="","",INDEX(Scoring!$AG$29:$AG$361,MATCH($O157,Scoring!$AS$29:$AS$361,0)))</f>
        <v>Testosterone PD</v>
      </c>
      <c r="H157" s="7" t="str">
        <f aca="false">IF($O157="","",INDEX(Scoring!$C$29:$C$361,MATCH($O157,Scoring!$AS$29:$AS$361,0)))</f>
        <v>Endocrinology: long-acting testosterone replacement in male hypogonadism</v>
      </c>
      <c r="I157" s="6" t="str">
        <f aca="false">IF($O157="","",INDEX(Scoring!$I$29:$I$361,MATCH($O157,Scoring!$AS$29:$AS$361,0)))</f>
        <v>Vial</v>
      </c>
      <c r="J157" s="7" t="str">
        <f aca="false">IF($O157="","",INDEX(Scoring!$Z$29:$Z$361,MATCH($O157,Scoring!$AS$29:$AS$361,0)))</f>
        <v>1000 mg/4 mL vial</v>
      </c>
      <c r="K157" s="8" t="n">
        <f aca="false">IF($O157="","",IF(INDEX(Scoring!$D$29:$D$361,MATCH($O157,Scoring!$AS$29:$AS$361,0))="",INDEX(Scoring!$AF$29:$AF$361,MATCH($O157,Scoring!$AS$29:$AS$361,0)),INDEX(Scoring!$D$29:$D$361,MATCH($O157,Scoring!$AS$29:$AS$361,0))))</f>
        <v>125.38</v>
      </c>
      <c r="L157" s="9" t="n">
        <f aca="false">IF($O157="","",INDEX(Scoring!$L$29:$L$361,MATCH($O157,Scoring!$AS$29:$AS$361,0)))</f>
        <v>188</v>
      </c>
      <c r="M157" s="9" t="n">
        <f aca="false">IF($O157="","",INDEX(Scoring!$N$29:$N$361,MATCH($O157,Scoring!$AS$29:$AS$361,0)))</f>
        <v>262.84</v>
      </c>
      <c r="N157" s="7" t="str">
        <f aca="false">IF($O157="","",INDEX(Scoring!$AI$29:$AI$361,MATCH($O157,Scoring!$AS$29:$AS$361,0)))</f>
        <v>South Africa</v>
      </c>
      <c r="O157" s="10" t="n">
        <f aca="false">IFERROR(SMALL(Scoring!$AS$29:$AS$361,153),"")</f>
        <v>13004</v>
      </c>
    </row>
    <row r="158" customFormat="false" ht="28.35" hidden="false" customHeight="false" outlineLevel="0" collapsed="false">
      <c r="A158" s="5" t="n">
        <f aca="false">IF($O158="","",INT($O158/1000))</f>
        <v>13</v>
      </c>
      <c r="B158" s="6" t="str">
        <f aca="false">IF($O158="","",INDEX(Scoring!$A$29:$A$361,MATCH($O158,Scoring!$AS$29:$AS$361,0)))</f>
        <v>Lupin</v>
      </c>
      <c r="C158" s="5" t="n">
        <f aca="false">IF($O158="","",IF(INDEX(Scoring!$AM$29:$AM$361,MATCH($O158,Scoring!$AS$29:$AS$361,0))="","–",INDEX(Scoring!$AM$29:$AM$361,MATCH($O158,Scoring!$AS$29:$AS$361,0))))</f>
        <v>5</v>
      </c>
      <c r="D158" s="6" t="str">
        <f aca="false">IF($O158="","",INDEX(Scoring!$AK$29:$AK$361,MATCH($O158,Scoring!$AS$29:$AS$361,0)))</f>
        <v>Priority 3</v>
      </c>
      <c r="E158" s="7" t="str">
        <f aca="false">IF($O158="","",INDEX(Scoring!$AL$29:$AL$361,MATCH($O158,Scoring!$AS$29:$AS$361,0)))</f>
        <v>Lower price · lower volume</v>
      </c>
      <c r="F158" s="6" t="str">
        <f aca="false">IF($O158="","",INDEX(Scoring!$B$29:$B$361,MATCH($O158,Scoring!$AS$29:$AS$361,0)))</f>
        <v>Ertapenem</v>
      </c>
      <c r="G158" s="7" t="str">
        <f aca="false">IF($O158="","",INDEX(Scoring!$AG$29:$AG$361,MATCH($O158,Scoring!$AS$29:$AS$361,0)))</f>
        <v>Invabex</v>
      </c>
      <c r="H158" s="7" t="str">
        <f aca="false">IF($O158="","",INDEX(Scoring!$C$29:$C$361,MATCH($O158,Scoring!$AS$29:$AS$361,0)))</f>
        <v>Anti-infective: abdominal, skin and urinary infections, pneumonia</v>
      </c>
      <c r="I158" s="6" t="str">
        <f aca="false">IF($O158="","",INDEX(Scoring!$I$29:$I$361,MATCH($O158,Scoring!$AS$29:$AS$361,0)))</f>
        <v>Vial</v>
      </c>
      <c r="J158" s="7" t="str">
        <f aca="false">IF($O158="","",INDEX(Scoring!$Z$29:$Z$361,MATCH($O158,Scoring!$AS$29:$AS$361,0)))</f>
        <v>1 g in 20 mL powder vial</v>
      </c>
      <c r="K158" s="8" t="n">
        <f aca="false">IF($O158="","",IF(INDEX(Scoring!$D$29:$D$361,MATCH($O158,Scoring!$AS$29:$AS$361,0))="",INDEX(Scoring!$AF$29:$AF$361,MATCH($O158,Scoring!$AS$29:$AS$361,0)),INDEX(Scoring!$D$29:$D$361,MATCH($O158,Scoring!$AS$29:$AS$361,0))))</f>
        <v>21.3</v>
      </c>
      <c r="L158" s="9" t="n">
        <f aca="false">IF($O158="","",INDEX(Scoring!$L$29:$L$361,MATCH($O158,Scoring!$AS$29:$AS$361,0)))</f>
        <v>223</v>
      </c>
      <c r="M158" s="9" t="n">
        <f aca="false">IF($O158="","",INDEX(Scoring!$N$29:$N$361,MATCH($O158,Scoring!$AS$29:$AS$361,0)))</f>
        <v>53539.87</v>
      </c>
      <c r="N158" s="7" t="str">
        <f aca="false">IF($O158="","",INDEX(Scoring!$AI$29:$AI$361,MATCH($O158,Scoring!$AS$29:$AS$361,0)))</f>
        <v>South Africa</v>
      </c>
      <c r="O158" s="10" t="n">
        <f aca="false">IFERROR(SMALL(Scoring!$AS$29:$AS$361,154),"")</f>
        <v>13005</v>
      </c>
    </row>
    <row r="159" customFormat="false" ht="28.35" hidden="false" customHeight="false" outlineLevel="0" collapsed="false">
      <c r="A159" s="5" t="n">
        <f aca="false">IF($O159="","",INT($O159/1000))</f>
        <v>13</v>
      </c>
      <c r="B159" s="6" t="str">
        <f aca="false">IF($O159="","",INDEX(Scoring!$A$29:$A$361,MATCH($O159,Scoring!$AS$29:$AS$361,0)))</f>
        <v>Lupin</v>
      </c>
      <c r="C159" s="5" t="n">
        <f aca="false">IF($O159="","",IF(INDEX(Scoring!$AM$29:$AM$361,MATCH($O159,Scoring!$AS$29:$AS$361,0))="","–",INDEX(Scoring!$AM$29:$AM$361,MATCH($O159,Scoring!$AS$29:$AS$361,0))))</f>
        <v>6</v>
      </c>
      <c r="D159" s="6" t="str">
        <f aca="false">IF($O159="","",INDEX(Scoring!$AK$29:$AK$361,MATCH($O159,Scoring!$AS$29:$AS$361,0)))</f>
        <v>Priority 3</v>
      </c>
      <c r="E159" s="7" t="str">
        <f aca="false">IF($O159="","",INDEX(Scoring!$AL$29:$AL$361,MATCH($O159,Scoring!$AS$29:$AS$361,0)))</f>
        <v>Lower price · lower volume</v>
      </c>
      <c r="F159" s="6" t="str">
        <f aca="false">IF($O159="","",INDEX(Scoring!$B$29:$B$361,MATCH($O159,Scoring!$AS$29:$AS$361,0)))</f>
        <v>Diazepam</v>
      </c>
      <c r="G159" s="7" t="str">
        <f aca="false">IF($O159="","",INDEX(Scoring!$AG$29:$AG$361,MATCH($O159,Scoring!$AS$29:$AS$361,0)))</f>
        <v>Diazepam</v>
      </c>
      <c r="H159" s="7" t="str">
        <f aca="false">IF($O159="","",INDEX(Scoring!$C$29:$C$361,MATCH($O159,Scoring!$AS$29:$AS$361,0)))</f>
        <v>Neurology: status epilepticus, seizures, acute anxiety and sedation</v>
      </c>
      <c r="I159" s="6" t="str">
        <f aca="false">IF($O159="","",INDEX(Scoring!$I$29:$I$361,MATCH($O159,Scoring!$AS$29:$AS$361,0)))</f>
        <v>Not stated</v>
      </c>
      <c r="J159" s="7" t="str">
        <f aca="false">IF($O159="","",INDEX(Scoring!$Z$29:$Z$361,MATCH($O159,Scoring!$AS$29:$AS$361,0)))</f>
        <v>10 mg/2 mL (container not stated)</v>
      </c>
      <c r="K159" s="8" t="n">
        <f aca="false">IF($O159="","",IF(INDEX(Scoring!$D$29:$D$361,MATCH($O159,Scoring!$AS$29:$AS$361,0))="",INDEX(Scoring!$AF$29:$AF$361,MATCH($O159,Scoring!$AS$29:$AS$361,0)),INDEX(Scoring!$D$29:$D$361,MATCH($O159,Scoring!$AS$29:$AS$361,0))))</f>
        <v>10.14</v>
      </c>
      <c r="L159" s="9" t="n">
        <f aca="false">IF($O159="","",INDEX(Scoring!$L$29:$L$361,MATCH($O159,Scoring!$AS$29:$AS$361,0)))</f>
        <v>180</v>
      </c>
      <c r="M159" s="9" t="n">
        <f aca="false">IF($O159="","",INDEX(Scoring!$N$29:$N$361,MATCH($O159,Scoring!$AS$29:$AS$361,0)))</f>
        <v>5403.25</v>
      </c>
      <c r="N159" s="7" t="str">
        <f aca="false">IF($O159="","",INDEX(Scoring!$AI$29:$AI$361,MATCH($O159,Scoring!$AS$29:$AS$361,0)))</f>
        <v>US</v>
      </c>
      <c r="O159" s="10" t="n">
        <f aca="false">IFERROR(SMALL(Scoring!$AS$29:$AS$361,155),"")</f>
        <v>13006</v>
      </c>
    </row>
    <row r="160" customFormat="false" ht="28.35" hidden="false" customHeight="false" outlineLevel="0" collapsed="false">
      <c r="A160" s="5" t="n">
        <f aca="false">IF($O160="","",INT($O160/1000))</f>
        <v>13</v>
      </c>
      <c r="B160" s="6" t="str">
        <f aca="false">IF($O160="","",INDEX(Scoring!$A$29:$A$361,MATCH($O160,Scoring!$AS$29:$AS$361,0)))</f>
        <v>Lupin</v>
      </c>
      <c r="C160" s="5" t="n">
        <f aca="false">IF($O160="","",IF(INDEX(Scoring!$AM$29:$AM$361,MATCH($O160,Scoring!$AS$29:$AS$361,0))="","–",INDEX(Scoring!$AM$29:$AM$361,MATCH($O160,Scoring!$AS$29:$AS$361,0))))</f>
        <v>7</v>
      </c>
      <c r="D160" s="6" t="str">
        <f aca="false">IF($O160="","",INDEX(Scoring!$AK$29:$AK$361,MATCH($O160,Scoring!$AS$29:$AS$361,0)))</f>
        <v>Priority 3</v>
      </c>
      <c r="E160" s="7" t="str">
        <f aca="false">IF($O160="","",INDEX(Scoring!$AL$29:$AL$361,MATCH($O160,Scoring!$AS$29:$AS$361,0)))</f>
        <v>Lower price · lower volume</v>
      </c>
      <c r="F160" s="6" t="str">
        <f aca="false">IF($O160="","",INDEX(Scoring!$B$29:$B$361,MATCH($O160,Scoring!$AS$29:$AS$361,0)))</f>
        <v>Fentanyl</v>
      </c>
      <c r="G160" s="7" t="str">
        <f aca="false">IF($O160="","",INDEX(Scoring!$AG$29:$AG$361,MATCH($O160,Scoring!$AS$29:$AS$361,0)))</f>
        <v>Fentanyl GH</v>
      </c>
      <c r="H160" s="7" t="str">
        <f aca="false">IF($O160="","",INDEX(Scoring!$C$29:$C$361,MATCH($O160,Scoring!$AS$29:$AS$361,0)))</f>
        <v>Anaesthesia and pain: opioid pain relief in surgery and ICU</v>
      </c>
      <c r="I160" s="6" t="str">
        <f aca="false">IF($O160="","",INDEX(Scoring!$I$29:$I$361,MATCH($O160,Scoring!$AS$29:$AS$361,0)))</f>
        <v>Ampoule</v>
      </c>
      <c r="J160" s="7" t="str">
        <f aca="false">IF($O160="","",INDEX(Scoring!$Z$29:$Z$361,MATCH($O160,Scoring!$AS$29:$AS$361,0)))</f>
        <v>500 mcg/10 mL ampoule; 100 mcg/2 mL ampoule</v>
      </c>
      <c r="K160" s="8" t="n">
        <f aca="false">IF($O160="","",IF(INDEX(Scoring!$D$29:$D$361,MATCH($O160,Scoring!$AS$29:$AS$361,0))="",INDEX(Scoring!$AF$29:$AF$361,MATCH($O160,Scoring!$AS$29:$AS$361,0)),INDEX(Scoring!$D$29:$D$361,MATCH($O160,Scoring!$AS$29:$AS$361,0))))</f>
        <v>6.81</v>
      </c>
      <c r="L160" s="9" t="n">
        <f aca="false">IF($O160="","",INDEX(Scoring!$L$29:$L$361,MATCH($O160,Scoring!$AS$29:$AS$361,0)))</f>
        <v>58</v>
      </c>
      <c r="M160" s="9" t="n">
        <f aca="false">IF($O160="","",INDEX(Scoring!$N$29:$N$361,MATCH($O160,Scoring!$AS$29:$AS$361,0)))</f>
        <v>1115.28</v>
      </c>
      <c r="N160" s="7" t="str">
        <f aca="false">IF($O160="","",INDEX(Scoring!$AI$29:$AI$361,MATCH($O160,Scoring!$AS$29:$AS$361,0)))</f>
        <v>Australia</v>
      </c>
      <c r="O160" s="10" t="n">
        <f aca="false">IFERROR(SMALL(Scoring!$AS$29:$AS$361,156),"")</f>
        <v>13007</v>
      </c>
    </row>
    <row r="161" customFormat="false" ht="28.35" hidden="false" customHeight="false" outlineLevel="0" collapsed="false">
      <c r="A161" s="5" t="n">
        <f aca="false">IF($O161="","",INT($O161/1000))</f>
        <v>13</v>
      </c>
      <c r="B161" s="6" t="str">
        <f aca="false">IF($O161="","",INDEX(Scoring!$A$29:$A$361,MATCH($O161,Scoring!$AS$29:$AS$361,0)))</f>
        <v>Lupin</v>
      </c>
      <c r="C161" s="5" t="n">
        <f aca="false">IF($O161="","",IF(INDEX(Scoring!$AM$29:$AM$361,MATCH($O161,Scoring!$AS$29:$AS$361,0))="","–",INDEX(Scoring!$AM$29:$AM$361,MATCH($O161,Scoring!$AS$29:$AS$361,0))))</f>
        <v>8</v>
      </c>
      <c r="D161" s="6" t="str">
        <f aca="false">IF($O161="","",INDEX(Scoring!$AK$29:$AK$361,MATCH($O161,Scoring!$AS$29:$AS$361,0)))</f>
        <v>Priority 3</v>
      </c>
      <c r="E161" s="7" t="str">
        <f aca="false">IF($O161="","",INDEX(Scoring!$AL$29:$AL$361,MATCH($O161,Scoring!$AS$29:$AS$361,0)))</f>
        <v>Lower price · lower volume</v>
      </c>
      <c r="F161" s="6" t="str">
        <f aca="false">IF($O161="","",INDEX(Scoring!$B$29:$B$361,MATCH($O161,Scoring!$AS$29:$AS$361,0)))</f>
        <v>Droperidol</v>
      </c>
      <c r="G161" s="7" t="str">
        <f aca="false">IF($O161="","",INDEX(Scoring!$AG$29:$AG$361,MATCH($O161,Scoring!$AS$29:$AS$361,0)))</f>
        <v>Droperidol Lupin; Droperidol AJS</v>
      </c>
      <c r="H161" s="7" t="str">
        <f aca="false">IF($O161="","",INDEX(Scoring!$C$29:$C$361,MATCH($O161,Scoring!$AS$29:$AS$361,0)))</f>
        <v>Anaesthesia: post-operative nausea and vomiting</v>
      </c>
      <c r="I161" s="6" t="str">
        <f aca="false">IF($O161="","",INDEX(Scoring!$I$29:$I$361,MATCH($O161,Scoring!$AS$29:$AS$361,0)))</f>
        <v>Ampoule</v>
      </c>
      <c r="J161" s="7" t="str">
        <f aca="false">IF($O161="","",INDEX(Scoring!$Z$29:$Z$361,MATCH($O161,Scoring!$AS$29:$AS$361,0)))</f>
        <v>2.5 mg/1 mL ampoule; 5 mg/2 mL ampoule</v>
      </c>
      <c r="K161" s="8" t="n">
        <f aca="false">IF($O161="","",IF(INDEX(Scoring!$D$29:$D$361,MATCH($O161,Scoring!$AS$29:$AS$361,0))="",INDEX(Scoring!$AF$29:$AF$361,MATCH($O161,Scoring!$AS$29:$AS$361,0)),INDEX(Scoring!$D$29:$D$361,MATCH($O161,Scoring!$AS$29:$AS$361,0))))</f>
        <v>5.35</v>
      </c>
      <c r="L161" s="9" t="n">
        <f aca="false">IF($O161="","",INDEX(Scoring!$L$29:$L$361,MATCH($O161,Scoring!$AS$29:$AS$361,0)))</f>
        <v>17</v>
      </c>
      <c r="M161" s="9" t="n">
        <f aca="false">IF($O161="","",INDEX(Scoring!$N$29:$N$361,MATCH($O161,Scoring!$AS$29:$AS$361,0)))</f>
        <v>170.54</v>
      </c>
      <c r="N161" s="7" t="str">
        <f aca="false">IF($O161="","",INDEX(Scoring!$AI$29:$AI$361,MATCH($O161,Scoring!$AS$29:$AS$361,0)))</f>
        <v>Australia</v>
      </c>
      <c r="O161" s="10" t="n">
        <f aca="false">IFERROR(SMALL(Scoring!$AS$29:$AS$361,157),"")</f>
        <v>13008</v>
      </c>
    </row>
    <row r="162" customFormat="false" ht="28.35" hidden="false" customHeight="false" outlineLevel="0" collapsed="false">
      <c r="A162" s="5" t="n">
        <f aca="false">IF($O162="","",INT($O162/1000))</f>
        <v>13</v>
      </c>
      <c r="B162" s="6" t="str">
        <f aca="false">IF($O162="","",INDEX(Scoring!$A$29:$A$361,MATCH($O162,Scoring!$AS$29:$AS$361,0)))</f>
        <v>Lupin</v>
      </c>
      <c r="C162" s="5" t="str">
        <f aca="false">IF($O162="","",IF(INDEX(Scoring!$AM$29:$AM$361,MATCH($O162,Scoring!$AS$29:$AS$361,0))="","–",INDEX(Scoring!$AM$29:$AM$361,MATCH($O162,Scoring!$AS$29:$AS$361,0))))</f>
        <v>–</v>
      </c>
      <c r="D162" s="6" t="str">
        <f aca="false">IF($O162="","",INDEX(Scoring!$AK$29:$AK$361,MATCH($O162,Scoring!$AS$29:$AS$361,0)))</f>
        <v>Excluded – price ≤ $5</v>
      </c>
      <c r="E162" s="7" t="str">
        <f aca="false">IF($O162="","",INDEX(Scoring!$AL$29:$AL$361,MATCH($O162,Scoring!$AS$29:$AS$361,0)))</f>
        <v/>
      </c>
      <c r="F162" s="6" t="str">
        <f aca="false">IF($O162="","",INDEX(Scoring!$B$29:$B$361,MATCH($O162,Scoring!$AS$29:$AS$361,0)))</f>
        <v>Cefazolin</v>
      </c>
      <c r="G162" s="7" t="str">
        <f aca="false">IF($O162="","",INDEX(Scoring!$AG$29:$AG$361,MATCH($O162,Scoring!$AS$29:$AS$361,0)))</f>
        <v>Cefazolin SXP</v>
      </c>
      <c r="H162" s="7" t="str">
        <f aca="false">IF($O162="","",INDEX(Scoring!$C$29:$C$361,MATCH($O162,Scoring!$AS$29:$AS$361,0)))</f>
        <v>Anti-infective: surgical infection prevention, staphylococcal infections</v>
      </c>
      <c r="I162" s="6" t="str">
        <f aca="false">IF($O162="","",INDEX(Scoring!$I$29:$I$361,MATCH($O162,Scoring!$AS$29:$AS$361,0)))</f>
        <v>Vial</v>
      </c>
      <c r="J162" s="7" t="str">
        <f aca="false">IF($O162="","",INDEX(Scoring!$Z$29:$Z$361,MATCH($O162,Scoring!$AS$29:$AS$361,0)))</f>
        <v>1000 mg powder vial</v>
      </c>
      <c r="K162" s="8" t="n">
        <f aca="false">IF($O162="","",IF(INDEX(Scoring!$D$29:$D$361,MATCH($O162,Scoring!$AS$29:$AS$361,0))="",INDEX(Scoring!$AF$29:$AF$361,MATCH($O162,Scoring!$AS$29:$AS$361,0)),INDEX(Scoring!$D$29:$D$361,MATCH($O162,Scoring!$AS$29:$AS$361,0))))</f>
        <v>0.57</v>
      </c>
      <c r="L162" s="9" t="n">
        <f aca="false">IF($O162="","",INDEX(Scoring!$L$29:$L$361,MATCH($O162,Scoring!$AS$29:$AS$361,0)))</f>
        <v>93</v>
      </c>
      <c r="M162" s="9" t="n">
        <f aca="false">IF($O162="","",INDEX(Scoring!$N$29:$N$361,MATCH($O162,Scoring!$AS$29:$AS$361,0)))</f>
        <v>1929.98</v>
      </c>
      <c r="N162" s="7" t="str">
        <f aca="false">IF($O162="","",INDEX(Scoring!$AI$29:$AI$361,MATCH($O162,Scoring!$AS$29:$AS$361,0)))</f>
        <v>Australia</v>
      </c>
      <c r="O162" s="10" t="n">
        <f aca="false">IFERROR(SMALL(Scoring!$AS$29:$AS$361,158),"")</f>
        <v>13901</v>
      </c>
    </row>
    <row r="163" customFormat="false" ht="28.35" hidden="false" customHeight="false" outlineLevel="0" collapsed="false">
      <c r="A163" s="5" t="n">
        <f aca="false">IF($O163="","",INT($O163/1000))</f>
        <v>13</v>
      </c>
      <c r="B163" s="6" t="str">
        <f aca="false">IF($O163="","",INDEX(Scoring!$A$29:$A$361,MATCH($O163,Scoring!$AS$29:$AS$361,0)))</f>
        <v>Lupin</v>
      </c>
      <c r="C163" s="5" t="str">
        <f aca="false">IF($O163="","",IF(INDEX(Scoring!$AM$29:$AM$361,MATCH($O163,Scoring!$AS$29:$AS$361,0))="","–",INDEX(Scoring!$AM$29:$AM$361,MATCH($O163,Scoring!$AS$29:$AS$361,0))))</f>
        <v>–</v>
      </c>
      <c r="D163" s="6" t="str">
        <f aca="false">IF($O163="","",INDEX(Scoring!$AK$29:$AK$361,MATCH($O163,Scoring!$AS$29:$AS$361,0)))</f>
        <v>Excluded – price ≤ $5</v>
      </c>
      <c r="E163" s="7" t="str">
        <f aca="false">IF($O163="","",INDEX(Scoring!$AL$29:$AL$361,MATCH($O163,Scoring!$AS$29:$AS$361,0)))</f>
        <v/>
      </c>
      <c r="F163" s="6" t="str">
        <f aca="false">IF($O163="","",INDEX(Scoring!$B$29:$B$361,MATCH($O163,Scoring!$AS$29:$AS$361,0)))</f>
        <v>Ephedrine</v>
      </c>
      <c r="G163" s="7" t="str">
        <f aca="false">IF($O163="","",INDEX(Scoring!$AG$29:$AG$361,MATCH($O163,Scoring!$AS$29:$AS$361,0)))</f>
        <v>Ephedrine Hydrochloride AJS</v>
      </c>
      <c r="H163" s="7" t="str">
        <f aca="false">IF($O163="","",INDEX(Scoring!$C$29:$C$361,MATCH($O163,Scoring!$AS$29:$AS$361,0)))</f>
        <v>Anaesthesia: low blood pressure during spinal anaesthesia and caesarean section</v>
      </c>
      <c r="I163" s="6" t="str">
        <f aca="false">IF($O163="","",INDEX(Scoring!$I$29:$I$361,MATCH($O163,Scoring!$AS$29:$AS$361,0)))</f>
        <v>Ampoule</v>
      </c>
      <c r="J163" s="7" t="str">
        <f aca="false">IF($O163="","",INDEX(Scoring!$Z$29:$Z$361,MATCH($O163,Scoring!$AS$29:$AS$361,0)))</f>
        <v>30 mg/mL ampoule</v>
      </c>
      <c r="K163" s="8" t="n">
        <f aca="false">IF($O163="","",IF(INDEX(Scoring!$D$29:$D$361,MATCH($O163,Scoring!$AS$29:$AS$361,0))="",INDEX(Scoring!$AF$29:$AF$361,MATCH($O163,Scoring!$AS$29:$AS$361,0)),INDEX(Scoring!$D$29:$D$361,MATCH($O163,Scoring!$AS$29:$AS$361,0))))</f>
        <v>3.53</v>
      </c>
      <c r="L163" s="9" t="n">
        <f aca="false">IF($O163="","",INDEX(Scoring!$L$29:$L$361,MATCH($O163,Scoring!$AS$29:$AS$361,0)))</f>
        <v>78</v>
      </c>
      <c r="M163" s="9" t="n">
        <f aca="false">IF($O163="","",INDEX(Scoring!$N$29:$N$361,MATCH($O163,Scoring!$AS$29:$AS$361,0)))</f>
        <v>4714.67</v>
      </c>
      <c r="N163" s="7" t="str">
        <f aca="false">IF($O163="","",INDEX(Scoring!$AI$29:$AI$361,MATCH($O163,Scoring!$AS$29:$AS$361,0)))</f>
        <v>Australia</v>
      </c>
      <c r="O163" s="10" t="n">
        <f aca="false">IFERROR(SMALL(Scoring!$AS$29:$AS$361,159),"")</f>
        <v>13902</v>
      </c>
    </row>
    <row r="164" customFormat="false" ht="28.35" hidden="false" customHeight="false" outlineLevel="0" collapsed="false">
      <c r="A164" s="5" t="n">
        <f aca="false">IF($O164="","",INT($O164/1000))</f>
        <v>14</v>
      </c>
      <c r="B164" s="6" t="str">
        <f aca="false">IF($O164="","",INDEX(Scoring!$A$29:$A$361,MATCH($O164,Scoring!$AS$29:$AS$361,0)))</f>
        <v>Strides</v>
      </c>
      <c r="C164" s="5" t="n">
        <f aca="false">IF($O164="","",IF(INDEX(Scoring!$AM$29:$AM$361,MATCH($O164,Scoring!$AS$29:$AS$361,0))="","–",INDEX(Scoring!$AM$29:$AM$361,MATCH($O164,Scoring!$AS$29:$AS$361,0))))</f>
        <v>1</v>
      </c>
      <c r="D164" s="6" t="str">
        <f aca="false">IF($O164="","",INDEX(Scoring!$AK$29:$AK$361,MATCH($O164,Scoring!$AS$29:$AS$361,0)))</f>
        <v>Priority 2</v>
      </c>
      <c r="E164" s="7" t="str">
        <f aca="false">IF($O164="","",INDEX(Scoring!$AL$29:$AL$361,MATCH($O164,Scoring!$AS$29:$AS$361,0)))</f>
        <v>Lower price · high volume</v>
      </c>
      <c r="F164" s="6" t="str">
        <f aca="false">IF($O164="","",INDEX(Scoring!$B$29:$B$361,MATCH($O164,Scoring!$AS$29:$AS$361,0)))</f>
        <v>Hydrocortisone</v>
      </c>
      <c r="G164" s="7" t="str">
        <f aca="false">IF($O164="","",INDEX(Scoring!$AG$29:$AG$361,MATCH($O164,Scoring!$AS$29:$AS$361,0)))</f>
        <v>Cortaject</v>
      </c>
      <c r="H164" s="7" t="str">
        <f aca="false">IF($O164="","",INDEX(Scoring!$C$29:$C$361,MATCH($O164,Scoring!$AS$29:$AS$361,0)))</f>
        <v>Endocrinology and critical care: adrenal crisis, anaphylaxis, severe asthma, shock</v>
      </c>
      <c r="I164" s="6" t="str">
        <f aca="false">IF($O164="","",INDEX(Scoring!$I$29:$I$361,MATCH($O164,Scoring!$AS$29:$AS$361,0)))</f>
        <v>Vial</v>
      </c>
      <c r="J164" s="7" t="str">
        <f aca="false">IF($O164="","",INDEX(Scoring!$Z$29:$Z$361,MATCH($O164,Scoring!$AS$29:$AS$361,0)))</f>
        <v>100 mg/5 mL vial</v>
      </c>
      <c r="K164" s="8" t="n">
        <f aca="false">IF($O164="","",IF(INDEX(Scoring!$D$29:$D$361,MATCH($O164,Scoring!$AS$29:$AS$361,0))="",INDEX(Scoring!$AF$29:$AF$361,MATCH($O164,Scoring!$AS$29:$AS$361,0)),INDEX(Scoring!$D$29:$D$361,MATCH($O164,Scoring!$AS$29:$AS$361,0))))</f>
        <v>6.94</v>
      </c>
      <c r="L164" s="9" t="n">
        <f aca="false">IF($O164="","",INDEX(Scoring!$L$29:$L$361,MATCH($O164,Scoring!$AS$29:$AS$361,0)))</f>
        <v>2582</v>
      </c>
      <c r="M164" s="9" t="n">
        <f aca="false">IF($O164="","",INDEX(Scoring!$N$29:$N$361,MATCH($O164,Scoring!$AS$29:$AS$361,0)))</f>
        <v>38106.07</v>
      </c>
      <c r="N164" s="7" t="str">
        <f aca="false">IF($O164="","",INDEX(Scoring!$AI$29:$AI$361,MATCH($O164,Scoring!$AS$29:$AS$361,0)))</f>
        <v>South Africa</v>
      </c>
      <c r="O164" s="10" t="n">
        <f aca="false">IFERROR(SMALL(Scoring!$AS$29:$AS$361,160),"")</f>
        <v>14001</v>
      </c>
    </row>
    <row r="165" customFormat="false" ht="28.35" hidden="false" customHeight="false" outlineLevel="0" collapsed="false">
      <c r="A165" s="5" t="n">
        <f aca="false">IF($O165="","",INT($O165/1000))</f>
        <v>14</v>
      </c>
      <c r="B165" s="6" t="str">
        <f aca="false">IF($O165="","",INDEX(Scoring!$A$29:$A$361,MATCH($O165,Scoring!$AS$29:$AS$361,0)))</f>
        <v>Strides</v>
      </c>
      <c r="C165" s="5" t="n">
        <f aca="false">IF($O165="","",IF(INDEX(Scoring!$AM$29:$AM$361,MATCH($O165,Scoring!$AS$29:$AS$361,0))="","–",INDEX(Scoring!$AM$29:$AM$361,MATCH($O165,Scoring!$AS$29:$AS$361,0))))</f>
        <v>2</v>
      </c>
      <c r="D165" s="6" t="str">
        <f aca="false">IF($O165="","",INDEX(Scoring!$AK$29:$AK$361,MATCH($O165,Scoring!$AS$29:$AS$361,0)))</f>
        <v>Priority 2</v>
      </c>
      <c r="E165" s="7" t="str">
        <f aca="false">IF($O165="","",INDEX(Scoring!$AL$29:$AL$361,MATCH($O165,Scoring!$AS$29:$AS$361,0)))</f>
        <v>Lower price · high volume</v>
      </c>
      <c r="F165" s="6" t="str">
        <f aca="false">IF($O165="","",INDEX(Scoring!$B$29:$B$361,MATCH($O165,Scoring!$AS$29:$AS$361,0)))</f>
        <v>Cefepime</v>
      </c>
      <c r="G165" s="7" t="str">
        <f aca="false">IF($O165="","",INDEX(Scoring!$AG$29:$AG$361,MATCH($O165,Scoring!$AS$29:$AS$361,0)))</f>
        <v>Bindozef</v>
      </c>
      <c r="H165" s="7" t="str">
        <f aca="false">IF($O165="","",INDEX(Scoring!$C$29:$C$361,MATCH($O165,Scoring!$AS$29:$AS$361,0)))</f>
        <v>Anti-infective: hospital Gram-negative infections, febrile neutropenia</v>
      </c>
      <c r="I165" s="6" t="str">
        <f aca="false">IF($O165="","",INDEX(Scoring!$I$29:$I$361,MATCH($O165,Scoring!$AS$29:$AS$361,0)))</f>
        <v>Vial</v>
      </c>
      <c r="J165" s="7" t="str">
        <f aca="false">IF($O165="","",INDEX(Scoring!$Z$29:$Z$361,MATCH($O165,Scoring!$AS$29:$AS$361,0)))</f>
        <v>1 g powder vial; 2 g powder vial</v>
      </c>
      <c r="K165" s="8" t="n">
        <f aca="false">IF($O165="","",IF(INDEX(Scoring!$D$29:$D$361,MATCH($O165,Scoring!$AS$29:$AS$361,0))="",INDEX(Scoring!$AF$29:$AF$361,MATCH($O165,Scoring!$AS$29:$AS$361,0)),INDEX(Scoring!$D$29:$D$361,MATCH($O165,Scoring!$AS$29:$AS$361,0))))</f>
        <v>13.03</v>
      </c>
      <c r="L165" s="9" t="n">
        <f aca="false">IF($O165="","",INDEX(Scoring!$L$29:$L$361,MATCH($O165,Scoring!$AS$29:$AS$361,0)))</f>
        <v>290</v>
      </c>
      <c r="M165" s="9" t="n">
        <f aca="false">IF($O165="","",INDEX(Scoring!$N$29:$N$361,MATCH($O165,Scoring!$AS$29:$AS$361,0)))</f>
        <v>6348.25</v>
      </c>
      <c r="N165" s="7" t="str">
        <f aca="false">IF($O165="","",INDEX(Scoring!$AI$29:$AI$361,MATCH($O165,Scoring!$AS$29:$AS$361,0)))</f>
        <v>Australia</v>
      </c>
      <c r="O165" s="10" t="n">
        <f aca="false">IFERROR(SMALL(Scoring!$AS$29:$AS$361,161),"")</f>
        <v>14002</v>
      </c>
    </row>
    <row r="166" customFormat="false" ht="28.35" hidden="false" customHeight="false" outlineLevel="0" collapsed="false">
      <c r="A166" s="5" t="n">
        <f aca="false">IF($O166="","",INT($O166/1000))</f>
        <v>14</v>
      </c>
      <c r="B166" s="6" t="str">
        <f aca="false">IF($O166="","",INDEX(Scoring!$A$29:$A$361,MATCH($O166,Scoring!$AS$29:$AS$361,0)))</f>
        <v>Strides</v>
      </c>
      <c r="C166" s="5" t="n">
        <f aca="false">IF($O166="","",IF(INDEX(Scoring!$AM$29:$AM$361,MATCH($O166,Scoring!$AS$29:$AS$361,0))="","–",INDEX(Scoring!$AM$29:$AM$361,MATCH($O166,Scoring!$AS$29:$AS$361,0))))</f>
        <v>3</v>
      </c>
      <c r="D166" s="6" t="str">
        <f aca="false">IF($O166="","",INDEX(Scoring!$AK$29:$AK$361,MATCH($O166,Scoring!$AS$29:$AS$361,0)))</f>
        <v>Priority 2</v>
      </c>
      <c r="E166" s="7" t="str">
        <f aca="false">IF($O166="","",INDEX(Scoring!$AL$29:$AL$361,MATCH($O166,Scoring!$AS$29:$AS$361,0)))</f>
        <v>Lower price · high volume</v>
      </c>
      <c r="F166" s="6" t="str">
        <f aca="false">IF($O166="","",INDEX(Scoring!$B$29:$B$361,MATCH($O166,Scoring!$AS$29:$AS$361,0)))</f>
        <v>Ceftazidime</v>
      </c>
      <c r="G166" s="7" t="str">
        <f aca="false">IF($O166="","",INDEX(Scoring!$AG$29:$AG$361,MATCH($O166,Scoring!$AS$29:$AS$361,0)))</f>
        <v>Zetaf</v>
      </c>
      <c r="H166" s="7" t="str">
        <f aca="false">IF($O166="","",INDEX(Scoring!$C$29:$C$361,MATCH($O166,Scoring!$AS$29:$AS$361,0)))</f>
        <v>Anti-infective: Pseudomonas and other hospital Gram-negative infections</v>
      </c>
      <c r="I166" s="6" t="str">
        <f aca="false">IF($O166="","",INDEX(Scoring!$I$29:$I$361,MATCH($O166,Scoring!$AS$29:$AS$361,0)))</f>
        <v>Vial</v>
      </c>
      <c r="J166" s="7" t="str">
        <f aca="false">IF($O166="","",INDEX(Scoring!$Z$29:$Z$361,MATCH($O166,Scoring!$AS$29:$AS$361,0)))</f>
        <v>2 g powder vial; 1 g powder vial</v>
      </c>
      <c r="K166" s="8" t="n">
        <f aca="false">IF($O166="","",IF(INDEX(Scoring!$D$29:$D$361,MATCH($O166,Scoring!$AS$29:$AS$361,0))="",INDEX(Scoring!$AF$29:$AF$361,MATCH($O166,Scoring!$AS$29:$AS$361,0)),INDEX(Scoring!$D$29:$D$361,MATCH($O166,Scoring!$AS$29:$AS$361,0))))</f>
        <v>23.05</v>
      </c>
      <c r="L166" s="9" t="n">
        <f aca="false">IF($O166="","",INDEX(Scoring!$L$29:$L$361,MATCH($O166,Scoring!$AS$29:$AS$361,0)))</f>
        <v>335</v>
      </c>
      <c r="M166" s="9" t="n">
        <f aca="false">IF($O166="","",INDEX(Scoring!$N$29:$N$361,MATCH($O166,Scoring!$AS$29:$AS$361,0)))</f>
        <v>5713.56</v>
      </c>
      <c r="N166" s="7" t="str">
        <f aca="false">IF($O166="","",INDEX(Scoring!$AI$29:$AI$361,MATCH($O166,Scoring!$AS$29:$AS$361,0)))</f>
        <v>Australia</v>
      </c>
      <c r="O166" s="10" t="n">
        <f aca="false">IFERROR(SMALL(Scoring!$AS$29:$AS$361,162),"")</f>
        <v>14003</v>
      </c>
    </row>
    <row r="167" customFormat="false" ht="28.35" hidden="false" customHeight="false" outlineLevel="0" collapsed="false">
      <c r="A167" s="5" t="n">
        <f aca="false">IF($O167="","",INT($O167/1000))</f>
        <v>15</v>
      </c>
      <c r="B167" s="6" t="str">
        <f aca="false">IF($O167="","",INDEX(Scoring!$A$29:$A$361,MATCH($O167,Scoring!$AS$29:$AS$361,0)))</f>
        <v>Micro Labs</v>
      </c>
      <c r="C167" s="5" t="n">
        <f aca="false">IF($O167="","",IF(INDEX(Scoring!$AM$29:$AM$361,MATCH($O167,Scoring!$AS$29:$AS$361,0))="","–",INDEX(Scoring!$AM$29:$AM$361,MATCH($O167,Scoring!$AS$29:$AS$361,0))))</f>
        <v>1</v>
      </c>
      <c r="D167" s="6" t="str">
        <f aca="false">IF($O167="","",INDEX(Scoring!$AK$29:$AK$361,MATCH($O167,Scoring!$AS$29:$AS$361,0)))</f>
        <v>Priority 2</v>
      </c>
      <c r="E167" s="7" t="str">
        <f aca="false">IF($O167="","",INDEX(Scoring!$AL$29:$AL$361,MATCH($O167,Scoring!$AS$29:$AS$361,0)))</f>
        <v>Lower price · high volume</v>
      </c>
      <c r="F167" s="6" t="str">
        <f aca="false">IF($O167="","",INDEX(Scoring!$B$29:$B$361,MATCH($O167,Scoring!$AS$29:$AS$361,0)))</f>
        <v>Diphenhydramine</v>
      </c>
      <c r="G167" s="7" t="str">
        <f aca="false">IF($O167="","",INDEX(Scoring!$AG$29:$AG$361,MATCH($O167,Scoring!$AS$29:$AS$361,0)))</f>
        <v>Diphenhydramine Hydrochloride</v>
      </c>
      <c r="H167" s="7" t="str">
        <f aca="false">IF($O167="","",INDEX(Scoring!$C$29:$C$361,MATCH($O167,Scoring!$AS$29:$AS$361,0)))</f>
        <v>Allergy: acute allergic reactions, drug-induced dystonia</v>
      </c>
      <c r="I167" s="6" t="str">
        <f aca="false">IF($O167="","",INDEX(Scoring!$I$29:$I$361,MATCH($O167,Scoring!$AS$29:$AS$361,0)))</f>
        <v>Vial</v>
      </c>
      <c r="J167" s="7" t="str">
        <f aca="false">IF($O167="","",INDEX(Scoring!$Z$29:$Z$361,MATCH($O167,Scoring!$AS$29:$AS$361,0)))</f>
        <v>500 mg/10 mL vial</v>
      </c>
      <c r="K167" s="8" t="n">
        <f aca="false">IF($O167="","",IF(INDEX(Scoring!$D$29:$D$361,MATCH($O167,Scoring!$AS$29:$AS$361,0))="",INDEX(Scoring!$AF$29:$AF$361,MATCH($O167,Scoring!$AS$29:$AS$361,0)),INDEX(Scoring!$D$29:$D$361,MATCH($O167,Scoring!$AS$29:$AS$361,0))))</f>
        <v>18</v>
      </c>
      <c r="L167" s="9" t="n">
        <f aca="false">IF($O167="","",INDEX(Scoring!$L$29:$L$361,MATCH($O167,Scoring!$AS$29:$AS$361,0)))</f>
        <v>582</v>
      </c>
      <c r="M167" s="9" t="n">
        <f aca="false">IF($O167="","",INDEX(Scoring!$N$29:$N$361,MATCH($O167,Scoring!$AS$29:$AS$361,0)))</f>
        <v>21989.37</v>
      </c>
      <c r="N167" s="7" t="str">
        <f aca="false">IF($O167="","",INDEX(Scoring!$AI$29:$AI$361,MATCH($O167,Scoring!$AS$29:$AS$361,0)))</f>
        <v>US</v>
      </c>
      <c r="O167" s="10" t="n">
        <f aca="false">IFERROR(SMALL(Scoring!$AS$29:$AS$361,163),"")</f>
        <v>15001</v>
      </c>
    </row>
    <row r="168" customFormat="false" ht="28.35" hidden="false" customHeight="false" outlineLevel="0" collapsed="false">
      <c r="A168" s="5" t="n">
        <f aca="false">IF($O168="","",INT($O168/1000))</f>
        <v>15</v>
      </c>
      <c r="B168" s="6" t="str">
        <f aca="false">IF($O168="","",INDEX(Scoring!$A$29:$A$361,MATCH($O168,Scoring!$AS$29:$AS$361,0)))</f>
        <v>Micro Labs</v>
      </c>
      <c r="C168" s="5" t="n">
        <f aca="false">IF($O168="","",IF(INDEX(Scoring!$AM$29:$AM$361,MATCH($O168,Scoring!$AS$29:$AS$361,0))="","–",INDEX(Scoring!$AM$29:$AM$361,MATCH($O168,Scoring!$AS$29:$AS$361,0))))</f>
        <v>2</v>
      </c>
      <c r="D168" s="6" t="str">
        <f aca="false">IF($O168="","",INDEX(Scoring!$AK$29:$AK$361,MATCH($O168,Scoring!$AS$29:$AS$361,0)))</f>
        <v>Priority 2</v>
      </c>
      <c r="E168" s="7" t="str">
        <f aca="false">IF($O168="","",INDEX(Scoring!$AL$29:$AL$361,MATCH($O168,Scoring!$AS$29:$AS$361,0)))</f>
        <v>High price · lower volume</v>
      </c>
      <c r="F168" s="6" t="str">
        <f aca="false">IF($O168="","",INDEX(Scoring!$B$29:$B$361,MATCH($O168,Scoring!$AS$29:$AS$361,0)))</f>
        <v>Carboprost</v>
      </c>
      <c r="G168" s="7" t="str">
        <f aca="false">IF($O168="","",INDEX(Scoring!$AG$29:$AG$361,MATCH($O168,Scoring!$AS$29:$AS$361,0)))</f>
        <v>Carboprost Tromethamine</v>
      </c>
      <c r="H168" s="7" t="str">
        <f aca="false">IF($O168="","",INDEX(Scoring!$C$29:$C$361,MATCH($O168,Scoring!$AS$29:$AS$361,0)))</f>
        <v>Women's health: postpartum haemorrhage, pregnancy termination</v>
      </c>
      <c r="I168" s="6" t="str">
        <f aca="false">IF($O168="","",INDEX(Scoring!$I$29:$I$361,MATCH($O168,Scoring!$AS$29:$AS$361,0)))</f>
        <v>Vial</v>
      </c>
      <c r="J168" s="7" t="str">
        <f aca="false">IF($O168="","",INDEX(Scoring!$Z$29:$Z$361,MATCH($O168,Scoring!$AS$29:$AS$361,0)))</f>
        <v>0.25 mg/1 mL vial</v>
      </c>
      <c r="K168" s="8" t="n">
        <f aca="false">IF($O168="","",IF(INDEX(Scoring!$D$29:$D$361,MATCH($O168,Scoring!$AS$29:$AS$361,0))="",INDEX(Scoring!$AF$29:$AF$361,MATCH($O168,Scoring!$AS$29:$AS$361,0)),INDEX(Scoring!$D$29:$D$361,MATCH($O168,Scoring!$AS$29:$AS$361,0))))</f>
        <v>30.01</v>
      </c>
      <c r="L168" s="9" t="n">
        <f aca="false">IF($O168="","",INDEX(Scoring!$L$29:$L$361,MATCH($O168,Scoring!$AS$29:$AS$361,0)))</f>
        <v>156</v>
      </c>
      <c r="M168" s="9" t="n">
        <f aca="false">IF($O168="","",INDEX(Scoring!$N$29:$N$361,MATCH($O168,Scoring!$AS$29:$AS$361,0)))</f>
        <v>3954.83</v>
      </c>
      <c r="N168" s="7" t="str">
        <f aca="false">IF($O168="","",INDEX(Scoring!$AI$29:$AI$361,MATCH($O168,Scoring!$AS$29:$AS$361,0)))</f>
        <v>US</v>
      </c>
      <c r="O168" s="10" t="n">
        <f aca="false">IFERROR(SMALL(Scoring!$AS$29:$AS$361,164),"")</f>
        <v>15002</v>
      </c>
    </row>
    <row r="169" customFormat="false" ht="28.35" hidden="false" customHeight="false" outlineLevel="0" collapsed="false">
      <c r="A169" s="5" t="n">
        <f aca="false">IF($O169="","",INT($O169/1000))</f>
        <v>15</v>
      </c>
      <c r="B169" s="6" t="str">
        <f aca="false">IF($O169="","",INDEX(Scoring!$A$29:$A$361,MATCH($O169,Scoring!$AS$29:$AS$361,0)))</f>
        <v>Micro Labs</v>
      </c>
      <c r="C169" s="5" t="n">
        <f aca="false">IF($O169="","",IF(INDEX(Scoring!$AM$29:$AM$361,MATCH($O169,Scoring!$AS$29:$AS$361,0))="","–",INDEX(Scoring!$AM$29:$AM$361,MATCH($O169,Scoring!$AS$29:$AS$361,0))))</f>
        <v>3</v>
      </c>
      <c r="D169" s="6" t="str">
        <f aca="false">IF($O169="","",INDEX(Scoring!$AK$29:$AK$361,MATCH($O169,Scoring!$AS$29:$AS$361,0)))</f>
        <v>Priority 2</v>
      </c>
      <c r="E169" s="7" t="str">
        <f aca="false">IF($O169="","",INDEX(Scoring!$AL$29:$AL$361,MATCH($O169,Scoring!$AS$29:$AS$361,0)))</f>
        <v>Lower price · high volume</v>
      </c>
      <c r="F169" s="6" t="str">
        <f aca="false">IF($O169="","",INDEX(Scoring!$B$29:$B$361,MATCH($O169,Scoring!$AS$29:$AS$361,0)))</f>
        <v>Succinylcholine (Suxamethonium)</v>
      </c>
      <c r="G169" s="7" t="str">
        <f aca="false">IF($O169="","",INDEX(Scoring!$AG$29:$AG$361,MATCH($O169,Scoring!$AS$29:$AS$361,0)))</f>
        <v>Succinylcholine Chloride</v>
      </c>
      <c r="H169" s="7" t="str">
        <f aca="false">IF($O169="","",INDEX(Scoring!$C$29:$C$361,MATCH($O169,Scoring!$AS$29:$AS$361,0)))</f>
        <v>Anaesthesia: muscle relaxant for rapid intubation</v>
      </c>
      <c r="I169" s="6" t="str">
        <f aca="false">IF($O169="","",INDEX(Scoring!$I$29:$I$361,MATCH($O169,Scoring!$AS$29:$AS$361,0)))</f>
        <v>Vial</v>
      </c>
      <c r="J169" s="7" t="str">
        <f aca="false">IF($O169="","",INDEX(Scoring!$Z$29:$Z$361,MATCH($O169,Scoring!$AS$29:$AS$361,0)))</f>
        <v>200 mg/10 mL vial</v>
      </c>
      <c r="K169" s="8" t="n">
        <f aca="false">IF($O169="","",IF(INDEX(Scoring!$D$29:$D$361,MATCH($O169,Scoring!$AS$29:$AS$361,0))="",INDEX(Scoring!$AF$29:$AF$361,MATCH($O169,Scoring!$AS$29:$AS$361,0)),INDEX(Scoring!$D$29:$D$361,MATCH($O169,Scoring!$AS$29:$AS$361,0))))</f>
        <v>5.03</v>
      </c>
      <c r="L169" s="9" t="n">
        <f aca="false">IF($O169="","",INDEX(Scoring!$L$29:$L$361,MATCH($O169,Scoring!$AS$29:$AS$361,0)))</f>
        <v>286</v>
      </c>
      <c r="M169" s="9" t="n">
        <f aca="false">IF($O169="","",INDEX(Scoring!$N$29:$N$361,MATCH($O169,Scoring!$AS$29:$AS$361,0)))</f>
        <v>3067.39</v>
      </c>
      <c r="N169" s="7" t="str">
        <f aca="false">IF($O169="","",INDEX(Scoring!$AI$29:$AI$361,MATCH($O169,Scoring!$AS$29:$AS$361,0)))</f>
        <v>US</v>
      </c>
      <c r="O169" s="10" t="n">
        <f aca="false">IFERROR(SMALL(Scoring!$AS$29:$AS$361,165),"")</f>
        <v>15003</v>
      </c>
    </row>
    <row r="170" customFormat="false" ht="28.35" hidden="false" customHeight="false" outlineLevel="0" collapsed="false">
      <c r="A170" s="5" t="n">
        <f aca="false">IF($O170="","",INT($O170/1000))</f>
        <v>15</v>
      </c>
      <c r="B170" s="6" t="str">
        <f aca="false">IF($O170="","",INDEX(Scoring!$A$29:$A$361,MATCH($O170,Scoring!$AS$29:$AS$361,0)))</f>
        <v>Micro Labs</v>
      </c>
      <c r="C170" s="5" t="n">
        <f aca="false">IF($O170="","",IF(INDEX(Scoring!$AM$29:$AM$361,MATCH($O170,Scoring!$AS$29:$AS$361,0))="","–",INDEX(Scoring!$AM$29:$AM$361,MATCH($O170,Scoring!$AS$29:$AS$361,0))))</f>
        <v>4</v>
      </c>
      <c r="D170" s="6" t="str">
        <f aca="false">IF($O170="","",INDEX(Scoring!$AK$29:$AK$361,MATCH($O170,Scoring!$AS$29:$AS$361,0)))</f>
        <v>Priority 2</v>
      </c>
      <c r="E170" s="7" t="str">
        <f aca="false">IF($O170="","",INDEX(Scoring!$AL$29:$AL$361,MATCH($O170,Scoring!$AS$29:$AS$361,0)))</f>
        <v>High price · lower volume</v>
      </c>
      <c r="F170" s="6" t="str">
        <f aca="false">IF($O170="","",INDEX(Scoring!$B$29:$B$361,MATCH($O170,Scoring!$AS$29:$AS$361,0)))</f>
        <v>Isoprenaline (Isoproterenol)</v>
      </c>
      <c r="G170" s="7" t="str">
        <f aca="false">IF($O170="","",INDEX(Scoring!$AG$29:$AG$361,MATCH($O170,Scoring!$AS$29:$AS$361,0)))</f>
        <v>Isoproterenol Hydrochloride; Isoprika</v>
      </c>
      <c r="H170" s="7" t="str">
        <f aca="false">IF($O170="","",INDEX(Scoring!$C$29:$C$361,MATCH($O170,Scoring!$AS$29:$AS$361,0)))</f>
        <v>Cardiovascular: heart block, severe slow heart rate</v>
      </c>
      <c r="I170" s="6" t="str">
        <f aca="false">IF($O170="","",INDEX(Scoring!$I$29:$I$361,MATCH($O170,Scoring!$AS$29:$AS$361,0)))</f>
        <v>Ampoule</v>
      </c>
      <c r="J170" s="7" t="str">
        <f aca="false">IF($O170="","",INDEX(Scoring!$Z$29:$Z$361,MATCH($O170,Scoring!$AS$29:$AS$361,0)))</f>
        <v>0.2 mg/1 mL ampoule; 1 mg/5 mL ampoule</v>
      </c>
      <c r="K170" s="8" t="n">
        <f aca="false">IF($O170="","",IF(INDEX(Scoring!$D$29:$D$361,MATCH($O170,Scoring!$AS$29:$AS$361,0))="",INDEX(Scoring!$AF$29:$AF$361,MATCH($O170,Scoring!$AS$29:$AS$361,0)),INDEX(Scoring!$D$29:$D$361,MATCH($O170,Scoring!$AS$29:$AS$361,0))))</f>
        <v>51.18</v>
      </c>
      <c r="L170" s="9" t="n">
        <f aca="false">IF($O170="","",INDEX(Scoring!$L$29:$L$361,MATCH($O170,Scoring!$AS$29:$AS$361,0)))</f>
        <v>87</v>
      </c>
      <c r="M170" s="9" t="n">
        <f aca="false">IF($O170="","",INDEX(Scoring!$N$29:$N$361,MATCH($O170,Scoring!$AS$29:$AS$361,0)))</f>
        <v>2931.42</v>
      </c>
      <c r="N170" s="7" t="str">
        <f aca="false">IF($O170="","",INDEX(Scoring!$AI$29:$AI$361,MATCH($O170,Scoring!$AS$29:$AS$361,0)))</f>
        <v>US, Australia</v>
      </c>
      <c r="O170" s="10" t="n">
        <f aca="false">IFERROR(SMALL(Scoring!$AS$29:$AS$361,166),"")</f>
        <v>15004</v>
      </c>
    </row>
    <row r="171" customFormat="false" ht="28.35" hidden="false" customHeight="false" outlineLevel="0" collapsed="false">
      <c r="A171" s="5" t="n">
        <f aca="false">IF($O171="","",INT($O171/1000))</f>
        <v>15</v>
      </c>
      <c r="B171" s="6" t="str">
        <f aca="false">IF($O171="","",INDEX(Scoring!$A$29:$A$361,MATCH($O171,Scoring!$AS$29:$AS$361,0)))</f>
        <v>Micro Labs</v>
      </c>
      <c r="C171" s="5" t="n">
        <f aca="false">IF($O171="","",IF(INDEX(Scoring!$AM$29:$AM$361,MATCH($O171,Scoring!$AS$29:$AS$361,0))="","–",INDEX(Scoring!$AM$29:$AM$361,MATCH($O171,Scoring!$AS$29:$AS$361,0))))</f>
        <v>5</v>
      </c>
      <c r="D171" s="6" t="str">
        <f aca="false">IF($O171="","",INDEX(Scoring!$AK$29:$AK$361,MATCH($O171,Scoring!$AS$29:$AS$361,0)))</f>
        <v>Priority 2</v>
      </c>
      <c r="E171" s="7" t="str">
        <f aca="false">IF($O171="","",INDEX(Scoring!$AL$29:$AL$361,MATCH($O171,Scoring!$AS$29:$AS$361,0)))</f>
        <v>High price · lower volume</v>
      </c>
      <c r="F171" s="6" t="str">
        <f aca="false">IF($O171="","",INDEX(Scoring!$B$29:$B$361,MATCH($O171,Scoring!$AS$29:$AS$361,0)))</f>
        <v>Cyclizine</v>
      </c>
      <c r="G171" s="7" t="str">
        <f aca="false">IF($O171="","",INDEX(Scoring!$AG$29:$AG$361,MATCH($O171,Scoring!$AS$29:$AS$361,0)))</f>
        <v>Cyclact</v>
      </c>
      <c r="H171" s="7" t="str">
        <f aca="false">IF($O171="","",INDEX(Scoring!$C$29:$C$361,MATCH($O171,Scoring!$AS$29:$AS$361,0)))</f>
        <v>Gastroenterology: nausea and vomiting after surgery or with opioids</v>
      </c>
      <c r="I171" s="6" t="str">
        <f aca="false">IF($O171="","",INDEX(Scoring!$I$29:$I$361,MATCH($O171,Scoring!$AS$29:$AS$361,0)))</f>
        <v>Ampoule</v>
      </c>
      <c r="J171" s="7" t="str">
        <f aca="false">IF($O171="","",INDEX(Scoring!$Z$29:$Z$361,MATCH($O171,Scoring!$AS$29:$AS$361,0)))</f>
        <v>50 mg/1 mL ampoule</v>
      </c>
      <c r="K171" s="8" t="n">
        <f aca="false">IF($O171="","",IF(INDEX(Scoring!$D$29:$D$361,MATCH($O171,Scoring!$AS$29:$AS$361,0))="",INDEX(Scoring!$AF$29:$AF$361,MATCH($O171,Scoring!$AS$29:$AS$361,0)),INDEX(Scoring!$D$29:$D$361,MATCH($O171,Scoring!$AS$29:$AS$361,0))))</f>
        <v>30.35</v>
      </c>
      <c r="L171" s="9" t="n">
        <f aca="false">IF($O171="","",INDEX(Scoring!$L$29:$L$361,MATCH($O171,Scoring!$AS$29:$AS$361,0)))</f>
        <v>44</v>
      </c>
      <c r="M171" s="9" t="n">
        <f aca="false">IF($O171="","",INDEX(Scoring!$N$29:$N$361,MATCH($O171,Scoring!$AS$29:$AS$361,0)))</f>
        <v>2375.17</v>
      </c>
      <c r="N171" s="7" t="str">
        <f aca="false">IF($O171="","",INDEX(Scoring!$AI$29:$AI$361,MATCH($O171,Scoring!$AS$29:$AS$361,0)))</f>
        <v>Australia, UK-NI</v>
      </c>
      <c r="O171" s="10" t="n">
        <f aca="false">IFERROR(SMALL(Scoring!$AS$29:$AS$361,167),"")</f>
        <v>15005</v>
      </c>
    </row>
    <row r="172" customFormat="false" ht="28.35" hidden="false" customHeight="false" outlineLevel="0" collapsed="false">
      <c r="A172" s="5" t="n">
        <f aca="false">IF($O172="","",INT($O172/1000))</f>
        <v>15</v>
      </c>
      <c r="B172" s="6" t="str">
        <f aca="false">IF($O172="","",INDEX(Scoring!$A$29:$A$361,MATCH($O172,Scoring!$AS$29:$AS$361,0)))</f>
        <v>Micro Labs</v>
      </c>
      <c r="C172" s="5" t="n">
        <f aca="false">IF($O172="","",IF(INDEX(Scoring!$AM$29:$AM$361,MATCH($O172,Scoring!$AS$29:$AS$361,0))="","–",INDEX(Scoring!$AM$29:$AM$361,MATCH($O172,Scoring!$AS$29:$AS$361,0))))</f>
        <v>6</v>
      </c>
      <c r="D172" s="6" t="str">
        <f aca="false">IF($O172="","",INDEX(Scoring!$AK$29:$AK$361,MATCH($O172,Scoring!$AS$29:$AS$361,0)))</f>
        <v>Priority 3</v>
      </c>
      <c r="E172" s="7" t="str">
        <f aca="false">IF($O172="","",INDEX(Scoring!$AL$29:$AL$361,MATCH($O172,Scoring!$AS$29:$AS$361,0)))</f>
        <v>Lower price · lower volume</v>
      </c>
      <c r="F172" s="6" t="str">
        <f aca="false">IF($O172="","",INDEX(Scoring!$B$29:$B$361,MATCH($O172,Scoring!$AS$29:$AS$361,0)))</f>
        <v>Lincomycin</v>
      </c>
      <c r="G172" s="7" t="str">
        <f aca="false">IF($O172="","",INDEX(Scoring!$AG$29:$AG$361,MATCH($O172,Scoring!$AS$29:$AS$361,0)))</f>
        <v>Lincomycin Hydrochloride</v>
      </c>
      <c r="H172" s="7" t="str">
        <f aca="false">IF($O172="","",INDEX(Scoring!$C$29:$C$361,MATCH($O172,Scoring!$AS$29:$AS$361,0)))</f>
        <v>Anti-infective: serious Gram-positive infections in penicillin-allergic patients</v>
      </c>
      <c r="I172" s="6" t="str">
        <f aca="false">IF($O172="","",INDEX(Scoring!$I$29:$I$361,MATCH($O172,Scoring!$AS$29:$AS$361,0)))</f>
        <v>Vial</v>
      </c>
      <c r="J172" s="7" t="str">
        <f aca="false">IF($O172="","",INDEX(Scoring!$Z$29:$Z$361,MATCH($O172,Scoring!$AS$29:$AS$361,0)))</f>
        <v>600 mg/2 mL vial</v>
      </c>
      <c r="K172" s="8" t="n">
        <f aca="false">IF($O172="","",IF(INDEX(Scoring!$D$29:$D$361,MATCH($O172,Scoring!$AS$29:$AS$361,0))="",INDEX(Scoring!$AF$29:$AF$361,MATCH($O172,Scoring!$AS$29:$AS$361,0)),INDEX(Scoring!$D$29:$D$361,MATCH($O172,Scoring!$AS$29:$AS$361,0))))</f>
        <v>22.55</v>
      </c>
      <c r="L172" s="9" t="n">
        <f aca="false">IF($O172="","",INDEX(Scoring!$L$29:$L$361,MATCH($O172,Scoring!$AS$29:$AS$361,0)))</f>
        <v>61</v>
      </c>
      <c r="M172" s="9" t="n">
        <f aca="false">IF($O172="","",INDEX(Scoring!$N$29:$N$361,MATCH($O172,Scoring!$AS$29:$AS$361,0)))</f>
        <v>1210.6</v>
      </c>
      <c r="N172" s="7" t="str">
        <f aca="false">IF($O172="","",INDEX(Scoring!$AI$29:$AI$361,MATCH($O172,Scoring!$AS$29:$AS$361,0)))</f>
        <v>US</v>
      </c>
      <c r="O172" s="10" t="n">
        <f aca="false">IFERROR(SMALL(Scoring!$AS$29:$AS$361,168),"")</f>
        <v>15006</v>
      </c>
    </row>
    <row r="173" customFormat="false" ht="41.75" hidden="false" customHeight="false" outlineLevel="0" collapsed="false">
      <c r="A173" s="5" t="n">
        <f aca="false">IF($O173="","",INT($O173/1000))</f>
        <v>16</v>
      </c>
      <c r="B173" s="6" t="str">
        <f aca="false">IF($O173="","",INDEX(Scoring!$A$29:$A$361,MATCH($O173,Scoring!$AS$29:$AS$361,0)))</f>
        <v>Alembic</v>
      </c>
      <c r="C173" s="5" t="n">
        <f aca="false">IF($O173="","",IF(INDEX(Scoring!$AM$29:$AM$361,MATCH($O173,Scoring!$AS$29:$AS$361,0))="","–",INDEX(Scoring!$AM$29:$AM$361,MATCH($O173,Scoring!$AS$29:$AS$361,0))))</f>
        <v>1</v>
      </c>
      <c r="D173" s="6" t="str">
        <f aca="false">IF($O173="","",INDEX(Scoring!$AK$29:$AK$361,MATCH($O173,Scoring!$AS$29:$AS$361,0)))</f>
        <v>Priority 2</v>
      </c>
      <c r="E173" s="7" t="str">
        <f aca="false">IF($O173="","",INDEX(Scoring!$AL$29:$AL$361,MATCH($O173,Scoring!$AS$29:$AS$361,0)))</f>
        <v>Lower price · high volume</v>
      </c>
      <c r="F173" s="6" t="str">
        <f aca="false">IF($O173="","",INDEX(Scoring!$B$29:$B$361,MATCH($O173,Scoring!$AS$29:$AS$361,0)))</f>
        <v>Methotrexate</v>
      </c>
      <c r="G173" s="7" t="str">
        <f aca="false">IF($O173="","",INDEX(Scoring!$AG$29:$AG$361,MATCH($O173,Scoring!$AS$29:$AS$361,0)))</f>
        <v>Methotrexate Sodium</v>
      </c>
      <c r="H173" s="7" t="str">
        <f aca="false">IF($O173="","",INDEX(Scoring!$C$29:$C$361,MATCH($O173,Scoring!$AS$29:$AS$361,0)))</f>
        <v>Oncology and immunology: leukaemia, lymphoma, bone cancer, rheumatoid arthritis, psoriasis</v>
      </c>
      <c r="I173" s="6" t="str">
        <f aca="false">IF($O173="","",INDEX(Scoring!$I$29:$I$361,MATCH($O173,Scoring!$AS$29:$AS$361,0)))</f>
        <v>Vial</v>
      </c>
      <c r="J173" s="7" t="str">
        <f aca="false">IF($O173="","",INDEX(Scoring!$Z$29:$Z$361,MATCH($O173,Scoring!$AS$29:$AS$361,0)))</f>
        <v>1 g/40 mL vial; 50 mg/2 mL vial</v>
      </c>
      <c r="K173" s="8" t="n">
        <f aca="false">IF($O173="","",IF(INDEX(Scoring!$D$29:$D$361,MATCH($O173,Scoring!$AS$29:$AS$361,0))="",INDEX(Scoring!$AF$29:$AF$361,MATCH($O173,Scoring!$AS$29:$AS$361,0)),INDEX(Scoring!$D$29:$D$361,MATCH($O173,Scoring!$AS$29:$AS$361,0))))</f>
        <v>10.36</v>
      </c>
      <c r="L173" s="9" t="n">
        <f aca="false">IF($O173="","",INDEX(Scoring!$L$29:$L$361,MATCH($O173,Scoring!$AS$29:$AS$361,0)))</f>
        <v>1282</v>
      </c>
      <c r="M173" s="9" t="n">
        <f aca="false">IF($O173="","",INDEX(Scoring!$N$29:$N$361,MATCH($O173,Scoring!$AS$29:$AS$361,0)))</f>
        <v>16792.84</v>
      </c>
      <c r="N173" s="7" t="str">
        <f aca="false">IF($O173="","",INDEX(Scoring!$AI$29:$AI$361,MATCH($O173,Scoring!$AS$29:$AS$361,0)))</f>
        <v>US</v>
      </c>
      <c r="O173" s="10" t="n">
        <f aca="false">IFERROR(SMALL(Scoring!$AS$29:$AS$361,169),"")</f>
        <v>16001</v>
      </c>
    </row>
    <row r="174" customFormat="false" ht="28.35" hidden="false" customHeight="false" outlineLevel="0" collapsed="false">
      <c r="A174" s="5" t="n">
        <f aca="false">IF($O174="","",INT($O174/1000))</f>
        <v>16</v>
      </c>
      <c r="B174" s="6" t="str">
        <f aca="false">IF($O174="","",INDEX(Scoring!$A$29:$A$361,MATCH($O174,Scoring!$AS$29:$AS$361,0)))</f>
        <v>Alembic</v>
      </c>
      <c r="C174" s="5" t="n">
        <f aca="false">IF($O174="","",IF(INDEX(Scoring!$AM$29:$AM$361,MATCH($O174,Scoring!$AS$29:$AS$361,0))="","–",INDEX(Scoring!$AM$29:$AM$361,MATCH($O174,Scoring!$AS$29:$AS$361,0))))</f>
        <v>2</v>
      </c>
      <c r="D174" s="6" t="str">
        <f aca="false">IF($O174="","",INDEX(Scoring!$AK$29:$AK$361,MATCH($O174,Scoring!$AS$29:$AS$361,0)))</f>
        <v>Priority 2</v>
      </c>
      <c r="E174" s="7" t="str">
        <f aca="false">IF($O174="","",INDEX(Scoring!$AL$29:$AL$361,MATCH($O174,Scoring!$AS$29:$AS$361,0)))</f>
        <v>High price · lower volume</v>
      </c>
      <c r="F174" s="6" t="str">
        <f aca="false">IF($O174="","",INDEX(Scoring!$B$29:$B$361,MATCH($O174,Scoring!$AS$29:$AS$361,0)))</f>
        <v>Fulvestrant</v>
      </c>
      <c r="G174" s="7" t="str">
        <f aca="false">IF($O174="","",INDEX(Scoring!$AG$29:$AG$361,MATCH($O174,Scoring!$AS$29:$AS$361,0)))</f>
        <v>Fulvestrant</v>
      </c>
      <c r="H174" s="7" t="str">
        <f aca="false">IF($O174="","",INDEX(Scoring!$C$29:$C$361,MATCH($O174,Scoring!$AS$29:$AS$361,0)))</f>
        <v>Oncology: hormone receptor-positive advanced breast cancer</v>
      </c>
      <c r="I174" s="6" t="str">
        <f aca="false">IF($O174="","",INDEX(Scoring!$I$29:$I$361,MATCH($O174,Scoring!$AS$29:$AS$361,0)))</f>
        <v>Prefilled syringe</v>
      </c>
      <c r="J174" s="7" t="str">
        <f aca="false">IF($O174="","",INDEX(Scoring!$Z$29:$Z$361,MATCH($O174,Scoring!$AS$29:$AS$361,0)))</f>
        <v>250 mg/5 mL pre-filled syringe</v>
      </c>
      <c r="K174" s="8" t="n">
        <f aca="false">IF($O174="","",IF(INDEX(Scoring!$D$29:$D$361,MATCH($O174,Scoring!$AS$29:$AS$361,0))="",INDEX(Scoring!$AF$29:$AF$361,MATCH($O174,Scoring!$AS$29:$AS$361,0)),INDEX(Scoring!$D$29:$D$361,MATCH($O174,Scoring!$AS$29:$AS$361,0))))</f>
        <v>29.97</v>
      </c>
      <c r="L174" s="9" t="n">
        <f aca="false">IF($O174="","",INDEX(Scoring!$L$29:$L$361,MATCH($O174,Scoring!$AS$29:$AS$361,0)))</f>
        <v>146</v>
      </c>
      <c r="M174" s="9" t="n">
        <f aca="false">IF($O174="","",INDEX(Scoring!$N$29:$N$361,MATCH($O174,Scoring!$AS$29:$AS$361,0)))</f>
        <v>11366.06</v>
      </c>
      <c r="N174" s="7" t="str">
        <f aca="false">IF($O174="","",INDEX(Scoring!$AI$29:$AI$361,MATCH($O174,Scoring!$AS$29:$AS$361,0)))</f>
        <v>US</v>
      </c>
      <c r="O174" s="10" t="n">
        <f aca="false">IFERROR(SMALL(Scoring!$AS$29:$AS$361,170),"")</f>
        <v>16002</v>
      </c>
    </row>
    <row r="175" customFormat="false" ht="28.35" hidden="false" customHeight="false" outlineLevel="0" collapsed="false">
      <c r="A175" s="5" t="n">
        <f aca="false">IF($O175="","",INT($O175/1000))</f>
        <v>16</v>
      </c>
      <c r="B175" s="6" t="str">
        <f aca="false">IF($O175="","",INDEX(Scoring!$A$29:$A$361,MATCH($O175,Scoring!$AS$29:$AS$361,0)))</f>
        <v>Alembic</v>
      </c>
      <c r="C175" s="5" t="n">
        <f aca="false">IF($O175="","",IF(INDEX(Scoring!$AM$29:$AM$361,MATCH($O175,Scoring!$AS$29:$AS$361,0))="","–",INDEX(Scoring!$AM$29:$AM$361,MATCH($O175,Scoring!$AS$29:$AS$361,0))))</f>
        <v>3</v>
      </c>
      <c r="D175" s="6" t="str">
        <f aca="false">IF($O175="","",INDEX(Scoring!$AK$29:$AK$361,MATCH($O175,Scoring!$AS$29:$AS$361,0)))</f>
        <v>Priority 2</v>
      </c>
      <c r="E175" s="7" t="str">
        <f aca="false">IF($O175="","",INDEX(Scoring!$AL$29:$AL$361,MATCH($O175,Scoring!$AS$29:$AS$361,0)))</f>
        <v>High price · lower volume</v>
      </c>
      <c r="F175" s="6" t="str">
        <f aca="false">IF($O175="","",INDEX(Scoring!$B$29:$B$361,MATCH($O175,Scoring!$AS$29:$AS$361,0)))</f>
        <v>Carboprost</v>
      </c>
      <c r="G175" s="7" t="str">
        <f aca="false">IF($O175="","",INDEX(Scoring!$AG$29:$AG$361,MATCH($O175,Scoring!$AS$29:$AS$361,0)))</f>
        <v>Carboprost Tromethamine; Carboprost Alembic</v>
      </c>
      <c r="H175" s="7" t="str">
        <f aca="false">IF($O175="","",INDEX(Scoring!$C$29:$C$361,MATCH($O175,Scoring!$AS$29:$AS$361,0)))</f>
        <v>Women's health: postpartum haemorrhage, pregnancy termination</v>
      </c>
      <c r="I175" s="6" t="str">
        <f aca="false">IF($O175="","",INDEX(Scoring!$I$29:$I$361,MATCH($O175,Scoring!$AS$29:$AS$361,0)))</f>
        <v>Vial</v>
      </c>
      <c r="J175" s="7" t="str">
        <f aca="false">IF($O175="","",INDEX(Scoring!$Z$29:$Z$361,MATCH($O175,Scoring!$AS$29:$AS$361,0)))</f>
        <v>0.25 mg/1 mL vial</v>
      </c>
      <c r="K175" s="8" t="n">
        <f aca="false">IF($O175="","",IF(INDEX(Scoring!$D$29:$D$361,MATCH($O175,Scoring!$AS$29:$AS$361,0))="",INDEX(Scoring!$AF$29:$AF$361,MATCH($O175,Scoring!$AS$29:$AS$361,0)),INDEX(Scoring!$D$29:$D$361,MATCH($O175,Scoring!$AS$29:$AS$361,0))))</f>
        <v>52.42</v>
      </c>
      <c r="L175" s="9" t="n">
        <f aca="false">IF($O175="","",INDEX(Scoring!$L$29:$L$361,MATCH($O175,Scoring!$AS$29:$AS$361,0)))</f>
        <v>156</v>
      </c>
      <c r="M175" s="9" t="n">
        <f aca="false">IF($O175="","",INDEX(Scoring!$N$29:$N$361,MATCH($O175,Scoring!$AS$29:$AS$361,0)))</f>
        <v>3954.83</v>
      </c>
      <c r="N175" s="7" t="str">
        <f aca="false">IF($O175="","",INDEX(Scoring!$AI$29:$AI$361,MATCH($O175,Scoring!$AS$29:$AS$361,0)))</f>
        <v>US | EU/EEA (2): Malta, Sweden</v>
      </c>
      <c r="O175" s="10" t="n">
        <f aca="false">IFERROR(SMALL(Scoring!$AS$29:$AS$361,171),"")</f>
        <v>16003</v>
      </c>
    </row>
    <row r="176" customFormat="false" ht="28.35" hidden="false" customHeight="false" outlineLevel="0" collapsed="false">
      <c r="A176" s="5" t="n">
        <f aca="false">IF($O176="","",INT($O176/1000))</f>
        <v>16</v>
      </c>
      <c r="B176" s="6" t="str">
        <f aca="false">IF($O176="","",INDEX(Scoring!$A$29:$A$361,MATCH($O176,Scoring!$AS$29:$AS$361,0)))</f>
        <v>Alembic</v>
      </c>
      <c r="C176" s="5" t="n">
        <f aca="false">IF($O176="","",IF(INDEX(Scoring!$AM$29:$AM$361,MATCH($O176,Scoring!$AS$29:$AS$361,0))="","–",INDEX(Scoring!$AM$29:$AM$361,MATCH($O176,Scoring!$AS$29:$AS$361,0))))</f>
        <v>4</v>
      </c>
      <c r="D176" s="6" t="str">
        <f aca="false">IF($O176="","",INDEX(Scoring!$AK$29:$AK$361,MATCH($O176,Scoring!$AS$29:$AS$361,0)))</f>
        <v>Priority 3</v>
      </c>
      <c r="E176" s="7" t="str">
        <f aca="false">IF($O176="","",INDEX(Scoring!$AL$29:$AL$361,MATCH($O176,Scoring!$AS$29:$AS$361,0)))</f>
        <v>Lower price · lower volume</v>
      </c>
      <c r="F176" s="6" t="str">
        <f aca="false">IF($O176="","",INDEX(Scoring!$B$29:$B$361,MATCH($O176,Scoring!$AS$29:$AS$361,0)))</f>
        <v>Diazepam</v>
      </c>
      <c r="G176" s="7" t="str">
        <f aca="false">IF($O176="","",INDEX(Scoring!$AG$29:$AG$361,MATCH($O176,Scoring!$AS$29:$AS$361,0)))</f>
        <v>Diazepam</v>
      </c>
      <c r="H176" s="7" t="str">
        <f aca="false">IF($O176="","",INDEX(Scoring!$C$29:$C$361,MATCH($O176,Scoring!$AS$29:$AS$361,0)))</f>
        <v>Neurology: status epilepticus, seizures, acute anxiety and sedation</v>
      </c>
      <c r="I176" s="6" t="str">
        <f aca="false">IF($O176="","",INDEX(Scoring!$I$29:$I$361,MATCH($O176,Scoring!$AS$29:$AS$361,0)))</f>
        <v>Prefilled syringe</v>
      </c>
      <c r="J176" s="7" t="str">
        <f aca="false">IF($O176="","",INDEX(Scoring!$Z$29:$Z$361,MATCH($O176,Scoring!$AS$29:$AS$361,0)))</f>
        <v>10 mg/2 mL pre-filled syringe</v>
      </c>
      <c r="K176" s="8" t="n">
        <f aca="false">IF($O176="","",IF(INDEX(Scoring!$D$29:$D$361,MATCH($O176,Scoring!$AS$29:$AS$361,0))="",INDEX(Scoring!$AF$29:$AF$361,MATCH($O176,Scoring!$AS$29:$AS$361,0)),INDEX(Scoring!$D$29:$D$361,MATCH($O176,Scoring!$AS$29:$AS$361,0))))</f>
        <v>10.14</v>
      </c>
      <c r="L176" s="9" t="n">
        <f aca="false">IF($O176="","",INDEX(Scoring!$L$29:$L$361,MATCH($O176,Scoring!$AS$29:$AS$361,0)))</f>
        <v>180</v>
      </c>
      <c r="M176" s="9" t="n">
        <f aca="false">IF($O176="","",INDEX(Scoring!$N$29:$N$361,MATCH($O176,Scoring!$AS$29:$AS$361,0)))</f>
        <v>5403.25</v>
      </c>
      <c r="N176" s="7" t="str">
        <f aca="false">IF($O176="","",INDEX(Scoring!$AI$29:$AI$361,MATCH($O176,Scoring!$AS$29:$AS$361,0)))</f>
        <v>US</v>
      </c>
      <c r="O176" s="10" t="n">
        <f aca="false">IFERROR(SMALL(Scoring!$AS$29:$AS$361,172),"")</f>
        <v>16004</v>
      </c>
    </row>
    <row r="177" customFormat="false" ht="28.35" hidden="false" customHeight="false" outlineLevel="0" collapsed="false">
      <c r="A177" s="5" t="n">
        <f aca="false">IF($O177="","",INT($O177/1000))</f>
        <v>16</v>
      </c>
      <c r="B177" s="6" t="str">
        <f aca="false">IF($O177="","",INDEX(Scoring!$A$29:$A$361,MATCH($O177,Scoring!$AS$29:$AS$361,0)))</f>
        <v>Alembic</v>
      </c>
      <c r="C177" s="5" t="str">
        <f aca="false">IF($O177="","",IF(INDEX(Scoring!$AM$29:$AM$361,MATCH($O177,Scoring!$AS$29:$AS$361,0))="","–",INDEX(Scoring!$AM$29:$AM$361,MATCH($O177,Scoring!$AS$29:$AS$361,0))))</f>
        <v>–</v>
      </c>
      <c r="D177" s="6" t="str">
        <f aca="false">IF($O177="","",INDEX(Scoring!$AK$29:$AK$361,MATCH($O177,Scoring!$AS$29:$AS$361,0)))</f>
        <v>Excluded – price ≤ $5</v>
      </c>
      <c r="E177" s="7" t="str">
        <f aca="false">IF($O177="","",INDEX(Scoring!$AL$29:$AL$361,MATCH($O177,Scoring!$AS$29:$AS$361,0)))</f>
        <v/>
      </c>
      <c r="F177" s="6" t="str">
        <f aca="false">IF($O177="","",INDEX(Scoring!$B$29:$B$361,MATCH($O177,Scoring!$AS$29:$AS$361,0)))</f>
        <v>Phytonadione</v>
      </c>
      <c r="G177" s="7" t="str">
        <f aca="false">IF($O177="","",INDEX(Scoring!$AG$29:$AG$361,MATCH($O177,Scoring!$AS$29:$AS$361,0)))</f>
        <v>Phytonadione</v>
      </c>
      <c r="H177" s="7" t="str">
        <f aca="false">IF($O177="","",INDEX(Scoring!$C$29:$C$361,MATCH($O177,Scoring!$AS$29:$AS$361,0)))</f>
        <v>Haematology: vitamin K for newborn bleeding prevention, warfarin reversal</v>
      </c>
      <c r="I177" s="6" t="str">
        <f aca="false">IF($O177="","",INDEX(Scoring!$I$29:$I$361,MATCH($O177,Scoring!$AS$29:$AS$361,0)))</f>
        <v>Prefilled syringe</v>
      </c>
      <c r="J177" s="7" t="str">
        <f aca="false">IF($O177="","",INDEX(Scoring!$Z$29:$Z$361,MATCH($O177,Scoring!$AS$29:$AS$361,0)))</f>
        <v>1 mg/0.5 mL pre-filled syringe</v>
      </c>
      <c r="K177" s="8" t="n">
        <f aca="false">IF($O177="","",IF(INDEX(Scoring!$D$29:$D$361,MATCH($O177,Scoring!$AS$29:$AS$361,0))="",INDEX(Scoring!$AF$29:$AF$361,MATCH($O177,Scoring!$AS$29:$AS$361,0)),INDEX(Scoring!$D$29:$D$361,MATCH($O177,Scoring!$AS$29:$AS$361,0))))</f>
        <v>3.99</v>
      </c>
      <c r="L177" s="9" t="n">
        <f aca="false">IF($O177="","",INDEX(Scoring!$L$29:$L$361,MATCH($O177,Scoring!$AS$29:$AS$361,0)))</f>
        <v>51</v>
      </c>
      <c r="M177" s="9" t="n">
        <f aca="false">IF($O177="","",INDEX(Scoring!$N$29:$N$361,MATCH($O177,Scoring!$AS$29:$AS$361,0)))</f>
        <v>5770.02</v>
      </c>
      <c r="N177" s="7" t="str">
        <f aca="false">IF($O177="","",INDEX(Scoring!$AI$29:$AI$361,MATCH($O177,Scoring!$AS$29:$AS$361,0)))</f>
        <v>US</v>
      </c>
      <c r="O177" s="10" t="n">
        <f aca="false">IFERROR(SMALL(Scoring!$AS$29:$AS$361,173),"")</f>
        <v>16901</v>
      </c>
    </row>
    <row r="178" customFormat="false" ht="41.75" hidden="false" customHeight="false" outlineLevel="0" collapsed="false">
      <c r="A178" s="5" t="n">
        <f aca="false">IF($O178="","",INT($O178/1000))</f>
        <v>16</v>
      </c>
      <c r="B178" s="6" t="str">
        <f aca="false">IF($O178="","",INDEX(Scoring!$A$29:$A$361,MATCH($O178,Scoring!$AS$29:$AS$361,0)))</f>
        <v>Alembic</v>
      </c>
      <c r="C178" s="5" t="str">
        <f aca="false">IF($O178="","",IF(INDEX(Scoring!$AM$29:$AM$361,MATCH($O178,Scoring!$AS$29:$AS$361,0))="","–",INDEX(Scoring!$AM$29:$AM$361,MATCH($O178,Scoring!$AS$29:$AS$361,0))))</f>
        <v>–</v>
      </c>
      <c r="D178" s="6" t="str">
        <f aca="false">IF($O178="","",INDEX(Scoring!$AK$29:$AK$361,MATCH($O178,Scoring!$AS$29:$AS$361,0)))</f>
        <v>Excluded – price ≤ $5</v>
      </c>
      <c r="E178" s="7" t="str">
        <f aca="false">IF($O178="","",INDEX(Scoring!$AL$29:$AL$361,MATCH($O178,Scoring!$AS$29:$AS$361,0)))</f>
        <v/>
      </c>
      <c r="F178" s="6" t="str">
        <f aca="false">IF($O178="","",INDEX(Scoring!$B$29:$B$361,MATCH($O178,Scoring!$AS$29:$AS$361,0)))</f>
        <v>Triamcinolone Acetonide</v>
      </c>
      <c r="G178" s="7" t="str">
        <f aca="false">IF($O178="","",INDEX(Scoring!$AG$29:$AG$361,MATCH($O178,Scoring!$AS$29:$AS$361,0)))</f>
        <v>Triamcinolone Acetonide</v>
      </c>
      <c r="H178" s="7" t="str">
        <f aca="false">IF($O178="","",INDEX(Scoring!$C$29:$C$361,MATCH($O178,Scoring!$AS$29:$AS$361,0)))</f>
        <v>Musculoskeletal and immunology: joint and soft-tissue injections, allergic and skin conditions</v>
      </c>
      <c r="I178" s="6" t="str">
        <f aca="false">IF($O178="","",INDEX(Scoring!$I$29:$I$361,MATCH($O178,Scoring!$AS$29:$AS$361,0)))</f>
        <v>Not stated</v>
      </c>
      <c r="J178" s="7" t="str">
        <f aca="false">IF($O178="","",INDEX(Scoring!$Z$29:$Z$361,MATCH($O178,Scoring!$AS$29:$AS$361,0)))</f>
        <v>40 mg/mL (container not stated)</v>
      </c>
      <c r="K178" s="8" t="n">
        <f aca="false">IF($O178="","",IF(INDEX(Scoring!$D$29:$D$361,MATCH($O178,Scoring!$AS$29:$AS$361,0))="",INDEX(Scoring!$AF$29:$AF$361,MATCH($O178,Scoring!$AS$29:$AS$361,0)),INDEX(Scoring!$D$29:$D$361,MATCH($O178,Scoring!$AS$29:$AS$361,0))))</f>
        <v>3.15</v>
      </c>
      <c r="L178" s="9" t="n">
        <f aca="false">IF($O178="","",INDEX(Scoring!$L$29:$L$361,MATCH($O178,Scoring!$AS$29:$AS$361,0)))</f>
        <v>735</v>
      </c>
      <c r="M178" s="9" t="n">
        <f aca="false">IF($O178="","",INDEX(Scoring!$N$29:$N$361,MATCH($O178,Scoring!$AS$29:$AS$361,0)))</f>
        <v>16205.48</v>
      </c>
      <c r="N178" s="7" t="str">
        <f aca="false">IF($O178="","",INDEX(Scoring!$AI$29:$AI$361,MATCH($O178,Scoring!$AS$29:$AS$361,0)))</f>
        <v>US</v>
      </c>
      <c r="O178" s="10" t="n">
        <f aca="false">IFERROR(SMALL(Scoring!$AS$29:$AS$361,174),"")</f>
        <v>16902</v>
      </c>
    </row>
    <row r="179" customFormat="false" ht="28.35" hidden="false" customHeight="false" outlineLevel="0" collapsed="false">
      <c r="A179" s="5" t="n">
        <f aca="false">IF($O179="","",INT($O179/1000))</f>
        <v>17</v>
      </c>
      <c r="B179" s="6" t="str">
        <f aca="false">IF($O179="","",INDEX(Scoring!$A$29:$A$361,MATCH($O179,Scoring!$AS$29:$AS$361,0)))</f>
        <v>OneSource</v>
      </c>
      <c r="C179" s="5" t="n">
        <f aca="false">IF($O179="","",IF(INDEX(Scoring!$AM$29:$AM$361,MATCH($O179,Scoring!$AS$29:$AS$361,0))="","–",INDEX(Scoring!$AM$29:$AM$361,MATCH($O179,Scoring!$AS$29:$AS$361,0))))</f>
        <v>1</v>
      </c>
      <c r="D179" s="6" t="str">
        <f aca="false">IF($O179="","",INDEX(Scoring!$AK$29:$AK$361,MATCH($O179,Scoring!$AS$29:$AS$361,0)))</f>
        <v>Priority 2</v>
      </c>
      <c r="E179" s="7" t="str">
        <f aca="false">IF($O179="","",INDEX(Scoring!$AL$29:$AL$361,MATCH($O179,Scoring!$AS$29:$AS$361,0)))</f>
        <v>Lower price · high volume</v>
      </c>
      <c r="F179" s="6" t="str">
        <f aca="false">IF($O179="","",INDEX(Scoring!$B$29:$B$361,MATCH($O179,Scoring!$AS$29:$AS$361,0)))</f>
        <v>Bupivacaine</v>
      </c>
      <c r="G179" s="7" t="str">
        <f aca="false">IF($O179="","",INDEX(Scoring!$AG$29:$AG$361,MATCH($O179,Scoring!$AS$29:$AS$361,0)))</f>
        <v>Bupivacaine Hydrochloride</v>
      </c>
      <c r="H179" s="7" t="str">
        <f aca="false">IF($O179="","",INDEX(Scoring!$C$29:$C$361,MATCH($O179,Scoring!$AS$29:$AS$361,0)))</f>
        <v>Anaesthesia: long-acting local anaesthetic for spinal, epidural and nerve block</v>
      </c>
      <c r="I179" s="6" t="str">
        <f aca="false">IF($O179="","",INDEX(Scoring!$I$29:$I$361,MATCH($O179,Scoring!$AS$29:$AS$361,0)))</f>
        <v>Vial</v>
      </c>
      <c r="J179" s="7" t="str">
        <f aca="false">IF($O179="","",INDEX(Scoring!$Z$29:$Z$361,MATCH($O179,Scoring!$AS$29:$AS$361,0)))</f>
        <v>0.25% in 10 mL vial; 0.5% in 30 mL vial</v>
      </c>
      <c r="K179" s="8" t="n">
        <f aca="false">IF($O179="","",IF(INDEX(Scoring!$D$29:$D$361,MATCH($O179,Scoring!$AS$29:$AS$361,0))="",INDEX(Scoring!$AF$29:$AF$361,MATCH($O179,Scoring!$AS$29:$AS$361,0)),INDEX(Scoring!$D$29:$D$361,MATCH($O179,Scoring!$AS$29:$AS$361,0))))</f>
        <v>6.38</v>
      </c>
      <c r="L179" s="9" t="n">
        <f aca="false">IF($O179="","",INDEX(Scoring!$L$29:$L$361,MATCH($O179,Scoring!$AS$29:$AS$361,0)))</f>
        <v>598</v>
      </c>
      <c r="M179" s="9" t="n">
        <f aca="false">IF($O179="","",INDEX(Scoring!$N$29:$N$361,MATCH($O179,Scoring!$AS$29:$AS$361,0)))</f>
        <v>16840.43</v>
      </c>
      <c r="N179" s="7" t="str">
        <f aca="false">IF($O179="","",INDEX(Scoring!$AI$29:$AI$361,MATCH($O179,Scoring!$AS$29:$AS$361,0)))</f>
        <v>US</v>
      </c>
      <c r="O179" s="10" t="n">
        <f aca="false">IFERROR(SMALL(Scoring!$AS$29:$AS$361,175),"")</f>
        <v>17001</v>
      </c>
    </row>
    <row r="180" customFormat="false" ht="28.35" hidden="false" customHeight="false" outlineLevel="0" collapsed="false">
      <c r="A180" s="5" t="n">
        <f aca="false">IF($O180="","",INT($O180/1000))</f>
        <v>17</v>
      </c>
      <c r="B180" s="6" t="str">
        <f aca="false">IF($O180="","",INDEX(Scoring!$A$29:$A$361,MATCH($O180,Scoring!$AS$29:$AS$361,0)))</f>
        <v>OneSource</v>
      </c>
      <c r="C180" s="5" t="n">
        <f aca="false">IF($O180="","",IF(INDEX(Scoring!$AM$29:$AM$361,MATCH($O180,Scoring!$AS$29:$AS$361,0))="","–",INDEX(Scoring!$AM$29:$AM$361,MATCH($O180,Scoring!$AS$29:$AS$361,0))))</f>
        <v>2</v>
      </c>
      <c r="D180" s="6" t="str">
        <f aca="false">IF($O180="","",INDEX(Scoring!$AK$29:$AK$361,MATCH($O180,Scoring!$AS$29:$AS$361,0)))</f>
        <v>Priority 2</v>
      </c>
      <c r="E180" s="7" t="str">
        <f aca="false">IF($O180="","",INDEX(Scoring!$AL$29:$AL$361,MATCH($O180,Scoring!$AS$29:$AS$361,0)))</f>
        <v>High price · lower volume</v>
      </c>
      <c r="F180" s="6" t="str">
        <f aca="false">IF($O180="","",INDEX(Scoring!$B$29:$B$361,MATCH($O180,Scoring!$AS$29:$AS$361,0)))</f>
        <v>Carboprost</v>
      </c>
      <c r="G180" s="7" t="str">
        <f aca="false">IF($O180="","",INDEX(Scoring!$AG$29:$AG$361,MATCH($O180,Scoring!$AS$29:$AS$361,0)))</f>
        <v>Carboprost Tromethamine</v>
      </c>
      <c r="H180" s="7" t="str">
        <f aca="false">IF($O180="","",INDEX(Scoring!$C$29:$C$361,MATCH($O180,Scoring!$AS$29:$AS$361,0)))</f>
        <v>Women's health: postpartum haemorrhage, pregnancy termination</v>
      </c>
      <c r="I180" s="6" t="str">
        <f aca="false">IF($O180="","",INDEX(Scoring!$I$29:$I$361,MATCH($O180,Scoring!$AS$29:$AS$361,0)))</f>
        <v>Vial</v>
      </c>
      <c r="J180" s="7" t="str">
        <f aca="false">IF($O180="","",INDEX(Scoring!$Z$29:$Z$361,MATCH($O180,Scoring!$AS$29:$AS$361,0)))</f>
        <v>0.25 mg/1 mL vial</v>
      </c>
      <c r="K180" s="8" t="n">
        <f aca="false">IF($O180="","",IF(INDEX(Scoring!$D$29:$D$361,MATCH($O180,Scoring!$AS$29:$AS$361,0))="",INDEX(Scoring!$AF$29:$AF$361,MATCH($O180,Scoring!$AS$29:$AS$361,0)),INDEX(Scoring!$D$29:$D$361,MATCH($O180,Scoring!$AS$29:$AS$361,0))))</f>
        <v>30.01</v>
      </c>
      <c r="L180" s="9" t="n">
        <f aca="false">IF($O180="","",INDEX(Scoring!$L$29:$L$361,MATCH($O180,Scoring!$AS$29:$AS$361,0)))</f>
        <v>156</v>
      </c>
      <c r="M180" s="9" t="n">
        <f aca="false">IF($O180="","",INDEX(Scoring!$N$29:$N$361,MATCH($O180,Scoring!$AS$29:$AS$361,0)))</f>
        <v>3954.83</v>
      </c>
      <c r="N180" s="7" t="str">
        <f aca="false">IF($O180="","",INDEX(Scoring!$AI$29:$AI$361,MATCH($O180,Scoring!$AS$29:$AS$361,0)))</f>
        <v>US</v>
      </c>
      <c r="O180" s="10" t="n">
        <f aca="false">IFERROR(SMALL(Scoring!$AS$29:$AS$361,176),"")</f>
        <v>17002</v>
      </c>
    </row>
    <row r="181" customFormat="false" ht="28.35" hidden="false" customHeight="false" outlineLevel="0" collapsed="false">
      <c r="A181" s="5" t="n">
        <f aca="false">IF($O181="","",INT($O181/1000))</f>
        <v>17</v>
      </c>
      <c r="B181" s="6" t="str">
        <f aca="false">IF($O181="","",INDEX(Scoring!$A$29:$A$361,MATCH($O181,Scoring!$AS$29:$AS$361,0)))</f>
        <v>OneSource</v>
      </c>
      <c r="C181" s="5" t="n">
        <f aca="false">IF($O181="","",IF(INDEX(Scoring!$AM$29:$AM$361,MATCH($O181,Scoring!$AS$29:$AS$361,0))="","–",INDEX(Scoring!$AM$29:$AM$361,MATCH($O181,Scoring!$AS$29:$AS$361,0))))</f>
        <v>3</v>
      </c>
      <c r="D181" s="6" t="str">
        <f aca="false">IF($O181="","",INDEX(Scoring!$AK$29:$AK$361,MATCH($O181,Scoring!$AS$29:$AS$361,0)))</f>
        <v>Priority 2</v>
      </c>
      <c r="E181" s="7" t="str">
        <f aca="false">IF($O181="","",INDEX(Scoring!$AL$29:$AL$361,MATCH($O181,Scoring!$AS$29:$AS$361,0)))</f>
        <v>High price · lower volume</v>
      </c>
      <c r="F181" s="6" t="str">
        <f aca="false">IF($O181="","",INDEX(Scoring!$B$29:$B$361,MATCH($O181,Scoring!$AS$29:$AS$361,0)))</f>
        <v>Methohexital</v>
      </c>
      <c r="G181" s="7" t="str">
        <f aca="false">IF($O181="","",INDEX(Scoring!$AG$29:$AG$361,MATCH($O181,Scoring!$AS$29:$AS$361,0)))</f>
        <v>Methohexital Sodium</v>
      </c>
      <c r="H181" s="7" t="str">
        <f aca="false">IF($O181="","",INDEX(Scoring!$C$29:$C$361,MATCH($O181,Scoring!$AS$29:$AS$361,0)))</f>
        <v>Anaesthesia: short procedures and electroconvulsive therapy</v>
      </c>
      <c r="I181" s="6" t="str">
        <f aca="false">IF($O181="","",INDEX(Scoring!$I$29:$I$361,MATCH($O181,Scoring!$AS$29:$AS$361,0)))</f>
        <v>Vial</v>
      </c>
      <c r="J181" s="7" t="str">
        <f aca="false">IF($O181="","",INDEX(Scoring!$Z$29:$Z$361,MATCH($O181,Scoring!$AS$29:$AS$361,0)))</f>
        <v>500 mg vial</v>
      </c>
      <c r="K181" s="8" t="n">
        <f aca="false">IF($O181="","",IF(INDEX(Scoring!$D$29:$D$361,MATCH($O181,Scoring!$AS$29:$AS$361,0))="",INDEX(Scoring!$AF$29:$AF$361,MATCH($O181,Scoring!$AS$29:$AS$361,0)),INDEX(Scoring!$D$29:$D$361,MATCH($O181,Scoring!$AS$29:$AS$361,0))))</f>
        <v>54.62</v>
      </c>
      <c r="L181" s="9" t="n">
        <f aca="false">IF($O181="","",INDEX(Scoring!$L$29:$L$361,MATCH($O181,Scoring!$AS$29:$AS$361,0)))</f>
        <v>2</v>
      </c>
      <c r="M181" s="9" t="n">
        <f aca="false">IF($O181="","",INDEX(Scoring!$N$29:$N$361,MATCH($O181,Scoring!$AS$29:$AS$361,0)))</f>
        <v>117.07</v>
      </c>
      <c r="N181" s="7" t="str">
        <f aca="false">IF($O181="","",INDEX(Scoring!$AI$29:$AI$361,MATCH($O181,Scoring!$AS$29:$AS$361,0)))</f>
        <v>US</v>
      </c>
      <c r="O181" s="10" t="n">
        <f aca="false">IFERROR(SMALL(Scoring!$AS$29:$AS$361,177),"")</f>
        <v>17003</v>
      </c>
    </row>
    <row r="182" customFormat="false" ht="28.35" hidden="false" customHeight="false" outlineLevel="0" collapsed="false">
      <c r="A182" s="5" t="n">
        <f aca="false">IF($O182="","",INT($O182/1000))</f>
        <v>17</v>
      </c>
      <c r="B182" s="6" t="str">
        <f aca="false">IF($O182="","",INDEX(Scoring!$A$29:$A$361,MATCH($O182,Scoring!$AS$29:$AS$361,0)))</f>
        <v>OneSource</v>
      </c>
      <c r="C182" s="5" t="n">
        <f aca="false">IF($O182="","",IF(INDEX(Scoring!$AM$29:$AM$361,MATCH($O182,Scoring!$AS$29:$AS$361,0))="","–",INDEX(Scoring!$AM$29:$AM$361,MATCH($O182,Scoring!$AS$29:$AS$361,0))))</f>
        <v>4</v>
      </c>
      <c r="D182" s="6" t="str">
        <f aca="false">IF($O182="","",INDEX(Scoring!$AK$29:$AK$361,MATCH($O182,Scoring!$AS$29:$AS$361,0)))</f>
        <v>Priority 3</v>
      </c>
      <c r="E182" s="7" t="str">
        <f aca="false">IF($O182="","",INDEX(Scoring!$AL$29:$AL$361,MATCH($O182,Scoring!$AS$29:$AS$361,0)))</f>
        <v>Lower price · lower volume</v>
      </c>
      <c r="F182" s="6" t="str">
        <f aca="false">IF($O182="","",INDEX(Scoring!$B$29:$B$361,MATCH($O182,Scoring!$AS$29:$AS$361,0)))</f>
        <v>Nafcillin</v>
      </c>
      <c r="G182" s="7" t="str">
        <f aca="false">IF($O182="","",INDEX(Scoring!$AG$29:$AG$361,MATCH($O182,Scoring!$AS$29:$AS$361,0)))</f>
        <v>Nafcillin Sodium</v>
      </c>
      <c r="H182" s="7" t="str">
        <f aca="false">IF($O182="","",INDEX(Scoring!$C$29:$C$361,MATCH($O182,Scoring!$AS$29:$AS$361,0)))</f>
        <v>Anti-infective: staphylococcal infections</v>
      </c>
      <c r="I182" s="6" t="str">
        <f aca="false">IF($O182="","",INDEX(Scoring!$I$29:$I$361,MATCH($O182,Scoring!$AS$29:$AS$361,0)))</f>
        <v>Vial</v>
      </c>
      <c r="J182" s="7" t="str">
        <f aca="false">IF($O182="","",INDEX(Scoring!$Z$29:$Z$361,MATCH($O182,Scoring!$AS$29:$AS$361,0)))</f>
        <v>1 g powder vial; 2 g powder vial</v>
      </c>
      <c r="K182" s="8" t="n">
        <f aca="false">IF($O182="","",IF(INDEX(Scoring!$D$29:$D$361,MATCH($O182,Scoring!$AS$29:$AS$361,0))="",INDEX(Scoring!$AF$29:$AF$361,MATCH($O182,Scoring!$AS$29:$AS$361,0)),INDEX(Scoring!$D$29:$D$361,MATCH($O182,Scoring!$AS$29:$AS$361,0))))</f>
        <v>7.41</v>
      </c>
      <c r="L182" s="9" t="n">
        <f aca="false">IF($O182="","",INDEX(Scoring!$L$29:$L$361,MATCH($O182,Scoring!$AS$29:$AS$361,0)))</f>
        <v>4</v>
      </c>
      <c r="M182" s="9" t="n">
        <f aca="false">IF($O182="","",INDEX(Scoring!$N$29:$N$361,MATCH($O182,Scoring!$AS$29:$AS$361,0)))</f>
        <v>570.1</v>
      </c>
      <c r="N182" s="7" t="str">
        <f aca="false">IF($O182="","",INDEX(Scoring!$AI$29:$AI$361,MATCH($O182,Scoring!$AS$29:$AS$361,0)))</f>
        <v>US</v>
      </c>
      <c r="O182" s="10" t="n">
        <f aca="false">IFERROR(SMALL(Scoring!$AS$29:$AS$361,178),"")</f>
        <v>17004</v>
      </c>
    </row>
    <row r="183" customFormat="false" ht="28.35" hidden="false" customHeight="false" outlineLevel="0" collapsed="false">
      <c r="A183" s="5" t="n">
        <f aca="false">IF($O183="","",INT($O183/1000))</f>
        <v>18</v>
      </c>
      <c r="B183" s="6" t="str">
        <f aca="false">IF($O183="","",INDEX(Scoring!$A$29:$A$361,MATCH($O183,Scoring!$AS$29:$AS$361,0)))</f>
        <v>Torrent</v>
      </c>
      <c r="C183" s="5" t="n">
        <f aca="false">IF($O183="","",IF(INDEX(Scoring!$AM$29:$AM$361,MATCH($O183,Scoring!$AS$29:$AS$361,0))="","–",INDEX(Scoring!$AM$29:$AM$361,MATCH($O183,Scoring!$AS$29:$AS$361,0))))</f>
        <v>1</v>
      </c>
      <c r="D183" s="6" t="str">
        <f aca="false">IF($O183="","",INDEX(Scoring!$AK$29:$AK$361,MATCH($O183,Scoring!$AS$29:$AS$361,0)))</f>
        <v>Priority 2</v>
      </c>
      <c r="E183" s="7" t="str">
        <f aca="false">IF($O183="","",INDEX(Scoring!$AL$29:$AL$361,MATCH($O183,Scoring!$AS$29:$AS$361,0)))</f>
        <v>High price · lower volume</v>
      </c>
      <c r="F183" s="6" t="str">
        <f aca="false">IF($O183="","",INDEX(Scoring!$B$29:$B$361,MATCH($O183,Scoring!$AS$29:$AS$361,0)))</f>
        <v>Fulvestrant</v>
      </c>
      <c r="G183" s="7" t="str">
        <f aca="false">IF($O183="","",INDEX(Scoring!$AG$29:$AG$361,MATCH($O183,Scoring!$AS$29:$AS$361,0)))</f>
        <v>Fulvestrant Heumann</v>
      </c>
      <c r="H183" s="7" t="str">
        <f aca="false">IF($O183="","",INDEX(Scoring!$C$29:$C$361,MATCH($O183,Scoring!$AS$29:$AS$361,0)))</f>
        <v>Oncology: hormone receptor-positive advanced breast cancer</v>
      </c>
      <c r="I183" s="6" t="str">
        <f aca="false">IF($O183="","",INDEX(Scoring!$I$29:$I$361,MATCH($O183,Scoring!$AS$29:$AS$361,0)))</f>
        <v>Prefilled syringe</v>
      </c>
      <c r="J183" s="7" t="str">
        <f aca="false">IF($O183="","",INDEX(Scoring!$Z$29:$Z$361,MATCH($O183,Scoring!$AS$29:$AS$361,0)))</f>
        <v>250 mg/5 mL pre-filled syringe</v>
      </c>
      <c r="K183" s="8" t="n">
        <f aca="false">IF($O183="","",IF(INDEX(Scoring!$D$29:$D$361,MATCH($O183,Scoring!$AS$29:$AS$361,0))="",INDEX(Scoring!$AF$29:$AF$361,MATCH($O183,Scoring!$AS$29:$AS$361,0)),INDEX(Scoring!$D$29:$D$361,MATCH($O183,Scoring!$AS$29:$AS$361,0))))</f>
        <v>531.87</v>
      </c>
      <c r="L183" s="9" t="n">
        <f aca="false">IF($O183="","",INDEX(Scoring!$L$29:$L$361,MATCH($O183,Scoring!$AS$29:$AS$361,0)))</f>
        <v>146</v>
      </c>
      <c r="M183" s="9" t="n">
        <f aca="false">IF($O183="","",INDEX(Scoring!$N$29:$N$361,MATCH($O183,Scoring!$AS$29:$AS$361,0)))</f>
        <v>11366.06</v>
      </c>
      <c r="N183" s="7" t="str">
        <f aca="false">IF($O183="","",INDEX(Scoring!$AI$29:$AI$361,MATCH($O183,Scoring!$AS$29:$AS$361,0)))</f>
        <v>EU/EEA (1): Germany</v>
      </c>
      <c r="O183" s="10" t="n">
        <f aca="false">IFERROR(SMALL(Scoring!$AS$29:$AS$361,179),"")</f>
        <v>18001</v>
      </c>
    </row>
    <row r="184" customFormat="false" ht="28.35" hidden="false" customHeight="false" outlineLevel="0" collapsed="false">
      <c r="A184" s="5" t="n">
        <f aca="false">IF($O184="","",INT($O184/1000))</f>
        <v>18</v>
      </c>
      <c r="B184" s="6" t="str">
        <f aca="false">IF($O184="","",INDEX(Scoring!$A$29:$A$361,MATCH($O184,Scoring!$AS$29:$AS$361,0)))</f>
        <v>Torrent</v>
      </c>
      <c r="C184" s="5" t="n">
        <f aca="false">IF($O184="","",IF(INDEX(Scoring!$AM$29:$AM$361,MATCH($O184,Scoring!$AS$29:$AS$361,0))="","–",INDEX(Scoring!$AM$29:$AM$361,MATCH($O184,Scoring!$AS$29:$AS$361,0))))</f>
        <v>2</v>
      </c>
      <c r="D184" s="6" t="str">
        <f aca="false">IF($O184="","",INDEX(Scoring!$AK$29:$AK$361,MATCH($O184,Scoring!$AS$29:$AS$361,0)))</f>
        <v>Priority 2</v>
      </c>
      <c r="E184" s="7" t="str">
        <f aca="false">IF($O184="","",INDEX(Scoring!$AL$29:$AL$361,MATCH($O184,Scoring!$AS$29:$AS$361,0)))</f>
        <v>High price · lower volume</v>
      </c>
      <c r="F184" s="6" t="str">
        <f aca="false">IF($O184="","",INDEX(Scoring!$B$29:$B$361,MATCH($O184,Scoring!$AS$29:$AS$361,0)))</f>
        <v>Paliperidone</v>
      </c>
      <c r="G184" s="7" t="str">
        <f aca="false">IF($O184="","",INDEX(Scoring!$AG$29:$AG$361,MATCH($O184,Scoring!$AS$29:$AS$361,0)))</f>
        <v>Paliperidon Heumann</v>
      </c>
      <c r="H184" s="7" t="str">
        <f aca="false">IF($O184="","",INDEX(Scoring!$C$29:$C$361,MATCH($O184,Scoring!$AS$29:$AS$361,0)))</f>
        <v>Psychiatry: long-acting injection for schizophrenia</v>
      </c>
      <c r="I184" s="6" t="str">
        <f aca="false">IF($O184="","",INDEX(Scoring!$I$29:$I$361,MATCH($O184,Scoring!$AS$29:$AS$361,0)))</f>
        <v>Prefilled syringe</v>
      </c>
      <c r="J184" s="7" t="str">
        <f aca="false">IF($O184="","",INDEX(Scoring!$Z$29:$Z$361,MATCH($O184,Scoring!$AS$29:$AS$361,0)))</f>
        <v>50 mg/0.5 mL pre-filled syringe</v>
      </c>
      <c r="K184" s="8" t="n">
        <f aca="false">IF($O184="","",IF(INDEX(Scoring!$D$29:$D$361,MATCH($O184,Scoring!$AS$29:$AS$361,0))="",INDEX(Scoring!$AF$29:$AF$361,MATCH($O184,Scoring!$AS$29:$AS$361,0)),INDEX(Scoring!$D$29:$D$361,MATCH($O184,Scoring!$AS$29:$AS$361,0))))</f>
        <v>118.34</v>
      </c>
      <c r="L184" s="9" t="n">
        <f aca="false">IF($O184="","",INDEX(Scoring!$L$29:$L$361,MATCH($O184,Scoring!$AS$29:$AS$361,0)))</f>
        <v>153</v>
      </c>
      <c r="M184" s="9" t="n">
        <f aca="false">IF($O184="","",INDEX(Scoring!$N$29:$N$361,MATCH($O184,Scoring!$AS$29:$AS$361,0)))</f>
        <v>8244.44</v>
      </c>
      <c r="N184" s="7" t="str">
        <f aca="false">IF($O184="","",INDEX(Scoring!$AI$29:$AI$361,MATCH($O184,Scoring!$AS$29:$AS$361,0)))</f>
        <v>EU/EEA (2): Germany, Sweden</v>
      </c>
      <c r="O184" s="10" t="n">
        <f aca="false">IFERROR(SMALL(Scoring!$AS$29:$AS$361,180),"")</f>
        <v>18002</v>
      </c>
    </row>
    <row r="185" customFormat="false" ht="28.35" hidden="false" customHeight="false" outlineLevel="0" collapsed="false">
      <c r="A185" s="5" t="n">
        <f aca="false">IF($O185="","",INT($O185/1000))</f>
        <v>19</v>
      </c>
      <c r="B185" s="6" t="str">
        <f aca="false">IF($O185="","",INDEX(Scoring!$A$29:$A$361,MATCH($O185,Scoring!$AS$29:$AS$361,0)))</f>
        <v>Piramal</v>
      </c>
      <c r="C185" s="5" t="n">
        <f aca="false">IF($O185="","",IF(INDEX(Scoring!$AM$29:$AM$361,MATCH($O185,Scoring!$AS$29:$AS$361,0))="","–",INDEX(Scoring!$AM$29:$AM$361,MATCH($O185,Scoring!$AS$29:$AS$361,0))))</f>
        <v>1</v>
      </c>
      <c r="D185" s="6" t="str">
        <f aca="false">IF($O185="","",INDEX(Scoring!$AK$29:$AK$361,MATCH($O185,Scoring!$AS$29:$AS$361,0)))</f>
        <v>Priority 3</v>
      </c>
      <c r="E185" s="7" t="str">
        <f aca="false">IF($O185="","",INDEX(Scoring!$AL$29:$AL$361,MATCH($O185,Scoring!$AS$29:$AS$361,0)))</f>
        <v>Lower price · lower volume</v>
      </c>
      <c r="F185" s="6" t="str">
        <f aca="false">IF($O185="","",INDEX(Scoring!$B$29:$B$361,MATCH($O185,Scoring!$AS$29:$AS$361,0)))</f>
        <v>Fentanyl</v>
      </c>
      <c r="G185" s="7" t="str">
        <f aca="false">IF($O185="","",INDEX(Scoring!$AG$29:$AG$361,MATCH($O185,Scoring!$AS$29:$AS$361,0)))</f>
        <v>Sublimaze</v>
      </c>
      <c r="H185" s="7" t="str">
        <f aca="false">IF($O185="","",INDEX(Scoring!$C$29:$C$361,MATCH($O185,Scoring!$AS$29:$AS$361,0)))</f>
        <v>Anaesthesia and pain: opioid pain relief in surgery and ICU</v>
      </c>
      <c r="I185" s="6" t="str">
        <f aca="false">IF($O185="","",INDEX(Scoring!$I$29:$I$361,MATCH($O185,Scoring!$AS$29:$AS$361,0)))</f>
        <v>Ampoule</v>
      </c>
      <c r="J185" s="7" t="str">
        <f aca="false">IF($O185="","",INDEX(Scoring!$Z$29:$Z$361,MATCH($O185,Scoring!$AS$29:$AS$361,0)))</f>
        <v>100 mcg/2 mL ampoule; 500 mcg/10 mL ampoule</v>
      </c>
      <c r="K185" s="8" t="n">
        <f aca="false">IF($O185="","",IF(INDEX(Scoring!$D$29:$D$361,MATCH($O185,Scoring!$AS$29:$AS$361,0))="",INDEX(Scoring!$AF$29:$AF$361,MATCH($O185,Scoring!$AS$29:$AS$361,0)),INDEX(Scoring!$D$29:$D$361,MATCH($O185,Scoring!$AS$29:$AS$361,0))))</f>
        <v>15.8</v>
      </c>
      <c r="L185" s="9" t="n">
        <f aca="false">IF($O185="","",INDEX(Scoring!$L$29:$L$361,MATCH($O185,Scoring!$AS$29:$AS$361,0)))</f>
        <v>58</v>
      </c>
      <c r="M185" s="9" t="n">
        <f aca="false">IF($O185="","",INDEX(Scoring!$N$29:$N$361,MATCH($O185,Scoring!$AS$29:$AS$361,0)))</f>
        <v>1115.28</v>
      </c>
      <c r="N185" s="7" t="str">
        <f aca="false">IF($O185="","",INDEX(Scoring!$AI$29:$AI$361,MATCH($O185,Scoring!$AS$29:$AS$361,0)))</f>
        <v>South Africa, UK-NI | EU/EEA (16): Germany, France, Netherlands, Belgium + 12 more</v>
      </c>
      <c r="O185" s="10" t="n">
        <f aca="false">IFERROR(SMALL(Scoring!$AS$29:$AS$361,181),"")</f>
        <v>19001</v>
      </c>
    </row>
    <row r="186" customFormat="false" ht="15" hidden="false" customHeight="false" outlineLevel="0" collapsed="false">
      <c r="A186" s="5" t="str">
        <f aca="false">IF($O186="","",INT($O186/1000))</f>
        <v/>
      </c>
      <c r="B186" s="6" t="str">
        <f aca="false">IF($O186="","",INDEX(Scoring!$A$29:$A$361,MATCH($O186,Scoring!$AS$29:$AS$361,0)))</f>
        <v/>
      </c>
      <c r="C186" s="5" t="str">
        <f aca="false">IF($O186="","",IF(INDEX(Scoring!$AM$29:$AM$361,MATCH($O186,Scoring!$AS$29:$AS$361,0))="","–",INDEX(Scoring!$AM$29:$AM$361,MATCH($O186,Scoring!$AS$29:$AS$361,0))))</f>
        <v/>
      </c>
      <c r="D186" s="6" t="str">
        <f aca="false">IF($O186="","",INDEX(Scoring!$AK$29:$AK$361,MATCH($O186,Scoring!$AS$29:$AS$361,0)))</f>
        <v/>
      </c>
      <c r="E186" s="7" t="str">
        <f aca="false">IF($O186="","",INDEX(Scoring!$AL$29:$AL$361,MATCH($O186,Scoring!$AS$29:$AS$361,0)))</f>
        <v/>
      </c>
      <c r="F186" s="6" t="str">
        <f aca="false">IF($O186="","",INDEX(Scoring!$B$29:$B$361,MATCH($O186,Scoring!$AS$29:$AS$361,0)))</f>
        <v/>
      </c>
      <c r="G186" s="7" t="str">
        <f aca="false">IF($O186="","",INDEX(Scoring!$AG$29:$AG$361,MATCH($O186,Scoring!$AS$29:$AS$361,0)))</f>
        <v/>
      </c>
      <c r="H186" s="7" t="str">
        <f aca="false">IF($O186="","",INDEX(Scoring!$C$29:$C$361,MATCH($O186,Scoring!$AS$29:$AS$361,0)))</f>
        <v/>
      </c>
      <c r="I186" s="6" t="str">
        <f aca="false">IF($O186="","",INDEX(Scoring!$I$29:$I$361,MATCH($O186,Scoring!$AS$29:$AS$361,0)))</f>
        <v/>
      </c>
      <c r="J186" s="7" t="str">
        <f aca="false">IF($O186="","",INDEX(Scoring!$Z$29:$Z$361,MATCH($O186,Scoring!$AS$29:$AS$361,0)))</f>
        <v/>
      </c>
      <c r="K186" s="8" t="str">
        <f aca="false">IF($O186="","",IF(INDEX(Scoring!$D$29:$D$361,MATCH($O186,Scoring!$AS$29:$AS$361,0))="",INDEX(Scoring!$AF$29:$AF$361,MATCH($O186,Scoring!$AS$29:$AS$361,0)),INDEX(Scoring!$D$29:$D$361,MATCH($O186,Scoring!$AS$29:$AS$361,0))))</f>
        <v/>
      </c>
      <c r="L186" s="9" t="str">
        <f aca="false">IF($O186="","",INDEX(Scoring!$L$29:$L$361,MATCH($O186,Scoring!$AS$29:$AS$361,0)))</f>
        <v/>
      </c>
      <c r="M186" s="9" t="str">
        <f aca="false">IF($O186="","",INDEX(Scoring!$N$29:$N$361,MATCH($O186,Scoring!$AS$29:$AS$361,0)))</f>
        <v/>
      </c>
      <c r="N186" s="7" t="str">
        <f aca="false">IF($O186="","",INDEX(Scoring!$AI$29:$AI$361,MATCH($O186,Scoring!$AS$29:$AS$361,0)))</f>
        <v/>
      </c>
      <c r="O186" s="10" t="str">
        <f aca="false">IFERROR(SMALL(Scoring!$AS$29:$AS$361,182),"")</f>
        <v/>
      </c>
    </row>
    <row r="187" customFormat="false" ht="15" hidden="false" customHeight="false" outlineLevel="0" collapsed="false">
      <c r="A187" s="5" t="str">
        <f aca="false">IF($O187="","",INT($O187/1000))</f>
        <v/>
      </c>
      <c r="B187" s="6" t="str">
        <f aca="false">IF($O187="","",INDEX(Scoring!$A$29:$A$361,MATCH($O187,Scoring!$AS$29:$AS$361,0)))</f>
        <v/>
      </c>
      <c r="C187" s="5" t="str">
        <f aca="false">IF($O187="","",IF(INDEX(Scoring!$AM$29:$AM$361,MATCH($O187,Scoring!$AS$29:$AS$361,0))="","–",INDEX(Scoring!$AM$29:$AM$361,MATCH($O187,Scoring!$AS$29:$AS$361,0))))</f>
        <v/>
      </c>
      <c r="D187" s="6" t="str">
        <f aca="false">IF($O187="","",INDEX(Scoring!$AK$29:$AK$361,MATCH($O187,Scoring!$AS$29:$AS$361,0)))</f>
        <v/>
      </c>
      <c r="E187" s="7" t="str">
        <f aca="false">IF($O187="","",INDEX(Scoring!$AL$29:$AL$361,MATCH($O187,Scoring!$AS$29:$AS$361,0)))</f>
        <v/>
      </c>
      <c r="F187" s="6" t="str">
        <f aca="false">IF($O187="","",INDEX(Scoring!$B$29:$B$361,MATCH($O187,Scoring!$AS$29:$AS$361,0)))</f>
        <v/>
      </c>
      <c r="G187" s="7" t="str">
        <f aca="false">IF($O187="","",INDEX(Scoring!$AG$29:$AG$361,MATCH($O187,Scoring!$AS$29:$AS$361,0)))</f>
        <v/>
      </c>
      <c r="H187" s="7" t="str">
        <f aca="false">IF($O187="","",INDEX(Scoring!$C$29:$C$361,MATCH($O187,Scoring!$AS$29:$AS$361,0)))</f>
        <v/>
      </c>
      <c r="I187" s="6" t="str">
        <f aca="false">IF($O187="","",INDEX(Scoring!$I$29:$I$361,MATCH($O187,Scoring!$AS$29:$AS$361,0)))</f>
        <v/>
      </c>
      <c r="J187" s="7" t="str">
        <f aca="false">IF($O187="","",INDEX(Scoring!$Z$29:$Z$361,MATCH($O187,Scoring!$AS$29:$AS$361,0)))</f>
        <v/>
      </c>
      <c r="K187" s="8" t="str">
        <f aca="false">IF($O187="","",IF(INDEX(Scoring!$D$29:$D$361,MATCH($O187,Scoring!$AS$29:$AS$361,0))="",INDEX(Scoring!$AF$29:$AF$361,MATCH($O187,Scoring!$AS$29:$AS$361,0)),INDEX(Scoring!$D$29:$D$361,MATCH($O187,Scoring!$AS$29:$AS$361,0))))</f>
        <v/>
      </c>
      <c r="L187" s="9" t="str">
        <f aca="false">IF($O187="","",INDEX(Scoring!$L$29:$L$361,MATCH($O187,Scoring!$AS$29:$AS$361,0)))</f>
        <v/>
      </c>
      <c r="M187" s="9" t="str">
        <f aca="false">IF($O187="","",INDEX(Scoring!$N$29:$N$361,MATCH($O187,Scoring!$AS$29:$AS$361,0)))</f>
        <v/>
      </c>
      <c r="N187" s="7" t="str">
        <f aca="false">IF($O187="","",INDEX(Scoring!$AI$29:$AI$361,MATCH($O187,Scoring!$AS$29:$AS$361,0)))</f>
        <v/>
      </c>
      <c r="O187" s="10" t="str">
        <f aca="false">IFERROR(SMALL(Scoring!$AS$29:$AS$361,183),"")</f>
        <v/>
      </c>
    </row>
    <row r="188" customFormat="false" ht="15" hidden="false" customHeight="false" outlineLevel="0" collapsed="false">
      <c r="A188" s="5" t="str">
        <f aca="false">IF($O188="","",INT($O188/1000))</f>
        <v/>
      </c>
      <c r="B188" s="6" t="str">
        <f aca="false">IF($O188="","",INDEX(Scoring!$A$29:$A$361,MATCH($O188,Scoring!$AS$29:$AS$361,0)))</f>
        <v/>
      </c>
      <c r="C188" s="5" t="str">
        <f aca="false">IF($O188="","",IF(INDEX(Scoring!$AM$29:$AM$361,MATCH($O188,Scoring!$AS$29:$AS$361,0))="","–",INDEX(Scoring!$AM$29:$AM$361,MATCH($O188,Scoring!$AS$29:$AS$361,0))))</f>
        <v/>
      </c>
      <c r="D188" s="6" t="str">
        <f aca="false">IF($O188="","",INDEX(Scoring!$AK$29:$AK$361,MATCH($O188,Scoring!$AS$29:$AS$361,0)))</f>
        <v/>
      </c>
      <c r="E188" s="7" t="str">
        <f aca="false">IF($O188="","",INDEX(Scoring!$AL$29:$AL$361,MATCH($O188,Scoring!$AS$29:$AS$361,0)))</f>
        <v/>
      </c>
      <c r="F188" s="6" t="str">
        <f aca="false">IF($O188="","",INDEX(Scoring!$B$29:$B$361,MATCH($O188,Scoring!$AS$29:$AS$361,0)))</f>
        <v/>
      </c>
      <c r="G188" s="7" t="str">
        <f aca="false">IF($O188="","",INDEX(Scoring!$AG$29:$AG$361,MATCH($O188,Scoring!$AS$29:$AS$361,0)))</f>
        <v/>
      </c>
      <c r="H188" s="7" t="str">
        <f aca="false">IF($O188="","",INDEX(Scoring!$C$29:$C$361,MATCH($O188,Scoring!$AS$29:$AS$361,0)))</f>
        <v/>
      </c>
      <c r="I188" s="6" t="str">
        <f aca="false">IF($O188="","",INDEX(Scoring!$I$29:$I$361,MATCH($O188,Scoring!$AS$29:$AS$361,0)))</f>
        <v/>
      </c>
      <c r="J188" s="7" t="str">
        <f aca="false">IF($O188="","",INDEX(Scoring!$Z$29:$Z$361,MATCH($O188,Scoring!$AS$29:$AS$361,0)))</f>
        <v/>
      </c>
      <c r="K188" s="8" t="str">
        <f aca="false">IF($O188="","",IF(INDEX(Scoring!$D$29:$D$361,MATCH($O188,Scoring!$AS$29:$AS$361,0))="",INDEX(Scoring!$AF$29:$AF$361,MATCH($O188,Scoring!$AS$29:$AS$361,0)),INDEX(Scoring!$D$29:$D$361,MATCH($O188,Scoring!$AS$29:$AS$361,0))))</f>
        <v/>
      </c>
      <c r="L188" s="9" t="str">
        <f aca="false">IF($O188="","",INDEX(Scoring!$L$29:$L$361,MATCH($O188,Scoring!$AS$29:$AS$361,0)))</f>
        <v/>
      </c>
      <c r="M188" s="9" t="str">
        <f aca="false">IF($O188="","",INDEX(Scoring!$N$29:$N$361,MATCH($O188,Scoring!$AS$29:$AS$361,0)))</f>
        <v/>
      </c>
      <c r="N188" s="7" t="str">
        <f aca="false">IF($O188="","",INDEX(Scoring!$AI$29:$AI$361,MATCH($O188,Scoring!$AS$29:$AS$361,0)))</f>
        <v/>
      </c>
      <c r="O188" s="10" t="str">
        <f aca="false">IFERROR(SMALL(Scoring!$AS$29:$AS$361,184),"")</f>
        <v/>
      </c>
    </row>
    <row r="189" customFormat="false" ht="15" hidden="false" customHeight="false" outlineLevel="0" collapsed="false">
      <c r="A189" s="5" t="str">
        <f aca="false">IF($O189="","",INT($O189/1000))</f>
        <v/>
      </c>
      <c r="B189" s="6" t="str">
        <f aca="false">IF($O189="","",INDEX(Scoring!$A$29:$A$361,MATCH($O189,Scoring!$AS$29:$AS$361,0)))</f>
        <v/>
      </c>
      <c r="C189" s="5" t="str">
        <f aca="false">IF($O189="","",IF(INDEX(Scoring!$AM$29:$AM$361,MATCH($O189,Scoring!$AS$29:$AS$361,0))="","–",INDEX(Scoring!$AM$29:$AM$361,MATCH($O189,Scoring!$AS$29:$AS$361,0))))</f>
        <v/>
      </c>
      <c r="D189" s="6" t="str">
        <f aca="false">IF($O189="","",INDEX(Scoring!$AK$29:$AK$361,MATCH($O189,Scoring!$AS$29:$AS$361,0)))</f>
        <v/>
      </c>
      <c r="E189" s="7" t="str">
        <f aca="false">IF($O189="","",INDEX(Scoring!$AL$29:$AL$361,MATCH($O189,Scoring!$AS$29:$AS$361,0)))</f>
        <v/>
      </c>
      <c r="F189" s="6" t="str">
        <f aca="false">IF($O189="","",INDEX(Scoring!$B$29:$B$361,MATCH($O189,Scoring!$AS$29:$AS$361,0)))</f>
        <v/>
      </c>
      <c r="G189" s="7" t="str">
        <f aca="false">IF($O189="","",INDEX(Scoring!$AG$29:$AG$361,MATCH($O189,Scoring!$AS$29:$AS$361,0)))</f>
        <v/>
      </c>
      <c r="H189" s="7" t="str">
        <f aca="false">IF($O189="","",INDEX(Scoring!$C$29:$C$361,MATCH($O189,Scoring!$AS$29:$AS$361,0)))</f>
        <v/>
      </c>
      <c r="I189" s="6" t="str">
        <f aca="false">IF($O189="","",INDEX(Scoring!$I$29:$I$361,MATCH($O189,Scoring!$AS$29:$AS$361,0)))</f>
        <v/>
      </c>
      <c r="J189" s="7" t="str">
        <f aca="false">IF($O189="","",INDEX(Scoring!$Z$29:$Z$361,MATCH($O189,Scoring!$AS$29:$AS$361,0)))</f>
        <v/>
      </c>
      <c r="K189" s="8" t="str">
        <f aca="false">IF($O189="","",IF(INDEX(Scoring!$D$29:$D$361,MATCH($O189,Scoring!$AS$29:$AS$361,0))="",INDEX(Scoring!$AF$29:$AF$361,MATCH($O189,Scoring!$AS$29:$AS$361,0)),INDEX(Scoring!$D$29:$D$361,MATCH($O189,Scoring!$AS$29:$AS$361,0))))</f>
        <v/>
      </c>
      <c r="L189" s="9" t="str">
        <f aca="false">IF($O189="","",INDEX(Scoring!$L$29:$L$361,MATCH($O189,Scoring!$AS$29:$AS$361,0)))</f>
        <v/>
      </c>
      <c r="M189" s="9" t="str">
        <f aca="false">IF($O189="","",INDEX(Scoring!$N$29:$N$361,MATCH($O189,Scoring!$AS$29:$AS$361,0)))</f>
        <v/>
      </c>
      <c r="N189" s="7" t="str">
        <f aca="false">IF($O189="","",INDEX(Scoring!$AI$29:$AI$361,MATCH($O189,Scoring!$AS$29:$AS$361,0)))</f>
        <v/>
      </c>
      <c r="O189" s="10" t="str">
        <f aca="false">IFERROR(SMALL(Scoring!$AS$29:$AS$361,185),"")</f>
        <v/>
      </c>
    </row>
    <row r="190" customFormat="false" ht="15" hidden="false" customHeight="false" outlineLevel="0" collapsed="false">
      <c r="A190" s="5" t="str">
        <f aca="false">IF($O190="","",INT($O190/1000))</f>
        <v/>
      </c>
      <c r="B190" s="6" t="str">
        <f aca="false">IF($O190="","",INDEX(Scoring!$A$29:$A$361,MATCH($O190,Scoring!$AS$29:$AS$361,0)))</f>
        <v/>
      </c>
      <c r="C190" s="5" t="str">
        <f aca="false">IF($O190="","",IF(INDEX(Scoring!$AM$29:$AM$361,MATCH($O190,Scoring!$AS$29:$AS$361,0))="","–",INDEX(Scoring!$AM$29:$AM$361,MATCH($O190,Scoring!$AS$29:$AS$361,0))))</f>
        <v/>
      </c>
      <c r="D190" s="6" t="str">
        <f aca="false">IF($O190="","",INDEX(Scoring!$AK$29:$AK$361,MATCH($O190,Scoring!$AS$29:$AS$361,0)))</f>
        <v/>
      </c>
      <c r="E190" s="7" t="str">
        <f aca="false">IF($O190="","",INDEX(Scoring!$AL$29:$AL$361,MATCH($O190,Scoring!$AS$29:$AS$361,0)))</f>
        <v/>
      </c>
      <c r="F190" s="6" t="str">
        <f aca="false">IF($O190="","",INDEX(Scoring!$B$29:$B$361,MATCH($O190,Scoring!$AS$29:$AS$361,0)))</f>
        <v/>
      </c>
      <c r="G190" s="7" t="str">
        <f aca="false">IF($O190="","",INDEX(Scoring!$AG$29:$AG$361,MATCH($O190,Scoring!$AS$29:$AS$361,0)))</f>
        <v/>
      </c>
      <c r="H190" s="7" t="str">
        <f aca="false">IF($O190="","",INDEX(Scoring!$C$29:$C$361,MATCH($O190,Scoring!$AS$29:$AS$361,0)))</f>
        <v/>
      </c>
      <c r="I190" s="6" t="str">
        <f aca="false">IF($O190="","",INDEX(Scoring!$I$29:$I$361,MATCH($O190,Scoring!$AS$29:$AS$361,0)))</f>
        <v/>
      </c>
      <c r="J190" s="7" t="str">
        <f aca="false">IF($O190="","",INDEX(Scoring!$Z$29:$Z$361,MATCH($O190,Scoring!$AS$29:$AS$361,0)))</f>
        <v/>
      </c>
      <c r="K190" s="8" t="str">
        <f aca="false">IF($O190="","",IF(INDEX(Scoring!$D$29:$D$361,MATCH($O190,Scoring!$AS$29:$AS$361,0))="",INDEX(Scoring!$AF$29:$AF$361,MATCH($O190,Scoring!$AS$29:$AS$361,0)),INDEX(Scoring!$D$29:$D$361,MATCH($O190,Scoring!$AS$29:$AS$361,0))))</f>
        <v/>
      </c>
      <c r="L190" s="9" t="str">
        <f aca="false">IF($O190="","",INDEX(Scoring!$L$29:$L$361,MATCH($O190,Scoring!$AS$29:$AS$361,0)))</f>
        <v/>
      </c>
      <c r="M190" s="9" t="str">
        <f aca="false">IF($O190="","",INDEX(Scoring!$N$29:$N$361,MATCH($O190,Scoring!$AS$29:$AS$361,0)))</f>
        <v/>
      </c>
      <c r="N190" s="7" t="str">
        <f aca="false">IF($O190="","",INDEX(Scoring!$AI$29:$AI$361,MATCH($O190,Scoring!$AS$29:$AS$361,0)))</f>
        <v/>
      </c>
      <c r="O190" s="10" t="str">
        <f aca="false">IFERROR(SMALL(Scoring!$AS$29:$AS$361,186),"")</f>
        <v/>
      </c>
    </row>
    <row r="191" customFormat="false" ht="15" hidden="false" customHeight="false" outlineLevel="0" collapsed="false">
      <c r="A191" s="5" t="str">
        <f aca="false">IF($O191="","",INT($O191/1000))</f>
        <v/>
      </c>
      <c r="B191" s="6" t="str">
        <f aca="false">IF($O191="","",INDEX(Scoring!$A$29:$A$361,MATCH($O191,Scoring!$AS$29:$AS$361,0)))</f>
        <v/>
      </c>
      <c r="C191" s="5" t="str">
        <f aca="false">IF($O191="","",IF(INDEX(Scoring!$AM$29:$AM$361,MATCH($O191,Scoring!$AS$29:$AS$361,0))="","–",INDEX(Scoring!$AM$29:$AM$361,MATCH($O191,Scoring!$AS$29:$AS$361,0))))</f>
        <v/>
      </c>
      <c r="D191" s="6" t="str">
        <f aca="false">IF($O191="","",INDEX(Scoring!$AK$29:$AK$361,MATCH($O191,Scoring!$AS$29:$AS$361,0)))</f>
        <v/>
      </c>
      <c r="E191" s="7" t="str">
        <f aca="false">IF($O191="","",INDEX(Scoring!$AL$29:$AL$361,MATCH($O191,Scoring!$AS$29:$AS$361,0)))</f>
        <v/>
      </c>
      <c r="F191" s="6" t="str">
        <f aca="false">IF($O191="","",INDEX(Scoring!$B$29:$B$361,MATCH($O191,Scoring!$AS$29:$AS$361,0)))</f>
        <v/>
      </c>
      <c r="G191" s="7" t="str">
        <f aca="false">IF($O191="","",INDEX(Scoring!$AG$29:$AG$361,MATCH($O191,Scoring!$AS$29:$AS$361,0)))</f>
        <v/>
      </c>
      <c r="H191" s="7" t="str">
        <f aca="false">IF($O191="","",INDEX(Scoring!$C$29:$C$361,MATCH($O191,Scoring!$AS$29:$AS$361,0)))</f>
        <v/>
      </c>
      <c r="I191" s="6" t="str">
        <f aca="false">IF($O191="","",INDEX(Scoring!$I$29:$I$361,MATCH($O191,Scoring!$AS$29:$AS$361,0)))</f>
        <v/>
      </c>
      <c r="J191" s="7" t="str">
        <f aca="false">IF($O191="","",INDEX(Scoring!$Z$29:$Z$361,MATCH($O191,Scoring!$AS$29:$AS$361,0)))</f>
        <v/>
      </c>
      <c r="K191" s="8" t="str">
        <f aca="false">IF($O191="","",IF(INDEX(Scoring!$D$29:$D$361,MATCH($O191,Scoring!$AS$29:$AS$361,0))="",INDEX(Scoring!$AF$29:$AF$361,MATCH($O191,Scoring!$AS$29:$AS$361,0)),INDEX(Scoring!$D$29:$D$361,MATCH($O191,Scoring!$AS$29:$AS$361,0))))</f>
        <v/>
      </c>
      <c r="L191" s="9" t="str">
        <f aca="false">IF($O191="","",INDEX(Scoring!$L$29:$L$361,MATCH($O191,Scoring!$AS$29:$AS$361,0)))</f>
        <v/>
      </c>
      <c r="M191" s="9" t="str">
        <f aca="false">IF($O191="","",INDEX(Scoring!$N$29:$N$361,MATCH($O191,Scoring!$AS$29:$AS$361,0)))</f>
        <v/>
      </c>
      <c r="N191" s="7" t="str">
        <f aca="false">IF($O191="","",INDEX(Scoring!$AI$29:$AI$361,MATCH($O191,Scoring!$AS$29:$AS$361,0)))</f>
        <v/>
      </c>
      <c r="O191" s="10" t="str">
        <f aca="false">IFERROR(SMALL(Scoring!$AS$29:$AS$361,187),"")</f>
        <v/>
      </c>
    </row>
    <row r="192" customFormat="false" ht="15" hidden="false" customHeight="false" outlineLevel="0" collapsed="false">
      <c r="A192" s="5" t="str">
        <f aca="false">IF($O192="","",INT($O192/1000))</f>
        <v/>
      </c>
      <c r="B192" s="6" t="str">
        <f aca="false">IF($O192="","",INDEX(Scoring!$A$29:$A$361,MATCH($O192,Scoring!$AS$29:$AS$361,0)))</f>
        <v/>
      </c>
      <c r="C192" s="5" t="str">
        <f aca="false">IF($O192="","",IF(INDEX(Scoring!$AM$29:$AM$361,MATCH($O192,Scoring!$AS$29:$AS$361,0))="","–",INDEX(Scoring!$AM$29:$AM$361,MATCH($O192,Scoring!$AS$29:$AS$361,0))))</f>
        <v/>
      </c>
      <c r="D192" s="6" t="str">
        <f aca="false">IF($O192="","",INDEX(Scoring!$AK$29:$AK$361,MATCH($O192,Scoring!$AS$29:$AS$361,0)))</f>
        <v/>
      </c>
      <c r="E192" s="7" t="str">
        <f aca="false">IF($O192="","",INDEX(Scoring!$AL$29:$AL$361,MATCH($O192,Scoring!$AS$29:$AS$361,0)))</f>
        <v/>
      </c>
      <c r="F192" s="6" t="str">
        <f aca="false">IF($O192="","",INDEX(Scoring!$B$29:$B$361,MATCH($O192,Scoring!$AS$29:$AS$361,0)))</f>
        <v/>
      </c>
      <c r="G192" s="7" t="str">
        <f aca="false">IF($O192="","",INDEX(Scoring!$AG$29:$AG$361,MATCH($O192,Scoring!$AS$29:$AS$361,0)))</f>
        <v/>
      </c>
      <c r="H192" s="7" t="str">
        <f aca="false">IF($O192="","",INDEX(Scoring!$C$29:$C$361,MATCH($O192,Scoring!$AS$29:$AS$361,0)))</f>
        <v/>
      </c>
      <c r="I192" s="6" t="str">
        <f aca="false">IF($O192="","",INDEX(Scoring!$I$29:$I$361,MATCH($O192,Scoring!$AS$29:$AS$361,0)))</f>
        <v/>
      </c>
      <c r="J192" s="7" t="str">
        <f aca="false">IF($O192="","",INDEX(Scoring!$Z$29:$Z$361,MATCH($O192,Scoring!$AS$29:$AS$361,0)))</f>
        <v/>
      </c>
      <c r="K192" s="8" t="str">
        <f aca="false">IF($O192="","",IF(INDEX(Scoring!$D$29:$D$361,MATCH($O192,Scoring!$AS$29:$AS$361,0))="",INDEX(Scoring!$AF$29:$AF$361,MATCH($O192,Scoring!$AS$29:$AS$361,0)),INDEX(Scoring!$D$29:$D$361,MATCH($O192,Scoring!$AS$29:$AS$361,0))))</f>
        <v/>
      </c>
      <c r="L192" s="9" t="str">
        <f aca="false">IF($O192="","",INDEX(Scoring!$L$29:$L$361,MATCH($O192,Scoring!$AS$29:$AS$361,0)))</f>
        <v/>
      </c>
      <c r="M192" s="9" t="str">
        <f aca="false">IF($O192="","",INDEX(Scoring!$N$29:$N$361,MATCH($O192,Scoring!$AS$29:$AS$361,0)))</f>
        <v/>
      </c>
      <c r="N192" s="7" t="str">
        <f aca="false">IF($O192="","",INDEX(Scoring!$AI$29:$AI$361,MATCH($O192,Scoring!$AS$29:$AS$361,0)))</f>
        <v/>
      </c>
      <c r="O192" s="10" t="str">
        <f aca="false">IFERROR(SMALL(Scoring!$AS$29:$AS$361,188),"")</f>
        <v/>
      </c>
    </row>
    <row r="193" customFormat="false" ht="15" hidden="false" customHeight="false" outlineLevel="0" collapsed="false">
      <c r="A193" s="5" t="str">
        <f aca="false">IF($O193="","",INT($O193/1000))</f>
        <v/>
      </c>
      <c r="B193" s="6" t="str">
        <f aca="false">IF($O193="","",INDEX(Scoring!$A$29:$A$361,MATCH($O193,Scoring!$AS$29:$AS$361,0)))</f>
        <v/>
      </c>
      <c r="C193" s="5" t="str">
        <f aca="false">IF($O193="","",IF(INDEX(Scoring!$AM$29:$AM$361,MATCH($O193,Scoring!$AS$29:$AS$361,0))="","–",INDEX(Scoring!$AM$29:$AM$361,MATCH($O193,Scoring!$AS$29:$AS$361,0))))</f>
        <v/>
      </c>
      <c r="D193" s="6" t="str">
        <f aca="false">IF($O193="","",INDEX(Scoring!$AK$29:$AK$361,MATCH($O193,Scoring!$AS$29:$AS$361,0)))</f>
        <v/>
      </c>
      <c r="E193" s="7" t="str">
        <f aca="false">IF($O193="","",INDEX(Scoring!$AL$29:$AL$361,MATCH($O193,Scoring!$AS$29:$AS$361,0)))</f>
        <v/>
      </c>
      <c r="F193" s="6" t="str">
        <f aca="false">IF($O193="","",INDEX(Scoring!$B$29:$B$361,MATCH($O193,Scoring!$AS$29:$AS$361,0)))</f>
        <v/>
      </c>
      <c r="G193" s="7" t="str">
        <f aca="false">IF($O193="","",INDEX(Scoring!$AG$29:$AG$361,MATCH($O193,Scoring!$AS$29:$AS$361,0)))</f>
        <v/>
      </c>
      <c r="H193" s="7" t="str">
        <f aca="false">IF($O193="","",INDEX(Scoring!$C$29:$C$361,MATCH($O193,Scoring!$AS$29:$AS$361,0)))</f>
        <v/>
      </c>
      <c r="I193" s="6" t="str">
        <f aca="false">IF($O193="","",INDEX(Scoring!$I$29:$I$361,MATCH($O193,Scoring!$AS$29:$AS$361,0)))</f>
        <v/>
      </c>
      <c r="J193" s="7" t="str">
        <f aca="false">IF($O193="","",INDEX(Scoring!$Z$29:$Z$361,MATCH($O193,Scoring!$AS$29:$AS$361,0)))</f>
        <v/>
      </c>
      <c r="K193" s="8" t="str">
        <f aca="false">IF($O193="","",IF(INDEX(Scoring!$D$29:$D$361,MATCH($O193,Scoring!$AS$29:$AS$361,0))="",INDEX(Scoring!$AF$29:$AF$361,MATCH($O193,Scoring!$AS$29:$AS$361,0)),INDEX(Scoring!$D$29:$D$361,MATCH($O193,Scoring!$AS$29:$AS$361,0))))</f>
        <v/>
      </c>
      <c r="L193" s="9" t="str">
        <f aca="false">IF($O193="","",INDEX(Scoring!$L$29:$L$361,MATCH($O193,Scoring!$AS$29:$AS$361,0)))</f>
        <v/>
      </c>
      <c r="M193" s="9" t="str">
        <f aca="false">IF($O193="","",INDEX(Scoring!$N$29:$N$361,MATCH($O193,Scoring!$AS$29:$AS$361,0)))</f>
        <v/>
      </c>
      <c r="N193" s="7" t="str">
        <f aca="false">IF($O193="","",INDEX(Scoring!$AI$29:$AI$361,MATCH($O193,Scoring!$AS$29:$AS$361,0)))</f>
        <v/>
      </c>
      <c r="O193" s="10" t="str">
        <f aca="false">IFERROR(SMALL(Scoring!$AS$29:$AS$361,189),"")</f>
        <v/>
      </c>
    </row>
    <row r="194" customFormat="false" ht="15" hidden="false" customHeight="false" outlineLevel="0" collapsed="false">
      <c r="A194" s="5" t="str">
        <f aca="false">IF($O194="","",INT($O194/1000))</f>
        <v/>
      </c>
      <c r="B194" s="6" t="str">
        <f aca="false">IF($O194="","",INDEX(Scoring!$A$29:$A$361,MATCH($O194,Scoring!$AS$29:$AS$361,0)))</f>
        <v/>
      </c>
      <c r="C194" s="5" t="str">
        <f aca="false">IF($O194="","",IF(INDEX(Scoring!$AM$29:$AM$361,MATCH($O194,Scoring!$AS$29:$AS$361,0))="","–",INDEX(Scoring!$AM$29:$AM$361,MATCH($O194,Scoring!$AS$29:$AS$361,0))))</f>
        <v/>
      </c>
      <c r="D194" s="6" t="str">
        <f aca="false">IF($O194="","",INDEX(Scoring!$AK$29:$AK$361,MATCH($O194,Scoring!$AS$29:$AS$361,0)))</f>
        <v/>
      </c>
      <c r="E194" s="7" t="str">
        <f aca="false">IF($O194="","",INDEX(Scoring!$AL$29:$AL$361,MATCH($O194,Scoring!$AS$29:$AS$361,0)))</f>
        <v/>
      </c>
      <c r="F194" s="6" t="str">
        <f aca="false">IF($O194="","",INDEX(Scoring!$B$29:$B$361,MATCH($O194,Scoring!$AS$29:$AS$361,0)))</f>
        <v/>
      </c>
      <c r="G194" s="7" t="str">
        <f aca="false">IF($O194="","",INDEX(Scoring!$AG$29:$AG$361,MATCH($O194,Scoring!$AS$29:$AS$361,0)))</f>
        <v/>
      </c>
      <c r="H194" s="7" t="str">
        <f aca="false">IF($O194="","",INDEX(Scoring!$C$29:$C$361,MATCH($O194,Scoring!$AS$29:$AS$361,0)))</f>
        <v/>
      </c>
      <c r="I194" s="6" t="str">
        <f aca="false">IF($O194="","",INDEX(Scoring!$I$29:$I$361,MATCH($O194,Scoring!$AS$29:$AS$361,0)))</f>
        <v/>
      </c>
      <c r="J194" s="7" t="str">
        <f aca="false">IF($O194="","",INDEX(Scoring!$Z$29:$Z$361,MATCH($O194,Scoring!$AS$29:$AS$361,0)))</f>
        <v/>
      </c>
      <c r="K194" s="8" t="str">
        <f aca="false">IF($O194="","",IF(INDEX(Scoring!$D$29:$D$361,MATCH($O194,Scoring!$AS$29:$AS$361,0))="",INDEX(Scoring!$AF$29:$AF$361,MATCH($O194,Scoring!$AS$29:$AS$361,0)),INDEX(Scoring!$D$29:$D$361,MATCH($O194,Scoring!$AS$29:$AS$361,0))))</f>
        <v/>
      </c>
      <c r="L194" s="9" t="str">
        <f aca="false">IF($O194="","",INDEX(Scoring!$L$29:$L$361,MATCH($O194,Scoring!$AS$29:$AS$361,0)))</f>
        <v/>
      </c>
      <c r="M194" s="9" t="str">
        <f aca="false">IF($O194="","",INDEX(Scoring!$N$29:$N$361,MATCH($O194,Scoring!$AS$29:$AS$361,0)))</f>
        <v/>
      </c>
      <c r="N194" s="7" t="str">
        <f aca="false">IF($O194="","",INDEX(Scoring!$AI$29:$AI$361,MATCH($O194,Scoring!$AS$29:$AS$361,0)))</f>
        <v/>
      </c>
      <c r="O194" s="10" t="str">
        <f aca="false">IFERROR(SMALL(Scoring!$AS$29:$AS$361,190),"")</f>
        <v/>
      </c>
    </row>
    <row r="195" customFormat="false" ht="15" hidden="false" customHeight="false" outlineLevel="0" collapsed="false">
      <c r="A195" s="5" t="str">
        <f aca="false">IF($O195="","",INT($O195/1000))</f>
        <v/>
      </c>
      <c r="B195" s="6" t="str">
        <f aca="false">IF($O195="","",INDEX(Scoring!$A$29:$A$361,MATCH($O195,Scoring!$AS$29:$AS$361,0)))</f>
        <v/>
      </c>
      <c r="C195" s="5" t="str">
        <f aca="false">IF($O195="","",IF(INDEX(Scoring!$AM$29:$AM$361,MATCH($O195,Scoring!$AS$29:$AS$361,0))="","–",INDEX(Scoring!$AM$29:$AM$361,MATCH($O195,Scoring!$AS$29:$AS$361,0))))</f>
        <v/>
      </c>
      <c r="D195" s="6" t="str">
        <f aca="false">IF($O195="","",INDEX(Scoring!$AK$29:$AK$361,MATCH($O195,Scoring!$AS$29:$AS$361,0)))</f>
        <v/>
      </c>
      <c r="E195" s="7" t="str">
        <f aca="false">IF($O195="","",INDEX(Scoring!$AL$29:$AL$361,MATCH($O195,Scoring!$AS$29:$AS$361,0)))</f>
        <v/>
      </c>
      <c r="F195" s="6" t="str">
        <f aca="false">IF($O195="","",INDEX(Scoring!$B$29:$B$361,MATCH($O195,Scoring!$AS$29:$AS$361,0)))</f>
        <v/>
      </c>
      <c r="G195" s="7" t="str">
        <f aca="false">IF($O195="","",INDEX(Scoring!$AG$29:$AG$361,MATCH($O195,Scoring!$AS$29:$AS$361,0)))</f>
        <v/>
      </c>
      <c r="H195" s="7" t="str">
        <f aca="false">IF($O195="","",INDEX(Scoring!$C$29:$C$361,MATCH($O195,Scoring!$AS$29:$AS$361,0)))</f>
        <v/>
      </c>
      <c r="I195" s="6" t="str">
        <f aca="false">IF($O195="","",INDEX(Scoring!$I$29:$I$361,MATCH($O195,Scoring!$AS$29:$AS$361,0)))</f>
        <v/>
      </c>
      <c r="J195" s="7" t="str">
        <f aca="false">IF($O195="","",INDEX(Scoring!$Z$29:$Z$361,MATCH($O195,Scoring!$AS$29:$AS$361,0)))</f>
        <v/>
      </c>
      <c r="K195" s="8" t="str">
        <f aca="false">IF($O195="","",IF(INDEX(Scoring!$D$29:$D$361,MATCH($O195,Scoring!$AS$29:$AS$361,0))="",INDEX(Scoring!$AF$29:$AF$361,MATCH($O195,Scoring!$AS$29:$AS$361,0)),INDEX(Scoring!$D$29:$D$361,MATCH($O195,Scoring!$AS$29:$AS$361,0))))</f>
        <v/>
      </c>
      <c r="L195" s="9" t="str">
        <f aca="false">IF($O195="","",INDEX(Scoring!$L$29:$L$361,MATCH($O195,Scoring!$AS$29:$AS$361,0)))</f>
        <v/>
      </c>
      <c r="M195" s="9" t="str">
        <f aca="false">IF($O195="","",INDEX(Scoring!$N$29:$N$361,MATCH($O195,Scoring!$AS$29:$AS$361,0)))</f>
        <v/>
      </c>
      <c r="N195" s="7" t="str">
        <f aca="false">IF($O195="","",INDEX(Scoring!$AI$29:$AI$361,MATCH($O195,Scoring!$AS$29:$AS$361,0)))</f>
        <v/>
      </c>
      <c r="O195" s="10" t="str">
        <f aca="false">IFERROR(SMALL(Scoring!$AS$29:$AS$361,191),"")</f>
        <v/>
      </c>
    </row>
    <row r="196" customFormat="false" ht="15" hidden="false" customHeight="false" outlineLevel="0" collapsed="false">
      <c r="A196" s="5" t="str">
        <f aca="false">IF($O196="","",INT($O196/1000))</f>
        <v/>
      </c>
      <c r="B196" s="6" t="str">
        <f aca="false">IF($O196="","",INDEX(Scoring!$A$29:$A$361,MATCH($O196,Scoring!$AS$29:$AS$361,0)))</f>
        <v/>
      </c>
      <c r="C196" s="5" t="str">
        <f aca="false">IF($O196="","",IF(INDEX(Scoring!$AM$29:$AM$361,MATCH($O196,Scoring!$AS$29:$AS$361,0))="","–",INDEX(Scoring!$AM$29:$AM$361,MATCH($O196,Scoring!$AS$29:$AS$361,0))))</f>
        <v/>
      </c>
      <c r="D196" s="6" t="str">
        <f aca="false">IF($O196="","",INDEX(Scoring!$AK$29:$AK$361,MATCH($O196,Scoring!$AS$29:$AS$361,0)))</f>
        <v/>
      </c>
      <c r="E196" s="7" t="str">
        <f aca="false">IF($O196="","",INDEX(Scoring!$AL$29:$AL$361,MATCH($O196,Scoring!$AS$29:$AS$361,0)))</f>
        <v/>
      </c>
      <c r="F196" s="6" t="str">
        <f aca="false">IF($O196="","",INDEX(Scoring!$B$29:$B$361,MATCH($O196,Scoring!$AS$29:$AS$361,0)))</f>
        <v/>
      </c>
      <c r="G196" s="7" t="str">
        <f aca="false">IF($O196="","",INDEX(Scoring!$AG$29:$AG$361,MATCH($O196,Scoring!$AS$29:$AS$361,0)))</f>
        <v/>
      </c>
      <c r="H196" s="7" t="str">
        <f aca="false">IF($O196="","",INDEX(Scoring!$C$29:$C$361,MATCH($O196,Scoring!$AS$29:$AS$361,0)))</f>
        <v/>
      </c>
      <c r="I196" s="6" t="str">
        <f aca="false">IF($O196="","",INDEX(Scoring!$I$29:$I$361,MATCH($O196,Scoring!$AS$29:$AS$361,0)))</f>
        <v/>
      </c>
      <c r="J196" s="7" t="str">
        <f aca="false">IF($O196="","",INDEX(Scoring!$Z$29:$Z$361,MATCH($O196,Scoring!$AS$29:$AS$361,0)))</f>
        <v/>
      </c>
      <c r="K196" s="8" t="str">
        <f aca="false">IF($O196="","",IF(INDEX(Scoring!$D$29:$D$361,MATCH($O196,Scoring!$AS$29:$AS$361,0))="",INDEX(Scoring!$AF$29:$AF$361,MATCH($O196,Scoring!$AS$29:$AS$361,0)),INDEX(Scoring!$D$29:$D$361,MATCH($O196,Scoring!$AS$29:$AS$361,0))))</f>
        <v/>
      </c>
      <c r="L196" s="9" t="str">
        <f aca="false">IF($O196="","",INDEX(Scoring!$L$29:$L$361,MATCH($O196,Scoring!$AS$29:$AS$361,0)))</f>
        <v/>
      </c>
      <c r="M196" s="9" t="str">
        <f aca="false">IF($O196="","",INDEX(Scoring!$N$29:$N$361,MATCH($O196,Scoring!$AS$29:$AS$361,0)))</f>
        <v/>
      </c>
      <c r="N196" s="7" t="str">
        <f aca="false">IF($O196="","",INDEX(Scoring!$AI$29:$AI$361,MATCH($O196,Scoring!$AS$29:$AS$361,0)))</f>
        <v/>
      </c>
      <c r="O196" s="10" t="str">
        <f aca="false">IFERROR(SMALL(Scoring!$AS$29:$AS$361,192),"")</f>
        <v/>
      </c>
    </row>
    <row r="197" customFormat="false" ht="15" hidden="false" customHeight="false" outlineLevel="0" collapsed="false">
      <c r="A197" s="5" t="str">
        <f aca="false">IF($O197="","",INT($O197/1000))</f>
        <v/>
      </c>
      <c r="B197" s="6" t="str">
        <f aca="false">IF($O197="","",INDEX(Scoring!$A$29:$A$361,MATCH($O197,Scoring!$AS$29:$AS$361,0)))</f>
        <v/>
      </c>
      <c r="C197" s="5" t="str">
        <f aca="false">IF($O197="","",IF(INDEX(Scoring!$AM$29:$AM$361,MATCH($O197,Scoring!$AS$29:$AS$361,0))="","–",INDEX(Scoring!$AM$29:$AM$361,MATCH($O197,Scoring!$AS$29:$AS$361,0))))</f>
        <v/>
      </c>
      <c r="D197" s="6" t="str">
        <f aca="false">IF($O197="","",INDEX(Scoring!$AK$29:$AK$361,MATCH($O197,Scoring!$AS$29:$AS$361,0)))</f>
        <v/>
      </c>
      <c r="E197" s="7" t="str">
        <f aca="false">IF($O197="","",INDEX(Scoring!$AL$29:$AL$361,MATCH($O197,Scoring!$AS$29:$AS$361,0)))</f>
        <v/>
      </c>
      <c r="F197" s="6" t="str">
        <f aca="false">IF($O197="","",INDEX(Scoring!$B$29:$B$361,MATCH($O197,Scoring!$AS$29:$AS$361,0)))</f>
        <v/>
      </c>
      <c r="G197" s="7" t="str">
        <f aca="false">IF($O197="","",INDEX(Scoring!$AG$29:$AG$361,MATCH($O197,Scoring!$AS$29:$AS$361,0)))</f>
        <v/>
      </c>
      <c r="H197" s="7" t="str">
        <f aca="false">IF($O197="","",INDEX(Scoring!$C$29:$C$361,MATCH($O197,Scoring!$AS$29:$AS$361,0)))</f>
        <v/>
      </c>
      <c r="I197" s="6" t="str">
        <f aca="false">IF($O197="","",INDEX(Scoring!$I$29:$I$361,MATCH($O197,Scoring!$AS$29:$AS$361,0)))</f>
        <v/>
      </c>
      <c r="J197" s="7" t="str">
        <f aca="false">IF($O197="","",INDEX(Scoring!$Z$29:$Z$361,MATCH($O197,Scoring!$AS$29:$AS$361,0)))</f>
        <v/>
      </c>
      <c r="K197" s="8" t="str">
        <f aca="false">IF($O197="","",IF(INDEX(Scoring!$D$29:$D$361,MATCH($O197,Scoring!$AS$29:$AS$361,0))="",INDEX(Scoring!$AF$29:$AF$361,MATCH($O197,Scoring!$AS$29:$AS$361,0)),INDEX(Scoring!$D$29:$D$361,MATCH($O197,Scoring!$AS$29:$AS$361,0))))</f>
        <v/>
      </c>
      <c r="L197" s="9" t="str">
        <f aca="false">IF($O197="","",INDEX(Scoring!$L$29:$L$361,MATCH($O197,Scoring!$AS$29:$AS$361,0)))</f>
        <v/>
      </c>
      <c r="M197" s="9" t="str">
        <f aca="false">IF($O197="","",INDEX(Scoring!$N$29:$N$361,MATCH($O197,Scoring!$AS$29:$AS$361,0)))</f>
        <v/>
      </c>
      <c r="N197" s="7" t="str">
        <f aca="false">IF($O197="","",INDEX(Scoring!$AI$29:$AI$361,MATCH($O197,Scoring!$AS$29:$AS$361,0)))</f>
        <v/>
      </c>
      <c r="O197" s="10" t="str">
        <f aca="false">IFERROR(SMALL(Scoring!$AS$29:$AS$361,193),"")</f>
        <v/>
      </c>
    </row>
    <row r="198" customFormat="false" ht="15" hidden="false" customHeight="false" outlineLevel="0" collapsed="false">
      <c r="A198" s="5" t="str">
        <f aca="false">IF($O198="","",INT($O198/1000))</f>
        <v/>
      </c>
      <c r="B198" s="6" t="str">
        <f aca="false">IF($O198="","",INDEX(Scoring!$A$29:$A$361,MATCH($O198,Scoring!$AS$29:$AS$361,0)))</f>
        <v/>
      </c>
      <c r="C198" s="5" t="str">
        <f aca="false">IF($O198="","",IF(INDEX(Scoring!$AM$29:$AM$361,MATCH($O198,Scoring!$AS$29:$AS$361,0))="","–",INDEX(Scoring!$AM$29:$AM$361,MATCH($O198,Scoring!$AS$29:$AS$361,0))))</f>
        <v/>
      </c>
      <c r="D198" s="6" t="str">
        <f aca="false">IF($O198="","",INDEX(Scoring!$AK$29:$AK$361,MATCH($O198,Scoring!$AS$29:$AS$361,0)))</f>
        <v/>
      </c>
      <c r="E198" s="7" t="str">
        <f aca="false">IF($O198="","",INDEX(Scoring!$AL$29:$AL$361,MATCH($O198,Scoring!$AS$29:$AS$361,0)))</f>
        <v/>
      </c>
      <c r="F198" s="6" t="str">
        <f aca="false">IF($O198="","",INDEX(Scoring!$B$29:$B$361,MATCH($O198,Scoring!$AS$29:$AS$361,0)))</f>
        <v/>
      </c>
      <c r="G198" s="7" t="str">
        <f aca="false">IF($O198="","",INDEX(Scoring!$AG$29:$AG$361,MATCH($O198,Scoring!$AS$29:$AS$361,0)))</f>
        <v/>
      </c>
      <c r="H198" s="7" t="str">
        <f aca="false">IF($O198="","",INDEX(Scoring!$C$29:$C$361,MATCH($O198,Scoring!$AS$29:$AS$361,0)))</f>
        <v/>
      </c>
      <c r="I198" s="6" t="str">
        <f aca="false">IF($O198="","",INDEX(Scoring!$I$29:$I$361,MATCH($O198,Scoring!$AS$29:$AS$361,0)))</f>
        <v/>
      </c>
      <c r="J198" s="7" t="str">
        <f aca="false">IF($O198="","",INDEX(Scoring!$Z$29:$Z$361,MATCH($O198,Scoring!$AS$29:$AS$361,0)))</f>
        <v/>
      </c>
      <c r="K198" s="8" t="str">
        <f aca="false">IF($O198="","",IF(INDEX(Scoring!$D$29:$D$361,MATCH($O198,Scoring!$AS$29:$AS$361,0))="",INDEX(Scoring!$AF$29:$AF$361,MATCH($O198,Scoring!$AS$29:$AS$361,0)),INDEX(Scoring!$D$29:$D$361,MATCH($O198,Scoring!$AS$29:$AS$361,0))))</f>
        <v/>
      </c>
      <c r="L198" s="9" t="str">
        <f aca="false">IF($O198="","",INDEX(Scoring!$L$29:$L$361,MATCH($O198,Scoring!$AS$29:$AS$361,0)))</f>
        <v/>
      </c>
      <c r="M198" s="9" t="str">
        <f aca="false">IF($O198="","",INDEX(Scoring!$N$29:$N$361,MATCH($O198,Scoring!$AS$29:$AS$361,0)))</f>
        <v/>
      </c>
      <c r="N198" s="7" t="str">
        <f aca="false">IF($O198="","",INDEX(Scoring!$AI$29:$AI$361,MATCH($O198,Scoring!$AS$29:$AS$361,0)))</f>
        <v/>
      </c>
      <c r="O198" s="10" t="str">
        <f aca="false">IFERROR(SMALL(Scoring!$AS$29:$AS$361,194),"")</f>
        <v/>
      </c>
    </row>
    <row r="199" customFormat="false" ht="15" hidden="false" customHeight="false" outlineLevel="0" collapsed="false">
      <c r="A199" s="5" t="str">
        <f aca="false">IF($O199="","",INT($O199/1000))</f>
        <v/>
      </c>
      <c r="B199" s="6" t="str">
        <f aca="false">IF($O199="","",INDEX(Scoring!$A$29:$A$361,MATCH($O199,Scoring!$AS$29:$AS$361,0)))</f>
        <v/>
      </c>
      <c r="C199" s="5" t="str">
        <f aca="false">IF($O199="","",IF(INDEX(Scoring!$AM$29:$AM$361,MATCH($O199,Scoring!$AS$29:$AS$361,0))="","–",INDEX(Scoring!$AM$29:$AM$361,MATCH($O199,Scoring!$AS$29:$AS$361,0))))</f>
        <v/>
      </c>
      <c r="D199" s="6" t="str">
        <f aca="false">IF($O199="","",INDEX(Scoring!$AK$29:$AK$361,MATCH($O199,Scoring!$AS$29:$AS$361,0)))</f>
        <v/>
      </c>
      <c r="E199" s="7" t="str">
        <f aca="false">IF($O199="","",INDEX(Scoring!$AL$29:$AL$361,MATCH($O199,Scoring!$AS$29:$AS$361,0)))</f>
        <v/>
      </c>
      <c r="F199" s="6" t="str">
        <f aca="false">IF($O199="","",INDEX(Scoring!$B$29:$B$361,MATCH($O199,Scoring!$AS$29:$AS$361,0)))</f>
        <v/>
      </c>
      <c r="G199" s="7" t="str">
        <f aca="false">IF($O199="","",INDEX(Scoring!$AG$29:$AG$361,MATCH($O199,Scoring!$AS$29:$AS$361,0)))</f>
        <v/>
      </c>
      <c r="H199" s="7" t="str">
        <f aca="false">IF($O199="","",INDEX(Scoring!$C$29:$C$361,MATCH($O199,Scoring!$AS$29:$AS$361,0)))</f>
        <v/>
      </c>
      <c r="I199" s="6" t="str">
        <f aca="false">IF($O199="","",INDEX(Scoring!$I$29:$I$361,MATCH($O199,Scoring!$AS$29:$AS$361,0)))</f>
        <v/>
      </c>
      <c r="J199" s="7" t="str">
        <f aca="false">IF($O199="","",INDEX(Scoring!$Z$29:$Z$361,MATCH($O199,Scoring!$AS$29:$AS$361,0)))</f>
        <v/>
      </c>
      <c r="K199" s="8" t="str">
        <f aca="false">IF($O199="","",IF(INDEX(Scoring!$D$29:$D$361,MATCH($O199,Scoring!$AS$29:$AS$361,0))="",INDEX(Scoring!$AF$29:$AF$361,MATCH($O199,Scoring!$AS$29:$AS$361,0)),INDEX(Scoring!$D$29:$D$361,MATCH($O199,Scoring!$AS$29:$AS$361,0))))</f>
        <v/>
      </c>
      <c r="L199" s="9" t="str">
        <f aca="false">IF($O199="","",INDEX(Scoring!$L$29:$L$361,MATCH($O199,Scoring!$AS$29:$AS$361,0)))</f>
        <v/>
      </c>
      <c r="M199" s="9" t="str">
        <f aca="false">IF($O199="","",INDEX(Scoring!$N$29:$N$361,MATCH($O199,Scoring!$AS$29:$AS$361,0)))</f>
        <v/>
      </c>
      <c r="N199" s="7" t="str">
        <f aca="false">IF($O199="","",INDEX(Scoring!$AI$29:$AI$361,MATCH($O199,Scoring!$AS$29:$AS$361,0)))</f>
        <v/>
      </c>
      <c r="O199" s="10" t="str">
        <f aca="false">IFERROR(SMALL(Scoring!$AS$29:$AS$361,195),"")</f>
        <v/>
      </c>
    </row>
    <row r="200" customFormat="false" ht="15" hidden="false" customHeight="false" outlineLevel="0" collapsed="false">
      <c r="A200" s="5" t="str">
        <f aca="false">IF($O200="","",INT($O200/1000))</f>
        <v/>
      </c>
      <c r="B200" s="6" t="str">
        <f aca="false">IF($O200="","",INDEX(Scoring!$A$29:$A$361,MATCH($O200,Scoring!$AS$29:$AS$361,0)))</f>
        <v/>
      </c>
      <c r="C200" s="5" t="str">
        <f aca="false">IF($O200="","",IF(INDEX(Scoring!$AM$29:$AM$361,MATCH($O200,Scoring!$AS$29:$AS$361,0))="","–",INDEX(Scoring!$AM$29:$AM$361,MATCH($O200,Scoring!$AS$29:$AS$361,0))))</f>
        <v/>
      </c>
      <c r="D200" s="6" t="str">
        <f aca="false">IF($O200="","",INDEX(Scoring!$AK$29:$AK$361,MATCH($O200,Scoring!$AS$29:$AS$361,0)))</f>
        <v/>
      </c>
      <c r="E200" s="7" t="str">
        <f aca="false">IF($O200="","",INDEX(Scoring!$AL$29:$AL$361,MATCH($O200,Scoring!$AS$29:$AS$361,0)))</f>
        <v/>
      </c>
      <c r="F200" s="6" t="str">
        <f aca="false">IF($O200="","",INDEX(Scoring!$B$29:$B$361,MATCH($O200,Scoring!$AS$29:$AS$361,0)))</f>
        <v/>
      </c>
      <c r="G200" s="7" t="str">
        <f aca="false">IF($O200="","",INDEX(Scoring!$AG$29:$AG$361,MATCH($O200,Scoring!$AS$29:$AS$361,0)))</f>
        <v/>
      </c>
      <c r="H200" s="7" t="str">
        <f aca="false">IF($O200="","",INDEX(Scoring!$C$29:$C$361,MATCH($O200,Scoring!$AS$29:$AS$361,0)))</f>
        <v/>
      </c>
      <c r="I200" s="6" t="str">
        <f aca="false">IF($O200="","",INDEX(Scoring!$I$29:$I$361,MATCH($O200,Scoring!$AS$29:$AS$361,0)))</f>
        <v/>
      </c>
      <c r="J200" s="7" t="str">
        <f aca="false">IF($O200="","",INDEX(Scoring!$Z$29:$Z$361,MATCH($O200,Scoring!$AS$29:$AS$361,0)))</f>
        <v/>
      </c>
      <c r="K200" s="8" t="str">
        <f aca="false">IF($O200="","",IF(INDEX(Scoring!$D$29:$D$361,MATCH($O200,Scoring!$AS$29:$AS$361,0))="",INDEX(Scoring!$AF$29:$AF$361,MATCH($O200,Scoring!$AS$29:$AS$361,0)),INDEX(Scoring!$D$29:$D$361,MATCH($O200,Scoring!$AS$29:$AS$361,0))))</f>
        <v/>
      </c>
      <c r="L200" s="9" t="str">
        <f aca="false">IF($O200="","",INDEX(Scoring!$L$29:$L$361,MATCH($O200,Scoring!$AS$29:$AS$361,0)))</f>
        <v/>
      </c>
      <c r="M200" s="9" t="str">
        <f aca="false">IF($O200="","",INDEX(Scoring!$N$29:$N$361,MATCH($O200,Scoring!$AS$29:$AS$361,0)))</f>
        <v/>
      </c>
      <c r="N200" s="7" t="str">
        <f aca="false">IF($O200="","",INDEX(Scoring!$AI$29:$AI$361,MATCH($O200,Scoring!$AS$29:$AS$361,0)))</f>
        <v/>
      </c>
      <c r="O200" s="10" t="str">
        <f aca="false">IFERROR(SMALL(Scoring!$AS$29:$AS$361,196),"")</f>
        <v/>
      </c>
    </row>
    <row r="201" customFormat="false" ht="15" hidden="false" customHeight="false" outlineLevel="0" collapsed="false">
      <c r="A201" s="5" t="str">
        <f aca="false">IF($O201="","",INT($O201/1000))</f>
        <v/>
      </c>
      <c r="B201" s="6" t="str">
        <f aca="false">IF($O201="","",INDEX(Scoring!$A$29:$A$361,MATCH($O201,Scoring!$AS$29:$AS$361,0)))</f>
        <v/>
      </c>
      <c r="C201" s="5" t="str">
        <f aca="false">IF($O201="","",IF(INDEX(Scoring!$AM$29:$AM$361,MATCH($O201,Scoring!$AS$29:$AS$361,0))="","–",INDEX(Scoring!$AM$29:$AM$361,MATCH($O201,Scoring!$AS$29:$AS$361,0))))</f>
        <v/>
      </c>
      <c r="D201" s="6" t="str">
        <f aca="false">IF($O201="","",INDEX(Scoring!$AK$29:$AK$361,MATCH($O201,Scoring!$AS$29:$AS$361,0)))</f>
        <v/>
      </c>
      <c r="E201" s="7" t="str">
        <f aca="false">IF($O201="","",INDEX(Scoring!$AL$29:$AL$361,MATCH($O201,Scoring!$AS$29:$AS$361,0)))</f>
        <v/>
      </c>
      <c r="F201" s="6" t="str">
        <f aca="false">IF($O201="","",INDEX(Scoring!$B$29:$B$361,MATCH($O201,Scoring!$AS$29:$AS$361,0)))</f>
        <v/>
      </c>
      <c r="G201" s="7" t="str">
        <f aca="false">IF($O201="","",INDEX(Scoring!$AG$29:$AG$361,MATCH($O201,Scoring!$AS$29:$AS$361,0)))</f>
        <v/>
      </c>
      <c r="H201" s="7" t="str">
        <f aca="false">IF($O201="","",INDEX(Scoring!$C$29:$C$361,MATCH($O201,Scoring!$AS$29:$AS$361,0)))</f>
        <v/>
      </c>
      <c r="I201" s="6" t="str">
        <f aca="false">IF($O201="","",INDEX(Scoring!$I$29:$I$361,MATCH($O201,Scoring!$AS$29:$AS$361,0)))</f>
        <v/>
      </c>
      <c r="J201" s="7" t="str">
        <f aca="false">IF($O201="","",INDEX(Scoring!$Z$29:$Z$361,MATCH($O201,Scoring!$AS$29:$AS$361,0)))</f>
        <v/>
      </c>
      <c r="K201" s="8" t="str">
        <f aca="false">IF($O201="","",IF(INDEX(Scoring!$D$29:$D$361,MATCH($O201,Scoring!$AS$29:$AS$361,0))="",INDEX(Scoring!$AF$29:$AF$361,MATCH($O201,Scoring!$AS$29:$AS$361,0)),INDEX(Scoring!$D$29:$D$361,MATCH($O201,Scoring!$AS$29:$AS$361,0))))</f>
        <v/>
      </c>
      <c r="L201" s="9" t="str">
        <f aca="false">IF($O201="","",INDEX(Scoring!$L$29:$L$361,MATCH($O201,Scoring!$AS$29:$AS$361,0)))</f>
        <v/>
      </c>
      <c r="M201" s="9" t="str">
        <f aca="false">IF($O201="","",INDEX(Scoring!$N$29:$N$361,MATCH($O201,Scoring!$AS$29:$AS$361,0)))</f>
        <v/>
      </c>
      <c r="N201" s="7" t="str">
        <f aca="false">IF($O201="","",INDEX(Scoring!$AI$29:$AI$361,MATCH($O201,Scoring!$AS$29:$AS$361,0)))</f>
        <v/>
      </c>
      <c r="O201" s="10" t="str">
        <f aca="false">IFERROR(SMALL(Scoring!$AS$29:$AS$361,197),"")</f>
        <v/>
      </c>
    </row>
    <row r="202" customFormat="false" ht="15" hidden="false" customHeight="false" outlineLevel="0" collapsed="false">
      <c r="A202" s="5" t="str">
        <f aca="false">IF($O202="","",INT($O202/1000))</f>
        <v/>
      </c>
      <c r="B202" s="6" t="str">
        <f aca="false">IF($O202="","",INDEX(Scoring!$A$29:$A$361,MATCH($O202,Scoring!$AS$29:$AS$361,0)))</f>
        <v/>
      </c>
      <c r="C202" s="5" t="str">
        <f aca="false">IF($O202="","",IF(INDEX(Scoring!$AM$29:$AM$361,MATCH($O202,Scoring!$AS$29:$AS$361,0))="","–",INDEX(Scoring!$AM$29:$AM$361,MATCH($O202,Scoring!$AS$29:$AS$361,0))))</f>
        <v/>
      </c>
      <c r="D202" s="6" t="str">
        <f aca="false">IF($O202="","",INDEX(Scoring!$AK$29:$AK$361,MATCH($O202,Scoring!$AS$29:$AS$361,0)))</f>
        <v/>
      </c>
      <c r="E202" s="7" t="str">
        <f aca="false">IF($O202="","",INDEX(Scoring!$AL$29:$AL$361,MATCH($O202,Scoring!$AS$29:$AS$361,0)))</f>
        <v/>
      </c>
      <c r="F202" s="6" t="str">
        <f aca="false">IF($O202="","",INDEX(Scoring!$B$29:$B$361,MATCH($O202,Scoring!$AS$29:$AS$361,0)))</f>
        <v/>
      </c>
      <c r="G202" s="7" t="str">
        <f aca="false">IF($O202="","",INDEX(Scoring!$AG$29:$AG$361,MATCH($O202,Scoring!$AS$29:$AS$361,0)))</f>
        <v/>
      </c>
      <c r="H202" s="7" t="str">
        <f aca="false">IF($O202="","",INDEX(Scoring!$C$29:$C$361,MATCH($O202,Scoring!$AS$29:$AS$361,0)))</f>
        <v/>
      </c>
      <c r="I202" s="6" t="str">
        <f aca="false">IF($O202="","",INDEX(Scoring!$I$29:$I$361,MATCH($O202,Scoring!$AS$29:$AS$361,0)))</f>
        <v/>
      </c>
      <c r="J202" s="7" t="str">
        <f aca="false">IF($O202="","",INDEX(Scoring!$Z$29:$Z$361,MATCH($O202,Scoring!$AS$29:$AS$361,0)))</f>
        <v/>
      </c>
      <c r="K202" s="8" t="str">
        <f aca="false">IF($O202="","",IF(INDEX(Scoring!$D$29:$D$361,MATCH($O202,Scoring!$AS$29:$AS$361,0))="",INDEX(Scoring!$AF$29:$AF$361,MATCH($O202,Scoring!$AS$29:$AS$361,0)),INDEX(Scoring!$D$29:$D$361,MATCH($O202,Scoring!$AS$29:$AS$361,0))))</f>
        <v/>
      </c>
      <c r="L202" s="9" t="str">
        <f aca="false">IF($O202="","",INDEX(Scoring!$L$29:$L$361,MATCH($O202,Scoring!$AS$29:$AS$361,0)))</f>
        <v/>
      </c>
      <c r="M202" s="9" t="str">
        <f aca="false">IF($O202="","",INDEX(Scoring!$N$29:$N$361,MATCH($O202,Scoring!$AS$29:$AS$361,0)))</f>
        <v/>
      </c>
      <c r="N202" s="7" t="str">
        <f aca="false">IF($O202="","",INDEX(Scoring!$AI$29:$AI$361,MATCH($O202,Scoring!$AS$29:$AS$361,0)))</f>
        <v/>
      </c>
      <c r="O202" s="10" t="str">
        <f aca="false">IFERROR(SMALL(Scoring!$AS$29:$AS$361,198),"")</f>
        <v/>
      </c>
    </row>
    <row r="203" customFormat="false" ht="15" hidden="false" customHeight="false" outlineLevel="0" collapsed="false">
      <c r="A203" s="5" t="str">
        <f aca="false">IF($O203="","",INT($O203/1000))</f>
        <v/>
      </c>
      <c r="B203" s="6" t="str">
        <f aca="false">IF($O203="","",INDEX(Scoring!$A$29:$A$361,MATCH($O203,Scoring!$AS$29:$AS$361,0)))</f>
        <v/>
      </c>
      <c r="C203" s="5" t="str">
        <f aca="false">IF($O203="","",IF(INDEX(Scoring!$AM$29:$AM$361,MATCH($O203,Scoring!$AS$29:$AS$361,0))="","–",INDEX(Scoring!$AM$29:$AM$361,MATCH($O203,Scoring!$AS$29:$AS$361,0))))</f>
        <v/>
      </c>
      <c r="D203" s="6" t="str">
        <f aca="false">IF($O203="","",INDEX(Scoring!$AK$29:$AK$361,MATCH($O203,Scoring!$AS$29:$AS$361,0)))</f>
        <v/>
      </c>
      <c r="E203" s="7" t="str">
        <f aca="false">IF($O203="","",INDEX(Scoring!$AL$29:$AL$361,MATCH($O203,Scoring!$AS$29:$AS$361,0)))</f>
        <v/>
      </c>
      <c r="F203" s="6" t="str">
        <f aca="false">IF($O203="","",INDEX(Scoring!$B$29:$B$361,MATCH($O203,Scoring!$AS$29:$AS$361,0)))</f>
        <v/>
      </c>
      <c r="G203" s="7" t="str">
        <f aca="false">IF($O203="","",INDEX(Scoring!$AG$29:$AG$361,MATCH($O203,Scoring!$AS$29:$AS$361,0)))</f>
        <v/>
      </c>
      <c r="H203" s="7" t="str">
        <f aca="false">IF($O203="","",INDEX(Scoring!$C$29:$C$361,MATCH($O203,Scoring!$AS$29:$AS$361,0)))</f>
        <v/>
      </c>
      <c r="I203" s="6" t="str">
        <f aca="false">IF($O203="","",INDEX(Scoring!$I$29:$I$361,MATCH($O203,Scoring!$AS$29:$AS$361,0)))</f>
        <v/>
      </c>
      <c r="J203" s="7" t="str">
        <f aca="false">IF($O203="","",INDEX(Scoring!$Z$29:$Z$361,MATCH($O203,Scoring!$AS$29:$AS$361,0)))</f>
        <v/>
      </c>
      <c r="K203" s="8" t="str">
        <f aca="false">IF($O203="","",IF(INDEX(Scoring!$D$29:$D$361,MATCH($O203,Scoring!$AS$29:$AS$361,0))="",INDEX(Scoring!$AF$29:$AF$361,MATCH($O203,Scoring!$AS$29:$AS$361,0)),INDEX(Scoring!$D$29:$D$361,MATCH($O203,Scoring!$AS$29:$AS$361,0))))</f>
        <v/>
      </c>
      <c r="L203" s="9" t="str">
        <f aca="false">IF($O203="","",INDEX(Scoring!$L$29:$L$361,MATCH($O203,Scoring!$AS$29:$AS$361,0)))</f>
        <v/>
      </c>
      <c r="M203" s="9" t="str">
        <f aca="false">IF($O203="","",INDEX(Scoring!$N$29:$N$361,MATCH($O203,Scoring!$AS$29:$AS$361,0)))</f>
        <v/>
      </c>
      <c r="N203" s="7" t="str">
        <f aca="false">IF($O203="","",INDEX(Scoring!$AI$29:$AI$361,MATCH($O203,Scoring!$AS$29:$AS$361,0)))</f>
        <v/>
      </c>
      <c r="O203" s="10" t="str">
        <f aca="false">IFERROR(SMALL(Scoring!$AS$29:$AS$361,199),"")</f>
        <v/>
      </c>
    </row>
    <row r="204" customFormat="false" ht="15" hidden="false" customHeight="false" outlineLevel="0" collapsed="false">
      <c r="A204" s="5" t="str">
        <f aca="false">IF($O204="","",INT($O204/1000))</f>
        <v/>
      </c>
      <c r="B204" s="6" t="str">
        <f aca="false">IF($O204="","",INDEX(Scoring!$A$29:$A$361,MATCH($O204,Scoring!$AS$29:$AS$361,0)))</f>
        <v/>
      </c>
      <c r="C204" s="5" t="str">
        <f aca="false">IF($O204="","",IF(INDEX(Scoring!$AM$29:$AM$361,MATCH($O204,Scoring!$AS$29:$AS$361,0))="","–",INDEX(Scoring!$AM$29:$AM$361,MATCH($O204,Scoring!$AS$29:$AS$361,0))))</f>
        <v/>
      </c>
      <c r="D204" s="6" t="str">
        <f aca="false">IF($O204="","",INDEX(Scoring!$AK$29:$AK$361,MATCH($O204,Scoring!$AS$29:$AS$361,0)))</f>
        <v/>
      </c>
      <c r="E204" s="7" t="str">
        <f aca="false">IF($O204="","",INDEX(Scoring!$AL$29:$AL$361,MATCH($O204,Scoring!$AS$29:$AS$361,0)))</f>
        <v/>
      </c>
      <c r="F204" s="6" t="str">
        <f aca="false">IF($O204="","",INDEX(Scoring!$B$29:$B$361,MATCH($O204,Scoring!$AS$29:$AS$361,0)))</f>
        <v/>
      </c>
      <c r="G204" s="7" t="str">
        <f aca="false">IF($O204="","",INDEX(Scoring!$AG$29:$AG$361,MATCH($O204,Scoring!$AS$29:$AS$361,0)))</f>
        <v/>
      </c>
      <c r="H204" s="7" t="str">
        <f aca="false">IF($O204="","",INDEX(Scoring!$C$29:$C$361,MATCH($O204,Scoring!$AS$29:$AS$361,0)))</f>
        <v/>
      </c>
      <c r="I204" s="6" t="str">
        <f aca="false">IF($O204="","",INDEX(Scoring!$I$29:$I$361,MATCH($O204,Scoring!$AS$29:$AS$361,0)))</f>
        <v/>
      </c>
      <c r="J204" s="7" t="str">
        <f aca="false">IF($O204="","",INDEX(Scoring!$Z$29:$Z$361,MATCH($O204,Scoring!$AS$29:$AS$361,0)))</f>
        <v/>
      </c>
      <c r="K204" s="8" t="str">
        <f aca="false">IF($O204="","",IF(INDEX(Scoring!$D$29:$D$361,MATCH($O204,Scoring!$AS$29:$AS$361,0))="",INDEX(Scoring!$AF$29:$AF$361,MATCH($O204,Scoring!$AS$29:$AS$361,0)),INDEX(Scoring!$D$29:$D$361,MATCH($O204,Scoring!$AS$29:$AS$361,0))))</f>
        <v/>
      </c>
      <c r="L204" s="9" t="str">
        <f aca="false">IF($O204="","",INDEX(Scoring!$L$29:$L$361,MATCH($O204,Scoring!$AS$29:$AS$361,0)))</f>
        <v/>
      </c>
      <c r="M204" s="9" t="str">
        <f aca="false">IF($O204="","",INDEX(Scoring!$N$29:$N$361,MATCH($O204,Scoring!$AS$29:$AS$361,0)))</f>
        <v/>
      </c>
      <c r="N204" s="7" t="str">
        <f aca="false">IF($O204="","",INDEX(Scoring!$AI$29:$AI$361,MATCH($O204,Scoring!$AS$29:$AS$361,0)))</f>
        <v/>
      </c>
      <c r="O204" s="10" t="str">
        <f aca="false">IFERROR(SMALL(Scoring!$AS$29:$AS$361,200),"")</f>
        <v/>
      </c>
    </row>
    <row r="205" customFormat="false" ht="15" hidden="false" customHeight="false" outlineLevel="0" collapsed="false">
      <c r="A205" s="5" t="str">
        <f aca="false">IF($O205="","",INT($O205/1000))</f>
        <v/>
      </c>
      <c r="B205" s="6" t="str">
        <f aca="false">IF($O205="","",INDEX(Scoring!$A$29:$A$361,MATCH($O205,Scoring!$AS$29:$AS$361,0)))</f>
        <v/>
      </c>
      <c r="C205" s="5" t="str">
        <f aca="false">IF($O205="","",IF(INDEX(Scoring!$AM$29:$AM$361,MATCH($O205,Scoring!$AS$29:$AS$361,0))="","–",INDEX(Scoring!$AM$29:$AM$361,MATCH($O205,Scoring!$AS$29:$AS$361,0))))</f>
        <v/>
      </c>
      <c r="D205" s="6" t="str">
        <f aca="false">IF($O205="","",INDEX(Scoring!$AK$29:$AK$361,MATCH($O205,Scoring!$AS$29:$AS$361,0)))</f>
        <v/>
      </c>
      <c r="E205" s="7" t="str">
        <f aca="false">IF($O205="","",INDEX(Scoring!$AL$29:$AL$361,MATCH($O205,Scoring!$AS$29:$AS$361,0)))</f>
        <v/>
      </c>
      <c r="F205" s="6" t="str">
        <f aca="false">IF($O205="","",INDEX(Scoring!$B$29:$B$361,MATCH($O205,Scoring!$AS$29:$AS$361,0)))</f>
        <v/>
      </c>
      <c r="G205" s="7" t="str">
        <f aca="false">IF($O205="","",INDEX(Scoring!$AG$29:$AG$361,MATCH($O205,Scoring!$AS$29:$AS$361,0)))</f>
        <v/>
      </c>
      <c r="H205" s="7" t="str">
        <f aca="false">IF($O205="","",INDEX(Scoring!$C$29:$C$361,MATCH($O205,Scoring!$AS$29:$AS$361,0)))</f>
        <v/>
      </c>
      <c r="I205" s="6" t="str">
        <f aca="false">IF($O205="","",INDEX(Scoring!$I$29:$I$361,MATCH($O205,Scoring!$AS$29:$AS$361,0)))</f>
        <v/>
      </c>
      <c r="J205" s="7" t="str">
        <f aca="false">IF($O205="","",INDEX(Scoring!$Z$29:$Z$361,MATCH($O205,Scoring!$AS$29:$AS$361,0)))</f>
        <v/>
      </c>
      <c r="K205" s="8" t="str">
        <f aca="false">IF($O205="","",IF(INDEX(Scoring!$D$29:$D$361,MATCH($O205,Scoring!$AS$29:$AS$361,0))="",INDEX(Scoring!$AF$29:$AF$361,MATCH($O205,Scoring!$AS$29:$AS$361,0)),INDEX(Scoring!$D$29:$D$361,MATCH($O205,Scoring!$AS$29:$AS$361,0))))</f>
        <v/>
      </c>
      <c r="L205" s="9" t="str">
        <f aca="false">IF($O205="","",INDEX(Scoring!$L$29:$L$361,MATCH($O205,Scoring!$AS$29:$AS$361,0)))</f>
        <v/>
      </c>
      <c r="M205" s="9" t="str">
        <f aca="false">IF($O205="","",INDEX(Scoring!$N$29:$N$361,MATCH($O205,Scoring!$AS$29:$AS$361,0)))</f>
        <v/>
      </c>
      <c r="N205" s="7" t="str">
        <f aca="false">IF($O205="","",INDEX(Scoring!$AI$29:$AI$361,MATCH($O205,Scoring!$AS$29:$AS$361,0)))</f>
        <v/>
      </c>
      <c r="O205" s="10" t="str">
        <f aca="false">IFERROR(SMALL(Scoring!$AS$29:$AS$361,201),"")</f>
        <v/>
      </c>
    </row>
    <row r="206" customFormat="false" ht="15" hidden="false" customHeight="false" outlineLevel="0" collapsed="false">
      <c r="A206" s="5" t="str">
        <f aca="false">IF($O206="","",INT($O206/1000))</f>
        <v/>
      </c>
      <c r="B206" s="6" t="str">
        <f aca="false">IF($O206="","",INDEX(Scoring!$A$29:$A$361,MATCH($O206,Scoring!$AS$29:$AS$361,0)))</f>
        <v/>
      </c>
      <c r="C206" s="5" t="str">
        <f aca="false">IF($O206="","",IF(INDEX(Scoring!$AM$29:$AM$361,MATCH($O206,Scoring!$AS$29:$AS$361,0))="","–",INDEX(Scoring!$AM$29:$AM$361,MATCH($O206,Scoring!$AS$29:$AS$361,0))))</f>
        <v/>
      </c>
      <c r="D206" s="6" t="str">
        <f aca="false">IF($O206="","",INDEX(Scoring!$AK$29:$AK$361,MATCH($O206,Scoring!$AS$29:$AS$361,0)))</f>
        <v/>
      </c>
      <c r="E206" s="7" t="str">
        <f aca="false">IF($O206="","",INDEX(Scoring!$AL$29:$AL$361,MATCH($O206,Scoring!$AS$29:$AS$361,0)))</f>
        <v/>
      </c>
      <c r="F206" s="6" t="str">
        <f aca="false">IF($O206="","",INDEX(Scoring!$B$29:$B$361,MATCH($O206,Scoring!$AS$29:$AS$361,0)))</f>
        <v/>
      </c>
      <c r="G206" s="7" t="str">
        <f aca="false">IF($O206="","",INDEX(Scoring!$AG$29:$AG$361,MATCH($O206,Scoring!$AS$29:$AS$361,0)))</f>
        <v/>
      </c>
      <c r="H206" s="7" t="str">
        <f aca="false">IF($O206="","",INDEX(Scoring!$C$29:$C$361,MATCH($O206,Scoring!$AS$29:$AS$361,0)))</f>
        <v/>
      </c>
      <c r="I206" s="6" t="str">
        <f aca="false">IF($O206="","",INDEX(Scoring!$I$29:$I$361,MATCH($O206,Scoring!$AS$29:$AS$361,0)))</f>
        <v/>
      </c>
      <c r="J206" s="7" t="str">
        <f aca="false">IF($O206="","",INDEX(Scoring!$Z$29:$Z$361,MATCH($O206,Scoring!$AS$29:$AS$361,0)))</f>
        <v/>
      </c>
      <c r="K206" s="8" t="str">
        <f aca="false">IF($O206="","",IF(INDEX(Scoring!$D$29:$D$361,MATCH($O206,Scoring!$AS$29:$AS$361,0))="",INDEX(Scoring!$AF$29:$AF$361,MATCH($O206,Scoring!$AS$29:$AS$361,0)),INDEX(Scoring!$D$29:$D$361,MATCH($O206,Scoring!$AS$29:$AS$361,0))))</f>
        <v/>
      </c>
      <c r="L206" s="9" t="str">
        <f aca="false">IF($O206="","",INDEX(Scoring!$L$29:$L$361,MATCH($O206,Scoring!$AS$29:$AS$361,0)))</f>
        <v/>
      </c>
      <c r="M206" s="9" t="str">
        <f aca="false">IF($O206="","",INDEX(Scoring!$N$29:$N$361,MATCH($O206,Scoring!$AS$29:$AS$361,0)))</f>
        <v/>
      </c>
      <c r="N206" s="7" t="str">
        <f aca="false">IF($O206="","",INDEX(Scoring!$AI$29:$AI$361,MATCH($O206,Scoring!$AS$29:$AS$361,0)))</f>
        <v/>
      </c>
      <c r="O206" s="10" t="str">
        <f aca="false">IFERROR(SMALL(Scoring!$AS$29:$AS$361,202),"")</f>
        <v/>
      </c>
    </row>
    <row r="207" customFormat="false" ht="15" hidden="false" customHeight="false" outlineLevel="0" collapsed="false">
      <c r="A207" s="5" t="str">
        <f aca="false">IF($O207="","",INT($O207/1000))</f>
        <v/>
      </c>
      <c r="B207" s="6" t="str">
        <f aca="false">IF($O207="","",INDEX(Scoring!$A$29:$A$361,MATCH($O207,Scoring!$AS$29:$AS$361,0)))</f>
        <v/>
      </c>
      <c r="C207" s="5" t="str">
        <f aca="false">IF($O207="","",IF(INDEX(Scoring!$AM$29:$AM$361,MATCH($O207,Scoring!$AS$29:$AS$361,0))="","–",INDEX(Scoring!$AM$29:$AM$361,MATCH($O207,Scoring!$AS$29:$AS$361,0))))</f>
        <v/>
      </c>
      <c r="D207" s="6" t="str">
        <f aca="false">IF($O207="","",INDEX(Scoring!$AK$29:$AK$361,MATCH($O207,Scoring!$AS$29:$AS$361,0)))</f>
        <v/>
      </c>
      <c r="E207" s="7" t="str">
        <f aca="false">IF($O207="","",INDEX(Scoring!$AL$29:$AL$361,MATCH($O207,Scoring!$AS$29:$AS$361,0)))</f>
        <v/>
      </c>
      <c r="F207" s="6" t="str">
        <f aca="false">IF($O207="","",INDEX(Scoring!$B$29:$B$361,MATCH($O207,Scoring!$AS$29:$AS$361,0)))</f>
        <v/>
      </c>
      <c r="G207" s="7" t="str">
        <f aca="false">IF($O207="","",INDEX(Scoring!$AG$29:$AG$361,MATCH($O207,Scoring!$AS$29:$AS$361,0)))</f>
        <v/>
      </c>
      <c r="H207" s="7" t="str">
        <f aca="false">IF($O207="","",INDEX(Scoring!$C$29:$C$361,MATCH($O207,Scoring!$AS$29:$AS$361,0)))</f>
        <v/>
      </c>
      <c r="I207" s="6" t="str">
        <f aca="false">IF($O207="","",INDEX(Scoring!$I$29:$I$361,MATCH($O207,Scoring!$AS$29:$AS$361,0)))</f>
        <v/>
      </c>
      <c r="J207" s="7" t="str">
        <f aca="false">IF($O207="","",INDEX(Scoring!$Z$29:$Z$361,MATCH($O207,Scoring!$AS$29:$AS$361,0)))</f>
        <v/>
      </c>
      <c r="K207" s="8" t="str">
        <f aca="false">IF($O207="","",IF(INDEX(Scoring!$D$29:$D$361,MATCH($O207,Scoring!$AS$29:$AS$361,0))="",INDEX(Scoring!$AF$29:$AF$361,MATCH($O207,Scoring!$AS$29:$AS$361,0)),INDEX(Scoring!$D$29:$D$361,MATCH($O207,Scoring!$AS$29:$AS$361,0))))</f>
        <v/>
      </c>
      <c r="L207" s="9" t="str">
        <f aca="false">IF($O207="","",INDEX(Scoring!$L$29:$L$361,MATCH($O207,Scoring!$AS$29:$AS$361,0)))</f>
        <v/>
      </c>
      <c r="M207" s="9" t="str">
        <f aca="false">IF($O207="","",INDEX(Scoring!$N$29:$N$361,MATCH($O207,Scoring!$AS$29:$AS$361,0)))</f>
        <v/>
      </c>
      <c r="N207" s="7" t="str">
        <f aca="false">IF($O207="","",INDEX(Scoring!$AI$29:$AI$361,MATCH($O207,Scoring!$AS$29:$AS$361,0)))</f>
        <v/>
      </c>
      <c r="O207" s="10" t="str">
        <f aca="false">IFERROR(SMALL(Scoring!$AS$29:$AS$361,203),"")</f>
        <v/>
      </c>
    </row>
    <row r="208" customFormat="false" ht="15" hidden="false" customHeight="false" outlineLevel="0" collapsed="false">
      <c r="A208" s="5" t="str">
        <f aca="false">IF($O208="","",INT($O208/1000))</f>
        <v/>
      </c>
      <c r="B208" s="6" t="str">
        <f aca="false">IF($O208="","",INDEX(Scoring!$A$29:$A$361,MATCH($O208,Scoring!$AS$29:$AS$361,0)))</f>
        <v/>
      </c>
      <c r="C208" s="5" t="str">
        <f aca="false">IF($O208="","",IF(INDEX(Scoring!$AM$29:$AM$361,MATCH($O208,Scoring!$AS$29:$AS$361,0))="","–",INDEX(Scoring!$AM$29:$AM$361,MATCH($O208,Scoring!$AS$29:$AS$361,0))))</f>
        <v/>
      </c>
      <c r="D208" s="6" t="str">
        <f aca="false">IF($O208="","",INDEX(Scoring!$AK$29:$AK$361,MATCH($O208,Scoring!$AS$29:$AS$361,0)))</f>
        <v/>
      </c>
      <c r="E208" s="7" t="str">
        <f aca="false">IF($O208="","",INDEX(Scoring!$AL$29:$AL$361,MATCH($O208,Scoring!$AS$29:$AS$361,0)))</f>
        <v/>
      </c>
      <c r="F208" s="6" t="str">
        <f aca="false">IF($O208="","",INDEX(Scoring!$B$29:$B$361,MATCH($O208,Scoring!$AS$29:$AS$361,0)))</f>
        <v/>
      </c>
      <c r="G208" s="7" t="str">
        <f aca="false">IF($O208="","",INDEX(Scoring!$AG$29:$AG$361,MATCH($O208,Scoring!$AS$29:$AS$361,0)))</f>
        <v/>
      </c>
      <c r="H208" s="7" t="str">
        <f aca="false">IF($O208="","",INDEX(Scoring!$C$29:$C$361,MATCH($O208,Scoring!$AS$29:$AS$361,0)))</f>
        <v/>
      </c>
      <c r="I208" s="6" t="str">
        <f aca="false">IF($O208="","",INDEX(Scoring!$I$29:$I$361,MATCH($O208,Scoring!$AS$29:$AS$361,0)))</f>
        <v/>
      </c>
      <c r="J208" s="7" t="str">
        <f aca="false">IF($O208="","",INDEX(Scoring!$Z$29:$Z$361,MATCH($O208,Scoring!$AS$29:$AS$361,0)))</f>
        <v/>
      </c>
      <c r="K208" s="8" t="str">
        <f aca="false">IF($O208="","",IF(INDEX(Scoring!$D$29:$D$361,MATCH($O208,Scoring!$AS$29:$AS$361,0))="",INDEX(Scoring!$AF$29:$AF$361,MATCH($O208,Scoring!$AS$29:$AS$361,0)),INDEX(Scoring!$D$29:$D$361,MATCH($O208,Scoring!$AS$29:$AS$361,0))))</f>
        <v/>
      </c>
      <c r="L208" s="9" t="str">
        <f aca="false">IF($O208="","",INDEX(Scoring!$L$29:$L$361,MATCH($O208,Scoring!$AS$29:$AS$361,0)))</f>
        <v/>
      </c>
      <c r="M208" s="9" t="str">
        <f aca="false">IF($O208="","",INDEX(Scoring!$N$29:$N$361,MATCH($O208,Scoring!$AS$29:$AS$361,0)))</f>
        <v/>
      </c>
      <c r="N208" s="7" t="str">
        <f aca="false">IF($O208="","",INDEX(Scoring!$AI$29:$AI$361,MATCH($O208,Scoring!$AS$29:$AS$361,0)))</f>
        <v/>
      </c>
      <c r="O208" s="10" t="str">
        <f aca="false">IFERROR(SMALL(Scoring!$AS$29:$AS$361,204),"")</f>
        <v/>
      </c>
    </row>
    <row r="209" customFormat="false" ht="15" hidden="false" customHeight="false" outlineLevel="0" collapsed="false">
      <c r="A209" s="5" t="str">
        <f aca="false">IF($O209="","",INT($O209/1000))</f>
        <v/>
      </c>
      <c r="B209" s="6" t="str">
        <f aca="false">IF($O209="","",INDEX(Scoring!$A$29:$A$361,MATCH($O209,Scoring!$AS$29:$AS$361,0)))</f>
        <v/>
      </c>
      <c r="C209" s="5" t="str">
        <f aca="false">IF($O209="","",IF(INDEX(Scoring!$AM$29:$AM$361,MATCH($O209,Scoring!$AS$29:$AS$361,0))="","–",INDEX(Scoring!$AM$29:$AM$361,MATCH($O209,Scoring!$AS$29:$AS$361,0))))</f>
        <v/>
      </c>
      <c r="D209" s="6" t="str">
        <f aca="false">IF($O209="","",INDEX(Scoring!$AK$29:$AK$361,MATCH($O209,Scoring!$AS$29:$AS$361,0)))</f>
        <v/>
      </c>
      <c r="E209" s="7" t="str">
        <f aca="false">IF($O209="","",INDEX(Scoring!$AL$29:$AL$361,MATCH($O209,Scoring!$AS$29:$AS$361,0)))</f>
        <v/>
      </c>
      <c r="F209" s="6" t="str">
        <f aca="false">IF($O209="","",INDEX(Scoring!$B$29:$B$361,MATCH($O209,Scoring!$AS$29:$AS$361,0)))</f>
        <v/>
      </c>
      <c r="G209" s="7" t="str">
        <f aca="false">IF($O209="","",INDEX(Scoring!$AG$29:$AG$361,MATCH($O209,Scoring!$AS$29:$AS$361,0)))</f>
        <v/>
      </c>
      <c r="H209" s="7" t="str">
        <f aca="false">IF($O209="","",INDEX(Scoring!$C$29:$C$361,MATCH($O209,Scoring!$AS$29:$AS$361,0)))</f>
        <v/>
      </c>
      <c r="I209" s="6" t="str">
        <f aca="false">IF($O209="","",INDEX(Scoring!$I$29:$I$361,MATCH($O209,Scoring!$AS$29:$AS$361,0)))</f>
        <v/>
      </c>
      <c r="J209" s="7" t="str">
        <f aca="false">IF($O209="","",INDEX(Scoring!$Z$29:$Z$361,MATCH($O209,Scoring!$AS$29:$AS$361,0)))</f>
        <v/>
      </c>
      <c r="K209" s="8" t="str">
        <f aca="false">IF($O209="","",IF(INDEX(Scoring!$D$29:$D$361,MATCH($O209,Scoring!$AS$29:$AS$361,0))="",INDEX(Scoring!$AF$29:$AF$361,MATCH($O209,Scoring!$AS$29:$AS$361,0)),INDEX(Scoring!$D$29:$D$361,MATCH($O209,Scoring!$AS$29:$AS$361,0))))</f>
        <v/>
      </c>
      <c r="L209" s="9" t="str">
        <f aca="false">IF($O209="","",INDEX(Scoring!$L$29:$L$361,MATCH($O209,Scoring!$AS$29:$AS$361,0)))</f>
        <v/>
      </c>
      <c r="M209" s="9" t="str">
        <f aca="false">IF($O209="","",INDEX(Scoring!$N$29:$N$361,MATCH($O209,Scoring!$AS$29:$AS$361,0)))</f>
        <v/>
      </c>
      <c r="N209" s="7" t="str">
        <f aca="false">IF($O209="","",INDEX(Scoring!$AI$29:$AI$361,MATCH($O209,Scoring!$AS$29:$AS$361,0)))</f>
        <v/>
      </c>
      <c r="O209" s="10" t="str">
        <f aca="false">IFERROR(SMALL(Scoring!$AS$29:$AS$361,205),"")</f>
        <v/>
      </c>
    </row>
    <row r="210" customFormat="false" ht="15" hidden="false" customHeight="false" outlineLevel="0" collapsed="false">
      <c r="A210" s="5" t="str">
        <f aca="false">IF($O210="","",INT($O210/1000))</f>
        <v/>
      </c>
      <c r="B210" s="6" t="str">
        <f aca="false">IF($O210="","",INDEX(Scoring!$A$29:$A$361,MATCH($O210,Scoring!$AS$29:$AS$361,0)))</f>
        <v/>
      </c>
      <c r="C210" s="5" t="str">
        <f aca="false">IF($O210="","",IF(INDEX(Scoring!$AM$29:$AM$361,MATCH($O210,Scoring!$AS$29:$AS$361,0))="","–",INDEX(Scoring!$AM$29:$AM$361,MATCH($O210,Scoring!$AS$29:$AS$361,0))))</f>
        <v/>
      </c>
      <c r="D210" s="6" t="str">
        <f aca="false">IF($O210="","",INDEX(Scoring!$AK$29:$AK$361,MATCH($O210,Scoring!$AS$29:$AS$361,0)))</f>
        <v/>
      </c>
      <c r="E210" s="7" t="str">
        <f aca="false">IF($O210="","",INDEX(Scoring!$AL$29:$AL$361,MATCH($O210,Scoring!$AS$29:$AS$361,0)))</f>
        <v/>
      </c>
      <c r="F210" s="6" t="str">
        <f aca="false">IF($O210="","",INDEX(Scoring!$B$29:$B$361,MATCH($O210,Scoring!$AS$29:$AS$361,0)))</f>
        <v/>
      </c>
      <c r="G210" s="7" t="str">
        <f aca="false">IF($O210="","",INDEX(Scoring!$AG$29:$AG$361,MATCH($O210,Scoring!$AS$29:$AS$361,0)))</f>
        <v/>
      </c>
      <c r="H210" s="7" t="str">
        <f aca="false">IF($O210="","",INDEX(Scoring!$C$29:$C$361,MATCH($O210,Scoring!$AS$29:$AS$361,0)))</f>
        <v/>
      </c>
      <c r="I210" s="6" t="str">
        <f aca="false">IF($O210="","",INDEX(Scoring!$I$29:$I$361,MATCH($O210,Scoring!$AS$29:$AS$361,0)))</f>
        <v/>
      </c>
      <c r="J210" s="7" t="str">
        <f aca="false">IF($O210="","",INDEX(Scoring!$Z$29:$Z$361,MATCH($O210,Scoring!$AS$29:$AS$361,0)))</f>
        <v/>
      </c>
      <c r="K210" s="8" t="str">
        <f aca="false">IF($O210="","",IF(INDEX(Scoring!$D$29:$D$361,MATCH($O210,Scoring!$AS$29:$AS$361,0))="",INDEX(Scoring!$AF$29:$AF$361,MATCH($O210,Scoring!$AS$29:$AS$361,0)),INDEX(Scoring!$D$29:$D$361,MATCH($O210,Scoring!$AS$29:$AS$361,0))))</f>
        <v/>
      </c>
      <c r="L210" s="9" t="str">
        <f aca="false">IF($O210="","",INDEX(Scoring!$L$29:$L$361,MATCH($O210,Scoring!$AS$29:$AS$361,0)))</f>
        <v/>
      </c>
      <c r="M210" s="9" t="str">
        <f aca="false">IF($O210="","",INDEX(Scoring!$N$29:$N$361,MATCH($O210,Scoring!$AS$29:$AS$361,0)))</f>
        <v/>
      </c>
      <c r="N210" s="7" t="str">
        <f aca="false">IF($O210="","",INDEX(Scoring!$AI$29:$AI$361,MATCH($O210,Scoring!$AS$29:$AS$361,0)))</f>
        <v/>
      </c>
      <c r="O210" s="10" t="str">
        <f aca="false">IFERROR(SMALL(Scoring!$AS$29:$AS$361,206),"")</f>
        <v/>
      </c>
    </row>
    <row r="211" customFormat="false" ht="15" hidden="false" customHeight="false" outlineLevel="0" collapsed="false">
      <c r="A211" s="5" t="str">
        <f aca="false">IF($O211="","",INT($O211/1000))</f>
        <v/>
      </c>
      <c r="B211" s="6" t="str">
        <f aca="false">IF($O211="","",INDEX(Scoring!$A$29:$A$361,MATCH($O211,Scoring!$AS$29:$AS$361,0)))</f>
        <v/>
      </c>
      <c r="C211" s="5" t="str">
        <f aca="false">IF($O211="","",IF(INDEX(Scoring!$AM$29:$AM$361,MATCH($O211,Scoring!$AS$29:$AS$361,0))="","–",INDEX(Scoring!$AM$29:$AM$361,MATCH($O211,Scoring!$AS$29:$AS$361,0))))</f>
        <v/>
      </c>
      <c r="D211" s="6" t="str">
        <f aca="false">IF($O211="","",INDEX(Scoring!$AK$29:$AK$361,MATCH($O211,Scoring!$AS$29:$AS$361,0)))</f>
        <v/>
      </c>
      <c r="E211" s="7" t="str">
        <f aca="false">IF($O211="","",INDEX(Scoring!$AL$29:$AL$361,MATCH($O211,Scoring!$AS$29:$AS$361,0)))</f>
        <v/>
      </c>
      <c r="F211" s="6" t="str">
        <f aca="false">IF($O211="","",INDEX(Scoring!$B$29:$B$361,MATCH($O211,Scoring!$AS$29:$AS$361,0)))</f>
        <v/>
      </c>
      <c r="G211" s="7" t="str">
        <f aca="false">IF($O211="","",INDEX(Scoring!$AG$29:$AG$361,MATCH($O211,Scoring!$AS$29:$AS$361,0)))</f>
        <v/>
      </c>
      <c r="H211" s="7" t="str">
        <f aca="false">IF($O211="","",INDEX(Scoring!$C$29:$C$361,MATCH($O211,Scoring!$AS$29:$AS$361,0)))</f>
        <v/>
      </c>
      <c r="I211" s="6" t="str">
        <f aca="false">IF($O211="","",INDEX(Scoring!$I$29:$I$361,MATCH($O211,Scoring!$AS$29:$AS$361,0)))</f>
        <v/>
      </c>
      <c r="J211" s="7" t="str">
        <f aca="false">IF($O211="","",INDEX(Scoring!$Z$29:$Z$361,MATCH($O211,Scoring!$AS$29:$AS$361,0)))</f>
        <v/>
      </c>
      <c r="K211" s="8" t="str">
        <f aca="false">IF($O211="","",IF(INDEX(Scoring!$D$29:$D$361,MATCH($O211,Scoring!$AS$29:$AS$361,0))="",INDEX(Scoring!$AF$29:$AF$361,MATCH($O211,Scoring!$AS$29:$AS$361,0)),INDEX(Scoring!$D$29:$D$361,MATCH($O211,Scoring!$AS$29:$AS$361,0))))</f>
        <v/>
      </c>
      <c r="L211" s="9" t="str">
        <f aca="false">IF($O211="","",INDEX(Scoring!$L$29:$L$361,MATCH($O211,Scoring!$AS$29:$AS$361,0)))</f>
        <v/>
      </c>
      <c r="M211" s="9" t="str">
        <f aca="false">IF($O211="","",INDEX(Scoring!$N$29:$N$361,MATCH($O211,Scoring!$AS$29:$AS$361,0)))</f>
        <v/>
      </c>
      <c r="N211" s="7" t="str">
        <f aca="false">IF($O211="","",INDEX(Scoring!$AI$29:$AI$361,MATCH($O211,Scoring!$AS$29:$AS$361,0)))</f>
        <v/>
      </c>
      <c r="O211" s="10" t="str">
        <f aca="false">IFERROR(SMALL(Scoring!$AS$29:$AS$361,207),"")</f>
        <v/>
      </c>
    </row>
    <row r="212" customFormat="false" ht="15" hidden="false" customHeight="false" outlineLevel="0" collapsed="false">
      <c r="A212" s="5" t="str">
        <f aca="false">IF($O212="","",INT($O212/1000))</f>
        <v/>
      </c>
      <c r="B212" s="6" t="str">
        <f aca="false">IF($O212="","",INDEX(Scoring!$A$29:$A$361,MATCH($O212,Scoring!$AS$29:$AS$361,0)))</f>
        <v/>
      </c>
      <c r="C212" s="5" t="str">
        <f aca="false">IF($O212="","",IF(INDEX(Scoring!$AM$29:$AM$361,MATCH($O212,Scoring!$AS$29:$AS$361,0))="","–",INDEX(Scoring!$AM$29:$AM$361,MATCH($O212,Scoring!$AS$29:$AS$361,0))))</f>
        <v/>
      </c>
      <c r="D212" s="6" t="str">
        <f aca="false">IF($O212="","",INDEX(Scoring!$AK$29:$AK$361,MATCH($O212,Scoring!$AS$29:$AS$361,0)))</f>
        <v/>
      </c>
      <c r="E212" s="7" t="str">
        <f aca="false">IF($O212="","",INDEX(Scoring!$AL$29:$AL$361,MATCH($O212,Scoring!$AS$29:$AS$361,0)))</f>
        <v/>
      </c>
      <c r="F212" s="6" t="str">
        <f aca="false">IF($O212="","",INDEX(Scoring!$B$29:$B$361,MATCH($O212,Scoring!$AS$29:$AS$361,0)))</f>
        <v/>
      </c>
      <c r="G212" s="7" t="str">
        <f aca="false">IF($O212="","",INDEX(Scoring!$AG$29:$AG$361,MATCH($O212,Scoring!$AS$29:$AS$361,0)))</f>
        <v/>
      </c>
      <c r="H212" s="7" t="str">
        <f aca="false">IF($O212="","",INDEX(Scoring!$C$29:$C$361,MATCH($O212,Scoring!$AS$29:$AS$361,0)))</f>
        <v/>
      </c>
      <c r="I212" s="6" t="str">
        <f aca="false">IF($O212="","",INDEX(Scoring!$I$29:$I$361,MATCH($O212,Scoring!$AS$29:$AS$361,0)))</f>
        <v/>
      </c>
      <c r="J212" s="7" t="str">
        <f aca="false">IF($O212="","",INDEX(Scoring!$Z$29:$Z$361,MATCH($O212,Scoring!$AS$29:$AS$361,0)))</f>
        <v/>
      </c>
      <c r="K212" s="8" t="str">
        <f aca="false">IF($O212="","",IF(INDEX(Scoring!$D$29:$D$361,MATCH($O212,Scoring!$AS$29:$AS$361,0))="",INDEX(Scoring!$AF$29:$AF$361,MATCH($O212,Scoring!$AS$29:$AS$361,0)),INDEX(Scoring!$D$29:$D$361,MATCH($O212,Scoring!$AS$29:$AS$361,0))))</f>
        <v/>
      </c>
      <c r="L212" s="9" t="str">
        <f aca="false">IF($O212="","",INDEX(Scoring!$L$29:$L$361,MATCH($O212,Scoring!$AS$29:$AS$361,0)))</f>
        <v/>
      </c>
      <c r="M212" s="9" t="str">
        <f aca="false">IF($O212="","",INDEX(Scoring!$N$29:$N$361,MATCH($O212,Scoring!$AS$29:$AS$361,0)))</f>
        <v/>
      </c>
      <c r="N212" s="7" t="str">
        <f aca="false">IF($O212="","",INDEX(Scoring!$AI$29:$AI$361,MATCH($O212,Scoring!$AS$29:$AS$361,0)))</f>
        <v/>
      </c>
      <c r="O212" s="10" t="str">
        <f aca="false">IFERROR(SMALL(Scoring!$AS$29:$AS$361,208),"")</f>
        <v/>
      </c>
    </row>
    <row r="213" customFormat="false" ht="15" hidden="false" customHeight="false" outlineLevel="0" collapsed="false">
      <c r="A213" s="5" t="str">
        <f aca="false">IF($O213="","",INT($O213/1000))</f>
        <v/>
      </c>
      <c r="B213" s="6" t="str">
        <f aca="false">IF($O213="","",INDEX(Scoring!$A$29:$A$361,MATCH($O213,Scoring!$AS$29:$AS$361,0)))</f>
        <v/>
      </c>
      <c r="C213" s="5" t="str">
        <f aca="false">IF($O213="","",IF(INDEX(Scoring!$AM$29:$AM$361,MATCH($O213,Scoring!$AS$29:$AS$361,0))="","–",INDEX(Scoring!$AM$29:$AM$361,MATCH($O213,Scoring!$AS$29:$AS$361,0))))</f>
        <v/>
      </c>
      <c r="D213" s="6" t="str">
        <f aca="false">IF($O213="","",INDEX(Scoring!$AK$29:$AK$361,MATCH($O213,Scoring!$AS$29:$AS$361,0)))</f>
        <v/>
      </c>
      <c r="E213" s="7" t="str">
        <f aca="false">IF($O213="","",INDEX(Scoring!$AL$29:$AL$361,MATCH($O213,Scoring!$AS$29:$AS$361,0)))</f>
        <v/>
      </c>
      <c r="F213" s="6" t="str">
        <f aca="false">IF($O213="","",INDEX(Scoring!$B$29:$B$361,MATCH($O213,Scoring!$AS$29:$AS$361,0)))</f>
        <v/>
      </c>
      <c r="G213" s="7" t="str">
        <f aca="false">IF($O213="","",INDEX(Scoring!$AG$29:$AG$361,MATCH($O213,Scoring!$AS$29:$AS$361,0)))</f>
        <v/>
      </c>
      <c r="H213" s="7" t="str">
        <f aca="false">IF($O213="","",INDEX(Scoring!$C$29:$C$361,MATCH($O213,Scoring!$AS$29:$AS$361,0)))</f>
        <v/>
      </c>
      <c r="I213" s="6" t="str">
        <f aca="false">IF($O213="","",INDEX(Scoring!$I$29:$I$361,MATCH($O213,Scoring!$AS$29:$AS$361,0)))</f>
        <v/>
      </c>
      <c r="J213" s="7" t="str">
        <f aca="false">IF($O213="","",INDEX(Scoring!$Z$29:$Z$361,MATCH($O213,Scoring!$AS$29:$AS$361,0)))</f>
        <v/>
      </c>
      <c r="K213" s="8" t="str">
        <f aca="false">IF($O213="","",IF(INDEX(Scoring!$D$29:$D$361,MATCH($O213,Scoring!$AS$29:$AS$361,0))="",INDEX(Scoring!$AF$29:$AF$361,MATCH($O213,Scoring!$AS$29:$AS$361,0)),INDEX(Scoring!$D$29:$D$361,MATCH($O213,Scoring!$AS$29:$AS$361,0))))</f>
        <v/>
      </c>
      <c r="L213" s="9" t="str">
        <f aca="false">IF($O213="","",INDEX(Scoring!$L$29:$L$361,MATCH($O213,Scoring!$AS$29:$AS$361,0)))</f>
        <v/>
      </c>
      <c r="M213" s="9" t="str">
        <f aca="false">IF($O213="","",INDEX(Scoring!$N$29:$N$361,MATCH($O213,Scoring!$AS$29:$AS$361,0)))</f>
        <v/>
      </c>
      <c r="N213" s="7" t="str">
        <f aca="false">IF($O213="","",INDEX(Scoring!$AI$29:$AI$361,MATCH($O213,Scoring!$AS$29:$AS$361,0)))</f>
        <v/>
      </c>
      <c r="O213" s="10" t="str">
        <f aca="false">IFERROR(SMALL(Scoring!$AS$29:$AS$361,209),"")</f>
        <v/>
      </c>
    </row>
    <row r="214" customFormat="false" ht="15" hidden="false" customHeight="false" outlineLevel="0" collapsed="false">
      <c r="A214" s="5" t="str">
        <f aca="false">IF($O214="","",INT($O214/1000))</f>
        <v/>
      </c>
      <c r="B214" s="6" t="str">
        <f aca="false">IF($O214="","",INDEX(Scoring!$A$29:$A$361,MATCH($O214,Scoring!$AS$29:$AS$361,0)))</f>
        <v/>
      </c>
      <c r="C214" s="5" t="str">
        <f aca="false">IF($O214="","",IF(INDEX(Scoring!$AM$29:$AM$361,MATCH($O214,Scoring!$AS$29:$AS$361,0))="","–",INDEX(Scoring!$AM$29:$AM$361,MATCH($O214,Scoring!$AS$29:$AS$361,0))))</f>
        <v/>
      </c>
      <c r="D214" s="6" t="str">
        <f aca="false">IF($O214="","",INDEX(Scoring!$AK$29:$AK$361,MATCH($O214,Scoring!$AS$29:$AS$361,0)))</f>
        <v/>
      </c>
      <c r="E214" s="7" t="str">
        <f aca="false">IF($O214="","",INDEX(Scoring!$AL$29:$AL$361,MATCH($O214,Scoring!$AS$29:$AS$361,0)))</f>
        <v/>
      </c>
      <c r="F214" s="6" t="str">
        <f aca="false">IF($O214="","",INDEX(Scoring!$B$29:$B$361,MATCH($O214,Scoring!$AS$29:$AS$361,0)))</f>
        <v/>
      </c>
      <c r="G214" s="7" t="str">
        <f aca="false">IF($O214="","",INDEX(Scoring!$AG$29:$AG$361,MATCH($O214,Scoring!$AS$29:$AS$361,0)))</f>
        <v/>
      </c>
      <c r="H214" s="7" t="str">
        <f aca="false">IF($O214="","",INDEX(Scoring!$C$29:$C$361,MATCH($O214,Scoring!$AS$29:$AS$361,0)))</f>
        <v/>
      </c>
      <c r="I214" s="6" t="str">
        <f aca="false">IF($O214="","",INDEX(Scoring!$I$29:$I$361,MATCH($O214,Scoring!$AS$29:$AS$361,0)))</f>
        <v/>
      </c>
      <c r="J214" s="7" t="str">
        <f aca="false">IF($O214="","",INDEX(Scoring!$Z$29:$Z$361,MATCH($O214,Scoring!$AS$29:$AS$361,0)))</f>
        <v/>
      </c>
      <c r="K214" s="8" t="str">
        <f aca="false">IF($O214="","",IF(INDEX(Scoring!$D$29:$D$361,MATCH($O214,Scoring!$AS$29:$AS$361,0))="",INDEX(Scoring!$AF$29:$AF$361,MATCH($O214,Scoring!$AS$29:$AS$361,0)),INDEX(Scoring!$D$29:$D$361,MATCH($O214,Scoring!$AS$29:$AS$361,0))))</f>
        <v/>
      </c>
      <c r="L214" s="9" t="str">
        <f aca="false">IF($O214="","",INDEX(Scoring!$L$29:$L$361,MATCH($O214,Scoring!$AS$29:$AS$361,0)))</f>
        <v/>
      </c>
      <c r="M214" s="9" t="str">
        <f aca="false">IF($O214="","",INDEX(Scoring!$N$29:$N$361,MATCH($O214,Scoring!$AS$29:$AS$361,0)))</f>
        <v/>
      </c>
      <c r="N214" s="7" t="str">
        <f aca="false">IF($O214="","",INDEX(Scoring!$AI$29:$AI$361,MATCH($O214,Scoring!$AS$29:$AS$361,0)))</f>
        <v/>
      </c>
      <c r="O214" s="10" t="str">
        <f aca="false">IFERROR(SMALL(Scoring!$AS$29:$AS$361,210),"")</f>
        <v/>
      </c>
    </row>
    <row r="215" customFormat="false" ht="15" hidden="false" customHeight="false" outlineLevel="0" collapsed="false">
      <c r="A215" s="5" t="str">
        <f aca="false">IF($O215="","",INT($O215/1000))</f>
        <v/>
      </c>
      <c r="B215" s="6" t="str">
        <f aca="false">IF($O215="","",INDEX(Scoring!$A$29:$A$361,MATCH($O215,Scoring!$AS$29:$AS$361,0)))</f>
        <v/>
      </c>
      <c r="C215" s="5" t="str">
        <f aca="false">IF($O215="","",IF(INDEX(Scoring!$AM$29:$AM$361,MATCH($O215,Scoring!$AS$29:$AS$361,0))="","–",INDEX(Scoring!$AM$29:$AM$361,MATCH($O215,Scoring!$AS$29:$AS$361,0))))</f>
        <v/>
      </c>
      <c r="D215" s="6" t="str">
        <f aca="false">IF($O215="","",INDEX(Scoring!$AK$29:$AK$361,MATCH($O215,Scoring!$AS$29:$AS$361,0)))</f>
        <v/>
      </c>
      <c r="E215" s="7" t="str">
        <f aca="false">IF($O215="","",INDEX(Scoring!$AL$29:$AL$361,MATCH($O215,Scoring!$AS$29:$AS$361,0)))</f>
        <v/>
      </c>
      <c r="F215" s="6" t="str">
        <f aca="false">IF($O215="","",INDEX(Scoring!$B$29:$B$361,MATCH($O215,Scoring!$AS$29:$AS$361,0)))</f>
        <v/>
      </c>
      <c r="G215" s="7" t="str">
        <f aca="false">IF($O215="","",INDEX(Scoring!$AG$29:$AG$361,MATCH($O215,Scoring!$AS$29:$AS$361,0)))</f>
        <v/>
      </c>
      <c r="H215" s="7" t="str">
        <f aca="false">IF($O215="","",INDEX(Scoring!$C$29:$C$361,MATCH($O215,Scoring!$AS$29:$AS$361,0)))</f>
        <v/>
      </c>
      <c r="I215" s="6" t="str">
        <f aca="false">IF($O215="","",INDEX(Scoring!$I$29:$I$361,MATCH($O215,Scoring!$AS$29:$AS$361,0)))</f>
        <v/>
      </c>
      <c r="J215" s="7" t="str">
        <f aca="false">IF($O215="","",INDEX(Scoring!$Z$29:$Z$361,MATCH($O215,Scoring!$AS$29:$AS$361,0)))</f>
        <v/>
      </c>
      <c r="K215" s="8" t="str">
        <f aca="false">IF($O215="","",IF(INDEX(Scoring!$D$29:$D$361,MATCH($O215,Scoring!$AS$29:$AS$361,0))="",INDEX(Scoring!$AF$29:$AF$361,MATCH($O215,Scoring!$AS$29:$AS$361,0)),INDEX(Scoring!$D$29:$D$361,MATCH($O215,Scoring!$AS$29:$AS$361,0))))</f>
        <v/>
      </c>
      <c r="L215" s="9" t="str">
        <f aca="false">IF($O215="","",INDEX(Scoring!$L$29:$L$361,MATCH($O215,Scoring!$AS$29:$AS$361,0)))</f>
        <v/>
      </c>
      <c r="M215" s="9" t="str">
        <f aca="false">IF($O215="","",INDEX(Scoring!$N$29:$N$361,MATCH($O215,Scoring!$AS$29:$AS$361,0)))</f>
        <v/>
      </c>
      <c r="N215" s="7" t="str">
        <f aca="false">IF($O215="","",INDEX(Scoring!$AI$29:$AI$361,MATCH($O215,Scoring!$AS$29:$AS$361,0)))</f>
        <v/>
      </c>
      <c r="O215" s="10" t="str">
        <f aca="false">IFERROR(SMALL(Scoring!$AS$29:$AS$361,211),"")</f>
        <v/>
      </c>
    </row>
    <row r="216" customFormat="false" ht="15" hidden="false" customHeight="false" outlineLevel="0" collapsed="false">
      <c r="A216" s="5" t="str">
        <f aca="false">IF($O216="","",INT($O216/1000))</f>
        <v/>
      </c>
      <c r="B216" s="6" t="str">
        <f aca="false">IF($O216="","",INDEX(Scoring!$A$29:$A$361,MATCH($O216,Scoring!$AS$29:$AS$361,0)))</f>
        <v/>
      </c>
      <c r="C216" s="5" t="str">
        <f aca="false">IF($O216="","",IF(INDEX(Scoring!$AM$29:$AM$361,MATCH($O216,Scoring!$AS$29:$AS$361,0))="","–",INDEX(Scoring!$AM$29:$AM$361,MATCH($O216,Scoring!$AS$29:$AS$361,0))))</f>
        <v/>
      </c>
      <c r="D216" s="6" t="str">
        <f aca="false">IF($O216="","",INDEX(Scoring!$AK$29:$AK$361,MATCH($O216,Scoring!$AS$29:$AS$361,0)))</f>
        <v/>
      </c>
      <c r="E216" s="7" t="str">
        <f aca="false">IF($O216="","",INDEX(Scoring!$AL$29:$AL$361,MATCH($O216,Scoring!$AS$29:$AS$361,0)))</f>
        <v/>
      </c>
      <c r="F216" s="6" t="str">
        <f aca="false">IF($O216="","",INDEX(Scoring!$B$29:$B$361,MATCH($O216,Scoring!$AS$29:$AS$361,0)))</f>
        <v/>
      </c>
      <c r="G216" s="7" t="str">
        <f aca="false">IF($O216="","",INDEX(Scoring!$AG$29:$AG$361,MATCH($O216,Scoring!$AS$29:$AS$361,0)))</f>
        <v/>
      </c>
      <c r="H216" s="7" t="str">
        <f aca="false">IF($O216="","",INDEX(Scoring!$C$29:$C$361,MATCH($O216,Scoring!$AS$29:$AS$361,0)))</f>
        <v/>
      </c>
      <c r="I216" s="6" t="str">
        <f aca="false">IF($O216="","",INDEX(Scoring!$I$29:$I$361,MATCH($O216,Scoring!$AS$29:$AS$361,0)))</f>
        <v/>
      </c>
      <c r="J216" s="7" t="str">
        <f aca="false">IF($O216="","",INDEX(Scoring!$Z$29:$Z$361,MATCH($O216,Scoring!$AS$29:$AS$361,0)))</f>
        <v/>
      </c>
      <c r="K216" s="8" t="str">
        <f aca="false">IF($O216="","",IF(INDEX(Scoring!$D$29:$D$361,MATCH($O216,Scoring!$AS$29:$AS$361,0))="",INDEX(Scoring!$AF$29:$AF$361,MATCH($O216,Scoring!$AS$29:$AS$361,0)),INDEX(Scoring!$D$29:$D$361,MATCH($O216,Scoring!$AS$29:$AS$361,0))))</f>
        <v/>
      </c>
      <c r="L216" s="9" t="str">
        <f aca="false">IF($O216="","",INDEX(Scoring!$L$29:$L$361,MATCH($O216,Scoring!$AS$29:$AS$361,0)))</f>
        <v/>
      </c>
      <c r="M216" s="9" t="str">
        <f aca="false">IF($O216="","",INDEX(Scoring!$N$29:$N$361,MATCH($O216,Scoring!$AS$29:$AS$361,0)))</f>
        <v/>
      </c>
      <c r="N216" s="7" t="str">
        <f aca="false">IF($O216="","",INDEX(Scoring!$AI$29:$AI$361,MATCH($O216,Scoring!$AS$29:$AS$361,0)))</f>
        <v/>
      </c>
      <c r="O216" s="10" t="str">
        <f aca="false">IFERROR(SMALL(Scoring!$AS$29:$AS$361,212),"")</f>
        <v/>
      </c>
    </row>
    <row r="217" customFormat="false" ht="15" hidden="false" customHeight="false" outlineLevel="0" collapsed="false">
      <c r="A217" s="5" t="str">
        <f aca="false">IF($O217="","",INT($O217/1000))</f>
        <v/>
      </c>
      <c r="B217" s="6" t="str">
        <f aca="false">IF($O217="","",INDEX(Scoring!$A$29:$A$361,MATCH($O217,Scoring!$AS$29:$AS$361,0)))</f>
        <v/>
      </c>
      <c r="C217" s="5" t="str">
        <f aca="false">IF($O217="","",IF(INDEX(Scoring!$AM$29:$AM$361,MATCH($O217,Scoring!$AS$29:$AS$361,0))="","–",INDEX(Scoring!$AM$29:$AM$361,MATCH($O217,Scoring!$AS$29:$AS$361,0))))</f>
        <v/>
      </c>
      <c r="D217" s="6" t="str">
        <f aca="false">IF($O217="","",INDEX(Scoring!$AK$29:$AK$361,MATCH($O217,Scoring!$AS$29:$AS$361,0)))</f>
        <v/>
      </c>
      <c r="E217" s="7" t="str">
        <f aca="false">IF($O217="","",INDEX(Scoring!$AL$29:$AL$361,MATCH($O217,Scoring!$AS$29:$AS$361,0)))</f>
        <v/>
      </c>
      <c r="F217" s="6" t="str">
        <f aca="false">IF($O217="","",INDEX(Scoring!$B$29:$B$361,MATCH($O217,Scoring!$AS$29:$AS$361,0)))</f>
        <v/>
      </c>
      <c r="G217" s="7" t="str">
        <f aca="false">IF($O217="","",INDEX(Scoring!$AG$29:$AG$361,MATCH($O217,Scoring!$AS$29:$AS$361,0)))</f>
        <v/>
      </c>
      <c r="H217" s="7" t="str">
        <f aca="false">IF($O217="","",INDEX(Scoring!$C$29:$C$361,MATCH($O217,Scoring!$AS$29:$AS$361,0)))</f>
        <v/>
      </c>
      <c r="I217" s="6" t="str">
        <f aca="false">IF($O217="","",INDEX(Scoring!$I$29:$I$361,MATCH($O217,Scoring!$AS$29:$AS$361,0)))</f>
        <v/>
      </c>
      <c r="J217" s="7" t="str">
        <f aca="false">IF($O217="","",INDEX(Scoring!$Z$29:$Z$361,MATCH($O217,Scoring!$AS$29:$AS$361,0)))</f>
        <v/>
      </c>
      <c r="K217" s="8" t="str">
        <f aca="false">IF($O217="","",IF(INDEX(Scoring!$D$29:$D$361,MATCH($O217,Scoring!$AS$29:$AS$361,0))="",INDEX(Scoring!$AF$29:$AF$361,MATCH($O217,Scoring!$AS$29:$AS$361,0)),INDEX(Scoring!$D$29:$D$361,MATCH($O217,Scoring!$AS$29:$AS$361,0))))</f>
        <v/>
      </c>
      <c r="L217" s="9" t="str">
        <f aca="false">IF($O217="","",INDEX(Scoring!$L$29:$L$361,MATCH($O217,Scoring!$AS$29:$AS$361,0)))</f>
        <v/>
      </c>
      <c r="M217" s="9" t="str">
        <f aca="false">IF($O217="","",INDEX(Scoring!$N$29:$N$361,MATCH($O217,Scoring!$AS$29:$AS$361,0)))</f>
        <v/>
      </c>
      <c r="N217" s="7" t="str">
        <f aca="false">IF($O217="","",INDEX(Scoring!$AI$29:$AI$361,MATCH($O217,Scoring!$AS$29:$AS$361,0)))</f>
        <v/>
      </c>
      <c r="O217" s="10" t="str">
        <f aca="false">IFERROR(SMALL(Scoring!$AS$29:$AS$361,213),"")</f>
        <v/>
      </c>
    </row>
    <row r="218" customFormat="false" ht="15" hidden="false" customHeight="false" outlineLevel="0" collapsed="false">
      <c r="A218" s="5" t="str">
        <f aca="false">IF($O218="","",INT($O218/1000))</f>
        <v/>
      </c>
      <c r="B218" s="6" t="str">
        <f aca="false">IF($O218="","",INDEX(Scoring!$A$29:$A$361,MATCH($O218,Scoring!$AS$29:$AS$361,0)))</f>
        <v/>
      </c>
      <c r="C218" s="5" t="str">
        <f aca="false">IF($O218="","",IF(INDEX(Scoring!$AM$29:$AM$361,MATCH($O218,Scoring!$AS$29:$AS$361,0))="","–",INDEX(Scoring!$AM$29:$AM$361,MATCH($O218,Scoring!$AS$29:$AS$361,0))))</f>
        <v/>
      </c>
      <c r="D218" s="6" t="str">
        <f aca="false">IF($O218="","",INDEX(Scoring!$AK$29:$AK$361,MATCH($O218,Scoring!$AS$29:$AS$361,0)))</f>
        <v/>
      </c>
      <c r="E218" s="7" t="str">
        <f aca="false">IF($O218="","",INDEX(Scoring!$AL$29:$AL$361,MATCH($O218,Scoring!$AS$29:$AS$361,0)))</f>
        <v/>
      </c>
      <c r="F218" s="6" t="str">
        <f aca="false">IF($O218="","",INDEX(Scoring!$B$29:$B$361,MATCH($O218,Scoring!$AS$29:$AS$361,0)))</f>
        <v/>
      </c>
      <c r="G218" s="7" t="str">
        <f aca="false">IF($O218="","",INDEX(Scoring!$AG$29:$AG$361,MATCH($O218,Scoring!$AS$29:$AS$361,0)))</f>
        <v/>
      </c>
      <c r="H218" s="7" t="str">
        <f aca="false">IF($O218="","",INDEX(Scoring!$C$29:$C$361,MATCH($O218,Scoring!$AS$29:$AS$361,0)))</f>
        <v/>
      </c>
      <c r="I218" s="6" t="str">
        <f aca="false">IF($O218="","",INDEX(Scoring!$I$29:$I$361,MATCH($O218,Scoring!$AS$29:$AS$361,0)))</f>
        <v/>
      </c>
      <c r="J218" s="7" t="str">
        <f aca="false">IF($O218="","",INDEX(Scoring!$Z$29:$Z$361,MATCH($O218,Scoring!$AS$29:$AS$361,0)))</f>
        <v/>
      </c>
      <c r="K218" s="8" t="str">
        <f aca="false">IF($O218="","",IF(INDEX(Scoring!$D$29:$D$361,MATCH($O218,Scoring!$AS$29:$AS$361,0))="",INDEX(Scoring!$AF$29:$AF$361,MATCH($O218,Scoring!$AS$29:$AS$361,0)),INDEX(Scoring!$D$29:$D$361,MATCH($O218,Scoring!$AS$29:$AS$361,0))))</f>
        <v/>
      </c>
      <c r="L218" s="9" t="str">
        <f aca="false">IF($O218="","",INDEX(Scoring!$L$29:$L$361,MATCH($O218,Scoring!$AS$29:$AS$361,0)))</f>
        <v/>
      </c>
      <c r="M218" s="9" t="str">
        <f aca="false">IF($O218="","",INDEX(Scoring!$N$29:$N$361,MATCH($O218,Scoring!$AS$29:$AS$361,0)))</f>
        <v/>
      </c>
      <c r="N218" s="7" t="str">
        <f aca="false">IF($O218="","",INDEX(Scoring!$AI$29:$AI$361,MATCH($O218,Scoring!$AS$29:$AS$361,0)))</f>
        <v/>
      </c>
      <c r="O218" s="10" t="str">
        <f aca="false">IFERROR(SMALL(Scoring!$AS$29:$AS$361,214),"")</f>
        <v/>
      </c>
    </row>
    <row r="219" customFormat="false" ht="15" hidden="false" customHeight="false" outlineLevel="0" collapsed="false">
      <c r="A219" s="5" t="str">
        <f aca="false">IF($O219="","",INT($O219/1000))</f>
        <v/>
      </c>
      <c r="B219" s="6" t="str">
        <f aca="false">IF($O219="","",INDEX(Scoring!$A$29:$A$361,MATCH($O219,Scoring!$AS$29:$AS$361,0)))</f>
        <v/>
      </c>
      <c r="C219" s="5" t="str">
        <f aca="false">IF($O219="","",IF(INDEX(Scoring!$AM$29:$AM$361,MATCH($O219,Scoring!$AS$29:$AS$361,0))="","–",INDEX(Scoring!$AM$29:$AM$361,MATCH($O219,Scoring!$AS$29:$AS$361,0))))</f>
        <v/>
      </c>
      <c r="D219" s="6" t="str">
        <f aca="false">IF($O219="","",INDEX(Scoring!$AK$29:$AK$361,MATCH($O219,Scoring!$AS$29:$AS$361,0)))</f>
        <v/>
      </c>
      <c r="E219" s="7" t="str">
        <f aca="false">IF($O219="","",INDEX(Scoring!$AL$29:$AL$361,MATCH($O219,Scoring!$AS$29:$AS$361,0)))</f>
        <v/>
      </c>
      <c r="F219" s="6" t="str">
        <f aca="false">IF($O219="","",INDEX(Scoring!$B$29:$B$361,MATCH($O219,Scoring!$AS$29:$AS$361,0)))</f>
        <v/>
      </c>
      <c r="G219" s="7" t="str">
        <f aca="false">IF($O219="","",INDEX(Scoring!$AG$29:$AG$361,MATCH($O219,Scoring!$AS$29:$AS$361,0)))</f>
        <v/>
      </c>
      <c r="H219" s="7" t="str">
        <f aca="false">IF($O219="","",INDEX(Scoring!$C$29:$C$361,MATCH($O219,Scoring!$AS$29:$AS$361,0)))</f>
        <v/>
      </c>
      <c r="I219" s="6" t="str">
        <f aca="false">IF($O219="","",INDEX(Scoring!$I$29:$I$361,MATCH($O219,Scoring!$AS$29:$AS$361,0)))</f>
        <v/>
      </c>
      <c r="J219" s="7" t="str">
        <f aca="false">IF($O219="","",INDEX(Scoring!$Z$29:$Z$361,MATCH($O219,Scoring!$AS$29:$AS$361,0)))</f>
        <v/>
      </c>
      <c r="K219" s="8" t="str">
        <f aca="false">IF($O219="","",IF(INDEX(Scoring!$D$29:$D$361,MATCH($O219,Scoring!$AS$29:$AS$361,0))="",INDEX(Scoring!$AF$29:$AF$361,MATCH($O219,Scoring!$AS$29:$AS$361,0)),INDEX(Scoring!$D$29:$D$361,MATCH($O219,Scoring!$AS$29:$AS$361,0))))</f>
        <v/>
      </c>
      <c r="L219" s="9" t="str">
        <f aca="false">IF($O219="","",INDEX(Scoring!$L$29:$L$361,MATCH($O219,Scoring!$AS$29:$AS$361,0)))</f>
        <v/>
      </c>
      <c r="M219" s="9" t="str">
        <f aca="false">IF($O219="","",INDEX(Scoring!$N$29:$N$361,MATCH($O219,Scoring!$AS$29:$AS$361,0)))</f>
        <v/>
      </c>
      <c r="N219" s="7" t="str">
        <f aca="false">IF($O219="","",INDEX(Scoring!$AI$29:$AI$361,MATCH($O219,Scoring!$AS$29:$AS$361,0)))</f>
        <v/>
      </c>
      <c r="O219" s="10" t="str">
        <f aca="false">IFERROR(SMALL(Scoring!$AS$29:$AS$361,215),"")</f>
        <v/>
      </c>
    </row>
    <row r="220" customFormat="false" ht="15" hidden="false" customHeight="false" outlineLevel="0" collapsed="false">
      <c r="A220" s="5" t="str">
        <f aca="false">IF($O220="","",INT($O220/1000))</f>
        <v/>
      </c>
      <c r="B220" s="6" t="str">
        <f aca="false">IF($O220="","",INDEX(Scoring!$A$29:$A$361,MATCH($O220,Scoring!$AS$29:$AS$361,0)))</f>
        <v/>
      </c>
      <c r="C220" s="5" t="str">
        <f aca="false">IF($O220="","",IF(INDEX(Scoring!$AM$29:$AM$361,MATCH($O220,Scoring!$AS$29:$AS$361,0))="","–",INDEX(Scoring!$AM$29:$AM$361,MATCH($O220,Scoring!$AS$29:$AS$361,0))))</f>
        <v/>
      </c>
      <c r="D220" s="6" t="str">
        <f aca="false">IF($O220="","",INDEX(Scoring!$AK$29:$AK$361,MATCH($O220,Scoring!$AS$29:$AS$361,0)))</f>
        <v/>
      </c>
      <c r="E220" s="7" t="str">
        <f aca="false">IF($O220="","",INDEX(Scoring!$AL$29:$AL$361,MATCH($O220,Scoring!$AS$29:$AS$361,0)))</f>
        <v/>
      </c>
      <c r="F220" s="6" t="str">
        <f aca="false">IF($O220="","",INDEX(Scoring!$B$29:$B$361,MATCH($O220,Scoring!$AS$29:$AS$361,0)))</f>
        <v/>
      </c>
      <c r="G220" s="7" t="str">
        <f aca="false">IF($O220="","",INDEX(Scoring!$AG$29:$AG$361,MATCH($O220,Scoring!$AS$29:$AS$361,0)))</f>
        <v/>
      </c>
      <c r="H220" s="7" t="str">
        <f aca="false">IF($O220="","",INDEX(Scoring!$C$29:$C$361,MATCH($O220,Scoring!$AS$29:$AS$361,0)))</f>
        <v/>
      </c>
      <c r="I220" s="6" t="str">
        <f aca="false">IF($O220="","",INDEX(Scoring!$I$29:$I$361,MATCH($O220,Scoring!$AS$29:$AS$361,0)))</f>
        <v/>
      </c>
      <c r="J220" s="7" t="str">
        <f aca="false">IF($O220="","",INDEX(Scoring!$Z$29:$Z$361,MATCH($O220,Scoring!$AS$29:$AS$361,0)))</f>
        <v/>
      </c>
      <c r="K220" s="8" t="str">
        <f aca="false">IF($O220="","",IF(INDEX(Scoring!$D$29:$D$361,MATCH($O220,Scoring!$AS$29:$AS$361,0))="",INDEX(Scoring!$AF$29:$AF$361,MATCH($O220,Scoring!$AS$29:$AS$361,0)),INDEX(Scoring!$D$29:$D$361,MATCH($O220,Scoring!$AS$29:$AS$361,0))))</f>
        <v/>
      </c>
      <c r="L220" s="9" t="str">
        <f aca="false">IF($O220="","",INDEX(Scoring!$L$29:$L$361,MATCH($O220,Scoring!$AS$29:$AS$361,0)))</f>
        <v/>
      </c>
      <c r="M220" s="9" t="str">
        <f aca="false">IF($O220="","",INDEX(Scoring!$N$29:$N$361,MATCH($O220,Scoring!$AS$29:$AS$361,0)))</f>
        <v/>
      </c>
      <c r="N220" s="7" t="str">
        <f aca="false">IF($O220="","",INDEX(Scoring!$AI$29:$AI$361,MATCH($O220,Scoring!$AS$29:$AS$361,0)))</f>
        <v/>
      </c>
      <c r="O220" s="10" t="str">
        <f aca="false">IFERROR(SMALL(Scoring!$AS$29:$AS$361,216),"")</f>
        <v/>
      </c>
    </row>
    <row r="221" customFormat="false" ht="15" hidden="false" customHeight="false" outlineLevel="0" collapsed="false">
      <c r="A221" s="5" t="str">
        <f aca="false">IF($O221="","",INT($O221/1000))</f>
        <v/>
      </c>
      <c r="B221" s="6" t="str">
        <f aca="false">IF($O221="","",INDEX(Scoring!$A$29:$A$361,MATCH($O221,Scoring!$AS$29:$AS$361,0)))</f>
        <v/>
      </c>
      <c r="C221" s="5" t="str">
        <f aca="false">IF($O221="","",IF(INDEX(Scoring!$AM$29:$AM$361,MATCH($O221,Scoring!$AS$29:$AS$361,0))="","–",INDEX(Scoring!$AM$29:$AM$361,MATCH($O221,Scoring!$AS$29:$AS$361,0))))</f>
        <v/>
      </c>
      <c r="D221" s="6" t="str">
        <f aca="false">IF($O221="","",INDEX(Scoring!$AK$29:$AK$361,MATCH($O221,Scoring!$AS$29:$AS$361,0)))</f>
        <v/>
      </c>
      <c r="E221" s="7" t="str">
        <f aca="false">IF($O221="","",INDEX(Scoring!$AL$29:$AL$361,MATCH($O221,Scoring!$AS$29:$AS$361,0)))</f>
        <v/>
      </c>
      <c r="F221" s="6" t="str">
        <f aca="false">IF($O221="","",INDEX(Scoring!$B$29:$B$361,MATCH($O221,Scoring!$AS$29:$AS$361,0)))</f>
        <v/>
      </c>
      <c r="G221" s="7" t="str">
        <f aca="false">IF($O221="","",INDEX(Scoring!$AG$29:$AG$361,MATCH($O221,Scoring!$AS$29:$AS$361,0)))</f>
        <v/>
      </c>
      <c r="H221" s="7" t="str">
        <f aca="false">IF($O221="","",INDEX(Scoring!$C$29:$C$361,MATCH($O221,Scoring!$AS$29:$AS$361,0)))</f>
        <v/>
      </c>
      <c r="I221" s="6" t="str">
        <f aca="false">IF($O221="","",INDEX(Scoring!$I$29:$I$361,MATCH($O221,Scoring!$AS$29:$AS$361,0)))</f>
        <v/>
      </c>
      <c r="J221" s="7" t="str">
        <f aca="false">IF($O221="","",INDEX(Scoring!$Z$29:$Z$361,MATCH($O221,Scoring!$AS$29:$AS$361,0)))</f>
        <v/>
      </c>
      <c r="K221" s="8" t="str">
        <f aca="false">IF($O221="","",IF(INDEX(Scoring!$D$29:$D$361,MATCH($O221,Scoring!$AS$29:$AS$361,0))="",INDEX(Scoring!$AF$29:$AF$361,MATCH($O221,Scoring!$AS$29:$AS$361,0)),INDEX(Scoring!$D$29:$D$361,MATCH($O221,Scoring!$AS$29:$AS$361,0))))</f>
        <v/>
      </c>
      <c r="L221" s="9" t="str">
        <f aca="false">IF($O221="","",INDEX(Scoring!$L$29:$L$361,MATCH($O221,Scoring!$AS$29:$AS$361,0)))</f>
        <v/>
      </c>
      <c r="M221" s="9" t="str">
        <f aca="false">IF($O221="","",INDEX(Scoring!$N$29:$N$361,MATCH($O221,Scoring!$AS$29:$AS$361,0)))</f>
        <v/>
      </c>
      <c r="N221" s="7" t="str">
        <f aca="false">IF($O221="","",INDEX(Scoring!$AI$29:$AI$361,MATCH($O221,Scoring!$AS$29:$AS$361,0)))</f>
        <v/>
      </c>
      <c r="O221" s="10" t="str">
        <f aca="false">IFERROR(SMALL(Scoring!$AS$29:$AS$361,217),"")</f>
        <v/>
      </c>
    </row>
    <row r="222" customFormat="false" ht="15" hidden="false" customHeight="false" outlineLevel="0" collapsed="false">
      <c r="A222" s="5" t="str">
        <f aca="false">IF($O222="","",INT($O222/1000))</f>
        <v/>
      </c>
      <c r="B222" s="6" t="str">
        <f aca="false">IF($O222="","",INDEX(Scoring!$A$29:$A$361,MATCH($O222,Scoring!$AS$29:$AS$361,0)))</f>
        <v/>
      </c>
      <c r="C222" s="5" t="str">
        <f aca="false">IF($O222="","",IF(INDEX(Scoring!$AM$29:$AM$361,MATCH($O222,Scoring!$AS$29:$AS$361,0))="","–",INDEX(Scoring!$AM$29:$AM$361,MATCH($O222,Scoring!$AS$29:$AS$361,0))))</f>
        <v/>
      </c>
      <c r="D222" s="6" t="str">
        <f aca="false">IF($O222="","",INDEX(Scoring!$AK$29:$AK$361,MATCH($O222,Scoring!$AS$29:$AS$361,0)))</f>
        <v/>
      </c>
      <c r="E222" s="7" t="str">
        <f aca="false">IF($O222="","",INDEX(Scoring!$AL$29:$AL$361,MATCH($O222,Scoring!$AS$29:$AS$361,0)))</f>
        <v/>
      </c>
      <c r="F222" s="6" t="str">
        <f aca="false">IF($O222="","",INDEX(Scoring!$B$29:$B$361,MATCH($O222,Scoring!$AS$29:$AS$361,0)))</f>
        <v/>
      </c>
      <c r="G222" s="7" t="str">
        <f aca="false">IF($O222="","",INDEX(Scoring!$AG$29:$AG$361,MATCH($O222,Scoring!$AS$29:$AS$361,0)))</f>
        <v/>
      </c>
      <c r="H222" s="7" t="str">
        <f aca="false">IF($O222="","",INDEX(Scoring!$C$29:$C$361,MATCH($O222,Scoring!$AS$29:$AS$361,0)))</f>
        <v/>
      </c>
      <c r="I222" s="6" t="str">
        <f aca="false">IF($O222="","",INDEX(Scoring!$I$29:$I$361,MATCH($O222,Scoring!$AS$29:$AS$361,0)))</f>
        <v/>
      </c>
      <c r="J222" s="7" t="str">
        <f aca="false">IF($O222="","",INDEX(Scoring!$Z$29:$Z$361,MATCH($O222,Scoring!$AS$29:$AS$361,0)))</f>
        <v/>
      </c>
      <c r="K222" s="8" t="str">
        <f aca="false">IF($O222="","",IF(INDEX(Scoring!$D$29:$D$361,MATCH($O222,Scoring!$AS$29:$AS$361,0))="",INDEX(Scoring!$AF$29:$AF$361,MATCH($O222,Scoring!$AS$29:$AS$361,0)),INDEX(Scoring!$D$29:$D$361,MATCH($O222,Scoring!$AS$29:$AS$361,0))))</f>
        <v/>
      </c>
      <c r="L222" s="9" t="str">
        <f aca="false">IF($O222="","",INDEX(Scoring!$L$29:$L$361,MATCH($O222,Scoring!$AS$29:$AS$361,0)))</f>
        <v/>
      </c>
      <c r="M222" s="9" t="str">
        <f aca="false">IF($O222="","",INDEX(Scoring!$N$29:$N$361,MATCH($O222,Scoring!$AS$29:$AS$361,0)))</f>
        <v/>
      </c>
      <c r="N222" s="7" t="str">
        <f aca="false">IF($O222="","",INDEX(Scoring!$AI$29:$AI$361,MATCH($O222,Scoring!$AS$29:$AS$361,0)))</f>
        <v/>
      </c>
      <c r="O222" s="10" t="str">
        <f aca="false">IFERROR(SMALL(Scoring!$AS$29:$AS$361,218),"")</f>
        <v/>
      </c>
    </row>
    <row r="223" customFormat="false" ht="15" hidden="false" customHeight="false" outlineLevel="0" collapsed="false">
      <c r="A223" s="5" t="str">
        <f aca="false">IF($O223="","",INT($O223/1000))</f>
        <v/>
      </c>
      <c r="B223" s="6" t="str">
        <f aca="false">IF($O223="","",INDEX(Scoring!$A$29:$A$361,MATCH($O223,Scoring!$AS$29:$AS$361,0)))</f>
        <v/>
      </c>
      <c r="C223" s="5" t="str">
        <f aca="false">IF($O223="","",IF(INDEX(Scoring!$AM$29:$AM$361,MATCH($O223,Scoring!$AS$29:$AS$361,0))="","–",INDEX(Scoring!$AM$29:$AM$361,MATCH($O223,Scoring!$AS$29:$AS$361,0))))</f>
        <v/>
      </c>
      <c r="D223" s="6" t="str">
        <f aca="false">IF($O223="","",INDEX(Scoring!$AK$29:$AK$361,MATCH($O223,Scoring!$AS$29:$AS$361,0)))</f>
        <v/>
      </c>
      <c r="E223" s="7" t="str">
        <f aca="false">IF($O223="","",INDEX(Scoring!$AL$29:$AL$361,MATCH($O223,Scoring!$AS$29:$AS$361,0)))</f>
        <v/>
      </c>
      <c r="F223" s="6" t="str">
        <f aca="false">IF($O223="","",INDEX(Scoring!$B$29:$B$361,MATCH($O223,Scoring!$AS$29:$AS$361,0)))</f>
        <v/>
      </c>
      <c r="G223" s="7" t="str">
        <f aca="false">IF($O223="","",INDEX(Scoring!$AG$29:$AG$361,MATCH($O223,Scoring!$AS$29:$AS$361,0)))</f>
        <v/>
      </c>
      <c r="H223" s="7" t="str">
        <f aca="false">IF($O223="","",INDEX(Scoring!$C$29:$C$361,MATCH($O223,Scoring!$AS$29:$AS$361,0)))</f>
        <v/>
      </c>
      <c r="I223" s="6" t="str">
        <f aca="false">IF($O223="","",INDEX(Scoring!$I$29:$I$361,MATCH($O223,Scoring!$AS$29:$AS$361,0)))</f>
        <v/>
      </c>
      <c r="J223" s="7" t="str">
        <f aca="false">IF($O223="","",INDEX(Scoring!$Z$29:$Z$361,MATCH($O223,Scoring!$AS$29:$AS$361,0)))</f>
        <v/>
      </c>
      <c r="K223" s="8" t="str">
        <f aca="false">IF($O223="","",IF(INDEX(Scoring!$D$29:$D$361,MATCH($O223,Scoring!$AS$29:$AS$361,0))="",INDEX(Scoring!$AF$29:$AF$361,MATCH($O223,Scoring!$AS$29:$AS$361,0)),INDEX(Scoring!$D$29:$D$361,MATCH($O223,Scoring!$AS$29:$AS$361,0))))</f>
        <v/>
      </c>
      <c r="L223" s="9" t="str">
        <f aca="false">IF($O223="","",INDEX(Scoring!$L$29:$L$361,MATCH($O223,Scoring!$AS$29:$AS$361,0)))</f>
        <v/>
      </c>
      <c r="M223" s="9" t="str">
        <f aca="false">IF($O223="","",INDEX(Scoring!$N$29:$N$361,MATCH($O223,Scoring!$AS$29:$AS$361,0)))</f>
        <v/>
      </c>
      <c r="N223" s="7" t="str">
        <f aca="false">IF($O223="","",INDEX(Scoring!$AI$29:$AI$361,MATCH($O223,Scoring!$AS$29:$AS$361,0)))</f>
        <v/>
      </c>
      <c r="O223" s="10" t="str">
        <f aca="false">IFERROR(SMALL(Scoring!$AS$29:$AS$361,219),"")</f>
        <v/>
      </c>
    </row>
    <row r="224" customFormat="false" ht="15" hidden="false" customHeight="false" outlineLevel="0" collapsed="false">
      <c r="A224" s="5" t="str">
        <f aca="false">IF($O224="","",INT($O224/1000))</f>
        <v/>
      </c>
      <c r="B224" s="6" t="str">
        <f aca="false">IF($O224="","",INDEX(Scoring!$A$29:$A$361,MATCH($O224,Scoring!$AS$29:$AS$361,0)))</f>
        <v/>
      </c>
      <c r="C224" s="5" t="str">
        <f aca="false">IF($O224="","",IF(INDEX(Scoring!$AM$29:$AM$361,MATCH($O224,Scoring!$AS$29:$AS$361,0))="","–",INDEX(Scoring!$AM$29:$AM$361,MATCH($O224,Scoring!$AS$29:$AS$361,0))))</f>
        <v/>
      </c>
      <c r="D224" s="6" t="str">
        <f aca="false">IF($O224="","",INDEX(Scoring!$AK$29:$AK$361,MATCH($O224,Scoring!$AS$29:$AS$361,0)))</f>
        <v/>
      </c>
      <c r="E224" s="7" t="str">
        <f aca="false">IF($O224="","",INDEX(Scoring!$AL$29:$AL$361,MATCH($O224,Scoring!$AS$29:$AS$361,0)))</f>
        <v/>
      </c>
      <c r="F224" s="6" t="str">
        <f aca="false">IF($O224="","",INDEX(Scoring!$B$29:$B$361,MATCH($O224,Scoring!$AS$29:$AS$361,0)))</f>
        <v/>
      </c>
      <c r="G224" s="7" t="str">
        <f aca="false">IF($O224="","",INDEX(Scoring!$AG$29:$AG$361,MATCH($O224,Scoring!$AS$29:$AS$361,0)))</f>
        <v/>
      </c>
      <c r="H224" s="7" t="str">
        <f aca="false">IF($O224="","",INDEX(Scoring!$C$29:$C$361,MATCH($O224,Scoring!$AS$29:$AS$361,0)))</f>
        <v/>
      </c>
      <c r="I224" s="6" t="str">
        <f aca="false">IF($O224="","",INDEX(Scoring!$I$29:$I$361,MATCH($O224,Scoring!$AS$29:$AS$361,0)))</f>
        <v/>
      </c>
      <c r="J224" s="7" t="str">
        <f aca="false">IF($O224="","",INDEX(Scoring!$Z$29:$Z$361,MATCH($O224,Scoring!$AS$29:$AS$361,0)))</f>
        <v/>
      </c>
      <c r="K224" s="8" t="str">
        <f aca="false">IF($O224="","",IF(INDEX(Scoring!$D$29:$D$361,MATCH($O224,Scoring!$AS$29:$AS$361,0))="",INDEX(Scoring!$AF$29:$AF$361,MATCH($O224,Scoring!$AS$29:$AS$361,0)),INDEX(Scoring!$D$29:$D$361,MATCH($O224,Scoring!$AS$29:$AS$361,0))))</f>
        <v/>
      </c>
      <c r="L224" s="9" t="str">
        <f aca="false">IF($O224="","",INDEX(Scoring!$L$29:$L$361,MATCH($O224,Scoring!$AS$29:$AS$361,0)))</f>
        <v/>
      </c>
      <c r="M224" s="9" t="str">
        <f aca="false">IF($O224="","",INDEX(Scoring!$N$29:$N$361,MATCH($O224,Scoring!$AS$29:$AS$361,0)))</f>
        <v/>
      </c>
      <c r="N224" s="7" t="str">
        <f aca="false">IF($O224="","",INDEX(Scoring!$AI$29:$AI$361,MATCH($O224,Scoring!$AS$29:$AS$361,0)))</f>
        <v/>
      </c>
      <c r="O224" s="10" t="str">
        <f aca="false">IFERROR(SMALL(Scoring!$AS$29:$AS$361,220),"")</f>
        <v/>
      </c>
    </row>
    <row r="225" customFormat="false" ht="15" hidden="false" customHeight="false" outlineLevel="0" collapsed="false">
      <c r="A225" s="5" t="str">
        <f aca="false">IF($O225="","",INT($O225/1000))</f>
        <v/>
      </c>
      <c r="B225" s="6" t="str">
        <f aca="false">IF($O225="","",INDEX(Scoring!$A$29:$A$361,MATCH($O225,Scoring!$AS$29:$AS$361,0)))</f>
        <v/>
      </c>
      <c r="C225" s="5" t="str">
        <f aca="false">IF($O225="","",IF(INDEX(Scoring!$AM$29:$AM$361,MATCH($O225,Scoring!$AS$29:$AS$361,0))="","–",INDEX(Scoring!$AM$29:$AM$361,MATCH($O225,Scoring!$AS$29:$AS$361,0))))</f>
        <v/>
      </c>
      <c r="D225" s="6" t="str">
        <f aca="false">IF($O225="","",INDEX(Scoring!$AK$29:$AK$361,MATCH($O225,Scoring!$AS$29:$AS$361,0)))</f>
        <v/>
      </c>
      <c r="E225" s="7" t="str">
        <f aca="false">IF($O225="","",INDEX(Scoring!$AL$29:$AL$361,MATCH($O225,Scoring!$AS$29:$AS$361,0)))</f>
        <v/>
      </c>
      <c r="F225" s="6" t="str">
        <f aca="false">IF($O225="","",INDEX(Scoring!$B$29:$B$361,MATCH($O225,Scoring!$AS$29:$AS$361,0)))</f>
        <v/>
      </c>
      <c r="G225" s="7" t="str">
        <f aca="false">IF($O225="","",INDEX(Scoring!$AG$29:$AG$361,MATCH($O225,Scoring!$AS$29:$AS$361,0)))</f>
        <v/>
      </c>
      <c r="H225" s="7" t="str">
        <f aca="false">IF($O225="","",INDEX(Scoring!$C$29:$C$361,MATCH($O225,Scoring!$AS$29:$AS$361,0)))</f>
        <v/>
      </c>
      <c r="I225" s="6" t="str">
        <f aca="false">IF($O225="","",INDEX(Scoring!$I$29:$I$361,MATCH($O225,Scoring!$AS$29:$AS$361,0)))</f>
        <v/>
      </c>
      <c r="J225" s="7" t="str">
        <f aca="false">IF($O225="","",INDEX(Scoring!$Z$29:$Z$361,MATCH($O225,Scoring!$AS$29:$AS$361,0)))</f>
        <v/>
      </c>
      <c r="K225" s="8" t="str">
        <f aca="false">IF($O225="","",IF(INDEX(Scoring!$D$29:$D$361,MATCH($O225,Scoring!$AS$29:$AS$361,0))="",INDEX(Scoring!$AF$29:$AF$361,MATCH($O225,Scoring!$AS$29:$AS$361,0)),INDEX(Scoring!$D$29:$D$361,MATCH($O225,Scoring!$AS$29:$AS$361,0))))</f>
        <v/>
      </c>
      <c r="L225" s="9" t="str">
        <f aca="false">IF($O225="","",INDEX(Scoring!$L$29:$L$361,MATCH($O225,Scoring!$AS$29:$AS$361,0)))</f>
        <v/>
      </c>
      <c r="M225" s="9" t="str">
        <f aca="false">IF($O225="","",INDEX(Scoring!$N$29:$N$361,MATCH($O225,Scoring!$AS$29:$AS$361,0)))</f>
        <v/>
      </c>
      <c r="N225" s="7" t="str">
        <f aca="false">IF($O225="","",INDEX(Scoring!$AI$29:$AI$361,MATCH($O225,Scoring!$AS$29:$AS$361,0)))</f>
        <v/>
      </c>
      <c r="O225" s="10" t="str">
        <f aca="false">IFERROR(SMALL(Scoring!$AS$29:$AS$361,221),"")</f>
        <v/>
      </c>
    </row>
    <row r="226" customFormat="false" ht="15" hidden="false" customHeight="false" outlineLevel="0" collapsed="false">
      <c r="A226" s="5" t="str">
        <f aca="false">IF($O226="","",INT($O226/1000))</f>
        <v/>
      </c>
      <c r="B226" s="6" t="str">
        <f aca="false">IF($O226="","",INDEX(Scoring!$A$29:$A$361,MATCH($O226,Scoring!$AS$29:$AS$361,0)))</f>
        <v/>
      </c>
      <c r="C226" s="5" t="str">
        <f aca="false">IF($O226="","",IF(INDEX(Scoring!$AM$29:$AM$361,MATCH($O226,Scoring!$AS$29:$AS$361,0))="","–",INDEX(Scoring!$AM$29:$AM$361,MATCH($O226,Scoring!$AS$29:$AS$361,0))))</f>
        <v/>
      </c>
      <c r="D226" s="6" t="str">
        <f aca="false">IF($O226="","",INDEX(Scoring!$AK$29:$AK$361,MATCH($O226,Scoring!$AS$29:$AS$361,0)))</f>
        <v/>
      </c>
      <c r="E226" s="7" t="str">
        <f aca="false">IF($O226="","",INDEX(Scoring!$AL$29:$AL$361,MATCH($O226,Scoring!$AS$29:$AS$361,0)))</f>
        <v/>
      </c>
      <c r="F226" s="6" t="str">
        <f aca="false">IF($O226="","",INDEX(Scoring!$B$29:$B$361,MATCH($O226,Scoring!$AS$29:$AS$361,0)))</f>
        <v/>
      </c>
      <c r="G226" s="7" t="str">
        <f aca="false">IF($O226="","",INDEX(Scoring!$AG$29:$AG$361,MATCH($O226,Scoring!$AS$29:$AS$361,0)))</f>
        <v/>
      </c>
      <c r="H226" s="7" t="str">
        <f aca="false">IF($O226="","",INDEX(Scoring!$C$29:$C$361,MATCH($O226,Scoring!$AS$29:$AS$361,0)))</f>
        <v/>
      </c>
      <c r="I226" s="6" t="str">
        <f aca="false">IF($O226="","",INDEX(Scoring!$I$29:$I$361,MATCH($O226,Scoring!$AS$29:$AS$361,0)))</f>
        <v/>
      </c>
      <c r="J226" s="7" t="str">
        <f aca="false">IF($O226="","",INDEX(Scoring!$Z$29:$Z$361,MATCH($O226,Scoring!$AS$29:$AS$361,0)))</f>
        <v/>
      </c>
      <c r="K226" s="8" t="str">
        <f aca="false">IF($O226="","",IF(INDEX(Scoring!$D$29:$D$361,MATCH($O226,Scoring!$AS$29:$AS$361,0))="",INDEX(Scoring!$AF$29:$AF$361,MATCH($O226,Scoring!$AS$29:$AS$361,0)),INDEX(Scoring!$D$29:$D$361,MATCH($O226,Scoring!$AS$29:$AS$361,0))))</f>
        <v/>
      </c>
      <c r="L226" s="9" t="str">
        <f aca="false">IF($O226="","",INDEX(Scoring!$L$29:$L$361,MATCH($O226,Scoring!$AS$29:$AS$361,0)))</f>
        <v/>
      </c>
      <c r="M226" s="9" t="str">
        <f aca="false">IF($O226="","",INDEX(Scoring!$N$29:$N$361,MATCH($O226,Scoring!$AS$29:$AS$361,0)))</f>
        <v/>
      </c>
      <c r="N226" s="7" t="str">
        <f aca="false">IF($O226="","",INDEX(Scoring!$AI$29:$AI$361,MATCH($O226,Scoring!$AS$29:$AS$361,0)))</f>
        <v/>
      </c>
      <c r="O226" s="10" t="str">
        <f aca="false">IFERROR(SMALL(Scoring!$AS$29:$AS$361,222),"")</f>
        <v/>
      </c>
    </row>
    <row r="227" customFormat="false" ht="15" hidden="false" customHeight="false" outlineLevel="0" collapsed="false">
      <c r="A227" s="5" t="str">
        <f aca="false">IF($O227="","",INT($O227/1000))</f>
        <v/>
      </c>
      <c r="B227" s="6" t="str">
        <f aca="false">IF($O227="","",INDEX(Scoring!$A$29:$A$361,MATCH($O227,Scoring!$AS$29:$AS$361,0)))</f>
        <v/>
      </c>
      <c r="C227" s="5" t="str">
        <f aca="false">IF($O227="","",IF(INDEX(Scoring!$AM$29:$AM$361,MATCH($O227,Scoring!$AS$29:$AS$361,0))="","–",INDEX(Scoring!$AM$29:$AM$361,MATCH($O227,Scoring!$AS$29:$AS$361,0))))</f>
        <v/>
      </c>
      <c r="D227" s="6" t="str">
        <f aca="false">IF($O227="","",INDEX(Scoring!$AK$29:$AK$361,MATCH($O227,Scoring!$AS$29:$AS$361,0)))</f>
        <v/>
      </c>
      <c r="E227" s="7" t="str">
        <f aca="false">IF($O227="","",INDEX(Scoring!$AL$29:$AL$361,MATCH($O227,Scoring!$AS$29:$AS$361,0)))</f>
        <v/>
      </c>
      <c r="F227" s="6" t="str">
        <f aca="false">IF($O227="","",INDEX(Scoring!$B$29:$B$361,MATCH($O227,Scoring!$AS$29:$AS$361,0)))</f>
        <v/>
      </c>
      <c r="G227" s="7" t="str">
        <f aca="false">IF($O227="","",INDEX(Scoring!$AG$29:$AG$361,MATCH($O227,Scoring!$AS$29:$AS$361,0)))</f>
        <v/>
      </c>
      <c r="H227" s="7" t="str">
        <f aca="false">IF($O227="","",INDEX(Scoring!$C$29:$C$361,MATCH($O227,Scoring!$AS$29:$AS$361,0)))</f>
        <v/>
      </c>
      <c r="I227" s="6" t="str">
        <f aca="false">IF($O227="","",INDEX(Scoring!$I$29:$I$361,MATCH($O227,Scoring!$AS$29:$AS$361,0)))</f>
        <v/>
      </c>
      <c r="J227" s="7" t="str">
        <f aca="false">IF($O227="","",INDEX(Scoring!$Z$29:$Z$361,MATCH($O227,Scoring!$AS$29:$AS$361,0)))</f>
        <v/>
      </c>
      <c r="K227" s="8" t="str">
        <f aca="false">IF($O227="","",IF(INDEX(Scoring!$D$29:$D$361,MATCH($O227,Scoring!$AS$29:$AS$361,0))="",INDEX(Scoring!$AF$29:$AF$361,MATCH($O227,Scoring!$AS$29:$AS$361,0)),INDEX(Scoring!$D$29:$D$361,MATCH($O227,Scoring!$AS$29:$AS$361,0))))</f>
        <v/>
      </c>
      <c r="L227" s="9" t="str">
        <f aca="false">IF($O227="","",INDEX(Scoring!$L$29:$L$361,MATCH($O227,Scoring!$AS$29:$AS$361,0)))</f>
        <v/>
      </c>
      <c r="M227" s="9" t="str">
        <f aca="false">IF($O227="","",INDEX(Scoring!$N$29:$N$361,MATCH($O227,Scoring!$AS$29:$AS$361,0)))</f>
        <v/>
      </c>
      <c r="N227" s="7" t="str">
        <f aca="false">IF($O227="","",INDEX(Scoring!$AI$29:$AI$361,MATCH($O227,Scoring!$AS$29:$AS$361,0)))</f>
        <v/>
      </c>
      <c r="O227" s="10" t="str">
        <f aca="false">IFERROR(SMALL(Scoring!$AS$29:$AS$361,223),"")</f>
        <v/>
      </c>
    </row>
    <row r="228" customFormat="false" ht="15" hidden="false" customHeight="false" outlineLevel="0" collapsed="false">
      <c r="A228" s="5" t="str">
        <f aca="false">IF($O228="","",INT($O228/1000))</f>
        <v/>
      </c>
      <c r="B228" s="6" t="str">
        <f aca="false">IF($O228="","",INDEX(Scoring!$A$29:$A$361,MATCH($O228,Scoring!$AS$29:$AS$361,0)))</f>
        <v/>
      </c>
      <c r="C228" s="5" t="str">
        <f aca="false">IF($O228="","",IF(INDEX(Scoring!$AM$29:$AM$361,MATCH($O228,Scoring!$AS$29:$AS$361,0))="","–",INDEX(Scoring!$AM$29:$AM$361,MATCH($O228,Scoring!$AS$29:$AS$361,0))))</f>
        <v/>
      </c>
      <c r="D228" s="6" t="str">
        <f aca="false">IF($O228="","",INDEX(Scoring!$AK$29:$AK$361,MATCH($O228,Scoring!$AS$29:$AS$361,0)))</f>
        <v/>
      </c>
      <c r="E228" s="7" t="str">
        <f aca="false">IF($O228="","",INDEX(Scoring!$AL$29:$AL$361,MATCH($O228,Scoring!$AS$29:$AS$361,0)))</f>
        <v/>
      </c>
      <c r="F228" s="6" t="str">
        <f aca="false">IF($O228="","",INDEX(Scoring!$B$29:$B$361,MATCH($O228,Scoring!$AS$29:$AS$361,0)))</f>
        <v/>
      </c>
      <c r="G228" s="7" t="str">
        <f aca="false">IF($O228="","",INDEX(Scoring!$AG$29:$AG$361,MATCH($O228,Scoring!$AS$29:$AS$361,0)))</f>
        <v/>
      </c>
      <c r="H228" s="7" t="str">
        <f aca="false">IF($O228="","",INDEX(Scoring!$C$29:$C$361,MATCH($O228,Scoring!$AS$29:$AS$361,0)))</f>
        <v/>
      </c>
      <c r="I228" s="6" t="str">
        <f aca="false">IF($O228="","",INDEX(Scoring!$I$29:$I$361,MATCH($O228,Scoring!$AS$29:$AS$361,0)))</f>
        <v/>
      </c>
      <c r="J228" s="7" t="str">
        <f aca="false">IF($O228="","",INDEX(Scoring!$Z$29:$Z$361,MATCH($O228,Scoring!$AS$29:$AS$361,0)))</f>
        <v/>
      </c>
      <c r="K228" s="8" t="str">
        <f aca="false">IF($O228="","",IF(INDEX(Scoring!$D$29:$D$361,MATCH($O228,Scoring!$AS$29:$AS$361,0))="",INDEX(Scoring!$AF$29:$AF$361,MATCH($O228,Scoring!$AS$29:$AS$361,0)),INDEX(Scoring!$D$29:$D$361,MATCH($O228,Scoring!$AS$29:$AS$361,0))))</f>
        <v/>
      </c>
      <c r="L228" s="9" t="str">
        <f aca="false">IF($O228="","",INDEX(Scoring!$L$29:$L$361,MATCH($O228,Scoring!$AS$29:$AS$361,0)))</f>
        <v/>
      </c>
      <c r="M228" s="9" t="str">
        <f aca="false">IF($O228="","",INDEX(Scoring!$N$29:$N$361,MATCH($O228,Scoring!$AS$29:$AS$361,0)))</f>
        <v/>
      </c>
      <c r="N228" s="7" t="str">
        <f aca="false">IF($O228="","",INDEX(Scoring!$AI$29:$AI$361,MATCH($O228,Scoring!$AS$29:$AS$361,0)))</f>
        <v/>
      </c>
      <c r="O228" s="10" t="str">
        <f aca="false">IFERROR(SMALL(Scoring!$AS$29:$AS$361,224),"")</f>
        <v/>
      </c>
    </row>
    <row r="229" customFormat="false" ht="15" hidden="false" customHeight="false" outlineLevel="0" collapsed="false">
      <c r="A229" s="5" t="str">
        <f aca="false">IF($O229="","",INT($O229/1000))</f>
        <v/>
      </c>
      <c r="B229" s="6" t="str">
        <f aca="false">IF($O229="","",INDEX(Scoring!$A$29:$A$361,MATCH($O229,Scoring!$AS$29:$AS$361,0)))</f>
        <v/>
      </c>
      <c r="C229" s="5" t="str">
        <f aca="false">IF($O229="","",IF(INDEX(Scoring!$AM$29:$AM$361,MATCH($O229,Scoring!$AS$29:$AS$361,0))="","–",INDEX(Scoring!$AM$29:$AM$361,MATCH($O229,Scoring!$AS$29:$AS$361,0))))</f>
        <v/>
      </c>
      <c r="D229" s="6" t="str">
        <f aca="false">IF($O229="","",INDEX(Scoring!$AK$29:$AK$361,MATCH($O229,Scoring!$AS$29:$AS$361,0)))</f>
        <v/>
      </c>
      <c r="E229" s="7" t="str">
        <f aca="false">IF($O229="","",INDEX(Scoring!$AL$29:$AL$361,MATCH($O229,Scoring!$AS$29:$AS$361,0)))</f>
        <v/>
      </c>
      <c r="F229" s="6" t="str">
        <f aca="false">IF($O229="","",INDEX(Scoring!$B$29:$B$361,MATCH($O229,Scoring!$AS$29:$AS$361,0)))</f>
        <v/>
      </c>
      <c r="G229" s="7" t="str">
        <f aca="false">IF($O229="","",INDEX(Scoring!$AG$29:$AG$361,MATCH($O229,Scoring!$AS$29:$AS$361,0)))</f>
        <v/>
      </c>
      <c r="H229" s="7" t="str">
        <f aca="false">IF($O229="","",INDEX(Scoring!$C$29:$C$361,MATCH($O229,Scoring!$AS$29:$AS$361,0)))</f>
        <v/>
      </c>
      <c r="I229" s="6" t="str">
        <f aca="false">IF($O229="","",INDEX(Scoring!$I$29:$I$361,MATCH($O229,Scoring!$AS$29:$AS$361,0)))</f>
        <v/>
      </c>
      <c r="J229" s="7" t="str">
        <f aca="false">IF($O229="","",INDEX(Scoring!$Z$29:$Z$361,MATCH($O229,Scoring!$AS$29:$AS$361,0)))</f>
        <v/>
      </c>
      <c r="K229" s="8" t="str">
        <f aca="false">IF($O229="","",IF(INDEX(Scoring!$D$29:$D$361,MATCH($O229,Scoring!$AS$29:$AS$361,0))="",INDEX(Scoring!$AF$29:$AF$361,MATCH($O229,Scoring!$AS$29:$AS$361,0)),INDEX(Scoring!$D$29:$D$361,MATCH($O229,Scoring!$AS$29:$AS$361,0))))</f>
        <v/>
      </c>
      <c r="L229" s="9" t="str">
        <f aca="false">IF($O229="","",INDEX(Scoring!$L$29:$L$361,MATCH($O229,Scoring!$AS$29:$AS$361,0)))</f>
        <v/>
      </c>
      <c r="M229" s="9" t="str">
        <f aca="false">IF($O229="","",INDEX(Scoring!$N$29:$N$361,MATCH($O229,Scoring!$AS$29:$AS$361,0)))</f>
        <v/>
      </c>
      <c r="N229" s="7" t="str">
        <f aca="false">IF($O229="","",INDEX(Scoring!$AI$29:$AI$361,MATCH($O229,Scoring!$AS$29:$AS$361,0)))</f>
        <v/>
      </c>
      <c r="O229" s="10" t="str">
        <f aca="false">IFERROR(SMALL(Scoring!$AS$29:$AS$361,225),"")</f>
        <v/>
      </c>
    </row>
    <row r="230" customFormat="false" ht="15" hidden="false" customHeight="false" outlineLevel="0" collapsed="false">
      <c r="A230" s="5" t="str">
        <f aca="false">IF($O230="","",INT($O230/1000))</f>
        <v/>
      </c>
      <c r="B230" s="6" t="str">
        <f aca="false">IF($O230="","",INDEX(Scoring!$A$29:$A$361,MATCH($O230,Scoring!$AS$29:$AS$361,0)))</f>
        <v/>
      </c>
      <c r="C230" s="5" t="str">
        <f aca="false">IF($O230="","",IF(INDEX(Scoring!$AM$29:$AM$361,MATCH($O230,Scoring!$AS$29:$AS$361,0))="","–",INDEX(Scoring!$AM$29:$AM$361,MATCH($O230,Scoring!$AS$29:$AS$361,0))))</f>
        <v/>
      </c>
      <c r="D230" s="6" t="str">
        <f aca="false">IF($O230="","",INDEX(Scoring!$AK$29:$AK$361,MATCH($O230,Scoring!$AS$29:$AS$361,0)))</f>
        <v/>
      </c>
      <c r="E230" s="7" t="str">
        <f aca="false">IF($O230="","",INDEX(Scoring!$AL$29:$AL$361,MATCH($O230,Scoring!$AS$29:$AS$361,0)))</f>
        <v/>
      </c>
      <c r="F230" s="6" t="str">
        <f aca="false">IF($O230="","",INDEX(Scoring!$B$29:$B$361,MATCH($O230,Scoring!$AS$29:$AS$361,0)))</f>
        <v/>
      </c>
      <c r="G230" s="7" t="str">
        <f aca="false">IF($O230="","",INDEX(Scoring!$AG$29:$AG$361,MATCH($O230,Scoring!$AS$29:$AS$361,0)))</f>
        <v/>
      </c>
      <c r="H230" s="7" t="str">
        <f aca="false">IF($O230="","",INDEX(Scoring!$C$29:$C$361,MATCH($O230,Scoring!$AS$29:$AS$361,0)))</f>
        <v/>
      </c>
      <c r="I230" s="6" t="str">
        <f aca="false">IF($O230="","",INDEX(Scoring!$I$29:$I$361,MATCH($O230,Scoring!$AS$29:$AS$361,0)))</f>
        <v/>
      </c>
      <c r="J230" s="7" t="str">
        <f aca="false">IF($O230="","",INDEX(Scoring!$Z$29:$Z$361,MATCH($O230,Scoring!$AS$29:$AS$361,0)))</f>
        <v/>
      </c>
      <c r="K230" s="8" t="str">
        <f aca="false">IF($O230="","",IF(INDEX(Scoring!$D$29:$D$361,MATCH($O230,Scoring!$AS$29:$AS$361,0))="",INDEX(Scoring!$AF$29:$AF$361,MATCH($O230,Scoring!$AS$29:$AS$361,0)),INDEX(Scoring!$D$29:$D$361,MATCH($O230,Scoring!$AS$29:$AS$361,0))))</f>
        <v/>
      </c>
      <c r="L230" s="9" t="str">
        <f aca="false">IF($O230="","",INDEX(Scoring!$L$29:$L$361,MATCH($O230,Scoring!$AS$29:$AS$361,0)))</f>
        <v/>
      </c>
      <c r="M230" s="9" t="str">
        <f aca="false">IF($O230="","",INDEX(Scoring!$N$29:$N$361,MATCH($O230,Scoring!$AS$29:$AS$361,0)))</f>
        <v/>
      </c>
      <c r="N230" s="7" t="str">
        <f aca="false">IF($O230="","",INDEX(Scoring!$AI$29:$AI$361,MATCH($O230,Scoring!$AS$29:$AS$361,0)))</f>
        <v/>
      </c>
      <c r="O230" s="10" t="str">
        <f aca="false">IFERROR(SMALL(Scoring!$AS$29:$AS$361,226),"")</f>
        <v/>
      </c>
    </row>
    <row r="231" customFormat="false" ht="15" hidden="false" customHeight="false" outlineLevel="0" collapsed="false">
      <c r="A231" s="5" t="str">
        <f aca="false">IF($O231="","",INT($O231/1000))</f>
        <v/>
      </c>
      <c r="B231" s="6" t="str">
        <f aca="false">IF($O231="","",INDEX(Scoring!$A$29:$A$361,MATCH($O231,Scoring!$AS$29:$AS$361,0)))</f>
        <v/>
      </c>
      <c r="C231" s="5" t="str">
        <f aca="false">IF($O231="","",IF(INDEX(Scoring!$AM$29:$AM$361,MATCH($O231,Scoring!$AS$29:$AS$361,0))="","–",INDEX(Scoring!$AM$29:$AM$361,MATCH($O231,Scoring!$AS$29:$AS$361,0))))</f>
        <v/>
      </c>
      <c r="D231" s="6" t="str">
        <f aca="false">IF($O231="","",INDEX(Scoring!$AK$29:$AK$361,MATCH($O231,Scoring!$AS$29:$AS$361,0)))</f>
        <v/>
      </c>
      <c r="E231" s="7" t="str">
        <f aca="false">IF($O231="","",INDEX(Scoring!$AL$29:$AL$361,MATCH($O231,Scoring!$AS$29:$AS$361,0)))</f>
        <v/>
      </c>
      <c r="F231" s="6" t="str">
        <f aca="false">IF($O231="","",INDEX(Scoring!$B$29:$B$361,MATCH($O231,Scoring!$AS$29:$AS$361,0)))</f>
        <v/>
      </c>
      <c r="G231" s="7" t="str">
        <f aca="false">IF($O231="","",INDEX(Scoring!$AG$29:$AG$361,MATCH($O231,Scoring!$AS$29:$AS$361,0)))</f>
        <v/>
      </c>
      <c r="H231" s="7" t="str">
        <f aca="false">IF($O231="","",INDEX(Scoring!$C$29:$C$361,MATCH($O231,Scoring!$AS$29:$AS$361,0)))</f>
        <v/>
      </c>
      <c r="I231" s="6" t="str">
        <f aca="false">IF($O231="","",INDEX(Scoring!$I$29:$I$361,MATCH($O231,Scoring!$AS$29:$AS$361,0)))</f>
        <v/>
      </c>
      <c r="J231" s="7" t="str">
        <f aca="false">IF($O231="","",INDEX(Scoring!$Z$29:$Z$361,MATCH($O231,Scoring!$AS$29:$AS$361,0)))</f>
        <v/>
      </c>
      <c r="K231" s="8" t="str">
        <f aca="false">IF($O231="","",IF(INDEX(Scoring!$D$29:$D$361,MATCH($O231,Scoring!$AS$29:$AS$361,0))="",INDEX(Scoring!$AF$29:$AF$361,MATCH($O231,Scoring!$AS$29:$AS$361,0)),INDEX(Scoring!$D$29:$D$361,MATCH($O231,Scoring!$AS$29:$AS$361,0))))</f>
        <v/>
      </c>
      <c r="L231" s="9" t="str">
        <f aca="false">IF($O231="","",INDEX(Scoring!$L$29:$L$361,MATCH($O231,Scoring!$AS$29:$AS$361,0)))</f>
        <v/>
      </c>
      <c r="M231" s="9" t="str">
        <f aca="false">IF($O231="","",INDEX(Scoring!$N$29:$N$361,MATCH($O231,Scoring!$AS$29:$AS$361,0)))</f>
        <v/>
      </c>
      <c r="N231" s="7" t="str">
        <f aca="false">IF($O231="","",INDEX(Scoring!$AI$29:$AI$361,MATCH($O231,Scoring!$AS$29:$AS$361,0)))</f>
        <v/>
      </c>
      <c r="O231" s="10" t="str">
        <f aca="false">IFERROR(SMALL(Scoring!$AS$29:$AS$361,227),"")</f>
        <v/>
      </c>
    </row>
    <row r="232" customFormat="false" ht="15" hidden="false" customHeight="false" outlineLevel="0" collapsed="false">
      <c r="A232" s="5" t="str">
        <f aca="false">IF($O232="","",INT($O232/1000))</f>
        <v/>
      </c>
      <c r="B232" s="6" t="str">
        <f aca="false">IF($O232="","",INDEX(Scoring!$A$29:$A$361,MATCH($O232,Scoring!$AS$29:$AS$361,0)))</f>
        <v/>
      </c>
      <c r="C232" s="5" t="str">
        <f aca="false">IF($O232="","",IF(INDEX(Scoring!$AM$29:$AM$361,MATCH($O232,Scoring!$AS$29:$AS$361,0))="","–",INDEX(Scoring!$AM$29:$AM$361,MATCH($O232,Scoring!$AS$29:$AS$361,0))))</f>
        <v/>
      </c>
      <c r="D232" s="6" t="str">
        <f aca="false">IF($O232="","",INDEX(Scoring!$AK$29:$AK$361,MATCH($O232,Scoring!$AS$29:$AS$361,0)))</f>
        <v/>
      </c>
      <c r="E232" s="7" t="str">
        <f aca="false">IF($O232="","",INDEX(Scoring!$AL$29:$AL$361,MATCH($O232,Scoring!$AS$29:$AS$361,0)))</f>
        <v/>
      </c>
      <c r="F232" s="6" t="str">
        <f aca="false">IF($O232="","",INDEX(Scoring!$B$29:$B$361,MATCH($O232,Scoring!$AS$29:$AS$361,0)))</f>
        <v/>
      </c>
      <c r="G232" s="7" t="str">
        <f aca="false">IF($O232="","",INDEX(Scoring!$AG$29:$AG$361,MATCH($O232,Scoring!$AS$29:$AS$361,0)))</f>
        <v/>
      </c>
      <c r="H232" s="7" t="str">
        <f aca="false">IF($O232="","",INDEX(Scoring!$C$29:$C$361,MATCH($O232,Scoring!$AS$29:$AS$361,0)))</f>
        <v/>
      </c>
      <c r="I232" s="6" t="str">
        <f aca="false">IF($O232="","",INDEX(Scoring!$I$29:$I$361,MATCH($O232,Scoring!$AS$29:$AS$361,0)))</f>
        <v/>
      </c>
      <c r="J232" s="7" t="str">
        <f aca="false">IF($O232="","",INDEX(Scoring!$Z$29:$Z$361,MATCH($O232,Scoring!$AS$29:$AS$361,0)))</f>
        <v/>
      </c>
      <c r="K232" s="8" t="str">
        <f aca="false">IF($O232="","",IF(INDEX(Scoring!$D$29:$D$361,MATCH($O232,Scoring!$AS$29:$AS$361,0))="",INDEX(Scoring!$AF$29:$AF$361,MATCH($O232,Scoring!$AS$29:$AS$361,0)),INDEX(Scoring!$D$29:$D$361,MATCH($O232,Scoring!$AS$29:$AS$361,0))))</f>
        <v/>
      </c>
      <c r="L232" s="9" t="str">
        <f aca="false">IF($O232="","",INDEX(Scoring!$L$29:$L$361,MATCH($O232,Scoring!$AS$29:$AS$361,0)))</f>
        <v/>
      </c>
      <c r="M232" s="9" t="str">
        <f aca="false">IF($O232="","",INDEX(Scoring!$N$29:$N$361,MATCH($O232,Scoring!$AS$29:$AS$361,0)))</f>
        <v/>
      </c>
      <c r="N232" s="7" t="str">
        <f aca="false">IF($O232="","",INDEX(Scoring!$AI$29:$AI$361,MATCH($O232,Scoring!$AS$29:$AS$361,0)))</f>
        <v/>
      </c>
      <c r="O232" s="10" t="str">
        <f aca="false">IFERROR(SMALL(Scoring!$AS$29:$AS$361,228),"")</f>
        <v/>
      </c>
    </row>
    <row r="233" customFormat="false" ht="15" hidden="false" customHeight="false" outlineLevel="0" collapsed="false">
      <c r="A233" s="5" t="str">
        <f aca="false">IF($O233="","",INT($O233/1000))</f>
        <v/>
      </c>
      <c r="B233" s="6" t="str">
        <f aca="false">IF($O233="","",INDEX(Scoring!$A$29:$A$361,MATCH($O233,Scoring!$AS$29:$AS$361,0)))</f>
        <v/>
      </c>
      <c r="C233" s="5" t="str">
        <f aca="false">IF($O233="","",IF(INDEX(Scoring!$AM$29:$AM$361,MATCH($O233,Scoring!$AS$29:$AS$361,0))="","–",INDEX(Scoring!$AM$29:$AM$361,MATCH($O233,Scoring!$AS$29:$AS$361,0))))</f>
        <v/>
      </c>
      <c r="D233" s="6" t="str">
        <f aca="false">IF($O233="","",INDEX(Scoring!$AK$29:$AK$361,MATCH($O233,Scoring!$AS$29:$AS$361,0)))</f>
        <v/>
      </c>
      <c r="E233" s="7" t="str">
        <f aca="false">IF($O233="","",INDEX(Scoring!$AL$29:$AL$361,MATCH($O233,Scoring!$AS$29:$AS$361,0)))</f>
        <v/>
      </c>
      <c r="F233" s="6" t="str">
        <f aca="false">IF($O233="","",INDEX(Scoring!$B$29:$B$361,MATCH($O233,Scoring!$AS$29:$AS$361,0)))</f>
        <v/>
      </c>
      <c r="G233" s="7" t="str">
        <f aca="false">IF($O233="","",INDEX(Scoring!$AG$29:$AG$361,MATCH($O233,Scoring!$AS$29:$AS$361,0)))</f>
        <v/>
      </c>
      <c r="H233" s="7" t="str">
        <f aca="false">IF($O233="","",INDEX(Scoring!$C$29:$C$361,MATCH($O233,Scoring!$AS$29:$AS$361,0)))</f>
        <v/>
      </c>
      <c r="I233" s="6" t="str">
        <f aca="false">IF($O233="","",INDEX(Scoring!$I$29:$I$361,MATCH($O233,Scoring!$AS$29:$AS$361,0)))</f>
        <v/>
      </c>
      <c r="J233" s="7" t="str">
        <f aca="false">IF($O233="","",INDEX(Scoring!$Z$29:$Z$361,MATCH($O233,Scoring!$AS$29:$AS$361,0)))</f>
        <v/>
      </c>
      <c r="K233" s="8" t="str">
        <f aca="false">IF($O233="","",IF(INDEX(Scoring!$D$29:$D$361,MATCH($O233,Scoring!$AS$29:$AS$361,0))="",INDEX(Scoring!$AF$29:$AF$361,MATCH($O233,Scoring!$AS$29:$AS$361,0)),INDEX(Scoring!$D$29:$D$361,MATCH($O233,Scoring!$AS$29:$AS$361,0))))</f>
        <v/>
      </c>
      <c r="L233" s="9" t="str">
        <f aca="false">IF($O233="","",INDEX(Scoring!$L$29:$L$361,MATCH($O233,Scoring!$AS$29:$AS$361,0)))</f>
        <v/>
      </c>
      <c r="M233" s="9" t="str">
        <f aca="false">IF($O233="","",INDEX(Scoring!$N$29:$N$361,MATCH($O233,Scoring!$AS$29:$AS$361,0)))</f>
        <v/>
      </c>
      <c r="N233" s="7" t="str">
        <f aca="false">IF($O233="","",INDEX(Scoring!$AI$29:$AI$361,MATCH($O233,Scoring!$AS$29:$AS$361,0)))</f>
        <v/>
      </c>
      <c r="O233" s="10" t="str">
        <f aca="false">IFERROR(SMALL(Scoring!$AS$29:$AS$361,229),"")</f>
        <v/>
      </c>
    </row>
    <row r="234" customFormat="false" ht="15" hidden="false" customHeight="false" outlineLevel="0" collapsed="false">
      <c r="A234" s="5" t="str">
        <f aca="false">IF($O234="","",INT($O234/1000))</f>
        <v/>
      </c>
      <c r="B234" s="6" t="str">
        <f aca="false">IF($O234="","",INDEX(Scoring!$A$29:$A$361,MATCH($O234,Scoring!$AS$29:$AS$361,0)))</f>
        <v/>
      </c>
      <c r="C234" s="5" t="str">
        <f aca="false">IF($O234="","",IF(INDEX(Scoring!$AM$29:$AM$361,MATCH($O234,Scoring!$AS$29:$AS$361,0))="","–",INDEX(Scoring!$AM$29:$AM$361,MATCH($O234,Scoring!$AS$29:$AS$361,0))))</f>
        <v/>
      </c>
      <c r="D234" s="6" t="str">
        <f aca="false">IF($O234="","",INDEX(Scoring!$AK$29:$AK$361,MATCH($O234,Scoring!$AS$29:$AS$361,0)))</f>
        <v/>
      </c>
      <c r="E234" s="7" t="str">
        <f aca="false">IF($O234="","",INDEX(Scoring!$AL$29:$AL$361,MATCH($O234,Scoring!$AS$29:$AS$361,0)))</f>
        <v/>
      </c>
      <c r="F234" s="6" t="str">
        <f aca="false">IF($O234="","",INDEX(Scoring!$B$29:$B$361,MATCH($O234,Scoring!$AS$29:$AS$361,0)))</f>
        <v/>
      </c>
      <c r="G234" s="7" t="str">
        <f aca="false">IF($O234="","",INDEX(Scoring!$AG$29:$AG$361,MATCH($O234,Scoring!$AS$29:$AS$361,0)))</f>
        <v/>
      </c>
      <c r="H234" s="7" t="str">
        <f aca="false">IF($O234="","",INDEX(Scoring!$C$29:$C$361,MATCH($O234,Scoring!$AS$29:$AS$361,0)))</f>
        <v/>
      </c>
      <c r="I234" s="6" t="str">
        <f aca="false">IF($O234="","",INDEX(Scoring!$I$29:$I$361,MATCH($O234,Scoring!$AS$29:$AS$361,0)))</f>
        <v/>
      </c>
      <c r="J234" s="7" t="str">
        <f aca="false">IF($O234="","",INDEX(Scoring!$Z$29:$Z$361,MATCH($O234,Scoring!$AS$29:$AS$361,0)))</f>
        <v/>
      </c>
      <c r="K234" s="8" t="str">
        <f aca="false">IF($O234="","",IF(INDEX(Scoring!$D$29:$D$361,MATCH($O234,Scoring!$AS$29:$AS$361,0))="",INDEX(Scoring!$AF$29:$AF$361,MATCH($O234,Scoring!$AS$29:$AS$361,0)),INDEX(Scoring!$D$29:$D$361,MATCH($O234,Scoring!$AS$29:$AS$361,0))))</f>
        <v/>
      </c>
      <c r="L234" s="9" t="str">
        <f aca="false">IF($O234="","",INDEX(Scoring!$L$29:$L$361,MATCH($O234,Scoring!$AS$29:$AS$361,0)))</f>
        <v/>
      </c>
      <c r="M234" s="9" t="str">
        <f aca="false">IF($O234="","",INDEX(Scoring!$N$29:$N$361,MATCH($O234,Scoring!$AS$29:$AS$361,0)))</f>
        <v/>
      </c>
      <c r="N234" s="7" t="str">
        <f aca="false">IF($O234="","",INDEX(Scoring!$AI$29:$AI$361,MATCH($O234,Scoring!$AS$29:$AS$361,0)))</f>
        <v/>
      </c>
      <c r="O234" s="10" t="str">
        <f aca="false">IFERROR(SMALL(Scoring!$AS$29:$AS$361,230),"")</f>
        <v/>
      </c>
    </row>
    <row r="235" customFormat="false" ht="15" hidden="false" customHeight="false" outlineLevel="0" collapsed="false">
      <c r="A235" s="5" t="str">
        <f aca="false">IF($O235="","",INT($O235/1000))</f>
        <v/>
      </c>
      <c r="B235" s="6" t="str">
        <f aca="false">IF($O235="","",INDEX(Scoring!$A$29:$A$361,MATCH($O235,Scoring!$AS$29:$AS$361,0)))</f>
        <v/>
      </c>
      <c r="C235" s="5" t="str">
        <f aca="false">IF($O235="","",IF(INDEX(Scoring!$AM$29:$AM$361,MATCH($O235,Scoring!$AS$29:$AS$361,0))="","–",INDEX(Scoring!$AM$29:$AM$361,MATCH($O235,Scoring!$AS$29:$AS$361,0))))</f>
        <v/>
      </c>
      <c r="D235" s="6" t="str">
        <f aca="false">IF($O235="","",INDEX(Scoring!$AK$29:$AK$361,MATCH($O235,Scoring!$AS$29:$AS$361,0)))</f>
        <v/>
      </c>
      <c r="E235" s="7" t="str">
        <f aca="false">IF($O235="","",INDEX(Scoring!$AL$29:$AL$361,MATCH($O235,Scoring!$AS$29:$AS$361,0)))</f>
        <v/>
      </c>
      <c r="F235" s="6" t="str">
        <f aca="false">IF($O235="","",INDEX(Scoring!$B$29:$B$361,MATCH($O235,Scoring!$AS$29:$AS$361,0)))</f>
        <v/>
      </c>
      <c r="G235" s="7" t="str">
        <f aca="false">IF($O235="","",INDEX(Scoring!$AG$29:$AG$361,MATCH($O235,Scoring!$AS$29:$AS$361,0)))</f>
        <v/>
      </c>
      <c r="H235" s="7" t="str">
        <f aca="false">IF($O235="","",INDEX(Scoring!$C$29:$C$361,MATCH($O235,Scoring!$AS$29:$AS$361,0)))</f>
        <v/>
      </c>
      <c r="I235" s="6" t="str">
        <f aca="false">IF($O235="","",INDEX(Scoring!$I$29:$I$361,MATCH($O235,Scoring!$AS$29:$AS$361,0)))</f>
        <v/>
      </c>
      <c r="J235" s="7" t="str">
        <f aca="false">IF($O235="","",INDEX(Scoring!$Z$29:$Z$361,MATCH($O235,Scoring!$AS$29:$AS$361,0)))</f>
        <v/>
      </c>
      <c r="K235" s="8" t="str">
        <f aca="false">IF($O235="","",IF(INDEX(Scoring!$D$29:$D$361,MATCH($O235,Scoring!$AS$29:$AS$361,0))="",INDEX(Scoring!$AF$29:$AF$361,MATCH($O235,Scoring!$AS$29:$AS$361,0)),INDEX(Scoring!$D$29:$D$361,MATCH($O235,Scoring!$AS$29:$AS$361,0))))</f>
        <v/>
      </c>
      <c r="L235" s="9" t="str">
        <f aca="false">IF($O235="","",INDEX(Scoring!$L$29:$L$361,MATCH($O235,Scoring!$AS$29:$AS$361,0)))</f>
        <v/>
      </c>
      <c r="M235" s="9" t="str">
        <f aca="false">IF($O235="","",INDEX(Scoring!$N$29:$N$361,MATCH($O235,Scoring!$AS$29:$AS$361,0)))</f>
        <v/>
      </c>
      <c r="N235" s="7" t="str">
        <f aca="false">IF($O235="","",INDEX(Scoring!$AI$29:$AI$361,MATCH($O235,Scoring!$AS$29:$AS$361,0)))</f>
        <v/>
      </c>
      <c r="O235" s="10" t="str">
        <f aca="false">IFERROR(SMALL(Scoring!$AS$29:$AS$361,231),"")</f>
        <v/>
      </c>
    </row>
    <row r="236" customFormat="false" ht="15" hidden="false" customHeight="false" outlineLevel="0" collapsed="false">
      <c r="A236" s="5" t="str">
        <f aca="false">IF($O236="","",INT($O236/1000))</f>
        <v/>
      </c>
      <c r="B236" s="6" t="str">
        <f aca="false">IF($O236="","",INDEX(Scoring!$A$29:$A$361,MATCH($O236,Scoring!$AS$29:$AS$361,0)))</f>
        <v/>
      </c>
      <c r="C236" s="5" t="str">
        <f aca="false">IF($O236="","",IF(INDEX(Scoring!$AM$29:$AM$361,MATCH($O236,Scoring!$AS$29:$AS$361,0))="","–",INDEX(Scoring!$AM$29:$AM$361,MATCH($O236,Scoring!$AS$29:$AS$361,0))))</f>
        <v/>
      </c>
      <c r="D236" s="6" t="str">
        <f aca="false">IF($O236="","",INDEX(Scoring!$AK$29:$AK$361,MATCH($O236,Scoring!$AS$29:$AS$361,0)))</f>
        <v/>
      </c>
      <c r="E236" s="7" t="str">
        <f aca="false">IF($O236="","",INDEX(Scoring!$AL$29:$AL$361,MATCH($O236,Scoring!$AS$29:$AS$361,0)))</f>
        <v/>
      </c>
      <c r="F236" s="6" t="str">
        <f aca="false">IF($O236="","",INDEX(Scoring!$B$29:$B$361,MATCH($O236,Scoring!$AS$29:$AS$361,0)))</f>
        <v/>
      </c>
      <c r="G236" s="7" t="str">
        <f aca="false">IF($O236="","",INDEX(Scoring!$AG$29:$AG$361,MATCH($O236,Scoring!$AS$29:$AS$361,0)))</f>
        <v/>
      </c>
      <c r="H236" s="7" t="str">
        <f aca="false">IF($O236="","",INDEX(Scoring!$C$29:$C$361,MATCH($O236,Scoring!$AS$29:$AS$361,0)))</f>
        <v/>
      </c>
      <c r="I236" s="6" t="str">
        <f aca="false">IF($O236="","",INDEX(Scoring!$I$29:$I$361,MATCH($O236,Scoring!$AS$29:$AS$361,0)))</f>
        <v/>
      </c>
      <c r="J236" s="7" t="str">
        <f aca="false">IF($O236="","",INDEX(Scoring!$Z$29:$Z$361,MATCH($O236,Scoring!$AS$29:$AS$361,0)))</f>
        <v/>
      </c>
      <c r="K236" s="8" t="str">
        <f aca="false">IF($O236="","",IF(INDEX(Scoring!$D$29:$D$361,MATCH($O236,Scoring!$AS$29:$AS$361,0))="",INDEX(Scoring!$AF$29:$AF$361,MATCH($O236,Scoring!$AS$29:$AS$361,0)),INDEX(Scoring!$D$29:$D$361,MATCH($O236,Scoring!$AS$29:$AS$361,0))))</f>
        <v/>
      </c>
      <c r="L236" s="9" t="str">
        <f aca="false">IF($O236="","",INDEX(Scoring!$L$29:$L$361,MATCH($O236,Scoring!$AS$29:$AS$361,0)))</f>
        <v/>
      </c>
      <c r="M236" s="9" t="str">
        <f aca="false">IF($O236="","",INDEX(Scoring!$N$29:$N$361,MATCH($O236,Scoring!$AS$29:$AS$361,0)))</f>
        <v/>
      </c>
      <c r="N236" s="7" t="str">
        <f aca="false">IF($O236="","",INDEX(Scoring!$AI$29:$AI$361,MATCH($O236,Scoring!$AS$29:$AS$361,0)))</f>
        <v/>
      </c>
      <c r="O236" s="10" t="str">
        <f aca="false">IFERROR(SMALL(Scoring!$AS$29:$AS$361,232),"")</f>
        <v/>
      </c>
    </row>
    <row r="237" customFormat="false" ht="15" hidden="false" customHeight="false" outlineLevel="0" collapsed="false">
      <c r="A237" s="5" t="str">
        <f aca="false">IF($O237="","",INT($O237/1000))</f>
        <v/>
      </c>
      <c r="B237" s="6" t="str">
        <f aca="false">IF($O237="","",INDEX(Scoring!$A$29:$A$361,MATCH($O237,Scoring!$AS$29:$AS$361,0)))</f>
        <v/>
      </c>
      <c r="C237" s="5" t="str">
        <f aca="false">IF($O237="","",IF(INDEX(Scoring!$AM$29:$AM$361,MATCH($O237,Scoring!$AS$29:$AS$361,0))="","–",INDEX(Scoring!$AM$29:$AM$361,MATCH($O237,Scoring!$AS$29:$AS$361,0))))</f>
        <v/>
      </c>
      <c r="D237" s="6" t="str">
        <f aca="false">IF($O237="","",INDEX(Scoring!$AK$29:$AK$361,MATCH($O237,Scoring!$AS$29:$AS$361,0)))</f>
        <v/>
      </c>
      <c r="E237" s="7" t="str">
        <f aca="false">IF($O237="","",INDEX(Scoring!$AL$29:$AL$361,MATCH($O237,Scoring!$AS$29:$AS$361,0)))</f>
        <v/>
      </c>
      <c r="F237" s="6" t="str">
        <f aca="false">IF($O237="","",INDEX(Scoring!$B$29:$B$361,MATCH($O237,Scoring!$AS$29:$AS$361,0)))</f>
        <v/>
      </c>
      <c r="G237" s="7" t="str">
        <f aca="false">IF($O237="","",INDEX(Scoring!$AG$29:$AG$361,MATCH($O237,Scoring!$AS$29:$AS$361,0)))</f>
        <v/>
      </c>
      <c r="H237" s="7" t="str">
        <f aca="false">IF($O237="","",INDEX(Scoring!$C$29:$C$361,MATCH($O237,Scoring!$AS$29:$AS$361,0)))</f>
        <v/>
      </c>
      <c r="I237" s="6" t="str">
        <f aca="false">IF($O237="","",INDEX(Scoring!$I$29:$I$361,MATCH($O237,Scoring!$AS$29:$AS$361,0)))</f>
        <v/>
      </c>
      <c r="J237" s="7" t="str">
        <f aca="false">IF($O237="","",INDEX(Scoring!$Z$29:$Z$361,MATCH($O237,Scoring!$AS$29:$AS$361,0)))</f>
        <v/>
      </c>
      <c r="K237" s="8" t="str">
        <f aca="false">IF($O237="","",IF(INDEX(Scoring!$D$29:$D$361,MATCH($O237,Scoring!$AS$29:$AS$361,0))="",INDEX(Scoring!$AF$29:$AF$361,MATCH($O237,Scoring!$AS$29:$AS$361,0)),INDEX(Scoring!$D$29:$D$361,MATCH($O237,Scoring!$AS$29:$AS$361,0))))</f>
        <v/>
      </c>
      <c r="L237" s="9" t="str">
        <f aca="false">IF($O237="","",INDEX(Scoring!$L$29:$L$361,MATCH($O237,Scoring!$AS$29:$AS$361,0)))</f>
        <v/>
      </c>
      <c r="M237" s="9" t="str">
        <f aca="false">IF($O237="","",INDEX(Scoring!$N$29:$N$361,MATCH($O237,Scoring!$AS$29:$AS$361,0)))</f>
        <v/>
      </c>
      <c r="N237" s="7" t="str">
        <f aca="false">IF($O237="","",INDEX(Scoring!$AI$29:$AI$361,MATCH($O237,Scoring!$AS$29:$AS$361,0)))</f>
        <v/>
      </c>
      <c r="O237" s="10" t="str">
        <f aca="false">IFERROR(SMALL(Scoring!$AS$29:$AS$361,233),"")</f>
        <v/>
      </c>
    </row>
    <row r="238" customFormat="false" ht="15" hidden="false" customHeight="false" outlineLevel="0" collapsed="false">
      <c r="A238" s="5" t="str">
        <f aca="false">IF($O238="","",INT($O238/1000))</f>
        <v/>
      </c>
      <c r="B238" s="6" t="str">
        <f aca="false">IF($O238="","",INDEX(Scoring!$A$29:$A$361,MATCH($O238,Scoring!$AS$29:$AS$361,0)))</f>
        <v/>
      </c>
      <c r="C238" s="5" t="str">
        <f aca="false">IF($O238="","",IF(INDEX(Scoring!$AM$29:$AM$361,MATCH($O238,Scoring!$AS$29:$AS$361,0))="","–",INDEX(Scoring!$AM$29:$AM$361,MATCH($O238,Scoring!$AS$29:$AS$361,0))))</f>
        <v/>
      </c>
      <c r="D238" s="6" t="str">
        <f aca="false">IF($O238="","",INDEX(Scoring!$AK$29:$AK$361,MATCH($O238,Scoring!$AS$29:$AS$361,0)))</f>
        <v/>
      </c>
      <c r="E238" s="7" t="str">
        <f aca="false">IF($O238="","",INDEX(Scoring!$AL$29:$AL$361,MATCH($O238,Scoring!$AS$29:$AS$361,0)))</f>
        <v/>
      </c>
      <c r="F238" s="6" t="str">
        <f aca="false">IF($O238="","",INDEX(Scoring!$B$29:$B$361,MATCH($O238,Scoring!$AS$29:$AS$361,0)))</f>
        <v/>
      </c>
      <c r="G238" s="7" t="str">
        <f aca="false">IF($O238="","",INDEX(Scoring!$AG$29:$AG$361,MATCH($O238,Scoring!$AS$29:$AS$361,0)))</f>
        <v/>
      </c>
      <c r="H238" s="7" t="str">
        <f aca="false">IF($O238="","",INDEX(Scoring!$C$29:$C$361,MATCH($O238,Scoring!$AS$29:$AS$361,0)))</f>
        <v/>
      </c>
      <c r="I238" s="6" t="str">
        <f aca="false">IF($O238="","",INDEX(Scoring!$I$29:$I$361,MATCH($O238,Scoring!$AS$29:$AS$361,0)))</f>
        <v/>
      </c>
      <c r="J238" s="7" t="str">
        <f aca="false">IF($O238="","",INDEX(Scoring!$Z$29:$Z$361,MATCH($O238,Scoring!$AS$29:$AS$361,0)))</f>
        <v/>
      </c>
      <c r="K238" s="8" t="str">
        <f aca="false">IF($O238="","",IF(INDEX(Scoring!$D$29:$D$361,MATCH($O238,Scoring!$AS$29:$AS$361,0))="",INDEX(Scoring!$AF$29:$AF$361,MATCH($O238,Scoring!$AS$29:$AS$361,0)),INDEX(Scoring!$D$29:$D$361,MATCH($O238,Scoring!$AS$29:$AS$361,0))))</f>
        <v/>
      </c>
      <c r="L238" s="9" t="str">
        <f aca="false">IF($O238="","",INDEX(Scoring!$L$29:$L$361,MATCH($O238,Scoring!$AS$29:$AS$361,0)))</f>
        <v/>
      </c>
      <c r="M238" s="9" t="str">
        <f aca="false">IF($O238="","",INDEX(Scoring!$N$29:$N$361,MATCH($O238,Scoring!$AS$29:$AS$361,0)))</f>
        <v/>
      </c>
      <c r="N238" s="7" t="str">
        <f aca="false">IF($O238="","",INDEX(Scoring!$AI$29:$AI$361,MATCH($O238,Scoring!$AS$29:$AS$361,0)))</f>
        <v/>
      </c>
      <c r="O238" s="10" t="str">
        <f aca="false">IFERROR(SMALL(Scoring!$AS$29:$AS$361,234),"")</f>
        <v/>
      </c>
    </row>
    <row r="239" customFormat="false" ht="15" hidden="false" customHeight="false" outlineLevel="0" collapsed="false">
      <c r="A239" s="5" t="str">
        <f aca="false">IF($O239="","",INT($O239/1000))</f>
        <v/>
      </c>
      <c r="B239" s="6" t="str">
        <f aca="false">IF($O239="","",INDEX(Scoring!$A$29:$A$361,MATCH($O239,Scoring!$AS$29:$AS$361,0)))</f>
        <v/>
      </c>
      <c r="C239" s="5" t="str">
        <f aca="false">IF($O239="","",IF(INDEX(Scoring!$AM$29:$AM$361,MATCH($O239,Scoring!$AS$29:$AS$361,0))="","–",INDEX(Scoring!$AM$29:$AM$361,MATCH($O239,Scoring!$AS$29:$AS$361,0))))</f>
        <v/>
      </c>
      <c r="D239" s="6" t="str">
        <f aca="false">IF($O239="","",INDEX(Scoring!$AK$29:$AK$361,MATCH($O239,Scoring!$AS$29:$AS$361,0)))</f>
        <v/>
      </c>
      <c r="E239" s="7" t="str">
        <f aca="false">IF($O239="","",INDEX(Scoring!$AL$29:$AL$361,MATCH($O239,Scoring!$AS$29:$AS$361,0)))</f>
        <v/>
      </c>
      <c r="F239" s="6" t="str">
        <f aca="false">IF($O239="","",INDEX(Scoring!$B$29:$B$361,MATCH($O239,Scoring!$AS$29:$AS$361,0)))</f>
        <v/>
      </c>
      <c r="G239" s="7" t="str">
        <f aca="false">IF($O239="","",INDEX(Scoring!$AG$29:$AG$361,MATCH($O239,Scoring!$AS$29:$AS$361,0)))</f>
        <v/>
      </c>
      <c r="H239" s="7" t="str">
        <f aca="false">IF($O239="","",INDEX(Scoring!$C$29:$C$361,MATCH($O239,Scoring!$AS$29:$AS$361,0)))</f>
        <v/>
      </c>
      <c r="I239" s="6" t="str">
        <f aca="false">IF($O239="","",INDEX(Scoring!$I$29:$I$361,MATCH($O239,Scoring!$AS$29:$AS$361,0)))</f>
        <v/>
      </c>
      <c r="J239" s="7" t="str">
        <f aca="false">IF($O239="","",INDEX(Scoring!$Z$29:$Z$361,MATCH($O239,Scoring!$AS$29:$AS$361,0)))</f>
        <v/>
      </c>
      <c r="K239" s="8" t="str">
        <f aca="false">IF($O239="","",IF(INDEX(Scoring!$D$29:$D$361,MATCH($O239,Scoring!$AS$29:$AS$361,0))="",INDEX(Scoring!$AF$29:$AF$361,MATCH($O239,Scoring!$AS$29:$AS$361,0)),INDEX(Scoring!$D$29:$D$361,MATCH($O239,Scoring!$AS$29:$AS$361,0))))</f>
        <v/>
      </c>
      <c r="L239" s="9" t="str">
        <f aca="false">IF($O239="","",INDEX(Scoring!$L$29:$L$361,MATCH($O239,Scoring!$AS$29:$AS$361,0)))</f>
        <v/>
      </c>
      <c r="M239" s="9" t="str">
        <f aca="false">IF($O239="","",INDEX(Scoring!$N$29:$N$361,MATCH($O239,Scoring!$AS$29:$AS$361,0)))</f>
        <v/>
      </c>
      <c r="N239" s="7" t="str">
        <f aca="false">IF($O239="","",INDEX(Scoring!$AI$29:$AI$361,MATCH($O239,Scoring!$AS$29:$AS$361,0)))</f>
        <v/>
      </c>
      <c r="O239" s="10" t="str">
        <f aca="false">IFERROR(SMALL(Scoring!$AS$29:$AS$361,235),"")</f>
        <v/>
      </c>
    </row>
    <row r="240" customFormat="false" ht="15" hidden="false" customHeight="false" outlineLevel="0" collapsed="false">
      <c r="A240" s="5" t="str">
        <f aca="false">IF($O240="","",INT($O240/1000))</f>
        <v/>
      </c>
      <c r="B240" s="6" t="str">
        <f aca="false">IF($O240="","",INDEX(Scoring!$A$29:$A$361,MATCH($O240,Scoring!$AS$29:$AS$361,0)))</f>
        <v/>
      </c>
      <c r="C240" s="5" t="str">
        <f aca="false">IF($O240="","",IF(INDEX(Scoring!$AM$29:$AM$361,MATCH($O240,Scoring!$AS$29:$AS$361,0))="","–",INDEX(Scoring!$AM$29:$AM$361,MATCH($O240,Scoring!$AS$29:$AS$361,0))))</f>
        <v/>
      </c>
      <c r="D240" s="6" t="str">
        <f aca="false">IF($O240="","",INDEX(Scoring!$AK$29:$AK$361,MATCH($O240,Scoring!$AS$29:$AS$361,0)))</f>
        <v/>
      </c>
      <c r="E240" s="7" t="str">
        <f aca="false">IF($O240="","",INDEX(Scoring!$AL$29:$AL$361,MATCH($O240,Scoring!$AS$29:$AS$361,0)))</f>
        <v/>
      </c>
      <c r="F240" s="6" t="str">
        <f aca="false">IF($O240="","",INDEX(Scoring!$B$29:$B$361,MATCH($O240,Scoring!$AS$29:$AS$361,0)))</f>
        <v/>
      </c>
      <c r="G240" s="7" t="str">
        <f aca="false">IF($O240="","",INDEX(Scoring!$AG$29:$AG$361,MATCH($O240,Scoring!$AS$29:$AS$361,0)))</f>
        <v/>
      </c>
      <c r="H240" s="7" t="str">
        <f aca="false">IF($O240="","",INDEX(Scoring!$C$29:$C$361,MATCH($O240,Scoring!$AS$29:$AS$361,0)))</f>
        <v/>
      </c>
      <c r="I240" s="6" t="str">
        <f aca="false">IF($O240="","",INDEX(Scoring!$I$29:$I$361,MATCH($O240,Scoring!$AS$29:$AS$361,0)))</f>
        <v/>
      </c>
      <c r="J240" s="7" t="str">
        <f aca="false">IF($O240="","",INDEX(Scoring!$Z$29:$Z$361,MATCH($O240,Scoring!$AS$29:$AS$361,0)))</f>
        <v/>
      </c>
      <c r="K240" s="8" t="str">
        <f aca="false">IF($O240="","",IF(INDEX(Scoring!$D$29:$D$361,MATCH($O240,Scoring!$AS$29:$AS$361,0))="",INDEX(Scoring!$AF$29:$AF$361,MATCH($O240,Scoring!$AS$29:$AS$361,0)),INDEX(Scoring!$D$29:$D$361,MATCH($O240,Scoring!$AS$29:$AS$361,0))))</f>
        <v/>
      </c>
      <c r="L240" s="9" t="str">
        <f aca="false">IF($O240="","",INDEX(Scoring!$L$29:$L$361,MATCH($O240,Scoring!$AS$29:$AS$361,0)))</f>
        <v/>
      </c>
      <c r="M240" s="9" t="str">
        <f aca="false">IF($O240="","",INDEX(Scoring!$N$29:$N$361,MATCH($O240,Scoring!$AS$29:$AS$361,0)))</f>
        <v/>
      </c>
      <c r="N240" s="7" t="str">
        <f aca="false">IF($O240="","",INDEX(Scoring!$AI$29:$AI$361,MATCH($O240,Scoring!$AS$29:$AS$361,0)))</f>
        <v/>
      </c>
      <c r="O240" s="10" t="str">
        <f aca="false">IFERROR(SMALL(Scoring!$AS$29:$AS$361,236),"")</f>
        <v/>
      </c>
    </row>
    <row r="241" customFormat="false" ht="15" hidden="false" customHeight="false" outlineLevel="0" collapsed="false">
      <c r="A241" s="5" t="str">
        <f aca="false">IF($O241="","",INT($O241/1000))</f>
        <v/>
      </c>
      <c r="B241" s="6" t="str">
        <f aca="false">IF($O241="","",INDEX(Scoring!$A$29:$A$361,MATCH($O241,Scoring!$AS$29:$AS$361,0)))</f>
        <v/>
      </c>
      <c r="C241" s="5" t="str">
        <f aca="false">IF($O241="","",IF(INDEX(Scoring!$AM$29:$AM$361,MATCH($O241,Scoring!$AS$29:$AS$361,0))="","–",INDEX(Scoring!$AM$29:$AM$361,MATCH($O241,Scoring!$AS$29:$AS$361,0))))</f>
        <v/>
      </c>
      <c r="D241" s="6" t="str">
        <f aca="false">IF($O241="","",INDEX(Scoring!$AK$29:$AK$361,MATCH($O241,Scoring!$AS$29:$AS$361,0)))</f>
        <v/>
      </c>
      <c r="E241" s="7" t="str">
        <f aca="false">IF($O241="","",INDEX(Scoring!$AL$29:$AL$361,MATCH($O241,Scoring!$AS$29:$AS$361,0)))</f>
        <v/>
      </c>
      <c r="F241" s="6" t="str">
        <f aca="false">IF($O241="","",INDEX(Scoring!$B$29:$B$361,MATCH($O241,Scoring!$AS$29:$AS$361,0)))</f>
        <v/>
      </c>
      <c r="G241" s="7" t="str">
        <f aca="false">IF($O241="","",INDEX(Scoring!$AG$29:$AG$361,MATCH($O241,Scoring!$AS$29:$AS$361,0)))</f>
        <v/>
      </c>
      <c r="H241" s="7" t="str">
        <f aca="false">IF($O241="","",INDEX(Scoring!$C$29:$C$361,MATCH($O241,Scoring!$AS$29:$AS$361,0)))</f>
        <v/>
      </c>
      <c r="I241" s="6" t="str">
        <f aca="false">IF($O241="","",INDEX(Scoring!$I$29:$I$361,MATCH($O241,Scoring!$AS$29:$AS$361,0)))</f>
        <v/>
      </c>
      <c r="J241" s="7" t="str">
        <f aca="false">IF($O241="","",INDEX(Scoring!$Z$29:$Z$361,MATCH($O241,Scoring!$AS$29:$AS$361,0)))</f>
        <v/>
      </c>
      <c r="K241" s="8" t="str">
        <f aca="false">IF($O241="","",IF(INDEX(Scoring!$D$29:$D$361,MATCH($O241,Scoring!$AS$29:$AS$361,0))="",INDEX(Scoring!$AF$29:$AF$361,MATCH($O241,Scoring!$AS$29:$AS$361,0)),INDEX(Scoring!$D$29:$D$361,MATCH($O241,Scoring!$AS$29:$AS$361,0))))</f>
        <v/>
      </c>
      <c r="L241" s="9" t="str">
        <f aca="false">IF($O241="","",INDEX(Scoring!$L$29:$L$361,MATCH($O241,Scoring!$AS$29:$AS$361,0)))</f>
        <v/>
      </c>
      <c r="M241" s="9" t="str">
        <f aca="false">IF($O241="","",INDEX(Scoring!$N$29:$N$361,MATCH($O241,Scoring!$AS$29:$AS$361,0)))</f>
        <v/>
      </c>
      <c r="N241" s="7" t="str">
        <f aca="false">IF($O241="","",INDEX(Scoring!$AI$29:$AI$361,MATCH($O241,Scoring!$AS$29:$AS$361,0)))</f>
        <v/>
      </c>
      <c r="O241" s="10" t="str">
        <f aca="false">IFERROR(SMALL(Scoring!$AS$29:$AS$361,237),"")</f>
        <v/>
      </c>
    </row>
    <row r="242" customFormat="false" ht="15" hidden="false" customHeight="false" outlineLevel="0" collapsed="false">
      <c r="A242" s="5" t="str">
        <f aca="false">IF($O242="","",INT($O242/1000))</f>
        <v/>
      </c>
      <c r="B242" s="6" t="str">
        <f aca="false">IF($O242="","",INDEX(Scoring!$A$29:$A$361,MATCH($O242,Scoring!$AS$29:$AS$361,0)))</f>
        <v/>
      </c>
      <c r="C242" s="5" t="str">
        <f aca="false">IF($O242="","",IF(INDEX(Scoring!$AM$29:$AM$361,MATCH($O242,Scoring!$AS$29:$AS$361,0))="","–",INDEX(Scoring!$AM$29:$AM$361,MATCH($O242,Scoring!$AS$29:$AS$361,0))))</f>
        <v/>
      </c>
      <c r="D242" s="6" t="str">
        <f aca="false">IF($O242="","",INDEX(Scoring!$AK$29:$AK$361,MATCH($O242,Scoring!$AS$29:$AS$361,0)))</f>
        <v/>
      </c>
      <c r="E242" s="7" t="str">
        <f aca="false">IF($O242="","",INDEX(Scoring!$AL$29:$AL$361,MATCH($O242,Scoring!$AS$29:$AS$361,0)))</f>
        <v/>
      </c>
      <c r="F242" s="6" t="str">
        <f aca="false">IF($O242="","",INDEX(Scoring!$B$29:$B$361,MATCH($O242,Scoring!$AS$29:$AS$361,0)))</f>
        <v/>
      </c>
      <c r="G242" s="7" t="str">
        <f aca="false">IF($O242="","",INDEX(Scoring!$AG$29:$AG$361,MATCH($O242,Scoring!$AS$29:$AS$361,0)))</f>
        <v/>
      </c>
      <c r="H242" s="7" t="str">
        <f aca="false">IF($O242="","",INDEX(Scoring!$C$29:$C$361,MATCH($O242,Scoring!$AS$29:$AS$361,0)))</f>
        <v/>
      </c>
      <c r="I242" s="6" t="str">
        <f aca="false">IF($O242="","",INDEX(Scoring!$I$29:$I$361,MATCH($O242,Scoring!$AS$29:$AS$361,0)))</f>
        <v/>
      </c>
      <c r="J242" s="7" t="str">
        <f aca="false">IF($O242="","",INDEX(Scoring!$Z$29:$Z$361,MATCH($O242,Scoring!$AS$29:$AS$361,0)))</f>
        <v/>
      </c>
      <c r="K242" s="8" t="str">
        <f aca="false">IF($O242="","",IF(INDEX(Scoring!$D$29:$D$361,MATCH($O242,Scoring!$AS$29:$AS$361,0))="",INDEX(Scoring!$AF$29:$AF$361,MATCH($O242,Scoring!$AS$29:$AS$361,0)),INDEX(Scoring!$D$29:$D$361,MATCH($O242,Scoring!$AS$29:$AS$361,0))))</f>
        <v/>
      </c>
      <c r="L242" s="9" t="str">
        <f aca="false">IF($O242="","",INDEX(Scoring!$L$29:$L$361,MATCH($O242,Scoring!$AS$29:$AS$361,0)))</f>
        <v/>
      </c>
      <c r="M242" s="9" t="str">
        <f aca="false">IF($O242="","",INDEX(Scoring!$N$29:$N$361,MATCH($O242,Scoring!$AS$29:$AS$361,0)))</f>
        <v/>
      </c>
      <c r="N242" s="7" t="str">
        <f aca="false">IF($O242="","",INDEX(Scoring!$AI$29:$AI$361,MATCH($O242,Scoring!$AS$29:$AS$361,0)))</f>
        <v/>
      </c>
      <c r="O242" s="10" t="str">
        <f aca="false">IFERROR(SMALL(Scoring!$AS$29:$AS$361,238),"")</f>
        <v/>
      </c>
    </row>
    <row r="243" customFormat="false" ht="15" hidden="false" customHeight="false" outlineLevel="0" collapsed="false">
      <c r="A243" s="5" t="str">
        <f aca="false">IF($O243="","",INT($O243/1000))</f>
        <v/>
      </c>
      <c r="B243" s="6" t="str">
        <f aca="false">IF($O243="","",INDEX(Scoring!$A$29:$A$361,MATCH($O243,Scoring!$AS$29:$AS$361,0)))</f>
        <v/>
      </c>
      <c r="C243" s="5" t="str">
        <f aca="false">IF($O243="","",IF(INDEX(Scoring!$AM$29:$AM$361,MATCH($O243,Scoring!$AS$29:$AS$361,0))="","–",INDEX(Scoring!$AM$29:$AM$361,MATCH($O243,Scoring!$AS$29:$AS$361,0))))</f>
        <v/>
      </c>
      <c r="D243" s="6" t="str">
        <f aca="false">IF($O243="","",INDEX(Scoring!$AK$29:$AK$361,MATCH($O243,Scoring!$AS$29:$AS$361,0)))</f>
        <v/>
      </c>
      <c r="E243" s="7" t="str">
        <f aca="false">IF($O243="","",INDEX(Scoring!$AL$29:$AL$361,MATCH($O243,Scoring!$AS$29:$AS$361,0)))</f>
        <v/>
      </c>
      <c r="F243" s="6" t="str">
        <f aca="false">IF($O243="","",INDEX(Scoring!$B$29:$B$361,MATCH($O243,Scoring!$AS$29:$AS$361,0)))</f>
        <v/>
      </c>
      <c r="G243" s="7" t="str">
        <f aca="false">IF($O243="","",INDEX(Scoring!$AG$29:$AG$361,MATCH($O243,Scoring!$AS$29:$AS$361,0)))</f>
        <v/>
      </c>
      <c r="H243" s="7" t="str">
        <f aca="false">IF($O243="","",INDEX(Scoring!$C$29:$C$361,MATCH($O243,Scoring!$AS$29:$AS$361,0)))</f>
        <v/>
      </c>
      <c r="I243" s="6" t="str">
        <f aca="false">IF($O243="","",INDEX(Scoring!$I$29:$I$361,MATCH($O243,Scoring!$AS$29:$AS$361,0)))</f>
        <v/>
      </c>
      <c r="J243" s="7" t="str">
        <f aca="false">IF($O243="","",INDEX(Scoring!$Z$29:$Z$361,MATCH($O243,Scoring!$AS$29:$AS$361,0)))</f>
        <v/>
      </c>
      <c r="K243" s="8" t="str">
        <f aca="false">IF($O243="","",IF(INDEX(Scoring!$D$29:$D$361,MATCH($O243,Scoring!$AS$29:$AS$361,0))="",INDEX(Scoring!$AF$29:$AF$361,MATCH($O243,Scoring!$AS$29:$AS$361,0)),INDEX(Scoring!$D$29:$D$361,MATCH($O243,Scoring!$AS$29:$AS$361,0))))</f>
        <v/>
      </c>
      <c r="L243" s="9" t="str">
        <f aca="false">IF($O243="","",INDEX(Scoring!$L$29:$L$361,MATCH($O243,Scoring!$AS$29:$AS$361,0)))</f>
        <v/>
      </c>
      <c r="M243" s="9" t="str">
        <f aca="false">IF($O243="","",INDEX(Scoring!$N$29:$N$361,MATCH($O243,Scoring!$AS$29:$AS$361,0)))</f>
        <v/>
      </c>
      <c r="N243" s="7" t="str">
        <f aca="false">IF($O243="","",INDEX(Scoring!$AI$29:$AI$361,MATCH($O243,Scoring!$AS$29:$AS$361,0)))</f>
        <v/>
      </c>
      <c r="O243" s="10" t="str">
        <f aca="false">IFERROR(SMALL(Scoring!$AS$29:$AS$361,239),"")</f>
        <v/>
      </c>
    </row>
    <row r="244" customFormat="false" ht="15" hidden="false" customHeight="false" outlineLevel="0" collapsed="false">
      <c r="A244" s="5" t="str">
        <f aca="false">IF($O244="","",INT($O244/1000))</f>
        <v/>
      </c>
      <c r="B244" s="6" t="str">
        <f aca="false">IF($O244="","",INDEX(Scoring!$A$29:$A$361,MATCH($O244,Scoring!$AS$29:$AS$361,0)))</f>
        <v/>
      </c>
      <c r="C244" s="5" t="str">
        <f aca="false">IF($O244="","",IF(INDEX(Scoring!$AM$29:$AM$361,MATCH($O244,Scoring!$AS$29:$AS$361,0))="","–",INDEX(Scoring!$AM$29:$AM$361,MATCH($O244,Scoring!$AS$29:$AS$361,0))))</f>
        <v/>
      </c>
      <c r="D244" s="6" t="str">
        <f aca="false">IF($O244="","",INDEX(Scoring!$AK$29:$AK$361,MATCH($O244,Scoring!$AS$29:$AS$361,0)))</f>
        <v/>
      </c>
      <c r="E244" s="7" t="str">
        <f aca="false">IF($O244="","",INDEX(Scoring!$AL$29:$AL$361,MATCH($O244,Scoring!$AS$29:$AS$361,0)))</f>
        <v/>
      </c>
      <c r="F244" s="6" t="str">
        <f aca="false">IF($O244="","",INDEX(Scoring!$B$29:$B$361,MATCH($O244,Scoring!$AS$29:$AS$361,0)))</f>
        <v/>
      </c>
      <c r="G244" s="7" t="str">
        <f aca="false">IF($O244="","",INDEX(Scoring!$AG$29:$AG$361,MATCH($O244,Scoring!$AS$29:$AS$361,0)))</f>
        <v/>
      </c>
      <c r="H244" s="7" t="str">
        <f aca="false">IF($O244="","",INDEX(Scoring!$C$29:$C$361,MATCH($O244,Scoring!$AS$29:$AS$361,0)))</f>
        <v/>
      </c>
      <c r="I244" s="6" t="str">
        <f aca="false">IF($O244="","",INDEX(Scoring!$I$29:$I$361,MATCH($O244,Scoring!$AS$29:$AS$361,0)))</f>
        <v/>
      </c>
      <c r="J244" s="7" t="str">
        <f aca="false">IF($O244="","",INDEX(Scoring!$Z$29:$Z$361,MATCH($O244,Scoring!$AS$29:$AS$361,0)))</f>
        <v/>
      </c>
      <c r="K244" s="8" t="str">
        <f aca="false">IF($O244="","",IF(INDEX(Scoring!$D$29:$D$361,MATCH($O244,Scoring!$AS$29:$AS$361,0))="",INDEX(Scoring!$AF$29:$AF$361,MATCH($O244,Scoring!$AS$29:$AS$361,0)),INDEX(Scoring!$D$29:$D$361,MATCH($O244,Scoring!$AS$29:$AS$361,0))))</f>
        <v/>
      </c>
      <c r="L244" s="9" t="str">
        <f aca="false">IF($O244="","",INDEX(Scoring!$L$29:$L$361,MATCH($O244,Scoring!$AS$29:$AS$361,0)))</f>
        <v/>
      </c>
      <c r="M244" s="9" t="str">
        <f aca="false">IF($O244="","",INDEX(Scoring!$N$29:$N$361,MATCH($O244,Scoring!$AS$29:$AS$361,0)))</f>
        <v/>
      </c>
      <c r="N244" s="7" t="str">
        <f aca="false">IF($O244="","",INDEX(Scoring!$AI$29:$AI$361,MATCH($O244,Scoring!$AS$29:$AS$361,0)))</f>
        <v/>
      </c>
      <c r="O244" s="10" t="str">
        <f aca="false">IFERROR(SMALL(Scoring!$AS$29:$AS$361,240),"")</f>
        <v/>
      </c>
    </row>
    <row r="245" customFormat="false" ht="15" hidden="false" customHeight="false" outlineLevel="0" collapsed="false">
      <c r="A245" s="5" t="str">
        <f aca="false">IF($O245="","",INT($O245/1000))</f>
        <v/>
      </c>
      <c r="B245" s="6" t="str">
        <f aca="false">IF($O245="","",INDEX(Scoring!$A$29:$A$361,MATCH($O245,Scoring!$AS$29:$AS$361,0)))</f>
        <v/>
      </c>
      <c r="C245" s="5" t="str">
        <f aca="false">IF($O245="","",IF(INDEX(Scoring!$AM$29:$AM$361,MATCH($O245,Scoring!$AS$29:$AS$361,0))="","–",INDEX(Scoring!$AM$29:$AM$361,MATCH($O245,Scoring!$AS$29:$AS$361,0))))</f>
        <v/>
      </c>
      <c r="D245" s="6" t="str">
        <f aca="false">IF($O245="","",INDEX(Scoring!$AK$29:$AK$361,MATCH($O245,Scoring!$AS$29:$AS$361,0)))</f>
        <v/>
      </c>
      <c r="E245" s="7" t="str">
        <f aca="false">IF($O245="","",INDEX(Scoring!$AL$29:$AL$361,MATCH($O245,Scoring!$AS$29:$AS$361,0)))</f>
        <v/>
      </c>
      <c r="F245" s="6" t="str">
        <f aca="false">IF($O245="","",INDEX(Scoring!$B$29:$B$361,MATCH($O245,Scoring!$AS$29:$AS$361,0)))</f>
        <v/>
      </c>
      <c r="G245" s="7" t="str">
        <f aca="false">IF($O245="","",INDEX(Scoring!$AG$29:$AG$361,MATCH($O245,Scoring!$AS$29:$AS$361,0)))</f>
        <v/>
      </c>
      <c r="H245" s="7" t="str">
        <f aca="false">IF($O245="","",INDEX(Scoring!$C$29:$C$361,MATCH($O245,Scoring!$AS$29:$AS$361,0)))</f>
        <v/>
      </c>
      <c r="I245" s="6" t="str">
        <f aca="false">IF($O245="","",INDEX(Scoring!$I$29:$I$361,MATCH($O245,Scoring!$AS$29:$AS$361,0)))</f>
        <v/>
      </c>
      <c r="J245" s="7" t="str">
        <f aca="false">IF($O245="","",INDEX(Scoring!$Z$29:$Z$361,MATCH($O245,Scoring!$AS$29:$AS$361,0)))</f>
        <v/>
      </c>
      <c r="K245" s="8" t="str">
        <f aca="false">IF($O245="","",IF(INDEX(Scoring!$D$29:$D$361,MATCH($O245,Scoring!$AS$29:$AS$361,0))="",INDEX(Scoring!$AF$29:$AF$361,MATCH($O245,Scoring!$AS$29:$AS$361,0)),INDEX(Scoring!$D$29:$D$361,MATCH($O245,Scoring!$AS$29:$AS$361,0))))</f>
        <v/>
      </c>
      <c r="L245" s="9" t="str">
        <f aca="false">IF($O245="","",INDEX(Scoring!$L$29:$L$361,MATCH($O245,Scoring!$AS$29:$AS$361,0)))</f>
        <v/>
      </c>
      <c r="M245" s="9" t="str">
        <f aca="false">IF($O245="","",INDEX(Scoring!$N$29:$N$361,MATCH($O245,Scoring!$AS$29:$AS$361,0)))</f>
        <v/>
      </c>
      <c r="N245" s="7" t="str">
        <f aca="false">IF($O245="","",INDEX(Scoring!$AI$29:$AI$361,MATCH($O245,Scoring!$AS$29:$AS$361,0)))</f>
        <v/>
      </c>
      <c r="O245" s="10" t="str">
        <f aca="false">IFERROR(SMALL(Scoring!$AS$29:$AS$361,241),"")</f>
        <v/>
      </c>
    </row>
    <row r="246" customFormat="false" ht="15" hidden="false" customHeight="false" outlineLevel="0" collapsed="false">
      <c r="A246" s="5" t="str">
        <f aca="false">IF($O246="","",INT($O246/1000))</f>
        <v/>
      </c>
      <c r="B246" s="6" t="str">
        <f aca="false">IF($O246="","",INDEX(Scoring!$A$29:$A$361,MATCH($O246,Scoring!$AS$29:$AS$361,0)))</f>
        <v/>
      </c>
      <c r="C246" s="5" t="str">
        <f aca="false">IF($O246="","",IF(INDEX(Scoring!$AM$29:$AM$361,MATCH($O246,Scoring!$AS$29:$AS$361,0))="","–",INDEX(Scoring!$AM$29:$AM$361,MATCH($O246,Scoring!$AS$29:$AS$361,0))))</f>
        <v/>
      </c>
      <c r="D246" s="6" t="str">
        <f aca="false">IF($O246="","",INDEX(Scoring!$AK$29:$AK$361,MATCH($O246,Scoring!$AS$29:$AS$361,0)))</f>
        <v/>
      </c>
      <c r="E246" s="7" t="str">
        <f aca="false">IF($O246="","",INDEX(Scoring!$AL$29:$AL$361,MATCH($O246,Scoring!$AS$29:$AS$361,0)))</f>
        <v/>
      </c>
      <c r="F246" s="6" t="str">
        <f aca="false">IF($O246="","",INDEX(Scoring!$B$29:$B$361,MATCH($O246,Scoring!$AS$29:$AS$361,0)))</f>
        <v/>
      </c>
      <c r="G246" s="7" t="str">
        <f aca="false">IF($O246="","",INDEX(Scoring!$AG$29:$AG$361,MATCH($O246,Scoring!$AS$29:$AS$361,0)))</f>
        <v/>
      </c>
      <c r="H246" s="7" t="str">
        <f aca="false">IF($O246="","",INDEX(Scoring!$C$29:$C$361,MATCH($O246,Scoring!$AS$29:$AS$361,0)))</f>
        <v/>
      </c>
      <c r="I246" s="6" t="str">
        <f aca="false">IF($O246="","",INDEX(Scoring!$I$29:$I$361,MATCH($O246,Scoring!$AS$29:$AS$361,0)))</f>
        <v/>
      </c>
      <c r="J246" s="7" t="str">
        <f aca="false">IF($O246="","",INDEX(Scoring!$Z$29:$Z$361,MATCH($O246,Scoring!$AS$29:$AS$361,0)))</f>
        <v/>
      </c>
      <c r="K246" s="8" t="str">
        <f aca="false">IF($O246="","",IF(INDEX(Scoring!$D$29:$D$361,MATCH($O246,Scoring!$AS$29:$AS$361,0))="",INDEX(Scoring!$AF$29:$AF$361,MATCH($O246,Scoring!$AS$29:$AS$361,0)),INDEX(Scoring!$D$29:$D$361,MATCH($O246,Scoring!$AS$29:$AS$361,0))))</f>
        <v/>
      </c>
      <c r="L246" s="9" t="str">
        <f aca="false">IF($O246="","",INDEX(Scoring!$L$29:$L$361,MATCH($O246,Scoring!$AS$29:$AS$361,0)))</f>
        <v/>
      </c>
      <c r="M246" s="9" t="str">
        <f aca="false">IF($O246="","",INDEX(Scoring!$N$29:$N$361,MATCH($O246,Scoring!$AS$29:$AS$361,0)))</f>
        <v/>
      </c>
      <c r="N246" s="7" t="str">
        <f aca="false">IF($O246="","",INDEX(Scoring!$AI$29:$AI$361,MATCH($O246,Scoring!$AS$29:$AS$361,0)))</f>
        <v/>
      </c>
      <c r="O246" s="10" t="str">
        <f aca="false">IFERROR(SMALL(Scoring!$AS$29:$AS$361,242),"")</f>
        <v/>
      </c>
    </row>
    <row r="247" customFormat="false" ht="15" hidden="false" customHeight="false" outlineLevel="0" collapsed="false">
      <c r="A247" s="5" t="str">
        <f aca="false">IF($O247="","",INT($O247/1000))</f>
        <v/>
      </c>
      <c r="B247" s="6" t="str">
        <f aca="false">IF($O247="","",INDEX(Scoring!$A$29:$A$361,MATCH($O247,Scoring!$AS$29:$AS$361,0)))</f>
        <v/>
      </c>
      <c r="C247" s="5" t="str">
        <f aca="false">IF($O247="","",IF(INDEX(Scoring!$AM$29:$AM$361,MATCH($O247,Scoring!$AS$29:$AS$361,0))="","–",INDEX(Scoring!$AM$29:$AM$361,MATCH($O247,Scoring!$AS$29:$AS$361,0))))</f>
        <v/>
      </c>
      <c r="D247" s="6" t="str">
        <f aca="false">IF($O247="","",INDEX(Scoring!$AK$29:$AK$361,MATCH($O247,Scoring!$AS$29:$AS$361,0)))</f>
        <v/>
      </c>
      <c r="E247" s="7" t="str">
        <f aca="false">IF($O247="","",INDEX(Scoring!$AL$29:$AL$361,MATCH($O247,Scoring!$AS$29:$AS$361,0)))</f>
        <v/>
      </c>
      <c r="F247" s="6" t="str">
        <f aca="false">IF($O247="","",INDEX(Scoring!$B$29:$B$361,MATCH($O247,Scoring!$AS$29:$AS$361,0)))</f>
        <v/>
      </c>
      <c r="G247" s="7" t="str">
        <f aca="false">IF($O247="","",INDEX(Scoring!$AG$29:$AG$361,MATCH($O247,Scoring!$AS$29:$AS$361,0)))</f>
        <v/>
      </c>
      <c r="H247" s="7" t="str">
        <f aca="false">IF($O247="","",INDEX(Scoring!$C$29:$C$361,MATCH($O247,Scoring!$AS$29:$AS$361,0)))</f>
        <v/>
      </c>
      <c r="I247" s="6" t="str">
        <f aca="false">IF($O247="","",INDEX(Scoring!$I$29:$I$361,MATCH($O247,Scoring!$AS$29:$AS$361,0)))</f>
        <v/>
      </c>
      <c r="J247" s="7" t="str">
        <f aca="false">IF($O247="","",INDEX(Scoring!$Z$29:$Z$361,MATCH($O247,Scoring!$AS$29:$AS$361,0)))</f>
        <v/>
      </c>
      <c r="K247" s="8" t="str">
        <f aca="false">IF($O247="","",IF(INDEX(Scoring!$D$29:$D$361,MATCH($O247,Scoring!$AS$29:$AS$361,0))="",INDEX(Scoring!$AF$29:$AF$361,MATCH($O247,Scoring!$AS$29:$AS$361,0)),INDEX(Scoring!$D$29:$D$361,MATCH($O247,Scoring!$AS$29:$AS$361,0))))</f>
        <v/>
      </c>
      <c r="L247" s="9" t="str">
        <f aca="false">IF($O247="","",INDEX(Scoring!$L$29:$L$361,MATCH($O247,Scoring!$AS$29:$AS$361,0)))</f>
        <v/>
      </c>
      <c r="M247" s="9" t="str">
        <f aca="false">IF($O247="","",INDEX(Scoring!$N$29:$N$361,MATCH($O247,Scoring!$AS$29:$AS$361,0)))</f>
        <v/>
      </c>
      <c r="N247" s="7" t="str">
        <f aca="false">IF($O247="","",INDEX(Scoring!$AI$29:$AI$361,MATCH($O247,Scoring!$AS$29:$AS$361,0)))</f>
        <v/>
      </c>
      <c r="O247" s="10" t="str">
        <f aca="false">IFERROR(SMALL(Scoring!$AS$29:$AS$361,243),"")</f>
        <v/>
      </c>
    </row>
    <row r="248" customFormat="false" ht="15" hidden="false" customHeight="false" outlineLevel="0" collapsed="false">
      <c r="A248" s="5" t="str">
        <f aca="false">IF($O248="","",INT($O248/1000))</f>
        <v/>
      </c>
      <c r="B248" s="6" t="str">
        <f aca="false">IF($O248="","",INDEX(Scoring!$A$29:$A$361,MATCH($O248,Scoring!$AS$29:$AS$361,0)))</f>
        <v/>
      </c>
      <c r="C248" s="5" t="str">
        <f aca="false">IF($O248="","",IF(INDEX(Scoring!$AM$29:$AM$361,MATCH($O248,Scoring!$AS$29:$AS$361,0))="","–",INDEX(Scoring!$AM$29:$AM$361,MATCH($O248,Scoring!$AS$29:$AS$361,0))))</f>
        <v/>
      </c>
      <c r="D248" s="6" t="str">
        <f aca="false">IF($O248="","",INDEX(Scoring!$AK$29:$AK$361,MATCH($O248,Scoring!$AS$29:$AS$361,0)))</f>
        <v/>
      </c>
      <c r="E248" s="7" t="str">
        <f aca="false">IF($O248="","",INDEX(Scoring!$AL$29:$AL$361,MATCH($O248,Scoring!$AS$29:$AS$361,0)))</f>
        <v/>
      </c>
      <c r="F248" s="6" t="str">
        <f aca="false">IF($O248="","",INDEX(Scoring!$B$29:$B$361,MATCH($O248,Scoring!$AS$29:$AS$361,0)))</f>
        <v/>
      </c>
      <c r="G248" s="7" t="str">
        <f aca="false">IF($O248="","",INDEX(Scoring!$AG$29:$AG$361,MATCH($O248,Scoring!$AS$29:$AS$361,0)))</f>
        <v/>
      </c>
      <c r="H248" s="7" t="str">
        <f aca="false">IF($O248="","",INDEX(Scoring!$C$29:$C$361,MATCH($O248,Scoring!$AS$29:$AS$361,0)))</f>
        <v/>
      </c>
      <c r="I248" s="6" t="str">
        <f aca="false">IF($O248="","",INDEX(Scoring!$I$29:$I$361,MATCH($O248,Scoring!$AS$29:$AS$361,0)))</f>
        <v/>
      </c>
      <c r="J248" s="7" t="str">
        <f aca="false">IF($O248="","",INDEX(Scoring!$Z$29:$Z$361,MATCH($O248,Scoring!$AS$29:$AS$361,0)))</f>
        <v/>
      </c>
      <c r="K248" s="8" t="str">
        <f aca="false">IF($O248="","",IF(INDEX(Scoring!$D$29:$D$361,MATCH($O248,Scoring!$AS$29:$AS$361,0))="",INDEX(Scoring!$AF$29:$AF$361,MATCH($O248,Scoring!$AS$29:$AS$361,0)),INDEX(Scoring!$D$29:$D$361,MATCH($O248,Scoring!$AS$29:$AS$361,0))))</f>
        <v/>
      </c>
      <c r="L248" s="9" t="str">
        <f aca="false">IF($O248="","",INDEX(Scoring!$L$29:$L$361,MATCH($O248,Scoring!$AS$29:$AS$361,0)))</f>
        <v/>
      </c>
      <c r="M248" s="9" t="str">
        <f aca="false">IF($O248="","",INDEX(Scoring!$N$29:$N$361,MATCH($O248,Scoring!$AS$29:$AS$361,0)))</f>
        <v/>
      </c>
      <c r="N248" s="7" t="str">
        <f aca="false">IF($O248="","",INDEX(Scoring!$AI$29:$AI$361,MATCH($O248,Scoring!$AS$29:$AS$361,0)))</f>
        <v/>
      </c>
      <c r="O248" s="10" t="str">
        <f aca="false">IFERROR(SMALL(Scoring!$AS$29:$AS$361,244),"")</f>
        <v/>
      </c>
    </row>
    <row r="249" customFormat="false" ht="15" hidden="false" customHeight="false" outlineLevel="0" collapsed="false">
      <c r="A249" s="5" t="str">
        <f aca="false">IF($O249="","",INT($O249/1000))</f>
        <v/>
      </c>
      <c r="B249" s="6" t="str">
        <f aca="false">IF($O249="","",INDEX(Scoring!$A$29:$A$361,MATCH($O249,Scoring!$AS$29:$AS$361,0)))</f>
        <v/>
      </c>
      <c r="C249" s="5" t="str">
        <f aca="false">IF($O249="","",IF(INDEX(Scoring!$AM$29:$AM$361,MATCH($O249,Scoring!$AS$29:$AS$361,0))="","–",INDEX(Scoring!$AM$29:$AM$361,MATCH($O249,Scoring!$AS$29:$AS$361,0))))</f>
        <v/>
      </c>
      <c r="D249" s="6" t="str">
        <f aca="false">IF($O249="","",INDEX(Scoring!$AK$29:$AK$361,MATCH($O249,Scoring!$AS$29:$AS$361,0)))</f>
        <v/>
      </c>
      <c r="E249" s="7" t="str">
        <f aca="false">IF($O249="","",INDEX(Scoring!$AL$29:$AL$361,MATCH($O249,Scoring!$AS$29:$AS$361,0)))</f>
        <v/>
      </c>
      <c r="F249" s="6" t="str">
        <f aca="false">IF($O249="","",INDEX(Scoring!$B$29:$B$361,MATCH($O249,Scoring!$AS$29:$AS$361,0)))</f>
        <v/>
      </c>
      <c r="G249" s="7" t="str">
        <f aca="false">IF($O249="","",INDEX(Scoring!$AG$29:$AG$361,MATCH($O249,Scoring!$AS$29:$AS$361,0)))</f>
        <v/>
      </c>
      <c r="H249" s="7" t="str">
        <f aca="false">IF($O249="","",INDEX(Scoring!$C$29:$C$361,MATCH($O249,Scoring!$AS$29:$AS$361,0)))</f>
        <v/>
      </c>
      <c r="I249" s="6" t="str">
        <f aca="false">IF($O249="","",INDEX(Scoring!$I$29:$I$361,MATCH($O249,Scoring!$AS$29:$AS$361,0)))</f>
        <v/>
      </c>
      <c r="J249" s="7" t="str">
        <f aca="false">IF($O249="","",INDEX(Scoring!$Z$29:$Z$361,MATCH($O249,Scoring!$AS$29:$AS$361,0)))</f>
        <v/>
      </c>
      <c r="K249" s="8" t="str">
        <f aca="false">IF($O249="","",IF(INDEX(Scoring!$D$29:$D$361,MATCH($O249,Scoring!$AS$29:$AS$361,0))="",INDEX(Scoring!$AF$29:$AF$361,MATCH($O249,Scoring!$AS$29:$AS$361,0)),INDEX(Scoring!$D$29:$D$361,MATCH($O249,Scoring!$AS$29:$AS$361,0))))</f>
        <v/>
      </c>
      <c r="L249" s="9" t="str">
        <f aca="false">IF($O249="","",INDEX(Scoring!$L$29:$L$361,MATCH($O249,Scoring!$AS$29:$AS$361,0)))</f>
        <v/>
      </c>
      <c r="M249" s="9" t="str">
        <f aca="false">IF($O249="","",INDEX(Scoring!$N$29:$N$361,MATCH($O249,Scoring!$AS$29:$AS$361,0)))</f>
        <v/>
      </c>
      <c r="N249" s="7" t="str">
        <f aca="false">IF($O249="","",INDEX(Scoring!$AI$29:$AI$361,MATCH($O249,Scoring!$AS$29:$AS$361,0)))</f>
        <v/>
      </c>
      <c r="O249" s="10" t="str">
        <f aca="false">IFERROR(SMALL(Scoring!$AS$29:$AS$361,245),"")</f>
        <v/>
      </c>
    </row>
    <row r="250" customFormat="false" ht="15" hidden="false" customHeight="false" outlineLevel="0" collapsed="false">
      <c r="A250" s="5" t="str">
        <f aca="false">IF($O250="","",INT($O250/1000))</f>
        <v/>
      </c>
      <c r="B250" s="6" t="str">
        <f aca="false">IF($O250="","",INDEX(Scoring!$A$29:$A$361,MATCH($O250,Scoring!$AS$29:$AS$361,0)))</f>
        <v/>
      </c>
      <c r="C250" s="5" t="str">
        <f aca="false">IF($O250="","",IF(INDEX(Scoring!$AM$29:$AM$361,MATCH($O250,Scoring!$AS$29:$AS$361,0))="","–",INDEX(Scoring!$AM$29:$AM$361,MATCH($O250,Scoring!$AS$29:$AS$361,0))))</f>
        <v/>
      </c>
      <c r="D250" s="6" t="str">
        <f aca="false">IF($O250="","",INDEX(Scoring!$AK$29:$AK$361,MATCH($O250,Scoring!$AS$29:$AS$361,0)))</f>
        <v/>
      </c>
      <c r="E250" s="7" t="str">
        <f aca="false">IF($O250="","",INDEX(Scoring!$AL$29:$AL$361,MATCH($O250,Scoring!$AS$29:$AS$361,0)))</f>
        <v/>
      </c>
      <c r="F250" s="6" t="str">
        <f aca="false">IF($O250="","",INDEX(Scoring!$B$29:$B$361,MATCH($O250,Scoring!$AS$29:$AS$361,0)))</f>
        <v/>
      </c>
      <c r="G250" s="7" t="str">
        <f aca="false">IF($O250="","",INDEX(Scoring!$AG$29:$AG$361,MATCH($O250,Scoring!$AS$29:$AS$361,0)))</f>
        <v/>
      </c>
      <c r="H250" s="7" t="str">
        <f aca="false">IF($O250="","",INDEX(Scoring!$C$29:$C$361,MATCH($O250,Scoring!$AS$29:$AS$361,0)))</f>
        <v/>
      </c>
      <c r="I250" s="6" t="str">
        <f aca="false">IF($O250="","",INDEX(Scoring!$I$29:$I$361,MATCH($O250,Scoring!$AS$29:$AS$361,0)))</f>
        <v/>
      </c>
      <c r="J250" s="7" t="str">
        <f aca="false">IF($O250="","",INDEX(Scoring!$Z$29:$Z$361,MATCH($O250,Scoring!$AS$29:$AS$361,0)))</f>
        <v/>
      </c>
      <c r="K250" s="8" t="str">
        <f aca="false">IF($O250="","",IF(INDEX(Scoring!$D$29:$D$361,MATCH($O250,Scoring!$AS$29:$AS$361,0))="",INDEX(Scoring!$AF$29:$AF$361,MATCH($O250,Scoring!$AS$29:$AS$361,0)),INDEX(Scoring!$D$29:$D$361,MATCH($O250,Scoring!$AS$29:$AS$361,0))))</f>
        <v/>
      </c>
      <c r="L250" s="9" t="str">
        <f aca="false">IF($O250="","",INDEX(Scoring!$L$29:$L$361,MATCH($O250,Scoring!$AS$29:$AS$361,0)))</f>
        <v/>
      </c>
      <c r="M250" s="9" t="str">
        <f aca="false">IF($O250="","",INDEX(Scoring!$N$29:$N$361,MATCH($O250,Scoring!$AS$29:$AS$361,0)))</f>
        <v/>
      </c>
      <c r="N250" s="7" t="str">
        <f aca="false">IF($O250="","",INDEX(Scoring!$AI$29:$AI$361,MATCH($O250,Scoring!$AS$29:$AS$361,0)))</f>
        <v/>
      </c>
      <c r="O250" s="10" t="str">
        <f aca="false">IFERROR(SMALL(Scoring!$AS$29:$AS$361,246),"")</f>
        <v/>
      </c>
    </row>
    <row r="251" customFormat="false" ht="15" hidden="false" customHeight="false" outlineLevel="0" collapsed="false">
      <c r="A251" s="5" t="str">
        <f aca="false">IF($O251="","",INT($O251/1000))</f>
        <v/>
      </c>
      <c r="B251" s="6" t="str">
        <f aca="false">IF($O251="","",INDEX(Scoring!$A$29:$A$361,MATCH($O251,Scoring!$AS$29:$AS$361,0)))</f>
        <v/>
      </c>
      <c r="C251" s="5" t="str">
        <f aca="false">IF($O251="","",IF(INDEX(Scoring!$AM$29:$AM$361,MATCH($O251,Scoring!$AS$29:$AS$361,0))="","–",INDEX(Scoring!$AM$29:$AM$361,MATCH($O251,Scoring!$AS$29:$AS$361,0))))</f>
        <v/>
      </c>
      <c r="D251" s="6" t="str">
        <f aca="false">IF($O251="","",INDEX(Scoring!$AK$29:$AK$361,MATCH($O251,Scoring!$AS$29:$AS$361,0)))</f>
        <v/>
      </c>
      <c r="E251" s="7" t="str">
        <f aca="false">IF($O251="","",INDEX(Scoring!$AL$29:$AL$361,MATCH($O251,Scoring!$AS$29:$AS$361,0)))</f>
        <v/>
      </c>
      <c r="F251" s="6" t="str">
        <f aca="false">IF($O251="","",INDEX(Scoring!$B$29:$B$361,MATCH($O251,Scoring!$AS$29:$AS$361,0)))</f>
        <v/>
      </c>
      <c r="G251" s="7" t="str">
        <f aca="false">IF($O251="","",INDEX(Scoring!$AG$29:$AG$361,MATCH($O251,Scoring!$AS$29:$AS$361,0)))</f>
        <v/>
      </c>
      <c r="H251" s="7" t="str">
        <f aca="false">IF($O251="","",INDEX(Scoring!$C$29:$C$361,MATCH($O251,Scoring!$AS$29:$AS$361,0)))</f>
        <v/>
      </c>
      <c r="I251" s="6" t="str">
        <f aca="false">IF($O251="","",INDEX(Scoring!$I$29:$I$361,MATCH($O251,Scoring!$AS$29:$AS$361,0)))</f>
        <v/>
      </c>
      <c r="J251" s="7" t="str">
        <f aca="false">IF($O251="","",INDEX(Scoring!$Z$29:$Z$361,MATCH($O251,Scoring!$AS$29:$AS$361,0)))</f>
        <v/>
      </c>
      <c r="K251" s="8" t="str">
        <f aca="false">IF($O251="","",IF(INDEX(Scoring!$D$29:$D$361,MATCH($O251,Scoring!$AS$29:$AS$361,0))="",INDEX(Scoring!$AF$29:$AF$361,MATCH($O251,Scoring!$AS$29:$AS$361,0)),INDEX(Scoring!$D$29:$D$361,MATCH($O251,Scoring!$AS$29:$AS$361,0))))</f>
        <v/>
      </c>
      <c r="L251" s="9" t="str">
        <f aca="false">IF($O251="","",INDEX(Scoring!$L$29:$L$361,MATCH($O251,Scoring!$AS$29:$AS$361,0)))</f>
        <v/>
      </c>
      <c r="M251" s="9" t="str">
        <f aca="false">IF($O251="","",INDEX(Scoring!$N$29:$N$361,MATCH($O251,Scoring!$AS$29:$AS$361,0)))</f>
        <v/>
      </c>
      <c r="N251" s="7" t="str">
        <f aca="false">IF($O251="","",INDEX(Scoring!$AI$29:$AI$361,MATCH($O251,Scoring!$AS$29:$AS$361,0)))</f>
        <v/>
      </c>
      <c r="O251" s="10" t="str">
        <f aca="false">IFERROR(SMALL(Scoring!$AS$29:$AS$361,247),"")</f>
        <v/>
      </c>
    </row>
    <row r="252" customFormat="false" ht="15" hidden="false" customHeight="false" outlineLevel="0" collapsed="false">
      <c r="A252" s="5" t="str">
        <f aca="false">IF($O252="","",INT($O252/1000))</f>
        <v/>
      </c>
      <c r="B252" s="6" t="str">
        <f aca="false">IF($O252="","",INDEX(Scoring!$A$29:$A$361,MATCH($O252,Scoring!$AS$29:$AS$361,0)))</f>
        <v/>
      </c>
      <c r="C252" s="5" t="str">
        <f aca="false">IF($O252="","",IF(INDEX(Scoring!$AM$29:$AM$361,MATCH($O252,Scoring!$AS$29:$AS$361,0))="","–",INDEX(Scoring!$AM$29:$AM$361,MATCH($O252,Scoring!$AS$29:$AS$361,0))))</f>
        <v/>
      </c>
      <c r="D252" s="6" t="str">
        <f aca="false">IF($O252="","",INDEX(Scoring!$AK$29:$AK$361,MATCH($O252,Scoring!$AS$29:$AS$361,0)))</f>
        <v/>
      </c>
      <c r="E252" s="7" t="str">
        <f aca="false">IF($O252="","",INDEX(Scoring!$AL$29:$AL$361,MATCH($O252,Scoring!$AS$29:$AS$361,0)))</f>
        <v/>
      </c>
      <c r="F252" s="6" t="str">
        <f aca="false">IF($O252="","",INDEX(Scoring!$B$29:$B$361,MATCH($O252,Scoring!$AS$29:$AS$361,0)))</f>
        <v/>
      </c>
      <c r="G252" s="7" t="str">
        <f aca="false">IF($O252="","",INDEX(Scoring!$AG$29:$AG$361,MATCH($O252,Scoring!$AS$29:$AS$361,0)))</f>
        <v/>
      </c>
      <c r="H252" s="7" t="str">
        <f aca="false">IF($O252="","",INDEX(Scoring!$C$29:$C$361,MATCH($O252,Scoring!$AS$29:$AS$361,0)))</f>
        <v/>
      </c>
      <c r="I252" s="6" t="str">
        <f aca="false">IF($O252="","",INDEX(Scoring!$I$29:$I$361,MATCH($O252,Scoring!$AS$29:$AS$361,0)))</f>
        <v/>
      </c>
      <c r="J252" s="7" t="str">
        <f aca="false">IF($O252="","",INDEX(Scoring!$Z$29:$Z$361,MATCH($O252,Scoring!$AS$29:$AS$361,0)))</f>
        <v/>
      </c>
      <c r="K252" s="8" t="str">
        <f aca="false">IF($O252="","",IF(INDEX(Scoring!$D$29:$D$361,MATCH($O252,Scoring!$AS$29:$AS$361,0))="",INDEX(Scoring!$AF$29:$AF$361,MATCH($O252,Scoring!$AS$29:$AS$361,0)),INDEX(Scoring!$D$29:$D$361,MATCH($O252,Scoring!$AS$29:$AS$361,0))))</f>
        <v/>
      </c>
      <c r="L252" s="9" t="str">
        <f aca="false">IF($O252="","",INDEX(Scoring!$L$29:$L$361,MATCH($O252,Scoring!$AS$29:$AS$361,0)))</f>
        <v/>
      </c>
      <c r="M252" s="9" t="str">
        <f aca="false">IF($O252="","",INDEX(Scoring!$N$29:$N$361,MATCH($O252,Scoring!$AS$29:$AS$361,0)))</f>
        <v/>
      </c>
      <c r="N252" s="7" t="str">
        <f aca="false">IF($O252="","",INDEX(Scoring!$AI$29:$AI$361,MATCH($O252,Scoring!$AS$29:$AS$361,0)))</f>
        <v/>
      </c>
      <c r="O252" s="10" t="str">
        <f aca="false">IFERROR(SMALL(Scoring!$AS$29:$AS$361,248),"")</f>
        <v/>
      </c>
    </row>
    <row r="253" customFormat="false" ht="15" hidden="false" customHeight="false" outlineLevel="0" collapsed="false">
      <c r="A253" s="5" t="str">
        <f aca="false">IF($O253="","",INT($O253/1000))</f>
        <v/>
      </c>
      <c r="B253" s="6" t="str">
        <f aca="false">IF($O253="","",INDEX(Scoring!$A$29:$A$361,MATCH($O253,Scoring!$AS$29:$AS$361,0)))</f>
        <v/>
      </c>
      <c r="C253" s="5" t="str">
        <f aca="false">IF($O253="","",IF(INDEX(Scoring!$AM$29:$AM$361,MATCH($O253,Scoring!$AS$29:$AS$361,0))="","–",INDEX(Scoring!$AM$29:$AM$361,MATCH($O253,Scoring!$AS$29:$AS$361,0))))</f>
        <v/>
      </c>
      <c r="D253" s="6" t="str">
        <f aca="false">IF($O253="","",INDEX(Scoring!$AK$29:$AK$361,MATCH($O253,Scoring!$AS$29:$AS$361,0)))</f>
        <v/>
      </c>
      <c r="E253" s="7" t="str">
        <f aca="false">IF($O253="","",INDEX(Scoring!$AL$29:$AL$361,MATCH($O253,Scoring!$AS$29:$AS$361,0)))</f>
        <v/>
      </c>
      <c r="F253" s="6" t="str">
        <f aca="false">IF($O253="","",INDEX(Scoring!$B$29:$B$361,MATCH($O253,Scoring!$AS$29:$AS$361,0)))</f>
        <v/>
      </c>
      <c r="G253" s="7" t="str">
        <f aca="false">IF($O253="","",INDEX(Scoring!$AG$29:$AG$361,MATCH($O253,Scoring!$AS$29:$AS$361,0)))</f>
        <v/>
      </c>
      <c r="H253" s="7" t="str">
        <f aca="false">IF($O253="","",INDEX(Scoring!$C$29:$C$361,MATCH($O253,Scoring!$AS$29:$AS$361,0)))</f>
        <v/>
      </c>
      <c r="I253" s="6" t="str">
        <f aca="false">IF($O253="","",INDEX(Scoring!$I$29:$I$361,MATCH($O253,Scoring!$AS$29:$AS$361,0)))</f>
        <v/>
      </c>
      <c r="J253" s="7" t="str">
        <f aca="false">IF($O253="","",INDEX(Scoring!$Z$29:$Z$361,MATCH($O253,Scoring!$AS$29:$AS$361,0)))</f>
        <v/>
      </c>
      <c r="K253" s="8" t="str">
        <f aca="false">IF($O253="","",IF(INDEX(Scoring!$D$29:$D$361,MATCH($O253,Scoring!$AS$29:$AS$361,0))="",INDEX(Scoring!$AF$29:$AF$361,MATCH($O253,Scoring!$AS$29:$AS$361,0)),INDEX(Scoring!$D$29:$D$361,MATCH($O253,Scoring!$AS$29:$AS$361,0))))</f>
        <v/>
      </c>
      <c r="L253" s="9" t="str">
        <f aca="false">IF($O253="","",INDEX(Scoring!$L$29:$L$361,MATCH($O253,Scoring!$AS$29:$AS$361,0)))</f>
        <v/>
      </c>
      <c r="M253" s="9" t="str">
        <f aca="false">IF($O253="","",INDEX(Scoring!$N$29:$N$361,MATCH($O253,Scoring!$AS$29:$AS$361,0)))</f>
        <v/>
      </c>
      <c r="N253" s="7" t="str">
        <f aca="false">IF($O253="","",INDEX(Scoring!$AI$29:$AI$361,MATCH($O253,Scoring!$AS$29:$AS$361,0)))</f>
        <v/>
      </c>
      <c r="O253" s="10" t="str">
        <f aca="false">IFERROR(SMALL(Scoring!$AS$29:$AS$361,249),"")</f>
        <v/>
      </c>
    </row>
    <row r="254" customFormat="false" ht="15" hidden="false" customHeight="false" outlineLevel="0" collapsed="false">
      <c r="A254" s="5" t="str">
        <f aca="false">IF($O254="","",INT($O254/1000))</f>
        <v/>
      </c>
      <c r="B254" s="6" t="str">
        <f aca="false">IF($O254="","",INDEX(Scoring!$A$29:$A$361,MATCH($O254,Scoring!$AS$29:$AS$361,0)))</f>
        <v/>
      </c>
      <c r="C254" s="5" t="str">
        <f aca="false">IF($O254="","",IF(INDEX(Scoring!$AM$29:$AM$361,MATCH($O254,Scoring!$AS$29:$AS$361,0))="","–",INDEX(Scoring!$AM$29:$AM$361,MATCH($O254,Scoring!$AS$29:$AS$361,0))))</f>
        <v/>
      </c>
      <c r="D254" s="6" t="str">
        <f aca="false">IF($O254="","",INDEX(Scoring!$AK$29:$AK$361,MATCH($O254,Scoring!$AS$29:$AS$361,0)))</f>
        <v/>
      </c>
      <c r="E254" s="7" t="str">
        <f aca="false">IF($O254="","",INDEX(Scoring!$AL$29:$AL$361,MATCH($O254,Scoring!$AS$29:$AS$361,0)))</f>
        <v/>
      </c>
      <c r="F254" s="6" t="str">
        <f aca="false">IF($O254="","",INDEX(Scoring!$B$29:$B$361,MATCH($O254,Scoring!$AS$29:$AS$361,0)))</f>
        <v/>
      </c>
      <c r="G254" s="7" t="str">
        <f aca="false">IF($O254="","",INDEX(Scoring!$AG$29:$AG$361,MATCH($O254,Scoring!$AS$29:$AS$361,0)))</f>
        <v/>
      </c>
      <c r="H254" s="7" t="str">
        <f aca="false">IF($O254="","",INDEX(Scoring!$C$29:$C$361,MATCH($O254,Scoring!$AS$29:$AS$361,0)))</f>
        <v/>
      </c>
      <c r="I254" s="6" t="str">
        <f aca="false">IF($O254="","",INDEX(Scoring!$I$29:$I$361,MATCH($O254,Scoring!$AS$29:$AS$361,0)))</f>
        <v/>
      </c>
      <c r="J254" s="7" t="str">
        <f aca="false">IF($O254="","",INDEX(Scoring!$Z$29:$Z$361,MATCH($O254,Scoring!$AS$29:$AS$361,0)))</f>
        <v/>
      </c>
      <c r="K254" s="8" t="str">
        <f aca="false">IF($O254="","",IF(INDEX(Scoring!$D$29:$D$361,MATCH($O254,Scoring!$AS$29:$AS$361,0))="",INDEX(Scoring!$AF$29:$AF$361,MATCH($O254,Scoring!$AS$29:$AS$361,0)),INDEX(Scoring!$D$29:$D$361,MATCH($O254,Scoring!$AS$29:$AS$361,0))))</f>
        <v/>
      </c>
      <c r="L254" s="9" t="str">
        <f aca="false">IF($O254="","",INDEX(Scoring!$L$29:$L$361,MATCH($O254,Scoring!$AS$29:$AS$361,0)))</f>
        <v/>
      </c>
      <c r="M254" s="9" t="str">
        <f aca="false">IF($O254="","",INDEX(Scoring!$N$29:$N$361,MATCH($O254,Scoring!$AS$29:$AS$361,0)))</f>
        <v/>
      </c>
      <c r="N254" s="7" t="str">
        <f aca="false">IF($O254="","",INDEX(Scoring!$AI$29:$AI$361,MATCH($O254,Scoring!$AS$29:$AS$361,0)))</f>
        <v/>
      </c>
      <c r="O254" s="10" t="str">
        <f aca="false">IFERROR(SMALL(Scoring!$AS$29:$AS$361,250),"")</f>
        <v/>
      </c>
    </row>
    <row r="255" customFormat="false" ht="15" hidden="false" customHeight="false" outlineLevel="0" collapsed="false">
      <c r="A255" s="5" t="str">
        <f aca="false">IF($O255="","",INT($O255/1000))</f>
        <v/>
      </c>
      <c r="B255" s="6" t="str">
        <f aca="false">IF($O255="","",INDEX(Scoring!$A$29:$A$361,MATCH($O255,Scoring!$AS$29:$AS$361,0)))</f>
        <v/>
      </c>
      <c r="C255" s="5" t="str">
        <f aca="false">IF($O255="","",IF(INDEX(Scoring!$AM$29:$AM$361,MATCH($O255,Scoring!$AS$29:$AS$361,0))="","–",INDEX(Scoring!$AM$29:$AM$361,MATCH($O255,Scoring!$AS$29:$AS$361,0))))</f>
        <v/>
      </c>
      <c r="D255" s="6" t="str">
        <f aca="false">IF($O255="","",INDEX(Scoring!$AK$29:$AK$361,MATCH($O255,Scoring!$AS$29:$AS$361,0)))</f>
        <v/>
      </c>
      <c r="E255" s="7" t="str">
        <f aca="false">IF($O255="","",INDEX(Scoring!$AL$29:$AL$361,MATCH($O255,Scoring!$AS$29:$AS$361,0)))</f>
        <v/>
      </c>
      <c r="F255" s="6" t="str">
        <f aca="false">IF($O255="","",INDEX(Scoring!$B$29:$B$361,MATCH($O255,Scoring!$AS$29:$AS$361,0)))</f>
        <v/>
      </c>
      <c r="G255" s="7" t="str">
        <f aca="false">IF($O255="","",INDEX(Scoring!$AG$29:$AG$361,MATCH($O255,Scoring!$AS$29:$AS$361,0)))</f>
        <v/>
      </c>
      <c r="H255" s="7" t="str">
        <f aca="false">IF($O255="","",INDEX(Scoring!$C$29:$C$361,MATCH($O255,Scoring!$AS$29:$AS$361,0)))</f>
        <v/>
      </c>
      <c r="I255" s="6" t="str">
        <f aca="false">IF($O255="","",INDEX(Scoring!$I$29:$I$361,MATCH($O255,Scoring!$AS$29:$AS$361,0)))</f>
        <v/>
      </c>
      <c r="J255" s="7" t="str">
        <f aca="false">IF($O255="","",INDEX(Scoring!$Z$29:$Z$361,MATCH($O255,Scoring!$AS$29:$AS$361,0)))</f>
        <v/>
      </c>
      <c r="K255" s="8" t="str">
        <f aca="false">IF($O255="","",IF(INDEX(Scoring!$D$29:$D$361,MATCH($O255,Scoring!$AS$29:$AS$361,0))="",INDEX(Scoring!$AF$29:$AF$361,MATCH($O255,Scoring!$AS$29:$AS$361,0)),INDEX(Scoring!$D$29:$D$361,MATCH($O255,Scoring!$AS$29:$AS$361,0))))</f>
        <v/>
      </c>
      <c r="L255" s="9" t="str">
        <f aca="false">IF($O255="","",INDEX(Scoring!$L$29:$L$361,MATCH($O255,Scoring!$AS$29:$AS$361,0)))</f>
        <v/>
      </c>
      <c r="M255" s="9" t="str">
        <f aca="false">IF($O255="","",INDEX(Scoring!$N$29:$N$361,MATCH($O255,Scoring!$AS$29:$AS$361,0)))</f>
        <v/>
      </c>
      <c r="N255" s="7" t="str">
        <f aca="false">IF($O255="","",INDEX(Scoring!$AI$29:$AI$361,MATCH($O255,Scoring!$AS$29:$AS$361,0)))</f>
        <v/>
      </c>
      <c r="O255" s="10" t="str">
        <f aca="false">IFERROR(SMALL(Scoring!$AS$29:$AS$361,251),"")</f>
        <v/>
      </c>
    </row>
    <row r="256" customFormat="false" ht="15" hidden="false" customHeight="false" outlineLevel="0" collapsed="false">
      <c r="A256" s="5" t="str">
        <f aca="false">IF($O256="","",INT($O256/1000))</f>
        <v/>
      </c>
      <c r="B256" s="6" t="str">
        <f aca="false">IF($O256="","",INDEX(Scoring!$A$29:$A$361,MATCH($O256,Scoring!$AS$29:$AS$361,0)))</f>
        <v/>
      </c>
      <c r="C256" s="5" t="str">
        <f aca="false">IF($O256="","",IF(INDEX(Scoring!$AM$29:$AM$361,MATCH($O256,Scoring!$AS$29:$AS$361,0))="","–",INDEX(Scoring!$AM$29:$AM$361,MATCH($O256,Scoring!$AS$29:$AS$361,0))))</f>
        <v/>
      </c>
      <c r="D256" s="6" t="str">
        <f aca="false">IF($O256="","",INDEX(Scoring!$AK$29:$AK$361,MATCH($O256,Scoring!$AS$29:$AS$361,0)))</f>
        <v/>
      </c>
      <c r="E256" s="7" t="str">
        <f aca="false">IF($O256="","",INDEX(Scoring!$AL$29:$AL$361,MATCH($O256,Scoring!$AS$29:$AS$361,0)))</f>
        <v/>
      </c>
      <c r="F256" s="6" t="str">
        <f aca="false">IF($O256="","",INDEX(Scoring!$B$29:$B$361,MATCH($O256,Scoring!$AS$29:$AS$361,0)))</f>
        <v/>
      </c>
      <c r="G256" s="7" t="str">
        <f aca="false">IF($O256="","",INDEX(Scoring!$AG$29:$AG$361,MATCH($O256,Scoring!$AS$29:$AS$361,0)))</f>
        <v/>
      </c>
      <c r="H256" s="7" t="str">
        <f aca="false">IF($O256="","",INDEX(Scoring!$C$29:$C$361,MATCH($O256,Scoring!$AS$29:$AS$361,0)))</f>
        <v/>
      </c>
      <c r="I256" s="6" t="str">
        <f aca="false">IF($O256="","",INDEX(Scoring!$I$29:$I$361,MATCH($O256,Scoring!$AS$29:$AS$361,0)))</f>
        <v/>
      </c>
      <c r="J256" s="7" t="str">
        <f aca="false">IF($O256="","",INDEX(Scoring!$Z$29:$Z$361,MATCH($O256,Scoring!$AS$29:$AS$361,0)))</f>
        <v/>
      </c>
      <c r="K256" s="8" t="str">
        <f aca="false">IF($O256="","",IF(INDEX(Scoring!$D$29:$D$361,MATCH($O256,Scoring!$AS$29:$AS$361,0))="",INDEX(Scoring!$AF$29:$AF$361,MATCH($O256,Scoring!$AS$29:$AS$361,0)),INDEX(Scoring!$D$29:$D$361,MATCH($O256,Scoring!$AS$29:$AS$361,0))))</f>
        <v/>
      </c>
      <c r="L256" s="9" t="str">
        <f aca="false">IF($O256="","",INDEX(Scoring!$L$29:$L$361,MATCH($O256,Scoring!$AS$29:$AS$361,0)))</f>
        <v/>
      </c>
      <c r="M256" s="9" t="str">
        <f aca="false">IF($O256="","",INDEX(Scoring!$N$29:$N$361,MATCH($O256,Scoring!$AS$29:$AS$361,0)))</f>
        <v/>
      </c>
      <c r="N256" s="7" t="str">
        <f aca="false">IF($O256="","",INDEX(Scoring!$AI$29:$AI$361,MATCH($O256,Scoring!$AS$29:$AS$361,0)))</f>
        <v/>
      </c>
      <c r="O256" s="10" t="str">
        <f aca="false">IFERROR(SMALL(Scoring!$AS$29:$AS$361,252),"")</f>
        <v/>
      </c>
    </row>
    <row r="257" customFormat="false" ht="15" hidden="false" customHeight="false" outlineLevel="0" collapsed="false">
      <c r="A257" s="5" t="str">
        <f aca="false">IF($O257="","",INT($O257/1000))</f>
        <v/>
      </c>
      <c r="B257" s="6" t="str">
        <f aca="false">IF($O257="","",INDEX(Scoring!$A$29:$A$361,MATCH($O257,Scoring!$AS$29:$AS$361,0)))</f>
        <v/>
      </c>
      <c r="C257" s="5" t="str">
        <f aca="false">IF($O257="","",IF(INDEX(Scoring!$AM$29:$AM$361,MATCH($O257,Scoring!$AS$29:$AS$361,0))="","–",INDEX(Scoring!$AM$29:$AM$361,MATCH($O257,Scoring!$AS$29:$AS$361,0))))</f>
        <v/>
      </c>
      <c r="D257" s="6" t="str">
        <f aca="false">IF($O257="","",INDEX(Scoring!$AK$29:$AK$361,MATCH($O257,Scoring!$AS$29:$AS$361,0)))</f>
        <v/>
      </c>
      <c r="E257" s="7" t="str">
        <f aca="false">IF($O257="","",INDEX(Scoring!$AL$29:$AL$361,MATCH($O257,Scoring!$AS$29:$AS$361,0)))</f>
        <v/>
      </c>
      <c r="F257" s="6" t="str">
        <f aca="false">IF($O257="","",INDEX(Scoring!$B$29:$B$361,MATCH($O257,Scoring!$AS$29:$AS$361,0)))</f>
        <v/>
      </c>
      <c r="G257" s="7" t="str">
        <f aca="false">IF($O257="","",INDEX(Scoring!$AG$29:$AG$361,MATCH($O257,Scoring!$AS$29:$AS$361,0)))</f>
        <v/>
      </c>
      <c r="H257" s="7" t="str">
        <f aca="false">IF($O257="","",INDEX(Scoring!$C$29:$C$361,MATCH($O257,Scoring!$AS$29:$AS$361,0)))</f>
        <v/>
      </c>
      <c r="I257" s="6" t="str">
        <f aca="false">IF($O257="","",INDEX(Scoring!$I$29:$I$361,MATCH($O257,Scoring!$AS$29:$AS$361,0)))</f>
        <v/>
      </c>
      <c r="J257" s="7" t="str">
        <f aca="false">IF($O257="","",INDEX(Scoring!$Z$29:$Z$361,MATCH($O257,Scoring!$AS$29:$AS$361,0)))</f>
        <v/>
      </c>
      <c r="K257" s="8" t="str">
        <f aca="false">IF($O257="","",IF(INDEX(Scoring!$D$29:$D$361,MATCH($O257,Scoring!$AS$29:$AS$361,0))="",INDEX(Scoring!$AF$29:$AF$361,MATCH($O257,Scoring!$AS$29:$AS$361,0)),INDEX(Scoring!$D$29:$D$361,MATCH($O257,Scoring!$AS$29:$AS$361,0))))</f>
        <v/>
      </c>
      <c r="L257" s="9" t="str">
        <f aca="false">IF($O257="","",INDEX(Scoring!$L$29:$L$361,MATCH($O257,Scoring!$AS$29:$AS$361,0)))</f>
        <v/>
      </c>
      <c r="M257" s="9" t="str">
        <f aca="false">IF($O257="","",INDEX(Scoring!$N$29:$N$361,MATCH($O257,Scoring!$AS$29:$AS$361,0)))</f>
        <v/>
      </c>
      <c r="N257" s="7" t="str">
        <f aca="false">IF($O257="","",INDEX(Scoring!$AI$29:$AI$361,MATCH($O257,Scoring!$AS$29:$AS$361,0)))</f>
        <v/>
      </c>
      <c r="O257" s="10" t="str">
        <f aca="false">IFERROR(SMALL(Scoring!$AS$29:$AS$361,253),"")</f>
        <v/>
      </c>
    </row>
    <row r="258" customFormat="false" ht="15" hidden="false" customHeight="false" outlineLevel="0" collapsed="false">
      <c r="A258" s="5" t="str">
        <f aca="false">IF($O258="","",INT($O258/1000))</f>
        <v/>
      </c>
      <c r="B258" s="6" t="str">
        <f aca="false">IF($O258="","",INDEX(Scoring!$A$29:$A$361,MATCH($O258,Scoring!$AS$29:$AS$361,0)))</f>
        <v/>
      </c>
      <c r="C258" s="5" t="str">
        <f aca="false">IF($O258="","",IF(INDEX(Scoring!$AM$29:$AM$361,MATCH($O258,Scoring!$AS$29:$AS$361,0))="","–",INDEX(Scoring!$AM$29:$AM$361,MATCH($O258,Scoring!$AS$29:$AS$361,0))))</f>
        <v/>
      </c>
      <c r="D258" s="6" t="str">
        <f aca="false">IF($O258="","",INDEX(Scoring!$AK$29:$AK$361,MATCH($O258,Scoring!$AS$29:$AS$361,0)))</f>
        <v/>
      </c>
      <c r="E258" s="7" t="str">
        <f aca="false">IF($O258="","",INDEX(Scoring!$AL$29:$AL$361,MATCH($O258,Scoring!$AS$29:$AS$361,0)))</f>
        <v/>
      </c>
      <c r="F258" s="6" t="str">
        <f aca="false">IF($O258="","",INDEX(Scoring!$B$29:$B$361,MATCH($O258,Scoring!$AS$29:$AS$361,0)))</f>
        <v/>
      </c>
      <c r="G258" s="7" t="str">
        <f aca="false">IF($O258="","",INDEX(Scoring!$AG$29:$AG$361,MATCH($O258,Scoring!$AS$29:$AS$361,0)))</f>
        <v/>
      </c>
      <c r="H258" s="7" t="str">
        <f aca="false">IF($O258="","",INDEX(Scoring!$C$29:$C$361,MATCH($O258,Scoring!$AS$29:$AS$361,0)))</f>
        <v/>
      </c>
      <c r="I258" s="6" t="str">
        <f aca="false">IF($O258="","",INDEX(Scoring!$I$29:$I$361,MATCH($O258,Scoring!$AS$29:$AS$361,0)))</f>
        <v/>
      </c>
      <c r="J258" s="7" t="str">
        <f aca="false">IF($O258="","",INDEX(Scoring!$Z$29:$Z$361,MATCH($O258,Scoring!$AS$29:$AS$361,0)))</f>
        <v/>
      </c>
      <c r="K258" s="8" t="str">
        <f aca="false">IF($O258="","",IF(INDEX(Scoring!$D$29:$D$361,MATCH($O258,Scoring!$AS$29:$AS$361,0))="",INDEX(Scoring!$AF$29:$AF$361,MATCH($O258,Scoring!$AS$29:$AS$361,0)),INDEX(Scoring!$D$29:$D$361,MATCH($O258,Scoring!$AS$29:$AS$361,0))))</f>
        <v/>
      </c>
      <c r="L258" s="9" t="str">
        <f aca="false">IF($O258="","",INDEX(Scoring!$L$29:$L$361,MATCH($O258,Scoring!$AS$29:$AS$361,0)))</f>
        <v/>
      </c>
      <c r="M258" s="9" t="str">
        <f aca="false">IF($O258="","",INDEX(Scoring!$N$29:$N$361,MATCH($O258,Scoring!$AS$29:$AS$361,0)))</f>
        <v/>
      </c>
      <c r="N258" s="7" t="str">
        <f aca="false">IF($O258="","",INDEX(Scoring!$AI$29:$AI$361,MATCH($O258,Scoring!$AS$29:$AS$361,0)))</f>
        <v/>
      </c>
      <c r="O258" s="10" t="str">
        <f aca="false">IFERROR(SMALL(Scoring!$AS$29:$AS$361,254),"")</f>
        <v/>
      </c>
    </row>
    <row r="259" customFormat="false" ht="15" hidden="false" customHeight="false" outlineLevel="0" collapsed="false">
      <c r="A259" s="5" t="str">
        <f aca="false">IF($O259="","",INT($O259/1000))</f>
        <v/>
      </c>
      <c r="B259" s="6" t="str">
        <f aca="false">IF($O259="","",INDEX(Scoring!$A$29:$A$361,MATCH($O259,Scoring!$AS$29:$AS$361,0)))</f>
        <v/>
      </c>
      <c r="C259" s="5" t="str">
        <f aca="false">IF($O259="","",IF(INDEX(Scoring!$AM$29:$AM$361,MATCH($O259,Scoring!$AS$29:$AS$361,0))="","–",INDEX(Scoring!$AM$29:$AM$361,MATCH($O259,Scoring!$AS$29:$AS$361,0))))</f>
        <v/>
      </c>
      <c r="D259" s="6" t="str">
        <f aca="false">IF($O259="","",INDEX(Scoring!$AK$29:$AK$361,MATCH($O259,Scoring!$AS$29:$AS$361,0)))</f>
        <v/>
      </c>
      <c r="E259" s="7" t="str">
        <f aca="false">IF($O259="","",INDEX(Scoring!$AL$29:$AL$361,MATCH($O259,Scoring!$AS$29:$AS$361,0)))</f>
        <v/>
      </c>
      <c r="F259" s="6" t="str">
        <f aca="false">IF($O259="","",INDEX(Scoring!$B$29:$B$361,MATCH($O259,Scoring!$AS$29:$AS$361,0)))</f>
        <v/>
      </c>
      <c r="G259" s="7" t="str">
        <f aca="false">IF($O259="","",INDEX(Scoring!$AG$29:$AG$361,MATCH($O259,Scoring!$AS$29:$AS$361,0)))</f>
        <v/>
      </c>
      <c r="H259" s="7" t="str">
        <f aca="false">IF($O259="","",INDEX(Scoring!$C$29:$C$361,MATCH($O259,Scoring!$AS$29:$AS$361,0)))</f>
        <v/>
      </c>
      <c r="I259" s="6" t="str">
        <f aca="false">IF($O259="","",INDEX(Scoring!$I$29:$I$361,MATCH($O259,Scoring!$AS$29:$AS$361,0)))</f>
        <v/>
      </c>
      <c r="J259" s="7" t="str">
        <f aca="false">IF($O259="","",INDEX(Scoring!$Z$29:$Z$361,MATCH($O259,Scoring!$AS$29:$AS$361,0)))</f>
        <v/>
      </c>
      <c r="K259" s="8" t="str">
        <f aca="false">IF($O259="","",IF(INDEX(Scoring!$D$29:$D$361,MATCH($O259,Scoring!$AS$29:$AS$361,0))="",INDEX(Scoring!$AF$29:$AF$361,MATCH($O259,Scoring!$AS$29:$AS$361,0)),INDEX(Scoring!$D$29:$D$361,MATCH($O259,Scoring!$AS$29:$AS$361,0))))</f>
        <v/>
      </c>
      <c r="L259" s="9" t="str">
        <f aca="false">IF($O259="","",INDEX(Scoring!$L$29:$L$361,MATCH($O259,Scoring!$AS$29:$AS$361,0)))</f>
        <v/>
      </c>
      <c r="M259" s="9" t="str">
        <f aca="false">IF($O259="","",INDEX(Scoring!$N$29:$N$361,MATCH($O259,Scoring!$AS$29:$AS$361,0)))</f>
        <v/>
      </c>
      <c r="N259" s="7" t="str">
        <f aca="false">IF($O259="","",INDEX(Scoring!$AI$29:$AI$361,MATCH($O259,Scoring!$AS$29:$AS$361,0)))</f>
        <v/>
      </c>
      <c r="O259" s="10" t="str">
        <f aca="false">IFERROR(SMALL(Scoring!$AS$29:$AS$361,255),"")</f>
        <v/>
      </c>
    </row>
    <row r="260" customFormat="false" ht="15" hidden="false" customHeight="false" outlineLevel="0" collapsed="false">
      <c r="A260" s="5" t="str">
        <f aca="false">IF($O260="","",INT($O260/1000))</f>
        <v/>
      </c>
      <c r="B260" s="6" t="str">
        <f aca="false">IF($O260="","",INDEX(Scoring!$A$29:$A$361,MATCH($O260,Scoring!$AS$29:$AS$361,0)))</f>
        <v/>
      </c>
      <c r="C260" s="5" t="str">
        <f aca="false">IF($O260="","",IF(INDEX(Scoring!$AM$29:$AM$361,MATCH($O260,Scoring!$AS$29:$AS$361,0))="","–",INDEX(Scoring!$AM$29:$AM$361,MATCH($O260,Scoring!$AS$29:$AS$361,0))))</f>
        <v/>
      </c>
      <c r="D260" s="6" t="str">
        <f aca="false">IF($O260="","",INDEX(Scoring!$AK$29:$AK$361,MATCH($O260,Scoring!$AS$29:$AS$361,0)))</f>
        <v/>
      </c>
      <c r="E260" s="7" t="str">
        <f aca="false">IF($O260="","",INDEX(Scoring!$AL$29:$AL$361,MATCH($O260,Scoring!$AS$29:$AS$361,0)))</f>
        <v/>
      </c>
      <c r="F260" s="6" t="str">
        <f aca="false">IF($O260="","",INDEX(Scoring!$B$29:$B$361,MATCH($O260,Scoring!$AS$29:$AS$361,0)))</f>
        <v/>
      </c>
      <c r="G260" s="7" t="str">
        <f aca="false">IF($O260="","",INDEX(Scoring!$AG$29:$AG$361,MATCH($O260,Scoring!$AS$29:$AS$361,0)))</f>
        <v/>
      </c>
      <c r="H260" s="7" t="str">
        <f aca="false">IF($O260="","",INDEX(Scoring!$C$29:$C$361,MATCH($O260,Scoring!$AS$29:$AS$361,0)))</f>
        <v/>
      </c>
      <c r="I260" s="6" t="str">
        <f aca="false">IF($O260="","",INDEX(Scoring!$I$29:$I$361,MATCH($O260,Scoring!$AS$29:$AS$361,0)))</f>
        <v/>
      </c>
      <c r="J260" s="7" t="str">
        <f aca="false">IF($O260="","",INDEX(Scoring!$Z$29:$Z$361,MATCH($O260,Scoring!$AS$29:$AS$361,0)))</f>
        <v/>
      </c>
      <c r="K260" s="8" t="str">
        <f aca="false">IF($O260="","",IF(INDEX(Scoring!$D$29:$D$361,MATCH($O260,Scoring!$AS$29:$AS$361,0))="",INDEX(Scoring!$AF$29:$AF$361,MATCH($O260,Scoring!$AS$29:$AS$361,0)),INDEX(Scoring!$D$29:$D$361,MATCH($O260,Scoring!$AS$29:$AS$361,0))))</f>
        <v/>
      </c>
      <c r="L260" s="9" t="str">
        <f aca="false">IF($O260="","",INDEX(Scoring!$L$29:$L$361,MATCH($O260,Scoring!$AS$29:$AS$361,0)))</f>
        <v/>
      </c>
      <c r="M260" s="9" t="str">
        <f aca="false">IF($O260="","",INDEX(Scoring!$N$29:$N$361,MATCH($O260,Scoring!$AS$29:$AS$361,0)))</f>
        <v/>
      </c>
      <c r="N260" s="7" t="str">
        <f aca="false">IF($O260="","",INDEX(Scoring!$AI$29:$AI$361,MATCH($O260,Scoring!$AS$29:$AS$361,0)))</f>
        <v/>
      </c>
      <c r="O260" s="10" t="str">
        <f aca="false">IFERROR(SMALL(Scoring!$AS$29:$AS$361,256),"")</f>
        <v/>
      </c>
    </row>
    <row r="261" customFormat="false" ht="15" hidden="false" customHeight="false" outlineLevel="0" collapsed="false">
      <c r="A261" s="5" t="str">
        <f aca="false">IF($O261="","",INT($O261/1000))</f>
        <v/>
      </c>
      <c r="B261" s="6" t="str">
        <f aca="false">IF($O261="","",INDEX(Scoring!$A$29:$A$361,MATCH($O261,Scoring!$AS$29:$AS$361,0)))</f>
        <v/>
      </c>
      <c r="C261" s="5" t="str">
        <f aca="false">IF($O261="","",IF(INDEX(Scoring!$AM$29:$AM$361,MATCH($O261,Scoring!$AS$29:$AS$361,0))="","–",INDEX(Scoring!$AM$29:$AM$361,MATCH($O261,Scoring!$AS$29:$AS$361,0))))</f>
        <v/>
      </c>
      <c r="D261" s="6" t="str">
        <f aca="false">IF($O261="","",INDEX(Scoring!$AK$29:$AK$361,MATCH($O261,Scoring!$AS$29:$AS$361,0)))</f>
        <v/>
      </c>
      <c r="E261" s="7" t="str">
        <f aca="false">IF($O261="","",INDEX(Scoring!$AL$29:$AL$361,MATCH($O261,Scoring!$AS$29:$AS$361,0)))</f>
        <v/>
      </c>
      <c r="F261" s="6" t="str">
        <f aca="false">IF($O261="","",INDEX(Scoring!$B$29:$B$361,MATCH($O261,Scoring!$AS$29:$AS$361,0)))</f>
        <v/>
      </c>
      <c r="G261" s="7" t="str">
        <f aca="false">IF($O261="","",INDEX(Scoring!$AG$29:$AG$361,MATCH($O261,Scoring!$AS$29:$AS$361,0)))</f>
        <v/>
      </c>
      <c r="H261" s="7" t="str">
        <f aca="false">IF($O261="","",INDEX(Scoring!$C$29:$C$361,MATCH($O261,Scoring!$AS$29:$AS$361,0)))</f>
        <v/>
      </c>
      <c r="I261" s="6" t="str">
        <f aca="false">IF($O261="","",INDEX(Scoring!$I$29:$I$361,MATCH($O261,Scoring!$AS$29:$AS$361,0)))</f>
        <v/>
      </c>
      <c r="J261" s="7" t="str">
        <f aca="false">IF($O261="","",INDEX(Scoring!$Z$29:$Z$361,MATCH($O261,Scoring!$AS$29:$AS$361,0)))</f>
        <v/>
      </c>
      <c r="K261" s="8" t="str">
        <f aca="false">IF($O261="","",IF(INDEX(Scoring!$D$29:$D$361,MATCH($O261,Scoring!$AS$29:$AS$361,0))="",INDEX(Scoring!$AF$29:$AF$361,MATCH($O261,Scoring!$AS$29:$AS$361,0)),INDEX(Scoring!$D$29:$D$361,MATCH($O261,Scoring!$AS$29:$AS$361,0))))</f>
        <v/>
      </c>
      <c r="L261" s="9" t="str">
        <f aca="false">IF($O261="","",INDEX(Scoring!$L$29:$L$361,MATCH($O261,Scoring!$AS$29:$AS$361,0)))</f>
        <v/>
      </c>
      <c r="M261" s="9" t="str">
        <f aca="false">IF($O261="","",INDEX(Scoring!$N$29:$N$361,MATCH($O261,Scoring!$AS$29:$AS$361,0)))</f>
        <v/>
      </c>
      <c r="N261" s="7" t="str">
        <f aca="false">IF($O261="","",INDEX(Scoring!$AI$29:$AI$361,MATCH($O261,Scoring!$AS$29:$AS$361,0)))</f>
        <v/>
      </c>
      <c r="O261" s="10" t="str">
        <f aca="false">IFERROR(SMALL(Scoring!$AS$29:$AS$361,257),"")</f>
        <v/>
      </c>
    </row>
    <row r="262" customFormat="false" ht="15" hidden="false" customHeight="false" outlineLevel="0" collapsed="false">
      <c r="A262" s="5" t="str">
        <f aca="false">IF($O262="","",INT($O262/1000))</f>
        <v/>
      </c>
      <c r="B262" s="6" t="str">
        <f aca="false">IF($O262="","",INDEX(Scoring!$A$29:$A$361,MATCH($O262,Scoring!$AS$29:$AS$361,0)))</f>
        <v/>
      </c>
      <c r="C262" s="5" t="str">
        <f aca="false">IF($O262="","",IF(INDEX(Scoring!$AM$29:$AM$361,MATCH($O262,Scoring!$AS$29:$AS$361,0))="","–",INDEX(Scoring!$AM$29:$AM$361,MATCH($O262,Scoring!$AS$29:$AS$361,0))))</f>
        <v/>
      </c>
      <c r="D262" s="6" t="str">
        <f aca="false">IF($O262="","",INDEX(Scoring!$AK$29:$AK$361,MATCH($O262,Scoring!$AS$29:$AS$361,0)))</f>
        <v/>
      </c>
      <c r="E262" s="7" t="str">
        <f aca="false">IF($O262="","",INDEX(Scoring!$AL$29:$AL$361,MATCH($O262,Scoring!$AS$29:$AS$361,0)))</f>
        <v/>
      </c>
      <c r="F262" s="6" t="str">
        <f aca="false">IF($O262="","",INDEX(Scoring!$B$29:$B$361,MATCH($O262,Scoring!$AS$29:$AS$361,0)))</f>
        <v/>
      </c>
      <c r="G262" s="7" t="str">
        <f aca="false">IF($O262="","",INDEX(Scoring!$AG$29:$AG$361,MATCH($O262,Scoring!$AS$29:$AS$361,0)))</f>
        <v/>
      </c>
      <c r="H262" s="7" t="str">
        <f aca="false">IF($O262="","",INDEX(Scoring!$C$29:$C$361,MATCH($O262,Scoring!$AS$29:$AS$361,0)))</f>
        <v/>
      </c>
      <c r="I262" s="6" t="str">
        <f aca="false">IF($O262="","",INDEX(Scoring!$I$29:$I$361,MATCH($O262,Scoring!$AS$29:$AS$361,0)))</f>
        <v/>
      </c>
      <c r="J262" s="7" t="str">
        <f aca="false">IF($O262="","",INDEX(Scoring!$Z$29:$Z$361,MATCH($O262,Scoring!$AS$29:$AS$361,0)))</f>
        <v/>
      </c>
      <c r="K262" s="8" t="str">
        <f aca="false">IF($O262="","",IF(INDEX(Scoring!$D$29:$D$361,MATCH($O262,Scoring!$AS$29:$AS$361,0))="",INDEX(Scoring!$AF$29:$AF$361,MATCH($O262,Scoring!$AS$29:$AS$361,0)),INDEX(Scoring!$D$29:$D$361,MATCH($O262,Scoring!$AS$29:$AS$361,0))))</f>
        <v/>
      </c>
      <c r="L262" s="9" t="str">
        <f aca="false">IF($O262="","",INDEX(Scoring!$L$29:$L$361,MATCH($O262,Scoring!$AS$29:$AS$361,0)))</f>
        <v/>
      </c>
      <c r="M262" s="9" t="str">
        <f aca="false">IF($O262="","",INDEX(Scoring!$N$29:$N$361,MATCH($O262,Scoring!$AS$29:$AS$361,0)))</f>
        <v/>
      </c>
      <c r="N262" s="7" t="str">
        <f aca="false">IF($O262="","",INDEX(Scoring!$AI$29:$AI$361,MATCH($O262,Scoring!$AS$29:$AS$361,0)))</f>
        <v/>
      </c>
      <c r="O262" s="10" t="str">
        <f aca="false">IFERROR(SMALL(Scoring!$AS$29:$AS$361,258),"")</f>
        <v/>
      </c>
    </row>
    <row r="263" customFormat="false" ht="15" hidden="false" customHeight="false" outlineLevel="0" collapsed="false">
      <c r="A263" s="5" t="str">
        <f aca="false">IF($O263="","",INT($O263/1000))</f>
        <v/>
      </c>
      <c r="B263" s="6" t="str">
        <f aca="false">IF($O263="","",INDEX(Scoring!$A$29:$A$361,MATCH($O263,Scoring!$AS$29:$AS$361,0)))</f>
        <v/>
      </c>
      <c r="C263" s="5" t="str">
        <f aca="false">IF($O263="","",IF(INDEX(Scoring!$AM$29:$AM$361,MATCH($O263,Scoring!$AS$29:$AS$361,0))="","–",INDEX(Scoring!$AM$29:$AM$361,MATCH($O263,Scoring!$AS$29:$AS$361,0))))</f>
        <v/>
      </c>
      <c r="D263" s="6" t="str">
        <f aca="false">IF($O263="","",INDEX(Scoring!$AK$29:$AK$361,MATCH($O263,Scoring!$AS$29:$AS$361,0)))</f>
        <v/>
      </c>
      <c r="E263" s="7" t="str">
        <f aca="false">IF($O263="","",INDEX(Scoring!$AL$29:$AL$361,MATCH($O263,Scoring!$AS$29:$AS$361,0)))</f>
        <v/>
      </c>
      <c r="F263" s="6" t="str">
        <f aca="false">IF($O263="","",INDEX(Scoring!$B$29:$B$361,MATCH($O263,Scoring!$AS$29:$AS$361,0)))</f>
        <v/>
      </c>
      <c r="G263" s="7" t="str">
        <f aca="false">IF($O263="","",INDEX(Scoring!$AG$29:$AG$361,MATCH($O263,Scoring!$AS$29:$AS$361,0)))</f>
        <v/>
      </c>
      <c r="H263" s="7" t="str">
        <f aca="false">IF($O263="","",INDEX(Scoring!$C$29:$C$361,MATCH($O263,Scoring!$AS$29:$AS$361,0)))</f>
        <v/>
      </c>
      <c r="I263" s="6" t="str">
        <f aca="false">IF($O263="","",INDEX(Scoring!$I$29:$I$361,MATCH($O263,Scoring!$AS$29:$AS$361,0)))</f>
        <v/>
      </c>
      <c r="J263" s="7" t="str">
        <f aca="false">IF($O263="","",INDEX(Scoring!$Z$29:$Z$361,MATCH($O263,Scoring!$AS$29:$AS$361,0)))</f>
        <v/>
      </c>
      <c r="K263" s="8" t="str">
        <f aca="false">IF($O263="","",IF(INDEX(Scoring!$D$29:$D$361,MATCH($O263,Scoring!$AS$29:$AS$361,0))="",INDEX(Scoring!$AF$29:$AF$361,MATCH($O263,Scoring!$AS$29:$AS$361,0)),INDEX(Scoring!$D$29:$D$361,MATCH($O263,Scoring!$AS$29:$AS$361,0))))</f>
        <v/>
      </c>
      <c r="L263" s="9" t="str">
        <f aca="false">IF($O263="","",INDEX(Scoring!$L$29:$L$361,MATCH($O263,Scoring!$AS$29:$AS$361,0)))</f>
        <v/>
      </c>
      <c r="M263" s="9" t="str">
        <f aca="false">IF($O263="","",INDEX(Scoring!$N$29:$N$361,MATCH($O263,Scoring!$AS$29:$AS$361,0)))</f>
        <v/>
      </c>
      <c r="N263" s="7" t="str">
        <f aca="false">IF($O263="","",INDEX(Scoring!$AI$29:$AI$361,MATCH($O263,Scoring!$AS$29:$AS$361,0)))</f>
        <v/>
      </c>
      <c r="O263" s="10" t="str">
        <f aca="false">IFERROR(SMALL(Scoring!$AS$29:$AS$361,259),"")</f>
        <v/>
      </c>
    </row>
    <row r="264" customFormat="false" ht="15" hidden="false" customHeight="false" outlineLevel="0" collapsed="false">
      <c r="A264" s="5" t="str">
        <f aca="false">IF($O264="","",INT($O264/1000))</f>
        <v/>
      </c>
      <c r="B264" s="6" t="str">
        <f aca="false">IF($O264="","",INDEX(Scoring!$A$29:$A$361,MATCH($O264,Scoring!$AS$29:$AS$361,0)))</f>
        <v/>
      </c>
      <c r="C264" s="5" t="str">
        <f aca="false">IF($O264="","",IF(INDEX(Scoring!$AM$29:$AM$361,MATCH($O264,Scoring!$AS$29:$AS$361,0))="","–",INDEX(Scoring!$AM$29:$AM$361,MATCH($O264,Scoring!$AS$29:$AS$361,0))))</f>
        <v/>
      </c>
      <c r="D264" s="6" t="str">
        <f aca="false">IF($O264="","",INDEX(Scoring!$AK$29:$AK$361,MATCH($O264,Scoring!$AS$29:$AS$361,0)))</f>
        <v/>
      </c>
      <c r="E264" s="7" t="str">
        <f aca="false">IF($O264="","",INDEX(Scoring!$AL$29:$AL$361,MATCH($O264,Scoring!$AS$29:$AS$361,0)))</f>
        <v/>
      </c>
      <c r="F264" s="6" t="str">
        <f aca="false">IF($O264="","",INDEX(Scoring!$B$29:$B$361,MATCH($O264,Scoring!$AS$29:$AS$361,0)))</f>
        <v/>
      </c>
      <c r="G264" s="7" t="str">
        <f aca="false">IF($O264="","",INDEX(Scoring!$AG$29:$AG$361,MATCH($O264,Scoring!$AS$29:$AS$361,0)))</f>
        <v/>
      </c>
      <c r="H264" s="7" t="str">
        <f aca="false">IF($O264="","",INDEX(Scoring!$C$29:$C$361,MATCH($O264,Scoring!$AS$29:$AS$361,0)))</f>
        <v/>
      </c>
      <c r="I264" s="6" t="str">
        <f aca="false">IF($O264="","",INDEX(Scoring!$I$29:$I$361,MATCH($O264,Scoring!$AS$29:$AS$361,0)))</f>
        <v/>
      </c>
      <c r="J264" s="7" t="str">
        <f aca="false">IF($O264="","",INDEX(Scoring!$Z$29:$Z$361,MATCH($O264,Scoring!$AS$29:$AS$361,0)))</f>
        <v/>
      </c>
      <c r="K264" s="8" t="str">
        <f aca="false">IF($O264="","",IF(INDEX(Scoring!$D$29:$D$361,MATCH($O264,Scoring!$AS$29:$AS$361,0))="",INDEX(Scoring!$AF$29:$AF$361,MATCH($O264,Scoring!$AS$29:$AS$361,0)),INDEX(Scoring!$D$29:$D$361,MATCH($O264,Scoring!$AS$29:$AS$361,0))))</f>
        <v/>
      </c>
      <c r="L264" s="9" t="str">
        <f aca="false">IF($O264="","",INDEX(Scoring!$L$29:$L$361,MATCH($O264,Scoring!$AS$29:$AS$361,0)))</f>
        <v/>
      </c>
      <c r="M264" s="9" t="str">
        <f aca="false">IF($O264="","",INDEX(Scoring!$N$29:$N$361,MATCH($O264,Scoring!$AS$29:$AS$361,0)))</f>
        <v/>
      </c>
      <c r="N264" s="7" t="str">
        <f aca="false">IF($O264="","",INDEX(Scoring!$AI$29:$AI$361,MATCH($O264,Scoring!$AS$29:$AS$361,0)))</f>
        <v/>
      </c>
      <c r="O264" s="10" t="str">
        <f aca="false">IFERROR(SMALL(Scoring!$AS$29:$AS$361,260),"")</f>
        <v/>
      </c>
    </row>
    <row r="265" customFormat="false" ht="15" hidden="false" customHeight="false" outlineLevel="0" collapsed="false">
      <c r="A265" s="5" t="str">
        <f aca="false">IF($O265="","",INT($O265/1000))</f>
        <v/>
      </c>
      <c r="B265" s="6" t="str">
        <f aca="false">IF($O265="","",INDEX(Scoring!$A$29:$A$361,MATCH($O265,Scoring!$AS$29:$AS$361,0)))</f>
        <v/>
      </c>
      <c r="C265" s="5" t="str">
        <f aca="false">IF($O265="","",IF(INDEX(Scoring!$AM$29:$AM$361,MATCH($O265,Scoring!$AS$29:$AS$361,0))="","–",INDEX(Scoring!$AM$29:$AM$361,MATCH($O265,Scoring!$AS$29:$AS$361,0))))</f>
        <v/>
      </c>
      <c r="D265" s="6" t="str">
        <f aca="false">IF($O265="","",INDEX(Scoring!$AK$29:$AK$361,MATCH($O265,Scoring!$AS$29:$AS$361,0)))</f>
        <v/>
      </c>
      <c r="E265" s="7" t="str">
        <f aca="false">IF($O265="","",INDEX(Scoring!$AL$29:$AL$361,MATCH($O265,Scoring!$AS$29:$AS$361,0)))</f>
        <v/>
      </c>
      <c r="F265" s="6" t="str">
        <f aca="false">IF($O265="","",INDEX(Scoring!$B$29:$B$361,MATCH($O265,Scoring!$AS$29:$AS$361,0)))</f>
        <v/>
      </c>
      <c r="G265" s="7" t="str">
        <f aca="false">IF($O265="","",INDEX(Scoring!$AG$29:$AG$361,MATCH($O265,Scoring!$AS$29:$AS$361,0)))</f>
        <v/>
      </c>
      <c r="H265" s="7" t="str">
        <f aca="false">IF($O265="","",INDEX(Scoring!$C$29:$C$361,MATCH($O265,Scoring!$AS$29:$AS$361,0)))</f>
        <v/>
      </c>
      <c r="I265" s="6" t="str">
        <f aca="false">IF($O265="","",INDEX(Scoring!$I$29:$I$361,MATCH($O265,Scoring!$AS$29:$AS$361,0)))</f>
        <v/>
      </c>
      <c r="J265" s="7" t="str">
        <f aca="false">IF($O265="","",INDEX(Scoring!$Z$29:$Z$361,MATCH($O265,Scoring!$AS$29:$AS$361,0)))</f>
        <v/>
      </c>
      <c r="K265" s="8" t="str">
        <f aca="false">IF($O265="","",IF(INDEX(Scoring!$D$29:$D$361,MATCH($O265,Scoring!$AS$29:$AS$361,0))="",INDEX(Scoring!$AF$29:$AF$361,MATCH($O265,Scoring!$AS$29:$AS$361,0)),INDEX(Scoring!$D$29:$D$361,MATCH($O265,Scoring!$AS$29:$AS$361,0))))</f>
        <v/>
      </c>
      <c r="L265" s="9" t="str">
        <f aca="false">IF($O265="","",INDEX(Scoring!$L$29:$L$361,MATCH($O265,Scoring!$AS$29:$AS$361,0)))</f>
        <v/>
      </c>
      <c r="M265" s="9" t="str">
        <f aca="false">IF($O265="","",INDEX(Scoring!$N$29:$N$361,MATCH($O265,Scoring!$AS$29:$AS$361,0)))</f>
        <v/>
      </c>
      <c r="N265" s="7" t="str">
        <f aca="false">IF($O265="","",INDEX(Scoring!$AI$29:$AI$361,MATCH($O265,Scoring!$AS$29:$AS$361,0)))</f>
        <v/>
      </c>
      <c r="O265" s="10" t="str">
        <f aca="false">IFERROR(SMALL(Scoring!$AS$29:$AS$361,261),"")</f>
        <v/>
      </c>
    </row>
    <row r="266" customFormat="false" ht="15" hidden="false" customHeight="false" outlineLevel="0" collapsed="false">
      <c r="A266" s="5" t="str">
        <f aca="false">IF($O266="","",INT($O266/1000))</f>
        <v/>
      </c>
      <c r="B266" s="6" t="str">
        <f aca="false">IF($O266="","",INDEX(Scoring!$A$29:$A$361,MATCH($O266,Scoring!$AS$29:$AS$361,0)))</f>
        <v/>
      </c>
      <c r="C266" s="5" t="str">
        <f aca="false">IF($O266="","",IF(INDEX(Scoring!$AM$29:$AM$361,MATCH($O266,Scoring!$AS$29:$AS$361,0))="","–",INDEX(Scoring!$AM$29:$AM$361,MATCH($O266,Scoring!$AS$29:$AS$361,0))))</f>
        <v/>
      </c>
      <c r="D266" s="6" t="str">
        <f aca="false">IF($O266="","",INDEX(Scoring!$AK$29:$AK$361,MATCH($O266,Scoring!$AS$29:$AS$361,0)))</f>
        <v/>
      </c>
      <c r="E266" s="7" t="str">
        <f aca="false">IF($O266="","",INDEX(Scoring!$AL$29:$AL$361,MATCH($O266,Scoring!$AS$29:$AS$361,0)))</f>
        <v/>
      </c>
      <c r="F266" s="6" t="str">
        <f aca="false">IF($O266="","",INDEX(Scoring!$B$29:$B$361,MATCH($O266,Scoring!$AS$29:$AS$361,0)))</f>
        <v/>
      </c>
      <c r="G266" s="7" t="str">
        <f aca="false">IF($O266="","",INDEX(Scoring!$AG$29:$AG$361,MATCH($O266,Scoring!$AS$29:$AS$361,0)))</f>
        <v/>
      </c>
      <c r="H266" s="7" t="str">
        <f aca="false">IF($O266="","",INDEX(Scoring!$C$29:$C$361,MATCH($O266,Scoring!$AS$29:$AS$361,0)))</f>
        <v/>
      </c>
      <c r="I266" s="6" t="str">
        <f aca="false">IF($O266="","",INDEX(Scoring!$I$29:$I$361,MATCH($O266,Scoring!$AS$29:$AS$361,0)))</f>
        <v/>
      </c>
      <c r="J266" s="7" t="str">
        <f aca="false">IF($O266="","",INDEX(Scoring!$Z$29:$Z$361,MATCH($O266,Scoring!$AS$29:$AS$361,0)))</f>
        <v/>
      </c>
      <c r="K266" s="8" t="str">
        <f aca="false">IF($O266="","",IF(INDEX(Scoring!$D$29:$D$361,MATCH($O266,Scoring!$AS$29:$AS$361,0))="",INDEX(Scoring!$AF$29:$AF$361,MATCH($O266,Scoring!$AS$29:$AS$361,0)),INDEX(Scoring!$D$29:$D$361,MATCH($O266,Scoring!$AS$29:$AS$361,0))))</f>
        <v/>
      </c>
      <c r="L266" s="9" t="str">
        <f aca="false">IF($O266="","",INDEX(Scoring!$L$29:$L$361,MATCH($O266,Scoring!$AS$29:$AS$361,0)))</f>
        <v/>
      </c>
      <c r="M266" s="9" t="str">
        <f aca="false">IF($O266="","",INDEX(Scoring!$N$29:$N$361,MATCH($O266,Scoring!$AS$29:$AS$361,0)))</f>
        <v/>
      </c>
      <c r="N266" s="7" t="str">
        <f aca="false">IF($O266="","",INDEX(Scoring!$AI$29:$AI$361,MATCH($O266,Scoring!$AS$29:$AS$361,0)))</f>
        <v/>
      </c>
      <c r="O266" s="10" t="str">
        <f aca="false">IFERROR(SMALL(Scoring!$AS$29:$AS$361,262),"")</f>
        <v/>
      </c>
    </row>
    <row r="267" customFormat="false" ht="15" hidden="false" customHeight="false" outlineLevel="0" collapsed="false">
      <c r="A267" s="5" t="str">
        <f aca="false">IF($O267="","",INT($O267/1000))</f>
        <v/>
      </c>
      <c r="B267" s="6" t="str">
        <f aca="false">IF($O267="","",INDEX(Scoring!$A$29:$A$361,MATCH($O267,Scoring!$AS$29:$AS$361,0)))</f>
        <v/>
      </c>
      <c r="C267" s="5" t="str">
        <f aca="false">IF($O267="","",IF(INDEX(Scoring!$AM$29:$AM$361,MATCH($O267,Scoring!$AS$29:$AS$361,0))="","–",INDEX(Scoring!$AM$29:$AM$361,MATCH($O267,Scoring!$AS$29:$AS$361,0))))</f>
        <v/>
      </c>
      <c r="D267" s="6" t="str">
        <f aca="false">IF($O267="","",INDEX(Scoring!$AK$29:$AK$361,MATCH($O267,Scoring!$AS$29:$AS$361,0)))</f>
        <v/>
      </c>
      <c r="E267" s="7" t="str">
        <f aca="false">IF($O267="","",INDEX(Scoring!$AL$29:$AL$361,MATCH($O267,Scoring!$AS$29:$AS$361,0)))</f>
        <v/>
      </c>
      <c r="F267" s="6" t="str">
        <f aca="false">IF($O267="","",INDEX(Scoring!$B$29:$B$361,MATCH($O267,Scoring!$AS$29:$AS$361,0)))</f>
        <v/>
      </c>
      <c r="G267" s="7" t="str">
        <f aca="false">IF($O267="","",INDEX(Scoring!$AG$29:$AG$361,MATCH($O267,Scoring!$AS$29:$AS$361,0)))</f>
        <v/>
      </c>
      <c r="H267" s="7" t="str">
        <f aca="false">IF($O267="","",INDEX(Scoring!$C$29:$C$361,MATCH($O267,Scoring!$AS$29:$AS$361,0)))</f>
        <v/>
      </c>
      <c r="I267" s="6" t="str">
        <f aca="false">IF($O267="","",INDEX(Scoring!$I$29:$I$361,MATCH($O267,Scoring!$AS$29:$AS$361,0)))</f>
        <v/>
      </c>
      <c r="J267" s="7" t="str">
        <f aca="false">IF($O267="","",INDEX(Scoring!$Z$29:$Z$361,MATCH($O267,Scoring!$AS$29:$AS$361,0)))</f>
        <v/>
      </c>
      <c r="K267" s="8" t="str">
        <f aca="false">IF($O267="","",IF(INDEX(Scoring!$D$29:$D$361,MATCH($O267,Scoring!$AS$29:$AS$361,0))="",INDEX(Scoring!$AF$29:$AF$361,MATCH($O267,Scoring!$AS$29:$AS$361,0)),INDEX(Scoring!$D$29:$D$361,MATCH($O267,Scoring!$AS$29:$AS$361,0))))</f>
        <v/>
      </c>
      <c r="L267" s="9" t="str">
        <f aca="false">IF($O267="","",INDEX(Scoring!$L$29:$L$361,MATCH($O267,Scoring!$AS$29:$AS$361,0)))</f>
        <v/>
      </c>
      <c r="M267" s="9" t="str">
        <f aca="false">IF($O267="","",INDEX(Scoring!$N$29:$N$361,MATCH($O267,Scoring!$AS$29:$AS$361,0)))</f>
        <v/>
      </c>
      <c r="N267" s="7" t="str">
        <f aca="false">IF($O267="","",INDEX(Scoring!$AI$29:$AI$361,MATCH($O267,Scoring!$AS$29:$AS$361,0)))</f>
        <v/>
      </c>
      <c r="O267" s="10" t="str">
        <f aca="false">IFERROR(SMALL(Scoring!$AS$29:$AS$361,263),"")</f>
        <v/>
      </c>
    </row>
    <row r="268" customFormat="false" ht="15" hidden="false" customHeight="false" outlineLevel="0" collapsed="false">
      <c r="A268" s="5" t="str">
        <f aca="false">IF($O268="","",INT($O268/1000))</f>
        <v/>
      </c>
      <c r="B268" s="6" t="str">
        <f aca="false">IF($O268="","",INDEX(Scoring!$A$29:$A$361,MATCH($O268,Scoring!$AS$29:$AS$361,0)))</f>
        <v/>
      </c>
      <c r="C268" s="5" t="str">
        <f aca="false">IF($O268="","",IF(INDEX(Scoring!$AM$29:$AM$361,MATCH($O268,Scoring!$AS$29:$AS$361,0))="","–",INDEX(Scoring!$AM$29:$AM$361,MATCH($O268,Scoring!$AS$29:$AS$361,0))))</f>
        <v/>
      </c>
      <c r="D268" s="6" t="str">
        <f aca="false">IF($O268="","",INDEX(Scoring!$AK$29:$AK$361,MATCH($O268,Scoring!$AS$29:$AS$361,0)))</f>
        <v/>
      </c>
      <c r="E268" s="7" t="str">
        <f aca="false">IF($O268="","",INDEX(Scoring!$AL$29:$AL$361,MATCH($O268,Scoring!$AS$29:$AS$361,0)))</f>
        <v/>
      </c>
      <c r="F268" s="6" t="str">
        <f aca="false">IF($O268="","",INDEX(Scoring!$B$29:$B$361,MATCH($O268,Scoring!$AS$29:$AS$361,0)))</f>
        <v/>
      </c>
      <c r="G268" s="7" t="str">
        <f aca="false">IF($O268="","",INDEX(Scoring!$AG$29:$AG$361,MATCH($O268,Scoring!$AS$29:$AS$361,0)))</f>
        <v/>
      </c>
      <c r="H268" s="7" t="str">
        <f aca="false">IF($O268="","",INDEX(Scoring!$C$29:$C$361,MATCH($O268,Scoring!$AS$29:$AS$361,0)))</f>
        <v/>
      </c>
      <c r="I268" s="6" t="str">
        <f aca="false">IF($O268="","",INDEX(Scoring!$I$29:$I$361,MATCH($O268,Scoring!$AS$29:$AS$361,0)))</f>
        <v/>
      </c>
      <c r="J268" s="7" t="str">
        <f aca="false">IF($O268="","",INDEX(Scoring!$Z$29:$Z$361,MATCH($O268,Scoring!$AS$29:$AS$361,0)))</f>
        <v/>
      </c>
      <c r="K268" s="8" t="str">
        <f aca="false">IF($O268="","",IF(INDEX(Scoring!$D$29:$D$361,MATCH($O268,Scoring!$AS$29:$AS$361,0))="",INDEX(Scoring!$AF$29:$AF$361,MATCH($O268,Scoring!$AS$29:$AS$361,0)),INDEX(Scoring!$D$29:$D$361,MATCH($O268,Scoring!$AS$29:$AS$361,0))))</f>
        <v/>
      </c>
      <c r="L268" s="9" t="str">
        <f aca="false">IF($O268="","",INDEX(Scoring!$L$29:$L$361,MATCH($O268,Scoring!$AS$29:$AS$361,0)))</f>
        <v/>
      </c>
      <c r="M268" s="9" t="str">
        <f aca="false">IF($O268="","",INDEX(Scoring!$N$29:$N$361,MATCH($O268,Scoring!$AS$29:$AS$361,0)))</f>
        <v/>
      </c>
      <c r="N268" s="7" t="str">
        <f aca="false">IF($O268="","",INDEX(Scoring!$AI$29:$AI$361,MATCH($O268,Scoring!$AS$29:$AS$361,0)))</f>
        <v/>
      </c>
      <c r="O268" s="10" t="str">
        <f aca="false">IFERROR(SMALL(Scoring!$AS$29:$AS$361,264),"")</f>
        <v/>
      </c>
    </row>
    <row r="269" customFormat="false" ht="15" hidden="false" customHeight="false" outlineLevel="0" collapsed="false">
      <c r="A269" s="5" t="str">
        <f aca="false">IF($O269="","",INT($O269/1000))</f>
        <v/>
      </c>
      <c r="B269" s="6" t="str">
        <f aca="false">IF($O269="","",INDEX(Scoring!$A$29:$A$361,MATCH($O269,Scoring!$AS$29:$AS$361,0)))</f>
        <v/>
      </c>
      <c r="C269" s="5" t="str">
        <f aca="false">IF($O269="","",IF(INDEX(Scoring!$AM$29:$AM$361,MATCH($O269,Scoring!$AS$29:$AS$361,0))="","–",INDEX(Scoring!$AM$29:$AM$361,MATCH($O269,Scoring!$AS$29:$AS$361,0))))</f>
        <v/>
      </c>
      <c r="D269" s="6" t="str">
        <f aca="false">IF($O269="","",INDEX(Scoring!$AK$29:$AK$361,MATCH($O269,Scoring!$AS$29:$AS$361,0)))</f>
        <v/>
      </c>
      <c r="E269" s="7" t="str">
        <f aca="false">IF($O269="","",INDEX(Scoring!$AL$29:$AL$361,MATCH($O269,Scoring!$AS$29:$AS$361,0)))</f>
        <v/>
      </c>
      <c r="F269" s="6" t="str">
        <f aca="false">IF($O269="","",INDEX(Scoring!$B$29:$B$361,MATCH($O269,Scoring!$AS$29:$AS$361,0)))</f>
        <v/>
      </c>
      <c r="G269" s="7" t="str">
        <f aca="false">IF($O269="","",INDEX(Scoring!$AG$29:$AG$361,MATCH($O269,Scoring!$AS$29:$AS$361,0)))</f>
        <v/>
      </c>
      <c r="H269" s="7" t="str">
        <f aca="false">IF($O269="","",INDEX(Scoring!$C$29:$C$361,MATCH($O269,Scoring!$AS$29:$AS$361,0)))</f>
        <v/>
      </c>
      <c r="I269" s="6" t="str">
        <f aca="false">IF($O269="","",INDEX(Scoring!$I$29:$I$361,MATCH($O269,Scoring!$AS$29:$AS$361,0)))</f>
        <v/>
      </c>
      <c r="J269" s="7" t="str">
        <f aca="false">IF($O269="","",INDEX(Scoring!$Z$29:$Z$361,MATCH($O269,Scoring!$AS$29:$AS$361,0)))</f>
        <v/>
      </c>
      <c r="K269" s="8" t="str">
        <f aca="false">IF($O269="","",IF(INDEX(Scoring!$D$29:$D$361,MATCH($O269,Scoring!$AS$29:$AS$361,0))="",INDEX(Scoring!$AF$29:$AF$361,MATCH($O269,Scoring!$AS$29:$AS$361,0)),INDEX(Scoring!$D$29:$D$361,MATCH($O269,Scoring!$AS$29:$AS$361,0))))</f>
        <v/>
      </c>
      <c r="L269" s="9" t="str">
        <f aca="false">IF($O269="","",INDEX(Scoring!$L$29:$L$361,MATCH($O269,Scoring!$AS$29:$AS$361,0)))</f>
        <v/>
      </c>
      <c r="M269" s="9" t="str">
        <f aca="false">IF($O269="","",INDEX(Scoring!$N$29:$N$361,MATCH($O269,Scoring!$AS$29:$AS$361,0)))</f>
        <v/>
      </c>
      <c r="N269" s="7" t="str">
        <f aca="false">IF($O269="","",INDEX(Scoring!$AI$29:$AI$361,MATCH($O269,Scoring!$AS$29:$AS$361,0)))</f>
        <v/>
      </c>
      <c r="O269" s="10" t="str">
        <f aca="false">IFERROR(SMALL(Scoring!$AS$29:$AS$361,265),"")</f>
        <v/>
      </c>
    </row>
    <row r="270" customFormat="false" ht="15" hidden="false" customHeight="false" outlineLevel="0" collapsed="false">
      <c r="A270" s="5" t="str">
        <f aca="false">IF($O270="","",INT($O270/1000))</f>
        <v/>
      </c>
      <c r="B270" s="6" t="str">
        <f aca="false">IF($O270="","",INDEX(Scoring!$A$29:$A$361,MATCH($O270,Scoring!$AS$29:$AS$361,0)))</f>
        <v/>
      </c>
      <c r="C270" s="5" t="str">
        <f aca="false">IF($O270="","",IF(INDEX(Scoring!$AM$29:$AM$361,MATCH($O270,Scoring!$AS$29:$AS$361,0))="","–",INDEX(Scoring!$AM$29:$AM$361,MATCH($O270,Scoring!$AS$29:$AS$361,0))))</f>
        <v/>
      </c>
      <c r="D270" s="6" t="str">
        <f aca="false">IF($O270="","",INDEX(Scoring!$AK$29:$AK$361,MATCH($O270,Scoring!$AS$29:$AS$361,0)))</f>
        <v/>
      </c>
      <c r="E270" s="7" t="str">
        <f aca="false">IF($O270="","",INDEX(Scoring!$AL$29:$AL$361,MATCH($O270,Scoring!$AS$29:$AS$361,0)))</f>
        <v/>
      </c>
      <c r="F270" s="6" t="str">
        <f aca="false">IF($O270="","",INDEX(Scoring!$B$29:$B$361,MATCH($O270,Scoring!$AS$29:$AS$361,0)))</f>
        <v/>
      </c>
      <c r="G270" s="7" t="str">
        <f aca="false">IF($O270="","",INDEX(Scoring!$AG$29:$AG$361,MATCH($O270,Scoring!$AS$29:$AS$361,0)))</f>
        <v/>
      </c>
      <c r="H270" s="7" t="str">
        <f aca="false">IF($O270="","",INDEX(Scoring!$C$29:$C$361,MATCH($O270,Scoring!$AS$29:$AS$361,0)))</f>
        <v/>
      </c>
      <c r="I270" s="6" t="str">
        <f aca="false">IF($O270="","",INDEX(Scoring!$I$29:$I$361,MATCH($O270,Scoring!$AS$29:$AS$361,0)))</f>
        <v/>
      </c>
      <c r="J270" s="7" t="str">
        <f aca="false">IF($O270="","",INDEX(Scoring!$Z$29:$Z$361,MATCH($O270,Scoring!$AS$29:$AS$361,0)))</f>
        <v/>
      </c>
      <c r="K270" s="8" t="str">
        <f aca="false">IF($O270="","",IF(INDEX(Scoring!$D$29:$D$361,MATCH($O270,Scoring!$AS$29:$AS$361,0))="",INDEX(Scoring!$AF$29:$AF$361,MATCH($O270,Scoring!$AS$29:$AS$361,0)),INDEX(Scoring!$D$29:$D$361,MATCH($O270,Scoring!$AS$29:$AS$361,0))))</f>
        <v/>
      </c>
      <c r="L270" s="9" t="str">
        <f aca="false">IF($O270="","",INDEX(Scoring!$L$29:$L$361,MATCH($O270,Scoring!$AS$29:$AS$361,0)))</f>
        <v/>
      </c>
      <c r="M270" s="9" t="str">
        <f aca="false">IF($O270="","",INDEX(Scoring!$N$29:$N$361,MATCH($O270,Scoring!$AS$29:$AS$361,0)))</f>
        <v/>
      </c>
      <c r="N270" s="7" t="str">
        <f aca="false">IF($O270="","",INDEX(Scoring!$AI$29:$AI$361,MATCH($O270,Scoring!$AS$29:$AS$361,0)))</f>
        <v/>
      </c>
      <c r="O270" s="10" t="str">
        <f aca="false">IFERROR(SMALL(Scoring!$AS$29:$AS$361,266),"")</f>
        <v/>
      </c>
    </row>
    <row r="271" customFormat="false" ht="15" hidden="false" customHeight="false" outlineLevel="0" collapsed="false">
      <c r="A271" s="5" t="str">
        <f aca="false">IF($O271="","",INT($O271/1000))</f>
        <v/>
      </c>
      <c r="B271" s="6" t="str">
        <f aca="false">IF($O271="","",INDEX(Scoring!$A$29:$A$361,MATCH($O271,Scoring!$AS$29:$AS$361,0)))</f>
        <v/>
      </c>
      <c r="C271" s="5" t="str">
        <f aca="false">IF($O271="","",IF(INDEX(Scoring!$AM$29:$AM$361,MATCH($O271,Scoring!$AS$29:$AS$361,0))="","–",INDEX(Scoring!$AM$29:$AM$361,MATCH($O271,Scoring!$AS$29:$AS$361,0))))</f>
        <v/>
      </c>
      <c r="D271" s="6" t="str">
        <f aca="false">IF($O271="","",INDEX(Scoring!$AK$29:$AK$361,MATCH($O271,Scoring!$AS$29:$AS$361,0)))</f>
        <v/>
      </c>
      <c r="E271" s="7" t="str">
        <f aca="false">IF($O271="","",INDEX(Scoring!$AL$29:$AL$361,MATCH($O271,Scoring!$AS$29:$AS$361,0)))</f>
        <v/>
      </c>
      <c r="F271" s="6" t="str">
        <f aca="false">IF($O271="","",INDEX(Scoring!$B$29:$B$361,MATCH($O271,Scoring!$AS$29:$AS$361,0)))</f>
        <v/>
      </c>
      <c r="G271" s="7" t="str">
        <f aca="false">IF($O271="","",INDEX(Scoring!$AG$29:$AG$361,MATCH($O271,Scoring!$AS$29:$AS$361,0)))</f>
        <v/>
      </c>
      <c r="H271" s="7" t="str">
        <f aca="false">IF($O271="","",INDEX(Scoring!$C$29:$C$361,MATCH($O271,Scoring!$AS$29:$AS$361,0)))</f>
        <v/>
      </c>
      <c r="I271" s="6" t="str">
        <f aca="false">IF($O271="","",INDEX(Scoring!$I$29:$I$361,MATCH($O271,Scoring!$AS$29:$AS$361,0)))</f>
        <v/>
      </c>
      <c r="J271" s="7" t="str">
        <f aca="false">IF($O271="","",INDEX(Scoring!$Z$29:$Z$361,MATCH($O271,Scoring!$AS$29:$AS$361,0)))</f>
        <v/>
      </c>
      <c r="K271" s="8" t="str">
        <f aca="false">IF($O271="","",IF(INDEX(Scoring!$D$29:$D$361,MATCH($O271,Scoring!$AS$29:$AS$361,0))="",INDEX(Scoring!$AF$29:$AF$361,MATCH($O271,Scoring!$AS$29:$AS$361,0)),INDEX(Scoring!$D$29:$D$361,MATCH($O271,Scoring!$AS$29:$AS$361,0))))</f>
        <v/>
      </c>
      <c r="L271" s="9" t="str">
        <f aca="false">IF($O271="","",INDEX(Scoring!$L$29:$L$361,MATCH($O271,Scoring!$AS$29:$AS$361,0)))</f>
        <v/>
      </c>
      <c r="M271" s="9" t="str">
        <f aca="false">IF($O271="","",INDEX(Scoring!$N$29:$N$361,MATCH($O271,Scoring!$AS$29:$AS$361,0)))</f>
        <v/>
      </c>
      <c r="N271" s="7" t="str">
        <f aca="false">IF($O271="","",INDEX(Scoring!$AI$29:$AI$361,MATCH($O271,Scoring!$AS$29:$AS$361,0)))</f>
        <v/>
      </c>
      <c r="O271" s="10" t="str">
        <f aca="false">IFERROR(SMALL(Scoring!$AS$29:$AS$361,267),"")</f>
        <v/>
      </c>
    </row>
    <row r="272" customFormat="false" ht="15" hidden="false" customHeight="false" outlineLevel="0" collapsed="false">
      <c r="A272" s="5" t="str">
        <f aca="false">IF($O272="","",INT($O272/1000))</f>
        <v/>
      </c>
      <c r="B272" s="6" t="str">
        <f aca="false">IF($O272="","",INDEX(Scoring!$A$29:$A$361,MATCH($O272,Scoring!$AS$29:$AS$361,0)))</f>
        <v/>
      </c>
      <c r="C272" s="5" t="str">
        <f aca="false">IF($O272="","",IF(INDEX(Scoring!$AM$29:$AM$361,MATCH($O272,Scoring!$AS$29:$AS$361,0))="","–",INDEX(Scoring!$AM$29:$AM$361,MATCH($O272,Scoring!$AS$29:$AS$361,0))))</f>
        <v/>
      </c>
      <c r="D272" s="6" t="str">
        <f aca="false">IF($O272="","",INDEX(Scoring!$AK$29:$AK$361,MATCH($O272,Scoring!$AS$29:$AS$361,0)))</f>
        <v/>
      </c>
      <c r="E272" s="7" t="str">
        <f aca="false">IF($O272="","",INDEX(Scoring!$AL$29:$AL$361,MATCH($O272,Scoring!$AS$29:$AS$361,0)))</f>
        <v/>
      </c>
      <c r="F272" s="6" t="str">
        <f aca="false">IF($O272="","",INDEX(Scoring!$B$29:$B$361,MATCH($O272,Scoring!$AS$29:$AS$361,0)))</f>
        <v/>
      </c>
      <c r="G272" s="7" t="str">
        <f aca="false">IF($O272="","",INDEX(Scoring!$AG$29:$AG$361,MATCH($O272,Scoring!$AS$29:$AS$361,0)))</f>
        <v/>
      </c>
      <c r="H272" s="7" t="str">
        <f aca="false">IF($O272="","",INDEX(Scoring!$C$29:$C$361,MATCH($O272,Scoring!$AS$29:$AS$361,0)))</f>
        <v/>
      </c>
      <c r="I272" s="6" t="str">
        <f aca="false">IF($O272="","",INDEX(Scoring!$I$29:$I$361,MATCH($O272,Scoring!$AS$29:$AS$361,0)))</f>
        <v/>
      </c>
      <c r="J272" s="7" t="str">
        <f aca="false">IF($O272="","",INDEX(Scoring!$Z$29:$Z$361,MATCH($O272,Scoring!$AS$29:$AS$361,0)))</f>
        <v/>
      </c>
      <c r="K272" s="8" t="str">
        <f aca="false">IF($O272="","",IF(INDEX(Scoring!$D$29:$D$361,MATCH($O272,Scoring!$AS$29:$AS$361,0))="",INDEX(Scoring!$AF$29:$AF$361,MATCH($O272,Scoring!$AS$29:$AS$361,0)),INDEX(Scoring!$D$29:$D$361,MATCH($O272,Scoring!$AS$29:$AS$361,0))))</f>
        <v/>
      </c>
      <c r="L272" s="9" t="str">
        <f aca="false">IF($O272="","",INDEX(Scoring!$L$29:$L$361,MATCH($O272,Scoring!$AS$29:$AS$361,0)))</f>
        <v/>
      </c>
      <c r="M272" s="9" t="str">
        <f aca="false">IF($O272="","",INDEX(Scoring!$N$29:$N$361,MATCH($O272,Scoring!$AS$29:$AS$361,0)))</f>
        <v/>
      </c>
      <c r="N272" s="7" t="str">
        <f aca="false">IF($O272="","",INDEX(Scoring!$AI$29:$AI$361,MATCH($O272,Scoring!$AS$29:$AS$361,0)))</f>
        <v/>
      </c>
      <c r="O272" s="10" t="str">
        <f aca="false">IFERROR(SMALL(Scoring!$AS$29:$AS$361,268),"")</f>
        <v/>
      </c>
    </row>
    <row r="273" customFormat="false" ht="15" hidden="false" customHeight="false" outlineLevel="0" collapsed="false">
      <c r="A273" s="5" t="str">
        <f aca="false">IF($O273="","",INT($O273/1000))</f>
        <v/>
      </c>
      <c r="B273" s="6" t="str">
        <f aca="false">IF($O273="","",INDEX(Scoring!$A$29:$A$361,MATCH($O273,Scoring!$AS$29:$AS$361,0)))</f>
        <v/>
      </c>
      <c r="C273" s="5" t="str">
        <f aca="false">IF($O273="","",IF(INDEX(Scoring!$AM$29:$AM$361,MATCH($O273,Scoring!$AS$29:$AS$361,0))="","–",INDEX(Scoring!$AM$29:$AM$361,MATCH($O273,Scoring!$AS$29:$AS$361,0))))</f>
        <v/>
      </c>
      <c r="D273" s="6" t="str">
        <f aca="false">IF($O273="","",INDEX(Scoring!$AK$29:$AK$361,MATCH($O273,Scoring!$AS$29:$AS$361,0)))</f>
        <v/>
      </c>
      <c r="E273" s="7" t="str">
        <f aca="false">IF($O273="","",INDEX(Scoring!$AL$29:$AL$361,MATCH($O273,Scoring!$AS$29:$AS$361,0)))</f>
        <v/>
      </c>
      <c r="F273" s="6" t="str">
        <f aca="false">IF($O273="","",INDEX(Scoring!$B$29:$B$361,MATCH($O273,Scoring!$AS$29:$AS$361,0)))</f>
        <v/>
      </c>
      <c r="G273" s="7" t="str">
        <f aca="false">IF($O273="","",INDEX(Scoring!$AG$29:$AG$361,MATCH($O273,Scoring!$AS$29:$AS$361,0)))</f>
        <v/>
      </c>
      <c r="H273" s="7" t="str">
        <f aca="false">IF($O273="","",INDEX(Scoring!$C$29:$C$361,MATCH($O273,Scoring!$AS$29:$AS$361,0)))</f>
        <v/>
      </c>
      <c r="I273" s="6" t="str">
        <f aca="false">IF($O273="","",INDEX(Scoring!$I$29:$I$361,MATCH($O273,Scoring!$AS$29:$AS$361,0)))</f>
        <v/>
      </c>
      <c r="J273" s="7" t="str">
        <f aca="false">IF($O273="","",INDEX(Scoring!$Z$29:$Z$361,MATCH($O273,Scoring!$AS$29:$AS$361,0)))</f>
        <v/>
      </c>
      <c r="K273" s="8" t="str">
        <f aca="false">IF($O273="","",IF(INDEX(Scoring!$D$29:$D$361,MATCH($O273,Scoring!$AS$29:$AS$361,0))="",INDEX(Scoring!$AF$29:$AF$361,MATCH($O273,Scoring!$AS$29:$AS$361,0)),INDEX(Scoring!$D$29:$D$361,MATCH($O273,Scoring!$AS$29:$AS$361,0))))</f>
        <v/>
      </c>
      <c r="L273" s="9" t="str">
        <f aca="false">IF($O273="","",INDEX(Scoring!$L$29:$L$361,MATCH($O273,Scoring!$AS$29:$AS$361,0)))</f>
        <v/>
      </c>
      <c r="M273" s="9" t="str">
        <f aca="false">IF($O273="","",INDEX(Scoring!$N$29:$N$361,MATCH($O273,Scoring!$AS$29:$AS$361,0)))</f>
        <v/>
      </c>
      <c r="N273" s="7" t="str">
        <f aca="false">IF($O273="","",INDEX(Scoring!$AI$29:$AI$361,MATCH($O273,Scoring!$AS$29:$AS$361,0)))</f>
        <v/>
      </c>
      <c r="O273" s="10" t="str">
        <f aca="false">IFERROR(SMALL(Scoring!$AS$29:$AS$361,269),"")</f>
        <v/>
      </c>
    </row>
    <row r="274" customFormat="false" ht="15" hidden="false" customHeight="false" outlineLevel="0" collapsed="false">
      <c r="A274" s="5" t="str">
        <f aca="false">IF($O274="","",INT($O274/1000))</f>
        <v/>
      </c>
      <c r="B274" s="6" t="str">
        <f aca="false">IF($O274="","",INDEX(Scoring!$A$29:$A$361,MATCH($O274,Scoring!$AS$29:$AS$361,0)))</f>
        <v/>
      </c>
      <c r="C274" s="5" t="str">
        <f aca="false">IF($O274="","",IF(INDEX(Scoring!$AM$29:$AM$361,MATCH($O274,Scoring!$AS$29:$AS$361,0))="","–",INDEX(Scoring!$AM$29:$AM$361,MATCH($O274,Scoring!$AS$29:$AS$361,0))))</f>
        <v/>
      </c>
      <c r="D274" s="6" t="str">
        <f aca="false">IF($O274="","",INDEX(Scoring!$AK$29:$AK$361,MATCH($O274,Scoring!$AS$29:$AS$361,0)))</f>
        <v/>
      </c>
      <c r="E274" s="7" t="str">
        <f aca="false">IF($O274="","",INDEX(Scoring!$AL$29:$AL$361,MATCH($O274,Scoring!$AS$29:$AS$361,0)))</f>
        <v/>
      </c>
      <c r="F274" s="6" t="str">
        <f aca="false">IF($O274="","",INDEX(Scoring!$B$29:$B$361,MATCH($O274,Scoring!$AS$29:$AS$361,0)))</f>
        <v/>
      </c>
      <c r="G274" s="7" t="str">
        <f aca="false">IF($O274="","",INDEX(Scoring!$AG$29:$AG$361,MATCH($O274,Scoring!$AS$29:$AS$361,0)))</f>
        <v/>
      </c>
      <c r="H274" s="7" t="str">
        <f aca="false">IF($O274="","",INDEX(Scoring!$C$29:$C$361,MATCH($O274,Scoring!$AS$29:$AS$361,0)))</f>
        <v/>
      </c>
      <c r="I274" s="6" t="str">
        <f aca="false">IF($O274="","",INDEX(Scoring!$I$29:$I$361,MATCH($O274,Scoring!$AS$29:$AS$361,0)))</f>
        <v/>
      </c>
      <c r="J274" s="7" t="str">
        <f aca="false">IF($O274="","",INDEX(Scoring!$Z$29:$Z$361,MATCH($O274,Scoring!$AS$29:$AS$361,0)))</f>
        <v/>
      </c>
      <c r="K274" s="8" t="str">
        <f aca="false">IF($O274="","",IF(INDEX(Scoring!$D$29:$D$361,MATCH($O274,Scoring!$AS$29:$AS$361,0))="",INDEX(Scoring!$AF$29:$AF$361,MATCH($O274,Scoring!$AS$29:$AS$361,0)),INDEX(Scoring!$D$29:$D$361,MATCH($O274,Scoring!$AS$29:$AS$361,0))))</f>
        <v/>
      </c>
      <c r="L274" s="9" t="str">
        <f aca="false">IF($O274="","",INDEX(Scoring!$L$29:$L$361,MATCH($O274,Scoring!$AS$29:$AS$361,0)))</f>
        <v/>
      </c>
      <c r="M274" s="9" t="str">
        <f aca="false">IF($O274="","",INDEX(Scoring!$N$29:$N$361,MATCH($O274,Scoring!$AS$29:$AS$361,0)))</f>
        <v/>
      </c>
      <c r="N274" s="7" t="str">
        <f aca="false">IF($O274="","",INDEX(Scoring!$AI$29:$AI$361,MATCH($O274,Scoring!$AS$29:$AS$361,0)))</f>
        <v/>
      </c>
      <c r="O274" s="10" t="str">
        <f aca="false">IFERROR(SMALL(Scoring!$AS$29:$AS$361,270),"")</f>
        <v/>
      </c>
    </row>
    <row r="275" customFormat="false" ht="15" hidden="false" customHeight="false" outlineLevel="0" collapsed="false">
      <c r="A275" s="5" t="str">
        <f aca="false">IF($O275="","",INT($O275/1000))</f>
        <v/>
      </c>
      <c r="B275" s="6" t="str">
        <f aca="false">IF($O275="","",INDEX(Scoring!$A$29:$A$361,MATCH($O275,Scoring!$AS$29:$AS$361,0)))</f>
        <v/>
      </c>
      <c r="C275" s="5" t="str">
        <f aca="false">IF($O275="","",IF(INDEX(Scoring!$AM$29:$AM$361,MATCH($O275,Scoring!$AS$29:$AS$361,0))="","–",INDEX(Scoring!$AM$29:$AM$361,MATCH($O275,Scoring!$AS$29:$AS$361,0))))</f>
        <v/>
      </c>
      <c r="D275" s="6" t="str">
        <f aca="false">IF($O275="","",INDEX(Scoring!$AK$29:$AK$361,MATCH($O275,Scoring!$AS$29:$AS$361,0)))</f>
        <v/>
      </c>
      <c r="E275" s="7" t="str">
        <f aca="false">IF($O275="","",INDEX(Scoring!$AL$29:$AL$361,MATCH($O275,Scoring!$AS$29:$AS$361,0)))</f>
        <v/>
      </c>
      <c r="F275" s="6" t="str">
        <f aca="false">IF($O275="","",INDEX(Scoring!$B$29:$B$361,MATCH($O275,Scoring!$AS$29:$AS$361,0)))</f>
        <v/>
      </c>
      <c r="G275" s="7" t="str">
        <f aca="false">IF($O275="","",INDEX(Scoring!$AG$29:$AG$361,MATCH($O275,Scoring!$AS$29:$AS$361,0)))</f>
        <v/>
      </c>
      <c r="H275" s="7" t="str">
        <f aca="false">IF($O275="","",INDEX(Scoring!$C$29:$C$361,MATCH($O275,Scoring!$AS$29:$AS$361,0)))</f>
        <v/>
      </c>
      <c r="I275" s="6" t="str">
        <f aca="false">IF($O275="","",INDEX(Scoring!$I$29:$I$361,MATCH($O275,Scoring!$AS$29:$AS$361,0)))</f>
        <v/>
      </c>
      <c r="J275" s="7" t="str">
        <f aca="false">IF($O275="","",INDEX(Scoring!$Z$29:$Z$361,MATCH($O275,Scoring!$AS$29:$AS$361,0)))</f>
        <v/>
      </c>
      <c r="K275" s="8" t="str">
        <f aca="false">IF($O275="","",IF(INDEX(Scoring!$D$29:$D$361,MATCH($O275,Scoring!$AS$29:$AS$361,0))="",INDEX(Scoring!$AF$29:$AF$361,MATCH($O275,Scoring!$AS$29:$AS$361,0)),INDEX(Scoring!$D$29:$D$361,MATCH($O275,Scoring!$AS$29:$AS$361,0))))</f>
        <v/>
      </c>
      <c r="L275" s="9" t="str">
        <f aca="false">IF($O275="","",INDEX(Scoring!$L$29:$L$361,MATCH($O275,Scoring!$AS$29:$AS$361,0)))</f>
        <v/>
      </c>
      <c r="M275" s="9" t="str">
        <f aca="false">IF($O275="","",INDEX(Scoring!$N$29:$N$361,MATCH($O275,Scoring!$AS$29:$AS$361,0)))</f>
        <v/>
      </c>
      <c r="N275" s="7" t="str">
        <f aca="false">IF($O275="","",INDEX(Scoring!$AI$29:$AI$361,MATCH($O275,Scoring!$AS$29:$AS$361,0)))</f>
        <v/>
      </c>
      <c r="O275" s="10" t="str">
        <f aca="false">IFERROR(SMALL(Scoring!$AS$29:$AS$361,271),"")</f>
        <v/>
      </c>
    </row>
    <row r="276" customFormat="false" ht="15" hidden="false" customHeight="false" outlineLevel="0" collapsed="false">
      <c r="A276" s="5" t="str">
        <f aca="false">IF($O276="","",INT($O276/1000))</f>
        <v/>
      </c>
      <c r="B276" s="6" t="str">
        <f aca="false">IF($O276="","",INDEX(Scoring!$A$29:$A$361,MATCH($O276,Scoring!$AS$29:$AS$361,0)))</f>
        <v/>
      </c>
      <c r="C276" s="5" t="str">
        <f aca="false">IF($O276="","",IF(INDEX(Scoring!$AM$29:$AM$361,MATCH($O276,Scoring!$AS$29:$AS$361,0))="","–",INDEX(Scoring!$AM$29:$AM$361,MATCH($O276,Scoring!$AS$29:$AS$361,0))))</f>
        <v/>
      </c>
      <c r="D276" s="6" t="str">
        <f aca="false">IF($O276="","",INDEX(Scoring!$AK$29:$AK$361,MATCH($O276,Scoring!$AS$29:$AS$361,0)))</f>
        <v/>
      </c>
      <c r="E276" s="7" t="str">
        <f aca="false">IF($O276="","",INDEX(Scoring!$AL$29:$AL$361,MATCH($O276,Scoring!$AS$29:$AS$361,0)))</f>
        <v/>
      </c>
      <c r="F276" s="6" t="str">
        <f aca="false">IF($O276="","",INDEX(Scoring!$B$29:$B$361,MATCH($O276,Scoring!$AS$29:$AS$361,0)))</f>
        <v/>
      </c>
      <c r="G276" s="7" t="str">
        <f aca="false">IF($O276="","",INDEX(Scoring!$AG$29:$AG$361,MATCH($O276,Scoring!$AS$29:$AS$361,0)))</f>
        <v/>
      </c>
      <c r="H276" s="7" t="str">
        <f aca="false">IF($O276="","",INDEX(Scoring!$C$29:$C$361,MATCH($O276,Scoring!$AS$29:$AS$361,0)))</f>
        <v/>
      </c>
      <c r="I276" s="6" t="str">
        <f aca="false">IF($O276="","",INDEX(Scoring!$I$29:$I$361,MATCH($O276,Scoring!$AS$29:$AS$361,0)))</f>
        <v/>
      </c>
      <c r="J276" s="7" t="str">
        <f aca="false">IF($O276="","",INDEX(Scoring!$Z$29:$Z$361,MATCH($O276,Scoring!$AS$29:$AS$361,0)))</f>
        <v/>
      </c>
      <c r="K276" s="8" t="str">
        <f aca="false">IF($O276="","",IF(INDEX(Scoring!$D$29:$D$361,MATCH($O276,Scoring!$AS$29:$AS$361,0))="",INDEX(Scoring!$AF$29:$AF$361,MATCH($O276,Scoring!$AS$29:$AS$361,0)),INDEX(Scoring!$D$29:$D$361,MATCH($O276,Scoring!$AS$29:$AS$361,0))))</f>
        <v/>
      </c>
      <c r="L276" s="9" t="str">
        <f aca="false">IF($O276="","",INDEX(Scoring!$L$29:$L$361,MATCH($O276,Scoring!$AS$29:$AS$361,0)))</f>
        <v/>
      </c>
      <c r="M276" s="9" t="str">
        <f aca="false">IF($O276="","",INDEX(Scoring!$N$29:$N$361,MATCH($O276,Scoring!$AS$29:$AS$361,0)))</f>
        <v/>
      </c>
      <c r="N276" s="7" t="str">
        <f aca="false">IF($O276="","",INDEX(Scoring!$AI$29:$AI$361,MATCH($O276,Scoring!$AS$29:$AS$361,0)))</f>
        <v/>
      </c>
      <c r="O276" s="10" t="str">
        <f aca="false">IFERROR(SMALL(Scoring!$AS$29:$AS$361,272),"")</f>
        <v/>
      </c>
    </row>
    <row r="277" customFormat="false" ht="15" hidden="false" customHeight="false" outlineLevel="0" collapsed="false">
      <c r="A277" s="5" t="str">
        <f aca="false">IF($O277="","",INT($O277/1000))</f>
        <v/>
      </c>
      <c r="B277" s="6" t="str">
        <f aca="false">IF($O277="","",INDEX(Scoring!$A$29:$A$361,MATCH($O277,Scoring!$AS$29:$AS$361,0)))</f>
        <v/>
      </c>
      <c r="C277" s="5" t="str">
        <f aca="false">IF($O277="","",IF(INDEX(Scoring!$AM$29:$AM$361,MATCH($O277,Scoring!$AS$29:$AS$361,0))="","–",INDEX(Scoring!$AM$29:$AM$361,MATCH($O277,Scoring!$AS$29:$AS$361,0))))</f>
        <v/>
      </c>
      <c r="D277" s="6" t="str">
        <f aca="false">IF($O277="","",INDEX(Scoring!$AK$29:$AK$361,MATCH($O277,Scoring!$AS$29:$AS$361,0)))</f>
        <v/>
      </c>
      <c r="E277" s="7" t="str">
        <f aca="false">IF($O277="","",INDEX(Scoring!$AL$29:$AL$361,MATCH($O277,Scoring!$AS$29:$AS$361,0)))</f>
        <v/>
      </c>
      <c r="F277" s="6" t="str">
        <f aca="false">IF($O277="","",INDEX(Scoring!$B$29:$B$361,MATCH($O277,Scoring!$AS$29:$AS$361,0)))</f>
        <v/>
      </c>
      <c r="G277" s="7" t="str">
        <f aca="false">IF($O277="","",INDEX(Scoring!$AG$29:$AG$361,MATCH($O277,Scoring!$AS$29:$AS$361,0)))</f>
        <v/>
      </c>
      <c r="H277" s="7" t="str">
        <f aca="false">IF($O277="","",INDEX(Scoring!$C$29:$C$361,MATCH($O277,Scoring!$AS$29:$AS$361,0)))</f>
        <v/>
      </c>
      <c r="I277" s="6" t="str">
        <f aca="false">IF($O277="","",INDEX(Scoring!$I$29:$I$361,MATCH($O277,Scoring!$AS$29:$AS$361,0)))</f>
        <v/>
      </c>
      <c r="J277" s="7" t="str">
        <f aca="false">IF($O277="","",INDEX(Scoring!$Z$29:$Z$361,MATCH($O277,Scoring!$AS$29:$AS$361,0)))</f>
        <v/>
      </c>
      <c r="K277" s="8" t="str">
        <f aca="false">IF($O277="","",IF(INDEX(Scoring!$D$29:$D$361,MATCH($O277,Scoring!$AS$29:$AS$361,0))="",INDEX(Scoring!$AF$29:$AF$361,MATCH($O277,Scoring!$AS$29:$AS$361,0)),INDEX(Scoring!$D$29:$D$361,MATCH($O277,Scoring!$AS$29:$AS$361,0))))</f>
        <v/>
      </c>
      <c r="L277" s="9" t="str">
        <f aca="false">IF($O277="","",INDEX(Scoring!$L$29:$L$361,MATCH($O277,Scoring!$AS$29:$AS$361,0)))</f>
        <v/>
      </c>
      <c r="M277" s="9" t="str">
        <f aca="false">IF($O277="","",INDEX(Scoring!$N$29:$N$361,MATCH($O277,Scoring!$AS$29:$AS$361,0)))</f>
        <v/>
      </c>
      <c r="N277" s="7" t="str">
        <f aca="false">IF($O277="","",INDEX(Scoring!$AI$29:$AI$361,MATCH($O277,Scoring!$AS$29:$AS$361,0)))</f>
        <v/>
      </c>
      <c r="O277" s="10" t="str">
        <f aca="false">IFERROR(SMALL(Scoring!$AS$29:$AS$361,273),"")</f>
        <v/>
      </c>
    </row>
    <row r="278" customFormat="false" ht="15" hidden="false" customHeight="false" outlineLevel="0" collapsed="false">
      <c r="A278" s="5" t="str">
        <f aca="false">IF($O278="","",INT($O278/1000))</f>
        <v/>
      </c>
      <c r="B278" s="6" t="str">
        <f aca="false">IF($O278="","",INDEX(Scoring!$A$29:$A$361,MATCH($O278,Scoring!$AS$29:$AS$361,0)))</f>
        <v/>
      </c>
      <c r="C278" s="5" t="str">
        <f aca="false">IF($O278="","",IF(INDEX(Scoring!$AM$29:$AM$361,MATCH($O278,Scoring!$AS$29:$AS$361,0))="","–",INDEX(Scoring!$AM$29:$AM$361,MATCH($O278,Scoring!$AS$29:$AS$361,0))))</f>
        <v/>
      </c>
      <c r="D278" s="6" t="str">
        <f aca="false">IF($O278="","",INDEX(Scoring!$AK$29:$AK$361,MATCH($O278,Scoring!$AS$29:$AS$361,0)))</f>
        <v/>
      </c>
      <c r="E278" s="7" t="str">
        <f aca="false">IF($O278="","",INDEX(Scoring!$AL$29:$AL$361,MATCH($O278,Scoring!$AS$29:$AS$361,0)))</f>
        <v/>
      </c>
      <c r="F278" s="6" t="str">
        <f aca="false">IF($O278="","",INDEX(Scoring!$B$29:$B$361,MATCH($O278,Scoring!$AS$29:$AS$361,0)))</f>
        <v/>
      </c>
      <c r="G278" s="7" t="str">
        <f aca="false">IF($O278="","",INDEX(Scoring!$AG$29:$AG$361,MATCH($O278,Scoring!$AS$29:$AS$361,0)))</f>
        <v/>
      </c>
      <c r="H278" s="7" t="str">
        <f aca="false">IF($O278="","",INDEX(Scoring!$C$29:$C$361,MATCH($O278,Scoring!$AS$29:$AS$361,0)))</f>
        <v/>
      </c>
      <c r="I278" s="6" t="str">
        <f aca="false">IF($O278="","",INDEX(Scoring!$I$29:$I$361,MATCH($O278,Scoring!$AS$29:$AS$361,0)))</f>
        <v/>
      </c>
      <c r="J278" s="7" t="str">
        <f aca="false">IF($O278="","",INDEX(Scoring!$Z$29:$Z$361,MATCH($O278,Scoring!$AS$29:$AS$361,0)))</f>
        <v/>
      </c>
      <c r="K278" s="8" t="str">
        <f aca="false">IF($O278="","",IF(INDEX(Scoring!$D$29:$D$361,MATCH($O278,Scoring!$AS$29:$AS$361,0))="",INDEX(Scoring!$AF$29:$AF$361,MATCH($O278,Scoring!$AS$29:$AS$361,0)),INDEX(Scoring!$D$29:$D$361,MATCH($O278,Scoring!$AS$29:$AS$361,0))))</f>
        <v/>
      </c>
      <c r="L278" s="9" t="str">
        <f aca="false">IF($O278="","",INDEX(Scoring!$L$29:$L$361,MATCH($O278,Scoring!$AS$29:$AS$361,0)))</f>
        <v/>
      </c>
      <c r="M278" s="9" t="str">
        <f aca="false">IF($O278="","",INDEX(Scoring!$N$29:$N$361,MATCH($O278,Scoring!$AS$29:$AS$361,0)))</f>
        <v/>
      </c>
      <c r="N278" s="7" t="str">
        <f aca="false">IF($O278="","",INDEX(Scoring!$AI$29:$AI$361,MATCH($O278,Scoring!$AS$29:$AS$361,0)))</f>
        <v/>
      </c>
      <c r="O278" s="10" t="str">
        <f aca="false">IFERROR(SMALL(Scoring!$AS$29:$AS$361,274),"")</f>
        <v/>
      </c>
    </row>
    <row r="279" customFormat="false" ht="15" hidden="false" customHeight="false" outlineLevel="0" collapsed="false">
      <c r="A279" s="5" t="str">
        <f aca="false">IF($O279="","",INT($O279/1000))</f>
        <v/>
      </c>
      <c r="B279" s="6" t="str">
        <f aca="false">IF($O279="","",INDEX(Scoring!$A$29:$A$361,MATCH($O279,Scoring!$AS$29:$AS$361,0)))</f>
        <v/>
      </c>
      <c r="C279" s="5" t="str">
        <f aca="false">IF($O279="","",IF(INDEX(Scoring!$AM$29:$AM$361,MATCH($O279,Scoring!$AS$29:$AS$361,0))="","–",INDEX(Scoring!$AM$29:$AM$361,MATCH($O279,Scoring!$AS$29:$AS$361,0))))</f>
        <v/>
      </c>
      <c r="D279" s="6" t="str">
        <f aca="false">IF($O279="","",INDEX(Scoring!$AK$29:$AK$361,MATCH($O279,Scoring!$AS$29:$AS$361,0)))</f>
        <v/>
      </c>
      <c r="E279" s="7" t="str">
        <f aca="false">IF($O279="","",INDEX(Scoring!$AL$29:$AL$361,MATCH($O279,Scoring!$AS$29:$AS$361,0)))</f>
        <v/>
      </c>
      <c r="F279" s="6" t="str">
        <f aca="false">IF($O279="","",INDEX(Scoring!$B$29:$B$361,MATCH($O279,Scoring!$AS$29:$AS$361,0)))</f>
        <v/>
      </c>
      <c r="G279" s="7" t="str">
        <f aca="false">IF($O279="","",INDEX(Scoring!$AG$29:$AG$361,MATCH($O279,Scoring!$AS$29:$AS$361,0)))</f>
        <v/>
      </c>
      <c r="H279" s="7" t="str">
        <f aca="false">IF($O279="","",INDEX(Scoring!$C$29:$C$361,MATCH($O279,Scoring!$AS$29:$AS$361,0)))</f>
        <v/>
      </c>
      <c r="I279" s="6" t="str">
        <f aca="false">IF($O279="","",INDEX(Scoring!$I$29:$I$361,MATCH($O279,Scoring!$AS$29:$AS$361,0)))</f>
        <v/>
      </c>
      <c r="J279" s="7" t="str">
        <f aca="false">IF($O279="","",INDEX(Scoring!$Z$29:$Z$361,MATCH($O279,Scoring!$AS$29:$AS$361,0)))</f>
        <v/>
      </c>
      <c r="K279" s="8" t="str">
        <f aca="false">IF($O279="","",IF(INDEX(Scoring!$D$29:$D$361,MATCH($O279,Scoring!$AS$29:$AS$361,0))="",INDEX(Scoring!$AF$29:$AF$361,MATCH($O279,Scoring!$AS$29:$AS$361,0)),INDEX(Scoring!$D$29:$D$361,MATCH($O279,Scoring!$AS$29:$AS$361,0))))</f>
        <v/>
      </c>
      <c r="L279" s="9" t="str">
        <f aca="false">IF($O279="","",INDEX(Scoring!$L$29:$L$361,MATCH($O279,Scoring!$AS$29:$AS$361,0)))</f>
        <v/>
      </c>
      <c r="M279" s="9" t="str">
        <f aca="false">IF($O279="","",INDEX(Scoring!$N$29:$N$361,MATCH($O279,Scoring!$AS$29:$AS$361,0)))</f>
        <v/>
      </c>
      <c r="N279" s="7" t="str">
        <f aca="false">IF($O279="","",INDEX(Scoring!$AI$29:$AI$361,MATCH($O279,Scoring!$AS$29:$AS$361,0)))</f>
        <v/>
      </c>
      <c r="O279" s="10" t="str">
        <f aca="false">IFERROR(SMALL(Scoring!$AS$29:$AS$361,275),"")</f>
        <v/>
      </c>
    </row>
    <row r="280" customFormat="false" ht="15" hidden="false" customHeight="false" outlineLevel="0" collapsed="false">
      <c r="A280" s="5" t="str">
        <f aca="false">IF($O280="","",INT($O280/1000))</f>
        <v/>
      </c>
      <c r="B280" s="6" t="str">
        <f aca="false">IF($O280="","",INDEX(Scoring!$A$29:$A$361,MATCH($O280,Scoring!$AS$29:$AS$361,0)))</f>
        <v/>
      </c>
      <c r="C280" s="5" t="str">
        <f aca="false">IF($O280="","",IF(INDEX(Scoring!$AM$29:$AM$361,MATCH($O280,Scoring!$AS$29:$AS$361,0))="","–",INDEX(Scoring!$AM$29:$AM$361,MATCH($O280,Scoring!$AS$29:$AS$361,0))))</f>
        <v/>
      </c>
      <c r="D280" s="6" t="str">
        <f aca="false">IF($O280="","",INDEX(Scoring!$AK$29:$AK$361,MATCH($O280,Scoring!$AS$29:$AS$361,0)))</f>
        <v/>
      </c>
      <c r="E280" s="7" t="str">
        <f aca="false">IF($O280="","",INDEX(Scoring!$AL$29:$AL$361,MATCH($O280,Scoring!$AS$29:$AS$361,0)))</f>
        <v/>
      </c>
      <c r="F280" s="6" t="str">
        <f aca="false">IF($O280="","",INDEX(Scoring!$B$29:$B$361,MATCH($O280,Scoring!$AS$29:$AS$361,0)))</f>
        <v/>
      </c>
      <c r="G280" s="7" t="str">
        <f aca="false">IF($O280="","",INDEX(Scoring!$AG$29:$AG$361,MATCH($O280,Scoring!$AS$29:$AS$361,0)))</f>
        <v/>
      </c>
      <c r="H280" s="7" t="str">
        <f aca="false">IF($O280="","",INDEX(Scoring!$C$29:$C$361,MATCH($O280,Scoring!$AS$29:$AS$361,0)))</f>
        <v/>
      </c>
      <c r="I280" s="6" t="str">
        <f aca="false">IF($O280="","",INDEX(Scoring!$I$29:$I$361,MATCH($O280,Scoring!$AS$29:$AS$361,0)))</f>
        <v/>
      </c>
      <c r="J280" s="7" t="str">
        <f aca="false">IF($O280="","",INDEX(Scoring!$Z$29:$Z$361,MATCH($O280,Scoring!$AS$29:$AS$361,0)))</f>
        <v/>
      </c>
      <c r="K280" s="8" t="str">
        <f aca="false">IF($O280="","",IF(INDEX(Scoring!$D$29:$D$361,MATCH($O280,Scoring!$AS$29:$AS$361,0))="",INDEX(Scoring!$AF$29:$AF$361,MATCH($O280,Scoring!$AS$29:$AS$361,0)),INDEX(Scoring!$D$29:$D$361,MATCH($O280,Scoring!$AS$29:$AS$361,0))))</f>
        <v/>
      </c>
      <c r="L280" s="9" t="str">
        <f aca="false">IF($O280="","",INDEX(Scoring!$L$29:$L$361,MATCH($O280,Scoring!$AS$29:$AS$361,0)))</f>
        <v/>
      </c>
      <c r="M280" s="9" t="str">
        <f aca="false">IF($O280="","",INDEX(Scoring!$N$29:$N$361,MATCH($O280,Scoring!$AS$29:$AS$361,0)))</f>
        <v/>
      </c>
      <c r="N280" s="7" t="str">
        <f aca="false">IF($O280="","",INDEX(Scoring!$AI$29:$AI$361,MATCH($O280,Scoring!$AS$29:$AS$361,0)))</f>
        <v/>
      </c>
      <c r="O280" s="10" t="str">
        <f aca="false">IFERROR(SMALL(Scoring!$AS$29:$AS$361,276),"")</f>
        <v/>
      </c>
    </row>
    <row r="281" customFormat="false" ht="15" hidden="false" customHeight="false" outlineLevel="0" collapsed="false">
      <c r="A281" s="5" t="str">
        <f aca="false">IF($O281="","",INT($O281/1000))</f>
        <v/>
      </c>
      <c r="B281" s="6" t="str">
        <f aca="false">IF($O281="","",INDEX(Scoring!$A$29:$A$361,MATCH($O281,Scoring!$AS$29:$AS$361,0)))</f>
        <v/>
      </c>
      <c r="C281" s="5" t="str">
        <f aca="false">IF($O281="","",IF(INDEX(Scoring!$AM$29:$AM$361,MATCH($O281,Scoring!$AS$29:$AS$361,0))="","–",INDEX(Scoring!$AM$29:$AM$361,MATCH($O281,Scoring!$AS$29:$AS$361,0))))</f>
        <v/>
      </c>
      <c r="D281" s="6" t="str">
        <f aca="false">IF($O281="","",INDEX(Scoring!$AK$29:$AK$361,MATCH($O281,Scoring!$AS$29:$AS$361,0)))</f>
        <v/>
      </c>
      <c r="E281" s="7" t="str">
        <f aca="false">IF($O281="","",INDEX(Scoring!$AL$29:$AL$361,MATCH($O281,Scoring!$AS$29:$AS$361,0)))</f>
        <v/>
      </c>
      <c r="F281" s="6" t="str">
        <f aca="false">IF($O281="","",INDEX(Scoring!$B$29:$B$361,MATCH($O281,Scoring!$AS$29:$AS$361,0)))</f>
        <v/>
      </c>
      <c r="G281" s="7" t="str">
        <f aca="false">IF($O281="","",INDEX(Scoring!$AG$29:$AG$361,MATCH($O281,Scoring!$AS$29:$AS$361,0)))</f>
        <v/>
      </c>
      <c r="H281" s="7" t="str">
        <f aca="false">IF($O281="","",INDEX(Scoring!$C$29:$C$361,MATCH($O281,Scoring!$AS$29:$AS$361,0)))</f>
        <v/>
      </c>
      <c r="I281" s="6" t="str">
        <f aca="false">IF($O281="","",INDEX(Scoring!$I$29:$I$361,MATCH($O281,Scoring!$AS$29:$AS$361,0)))</f>
        <v/>
      </c>
      <c r="J281" s="7" t="str">
        <f aca="false">IF($O281="","",INDEX(Scoring!$Z$29:$Z$361,MATCH($O281,Scoring!$AS$29:$AS$361,0)))</f>
        <v/>
      </c>
      <c r="K281" s="8" t="str">
        <f aca="false">IF($O281="","",IF(INDEX(Scoring!$D$29:$D$361,MATCH($O281,Scoring!$AS$29:$AS$361,0))="",INDEX(Scoring!$AF$29:$AF$361,MATCH($O281,Scoring!$AS$29:$AS$361,0)),INDEX(Scoring!$D$29:$D$361,MATCH($O281,Scoring!$AS$29:$AS$361,0))))</f>
        <v/>
      </c>
      <c r="L281" s="9" t="str">
        <f aca="false">IF($O281="","",INDEX(Scoring!$L$29:$L$361,MATCH($O281,Scoring!$AS$29:$AS$361,0)))</f>
        <v/>
      </c>
      <c r="M281" s="9" t="str">
        <f aca="false">IF($O281="","",INDEX(Scoring!$N$29:$N$361,MATCH($O281,Scoring!$AS$29:$AS$361,0)))</f>
        <v/>
      </c>
      <c r="N281" s="7" t="str">
        <f aca="false">IF($O281="","",INDEX(Scoring!$AI$29:$AI$361,MATCH($O281,Scoring!$AS$29:$AS$361,0)))</f>
        <v/>
      </c>
      <c r="O281" s="10" t="str">
        <f aca="false">IFERROR(SMALL(Scoring!$AS$29:$AS$361,277),"")</f>
        <v/>
      </c>
    </row>
    <row r="282" customFormat="false" ht="15" hidden="false" customHeight="false" outlineLevel="0" collapsed="false">
      <c r="A282" s="5" t="str">
        <f aca="false">IF($O282="","",INT($O282/1000))</f>
        <v/>
      </c>
      <c r="B282" s="6" t="str">
        <f aca="false">IF($O282="","",INDEX(Scoring!$A$29:$A$361,MATCH($O282,Scoring!$AS$29:$AS$361,0)))</f>
        <v/>
      </c>
      <c r="C282" s="5" t="str">
        <f aca="false">IF($O282="","",IF(INDEX(Scoring!$AM$29:$AM$361,MATCH($O282,Scoring!$AS$29:$AS$361,0))="","–",INDEX(Scoring!$AM$29:$AM$361,MATCH($O282,Scoring!$AS$29:$AS$361,0))))</f>
        <v/>
      </c>
      <c r="D282" s="6" t="str">
        <f aca="false">IF($O282="","",INDEX(Scoring!$AK$29:$AK$361,MATCH($O282,Scoring!$AS$29:$AS$361,0)))</f>
        <v/>
      </c>
      <c r="E282" s="7" t="str">
        <f aca="false">IF($O282="","",INDEX(Scoring!$AL$29:$AL$361,MATCH($O282,Scoring!$AS$29:$AS$361,0)))</f>
        <v/>
      </c>
      <c r="F282" s="6" t="str">
        <f aca="false">IF($O282="","",INDEX(Scoring!$B$29:$B$361,MATCH($O282,Scoring!$AS$29:$AS$361,0)))</f>
        <v/>
      </c>
      <c r="G282" s="7" t="str">
        <f aca="false">IF($O282="","",INDEX(Scoring!$AG$29:$AG$361,MATCH($O282,Scoring!$AS$29:$AS$361,0)))</f>
        <v/>
      </c>
      <c r="H282" s="7" t="str">
        <f aca="false">IF($O282="","",INDEX(Scoring!$C$29:$C$361,MATCH($O282,Scoring!$AS$29:$AS$361,0)))</f>
        <v/>
      </c>
      <c r="I282" s="6" t="str">
        <f aca="false">IF($O282="","",INDEX(Scoring!$I$29:$I$361,MATCH($O282,Scoring!$AS$29:$AS$361,0)))</f>
        <v/>
      </c>
      <c r="J282" s="7" t="str">
        <f aca="false">IF($O282="","",INDEX(Scoring!$Z$29:$Z$361,MATCH($O282,Scoring!$AS$29:$AS$361,0)))</f>
        <v/>
      </c>
      <c r="K282" s="8" t="str">
        <f aca="false">IF($O282="","",IF(INDEX(Scoring!$D$29:$D$361,MATCH($O282,Scoring!$AS$29:$AS$361,0))="",INDEX(Scoring!$AF$29:$AF$361,MATCH($O282,Scoring!$AS$29:$AS$361,0)),INDEX(Scoring!$D$29:$D$361,MATCH($O282,Scoring!$AS$29:$AS$361,0))))</f>
        <v/>
      </c>
      <c r="L282" s="9" t="str">
        <f aca="false">IF($O282="","",INDEX(Scoring!$L$29:$L$361,MATCH($O282,Scoring!$AS$29:$AS$361,0)))</f>
        <v/>
      </c>
      <c r="M282" s="9" t="str">
        <f aca="false">IF($O282="","",INDEX(Scoring!$N$29:$N$361,MATCH($O282,Scoring!$AS$29:$AS$361,0)))</f>
        <v/>
      </c>
      <c r="N282" s="7" t="str">
        <f aca="false">IF($O282="","",INDEX(Scoring!$AI$29:$AI$361,MATCH($O282,Scoring!$AS$29:$AS$361,0)))</f>
        <v/>
      </c>
      <c r="O282" s="10" t="str">
        <f aca="false">IFERROR(SMALL(Scoring!$AS$29:$AS$361,278),"")</f>
        <v/>
      </c>
    </row>
    <row r="283" customFormat="false" ht="15" hidden="false" customHeight="false" outlineLevel="0" collapsed="false">
      <c r="A283" s="5" t="str">
        <f aca="false">IF($O283="","",INT($O283/1000))</f>
        <v/>
      </c>
      <c r="B283" s="6" t="str">
        <f aca="false">IF($O283="","",INDEX(Scoring!$A$29:$A$361,MATCH($O283,Scoring!$AS$29:$AS$361,0)))</f>
        <v/>
      </c>
      <c r="C283" s="5" t="str">
        <f aca="false">IF($O283="","",IF(INDEX(Scoring!$AM$29:$AM$361,MATCH($O283,Scoring!$AS$29:$AS$361,0))="","–",INDEX(Scoring!$AM$29:$AM$361,MATCH($O283,Scoring!$AS$29:$AS$361,0))))</f>
        <v/>
      </c>
      <c r="D283" s="6" t="str">
        <f aca="false">IF($O283="","",INDEX(Scoring!$AK$29:$AK$361,MATCH($O283,Scoring!$AS$29:$AS$361,0)))</f>
        <v/>
      </c>
      <c r="E283" s="7" t="str">
        <f aca="false">IF($O283="","",INDEX(Scoring!$AL$29:$AL$361,MATCH($O283,Scoring!$AS$29:$AS$361,0)))</f>
        <v/>
      </c>
      <c r="F283" s="6" t="str">
        <f aca="false">IF($O283="","",INDEX(Scoring!$B$29:$B$361,MATCH($O283,Scoring!$AS$29:$AS$361,0)))</f>
        <v/>
      </c>
      <c r="G283" s="7" t="str">
        <f aca="false">IF($O283="","",INDEX(Scoring!$AG$29:$AG$361,MATCH($O283,Scoring!$AS$29:$AS$361,0)))</f>
        <v/>
      </c>
      <c r="H283" s="7" t="str">
        <f aca="false">IF($O283="","",INDEX(Scoring!$C$29:$C$361,MATCH($O283,Scoring!$AS$29:$AS$361,0)))</f>
        <v/>
      </c>
      <c r="I283" s="6" t="str">
        <f aca="false">IF($O283="","",INDEX(Scoring!$I$29:$I$361,MATCH($O283,Scoring!$AS$29:$AS$361,0)))</f>
        <v/>
      </c>
      <c r="J283" s="7" t="str">
        <f aca="false">IF($O283="","",INDEX(Scoring!$Z$29:$Z$361,MATCH($O283,Scoring!$AS$29:$AS$361,0)))</f>
        <v/>
      </c>
      <c r="K283" s="8" t="str">
        <f aca="false">IF($O283="","",IF(INDEX(Scoring!$D$29:$D$361,MATCH($O283,Scoring!$AS$29:$AS$361,0))="",INDEX(Scoring!$AF$29:$AF$361,MATCH($O283,Scoring!$AS$29:$AS$361,0)),INDEX(Scoring!$D$29:$D$361,MATCH($O283,Scoring!$AS$29:$AS$361,0))))</f>
        <v/>
      </c>
      <c r="L283" s="9" t="str">
        <f aca="false">IF($O283="","",INDEX(Scoring!$L$29:$L$361,MATCH($O283,Scoring!$AS$29:$AS$361,0)))</f>
        <v/>
      </c>
      <c r="M283" s="9" t="str">
        <f aca="false">IF($O283="","",INDEX(Scoring!$N$29:$N$361,MATCH($O283,Scoring!$AS$29:$AS$361,0)))</f>
        <v/>
      </c>
      <c r="N283" s="7" t="str">
        <f aca="false">IF($O283="","",INDEX(Scoring!$AI$29:$AI$361,MATCH($O283,Scoring!$AS$29:$AS$361,0)))</f>
        <v/>
      </c>
      <c r="O283" s="10" t="str">
        <f aca="false">IFERROR(SMALL(Scoring!$AS$29:$AS$361,279),"")</f>
        <v/>
      </c>
    </row>
    <row r="284" customFormat="false" ht="15" hidden="false" customHeight="false" outlineLevel="0" collapsed="false">
      <c r="A284" s="5" t="str">
        <f aca="false">IF($O284="","",INT($O284/1000))</f>
        <v/>
      </c>
      <c r="B284" s="6" t="str">
        <f aca="false">IF($O284="","",INDEX(Scoring!$A$29:$A$361,MATCH($O284,Scoring!$AS$29:$AS$361,0)))</f>
        <v/>
      </c>
      <c r="C284" s="5" t="str">
        <f aca="false">IF($O284="","",IF(INDEX(Scoring!$AM$29:$AM$361,MATCH($O284,Scoring!$AS$29:$AS$361,0))="","–",INDEX(Scoring!$AM$29:$AM$361,MATCH($O284,Scoring!$AS$29:$AS$361,0))))</f>
        <v/>
      </c>
      <c r="D284" s="6" t="str">
        <f aca="false">IF($O284="","",INDEX(Scoring!$AK$29:$AK$361,MATCH($O284,Scoring!$AS$29:$AS$361,0)))</f>
        <v/>
      </c>
      <c r="E284" s="7" t="str">
        <f aca="false">IF($O284="","",INDEX(Scoring!$AL$29:$AL$361,MATCH($O284,Scoring!$AS$29:$AS$361,0)))</f>
        <v/>
      </c>
      <c r="F284" s="6" t="str">
        <f aca="false">IF($O284="","",INDEX(Scoring!$B$29:$B$361,MATCH($O284,Scoring!$AS$29:$AS$361,0)))</f>
        <v/>
      </c>
      <c r="G284" s="7" t="str">
        <f aca="false">IF($O284="","",INDEX(Scoring!$AG$29:$AG$361,MATCH($O284,Scoring!$AS$29:$AS$361,0)))</f>
        <v/>
      </c>
      <c r="H284" s="7" t="str">
        <f aca="false">IF($O284="","",INDEX(Scoring!$C$29:$C$361,MATCH($O284,Scoring!$AS$29:$AS$361,0)))</f>
        <v/>
      </c>
      <c r="I284" s="6" t="str">
        <f aca="false">IF($O284="","",INDEX(Scoring!$I$29:$I$361,MATCH($O284,Scoring!$AS$29:$AS$361,0)))</f>
        <v/>
      </c>
      <c r="J284" s="7" t="str">
        <f aca="false">IF($O284="","",INDEX(Scoring!$Z$29:$Z$361,MATCH($O284,Scoring!$AS$29:$AS$361,0)))</f>
        <v/>
      </c>
      <c r="K284" s="8" t="str">
        <f aca="false">IF($O284="","",IF(INDEX(Scoring!$D$29:$D$361,MATCH($O284,Scoring!$AS$29:$AS$361,0))="",INDEX(Scoring!$AF$29:$AF$361,MATCH($O284,Scoring!$AS$29:$AS$361,0)),INDEX(Scoring!$D$29:$D$361,MATCH($O284,Scoring!$AS$29:$AS$361,0))))</f>
        <v/>
      </c>
      <c r="L284" s="9" t="str">
        <f aca="false">IF($O284="","",INDEX(Scoring!$L$29:$L$361,MATCH($O284,Scoring!$AS$29:$AS$361,0)))</f>
        <v/>
      </c>
      <c r="M284" s="9" t="str">
        <f aca="false">IF($O284="","",INDEX(Scoring!$N$29:$N$361,MATCH($O284,Scoring!$AS$29:$AS$361,0)))</f>
        <v/>
      </c>
      <c r="N284" s="7" t="str">
        <f aca="false">IF($O284="","",INDEX(Scoring!$AI$29:$AI$361,MATCH($O284,Scoring!$AS$29:$AS$361,0)))</f>
        <v/>
      </c>
      <c r="O284" s="10" t="str">
        <f aca="false">IFERROR(SMALL(Scoring!$AS$29:$AS$361,280),"")</f>
        <v/>
      </c>
    </row>
    <row r="285" customFormat="false" ht="15" hidden="false" customHeight="false" outlineLevel="0" collapsed="false">
      <c r="A285" s="5" t="str">
        <f aca="false">IF($O285="","",INT($O285/1000))</f>
        <v/>
      </c>
      <c r="B285" s="6" t="str">
        <f aca="false">IF($O285="","",INDEX(Scoring!$A$29:$A$361,MATCH($O285,Scoring!$AS$29:$AS$361,0)))</f>
        <v/>
      </c>
      <c r="C285" s="5" t="str">
        <f aca="false">IF($O285="","",IF(INDEX(Scoring!$AM$29:$AM$361,MATCH($O285,Scoring!$AS$29:$AS$361,0))="","–",INDEX(Scoring!$AM$29:$AM$361,MATCH($O285,Scoring!$AS$29:$AS$361,0))))</f>
        <v/>
      </c>
      <c r="D285" s="6" t="str">
        <f aca="false">IF($O285="","",INDEX(Scoring!$AK$29:$AK$361,MATCH($O285,Scoring!$AS$29:$AS$361,0)))</f>
        <v/>
      </c>
      <c r="E285" s="7" t="str">
        <f aca="false">IF($O285="","",INDEX(Scoring!$AL$29:$AL$361,MATCH($O285,Scoring!$AS$29:$AS$361,0)))</f>
        <v/>
      </c>
      <c r="F285" s="6" t="str">
        <f aca="false">IF($O285="","",INDEX(Scoring!$B$29:$B$361,MATCH($O285,Scoring!$AS$29:$AS$361,0)))</f>
        <v/>
      </c>
      <c r="G285" s="7" t="str">
        <f aca="false">IF($O285="","",INDEX(Scoring!$AG$29:$AG$361,MATCH($O285,Scoring!$AS$29:$AS$361,0)))</f>
        <v/>
      </c>
      <c r="H285" s="7" t="str">
        <f aca="false">IF($O285="","",INDEX(Scoring!$C$29:$C$361,MATCH($O285,Scoring!$AS$29:$AS$361,0)))</f>
        <v/>
      </c>
      <c r="I285" s="6" t="str">
        <f aca="false">IF($O285="","",INDEX(Scoring!$I$29:$I$361,MATCH($O285,Scoring!$AS$29:$AS$361,0)))</f>
        <v/>
      </c>
      <c r="J285" s="7" t="str">
        <f aca="false">IF($O285="","",INDEX(Scoring!$Z$29:$Z$361,MATCH($O285,Scoring!$AS$29:$AS$361,0)))</f>
        <v/>
      </c>
      <c r="K285" s="8" t="str">
        <f aca="false">IF($O285="","",IF(INDEX(Scoring!$D$29:$D$361,MATCH($O285,Scoring!$AS$29:$AS$361,0))="",INDEX(Scoring!$AF$29:$AF$361,MATCH($O285,Scoring!$AS$29:$AS$361,0)),INDEX(Scoring!$D$29:$D$361,MATCH($O285,Scoring!$AS$29:$AS$361,0))))</f>
        <v/>
      </c>
      <c r="L285" s="9" t="str">
        <f aca="false">IF($O285="","",INDEX(Scoring!$L$29:$L$361,MATCH($O285,Scoring!$AS$29:$AS$361,0)))</f>
        <v/>
      </c>
      <c r="M285" s="9" t="str">
        <f aca="false">IF($O285="","",INDEX(Scoring!$N$29:$N$361,MATCH($O285,Scoring!$AS$29:$AS$361,0)))</f>
        <v/>
      </c>
      <c r="N285" s="7" t="str">
        <f aca="false">IF($O285="","",INDEX(Scoring!$AI$29:$AI$361,MATCH($O285,Scoring!$AS$29:$AS$361,0)))</f>
        <v/>
      </c>
      <c r="O285" s="10" t="str">
        <f aca="false">IFERROR(SMALL(Scoring!$AS$29:$AS$361,281),"")</f>
        <v/>
      </c>
    </row>
    <row r="286" customFormat="false" ht="15" hidden="false" customHeight="false" outlineLevel="0" collapsed="false">
      <c r="A286" s="5" t="str">
        <f aca="false">IF($O286="","",INT($O286/1000))</f>
        <v/>
      </c>
      <c r="B286" s="6" t="str">
        <f aca="false">IF($O286="","",INDEX(Scoring!$A$29:$A$361,MATCH($O286,Scoring!$AS$29:$AS$361,0)))</f>
        <v/>
      </c>
      <c r="C286" s="5" t="str">
        <f aca="false">IF($O286="","",IF(INDEX(Scoring!$AM$29:$AM$361,MATCH($O286,Scoring!$AS$29:$AS$361,0))="","–",INDEX(Scoring!$AM$29:$AM$361,MATCH($O286,Scoring!$AS$29:$AS$361,0))))</f>
        <v/>
      </c>
      <c r="D286" s="6" t="str">
        <f aca="false">IF($O286="","",INDEX(Scoring!$AK$29:$AK$361,MATCH($O286,Scoring!$AS$29:$AS$361,0)))</f>
        <v/>
      </c>
      <c r="E286" s="7" t="str">
        <f aca="false">IF($O286="","",INDEX(Scoring!$AL$29:$AL$361,MATCH($O286,Scoring!$AS$29:$AS$361,0)))</f>
        <v/>
      </c>
      <c r="F286" s="6" t="str">
        <f aca="false">IF($O286="","",INDEX(Scoring!$B$29:$B$361,MATCH($O286,Scoring!$AS$29:$AS$361,0)))</f>
        <v/>
      </c>
      <c r="G286" s="7" t="str">
        <f aca="false">IF($O286="","",INDEX(Scoring!$AG$29:$AG$361,MATCH($O286,Scoring!$AS$29:$AS$361,0)))</f>
        <v/>
      </c>
      <c r="H286" s="7" t="str">
        <f aca="false">IF($O286="","",INDEX(Scoring!$C$29:$C$361,MATCH($O286,Scoring!$AS$29:$AS$361,0)))</f>
        <v/>
      </c>
      <c r="I286" s="6" t="str">
        <f aca="false">IF($O286="","",INDEX(Scoring!$I$29:$I$361,MATCH($O286,Scoring!$AS$29:$AS$361,0)))</f>
        <v/>
      </c>
      <c r="J286" s="7" t="str">
        <f aca="false">IF($O286="","",INDEX(Scoring!$Z$29:$Z$361,MATCH($O286,Scoring!$AS$29:$AS$361,0)))</f>
        <v/>
      </c>
      <c r="K286" s="8" t="str">
        <f aca="false">IF($O286="","",IF(INDEX(Scoring!$D$29:$D$361,MATCH($O286,Scoring!$AS$29:$AS$361,0))="",INDEX(Scoring!$AF$29:$AF$361,MATCH($O286,Scoring!$AS$29:$AS$361,0)),INDEX(Scoring!$D$29:$D$361,MATCH($O286,Scoring!$AS$29:$AS$361,0))))</f>
        <v/>
      </c>
      <c r="L286" s="9" t="str">
        <f aca="false">IF($O286="","",INDEX(Scoring!$L$29:$L$361,MATCH($O286,Scoring!$AS$29:$AS$361,0)))</f>
        <v/>
      </c>
      <c r="M286" s="9" t="str">
        <f aca="false">IF($O286="","",INDEX(Scoring!$N$29:$N$361,MATCH($O286,Scoring!$AS$29:$AS$361,0)))</f>
        <v/>
      </c>
      <c r="N286" s="7" t="str">
        <f aca="false">IF($O286="","",INDEX(Scoring!$AI$29:$AI$361,MATCH($O286,Scoring!$AS$29:$AS$361,0)))</f>
        <v/>
      </c>
      <c r="O286" s="10" t="str">
        <f aca="false">IFERROR(SMALL(Scoring!$AS$29:$AS$361,282),"")</f>
        <v/>
      </c>
    </row>
    <row r="287" customFormat="false" ht="15" hidden="false" customHeight="false" outlineLevel="0" collapsed="false">
      <c r="A287" s="5" t="str">
        <f aca="false">IF($O287="","",INT($O287/1000))</f>
        <v/>
      </c>
      <c r="B287" s="6" t="str">
        <f aca="false">IF($O287="","",INDEX(Scoring!$A$29:$A$361,MATCH($O287,Scoring!$AS$29:$AS$361,0)))</f>
        <v/>
      </c>
      <c r="C287" s="5" t="str">
        <f aca="false">IF($O287="","",IF(INDEX(Scoring!$AM$29:$AM$361,MATCH($O287,Scoring!$AS$29:$AS$361,0))="","–",INDEX(Scoring!$AM$29:$AM$361,MATCH($O287,Scoring!$AS$29:$AS$361,0))))</f>
        <v/>
      </c>
      <c r="D287" s="6" t="str">
        <f aca="false">IF($O287="","",INDEX(Scoring!$AK$29:$AK$361,MATCH($O287,Scoring!$AS$29:$AS$361,0)))</f>
        <v/>
      </c>
      <c r="E287" s="7" t="str">
        <f aca="false">IF($O287="","",INDEX(Scoring!$AL$29:$AL$361,MATCH($O287,Scoring!$AS$29:$AS$361,0)))</f>
        <v/>
      </c>
      <c r="F287" s="6" t="str">
        <f aca="false">IF($O287="","",INDEX(Scoring!$B$29:$B$361,MATCH($O287,Scoring!$AS$29:$AS$361,0)))</f>
        <v/>
      </c>
      <c r="G287" s="7" t="str">
        <f aca="false">IF($O287="","",INDEX(Scoring!$AG$29:$AG$361,MATCH($O287,Scoring!$AS$29:$AS$361,0)))</f>
        <v/>
      </c>
      <c r="H287" s="7" t="str">
        <f aca="false">IF($O287="","",INDEX(Scoring!$C$29:$C$361,MATCH($O287,Scoring!$AS$29:$AS$361,0)))</f>
        <v/>
      </c>
      <c r="I287" s="6" t="str">
        <f aca="false">IF($O287="","",INDEX(Scoring!$I$29:$I$361,MATCH($O287,Scoring!$AS$29:$AS$361,0)))</f>
        <v/>
      </c>
      <c r="J287" s="7" t="str">
        <f aca="false">IF($O287="","",INDEX(Scoring!$Z$29:$Z$361,MATCH($O287,Scoring!$AS$29:$AS$361,0)))</f>
        <v/>
      </c>
      <c r="K287" s="8" t="str">
        <f aca="false">IF($O287="","",IF(INDEX(Scoring!$D$29:$D$361,MATCH($O287,Scoring!$AS$29:$AS$361,0))="",INDEX(Scoring!$AF$29:$AF$361,MATCH($O287,Scoring!$AS$29:$AS$361,0)),INDEX(Scoring!$D$29:$D$361,MATCH($O287,Scoring!$AS$29:$AS$361,0))))</f>
        <v/>
      </c>
      <c r="L287" s="9" t="str">
        <f aca="false">IF($O287="","",INDEX(Scoring!$L$29:$L$361,MATCH($O287,Scoring!$AS$29:$AS$361,0)))</f>
        <v/>
      </c>
      <c r="M287" s="9" t="str">
        <f aca="false">IF($O287="","",INDEX(Scoring!$N$29:$N$361,MATCH($O287,Scoring!$AS$29:$AS$361,0)))</f>
        <v/>
      </c>
      <c r="N287" s="7" t="str">
        <f aca="false">IF($O287="","",INDEX(Scoring!$AI$29:$AI$361,MATCH($O287,Scoring!$AS$29:$AS$361,0)))</f>
        <v/>
      </c>
      <c r="O287" s="10" t="str">
        <f aca="false">IFERROR(SMALL(Scoring!$AS$29:$AS$361,283),"")</f>
        <v/>
      </c>
    </row>
    <row r="288" customFormat="false" ht="15" hidden="false" customHeight="false" outlineLevel="0" collapsed="false">
      <c r="A288" s="5" t="str">
        <f aca="false">IF($O288="","",INT($O288/1000))</f>
        <v/>
      </c>
      <c r="B288" s="6" t="str">
        <f aca="false">IF($O288="","",INDEX(Scoring!$A$29:$A$361,MATCH($O288,Scoring!$AS$29:$AS$361,0)))</f>
        <v/>
      </c>
      <c r="C288" s="5" t="str">
        <f aca="false">IF($O288="","",IF(INDEX(Scoring!$AM$29:$AM$361,MATCH($O288,Scoring!$AS$29:$AS$361,0))="","–",INDEX(Scoring!$AM$29:$AM$361,MATCH($O288,Scoring!$AS$29:$AS$361,0))))</f>
        <v/>
      </c>
      <c r="D288" s="6" t="str">
        <f aca="false">IF($O288="","",INDEX(Scoring!$AK$29:$AK$361,MATCH($O288,Scoring!$AS$29:$AS$361,0)))</f>
        <v/>
      </c>
      <c r="E288" s="7" t="str">
        <f aca="false">IF($O288="","",INDEX(Scoring!$AL$29:$AL$361,MATCH($O288,Scoring!$AS$29:$AS$361,0)))</f>
        <v/>
      </c>
      <c r="F288" s="6" t="str">
        <f aca="false">IF($O288="","",INDEX(Scoring!$B$29:$B$361,MATCH($O288,Scoring!$AS$29:$AS$361,0)))</f>
        <v/>
      </c>
      <c r="G288" s="7" t="str">
        <f aca="false">IF($O288="","",INDEX(Scoring!$AG$29:$AG$361,MATCH($O288,Scoring!$AS$29:$AS$361,0)))</f>
        <v/>
      </c>
      <c r="H288" s="7" t="str">
        <f aca="false">IF($O288="","",INDEX(Scoring!$C$29:$C$361,MATCH($O288,Scoring!$AS$29:$AS$361,0)))</f>
        <v/>
      </c>
      <c r="I288" s="6" t="str">
        <f aca="false">IF($O288="","",INDEX(Scoring!$I$29:$I$361,MATCH($O288,Scoring!$AS$29:$AS$361,0)))</f>
        <v/>
      </c>
      <c r="J288" s="7" t="str">
        <f aca="false">IF($O288="","",INDEX(Scoring!$Z$29:$Z$361,MATCH($O288,Scoring!$AS$29:$AS$361,0)))</f>
        <v/>
      </c>
      <c r="K288" s="8" t="str">
        <f aca="false">IF($O288="","",IF(INDEX(Scoring!$D$29:$D$361,MATCH($O288,Scoring!$AS$29:$AS$361,0))="",INDEX(Scoring!$AF$29:$AF$361,MATCH($O288,Scoring!$AS$29:$AS$361,0)),INDEX(Scoring!$D$29:$D$361,MATCH($O288,Scoring!$AS$29:$AS$361,0))))</f>
        <v/>
      </c>
      <c r="L288" s="9" t="str">
        <f aca="false">IF($O288="","",INDEX(Scoring!$L$29:$L$361,MATCH($O288,Scoring!$AS$29:$AS$361,0)))</f>
        <v/>
      </c>
      <c r="M288" s="9" t="str">
        <f aca="false">IF($O288="","",INDEX(Scoring!$N$29:$N$361,MATCH($O288,Scoring!$AS$29:$AS$361,0)))</f>
        <v/>
      </c>
      <c r="N288" s="7" t="str">
        <f aca="false">IF($O288="","",INDEX(Scoring!$AI$29:$AI$361,MATCH($O288,Scoring!$AS$29:$AS$361,0)))</f>
        <v/>
      </c>
      <c r="O288" s="10" t="str">
        <f aca="false">IFERROR(SMALL(Scoring!$AS$29:$AS$361,284),"")</f>
        <v/>
      </c>
    </row>
    <row r="289" customFormat="false" ht="15" hidden="false" customHeight="false" outlineLevel="0" collapsed="false">
      <c r="A289" s="5" t="str">
        <f aca="false">IF($O289="","",INT($O289/1000))</f>
        <v/>
      </c>
      <c r="B289" s="6" t="str">
        <f aca="false">IF($O289="","",INDEX(Scoring!$A$29:$A$361,MATCH($O289,Scoring!$AS$29:$AS$361,0)))</f>
        <v/>
      </c>
      <c r="C289" s="5" t="str">
        <f aca="false">IF($O289="","",IF(INDEX(Scoring!$AM$29:$AM$361,MATCH($O289,Scoring!$AS$29:$AS$361,0))="","–",INDEX(Scoring!$AM$29:$AM$361,MATCH($O289,Scoring!$AS$29:$AS$361,0))))</f>
        <v/>
      </c>
      <c r="D289" s="6" t="str">
        <f aca="false">IF($O289="","",INDEX(Scoring!$AK$29:$AK$361,MATCH($O289,Scoring!$AS$29:$AS$361,0)))</f>
        <v/>
      </c>
      <c r="E289" s="7" t="str">
        <f aca="false">IF($O289="","",INDEX(Scoring!$AL$29:$AL$361,MATCH($O289,Scoring!$AS$29:$AS$361,0)))</f>
        <v/>
      </c>
      <c r="F289" s="6" t="str">
        <f aca="false">IF($O289="","",INDEX(Scoring!$B$29:$B$361,MATCH($O289,Scoring!$AS$29:$AS$361,0)))</f>
        <v/>
      </c>
      <c r="G289" s="7" t="str">
        <f aca="false">IF($O289="","",INDEX(Scoring!$AG$29:$AG$361,MATCH($O289,Scoring!$AS$29:$AS$361,0)))</f>
        <v/>
      </c>
      <c r="H289" s="7" t="str">
        <f aca="false">IF($O289="","",INDEX(Scoring!$C$29:$C$361,MATCH($O289,Scoring!$AS$29:$AS$361,0)))</f>
        <v/>
      </c>
      <c r="I289" s="6" t="str">
        <f aca="false">IF($O289="","",INDEX(Scoring!$I$29:$I$361,MATCH($O289,Scoring!$AS$29:$AS$361,0)))</f>
        <v/>
      </c>
      <c r="J289" s="7" t="str">
        <f aca="false">IF($O289="","",INDEX(Scoring!$Z$29:$Z$361,MATCH($O289,Scoring!$AS$29:$AS$361,0)))</f>
        <v/>
      </c>
      <c r="K289" s="8" t="str">
        <f aca="false">IF($O289="","",IF(INDEX(Scoring!$D$29:$D$361,MATCH($O289,Scoring!$AS$29:$AS$361,0))="",INDEX(Scoring!$AF$29:$AF$361,MATCH($O289,Scoring!$AS$29:$AS$361,0)),INDEX(Scoring!$D$29:$D$361,MATCH($O289,Scoring!$AS$29:$AS$361,0))))</f>
        <v/>
      </c>
      <c r="L289" s="9" t="str">
        <f aca="false">IF($O289="","",INDEX(Scoring!$L$29:$L$361,MATCH($O289,Scoring!$AS$29:$AS$361,0)))</f>
        <v/>
      </c>
      <c r="M289" s="9" t="str">
        <f aca="false">IF($O289="","",INDEX(Scoring!$N$29:$N$361,MATCH($O289,Scoring!$AS$29:$AS$361,0)))</f>
        <v/>
      </c>
      <c r="N289" s="7" t="str">
        <f aca="false">IF($O289="","",INDEX(Scoring!$AI$29:$AI$361,MATCH($O289,Scoring!$AS$29:$AS$361,0)))</f>
        <v/>
      </c>
      <c r="O289" s="10" t="str">
        <f aca="false">IFERROR(SMALL(Scoring!$AS$29:$AS$361,285),"")</f>
        <v/>
      </c>
    </row>
    <row r="290" customFormat="false" ht="15" hidden="false" customHeight="false" outlineLevel="0" collapsed="false">
      <c r="A290" s="5" t="str">
        <f aca="false">IF($O290="","",INT($O290/1000))</f>
        <v/>
      </c>
      <c r="B290" s="6" t="str">
        <f aca="false">IF($O290="","",INDEX(Scoring!$A$29:$A$361,MATCH($O290,Scoring!$AS$29:$AS$361,0)))</f>
        <v/>
      </c>
      <c r="C290" s="5" t="str">
        <f aca="false">IF($O290="","",IF(INDEX(Scoring!$AM$29:$AM$361,MATCH($O290,Scoring!$AS$29:$AS$361,0))="","–",INDEX(Scoring!$AM$29:$AM$361,MATCH($O290,Scoring!$AS$29:$AS$361,0))))</f>
        <v/>
      </c>
      <c r="D290" s="6" t="str">
        <f aca="false">IF($O290="","",INDEX(Scoring!$AK$29:$AK$361,MATCH($O290,Scoring!$AS$29:$AS$361,0)))</f>
        <v/>
      </c>
      <c r="E290" s="7" t="str">
        <f aca="false">IF($O290="","",INDEX(Scoring!$AL$29:$AL$361,MATCH($O290,Scoring!$AS$29:$AS$361,0)))</f>
        <v/>
      </c>
      <c r="F290" s="6" t="str">
        <f aca="false">IF($O290="","",INDEX(Scoring!$B$29:$B$361,MATCH($O290,Scoring!$AS$29:$AS$361,0)))</f>
        <v/>
      </c>
      <c r="G290" s="7" t="str">
        <f aca="false">IF($O290="","",INDEX(Scoring!$AG$29:$AG$361,MATCH($O290,Scoring!$AS$29:$AS$361,0)))</f>
        <v/>
      </c>
      <c r="H290" s="7" t="str">
        <f aca="false">IF($O290="","",INDEX(Scoring!$C$29:$C$361,MATCH($O290,Scoring!$AS$29:$AS$361,0)))</f>
        <v/>
      </c>
      <c r="I290" s="6" t="str">
        <f aca="false">IF($O290="","",INDEX(Scoring!$I$29:$I$361,MATCH($O290,Scoring!$AS$29:$AS$361,0)))</f>
        <v/>
      </c>
      <c r="J290" s="7" t="str">
        <f aca="false">IF($O290="","",INDEX(Scoring!$Z$29:$Z$361,MATCH($O290,Scoring!$AS$29:$AS$361,0)))</f>
        <v/>
      </c>
      <c r="K290" s="8" t="str">
        <f aca="false">IF($O290="","",IF(INDEX(Scoring!$D$29:$D$361,MATCH($O290,Scoring!$AS$29:$AS$361,0))="",INDEX(Scoring!$AF$29:$AF$361,MATCH($O290,Scoring!$AS$29:$AS$361,0)),INDEX(Scoring!$D$29:$D$361,MATCH($O290,Scoring!$AS$29:$AS$361,0))))</f>
        <v/>
      </c>
      <c r="L290" s="9" t="str">
        <f aca="false">IF($O290="","",INDEX(Scoring!$L$29:$L$361,MATCH($O290,Scoring!$AS$29:$AS$361,0)))</f>
        <v/>
      </c>
      <c r="M290" s="9" t="str">
        <f aca="false">IF($O290="","",INDEX(Scoring!$N$29:$N$361,MATCH($O290,Scoring!$AS$29:$AS$361,0)))</f>
        <v/>
      </c>
      <c r="N290" s="7" t="str">
        <f aca="false">IF($O290="","",INDEX(Scoring!$AI$29:$AI$361,MATCH($O290,Scoring!$AS$29:$AS$361,0)))</f>
        <v/>
      </c>
      <c r="O290" s="10" t="str">
        <f aca="false">IFERROR(SMALL(Scoring!$AS$29:$AS$361,286),"")</f>
        <v/>
      </c>
    </row>
    <row r="291" customFormat="false" ht="15" hidden="false" customHeight="false" outlineLevel="0" collapsed="false">
      <c r="A291" s="5" t="str">
        <f aca="false">IF($O291="","",INT($O291/1000))</f>
        <v/>
      </c>
      <c r="B291" s="6" t="str">
        <f aca="false">IF($O291="","",INDEX(Scoring!$A$29:$A$361,MATCH($O291,Scoring!$AS$29:$AS$361,0)))</f>
        <v/>
      </c>
      <c r="C291" s="5" t="str">
        <f aca="false">IF($O291="","",IF(INDEX(Scoring!$AM$29:$AM$361,MATCH($O291,Scoring!$AS$29:$AS$361,0))="","–",INDEX(Scoring!$AM$29:$AM$361,MATCH($O291,Scoring!$AS$29:$AS$361,0))))</f>
        <v/>
      </c>
      <c r="D291" s="6" t="str">
        <f aca="false">IF($O291="","",INDEX(Scoring!$AK$29:$AK$361,MATCH($O291,Scoring!$AS$29:$AS$361,0)))</f>
        <v/>
      </c>
      <c r="E291" s="7" t="str">
        <f aca="false">IF($O291="","",INDEX(Scoring!$AL$29:$AL$361,MATCH($O291,Scoring!$AS$29:$AS$361,0)))</f>
        <v/>
      </c>
      <c r="F291" s="6" t="str">
        <f aca="false">IF($O291="","",INDEX(Scoring!$B$29:$B$361,MATCH($O291,Scoring!$AS$29:$AS$361,0)))</f>
        <v/>
      </c>
      <c r="G291" s="7" t="str">
        <f aca="false">IF($O291="","",INDEX(Scoring!$AG$29:$AG$361,MATCH($O291,Scoring!$AS$29:$AS$361,0)))</f>
        <v/>
      </c>
      <c r="H291" s="7" t="str">
        <f aca="false">IF($O291="","",INDEX(Scoring!$C$29:$C$361,MATCH($O291,Scoring!$AS$29:$AS$361,0)))</f>
        <v/>
      </c>
      <c r="I291" s="6" t="str">
        <f aca="false">IF($O291="","",INDEX(Scoring!$I$29:$I$361,MATCH($O291,Scoring!$AS$29:$AS$361,0)))</f>
        <v/>
      </c>
      <c r="J291" s="7" t="str">
        <f aca="false">IF($O291="","",INDEX(Scoring!$Z$29:$Z$361,MATCH($O291,Scoring!$AS$29:$AS$361,0)))</f>
        <v/>
      </c>
      <c r="K291" s="8" t="str">
        <f aca="false">IF($O291="","",IF(INDEX(Scoring!$D$29:$D$361,MATCH($O291,Scoring!$AS$29:$AS$361,0))="",INDEX(Scoring!$AF$29:$AF$361,MATCH($O291,Scoring!$AS$29:$AS$361,0)),INDEX(Scoring!$D$29:$D$361,MATCH($O291,Scoring!$AS$29:$AS$361,0))))</f>
        <v/>
      </c>
      <c r="L291" s="9" t="str">
        <f aca="false">IF($O291="","",INDEX(Scoring!$L$29:$L$361,MATCH($O291,Scoring!$AS$29:$AS$361,0)))</f>
        <v/>
      </c>
      <c r="M291" s="9" t="str">
        <f aca="false">IF($O291="","",INDEX(Scoring!$N$29:$N$361,MATCH($O291,Scoring!$AS$29:$AS$361,0)))</f>
        <v/>
      </c>
      <c r="N291" s="7" t="str">
        <f aca="false">IF($O291="","",INDEX(Scoring!$AI$29:$AI$361,MATCH($O291,Scoring!$AS$29:$AS$361,0)))</f>
        <v/>
      </c>
      <c r="O291" s="10" t="str">
        <f aca="false">IFERROR(SMALL(Scoring!$AS$29:$AS$361,287),"")</f>
        <v/>
      </c>
    </row>
    <row r="292" customFormat="false" ht="15" hidden="false" customHeight="false" outlineLevel="0" collapsed="false">
      <c r="A292" s="5" t="str">
        <f aca="false">IF($O292="","",INT($O292/1000))</f>
        <v/>
      </c>
      <c r="B292" s="6" t="str">
        <f aca="false">IF($O292="","",INDEX(Scoring!$A$29:$A$361,MATCH($O292,Scoring!$AS$29:$AS$361,0)))</f>
        <v/>
      </c>
      <c r="C292" s="5" t="str">
        <f aca="false">IF($O292="","",IF(INDEX(Scoring!$AM$29:$AM$361,MATCH($O292,Scoring!$AS$29:$AS$361,0))="","–",INDEX(Scoring!$AM$29:$AM$361,MATCH($O292,Scoring!$AS$29:$AS$361,0))))</f>
        <v/>
      </c>
      <c r="D292" s="6" t="str">
        <f aca="false">IF($O292="","",INDEX(Scoring!$AK$29:$AK$361,MATCH($O292,Scoring!$AS$29:$AS$361,0)))</f>
        <v/>
      </c>
      <c r="E292" s="7" t="str">
        <f aca="false">IF($O292="","",INDEX(Scoring!$AL$29:$AL$361,MATCH($O292,Scoring!$AS$29:$AS$361,0)))</f>
        <v/>
      </c>
      <c r="F292" s="6" t="str">
        <f aca="false">IF($O292="","",INDEX(Scoring!$B$29:$B$361,MATCH($O292,Scoring!$AS$29:$AS$361,0)))</f>
        <v/>
      </c>
      <c r="G292" s="7" t="str">
        <f aca="false">IF($O292="","",INDEX(Scoring!$AG$29:$AG$361,MATCH($O292,Scoring!$AS$29:$AS$361,0)))</f>
        <v/>
      </c>
      <c r="H292" s="7" t="str">
        <f aca="false">IF($O292="","",INDEX(Scoring!$C$29:$C$361,MATCH($O292,Scoring!$AS$29:$AS$361,0)))</f>
        <v/>
      </c>
      <c r="I292" s="6" t="str">
        <f aca="false">IF($O292="","",INDEX(Scoring!$I$29:$I$361,MATCH($O292,Scoring!$AS$29:$AS$361,0)))</f>
        <v/>
      </c>
      <c r="J292" s="7" t="str">
        <f aca="false">IF($O292="","",INDEX(Scoring!$Z$29:$Z$361,MATCH($O292,Scoring!$AS$29:$AS$361,0)))</f>
        <v/>
      </c>
      <c r="K292" s="8" t="str">
        <f aca="false">IF($O292="","",IF(INDEX(Scoring!$D$29:$D$361,MATCH($O292,Scoring!$AS$29:$AS$361,0))="",INDEX(Scoring!$AF$29:$AF$361,MATCH($O292,Scoring!$AS$29:$AS$361,0)),INDEX(Scoring!$D$29:$D$361,MATCH($O292,Scoring!$AS$29:$AS$361,0))))</f>
        <v/>
      </c>
      <c r="L292" s="9" t="str">
        <f aca="false">IF($O292="","",INDEX(Scoring!$L$29:$L$361,MATCH($O292,Scoring!$AS$29:$AS$361,0)))</f>
        <v/>
      </c>
      <c r="M292" s="9" t="str">
        <f aca="false">IF($O292="","",INDEX(Scoring!$N$29:$N$361,MATCH($O292,Scoring!$AS$29:$AS$361,0)))</f>
        <v/>
      </c>
      <c r="N292" s="7" t="str">
        <f aca="false">IF($O292="","",INDEX(Scoring!$AI$29:$AI$361,MATCH($O292,Scoring!$AS$29:$AS$361,0)))</f>
        <v/>
      </c>
      <c r="O292" s="10" t="str">
        <f aca="false">IFERROR(SMALL(Scoring!$AS$29:$AS$361,288),"")</f>
        <v/>
      </c>
    </row>
    <row r="293" customFormat="false" ht="15" hidden="false" customHeight="false" outlineLevel="0" collapsed="false">
      <c r="A293" s="5" t="str">
        <f aca="false">IF($O293="","",INT($O293/1000))</f>
        <v/>
      </c>
      <c r="B293" s="6" t="str">
        <f aca="false">IF($O293="","",INDEX(Scoring!$A$29:$A$361,MATCH($O293,Scoring!$AS$29:$AS$361,0)))</f>
        <v/>
      </c>
      <c r="C293" s="5" t="str">
        <f aca="false">IF($O293="","",IF(INDEX(Scoring!$AM$29:$AM$361,MATCH($O293,Scoring!$AS$29:$AS$361,0))="","–",INDEX(Scoring!$AM$29:$AM$361,MATCH($O293,Scoring!$AS$29:$AS$361,0))))</f>
        <v/>
      </c>
      <c r="D293" s="6" t="str">
        <f aca="false">IF($O293="","",INDEX(Scoring!$AK$29:$AK$361,MATCH($O293,Scoring!$AS$29:$AS$361,0)))</f>
        <v/>
      </c>
      <c r="E293" s="7" t="str">
        <f aca="false">IF($O293="","",INDEX(Scoring!$AL$29:$AL$361,MATCH($O293,Scoring!$AS$29:$AS$361,0)))</f>
        <v/>
      </c>
      <c r="F293" s="6" t="str">
        <f aca="false">IF($O293="","",INDEX(Scoring!$B$29:$B$361,MATCH($O293,Scoring!$AS$29:$AS$361,0)))</f>
        <v/>
      </c>
      <c r="G293" s="7" t="str">
        <f aca="false">IF($O293="","",INDEX(Scoring!$AG$29:$AG$361,MATCH($O293,Scoring!$AS$29:$AS$361,0)))</f>
        <v/>
      </c>
      <c r="H293" s="7" t="str">
        <f aca="false">IF($O293="","",INDEX(Scoring!$C$29:$C$361,MATCH($O293,Scoring!$AS$29:$AS$361,0)))</f>
        <v/>
      </c>
      <c r="I293" s="6" t="str">
        <f aca="false">IF($O293="","",INDEX(Scoring!$I$29:$I$361,MATCH($O293,Scoring!$AS$29:$AS$361,0)))</f>
        <v/>
      </c>
      <c r="J293" s="7" t="str">
        <f aca="false">IF($O293="","",INDEX(Scoring!$Z$29:$Z$361,MATCH($O293,Scoring!$AS$29:$AS$361,0)))</f>
        <v/>
      </c>
      <c r="K293" s="8" t="str">
        <f aca="false">IF($O293="","",IF(INDEX(Scoring!$D$29:$D$361,MATCH($O293,Scoring!$AS$29:$AS$361,0))="",INDEX(Scoring!$AF$29:$AF$361,MATCH($O293,Scoring!$AS$29:$AS$361,0)),INDEX(Scoring!$D$29:$D$361,MATCH($O293,Scoring!$AS$29:$AS$361,0))))</f>
        <v/>
      </c>
      <c r="L293" s="9" t="str">
        <f aca="false">IF($O293="","",INDEX(Scoring!$L$29:$L$361,MATCH($O293,Scoring!$AS$29:$AS$361,0)))</f>
        <v/>
      </c>
      <c r="M293" s="9" t="str">
        <f aca="false">IF($O293="","",INDEX(Scoring!$N$29:$N$361,MATCH($O293,Scoring!$AS$29:$AS$361,0)))</f>
        <v/>
      </c>
      <c r="N293" s="7" t="str">
        <f aca="false">IF($O293="","",INDEX(Scoring!$AI$29:$AI$361,MATCH($O293,Scoring!$AS$29:$AS$361,0)))</f>
        <v/>
      </c>
      <c r="O293" s="10" t="str">
        <f aca="false">IFERROR(SMALL(Scoring!$AS$29:$AS$361,289),"")</f>
        <v/>
      </c>
    </row>
    <row r="294" customFormat="false" ht="15" hidden="false" customHeight="false" outlineLevel="0" collapsed="false">
      <c r="A294" s="5" t="str">
        <f aca="false">IF($O294="","",INT($O294/1000))</f>
        <v/>
      </c>
      <c r="B294" s="6" t="str">
        <f aca="false">IF($O294="","",INDEX(Scoring!$A$29:$A$361,MATCH($O294,Scoring!$AS$29:$AS$361,0)))</f>
        <v/>
      </c>
      <c r="C294" s="5" t="str">
        <f aca="false">IF($O294="","",IF(INDEX(Scoring!$AM$29:$AM$361,MATCH($O294,Scoring!$AS$29:$AS$361,0))="","–",INDEX(Scoring!$AM$29:$AM$361,MATCH($O294,Scoring!$AS$29:$AS$361,0))))</f>
        <v/>
      </c>
      <c r="D294" s="6" t="str">
        <f aca="false">IF($O294="","",INDEX(Scoring!$AK$29:$AK$361,MATCH($O294,Scoring!$AS$29:$AS$361,0)))</f>
        <v/>
      </c>
      <c r="E294" s="7" t="str">
        <f aca="false">IF($O294="","",INDEX(Scoring!$AL$29:$AL$361,MATCH($O294,Scoring!$AS$29:$AS$361,0)))</f>
        <v/>
      </c>
      <c r="F294" s="6" t="str">
        <f aca="false">IF($O294="","",INDEX(Scoring!$B$29:$B$361,MATCH($O294,Scoring!$AS$29:$AS$361,0)))</f>
        <v/>
      </c>
      <c r="G294" s="7" t="str">
        <f aca="false">IF($O294="","",INDEX(Scoring!$AG$29:$AG$361,MATCH($O294,Scoring!$AS$29:$AS$361,0)))</f>
        <v/>
      </c>
      <c r="H294" s="7" t="str">
        <f aca="false">IF($O294="","",INDEX(Scoring!$C$29:$C$361,MATCH($O294,Scoring!$AS$29:$AS$361,0)))</f>
        <v/>
      </c>
      <c r="I294" s="6" t="str">
        <f aca="false">IF($O294="","",INDEX(Scoring!$I$29:$I$361,MATCH($O294,Scoring!$AS$29:$AS$361,0)))</f>
        <v/>
      </c>
      <c r="J294" s="7" t="str">
        <f aca="false">IF($O294="","",INDEX(Scoring!$Z$29:$Z$361,MATCH($O294,Scoring!$AS$29:$AS$361,0)))</f>
        <v/>
      </c>
      <c r="K294" s="8" t="str">
        <f aca="false">IF($O294="","",IF(INDEX(Scoring!$D$29:$D$361,MATCH($O294,Scoring!$AS$29:$AS$361,0))="",INDEX(Scoring!$AF$29:$AF$361,MATCH($O294,Scoring!$AS$29:$AS$361,0)),INDEX(Scoring!$D$29:$D$361,MATCH($O294,Scoring!$AS$29:$AS$361,0))))</f>
        <v/>
      </c>
      <c r="L294" s="9" t="str">
        <f aca="false">IF($O294="","",INDEX(Scoring!$L$29:$L$361,MATCH($O294,Scoring!$AS$29:$AS$361,0)))</f>
        <v/>
      </c>
      <c r="M294" s="9" t="str">
        <f aca="false">IF($O294="","",INDEX(Scoring!$N$29:$N$361,MATCH($O294,Scoring!$AS$29:$AS$361,0)))</f>
        <v/>
      </c>
      <c r="N294" s="7" t="str">
        <f aca="false">IF($O294="","",INDEX(Scoring!$AI$29:$AI$361,MATCH($O294,Scoring!$AS$29:$AS$361,0)))</f>
        <v/>
      </c>
      <c r="O294" s="10" t="str">
        <f aca="false">IFERROR(SMALL(Scoring!$AS$29:$AS$361,290),"")</f>
        <v/>
      </c>
    </row>
    <row r="295" customFormat="false" ht="15" hidden="false" customHeight="false" outlineLevel="0" collapsed="false">
      <c r="A295" s="5" t="str">
        <f aca="false">IF($O295="","",INT($O295/1000))</f>
        <v/>
      </c>
      <c r="B295" s="6" t="str">
        <f aca="false">IF($O295="","",INDEX(Scoring!$A$29:$A$361,MATCH($O295,Scoring!$AS$29:$AS$361,0)))</f>
        <v/>
      </c>
      <c r="C295" s="5" t="str">
        <f aca="false">IF($O295="","",IF(INDEX(Scoring!$AM$29:$AM$361,MATCH($O295,Scoring!$AS$29:$AS$361,0))="","–",INDEX(Scoring!$AM$29:$AM$361,MATCH($O295,Scoring!$AS$29:$AS$361,0))))</f>
        <v/>
      </c>
      <c r="D295" s="6" t="str">
        <f aca="false">IF($O295="","",INDEX(Scoring!$AK$29:$AK$361,MATCH($O295,Scoring!$AS$29:$AS$361,0)))</f>
        <v/>
      </c>
      <c r="E295" s="7" t="str">
        <f aca="false">IF($O295="","",INDEX(Scoring!$AL$29:$AL$361,MATCH($O295,Scoring!$AS$29:$AS$361,0)))</f>
        <v/>
      </c>
      <c r="F295" s="6" t="str">
        <f aca="false">IF($O295="","",INDEX(Scoring!$B$29:$B$361,MATCH($O295,Scoring!$AS$29:$AS$361,0)))</f>
        <v/>
      </c>
      <c r="G295" s="7" t="str">
        <f aca="false">IF($O295="","",INDEX(Scoring!$AG$29:$AG$361,MATCH($O295,Scoring!$AS$29:$AS$361,0)))</f>
        <v/>
      </c>
      <c r="H295" s="7" t="str">
        <f aca="false">IF($O295="","",INDEX(Scoring!$C$29:$C$361,MATCH($O295,Scoring!$AS$29:$AS$361,0)))</f>
        <v/>
      </c>
      <c r="I295" s="6" t="str">
        <f aca="false">IF($O295="","",INDEX(Scoring!$I$29:$I$361,MATCH($O295,Scoring!$AS$29:$AS$361,0)))</f>
        <v/>
      </c>
      <c r="J295" s="7" t="str">
        <f aca="false">IF($O295="","",INDEX(Scoring!$Z$29:$Z$361,MATCH($O295,Scoring!$AS$29:$AS$361,0)))</f>
        <v/>
      </c>
      <c r="K295" s="8" t="str">
        <f aca="false">IF($O295="","",IF(INDEX(Scoring!$D$29:$D$361,MATCH($O295,Scoring!$AS$29:$AS$361,0))="",INDEX(Scoring!$AF$29:$AF$361,MATCH($O295,Scoring!$AS$29:$AS$361,0)),INDEX(Scoring!$D$29:$D$361,MATCH($O295,Scoring!$AS$29:$AS$361,0))))</f>
        <v/>
      </c>
      <c r="L295" s="9" t="str">
        <f aca="false">IF($O295="","",INDEX(Scoring!$L$29:$L$361,MATCH($O295,Scoring!$AS$29:$AS$361,0)))</f>
        <v/>
      </c>
      <c r="M295" s="9" t="str">
        <f aca="false">IF($O295="","",INDEX(Scoring!$N$29:$N$361,MATCH($O295,Scoring!$AS$29:$AS$361,0)))</f>
        <v/>
      </c>
      <c r="N295" s="7" t="str">
        <f aca="false">IF($O295="","",INDEX(Scoring!$AI$29:$AI$361,MATCH($O295,Scoring!$AS$29:$AS$361,0)))</f>
        <v/>
      </c>
      <c r="O295" s="10" t="str">
        <f aca="false">IFERROR(SMALL(Scoring!$AS$29:$AS$361,291),"")</f>
        <v/>
      </c>
    </row>
    <row r="296" customFormat="false" ht="15" hidden="false" customHeight="false" outlineLevel="0" collapsed="false">
      <c r="A296" s="5" t="str">
        <f aca="false">IF($O296="","",INT($O296/1000))</f>
        <v/>
      </c>
      <c r="B296" s="6" t="str">
        <f aca="false">IF($O296="","",INDEX(Scoring!$A$29:$A$361,MATCH($O296,Scoring!$AS$29:$AS$361,0)))</f>
        <v/>
      </c>
      <c r="C296" s="5" t="str">
        <f aca="false">IF($O296="","",IF(INDEX(Scoring!$AM$29:$AM$361,MATCH($O296,Scoring!$AS$29:$AS$361,0))="","–",INDEX(Scoring!$AM$29:$AM$361,MATCH($O296,Scoring!$AS$29:$AS$361,0))))</f>
        <v/>
      </c>
      <c r="D296" s="6" t="str">
        <f aca="false">IF($O296="","",INDEX(Scoring!$AK$29:$AK$361,MATCH($O296,Scoring!$AS$29:$AS$361,0)))</f>
        <v/>
      </c>
      <c r="E296" s="7" t="str">
        <f aca="false">IF($O296="","",INDEX(Scoring!$AL$29:$AL$361,MATCH($O296,Scoring!$AS$29:$AS$361,0)))</f>
        <v/>
      </c>
      <c r="F296" s="6" t="str">
        <f aca="false">IF($O296="","",INDEX(Scoring!$B$29:$B$361,MATCH($O296,Scoring!$AS$29:$AS$361,0)))</f>
        <v/>
      </c>
      <c r="G296" s="7" t="str">
        <f aca="false">IF($O296="","",INDEX(Scoring!$AG$29:$AG$361,MATCH($O296,Scoring!$AS$29:$AS$361,0)))</f>
        <v/>
      </c>
      <c r="H296" s="7" t="str">
        <f aca="false">IF($O296="","",INDEX(Scoring!$C$29:$C$361,MATCH($O296,Scoring!$AS$29:$AS$361,0)))</f>
        <v/>
      </c>
      <c r="I296" s="6" t="str">
        <f aca="false">IF($O296="","",INDEX(Scoring!$I$29:$I$361,MATCH($O296,Scoring!$AS$29:$AS$361,0)))</f>
        <v/>
      </c>
      <c r="J296" s="7" t="str">
        <f aca="false">IF($O296="","",INDEX(Scoring!$Z$29:$Z$361,MATCH($O296,Scoring!$AS$29:$AS$361,0)))</f>
        <v/>
      </c>
      <c r="K296" s="8" t="str">
        <f aca="false">IF($O296="","",IF(INDEX(Scoring!$D$29:$D$361,MATCH($O296,Scoring!$AS$29:$AS$361,0))="",INDEX(Scoring!$AF$29:$AF$361,MATCH($O296,Scoring!$AS$29:$AS$361,0)),INDEX(Scoring!$D$29:$D$361,MATCH($O296,Scoring!$AS$29:$AS$361,0))))</f>
        <v/>
      </c>
      <c r="L296" s="9" t="str">
        <f aca="false">IF($O296="","",INDEX(Scoring!$L$29:$L$361,MATCH($O296,Scoring!$AS$29:$AS$361,0)))</f>
        <v/>
      </c>
      <c r="M296" s="9" t="str">
        <f aca="false">IF($O296="","",INDEX(Scoring!$N$29:$N$361,MATCH($O296,Scoring!$AS$29:$AS$361,0)))</f>
        <v/>
      </c>
      <c r="N296" s="7" t="str">
        <f aca="false">IF($O296="","",INDEX(Scoring!$AI$29:$AI$361,MATCH($O296,Scoring!$AS$29:$AS$361,0)))</f>
        <v/>
      </c>
      <c r="O296" s="10" t="str">
        <f aca="false">IFERROR(SMALL(Scoring!$AS$29:$AS$361,292),"")</f>
        <v/>
      </c>
    </row>
    <row r="297" customFormat="false" ht="15" hidden="false" customHeight="false" outlineLevel="0" collapsed="false">
      <c r="A297" s="5" t="str">
        <f aca="false">IF($O297="","",INT($O297/1000))</f>
        <v/>
      </c>
      <c r="B297" s="6" t="str">
        <f aca="false">IF($O297="","",INDEX(Scoring!$A$29:$A$361,MATCH($O297,Scoring!$AS$29:$AS$361,0)))</f>
        <v/>
      </c>
      <c r="C297" s="5" t="str">
        <f aca="false">IF($O297="","",IF(INDEX(Scoring!$AM$29:$AM$361,MATCH($O297,Scoring!$AS$29:$AS$361,0))="","–",INDEX(Scoring!$AM$29:$AM$361,MATCH($O297,Scoring!$AS$29:$AS$361,0))))</f>
        <v/>
      </c>
      <c r="D297" s="6" t="str">
        <f aca="false">IF($O297="","",INDEX(Scoring!$AK$29:$AK$361,MATCH($O297,Scoring!$AS$29:$AS$361,0)))</f>
        <v/>
      </c>
      <c r="E297" s="7" t="str">
        <f aca="false">IF($O297="","",INDEX(Scoring!$AL$29:$AL$361,MATCH($O297,Scoring!$AS$29:$AS$361,0)))</f>
        <v/>
      </c>
      <c r="F297" s="6" t="str">
        <f aca="false">IF($O297="","",INDEX(Scoring!$B$29:$B$361,MATCH($O297,Scoring!$AS$29:$AS$361,0)))</f>
        <v/>
      </c>
      <c r="G297" s="7" t="str">
        <f aca="false">IF($O297="","",INDEX(Scoring!$AG$29:$AG$361,MATCH($O297,Scoring!$AS$29:$AS$361,0)))</f>
        <v/>
      </c>
      <c r="H297" s="7" t="str">
        <f aca="false">IF($O297="","",INDEX(Scoring!$C$29:$C$361,MATCH($O297,Scoring!$AS$29:$AS$361,0)))</f>
        <v/>
      </c>
      <c r="I297" s="6" t="str">
        <f aca="false">IF($O297="","",INDEX(Scoring!$I$29:$I$361,MATCH($O297,Scoring!$AS$29:$AS$361,0)))</f>
        <v/>
      </c>
      <c r="J297" s="7" t="str">
        <f aca="false">IF($O297="","",INDEX(Scoring!$Z$29:$Z$361,MATCH($O297,Scoring!$AS$29:$AS$361,0)))</f>
        <v/>
      </c>
      <c r="K297" s="8" t="str">
        <f aca="false">IF($O297="","",IF(INDEX(Scoring!$D$29:$D$361,MATCH($O297,Scoring!$AS$29:$AS$361,0))="",INDEX(Scoring!$AF$29:$AF$361,MATCH($O297,Scoring!$AS$29:$AS$361,0)),INDEX(Scoring!$D$29:$D$361,MATCH($O297,Scoring!$AS$29:$AS$361,0))))</f>
        <v/>
      </c>
      <c r="L297" s="9" t="str">
        <f aca="false">IF($O297="","",INDEX(Scoring!$L$29:$L$361,MATCH($O297,Scoring!$AS$29:$AS$361,0)))</f>
        <v/>
      </c>
      <c r="M297" s="9" t="str">
        <f aca="false">IF($O297="","",INDEX(Scoring!$N$29:$N$361,MATCH($O297,Scoring!$AS$29:$AS$361,0)))</f>
        <v/>
      </c>
      <c r="N297" s="7" t="str">
        <f aca="false">IF($O297="","",INDEX(Scoring!$AI$29:$AI$361,MATCH($O297,Scoring!$AS$29:$AS$361,0)))</f>
        <v/>
      </c>
      <c r="O297" s="10" t="str">
        <f aca="false">IFERROR(SMALL(Scoring!$AS$29:$AS$361,293),"")</f>
        <v/>
      </c>
    </row>
    <row r="298" customFormat="false" ht="15" hidden="false" customHeight="false" outlineLevel="0" collapsed="false">
      <c r="A298" s="5" t="str">
        <f aca="false">IF($O298="","",INT($O298/1000))</f>
        <v/>
      </c>
      <c r="B298" s="6" t="str">
        <f aca="false">IF($O298="","",INDEX(Scoring!$A$29:$A$361,MATCH($O298,Scoring!$AS$29:$AS$361,0)))</f>
        <v/>
      </c>
      <c r="C298" s="5" t="str">
        <f aca="false">IF($O298="","",IF(INDEX(Scoring!$AM$29:$AM$361,MATCH($O298,Scoring!$AS$29:$AS$361,0))="","–",INDEX(Scoring!$AM$29:$AM$361,MATCH($O298,Scoring!$AS$29:$AS$361,0))))</f>
        <v/>
      </c>
      <c r="D298" s="6" t="str">
        <f aca="false">IF($O298="","",INDEX(Scoring!$AK$29:$AK$361,MATCH($O298,Scoring!$AS$29:$AS$361,0)))</f>
        <v/>
      </c>
      <c r="E298" s="7" t="str">
        <f aca="false">IF($O298="","",INDEX(Scoring!$AL$29:$AL$361,MATCH($O298,Scoring!$AS$29:$AS$361,0)))</f>
        <v/>
      </c>
      <c r="F298" s="6" t="str">
        <f aca="false">IF($O298="","",INDEX(Scoring!$B$29:$B$361,MATCH($O298,Scoring!$AS$29:$AS$361,0)))</f>
        <v/>
      </c>
      <c r="G298" s="7" t="str">
        <f aca="false">IF($O298="","",INDEX(Scoring!$AG$29:$AG$361,MATCH($O298,Scoring!$AS$29:$AS$361,0)))</f>
        <v/>
      </c>
      <c r="H298" s="7" t="str">
        <f aca="false">IF($O298="","",INDEX(Scoring!$C$29:$C$361,MATCH($O298,Scoring!$AS$29:$AS$361,0)))</f>
        <v/>
      </c>
      <c r="I298" s="6" t="str">
        <f aca="false">IF($O298="","",INDEX(Scoring!$I$29:$I$361,MATCH($O298,Scoring!$AS$29:$AS$361,0)))</f>
        <v/>
      </c>
      <c r="J298" s="7" t="str">
        <f aca="false">IF($O298="","",INDEX(Scoring!$Z$29:$Z$361,MATCH($O298,Scoring!$AS$29:$AS$361,0)))</f>
        <v/>
      </c>
      <c r="K298" s="8" t="str">
        <f aca="false">IF($O298="","",IF(INDEX(Scoring!$D$29:$D$361,MATCH($O298,Scoring!$AS$29:$AS$361,0))="",INDEX(Scoring!$AF$29:$AF$361,MATCH($O298,Scoring!$AS$29:$AS$361,0)),INDEX(Scoring!$D$29:$D$361,MATCH($O298,Scoring!$AS$29:$AS$361,0))))</f>
        <v/>
      </c>
      <c r="L298" s="9" t="str">
        <f aca="false">IF($O298="","",INDEX(Scoring!$L$29:$L$361,MATCH($O298,Scoring!$AS$29:$AS$361,0)))</f>
        <v/>
      </c>
      <c r="M298" s="9" t="str">
        <f aca="false">IF($O298="","",INDEX(Scoring!$N$29:$N$361,MATCH($O298,Scoring!$AS$29:$AS$361,0)))</f>
        <v/>
      </c>
      <c r="N298" s="7" t="str">
        <f aca="false">IF($O298="","",INDEX(Scoring!$AI$29:$AI$361,MATCH($O298,Scoring!$AS$29:$AS$361,0)))</f>
        <v/>
      </c>
      <c r="O298" s="10" t="str">
        <f aca="false">IFERROR(SMALL(Scoring!$AS$29:$AS$361,294),"")</f>
        <v/>
      </c>
    </row>
    <row r="299" customFormat="false" ht="15" hidden="false" customHeight="false" outlineLevel="0" collapsed="false">
      <c r="A299" s="5" t="str">
        <f aca="false">IF($O299="","",INT($O299/1000))</f>
        <v/>
      </c>
      <c r="B299" s="6" t="str">
        <f aca="false">IF($O299="","",INDEX(Scoring!$A$29:$A$361,MATCH($O299,Scoring!$AS$29:$AS$361,0)))</f>
        <v/>
      </c>
      <c r="C299" s="5" t="str">
        <f aca="false">IF($O299="","",IF(INDEX(Scoring!$AM$29:$AM$361,MATCH($O299,Scoring!$AS$29:$AS$361,0))="","–",INDEX(Scoring!$AM$29:$AM$361,MATCH($O299,Scoring!$AS$29:$AS$361,0))))</f>
        <v/>
      </c>
      <c r="D299" s="6" t="str">
        <f aca="false">IF($O299="","",INDEX(Scoring!$AK$29:$AK$361,MATCH($O299,Scoring!$AS$29:$AS$361,0)))</f>
        <v/>
      </c>
      <c r="E299" s="7" t="str">
        <f aca="false">IF($O299="","",INDEX(Scoring!$AL$29:$AL$361,MATCH($O299,Scoring!$AS$29:$AS$361,0)))</f>
        <v/>
      </c>
      <c r="F299" s="6" t="str">
        <f aca="false">IF($O299="","",INDEX(Scoring!$B$29:$B$361,MATCH($O299,Scoring!$AS$29:$AS$361,0)))</f>
        <v/>
      </c>
      <c r="G299" s="7" t="str">
        <f aca="false">IF($O299="","",INDEX(Scoring!$AG$29:$AG$361,MATCH($O299,Scoring!$AS$29:$AS$361,0)))</f>
        <v/>
      </c>
      <c r="H299" s="7" t="str">
        <f aca="false">IF($O299="","",INDEX(Scoring!$C$29:$C$361,MATCH($O299,Scoring!$AS$29:$AS$361,0)))</f>
        <v/>
      </c>
      <c r="I299" s="6" t="str">
        <f aca="false">IF($O299="","",INDEX(Scoring!$I$29:$I$361,MATCH($O299,Scoring!$AS$29:$AS$361,0)))</f>
        <v/>
      </c>
      <c r="J299" s="7" t="str">
        <f aca="false">IF($O299="","",INDEX(Scoring!$Z$29:$Z$361,MATCH($O299,Scoring!$AS$29:$AS$361,0)))</f>
        <v/>
      </c>
      <c r="K299" s="8" t="str">
        <f aca="false">IF($O299="","",IF(INDEX(Scoring!$D$29:$D$361,MATCH($O299,Scoring!$AS$29:$AS$361,0))="",INDEX(Scoring!$AF$29:$AF$361,MATCH($O299,Scoring!$AS$29:$AS$361,0)),INDEX(Scoring!$D$29:$D$361,MATCH($O299,Scoring!$AS$29:$AS$361,0))))</f>
        <v/>
      </c>
      <c r="L299" s="9" t="str">
        <f aca="false">IF($O299="","",INDEX(Scoring!$L$29:$L$361,MATCH($O299,Scoring!$AS$29:$AS$361,0)))</f>
        <v/>
      </c>
      <c r="M299" s="9" t="str">
        <f aca="false">IF($O299="","",INDEX(Scoring!$N$29:$N$361,MATCH($O299,Scoring!$AS$29:$AS$361,0)))</f>
        <v/>
      </c>
      <c r="N299" s="7" t="str">
        <f aca="false">IF($O299="","",INDEX(Scoring!$AI$29:$AI$361,MATCH($O299,Scoring!$AS$29:$AS$361,0)))</f>
        <v/>
      </c>
      <c r="O299" s="10" t="str">
        <f aca="false">IFERROR(SMALL(Scoring!$AS$29:$AS$361,295),"")</f>
        <v/>
      </c>
    </row>
    <row r="300" customFormat="false" ht="15" hidden="false" customHeight="false" outlineLevel="0" collapsed="false">
      <c r="A300" s="5" t="str">
        <f aca="false">IF($O300="","",INT($O300/1000))</f>
        <v/>
      </c>
      <c r="B300" s="6" t="str">
        <f aca="false">IF($O300="","",INDEX(Scoring!$A$29:$A$361,MATCH($O300,Scoring!$AS$29:$AS$361,0)))</f>
        <v/>
      </c>
      <c r="C300" s="5" t="str">
        <f aca="false">IF($O300="","",IF(INDEX(Scoring!$AM$29:$AM$361,MATCH($O300,Scoring!$AS$29:$AS$361,0))="","–",INDEX(Scoring!$AM$29:$AM$361,MATCH($O300,Scoring!$AS$29:$AS$361,0))))</f>
        <v/>
      </c>
      <c r="D300" s="6" t="str">
        <f aca="false">IF($O300="","",INDEX(Scoring!$AK$29:$AK$361,MATCH($O300,Scoring!$AS$29:$AS$361,0)))</f>
        <v/>
      </c>
      <c r="E300" s="7" t="str">
        <f aca="false">IF($O300="","",INDEX(Scoring!$AL$29:$AL$361,MATCH($O300,Scoring!$AS$29:$AS$361,0)))</f>
        <v/>
      </c>
      <c r="F300" s="6" t="str">
        <f aca="false">IF($O300="","",INDEX(Scoring!$B$29:$B$361,MATCH($O300,Scoring!$AS$29:$AS$361,0)))</f>
        <v/>
      </c>
      <c r="G300" s="7" t="str">
        <f aca="false">IF($O300="","",INDEX(Scoring!$AG$29:$AG$361,MATCH($O300,Scoring!$AS$29:$AS$361,0)))</f>
        <v/>
      </c>
      <c r="H300" s="7" t="str">
        <f aca="false">IF($O300="","",INDEX(Scoring!$C$29:$C$361,MATCH($O300,Scoring!$AS$29:$AS$361,0)))</f>
        <v/>
      </c>
      <c r="I300" s="6" t="str">
        <f aca="false">IF($O300="","",INDEX(Scoring!$I$29:$I$361,MATCH($O300,Scoring!$AS$29:$AS$361,0)))</f>
        <v/>
      </c>
      <c r="J300" s="7" t="str">
        <f aca="false">IF($O300="","",INDEX(Scoring!$Z$29:$Z$361,MATCH($O300,Scoring!$AS$29:$AS$361,0)))</f>
        <v/>
      </c>
      <c r="K300" s="8" t="str">
        <f aca="false">IF($O300="","",IF(INDEX(Scoring!$D$29:$D$361,MATCH($O300,Scoring!$AS$29:$AS$361,0))="",INDEX(Scoring!$AF$29:$AF$361,MATCH($O300,Scoring!$AS$29:$AS$361,0)),INDEX(Scoring!$D$29:$D$361,MATCH($O300,Scoring!$AS$29:$AS$361,0))))</f>
        <v/>
      </c>
      <c r="L300" s="9" t="str">
        <f aca="false">IF($O300="","",INDEX(Scoring!$L$29:$L$361,MATCH($O300,Scoring!$AS$29:$AS$361,0)))</f>
        <v/>
      </c>
      <c r="M300" s="9" t="str">
        <f aca="false">IF($O300="","",INDEX(Scoring!$N$29:$N$361,MATCH($O300,Scoring!$AS$29:$AS$361,0)))</f>
        <v/>
      </c>
      <c r="N300" s="7" t="str">
        <f aca="false">IF($O300="","",INDEX(Scoring!$AI$29:$AI$361,MATCH($O300,Scoring!$AS$29:$AS$361,0)))</f>
        <v/>
      </c>
      <c r="O300" s="10" t="str">
        <f aca="false">IFERROR(SMALL(Scoring!$AS$29:$AS$361,296),"")</f>
        <v/>
      </c>
    </row>
    <row r="301" customFormat="false" ht="15" hidden="false" customHeight="false" outlineLevel="0" collapsed="false">
      <c r="A301" s="5" t="str">
        <f aca="false">IF($O301="","",INT($O301/1000))</f>
        <v/>
      </c>
      <c r="B301" s="6" t="str">
        <f aca="false">IF($O301="","",INDEX(Scoring!$A$29:$A$361,MATCH($O301,Scoring!$AS$29:$AS$361,0)))</f>
        <v/>
      </c>
      <c r="C301" s="5" t="str">
        <f aca="false">IF($O301="","",IF(INDEX(Scoring!$AM$29:$AM$361,MATCH($O301,Scoring!$AS$29:$AS$361,0))="","–",INDEX(Scoring!$AM$29:$AM$361,MATCH($O301,Scoring!$AS$29:$AS$361,0))))</f>
        <v/>
      </c>
      <c r="D301" s="6" t="str">
        <f aca="false">IF($O301="","",INDEX(Scoring!$AK$29:$AK$361,MATCH($O301,Scoring!$AS$29:$AS$361,0)))</f>
        <v/>
      </c>
      <c r="E301" s="7" t="str">
        <f aca="false">IF($O301="","",INDEX(Scoring!$AL$29:$AL$361,MATCH($O301,Scoring!$AS$29:$AS$361,0)))</f>
        <v/>
      </c>
      <c r="F301" s="6" t="str">
        <f aca="false">IF($O301="","",INDEX(Scoring!$B$29:$B$361,MATCH($O301,Scoring!$AS$29:$AS$361,0)))</f>
        <v/>
      </c>
      <c r="G301" s="7" t="str">
        <f aca="false">IF($O301="","",INDEX(Scoring!$AG$29:$AG$361,MATCH($O301,Scoring!$AS$29:$AS$361,0)))</f>
        <v/>
      </c>
      <c r="H301" s="7" t="str">
        <f aca="false">IF($O301="","",INDEX(Scoring!$C$29:$C$361,MATCH($O301,Scoring!$AS$29:$AS$361,0)))</f>
        <v/>
      </c>
      <c r="I301" s="6" t="str">
        <f aca="false">IF($O301="","",INDEX(Scoring!$I$29:$I$361,MATCH($O301,Scoring!$AS$29:$AS$361,0)))</f>
        <v/>
      </c>
      <c r="J301" s="7" t="str">
        <f aca="false">IF($O301="","",INDEX(Scoring!$Z$29:$Z$361,MATCH($O301,Scoring!$AS$29:$AS$361,0)))</f>
        <v/>
      </c>
      <c r="K301" s="8" t="str">
        <f aca="false">IF($O301="","",IF(INDEX(Scoring!$D$29:$D$361,MATCH($O301,Scoring!$AS$29:$AS$361,0))="",INDEX(Scoring!$AF$29:$AF$361,MATCH($O301,Scoring!$AS$29:$AS$361,0)),INDEX(Scoring!$D$29:$D$361,MATCH($O301,Scoring!$AS$29:$AS$361,0))))</f>
        <v/>
      </c>
      <c r="L301" s="9" t="str">
        <f aca="false">IF($O301="","",INDEX(Scoring!$L$29:$L$361,MATCH($O301,Scoring!$AS$29:$AS$361,0)))</f>
        <v/>
      </c>
      <c r="M301" s="9" t="str">
        <f aca="false">IF($O301="","",INDEX(Scoring!$N$29:$N$361,MATCH($O301,Scoring!$AS$29:$AS$361,0)))</f>
        <v/>
      </c>
      <c r="N301" s="7" t="str">
        <f aca="false">IF($O301="","",INDEX(Scoring!$AI$29:$AI$361,MATCH($O301,Scoring!$AS$29:$AS$361,0)))</f>
        <v/>
      </c>
      <c r="O301" s="10" t="str">
        <f aca="false">IFERROR(SMALL(Scoring!$AS$29:$AS$361,297),"")</f>
        <v/>
      </c>
    </row>
    <row r="302" customFormat="false" ht="15" hidden="false" customHeight="false" outlineLevel="0" collapsed="false">
      <c r="A302" s="5" t="str">
        <f aca="false">IF($O302="","",INT($O302/1000))</f>
        <v/>
      </c>
      <c r="B302" s="6" t="str">
        <f aca="false">IF($O302="","",INDEX(Scoring!$A$29:$A$361,MATCH($O302,Scoring!$AS$29:$AS$361,0)))</f>
        <v/>
      </c>
      <c r="C302" s="5" t="str">
        <f aca="false">IF($O302="","",IF(INDEX(Scoring!$AM$29:$AM$361,MATCH($O302,Scoring!$AS$29:$AS$361,0))="","–",INDEX(Scoring!$AM$29:$AM$361,MATCH($O302,Scoring!$AS$29:$AS$361,0))))</f>
        <v/>
      </c>
      <c r="D302" s="6" t="str">
        <f aca="false">IF($O302="","",INDEX(Scoring!$AK$29:$AK$361,MATCH($O302,Scoring!$AS$29:$AS$361,0)))</f>
        <v/>
      </c>
      <c r="E302" s="7" t="str">
        <f aca="false">IF($O302="","",INDEX(Scoring!$AL$29:$AL$361,MATCH($O302,Scoring!$AS$29:$AS$361,0)))</f>
        <v/>
      </c>
      <c r="F302" s="6" t="str">
        <f aca="false">IF($O302="","",INDEX(Scoring!$B$29:$B$361,MATCH($O302,Scoring!$AS$29:$AS$361,0)))</f>
        <v/>
      </c>
      <c r="G302" s="7" t="str">
        <f aca="false">IF($O302="","",INDEX(Scoring!$AG$29:$AG$361,MATCH($O302,Scoring!$AS$29:$AS$361,0)))</f>
        <v/>
      </c>
      <c r="H302" s="7" t="str">
        <f aca="false">IF($O302="","",INDEX(Scoring!$C$29:$C$361,MATCH($O302,Scoring!$AS$29:$AS$361,0)))</f>
        <v/>
      </c>
      <c r="I302" s="6" t="str">
        <f aca="false">IF($O302="","",INDEX(Scoring!$I$29:$I$361,MATCH($O302,Scoring!$AS$29:$AS$361,0)))</f>
        <v/>
      </c>
      <c r="J302" s="7" t="str">
        <f aca="false">IF($O302="","",INDEX(Scoring!$Z$29:$Z$361,MATCH($O302,Scoring!$AS$29:$AS$361,0)))</f>
        <v/>
      </c>
      <c r="K302" s="8" t="str">
        <f aca="false">IF($O302="","",IF(INDEX(Scoring!$D$29:$D$361,MATCH($O302,Scoring!$AS$29:$AS$361,0))="",INDEX(Scoring!$AF$29:$AF$361,MATCH($O302,Scoring!$AS$29:$AS$361,0)),INDEX(Scoring!$D$29:$D$361,MATCH($O302,Scoring!$AS$29:$AS$361,0))))</f>
        <v/>
      </c>
      <c r="L302" s="9" t="str">
        <f aca="false">IF($O302="","",INDEX(Scoring!$L$29:$L$361,MATCH($O302,Scoring!$AS$29:$AS$361,0)))</f>
        <v/>
      </c>
      <c r="M302" s="9" t="str">
        <f aca="false">IF($O302="","",INDEX(Scoring!$N$29:$N$361,MATCH($O302,Scoring!$AS$29:$AS$361,0)))</f>
        <v/>
      </c>
      <c r="N302" s="7" t="str">
        <f aca="false">IF($O302="","",INDEX(Scoring!$AI$29:$AI$361,MATCH($O302,Scoring!$AS$29:$AS$361,0)))</f>
        <v/>
      </c>
      <c r="O302" s="10" t="str">
        <f aca="false">IFERROR(SMALL(Scoring!$AS$29:$AS$361,298),"")</f>
        <v/>
      </c>
    </row>
    <row r="303" customFormat="false" ht="15" hidden="false" customHeight="false" outlineLevel="0" collapsed="false">
      <c r="A303" s="5" t="str">
        <f aca="false">IF($O303="","",INT($O303/1000))</f>
        <v/>
      </c>
      <c r="B303" s="6" t="str">
        <f aca="false">IF($O303="","",INDEX(Scoring!$A$29:$A$361,MATCH($O303,Scoring!$AS$29:$AS$361,0)))</f>
        <v/>
      </c>
      <c r="C303" s="5" t="str">
        <f aca="false">IF($O303="","",IF(INDEX(Scoring!$AM$29:$AM$361,MATCH($O303,Scoring!$AS$29:$AS$361,0))="","–",INDEX(Scoring!$AM$29:$AM$361,MATCH($O303,Scoring!$AS$29:$AS$361,0))))</f>
        <v/>
      </c>
      <c r="D303" s="6" t="str">
        <f aca="false">IF($O303="","",INDEX(Scoring!$AK$29:$AK$361,MATCH($O303,Scoring!$AS$29:$AS$361,0)))</f>
        <v/>
      </c>
      <c r="E303" s="7" t="str">
        <f aca="false">IF($O303="","",INDEX(Scoring!$AL$29:$AL$361,MATCH($O303,Scoring!$AS$29:$AS$361,0)))</f>
        <v/>
      </c>
      <c r="F303" s="6" t="str">
        <f aca="false">IF($O303="","",INDEX(Scoring!$B$29:$B$361,MATCH($O303,Scoring!$AS$29:$AS$361,0)))</f>
        <v/>
      </c>
      <c r="G303" s="7" t="str">
        <f aca="false">IF($O303="","",INDEX(Scoring!$AG$29:$AG$361,MATCH($O303,Scoring!$AS$29:$AS$361,0)))</f>
        <v/>
      </c>
      <c r="H303" s="7" t="str">
        <f aca="false">IF($O303="","",INDEX(Scoring!$C$29:$C$361,MATCH($O303,Scoring!$AS$29:$AS$361,0)))</f>
        <v/>
      </c>
      <c r="I303" s="6" t="str">
        <f aca="false">IF($O303="","",INDEX(Scoring!$I$29:$I$361,MATCH($O303,Scoring!$AS$29:$AS$361,0)))</f>
        <v/>
      </c>
      <c r="J303" s="7" t="str">
        <f aca="false">IF($O303="","",INDEX(Scoring!$Z$29:$Z$361,MATCH($O303,Scoring!$AS$29:$AS$361,0)))</f>
        <v/>
      </c>
      <c r="K303" s="8" t="str">
        <f aca="false">IF($O303="","",IF(INDEX(Scoring!$D$29:$D$361,MATCH($O303,Scoring!$AS$29:$AS$361,0))="",INDEX(Scoring!$AF$29:$AF$361,MATCH($O303,Scoring!$AS$29:$AS$361,0)),INDEX(Scoring!$D$29:$D$361,MATCH($O303,Scoring!$AS$29:$AS$361,0))))</f>
        <v/>
      </c>
      <c r="L303" s="9" t="str">
        <f aca="false">IF($O303="","",INDEX(Scoring!$L$29:$L$361,MATCH($O303,Scoring!$AS$29:$AS$361,0)))</f>
        <v/>
      </c>
      <c r="M303" s="9" t="str">
        <f aca="false">IF($O303="","",INDEX(Scoring!$N$29:$N$361,MATCH($O303,Scoring!$AS$29:$AS$361,0)))</f>
        <v/>
      </c>
      <c r="N303" s="7" t="str">
        <f aca="false">IF($O303="","",INDEX(Scoring!$AI$29:$AI$361,MATCH($O303,Scoring!$AS$29:$AS$361,0)))</f>
        <v/>
      </c>
      <c r="O303" s="10" t="str">
        <f aca="false">IFERROR(SMALL(Scoring!$AS$29:$AS$361,299),"")</f>
        <v/>
      </c>
    </row>
    <row r="304" customFormat="false" ht="15" hidden="false" customHeight="false" outlineLevel="0" collapsed="false">
      <c r="A304" s="5" t="str">
        <f aca="false">IF($O304="","",INT($O304/1000))</f>
        <v/>
      </c>
      <c r="B304" s="6" t="str">
        <f aca="false">IF($O304="","",INDEX(Scoring!$A$29:$A$361,MATCH($O304,Scoring!$AS$29:$AS$361,0)))</f>
        <v/>
      </c>
      <c r="C304" s="5" t="str">
        <f aca="false">IF($O304="","",IF(INDEX(Scoring!$AM$29:$AM$361,MATCH($O304,Scoring!$AS$29:$AS$361,0))="","–",INDEX(Scoring!$AM$29:$AM$361,MATCH($O304,Scoring!$AS$29:$AS$361,0))))</f>
        <v/>
      </c>
      <c r="D304" s="6" t="str">
        <f aca="false">IF($O304="","",INDEX(Scoring!$AK$29:$AK$361,MATCH($O304,Scoring!$AS$29:$AS$361,0)))</f>
        <v/>
      </c>
      <c r="E304" s="7" t="str">
        <f aca="false">IF($O304="","",INDEX(Scoring!$AL$29:$AL$361,MATCH($O304,Scoring!$AS$29:$AS$361,0)))</f>
        <v/>
      </c>
      <c r="F304" s="6" t="str">
        <f aca="false">IF($O304="","",INDEX(Scoring!$B$29:$B$361,MATCH($O304,Scoring!$AS$29:$AS$361,0)))</f>
        <v/>
      </c>
      <c r="G304" s="7" t="str">
        <f aca="false">IF($O304="","",INDEX(Scoring!$AG$29:$AG$361,MATCH($O304,Scoring!$AS$29:$AS$361,0)))</f>
        <v/>
      </c>
      <c r="H304" s="7" t="str">
        <f aca="false">IF($O304="","",INDEX(Scoring!$C$29:$C$361,MATCH($O304,Scoring!$AS$29:$AS$361,0)))</f>
        <v/>
      </c>
      <c r="I304" s="6" t="str">
        <f aca="false">IF($O304="","",INDEX(Scoring!$I$29:$I$361,MATCH($O304,Scoring!$AS$29:$AS$361,0)))</f>
        <v/>
      </c>
      <c r="J304" s="7" t="str">
        <f aca="false">IF($O304="","",INDEX(Scoring!$Z$29:$Z$361,MATCH($O304,Scoring!$AS$29:$AS$361,0)))</f>
        <v/>
      </c>
      <c r="K304" s="8" t="str">
        <f aca="false">IF($O304="","",IF(INDEX(Scoring!$D$29:$D$361,MATCH($O304,Scoring!$AS$29:$AS$361,0))="",INDEX(Scoring!$AF$29:$AF$361,MATCH($O304,Scoring!$AS$29:$AS$361,0)),INDEX(Scoring!$D$29:$D$361,MATCH($O304,Scoring!$AS$29:$AS$361,0))))</f>
        <v/>
      </c>
      <c r="L304" s="9" t="str">
        <f aca="false">IF($O304="","",INDEX(Scoring!$L$29:$L$361,MATCH($O304,Scoring!$AS$29:$AS$361,0)))</f>
        <v/>
      </c>
      <c r="M304" s="9" t="str">
        <f aca="false">IF($O304="","",INDEX(Scoring!$N$29:$N$361,MATCH($O304,Scoring!$AS$29:$AS$361,0)))</f>
        <v/>
      </c>
      <c r="N304" s="7" t="str">
        <f aca="false">IF($O304="","",INDEX(Scoring!$AI$29:$AI$361,MATCH($O304,Scoring!$AS$29:$AS$361,0)))</f>
        <v/>
      </c>
      <c r="O304" s="10" t="str">
        <f aca="false">IFERROR(SMALL(Scoring!$AS$29:$AS$361,300),"")</f>
        <v/>
      </c>
    </row>
    <row r="305" customFormat="false" ht="15" hidden="false" customHeight="false" outlineLevel="0" collapsed="false">
      <c r="A305" s="5" t="str">
        <f aca="false">IF($O305="","",INT($O305/1000))</f>
        <v/>
      </c>
      <c r="B305" s="6" t="str">
        <f aca="false">IF($O305="","",INDEX(Scoring!$A$29:$A$361,MATCH($O305,Scoring!$AS$29:$AS$361,0)))</f>
        <v/>
      </c>
      <c r="C305" s="5" t="str">
        <f aca="false">IF($O305="","",IF(INDEX(Scoring!$AM$29:$AM$361,MATCH($O305,Scoring!$AS$29:$AS$361,0))="","–",INDEX(Scoring!$AM$29:$AM$361,MATCH($O305,Scoring!$AS$29:$AS$361,0))))</f>
        <v/>
      </c>
      <c r="D305" s="6" t="str">
        <f aca="false">IF($O305="","",INDEX(Scoring!$AK$29:$AK$361,MATCH($O305,Scoring!$AS$29:$AS$361,0)))</f>
        <v/>
      </c>
      <c r="E305" s="7" t="str">
        <f aca="false">IF($O305="","",INDEX(Scoring!$AL$29:$AL$361,MATCH($O305,Scoring!$AS$29:$AS$361,0)))</f>
        <v/>
      </c>
      <c r="F305" s="6" t="str">
        <f aca="false">IF($O305="","",INDEX(Scoring!$B$29:$B$361,MATCH($O305,Scoring!$AS$29:$AS$361,0)))</f>
        <v/>
      </c>
      <c r="G305" s="7" t="str">
        <f aca="false">IF($O305="","",INDEX(Scoring!$AG$29:$AG$361,MATCH($O305,Scoring!$AS$29:$AS$361,0)))</f>
        <v/>
      </c>
      <c r="H305" s="7" t="str">
        <f aca="false">IF($O305="","",INDEX(Scoring!$C$29:$C$361,MATCH($O305,Scoring!$AS$29:$AS$361,0)))</f>
        <v/>
      </c>
      <c r="I305" s="6" t="str">
        <f aca="false">IF($O305="","",INDEX(Scoring!$I$29:$I$361,MATCH($O305,Scoring!$AS$29:$AS$361,0)))</f>
        <v/>
      </c>
      <c r="J305" s="7" t="str">
        <f aca="false">IF($O305="","",INDEX(Scoring!$Z$29:$Z$361,MATCH($O305,Scoring!$AS$29:$AS$361,0)))</f>
        <v/>
      </c>
      <c r="K305" s="8" t="str">
        <f aca="false">IF($O305="","",IF(INDEX(Scoring!$D$29:$D$361,MATCH($O305,Scoring!$AS$29:$AS$361,0))="",INDEX(Scoring!$AF$29:$AF$361,MATCH($O305,Scoring!$AS$29:$AS$361,0)),INDEX(Scoring!$D$29:$D$361,MATCH($O305,Scoring!$AS$29:$AS$361,0))))</f>
        <v/>
      </c>
      <c r="L305" s="9" t="str">
        <f aca="false">IF($O305="","",INDEX(Scoring!$L$29:$L$361,MATCH($O305,Scoring!$AS$29:$AS$361,0)))</f>
        <v/>
      </c>
      <c r="M305" s="9" t="str">
        <f aca="false">IF($O305="","",INDEX(Scoring!$N$29:$N$361,MATCH($O305,Scoring!$AS$29:$AS$361,0)))</f>
        <v/>
      </c>
      <c r="N305" s="7" t="str">
        <f aca="false">IF($O305="","",INDEX(Scoring!$AI$29:$AI$361,MATCH($O305,Scoring!$AS$29:$AS$361,0)))</f>
        <v/>
      </c>
      <c r="O305" s="10" t="str">
        <f aca="false">IFERROR(SMALL(Scoring!$AS$29:$AS$361,301),"")</f>
        <v/>
      </c>
    </row>
    <row r="306" customFormat="false" ht="15" hidden="false" customHeight="false" outlineLevel="0" collapsed="false">
      <c r="A306" s="5" t="str">
        <f aca="false">IF($O306="","",INT($O306/1000))</f>
        <v/>
      </c>
      <c r="B306" s="6" t="str">
        <f aca="false">IF($O306="","",INDEX(Scoring!$A$29:$A$361,MATCH($O306,Scoring!$AS$29:$AS$361,0)))</f>
        <v/>
      </c>
      <c r="C306" s="5" t="str">
        <f aca="false">IF($O306="","",IF(INDEX(Scoring!$AM$29:$AM$361,MATCH($O306,Scoring!$AS$29:$AS$361,0))="","–",INDEX(Scoring!$AM$29:$AM$361,MATCH($O306,Scoring!$AS$29:$AS$361,0))))</f>
        <v/>
      </c>
      <c r="D306" s="6" t="str">
        <f aca="false">IF($O306="","",INDEX(Scoring!$AK$29:$AK$361,MATCH($O306,Scoring!$AS$29:$AS$361,0)))</f>
        <v/>
      </c>
      <c r="E306" s="7" t="str">
        <f aca="false">IF($O306="","",INDEX(Scoring!$AL$29:$AL$361,MATCH($O306,Scoring!$AS$29:$AS$361,0)))</f>
        <v/>
      </c>
      <c r="F306" s="6" t="str">
        <f aca="false">IF($O306="","",INDEX(Scoring!$B$29:$B$361,MATCH($O306,Scoring!$AS$29:$AS$361,0)))</f>
        <v/>
      </c>
      <c r="G306" s="7" t="str">
        <f aca="false">IF($O306="","",INDEX(Scoring!$AG$29:$AG$361,MATCH($O306,Scoring!$AS$29:$AS$361,0)))</f>
        <v/>
      </c>
      <c r="H306" s="7" t="str">
        <f aca="false">IF($O306="","",INDEX(Scoring!$C$29:$C$361,MATCH($O306,Scoring!$AS$29:$AS$361,0)))</f>
        <v/>
      </c>
      <c r="I306" s="6" t="str">
        <f aca="false">IF($O306="","",INDEX(Scoring!$I$29:$I$361,MATCH($O306,Scoring!$AS$29:$AS$361,0)))</f>
        <v/>
      </c>
      <c r="J306" s="7" t="str">
        <f aca="false">IF($O306="","",INDEX(Scoring!$Z$29:$Z$361,MATCH($O306,Scoring!$AS$29:$AS$361,0)))</f>
        <v/>
      </c>
      <c r="K306" s="8" t="str">
        <f aca="false">IF($O306="","",IF(INDEX(Scoring!$D$29:$D$361,MATCH($O306,Scoring!$AS$29:$AS$361,0))="",INDEX(Scoring!$AF$29:$AF$361,MATCH($O306,Scoring!$AS$29:$AS$361,0)),INDEX(Scoring!$D$29:$D$361,MATCH($O306,Scoring!$AS$29:$AS$361,0))))</f>
        <v/>
      </c>
      <c r="L306" s="9" t="str">
        <f aca="false">IF($O306="","",INDEX(Scoring!$L$29:$L$361,MATCH($O306,Scoring!$AS$29:$AS$361,0)))</f>
        <v/>
      </c>
      <c r="M306" s="9" t="str">
        <f aca="false">IF($O306="","",INDEX(Scoring!$N$29:$N$361,MATCH($O306,Scoring!$AS$29:$AS$361,0)))</f>
        <v/>
      </c>
      <c r="N306" s="7" t="str">
        <f aca="false">IF($O306="","",INDEX(Scoring!$AI$29:$AI$361,MATCH($O306,Scoring!$AS$29:$AS$361,0)))</f>
        <v/>
      </c>
      <c r="O306" s="10" t="str">
        <f aca="false">IFERROR(SMALL(Scoring!$AS$29:$AS$361,302),"")</f>
        <v/>
      </c>
    </row>
    <row r="307" customFormat="false" ht="15" hidden="false" customHeight="false" outlineLevel="0" collapsed="false">
      <c r="A307" s="5" t="str">
        <f aca="false">IF($O307="","",INT($O307/1000))</f>
        <v/>
      </c>
      <c r="B307" s="6" t="str">
        <f aca="false">IF($O307="","",INDEX(Scoring!$A$29:$A$361,MATCH($O307,Scoring!$AS$29:$AS$361,0)))</f>
        <v/>
      </c>
      <c r="C307" s="5" t="str">
        <f aca="false">IF($O307="","",IF(INDEX(Scoring!$AM$29:$AM$361,MATCH($O307,Scoring!$AS$29:$AS$361,0))="","–",INDEX(Scoring!$AM$29:$AM$361,MATCH($O307,Scoring!$AS$29:$AS$361,0))))</f>
        <v/>
      </c>
      <c r="D307" s="6" t="str">
        <f aca="false">IF($O307="","",INDEX(Scoring!$AK$29:$AK$361,MATCH($O307,Scoring!$AS$29:$AS$361,0)))</f>
        <v/>
      </c>
      <c r="E307" s="7" t="str">
        <f aca="false">IF($O307="","",INDEX(Scoring!$AL$29:$AL$361,MATCH($O307,Scoring!$AS$29:$AS$361,0)))</f>
        <v/>
      </c>
      <c r="F307" s="6" t="str">
        <f aca="false">IF($O307="","",INDEX(Scoring!$B$29:$B$361,MATCH($O307,Scoring!$AS$29:$AS$361,0)))</f>
        <v/>
      </c>
      <c r="G307" s="7" t="str">
        <f aca="false">IF($O307="","",INDEX(Scoring!$AG$29:$AG$361,MATCH($O307,Scoring!$AS$29:$AS$361,0)))</f>
        <v/>
      </c>
      <c r="H307" s="7" t="str">
        <f aca="false">IF($O307="","",INDEX(Scoring!$C$29:$C$361,MATCH($O307,Scoring!$AS$29:$AS$361,0)))</f>
        <v/>
      </c>
      <c r="I307" s="6" t="str">
        <f aca="false">IF($O307="","",INDEX(Scoring!$I$29:$I$361,MATCH($O307,Scoring!$AS$29:$AS$361,0)))</f>
        <v/>
      </c>
      <c r="J307" s="7" t="str">
        <f aca="false">IF($O307="","",INDEX(Scoring!$Z$29:$Z$361,MATCH($O307,Scoring!$AS$29:$AS$361,0)))</f>
        <v/>
      </c>
      <c r="K307" s="8" t="str">
        <f aca="false">IF($O307="","",IF(INDEX(Scoring!$D$29:$D$361,MATCH($O307,Scoring!$AS$29:$AS$361,0))="",INDEX(Scoring!$AF$29:$AF$361,MATCH($O307,Scoring!$AS$29:$AS$361,0)),INDEX(Scoring!$D$29:$D$361,MATCH($O307,Scoring!$AS$29:$AS$361,0))))</f>
        <v/>
      </c>
      <c r="L307" s="9" t="str">
        <f aca="false">IF($O307="","",INDEX(Scoring!$L$29:$L$361,MATCH($O307,Scoring!$AS$29:$AS$361,0)))</f>
        <v/>
      </c>
      <c r="M307" s="9" t="str">
        <f aca="false">IF($O307="","",INDEX(Scoring!$N$29:$N$361,MATCH($O307,Scoring!$AS$29:$AS$361,0)))</f>
        <v/>
      </c>
      <c r="N307" s="7" t="str">
        <f aca="false">IF($O307="","",INDEX(Scoring!$AI$29:$AI$361,MATCH($O307,Scoring!$AS$29:$AS$361,0)))</f>
        <v/>
      </c>
      <c r="O307" s="10" t="str">
        <f aca="false">IFERROR(SMALL(Scoring!$AS$29:$AS$361,303),"")</f>
        <v/>
      </c>
    </row>
    <row r="308" customFormat="false" ht="15" hidden="false" customHeight="false" outlineLevel="0" collapsed="false">
      <c r="A308" s="5" t="str">
        <f aca="false">IF($O308="","",INT($O308/1000))</f>
        <v/>
      </c>
      <c r="B308" s="6" t="str">
        <f aca="false">IF($O308="","",INDEX(Scoring!$A$29:$A$361,MATCH($O308,Scoring!$AS$29:$AS$361,0)))</f>
        <v/>
      </c>
      <c r="C308" s="5" t="str">
        <f aca="false">IF($O308="","",IF(INDEX(Scoring!$AM$29:$AM$361,MATCH($O308,Scoring!$AS$29:$AS$361,0))="","–",INDEX(Scoring!$AM$29:$AM$361,MATCH($O308,Scoring!$AS$29:$AS$361,0))))</f>
        <v/>
      </c>
      <c r="D308" s="6" t="str">
        <f aca="false">IF($O308="","",INDEX(Scoring!$AK$29:$AK$361,MATCH($O308,Scoring!$AS$29:$AS$361,0)))</f>
        <v/>
      </c>
      <c r="E308" s="7" t="str">
        <f aca="false">IF($O308="","",INDEX(Scoring!$AL$29:$AL$361,MATCH($O308,Scoring!$AS$29:$AS$361,0)))</f>
        <v/>
      </c>
      <c r="F308" s="6" t="str">
        <f aca="false">IF($O308="","",INDEX(Scoring!$B$29:$B$361,MATCH($O308,Scoring!$AS$29:$AS$361,0)))</f>
        <v/>
      </c>
      <c r="G308" s="7" t="str">
        <f aca="false">IF($O308="","",INDEX(Scoring!$AG$29:$AG$361,MATCH($O308,Scoring!$AS$29:$AS$361,0)))</f>
        <v/>
      </c>
      <c r="H308" s="7" t="str">
        <f aca="false">IF($O308="","",INDEX(Scoring!$C$29:$C$361,MATCH($O308,Scoring!$AS$29:$AS$361,0)))</f>
        <v/>
      </c>
      <c r="I308" s="6" t="str">
        <f aca="false">IF($O308="","",INDEX(Scoring!$I$29:$I$361,MATCH($O308,Scoring!$AS$29:$AS$361,0)))</f>
        <v/>
      </c>
      <c r="J308" s="7" t="str">
        <f aca="false">IF($O308="","",INDEX(Scoring!$Z$29:$Z$361,MATCH($O308,Scoring!$AS$29:$AS$361,0)))</f>
        <v/>
      </c>
      <c r="K308" s="8" t="str">
        <f aca="false">IF($O308="","",IF(INDEX(Scoring!$D$29:$D$361,MATCH($O308,Scoring!$AS$29:$AS$361,0))="",INDEX(Scoring!$AF$29:$AF$361,MATCH($O308,Scoring!$AS$29:$AS$361,0)),INDEX(Scoring!$D$29:$D$361,MATCH($O308,Scoring!$AS$29:$AS$361,0))))</f>
        <v/>
      </c>
      <c r="L308" s="9" t="str">
        <f aca="false">IF($O308="","",INDEX(Scoring!$L$29:$L$361,MATCH($O308,Scoring!$AS$29:$AS$361,0)))</f>
        <v/>
      </c>
      <c r="M308" s="9" t="str">
        <f aca="false">IF($O308="","",INDEX(Scoring!$N$29:$N$361,MATCH($O308,Scoring!$AS$29:$AS$361,0)))</f>
        <v/>
      </c>
      <c r="N308" s="7" t="str">
        <f aca="false">IF($O308="","",INDEX(Scoring!$AI$29:$AI$361,MATCH($O308,Scoring!$AS$29:$AS$361,0)))</f>
        <v/>
      </c>
      <c r="O308" s="10" t="str">
        <f aca="false">IFERROR(SMALL(Scoring!$AS$29:$AS$361,304),"")</f>
        <v/>
      </c>
    </row>
    <row r="309" customFormat="false" ht="15" hidden="false" customHeight="false" outlineLevel="0" collapsed="false">
      <c r="A309" s="5" t="str">
        <f aca="false">IF($O309="","",INT($O309/1000))</f>
        <v/>
      </c>
      <c r="B309" s="6" t="str">
        <f aca="false">IF($O309="","",INDEX(Scoring!$A$29:$A$361,MATCH($O309,Scoring!$AS$29:$AS$361,0)))</f>
        <v/>
      </c>
      <c r="C309" s="5" t="str">
        <f aca="false">IF($O309="","",IF(INDEX(Scoring!$AM$29:$AM$361,MATCH($O309,Scoring!$AS$29:$AS$361,0))="","–",INDEX(Scoring!$AM$29:$AM$361,MATCH($O309,Scoring!$AS$29:$AS$361,0))))</f>
        <v/>
      </c>
      <c r="D309" s="6" t="str">
        <f aca="false">IF($O309="","",INDEX(Scoring!$AK$29:$AK$361,MATCH($O309,Scoring!$AS$29:$AS$361,0)))</f>
        <v/>
      </c>
      <c r="E309" s="7" t="str">
        <f aca="false">IF($O309="","",INDEX(Scoring!$AL$29:$AL$361,MATCH($O309,Scoring!$AS$29:$AS$361,0)))</f>
        <v/>
      </c>
      <c r="F309" s="6" t="str">
        <f aca="false">IF($O309="","",INDEX(Scoring!$B$29:$B$361,MATCH($O309,Scoring!$AS$29:$AS$361,0)))</f>
        <v/>
      </c>
      <c r="G309" s="7" t="str">
        <f aca="false">IF($O309="","",INDEX(Scoring!$AG$29:$AG$361,MATCH($O309,Scoring!$AS$29:$AS$361,0)))</f>
        <v/>
      </c>
      <c r="H309" s="7" t="str">
        <f aca="false">IF($O309="","",INDEX(Scoring!$C$29:$C$361,MATCH($O309,Scoring!$AS$29:$AS$361,0)))</f>
        <v/>
      </c>
      <c r="I309" s="6" t="str">
        <f aca="false">IF($O309="","",INDEX(Scoring!$I$29:$I$361,MATCH($O309,Scoring!$AS$29:$AS$361,0)))</f>
        <v/>
      </c>
      <c r="J309" s="7" t="str">
        <f aca="false">IF($O309="","",INDEX(Scoring!$Z$29:$Z$361,MATCH($O309,Scoring!$AS$29:$AS$361,0)))</f>
        <v/>
      </c>
      <c r="K309" s="8" t="str">
        <f aca="false">IF($O309="","",IF(INDEX(Scoring!$D$29:$D$361,MATCH($O309,Scoring!$AS$29:$AS$361,0))="",INDEX(Scoring!$AF$29:$AF$361,MATCH($O309,Scoring!$AS$29:$AS$361,0)),INDEX(Scoring!$D$29:$D$361,MATCH($O309,Scoring!$AS$29:$AS$361,0))))</f>
        <v/>
      </c>
      <c r="L309" s="9" t="str">
        <f aca="false">IF($O309="","",INDEX(Scoring!$L$29:$L$361,MATCH($O309,Scoring!$AS$29:$AS$361,0)))</f>
        <v/>
      </c>
      <c r="M309" s="9" t="str">
        <f aca="false">IF($O309="","",INDEX(Scoring!$N$29:$N$361,MATCH($O309,Scoring!$AS$29:$AS$361,0)))</f>
        <v/>
      </c>
      <c r="N309" s="7" t="str">
        <f aca="false">IF($O309="","",INDEX(Scoring!$AI$29:$AI$361,MATCH($O309,Scoring!$AS$29:$AS$361,0)))</f>
        <v/>
      </c>
      <c r="O309" s="10" t="str">
        <f aca="false">IFERROR(SMALL(Scoring!$AS$29:$AS$361,305),"")</f>
        <v/>
      </c>
    </row>
    <row r="310" customFormat="false" ht="15" hidden="false" customHeight="false" outlineLevel="0" collapsed="false">
      <c r="A310" s="5" t="str">
        <f aca="false">IF($O310="","",INT($O310/1000))</f>
        <v/>
      </c>
      <c r="B310" s="6" t="str">
        <f aca="false">IF($O310="","",INDEX(Scoring!$A$29:$A$361,MATCH($O310,Scoring!$AS$29:$AS$361,0)))</f>
        <v/>
      </c>
      <c r="C310" s="5" t="str">
        <f aca="false">IF($O310="","",IF(INDEX(Scoring!$AM$29:$AM$361,MATCH($O310,Scoring!$AS$29:$AS$361,0))="","–",INDEX(Scoring!$AM$29:$AM$361,MATCH($O310,Scoring!$AS$29:$AS$361,0))))</f>
        <v/>
      </c>
      <c r="D310" s="6" t="str">
        <f aca="false">IF($O310="","",INDEX(Scoring!$AK$29:$AK$361,MATCH($O310,Scoring!$AS$29:$AS$361,0)))</f>
        <v/>
      </c>
      <c r="E310" s="7" t="str">
        <f aca="false">IF($O310="","",INDEX(Scoring!$AL$29:$AL$361,MATCH($O310,Scoring!$AS$29:$AS$361,0)))</f>
        <v/>
      </c>
      <c r="F310" s="6" t="str">
        <f aca="false">IF($O310="","",INDEX(Scoring!$B$29:$B$361,MATCH($O310,Scoring!$AS$29:$AS$361,0)))</f>
        <v/>
      </c>
      <c r="G310" s="7" t="str">
        <f aca="false">IF($O310="","",INDEX(Scoring!$AG$29:$AG$361,MATCH($O310,Scoring!$AS$29:$AS$361,0)))</f>
        <v/>
      </c>
      <c r="H310" s="7" t="str">
        <f aca="false">IF($O310="","",INDEX(Scoring!$C$29:$C$361,MATCH($O310,Scoring!$AS$29:$AS$361,0)))</f>
        <v/>
      </c>
      <c r="I310" s="6" t="str">
        <f aca="false">IF($O310="","",INDEX(Scoring!$I$29:$I$361,MATCH($O310,Scoring!$AS$29:$AS$361,0)))</f>
        <v/>
      </c>
      <c r="J310" s="7" t="str">
        <f aca="false">IF($O310="","",INDEX(Scoring!$Z$29:$Z$361,MATCH($O310,Scoring!$AS$29:$AS$361,0)))</f>
        <v/>
      </c>
      <c r="K310" s="8" t="str">
        <f aca="false">IF($O310="","",IF(INDEX(Scoring!$D$29:$D$361,MATCH($O310,Scoring!$AS$29:$AS$361,0))="",INDEX(Scoring!$AF$29:$AF$361,MATCH($O310,Scoring!$AS$29:$AS$361,0)),INDEX(Scoring!$D$29:$D$361,MATCH($O310,Scoring!$AS$29:$AS$361,0))))</f>
        <v/>
      </c>
      <c r="L310" s="9" t="str">
        <f aca="false">IF($O310="","",INDEX(Scoring!$L$29:$L$361,MATCH($O310,Scoring!$AS$29:$AS$361,0)))</f>
        <v/>
      </c>
      <c r="M310" s="9" t="str">
        <f aca="false">IF($O310="","",INDEX(Scoring!$N$29:$N$361,MATCH($O310,Scoring!$AS$29:$AS$361,0)))</f>
        <v/>
      </c>
      <c r="N310" s="7" t="str">
        <f aca="false">IF($O310="","",INDEX(Scoring!$AI$29:$AI$361,MATCH($O310,Scoring!$AS$29:$AS$361,0)))</f>
        <v/>
      </c>
      <c r="O310" s="10" t="str">
        <f aca="false">IFERROR(SMALL(Scoring!$AS$29:$AS$361,306),"")</f>
        <v/>
      </c>
    </row>
    <row r="311" customFormat="false" ht="15" hidden="false" customHeight="false" outlineLevel="0" collapsed="false">
      <c r="A311" s="5" t="str">
        <f aca="false">IF($O311="","",INT($O311/1000))</f>
        <v/>
      </c>
      <c r="B311" s="6" t="str">
        <f aca="false">IF($O311="","",INDEX(Scoring!$A$29:$A$361,MATCH($O311,Scoring!$AS$29:$AS$361,0)))</f>
        <v/>
      </c>
      <c r="C311" s="5" t="str">
        <f aca="false">IF($O311="","",IF(INDEX(Scoring!$AM$29:$AM$361,MATCH($O311,Scoring!$AS$29:$AS$361,0))="","–",INDEX(Scoring!$AM$29:$AM$361,MATCH($O311,Scoring!$AS$29:$AS$361,0))))</f>
        <v/>
      </c>
      <c r="D311" s="6" t="str">
        <f aca="false">IF($O311="","",INDEX(Scoring!$AK$29:$AK$361,MATCH($O311,Scoring!$AS$29:$AS$361,0)))</f>
        <v/>
      </c>
      <c r="E311" s="7" t="str">
        <f aca="false">IF($O311="","",INDEX(Scoring!$AL$29:$AL$361,MATCH($O311,Scoring!$AS$29:$AS$361,0)))</f>
        <v/>
      </c>
      <c r="F311" s="6" t="str">
        <f aca="false">IF($O311="","",INDEX(Scoring!$B$29:$B$361,MATCH($O311,Scoring!$AS$29:$AS$361,0)))</f>
        <v/>
      </c>
      <c r="G311" s="7" t="str">
        <f aca="false">IF($O311="","",INDEX(Scoring!$AG$29:$AG$361,MATCH($O311,Scoring!$AS$29:$AS$361,0)))</f>
        <v/>
      </c>
      <c r="H311" s="7" t="str">
        <f aca="false">IF($O311="","",INDEX(Scoring!$C$29:$C$361,MATCH($O311,Scoring!$AS$29:$AS$361,0)))</f>
        <v/>
      </c>
      <c r="I311" s="6" t="str">
        <f aca="false">IF($O311="","",INDEX(Scoring!$I$29:$I$361,MATCH($O311,Scoring!$AS$29:$AS$361,0)))</f>
        <v/>
      </c>
      <c r="J311" s="7" t="str">
        <f aca="false">IF($O311="","",INDEX(Scoring!$Z$29:$Z$361,MATCH($O311,Scoring!$AS$29:$AS$361,0)))</f>
        <v/>
      </c>
      <c r="K311" s="8" t="str">
        <f aca="false">IF($O311="","",IF(INDEX(Scoring!$D$29:$D$361,MATCH($O311,Scoring!$AS$29:$AS$361,0))="",INDEX(Scoring!$AF$29:$AF$361,MATCH($O311,Scoring!$AS$29:$AS$361,0)),INDEX(Scoring!$D$29:$D$361,MATCH($O311,Scoring!$AS$29:$AS$361,0))))</f>
        <v/>
      </c>
      <c r="L311" s="9" t="str">
        <f aca="false">IF($O311="","",INDEX(Scoring!$L$29:$L$361,MATCH($O311,Scoring!$AS$29:$AS$361,0)))</f>
        <v/>
      </c>
      <c r="M311" s="9" t="str">
        <f aca="false">IF($O311="","",INDEX(Scoring!$N$29:$N$361,MATCH($O311,Scoring!$AS$29:$AS$361,0)))</f>
        <v/>
      </c>
      <c r="N311" s="7" t="str">
        <f aca="false">IF($O311="","",INDEX(Scoring!$AI$29:$AI$361,MATCH($O311,Scoring!$AS$29:$AS$361,0)))</f>
        <v/>
      </c>
      <c r="O311" s="10" t="str">
        <f aca="false">IFERROR(SMALL(Scoring!$AS$29:$AS$361,307),"")</f>
        <v/>
      </c>
    </row>
    <row r="312" customFormat="false" ht="15" hidden="false" customHeight="false" outlineLevel="0" collapsed="false">
      <c r="A312" s="5" t="str">
        <f aca="false">IF($O312="","",INT($O312/1000))</f>
        <v/>
      </c>
      <c r="B312" s="6" t="str">
        <f aca="false">IF($O312="","",INDEX(Scoring!$A$29:$A$361,MATCH($O312,Scoring!$AS$29:$AS$361,0)))</f>
        <v/>
      </c>
      <c r="C312" s="5" t="str">
        <f aca="false">IF($O312="","",IF(INDEX(Scoring!$AM$29:$AM$361,MATCH($O312,Scoring!$AS$29:$AS$361,0))="","–",INDEX(Scoring!$AM$29:$AM$361,MATCH($O312,Scoring!$AS$29:$AS$361,0))))</f>
        <v/>
      </c>
      <c r="D312" s="6" t="str">
        <f aca="false">IF($O312="","",INDEX(Scoring!$AK$29:$AK$361,MATCH($O312,Scoring!$AS$29:$AS$361,0)))</f>
        <v/>
      </c>
      <c r="E312" s="7" t="str">
        <f aca="false">IF($O312="","",INDEX(Scoring!$AL$29:$AL$361,MATCH($O312,Scoring!$AS$29:$AS$361,0)))</f>
        <v/>
      </c>
      <c r="F312" s="6" t="str">
        <f aca="false">IF($O312="","",INDEX(Scoring!$B$29:$B$361,MATCH($O312,Scoring!$AS$29:$AS$361,0)))</f>
        <v/>
      </c>
      <c r="G312" s="7" t="str">
        <f aca="false">IF($O312="","",INDEX(Scoring!$AG$29:$AG$361,MATCH($O312,Scoring!$AS$29:$AS$361,0)))</f>
        <v/>
      </c>
      <c r="H312" s="7" t="str">
        <f aca="false">IF($O312="","",INDEX(Scoring!$C$29:$C$361,MATCH($O312,Scoring!$AS$29:$AS$361,0)))</f>
        <v/>
      </c>
      <c r="I312" s="6" t="str">
        <f aca="false">IF($O312="","",INDEX(Scoring!$I$29:$I$361,MATCH($O312,Scoring!$AS$29:$AS$361,0)))</f>
        <v/>
      </c>
      <c r="J312" s="7" t="str">
        <f aca="false">IF($O312="","",INDEX(Scoring!$Z$29:$Z$361,MATCH($O312,Scoring!$AS$29:$AS$361,0)))</f>
        <v/>
      </c>
      <c r="K312" s="8" t="str">
        <f aca="false">IF($O312="","",IF(INDEX(Scoring!$D$29:$D$361,MATCH($O312,Scoring!$AS$29:$AS$361,0))="",INDEX(Scoring!$AF$29:$AF$361,MATCH($O312,Scoring!$AS$29:$AS$361,0)),INDEX(Scoring!$D$29:$D$361,MATCH($O312,Scoring!$AS$29:$AS$361,0))))</f>
        <v/>
      </c>
      <c r="L312" s="9" t="str">
        <f aca="false">IF($O312="","",INDEX(Scoring!$L$29:$L$361,MATCH($O312,Scoring!$AS$29:$AS$361,0)))</f>
        <v/>
      </c>
      <c r="M312" s="9" t="str">
        <f aca="false">IF($O312="","",INDEX(Scoring!$N$29:$N$361,MATCH($O312,Scoring!$AS$29:$AS$361,0)))</f>
        <v/>
      </c>
      <c r="N312" s="7" t="str">
        <f aca="false">IF($O312="","",INDEX(Scoring!$AI$29:$AI$361,MATCH($O312,Scoring!$AS$29:$AS$361,0)))</f>
        <v/>
      </c>
      <c r="O312" s="10" t="str">
        <f aca="false">IFERROR(SMALL(Scoring!$AS$29:$AS$361,308),"")</f>
        <v/>
      </c>
    </row>
    <row r="313" customFormat="false" ht="15" hidden="false" customHeight="false" outlineLevel="0" collapsed="false">
      <c r="A313" s="5" t="str">
        <f aca="false">IF($O313="","",INT($O313/1000))</f>
        <v/>
      </c>
      <c r="B313" s="6" t="str">
        <f aca="false">IF($O313="","",INDEX(Scoring!$A$29:$A$361,MATCH($O313,Scoring!$AS$29:$AS$361,0)))</f>
        <v/>
      </c>
      <c r="C313" s="5" t="str">
        <f aca="false">IF($O313="","",IF(INDEX(Scoring!$AM$29:$AM$361,MATCH($O313,Scoring!$AS$29:$AS$361,0))="","–",INDEX(Scoring!$AM$29:$AM$361,MATCH($O313,Scoring!$AS$29:$AS$361,0))))</f>
        <v/>
      </c>
      <c r="D313" s="6" t="str">
        <f aca="false">IF($O313="","",INDEX(Scoring!$AK$29:$AK$361,MATCH($O313,Scoring!$AS$29:$AS$361,0)))</f>
        <v/>
      </c>
      <c r="E313" s="7" t="str">
        <f aca="false">IF($O313="","",INDEX(Scoring!$AL$29:$AL$361,MATCH($O313,Scoring!$AS$29:$AS$361,0)))</f>
        <v/>
      </c>
      <c r="F313" s="6" t="str">
        <f aca="false">IF($O313="","",INDEX(Scoring!$B$29:$B$361,MATCH($O313,Scoring!$AS$29:$AS$361,0)))</f>
        <v/>
      </c>
      <c r="G313" s="7" t="str">
        <f aca="false">IF($O313="","",INDEX(Scoring!$AG$29:$AG$361,MATCH($O313,Scoring!$AS$29:$AS$361,0)))</f>
        <v/>
      </c>
      <c r="H313" s="7" t="str">
        <f aca="false">IF($O313="","",INDEX(Scoring!$C$29:$C$361,MATCH($O313,Scoring!$AS$29:$AS$361,0)))</f>
        <v/>
      </c>
      <c r="I313" s="6" t="str">
        <f aca="false">IF($O313="","",INDEX(Scoring!$I$29:$I$361,MATCH($O313,Scoring!$AS$29:$AS$361,0)))</f>
        <v/>
      </c>
      <c r="J313" s="7" t="str">
        <f aca="false">IF($O313="","",INDEX(Scoring!$Z$29:$Z$361,MATCH($O313,Scoring!$AS$29:$AS$361,0)))</f>
        <v/>
      </c>
      <c r="K313" s="8" t="str">
        <f aca="false">IF($O313="","",IF(INDEX(Scoring!$D$29:$D$361,MATCH($O313,Scoring!$AS$29:$AS$361,0))="",INDEX(Scoring!$AF$29:$AF$361,MATCH($O313,Scoring!$AS$29:$AS$361,0)),INDEX(Scoring!$D$29:$D$361,MATCH($O313,Scoring!$AS$29:$AS$361,0))))</f>
        <v/>
      </c>
      <c r="L313" s="9" t="str">
        <f aca="false">IF($O313="","",INDEX(Scoring!$L$29:$L$361,MATCH($O313,Scoring!$AS$29:$AS$361,0)))</f>
        <v/>
      </c>
      <c r="M313" s="9" t="str">
        <f aca="false">IF($O313="","",INDEX(Scoring!$N$29:$N$361,MATCH($O313,Scoring!$AS$29:$AS$361,0)))</f>
        <v/>
      </c>
      <c r="N313" s="7" t="str">
        <f aca="false">IF($O313="","",INDEX(Scoring!$AI$29:$AI$361,MATCH($O313,Scoring!$AS$29:$AS$361,0)))</f>
        <v/>
      </c>
      <c r="O313" s="10" t="str">
        <f aca="false">IFERROR(SMALL(Scoring!$AS$29:$AS$361,309),"")</f>
        <v/>
      </c>
    </row>
    <row r="314" customFormat="false" ht="15" hidden="false" customHeight="false" outlineLevel="0" collapsed="false">
      <c r="A314" s="5" t="str">
        <f aca="false">IF($O314="","",INT($O314/1000))</f>
        <v/>
      </c>
      <c r="B314" s="6" t="str">
        <f aca="false">IF($O314="","",INDEX(Scoring!$A$29:$A$361,MATCH($O314,Scoring!$AS$29:$AS$361,0)))</f>
        <v/>
      </c>
      <c r="C314" s="5" t="str">
        <f aca="false">IF($O314="","",IF(INDEX(Scoring!$AM$29:$AM$361,MATCH($O314,Scoring!$AS$29:$AS$361,0))="","–",INDEX(Scoring!$AM$29:$AM$361,MATCH($O314,Scoring!$AS$29:$AS$361,0))))</f>
        <v/>
      </c>
      <c r="D314" s="6" t="str">
        <f aca="false">IF($O314="","",INDEX(Scoring!$AK$29:$AK$361,MATCH($O314,Scoring!$AS$29:$AS$361,0)))</f>
        <v/>
      </c>
      <c r="E314" s="7" t="str">
        <f aca="false">IF($O314="","",INDEX(Scoring!$AL$29:$AL$361,MATCH($O314,Scoring!$AS$29:$AS$361,0)))</f>
        <v/>
      </c>
      <c r="F314" s="6" t="str">
        <f aca="false">IF($O314="","",INDEX(Scoring!$B$29:$B$361,MATCH($O314,Scoring!$AS$29:$AS$361,0)))</f>
        <v/>
      </c>
      <c r="G314" s="7" t="str">
        <f aca="false">IF($O314="","",INDEX(Scoring!$AG$29:$AG$361,MATCH($O314,Scoring!$AS$29:$AS$361,0)))</f>
        <v/>
      </c>
      <c r="H314" s="7" t="str">
        <f aca="false">IF($O314="","",INDEX(Scoring!$C$29:$C$361,MATCH($O314,Scoring!$AS$29:$AS$361,0)))</f>
        <v/>
      </c>
      <c r="I314" s="6" t="str">
        <f aca="false">IF($O314="","",INDEX(Scoring!$I$29:$I$361,MATCH($O314,Scoring!$AS$29:$AS$361,0)))</f>
        <v/>
      </c>
      <c r="J314" s="7" t="str">
        <f aca="false">IF($O314="","",INDEX(Scoring!$Z$29:$Z$361,MATCH($O314,Scoring!$AS$29:$AS$361,0)))</f>
        <v/>
      </c>
      <c r="K314" s="8" t="str">
        <f aca="false">IF($O314="","",IF(INDEX(Scoring!$D$29:$D$361,MATCH($O314,Scoring!$AS$29:$AS$361,0))="",INDEX(Scoring!$AF$29:$AF$361,MATCH($O314,Scoring!$AS$29:$AS$361,0)),INDEX(Scoring!$D$29:$D$361,MATCH($O314,Scoring!$AS$29:$AS$361,0))))</f>
        <v/>
      </c>
      <c r="L314" s="9" t="str">
        <f aca="false">IF($O314="","",INDEX(Scoring!$L$29:$L$361,MATCH($O314,Scoring!$AS$29:$AS$361,0)))</f>
        <v/>
      </c>
      <c r="M314" s="9" t="str">
        <f aca="false">IF($O314="","",INDEX(Scoring!$N$29:$N$361,MATCH($O314,Scoring!$AS$29:$AS$361,0)))</f>
        <v/>
      </c>
      <c r="N314" s="7" t="str">
        <f aca="false">IF($O314="","",INDEX(Scoring!$AI$29:$AI$361,MATCH($O314,Scoring!$AS$29:$AS$361,0)))</f>
        <v/>
      </c>
      <c r="O314" s="10" t="str">
        <f aca="false">IFERROR(SMALL(Scoring!$AS$29:$AS$361,310),"")</f>
        <v/>
      </c>
    </row>
    <row r="315" customFormat="false" ht="15" hidden="false" customHeight="false" outlineLevel="0" collapsed="false">
      <c r="A315" s="5" t="str">
        <f aca="false">IF($O315="","",INT($O315/1000))</f>
        <v/>
      </c>
      <c r="B315" s="6" t="str">
        <f aca="false">IF($O315="","",INDEX(Scoring!$A$29:$A$361,MATCH($O315,Scoring!$AS$29:$AS$361,0)))</f>
        <v/>
      </c>
      <c r="C315" s="5" t="str">
        <f aca="false">IF($O315="","",IF(INDEX(Scoring!$AM$29:$AM$361,MATCH($O315,Scoring!$AS$29:$AS$361,0))="","–",INDEX(Scoring!$AM$29:$AM$361,MATCH($O315,Scoring!$AS$29:$AS$361,0))))</f>
        <v/>
      </c>
      <c r="D315" s="6" t="str">
        <f aca="false">IF($O315="","",INDEX(Scoring!$AK$29:$AK$361,MATCH($O315,Scoring!$AS$29:$AS$361,0)))</f>
        <v/>
      </c>
      <c r="E315" s="7" t="str">
        <f aca="false">IF($O315="","",INDEX(Scoring!$AL$29:$AL$361,MATCH($O315,Scoring!$AS$29:$AS$361,0)))</f>
        <v/>
      </c>
      <c r="F315" s="6" t="str">
        <f aca="false">IF($O315="","",INDEX(Scoring!$B$29:$B$361,MATCH($O315,Scoring!$AS$29:$AS$361,0)))</f>
        <v/>
      </c>
      <c r="G315" s="7" t="str">
        <f aca="false">IF($O315="","",INDEX(Scoring!$AG$29:$AG$361,MATCH($O315,Scoring!$AS$29:$AS$361,0)))</f>
        <v/>
      </c>
      <c r="H315" s="7" t="str">
        <f aca="false">IF($O315="","",INDEX(Scoring!$C$29:$C$361,MATCH($O315,Scoring!$AS$29:$AS$361,0)))</f>
        <v/>
      </c>
      <c r="I315" s="6" t="str">
        <f aca="false">IF($O315="","",INDEX(Scoring!$I$29:$I$361,MATCH($O315,Scoring!$AS$29:$AS$361,0)))</f>
        <v/>
      </c>
      <c r="J315" s="7" t="str">
        <f aca="false">IF($O315="","",INDEX(Scoring!$Z$29:$Z$361,MATCH($O315,Scoring!$AS$29:$AS$361,0)))</f>
        <v/>
      </c>
      <c r="K315" s="8" t="str">
        <f aca="false">IF($O315="","",IF(INDEX(Scoring!$D$29:$D$361,MATCH($O315,Scoring!$AS$29:$AS$361,0))="",INDEX(Scoring!$AF$29:$AF$361,MATCH($O315,Scoring!$AS$29:$AS$361,0)),INDEX(Scoring!$D$29:$D$361,MATCH($O315,Scoring!$AS$29:$AS$361,0))))</f>
        <v/>
      </c>
      <c r="L315" s="9" t="str">
        <f aca="false">IF($O315="","",INDEX(Scoring!$L$29:$L$361,MATCH($O315,Scoring!$AS$29:$AS$361,0)))</f>
        <v/>
      </c>
      <c r="M315" s="9" t="str">
        <f aca="false">IF($O315="","",INDEX(Scoring!$N$29:$N$361,MATCH($O315,Scoring!$AS$29:$AS$361,0)))</f>
        <v/>
      </c>
      <c r="N315" s="7" t="str">
        <f aca="false">IF($O315="","",INDEX(Scoring!$AI$29:$AI$361,MATCH($O315,Scoring!$AS$29:$AS$361,0)))</f>
        <v/>
      </c>
      <c r="O315" s="10" t="str">
        <f aca="false">IFERROR(SMALL(Scoring!$AS$29:$AS$361,311),"")</f>
        <v/>
      </c>
    </row>
    <row r="316" customFormat="false" ht="15" hidden="false" customHeight="false" outlineLevel="0" collapsed="false">
      <c r="A316" s="5" t="str">
        <f aca="false">IF($O316="","",INT($O316/1000))</f>
        <v/>
      </c>
      <c r="B316" s="6" t="str">
        <f aca="false">IF($O316="","",INDEX(Scoring!$A$29:$A$361,MATCH($O316,Scoring!$AS$29:$AS$361,0)))</f>
        <v/>
      </c>
      <c r="C316" s="5" t="str">
        <f aca="false">IF($O316="","",IF(INDEX(Scoring!$AM$29:$AM$361,MATCH($O316,Scoring!$AS$29:$AS$361,0))="","–",INDEX(Scoring!$AM$29:$AM$361,MATCH($O316,Scoring!$AS$29:$AS$361,0))))</f>
        <v/>
      </c>
      <c r="D316" s="6" t="str">
        <f aca="false">IF($O316="","",INDEX(Scoring!$AK$29:$AK$361,MATCH($O316,Scoring!$AS$29:$AS$361,0)))</f>
        <v/>
      </c>
      <c r="E316" s="7" t="str">
        <f aca="false">IF($O316="","",INDEX(Scoring!$AL$29:$AL$361,MATCH($O316,Scoring!$AS$29:$AS$361,0)))</f>
        <v/>
      </c>
      <c r="F316" s="6" t="str">
        <f aca="false">IF($O316="","",INDEX(Scoring!$B$29:$B$361,MATCH($O316,Scoring!$AS$29:$AS$361,0)))</f>
        <v/>
      </c>
      <c r="G316" s="7" t="str">
        <f aca="false">IF($O316="","",INDEX(Scoring!$AG$29:$AG$361,MATCH($O316,Scoring!$AS$29:$AS$361,0)))</f>
        <v/>
      </c>
      <c r="H316" s="7" t="str">
        <f aca="false">IF($O316="","",INDEX(Scoring!$C$29:$C$361,MATCH($O316,Scoring!$AS$29:$AS$361,0)))</f>
        <v/>
      </c>
      <c r="I316" s="6" t="str">
        <f aca="false">IF($O316="","",INDEX(Scoring!$I$29:$I$361,MATCH($O316,Scoring!$AS$29:$AS$361,0)))</f>
        <v/>
      </c>
      <c r="J316" s="7" t="str">
        <f aca="false">IF($O316="","",INDEX(Scoring!$Z$29:$Z$361,MATCH($O316,Scoring!$AS$29:$AS$361,0)))</f>
        <v/>
      </c>
      <c r="K316" s="8" t="str">
        <f aca="false">IF($O316="","",IF(INDEX(Scoring!$D$29:$D$361,MATCH($O316,Scoring!$AS$29:$AS$361,0))="",INDEX(Scoring!$AF$29:$AF$361,MATCH($O316,Scoring!$AS$29:$AS$361,0)),INDEX(Scoring!$D$29:$D$361,MATCH($O316,Scoring!$AS$29:$AS$361,0))))</f>
        <v/>
      </c>
      <c r="L316" s="9" t="str">
        <f aca="false">IF($O316="","",INDEX(Scoring!$L$29:$L$361,MATCH($O316,Scoring!$AS$29:$AS$361,0)))</f>
        <v/>
      </c>
      <c r="M316" s="9" t="str">
        <f aca="false">IF($O316="","",INDEX(Scoring!$N$29:$N$361,MATCH($O316,Scoring!$AS$29:$AS$361,0)))</f>
        <v/>
      </c>
      <c r="N316" s="7" t="str">
        <f aca="false">IF($O316="","",INDEX(Scoring!$AI$29:$AI$361,MATCH($O316,Scoring!$AS$29:$AS$361,0)))</f>
        <v/>
      </c>
      <c r="O316" s="10" t="str">
        <f aca="false">IFERROR(SMALL(Scoring!$AS$29:$AS$361,312),"")</f>
        <v/>
      </c>
    </row>
    <row r="317" customFormat="false" ht="15" hidden="false" customHeight="false" outlineLevel="0" collapsed="false">
      <c r="A317" s="5" t="str">
        <f aca="false">IF($O317="","",INT($O317/1000))</f>
        <v/>
      </c>
      <c r="B317" s="6" t="str">
        <f aca="false">IF($O317="","",INDEX(Scoring!$A$29:$A$361,MATCH($O317,Scoring!$AS$29:$AS$361,0)))</f>
        <v/>
      </c>
      <c r="C317" s="5" t="str">
        <f aca="false">IF($O317="","",IF(INDEX(Scoring!$AM$29:$AM$361,MATCH($O317,Scoring!$AS$29:$AS$361,0))="","–",INDEX(Scoring!$AM$29:$AM$361,MATCH($O317,Scoring!$AS$29:$AS$361,0))))</f>
        <v/>
      </c>
      <c r="D317" s="6" t="str">
        <f aca="false">IF($O317="","",INDEX(Scoring!$AK$29:$AK$361,MATCH($O317,Scoring!$AS$29:$AS$361,0)))</f>
        <v/>
      </c>
      <c r="E317" s="7" t="str">
        <f aca="false">IF($O317="","",INDEX(Scoring!$AL$29:$AL$361,MATCH($O317,Scoring!$AS$29:$AS$361,0)))</f>
        <v/>
      </c>
      <c r="F317" s="6" t="str">
        <f aca="false">IF($O317="","",INDEX(Scoring!$B$29:$B$361,MATCH($O317,Scoring!$AS$29:$AS$361,0)))</f>
        <v/>
      </c>
      <c r="G317" s="7" t="str">
        <f aca="false">IF($O317="","",INDEX(Scoring!$AG$29:$AG$361,MATCH($O317,Scoring!$AS$29:$AS$361,0)))</f>
        <v/>
      </c>
      <c r="H317" s="7" t="str">
        <f aca="false">IF($O317="","",INDEX(Scoring!$C$29:$C$361,MATCH($O317,Scoring!$AS$29:$AS$361,0)))</f>
        <v/>
      </c>
      <c r="I317" s="6" t="str">
        <f aca="false">IF($O317="","",INDEX(Scoring!$I$29:$I$361,MATCH($O317,Scoring!$AS$29:$AS$361,0)))</f>
        <v/>
      </c>
      <c r="J317" s="7" t="str">
        <f aca="false">IF($O317="","",INDEX(Scoring!$Z$29:$Z$361,MATCH($O317,Scoring!$AS$29:$AS$361,0)))</f>
        <v/>
      </c>
      <c r="K317" s="8" t="str">
        <f aca="false">IF($O317="","",IF(INDEX(Scoring!$D$29:$D$361,MATCH($O317,Scoring!$AS$29:$AS$361,0))="",INDEX(Scoring!$AF$29:$AF$361,MATCH($O317,Scoring!$AS$29:$AS$361,0)),INDEX(Scoring!$D$29:$D$361,MATCH($O317,Scoring!$AS$29:$AS$361,0))))</f>
        <v/>
      </c>
      <c r="L317" s="9" t="str">
        <f aca="false">IF($O317="","",INDEX(Scoring!$L$29:$L$361,MATCH($O317,Scoring!$AS$29:$AS$361,0)))</f>
        <v/>
      </c>
      <c r="M317" s="9" t="str">
        <f aca="false">IF($O317="","",INDEX(Scoring!$N$29:$N$361,MATCH($O317,Scoring!$AS$29:$AS$361,0)))</f>
        <v/>
      </c>
      <c r="N317" s="7" t="str">
        <f aca="false">IF($O317="","",INDEX(Scoring!$AI$29:$AI$361,MATCH($O317,Scoring!$AS$29:$AS$361,0)))</f>
        <v/>
      </c>
      <c r="O317" s="10" t="str">
        <f aca="false">IFERROR(SMALL(Scoring!$AS$29:$AS$361,313),"")</f>
        <v/>
      </c>
    </row>
    <row r="318" customFormat="false" ht="15" hidden="false" customHeight="false" outlineLevel="0" collapsed="false">
      <c r="A318" s="5" t="str">
        <f aca="false">IF($O318="","",INT($O318/1000))</f>
        <v/>
      </c>
      <c r="B318" s="6" t="str">
        <f aca="false">IF($O318="","",INDEX(Scoring!$A$29:$A$361,MATCH($O318,Scoring!$AS$29:$AS$361,0)))</f>
        <v/>
      </c>
      <c r="C318" s="5" t="str">
        <f aca="false">IF($O318="","",IF(INDEX(Scoring!$AM$29:$AM$361,MATCH($O318,Scoring!$AS$29:$AS$361,0))="","–",INDEX(Scoring!$AM$29:$AM$361,MATCH($O318,Scoring!$AS$29:$AS$361,0))))</f>
        <v/>
      </c>
      <c r="D318" s="6" t="str">
        <f aca="false">IF($O318="","",INDEX(Scoring!$AK$29:$AK$361,MATCH($O318,Scoring!$AS$29:$AS$361,0)))</f>
        <v/>
      </c>
      <c r="E318" s="7" t="str">
        <f aca="false">IF($O318="","",INDEX(Scoring!$AL$29:$AL$361,MATCH($O318,Scoring!$AS$29:$AS$361,0)))</f>
        <v/>
      </c>
      <c r="F318" s="6" t="str">
        <f aca="false">IF($O318="","",INDEX(Scoring!$B$29:$B$361,MATCH($O318,Scoring!$AS$29:$AS$361,0)))</f>
        <v/>
      </c>
      <c r="G318" s="7" t="str">
        <f aca="false">IF($O318="","",INDEX(Scoring!$AG$29:$AG$361,MATCH($O318,Scoring!$AS$29:$AS$361,0)))</f>
        <v/>
      </c>
      <c r="H318" s="7" t="str">
        <f aca="false">IF($O318="","",INDEX(Scoring!$C$29:$C$361,MATCH($O318,Scoring!$AS$29:$AS$361,0)))</f>
        <v/>
      </c>
      <c r="I318" s="6" t="str">
        <f aca="false">IF($O318="","",INDEX(Scoring!$I$29:$I$361,MATCH($O318,Scoring!$AS$29:$AS$361,0)))</f>
        <v/>
      </c>
      <c r="J318" s="7" t="str">
        <f aca="false">IF($O318="","",INDEX(Scoring!$Z$29:$Z$361,MATCH($O318,Scoring!$AS$29:$AS$361,0)))</f>
        <v/>
      </c>
      <c r="K318" s="8" t="str">
        <f aca="false">IF($O318="","",IF(INDEX(Scoring!$D$29:$D$361,MATCH($O318,Scoring!$AS$29:$AS$361,0))="",INDEX(Scoring!$AF$29:$AF$361,MATCH($O318,Scoring!$AS$29:$AS$361,0)),INDEX(Scoring!$D$29:$D$361,MATCH($O318,Scoring!$AS$29:$AS$361,0))))</f>
        <v/>
      </c>
      <c r="L318" s="9" t="str">
        <f aca="false">IF($O318="","",INDEX(Scoring!$L$29:$L$361,MATCH($O318,Scoring!$AS$29:$AS$361,0)))</f>
        <v/>
      </c>
      <c r="M318" s="9" t="str">
        <f aca="false">IF($O318="","",INDEX(Scoring!$N$29:$N$361,MATCH($O318,Scoring!$AS$29:$AS$361,0)))</f>
        <v/>
      </c>
      <c r="N318" s="7" t="str">
        <f aca="false">IF($O318="","",INDEX(Scoring!$AI$29:$AI$361,MATCH($O318,Scoring!$AS$29:$AS$361,0)))</f>
        <v/>
      </c>
      <c r="O318" s="10" t="str">
        <f aca="false">IFERROR(SMALL(Scoring!$AS$29:$AS$361,314),"")</f>
        <v/>
      </c>
    </row>
    <row r="319" customFormat="false" ht="15" hidden="false" customHeight="false" outlineLevel="0" collapsed="false">
      <c r="A319" s="5" t="str">
        <f aca="false">IF($O319="","",INT($O319/1000))</f>
        <v/>
      </c>
      <c r="B319" s="6" t="str">
        <f aca="false">IF($O319="","",INDEX(Scoring!$A$29:$A$361,MATCH($O319,Scoring!$AS$29:$AS$361,0)))</f>
        <v/>
      </c>
      <c r="C319" s="5" t="str">
        <f aca="false">IF($O319="","",IF(INDEX(Scoring!$AM$29:$AM$361,MATCH($O319,Scoring!$AS$29:$AS$361,0))="","–",INDEX(Scoring!$AM$29:$AM$361,MATCH($O319,Scoring!$AS$29:$AS$361,0))))</f>
        <v/>
      </c>
      <c r="D319" s="6" t="str">
        <f aca="false">IF($O319="","",INDEX(Scoring!$AK$29:$AK$361,MATCH($O319,Scoring!$AS$29:$AS$361,0)))</f>
        <v/>
      </c>
      <c r="E319" s="7" t="str">
        <f aca="false">IF($O319="","",INDEX(Scoring!$AL$29:$AL$361,MATCH($O319,Scoring!$AS$29:$AS$361,0)))</f>
        <v/>
      </c>
      <c r="F319" s="6" t="str">
        <f aca="false">IF($O319="","",INDEX(Scoring!$B$29:$B$361,MATCH($O319,Scoring!$AS$29:$AS$361,0)))</f>
        <v/>
      </c>
      <c r="G319" s="7" t="str">
        <f aca="false">IF($O319="","",INDEX(Scoring!$AG$29:$AG$361,MATCH($O319,Scoring!$AS$29:$AS$361,0)))</f>
        <v/>
      </c>
      <c r="H319" s="7" t="str">
        <f aca="false">IF($O319="","",INDEX(Scoring!$C$29:$C$361,MATCH($O319,Scoring!$AS$29:$AS$361,0)))</f>
        <v/>
      </c>
      <c r="I319" s="6" t="str">
        <f aca="false">IF($O319="","",INDEX(Scoring!$I$29:$I$361,MATCH($O319,Scoring!$AS$29:$AS$361,0)))</f>
        <v/>
      </c>
      <c r="J319" s="7" t="str">
        <f aca="false">IF($O319="","",INDEX(Scoring!$Z$29:$Z$361,MATCH($O319,Scoring!$AS$29:$AS$361,0)))</f>
        <v/>
      </c>
      <c r="K319" s="8" t="str">
        <f aca="false">IF($O319="","",IF(INDEX(Scoring!$D$29:$D$361,MATCH($O319,Scoring!$AS$29:$AS$361,0))="",INDEX(Scoring!$AF$29:$AF$361,MATCH($O319,Scoring!$AS$29:$AS$361,0)),INDEX(Scoring!$D$29:$D$361,MATCH($O319,Scoring!$AS$29:$AS$361,0))))</f>
        <v/>
      </c>
      <c r="L319" s="9" t="str">
        <f aca="false">IF($O319="","",INDEX(Scoring!$L$29:$L$361,MATCH($O319,Scoring!$AS$29:$AS$361,0)))</f>
        <v/>
      </c>
      <c r="M319" s="9" t="str">
        <f aca="false">IF($O319="","",INDEX(Scoring!$N$29:$N$361,MATCH($O319,Scoring!$AS$29:$AS$361,0)))</f>
        <v/>
      </c>
      <c r="N319" s="7" t="str">
        <f aca="false">IF($O319="","",INDEX(Scoring!$AI$29:$AI$361,MATCH($O319,Scoring!$AS$29:$AS$361,0)))</f>
        <v/>
      </c>
      <c r="O319" s="10" t="str">
        <f aca="false">IFERROR(SMALL(Scoring!$AS$29:$AS$361,315),"")</f>
        <v/>
      </c>
    </row>
    <row r="320" customFormat="false" ht="15" hidden="false" customHeight="false" outlineLevel="0" collapsed="false">
      <c r="A320" s="5" t="str">
        <f aca="false">IF($O320="","",INT($O320/1000))</f>
        <v/>
      </c>
      <c r="B320" s="6" t="str">
        <f aca="false">IF($O320="","",INDEX(Scoring!$A$29:$A$361,MATCH($O320,Scoring!$AS$29:$AS$361,0)))</f>
        <v/>
      </c>
      <c r="C320" s="5" t="str">
        <f aca="false">IF($O320="","",IF(INDEX(Scoring!$AM$29:$AM$361,MATCH($O320,Scoring!$AS$29:$AS$361,0))="","–",INDEX(Scoring!$AM$29:$AM$361,MATCH($O320,Scoring!$AS$29:$AS$361,0))))</f>
        <v/>
      </c>
      <c r="D320" s="6" t="str">
        <f aca="false">IF($O320="","",INDEX(Scoring!$AK$29:$AK$361,MATCH($O320,Scoring!$AS$29:$AS$361,0)))</f>
        <v/>
      </c>
      <c r="E320" s="7" t="str">
        <f aca="false">IF($O320="","",INDEX(Scoring!$AL$29:$AL$361,MATCH($O320,Scoring!$AS$29:$AS$361,0)))</f>
        <v/>
      </c>
      <c r="F320" s="6" t="str">
        <f aca="false">IF($O320="","",INDEX(Scoring!$B$29:$B$361,MATCH($O320,Scoring!$AS$29:$AS$361,0)))</f>
        <v/>
      </c>
      <c r="G320" s="7" t="str">
        <f aca="false">IF($O320="","",INDEX(Scoring!$AG$29:$AG$361,MATCH($O320,Scoring!$AS$29:$AS$361,0)))</f>
        <v/>
      </c>
      <c r="H320" s="7" t="str">
        <f aca="false">IF($O320="","",INDEX(Scoring!$C$29:$C$361,MATCH($O320,Scoring!$AS$29:$AS$361,0)))</f>
        <v/>
      </c>
      <c r="I320" s="6" t="str">
        <f aca="false">IF($O320="","",INDEX(Scoring!$I$29:$I$361,MATCH($O320,Scoring!$AS$29:$AS$361,0)))</f>
        <v/>
      </c>
      <c r="J320" s="7" t="str">
        <f aca="false">IF($O320="","",INDEX(Scoring!$Z$29:$Z$361,MATCH($O320,Scoring!$AS$29:$AS$361,0)))</f>
        <v/>
      </c>
      <c r="K320" s="8" t="str">
        <f aca="false">IF($O320="","",IF(INDEX(Scoring!$D$29:$D$361,MATCH($O320,Scoring!$AS$29:$AS$361,0))="",INDEX(Scoring!$AF$29:$AF$361,MATCH($O320,Scoring!$AS$29:$AS$361,0)),INDEX(Scoring!$D$29:$D$361,MATCH($O320,Scoring!$AS$29:$AS$361,0))))</f>
        <v/>
      </c>
      <c r="L320" s="9" t="str">
        <f aca="false">IF($O320="","",INDEX(Scoring!$L$29:$L$361,MATCH($O320,Scoring!$AS$29:$AS$361,0)))</f>
        <v/>
      </c>
      <c r="M320" s="9" t="str">
        <f aca="false">IF($O320="","",INDEX(Scoring!$N$29:$N$361,MATCH($O320,Scoring!$AS$29:$AS$361,0)))</f>
        <v/>
      </c>
      <c r="N320" s="7" t="str">
        <f aca="false">IF($O320="","",INDEX(Scoring!$AI$29:$AI$361,MATCH($O320,Scoring!$AS$29:$AS$361,0)))</f>
        <v/>
      </c>
      <c r="O320" s="10" t="str">
        <f aca="false">IFERROR(SMALL(Scoring!$AS$29:$AS$361,316),"")</f>
        <v/>
      </c>
    </row>
    <row r="321" customFormat="false" ht="15" hidden="false" customHeight="false" outlineLevel="0" collapsed="false">
      <c r="A321" s="5" t="str">
        <f aca="false">IF($O321="","",INT($O321/1000))</f>
        <v/>
      </c>
      <c r="B321" s="6" t="str">
        <f aca="false">IF($O321="","",INDEX(Scoring!$A$29:$A$361,MATCH($O321,Scoring!$AS$29:$AS$361,0)))</f>
        <v/>
      </c>
      <c r="C321" s="5" t="str">
        <f aca="false">IF($O321="","",IF(INDEX(Scoring!$AM$29:$AM$361,MATCH($O321,Scoring!$AS$29:$AS$361,0))="","–",INDEX(Scoring!$AM$29:$AM$361,MATCH($O321,Scoring!$AS$29:$AS$361,0))))</f>
        <v/>
      </c>
      <c r="D321" s="6" t="str">
        <f aca="false">IF($O321="","",INDEX(Scoring!$AK$29:$AK$361,MATCH($O321,Scoring!$AS$29:$AS$361,0)))</f>
        <v/>
      </c>
      <c r="E321" s="7" t="str">
        <f aca="false">IF($O321="","",INDEX(Scoring!$AL$29:$AL$361,MATCH($O321,Scoring!$AS$29:$AS$361,0)))</f>
        <v/>
      </c>
      <c r="F321" s="6" t="str">
        <f aca="false">IF($O321="","",INDEX(Scoring!$B$29:$B$361,MATCH($O321,Scoring!$AS$29:$AS$361,0)))</f>
        <v/>
      </c>
      <c r="G321" s="7" t="str">
        <f aca="false">IF($O321="","",INDEX(Scoring!$AG$29:$AG$361,MATCH($O321,Scoring!$AS$29:$AS$361,0)))</f>
        <v/>
      </c>
      <c r="H321" s="7" t="str">
        <f aca="false">IF($O321="","",INDEX(Scoring!$C$29:$C$361,MATCH($O321,Scoring!$AS$29:$AS$361,0)))</f>
        <v/>
      </c>
      <c r="I321" s="6" t="str">
        <f aca="false">IF($O321="","",INDEX(Scoring!$I$29:$I$361,MATCH($O321,Scoring!$AS$29:$AS$361,0)))</f>
        <v/>
      </c>
      <c r="J321" s="7" t="str">
        <f aca="false">IF($O321="","",INDEX(Scoring!$Z$29:$Z$361,MATCH($O321,Scoring!$AS$29:$AS$361,0)))</f>
        <v/>
      </c>
      <c r="K321" s="8" t="str">
        <f aca="false">IF($O321="","",IF(INDEX(Scoring!$D$29:$D$361,MATCH($O321,Scoring!$AS$29:$AS$361,0))="",INDEX(Scoring!$AF$29:$AF$361,MATCH($O321,Scoring!$AS$29:$AS$361,0)),INDEX(Scoring!$D$29:$D$361,MATCH($O321,Scoring!$AS$29:$AS$361,0))))</f>
        <v/>
      </c>
      <c r="L321" s="9" t="str">
        <f aca="false">IF($O321="","",INDEX(Scoring!$L$29:$L$361,MATCH($O321,Scoring!$AS$29:$AS$361,0)))</f>
        <v/>
      </c>
      <c r="M321" s="9" t="str">
        <f aca="false">IF($O321="","",INDEX(Scoring!$N$29:$N$361,MATCH($O321,Scoring!$AS$29:$AS$361,0)))</f>
        <v/>
      </c>
      <c r="N321" s="7" t="str">
        <f aca="false">IF($O321="","",INDEX(Scoring!$AI$29:$AI$361,MATCH($O321,Scoring!$AS$29:$AS$361,0)))</f>
        <v/>
      </c>
      <c r="O321" s="10" t="str">
        <f aca="false">IFERROR(SMALL(Scoring!$AS$29:$AS$361,317),"")</f>
        <v/>
      </c>
    </row>
    <row r="322" customFormat="false" ht="15" hidden="false" customHeight="false" outlineLevel="0" collapsed="false">
      <c r="A322" s="5" t="str">
        <f aca="false">IF($O322="","",INT($O322/1000))</f>
        <v/>
      </c>
      <c r="B322" s="6" t="str">
        <f aca="false">IF($O322="","",INDEX(Scoring!$A$29:$A$361,MATCH($O322,Scoring!$AS$29:$AS$361,0)))</f>
        <v/>
      </c>
      <c r="C322" s="5" t="str">
        <f aca="false">IF($O322="","",IF(INDEX(Scoring!$AM$29:$AM$361,MATCH($O322,Scoring!$AS$29:$AS$361,0))="","–",INDEX(Scoring!$AM$29:$AM$361,MATCH($O322,Scoring!$AS$29:$AS$361,0))))</f>
        <v/>
      </c>
      <c r="D322" s="6" t="str">
        <f aca="false">IF($O322="","",INDEX(Scoring!$AK$29:$AK$361,MATCH($O322,Scoring!$AS$29:$AS$361,0)))</f>
        <v/>
      </c>
      <c r="E322" s="7" t="str">
        <f aca="false">IF($O322="","",INDEX(Scoring!$AL$29:$AL$361,MATCH($O322,Scoring!$AS$29:$AS$361,0)))</f>
        <v/>
      </c>
      <c r="F322" s="6" t="str">
        <f aca="false">IF($O322="","",INDEX(Scoring!$B$29:$B$361,MATCH($O322,Scoring!$AS$29:$AS$361,0)))</f>
        <v/>
      </c>
      <c r="G322" s="7" t="str">
        <f aca="false">IF($O322="","",INDEX(Scoring!$AG$29:$AG$361,MATCH($O322,Scoring!$AS$29:$AS$361,0)))</f>
        <v/>
      </c>
      <c r="H322" s="7" t="str">
        <f aca="false">IF($O322="","",INDEX(Scoring!$C$29:$C$361,MATCH($O322,Scoring!$AS$29:$AS$361,0)))</f>
        <v/>
      </c>
      <c r="I322" s="6" t="str">
        <f aca="false">IF($O322="","",INDEX(Scoring!$I$29:$I$361,MATCH($O322,Scoring!$AS$29:$AS$361,0)))</f>
        <v/>
      </c>
      <c r="J322" s="7" t="str">
        <f aca="false">IF($O322="","",INDEX(Scoring!$Z$29:$Z$361,MATCH($O322,Scoring!$AS$29:$AS$361,0)))</f>
        <v/>
      </c>
      <c r="K322" s="8" t="str">
        <f aca="false">IF($O322="","",IF(INDEX(Scoring!$D$29:$D$361,MATCH($O322,Scoring!$AS$29:$AS$361,0))="",INDEX(Scoring!$AF$29:$AF$361,MATCH($O322,Scoring!$AS$29:$AS$361,0)),INDEX(Scoring!$D$29:$D$361,MATCH($O322,Scoring!$AS$29:$AS$361,0))))</f>
        <v/>
      </c>
      <c r="L322" s="9" t="str">
        <f aca="false">IF($O322="","",INDEX(Scoring!$L$29:$L$361,MATCH($O322,Scoring!$AS$29:$AS$361,0)))</f>
        <v/>
      </c>
      <c r="M322" s="9" t="str">
        <f aca="false">IF($O322="","",INDEX(Scoring!$N$29:$N$361,MATCH($O322,Scoring!$AS$29:$AS$361,0)))</f>
        <v/>
      </c>
      <c r="N322" s="7" t="str">
        <f aca="false">IF($O322="","",INDEX(Scoring!$AI$29:$AI$361,MATCH($O322,Scoring!$AS$29:$AS$361,0)))</f>
        <v/>
      </c>
      <c r="O322" s="10" t="str">
        <f aca="false">IFERROR(SMALL(Scoring!$AS$29:$AS$361,318),"")</f>
        <v/>
      </c>
    </row>
    <row r="323" customFormat="false" ht="15" hidden="false" customHeight="false" outlineLevel="0" collapsed="false">
      <c r="A323" s="5" t="str">
        <f aca="false">IF($O323="","",INT($O323/1000))</f>
        <v/>
      </c>
      <c r="B323" s="6" t="str">
        <f aca="false">IF($O323="","",INDEX(Scoring!$A$29:$A$361,MATCH($O323,Scoring!$AS$29:$AS$361,0)))</f>
        <v/>
      </c>
      <c r="C323" s="5" t="str">
        <f aca="false">IF($O323="","",IF(INDEX(Scoring!$AM$29:$AM$361,MATCH($O323,Scoring!$AS$29:$AS$361,0))="","–",INDEX(Scoring!$AM$29:$AM$361,MATCH($O323,Scoring!$AS$29:$AS$361,0))))</f>
        <v/>
      </c>
      <c r="D323" s="6" t="str">
        <f aca="false">IF($O323="","",INDEX(Scoring!$AK$29:$AK$361,MATCH($O323,Scoring!$AS$29:$AS$361,0)))</f>
        <v/>
      </c>
      <c r="E323" s="7" t="str">
        <f aca="false">IF($O323="","",INDEX(Scoring!$AL$29:$AL$361,MATCH($O323,Scoring!$AS$29:$AS$361,0)))</f>
        <v/>
      </c>
      <c r="F323" s="6" t="str">
        <f aca="false">IF($O323="","",INDEX(Scoring!$B$29:$B$361,MATCH($O323,Scoring!$AS$29:$AS$361,0)))</f>
        <v/>
      </c>
      <c r="G323" s="7" t="str">
        <f aca="false">IF($O323="","",INDEX(Scoring!$AG$29:$AG$361,MATCH($O323,Scoring!$AS$29:$AS$361,0)))</f>
        <v/>
      </c>
      <c r="H323" s="7" t="str">
        <f aca="false">IF($O323="","",INDEX(Scoring!$C$29:$C$361,MATCH($O323,Scoring!$AS$29:$AS$361,0)))</f>
        <v/>
      </c>
      <c r="I323" s="6" t="str">
        <f aca="false">IF($O323="","",INDEX(Scoring!$I$29:$I$361,MATCH($O323,Scoring!$AS$29:$AS$361,0)))</f>
        <v/>
      </c>
      <c r="J323" s="7" t="str">
        <f aca="false">IF($O323="","",INDEX(Scoring!$Z$29:$Z$361,MATCH($O323,Scoring!$AS$29:$AS$361,0)))</f>
        <v/>
      </c>
      <c r="K323" s="8" t="str">
        <f aca="false">IF($O323="","",IF(INDEX(Scoring!$D$29:$D$361,MATCH($O323,Scoring!$AS$29:$AS$361,0))="",INDEX(Scoring!$AF$29:$AF$361,MATCH($O323,Scoring!$AS$29:$AS$361,0)),INDEX(Scoring!$D$29:$D$361,MATCH($O323,Scoring!$AS$29:$AS$361,0))))</f>
        <v/>
      </c>
      <c r="L323" s="9" t="str">
        <f aca="false">IF($O323="","",INDEX(Scoring!$L$29:$L$361,MATCH($O323,Scoring!$AS$29:$AS$361,0)))</f>
        <v/>
      </c>
      <c r="M323" s="9" t="str">
        <f aca="false">IF($O323="","",INDEX(Scoring!$N$29:$N$361,MATCH($O323,Scoring!$AS$29:$AS$361,0)))</f>
        <v/>
      </c>
      <c r="N323" s="7" t="str">
        <f aca="false">IF($O323="","",INDEX(Scoring!$AI$29:$AI$361,MATCH($O323,Scoring!$AS$29:$AS$361,0)))</f>
        <v/>
      </c>
      <c r="O323" s="10" t="str">
        <f aca="false">IFERROR(SMALL(Scoring!$AS$29:$AS$361,319),"")</f>
        <v/>
      </c>
    </row>
    <row r="324" customFormat="false" ht="15" hidden="false" customHeight="false" outlineLevel="0" collapsed="false">
      <c r="A324" s="5" t="str">
        <f aca="false">IF($O324="","",INT($O324/1000))</f>
        <v/>
      </c>
      <c r="B324" s="6" t="str">
        <f aca="false">IF($O324="","",INDEX(Scoring!$A$29:$A$361,MATCH($O324,Scoring!$AS$29:$AS$361,0)))</f>
        <v/>
      </c>
      <c r="C324" s="5" t="str">
        <f aca="false">IF($O324="","",IF(INDEX(Scoring!$AM$29:$AM$361,MATCH($O324,Scoring!$AS$29:$AS$361,0))="","–",INDEX(Scoring!$AM$29:$AM$361,MATCH($O324,Scoring!$AS$29:$AS$361,0))))</f>
        <v/>
      </c>
      <c r="D324" s="6" t="str">
        <f aca="false">IF($O324="","",INDEX(Scoring!$AK$29:$AK$361,MATCH($O324,Scoring!$AS$29:$AS$361,0)))</f>
        <v/>
      </c>
      <c r="E324" s="7" t="str">
        <f aca="false">IF($O324="","",INDEX(Scoring!$AL$29:$AL$361,MATCH($O324,Scoring!$AS$29:$AS$361,0)))</f>
        <v/>
      </c>
      <c r="F324" s="6" t="str">
        <f aca="false">IF($O324="","",INDEX(Scoring!$B$29:$B$361,MATCH($O324,Scoring!$AS$29:$AS$361,0)))</f>
        <v/>
      </c>
      <c r="G324" s="7" t="str">
        <f aca="false">IF($O324="","",INDEX(Scoring!$AG$29:$AG$361,MATCH($O324,Scoring!$AS$29:$AS$361,0)))</f>
        <v/>
      </c>
      <c r="H324" s="7" t="str">
        <f aca="false">IF($O324="","",INDEX(Scoring!$C$29:$C$361,MATCH($O324,Scoring!$AS$29:$AS$361,0)))</f>
        <v/>
      </c>
      <c r="I324" s="6" t="str">
        <f aca="false">IF($O324="","",INDEX(Scoring!$I$29:$I$361,MATCH($O324,Scoring!$AS$29:$AS$361,0)))</f>
        <v/>
      </c>
      <c r="J324" s="7" t="str">
        <f aca="false">IF($O324="","",INDEX(Scoring!$Z$29:$Z$361,MATCH($O324,Scoring!$AS$29:$AS$361,0)))</f>
        <v/>
      </c>
      <c r="K324" s="8" t="str">
        <f aca="false">IF($O324="","",IF(INDEX(Scoring!$D$29:$D$361,MATCH($O324,Scoring!$AS$29:$AS$361,0))="",INDEX(Scoring!$AF$29:$AF$361,MATCH($O324,Scoring!$AS$29:$AS$361,0)),INDEX(Scoring!$D$29:$D$361,MATCH($O324,Scoring!$AS$29:$AS$361,0))))</f>
        <v/>
      </c>
      <c r="L324" s="9" t="str">
        <f aca="false">IF($O324="","",INDEX(Scoring!$L$29:$L$361,MATCH($O324,Scoring!$AS$29:$AS$361,0)))</f>
        <v/>
      </c>
      <c r="M324" s="9" t="str">
        <f aca="false">IF($O324="","",INDEX(Scoring!$N$29:$N$361,MATCH($O324,Scoring!$AS$29:$AS$361,0)))</f>
        <v/>
      </c>
      <c r="N324" s="7" t="str">
        <f aca="false">IF($O324="","",INDEX(Scoring!$AI$29:$AI$361,MATCH($O324,Scoring!$AS$29:$AS$361,0)))</f>
        <v/>
      </c>
      <c r="O324" s="10" t="str">
        <f aca="false">IFERROR(SMALL(Scoring!$AS$29:$AS$361,320),"")</f>
        <v/>
      </c>
    </row>
    <row r="325" customFormat="false" ht="15" hidden="false" customHeight="false" outlineLevel="0" collapsed="false">
      <c r="A325" s="5" t="str">
        <f aca="false">IF($O325="","",INT($O325/1000))</f>
        <v/>
      </c>
      <c r="B325" s="6" t="str">
        <f aca="false">IF($O325="","",INDEX(Scoring!$A$29:$A$361,MATCH($O325,Scoring!$AS$29:$AS$361,0)))</f>
        <v/>
      </c>
      <c r="C325" s="5" t="str">
        <f aca="false">IF($O325="","",IF(INDEX(Scoring!$AM$29:$AM$361,MATCH($O325,Scoring!$AS$29:$AS$361,0))="","–",INDEX(Scoring!$AM$29:$AM$361,MATCH($O325,Scoring!$AS$29:$AS$361,0))))</f>
        <v/>
      </c>
      <c r="D325" s="6" t="str">
        <f aca="false">IF($O325="","",INDEX(Scoring!$AK$29:$AK$361,MATCH($O325,Scoring!$AS$29:$AS$361,0)))</f>
        <v/>
      </c>
      <c r="E325" s="7" t="str">
        <f aca="false">IF($O325="","",INDEX(Scoring!$AL$29:$AL$361,MATCH($O325,Scoring!$AS$29:$AS$361,0)))</f>
        <v/>
      </c>
      <c r="F325" s="6" t="str">
        <f aca="false">IF($O325="","",INDEX(Scoring!$B$29:$B$361,MATCH($O325,Scoring!$AS$29:$AS$361,0)))</f>
        <v/>
      </c>
      <c r="G325" s="7" t="str">
        <f aca="false">IF($O325="","",INDEX(Scoring!$AG$29:$AG$361,MATCH($O325,Scoring!$AS$29:$AS$361,0)))</f>
        <v/>
      </c>
      <c r="H325" s="7" t="str">
        <f aca="false">IF($O325="","",INDEX(Scoring!$C$29:$C$361,MATCH($O325,Scoring!$AS$29:$AS$361,0)))</f>
        <v/>
      </c>
      <c r="I325" s="6" t="str">
        <f aca="false">IF($O325="","",INDEX(Scoring!$I$29:$I$361,MATCH($O325,Scoring!$AS$29:$AS$361,0)))</f>
        <v/>
      </c>
      <c r="J325" s="7" t="str">
        <f aca="false">IF($O325="","",INDEX(Scoring!$Z$29:$Z$361,MATCH($O325,Scoring!$AS$29:$AS$361,0)))</f>
        <v/>
      </c>
      <c r="K325" s="8" t="str">
        <f aca="false">IF($O325="","",IF(INDEX(Scoring!$D$29:$D$361,MATCH($O325,Scoring!$AS$29:$AS$361,0))="",INDEX(Scoring!$AF$29:$AF$361,MATCH($O325,Scoring!$AS$29:$AS$361,0)),INDEX(Scoring!$D$29:$D$361,MATCH($O325,Scoring!$AS$29:$AS$361,0))))</f>
        <v/>
      </c>
      <c r="L325" s="9" t="str">
        <f aca="false">IF($O325="","",INDEX(Scoring!$L$29:$L$361,MATCH($O325,Scoring!$AS$29:$AS$361,0)))</f>
        <v/>
      </c>
      <c r="M325" s="9" t="str">
        <f aca="false">IF($O325="","",INDEX(Scoring!$N$29:$N$361,MATCH($O325,Scoring!$AS$29:$AS$361,0)))</f>
        <v/>
      </c>
      <c r="N325" s="7" t="str">
        <f aca="false">IF($O325="","",INDEX(Scoring!$AI$29:$AI$361,MATCH($O325,Scoring!$AS$29:$AS$361,0)))</f>
        <v/>
      </c>
      <c r="O325" s="10" t="str">
        <f aca="false">IFERROR(SMALL(Scoring!$AS$29:$AS$361,321),"")</f>
        <v/>
      </c>
    </row>
    <row r="326" customFormat="false" ht="15" hidden="false" customHeight="false" outlineLevel="0" collapsed="false">
      <c r="A326" s="5" t="str">
        <f aca="false">IF($O326="","",INT($O326/1000))</f>
        <v/>
      </c>
      <c r="B326" s="6" t="str">
        <f aca="false">IF($O326="","",INDEX(Scoring!$A$29:$A$361,MATCH($O326,Scoring!$AS$29:$AS$361,0)))</f>
        <v/>
      </c>
      <c r="C326" s="5" t="str">
        <f aca="false">IF($O326="","",IF(INDEX(Scoring!$AM$29:$AM$361,MATCH($O326,Scoring!$AS$29:$AS$361,0))="","–",INDEX(Scoring!$AM$29:$AM$361,MATCH($O326,Scoring!$AS$29:$AS$361,0))))</f>
        <v/>
      </c>
      <c r="D326" s="6" t="str">
        <f aca="false">IF($O326="","",INDEX(Scoring!$AK$29:$AK$361,MATCH($O326,Scoring!$AS$29:$AS$361,0)))</f>
        <v/>
      </c>
      <c r="E326" s="7" t="str">
        <f aca="false">IF($O326="","",INDEX(Scoring!$AL$29:$AL$361,MATCH($O326,Scoring!$AS$29:$AS$361,0)))</f>
        <v/>
      </c>
      <c r="F326" s="6" t="str">
        <f aca="false">IF($O326="","",INDEX(Scoring!$B$29:$B$361,MATCH($O326,Scoring!$AS$29:$AS$361,0)))</f>
        <v/>
      </c>
      <c r="G326" s="7" t="str">
        <f aca="false">IF($O326="","",INDEX(Scoring!$AG$29:$AG$361,MATCH($O326,Scoring!$AS$29:$AS$361,0)))</f>
        <v/>
      </c>
      <c r="H326" s="7" t="str">
        <f aca="false">IF($O326="","",INDEX(Scoring!$C$29:$C$361,MATCH($O326,Scoring!$AS$29:$AS$361,0)))</f>
        <v/>
      </c>
      <c r="I326" s="6" t="str">
        <f aca="false">IF($O326="","",INDEX(Scoring!$I$29:$I$361,MATCH($O326,Scoring!$AS$29:$AS$361,0)))</f>
        <v/>
      </c>
      <c r="J326" s="7" t="str">
        <f aca="false">IF($O326="","",INDEX(Scoring!$Z$29:$Z$361,MATCH($O326,Scoring!$AS$29:$AS$361,0)))</f>
        <v/>
      </c>
      <c r="K326" s="8" t="str">
        <f aca="false">IF($O326="","",IF(INDEX(Scoring!$D$29:$D$361,MATCH($O326,Scoring!$AS$29:$AS$361,0))="",INDEX(Scoring!$AF$29:$AF$361,MATCH($O326,Scoring!$AS$29:$AS$361,0)),INDEX(Scoring!$D$29:$D$361,MATCH($O326,Scoring!$AS$29:$AS$361,0))))</f>
        <v/>
      </c>
      <c r="L326" s="9" t="str">
        <f aca="false">IF($O326="","",INDEX(Scoring!$L$29:$L$361,MATCH($O326,Scoring!$AS$29:$AS$361,0)))</f>
        <v/>
      </c>
      <c r="M326" s="9" t="str">
        <f aca="false">IF($O326="","",INDEX(Scoring!$N$29:$N$361,MATCH($O326,Scoring!$AS$29:$AS$361,0)))</f>
        <v/>
      </c>
      <c r="N326" s="7" t="str">
        <f aca="false">IF($O326="","",INDEX(Scoring!$AI$29:$AI$361,MATCH($O326,Scoring!$AS$29:$AS$361,0)))</f>
        <v/>
      </c>
      <c r="O326" s="10" t="str">
        <f aca="false">IFERROR(SMALL(Scoring!$AS$29:$AS$361,322),"")</f>
        <v/>
      </c>
    </row>
    <row r="327" customFormat="false" ht="15" hidden="false" customHeight="false" outlineLevel="0" collapsed="false">
      <c r="A327" s="5" t="str">
        <f aca="false">IF($O327="","",INT($O327/1000))</f>
        <v/>
      </c>
      <c r="B327" s="6" t="str">
        <f aca="false">IF($O327="","",INDEX(Scoring!$A$29:$A$361,MATCH($O327,Scoring!$AS$29:$AS$361,0)))</f>
        <v/>
      </c>
      <c r="C327" s="5" t="str">
        <f aca="false">IF($O327="","",IF(INDEX(Scoring!$AM$29:$AM$361,MATCH($O327,Scoring!$AS$29:$AS$361,0))="","–",INDEX(Scoring!$AM$29:$AM$361,MATCH($O327,Scoring!$AS$29:$AS$361,0))))</f>
        <v/>
      </c>
      <c r="D327" s="6" t="str">
        <f aca="false">IF($O327="","",INDEX(Scoring!$AK$29:$AK$361,MATCH($O327,Scoring!$AS$29:$AS$361,0)))</f>
        <v/>
      </c>
      <c r="E327" s="7" t="str">
        <f aca="false">IF($O327="","",INDEX(Scoring!$AL$29:$AL$361,MATCH($O327,Scoring!$AS$29:$AS$361,0)))</f>
        <v/>
      </c>
      <c r="F327" s="6" t="str">
        <f aca="false">IF($O327="","",INDEX(Scoring!$B$29:$B$361,MATCH($O327,Scoring!$AS$29:$AS$361,0)))</f>
        <v/>
      </c>
      <c r="G327" s="7" t="str">
        <f aca="false">IF($O327="","",INDEX(Scoring!$AG$29:$AG$361,MATCH($O327,Scoring!$AS$29:$AS$361,0)))</f>
        <v/>
      </c>
      <c r="H327" s="7" t="str">
        <f aca="false">IF($O327="","",INDEX(Scoring!$C$29:$C$361,MATCH($O327,Scoring!$AS$29:$AS$361,0)))</f>
        <v/>
      </c>
      <c r="I327" s="6" t="str">
        <f aca="false">IF($O327="","",INDEX(Scoring!$I$29:$I$361,MATCH($O327,Scoring!$AS$29:$AS$361,0)))</f>
        <v/>
      </c>
      <c r="J327" s="7" t="str">
        <f aca="false">IF($O327="","",INDEX(Scoring!$Z$29:$Z$361,MATCH($O327,Scoring!$AS$29:$AS$361,0)))</f>
        <v/>
      </c>
      <c r="K327" s="8" t="str">
        <f aca="false">IF($O327="","",IF(INDEX(Scoring!$D$29:$D$361,MATCH($O327,Scoring!$AS$29:$AS$361,0))="",INDEX(Scoring!$AF$29:$AF$361,MATCH($O327,Scoring!$AS$29:$AS$361,0)),INDEX(Scoring!$D$29:$D$361,MATCH($O327,Scoring!$AS$29:$AS$361,0))))</f>
        <v/>
      </c>
      <c r="L327" s="9" t="str">
        <f aca="false">IF($O327="","",INDEX(Scoring!$L$29:$L$361,MATCH($O327,Scoring!$AS$29:$AS$361,0)))</f>
        <v/>
      </c>
      <c r="M327" s="9" t="str">
        <f aca="false">IF($O327="","",INDEX(Scoring!$N$29:$N$361,MATCH($O327,Scoring!$AS$29:$AS$361,0)))</f>
        <v/>
      </c>
      <c r="N327" s="7" t="str">
        <f aca="false">IF($O327="","",INDEX(Scoring!$AI$29:$AI$361,MATCH($O327,Scoring!$AS$29:$AS$361,0)))</f>
        <v/>
      </c>
      <c r="O327" s="10" t="str">
        <f aca="false">IFERROR(SMALL(Scoring!$AS$29:$AS$361,323),"")</f>
        <v/>
      </c>
    </row>
    <row r="328" customFormat="false" ht="15" hidden="false" customHeight="false" outlineLevel="0" collapsed="false">
      <c r="A328" s="5" t="str">
        <f aca="false">IF($O328="","",INT($O328/1000))</f>
        <v/>
      </c>
      <c r="B328" s="6" t="str">
        <f aca="false">IF($O328="","",INDEX(Scoring!$A$29:$A$361,MATCH($O328,Scoring!$AS$29:$AS$361,0)))</f>
        <v/>
      </c>
      <c r="C328" s="5" t="str">
        <f aca="false">IF($O328="","",IF(INDEX(Scoring!$AM$29:$AM$361,MATCH($O328,Scoring!$AS$29:$AS$361,0))="","–",INDEX(Scoring!$AM$29:$AM$361,MATCH($O328,Scoring!$AS$29:$AS$361,0))))</f>
        <v/>
      </c>
      <c r="D328" s="6" t="str">
        <f aca="false">IF($O328="","",INDEX(Scoring!$AK$29:$AK$361,MATCH($O328,Scoring!$AS$29:$AS$361,0)))</f>
        <v/>
      </c>
      <c r="E328" s="7" t="str">
        <f aca="false">IF($O328="","",INDEX(Scoring!$AL$29:$AL$361,MATCH($O328,Scoring!$AS$29:$AS$361,0)))</f>
        <v/>
      </c>
      <c r="F328" s="6" t="str">
        <f aca="false">IF($O328="","",INDEX(Scoring!$B$29:$B$361,MATCH($O328,Scoring!$AS$29:$AS$361,0)))</f>
        <v/>
      </c>
      <c r="G328" s="7" t="str">
        <f aca="false">IF($O328="","",INDEX(Scoring!$AG$29:$AG$361,MATCH($O328,Scoring!$AS$29:$AS$361,0)))</f>
        <v/>
      </c>
      <c r="H328" s="7" t="str">
        <f aca="false">IF($O328="","",INDEX(Scoring!$C$29:$C$361,MATCH($O328,Scoring!$AS$29:$AS$361,0)))</f>
        <v/>
      </c>
      <c r="I328" s="6" t="str">
        <f aca="false">IF($O328="","",INDEX(Scoring!$I$29:$I$361,MATCH($O328,Scoring!$AS$29:$AS$361,0)))</f>
        <v/>
      </c>
      <c r="J328" s="7" t="str">
        <f aca="false">IF($O328="","",INDEX(Scoring!$Z$29:$Z$361,MATCH($O328,Scoring!$AS$29:$AS$361,0)))</f>
        <v/>
      </c>
      <c r="K328" s="8" t="str">
        <f aca="false">IF($O328="","",IF(INDEX(Scoring!$D$29:$D$361,MATCH($O328,Scoring!$AS$29:$AS$361,0))="",INDEX(Scoring!$AF$29:$AF$361,MATCH($O328,Scoring!$AS$29:$AS$361,0)),INDEX(Scoring!$D$29:$D$361,MATCH($O328,Scoring!$AS$29:$AS$361,0))))</f>
        <v/>
      </c>
      <c r="L328" s="9" t="str">
        <f aca="false">IF($O328="","",INDEX(Scoring!$L$29:$L$361,MATCH($O328,Scoring!$AS$29:$AS$361,0)))</f>
        <v/>
      </c>
      <c r="M328" s="9" t="str">
        <f aca="false">IF($O328="","",INDEX(Scoring!$N$29:$N$361,MATCH($O328,Scoring!$AS$29:$AS$361,0)))</f>
        <v/>
      </c>
      <c r="N328" s="7" t="str">
        <f aca="false">IF($O328="","",INDEX(Scoring!$AI$29:$AI$361,MATCH($O328,Scoring!$AS$29:$AS$361,0)))</f>
        <v/>
      </c>
      <c r="O328" s="10" t="str">
        <f aca="false">IFERROR(SMALL(Scoring!$AS$29:$AS$361,324),"")</f>
        <v/>
      </c>
    </row>
    <row r="329" customFormat="false" ht="15" hidden="false" customHeight="false" outlineLevel="0" collapsed="false">
      <c r="A329" s="5" t="str">
        <f aca="false">IF($O329="","",INT($O329/1000))</f>
        <v/>
      </c>
      <c r="B329" s="6" t="str">
        <f aca="false">IF($O329="","",INDEX(Scoring!$A$29:$A$361,MATCH($O329,Scoring!$AS$29:$AS$361,0)))</f>
        <v/>
      </c>
      <c r="C329" s="5" t="str">
        <f aca="false">IF($O329="","",IF(INDEX(Scoring!$AM$29:$AM$361,MATCH($O329,Scoring!$AS$29:$AS$361,0))="","–",INDEX(Scoring!$AM$29:$AM$361,MATCH($O329,Scoring!$AS$29:$AS$361,0))))</f>
        <v/>
      </c>
      <c r="D329" s="6" t="str">
        <f aca="false">IF($O329="","",INDEX(Scoring!$AK$29:$AK$361,MATCH($O329,Scoring!$AS$29:$AS$361,0)))</f>
        <v/>
      </c>
      <c r="E329" s="7" t="str">
        <f aca="false">IF($O329="","",INDEX(Scoring!$AL$29:$AL$361,MATCH($O329,Scoring!$AS$29:$AS$361,0)))</f>
        <v/>
      </c>
      <c r="F329" s="6" t="str">
        <f aca="false">IF($O329="","",INDEX(Scoring!$B$29:$B$361,MATCH($O329,Scoring!$AS$29:$AS$361,0)))</f>
        <v/>
      </c>
      <c r="G329" s="7" t="str">
        <f aca="false">IF($O329="","",INDEX(Scoring!$AG$29:$AG$361,MATCH($O329,Scoring!$AS$29:$AS$361,0)))</f>
        <v/>
      </c>
      <c r="H329" s="7" t="str">
        <f aca="false">IF($O329="","",INDEX(Scoring!$C$29:$C$361,MATCH($O329,Scoring!$AS$29:$AS$361,0)))</f>
        <v/>
      </c>
      <c r="I329" s="6" t="str">
        <f aca="false">IF($O329="","",INDEX(Scoring!$I$29:$I$361,MATCH($O329,Scoring!$AS$29:$AS$361,0)))</f>
        <v/>
      </c>
      <c r="J329" s="7" t="str">
        <f aca="false">IF($O329="","",INDEX(Scoring!$Z$29:$Z$361,MATCH($O329,Scoring!$AS$29:$AS$361,0)))</f>
        <v/>
      </c>
      <c r="K329" s="8" t="str">
        <f aca="false">IF($O329="","",IF(INDEX(Scoring!$D$29:$D$361,MATCH($O329,Scoring!$AS$29:$AS$361,0))="",INDEX(Scoring!$AF$29:$AF$361,MATCH($O329,Scoring!$AS$29:$AS$361,0)),INDEX(Scoring!$D$29:$D$361,MATCH($O329,Scoring!$AS$29:$AS$361,0))))</f>
        <v/>
      </c>
      <c r="L329" s="9" t="str">
        <f aca="false">IF($O329="","",INDEX(Scoring!$L$29:$L$361,MATCH($O329,Scoring!$AS$29:$AS$361,0)))</f>
        <v/>
      </c>
      <c r="M329" s="9" t="str">
        <f aca="false">IF($O329="","",INDEX(Scoring!$N$29:$N$361,MATCH($O329,Scoring!$AS$29:$AS$361,0)))</f>
        <v/>
      </c>
      <c r="N329" s="7" t="str">
        <f aca="false">IF($O329="","",INDEX(Scoring!$AI$29:$AI$361,MATCH($O329,Scoring!$AS$29:$AS$361,0)))</f>
        <v/>
      </c>
      <c r="O329" s="10" t="str">
        <f aca="false">IFERROR(SMALL(Scoring!$AS$29:$AS$361,325),"")</f>
        <v/>
      </c>
    </row>
    <row r="330" customFormat="false" ht="15" hidden="false" customHeight="false" outlineLevel="0" collapsed="false">
      <c r="A330" s="5" t="str">
        <f aca="false">IF($O330="","",INT($O330/1000))</f>
        <v/>
      </c>
      <c r="B330" s="6" t="str">
        <f aca="false">IF($O330="","",INDEX(Scoring!$A$29:$A$361,MATCH($O330,Scoring!$AS$29:$AS$361,0)))</f>
        <v/>
      </c>
      <c r="C330" s="5" t="str">
        <f aca="false">IF($O330="","",IF(INDEX(Scoring!$AM$29:$AM$361,MATCH($O330,Scoring!$AS$29:$AS$361,0))="","–",INDEX(Scoring!$AM$29:$AM$361,MATCH($O330,Scoring!$AS$29:$AS$361,0))))</f>
        <v/>
      </c>
      <c r="D330" s="6" t="str">
        <f aca="false">IF($O330="","",INDEX(Scoring!$AK$29:$AK$361,MATCH($O330,Scoring!$AS$29:$AS$361,0)))</f>
        <v/>
      </c>
      <c r="E330" s="7" t="str">
        <f aca="false">IF($O330="","",INDEX(Scoring!$AL$29:$AL$361,MATCH($O330,Scoring!$AS$29:$AS$361,0)))</f>
        <v/>
      </c>
      <c r="F330" s="6" t="str">
        <f aca="false">IF($O330="","",INDEX(Scoring!$B$29:$B$361,MATCH($O330,Scoring!$AS$29:$AS$361,0)))</f>
        <v/>
      </c>
      <c r="G330" s="7" t="str">
        <f aca="false">IF($O330="","",INDEX(Scoring!$AG$29:$AG$361,MATCH($O330,Scoring!$AS$29:$AS$361,0)))</f>
        <v/>
      </c>
      <c r="H330" s="7" t="str">
        <f aca="false">IF($O330="","",INDEX(Scoring!$C$29:$C$361,MATCH($O330,Scoring!$AS$29:$AS$361,0)))</f>
        <v/>
      </c>
      <c r="I330" s="6" t="str">
        <f aca="false">IF($O330="","",INDEX(Scoring!$I$29:$I$361,MATCH($O330,Scoring!$AS$29:$AS$361,0)))</f>
        <v/>
      </c>
      <c r="J330" s="7" t="str">
        <f aca="false">IF($O330="","",INDEX(Scoring!$Z$29:$Z$361,MATCH($O330,Scoring!$AS$29:$AS$361,0)))</f>
        <v/>
      </c>
      <c r="K330" s="8" t="str">
        <f aca="false">IF($O330="","",IF(INDEX(Scoring!$D$29:$D$361,MATCH($O330,Scoring!$AS$29:$AS$361,0))="",INDEX(Scoring!$AF$29:$AF$361,MATCH($O330,Scoring!$AS$29:$AS$361,0)),INDEX(Scoring!$D$29:$D$361,MATCH($O330,Scoring!$AS$29:$AS$361,0))))</f>
        <v/>
      </c>
      <c r="L330" s="9" t="str">
        <f aca="false">IF($O330="","",INDEX(Scoring!$L$29:$L$361,MATCH($O330,Scoring!$AS$29:$AS$361,0)))</f>
        <v/>
      </c>
      <c r="M330" s="9" t="str">
        <f aca="false">IF($O330="","",INDEX(Scoring!$N$29:$N$361,MATCH($O330,Scoring!$AS$29:$AS$361,0)))</f>
        <v/>
      </c>
      <c r="N330" s="7" t="str">
        <f aca="false">IF($O330="","",INDEX(Scoring!$AI$29:$AI$361,MATCH($O330,Scoring!$AS$29:$AS$361,0)))</f>
        <v/>
      </c>
      <c r="O330" s="10" t="str">
        <f aca="false">IFERROR(SMALL(Scoring!$AS$29:$AS$361,326),"")</f>
        <v/>
      </c>
    </row>
    <row r="331" customFormat="false" ht="15" hidden="false" customHeight="false" outlineLevel="0" collapsed="false">
      <c r="A331" s="5" t="str">
        <f aca="false">IF($O331="","",INT($O331/1000))</f>
        <v/>
      </c>
      <c r="B331" s="6" t="str">
        <f aca="false">IF($O331="","",INDEX(Scoring!$A$29:$A$361,MATCH($O331,Scoring!$AS$29:$AS$361,0)))</f>
        <v/>
      </c>
      <c r="C331" s="5" t="str">
        <f aca="false">IF($O331="","",IF(INDEX(Scoring!$AM$29:$AM$361,MATCH($O331,Scoring!$AS$29:$AS$361,0))="","–",INDEX(Scoring!$AM$29:$AM$361,MATCH($O331,Scoring!$AS$29:$AS$361,0))))</f>
        <v/>
      </c>
      <c r="D331" s="6" t="str">
        <f aca="false">IF($O331="","",INDEX(Scoring!$AK$29:$AK$361,MATCH($O331,Scoring!$AS$29:$AS$361,0)))</f>
        <v/>
      </c>
      <c r="E331" s="7" t="str">
        <f aca="false">IF($O331="","",INDEX(Scoring!$AL$29:$AL$361,MATCH($O331,Scoring!$AS$29:$AS$361,0)))</f>
        <v/>
      </c>
      <c r="F331" s="6" t="str">
        <f aca="false">IF($O331="","",INDEX(Scoring!$B$29:$B$361,MATCH($O331,Scoring!$AS$29:$AS$361,0)))</f>
        <v/>
      </c>
      <c r="G331" s="7" t="str">
        <f aca="false">IF($O331="","",INDEX(Scoring!$AG$29:$AG$361,MATCH($O331,Scoring!$AS$29:$AS$361,0)))</f>
        <v/>
      </c>
      <c r="H331" s="7" t="str">
        <f aca="false">IF($O331="","",INDEX(Scoring!$C$29:$C$361,MATCH($O331,Scoring!$AS$29:$AS$361,0)))</f>
        <v/>
      </c>
      <c r="I331" s="6" t="str">
        <f aca="false">IF($O331="","",INDEX(Scoring!$I$29:$I$361,MATCH($O331,Scoring!$AS$29:$AS$361,0)))</f>
        <v/>
      </c>
      <c r="J331" s="7" t="str">
        <f aca="false">IF($O331="","",INDEX(Scoring!$Z$29:$Z$361,MATCH($O331,Scoring!$AS$29:$AS$361,0)))</f>
        <v/>
      </c>
      <c r="K331" s="8" t="str">
        <f aca="false">IF($O331="","",IF(INDEX(Scoring!$D$29:$D$361,MATCH($O331,Scoring!$AS$29:$AS$361,0))="",INDEX(Scoring!$AF$29:$AF$361,MATCH($O331,Scoring!$AS$29:$AS$361,0)),INDEX(Scoring!$D$29:$D$361,MATCH($O331,Scoring!$AS$29:$AS$361,0))))</f>
        <v/>
      </c>
      <c r="L331" s="9" t="str">
        <f aca="false">IF($O331="","",INDEX(Scoring!$L$29:$L$361,MATCH($O331,Scoring!$AS$29:$AS$361,0)))</f>
        <v/>
      </c>
      <c r="M331" s="9" t="str">
        <f aca="false">IF($O331="","",INDEX(Scoring!$N$29:$N$361,MATCH($O331,Scoring!$AS$29:$AS$361,0)))</f>
        <v/>
      </c>
      <c r="N331" s="7" t="str">
        <f aca="false">IF($O331="","",INDEX(Scoring!$AI$29:$AI$361,MATCH($O331,Scoring!$AS$29:$AS$361,0)))</f>
        <v/>
      </c>
      <c r="O331" s="10" t="str">
        <f aca="false">IFERROR(SMALL(Scoring!$AS$29:$AS$361,327),"")</f>
        <v/>
      </c>
    </row>
    <row r="332" customFormat="false" ht="15" hidden="false" customHeight="false" outlineLevel="0" collapsed="false">
      <c r="A332" s="5" t="str">
        <f aca="false">IF($O332="","",INT($O332/1000))</f>
        <v/>
      </c>
      <c r="B332" s="6" t="str">
        <f aca="false">IF($O332="","",INDEX(Scoring!$A$29:$A$361,MATCH($O332,Scoring!$AS$29:$AS$361,0)))</f>
        <v/>
      </c>
      <c r="C332" s="5" t="str">
        <f aca="false">IF($O332="","",IF(INDEX(Scoring!$AM$29:$AM$361,MATCH($O332,Scoring!$AS$29:$AS$361,0))="","–",INDEX(Scoring!$AM$29:$AM$361,MATCH($O332,Scoring!$AS$29:$AS$361,0))))</f>
        <v/>
      </c>
      <c r="D332" s="6" t="str">
        <f aca="false">IF($O332="","",INDEX(Scoring!$AK$29:$AK$361,MATCH($O332,Scoring!$AS$29:$AS$361,0)))</f>
        <v/>
      </c>
      <c r="E332" s="7" t="str">
        <f aca="false">IF($O332="","",INDEX(Scoring!$AL$29:$AL$361,MATCH($O332,Scoring!$AS$29:$AS$361,0)))</f>
        <v/>
      </c>
      <c r="F332" s="6" t="str">
        <f aca="false">IF($O332="","",INDEX(Scoring!$B$29:$B$361,MATCH($O332,Scoring!$AS$29:$AS$361,0)))</f>
        <v/>
      </c>
      <c r="G332" s="7" t="str">
        <f aca="false">IF($O332="","",INDEX(Scoring!$AG$29:$AG$361,MATCH($O332,Scoring!$AS$29:$AS$361,0)))</f>
        <v/>
      </c>
      <c r="H332" s="7" t="str">
        <f aca="false">IF($O332="","",INDEX(Scoring!$C$29:$C$361,MATCH($O332,Scoring!$AS$29:$AS$361,0)))</f>
        <v/>
      </c>
      <c r="I332" s="6" t="str">
        <f aca="false">IF($O332="","",INDEX(Scoring!$I$29:$I$361,MATCH($O332,Scoring!$AS$29:$AS$361,0)))</f>
        <v/>
      </c>
      <c r="J332" s="7" t="str">
        <f aca="false">IF($O332="","",INDEX(Scoring!$Z$29:$Z$361,MATCH($O332,Scoring!$AS$29:$AS$361,0)))</f>
        <v/>
      </c>
      <c r="K332" s="8" t="str">
        <f aca="false">IF($O332="","",IF(INDEX(Scoring!$D$29:$D$361,MATCH($O332,Scoring!$AS$29:$AS$361,0))="",INDEX(Scoring!$AF$29:$AF$361,MATCH($O332,Scoring!$AS$29:$AS$361,0)),INDEX(Scoring!$D$29:$D$361,MATCH($O332,Scoring!$AS$29:$AS$361,0))))</f>
        <v/>
      </c>
      <c r="L332" s="9" t="str">
        <f aca="false">IF($O332="","",INDEX(Scoring!$L$29:$L$361,MATCH($O332,Scoring!$AS$29:$AS$361,0)))</f>
        <v/>
      </c>
      <c r="M332" s="9" t="str">
        <f aca="false">IF($O332="","",INDEX(Scoring!$N$29:$N$361,MATCH($O332,Scoring!$AS$29:$AS$361,0)))</f>
        <v/>
      </c>
      <c r="N332" s="7" t="str">
        <f aca="false">IF($O332="","",INDEX(Scoring!$AI$29:$AI$361,MATCH($O332,Scoring!$AS$29:$AS$361,0)))</f>
        <v/>
      </c>
      <c r="O332" s="10" t="str">
        <f aca="false">IFERROR(SMALL(Scoring!$AS$29:$AS$361,328),"")</f>
        <v/>
      </c>
    </row>
    <row r="333" customFormat="false" ht="15" hidden="false" customHeight="false" outlineLevel="0" collapsed="false">
      <c r="A333" s="5" t="str">
        <f aca="false">IF($O333="","",INT($O333/1000))</f>
        <v/>
      </c>
      <c r="B333" s="6" t="str">
        <f aca="false">IF($O333="","",INDEX(Scoring!$A$29:$A$361,MATCH($O333,Scoring!$AS$29:$AS$361,0)))</f>
        <v/>
      </c>
      <c r="C333" s="5" t="str">
        <f aca="false">IF($O333="","",IF(INDEX(Scoring!$AM$29:$AM$361,MATCH($O333,Scoring!$AS$29:$AS$361,0))="","–",INDEX(Scoring!$AM$29:$AM$361,MATCH($O333,Scoring!$AS$29:$AS$361,0))))</f>
        <v/>
      </c>
      <c r="D333" s="6" t="str">
        <f aca="false">IF($O333="","",INDEX(Scoring!$AK$29:$AK$361,MATCH($O333,Scoring!$AS$29:$AS$361,0)))</f>
        <v/>
      </c>
      <c r="E333" s="7" t="str">
        <f aca="false">IF($O333="","",INDEX(Scoring!$AL$29:$AL$361,MATCH($O333,Scoring!$AS$29:$AS$361,0)))</f>
        <v/>
      </c>
      <c r="F333" s="6" t="str">
        <f aca="false">IF($O333="","",INDEX(Scoring!$B$29:$B$361,MATCH($O333,Scoring!$AS$29:$AS$361,0)))</f>
        <v/>
      </c>
      <c r="G333" s="7" t="str">
        <f aca="false">IF($O333="","",INDEX(Scoring!$AG$29:$AG$361,MATCH($O333,Scoring!$AS$29:$AS$361,0)))</f>
        <v/>
      </c>
      <c r="H333" s="7" t="str">
        <f aca="false">IF($O333="","",INDEX(Scoring!$C$29:$C$361,MATCH($O333,Scoring!$AS$29:$AS$361,0)))</f>
        <v/>
      </c>
      <c r="I333" s="6" t="str">
        <f aca="false">IF($O333="","",INDEX(Scoring!$I$29:$I$361,MATCH($O333,Scoring!$AS$29:$AS$361,0)))</f>
        <v/>
      </c>
      <c r="J333" s="7" t="str">
        <f aca="false">IF($O333="","",INDEX(Scoring!$Z$29:$Z$361,MATCH($O333,Scoring!$AS$29:$AS$361,0)))</f>
        <v/>
      </c>
      <c r="K333" s="8" t="str">
        <f aca="false">IF($O333="","",IF(INDEX(Scoring!$D$29:$D$361,MATCH($O333,Scoring!$AS$29:$AS$361,0))="",INDEX(Scoring!$AF$29:$AF$361,MATCH($O333,Scoring!$AS$29:$AS$361,0)),INDEX(Scoring!$D$29:$D$361,MATCH($O333,Scoring!$AS$29:$AS$361,0))))</f>
        <v/>
      </c>
      <c r="L333" s="9" t="str">
        <f aca="false">IF($O333="","",INDEX(Scoring!$L$29:$L$361,MATCH($O333,Scoring!$AS$29:$AS$361,0)))</f>
        <v/>
      </c>
      <c r="M333" s="9" t="str">
        <f aca="false">IF($O333="","",INDEX(Scoring!$N$29:$N$361,MATCH($O333,Scoring!$AS$29:$AS$361,0)))</f>
        <v/>
      </c>
      <c r="N333" s="7" t="str">
        <f aca="false">IF($O333="","",INDEX(Scoring!$AI$29:$AI$361,MATCH($O333,Scoring!$AS$29:$AS$361,0)))</f>
        <v/>
      </c>
      <c r="O333" s="10" t="str">
        <f aca="false">IFERROR(SMALL(Scoring!$AS$29:$AS$361,329),"")</f>
        <v/>
      </c>
    </row>
    <row r="334" customFormat="false" ht="15" hidden="false" customHeight="false" outlineLevel="0" collapsed="false">
      <c r="A334" s="5" t="str">
        <f aca="false">IF($O334="","",INT($O334/1000))</f>
        <v/>
      </c>
      <c r="B334" s="6" t="str">
        <f aca="false">IF($O334="","",INDEX(Scoring!$A$29:$A$361,MATCH($O334,Scoring!$AS$29:$AS$361,0)))</f>
        <v/>
      </c>
      <c r="C334" s="5" t="str">
        <f aca="false">IF($O334="","",IF(INDEX(Scoring!$AM$29:$AM$361,MATCH($O334,Scoring!$AS$29:$AS$361,0))="","–",INDEX(Scoring!$AM$29:$AM$361,MATCH($O334,Scoring!$AS$29:$AS$361,0))))</f>
        <v/>
      </c>
      <c r="D334" s="6" t="str">
        <f aca="false">IF($O334="","",INDEX(Scoring!$AK$29:$AK$361,MATCH($O334,Scoring!$AS$29:$AS$361,0)))</f>
        <v/>
      </c>
      <c r="E334" s="7" t="str">
        <f aca="false">IF($O334="","",INDEX(Scoring!$AL$29:$AL$361,MATCH($O334,Scoring!$AS$29:$AS$361,0)))</f>
        <v/>
      </c>
      <c r="F334" s="6" t="str">
        <f aca="false">IF($O334="","",INDEX(Scoring!$B$29:$B$361,MATCH($O334,Scoring!$AS$29:$AS$361,0)))</f>
        <v/>
      </c>
      <c r="G334" s="7" t="str">
        <f aca="false">IF($O334="","",INDEX(Scoring!$AG$29:$AG$361,MATCH($O334,Scoring!$AS$29:$AS$361,0)))</f>
        <v/>
      </c>
      <c r="H334" s="7" t="str">
        <f aca="false">IF($O334="","",INDEX(Scoring!$C$29:$C$361,MATCH($O334,Scoring!$AS$29:$AS$361,0)))</f>
        <v/>
      </c>
      <c r="I334" s="6" t="str">
        <f aca="false">IF($O334="","",INDEX(Scoring!$I$29:$I$361,MATCH($O334,Scoring!$AS$29:$AS$361,0)))</f>
        <v/>
      </c>
      <c r="J334" s="7" t="str">
        <f aca="false">IF($O334="","",INDEX(Scoring!$Z$29:$Z$361,MATCH($O334,Scoring!$AS$29:$AS$361,0)))</f>
        <v/>
      </c>
      <c r="K334" s="8" t="str">
        <f aca="false">IF($O334="","",IF(INDEX(Scoring!$D$29:$D$361,MATCH($O334,Scoring!$AS$29:$AS$361,0))="",INDEX(Scoring!$AF$29:$AF$361,MATCH($O334,Scoring!$AS$29:$AS$361,0)),INDEX(Scoring!$D$29:$D$361,MATCH($O334,Scoring!$AS$29:$AS$361,0))))</f>
        <v/>
      </c>
      <c r="L334" s="9" t="str">
        <f aca="false">IF($O334="","",INDEX(Scoring!$L$29:$L$361,MATCH($O334,Scoring!$AS$29:$AS$361,0)))</f>
        <v/>
      </c>
      <c r="M334" s="9" t="str">
        <f aca="false">IF($O334="","",INDEX(Scoring!$N$29:$N$361,MATCH($O334,Scoring!$AS$29:$AS$361,0)))</f>
        <v/>
      </c>
      <c r="N334" s="7" t="str">
        <f aca="false">IF($O334="","",INDEX(Scoring!$AI$29:$AI$361,MATCH($O334,Scoring!$AS$29:$AS$361,0)))</f>
        <v/>
      </c>
      <c r="O334" s="10" t="str">
        <f aca="false">IFERROR(SMALL(Scoring!$AS$29:$AS$361,330),"")</f>
        <v/>
      </c>
    </row>
    <row r="335" customFormat="false" ht="15" hidden="false" customHeight="false" outlineLevel="0" collapsed="false">
      <c r="A335" s="5" t="str">
        <f aca="false">IF($O335="","",INT($O335/1000))</f>
        <v/>
      </c>
      <c r="B335" s="6" t="str">
        <f aca="false">IF($O335="","",INDEX(Scoring!$A$29:$A$361,MATCH($O335,Scoring!$AS$29:$AS$361,0)))</f>
        <v/>
      </c>
      <c r="C335" s="5" t="str">
        <f aca="false">IF($O335="","",IF(INDEX(Scoring!$AM$29:$AM$361,MATCH($O335,Scoring!$AS$29:$AS$361,0))="","–",INDEX(Scoring!$AM$29:$AM$361,MATCH($O335,Scoring!$AS$29:$AS$361,0))))</f>
        <v/>
      </c>
      <c r="D335" s="6" t="str">
        <f aca="false">IF($O335="","",INDEX(Scoring!$AK$29:$AK$361,MATCH($O335,Scoring!$AS$29:$AS$361,0)))</f>
        <v/>
      </c>
      <c r="E335" s="7" t="str">
        <f aca="false">IF($O335="","",INDEX(Scoring!$AL$29:$AL$361,MATCH($O335,Scoring!$AS$29:$AS$361,0)))</f>
        <v/>
      </c>
      <c r="F335" s="6" t="str">
        <f aca="false">IF($O335="","",INDEX(Scoring!$B$29:$B$361,MATCH($O335,Scoring!$AS$29:$AS$361,0)))</f>
        <v/>
      </c>
      <c r="G335" s="7" t="str">
        <f aca="false">IF($O335="","",INDEX(Scoring!$AG$29:$AG$361,MATCH($O335,Scoring!$AS$29:$AS$361,0)))</f>
        <v/>
      </c>
      <c r="H335" s="7" t="str">
        <f aca="false">IF($O335="","",INDEX(Scoring!$C$29:$C$361,MATCH($O335,Scoring!$AS$29:$AS$361,0)))</f>
        <v/>
      </c>
      <c r="I335" s="6" t="str">
        <f aca="false">IF($O335="","",INDEX(Scoring!$I$29:$I$361,MATCH($O335,Scoring!$AS$29:$AS$361,0)))</f>
        <v/>
      </c>
      <c r="J335" s="7" t="str">
        <f aca="false">IF($O335="","",INDEX(Scoring!$Z$29:$Z$361,MATCH($O335,Scoring!$AS$29:$AS$361,0)))</f>
        <v/>
      </c>
      <c r="K335" s="8" t="str">
        <f aca="false">IF($O335="","",IF(INDEX(Scoring!$D$29:$D$361,MATCH($O335,Scoring!$AS$29:$AS$361,0))="",INDEX(Scoring!$AF$29:$AF$361,MATCH($O335,Scoring!$AS$29:$AS$361,0)),INDEX(Scoring!$D$29:$D$361,MATCH($O335,Scoring!$AS$29:$AS$361,0))))</f>
        <v/>
      </c>
      <c r="L335" s="9" t="str">
        <f aca="false">IF($O335="","",INDEX(Scoring!$L$29:$L$361,MATCH($O335,Scoring!$AS$29:$AS$361,0)))</f>
        <v/>
      </c>
      <c r="M335" s="9" t="str">
        <f aca="false">IF($O335="","",INDEX(Scoring!$N$29:$N$361,MATCH($O335,Scoring!$AS$29:$AS$361,0)))</f>
        <v/>
      </c>
      <c r="N335" s="7" t="str">
        <f aca="false">IF($O335="","",INDEX(Scoring!$AI$29:$AI$361,MATCH($O335,Scoring!$AS$29:$AS$361,0)))</f>
        <v/>
      </c>
      <c r="O335" s="10" t="str">
        <f aca="false">IFERROR(SMALL(Scoring!$AS$29:$AS$361,331),"")</f>
        <v/>
      </c>
    </row>
    <row r="336" customFormat="false" ht="15" hidden="false" customHeight="false" outlineLevel="0" collapsed="false">
      <c r="A336" s="5" t="str">
        <f aca="false">IF($O336="","",INT($O336/1000))</f>
        <v/>
      </c>
      <c r="B336" s="6" t="str">
        <f aca="false">IF($O336="","",INDEX(Scoring!$A$29:$A$361,MATCH($O336,Scoring!$AS$29:$AS$361,0)))</f>
        <v/>
      </c>
      <c r="C336" s="5" t="str">
        <f aca="false">IF($O336="","",IF(INDEX(Scoring!$AM$29:$AM$361,MATCH($O336,Scoring!$AS$29:$AS$361,0))="","–",INDEX(Scoring!$AM$29:$AM$361,MATCH($O336,Scoring!$AS$29:$AS$361,0))))</f>
        <v/>
      </c>
      <c r="D336" s="6" t="str">
        <f aca="false">IF($O336="","",INDEX(Scoring!$AK$29:$AK$361,MATCH($O336,Scoring!$AS$29:$AS$361,0)))</f>
        <v/>
      </c>
      <c r="E336" s="7" t="str">
        <f aca="false">IF($O336="","",INDEX(Scoring!$AL$29:$AL$361,MATCH($O336,Scoring!$AS$29:$AS$361,0)))</f>
        <v/>
      </c>
      <c r="F336" s="6" t="str">
        <f aca="false">IF($O336="","",INDEX(Scoring!$B$29:$B$361,MATCH($O336,Scoring!$AS$29:$AS$361,0)))</f>
        <v/>
      </c>
      <c r="G336" s="7" t="str">
        <f aca="false">IF($O336="","",INDEX(Scoring!$AG$29:$AG$361,MATCH($O336,Scoring!$AS$29:$AS$361,0)))</f>
        <v/>
      </c>
      <c r="H336" s="7" t="str">
        <f aca="false">IF($O336="","",INDEX(Scoring!$C$29:$C$361,MATCH($O336,Scoring!$AS$29:$AS$361,0)))</f>
        <v/>
      </c>
      <c r="I336" s="6" t="str">
        <f aca="false">IF($O336="","",INDEX(Scoring!$I$29:$I$361,MATCH($O336,Scoring!$AS$29:$AS$361,0)))</f>
        <v/>
      </c>
      <c r="J336" s="7" t="str">
        <f aca="false">IF($O336="","",INDEX(Scoring!$Z$29:$Z$361,MATCH($O336,Scoring!$AS$29:$AS$361,0)))</f>
        <v/>
      </c>
      <c r="K336" s="8" t="str">
        <f aca="false">IF($O336="","",IF(INDEX(Scoring!$D$29:$D$361,MATCH($O336,Scoring!$AS$29:$AS$361,0))="",INDEX(Scoring!$AF$29:$AF$361,MATCH($O336,Scoring!$AS$29:$AS$361,0)),INDEX(Scoring!$D$29:$D$361,MATCH($O336,Scoring!$AS$29:$AS$361,0))))</f>
        <v/>
      </c>
      <c r="L336" s="9" t="str">
        <f aca="false">IF($O336="","",INDEX(Scoring!$L$29:$L$361,MATCH($O336,Scoring!$AS$29:$AS$361,0)))</f>
        <v/>
      </c>
      <c r="M336" s="9" t="str">
        <f aca="false">IF($O336="","",INDEX(Scoring!$N$29:$N$361,MATCH($O336,Scoring!$AS$29:$AS$361,0)))</f>
        <v/>
      </c>
      <c r="N336" s="7" t="str">
        <f aca="false">IF($O336="","",INDEX(Scoring!$AI$29:$AI$361,MATCH($O336,Scoring!$AS$29:$AS$361,0)))</f>
        <v/>
      </c>
      <c r="O336" s="10" t="str">
        <f aca="false">IFERROR(SMALL(Scoring!$AS$29:$AS$361,332),"")</f>
        <v/>
      </c>
    </row>
    <row r="337" customFormat="false" ht="15" hidden="false" customHeight="false" outlineLevel="0" collapsed="false">
      <c r="A337" s="5" t="str">
        <f aca="false">IF($O337="","",INT($O337/1000))</f>
        <v/>
      </c>
      <c r="B337" s="6" t="str">
        <f aca="false">IF($O337="","",INDEX(Scoring!$A$29:$A$361,MATCH($O337,Scoring!$AS$29:$AS$361,0)))</f>
        <v/>
      </c>
      <c r="C337" s="5" t="str">
        <f aca="false">IF($O337="","",IF(INDEX(Scoring!$AM$29:$AM$361,MATCH($O337,Scoring!$AS$29:$AS$361,0))="","–",INDEX(Scoring!$AM$29:$AM$361,MATCH($O337,Scoring!$AS$29:$AS$361,0))))</f>
        <v/>
      </c>
      <c r="D337" s="6" t="str">
        <f aca="false">IF($O337="","",INDEX(Scoring!$AK$29:$AK$361,MATCH($O337,Scoring!$AS$29:$AS$361,0)))</f>
        <v/>
      </c>
      <c r="E337" s="7" t="str">
        <f aca="false">IF($O337="","",INDEX(Scoring!$AL$29:$AL$361,MATCH($O337,Scoring!$AS$29:$AS$361,0)))</f>
        <v/>
      </c>
      <c r="F337" s="6" t="str">
        <f aca="false">IF($O337="","",INDEX(Scoring!$B$29:$B$361,MATCH($O337,Scoring!$AS$29:$AS$361,0)))</f>
        <v/>
      </c>
      <c r="G337" s="7" t="str">
        <f aca="false">IF($O337="","",INDEX(Scoring!$AG$29:$AG$361,MATCH($O337,Scoring!$AS$29:$AS$361,0)))</f>
        <v/>
      </c>
      <c r="H337" s="7" t="str">
        <f aca="false">IF($O337="","",INDEX(Scoring!$C$29:$C$361,MATCH($O337,Scoring!$AS$29:$AS$361,0)))</f>
        <v/>
      </c>
      <c r="I337" s="6" t="str">
        <f aca="false">IF($O337="","",INDEX(Scoring!$I$29:$I$361,MATCH($O337,Scoring!$AS$29:$AS$361,0)))</f>
        <v/>
      </c>
      <c r="J337" s="7" t="str">
        <f aca="false">IF($O337="","",INDEX(Scoring!$Z$29:$Z$361,MATCH($O337,Scoring!$AS$29:$AS$361,0)))</f>
        <v/>
      </c>
      <c r="K337" s="8" t="str">
        <f aca="false">IF($O337="","",IF(INDEX(Scoring!$D$29:$D$361,MATCH($O337,Scoring!$AS$29:$AS$361,0))="",INDEX(Scoring!$AF$29:$AF$361,MATCH($O337,Scoring!$AS$29:$AS$361,0)),INDEX(Scoring!$D$29:$D$361,MATCH($O337,Scoring!$AS$29:$AS$361,0))))</f>
        <v/>
      </c>
      <c r="L337" s="9" t="str">
        <f aca="false">IF($O337="","",INDEX(Scoring!$L$29:$L$361,MATCH($O337,Scoring!$AS$29:$AS$361,0)))</f>
        <v/>
      </c>
      <c r="M337" s="9" t="str">
        <f aca="false">IF($O337="","",INDEX(Scoring!$N$29:$N$361,MATCH($O337,Scoring!$AS$29:$AS$361,0)))</f>
        <v/>
      </c>
      <c r="N337" s="7" t="str">
        <f aca="false">IF($O337="","",INDEX(Scoring!$AI$29:$AI$361,MATCH($O337,Scoring!$AS$29:$AS$361,0)))</f>
        <v/>
      </c>
      <c r="O337" s="10" t="str">
        <f aca="false">IFERROR(SMALL(Scoring!$AS$29:$AS$361,333),"")</f>
        <v/>
      </c>
    </row>
  </sheetData>
  <autoFilter ref="A4:O337"/>
  <conditionalFormatting sqref="A5:O337">
    <cfRule type="expression" priority="2" aboveAverage="0" equalAverage="0" bottom="0" percent="0" rank="0" text="" dxfId="4">
      <formula>AND($B5&lt;&gt;$B4,$B5&lt;&gt;"")</formula>
    </cfRule>
    <cfRule type="expression" priority="3" aboveAverage="0" equalAverage="0" bottom="0" percent="0" rank="0" text="" dxfId="5">
      <formula>$O5&lt;&gt;""</formula>
    </cfRule>
  </conditionalFormatting>
  <conditionalFormatting sqref="A5:B337">
    <cfRule type="expression" priority="4" aboveAverage="0" equalAverage="0" bottom="0" percent="0" rank="0" text="" dxfId="6">
      <formula>AND($B5=$B4,$B5&lt;&gt;"")</formula>
    </cfRule>
  </conditionalFormatting>
  <conditionalFormatting sqref="C5:N337">
    <cfRule type="expression" priority="5" aboveAverage="0" equalAverage="0" bottom="0" percent="0" rank="0" text="" dxfId="7">
      <formula>$D5="Priority 1"</formula>
    </cfRule>
    <cfRule type="expression" priority="6" aboveAverage="0" equalAverage="0" bottom="0" percent="0" rank="0" text="" dxfId="8">
      <formula>LEFT($D5,8)="Excluded"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Q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4"/>
    <col collapsed="false" customWidth="true" hidden="false" outlineLevel="0" max="3" min="3" style="0" width="18"/>
    <col collapsed="false" customWidth="true" hidden="false" outlineLevel="0" max="4" min="4" style="0" width="26"/>
    <col collapsed="false" customWidth="true" hidden="false" outlineLevel="0" max="5" min="5" style="0" width="12"/>
    <col collapsed="false" customWidth="true" hidden="false" outlineLevel="0" max="7" min="6" style="0" width="14"/>
    <col collapsed="false" customWidth="true" hidden="false" outlineLevel="0" max="8" min="8" style="0" width="26"/>
    <col collapsed="false" customWidth="true" hidden="true" outlineLevel="0" max="17" min="9" style="0" width="9"/>
  </cols>
  <sheetData>
    <row r="1" customFormat="false" ht="17.35" hidden="false" customHeight="false" outlineLevel="0" collapsed="false">
      <c r="A1" s="1" t="s">
        <v>40</v>
      </c>
    </row>
    <row r="2" customFormat="false" ht="15" hidden="false" customHeight="false" outlineLevel="0" collapsed="false">
      <c r="A2" s="2" t="s">
        <v>41</v>
      </c>
    </row>
    <row r="3" customFormat="false" ht="15" hidden="false" customHeight="false" outlineLevel="0" collapsed="false">
      <c r="A3" s="11" t="s">
        <v>20</v>
      </c>
      <c r="B3" s="12" t="s">
        <v>21</v>
      </c>
      <c r="D3" s="13" t="s">
        <v>22</v>
      </c>
      <c r="E3" s="13" t="n">
        <f aca="false">MATCH($B$3,'Summary – Option 2'!$B$5:$B$337,0)</f>
        <v>1</v>
      </c>
    </row>
    <row r="5" customFormat="false" ht="45" hidden="false" customHeight="true" outlineLevel="0" collapsed="false">
      <c r="A5" s="3" t="s">
        <v>23</v>
      </c>
      <c r="B5" s="3" t="s">
        <v>8</v>
      </c>
      <c r="C5" s="3" t="s">
        <v>6</v>
      </c>
      <c r="D5" s="3" t="s">
        <v>7</v>
      </c>
      <c r="E5" s="3" t="s">
        <v>13</v>
      </c>
      <c r="F5" s="3" t="s">
        <v>38</v>
      </c>
      <c r="G5" s="3" t="s">
        <v>39</v>
      </c>
      <c r="H5" s="3" t="s">
        <v>24</v>
      </c>
      <c r="I5" s="4" t="s">
        <v>25</v>
      </c>
      <c r="J5" s="4" t="s">
        <v>26</v>
      </c>
      <c r="K5" s="4" t="s">
        <v>27</v>
      </c>
      <c r="L5" s="4" t="s">
        <v>28</v>
      </c>
      <c r="M5" s="4" t="s">
        <v>29</v>
      </c>
      <c r="N5" s="4" t="s">
        <v>30</v>
      </c>
      <c r="O5" s="4" t="s">
        <v>31</v>
      </c>
      <c r="P5" s="4" t="s">
        <v>32</v>
      </c>
      <c r="Q5" s="4" t="s">
        <v>33</v>
      </c>
    </row>
    <row r="6" customFormat="false" ht="15" hidden="false" customHeight="false" outlineLevel="0" collapsed="false">
      <c r="A6" s="14" t="n">
        <v>1</v>
      </c>
      <c r="B6" s="15" t="str">
        <f aca="false">IFERROR(IF(INDEX('Summary – Option 2'!$B$5:$B$337,$E$3+$A6-1)=$B$3,INDEX('Summary – Option 2'!$F$5:$F$337,$E$3+$A6-1),""),"")</f>
        <v>Azacitidine</v>
      </c>
      <c r="C6" s="15" t="str">
        <f aca="false">IF($B6="","",INDEX('Summary – Option 2'!$D$5:$D$337,$E$3+$A6-1))</f>
        <v>Priority 1</v>
      </c>
      <c r="D6" s="16" t="str">
        <f aca="false">IF($B6="","",INDEX('Summary – Option 2'!$E$5:$E$337,$E$3+$A6-1))</f>
        <v>High price · high volume</v>
      </c>
      <c r="E6" s="17" t="n">
        <f aca="false">IF($B6="","",INDEX('Summary – Option 2'!$K$5:$K$337,$E$3+$A6-1))</f>
        <v>256.12</v>
      </c>
      <c r="F6" s="18" t="n">
        <f aca="false">IF($B6="","",INDEX('Summary – Option 2'!$L$5:$L$337,$E$3+$A6-1))</f>
        <v>762</v>
      </c>
      <c r="G6" s="18" t="n">
        <f aca="false">IF($B6="","",INDEX('Summary – Option 2'!$M$5:$M$337,$E$3+$A6-1))</f>
        <v>50865.56</v>
      </c>
      <c r="H6" s="15" t="str">
        <f aca="false">IF(OR($B6="",LEFT($C6,8)="Excluded",NOT(ISNUMBER($E6))),"",$B6&amp;" (P"&amp;RIGHT($C6,1)&amp;")")</f>
        <v>Azacitidine (P1)</v>
      </c>
      <c r="I6" s="19" t="n">
        <f aca="false">IF(OR($H6="",N($F6)&lt;=0,$C6&lt;&gt;"Priority 1"),NA(),$E6)</f>
        <v>256.12</v>
      </c>
      <c r="J6" s="20" t="n">
        <f aca="false">IF(OR($H6="",N($F6)&lt;=0,$C6&lt;&gt;"Priority 1"),NA(),$F6)</f>
        <v>762</v>
      </c>
      <c r="K6" s="20" t="n">
        <f aca="false">IF(OR($H6="",N($F6)&lt;=0,$C6&lt;&gt;"Priority 1"),NA(),MAX($G6,1))</f>
        <v>50865.56</v>
      </c>
      <c r="L6" s="19" t="e">
        <f aca="false">IF(OR($H6="",N($F6)&lt;=0,$C6&lt;&gt;"Priority 2"),NA(),$E6)</f>
        <v>#N/A</v>
      </c>
      <c r="M6" s="20" t="e">
        <f aca="false">IF(OR($H6="",N($F6)&lt;=0,$C6&lt;&gt;"Priority 2"),NA(),$F6)</f>
        <v>#N/A</v>
      </c>
      <c r="N6" s="20" t="e">
        <f aca="false">IF(OR($H6="",N($F6)&lt;=0,$C6&lt;&gt;"Priority 2"),NA(),MAX($G6,1))</f>
        <v>#N/A</v>
      </c>
      <c r="O6" s="19" t="e">
        <f aca="false">IF(OR($H6="",N($F6)&lt;=0,$C6&lt;&gt;"Priority 3"),NA(),$E6)</f>
        <v>#N/A</v>
      </c>
      <c r="P6" s="20" t="e">
        <f aca="false">IF(OR($H6="",N($F6)&lt;=0,$C6&lt;&gt;"Priority 3"),NA(),$F6)</f>
        <v>#N/A</v>
      </c>
      <c r="Q6" s="20" t="e">
        <f aca="false">IF(OR($H6="",N($F6)&lt;=0,$C6&lt;&gt;"Priority 3"),NA(),MAX($G6,1))</f>
        <v>#N/A</v>
      </c>
    </row>
    <row r="7" customFormat="false" ht="15" hidden="false" customHeight="false" outlineLevel="0" collapsed="false">
      <c r="A7" s="14" t="n">
        <v>2</v>
      </c>
      <c r="B7" s="15" t="str">
        <f aca="false">IFERROR(IF(INDEX('Summary – Option 2'!$B$5:$B$337,$E$3+$A7-1)=$B$3,INDEX('Summary – Option 2'!$F$5:$F$337,$E$3+$A7-1),""),"")</f>
        <v>Phenylephrine</v>
      </c>
      <c r="C7" s="15" t="str">
        <f aca="false">IF($B7="","",INDEX('Summary – Option 2'!$D$5:$D$337,$E$3+$A7-1))</f>
        <v>Priority 1</v>
      </c>
      <c r="D7" s="16" t="str">
        <f aca="false">IF($B7="","",INDEX('Summary – Option 2'!$E$5:$E$337,$E$3+$A7-1))</f>
        <v>High price · high volume</v>
      </c>
      <c r="E7" s="17" t="n">
        <f aca="false">IF($B7="","",INDEX('Summary – Option 2'!$K$5:$K$337,$E$3+$A7-1))</f>
        <v>32.6</v>
      </c>
      <c r="F7" s="18" t="n">
        <f aca="false">IF($B7="","",INDEX('Summary – Option 2'!$L$5:$L$337,$E$3+$A7-1))</f>
        <v>1963</v>
      </c>
      <c r="G7" s="18" t="n">
        <f aca="false">IF($B7="","",INDEX('Summary – Option 2'!$M$5:$M$337,$E$3+$A7-1))</f>
        <v>49365.77</v>
      </c>
      <c r="H7" s="15" t="str">
        <f aca="false">IF(OR($B7="",LEFT($C7,8)="Excluded",NOT(ISNUMBER($E7))),"",$B7&amp;" (P"&amp;RIGHT($C7,1)&amp;")")</f>
        <v>Phenylephrine (P1)</v>
      </c>
      <c r="I7" s="19" t="n">
        <f aca="false">IF(OR($H7="",N($F7)&lt;=0,$C7&lt;&gt;"Priority 1"),NA(),$E7)</f>
        <v>32.6</v>
      </c>
      <c r="J7" s="20" t="n">
        <f aca="false">IF(OR($H7="",N($F7)&lt;=0,$C7&lt;&gt;"Priority 1"),NA(),$F7)</f>
        <v>1963</v>
      </c>
      <c r="K7" s="20" t="n">
        <f aca="false">IF(OR($H7="",N($F7)&lt;=0,$C7&lt;&gt;"Priority 1"),NA(),MAX($G7,1))</f>
        <v>49365.77</v>
      </c>
      <c r="L7" s="19" t="e">
        <f aca="false">IF(OR($H7="",N($F7)&lt;=0,$C7&lt;&gt;"Priority 2"),NA(),$E7)</f>
        <v>#N/A</v>
      </c>
      <c r="M7" s="20" t="e">
        <f aca="false">IF(OR($H7="",N($F7)&lt;=0,$C7&lt;&gt;"Priority 2"),NA(),$F7)</f>
        <v>#N/A</v>
      </c>
      <c r="N7" s="20" t="e">
        <f aca="false">IF(OR($H7="",N($F7)&lt;=0,$C7&lt;&gt;"Priority 2"),NA(),MAX($G7,1))</f>
        <v>#N/A</v>
      </c>
      <c r="O7" s="19" t="e">
        <f aca="false">IF(OR($H7="",N($F7)&lt;=0,$C7&lt;&gt;"Priority 3"),NA(),$E7)</f>
        <v>#N/A</v>
      </c>
      <c r="P7" s="20" t="e">
        <f aca="false">IF(OR($H7="",N($F7)&lt;=0,$C7&lt;&gt;"Priority 3"),NA(),$F7)</f>
        <v>#N/A</v>
      </c>
      <c r="Q7" s="20" t="e">
        <f aca="false">IF(OR($H7="",N($F7)&lt;=0,$C7&lt;&gt;"Priority 3"),NA(),MAX($G7,1))</f>
        <v>#N/A</v>
      </c>
    </row>
    <row r="8" customFormat="false" ht="15" hidden="false" customHeight="false" outlineLevel="0" collapsed="false">
      <c r="A8" s="14" t="n">
        <v>3</v>
      </c>
      <c r="B8" s="15" t="str">
        <f aca="false">IFERROR(IF(INDEX('Summary – Option 2'!$B$5:$B$337,$E$3+$A8-1)=$B$3,INDEX('Summary – Option 2'!$F$5:$F$337,$E$3+$A8-1),""),"")</f>
        <v>Bortezomib</v>
      </c>
      <c r="C8" s="15" t="str">
        <f aca="false">IF($B8="","",INDEX('Summary – Option 2'!$D$5:$D$337,$E$3+$A8-1))</f>
        <v>Priority 1</v>
      </c>
      <c r="D8" s="16" t="str">
        <f aca="false">IF($B8="","",INDEX('Summary – Option 2'!$E$5:$E$337,$E$3+$A8-1))</f>
        <v>High price · high volume</v>
      </c>
      <c r="E8" s="17" t="n">
        <f aca="false">IF($B8="","",INDEX('Summary – Option 2'!$K$5:$K$337,$E$3+$A8-1))</f>
        <v>569.27</v>
      </c>
      <c r="F8" s="18" t="n">
        <f aca="false">IF($B8="","",INDEX('Summary – Option 2'!$L$5:$L$337,$E$3+$A8-1))</f>
        <v>905</v>
      </c>
      <c r="G8" s="18" t="n">
        <f aca="false">IF($B8="","",INDEX('Summary – Option 2'!$M$5:$M$337,$E$3+$A8-1))</f>
        <v>28093.38</v>
      </c>
      <c r="H8" s="15" t="str">
        <f aca="false">IF(OR($B8="",LEFT($C8,8)="Excluded",NOT(ISNUMBER($E8))),"",$B8&amp;" (P"&amp;RIGHT($C8,1)&amp;")")</f>
        <v>Bortezomib (P1)</v>
      </c>
      <c r="I8" s="19" t="n">
        <f aca="false">IF(OR($H8="",N($F8)&lt;=0,$C8&lt;&gt;"Priority 1"),NA(),$E8)</f>
        <v>569.27</v>
      </c>
      <c r="J8" s="20" t="n">
        <f aca="false">IF(OR($H8="",N($F8)&lt;=0,$C8&lt;&gt;"Priority 1"),NA(),$F8)</f>
        <v>905</v>
      </c>
      <c r="K8" s="20" t="n">
        <f aca="false">IF(OR($H8="",N($F8)&lt;=0,$C8&lt;&gt;"Priority 1"),NA(),MAX($G8,1))</f>
        <v>28093.38</v>
      </c>
      <c r="L8" s="19" t="e">
        <f aca="false">IF(OR($H8="",N($F8)&lt;=0,$C8&lt;&gt;"Priority 2"),NA(),$E8)</f>
        <v>#N/A</v>
      </c>
      <c r="M8" s="20" t="e">
        <f aca="false">IF(OR($H8="",N($F8)&lt;=0,$C8&lt;&gt;"Priority 2"),NA(),$F8)</f>
        <v>#N/A</v>
      </c>
      <c r="N8" s="20" t="e">
        <f aca="false">IF(OR($H8="",N($F8)&lt;=0,$C8&lt;&gt;"Priority 2"),NA(),MAX($G8,1))</f>
        <v>#N/A</v>
      </c>
      <c r="O8" s="19" t="e">
        <f aca="false">IF(OR($H8="",N($F8)&lt;=0,$C8&lt;&gt;"Priority 3"),NA(),$E8)</f>
        <v>#N/A</v>
      </c>
      <c r="P8" s="20" t="e">
        <f aca="false">IF(OR($H8="",N($F8)&lt;=0,$C8&lt;&gt;"Priority 3"),NA(),$F8)</f>
        <v>#N/A</v>
      </c>
      <c r="Q8" s="20" t="e">
        <f aca="false">IF(OR($H8="",N($F8)&lt;=0,$C8&lt;&gt;"Priority 3"),NA(),MAX($G8,1))</f>
        <v>#N/A</v>
      </c>
    </row>
    <row r="9" customFormat="false" ht="15" hidden="false" customHeight="false" outlineLevel="0" collapsed="false">
      <c r="A9" s="14" t="n">
        <v>4</v>
      </c>
      <c r="B9" s="15" t="str">
        <f aca="false">IFERROR(IF(INDEX('Summary – Option 2'!$B$5:$B$337,$E$3+$A9-1)=$B$3,INDEX('Summary – Option 2'!$F$5:$F$337,$E$3+$A9-1),""),"")</f>
        <v>Methotrexate</v>
      </c>
      <c r="C9" s="15" t="str">
        <f aca="false">IF($B9="","",INDEX('Summary – Option 2'!$D$5:$D$337,$E$3+$A9-1))</f>
        <v>Priority 1</v>
      </c>
      <c r="D9" s="16" t="str">
        <f aca="false">IF($B9="","",INDEX('Summary – Option 2'!$E$5:$E$337,$E$3+$A9-1))</f>
        <v>High price · high volume</v>
      </c>
      <c r="E9" s="17" t="n">
        <f aca="false">IF($B9="","",INDEX('Summary – Option 2'!$K$5:$K$337,$E$3+$A9-1))</f>
        <v>50.77</v>
      </c>
      <c r="F9" s="18" t="n">
        <f aca="false">IF($B9="","",INDEX('Summary – Option 2'!$L$5:$L$337,$E$3+$A9-1))</f>
        <v>1282</v>
      </c>
      <c r="G9" s="18" t="n">
        <f aca="false">IF($B9="","",INDEX('Summary – Option 2'!$M$5:$M$337,$E$3+$A9-1))</f>
        <v>16792.84</v>
      </c>
      <c r="H9" s="15" t="str">
        <f aca="false">IF(OR($B9="",LEFT($C9,8)="Excluded",NOT(ISNUMBER($E9))),"",$B9&amp;" (P"&amp;RIGHT($C9,1)&amp;")")</f>
        <v>Methotrexate (P1)</v>
      </c>
      <c r="I9" s="19" t="n">
        <f aca="false">IF(OR($H9="",N($F9)&lt;=0,$C9&lt;&gt;"Priority 1"),NA(),$E9)</f>
        <v>50.77</v>
      </c>
      <c r="J9" s="20" t="n">
        <f aca="false">IF(OR($H9="",N($F9)&lt;=0,$C9&lt;&gt;"Priority 1"),NA(),$F9)</f>
        <v>1282</v>
      </c>
      <c r="K9" s="20" t="n">
        <f aca="false">IF(OR($H9="",N($F9)&lt;=0,$C9&lt;&gt;"Priority 1"),NA(),MAX($G9,1))</f>
        <v>16792.84</v>
      </c>
      <c r="L9" s="19" t="e">
        <f aca="false">IF(OR($H9="",N($F9)&lt;=0,$C9&lt;&gt;"Priority 2"),NA(),$E9)</f>
        <v>#N/A</v>
      </c>
      <c r="M9" s="20" t="e">
        <f aca="false">IF(OR($H9="",N($F9)&lt;=0,$C9&lt;&gt;"Priority 2"),NA(),$F9)</f>
        <v>#N/A</v>
      </c>
      <c r="N9" s="20" t="e">
        <f aca="false">IF(OR($H9="",N($F9)&lt;=0,$C9&lt;&gt;"Priority 2"),NA(),MAX($G9,1))</f>
        <v>#N/A</v>
      </c>
      <c r="O9" s="19" t="e">
        <f aca="false">IF(OR($H9="",N($F9)&lt;=0,$C9&lt;&gt;"Priority 3"),NA(),$E9)</f>
        <v>#N/A</v>
      </c>
      <c r="P9" s="20" t="e">
        <f aca="false">IF(OR($H9="",N($F9)&lt;=0,$C9&lt;&gt;"Priority 3"),NA(),$F9)</f>
        <v>#N/A</v>
      </c>
      <c r="Q9" s="20" t="e">
        <f aca="false">IF(OR($H9="",N($F9)&lt;=0,$C9&lt;&gt;"Priority 3"),NA(),MAX($G9,1))</f>
        <v>#N/A</v>
      </c>
    </row>
    <row r="10" customFormat="false" ht="15" hidden="false" customHeight="false" outlineLevel="0" collapsed="false">
      <c r="A10" s="14" t="n">
        <v>5</v>
      </c>
      <c r="B10" s="15" t="str">
        <f aca="false">IFERROR(IF(INDEX('Summary – Option 2'!$B$5:$B$337,$E$3+$A10-1)=$B$3,INDEX('Summary – Option 2'!$F$5:$F$337,$E$3+$A10-1),""),"")</f>
        <v>Epinephrine (Adrenaline)</v>
      </c>
      <c r="C10" s="15" t="str">
        <f aca="false">IF($B10="","",INDEX('Summary – Option 2'!$D$5:$D$337,$E$3+$A10-1))</f>
        <v>Priority 1</v>
      </c>
      <c r="D10" s="16" t="str">
        <f aca="false">IF($B10="","",INDEX('Summary – Option 2'!$E$5:$E$337,$E$3+$A10-1))</f>
        <v>High price · high volume</v>
      </c>
      <c r="E10" s="17" t="n">
        <f aca="false">IF($B10="","",INDEX('Summary – Option 2'!$K$5:$K$337,$E$3+$A10-1))</f>
        <v>28.67</v>
      </c>
      <c r="F10" s="18" t="n">
        <f aca="false">IF($B10="","",INDEX('Summary – Option 2'!$L$5:$L$337,$E$3+$A10-1))</f>
        <v>912</v>
      </c>
      <c r="G10" s="18" t="n">
        <f aca="false">IF($B10="","",INDEX('Summary – Option 2'!$M$5:$M$337,$E$3+$A10-1))</f>
        <v>4620.39</v>
      </c>
      <c r="H10" s="15" t="str">
        <f aca="false">IF(OR($B10="",LEFT($C10,8)="Excluded",NOT(ISNUMBER($E10))),"",$B10&amp;" (P"&amp;RIGHT($C10,1)&amp;")")</f>
        <v>Epinephrine (Adrenaline) (P1)</v>
      </c>
      <c r="I10" s="19" t="n">
        <f aca="false">IF(OR($H10="",N($F10)&lt;=0,$C10&lt;&gt;"Priority 1"),NA(),$E10)</f>
        <v>28.67</v>
      </c>
      <c r="J10" s="20" t="n">
        <f aca="false">IF(OR($H10="",N($F10)&lt;=0,$C10&lt;&gt;"Priority 1"),NA(),$F10)</f>
        <v>912</v>
      </c>
      <c r="K10" s="20" t="n">
        <f aca="false">IF(OR($H10="",N($F10)&lt;=0,$C10&lt;&gt;"Priority 1"),NA(),MAX($G10,1))</f>
        <v>4620.39</v>
      </c>
      <c r="L10" s="19" t="e">
        <f aca="false">IF(OR($H10="",N($F10)&lt;=0,$C10&lt;&gt;"Priority 2"),NA(),$E10)</f>
        <v>#N/A</v>
      </c>
      <c r="M10" s="20" t="e">
        <f aca="false">IF(OR($H10="",N($F10)&lt;=0,$C10&lt;&gt;"Priority 2"),NA(),$F10)</f>
        <v>#N/A</v>
      </c>
      <c r="N10" s="20" t="e">
        <f aca="false">IF(OR($H10="",N($F10)&lt;=0,$C10&lt;&gt;"Priority 2"),NA(),MAX($G10,1))</f>
        <v>#N/A</v>
      </c>
      <c r="O10" s="19" t="e">
        <f aca="false">IF(OR($H10="",N($F10)&lt;=0,$C10&lt;&gt;"Priority 3"),NA(),$E10)</f>
        <v>#N/A</v>
      </c>
      <c r="P10" s="20" t="e">
        <f aca="false">IF(OR($H10="",N($F10)&lt;=0,$C10&lt;&gt;"Priority 3"),NA(),$F10)</f>
        <v>#N/A</v>
      </c>
      <c r="Q10" s="20" t="e">
        <f aca="false">IF(OR($H10="",N($F10)&lt;=0,$C10&lt;&gt;"Priority 3"),NA(),MAX($G10,1))</f>
        <v>#N/A</v>
      </c>
    </row>
    <row r="11" customFormat="false" ht="15" hidden="false" customHeight="false" outlineLevel="0" collapsed="false">
      <c r="A11" s="14" t="n">
        <v>6</v>
      </c>
      <c r="B11" s="15" t="str">
        <f aca="false">IFERROR(IF(INDEX('Summary – Option 2'!$B$5:$B$337,$E$3+$A11-1)=$B$3,INDEX('Summary – Option 2'!$F$5:$F$337,$E$3+$A11-1),""),"")</f>
        <v>Bleomycin</v>
      </c>
      <c r="C11" s="15" t="str">
        <f aca="false">IF($B11="","",INDEX('Summary – Option 2'!$D$5:$D$337,$E$3+$A11-1))</f>
        <v>Priority 1</v>
      </c>
      <c r="D11" s="16" t="str">
        <f aca="false">IF($B11="","",INDEX('Summary – Option 2'!$E$5:$E$337,$E$3+$A11-1))</f>
        <v>High price · high volume</v>
      </c>
      <c r="E11" s="17" t="n">
        <f aca="false">IF($B11="","",INDEX('Summary – Option 2'!$K$5:$K$337,$E$3+$A11-1))</f>
        <v>50.27</v>
      </c>
      <c r="F11" s="18" t="n">
        <f aca="false">IF($B11="","",INDEX('Summary – Option 2'!$L$5:$L$337,$E$3+$A11-1))</f>
        <v>441</v>
      </c>
      <c r="G11" s="18" t="n">
        <f aca="false">IF($B11="","",INDEX('Summary – Option 2'!$M$5:$M$337,$E$3+$A11-1))</f>
        <v>3973.65</v>
      </c>
      <c r="H11" s="15" t="str">
        <f aca="false">IF(OR($B11="",LEFT($C11,8)="Excluded",NOT(ISNUMBER($E11))),"",$B11&amp;" (P"&amp;RIGHT($C11,1)&amp;")")</f>
        <v>Bleomycin (P1)</v>
      </c>
      <c r="I11" s="19" t="n">
        <f aca="false">IF(OR($H11="",N($F11)&lt;=0,$C11&lt;&gt;"Priority 1"),NA(),$E11)</f>
        <v>50.27</v>
      </c>
      <c r="J11" s="20" t="n">
        <f aca="false">IF(OR($H11="",N($F11)&lt;=0,$C11&lt;&gt;"Priority 1"),NA(),$F11)</f>
        <v>441</v>
      </c>
      <c r="K11" s="20" t="n">
        <f aca="false">IF(OR($H11="",N($F11)&lt;=0,$C11&lt;&gt;"Priority 1"),NA(),MAX($G11,1))</f>
        <v>3973.65</v>
      </c>
      <c r="L11" s="19" t="e">
        <f aca="false">IF(OR($H11="",N($F11)&lt;=0,$C11&lt;&gt;"Priority 2"),NA(),$E11)</f>
        <v>#N/A</v>
      </c>
      <c r="M11" s="20" t="e">
        <f aca="false">IF(OR($H11="",N($F11)&lt;=0,$C11&lt;&gt;"Priority 2"),NA(),$F11)</f>
        <v>#N/A</v>
      </c>
      <c r="N11" s="20" t="e">
        <f aca="false">IF(OR($H11="",N($F11)&lt;=0,$C11&lt;&gt;"Priority 2"),NA(),MAX($G11,1))</f>
        <v>#N/A</v>
      </c>
      <c r="O11" s="19" t="e">
        <f aca="false">IF(OR($H11="",N($F11)&lt;=0,$C11&lt;&gt;"Priority 3"),NA(),$E11)</f>
        <v>#N/A</v>
      </c>
      <c r="P11" s="20" t="e">
        <f aca="false">IF(OR($H11="",N($F11)&lt;=0,$C11&lt;&gt;"Priority 3"),NA(),$F11)</f>
        <v>#N/A</v>
      </c>
      <c r="Q11" s="20" t="e">
        <f aca="false">IF(OR($H11="",N($F11)&lt;=0,$C11&lt;&gt;"Priority 3"),NA(),MAX($G11,1))</f>
        <v>#N/A</v>
      </c>
    </row>
    <row r="12" customFormat="false" ht="15" hidden="false" customHeight="false" outlineLevel="0" collapsed="false">
      <c r="A12" s="14" t="n">
        <v>7</v>
      </c>
      <c r="B12" s="15" t="str">
        <f aca="false">IFERROR(IF(INDEX('Summary – Option 2'!$B$5:$B$337,$E$3+$A12-1)=$B$3,INDEX('Summary – Option 2'!$F$5:$F$337,$E$3+$A12-1),""),"")</f>
        <v>Denosumab</v>
      </c>
      <c r="C12" s="15" t="str">
        <f aca="false">IF($B12="","",INDEX('Summary – Option 2'!$D$5:$D$337,$E$3+$A12-1))</f>
        <v>Priority 1</v>
      </c>
      <c r="D12" s="16" t="str">
        <f aca="false">IF($B12="","",INDEX('Summary – Option 2'!$E$5:$E$337,$E$3+$A12-1))</f>
        <v>High price · high volume</v>
      </c>
      <c r="E12" s="17" t="n">
        <f aca="false">IF($B12="","",INDEX('Summary – Option 2'!$K$5:$K$337,$E$3+$A12-1))</f>
        <v>162.77</v>
      </c>
      <c r="F12" s="18" t="n">
        <f aca="false">IF($B12="","",INDEX('Summary – Option 2'!$L$5:$L$337,$E$3+$A12-1))</f>
        <v>314</v>
      </c>
      <c r="G12" s="18" t="n">
        <f aca="false">IF($B12="","",INDEX('Summary – Option 2'!$M$5:$M$337,$E$3+$A12-1))</f>
        <v>3429.51</v>
      </c>
      <c r="H12" s="15" t="str">
        <f aca="false">IF(OR($B12="",LEFT($C12,8)="Excluded",NOT(ISNUMBER($E12))),"",$B12&amp;" (P"&amp;RIGHT($C12,1)&amp;")")</f>
        <v>Denosumab (P1)</v>
      </c>
      <c r="I12" s="19" t="n">
        <f aca="false">IF(OR($H12="",N($F12)&lt;=0,$C12&lt;&gt;"Priority 1"),NA(),$E12)</f>
        <v>162.77</v>
      </c>
      <c r="J12" s="20" t="n">
        <f aca="false">IF(OR($H12="",N($F12)&lt;=0,$C12&lt;&gt;"Priority 1"),NA(),$F12)</f>
        <v>314</v>
      </c>
      <c r="K12" s="20" t="n">
        <f aca="false">IF(OR($H12="",N($F12)&lt;=0,$C12&lt;&gt;"Priority 1"),NA(),MAX($G12,1))</f>
        <v>3429.51</v>
      </c>
      <c r="L12" s="19" t="e">
        <f aca="false">IF(OR($H12="",N($F12)&lt;=0,$C12&lt;&gt;"Priority 2"),NA(),$E12)</f>
        <v>#N/A</v>
      </c>
      <c r="M12" s="20" t="e">
        <f aca="false">IF(OR($H12="",N($F12)&lt;=0,$C12&lt;&gt;"Priority 2"),NA(),$F12)</f>
        <v>#N/A</v>
      </c>
      <c r="N12" s="20" t="e">
        <f aca="false">IF(OR($H12="",N($F12)&lt;=0,$C12&lt;&gt;"Priority 2"),NA(),MAX($G12,1))</f>
        <v>#N/A</v>
      </c>
      <c r="O12" s="19" t="e">
        <f aca="false">IF(OR($H12="",N($F12)&lt;=0,$C12&lt;&gt;"Priority 3"),NA(),$E12)</f>
        <v>#N/A</v>
      </c>
      <c r="P12" s="20" t="e">
        <f aca="false">IF(OR($H12="",N($F12)&lt;=0,$C12&lt;&gt;"Priority 3"),NA(),$F12)</f>
        <v>#N/A</v>
      </c>
      <c r="Q12" s="20" t="e">
        <f aca="false">IF(OR($H12="",N($F12)&lt;=0,$C12&lt;&gt;"Priority 3"),NA(),MAX($G12,1))</f>
        <v>#N/A</v>
      </c>
    </row>
    <row r="13" customFormat="false" ht="15" hidden="false" customHeight="false" outlineLevel="0" collapsed="false">
      <c r="A13" s="14" t="n">
        <v>8</v>
      </c>
      <c r="B13" s="15" t="str">
        <f aca="false">IFERROR(IF(INDEX('Summary – Option 2'!$B$5:$B$337,$E$3+$A13-1)=$B$3,INDEX('Summary – Option 2'!$F$5:$F$337,$E$3+$A13-1),""),"")</f>
        <v>Ceftriaxone</v>
      </c>
      <c r="C13" s="15" t="str">
        <f aca="false">IF($B13="","",INDEX('Summary – Option 2'!$D$5:$D$337,$E$3+$A13-1))</f>
        <v>Priority 2</v>
      </c>
      <c r="D13" s="16" t="str">
        <f aca="false">IF($B13="","",INDEX('Summary – Option 2'!$E$5:$E$337,$E$3+$A13-1))</f>
        <v>Lower price · high volume</v>
      </c>
      <c r="E13" s="17" t="n">
        <f aca="false">IF($B13="","",INDEX('Summary – Option 2'!$K$5:$K$337,$E$3+$A13-1))</f>
        <v>5.6</v>
      </c>
      <c r="F13" s="18" t="n">
        <f aca="false">IF($B13="","",INDEX('Summary – Option 2'!$L$5:$L$337,$E$3+$A13-1))</f>
        <v>3110</v>
      </c>
      <c r="G13" s="18" t="n">
        <f aca="false">IF($B13="","",INDEX('Summary – Option 2'!$M$5:$M$337,$E$3+$A13-1))</f>
        <v>93119.22</v>
      </c>
      <c r="H13" s="15" t="str">
        <f aca="false">IF(OR($B13="",LEFT($C13,8)="Excluded",NOT(ISNUMBER($E13))),"",$B13&amp;" (P"&amp;RIGHT($C13,1)&amp;")")</f>
        <v>Ceftriaxone (P2)</v>
      </c>
      <c r="I13" s="19" t="e">
        <f aca="false">IF(OR($H13="",N($F13)&lt;=0,$C13&lt;&gt;"Priority 1"),NA(),$E13)</f>
        <v>#N/A</v>
      </c>
      <c r="J13" s="20" t="e">
        <f aca="false">IF(OR($H13="",N($F13)&lt;=0,$C13&lt;&gt;"Priority 1"),NA(),$F13)</f>
        <v>#N/A</v>
      </c>
      <c r="K13" s="20" t="e">
        <f aca="false">IF(OR($H13="",N($F13)&lt;=0,$C13&lt;&gt;"Priority 1"),NA(),MAX($G13,1))</f>
        <v>#N/A</v>
      </c>
      <c r="L13" s="19" t="n">
        <f aca="false">IF(OR($H13="",N($F13)&lt;=0,$C13&lt;&gt;"Priority 2"),NA(),$E13)</f>
        <v>5.6</v>
      </c>
      <c r="M13" s="20" t="n">
        <f aca="false">IF(OR($H13="",N($F13)&lt;=0,$C13&lt;&gt;"Priority 2"),NA(),$F13)</f>
        <v>3110</v>
      </c>
      <c r="N13" s="20" t="n">
        <f aca="false">IF(OR($H13="",N($F13)&lt;=0,$C13&lt;&gt;"Priority 2"),NA(),MAX($G13,1))</f>
        <v>93119.22</v>
      </c>
      <c r="O13" s="19" t="e">
        <f aca="false">IF(OR($H13="",N($F13)&lt;=0,$C13&lt;&gt;"Priority 3"),NA(),$E13)</f>
        <v>#N/A</v>
      </c>
      <c r="P13" s="20" t="e">
        <f aca="false">IF(OR($H13="",N($F13)&lt;=0,$C13&lt;&gt;"Priority 3"),NA(),$F13)</f>
        <v>#N/A</v>
      </c>
      <c r="Q13" s="20" t="e">
        <f aca="false">IF(OR($H13="",N($F13)&lt;=0,$C13&lt;&gt;"Priority 3"),NA(),MAX($G13,1))</f>
        <v>#N/A</v>
      </c>
    </row>
    <row r="14" customFormat="false" ht="15" hidden="false" customHeight="false" outlineLevel="0" collapsed="false">
      <c r="A14" s="14" t="n">
        <v>9</v>
      </c>
      <c r="B14" s="15" t="str">
        <f aca="false">IFERROR(IF(INDEX('Summary – Option 2'!$B$5:$B$337,$E$3+$A14-1)=$B$3,INDEX('Summary – Option 2'!$F$5:$F$337,$E$3+$A14-1),""),"")</f>
        <v>Ondansetron</v>
      </c>
      <c r="C14" s="15" t="str">
        <f aca="false">IF($B14="","",INDEX('Summary – Option 2'!$D$5:$D$337,$E$3+$A14-1))</f>
        <v>Priority 2</v>
      </c>
      <c r="D14" s="16" t="str">
        <f aca="false">IF($B14="","",INDEX('Summary – Option 2'!$E$5:$E$337,$E$3+$A14-1))</f>
        <v>Lower price · high volume</v>
      </c>
      <c r="E14" s="17" t="n">
        <f aca="false">IF($B14="","",INDEX('Summary – Option 2'!$K$5:$K$337,$E$3+$A14-1))</f>
        <v>24.05</v>
      </c>
      <c r="F14" s="18" t="n">
        <f aca="false">IF($B14="","",INDEX('Summary – Option 2'!$L$5:$L$337,$E$3+$A14-1))</f>
        <v>2546</v>
      </c>
      <c r="G14" s="18" t="n">
        <f aca="false">IF($B14="","",INDEX('Summary – Option 2'!$M$5:$M$337,$E$3+$A14-1))</f>
        <v>46507.62</v>
      </c>
      <c r="H14" s="15" t="str">
        <f aca="false">IF(OR($B14="",LEFT($C14,8)="Excluded",NOT(ISNUMBER($E14))),"",$B14&amp;" (P"&amp;RIGHT($C14,1)&amp;")")</f>
        <v>Ondansetron (P2)</v>
      </c>
      <c r="I14" s="19" t="e">
        <f aca="false">IF(OR($H14="",N($F14)&lt;=0,$C14&lt;&gt;"Priority 1"),NA(),$E14)</f>
        <v>#N/A</v>
      </c>
      <c r="J14" s="20" t="e">
        <f aca="false">IF(OR($H14="",N($F14)&lt;=0,$C14&lt;&gt;"Priority 1"),NA(),$F14)</f>
        <v>#N/A</v>
      </c>
      <c r="K14" s="20" t="e">
        <f aca="false">IF(OR($H14="",N($F14)&lt;=0,$C14&lt;&gt;"Priority 1"),NA(),MAX($G14,1))</f>
        <v>#N/A</v>
      </c>
      <c r="L14" s="19" t="n">
        <f aca="false">IF(OR($H14="",N($F14)&lt;=0,$C14&lt;&gt;"Priority 2"),NA(),$E14)</f>
        <v>24.05</v>
      </c>
      <c r="M14" s="20" t="n">
        <f aca="false">IF(OR($H14="",N($F14)&lt;=0,$C14&lt;&gt;"Priority 2"),NA(),$F14)</f>
        <v>2546</v>
      </c>
      <c r="N14" s="20" t="n">
        <f aca="false">IF(OR($H14="",N($F14)&lt;=0,$C14&lt;&gt;"Priority 2"),NA(),MAX($G14,1))</f>
        <v>46507.62</v>
      </c>
      <c r="O14" s="19" t="e">
        <f aca="false">IF(OR($H14="",N($F14)&lt;=0,$C14&lt;&gt;"Priority 3"),NA(),$E14)</f>
        <v>#N/A</v>
      </c>
      <c r="P14" s="20" t="e">
        <f aca="false">IF(OR($H14="",N($F14)&lt;=0,$C14&lt;&gt;"Priority 3"),NA(),$F14)</f>
        <v>#N/A</v>
      </c>
      <c r="Q14" s="20" t="e">
        <f aca="false">IF(OR($H14="",N($F14)&lt;=0,$C14&lt;&gt;"Priority 3"),NA(),MAX($G14,1))</f>
        <v>#N/A</v>
      </c>
    </row>
    <row r="15" customFormat="false" ht="15" hidden="false" customHeight="false" outlineLevel="0" collapsed="false">
      <c r="A15" s="14" t="n">
        <v>10</v>
      </c>
      <c r="B15" s="15" t="str">
        <f aca="false">IFERROR(IF(INDEX('Summary – Option 2'!$B$5:$B$337,$E$3+$A15-1)=$B$3,INDEX('Summary – Option 2'!$F$5:$F$337,$E$3+$A15-1),""),"")</f>
        <v>Pegfilgrastim</v>
      </c>
      <c r="C15" s="15" t="str">
        <f aca="false">IF($B15="","",INDEX('Summary – Option 2'!$D$5:$D$337,$E$3+$A15-1))</f>
        <v>Priority 2</v>
      </c>
      <c r="D15" s="16" t="str">
        <f aca="false">IF($B15="","",INDEX('Summary – Option 2'!$E$5:$E$337,$E$3+$A15-1))</f>
        <v>High price · lower volume</v>
      </c>
      <c r="E15" s="17" t="n">
        <f aca="false">IF($B15="","",INDEX('Summary – Option 2'!$K$5:$K$337,$E$3+$A15-1))</f>
        <v>907.38</v>
      </c>
      <c r="F15" s="18" t="n">
        <f aca="false">IF($B15="","",INDEX('Summary – Option 2'!$L$5:$L$337,$E$3+$A15-1))</f>
        <v>157</v>
      </c>
      <c r="G15" s="18" t="n">
        <f aca="false">IF($B15="","",INDEX('Summary – Option 2'!$M$5:$M$337,$E$3+$A15-1))</f>
        <v>22355.46</v>
      </c>
      <c r="H15" s="15" t="str">
        <f aca="false">IF(OR($B15="",LEFT($C15,8)="Excluded",NOT(ISNUMBER($E15))),"",$B15&amp;" (P"&amp;RIGHT($C15,1)&amp;")")</f>
        <v>Pegfilgrastim (P2)</v>
      </c>
      <c r="I15" s="19" t="e">
        <f aca="false">IF(OR($H15="",N($F15)&lt;=0,$C15&lt;&gt;"Priority 1"),NA(),$E15)</f>
        <v>#N/A</v>
      </c>
      <c r="J15" s="20" t="e">
        <f aca="false">IF(OR($H15="",N($F15)&lt;=0,$C15&lt;&gt;"Priority 1"),NA(),$F15)</f>
        <v>#N/A</v>
      </c>
      <c r="K15" s="20" t="e">
        <f aca="false">IF(OR($H15="",N($F15)&lt;=0,$C15&lt;&gt;"Priority 1"),NA(),MAX($G15,1))</f>
        <v>#N/A</v>
      </c>
      <c r="L15" s="19" t="n">
        <f aca="false">IF(OR($H15="",N($F15)&lt;=0,$C15&lt;&gt;"Priority 2"),NA(),$E15)</f>
        <v>907.38</v>
      </c>
      <c r="M15" s="20" t="n">
        <f aca="false">IF(OR($H15="",N($F15)&lt;=0,$C15&lt;&gt;"Priority 2"),NA(),$F15)</f>
        <v>157</v>
      </c>
      <c r="N15" s="20" t="n">
        <f aca="false">IF(OR($H15="",N($F15)&lt;=0,$C15&lt;&gt;"Priority 2"),NA(),MAX($G15,1))</f>
        <v>22355.46</v>
      </c>
      <c r="O15" s="19" t="e">
        <f aca="false">IF(OR($H15="",N($F15)&lt;=0,$C15&lt;&gt;"Priority 3"),NA(),$E15)</f>
        <v>#N/A</v>
      </c>
      <c r="P15" s="20" t="e">
        <f aca="false">IF(OR($H15="",N($F15)&lt;=0,$C15&lt;&gt;"Priority 3"),NA(),$F15)</f>
        <v>#N/A</v>
      </c>
      <c r="Q15" s="20" t="e">
        <f aca="false">IF(OR($H15="",N($F15)&lt;=0,$C15&lt;&gt;"Priority 3"),NA(),MAX($G15,1))</f>
        <v>#N/A</v>
      </c>
    </row>
    <row r="16" customFormat="false" ht="15" hidden="false" customHeight="false" outlineLevel="0" collapsed="false">
      <c r="A16" s="14" t="n">
        <v>11</v>
      </c>
      <c r="B16" s="15" t="str">
        <f aca="false">IFERROR(IF(INDEX('Summary – Option 2'!$B$5:$B$337,$E$3+$A16-1)=$B$3,INDEX('Summary – Option 2'!$F$5:$F$337,$E$3+$A16-1),""),"")</f>
        <v>Progesterone</v>
      </c>
      <c r="C16" s="15" t="str">
        <f aca="false">IF($B16="","",INDEX('Summary – Option 2'!$D$5:$D$337,$E$3+$A16-1))</f>
        <v>Priority 2</v>
      </c>
      <c r="D16" s="16" t="str">
        <f aca="false">IF($B16="","",INDEX('Summary – Option 2'!$E$5:$E$337,$E$3+$A16-1))</f>
        <v>Lower price · high volume</v>
      </c>
      <c r="E16" s="17" t="n">
        <f aca="false">IF($B16="","",INDEX('Summary – Option 2'!$K$5:$K$337,$E$3+$A16-1))</f>
        <v>6.23</v>
      </c>
      <c r="F16" s="18" t="n">
        <f aca="false">IF($B16="","",INDEX('Summary – Option 2'!$L$5:$L$337,$E$3+$A16-1))</f>
        <v>736</v>
      </c>
      <c r="G16" s="18" t="n">
        <f aca="false">IF($B16="","",INDEX('Summary – Option 2'!$M$5:$M$337,$E$3+$A16-1))</f>
        <v>22018.81</v>
      </c>
      <c r="H16" s="15" t="str">
        <f aca="false">IF(OR($B16="",LEFT($C16,8)="Excluded",NOT(ISNUMBER($E16))),"",$B16&amp;" (P"&amp;RIGHT($C16,1)&amp;")")</f>
        <v>Progesterone (P2)</v>
      </c>
      <c r="I16" s="19" t="e">
        <f aca="false">IF(OR($H16="",N($F16)&lt;=0,$C16&lt;&gt;"Priority 1"),NA(),$E16)</f>
        <v>#N/A</v>
      </c>
      <c r="J16" s="20" t="e">
        <f aca="false">IF(OR($H16="",N($F16)&lt;=0,$C16&lt;&gt;"Priority 1"),NA(),$F16)</f>
        <v>#N/A</v>
      </c>
      <c r="K16" s="20" t="e">
        <f aca="false">IF(OR($H16="",N($F16)&lt;=0,$C16&lt;&gt;"Priority 1"),NA(),MAX($G16,1))</f>
        <v>#N/A</v>
      </c>
      <c r="L16" s="19" t="n">
        <f aca="false">IF(OR($H16="",N($F16)&lt;=0,$C16&lt;&gt;"Priority 2"),NA(),$E16)</f>
        <v>6.23</v>
      </c>
      <c r="M16" s="20" t="n">
        <f aca="false">IF(OR($H16="",N($F16)&lt;=0,$C16&lt;&gt;"Priority 2"),NA(),$F16)</f>
        <v>736</v>
      </c>
      <c r="N16" s="20" t="n">
        <f aca="false">IF(OR($H16="",N($F16)&lt;=0,$C16&lt;&gt;"Priority 2"),NA(),MAX($G16,1))</f>
        <v>22018.81</v>
      </c>
      <c r="O16" s="19" t="e">
        <f aca="false">IF(OR($H16="",N($F16)&lt;=0,$C16&lt;&gt;"Priority 3"),NA(),$E16)</f>
        <v>#N/A</v>
      </c>
      <c r="P16" s="20" t="e">
        <f aca="false">IF(OR($H16="",N($F16)&lt;=0,$C16&lt;&gt;"Priority 3"),NA(),$F16)</f>
        <v>#N/A</v>
      </c>
      <c r="Q16" s="20" t="e">
        <f aca="false">IF(OR($H16="",N($F16)&lt;=0,$C16&lt;&gt;"Priority 3"),NA(),MAX($G16,1))</f>
        <v>#N/A</v>
      </c>
    </row>
    <row r="17" customFormat="false" ht="15" hidden="false" customHeight="false" outlineLevel="0" collapsed="false">
      <c r="A17" s="14" t="n">
        <v>12</v>
      </c>
      <c r="B17" s="15" t="str">
        <f aca="false">IFERROR(IF(INDEX('Summary – Option 2'!$B$5:$B$337,$E$3+$A17-1)=$B$3,INDEX('Summary – Option 2'!$F$5:$F$337,$E$3+$A17-1),""),"")</f>
        <v>Flucloxacillin</v>
      </c>
      <c r="C17" s="15" t="str">
        <f aca="false">IF($B17="","",INDEX('Summary – Option 2'!$D$5:$D$337,$E$3+$A17-1))</f>
        <v>Priority 2</v>
      </c>
      <c r="D17" s="16" t="str">
        <f aca="false">IF($B17="","",INDEX('Summary – Option 2'!$E$5:$E$337,$E$3+$A17-1))</f>
        <v>Lower price · high volume</v>
      </c>
      <c r="E17" s="17" t="n">
        <f aca="false">IF($B17="","",INDEX('Summary – Option 2'!$K$5:$K$337,$E$3+$A17-1))</f>
        <v>6.07</v>
      </c>
      <c r="F17" s="18" t="n">
        <f aca="false">IF($B17="","",INDEX('Summary – Option 2'!$L$5:$L$337,$E$3+$A17-1))</f>
        <v>347</v>
      </c>
      <c r="G17" s="18" t="n">
        <f aca="false">IF($B17="","",INDEX('Summary – Option 2'!$M$5:$M$337,$E$3+$A17-1))</f>
        <v>18803.98</v>
      </c>
      <c r="H17" s="15" t="str">
        <f aca="false">IF(OR($B17="",LEFT($C17,8)="Excluded",NOT(ISNUMBER($E17))),"",$B17&amp;" (P"&amp;RIGHT($C17,1)&amp;")")</f>
        <v>Flucloxacillin (P2)</v>
      </c>
      <c r="I17" s="19" t="e">
        <f aca="false">IF(OR($H17="",N($F17)&lt;=0,$C17&lt;&gt;"Priority 1"),NA(),$E17)</f>
        <v>#N/A</v>
      </c>
      <c r="J17" s="20" t="e">
        <f aca="false">IF(OR($H17="",N($F17)&lt;=0,$C17&lt;&gt;"Priority 1"),NA(),$F17)</f>
        <v>#N/A</v>
      </c>
      <c r="K17" s="20" t="e">
        <f aca="false">IF(OR($H17="",N($F17)&lt;=0,$C17&lt;&gt;"Priority 1"),NA(),MAX($G17,1))</f>
        <v>#N/A</v>
      </c>
      <c r="L17" s="19" t="n">
        <f aca="false">IF(OR($H17="",N($F17)&lt;=0,$C17&lt;&gt;"Priority 2"),NA(),$E17)</f>
        <v>6.07</v>
      </c>
      <c r="M17" s="20" t="n">
        <f aca="false">IF(OR($H17="",N($F17)&lt;=0,$C17&lt;&gt;"Priority 2"),NA(),$F17)</f>
        <v>347</v>
      </c>
      <c r="N17" s="20" t="n">
        <f aca="false">IF(OR($H17="",N($F17)&lt;=0,$C17&lt;&gt;"Priority 2"),NA(),MAX($G17,1))</f>
        <v>18803.98</v>
      </c>
      <c r="O17" s="19" t="e">
        <f aca="false">IF(OR($H17="",N($F17)&lt;=0,$C17&lt;&gt;"Priority 3"),NA(),$E17)</f>
        <v>#N/A</v>
      </c>
      <c r="P17" s="20" t="e">
        <f aca="false">IF(OR($H17="",N($F17)&lt;=0,$C17&lt;&gt;"Priority 3"),NA(),$F17)</f>
        <v>#N/A</v>
      </c>
      <c r="Q17" s="20" t="e">
        <f aca="false">IF(OR($H17="",N($F17)&lt;=0,$C17&lt;&gt;"Priority 3"),NA(),MAX($G17,1))</f>
        <v>#N/A</v>
      </c>
    </row>
    <row r="18" customFormat="false" ht="15" hidden="false" customHeight="false" outlineLevel="0" collapsed="false">
      <c r="A18" s="14" t="n">
        <v>13</v>
      </c>
      <c r="B18" s="15" t="str">
        <f aca="false">IFERROR(IF(INDEX('Summary – Option 2'!$B$5:$B$337,$E$3+$A18-1)=$B$3,INDEX('Summary – Option 2'!$F$5:$F$337,$E$3+$A18-1),""),"")</f>
        <v>Fulvestrant</v>
      </c>
      <c r="C18" s="15" t="str">
        <f aca="false">IF($B18="","",INDEX('Summary – Option 2'!$D$5:$D$337,$E$3+$A18-1))</f>
        <v>Priority 2</v>
      </c>
      <c r="D18" s="16" t="str">
        <f aca="false">IF($B18="","",INDEX('Summary – Option 2'!$E$5:$E$337,$E$3+$A18-1))</f>
        <v>High price · lower volume</v>
      </c>
      <c r="E18" s="17" t="n">
        <f aca="false">IF($B18="","",INDEX('Summary – Option 2'!$K$5:$K$337,$E$3+$A18-1))</f>
        <v>246.46</v>
      </c>
      <c r="F18" s="18" t="n">
        <f aca="false">IF($B18="","",INDEX('Summary – Option 2'!$L$5:$L$337,$E$3+$A18-1))</f>
        <v>146</v>
      </c>
      <c r="G18" s="18" t="n">
        <f aca="false">IF($B18="","",INDEX('Summary – Option 2'!$M$5:$M$337,$E$3+$A18-1))</f>
        <v>11366.06</v>
      </c>
      <c r="H18" s="15" t="str">
        <f aca="false">IF(OR($B18="",LEFT($C18,8)="Excluded",NOT(ISNUMBER($E18))),"",$B18&amp;" (P"&amp;RIGHT($C18,1)&amp;")")</f>
        <v>Fulvestrant (P2)</v>
      </c>
      <c r="I18" s="19" t="e">
        <f aca="false">IF(OR($H18="",N($F18)&lt;=0,$C18&lt;&gt;"Priority 1"),NA(),$E18)</f>
        <v>#N/A</v>
      </c>
      <c r="J18" s="20" t="e">
        <f aca="false">IF(OR($H18="",N($F18)&lt;=0,$C18&lt;&gt;"Priority 1"),NA(),$F18)</f>
        <v>#N/A</v>
      </c>
      <c r="K18" s="20" t="e">
        <f aca="false">IF(OR($H18="",N($F18)&lt;=0,$C18&lt;&gt;"Priority 1"),NA(),MAX($G18,1))</f>
        <v>#N/A</v>
      </c>
      <c r="L18" s="19" t="n">
        <f aca="false">IF(OR($H18="",N($F18)&lt;=0,$C18&lt;&gt;"Priority 2"),NA(),$E18)</f>
        <v>246.46</v>
      </c>
      <c r="M18" s="20" t="n">
        <f aca="false">IF(OR($H18="",N($F18)&lt;=0,$C18&lt;&gt;"Priority 2"),NA(),$F18)</f>
        <v>146</v>
      </c>
      <c r="N18" s="20" t="n">
        <f aca="false">IF(OR($H18="",N($F18)&lt;=0,$C18&lt;&gt;"Priority 2"),NA(),MAX($G18,1))</f>
        <v>11366.06</v>
      </c>
      <c r="O18" s="19" t="e">
        <f aca="false">IF(OR($H18="",N($F18)&lt;=0,$C18&lt;&gt;"Priority 3"),NA(),$E18)</f>
        <v>#N/A</v>
      </c>
      <c r="P18" s="20" t="e">
        <f aca="false">IF(OR($H18="",N($F18)&lt;=0,$C18&lt;&gt;"Priority 3"),NA(),$F18)</f>
        <v>#N/A</v>
      </c>
      <c r="Q18" s="20" t="e">
        <f aca="false">IF(OR($H18="",N($F18)&lt;=0,$C18&lt;&gt;"Priority 3"),NA(),MAX($G18,1))</f>
        <v>#N/A</v>
      </c>
    </row>
    <row r="19" customFormat="false" ht="15" hidden="false" customHeight="false" outlineLevel="0" collapsed="false">
      <c r="A19" s="14" t="n">
        <v>14</v>
      </c>
      <c r="B19" s="15" t="str">
        <f aca="false">IFERROR(IF(INDEX('Summary – Option 2'!$B$5:$B$337,$E$3+$A19-1)=$B$3,INDEX('Summary – Option 2'!$F$5:$F$337,$E$3+$A19-1),""),"")</f>
        <v>Atropine</v>
      </c>
      <c r="C19" s="15" t="str">
        <f aca="false">IF($B19="","",INDEX('Summary – Option 2'!$D$5:$D$337,$E$3+$A19-1))</f>
        <v>Priority 2</v>
      </c>
      <c r="D19" s="16" t="str">
        <f aca="false">IF($B19="","",INDEX('Summary – Option 2'!$E$5:$E$337,$E$3+$A19-1))</f>
        <v>Lower price · high volume</v>
      </c>
      <c r="E19" s="17" t="n">
        <f aca="false">IF($B19="","",INDEX('Summary – Option 2'!$K$5:$K$337,$E$3+$A19-1))</f>
        <v>16.48</v>
      </c>
      <c r="F19" s="18" t="n">
        <f aca="false">IF($B19="","",INDEX('Summary – Option 2'!$L$5:$L$337,$E$3+$A19-1))</f>
        <v>976</v>
      </c>
      <c r="G19" s="18" t="n">
        <f aca="false">IF($B19="","",INDEX('Summary – Option 2'!$M$5:$M$337,$E$3+$A19-1))</f>
        <v>9295.14</v>
      </c>
      <c r="H19" s="15" t="str">
        <f aca="false">IF(OR($B19="",LEFT($C19,8)="Excluded",NOT(ISNUMBER($E19))),"",$B19&amp;" (P"&amp;RIGHT($C19,1)&amp;")")</f>
        <v>Atropine (P2)</v>
      </c>
      <c r="I19" s="19" t="e">
        <f aca="false">IF(OR($H19="",N($F19)&lt;=0,$C19&lt;&gt;"Priority 1"),NA(),$E19)</f>
        <v>#N/A</v>
      </c>
      <c r="J19" s="20" t="e">
        <f aca="false">IF(OR($H19="",N($F19)&lt;=0,$C19&lt;&gt;"Priority 1"),NA(),$F19)</f>
        <v>#N/A</v>
      </c>
      <c r="K19" s="20" t="e">
        <f aca="false">IF(OR($H19="",N($F19)&lt;=0,$C19&lt;&gt;"Priority 1"),NA(),MAX($G19,1))</f>
        <v>#N/A</v>
      </c>
      <c r="L19" s="19" t="n">
        <f aca="false">IF(OR($H19="",N($F19)&lt;=0,$C19&lt;&gt;"Priority 2"),NA(),$E19)</f>
        <v>16.48</v>
      </c>
      <c r="M19" s="20" t="n">
        <f aca="false">IF(OR($H19="",N($F19)&lt;=0,$C19&lt;&gt;"Priority 2"),NA(),$F19)</f>
        <v>976</v>
      </c>
      <c r="N19" s="20" t="n">
        <f aca="false">IF(OR($H19="",N($F19)&lt;=0,$C19&lt;&gt;"Priority 2"),NA(),MAX($G19,1))</f>
        <v>9295.14</v>
      </c>
      <c r="O19" s="19" t="e">
        <f aca="false">IF(OR($H19="",N($F19)&lt;=0,$C19&lt;&gt;"Priority 3"),NA(),$E19)</f>
        <v>#N/A</v>
      </c>
      <c r="P19" s="20" t="e">
        <f aca="false">IF(OR($H19="",N($F19)&lt;=0,$C19&lt;&gt;"Priority 3"),NA(),$F19)</f>
        <v>#N/A</v>
      </c>
      <c r="Q19" s="20" t="e">
        <f aca="false">IF(OR($H19="",N($F19)&lt;=0,$C19&lt;&gt;"Priority 3"),NA(),MAX($G19,1))</f>
        <v>#N/A</v>
      </c>
    </row>
    <row r="20" customFormat="false" ht="15" hidden="false" customHeight="false" outlineLevel="0" collapsed="false">
      <c r="A20" s="14" t="n">
        <v>15</v>
      </c>
      <c r="B20" s="15" t="str">
        <f aca="false">IFERROR(IF(INDEX('Summary – Option 2'!$B$5:$B$337,$E$3+$A20-1)=$B$3,INDEX('Summary – Option 2'!$F$5:$F$337,$E$3+$A20-1),""),"")</f>
        <v>Plerixafor</v>
      </c>
      <c r="C20" s="15" t="str">
        <f aca="false">IF($B20="","",INDEX('Summary – Option 2'!$D$5:$D$337,$E$3+$A20-1))</f>
        <v>Priority 2</v>
      </c>
      <c r="D20" s="16" t="str">
        <f aca="false">IF($B20="","",INDEX('Summary – Option 2'!$E$5:$E$337,$E$3+$A20-1))</f>
        <v>High price · lower volume</v>
      </c>
      <c r="E20" s="17" t="n">
        <f aca="false">IF($B20="","",INDEX('Summary – Option 2'!$K$5:$K$337,$E$3+$A20-1))</f>
        <v>4779</v>
      </c>
      <c r="F20" s="18" t="n">
        <f aca="false">IF($B20="","",INDEX('Summary – Option 2'!$L$5:$L$337,$E$3+$A20-1))</f>
        <v>47</v>
      </c>
      <c r="G20" s="18" t="n">
        <f aca="false">IF($B20="","",INDEX('Summary – Option 2'!$M$5:$M$337,$E$3+$A20-1))</f>
        <v>7904.67</v>
      </c>
      <c r="H20" s="15" t="str">
        <f aca="false">IF(OR($B20="",LEFT($C20,8)="Excluded",NOT(ISNUMBER($E20))),"",$B20&amp;" (P"&amp;RIGHT($C20,1)&amp;")")</f>
        <v>Plerixafor (P2)</v>
      </c>
      <c r="I20" s="19" t="e">
        <f aca="false">IF(OR($H20="",N($F20)&lt;=0,$C20&lt;&gt;"Priority 1"),NA(),$E20)</f>
        <v>#N/A</v>
      </c>
      <c r="J20" s="20" t="e">
        <f aca="false">IF(OR($H20="",N($F20)&lt;=0,$C20&lt;&gt;"Priority 1"),NA(),$F20)</f>
        <v>#N/A</v>
      </c>
      <c r="K20" s="20" t="e">
        <f aca="false">IF(OR($H20="",N($F20)&lt;=0,$C20&lt;&gt;"Priority 1"),NA(),MAX($G20,1))</f>
        <v>#N/A</v>
      </c>
      <c r="L20" s="19" t="n">
        <f aca="false">IF(OR($H20="",N($F20)&lt;=0,$C20&lt;&gt;"Priority 2"),NA(),$E20)</f>
        <v>4779</v>
      </c>
      <c r="M20" s="20" t="n">
        <f aca="false">IF(OR($H20="",N($F20)&lt;=0,$C20&lt;&gt;"Priority 2"),NA(),$F20)</f>
        <v>47</v>
      </c>
      <c r="N20" s="20" t="n">
        <f aca="false">IF(OR($H20="",N($F20)&lt;=0,$C20&lt;&gt;"Priority 2"),NA(),MAX($G20,1))</f>
        <v>7904.67</v>
      </c>
      <c r="O20" s="19" t="e">
        <f aca="false">IF(OR($H20="",N($F20)&lt;=0,$C20&lt;&gt;"Priority 3"),NA(),$E20)</f>
        <v>#N/A</v>
      </c>
      <c r="P20" s="20" t="e">
        <f aca="false">IF(OR($H20="",N($F20)&lt;=0,$C20&lt;&gt;"Priority 3"),NA(),$F20)</f>
        <v>#N/A</v>
      </c>
      <c r="Q20" s="20" t="e">
        <f aca="false">IF(OR($H20="",N($F20)&lt;=0,$C20&lt;&gt;"Priority 3"),NA(),MAX($G20,1))</f>
        <v>#N/A</v>
      </c>
    </row>
    <row r="21" customFormat="false" ht="15" hidden="false" customHeight="false" outlineLevel="0" collapsed="false">
      <c r="A21" s="14" t="n">
        <v>16</v>
      </c>
      <c r="B21" s="15" t="str">
        <f aca="false">IFERROR(IF(INDEX('Summary – Option 2'!$B$5:$B$337,$E$3+$A21-1)=$B$3,INDEX('Summary – Option 2'!$F$5:$F$337,$E$3+$A21-1),""),"")</f>
        <v>Cytarabine</v>
      </c>
      <c r="C21" s="15" t="str">
        <f aca="false">IF($B21="","",INDEX('Summary – Option 2'!$D$5:$D$337,$E$3+$A21-1))</f>
        <v>Priority 2</v>
      </c>
      <c r="D21" s="16" t="str">
        <f aca="false">IF($B21="","",INDEX('Summary – Option 2'!$E$5:$E$337,$E$3+$A21-1))</f>
        <v>Lower price · high volume</v>
      </c>
      <c r="E21" s="17" t="n">
        <f aca="false">IF($B21="","",INDEX('Summary – Option 2'!$K$5:$K$337,$E$3+$A21-1))</f>
        <v>6.7</v>
      </c>
      <c r="F21" s="18" t="n">
        <f aca="false">IF($B21="","",INDEX('Summary – Option 2'!$L$5:$L$337,$E$3+$A21-1))</f>
        <v>799</v>
      </c>
      <c r="G21" s="18" t="n">
        <f aca="false">IF($B21="","",INDEX('Summary – Option 2'!$M$5:$M$337,$E$3+$A21-1))</f>
        <v>7738.99</v>
      </c>
      <c r="H21" s="15" t="str">
        <f aca="false">IF(OR($B21="",LEFT($C21,8)="Excluded",NOT(ISNUMBER($E21))),"",$B21&amp;" (P"&amp;RIGHT($C21,1)&amp;")")</f>
        <v>Cytarabine (P2)</v>
      </c>
      <c r="I21" s="19" t="e">
        <f aca="false">IF(OR($H21="",N($F21)&lt;=0,$C21&lt;&gt;"Priority 1"),NA(),$E21)</f>
        <v>#N/A</v>
      </c>
      <c r="J21" s="20" t="e">
        <f aca="false">IF(OR($H21="",N($F21)&lt;=0,$C21&lt;&gt;"Priority 1"),NA(),$F21)</f>
        <v>#N/A</v>
      </c>
      <c r="K21" s="20" t="e">
        <f aca="false">IF(OR($H21="",N($F21)&lt;=0,$C21&lt;&gt;"Priority 1"),NA(),MAX($G21,1))</f>
        <v>#N/A</v>
      </c>
      <c r="L21" s="19" t="n">
        <f aca="false">IF(OR($H21="",N($F21)&lt;=0,$C21&lt;&gt;"Priority 2"),NA(),$E21)</f>
        <v>6.7</v>
      </c>
      <c r="M21" s="20" t="n">
        <f aca="false">IF(OR($H21="",N($F21)&lt;=0,$C21&lt;&gt;"Priority 2"),NA(),$F21)</f>
        <v>799</v>
      </c>
      <c r="N21" s="20" t="n">
        <f aca="false">IF(OR($H21="",N($F21)&lt;=0,$C21&lt;&gt;"Priority 2"),NA(),MAX($G21,1))</f>
        <v>7738.99</v>
      </c>
      <c r="O21" s="19" t="e">
        <f aca="false">IF(OR($H21="",N($F21)&lt;=0,$C21&lt;&gt;"Priority 3"),NA(),$E21)</f>
        <v>#N/A</v>
      </c>
      <c r="P21" s="20" t="e">
        <f aca="false">IF(OR($H21="",N($F21)&lt;=0,$C21&lt;&gt;"Priority 3"),NA(),$F21)</f>
        <v>#N/A</v>
      </c>
      <c r="Q21" s="20" t="e">
        <f aca="false">IF(OR($H21="",N($F21)&lt;=0,$C21&lt;&gt;"Priority 3"),NA(),MAX($G21,1))</f>
        <v>#N/A</v>
      </c>
    </row>
    <row r="22" customFormat="false" ht="15" hidden="false" customHeight="false" outlineLevel="0" collapsed="false">
      <c r="A22" s="14" t="n">
        <v>17</v>
      </c>
      <c r="B22" s="15" t="str">
        <f aca="false">IFERROR(IF(INDEX('Summary – Option 2'!$B$5:$B$337,$E$3+$A22-1)=$B$3,INDEX('Summary – Option 2'!$F$5:$F$337,$E$3+$A22-1),""),"")</f>
        <v>Teicoplanin</v>
      </c>
      <c r="C22" s="15" t="str">
        <f aca="false">IF($B22="","",INDEX('Summary – Option 2'!$D$5:$D$337,$E$3+$A22-1))</f>
        <v>Priority 2</v>
      </c>
      <c r="D22" s="16" t="str">
        <f aca="false">IF($B22="","",INDEX('Summary – Option 2'!$E$5:$E$337,$E$3+$A22-1))</f>
        <v>High price · lower volume</v>
      </c>
      <c r="E22" s="17" t="n">
        <f aca="false">IF($B22="","",INDEX('Summary – Option 2'!$K$5:$K$337,$E$3+$A22-1))</f>
        <v>35.27</v>
      </c>
      <c r="F22" s="18" t="n">
        <f aca="false">IF($B22="","",INDEX('Summary – Option 2'!$L$5:$L$337,$E$3+$A22-1))</f>
        <v>106</v>
      </c>
      <c r="G22" s="18" t="n">
        <f aca="false">IF($B22="","",INDEX('Summary – Option 2'!$M$5:$M$337,$E$3+$A22-1))</f>
        <v>7074.72</v>
      </c>
      <c r="H22" s="15" t="str">
        <f aca="false">IF(OR($B22="",LEFT($C22,8)="Excluded",NOT(ISNUMBER($E22))),"",$B22&amp;" (P"&amp;RIGHT($C22,1)&amp;")")</f>
        <v>Teicoplanin (P2)</v>
      </c>
      <c r="I22" s="19" t="e">
        <f aca="false">IF(OR($H22="",N($F22)&lt;=0,$C22&lt;&gt;"Priority 1"),NA(),$E22)</f>
        <v>#N/A</v>
      </c>
      <c r="J22" s="20" t="e">
        <f aca="false">IF(OR($H22="",N($F22)&lt;=0,$C22&lt;&gt;"Priority 1"),NA(),$F22)</f>
        <v>#N/A</v>
      </c>
      <c r="K22" s="20" t="e">
        <f aca="false">IF(OR($H22="",N($F22)&lt;=0,$C22&lt;&gt;"Priority 1"),NA(),MAX($G22,1))</f>
        <v>#N/A</v>
      </c>
      <c r="L22" s="19" t="n">
        <f aca="false">IF(OR($H22="",N($F22)&lt;=0,$C22&lt;&gt;"Priority 2"),NA(),$E22)</f>
        <v>35.27</v>
      </c>
      <c r="M22" s="20" t="n">
        <f aca="false">IF(OR($H22="",N($F22)&lt;=0,$C22&lt;&gt;"Priority 2"),NA(),$F22)</f>
        <v>106</v>
      </c>
      <c r="N22" s="20" t="n">
        <f aca="false">IF(OR($H22="",N($F22)&lt;=0,$C22&lt;&gt;"Priority 2"),NA(),MAX($G22,1))</f>
        <v>7074.72</v>
      </c>
      <c r="O22" s="19" t="e">
        <f aca="false">IF(OR($H22="",N($F22)&lt;=0,$C22&lt;&gt;"Priority 3"),NA(),$E22)</f>
        <v>#N/A</v>
      </c>
      <c r="P22" s="20" t="e">
        <f aca="false">IF(OR($H22="",N($F22)&lt;=0,$C22&lt;&gt;"Priority 3"),NA(),$F22)</f>
        <v>#N/A</v>
      </c>
      <c r="Q22" s="20" t="e">
        <f aca="false">IF(OR($H22="",N($F22)&lt;=0,$C22&lt;&gt;"Priority 3"),NA(),MAX($G22,1))</f>
        <v>#N/A</v>
      </c>
    </row>
    <row r="23" customFormat="false" ht="15" hidden="false" customHeight="false" outlineLevel="0" collapsed="false">
      <c r="A23" s="14" t="n">
        <v>18</v>
      </c>
      <c r="B23" s="15" t="str">
        <f aca="false">IFERROR(IF(INDEX('Summary – Option 2'!$B$5:$B$337,$E$3+$A23-1)=$B$3,INDEX('Summary – Option 2'!$F$5:$F$337,$E$3+$A23-1),""),"")</f>
        <v>Cefepime</v>
      </c>
      <c r="C23" s="15" t="str">
        <f aca="false">IF($B23="","",INDEX('Summary – Option 2'!$D$5:$D$337,$E$3+$A23-1))</f>
        <v>Priority 2</v>
      </c>
      <c r="D23" s="16" t="str">
        <f aca="false">IF($B23="","",INDEX('Summary – Option 2'!$E$5:$E$337,$E$3+$A23-1))</f>
        <v>Lower price · high volume</v>
      </c>
      <c r="E23" s="17" t="n">
        <f aca="false">IF($B23="","",INDEX('Summary – Option 2'!$K$5:$K$337,$E$3+$A23-1))</f>
        <v>9.65</v>
      </c>
      <c r="F23" s="18" t="n">
        <f aca="false">IF($B23="","",INDEX('Summary – Option 2'!$L$5:$L$337,$E$3+$A23-1))</f>
        <v>290</v>
      </c>
      <c r="G23" s="18" t="n">
        <f aca="false">IF($B23="","",INDEX('Summary – Option 2'!$M$5:$M$337,$E$3+$A23-1))</f>
        <v>6348.25</v>
      </c>
      <c r="H23" s="15" t="str">
        <f aca="false">IF(OR($B23="",LEFT($C23,8)="Excluded",NOT(ISNUMBER($E23))),"",$B23&amp;" (P"&amp;RIGHT($C23,1)&amp;")")</f>
        <v>Cefepime (P2)</v>
      </c>
      <c r="I23" s="19" t="e">
        <f aca="false">IF(OR($H23="",N($F23)&lt;=0,$C23&lt;&gt;"Priority 1"),NA(),$E23)</f>
        <v>#N/A</v>
      </c>
      <c r="J23" s="20" t="e">
        <f aca="false">IF(OR($H23="",N($F23)&lt;=0,$C23&lt;&gt;"Priority 1"),NA(),$F23)</f>
        <v>#N/A</v>
      </c>
      <c r="K23" s="20" t="e">
        <f aca="false">IF(OR($H23="",N($F23)&lt;=0,$C23&lt;&gt;"Priority 1"),NA(),MAX($G23,1))</f>
        <v>#N/A</v>
      </c>
      <c r="L23" s="19" t="n">
        <f aca="false">IF(OR($H23="",N($F23)&lt;=0,$C23&lt;&gt;"Priority 2"),NA(),$E23)</f>
        <v>9.65</v>
      </c>
      <c r="M23" s="20" t="n">
        <f aca="false">IF(OR($H23="",N($F23)&lt;=0,$C23&lt;&gt;"Priority 2"),NA(),$F23)</f>
        <v>290</v>
      </c>
      <c r="N23" s="20" t="n">
        <f aca="false">IF(OR($H23="",N($F23)&lt;=0,$C23&lt;&gt;"Priority 2"),NA(),MAX($G23,1))</f>
        <v>6348.25</v>
      </c>
      <c r="O23" s="19" t="e">
        <f aca="false">IF(OR($H23="",N($F23)&lt;=0,$C23&lt;&gt;"Priority 3"),NA(),$E23)</f>
        <v>#N/A</v>
      </c>
      <c r="P23" s="20" t="e">
        <f aca="false">IF(OR($H23="",N($F23)&lt;=0,$C23&lt;&gt;"Priority 3"),NA(),$F23)</f>
        <v>#N/A</v>
      </c>
      <c r="Q23" s="20" t="e">
        <f aca="false">IF(OR($H23="",N($F23)&lt;=0,$C23&lt;&gt;"Priority 3"),NA(),MAX($G23,1))</f>
        <v>#N/A</v>
      </c>
    </row>
    <row r="24" customFormat="false" ht="15" hidden="false" customHeight="false" outlineLevel="0" collapsed="false">
      <c r="A24" s="14" t="n">
        <v>19</v>
      </c>
      <c r="B24" s="15" t="str">
        <f aca="false">IFERROR(IF(INDEX('Summary – Option 2'!$B$5:$B$337,$E$3+$A24-1)=$B$3,INDEX('Summary – Option 2'!$F$5:$F$337,$E$3+$A24-1),""),"")</f>
        <v>Naloxone</v>
      </c>
      <c r="C24" s="15" t="str">
        <f aca="false">IF($B24="","",INDEX('Summary – Option 2'!$D$5:$D$337,$E$3+$A24-1))</f>
        <v>Priority 2</v>
      </c>
      <c r="D24" s="16" t="str">
        <f aca="false">IF($B24="","",INDEX('Summary – Option 2'!$E$5:$E$337,$E$3+$A24-1))</f>
        <v>Lower price · high volume</v>
      </c>
      <c r="E24" s="17" t="n">
        <f aca="false">IF($B24="","",INDEX('Summary – Option 2'!$K$5:$K$337,$E$3+$A24-1))</f>
        <v>5.42</v>
      </c>
      <c r="F24" s="18" t="n">
        <f aca="false">IF($B24="","",INDEX('Summary – Option 2'!$L$5:$L$337,$E$3+$A24-1))</f>
        <v>365</v>
      </c>
      <c r="G24" s="18" t="n">
        <f aca="false">IF($B24="","",INDEX('Summary – Option 2'!$M$5:$M$337,$E$3+$A24-1))</f>
        <v>5976.94</v>
      </c>
      <c r="H24" s="15" t="str">
        <f aca="false">IF(OR($B24="",LEFT($C24,8)="Excluded",NOT(ISNUMBER($E24))),"",$B24&amp;" (P"&amp;RIGHT($C24,1)&amp;")")</f>
        <v>Naloxone (P2)</v>
      </c>
      <c r="I24" s="19" t="e">
        <f aca="false">IF(OR($H24="",N($F24)&lt;=0,$C24&lt;&gt;"Priority 1"),NA(),$E24)</f>
        <v>#N/A</v>
      </c>
      <c r="J24" s="20" t="e">
        <f aca="false">IF(OR($H24="",N($F24)&lt;=0,$C24&lt;&gt;"Priority 1"),NA(),$F24)</f>
        <v>#N/A</v>
      </c>
      <c r="K24" s="20" t="e">
        <f aca="false">IF(OR($H24="",N($F24)&lt;=0,$C24&lt;&gt;"Priority 1"),NA(),MAX($G24,1))</f>
        <v>#N/A</v>
      </c>
      <c r="L24" s="19" t="n">
        <f aca="false">IF(OR($H24="",N($F24)&lt;=0,$C24&lt;&gt;"Priority 2"),NA(),$E24)</f>
        <v>5.42</v>
      </c>
      <c r="M24" s="20" t="n">
        <f aca="false">IF(OR($H24="",N($F24)&lt;=0,$C24&lt;&gt;"Priority 2"),NA(),$F24)</f>
        <v>365</v>
      </c>
      <c r="N24" s="20" t="n">
        <f aca="false">IF(OR($H24="",N($F24)&lt;=0,$C24&lt;&gt;"Priority 2"),NA(),MAX($G24,1))</f>
        <v>5976.94</v>
      </c>
      <c r="O24" s="19" t="e">
        <f aca="false">IF(OR($H24="",N($F24)&lt;=0,$C24&lt;&gt;"Priority 3"),NA(),$E24)</f>
        <v>#N/A</v>
      </c>
      <c r="P24" s="20" t="e">
        <f aca="false">IF(OR($H24="",N($F24)&lt;=0,$C24&lt;&gt;"Priority 3"),NA(),$F24)</f>
        <v>#N/A</v>
      </c>
      <c r="Q24" s="20" t="e">
        <f aca="false">IF(OR($H24="",N($F24)&lt;=0,$C24&lt;&gt;"Priority 3"),NA(),MAX($G24,1))</f>
        <v>#N/A</v>
      </c>
    </row>
    <row r="25" customFormat="false" ht="15" hidden="false" customHeight="false" outlineLevel="0" collapsed="false">
      <c r="A25" s="14" t="n">
        <v>20</v>
      </c>
      <c r="B25" s="15" t="str">
        <f aca="false">IFERROR(IF(INDEX('Summary – Option 2'!$B$5:$B$337,$E$3+$A25-1)=$B$3,INDEX('Summary – Option 2'!$F$5:$F$337,$E$3+$A25-1),""),"")</f>
        <v>Succinylcholine (Suxamethonium)</v>
      </c>
      <c r="C25" s="15" t="str">
        <f aca="false">IF($B25="","",INDEX('Summary – Option 2'!$D$5:$D$337,$E$3+$A25-1))</f>
        <v>Priority 2</v>
      </c>
      <c r="D25" s="16" t="str">
        <f aca="false">IF($B25="","",INDEX('Summary – Option 2'!$E$5:$E$337,$E$3+$A25-1))</f>
        <v>Lower price · high volume</v>
      </c>
      <c r="E25" s="17" t="n">
        <f aca="false">IF($B25="","",INDEX('Summary – Option 2'!$K$5:$K$337,$E$3+$A25-1))</f>
        <v>5.12</v>
      </c>
      <c r="F25" s="18" t="n">
        <f aca="false">IF($B25="","",INDEX('Summary – Option 2'!$L$5:$L$337,$E$3+$A25-1))</f>
        <v>286</v>
      </c>
      <c r="G25" s="18" t="n">
        <f aca="false">IF($B25="","",INDEX('Summary – Option 2'!$M$5:$M$337,$E$3+$A25-1))</f>
        <v>3067.39</v>
      </c>
      <c r="H25" s="15" t="str">
        <f aca="false">IF(OR($B25="",LEFT($C25,8)="Excluded",NOT(ISNUMBER($E25))),"",$B25&amp;" (P"&amp;RIGHT($C25,1)&amp;")")</f>
        <v>Succinylcholine (Suxamethonium) (P2)</v>
      </c>
      <c r="I25" s="19" t="e">
        <f aca="false">IF(OR($H25="",N($F25)&lt;=0,$C25&lt;&gt;"Priority 1"),NA(),$E25)</f>
        <v>#N/A</v>
      </c>
      <c r="J25" s="20" t="e">
        <f aca="false">IF(OR($H25="",N($F25)&lt;=0,$C25&lt;&gt;"Priority 1"),NA(),$F25)</f>
        <v>#N/A</v>
      </c>
      <c r="K25" s="20" t="e">
        <f aca="false">IF(OR($H25="",N($F25)&lt;=0,$C25&lt;&gt;"Priority 1"),NA(),MAX($G25,1))</f>
        <v>#N/A</v>
      </c>
      <c r="L25" s="19" t="n">
        <f aca="false">IF(OR($H25="",N($F25)&lt;=0,$C25&lt;&gt;"Priority 2"),NA(),$E25)</f>
        <v>5.12</v>
      </c>
      <c r="M25" s="20" t="n">
        <f aca="false">IF(OR($H25="",N($F25)&lt;=0,$C25&lt;&gt;"Priority 2"),NA(),$F25)</f>
        <v>286</v>
      </c>
      <c r="N25" s="20" t="n">
        <f aca="false">IF(OR($H25="",N($F25)&lt;=0,$C25&lt;&gt;"Priority 2"),NA(),MAX($G25,1))</f>
        <v>3067.39</v>
      </c>
      <c r="O25" s="19" t="e">
        <f aca="false">IF(OR($H25="",N($F25)&lt;=0,$C25&lt;&gt;"Priority 3"),NA(),$E25)</f>
        <v>#N/A</v>
      </c>
      <c r="P25" s="20" t="e">
        <f aca="false">IF(OR($H25="",N($F25)&lt;=0,$C25&lt;&gt;"Priority 3"),NA(),$F25)</f>
        <v>#N/A</v>
      </c>
      <c r="Q25" s="20" t="e">
        <f aca="false">IF(OR($H25="",N($F25)&lt;=0,$C25&lt;&gt;"Priority 3"),NA(),MAX($G25,1))</f>
        <v>#N/A</v>
      </c>
    </row>
    <row r="26" customFormat="false" ht="15" hidden="false" customHeight="false" outlineLevel="0" collapsed="false">
      <c r="A26" s="14" t="n">
        <v>21</v>
      </c>
      <c r="B26" s="15" t="str">
        <f aca="false">IFERROR(IF(INDEX('Summary – Option 2'!$B$5:$B$337,$E$3+$A26-1)=$B$3,INDEX('Summary – Option 2'!$F$5:$F$337,$E$3+$A26-1),""),"")</f>
        <v>Leuprorelin</v>
      </c>
      <c r="C26" s="15" t="str">
        <f aca="false">IF($B26="","",INDEX('Summary – Option 2'!$D$5:$D$337,$E$3+$A26-1))</f>
        <v>Priority 2</v>
      </c>
      <c r="D26" s="16" t="str">
        <f aca="false">IF($B26="","",INDEX('Summary – Option 2'!$E$5:$E$337,$E$3+$A26-1))</f>
        <v>High price · lower volume</v>
      </c>
      <c r="E26" s="17" t="n">
        <f aca="false">IF($B26="","",INDEX('Summary – Option 2'!$K$5:$K$337,$E$3+$A26-1))</f>
        <v>433.94</v>
      </c>
      <c r="F26" s="18" t="n">
        <f aca="false">IF($B26="","",INDEX('Summary – Option 2'!$L$5:$L$337,$E$3+$A26-1))</f>
        <v>121</v>
      </c>
      <c r="G26" s="18" t="n">
        <f aca="false">IF($B26="","",INDEX('Summary – Option 2'!$M$5:$M$337,$E$3+$A26-1))</f>
        <v>2714.83</v>
      </c>
      <c r="H26" s="15" t="str">
        <f aca="false">IF(OR($B26="",LEFT($C26,8)="Excluded",NOT(ISNUMBER($E26))),"",$B26&amp;" (P"&amp;RIGHT($C26,1)&amp;")")</f>
        <v>Leuprorelin (P2)</v>
      </c>
      <c r="I26" s="19" t="e">
        <f aca="false">IF(OR($H26="",N($F26)&lt;=0,$C26&lt;&gt;"Priority 1"),NA(),$E26)</f>
        <v>#N/A</v>
      </c>
      <c r="J26" s="20" t="e">
        <f aca="false">IF(OR($H26="",N($F26)&lt;=0,$C26&lt;&gt;"Priority 1"),NA(),$F26)</f>
        <v>#N/A</v>
      </c>
      <c r="K26" s="20" t="e">
        <f aca="false">IF(OR($H26="",N($F26)&lt;=0,$C26&lt;&gt;"Priority 1"),NA(),MAX($G26,1))</f>
        <v>#N/A</v>
      </c>
      <c r="L26" s="19" t="n">
        <f aca="false">IF(OR($H26="",N($F26)&lt;=0,$C26&lt;&gt;"Priority 2"),NA(),$E26)</f>
        <v>433.94</v>
      </c>
      <c r="M26" s="20" t="n">
        <f aca="false">IF(OR($H26="",N($F26)&lt;=0,$C26&lt;&gt;"Priority 2"),NA(),$F26)</f>
        <v>121</v>
      </c>
      <c r="N26" s="20" t="n">
        <f aca="false">IF(OR($H26="",N($F26)&lt;=0,$C26&lt;&gt;"Priority 2"),NA(),MAX($G26,1))</f>
        <v>2714.83</v>
      </c>
      <c r="O26" s="19" t="e">
        <f aca="false">IF(OR($H26="",N($F26)&lt;=0,$C26&lt;&gt;"Priority 3"),NA(),$E26)</f>
        <v>#N/A</v>
      </c>
      <c r="P26" s="20" t="e">
        <f aca="false">IF(OR($H26="",N($F26)&lt;=0,$C26&lt;&gt;"Priority 3"),NA(),$F26)</f>
        <v>#N/A</v>
      </c>
      <c r="Q26" s="20" t="e">
        <f aca="false">IF(OR($H26="",N($F26)&lt;=0,$C26&lt;&gt;"Priority 3"),NA(),MAX($G26,1))</f>
        <v>#N/A</v>
      </c>
    </row>
    <row r="27" customFormat="false" ht="15" hidden="false" customHeight="false" outlineLevel="0" collapsed="false">
      <c r="A27" s="14" t="n">
        <v>22</v>
      </c>
      <c r="B27" s="15" t="str">
        <f aca="false">IFERROR(IF(INDEX('Summary – Option 2'!$B$5:$B$337,$E$3+$A27-1)=$B$3,INDEX('Summary – Option 2'!$F$5:$F$337,$E$3+$A27-1),""),"")</f>
        <v>Ustekinumab</v>
      </c>
      <c r="C27" s="15" t="str">
        <f aca="false">IF($B27="","",INDEX('Summary – Option 2'!$D$5:$D$337,$E$3+$A27-1))</f>
        <v>Priority 2</v>
      </c>
      <c r="D27" s="16" t="str">
        <f aca="false">IF($B27="","",INDEX('Summary – Option 2'!$E$5:$E$337,$E$3+$A27-1))</f>
        <v>High price · lower volume</v>
      </c>
      <c r="E27" s="17" t="n">
        <f aca="false">IF($B27="","",INDEX('Summary – Option 2'!$K$5:$K$337,$E$3+$A27-1))</f>
        <v>2838.33</v>
      </c>
      <c r="F27" s="18" t="n">
        <f aca="false">IF($B27="","",INDEX('Summary – Option 2'!$L$5:$L$337,$E$3+$A27-1))</f>
        <v>125</v>
      </c>
      <c r="G27" s="18" t="n">
        <f aca="false">IF($B27="","",INDEX('Summary – Option 2'!$M$5:$M$337,$E$3+$A27-1))</f>
        <v>2485.93</v>
      </c>
      <c r="H27" s="15" t="str">
        <f aca="false">IF(OR($B27="",LEFT($C27,8)="Excluded",NOT(ISNUMBER($E27))),"",$B27&amp;" (P"&amp;RIGHT($C27,1)&amp;")")</f>
        <v>Ustekinumab (P2)</v>
      </c>
      <c r="I27" s="19" t="e">
        <f aca="false">IF(OR($H27="",N($F27)&lt;=0,$C27&lt;&gt;"Priority 1"),NA(),$E27)</f>
        <v>#N/A</v>
      </c>
      <c r="J27" s="20" t="e">
        <f aca="false">IF(OR($H27="",N($F27)&lt;=0,$C27&lt;&gt;"Priority 1"),NA(),$F27)</f>
        <v>#N/A</v>
      </c>
      <c r="K27" s="20" t="e">
        <f aca="false">IF(OR($H27="",N($F27)&lt;=0,$C27&lt;&gt;"Priority 1"),NA(),MAX($G27,1))</f>
        <v>#N/A</v>
      </c>
      <c r="L27" s="19" t="n">
        <f aca="false">IF(OR($H27="",N($F27)&lt;=0,$C27&lt;&gt;"Priority 2"),NA(),$E27)</f>
        <v>2838.33</v>
      </c>
      <c r="M27" s="20" t="n">
        <f aca="false">IF(OR($H27="",N($F27)&lt;=0,$C27&lt;&gt;"Priority 2"),NA(),$F27)</f>
        <v>125</v>
      </c>
      <c r="N27" s="20" t="n">
        <f aca="false">IF(OR($H27="",N($F27)&lt;=0,$C27&lt;&gt;"Priority 2"),NA(),MAX($G27,1))</f>
        <v>2485.93</v>
      </c>
      <c r="O27" s="19" t="e">
        <f aca="false">IF(OR($H27="",N($F27)&lt;=0,$C27&lt;&gt;"Priority 3"),NA(),$E27)</f>
        <v>#N/A</v>
      </c>
      <c r="P27" s="20" t="e">
        <f aca="false">IF(OR($H27="",N($F27)&lt;=0,$C27&lt;&gt;"Priority 3"),NA(),$F27)</f>
        <v>#N/A</v>
      </c>
      <c r="Q27" s="20" t="e">
        <f aca="false">IF(OR($H27="",N($F27)&lt;=0,$C27&lt;&gt;"Priority 3"),NA(),MAX($G27,1))</f>
        <v>#N/A</v>
      </c>
    </row>
    <row r="28" customFormat="false" ht="15" hidden="false" customHeight="false" outlineLevel="0" collapsed="false">
      <c r="A28" s="14" t="n">
        <v>23</v>
      </c>
      <c r="B28" s="15" t="str">
        <f aca="false">IFERROR(IF(INDEX('Summary – Option 2'!$B$5:$B$337,$E$3+$A28-1)=$B$3,INDEX('Summary – Option 2'!$F$5:$F$337,$E$3+$A28-1),""),"")</f>
        <v>Degarelix</v>
      </c>
      <c r="C28" s="15" t="str">
        <f aca="false">IF($B28="","",INDEX('Summary – Option 2'!$D$5:$D$337,$E$3+$A28-1))</f>
        <v>Priority 2</v>
      </c>
      <c r="D28" s="16" t="str">
        <f aca="false">IF($B28="","",INDEX('Summary – Option 2'!$E$5:$E$337,$E$3+$A28-1))</f>
        <v>High price · lower volume</v>
      </c>
      <c r="E28" s="17" t="n">
        <f aca="false">IF($B28="","",INDEX('Summary – Option 2'!$K$5:$K$337,$E$3+$A28-1))</f>
        <v>92.62</v>
      </c>
      <c r="F28" s="18" t="n">
        <f aca="false">IF($B28="","",INDEX('Summary – Option 2'!$L$5:$L$337,$E$3+$A28-1))</f>
        <v>26</v>
      </c>
      <c r="G28" s="18" t="n">
        <f aca="false">IF($B28="","",INDEX('Summary – Option 2'!$M$5:$M$337,$E$3+$A28-1))</f>
        <v>140.86</v>
      </c>
      <c r="H28" s="15" t="str">
        <f aca="false">IF(OR($B28="",LEFT($C28,8)="Excluded",NOT(ISNUMBER($E28))),"",$B28&amp;" (P"&amp;RIGHT($C28,1)&amp;")")</f>
        <v>Degarelix (P2)</v>
      </c>
      <c r="I28" s="19" t="e">
        <f aca="false">IF(OR($H28="",N($F28)&lt;=0,$C28&lt;&gt;"Priority 1"),NA(),$E28)</f>
        <v>#N/A</v>
      </c>
      <c r="J28" s="20" t="e">
        <f aca="false">IF(OR($H28="",N($F28)&lt;=0,$C28&lt;&gt;"Priority 1"),NA(),$F28)</f>
        <v>#N/A</v>
      </c>
      <c r="K28" s="20" t="e">
        <f aca="false">IF(OR($H28="",N($F28)&lt;=0,$C28&lt;&gt;"Priority 1"),NA(),MAX($G28,1))</f>
        <v>#N/A</v>
      </c>
      <c r="L28" s="19" t="n">
        <f aca="false">IF(OR($H28="",N($F28)&lt;=0,$C28&lt;&gt;"Priority 2"),NA(),$E28)</f>
        <v>92.62</v>
      </c>
      <c r="M28" s="20" t="n">
        <f aca="false">IF(OR($H28="",N($F28)&lt;=0,$C28&lt;&gt;"Priority 2"),NA(),$F28)</f>
        <v>26</v>
      </c>
      <c r="N28" s="20" t="n">
        <f aca="false">IF(OR($H28="",N($F28)&lt;=0,$C28&lt;&gt;"Priority 2"),NA(),MAX($G28,1))</f>
        <v>140.86</v>
      </c>
      <c r="O28" s="19" t="e">
        <f aca="false">IF(OR($H28="",N($F28)&lt;=0,$C28&lt;&gt;"Priority 3"),NA(),$E28)</f>
        <v>#N/A</v>
      </c>
      <c r="P28" s="20" t="e">
        <f aca="false">IF(OR($H28="",N($F28)&lt;=0,$C28&lt;&gt;"Priority 3"),NA(),$F28)</f>
        <v>#N/A</v>
      </c>
      <c r="Q28" s="20" t="e">
        <f aca="false">IF(OR($H28="",N($F28)&lt;=0,$C28&lt;&gt;"Priority 3"),NA(),MAX($G28,1))</f>
        <v>#N/A</v>
      </c>
    </row>
    <row r="29" customFormat="false" ht="15" hidden="false" customHeight="false" outlineLevel="0" collapsed="false">
      <c r="A29" s="14" t="n">
        <v>24</v>
      </c>
      <c r="B29" s="15" t="str">
        <f aca="false">IFERROR(IF(INDEX('Summary – Option 2'!$B$5:$B$337,$E$3+$A29-1)=$B$3,INDEX('Summary – Option 2'!$F$5:$F$337,$E$3+$A29-1),""),"")</f>
        <v>Midazolam</v>
      </c>
      <c r="C29" s="15" t="str">
        <f aca="false">IF($B29="","",INDEX('Summary – Option 2'!$D$5:$D$337,$E$3+$A29-1))</f>
        <v>Priority 3</v>
      </c>
      <c r="D29" s="16" t="str">
        <f aca="false">IF($B29="","",INDEX('Summary – Option 2'!$E$5:$E$337,$E$3+$A29-1))</f>
        <v>Lower price · lower volume</v>
      </c>
      <c r="E29" s="17" t="n">
        <f aca="false">IF($B29="","",INDEX('Summary – Option 2'!$K$5:$K$337,$E$3+$A29-1))</f>
        <v>11.33</v>
      </c>
      <c r="F29" s="18" t="n">
        <f aca="false">IF($B29="","",INDEX('Summary – Option 2'!$L$5:$L$337,$E$3+$A29-1))</f>
        <v>221</v>
      </c>
      <c r="G29" s="18" t="n">
        <f aca="false">IF($B29="","",INDEX('Summary – Option 2'!$M$5:$M$337,$E$3+$A29-1))</f>
        <v>5838.25</v>
      </c>
      <c r="H29" s="15" t="str">
        <f aca="false">IF(OR($B29="",LEFT($C29,8)="Excluded",NOT(ISNUMBER($E29))),"",$B29&amp;" (P"&amp;RIGHT($C29,1)&amp;")")</f>
        <v>Midazolam (P3)</v>
      </c>
      <c r="I29" s="19" t="e">
        <f aca="false">IF(OR($H29="",N($F29)&lt;=0,$C29&lt;&gt;"Priority 1"),NA(),$E29)</f>
        <v>#N/A</v>
      </c>
      <c r="J29" s="20" t="e">
        <f aca="false">IF(OR($H29="",N($F29)&lt;=0,$C29&lt;&gt;"Priority 1"),NA(),$F29)</f>
        <v>#N/A</v>
      </c>
      <c r="K29" s="20" t="e">
        <f aca="false">IF(OR($H29="",N($F29)&lt;=0,$C29&lt;&gt;"Priority 1"),NA(),MAX($G29,1))</f>
        <v>#N/A</v>
      </c>
      <c r="L29" s="19" t="e">
        <f aca="false">IF(OR($H29="",N($F29)&lt;=0,$C29&lt;&gt;"Priority 2"),NA(),$E29)</f>
        <v>#N/A</v>
      </c>
      <c r="M29" s="20" t="e">
        <f aca="false">IF(OR($H29="",N($F29)&lt;=0,$C29&lt;&gt;"Priority 2"),NA(),$F29)</f>
        <v>#N/A</v>
      </c>
      <c r="N29" s="20" t="e">
        <f aca="false">IF(OR($H29="",N($F29)&lt;=0,$C29&lt;&gt;"Priority 2"),NA(),MAX($G29,1))</f>
        <v>#N/A</v>
      </c>
      <c r="O29" s="19" t="n">
        <f aca="false">IF(OR($H29="",N($F29)&lt;=0,$C29&lt;&gt;"Priority 3"),NA(),$E29)</f>
        <v>11.33</v>
      </c>
      <c r="P29" s="20" t="n">
        <f aca="false">IF(OR($H29="",N($F29)&lt;=0,$C29&lt;&gt;"Priority 3"),NA(),$F29)</f>
        <v>221</v>
      </c>
      <c r="Q29" s="20" t="n">
        <f aca="false">IF(OR($H29="",N($F29)&lt;=0,$C29&lt;&gt;"Priority 3"),NA(),MAX($G29,1))</f>
        <v>5838.25</v>
      </c>
    </row>
    <row r="30" customFormat="false" ht="15" hidden="false" customHeight="false" outlineLevel="0" collapsed="false">
      <c r="A30" s="14" t="n">
        <v>25</v>
      </c>
      <c r="B30" s="15" t="str">
        <f aca="false">IFERROR(IF(INDEX('Summary – Option 2'!$B$5:$B$337,$E$3+$A30-1)=$B$3,INDEX('Summary – Option 2'!$F$5:$F$337,$E$3+$A30-1),""),"")</f>
        <v>Colistimethate Sodium</v>
      </c>
      <c r="C30" s="15" t="str">
        <f aca="false">IF($B30="","",INDEX('Summary – Option 2'!$D$5:$D$337,$E$3+$A30-1))</f>
        <v>Priority 3</v>
      </c>
      <c r="D30" s="16" t="str">
        <f aca="false">IF($B30="","",INDEX('Summary – Option 2'!$E$5:$E$337,$E$3+$A30-1))</f>
        <v>Lower price · lower volume</v>
      </c>
      <c r="E30" s="17" t="n">
        <f aca="false">IF($B30="","",INDEX('Summary – Option 2'!$K$5:$K$337,$E$3+$A30-1))</f>
        <v>9.75</v>
      </c>
      <c r="F30" s="18" t="n">
        <f aca="false">IF($B30="","",INDEX('Summary – Option 2'!$L$5:$L$337,$E$3+$A30-1))</f>
        <v>123</v>
      </c>
      <c r="G30" s="18" t="n">
        <f aca="false">IF($B30="","",INDEX('Summary – Option 2'!$M$5:$M$337,$E$3+$A30-1))</f>
        <v>3010.2</v>
      </c>
      <c r="H30" s="15" t="str">
        <f aca="false">IF(OR($B30="",LEFT($C30,8)="Excluded",NOT(ISNUMBER($E30))),"",$B30&amp;" (P"&amp;RIGHT($C30,1)&amp;")")</f>
        <v>Colistimethate Sodium (P3)</v>
      </c>
      <c r="I30" s="19" t="e">
        <f aca="false">IF(OR($H30="",N($F30)&lt;=0,$C30&lt;&gt;"Priority 1"),NA(),$E30)</f>
        <v>#N/A</v>
      </c>
      <c r="J30" s="20" t="e">
        <f aca="false">IF(OR($H30="",N($F30)&lt;=0,$C30&lt;&gt;"Priority 1"),NA(),$F30)</f>
        <v>#N/A</v>
      </c>
      <c r="K30" s="20" t="e">
        <f aca="false">IF(OR($H30="",N($F30)&lt;=0,$C30&lt;&gt;"Priority 1"),NA(),MAX($G30,1))</f>
        <v>#N/A</v>
      </c>
      <c r="L30" s="19" t="e">
        <f aca="false">IF(OR($H30="",N($F30)&lt;=0,$C30&lt;&gt;"Priority 2"),NA(),$E30)</f>
        <v>#N/A</v>
      </c>
      <c r="M30" s="20" t="e">
        <f aca="false">IF(OR($H30="",N($F30)&lt;=0,$C30&lt;&gt;"Priority 2"),NA(),$F30)</f>
        <v>#N/A</v>
      </c>
      <c r="N30" s="20" t="e">
        <f aca="false">IF(OR($H30="",N($F30)&lt;=0,$C30&lt;&gt;"Priority 2"),NA(),MAX($G30,1))</f>
        <v>#N/A</v>
      </c>
      <c r="O30" s="19" t="n">
        <f aca="false">IF(OR($H30="",N($F30)&lt;=0,$C30&lt;&gt;"Priority 3"),NA(),$E30)</f>
        <v>9.75</v>
      </c>
      <c r="P30" s="20" t="n">
        <f aca="false">IF(OR($H30="",N($F30)&lt;=0,$C30&lt;&gt;"Priority 3"),NA(),$F30)</f>
        <v>123</v>
      </c>
      <c r="Q30" s="20" t="n">
        <f aca="false">IF(OR($H30="",N($F30)&lt;=0,$C30&lt;&gt;"Priority 3"),NA(),MAX($G30,1))</f>
        <v>3010.2</v>
      </c>
    </row>
    <row r="31" customFormat="false" ht="15" hidden="false" customHeight="false" outlineLevel="0" collapsed="false">
      <c r="A31" s="14" t="n">
        <v>26</v>
      </c>
      <c r="B31" s="15" t="str">
        <f aca="false">IFERROR(IF(INDEX('Summary – Option 2'!$B$5:$B$337,$E$3+$A31-1)=$B$3,INDEX('Summary – Option 2'!$F$5:$F$337,$E$3+$A31-1),""),"")</f>
        <v>Hydroxocobalamin</v>
      </c>
      <c r="C31" s="15" t="str">
        <f aca="false">IF($B31="","",INDEX('Summary – Option 2'!$D$5:$D$337,$E$3+$A31-1))</f>
        <v>Priority 3</v>
      </c>
      <c r="D31" s="16" t="str">
        <f aca="false">IF($B31="","",INDEX('Summary – Option 2'!$E$5:$E$337,$E$3+$A31-1))</f>
        <v>Lower price · lower volume</v>
      </c>
      <c r="E31" s="17" t="n">
        <f aca="false">IF($B31="","",INDEX('Summary – Option 2'!$K$5:$K$337,$E$3+$A31-1))</f>
        <v>9.83</v>
      </c>
      <c r="F31" s="18" t="n">
        <f aca="false">IF($B31="","",INDEX('Summary – Option 2'!$L$5:$L$337,$E$3+$A31-1))</f>
        <v>32</v>
      </c>
      <c r="G31" s="18" t="n">
        <f aca="false">IF($B31="","",INDEX('Summary – Option 2'!$M$5:$M$337,$E$3+$A31-1))</f>
        <v>457.96</v>
      </c>
      <c r="H31" s="15" t="str">
        <f aca="false">IF(OR($B31="",LEFT($C31,8)="Excluded",NOT(ISNUMBER($E31))),"",$B31&amp;" (P"&amp;RIGHT($C31,1)&amp;")")</f>
        <v>Hydroxocobalamin (P3)</v>
      </c>
      <c r="I31" s="19" t="e">
        <f aca="false">IF(OR($H31="",N($F31)&lt;=0,$C31&lt;&gt;"Priority 1"),NA(),$E31)</f>
        <v>#N/A</v>
      </c>
      <c r="J31" s="20" t="e">
        <f aca="false">IF(OR($H31="",N($F31)&lt;=0,$C31&lt;&gt;"Priority 1"),NA(),$F31)</f>
        <v>#N/A</v>
      </c>
      <c r="K31" s="20" t="e">
        <f aca="false">IF(OR($H31="",N($F31)&lt;=0,$C31&lt;&gt;"Priority 1"),NA(),MAX($G31,1))</f>
        <v>#N/A</v>
      </c>
      <c r="L31" s="19" t="e">
        <f aca="false">IF(OR($H31="",N($F31)&lt;=0,$C31&lt;&gt;"Priority 2"),NA(),$E31)</f>
        <v>#N/A</v>
      </c>
      <c r="M31" s="20" t="e">
        <f aca="false">IF(OR($H31="",N($F31)&lt;=0,$C31&lt;&gt;"Priority 2"),NA(),$F31)</f>
        <v>#N/A</v>
      </c>
      <c r="N31" s="20" t="e">
        <f aca="false">IF(OR($H31="",N($F31)&lt;=0,$C31&lt;&gt;"Priority 2"),NA(),MAX($G31,1))</f>
        <v>#N/A</v>
      </c>
      <c r="O31" s="19" t="n">
        <f aca="false">IF(OR($H31="",N($F31)&lt;=0,$C31&lt;&gt;"Priority 3"),NA(),$E31)</f>
        <v>9.83</v>
      </c>
      <c r="P31" s="20" t="n">
        <f aca="false">IF(OR($H31="",N($F31)&lt;=0,$C31&lt;&gt;"Priority 3"),NA(),$F31)</f>
        <v>32</v>
      </c>
      <c r="Q31" s="20" t="n">
        <f aca="false">IF(OR($H31="",N($F31)&lt;=0,$C31&lt;&gt;"Priority 3"),NA(),MAX($G31,1))</f>
        <v>457.96</v>
      </c>
    </row>
    <row r="32" customFormat="false" ht="15" hidden="false" customHeight="false" outlineLevel="0" collapsed="false">
      <c r="A32" s="14" t="n">
        <v>27</v>
      </c>
      <c r="B32" s="15" t="str">
        <f aca="false">IFERROR(IF(INDEX('Summary – Option 2'!$B$5:$B$337,$E$3+$A32-1)=$B$3,INDEX('Summary – Option 2'!$F$5:$F$337,$E$3+$A32-1),""),"")</f>
        <v>Amoxicillin</v>
      </c>
      <c r="C32" s="15" t="str">
        <f aca="false">IF($B32="","",INDEX('Summary – Option 2'!$D$5:$D$337,$E$3+$A32-1))</f>
        <v>Excluded – price ≤ $5</v>
      </c>
      <c r="D32" s="16" t="str">
        <f aca="false">IF($B32="","",INDEX('Summary – Option 2'!$E$5:$E$337,$E$3+$A32-1))</f>
        <v/>
      </c>
      <c r="E32" s="17" t="n">
        <f aca="false">IF($B32="","",INDEX('Summary – Option 2'!$K$5:$K$337,$E$3+$A32-1))</f>
        <v>1.59</v>
      </c>
      <c r="F32" s="18" t="n">
        <f aca="false">IF($B32="","",INDEX('Summary – Option 2'!$L$5:$L$337,$E$3+$A32-1))</f>
        <v>9172</v>
      </c>
      <c r="G32" s="18" t="n">
        <f aca="false">IF($B32="","",INDEX('Summary – Option 2'!$M$5:$M$337,$E$3+$A32-1))</f>
        <v>433588.09</v>
      </c>
      <c r="H32" s="15" t="str">
        <f aca="false">IF(OR($B32="",LEFT($C32,8)="Excluded",NOT(ISNUMBER($E32))),"",$B32&amp;" (P"&amp;RIGHT($C32,1)&amp;")")</f>
        <v/>
      </c>
      <c r="I32" s="19" t="e">
        <f aca="false">IF(OR($H32="",N($F32)&lt;=0,$C32&lt;&gt;"Priority 1"),NA(),$E32)</f>
        <v>#N/A</v>
      </c>
      <c r="J32" s="20" t="e">
        <f aca="false">IF(OR($H32="",N($F32)&lt;=0,$C32&lt;&gt;"Priority 1"),NA(),$F32)</f>
        <v>#N/A</v>
      </c>
      <c r="K32" s="20" t="e">
        <f aca="false">IF(OR($H32="",N($F32)&lt;=0,$C32&lt;&gt;"Priority 1"),NA(),MAX($G32,1))</f>
        <v>#N/A</v>
      </c>
      <c r="L32" s="19" t="e">
        <f aca="false">IF(OR($H32="",N($F32)&lt;=0,$C32&lt;&gt;"Priority 2"),NA(),$E32)</f>
        <v>#N/A</v>
      </c>
      <c r="M32" s="20" t="e">
        <f aca="false">IF(OR($H32="",N($F32)&lt;=0,$C32&lt;&gt;"Priority 2"),NA(),$F32)</f>
        <v>#N/A</v>
      </c>
      <c r="N32" s="20" t="e">
        <f aca="false">IF(OR($H32="",N($F32)&lt;=0,$C32&lt;&gt;"Priority 2"),NA(),MAX($G32,1))</f>
        <v>#N/A</v>
      </c>
      <c r="O32" s="19" t="e">
        <f aca="false">IF(OR($H32="",N($F32)&lt;=0,$C32&lt;&gt;"Priority 3"),NA(),$E32)</f>
        <v>#N/A</v>
      </c>
      <c r="P32" s="20" t="e">
        <f aca="false">IF(OR($H32="",N($F32)&lt;=0,$C32&lt;&gt;"Priority 3"),NA(),$F32)</f>
        <v>#N/A</v>
      </c>
      <c r="Q32" s="20" t="e">
        <f aca="false">IF(OR($H32="",N($F32)&lt;=0,$C32&lt;&gt;"Priority 3"),NA(),MAX($G32,1))</f>
        <v>#N/A</v>
      </c>
    </row>
    <row r="33" customFormat="false" ht="15" hidden="false" customHeight="false" outlineLevel="0" collapsed="false">
      <c r="A33" s="14" t="n">
        <v>28</v>
      </c>
      <c r="B33" s="15" t="str">
        <f aca="false">IFERROR(IF(INDEX('Summary – Option 2'!$B$5:$B$337,$E$3+$A33-1)=$B$3,INDEX('Summary – Option 2'!$F$5:$F$337,$E$3+$A33-1),""),"")</f>
        <v>Glycopyrrolate</v>
      </c>
      <c r="C33" s="15" t="str">
        <f aca="false">IF($B33="","",INDEX('Summary – Option 2'!$D$5:$D$337,$E$3+$A33-1))</f>
        <v>Excluded – price ≤ $5</v>
      </c>
      <c r="D33" s="16" t="str">
        <f aca="false">IF($B33="","",INDEX('Summary – Option 2'!$E$5:$E$337,$E$3+$A33-1))</f>
        <v/>
      </c>
      <c r="E33" s="17" t="n">
        <f aca="false">IF($B33="","",INDEX('Summary – Option 2'!$K$5:$K$337,$E$3+$A33-1))</f>
        <v>3</v>
      </c>
      <c r="F33" s="18" t="n">
        <f aca="false">IF($B33="","",INDEX('Summary – Option 2'!$L$5:$L$337,$E$3+$A33-1))</f>
        <v>286</v>
      </c>
      <c r="G33" s="18" t="n">
        <f aca="false">IF($B33="","",INDEX('Summary – Option 2'!$M$5:$M$337,$E$3+$A33-1))</f>
        <v>3193.58</v>
      </c>
      <c r="H33" s="15" t="str">
        <f aca="false">IF(OR($B33="",LEFT($C33,8)="Excluded",NOT(ISNUMBER($E33))),"",$B33&amp;" (P"&amp;RIGHT($C33,1)&amp;")")</f>
        <v/>
      </c>
      <c r="I33" s="19" t="e">
        <f aca="false">IF(OR($H33="",N($F33)&lt;=0,$C33&lt;&gt;"Priority 1"),NA(),$E33)</f>
        <v>#N/A</v>
      </c>
      <c r="J33" s="20" t="e">
        <f aca="false">IF(OR($H33="",N($F33)&lt;=0,$C33&lt;&gt;"Priority 1"),NA(),$F33)</f>
        <v>#N/A</v>
      </c>
      <c r="K33" s="20" t="e">
        <f aca="false">IF(OR($H33="",N($F33)&lt;=0,$C33&lt;&gt;"Priority 1"),NA(),MAX($G33,1))</f>
        <v>#N/A</v>
      </c>
      <c r="L33" s="19" t="e">
        <f aca="false">IF(OR($H33="",N($F33)&lt;=0,$C33&lt;&gt;"Priority 2"),NA(),$E33)</f>
        <v>#N/A</v>
      </c>
      <c r="M33" s="20" t="e">
        <f aca="false">IF(OR($H33="",N($F33)&lt;=0,$C33&lt;&gt;"Priority 2"),NA(),$F33)</f>
        <v>#N/A</v>
      </c>
      <c r="N33" s="20" t="e">
        <f aca="false">IF(OR($H33="",N($F33)&lt;=0,$C33&lt;&gt;"Priority 2"),NA(),MAX($G33,1))</f>
        <v>#N/A</v>
      </c>
      <c r="O33" s="19" t="e">
        <f aca="false">IF(OR($H33="",N($F33)&lt;=0,$C33&lt;&gt;"Priority 3"),NA(),$E33)</f>
        <v>#N/A</v>
      </c>
      <c r="P33" s="20" t="e">
        <f aca="false">IF(OR($H33="",N($F33)&lt;=0,$C33&lt;&gt;"Priority 3"),NA(),$F33)</f>
        <v>#N/A</v>
      </c>
      <c r="Q33" s="20" t="e">
        <f aca="false">IF(OR($H33="",N($F33)&lt;=0,$C33&lt;&gt;"Priority 3"),NA(),MAX($G33,1))</f>
        <v>#N/A</v>
      </c>
    </row>
    <row r="34" customFormat="false" ht="15" hidden="false" customHeight="false" outlineLevel="0" collapsed="false">
      <c r="A34" s="14" t="n">
        <v>29</v>
      </c>
      <c r="B34" s="15" t="str">
        <f aca="false">IFERROR(IF(INDEX('Summary – Option 2'!$B$5:$B$337,$E$3+$A34-1)=$B$3,INDEX('Summary – Option 2'!$F$5:$F$337,$E$3+$A34-1),""),"")</f>
        <v>Lidocaine</v>
      </c>
      <c r="C34" s="15" t="str">
        <f aca="false">IF($B34="","",INDEX('Summary – Option 2'!$D$5:$D$337,$E$3+$A34-1))</f>
        <v>Excluded – price ≤ $5</v>
      </c>
      <c r="D34" s="16" t="str">
        <f aca="false">IF($B34="","",INDEX('Summary – Option 2'!$E$5:$E$337,$E$3+$A34-1))</f>
        <v/>
      </c>
      <c r="E34" s="17" t="n">
        <f aca="false">IF($B34="","",INDEX('Summary – Option 2'!$K$5:$K$337,$E$3+$A34-1))</f>
        <v>1.42</v>
      </c>
      <c r="F34" s="18" t="n">
        <f aca="false">IF($B34="","",INDEX('Summary – Option 2'!$L$5:$L$337,$E$3+$A34-1))</f>
        <v>1683</v>
      </c>
      <c r="G34" s="18" t="n">
        <f aca="false">IF($B34="","",INDEX('Summary – Option 2'!$M$5:$M$337,$E$3+$A34-1))</f>
        <v>46739.27</v>
      </c>
      <c r="H34" s="15" t="str">
        <f aca="false">IF(OR($B34="",LEFT($C34,8)="Excluded",NOT(ISNUMBER($E34))),"",$B34&amp;" (P"&amp;RIGHT($C34,1)&amp;")")</f>
        <v/>
      </c>
      <c r="I34" s="19" t="e">
        <f aca="false">IF(OR($H34="",N($F34)&lt;=0,$C34&lt;&gt;"Priority 1"),NA(),$E34)</f>
        <v>#N/A</v>
      </c>
      <c r="J34" s="20" t="e">
        <f aca="false">IF(OR($H34="",N($F34)&lt;=0,$C34&lt;&gt;"Priority 1"),NA(),$F34)</f>
        <v>#N/A</v>
      </c>
      <c r="K34" s="20" t="e">
        <f aca="false">IF(OR($H34="",N($F34)&lt;=0,$C34&lt;&gt;"Priority 1"),NA(),MAX($G34,1))</f>
        <v>#N/A</v>
      </c>
      <c r="L34" s="19" t="e">
        <f aca="false">IF(OR($H34="",N($F34)&lt;=0,$C34&lt;&gt;"Priority 2"),NA(),$E34)</f>
        <v>#N/A</v>
      </c>
      <c r="M34" s="20" t="e">
        <f aca="false">IF(OR($H34="",N($F34)&lt;=0,$C34&lt;&gt;"Priority 2"),NA(),$F34)</f>
        <v>#N/A</v>
      </c>
      <c r="N34" s="20" t="e">
        <f aca="false">IF(OR($H34="",N($F34)&lt;=0,$C34&lt;&gt;"Priority 2"),NA(),MAX($G34,1))</f>
        <v>#N/A</v>
      </c>
      <c r="O34" s="19" t="e">
        <f aca="false">IF(OR($H34="",N($F34)&lt;=0,$C34&lt;&gt;"Priority 3"),NA(),$E34)</f>
        <v>#N/A</v>
      </c>
      <c r="P34" s="20" t="e">
        <f aca="false">IF(OR($H34="",N($F34)&lt;=0,$C34&lt;&gt;"Priority 3"),NA(),$F34)</f>
        <v>#N/A</v>
      </c>
      <c r="Q34" s="20" t="e">
        <f aca="false">IF(OR($H34="",N($F34)&lt;=0,$C34&lt;&gt;"Priority 3"),NA(),MAX($G34,1))</f>
        <v>#N/A</v>
      </c>
    </row>
    <row r="35" customFormat="false" ht="15" hidden="false" customHeight="false" outlineLevel="0" collapsed="false">
      <c r="A35" s="14" t="n">
        <v>30</v>
      </c>
      <c r="B35" s="15" t="str">
        <f aca="false">IFERROR(IF(INDEX('Summary – Option 2'!$B$5:$B$337,$E$3+$A35-1)=$B$3,INDEX('Summary – Option 2'!$F$5:$F$337,$E$3+$A35-1),""),"")</f>
        <v>Phenytoin</v>
      </c>
      <c r="C35" s="15" t="str">
        <f aca="false">IF($B35="","",INDEX('Summary – Option 2'!$D$5:$D$337,$E$3+$A35-1))</f>
        <v>Excluded – price ≤ $5</v>
      </c>
      <c r="D35" s="16" t="str">
        <f aca="false">IF($B35="","",INDEX('Summary – Option 2'!$E$5:$E$337,$E$3+$A35-1))</f>
        <v/>
      </c>
      <c r="E35" s="17" t="n">
        <f aca="false">IF($B35="","",INDEX('Summary – Option 2'!$K$5:$K$337,$E$3+$A35-1))</f>
        <v>4.49</v>
      </c>
      <c r="F35" s="18" t="n">
        <f aca="false">IF($B35="","",INDEX('Summary – Option 2'!$L$5:$L$337,$E$3+$A35-1))</f>
        <v>627</v>
      </c>
      <c r="G35" s="18" t="n">
        <f aca="false">IF($B35="","",INDEX('Summary – Option 2'!$M$5:$M$337,$E$3+$A35-1))</f>
        <v>6050.02</v>
      </c>
      <c r="H35" s="15" t="str">
        <f aca="false">IF(OR($B35="",LEFT($C35,8)="Excluded",NOT(ISNUMBER($E35))),"",$B35&amp;" (P"&amp;RIGHT($C35,1)&amp;")")</f>
        <v/>
      </c>
      <c r="I35" s="19" t="e">
        <f aca="false">IF(OR($H35="",N($F35)&lt;=0,$C35&lt;&gt;"Priority 1"),NA(),$E35)</f>
        <v>#N/A</v>
      </c>
      <c r="J35" s="20" t="e">
        <f aca="false">IF(OR($H35="",N($F35)&lt;=0,$C35&lt;&gt;"Priority 1"),NA(),$F35)</f>
        <v>#N/A</v>
      </c>
      <c r="K35" s="20" t="e">
        <f aca="false">IF(OR($H35="",N($F35)&lt;=0,$C35&lt;&gt;"Priority 1"),NA(),MAX($G35,1))</f>
        <v>#N/A</v>
      </c>
      <c r="L35" s="19" t="e">
        <f aca="false">IF(OR($H35="",N($F35)&lt;=0,$C35&lt;&gt;"Priority 2"),NA(),$E35)</f>
        <v>#N/A</v>
      </c>
      <c r="M35" s="20" t="e">
        <f aca="false">IF(OR($H35="",N($F35)&lt;=0,$C35&lt;&gt;"Priority 2"),NA(),$F35)</f>
        <v>#N/A</v>
      </c>
      <c r="N35" s="20" t="e">
        <f aca="false">IF(OR($H35="",N($F35)&lt;=0,$C35&lt;&gt;"Priority 2"),NA(),MAX($G35,1))</f>
        <v>#N/A</v>
      </c>
      <c r="O35" s="19" t="e">
        <f aca="false">IF(OR($H35="",N($F35)&lt;=0,$C35&lt;&gt;"Priority 3"),NA(),$E35)</f>
        <v>#N/A</v>
      </c>
      <c r="P35" s="20" t="e">
        <f aca="false">IF(OR($H35="",N($F35)&lt;=0,$C35&lt;&gt;"Priority 3"),NA(),$F35)</f>
        <v>#N/A</v>
      </c>
      <c r="Q35" s="20" t="e">
        <f aca="false">IF(OR($H35="",N($F35)&lt;=0,$C35&lt;&gt;"Priority 3"),NA(),MAX($G35,1))</f>
        <v>#N/A</v>
      </c>
    </row>
    <row r="37" customFormat="false" ht="15" hidden="false" customHeight="false" outlineLevel="0" collapsed="false">
      <c r="A37" s="21" t="s">
        <v>34</v>
      </c>
    </row>
  </sheetData>
  <conditionalFormatting sqref="B6:H35">
    <cfRule type="expression" priority="2" aboveAverage="0" equalAverage="0" bottom="0" percent="0" rank="0" text="" dxfId="7">
      <formula>$C6="Priority 1"</formula>
    </cfRule>
    <cfRule type="expression" priority="3" aboveAverage="0" equalAverage="0" bottom="0" percent="0" rank="0" text="" dxfId="8">
      <formula>LEFT($C6,8)="Excluded"</formula>
    </cfRule>
  </conditionalFormatting>
  <dataValidations count="1">
    <dataValidation allowBlank="false" errorStyle="stop" operator="between" showDropDown="false" showErrorMessage="false" showInputMessage="false" sqref="B3" type="list">
      <formula1>"Alembic,Aurobindo,Cipla,Dr. Reddy's,Emcure,Glenmark,Hetero,Intas,Lupin,MSN,Micro Labs,OneSource,Piramal,Strides,Sun Pharma,Torrent,Venus Remedies,Wockhardt,Zydus"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G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3"/>
    <col collapsed="false" customWidth="true" hidden="false" outlineLevel="0" max="3" min="3" style="0" width="24"/>
    <col collapsed="false" customWidth="true" hidden="false" outlineLevel="0" max="4" min="4" style="0" width="70"/>
    <col collapsed="false" customWidth="true" hidden="false" outlineLevel="0" max="5" min="5" style="0" width="50"/>
    <col collapsed="false" customWidth="true" hidden="false" outlineLevel="0" max="6" min="6" style="0" width="16"/>
    <col collapsed="false" customWidth="true" hidden="false" outlineLevel="0" max="7" min="7" style="0" width="26"/>
  </cols>
  <sheetData>
    <row r="1" customFormat="false" ht="17.35" hidden="false" customHeight="false" outlineLevel="0" collapsed="false">
      <c r="A1" s="1" t="s">
        <v>42</v>
      </c>
    </row>
    <row r="2" customFormat="false" ht="15" hidden="false" customHeight="false" outlineLevel="0" collapsed="false">
      <c r="A2" s="2" t="s">
        <v>43</v>
      </c>
    </row>
    <row r="4" customFormat="false" ht="45" hidden="false" customHeight="true" outlineLevel="0" collapsed="false">
      <c r="A4" s="3" t="s">
        <v>23</v>
      </c>
      <c r="B4" s="3" t="s">
        <v>44</v>
      </c>
      <c r="C4" s="3" t="s">
        <v>45</v>
      </c>
      <c r="D4" s="3" t="s">
        <v>46</v>
      </c>
      <c r="E4" s="3" t="s">
        <v>47</v>
      </c>
      <c r="F4" s="3" t="s">
        <v>48</v>
      </c>
      <c r="G4" s="3" t="s">
        <v>49</v>
      </c>
    </row>
    <row r="5" customFormat="false" ht="28.35" hidden="false" customHeight="false" outlineLevel="0" collapsed="false">
      <c r="A5" s="22" t="s">
        <v>50</v>
      </c>
      <c r="B5" s="23" t="s">
        <v>51</v>
      </c>
      <c r="C5" s="16" t="s">
        <v>52</v>
      </c>
      <c r="D5" s="16" t="s">
        <v>53</v>
      </c>
      <c r="E5" s="16" t="s">
        <v>54</v>
      </c>
      <c r="F5" s="16" t="str">
        <f aca="false">COUNTA(Scoring!$A$29:$A$361)&amp;" pairs"</f>
        <v>333 pairs</v>
      </c>
      <c r="G5" s="16" t="s">
        <v>55</v>
      </c>
    </row>
    <row r="6" customFormat="false" ht="108.95" hidden="false" customHeight="false" outlineLevel="0" collapsed="false">
      <c r="A6" s="22" t="s">
        <v>56</v>
      </c>
      <c r="B6" s="23" t="s">
        <v>51</v>
      </c>
      <c r="C6" s="16" t="s">
        <v>57</v>
      </c>
      <c r="D6" s="16" t="s">
        <v>58</v>
      </c>
      <c r="E6" s="16" t="s">
        <v>59</v>
      </c>
      <c r="F6" s="16" t="str">
        <f aca="false">COUNTIF('Route of Administration'!$D$5:$D$155,"No")&amp;" molecules / "&amp;COUNTIF(Scoring!$O$29:$O$361,"IV only*")&amp;" pairs out"</f>
        <v>71 molecules / 152 pairs out</v>
      </c>
      <c r="G6" s="16" t="s">
        <v>60</v>
      </c>
    </row>
    <row r="7" customFormat="false" ht="55.2" hidden="false" customHeight="false" outlineLevel="0" collapsed="false">
      <c r="A7" s="22" t="s">
        <v>61</v>
      </c>
      <c r="B7" s="23" t="s">
        <v>51</v>
      </c>
      <c r="C7" s="16" t="s">
        <v>62</v>
      </c>
      <c r="D7" s="16" t="s">
        <v>63</v>
      </c>
      <c r="E7" s="16" t="s">
        <v>64</v>
      </c>
      <c r="F7" s="16" t="str">
        <f aca="false">COUNTIF(Scoring!$O$29:$O$361,"Price*")&amp;" pairs out"</f>
        <v>15 pairs out</v>
      </c>
      <c r="G7" s="16" t="s">
        <v>65</v>
      </c>
    </row>
    <row r="8" customFormat="false" ht="28.35" hidden="false" customHeight="false" outlineLevel="0" collapsed="false">
      <c r="A8" s="22" t="s">
        <v>66</v>
      </c>
      <c r="B8" s="23" t="s">
        <v>51</v>
      </c>
      <c r="C8" s="16" t="s">
        <v>67</v>
      </c>
      <c r="D8" s="16" t="s">
        <v>68</v>
      </c>
      <c r="E8" s="16" t="s">
        <v>69</v>
      </c>
      <c r="F8" s="16" t="s">
        <v>70</v>
      </c>
      <c r="G8" s="16" t="s">
        <v>71</v>
      </c>
    </row>
    <row r="9" customFormat="false" ht="28.35" hidden="false" customHeight="false" outlineLevel="0" collapsed="false">
      <c r="A9" s="22" t="s">
        <v>72</v>
      </c>
      <c r="B9" s="23" t="s">
        <v>51</v>
      </c>
      <c r="C9" s="16" t="s">
        <v>73</v>
      </c>
      <c r="D9" s="16" t="s">
        <v>74</v>
      </c>
      <c r="E9" s="16" t="s">
        <v>75</v>
      </c>
      <c r="F9" s="16" t="str">
        <f aca="false">COUNTIFS(Scoring!$V$29:$V$361,0,Scoring!$O$29:$O$361,"")&amp;" eligible pairs"</f>
        <v>0 eligible pairs</v>
      </c>
      <c r="G9" s="16" t="s">
        <v>76</v>
      </c>
    </row>
    <row r="10" customFormat="false" ht="55.2" hidden="false" customHeight="false" outlineLevel="0" collapsed="false">
      <c r="A10" s="22" t="s">
        <v>77</v>
      </c>
      <c r="B10" s="24" t="s">
        <v>78</v>
      </c>
      <c r="C10" s="16" t="s">
        <v>79</v>
      </c>
      <c r="D10" s="16" t="s">
        <v>80</v>
      </c>
      <c r="E10" s="16" t="s">
        <v>81</v>
      </c>
      <c r="F10" s="16" t="s">
        <v>70</v>
      </c>
      <c r="G10" s="16" t="s">
        <v>82</v>
      </c>
    </row>
    <row r="11" customFormat="false" ht="41.75" hidden="false" customHeight="false" outlineLevel="0" collapsed="false">
      <c r="A11" s="22" t="s">
        <v>83</v>
      </c>
      <c r="B11" s="24" t="s">
        <v>78</v>
      </c>
      <c r="C11" s="16" t="s">
        <v>84</v>
      </c>
      <c r="D11" s="16" t="s">
        <v>85</v>
      </c>
      <c r="E11" s="16" t="s">
        <v>86</v>
      </c>
      <c r="F11" s="16" t="str">
        <f aca="false">"Price "&amp;TEXT(Scoring!C3,"#,##0.00")&amp;" / Opt 1 "&amp;TEXT(Scoring!E3,"#,##0")&amp;" / Opt 2 "&amp;TEXT(Scoring!H3,"#,##0")</f>
        <v>Price 25.10 / Opt 1 146 / Opt 2 286</v>
      </c>
      <c r="G11" s="16" t="s">
        <v>87</v>
      </c>
    </row>
    <row r="12" customFormat="false" ht="28.35" hidden="false" customHeight="false" outlineLevel="0" collapsed="false">
      <c r="A12" s="22" t="s">
        <v>88</v>
      </c>
      <c r="B12" s="24" t="s">
        <v>78</v>
      </c>
      <c r="C12" s="16" t="s">
        <v>89</v>
      </c>
      <c r="D12" s="16" t="s">
        <v>90</v>
      </c>
      <c r="E12" s="16" t="s">
        <v>91</v>
      </c>
      <c r="F12" s="16" t="s">
        <v>70</v>
      </c>
      <c r="G12" s="16" t="s">
        <v>92</v>
      </c>
    </row>
    <row r="13" customFormat="false" ht="41.75" hidden="false" customHeight="false" outlineLevel="0" collapsed="false">
      <c r="A13" s="22" t="s">
        <v>93</v>
      </c>
      <c r="B13" s="24" t="s">
        <v>78</v>
      </c>
      <c r="C13" s="16" t="s">
        <v>94</v>
      </c>
      <c r="D13" s="16" t="s">
        <v>95</v>
      </c>
      <c r="E13" s="16" t="s">
        <v>96</v>
      </c>
      <c r="F13" s="16" t="s">
        <v>70</v>
      </c>
      <c r="G13" s="16" t="s">
        <v>97</v>
      </c>
    </row>
    <row r="14" customFormat="false" ht="68.65" hidden="false" customHeight="false" outlineLevel="0" collapsed="false">
      <c r="A14" s="22" t="s">
        <v>98</v>
      </c>
      <c r="B14" s="24" t="s">
        <v>78</v>
      </c>
      <c r="C14" s="16" t="s">
        <v>99</v>
      </c>
      <c r="D14" s="16" t="s">
        <v>100</v>
      </c>
      <c r="E14" s="16" t="s">
        <v>101</v>
      </c>
      <c r="F14" s="16" t="str">
        <f aca="false">COUNTIFS(Scoring!$E$29:$E$361,"Cross-market proxy",Scoring!$O$29:$O$361,"")&amp;" eligible pairs on cross-market proxy"</f>
        <v>18 eligible pairs on cross-market proxy</v>
      </c>
      <c r="G14" s="16" t="s">
        <v>102</v>
      </c>
    </row>
    <row r="15" customFormat="false" ht="15" hidden="false" customHeight="false" outlineLevel="0" collapsed="false">
      <c r="A15" s="22" t="s">
        <v>103</v>
      </c>
      <c r="B15" s="24" t="s">
        <v>78</v>
      </c>
      <c r="C15" s="16" t="s">
        <v>104</v>
      </c>
      <c r="D15" s="16" t="s">
        <v>105</v>
      </c>
      <c r="E15" s="16" t="s">
        <v>106</v>
      </c>
      <c r="F15" s="16" t="s">
        <v>70</v>
      </c>
      <c r="G15" s="16" t="s">
        <v>107</v>
      </c>
    </row>
    <row r="16" customFormat="false" ht="55.2" hidden="false" customHeight="false" outlineLevel="0" collapsed="false">
      <c r="A16" s="22" t="s">
        <v>108</v>
      </c>
      <c r="B16" s="24" t="s">
        <v>78</v>
      </c>
      <c r="C16" s="16" t="s">
        <v>109</v>
      </c>
      <c r="D16" s="16" t="s">
        <v>110</v>
      </c>
      <c r="E16" s="16" t="s">
        <v>111</v>
      </c>
      <c r="F16" s="16" t="s">
        <v>70</v>
      </c>
      <c r="G16" s="16" t="s">
        <v>112</v>
      </c>
    </row>
    <row r="17" customFormat="false" ht="68.65" hidden="false" customHeight="false" outlineLevel="0" collapsed="false">
      <c r="A17" s="22" t="s">
        <v>113</v>
      </c>
      <c r="B17" s="24" t="s">
        <v>78</v>
      </c>
      <c r="C17" s="16" t="s">
        <v>114</v>
      </c>
      <c r="D17" s="16" t="s">
        <v>115</v>
      </c>
      <c r="E17" s="16" t="s">
        <v>116</v>
      </c>
      <c r="F17" s="16" t="s">
        <v>70</v>
      </c>
      <c r="G17" s="16" t="s">
        <v>117</v>
      </c>
    </row>
    <row r="18" customFormat="false" ht="41.75" hidden="false" customHeight="false" outlineLevel="0" collapsed="false">
      <c r="A18" s="22" t="s">
        <v>118</v>
      </c>
      <c r="B18" s="25" t="s">
        <v>119</v>
      </c>
      <c r="C18" s="16" t="s">
        <v>120</v>
      </c>
      <c r="D18" s="16" t="s">
        <v>121</v>
      </c>
      <c r="E18" s="16" t="s">
        <v>122</v>
      </c>
      <c r="F18" s="16" t="str">
        <f aca="false">COUNTIFS(Scoring!$AD$29:$AD$361,"IV, *",Scoring!$AE$29:$AE$361,"Yes")&amp;" in-scope pairs also labelled IV"</f>
        <v>122 in-scope pairs also labelled IV</v>
      </c>
      <c r="G18" s="16" t="s">
        <v>123</v>
      </c>
    </row>
    <row r="19" customFormat="false" ht="55.2" hidden="false" customHeight="false" outlineLevel="0" collapsed="false">
      <c r="A19" s="22" t="s">
        <v>124</v>
      </c>
      <c r="B19" s="25" t="s">
        <v>119</v>
      </c>
      <c r="C19" s="16" t="s">
        <v>125</v>
      </c>
      <c r="D19" s="16" t="s">
        <v>126</v>
      </c>
      <c r="E19" s="16" t="s">
        <v>127</v>
      </c>
      <c r="F19" s="16" t="str">
        <f aca="false">COUNTIFS(Scoring!$K$29:$K$361,"*Prefilled only*",Scoring!$O$29:$O$361,"")&amp;" prefilled-only / "&amp;COUNTIFS(Scoring!$K$29:$K$361,"*cytotoxic*",Scoring!$O$29:$O$361,"")&amp;" cytotoxic eligible pairs"</f>
        <v>20 prefilled-only / 25 cytotoxic eligible pairs</v>
      </c>
      <c r="G19" s="16" t="s">
        <v>128</v>
      </c>
    </row>
    <row r="20" customFormat="false" ht="82.05" hidden="false" customHeight="false" outlineLevel="0" collapsed="false">
      <c r="A20" s="22" t="s">
        <v>129</v>
      </c>
      <c r="B20" s="25" t="s">
        <v>119</v>
      </c>
      <c r="C20" s="16" t="s">
        <v>130</v>
      </c>
      <c r="D20" s="16" t="s">
        <v>131</v>
      </c>
      <c r="E20" s="16" t="s">
        <v>132</v>
      </c>
      <c r="F20" s="16" t="s">
        <v>70</v>
      </c>
      <c r="G20" s="16" t="s">
        <v>133</v>
      </c>
    </row>
    <row r="21" customFormat="false" ht="41.75" hidden="false" customHeight="false" outlineLevel="0" collapsed="false">
      <c r="A21" s="22" t="s">
        <v>134</v>
      </c>
      <c r="B21" s="25" t="s">
        <v>119</v>
      </c>
      <c r="C21" s="16" t="s">
        <v>135</v>
      </c>
      <c r="D21" s="16" t="s">
        <v>136</v>
      </c>
      <c r="E21" s="16" t="s">
        <v>137</v>
      </c>
      <c r="F21" s="16" t="s">
        <v>70</v>
      </c>
      <c r="G21" s="16" t="s">
        <v>138</v>
      </c>
    </row>
    <row r="22" customFormat="false" ht="41.75" hidden="false" customHeight="false" outlineLevel="0" collapsed="false">
      <c r="A22" s="22" t="s">
        <v>139</v>
      </c>
      <c r="B22" s="25" t="s">
        <v>119</v>
      </c>
      <c r="C22" s="16" t="s">
        <v>140</v>
      </c>
      <c r="D22" s="16" t="s">
        <v>141</v>
      </c>
      <c r="E22" s="16" t="s">
        <v>142</v>
      </c>
      <c r="F22" s="16" t="s">
        <v>70</v>
      </c>
      <c r="G22" s="16" t="s">
        <v>143</v>
      </c>
    </row>
    <row r="23" customFormat="false" ht="28.35" hidden="false" customHeight="false" outlineLevel="0" collapsed="false">
      <c r="A23" s="22" t="s">
        <v>144</v>
      </c>
      <c r="B23" s="25" t="s">
        <v>119</v>
      </c>
      <c r="C23" s="16" t="s">
        <v>145</v>
      </c>
      <c r="D23" s="16" t="s">
        <v>146</v>
      </c>
      <c r="E23" s="16" t="s">
        <v>147</v>
      </c>
      <c r="F23" s="16" t="s">
        <v>70</v>
      </c>
      <c r="G23" s="16" t="s">
        <v>148</v>
      </c>
    </row>
    <row r="24" customFormat="false" ht="41.75" hidden="false" customHeight="false" outlineLevel="0" collapsed="false">
      <c r="A24" s="22" t="s">
        <v>149</v>
      </c>
      <c r="B24" s="25" t="s">
        <v>119</v>
      </c>
      <c r="C24" s="16" t="s">
        <v>150</v>
      </c>
      <c r="D24" s="16" t="s">
        <v>151</v>
      </c>
      <c r="E24" s="16" t="s">
        <v>152</v>
      </c>
      <c r="F24" s="16" t="s">
        <v>70</v>
      </c>
      <c r="G24" s="16" t="s">
        <v>112</v>
      </c>
    </row>
    <row r="25" customFormat="false" ht="15" hidden="false" customHeight="false" outlineLevel="0" collapsed="false">
      <c r="A25" s="22" t="s">
        <v>153</v>
      </c>
      <c r="B25" s="25" t="s">
        <v>119</v>
      </c>
      <c r="C25" s="16" t="s">
        <v>154</v>
      </c>
      <c r="D25" s="16" t="s">
        <v>155</v>
      </c>
      <c r="E25" s="16" t="s">
        <v>156</v>
      </c>
      <c r="F25" s="16" t="str">
        <f aca="false">COUNTIF('Summary – Option 1'!$J$5:$J$337,"*not stated*")&amp;" Summary rows"</f>
        <v>16 Summary rows</v>
      </c>
      <c r="G25" s="16" t="s">
        <v>157</v>
      </c>
    </row>
    <row r="26" customFormat="false" ht="55.2" hidden="false" customHeight="false" outlineLevel="0" collapsed="false">
      <c r="A26" s="22" t="s">
        <v>158</v>
      </c>
      <c r="B26" s="25" t="s">
        <v>119</v>
      </c>
      <c r="C26" s="16" t="s">
        <v>159</v>
      </c>
      <c r="D26" s="16" t="s">
        <v>160</v>
      </c>
      <c r="E26" s="16" t="s">
        <v>161</v>
      </c>
      <c r="F26" s="16" t="s">
        <v>70</v>
      </c>
      <c r="G26" s="16" t="s">
        <v>162</v>
      </c>
    </row>
    <row r="27" customFormat="false" ht="28.35" hidden="false" customHeight="false" outlineLevel="0" collapsed="false">
      <c r="A27" s="22" t="s">
        <v>163</v>
      </c>
      <c r="B27" s="25" t="s">
        <v>119</v>
      </c>
      <c r="C27" s="16" t="s">
        <v>164</v>
      </c>
      <c r="D27" s="16" t="s">
        <v>165</v>
      </c>
      <c r="E27" s="16" t="s">
        <v>166</v>
      </c>
      <c r="F27" s="16" t="s">
        <v>70</v>
      </c>
      <c r="G27" s="16" t="s">
        <v>167</v>
      </c>
    </row>
    <row r="28" customFormat="false" ht="41.75" hidden="false" customHeight="false" outlineLevel="0" collapsed="false">
      <c r="A28" s="22" t="s">
        <v>168</v>
      </c>
      <c r="B28" s="25" t="s">
        <v>119</v>
      </c>
      <c r="C28" s="16" t="s">
        <v>169</v>
      </c>
      <c r="D28" s="16" t="s">
        <v>170</v>
      </c>
      <c r="E28" s="16" t="s">
        <v>171</v>
      </c>
      <c r="F28" s="16" t="s">
        <v>70</v>
      </c>
      <c r="G28" s="16" t="s">
        <v>172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AS3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28" topLeftCell="C29" activePane="bottomRight" state="frozen"/>
      <selection pane="topLeft" activeCell="A1" activeCellId="0" sqref="A1"/>
      <selection pane="topRight" activeCell="C1" activeCellId="0" sqref="C1"/>
      <selection pane="bottomLeft" activeCell="A29" activeCellId="0" sqref="A29"/>
      <selection pane="bottomRigh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22"/>
    <col collapsed="false" customWidth="true" hidden="false" outlineLevel="0" max="3" min="3" style="0" width="30"/>
    <col collapsed="false" customWidth="true" hidden="false" outlineLevel="0" max="4" min="4" style="0" width="11"/>
    <col collapsed="false" customWidth="true" hidden="false" outlineLevel="0" max="5" min="5" style="0" width="14"/>
    <col collapsed="false" customWidth="true" hidden="false" outlineLevel="0" max="6" min="6" style="0" width="13"/>
    <col collapsed="false" customWidth="true" hidden="false" outlineLevel="0" max="7" min="7" style="0" width="20"/>
    <col collapsed="false" customWidth="true" hidden="false" outlineLevel="0" max="8" min="8" style="0" width="8"/>
    <col collapsed="false" customWidth="true" hidden="false" outlineLevel="0" max="9" min="9" style="0" width="16"/>
    <col collapsed="false" customWidth="true" hidden="false" outlineLevel="0" max="10" min="10" style="0" width="13"/>
    <col collapsed="false" customWidth="true" hidden="false" outlineLevel="0" max="11" min="11" style="0" width="30"/>
    <col collapsed="false" customWidth="true" hidden="false" outlineLevel="0" max="13" min="12" style="0" width="12"/>
    <col collapsed="false" customWidth="true" hidden="false" outlineLevel="0" max="15" min="14" style="0" width="13"/>
    <col collapsed="false" customWidth="true" hidden="false" outlineLevel="0" max="16" min="16" style="0" width="9"/>
    <col collapsed="false" customWidth="true" hidden="false" outlineLevel="0" max="17" min="17" style="0" width="11"/>
    <col collapsed="false" customWidth="true" hidden="false" outlineLevel="0" max="18" min="18" style="0" width="28"/>
    <col collapsed="false" customWidth="true" hidden="false" outlineLevel="0" max="19" min="19" style="0" width="24"/>
    <col collapsed="false" customWidth="true" hidden="false" outlineLevel="0" max="20" min="20" style="0" width="40"/>
    <col collapsed="false" customWidth="true" hidden="false" outlineLevel="0" max="21" min="21" style="0" width="10"/>
    <col collapsed="false" customWidth="true" hidden="false" outlineLevel="0" max="23" min="22" style="0" width="8"/>
    <col collapsed="false" customWidth="true" hidden="false" outlineLevel="0" max="25" min="24" style="0" width="10"/>
    <col collapsed="false" customWidth="true" hidden="false" outlineLevel="0" max="26" min="26" style="0" width="45"/>
    <col collapsed="false" customWidth="true" hidden="false" outlineLevel="0" max="28" min="27" style="0" width="9"/>
    <col collapsed="false" customWidth="true" hidden="false" outlineLevel="0" max="29" min="29" style="0" width="10"/>
    <col collapsed="false" customWidth="true" hidden="false" outlineLevel="0" max="30" min="30" style="0" width="18"/>
    <col collapsed="false" customWidth="true" hidden="false" outlineLevel="0" max="32" min="31" style="0" width="12"/>
    <col collapsed="false" customWidth="true" hidden="false" outlineLevel="0" max="33" min="33" style="0" width="30"/>
    <col collapsed="false" customWidth="true" hidden="false" outlineLevel="0" max="34" min="34" style="0" width="50"/>
    <col collapsed="false" customWidth="true" hidden="false" outlineLevel="0" max="35" min="35" style="0" width="40"/>
    <col collapsed="false" customWidth="true" hidden="false" outlineLevel="0" max="36" min="36" style="0" width="26"/>
    <col collapsed="false" customWidth="true" hidden="false" outlineLevel="0" max="37" min="37" style="0" width="11"/>
    <col collapsed="false" customWidth="true" hidden="false" outlineLevel="0" max="38" min="38" style="0" width="26"/>
    <col collapsed="false" customWidth="true" hidden="false" outlineLevel="0" max="39" min="39" style="0" width="9"/>
    <col collapsed="false" customWidth="true" hidden="false" outlineLevel="0" max="43" min="40" style="0" width="10"/>
    <col collapsed="false" customWidth="true" hidden="false" outlineLevel="0" max="45" min="44" style="0" width="9"/>
  </cols>
  <sheetData>
    <row r="1" customFormat="false" ht="17.35" hidden="false" customHeight="false" outlineLevel="0" collapsed="false">
      <c r="A1" s="1" t="s">
        <v>173</v>
      </c>
    </row>
    <row r="2" customFormat="false" ht="15" hidden="false" customHeight="false" outlineLevel="0" collapsed="false">
      <c r="A2" s="2" t="s">
        <v>174</v>
      </c>
    </row>
    <row r="3" customFormat="false" ht="15" hidden="false" customHeight="false" outlineLevel="0" collapsed="false">
      <c r="A3" s="11" t="s">
        <v>175</v>
      </c>
      <c r="B3" s="26" t="s">
        <v>176</v>
      </c>
      <c r="C3" s="27" t="n">
        <f aca="false">MEDIAN($AN$29:$AN$361)</f>
        <v>25.095</v>
      </c>
      <c r="D3" s="26" t="s">
        <v>177</v>
      </c>
      <c r="E3" s="28" t="n">
        <f aca="false">MEDIAN($AO$29:$AO$361)</f>
        <v>146</v>
      </c>
      <c r="G3" s="26" t="s">
        <v>178</v>
      </c>
      <c r="H3" s="28" t="n">
        <f aca="false">MEDIAN($AP$29:$AP$361)</f>
        <v>286</v>
      </c>
    </row>
    <row r="5" customFormat="false" ht="15" hidden="false" customHeight="false" outlineLevel="0" collapsed="false">
      <c r="A5" s="29" t="s">
        <v>179</v>
      </c>
      <c r="I5" s="29" t="s">
        <v>180</v>
      </c>
    </row>
    <row r="6" customFormat="false" ht="45" hidden="false" customHeight="true" outlineLevel="0" collapsed="false">
      <c r="A6" s="3" t="s">
        <v>4</v>
      </c>
      <c r="B6" s="3" t="s">
        <v>181</v>
      </c>
      <c r="C6" s="3" t="s">
        <v>182</v>
      </c>
      <c r="D6" s="3" t="s">
        <v>183</v>
      </c>
      <c r="E6" s="3" t="s">
        <v>184</v>
      </c>
      <c r="F6" s="3" t="s">
        <v>185</v>
      </c>
      <c r="G6" s="3" t="s">
        <v>3</v>
      </c>
      <c r="I6" s="3" t="s">
        <v>4</v>
      </c>
      <c r="J6" s="3" t="s">
        <v>181</v>
      </c>
      <c r="K6" s="3" t="s">
        <v>182</v>
      </c>
      <c r="L6" s="3" t="s">
        <v>183</v>
      </c>
      <c r="M6" s="3" t="s">
        <v>184</v>
      </c>
      <c r="N6" s="3" t="s">
        <v>185</v>
      </c>
      <c r="O6" s="3" t="s">
        <v>3</v>
      </c>
    </row>
    <row r="7" customFormat="false" ht="15" hidden="false" customHeight="false" outlineLevel="0" collapsed="false">
      <c r="A7" s="22" t="s">
        <v>186</v>
      </c>
      <c r="B7" s="14" t="n">
        <f aca="false">COUNTIFS($A$29:$A$361,A7,$Q$29:$Q$361,"Priority 1")</f>
        <v>1</v>
      </c>
      <c r="C7" s="14" t="n">
        <f aca="false">COUNTIFS($A$29:$A$361,A7,$Q$29:$Q$361,"Priority 2")</f>
        <v>2</v>
      </c>
      <c r="D7" s="14" t="n">
        <f aca="false">COUNTIFS($A$29:$A$361,A7,$Q$29:$Q$361,"Priority 3")</f>
        <v>1</v>
      </c>
      <c r="E7" s="14" t="n">
        <f aca="false">COUNTIFS($A$29:$A$361,A7,$O$29:$O$361,"")</f>
        <v>4</v>
      </c>
      <c r="F7" s="18" t="n">
        <f aca="false">SUMIFS($F$29:$F$361,$A$29:$A$361,A7,$Q$29:$Q$361,"Priority 1")+SUMIFS($F$29:$F$361,$A$29:$A$361,A7,$Q$29:$Q$361,"Priority 2")</f>
        <v>28037</v>
      </c>
      <c r="G7" s="14" t="n">
        <f aca="false">COUNTIF($B$7:$B$25,"&gt;"&amp;B7)+COUNTIFS($B$7:$B$25,B7,$F$7:$F$25,"&gt;"&amp;F7)+COUNTIFS($B$7:B7,B7,$F$7:F7,F7)</f>
        <v>12</v>
      </c>
      <c r="I7" s="22" t="s">
        <v>186</v>
      </c>
      <c r="J7" s="14" t="n">
        <f aca="false">COUNTIFS($A$29:$A$361,I7,$AK$29:$AK$361,"Priority 1")</f>
        <v>0</v>
      </c>
      <c r="K7" s="14" t="n">
        <f aca="false">COUNTIFS($A$29:$A$361,I7,$AK$29:$AK$361,"Priority 2")</f>
        <v>3</v>
      </c>
      <c r="L7" s="14" t="n">
        <f aca="false">COUNTIFS($A$29:$A$361,I7,$AK$29:$AK$361,"Priority 3")</f>
        <v>1</v>
      </c>
      <c r="M7" s="14" t="n">
        <f aca="false">COUNTIFS($A$29:$A$361,I7,$O$29:$O$361,"")</f>
        <v>4</v>
      </c>
      <c r="N7" s="18" t="n">
        <f aca="false">SUMIFS($N$29:$N$361,$A$29:$A$361,I7,$AK$29:$AK$361,"Priority 1")+SUMIFS($N$29:$N$361,$A$29:$A$361,I7,$AK$29:$AK$361,"Priority 2")</f>
        <v>32113.73</v>
      </c>
      <c r="O7" s="14" t="n">
        <f aca="false">COUNTIF($J$7:$J$25,"&gt;"&amp;J7)+COUNTIFS($J$7:$J$25,J7,$N$7:$N$25,"&gt;"&amp;N7)+COUNTIFS($J$7:J7,J7,$N$7:N7,N7)</f>
        <v>16</v>
      </c>
    </row>
    <row r="8" customFormat="false" ht="15" hidden="false" customHeight="false" outlineLevel="0" collapsed="false">
      <c r="A8" s="22" t="s">
        <v>187</v>
      </c>
      <c r="B8" s="14" t="n">
        <f aca="false">COUNTIFS($A$29:$A$361,A8,$Q$29:$Q$361,"Priority 1")</f>
        <v>6</v>
      </c>
      <c r="C8" s="14" t="n">
        <f aca="false">COUNTIFS($A$29:$A$361,A8,$Q$29:$Q$361,"Priority 2")</f>
        <v>13</v>
      </c>
      <c r="D8" s="14" t="n">
        <f aca="false">COUNTIFS($A$29:$A$361,A8,$Q$29:$Q$361,"Priority 3")</f>
        <v>7</v>
      </c>
      <c r="E8" s="14" t="n">
        <f aca="false">COUNTIFS($A$29:$A$361,A8,$O$29:$O$361,"")</f>
        <v>26</v>
      </c>
      <c r="F8" s="18" t="n">
        <f aca="false">SUMIFS($F$29:$F$361,$A$29:$A$361,A8,$Q$29:$Q$361,"Priority 1")+SUMIFS($F$29:$F$361,$A$29:$A$361,A8,$Q$29:$Q$361,"Priority 2")</f>
        <v>353157.9</v>
      </c>
      <c r="G8" s="14" t="n">
        <f aca="false">COUNTIF($B$7:$B$25,"&gt;"&amp;B8)+COUNTIFS($B$7:$B$25,B8,$F$7:$F$25,"&gt;"&amp;F8)+COUNTIFS($B$7:B8,B8,$F$7:F8,F8)</f>
        <v>2</v>
      </c>
      <c r="I8" s="22" t="s">
        <v>187</v>
      </c>
      <c r="J8" s="14" t="n">
        <f aca="false">COUNTIFS($A$29:$A$361,I8,$AK$29:$AK$361,"Priority 1")</f>
        <v>5</v>
      </c>
      <c r="K8" s="14" t="n">
        <f aca="false">COUNTIFS($A$29:$A$361,I8,$AK$29:$AK$361,"Priority 2")</f>
        <v>17</v>
      </c>
      <c r="L8" s="14" t="n">
        <f aca="false">COUNTIFS($A$29:$A$361,I8,$AK$29:$AK$361,"Priority 3")</f>
        <v>4</v>
      </c>
      <c r="M8" s="14" t="n">
        <f aca="false">COUNTIFS($A$29:$A$361,I8,$O$29:$O$361,"")</f>
        <v>26</v>
      </c>
      <c r="N8" s="18" t="n">
        <f aca="false">SUMIFS($N$29:$N$361,$A$29:$A$361,I8,$AK$29:$AK$361,"Priority 1")+SUMIFS($N$29:$N$361,$A$29:$A$361,I8,$AK$29:$AK$361,"Priority 2")</f>
        <v>476190.52</v>
      </c>
      <c r="O8" s="14" t="n">
        <f aca="false">COUNTIF($J$7:$J$25,"&gt;"&amp;J8)+COUNTIFS($J$7:$J$25,J8,$N$7:$N$25,"&gt;"&amp;N8)+COUNTIFS($J$7:J8,J8,$N$7:N8,N8)</f>
        <v>2</v>
      </c>
    </row>
    <row r="9" customFormat="false" ht="15" hidden="false" customHeight="false" outlineLevel="0" collapsed="false">
      <c r="A9" s="22" t="s">
        <v>188</v>
      </c>
      <c r="B9" s="14" t="n">
        <f aca="false">COUNTIFS($A$29:$A$361,A9,$Q$29:$Q$361,"Priority 1")</f>
        <v>3</v>
      </c>
      <c r="C9" s="14" t="n">
        <f aca="false">COUNTIFS($A$29:$A$361,A9,$Q$29:$Q$361,"Priority 2")</f>
        <v>9</v>
      </c>
      <c r="D9" s="14" t="n">
        <f aca="false">COUNTIFS($A$29:$A$361,A9,$Q$29:$Q$361,"Priority 3")</f>
        <v>2</v>
      </c>
      <c r="E9" s="14" t="n">
        <f aca="false">COUNTIFS($A$29:$A$361,A9,$O$29:$O$361,"")</f>
        <v>14</v>
      </c>
      <c r="F9" s="18" t="n">
        <f aca="false">SUMIFS($F$29:$F$361,$A$29:$A$361,A9,$Q$29:$Q$361,"Priority 1")+SUMIFS($F$29:$F$361,$A$29:$A$361,A9,$Q$29:$Q$361,"Priority 2")</f>
        <v>527184.1</v>
      </c>
      <c r="G9" s="14" t="n">
        <f aca="false">COUNTIF($B$7:$B$25,"&gt;"&amp;B9)+COUNTIFS($B$7:$B$25,B9,$F$7:$F$25,"&gt;"&amp;F9)+COUNTIFS($B$7:B9,B9,$F$7:F9,F9)</f>
        <v>4</v>
      </c>
      <c r="I9" s="22" t="s">
        <v>188</v>
      </c>
      <c r="J9" s="14" t="n">
        <f aca="false">COUNTIFS($A$29:$A$361,I9,$AK$29:$AK$361,"Priority 1")</f>
        <v>2</v>
      </c>
      <c r="K9" s="14" t="n">
        <f aca="false">COUNTIFS($A$29:$A$361,I9,$AK$29:$AK$361,"Priority 2")</f>
        <v>10</v>
      </c>
      <c r="L9" s="14" t="n">
        <f aca="false">COUNTIFS($A$29:$A$361,I9,$AK$29:$AK$361,"Priority 3")</f>
        <v>2</v>
      </c>
      <c r="M9" s="14" t="n">
        <f aca="false">COUNTIFS($A$29:$A$361,I9,$O$29:$O$361,"")</f>
        <v>14</v>
      </c>
      <c r="N9" s="18" t="n">
        <f aca="false">SUMIFS($N$29:$N$361,$A$29:$A$361,I9,$AK$29:$AK$361,"Priority 1")+SUMIFS($N$29:$N$361,$A$29:$A$361,I9,$AK$29:$AK$361,"Priority 2")</f>
        <v>572759.42</v>
      </c>
      <c r="O9" s="14" t="n">
        <f aca="false">COUNTIF($J$7:$J$25,"&gt;"&amp;J9)+COUNTIFS($J$7:$J$25,J9,$N$7:$N$25,"&gt;"&amp;N9)+COUNTIFS($J$7:J9,J9,$N$7:N9,N9)</f>
        <v>6</v>
      </c>
    </row>
    <row r="10" customFormat="false" ht="15" hidden="false" customHeight="false" outlineLevel="0" collapsed="false">
      <c r="A10" s="22" t="s">
        <v>189</v>
      </c>
      <c r="B10" s="14" t="n">
        <f aca="false">COUNTIFS($A$29:$A$361,A10,$Q$29:$Q$361,"Priority 1")</f>
        <v>4</v>
      </c>
      <c r="C10" s="14" t="n">
        <f aca="false">COUNTIFS($A$29:$A$361,A10,$Q$29:$Q$361,"Priority 2")</f>
        <v>5</v>
      </c>
      <c r="D10" s="14" t="n">
        <f aca="false">COUNTIFS($A$29:$A$361,A10,$Q$29:$Q$361,"Priority 3")</f>
        <v>4</v>
      </c>
      <c r="E10" s="14" t="n">
        <f aca="false">COUNTIFS($A$29:$A$361,A10,$O$29:$O$361,"")</f>
        <v>13</v>
      </c>
      <c r="F10" s="18" t="n">
        <f aca="false">SUMIFS($F$29:$F$361,$A$29:$A$361,A10,$Q$29:$Q$361,"Priority 1")+SUMIFS($F$29:$F$361,$A$29:$A$361,A10,$Q$29:$Q$361,"Priority 2")</f>
        <v>152152</v>
      </c>
      <c r="G10" s="14" t="n">
        <f aca="false">COUNTIF($B$7:$B$25,"&gt;"&amp;B10)+COUNTIFS($B$7:$B$25,B10,$F$7:$F$25,"&gt;"&amp;F10)+COUNTIFS($B$7:B10,B10,$F$7:F10,F10)</f>
        <v>3</v>
      </c>
      <c r="I10" s="22" t="s">
        <v>189</v>
      </c>
      <c r="J10" s="14" t="n">
        <f aca="false">COUNTIFS($A$29:$A$361,I10,$AK$29:$AK$361,"Priority 1")</f>
        <v>2</v>
      </c>
      <c r="K10" s="14" t="n">
        <f aca="false">COUNTIFS($A$29:$A$361,I10,$AK$29:$AK$361,"Priority 2")</f>
        <v>7</v>
      </c>
      <c r="L10" s="14" t="n">
        <f aca="false">COUNTIFS($A$29:$A$361,I10,$AK$29:$AK$361,"Priority 3")</f>
        <v>4</v>
      </c>
      <c r="M10" s="14" t="n">
        <f aca="false">COUNTIFS($A$29:$A$361,I10,$O$29:$O$361,"")</f>
        <v>13</v>
      </c>
      <c r="N10" s="18" t="n">
        <f aca="false">SUMIFS($N$29:$N$361,$A$29:$A$361,I10,$AK$29:$AK$361,"Priority 1")+SUMIFS($N$29:$N$361,$A$29:$A$361,I10,$AK$29:$AK$361,"Priority 2")</f>
        <v>167596.05</v>
      </c>
      <c r="O10" s="14" t="n">
        <f aca="false">COUNTIF($J$7:$J$25,"&gt;"&amp;J10)+COUNTIFS($J$7:$J$25,J10,$N$7:$N$25,"&gt;"&amp;N10)+COUNTIFS($J$7:J10,J10,$N$7:N10,N10)</f>
        <v>8</v>
      </c>
    </row>
    <row r="11" customFormat="false" ht="15" hidden="false" customHeight="false" outlineLevel="0" collapsed="false">
      <c r="A11" s="22" t="s">
        <v>190</v>
      </c>
      <c r="B11" s="14" t="n">
        <f aca="false">COUNTIFS($A$29:$A$361,A11,$Q$29:$Q$361,"Priority 1")</f>
        <v>3</v>
      </c>
      <c r="C11" s="14" t="n">
        <f aca="false">COUNTIFS($A$29:$A$361,A11,$Q$29:$Q$361,"Priority 2")</f>
        <v>6</v>
      </c>
      <c r="D11" s="14" t="n">
        <f aca="false">COUNTIFS($A$29:$A$361,A11,$Q$29:$Q$361,"Priority 3")</f>
        <v>2</v>
      </c>
      <c r="E11" s="14" t="n">
        <f aca="false">COUNTIFS($A$29:$A$361,A11,$O$29:$O$361,"")</f>
        <v>11</v>
      </c>
      <c r="F11" s="18" t="n">
        <f aca="false">SUMIFS($F$29:$F$361,$A$29:$A$361,A11,$Q$29:$Q$361,"Priority 1")+SUMIFS($F$29:$F$361,$A$29:$A$361,A11,$Q$29:$Q$361,"Priority 2")</f>
        <v>145747.6</v>
      </c>
      <c r="G11" s="14" t="n">
        <f aca="false">COUNTIF($B$7:$B$25,"&gt;"&amp;B11)+COUNTIFS($B$7:$B$25,B11,$F$7:$F$25,"&gt;"&amp;F11)+COUNTIFS($B$7:B11,B11,$F$7:F11,F11)</f>
        <v>5</v>
      </c>
      <c r="I11" s="22" t="s">
        <v>190</v>
      </c>
      <c r="J11" s="14" t="n">
        <f aca="false">COUNTIFS($A$29:$A$361,I11,$AK$29:$AK$361,"Priority 1")</f>
        <v>3</v>
      </c>
      <c r="K11" s="14" t="n">
        <f aca="false">COUNTIFS($A$29:$A$361,I11,$AK$29:$AK$361,"Priority 2")</f>
        <v>6</v>
      </c>
      <c r="L11" s="14" t="n">
        <f aca="false">COUNTIFS($A$29:$A$361,I11,$AK$29:$AK$361,"Priority 3")</f>
        <v>2</v>
      </c>
      <c r="M11" s="14" t="n">
        <f aca="false">COUNTIFS($A$29:$A$361,I11,$O$29:$O$361,"")</f>
        <v>11</v>
      </c>
      <c r="N11" s="18" t="n">
        <f aca="false">SUMIFS($N$29:$N$361,$A$29:$A$361,I11,$AK$29:$AK$361,"Priority 1")+SUMIFS($N$29:$N$361,$A$29:$A$361,I11,$AK$29:$AK$361,"Priority 2")</f>
        <v>208687.46</v>
      </c>
      <c r="O11" s="14" t="n">
        <f aca="false">COUNTIF($J$7:$J$25,"&gt;"&amp;J11)+COUNTIFS($J$7:$J$25,J11,$N$7:$N$25,"&gt;"&amp;N11)+COUNTIFS($J$7:J11,J11,$N$7:N11,N11)</f>
        <v>3</v>
      </c>
    </row>
    <row r="12" customFormat="false" ht="15" hidden="false" customHeight="false" outlineLevel="0" collapsed="false">
      <c r="A12" s="22" t="s">
        <v>191</v>
      </c>
      <c r="B12" s="14" t="n">
        <f aca="false">COUNTIFS($A$29:$A$361,A12,$Q$29:$Q$361,"Priority 1")</f>
        <v>3</v>
      </c>
      <c r="C12" s="14" t="n">
        <f aca="false">COUNTIFS($A$29:$A$361,A12,$Q$29:$Q$361,"Priority 2")</f>
        <v>1</v>
      </c>
      <c r="D12" s="14" t="n">
        <f aca="false">COUNTIFS($A$29:$A$361,A12,$Q$29:$Q$361,"Priority 3")</f>
        <v>0</v>
      </c>
      <c r="E12" s="14" t="n">
        <f aca="false">COUNTIFS($A$29:$A$361,A12,$O$29:$O$361,"")</f>
        <v>4</v>
      </c>
      <c r="F12" s="18" t="n">
        <f aca="false">SUMIFS($F$29:$F$361,$A$29:$A$361,A12,$Q$29:$Q$361,"Priority 1")+SUMIFS($F$29:$F$361,$A$29:$A$361,A12,$Q$29:$Q$361,"Priority 2")</f>
        <v>89545.9</v>
      </c>
      <c r="G12" s="14" t="n">
        <f aca="false">COUNTIF($B$7:$B$25,"&gt;"&amp;B12)+COUNTIFS($B$7:$B$25,B12,$F$7:$F$25,"&gt;"&amp;F12)+COUNTIFS($B$7:B12,B12,$F$7:F12,F12)</f>
        <v>7</v>
      </c>
      <c r="I12" s="22" t="s">
        <v>191</v>
      </c>
      <c r="J12" s="14" t="n">
        <f aca="false">COUNTIFS($A$29:$A$361,I12,$AK$29:$AK$361,"Priority 1")</f>
        <v>2</v>
      </c>
      <c r="K12" s="14" t="n">
        <f aca="false">COUNTIFS($A$29:$A$361,I12,$AK$29:$AK$361,"Priority 2")</f>
        <v>2</v>
      </c>
      <c r="L12" s="14" t="n">
        <f aca="false">COUNTIFS($A$29:$A$361,I12,$AK$29:$AK$361,"Priority 3")</f>
        <v>0</v>
      </c>
      <c r="M12" s="14" t="n">
        <f aca="false">COUNTIFS($A$29:$A$361,I12,$O$29:$O$361,"")</f>
        <v>4</v>
      </c>
      <c r="N12" s="18" t="n">
        <f aca="false">SUMIFS($N$29:$N$361,$A$29:$A$361,I12,$AK$29:$AK$361,"Priority 1")+SUMIFS($N$29:$N$361,$A$29:$A$361,I12,$AK$29:$AK$361,"Priority 2")</f>
        <v>98229.67</v>
      </c>
      <c r="O12" s="14" t="n">
        <f aca="false">COUNTIF($J$7:$J$25,"&gt;"&amp;J12)+COUNTIFS($J$7:$J$25,J12,$N$7:$N$25,"&gt;"&amp;N12)+COUNTIFS($J$7:J12,J12,$N$7:N12,N12)</f>
        <v>9</v>
      </c>
    </row>
    <row r="13" customFormat="false" ht="15" hidden="false" customHeight="false" outlineLevel="0" collapsed="false">
      <c r="A13" s="22" t="s">
        <v>192</v>
      </c>
      <c r="B13" s="14" t="n">
        <f aca="false">COUNTIFS($A$29:$A$361,A13,$Q$29:$Q$361,"Priority 1")</f>
        <v>2</v>
      </c>
      <c r="C13" s="14" t="n">
        <f aca="false">COUNTIFS($A$29:$A$361,A13,$Q$29:$Q$361,"Priority 2")</f>
        <v>6</v>
      </c>
      <c r="D13" s="14" t="n">
        <f aca="false">COUNTIFS($A$29:$A$361,A13,$Q$29:$Q$361,"Priority 3")</f>
        <v>2</v>
      </c>
      <c r="E13" s="14" t="n">
        <f aca="false">COUNTIFS($A$29:$A$361,A13,$O$29:$O$361,"")</f>
        <v>10</v>
      </c>
      <c r="F13" s="18" t="n">
        <f aca="false">SUMIFS($F$29:$F$361,$A$29:$A$361,A13,$Q$29:$Q$361,"Priority 1")+SUMIFS($F$29:$F$361,$A$29:$A$361,A13,$Q$29:$Q$361,"Priority 2")</f>
        <v>105189.2</v>
      </c>
      <c r="G13" s="14" t="n">
        <f aca="false">COUNTIF($B$7:$B$25,"&gt;"&amp;B13)+COUNTIFS($B$7:$B$25,B13,$F$7:$F$25,"&gt;"&amp;F13)+COUNTIFS($B$7:B13,B13,$F$7:F13,F13)</f>
        <v>9</v>
      </c>
      <c r="I13" s="22" t="s">
        <v>192</v>
      </c>
      <c r="J13" s="14" t="n">
        <f aca="false">COUNTIFS($A$29:$A$361,I13,$AK$29:$AK$361,"Priority 1")</f>
        <v>3</v>
      </c>
      <c r="K13" s="14" t="n">
        <f aca="false">COUNTIFS($A$29:$A$361,I13,$AK$29:$AK$361,"Priority 2")</f>
        <v>6</v>
      </c>
      <c r="L13" s="14" t="n">
        <f aca="false">COUNTIFS($A$29:$A$361,I13,$AK$29:$AK$361,"Priority 3")</f>
        <v>1</v>
      </c>
      <c r="M13" s="14" t="n">
        <f aca="false">COUNTIFS($A$29:$A$361,I13,$O$29:$O$361,"")</f>
        <v>10</v>
      </c>
      <c r="N13" s="18" t="n">
        <f aca="false">SUMIFS($N$29:$N$361,$A$29:$A$361,I13,$AK$29:$AK$361,"Priority 1")+SUMIFS($N$29:$N$361,$A$29:$A$361,I13,$AK$29:$AK$361,"Priority 2")</f>
        <v>127754.64</v>
      </c>
      <c r="O13" s="14" t="n">
        <f aca="false">COUNTIF($J$7:$J$25,"&gt;"&amp;J13)+COUNTIFS($J$7:$J$25,J13,$N$7:$N$25,"&gt;"&amp;N13)+COUNTIFS($J$7:J13,J13,$N$7:N13,N13)</f>
        <v>4</v>
      </c>
    </row>
    <row r="14" customFormat="false" ht="15" hidden="false" customHeight="false" outlineLevel="0" collapsed="false">
      <c r="A14" s="22" t="s">
        <v>21</v>
      </c>
      <c r="B14" s="14" t="n">
        <f aca="false">COUNTIFS($A$29:$A$361,A14,$Q$29:$Q$361,"Priority 1")</f>
        <v>9</v>
      </c>
      <c r="C14" s="14" t="n">
        <f aca="false">COUNTIFS($A$29:$A$361,A14,$Q$29:$Q$361,"Priority 2")</f>
        <v>12</v>
      </c>
      <c r="D14" s="14" t="n">
        <f aca="false">COUNTIFS($A$29:$A$361,A14,$Q$29:$Q$361,"Priority 3")</f>
        <v>5</v>
      </c>
      <c r="E14" s="14" t="n">
        <f aca="false">COUNTIFS($A$29:$A$361,A14,$O$29:$O$361,"")</f>
        <v>26</v>
      </c>
      <c r="F14" s="18" t="n">
        <f aca="false">SUMIFS($F$29:$F$361,$A$29:$A$361,A14,$Q$29:$Q$361,"Priority 1")+SUMIFS($F$29:$F$361,$A$29:$A$361,A14,$Q$29:$Q$361,"Priority 2")</f>
        <v>292815.4</v>
      </c>
      <c r="G14" s="14" t="n">
        <f aca="false">COUNTIF($B$7:$B$25,"&gt;"&amp;B14)+COUNTIFS($B$7:$B$25,B14,$F$7:$F$25,"&gt;"&amp;F14)+COUNTIFS($B$7:B14,B14,$F$7:F14,F14)</f>
        <v>1</v>
      </c>
      <c r="I14" s="22" t="s">
        <v>21</v>
      </c>
      <c r="J14" s="14" t="n">
        <f aca="false">COUNTIFS($A$29:$A$361,I14,$AK$29:$AK$361,"Priority 1")</f>
        <v>7</v>
      </c>
      <c r="K14" s="14" t="n">
        <f aca="false">COUNTIFS($A$29:$A$361,I14,$AK$29:$AK$361,"Priority 2")</f>
        <v>16</v>
      </c>
      <c r="L14" s="14" t="n">
        <f aca="false">COUNTIFS($A$29:$A$361,I14,$AK$29:$AK$361,"Priority 3")</f>
        <v>3</v>
      </c>
      <c r="M14" s="14" t="n">
        <f aca="false">COUNTIFS($A$29:$A$361,I14,$O$29:$O$361,"")</f>
        <v>26</v>
      </c>
      <c r="N14" s="18" t="n">
        <f aca="false">SUMIFS($N$29:$N$361,$A$29:$A$361,I14,$AK$29:$AK$361,"Priority 1")+SUMIFS($N$29:$N$361,$A$29:$A$361,I14,$AK$29:$AK$361,"Priority 2")</f>
        <v>424059.97</v>
      </c>
      <c r="O14" s="14" t="n">
        <f aca="false">COUNTIF($J$7:$J$25,"&gt;"&amp;J14)+COUNTIFS($J$7:$J$25,J14,$N$7:$N$25,"&gt;"&amp;N14)+COUNTIFS($J$7:J14,J14,$N$7:N14,N14)</f>
        <v>1</v>
      </c>
    </row>
    <row r="15" customFormat="false" ht="15" hidden="false" customHeight="false" outlineLevel="0" collapsed="false">
      <c r="A15" s="22" t="s">
        <v>193</v>
      </c>
      <c r="B15" s="14" t="n">
        <f aca="false">COUNTIFS($A$29:$A$361,A15,$Q$29:$Q$361,"Priority 1")</f>
        <v>0</v>
      </c>
      <c r="C15" s="14" t="n">
        <f aca="false">COUNTIFS($A$29:$A$361,A15,$Q$29:$Q$361,"Priority 2")</f>
        <v>4</v>
      </c>
      <c r="D15" s="14" t="n">
        <f aca="false">COUNTIFS($A$29:$A$361,A15,$Q$29:$Q$361,"Priority 3")</f>
        <v>4</v>
      </c>
      <c r="E15" s="14" t="n">
        <f aca="false">COUNTIFS($A$29:$A$361,A15,$O$29:$O$361,"")</f>
        <v>8</v>
      </c>
      <c r="F15" s="18" t="n">
        <f aca="false">SUMIFS($F$29:$F$361,$A$29:$A$361,A15,$Q$29:$Q$361,"Priority 1")+SUMIFS($F$29:$F$361,$A$29:$A$361,A15,$Q$29:$Q$361,"Priority 2")</f>
        <v>68581.6</v>
      </c>
      <c r="G15" s="14" t="n">
        <f aca="false">COUNTIF($B$7:$B$25,"&gt;"&amp;B15)+COUNTIFS($B$7:$B$25,B15,$F$7:$F$25,"&gt;"&amp;F15)+COUNTIFS($B$7:B15,B15,$F$7:F15,F15)</f>
        <v>15</v>
      </c>
      <c r="I15" s="22" t="s">
        <v>193</v>
      </c>
      <c r="J15" s="14" t="n">
        <f aca="false">COUNTIFS($A$29:$A$361,I15,$AK$29:$AK$361,"Priority 1")</f>
        <v>0</v>
      </c>
      <c r="K15" s="14" t="n">
        <f aca="false">COUNTIFS($A$29:$A$361,I15,$AK$29:$AK$361,"Priority 2")</f>
        <v>4</v>
      </c>
      <c r="L15" s="14" t="n">
        <f aca="false">COUNTIFS($A$29:$A$361,I15,$AK$29:$AK$361,"Priority 3")</f>
        <v>4</v>
      </c>
      <c r="M15" s="14" t="n">
        <f aca="false">COUNTIFS($A$29:$A$361,I15,$O$29:$O$361,"")</f>
        <v>8</v>
      </c>
      <c r="N15" s="18" t="n">
        <f aca="false">SUMIFS($N$29:$N$361,$A$29:$A$361,I15,$AK$29:$AK$361,"Priority 1")+SUMIFS($N$29:$N$361,$A$29:$A$361,I15,$AK$29:$AK$361,"Priority 2")</f>
        <v>54380.02</v>
      </c>
      <c r="O15" s="14" t="n">
        <f aca="false">COUNTIF($J$7:$J$25,"&gt;"&amp;J15)+COUNTIFS($J$7:$J$25,J15,$N$7:$N$25,"&gt;"&amp;N15)+COUNTIFS($J$7:J15,J15,$N$7:N15,N15)</f>
        <v>13</v>
      </c>
    </row>
    <row r="16" customFormat="false" ht="15" hidden="false" customHeight="false" outlineLevel="0" collapsed="false">
      <c r="A16" s="22" t="s">
        <v>194</v>
      </c>
      <c r="B16" s="14" t="n">
        <f aca="false">COUNTIFS($A$29:$A$361,A16,$Q$29:$Q$361,"Priority 1")</f>
        <v>1</v>
      </c>
      <c r="C16" s="14" t="n">
        <f aca="false">COUNTIFS($A$29:$A$361,A16,$Q$29:$Q$361,"Priority 2")</f>
        <v>2</v>
      </c>
      <c r="D16" s="14" t="n">
        <f aca="false">COUNTIFS($A$29:$A$361,A16,$Q$29:$Q$361,"Priority 3")</f>
        <v>1</v>
      </c>
      <c r="E16" s="14" t="n">
        <f aca="false">COUNTIFS($A$29:$A$361,A16,$O$29:$O$361,"")</f>
        <v>4</v>
      </c>
      <c r="F16" s="18" t="n">
        <f aca="false">SUMIFS($F$29:$F$361,$A$29:$A$361,A16,$Q$29:$Q$361,"Priority 1")+SUMIFS($F$29:$F$361,$A$29:$A$361,A16,$Q$29:$Q$361,"Priority 2")</f>
        <v>39405.6</v>
      </c>
      <c r="G16" s="14" t="n">
        <f aca="false">COUNTIF($B$7:$B$25,"&gt;"&amp;B16)+COUNTIFS($B$7:$B$25,B16,$F$7:$F$25,"&gt;"&amp;F16)+COUNTIFS($B$7:B16,B16,$F$7:F16,F16)</f>
        <v>11</v>
      </c>
      <c r="I16" s="22" t="s">
        <v>194</v>
      </c>
      <c r="J16" s="14" t="n">
        <f aca="false">COUNTIFS($A$29:$A$361,I16,$AK$29:$AK$361,"Priority 1")</f>
        <v>1</v>
      </c>
      <c r="K16" s="14" t="n">
        <f aca="false">COUNTIFS($A$29:$A$361,I16,$AK$29:$AK$361,"Priority 2")</f>
        <v>3</v>
      </c>
      <c r="L16" s="14" t="n">
        <f aca="false">COUNTIFS($A$29:$A$361,I16,$AK$29:$AK$361,"Priority 3")</f>
        <v>0</v>
      </c>
      <c r="M16" s="14" t="n">
        <f aca="false">COUNTIFS($A$29:$A$361,I16,$O$29:$O$361,"")</f>
        <v>4</v>
      </c>
      <c r="N16" s="18" t="n">
        <f aca="false">SUMIFS($N$29:$N$361,$A$29:$A$361,I16,$AK$29:$AK$361,"Priority 1")+SUMIFS($N$29:$N$361,$A$29:$A$361,I16,$AK$29:$AK$361,"Priority 2")</f>
        <v>47236.64</v>
      </c>
      <c r="O16" s="14" t="n">
        <f aca="false">COUNTIF($J$7:$J$25,"&gt;"&amp;J16)+COUNTIFS($J$7:$J$25,J16,$N$7:$N$25,"&gt;"&amp;N16)+COUNTIFS($J$7:J16,J16,$N$7:N16,N16)</f>
        <v>11</v>
      </c>
    </row>
    <row r="17" customFormat="false" ht="15" hidden="false" customHeight="false" outlineLevel="0" collapsed="false">
      <c r="A17" s="22" t="s">
        <v>195</v>
      </c>
      <c r="B17" s="14" t="n">
        <f aca="false">COUNTIFS($A$29:$A$361,A17,$Q$29:$Q$361,"Priority 1")</f>
        <v>0</v>
      </c>
      <c r="C17" s="14" t="n">
        <f aca="false">COUNTIFS($A$29:$A$361,A17,$Q$29:$Q$361,"Priority 2")</f>
        <v>4</v>
      </c>
      <c r="D17" s="14" t="n">
        <f aca="false">COUNTIFS($A$29:$A$361,A17,$Q$29:$Q$361,"Priority 3")</f>
        <v>2</v>
      </c>
      <c r="E17" s="14" t="n">
        <f aca="false">COUNTIFS($A$29:$A$361,A17,$O$29:$O$361,"")</f>
        <v>6</v>
      </c>
      <c r="F17" s="18" t="n">
        <f aca="false">SUMIFS($F$29:$F$361,$A$29:$A$361,A17,$Q$29:$Q$361,"Priority 1")+SUMIFS($F$29:$F$361,$A$29:$A$361,A17,$Q$29:$Q$361,"Priority 2")</f>
        <v>10920.9</v>
      </c>
      <c r="G17" s="14" t="n">
        <f aca="false">COUNTIF($B$7:$B$25,"&gt;"&amp;B17)+COUNTIFS($B$7:$B$25,B17,$F$7:$F$25,"&gt;"&amp;F17)+COUNTIFS($B$7:B17,B17,$F$7:F17,F17)</f>
        <v>18</v>
      </c>
      <c r="I17" s="22" t="s">
        <v>195</v>
      </c>
      <c r="J17" s="14" t="n">
        <f aca="false">COUNTIFS($A$29:$A$361,I17,$AK$29:$AK$361,"Priority 1")</f>
        <v>0</v>
      </c>
      <c r="K17" s="14" t="n">
        <f aca="false">COUNTIFS($A$29:$A$361,I17,$AK$29:$AK$361,"Priority 2")</f>
        <v>5</v>
      </c>
      <c r="L17" s="14" t="n">
        <f aca="false">COUNTIFS($A$29:$A$361,I17,$AK$29:$AK$361,"Priority 3")</f>
        <v>1</v>
      </c>
      <c r="M17" s="14" t="n">
        <f aca="false">COUNTIFS($A$29:$A$361,I17,$O$29:$O$361,"")</f>
        <v>6</v>
      </c>
      <c r="N17" s="18" t="n">
        <f aca="false">SUMIFS($N$29:$N$361,$A$29:$A$361,I17,$AK$29:$AK$361,"Priority 1")+SUMIFS($N$29:$N$361,$A$29:$A$361,I17,$AK$29:$AK$361,"Priority 2")</f>
        <v>34318.18</v>
      </c>
      <c r="O17" s="14" t="n">
        <f aca="false">COUNTIF($J$7:$J$25,"&gt;"&amp;J17)+COUNTIFS($J$7:$J$25,J17,$N$7:$N$25,"&gt;"&amp;N17)+COUNTIFS($J$7:J17,J17,$N$7:N17,N17)</f>
        <v>15</v>
      </c>
    </row>
    <row r="18" customFormat="false" ht="15" hidden="false" customHeight="false" outlineLevel="0" collapsed="false">
      <c r="A18" s="22" t="s">
        <v>196</v>
      </c>
      <c r="B18" s="14" t="n">
        <f aca="false">COUNTIFS($A$29:$A$361,A18,$Q$29:$Q$361,"Priority 1")</f>
        <v>0</v>
      </c>
      <c r="C18" s="14" t="n">
        <f aca="false">COUNTIFS($A$29:$A$361,A18,$Q$29:$Q$361,"Priority 2")</f>
        <v>3</v>
      </c>
      <c r="D18" s="14" t="n">
        <f aca="false">COUNTIFS($A$29:$A$361,A18,$Q$29:$Q$361,"Priority 3")</f>
        <v>1</v>
      </c>
      <c r="E18" s="14" t="n">
        <f aca="false">COUNTIFS($A$29:$A$361,A18,$O$29:$O$361,"")</f>
        <v>4</v>
      </c>
      <c r="F18" s="18" t="n">
        <f aca="false">SUMIFS($F$29:$F$361,$A$29:$A$361,A18,$Q$29:$Q$361,"Priority 1")+SUMIFS($F$29:$F$361,$A$29:$A$361,A18,$Q$29:$Q$361,"Priority 2")</f>
        <v>20101.7</v>
      </c>
      <c r="G18" s="14" t="n">
        <f aca="false">COUNTIF($B$7:$B$25,"&gt;"&amp;B18)+COUNTIFS($B$7:$B$25,B18,$F$7:$F$25,"&gt;"&amp;F18)+COUNTIFS($B$7:B18,B18,$F$7:F18,F18)</f>
        <v>16</v>
      </c>
      <c r="I18" s="22" t="s">
        <v>196</v>
      </c>
      <c r="J18" s="14" t="n">
        <f aca="false">COUNTIFS($A$29:$A$361,I18,$AK$29:$AK$361,"Priority 1")</f>
        <v>0</v>
      </c>
      <c r="K18" s="14" t="n">
        <f aca="false">COUNTIFS($A$29:$A$361,I18,$AK$29:$AK$361,"Priority 2")</f>
        <v>3</v>
      </c>
      <c r="L18" s="14" t="n">
        <f aca="false">COUNTIFS($A$29:$A$361,I18,$AK$29:$AK$361,"Priority 3")</f>
        <v>1</v>
      </c>
      <c r="M18" s="14" t="n">
        <f aca="false">COUNTIFS($A$29:$A$361,I18,$O$29:$O$361,"")</f>
        <v>4</v>
      </c>
      <c r="N18" s="18" t="n">
        <f aca="false">SUMIFS($N$29:$N$361,$A$29:$A$361,I18,$AK$29:$AK$361,"Priority 1")+SUMIFS($N$29:$N$361,$A$29:$A$361,I18,$AK$29:$AK$361,"Priority 2")</f>
        <v>20912.33</v>
      </c>
      <c r="O18" s="14" t="n">
        <f aca="false">COUNTIF($J$7:$J$25,"&gt;"&amp;J18)+COUNTIFS($J$7:$J$25,J18,$N$7:$N$25,"&gt;"&amp;N18)+COUNTIFS($J$7:J18,J18,$N$7:N18,N18)</f>
        <v>17</v>
      </c>
    </row>
    <row r="19" customFormat="false" ht="15" hidden="false" customHeight="false" outlineLevel="0" collapsed="false">
      <c r="A19" s="22" t="s">
        <v>197</v>
      </c>
      <c r="B19" s="14" t="n">
        <f aca="false">COUNTIFS($A$29:$A$361,A19,$Q$29:$Q$361,"Priority 1")</f>
        <v>0</v>
      </c>
      <c r="C19" s="14" t="n">
        <f aca="false">COUNTIFS($A$29:$A$361,A19,$Q$29:$Q$361,"Priority 2")</f>
        <v>0</v>
      </c>
      <c r="D19" s="14" t="n">
        <f aca="false">COUNTIFS($A$29:$A$361,A19,$Q$29:$Q$361,"Priority 3")</f>
        <v>1</v>
      </c>
      <c r="E19" s="14" t="n">
        <f aca="false">COUNTIFS($A$29:$A$361,A19,$O$29:$O$361,"")</f>
        <v>1</v>
      </c>
      <c r="F19" s="18" t="n">
        <f aca="false">SUMIFS($F$29:$F$361,$A$29:$A$361,A19,$Q$29:$Q$361,"Priority 1")+SUMIFS($F$29:$F$361,$A$29:$A$361,A19,$Q$29:$Q$361,"Priority 2")</f>
        <v>0</v>
      </c>
      <c r="G19" s="14" t="n">
        <f aca="false">COUNTIF($B$7:$B$25,"&gt;"&amp;B19)+COUNTIFS($B$7:$B$25,B19,$F$7:$F$25,"&gt;"&amp;F19)+COUNTIFS($B$7:B19,B19,$F$7:F19,F19)</f>
        <v>19</v>
      </c>
      <c r="I19" s="22" t="s">
        <v>197</v>
      </c>
      <c r="J19" s="14" t="n">
        <f aca="false">COUNTIFS($A$29:$A$361,I19,$AK$29:$AK$361,"Priority 1")</f>
        <v>0</v>
      </c>
      <c r="K19" s="14" t="n">
        <f aca="false">COUNTIFS($A$29:$A$361,I19,$AK$29:$AK$361,"Priority 2")</f>
        <v>0</v>
      </c>
      <c r="L19" s="14" t="n">
        <f aca="false">COUNTIFS($A$29:$A$361,I19,$AK$29:$AK$361,"Priority 3")</f>
        <v>1</v>
      </c>
      <c r="M19" s="14" t="n">
        <f aca="false">COUNTIFS($A$29:$A$361,I19,$O$29:$O$361,"")</f>
        <v>1</v>
      </c>
      <c r="N19" s="18" t="n">
        <f aca="false">SUMIFS($N$29:$N$361,$A$29:$A$361,I19,$AK$29:$AK$361,"Priority 1")+SUMIFS($N$29:$N$361,$A$29:$A$361,I19,$AK$29:$AK$361,"Priority 2")</f>
        <v>0</v>
      </c>
      <c r="O19" s="14" t="n">
        <f aca="false">COUNTIF($J$7:$J$25,"&gt;"&amp;J19)+COUNTIFS($J$7:$J$25,J19,$N$7:$N$25,"&gt;"&amp;N19)+COUNTIFS($J$7:J19,J19,$N$7:N19,N19)</f>
        <v>19</v>
      </c>
    </row>
    <row r="20" customFormat="false" ht="15" hidden="false" customHeight="false" outlineLevel="0" collapsed="false">
      <c r="A20" s="22" t="s">
        <v>198</v>
      </c>
      <c r="B20" s="14" t="n">
        <f aca="false">COUNTIFS($A$29:$A$361,A20,$Q$29:$Q$361,"Priority 1")</f>
        <v>0</v>
      </c>
      <c r="C20" s="14" t="n">
        <f aca="false">COUNTIFS($A$29:$A$361,A20,$Q$29:$Q$361,"Priority 2")</f>
        <v>3</v>
      </c>
      <c r="D20" s="14" t="n">
        <f aca="false">COUNTIFS($A$29:$A$361,A20,$Q$29:$Q$361,"Priority 3")</f>
        <v>0</v>
      </c>
      <c r="E20" s="14" t="n">
        <f aca="false">COUNTIFS($A$29:$A$361,A20,$O$29:$O$361,"")</f>
        <v>3</v>
      </c>
      <c r="F20" s="18" t="n">
        <f aca="false">SUMIFS($F$29:$F$361,$A$29:$A$361,A20,$Q$29:$Q$361,"Priority 1")+SUMIFS($F$29:$F$361,$A$29:$A$361,A20,$Q$29:$Q$361,"Priority 2")</f>
        <v>16805.1</v>
      </c>
      <c r="G20" s="14" t="n">
        <f aca="false">COUNTIF($B$7:$B$25,"&gt;"&amp;B20)+COUNTIFS($B$7:$B$25,B20,$F$7:$F$25,"&gt;"&amp;F20)+COUNTIFS($B$7:B20,B20,$F$7:F20,F20)</f>
        <v>17</v>
      </c>
      <c r="I20" s="22" t="s">
        <v>198</v>
      </c>
      <c r="J20" s="14" t="n">
        <f aca="false">COUNTIFS($A$29:$A$361,I20,$AK$29:$AK$361,"Priority 1")</f>
        <v>0</v>
      </c>
      <c r="K20" s="14" t="n">
        <f aca="false">COUNTIFS($A$29:$A$361,I20,$AK$29:$AK$361,"Priority 2")</f>
        <v>3</v>
      </c>
      <c r="L20" s="14" t="n">
        <f aca="false">COUNTIFS($A$29:$A$361,I20,$AK$29:$AK$361,"Priority 3")</f>
        <v>0</v>
      </c>
      <c r="M20" s="14" t="n">
        <f aca="false">COUNTIFS($A$29:$A$361,I20,$O$29:$O$361,"")</f>
        <v>3</v>
      </c>
      <c r="N20" s="18" t="n">
        <f aca="false">SUMIFS($N$29:$N$361,$A$29:$A$361,I20,$AK$29:$AK$361,"Priority 1")+SUMIFS($N$29:$N$361,$A$29:$A$361,I20,$AK$29:$AK$361,"Priority 2")</f>
        <v>50167.88</v>
      </c>
      <c r="O20" s="14" t="n">
        <f aca="false">COUNTIF($J$7:$J$25,"&gt;"&amp;J20)+COUNTIFS($J$7:$J$25,J20,$N$7:$N$25,"&gt;"&amp;N20)+COUNTIFS($J$7:J20,J20,$N$7:N20,N20)</f>
        <v>14</v>
      </c>
    </row>
    <row r="21" customFormat="false" ht="15" hidden="false" customHeight="false" outlineLevel="0" collapsed="false">
      <c r="A21" s="22" t="s">
        <v>199</v>
      </c>
      <c r="B21" s="14" t="n">
        <f aca="false">COUNTIFS($A$29:$A$361,A21,$Q$29:$Q$361,"Priority 1")</f>
        <v>2</v>
      </c>
      <c r="C21" s="14" t="n">
        <f aca="false">COUNTIFS($A$29:$A$361,A21,$Q$29:$Q$361,"Priority 2")</f>
        <v>5</v>
      </c>
      <c r="D21" s="14" t="n">
        <f aca="false">COUNTIFS($A$29:$A$361,A21,$Q$29:$Q$361,"Priority 3")</f>
        <v>0</v>
      </c>
      <c r="E21" s="14" t="n">
        <f aca="false">COUNTIFS($A$29:$A$361,A21,$O$29:$O$361,"")</f>
        <v>7</v>
      </c>
      <c r="F21" s="18" t="n">
        <f aca="false">SUMIFS($F$29:$F$361,$A$29:$A$361,A21,$Q$29:$Q$361,"Priority 1")+SUMIFS($F$29:$F$361,$A$29:$A$361,A21,$Q$29:$Q$361,"Priority 2")</f>
        <v>63741.6</v>
      </c>
      <c r="G21" s="14" t="n">
        <f aca="false">COUNTIF($B$7:$B$25,"&gt;"&amp;B21)+COUNTIFS($B$7:$B$25,B21,$F$7:$F$25,"&gt;"&amp;F21)+COUNTIFS($B$7:B21,B21,$F$7:F21,F21)</f>
        <v>10</v>
      </c>
      <c r="I21" s="22" t="s">
        <v>199</v>
      </c>
      <c r="J21" s="14" t="n">
        <f aca="false">COUNTIFS($A$29:$A$361,I21,$AK$29:$AK$361,"Priority 1")</f>
        <v>2</v>
      </c>
      <c r="K21" s="14" t="n">
        <f aca="false">COUNTIFS($A$29:$A$361,I21,$AK$29:$AK$361,"Priority 2")</f>
        <v>5</v>
      </c>
      <c r="L21" s="14" t="n">
        <f aca="false">COUNTIFS($A$29:$A$361,I21,$AK$29:$AK$361,"Priority 3")</f>
        <v>0</v>
      </c>
      <c r="M21" s="14" t="n">
        <f aca="false">COUNTIFS($A$29:$A$361,I21,$O$29:$O$361,"")</f>
        <v>7</v>
      </c>
      <c r="N21" s="18" t="n">
        <f aca="false">SUMIFS($N$29:$N$361,$A$29:$A$361,I21,$AK$29:$AK$361,"Priority 1")+SUMIFS($N$29:$N$361,$A$29:$A$361,I21,$AK$29:$AK$361,"Priority 2")</f>
        <v>86149.11</v>
      </c>
      <c r="O21" s="14" t="n">
        <f aca="false">COUNTIF($J$7:$J$25,"&gt;"&amp;J21)+COUNTIFS($J$7:$J$25,J21,$N$7:$N$25,"&gt;"&amp;N21)+COUNTIFS($J$7:J21,J21,$N$7:N21,N21)</f>
        <v>10</v>
      </c>
    </row>
    <row r="22" customFormat="false" ht="15" hidden="false" customHeight="false" outlineLevel="0" collapsed="false">
      <c r="A22" s="22" t="s">
        <v>200</v>
      </c>
      <c r="B22" s="14" t="n">
        <f aca="false">COUNTIFS($A$29:$A$361,A22,$Q$29:$Q$361,"Priority 1")</f>
        <v>1</v>
      </c>
      <c r="C22" s="14" t="n">
        <f aca="false">COUNTIFS($A$29:$A$361,A22,$Q$29:$Q$361,"Priority 2")</f>
        <v>1</v>
      </c>
      <c r="D22" s="14" t="n">
        <f aca="false">COUNTIFS($A$29:$A$361,A22,$Q$29:$Q$361,"Priority 3")</f>
        <v>0</v>
      </c>
      <c r="E22" s="14" t="n">
        <f aca="false">COUNTIFS($A$29:$A$361,A22,$O$29:$O$361,"")</f>
        <v>2</v>
      </c>
      <c r="F22" s="18" t="n">
        <f aca="false">SUMIFS($F$29:$F$361,$A$29:$A$361,A22,$Q$29:$Q$361,"Priority 1")+SUMIFS($F$29:$F$361,$A$29:$A$361,A22,$Q$29:$Q$361,"Priority 2")</f>
        <v>17549.3</v>
      </c>
      <c r="G22" s="14" t="n">
        <f aca="false">COUNTIF($B$7:$B$25,"&gt;"&amp;B22)+COUNTIFS($B$7:$B$25,B22,$F$7:$F$25,"&gt;"&amp;F22)+COUNTIFS($B$7:B22,B22,$F$7:F22,F22)</f>
        <v>13</v>
      </c>
      <c r="I22" s="22" t="s">
        <v>200</v>
      </c>
      <c r="J22" s="14" t="n">
        <f aca="false">COUNTIFS($A$29:$A$361,I22,$AK$29:$AK$361,"Priority 1")</f>
        <v>0</v>
      </c>
      <c r="K22" s="14" t="n">
        <f aca="false">COUNTIFS($A$29:$A$361,I22,$AK$29:$AK$361,"Priority 2")</f>
        <v>2</v>
      </c>
      <c r="L22" s="14" t="n">
        <f aca="false">COUNTIFS($A$29:$A$361,I22,$AK$29:$AK$361,"Priority 3")</f>
        <v>0</v>
      </c>
      <c r="M22" s="14" t="n">
        <f aca="false">COUNTIFS($A$29:$A$361,I22,$O$29:$O$361,"")</f>
        <v>2</v>
      </c>
      <c r="N22" s="18" t="n">
        <f aca="false">SUMIFS($N$29:$N$361,$A$29:$A$361,I22,$AK$29:$AK$361,"Priority 1")+SUMIFS($N$29:$N$361,$A$29:$A$361,I22,$AK$29:$AK$361,"Priority 2")</f>
        <v>19610.5</v>
      </c>
      <c r="O22" s="14" t="n">
        <f aca="false">COUNTIF($J$7:$J$25,"&gt;"&amp;J22)+COUNTIFS($J$7:$J$25,J22,$N$7:$N$25,"&gt;"&amp;N22)+COUNTIFS($J$7:J22,J22,$N$7:N22,N22)</f>
        <v>18</v>
      </c>
    </row>
    <row r="23" customFormat="false" ht="15" hidden="false" customHeight="false" outlineLevel="0" collapsed="false">
      <c r="A23" s="22" t="s">
        <v>201</v>
      </c>
      <c r="B23" s="14" t="n">
        <f aca="false">COUNTIFS($A$29:$A$361,A23,$Q$29:$Q$361,"Priority 1")</f>
        <v>3</v>
      </c>
      <c r="C23" s="14" t="n">
        <f aca="false">COUNTIFS($A$29:$A$361,A23,$Q$29:$Q$361,"Priority 2")</f>
        <v>0</v>
      </c>
      <c r="D23" s="14" t="n">
        <f aca="false">COUNTIFS($A$29:$A$361,A23,$Q$29:$Q$361,"Priority 3")</f>
        <v>0</v>
      </c>
      <c r="E23" s="14" t="n">
        <f aca="false">COUNTIFS($A$29:$A$361,A23,$O$29:$O$361,"")</f>
        <v>3</v>
      </c>
      <c r="F23" s="18" t="n">
        <f aca="false">SUMIFS($F$29:$F$361,$A$29:$A$361,A23,$Q$29:$Q$361,"Priority 1")+SUMIFS($F$29:$F$361,$A$29:$A$361,A23,$Q$29:$Q$361,"Priority 2")</f>
        <v>102806.5</v>
      </c>
      <c r="G23" s="14" t="n">
        <f aca="false">COUNTIF($B$7:$B$25,"&gt;"&amp;B23)+COUNTIFS($B$7:$B$25,B23,$F$7:$F$25,"&gt;"&amp;F23)+COUNTIFS($B$7:B23,B23,$F$7:F23,F23)</f>
        <v>6</v>
      </c>
      <c r="I23" s="22" t="s">
        <v>201</v>
      </c>
      <c r="J23" s="14" t="n">
        <f aca="false">COUNTIFS($A$29:$A$361,I23,$AK$29:$AK$361,"Priority 1")</f>
        <v>3</v>
      </c>
      <c r="K23" s="14" t="n">
        <f aca="false">COUNTIFS($A$29:$A$361,I23,$AK$29:$AK$361,"Priority 2")</f>
        <v>0</v>
      </c>
      <c r="L23" s="14" t="n">
        <f aca="false">COUNTIFS($A$29:$A$361,I23,$AK$29:$AK$361,"Priority 3")</f>
        <v>0</v>
      </c>
      <c r="M23" s="14" t="n">
        <f aca="false">COUNTIFS($A$29:$A$361,I23,$O$29:$O$361,"")</f>
        <v>3</v>
      </c>
      <c r="N23" s="18" t="n">
        <f aca="false">SUMIFS($N$29:$N$361,$A$29:$A$361,I23,$AK$29:$AK$361,"Priority 1")+SUMIFS($N$29:$N$361,$A$29:$A$361,I23,$AK$29:$AK$361,"Priority 2")</f>
        <v>102806.43</v>
      </c>
      <c r="O23" s="14" t="n">
        <f aca="false">COUNTIF($J$7:$J$25,"&gt;"&amp;J23)+COUNTIFS($J$7:$J$25,J23,$N$7:$N$25,"&gt;"&amp;N23)+COUNTIFS($J$7:J23,J23,$N$7:N23,N23)</f>
        <v>5</v>
      </c>
    </row>
    <row r="24" customFormat="false" ht="15" hidden="false" customHeight="false" outlineLevel="0" collapsed="false">
      <c r="A24" s="22" t="s">
        <v>202</v>
      </c>
      <c r="B24" s="14" t="n">
        <f aca="false">COUNTIFS($A$29:$A$361,A24,$Q$29:$Q$361,"Priority 1")</f>
        <v>0</v>
      </c>
      <c r="C24" s="14" t="n">
        <f aca="false">COUNTIFS($A$29:$A$361,A24,$Q$29:$Q$361,"Priority 2")</f>
        <v>6</v>
      </c>
      <c r="D24" s="14" t="n">
        <f aca="false">COUNTIFS($A$29:$A$361,A24,$Q$29:$Q$361,"Priority 3")</f>
        <v>3</v>
      </c>
      <c r="E24" s="14" t="n">
        <f aca="false">COUNTIFS($A$29:$A$361,A24,$O$29:$O$361,"")</f>
        <v>9</v>
      </c>
      <c r="F24" s="18" t="n">
        <f aca="false">SUMIFS($F$29:$F$361,$A$29:$A$361,A24,$Q$29:$Q$361,"Priority 1")+SUMIFS($F$29:$F$361,$A$29:$A$361,A24,$Q$29:$Q$361,"Priority 2")</f>
        <v>121110.2</v>
      </c>
      <c r="G24" s="14" t="n">
        <f aca="false">COUNTIF($B$7:$B$25,"&gt;"&amp;B24)+COUNTIFS($B$7:$B$25,B24,$F$7:$F$25,"&gt;"&amp;F24)+COUNTIFS($B$7:B24,B24,$F$7:F24,F24)</f>
        <v>14</v>
      </c>
      <c r="I24" s="22" t="s">
        <v>202</v>
      </c>
      <c r="J24" s="14" t="n">
        <f aca="false">COUNTIFS($A$29:$A$361,I24,$AK$29:$AK$361,"Priority 1")</f>
        <v>0</v>
      </c>
      <c r="K24" s="14" t="n">
        <f aca="false">COUNTIFS($A$29:$A$361,I24,$AK$29:$AK$361,"Priority 2")</f>
        <v>7</v>
      </c>
      <c r="L24" s="14" t="n">
        <f aca="false">COUNTIFS($A$29:$A$361,I24,$AK$29:$AK$361,"Priority 3")</f>
        <v>2</v>
      </c>
      <c r="M24" s="14" t="n">
        <f aca="false">COUNTIFS($A$29:$A$361,I24,$O$29:$O$361,"")</f>
        <v>9</v>
      </c>
      <c r="N24" s="18" t="n">
        <f aca="false">SUMIFS($N$29:$N$361,$A$29:$A$361,I24,$AK$29:$AK$361,"Priority 1")+SUMIFS($N$29:$N$361,$A$29:$A$361,I24,$AK$29:$AK$361,"Priority 2")</f>
        <v>164294.48</v>
      </c>
      <c r="O24" s="14" t="n">
        <f aca="false">COUNTIF($J$7:$J$25,"&gt;"&amp;J24)+COUNTIFS($J$7:$J$25,J24,$N$7:$N$25,"&gt;"&amp;N24)+COUNTIFS($J$7:J24,J24,$N$7:N24,N24)</f>
        <v>12</v>
      </c>
    </row>
    <row r="25" customFormat="false" ht="15" hidden="false" customHeight="false" outlineLevel="0" collapsed="false">
      <c r="A25" s="22" t="s">
        <v>203</v>
      </c>
      <c r="B25" s="14" t="n">
        <f aca="false">COUNTIFS($A$29:$A$361,A25,$Q$29:$Q$361,"Priority 1")</f>
        <v>2</v>
      </c>
      <c r="C25" s="14" t="n">
        <f aca="false">COUNTIFS($A$29:$A$361,A25,$Q$29:$Q$361,"Priority 2")</f>
        <v>6</v>
      </c>
      <c r="D25" s="14" t="n">
        <f aca="false">COUNTIFS($A$29:$A$361,A25,$Q$29:$Q$361,"Priority 3")</f>
        <v>3</v>
      </c>
      <c r="E25" s="14" t="n">
        <f aca="false">COUNTIFS($A$29:$A$361,A25,$O$29:$O$361,"")</f>
        <v>11</v>
      </c>
      <c r="F25" s="18" t="n">
        <f aca="false">SUMIFS($F$29:$F$361,$A$29:$A$361,A25,$Q$29:$Q$361,"Priority 1")+SUMIFS($F$29:$F$361,$A$29:$A$361,A25,$Q$29:$Q$361,"Priority 2")</f>
        <v>160660.3</v>
      </c>
      <c r="G25" s="14" t="n">
        <f aca="false">COUNTIF($B$7:$B$25,"&gt;"&amp;B25)+COUNTIFS($B$7:$B$25,B25,$F$7:$F$25,"&gt;"&amp;F25)+COUNTIFS($B$7:B25,B25,$F$7:F25,F25)</f>
        <v>8</v>
      </c>
      <c r="I25" s="22" t="s">
        <v>203</v>
      </c>
      <c r="J25" s="14" t="n">
        <f aca="false">COUNTIFS($A$29:$A$361,I25,$AK$29:$AK$361,"Priority 1")</f>
        <v>2</v>
      </c>
      <c r="K25" s="14" t="n">
        <f aca="false">COUNTIFS($A$29:$A$361,I25,$AK$29:$AK$361,"Priority 2")</f>
        <v>8</v>
      </c>
      <c r="L25" s="14" t="n">
        <f aca="false">COUNTIFS($A$29:$A$361,I25,$AK$29:$AK$361,"Priority 3")</f>
        <v>1</v>
      </c>
      <c r="M25" s="14" t="n">
        <f aca="false">COUNTIFS($A$29:$A$361,I25,$O$29:$O$361,"")</f>
        <v>11</v>
      </c>
      <c r="N25" s="18" t="n">
        <f aca="false">SUMIFS($N$29:$N$361,$A$29:$A$361,I25,$AK$29:$AK$361,"Priority 1")+SUMIFS($N$29:$N$361,$A$29:$A$361,I25,$AK$29:$AK$361,"Priority 2")</f>
        <v>246187.96</v>
      </c>
      <c r="O25" s="14" t="n">
        <f aca="false">COUNTIF($J$7:$J$25,"&gt;"&amp;J25)+COUNTIFS($J$7:$J$25,J25,$N$7:$N$25,"&gt;"&amp;N25)+COUNTIFS($J$7:J25,J25,$N$7:N25,N25)</f>
        <v>7</v>
      </c>
    </row>
    <row r="27" customFormat="false" ht="15" hidden="false" customHeight="false" outlineLevel="0" collapsed="false">
      <c r="A27" s="29" t="s">
        <v>204</v>
      </c>
    </row>
    <row r="28" customFormat="false" ht="45" hidden="false" customHeight="true" outlineLevel="0" collapsed="false">
      <c r="A28" s="3" t="s">
        <v>4</v>
      </c>
      <c r="B28" s="3" t="s">
        <v>8</v>
      </c>
      <c r="C28" s="3" t="s">
        <v>205</v>
      </c>
      <c r="D28" s="3" t="s">
        <v>13</v>
      </c>
      <c r="E28" s="3" t="s">
        <v>206</v>
      </c>
      <c r="F28" s="3" t="s">
        <v>207</v>
      </c>
      <c r="G28" s="3" t="s">
        <v>208</v>
      </c>
      <c r="H28" s="3" t="s">
        <v>209</v>
      </c>
      <c r="I28" s="3" t="s">
        <v>11</v>
      </c>
      <c r="J28" s="3" t="s">
        <v>210</v>
      </c>
      <c r="K28" s="3" t="s">
        <v>211</v>
      </c>
      <c r="L28" s="3" t="s">
        <v>212</v>
      </c>
      <c r="M28" s="3" t="s">
        <v>213</v>
      </c>
      <c r="N28" s="3" t="s">
        <v>214</v>
      </c>
      <c r="O28" s="3" t="s">
        <v>215</v>
      </c>
      <c r="P28" s="30" t="s">
        <v>216</v>
      </c>
      <c r="Q28" s="30" t="s">
        <v>217</v>
      </c>
      <c r="R28" s="3" t="s">
        <v>218</v>
      </c>
      <c r="S28" s="3" t="s">
        <v>219</v>
      </c>
      <c r="T28" s="3" t="s">
        <v>220</v>
      </c>
      <c r="U28" s="4" t="s">
        <v>221</v>
      </c>
      <c r="V28" s="4" t="s">
        <v>222</v>
      </c>
      <c r="W28" s="4" t="s">
        <v>223</v>
      </c>
      <c r="X28" s="4" t="s">
        <v>224</v>
      </c>
      <c r="Y28" s="4" t="s">
        <v>225</v>
      </c>
      <c r="Z28" s="3" t="s">
        <v>226</v>
      </c>
      <c r="AA28" s="4" t="s">
        <v>227</v>
      </c>
      <c r="AB28" s="4" t="s">
        <v>228</v>
      </c>
      <c r="AC28" s="4" t="s">
        <v>229</v>
      </c>
      <c r="AD28" s="3" t="s">
        <v>230</v>
      </c>
      <c r="AE28" s="3" t="s">
        <v>231</v>
      </c>
      <c r="AF28" s="4" t="s">
        <v>232</v>
      </c>
      <c r="AG28" s="3" t="s">
        <v>233</v>
      </c>
      <c r="AH28" s="3" t="s">
        <v>16</v>
      </c>
      <c r="AI28" s="3" t="s">
        <v>234</v>
      </c>
      <c r="AJ28" s="30" t="s">
        <v>235</v>
      </c>
      <c r="AK28" s="31" t="s">
        <v>236</v>
      </c>
      <c r="AL28" s="31" t="s">
        <v>237</v>
      </c>
      <c r="AM28" s="31" t="s">
        <v>238</v>
      </c>
      <c r="AN28" s="4" t="s">
        <v>239</v>
      </c>
      <c r="AO28" s="4" t="s">
        <v>240</v>
      </c>
      <c r="AP28" s="4" t="s">
        <v>241</v>
      </c>
      <c r="AQ28" s="4" t="s">
        <v>242</v>
      </c>
      <c r="AR28" s="4" t="s">
        <v>243</v>
      </c>
      <c r="AS28" s="4" t="s">
        <v>244</v>
      </c>
    </row>
    <row r="29" customFormat="false" ht="41.75" hidden="false" customHeight="false" outlineLevel="0" collapsed="false">
      <c r="A29" s="15" t="s">
        <v>186</v>
      </c>
      <c r="B29" s="15" t="s">
        <v>245</v>
      </c>
      <c r="C29" s="16" t="s">
        <v>246</v>
      </c>
      <c r="D29" s="17" t="n">
        <f aca="false">IF(W29&gt;0,ROUND(AVERAGEIFS('Shortlisted Drugs X Company (7)'!$N$3:$N$698,'Shortlisted Drugs X Company (7)'!$C$3:$C$698,$B29,'Shortlisted Drugs X Company (7)'!$E$3:$E$698,$S29,'Shortlisted Drugs X Company (7)'!$N$3:$N$698,"&gt;5"),2),"")</f>
        <v>52.42</v>
      </c>
      <c r="E29" s="15" t="str">
        <f aca="false">IF(COUNTIFS('Shortlisted Drugs X Company (7)'!$C$3:$C$698,$B29,'Shortlisted Drugs X Company (7)'!$E$3:$E$698,$S29,'Shortlisted Drugs X Company (7)'!$P$3:$P$698,"Exact")&gt;0,"Exact",IF(COUNTIFS('Shortlisted Drugs X Company (7)'!$C$3:$C$698,$B29,'Shortlisted Drugs X Company (7)'!$E$3:$E$698,$S29,'Shortlisted Drugs X Company (7)'!$P$3:$P$698,"Same-market proxy")&gt;0,"Same-market proxy",IF(COUNTIFS('Shortlisted Drugs X Company (7)'!$C$3:$C$698,$B29,'Shortlisted Drugs X Company (7)'!$E$3:$E$698,$S29,'Shortlisted Drugs X Company (7)'!$P$3:$P$698,"Cross-market proxy")&gt;0,"Cross-market proxy",IF(COUNTIFS('Shortlisted Drugs X Company (7)'!$C$3:$C$698,$B29,'Shortlisted Drugs X Company (7)'!$E$3:$E$698,$S29,'Shortlisted Drugs X Company (7)'!$P$3:$P$698,"Source not found")&gt;0,"Source not found","Not priced"))))</f>
        <v>Same-market proxy</v>
      </c>
      <c r="F29" s="18" t="n">
        <f aca="false">IFERROR(ROUND(INDEX('Injectable Value'!$AA$28:$AA$178,MATCH(B29,'Injectable Value'!$A$28:$A$178,0)),1),"")</f>
        <v>3625.3</v>
      </c>
      <c r="G29" s="16" t="s">
        <v>247</v>
      </c>
      <c r="H29" s="14" t="n">
        <v>3</v>
      </c>
      <c r="I29" s="15" t="s">
        <v>248</v>
      </c>
      <c r="J29" s="15" t="s">
        <v>249</v>
      </c>
      <c r="K29" s="16" t="str">
        <f aca="false">""&amp;IF(V29=0,"Unpriced","")&amp;IF(AND(V29&gt;0,W29=0,X29=0),"Low price from another market – confirm with company","")</f>
        <v/>
      </c>
      <c r="L29" s="18" t="n">
        <f aca="false">IFERROR(INDEX('Shortlisted Drugs X Company (7)'!$K$3:$K$698,MATCH(B29,'Shortlisted Drugs X Company (7)'!$C$3:$C$698,0)),"")</f>
        <v>156</v>
      </c>
      <c r="M29" s="18" t="n">
        <f aca="false">IFERROR(ROUND(L29*INDEX('Injectable Value'!$Z$28:$Z$178,MATCH(B29,'Injectable Value'!$A$28:$A$178,0)),0),"")</f>
        <v>143</v>
      </c>
      <c r="N29" s="18" t="n">
        <f aca="false">IFERROR(INDEX('Shortlisted Drugs X Company (7)'!$L$3:$L$698,MATCH(B29,'Shortlisted Drugs X Company (7)'!$C$3:$C$698,0)),"")</f>
        <v>3954.83</v>
      </c>
      <c r="O29" s="15" t="str">
        <f aca="false">IF(AE29="No","IV only (not ID/IM/SC)",IF(AND(V29&gt;0,W29=0),"Price ≤ $5",""))</f>
        <v/>
      </c>
      <c r="P29" s="14" t="n">
        <f aca="false">IF(O29&lt;&gt;"","",COUNTIFS($A$29:$A$361,A29,$O$29:$O$361,"",$AC$29:$AC$361,"&gt;"&amp;AC29)+COUNTIFS($A$29:A29,A29,$O$29:O29,"",$AC$29:AC29,AC29))</f>
        <v>3</v>
      </c>
      <c r="Q29" s="15" t="str">
        <f aca="false">IF(O29&lt;&gt;"",IF(O29="Price ≤ $5","Excluded – price ≤ $5","Excluded – IV only"),IF(ISNUMBER(D29),IF(AND(D29&gt;=$C$3,M29&gt;=$E$3),"Priority 1",IF(OR(D29&gt;=$C$3,M29&gt;=$E$3),"Priority 2","Priority 3")),IF(M29&gt;=$E$3,"Priority 2","Priority 3")))</f>
        <v>Priority 2</v>
      </c>
      <c r="R29" s="16" t="s">
        <v>250</v>
      </c>
      <c r="S29" s="15" t="s">
        <v>251</v>
      </c>
      <c r="T29" s="32" t="s">
        <v>252</v>
      </c>
      <c r="U29" s="33" t="str">
        <f aca="false">B29&amp;"|"&amp;S29</f>
        <v>Carboprost|Alembic Pharmaceuticals</v>
      </c>
      <c r="V29" s="34" t="n">
        <f aca="false">COUNTIFS('Shortlisted Drugs X Company (7)'!$C$3:$C$698,$B29,'Shortlisted Drugs X Company (7)'!$E$3:$E$698,$S29,'Shortlisted Drugs X Company (7)'!$N$3:$N$698,"&gt;=0")</f>
        <v>2</v>
      </c>
      <c r="W29" s="34" t="n">
        <f aca="false">COUNTIFS('Shortlisted Drugs X Company (7)'!$C$3:$C$698,$B29,'Shortlisted Drugs X Company (7)'!$E$3:$E$698,$S29,'Shortlisted Drugs X Company (7)'!$N$3:$N$698,"&gt;5")</f>
        <v>2</v>
      </c>
      <c r="X29" s="34" t="n">
        <f aca="false">COUNTIFS('Shortlisted Drugs X Company (7)'!$C$3:$C$698,$B29,'Shortlisted Drugs X Company (7)'!$E$3:$E$698,$S29,'Shortlisted Drugs X Company (7)'!$P$3:$P$698,"Exact")+COUNTIFS('Shortlisted Drugs X Company (7)'!$C$3:$C$698,$B29,'Shortlisted Drugs X Company (7)'!$E$3:$E$698,$S29,'Shortlisted Drugs X Company (7)'!$P$3:$P$698,"Same-market proxy")</f>
        <v>1</v>
      </c>
      <c r="Y29" s="33" t="str">
        <f aca="false">A29&amp;"|"&amp;P29</f>
        <v>Alembic|3</v>
      </c>
      <c r="Z29" s="16" t="s">
        <v>253</v>
      </c>
      <c r="AA29" s="33" t="n">
        <f aca="false">INDEX($G$7:$G$25,MATCH(A29,$A$7:$A$25,0))</f>
        <v>12</v>
      </c>
      <c r="AB29" s="33" t="n">
        <f aca="false">IF(AE29="No","",AA29*1000+IF(P29="",900+COUNTIFS($A$29:A29,A29,$O$29:O29,"Price ≤ $5"),P29))</f>
        <v>12003</v>
      </c>
      <c r="AC29" s="33" t="n">
        <f aca="false">IF(O29&lt;&gt;"","",(4-VALUE(RIGHT(Q29,1)))*10^7+N(F29))</f>
        <v>20003625.3</v>
      </c>
      <c r="AD29" s="15" t="str">
        <f aca="false">IFERROR(INDEX('Route of Administration'!$C$5:$C$155,MATCH(B29,'Route of Administration'!$A$5:$A$155,0)),"")</f>
        <v>IM</v>
      </c>
      <c r="AE29" s="14" t="str">
        <f aca="false">IFERROR(INDEX('Route of Administration'!$D$5:$D$155,MATCH(B29,'Route of Administration'!$A$5:$A$155,0)),"")</f>
        <v>Yes</v>
      </c>
      <c r="AF29" s="19" t="n">
        <f aca="false">IF(V29&gt;0,ROUND(AVERAGEIFS('Shortlisted Drugs X Company (7)'!$N$3:$N$698,'Shortlisted Drugs X Company (7)'!$C$3:$C$698,$B29,'Shortlisted Drugs X Company (7)'!$E$3:$E$698,$S29,'Shortlisted Drugs X Company (7)'!$N$3:$N$698,"&gt;=0"),2),"")</f>
        <v>52.42</v>
      </c>
      <c r="AG29" s="16" t="s">
        <v>254</v>
      </c>
      <c r="AH29" s="16" t="s">
        <v>255</v>
      </c>
      <c r="AI29" s="16" t="s">
        <v>255</v>
      </c>
      <c r="AJ29" s="16" t="str">
        <f aca="false">IF(O29&lt;&gt;"","",IF(ISNUMBER(D29),IF(D29&gt;=$C$3,"High price","Lower price"),"Unpriced")&amp;" · "&amp;IF(M29&gt;=$E$3,"high volume","lower volume"))</f>
        <v>High price · lower volume</v>
      </c>
      <c r="AK29" s="15" t="str">
        <f aca="false">IF(O29&lt;&gt;"",IF(O29="Price ≤ $5","Excluded – price ≤ $5","Excluded – IV only"),IF(ISNUMBER(D29),IF(AND(D29&gt;=$C$3,L29&gt;=$H$3),"Priority 1",IF(OR(D29&gt;=$C$3,L29&gt;=$H$3),"Priority 2","Priority 3")),IF(L29&gt;=$H$3,"Priority 2","Priority 3")))</f>
        <v>Priority 2</v>
      </c>
      <c r="AL29" s="16" t="str">
        <f aca="false">IF(O29&lt;&gt;"","",IF(ISNUMBER(D29),IF(D29&gt;=$C$3,"High price","Lower price"),"Unpriced")&amp;" · "&amp;IF(L29&gt;=$H$3,"high volume","lower volume"))</f>
        <v>High price · lower volume</v>
      </c>
      <c r="AM29" s="14" t="n">
        <f aca="false">IF(O29&lt;&gt;"","",COUNTIFS($A$29:$A$361,A29,$O$29:$O$361,"",$AQ$29:$AQ$361,"&gt;"&amp;AQ29)+COUNTIFS($A$29:A29,A29,$O$29:O29,"",$AQ$29:AQ29,AQ29))</f>
        <v>3</v>
      </c>
      <c r="AN29" s="19" t="n">
        <f aca="false">IF(AND(O29="",ISNUMBER(D29)),D29,"")</f>
        <v>52.42</v>
      </c>
      <c r="AO29" s="20" t="n">
        <f aca="false">IF(O29="",M29,"")</f>
        <v>143</v>
      </c>
      <c r="AP29" s="20" t="n">
        <f aca="false">IF(O29="",L29,"")</f>
        <v>156</v>
      </c>
      <c r="AQ29" s="33" t="n">
        <f aca="false">IF(O29&lt;&gt;"","",(4-VALUE(RIGHT(AK29,1)))*10^7+N(N29))</f>
        <v>20003954.83</v>
      </c>
      <c r="AR29" s="33" t="n">
        <f aca="false">INDEX($O$7:$O$25,MATCH(A29,$I$7:$I$25,0))</f>
        <v>16</v>
      </c>
      <c r="AS29" s="33" t="n">
        <f aca="false">IF(AE29="No","",AR29*1000+IF(AM29="",900+COUNTIFS($A$29:A29,A29,$O$29:O29,"Price ≤ $5"),AM29))</f>
        <v>16003</v>
      </c>
    </row>
    <row r="30" customFormat="false" ht="41.75" hidden="false" customHeight="false" outlineLevel="0" collapsed="false">
      <c r="A30" s="15" t="s">
        <v>186</v>
      </c>
      <c r="B30" s="15" t="s">
        <v>256</v>
      </c>
      <c r="C30" s="16" t="s">
        <v>257</v>
      </c>
      <c r="D30" s="17" t="n">
        <f aca="false">IF(W30&gt;0,ROUND(AVERAGEIFS('Shortlisted Drugs X Company (7)'!$N$3:$N$698,'Shortlisted Drugs X Company (7)'!$C$3:$C$698,$B30,'Shortlisted Drugs X Company (7)'!$E$3:$E$698,$S30,'Shortlisted Drugs X Company (7)'!$N$3:$N$698,"&gt;5"),2),"")</f>
        <v>10.14</v>
      </c>
      <c r="E30" s="15" t="str">
        <f aca="false">IF(COUNTIFS('Shortlisted Drugs X Company (7)'!$C$3:$C$698,$B30,'Shortlisted Drugs X Company (7)'!$E$3:$E$698,$S30,'Shortlisted Drugs X Company (7)'!$P$3:$P$698,"Exact")&gt;0,"Exact",IF(COUNTIFS('Shortlisted Drugs X Company (7)'!$C$3:$C$698,$B30,'Shortlisted Drugs X Company (7)'!$E$3:$E$698,$S30,'Shortlisted Drugs X Company (7)'!$P$3:$P$698,"Same-market proxy")&gt;0,"Same-market proxy",IF(COUNTIFS('Shortlisted Drugs X Company (7)'!$C$3:$C$698,$B30,'Shortlisted Drugs X Company (7)'!$E$3:$E$698,$S30,'Shortlisted Drugs X Company (7)'!$P$3:$P$698,"Cross-market proxy")&gt;0,"Cross-market proxy",IF(COUNTIFS('Shortlisted Drugs X Company (7)'!$C$3:$C$698,$B30,'Shortlisted Drugs X Company (7)'!$E$3:$E$698,$S30,'Shortlisted Drugs X Company (7)'!$P$3:$P$698,"Source not found")&gt;0,"Source not found","Not priced"))))</f>
        <v>Same-market proxy</v>
      </c>
      <c r="F30" s="18" t="n">
        <f aca="false">IFERROR(ROUND(INDEX('Injectable Value'!$AA$28:$AA$178,MATCH(B30,'Injectable Value'!$A$28:$A$178,0)),1),"")</f>
        <v>1053.6</v>
      </c>
      <c r="G30" s="16" t="s">
        <v>247</v>
      </c>
      <c r="H30" s="14" t="n">
        <v>1</v>
      </c>
      <c r="I30" s="15" t="s">
        <v>258</v>
      </c>
      <c r="J30" s="15" t="s">
        <v>249</v>
      </c>
      <c r="K30" s="16" t="str">
        <f aca="false">"Prefilled only"&amp;IF(V30=0,"; Unpriced","")&amp;IF(AND(V30&gt;0,W30=0,X30=0),"; Low price from another market – confirm with company","")</f>
        <v>Prefilled only</v>
      </c>
      <c r="L30" s="18" t="n">
        <f aca="false">IFERROR(INDEX('Shortlisted Drugs X Company (7)'!$K$3:$K$698,MATCH(B30,'Shortlisted Drugs X Company (7)'!$C$3:$C$698,0)),"")</f>
        <v>180</v>
      </c>
      <c r="M30" s="18" t="n">
        <f aca="false">IFERROR(ROUND(L30*INDEX('Injectable Value'!$Z$28:$Z$178,MATCH(B30,'Injectable Value'!$A$28:$A$178,0)),0),"")</f>
        <v>35</v>
      </c>
      <c r="N30" s="18" t="n">
        <f aca="false">IFERROR(INDEX('Shortlisted Drugs X Company (7)'!$L$3:$L$698,MATCH(B30,'Shortlisted Drugs X Company (7)'!$C$3:$C$698,0)),"")</f>
        <v>5403.25</v>
      </c>
      <c r="O30" s="15" t="str">
        <f aca="false">IF(AE30="No","IV only (not ID/IM/SC)",IF(AND(V30&gt;0,W30=0),"Price ≤ $5",""))</f>
        <v/>
      </c>
      <c r="P30" s="14" t="n">
        <f aca="false">IF(O30&lt;&gt;"","",COUNTIFS($A$29:$A$361,A30,$O$29:$O$361,"",$AC$29:$AC$361,"&gt;"&amp;AC30)+COUNTIFS($A$29:A30,A30,$O$29:O30,"",$AC$29:AC30,AC30))</f>
        <v>4</v>
      </c>
      <c r="Q30" s="15" t="str">
        <f aca="false">IF(O30&lt;&gt;"",IF(O30="Price ≤ $5","Excluded – price ≤ $5","Excluded – IV only"),IF(ISNUMBER(D30),IF(AND(D30&gt;=$C$3,M30&gt;=$E$3),"Priority 1",IF(OR(D30&gt;=$C$3,M30&gt;=$E$3),"Priority 2","Priority 3")),IF(M30&gt;=$E$3,"Priority 2","Priority 3")))</f>
        <v>Priority 3</v>
      </c>
      <c r="R30" s="16" t="s">
        <v>259</v>
      </c>
      <c r="S30" s="15" t="s">
        <v>251</v>
      </c>
      <c r="T30" s="32" t="s">
        <v>260</v>
      </c>
      <c r="U30" s="33" t="str">
        <f aca="false">B30&amp;"|"&amp;S30</f>
        <v>Diazepam|Alembic Pharmaceuticals</v>
      </c>
      <c r="V30" s="34" t="n">
        <f aca="false">COUNTIFS('Shortlisted Drugs X Company (7)'!$C$3:$C$698,$B30,'Shortlisted Drugs X Company (7)'!$E$3:$E$698,$S30,'Shortlisted Drugs X Company (7)'!$N$3:$N$698,"&gt;=0")</f>
        <v>1</v>
      </c>
      <c r="W30" s="34" t="n">
        <f aca="false">COUNTIFS('Shortlisted Drugs X Company (7)'!$C$3:$C$698,$B30,'Shortlisted Drugs X Company (7)'!$E$3:$E$698,$S30,'Shortlisted Drugs X Company (7)'!$N$3:$N$698,"&gt;5")</f>
        <v>1</v>
      </c>
      <c r="X30" s="34" t="n">
        <f aca="false">COUNTIFS('Shortlisted Drugs X Company (7)'!$C$3:$C$698,$B30,'Shortlisted Drugs X Company (7)'!$E$3:$E$698,$S30,'Shortlisted Drugs X Company (7)'!$P$3:$P$698,"Exact")+COUNTIFS('Shortlisted Drugs X Company (7)'!$C$3:$C$698,$B30,'Shortlisted Drugs X Company (7)'!$E$3:$E$698,$S30,'Shortlisted Drugs X Company (7)'!$P$3:$P$698,"Same-market proxy")</f>
        <v>1</v>
      </c>
      <c r="Y30" s="33" t="str">
        <f aca="false">A30&amp;"|"&amp;P30</f>
        <v>Alembic|4</v>
      </c>
      <c r="Z30" s="16" t="s">
        <v>261</v>
      </c>
      <c r="AA30" s="33" t="n">
        <f aca="false">INDEX($G$7:$G$25,MATCH(A30,$A$7:$A$25,0))</f>
        <v>12</v>
      </c>
      <c r="AB30" s="33" t="n">
        <f aca="false">IF(AE30="No","",AA30*1000+IF(P30="",900+COUNTIFS($A$29:A30,A30,$O$29:O30,"Price ≤ $5"),P30))</f>
        <v>12004</v>
      </c>
      <c r="AC30" s="33" t="n">
        <f aca="false">IF(O30&lt;&gt;"","",(4-VALUE(RIGHT(Q30,1)))*10^7+N(F30))</f>
        <v>10001053.6</v>
      </c>
      <c r="AD30" s="15" t="str">
        <f aca="false">IFERROR(INDEX('Route of Administration'!$C$5:$C$155,MATCH(B30,'Route of Administration'!$A$5:$A$155,0)),"")</f>
        <v>IV, IM</v>
      </c>
      <c r="AE30" s="14" t="str">
        <f aca="false">IFERROR(INDEX('Route of Administration'!$D$5:$D$155,MATCH(B30,'Route of Administration'!$A$5:$A$155,0)),"")</f>
        <v>Yes</v>
      </c>
      <c r="AF30" s="19" t="n">
        <f aca="false">IF(V30&gt;0,ROUND(AVERAGEIFS('Shortlisted Drugs X Company (7)'!$N$3:$N$698,'Shortlisted Drugs X Company (7)'!$C$3:$C$698,$B30,'Shortlisted Drugs X Company (7)'!$E$3:$E$698,$S30,'Shortlisted Drugs X Company (7)'!$N$3:$N$698,"&gt;=0"),2),"")</f>
        <v>10.14</v>
      </c>
      <c r="AG30" s="16" t="s">
        <v>256</v>
      </c>
      <c r="AH30" s="16" t="s">
        <v>247</v>
      </c>
      <c r="AI30" s="16" t="s">
        <v>247</v>
      </c>
      <c r="AJ30" s="16" t="str">
        <f aca="false">IF(O30&lt;&gt;"","",IF(ISNUMBER(D30),IF(D30&gt;=$C$3,"High price","Lower price"),"Unpriced")&amp;" · "&amp;IF(M30&gt;=$E$3,"high volume","lower volume"))</f>
        <v>Lower price · lower volume</v>
      </c>
      <c r="AK30" s="15" t="str">
        <f aca="false">IF(O30&lt;&gt;"",IF(O30="Price ≤ $5","Excluded – price ≤ $5","Excluded – IV only"),IF(ISNUMBER(D30),IF(AND(D30&gt;=$C$3,L30&gt;=$H$3),"Priority 1",IF(OR(D30&gt;=$C$3,L30&gt;=$H$3),"Priority 2","Priority 3")),IF(L30&gt;=$H$3,"Priority 2","Priority 3")))</f>
        <v>Priority 3</v>
      </c>
      <c r="AL30" s="16" t="str">
        <f aca="false">IF(O30&lt;&gt;"","",IF(ISNUMBER(D30),IF(D30&gt;=$C$3,"High price","Lower price"),"Unpriced")&amp;" · "&amp;IF(L30&gt;=$H$3,"high volume","lower volume"))</f>
        <v>Lower price · lower volume</v>
      </c>
      <c r="AM30" s="14" t="n">
        <f aca="false">IF(O30&lt;&gt;"","",COUNTIFS($A$29:$A$361,A30,$O$29:$O$361,"",$AQ$29:$AQ$361,"&gt;"&amp;AQ30)+COUNTIFS($A$29:A30,A30,$O$29:O30,"",$AQ$29:AQ30,AQ30))</f>
        <v>4</v>
      </c>
      <c r="AN30" s="19" t="n">
        <f aca="false">IF(AND(O30="",ISNUMBER(D30)),D30,"")</f>
        <v>10.14</v>
      </c>
      <c r="AO30" s="20" t="n">
        <f aca="false">IF(O30="",M30,"")</f>
        <v>35</v>
      </c>
      <c r="AP30" s="20" t="n">
        <f aca="false">IF(O30="",L30,"")</f>
        <v>180</v>
      </c>
      <c r="AQ30" s="33" t="n">
        <f aca="false">IF(O30&lt;&gt;"","",(4-VALUE(RIGHT(AK30,1)))*10^7+N(N30))</f>
        <v>10005403.25</v>
      </c>
      <c r="AR30" s="33" t="n">
        <f aca="false">INDEX($O$7:$O$25,MATCH(A30,$I$7:$I$25,0))</f>
        <v>16</v>
      </c>
      <c r="AS30" s="33" t="n">
        <f aca="false">IF(AE30="No","",AR30*1000+IF(AM30="",900+COUNTIFS($A$29:A30,A30,$O$29:O30,"Price ≤ $5"),AM30))</f>
        <v>16004</v>
      </c>
    </row>
    <row r="31" customFormat="false" ht="28.35" hidden="false" customHeight="false" outlineLevel="0" collapsed="false">
      <c r="A31" s="15" t="s">
        <v>186</v>
      </c>
      <c r="B31" s="15" t="s">
        <v>262</v>
      </c>
      <c r="C31" s="16" t="s">
        <v>263</v>
      </c>
      <c r="D31" s="17" t="n">
        <f aca="false">IF(W31&gt;0,ROUND(AVERAGEIFS('Shortlisted Drugs X Company (7)'!$N$3:$N$698,'Shortlisted Drugs X Company (7)'!$C$3:$C$698,$B31,'Shortlisted Drugs X Company (7)'!$E$3:$E$698,$S31,'Shortlisted Drugs X Company (7)'!$N$3:$N$698,"&gt;5"),2),"")</f>
        <v>29.97</v>
      </c>
      <c r="E31" s="15" t="str">
        <f aca="false">IF(COUNTIFS('Shortlisted Drugs X Company (7)'!$C$3:$C$698,$B31,'Shortlisted Drugs X Company (7)'!$E$3:$E$698,$S31,'Shortlisted Drugs X Company (7)'!$P$3:$P$698,"Exact")&gt;0,"Exact",IF(COUNTIFS('Shortlisted Drugs X Company (7)'!$C$3:$C$698,$B31,'Shortlisted Drugs X Company (7)'!$E$3:$E$698,$S31,'Shortlisted Drugs X Company (7)'!$P$3:$P$698,"Same-market proxy")&gt;0,"Same-market proxy",IF(COUNTIFS('Shortlisted Drugs X Company (7)'!$C$3:$C$698,$B31,'Shortlisted Drugs X Company (7)'!$E$3:$E$698,$S31,'Shortlisted Drugs X Company (7)'!$P$3:$P$698,"Cross-market proxy")&gt;0,"Cross-market proxy",IF(COUNTIFS('Shortlisted Drugs X Company (7)'!$C$3:$C$698,$B31,'Shortlisted Drugs X Company (7)'!$E$3:$E$698,$S31,'Shortlisted Drugs X Company (7)'!$P$3:$P$698,"Source not found")&gt;0,"Source not found","Not priced"))))</f>
        <v>Same-market proxy</v>
      </c>
      <c r="F31" s="18" t="n">
        <f aca="false">IFERROR(ROUND(INDEX('Injectable Value'!$AA$28:$AA$178,MATCH(B31,'Injectable Value'!$A$28:$A$178,0)),1),"")</f>
        <v>11366.1</v>
      </c>
      <c r="G31" s="16" t="s">
        <v>247</v>
      </c>
      <c r="H31" s="14" t="n">
        <v>1</v>
      </c>
      <c r="I31" s="15" t="s">
        <v>258</v>
      </c>
      <c r="J31" s="15" t="s">
        <v>249</v>
      </c>
      <c r="K31" s="16" t="str">
        <f aca="false">"Prefilled only"&amp;IF(V31=0,"; Unpriced","")&amp;IF(AND(V31&gt;0,W31=0,X31=0),"; Low price from another market – confirm with company","")</f>
        <v>Prefilled only</v>
      </c>
      <c r="L31" s="18" t="n">
        <f aca="false">IFERROR(INDEX('Shortlisted Drugs X Company (7)'!$K$3:$K$698,MATCH(B31,'Shortlisted Drugs X Company (7)'!$C$3:$C$698,0)),"")</f>
        <v>146</v>
      </c>
      <c r="M31" s="18" t="n">
        <f aca="false">IFERROR(ROUND(L31*INDEX('Injectable Value'!$Z$28:$Z$178,MATCH(B31,'Injectable Value'!$A$28:$A$178,0)),0),"")</f>
        <v>146</v>
      </c>
      <c r="N31" s="18" t="n">
        <f aca="false">IFERROR(INDEX('Shortlisted Drugs X Company (7)'!$L$3:$L$698,MATCH(B31,'Shortlisted Drugs X Company (7)'!$C$3:$C$698,0)),"")</f>
        <v>11366.06</v>
      </c>
      <c r="O31" s="15" t="str">
        <f aca="false">IF(AE31="No","IV only (not ID/IM/SC)",IF(AND(V31&gt;0,W31=0),"Price ≤ $5",""))</f>
        <v/>
      </c>
      <c r="P31" s="14" t="n">
        <f aca="false">IF(O31&lt;&gt;"","",COUNTIFS($A$29:$A$361,A31,$O$29:$O$361,"",$AC$29:$AC$361,"&gt;"&amp;AC31)+COUNTIFS($A$29:A31,A31,$O$29:O31,"",$AC$29:AC31,AC31))</f>
        <v>1</v>
      </c>
      <c r="Q31" s="15" t="str">
        <f aca="false">IF(O31&lt;&gt;"",IF(O31="Price ≤ $5","Excluded – price ≤ $5","Excluded – IV only"),IF(ISNUMBER(D31),IF(AND(D31&gt;=$C$3,M31&gt;=$E$3),"Priority 1",IF(OR(D31&gt;=$C$3,M31&gt;=$E$3),"Priority 2","Priority 3")),IF(M31&gt;=$E$3,"Priority 2","Priority 3")))</f>
        <v>Priority 1</v>
      </c>
      <c r="R31" s="16" t="s">
        <v>259</v>
      </c>
      <c r="S31" s="15" t="s">
        <v>251</v>
      </c>
      <c r="T31" s="32" t="s">
        <v>264</v>
      </c>
      <c r="U31" s="33" t="str">
        <f aca="false">B31&amp;"|"&amp;S31</f>
        <v>Fulvestrant|Alembic Pharmaceuticals</v>
      </c>
      <c r="V31" s="34" t="n">
        <f aca="false">COUNTIFS('Shortlisted Drugs X Company (7)'!$C$3:$C$698,$B31,'Shortlisted Drugs X Company (7)'!$E$3:$E$698,$S31,'Shortlisted Drugs X Company (7)'!$N$3:$N$698,"&gt;=0")</f>
        <v>1</v>
      </c>
      <c r="W31" s="34" t="n">
        <f aca="false">COUNTIFS('Shortlisted Drugs X Company (7)'!$C$3:$C$698,$B31,'Shortlisted Drugs X Company (7)'!$E$3:$E$698,$S31,'Shortlisted Drugs X Company (7)'!$N$3:$N$698,"&gt;5")</f>
        <v>1</v>
      </c>
      <c r="X31" s="34" t="n">
        <f aca="false">COUNTIFS('Shortlisted Drugs X Company (7)'!$C$3:$C$698,$B31,'Shortlisted Drugs X Company (7)'!$E$3:$E$698,$S31,'Shortlisted Drugs X Company (7)'!$P$3:$P$698,"Exact")+COUNTIFS('Shortlisted Drugs X Company (7)'!$C$3:$C$698,$B31,'Shortlisted Drugs X Company (7)'!$E$3:$E$698,$S31,'Shortlisted Drugs X Company (7)'!$P$3:$P$698,"Same-market proxy")</f>
        <v>1</v>
      </c>
      <c r="Y31" s="33" t="str">
        <f aca="false">A31&amp;"|"&amp;P31</f>
        <v>Alembic|1</v>
      </c>
      <c r="Z31" s="16" t="s">
        <v>265</v>
      </c>
      <c r="AA31" s="33" t="n">
        <f aca="false">INDEX($G$7:$G$25,MATCH(A31,$A$7:$A$25,0))</f>
        <v>12</v>
      </c>
      <c r="AB31" s="33" t="n">
        <f aca="false">IF(AE31="No","",AA31*1000+IF(P31="",900+COUNTIFS($A$29:A31,A31,$O$29:O31,"Price ≤ $5"),P31))</f>
        <v>12001</v>
      </c>
      <c r="AC31" s="33" t="n">
        <f aca="false">IF(O31&lt;&gt;"","",(4-VALUE(RIGHT(Q31,1)))*10^7+N(F31))</f>
        <v>30011366.1</v>
      </c>
      <c r="AD31" s="15" t="str">
        <f aca="false">IFERROR(INDEX('Route of Administration'!$C$5:$C$155,MATCH(B31,'Route of Administration'!$A$5:$A$155,0)),"")</f>
        <v>IM</v>
      </c>
      <c r="AE31" s="14" t="str">
        <f aca="false">IFERROR(INDEX('Route of Administration'!$D$5:$D$155,MATCH(B31,'Route of Administration'!$A$5:$A$155,0)),"")</f>
        <v>Yes</v>
      </c>
      <c r="AF31" s="19" t="n">
        <f aca="false">IF(V31&gt;0,ROUND(AVERAGEIFS('Shortlisted Drugs X Company (7)'!$N$3:$N$698,'Shortlisted Drugs X Company (7)'!$C$3:$C$698,$B31,'Shortlisted Drugs X Company (7)'!$E$3:$E$698,$S31,'Shortlisted Drugs X Company (7)'!$N$3:$N$698,"&gt;=0"),2),"")</f>
        <v>29.97</v>
      </c>
      <c r="AG31" s="16" t="s">
        <v>262</v>
      </c>
      <c r="AH31" s="16" t="s">
        <v>247</v>
      </c>
      <c r="AI31" s="16" t="s">
        <v>247</v>
      </c>
      <c r="AJ31" s="16" t="str">
        <f aca="false">IF(O31&lt;&gt;"","",IF(ISNUMBER(D31),IF(D31&gt;=$C$3,"High price","Lower price"),"Unpriced")&amp;" · "&amp;IF(M31&gt;=$E$3,"high volume","lower volume"))</f>
        <v>High price · high volume</v>
      </c>
      <c r="AK31" s="15" t="str">
        <f aca="false">IF(O31&lt;&gt;"",IF(O31="Price ≤ $5","Excluded – price ≤ $5","Excluded – IV only"),IF(ISNUMBER(D31),IF(AND(D31&gt;=$C$3,L31&gt;=$H$3),"Priority 1",IF(OR(D31&gt;=$C$3,L31&gt;=$H$3),"Priority 2","Priority 3")),IF(L31&gt;=$H$3,"Priority 2","Priority 3")))</f>
        <v>Priority 2</v>
      </c>
      <c r="AL31" s="16" t="str">
        <f aca="false">IF(O31&lt;&gt;"","",IF(ISNUMBER(D31),IF(D31&gt;=$C$3,"High price","Lower price"),"Unpriced")&amp;" · "&amp;IF(L31&gt;=$H$3,"high volume","lower volume"))</f>
        <v>High price · lower volume</v>
      </c>
      <c r="AM31" s="14" t="n">
        <f aca="false">IF(O31&lt;&gt;"","",COUNTIFS($A$29:$A$361,A31,$O$29:$O$361,"",$AQ$29:$AQ$361,"&gt;"&amp;AQ31)+COUNTIFS($A$29:A31,A31,$O$29:O31,"",$AQ$29:AQ31,AQ31))</f>
        <v>2</v>
      </c>
      <c r="AN31" s="19" t="n">
        <f aca="false">IF(AND(O31="",ISNUMBER(D31)),D31,"")</f>
        <v>29.97</v>
      </c>
      <c r="AO31" s="20" t="n">
        <f aca="false">IF(O31="",M31,"")</f>
        <v>146</v>
      </c>
      <c r="AP31" s="20" t="n">
        <f aca="false">IF(O31="",L31,"")</f>
        <v>146</v>
      </c>
      <c r="AQ31" s="33" t="n">
        <f aca="false">IF(O31&lt;&gt;"","",(4-VALUE(RIGHT(AK31,1)))*10^7+N(N31))</f>
        <v>20011366.06</v>
      </c>
      <c r="AR31" s="33" t="n">
        <f aca="false">INDEX($O$7:$O$25,MATCH(A31,$I$7:$I$25,0))</f>
        <v>16</v>
      </c>
      <c r="AS31" s="33" t="n">
        <f aca="false">IF(AE31="No","",AR31*1000+IF(AM31="",900+COUNTIFS($A$29:A31,A31,$O$29:O31,"Price ≤ $5"),AM31))</f>
        <v>16002</v>
      </c>
    </row>
    <row r="32" customFormat="false" ht="55.2" hidden="false" customHeight="false" outlineLevel="0" collapsed="false">
      <c r="A32" s="15" t="s">
        <v>186</v>
      </c>
      <c r="B32" s="15" t="s">
        <v>266</v>
      </c>
      <c r="C32" s="16" t="s">
        <v>267</v>
      </c>
      <c r="D32" s="17" t="n">
        <f aca="false">IF(W32&gt;0,ROUND(AVERAGEIFS('Shortlisted Drugs X Company (7)'!$N$3:$N$698,'Shortlisted Drugs X Company (7)'!$C$3:$C$698,$B32,'Shortlisted Drugs X Company (7)'!$E$3:$E$698,$S32,'Shortlisted Drugs X Company (7)'!$N$3:$N$698,"&gt;5"),2),"")</f>
        <v>10.36</v>
      </c>
      <c r="E32" s="15" t="str">
        <f aca="false">IF(COUNTIFS('Shortlisted Drugs X Company (7)'!$C$3:$C$698,$B32,'Shortlisted Drugs X Company (7)'!$E$3:$E$698,$S32,'Shortlisted Drugs X Company (7)'!$P$3:$P$698,"Exact")&gt;0,"Exact",IF(COUNTIFS('Shortlisted Drugs X Company (7)'!$C$3:$C$698,$B32,'Shortlisted Drugs X Company (7)'!$E$3:$E$698,$S32,'Shortlisted Drugs X Company (7)'!$P$3:$P$698,"Same-market proxy")&gt;0,"Same-market proxy",IF(COUNTIFS('Shortlisted Drugs X Company (7)'!$C$3:$C$698,$B32,'Shortlisted Drugs X Company (7)'!$E$3:$E$698,$S32,'Shortlisted Drugs X Company (7)'!$P$3:$P$698,"Cross-market proxy")&gt;0,"Cross-market proxy",IF(COUNTIFS('Shortlisted Drugs X Company (7)'!$C$3:$C$698,$B32,'Shortlisted Drugs X Company (7)'!$E$3:$E$698,$S32,'Shortlisted Drugs X Company (7)'!$P$3:$P$698,"Source not found")&gt;0,"Source not found","Not priced"))))</f>
        <v>Same-market proxy</v>
      </c>
      <c r="F32" s="18" t="n">
        <f aca="false">IFERROR(ROUND(INDEX('Injectable Value'!$AA$28:$AA$178,MATCH(B32,'Injectable Value'!$A$28:$A$178,0)),1),"")</f>
        <v>13045.6</v>
      </c>
      <c r="G32" s="16" t="s">
        <v>247</v>
      </c>
      <c r="H32" s="14" t="n">
        <v>1</v>
      </c>
      <c r="I32" s="15" t="s">
        <v>248</v>
      </c>
      <c r="J32" s="15" t="s">
        <v>249</v>
      </c>
      <c r="K32" s="16" t="str">
        <f aca="false">"Cancer drug (cytotoxic) – less relevant"&amp;IF(V32=0,"; Unpriced","")&amp;IF(AND(V32&gt;0,W32=0,X32=0),"; Low price from another market – confirm with company","")</f>
        <v>Cancer drug (cytotoxic) – less relevant</v>
      </c>
      <c r="L32" s="18" t="n">
        <f aca="false">IFERROR(INDEX('Shortlisted Drugs X Company (7)'!$K$3:$K$698,MATCH(B32,'Shortlisted Drugs X Company (7)'!$C$3:$C$698,0)),"")</f>
        <v>1282</v>
      </c>
      <c r="M32" s="18" t="n">
        <f aca="false">IFERROR(ROUND(L32*INDEX('Injectable Value'!$Z$28:$Z$178,MATCH(B32,'Injectable Value'!$A$28:$A$178,0)),0),"")</f>
        <v>996</v>
      </c>
      <c r="N32" s="18" t="n">
        <f aca="false">IFERROR(INDEX('Shortlisted Drugs X Company (7)'!$L$3:$L$698,MATCH(B32,'Shortlisted Drugs X Company (7)'!$C$3:$C$698,0)),"")</f>
        <v>16792.84</v>
      </c>
      <c r="O32" s="15" t="str">
        <f aca="false">IF(AE32="No","IV only (not ID/IM/SC)",IF(AND(V32&gt;0,W32=0),"Price ≤ $5",""))</f>
        <v/>
      </c>
      <c r="P32" s="14" t="n">
        <f aca="false">IF(O32&lt;&gt;"","",COUNTIFS($A$29:$A$361,A32,$O$29:$O$361,"",$AC$29:$AC$361,"&gt;"&amp;AC32)+COUNTIFS($A$29:A32,A32,$O$29:O32,"",$AC$29:AC32,AC32))</f>
        <v>2</v>
      </c>
      <c r="Q32" s="15" t="str">
        <f aca="false">IF(O32&lt;&gt;"",IF(O32="Price ≤ $5","Excluded – price ≤ $5","Excluded – IV only"),IF(ISNUMBER(D32),IF(AND(D32&gt;=$C$3,M32&gt;=$E$3),"Priority 1",IF(OR(D32&gt;=$C$3,M32&gt;=$E$3),"Priority 2","Priority 3")),IF(M32&gt;=$E$3,"Priority 2","Priority 3")))</f>
        <v>Priority 2</v>
      </c>
      <c r="R32" s="16" t="s">
        <v>250</v>
      </c>
      <c r="S32" s="15" t="s">
        <v>251</v>
      </c>
      <c r="T32" s="32" t="s">
        <v>268</v>
      </c>
      <c r="U32" s="33" t="str">
        <f aca="false">B32&amp;"|"&amp;S32</f>
        <v>Methotrexate|Alembic Pharmaceuticals</v>
      </c>
      <c r="V32" s="34" t="n">
        <f aca="false">COUNTIFS('Shortlisted Drugs X Company (7)'!$C$3:$C$698,$B32,'Shortlisted Drugs X Company (7)'!$E$3:$E$698,$S32,'Shortlisted Drugs X Company (7)'!$N$3:$N$698,"&gt;=0")</f>
        <v>2</v>
      </c>
      <c r="W32" s="34" t="n">
        <f aca="false">COUNTIFS('Shortlisted Drugs X Company (7)'!$C$3:$C$698,$B32,'Shortlisted Drugs X Company (7)'!$E$3:$E$698,$S32,'Shortlisted Drugs X Company (7)'!$N$3:$N$698,"&gt;5")</f>
        <v>2</v>
      </c>
      <c r="X32" s="34" t="n">
        <f aca="false">COUNTIFS('Shortlisted Drugs X Company (7)'!$C$3:$C$698,$B32,'Shortlisted Drugs X Company (7)'!$E$3:$E$698,$S32,'Shortlisted Drugs X Company (7)'!$P$3:$P$698,"Exact")+COUNTIFS('Shortlisted Drugs X Company (7)'!$C$3:$C$698,$B32,'Shortlisted Drugs X Company (7)'!$E$3:$E$698,$S32,'Shortlisted Drugs X Company (7)'!$P$3:$P$698,"Same-market proxy")</f>
        <v>2</v>
      </c>
      <c r="Y32" s="33" t="str">
        <f aca="false">A32&amp;"|"&amp;P32</f>
        <v>Alembic|2</v>
      </c>
      <c r="Z32" s="16" t="s">
        <v>269</v>
      </c>
      <c r="AA32" s="33" t="n">
        <f aca="false">INDEX($G$7:$G$25,MATCH(A32,$A$7:$A$25,0))</f>
        <v>12</v>
      </c>
      <c r="AB32" s="33" t="n">
        <f aca="false">IF(AE32="No","",AA32*1000+IF(P32="",900+COUNTIFS($A$29:A32,A32,$O$29:O32,"Price ≤ $5"),P32))</f>
        <v>12002</v>
      </c>
      <c r="AC32" s="33" t="n">
        <f aca="false">IF(O32&lt;&gt;"","",(4-VALUE(RIGHT(Q32,1)))*10^7+N(F32))</f>
        <v>20013045.6</v>
      </c>
      <c r="AD32" s="15" t="str">
        <f aca="false">IFERROR(INDEX('Route of Administration'!$C$5:$C$155,MATCH(B32,'Route of Administration'!$A$5:$A$155,0)),"")</f>
        <v>IV, IM, SC</v>
      </c>
      <c r="AE32" s="14" t="str">
        <f aca="false">IFERROR(INDEX('Route of Administration'!$D$5:$D$155,MATCH(B32,'Route of Administration'!$A$5:$A$155,0)),"")</f>
        <v>Yes</v>
      </c>
      <c r="AF32" s="19" t="n">
        <f aca="false">IF(V32&gt;0,ROUND(AVERAGEIFS('Shortlisted Drugs X Company (7)'!$N$3:$N$698,'Shortlisted Drugs X Company (7)'!$C$3:$C$698,$B32,'Shortlisted Drugs X Company (7)'!$E$3:$E$698,$S32,'Shortlisted Drugs X Company (7)'!$N$3:$N$698,"&gt;=0"),2),"")</f>
        <v>10.36</v>
      </c>
      <c r="AG32" s="16" t="s">
        <v>270</v>
      </c>
      <c r="AH32" s="16" t="s">
        <v>247</v>
      </c>
      <c r="AI32" s="16" t="s">
        <v>247</v>
      </c>
      <c r="AJ32" s="16" t="str">
        <f aca="false">IF(O32&lt;&gt;"","",IF(ISNUMBER(D32),IF(D32&gt;=$C$3,"High price","Lower price"),"Unpriced")&amp;" · "&amp;IF(M32&gt;=$E$3,"high volume","lower volume"))</f>
        <v>Lower price · high volume</v>
      </c>
      <c r="AK32" s="15" t="str">
        <f aca="false">IF(O32&lt;&gt;"",IF(O32="Price ≤ $5","Excluded – price ≤ $5","Excluded – IV only"),IF(ISNUMBER(D32),IF(AND(D32&gt;=$C$3,L32&gt;=$H$3),"Priority 1",IF(OR(D32&gt;=$C$3,L32&gt;=$H$3),"Priority 2","Priority 3")),IF(L32&gt;=$H$3,"Priority 2","Priority 3")))</f>
        <v>Priority 2</v>
      </c>
      <c r="AL32" s="16" t="str">
        <f aca="false">IF(O32&lt;&gt;"","",IF(ISNUMBER(D32),IF(D32&gt;=$C$3,"High price","Lower price"),"Unpriced")&amp;" · "&amp;IF(L32&gt;=$H$3,"high volume","lower volume"))</f>
        <v>Lower price · high volume</v>
      </c>
      <c r="AM32" s="14" t="n">
        <f aca="false">IF(O32&lt;&gt;"","",COUNTIFS($A$29:$A$361,A32,$O$29:$O$361,"",$AQ$29:$AQ$361,"&gt;"&amp;AQ32)+COUNTIFS($A$29:A32,A32,$O$29:O32,"",$AQ$29:AQ32,AQ32))</f>
        <v>1</v>
      </c>
      <c r="AN32" s="19" t="n">
        <f aca="false">IF(AND(O32="",ISNUMBER(D32)),D32,"")</f>
        <v>10.36</v>
      </c>
      <c r="AO32" s="20" t="n">
        <f aca="false">IF(O32="",M32,"")</f>
        <v>996</v>
      </c>
      <c r="AP32" s="20" t="n">
        <f aca="false">IF(O32="",L32,"")</f>
        <v>1282</v>
      </c>
      <c r="AQ32" s="33" t="n">
        <f aca="false">IF(O32&lt;&gt;"","",(4-VALUE(RIGHT(AK32,1)))*10^7+N(N32))</f>
        <v>20016792.84</v>
      </c>
      <c r="AR32" s="33" t="n">
        <f aca="false">INDEX($O$7:$O$25,MATCH(A32,$I$7:$I$25,0))</f>
        <v>16</v>
      </c>
      <c r="AS32" s="33" t="n">
        <f aca="false">IF(AE32="No","",AR32*1000+IF(AM32="",900+COUNTIFS($A$29:A32,A32,$O$29:O32,"Price ≤ $5"),AM32))</f>
        <v>16001</v>
      </c>
    </row>
    <row r="33" customFormat="false" ht="41.75" hidden="false" customHeight="false" outlineLevel="0" collapsed="false">
      <c r="A33" s="15" t="s">
        <v>186</v>
      </c>
      <c r="B33" s="15" t="s">
        <v>271</v>
      </c>
      <c r="C33" s="16" t="s">
        <v>272</v>
      </c>
      <c r="D33" s="17" t="str">
        <f aca="false">IF(W33&gt;0,ROUND(AVERAGEIFS('Shortlisted Drugs X Company (7)'!$N$3:$N$698,'Shortlisted Drugs X Company (7)'!$C$3:$C$698,$B33,'Shortlisted Drugs X Company (7)'!$E$3:$E$698,$S33,'Shortlisted Drugs X Company (7)'!$N$3:$N$698,"&gt;5"),2),"")</f>
        <v/>
      </c>
      <c r="E33" s="15" t="str">
        <f aca="false">IF(COUNTIFS('Shortlisted Drugs X Company (7)'!$C$3:$C$698,$B33,'Shortlisted Drugs X Company (7)'!$E$3:$E$698,$S33,'Shortlisted Drugs X Company (7)'!$P$3:$P$698,"Exact")&gt;0,"Exact",IF(COUNTIFS('Shortlisted Drugs X Company (7)'!$C$3:$C$698,$B33,'Shortlisted Drugs X Company (7)'!$E$3:$E$698,$S33,'Shortlisted Drugs X Company (7)'!$P$3:$P$698,"Same-market proxy")&gt;0,"Same-market proxy",IF(COUNTIFS('Shortlisted Drugs X Company (7)'!$C$3:$C$698,$B33,'Shortlisted Drugs X Company (7)'!$E$3:$E$698,$S33,'Shortlisted Drugs X Company (7)'!$P$3:$P$698,"Cross-market proxy")&gt;0,"Cross-market proxy",IF(COUNTIFS('Shortlisted Drugs X Company (7)'!$C$3:$C$698,$B33,'Shortlisted Drugs X Company (7)'!$E$3:$E$698,$S33,'Shortlisted Drugs X Company (7)'!$P$3:$P$698,"Source not found")&gt;0,"Source not found","Not priced"))))</f>
        <v>Same-market proxy</v>
      </c>
      <c r="F33" s="18" t="n">
        <f aca="false">IFERROR(ROUND(INDEX('Injectable Value'!$AA$28:$AA$178,MATCH(B33,'Injectable Value'!$A$28:$A$178,0)),1),"")</f>
        <v>2702.3</v>
      </c>
      <c r="G33" s="16" t="s">
        <v>247</v>
      </c>
      <c r="H33" s="14" t="n">
        <v>1</v>
      </c>
      <c r="I33" s="15" t="s">
        <v>258</v>
      </c>
      <c r="J33" s="15" t="s">
        <v>249</v>
      </c>
      <c r="K33" s="16" t="str">
        <f aca="false">"Prefilled only"&amp;IF(V33=0,"; Unpriced","")&amp;IF(AND(V33&gt;0,W33=0,X33=0),"; Low price from another market – confirm with company","")</f>
        <v>Prefilled only</v>
      </c>
      <c r="L33" s="18" t="n">
        <f aca="false">IFERROR(INDEX('Shortlisted Drugs X Company (7)'!$K$3:$K$698,MATCH(B33,'Shortlisted Drugs X Company (7)'!$C$3:$C$698,0)),"")</f>
        <v>51</v>
      </c>
      <c r="M33" s="18" t="n">
        <f aca="false">IFERROR(ROUND(L33*INDEX('Injectable Value'!$Z$28:$Z$178,MATCH(B33,'Injectable Value'!$A$28:$A$178,0)),0),"")</f>
        <v>24</v>
      </c>
      <c r="N33" s="18" t="n">
        <f aca="false">IFERROR(INDEX('Shortlisted Drugs X Company (7)'!$L$3:$L$698,MATCH(B33,'Shortlisted Drugs X Company (7)'!$C$3:$C$698,0)),"")</f>
        <v>5770.02</v>
      </c>
      <c r="O33" s="15" t="str">
        <f aca="false">IF(AE33="No","IV only (not ID/IM/SC)",IF(AND(V33&gt;0,W33=0),"Price ≤ $5",""))</f>
        <v>Price ≤ $5</v>
      </c>
      <c r="P33" s="14" t="str">
        <f aca="false">IF(O33&lt;&gt;"","",COUNTIFS($A$29:$A$361,A33,$O$29:$O$361,"",$AC$29:$AC$361,"&gt;"&amp;AC33)+COUNTIFS($A$29:A33,A33,$O$29:O33,"",$AC$29:AC33,AC33))</f>
        <v/>
      </c>
      <c r="Q33" s="15" t="str">
        <f aca="false">IF(O33&lt;&gt;"",IF(O33="Price ≤ $5","Excluded – price ≤ $5","Excluded – IV only"),IF(ISNUMBER(D33),IF(AND(D33&gt;=$C$3,M33&gt;=$E$3),"Priority 1",IF(OR(D33&gt;=$C$3,M33&gt;=$E$3),"Priority 2","Priority 3")),IF(M33&gt;=$E$3,"Priority 2","Priority 3")))</f>
        <v>Excluded – price ≤ $5</v>
      </c>
      <c r="R33" s="16" t="s">
        <v>259</v>
      </c>
      <c r="S33" s="15" t="s">
        <v>251</v>
      </c>
      <c r="T33" s="32" t="s">
        <v>273</v>
      </c>
      <c r="U33" s="33" t="str">
        <f aca="false">B33&amp;"|"&amp;S33</f>
        <v>Phytonadione|Alembic Pharmaceuticals</v>
      </c>
      <c r="V33" s="34" t="n">
        <f aca="false">COUNTIFS('Shortlisted Drugs X Company (7)'!$C$3:$C$698,$B33,'Shortlisted Drugs X Company (7)'!$E$3:$E$698,$S33,'Shortlisted Drugs X Company (7)'!$N$3:$N$698,"&gt;=0")</f>
        <v>1</v>
      </c>
      <c r="W33" s="34" t="n">
        <f aca="false">COUNTIFS('Shortlisted Drugs X Company (7)'!$C$3:$C$698,$B33,'Shortlisted Drugs X Company (7)'!$E$3:$E$698,$S33,'Shortlisted Drugs X Company (7)'!$N$3:$N$698,"&gt;5")</f>
        <v>0</v>
      </c>
      <c r="X33" s="34" t="n">
        <f aca="false">COUNTIFS('Shortlisted Drugs X Company (7)'!$C$3:$C$698,$B33,'Shortlisted Drugs X Company (7)'!$E$3:$E$698,$S33,'Shortlisted Drugs X Company (7)'!$P$3:$P$698,"Exact")+COUNTIFS('Shortlisted Drugs X Company (7)'!$C$3:$C$698,$B33,'Shortlisted Drugs X Company (7)'!$E$3:$E$698,$S33,'Shortlisted Drugs X Company (7)'!$P$3:$P$698,"Same-market proxy")</f>
        <v>1</v>
      </c>
      <c r="Y33" s="33" t="str">
        <f aca="false">A33&amp;"|"&amp;P33</f>
        <v>Alembic|</v>
      </c>
      <c r="Z33" s="16" t="s">
        <v>274</v>
      </c>
      <c r="AA33" s="33" t="n">
        <f aca="false">INDEX($G$7:$G$25,MATCH(A33,$A$7:$A$25,0))</f>
        <v>12</v>
      </c>
      <c r="AB33" s="33" t="n">
        <f aca="false">IF(AE33="No","",AA33*1000+IF(P33="",900+COUNTIFS($A$29:A33,A33,$O$29:O33,"Price ≤ $5"),P33))</f>
        <v>12901</v>
      </c>
      <c r="AC33" s="33" t="str">
        <f aca="false">IF(O33&lt;&gt;"","",(4-VALUE(RIGHT(Q33,1)))*10^7+N(F33))</f>
        <v/>
      </c>
      <c r="AD33" s="15" t="str">
        <f aca="false">IFERROR(INDEX('Route of Administration'!$C$5:$C$155,MATCH(B33,'Route of Administration'!$A$5:$A$155,0)),"")</f>
        <v>IV, IM, SC</v>
      </c>
      <c r="AE33" s="14" t="str">
        <f aca="false">IFERROR(INDEX('Route of Administration'!$D$5:$D$155,MATCH(B33,'Route of Administration'!$A$5:$A$155,0)),"")</f>
        <v>Yes</v>
      </c>
      <c r="AF33" s="19" t="n">
        <f aca="false">IF(V33&gt;0,ROUND(AVERAGEIFS('Shortlisted Drugs X Company (7)'!$N$3:$N$698,'Shortlisted Drugs X Company (7)'!$C$3:$C$698,$B33,'Shortlisted Drugs X Company (7)'!$E$3:$E$698,$S33,'Shortlisted Drugs X Company (7)'!$N$3:$N$698,"&gt;=0"),2),"")</f>
        <v>3.99</v>
      </c>
      <c r="AG33" s="16" t="s">
        <v>271</v>
      </c>
      <c r="AH33" s="16" t="s">
        <v>247</v>
      </c>
      <c r="AI33" s="16" t="s">
        <v>247</v>
      </c>
      <c r="AJ33" s="16" t="str">
        <f aca="false">IF(O33&lt;&gt;"","",IF(ISNUMBER(D33),IF(D33&gt;=$C$3,"High price","Lower price"),"Unpriced")&amp;" · "&amp;IF(M33&gt;=$E$3,"high volume","lower volume"))</f>
        <v/>
      </c>
      <c r="AK33" s="15" t="str">
        <f aca="false">IF(O33&lt;&gt;"",IF(O33="Price ≤ $5","Excluded – price ≤ $5","Excluded – IV only"),IF(ISNUMBER(D33),IF(AND(D33&gt;=$C$3,L33&gt;=$H$3),"Priority 1",IF(OR(D33&gt;=$C$3,L33&gt;=$H$3),"Priority 2","Priority 3")),IF(L33&gt;=$H$3,"Priority 2","Priority 3")))</f>
        <v>Excluded – price ≤ $5</v>
      </c>
      <c r="AL33" s="16" t="str">
        <f aca="false">IF(O33&lt;&gt;"","",IF(ISNUMBER(D33),IF(D33&gt;=$C$3,"High price","Lower price"),"Unpriced")&amp;" · "&amp;IF(L33&gt;=$H$3,"high volume","lower volume"))</f>
        <v/>
      </c>
      <c r="AM33" s="14" t="str">
        <f aca="false">IF(O33&lt;&gt;"","",COUNTIFS($A$29:$A$361,A33,$O$29:$O$361,"",$AQ$29:$AQ$361,"&gt;"&amp;AQ33)+COUNTIFS($A$29:A33,A33,$O$29:O33,"",$AQ$29:AQ33,AQ33))</f>
        <v/>
      </c>
      <c r="AN33" s="33" t="str">
        <f aca="false">IF(AND(O33="",ISNUMBER(D33)),D33,"")</f>
        <v/>
      </c>
      <c r="AO33" s="33" t="str">
        <f aca="false">IF(O33="",M33,"")</f>
        <v/>
      </c>
      <c r="AP33" s="33" t="str">
        <f aca="false">IF(O33="",L33,"")</f>
        <v/>
      </c>
      <c r="AQ33" s="33" t="str">
        <f aca="false">IF(O33&lt;&gt;"","",(4-VALUE(RIGHT(AK33,1)))*10^7+N(N33))</f>
        <v/>
      </c>
      <c r="AR33" s="33" t="n">
        <f aca="false">INDEX($O$7:$O$25,MATCH(A33,$I$7:$I$25,0))</f>
        <v>16</v>
      </c>
      <c r="AS33" s="33" t="n">
        <f aca="false">IF(AE33="No","",AR33*1000+IF(AM33="",900+COUNTIFS($A$29:A33,A33,$O$29:O33,"Price ≤ $5"),AM33))</f>
        <v>16901</v>
      </c>
    </row>
    <row r="34" customFormat="false" ht="41.75" hidden="false" customHeight="false" outlineLevel="0" collapsed="false">
      <c r="A34" s="15" t="s">
        <v>186</v>
      </c>
      <c r="B34" s="15" t="s">
        <v>275</v>
      </c>
      <c r="C34" s="16" t="s">
        <v>276</v>
      </c>
      <c r="D34" s="17" t="str">
        <f aca="false">IF(W34&gt;0,ROUND(AVERAGEIFS('Shortlisted Drugs X Company (7)'!$N$3:$N$698,'Shortlisted Drugs X Company (7)'!$C$3:$C$698,$B34,'Shortlisted Drugs X Company (7)'!$E$3:$E$698,$S34,'Shortlisted Drugs X Company (7)'!$N$3:$N$698,"&gt;5"),2),"")</f>
        <v/>
      </c>
      <c r="E34" s="15" t="str">
        <f aca="false">IF(COUNTIFS('Shortlisted Drugs X Company (7)'!$C$3:$C$698,$B34,'Shortlisted Drugs X Company (7)'!$E$3:$E$698,$S34,'Shortlisted Drugs X Company (7)'!$P$3:$P$698,"Exact")&gt;0,"Exact",IF(COUNTIFS('Shortlisted Drugs X Company (7)'!$C$3:$C$698,$B34,'Shortlisted Drugs X Company (7)'!$E$3:$E$698,$S34,'Shortlisted Drugs X Company (7)'!$P$3:$P$698,"Same-market proxy")&gt;0,"Same-market proxy",IF(COUNTIFS('Shortlisted Drugs X Company (7)'!$C$3:$C$698,$B34,'Shortlisted Drugs X Company (7)'!$E$3:$E$698,$S34,'Shortlisted Drugs X Company (7)'!$P$3:$P$698,"Cross-market proxy")&gt;0,"Cross-market proxy",IF(COUNTIFS('Shortlisted Drugs X Company (7)'!$C$3:$C$698,$B34,'Shortlisted Drugs X Company (7)'!$E$3:$E$698,$S34,'Shortlisted Drugs X Company (7)'!$P$3:$P$698,"Source not found")&gt;0,"Source not found","Not priced"))))</f>
        <v>Same-market proxy</v>
      </c>
      <c r="F34" s="18" t="n">
        <f aca="false">IFERROR(ROUND(INDEX('Injectable Value'!$AA$28:$AA$178,MATCH(B34,'Injectable Value'!$A$28:$A$178,0)),1),"")</f>
        <v>4256.8</v>
      </c>
      <c r="G34" s="16" t="s">
        <v>247</v>
      </c>
      <c r="H34" s="14" t="n">
        <v>1</v>
      </c>
      <c r="I34" s="15" t="s">
        <v>277</v>
      </c>
      <c r="J34" s="15" t="s">
        <v>277</v>
      </c>
      <c r="K34" s="16" t="str">
        <f aca="false">""&amp;IF(V34=0,"Unpriced","")&amp;IF(AND(V34&gt;0,W34=0,X34=0),"Low price from another market – confirm with company","")</f>
        <v/>
      </c>
      <c r="L34" s="18" t="n">
        <f aca="false">IFERROR(INDEX('Shortlisted Drugs X Company (7)'!$K$3:$K$698,MATCH(B34,'Shortlisted Drugs X Company (7)'!$C$3:$C$698,0)),"")</f>
        <v>735</v>
      </c>
      <c r="M34" s="18" t="n">
        <f aca="false">IFERROR(ROUND(L34*INDEX('Injectable Value'!$Z$28:$Z$178,MATCH(B34,'Injectable Value'!$A$28:$A$178,0)),0),"")</f>
        <v>193</v>
      </c>
      <c r="N34" s="18" t="n">
        <f aca="false">IFERROR(INDEX('Shortlisted Drugs X Company (7)'!$L$3:$L$698,MATCH(B34,'Shortlisted Drugs X Company (7)'!$C$3:$C$698,0)),"")</f>
        <v>16205.48</v>
      </c>
      <c r="O34" s="15" t="str">
        <f aca="false">IF(AE34="No","IV only (not ID/IM/SC)",IF(AND(V34&gt;0,W34=0),"Price ≤ $5",""))</f>
        <v>Price ≤ $5</v>
      </c>
      <c r="P34" s="14" t="str">
        <f aca="false">IF(O34&lt;&gt;"","",COUNTIFS($A$29:$A$361,A34,$O$29:$O$361,"",$AC$29:$AC$361,"&gt;"&amp;AC34)+COUNTIFS($A$29:A34,A34,$O$29:O34,"",$AC$29:AC34,AC34))</f>
        <v/>
      </c>
      <c r="Q34" s="15" t="str">
        <f aca="false">IF(O34&lt;&gt;"",IF(O34="Price ≤ $5","Excluded – price ≤ $5","Excluded – IV only"),IF(ISNUMBER(D34),IF(AND(D34&gt;=$C$3,M34&gt;=$E$3),"Priority 1",IF(OR(D34&gt;=$C$3,M34&gt;=$E$3),"Priority 2","Priority 3")),IF(M34&gt;=$E$3,"Priority 2","Priority 3")))</f>
        <v>Excluded – price ≤ $5</v>
      </c>
      <c r="R34" s="16" t="s">
        <v>278</v>
      </c>
      <c r="S34" s="15" t="s">
        <v>251</v>
      </c>
      <c r="T34" s="32" t="s">
        <v>279</v>
      </c>
      <c r="U34" s="33" t="str">
        <f aca="false">B34&amp;"|"&amp;S34</f>
        <v>Triamcinolone Acetonide|Alembic Pharmaceuticals</v>
      </c>
      <c r="V34" s="34" t="n">
        <f aca="false">COUNTIFS('Shortlisted Drugs X Company (7)'!$C$3:$C$698,$B34,'Shortlisted Drugs X Company (7)'!$E$3:$E$698,$S34,'Shortlisted Drugs X Company (7)'!$N$3:$N$698,"&gt;=0")</f>
        <v>1</v>
      </c>
      <c r="W34" s="34" t="n">
        <f aca="false">COUNTIFS('Shortlisted Drugs X Company (7)'!$C$3:$C$698,$B34,'Shortlisted Drugs X Company (7)'!$E$3:$E$698,$S34,'Shortlisted Drugs X Company (7)'!$N$3:$N$698,"&gt;5")</f>
        <v>0</v>
      </c>
      <c r="X34" s="34" t="n">
        <f aca="false">COUNTIFS('Shortlisted Drugs X Company (7)'!$C$3:$C$698,$B34,'Shortlisted Drugs X Company (7)'!$E$3:$E$698,$S34,'Shortlisted Drugs X Company (7)'!$P$3:$P$698,"Exact")+COUNTIFS('Shortlisted Drugs X Company (7)'!$C$3:$C$698,$B34,'Shortlisted Drugs X Company (7)'!$E$3:$E$698,$S34,'Shortlisted Drugs X Company (7)'!$P$3:$P$698,"Same-market proxy")</f>
        <v>1</v>
      </c>
      <c r="Y34" s="33" t="str">
        <f aca="false">A34&amp;"|"&amp;P34</f>
        <v>Alembic|</v>
      </c>
      <c r="Z34" s="16" t="s">
        <v>280</v>
      </c>
      <c r="AA34" s="33" t="n">
        <f aca="false">INDEX($G$7:$G$25,MATCH(A34,$A$7:$A$25,0))</f>
        <v>12</v>
      </c>
      <c r="AB34" s="33" t="n">
        <f aca="false">IF(AE34="No","",AA34*1000+IF(P34="",900+COUNTIFS($A$29:A34,A34,$O$29:O34,"Price ≤ $5"),P34))</f>
        <v>12902</v>
      </c>
      <c r="AC34" s="33" t="str">
        <f aca="false">IF(O34&lt;&gt;"","",(4-VALUE(RIGHT(Q34,1)))*10^7+N(F34))</f>
        <v/>
      </c>
      <c r="AD34" s="15" t="str">
        <f aca="false">IFERROR(INDEX('Route of Administration'!$C$5:$C$155,MATCH(B34,'Route of Administration'!$A$5:$A$155,0)),"")</f>
        <v>IM</v>
      </c>
      <c r="AE34" s="14" t="str">
        <f aca="false">IFERROR(INDEX('Route of Administration'!$D$5:$D$155,MATCH(B34,'Route of Administration'!$A$5:$A$155,0)),"")</f>
        <v>Yes</v>
      </c>
      <c r="AF34" s="19" t="n">
        <f aca="false">IF(V34&gt;0,ROUND(AVERAGEIFS('Shortlisted Drugs X Company (7)'!$N$3:$N$698,'Shortlisted Drugs X Company (7)'!$C$3:$C$698,$B34,'Shortlisted Drugs X Company (7)'!$E$3:$E$698,$S34,'Shortlisted Drugs X Company (7)'!$N$3:$N$698,"&gt;=0"),2),"")</f>
        <v>3.15</v>
      </c>
      <c r="AG34" s="16" t="s">
        <v>275</v>
      </c>
      <c r="AH34" s="16" t="s">
        <v>247</v>
      </c>
      <c r="AI34" s="16" t="s">
        <v>247</v>
      </c>
      <c r="AJ34" s="16" t="str">
        <f aca="false">IF(O34&lt;&gt;"","",IF(ISNUMBER(D34),IF(D34&gt;=$C$3,"High price","Lower price"),"Unpriced")&amp;" · "&amp;IF(M34&gt;=$E$3,"high volume","lower volume"))</f>
        <v/>
      </c>
      <c r="AK34" s="15" t="str">
        <f aca="false">IF(O34&lt;&gt;"",IF(O34="Price ≤ $5","Excluded – price ≤ $5","Excluded – IV only"),IF(ISNUMBER(D34),IF(AND(D34&gt;=$C$3,L34&gt;=$H$3),"Priority 1",IF(OR(D34&gt;=$C$3,L34&gt;=$H$3),"Priority 2","Priority 3")),IF(L34&gt;=$H$3,"Priority 2","Priority 3")))</f>
        <v>Excluded – price ≤ $5</v>
      </c>
      <c r="AL34" s="16" t="str">
        <f aca="false">IF(O34&lt;&gt;"","",IF(ISNUMBER(D34),IF(D34&gt;=$C$3,"High price","Lower price"),"Unpriced")&amp;" · "&amp;IF(L34&gt;=$H$3,"high volume","lower volume"))</f>
        <v/>
      </c>
      <c r="AM34" s="14" t="str">
        <f aca="false">IF(O34&lt;&gt;"","",COUNTIFS($A$29:$A$361,A34,$O$29:$O$361,"",$AQ$29:$AQ$361,"&gt;"&amp;AQ34)+COUNTIFS($A$29:A34,A34,$O$29:O34,"",$AQ$29:AQ34,AQ34))</f>
        <v/>
      </c>
      <c r="AN34" s="33" t="str">
        <f aca="false">IF(AND(O34="",ISNUMBER(D34)),D34,"")</f>
        <v/>
      </c>
      <c r="AO34" s="33" t="str">
        <f aca="false">IF(O34="",M34,"")</f>
        <v/>
      </c>
      <c r="AP34" s="33" t="str">
        <f aca="false">IF(O34="",L34,"")</f>
        <v/>
      </c>
      <c r="AQ34" s="33" t="str">
        <f aca="false">IF(O34&lt;&gt;"","",(4-VALUE(RIGHT(AK34,1)))*10^7+N(N34))</f>
        <v/>
      </c>
      <c r="AR34" s="33" t="n">
        <f aca="false">INDEX($O$7:$O$25,MATCH(A34,$I$7:$I$25,0))</f>
        <v>16</v>
      </c>
      <c r="AS34" s="33" t="n">
        <f aca="false">IF(AE34="No","",AR34*1000+IF(AM34="",900+COUNTIFS($A$29:A34,A34,$O$29:O34,"Price ≤ $5"),AM34))</f>
        <v>16902</v>
      </c>
    </row>
    <row r="35" customFormat="false" ht="28.35" hidden="false" customHeight="false" outlineLevel="0" collapsed="false">
      <c r="A35" s="15" t="s">
        <v>187</v>
      </c>
      <c r="B35" s="15" t="s">
        <v>281</v>
      </c>
      <c r="C35" s="16" t="s">
        <v>282</v>
      </c>
      <c r="D35" s="17" t="n">
        <f aca="false">IF(W35&gt;0,ROUND(AVERAGEIFS('Shortlisted Drugs X Company (7)'!$N$3:$N$698,'Shortlisted Drugs X Company (7)'!$C$3:$C$698,$B35,'Shortlisted Drugs X Company (7)'!$E$3:$E$698,$S35,'Shortlisted Drugs X Company (7)'!$N$3:$N$698,"&gt;5"),2),"")</f>
        <v>7.79</v>
      </c>
      <c r="E35" s="15" t="str">
        <f aca="false">IF(COUNTIFS('Shortlisted Drugs X Company (7)'!$C$3:$C$698,$B35,'Shortlisted Drugs X Company (7)'!$E$3:$E$698,$S35,'Shortlisted Drugs X Company (7)'!$P$3:$P$698,"Exact")&gt;0,"Exact",IF(COUNTIFS('Shortlisted Drugs X Company (7)'!$C$3:$C$698,$B35,'Shortlisted Drugs X Company (7)'!$E$3:$E$698,$S35,'Shortlisted Drugs X Company (7)'!$P$3:$P$698,"Same-market proxy")&gt;0,"Same-market proxy",IF(COUNTIFS('Shortlisted Drugs X Company (7)'!$C$3:$C$698,$B35,'Shortlisted Drugs X Company (7)'!$E$3:$E$698,$S35,'Shortlisted Drugs X Company (7)'!$P$3:$P$698,"Cross-market proxy")&gt;0,"Cross-market proxy",IF(COUNTIFS('Shortlisted Drugs X Company (7)'!$C$3:$C$698,$B35,'Shortlisted Drugs X Company (7)'!$E$3:$E$698,$S35,'Shortlisted Drugs X Company (7)'!$P$3:$P$698,"Source not found")&gt;0,"Source not found","Not priced"))))</f>
        <v>Exact</v>
      </c>
      <c r="F35" s="18" t="n">
        <f aca="false">IFERROR(ROUND(INDEX('Injectable Value'!$AA$28:$AA$178,MATCH(B35,'Injectable Value'!$A$28:$A$178,0)),1),"")</f>
        <v>35129.8</v>
      </c>
      <c r="G35" s="16" t="s">
        <v>283</v>
      </c>
      <c r="H35" s="14" t="n">
        <v>2</v>
      </c>
      <c r="I35" s="15" t="s">
        <v>248</v>
      </c>
      <c r="J35" s="15" t="s">
        <v>284</v>
      </c>
      <c r="K35" s="16" t="str">
        <f aca="false">""&amp;IF(V35=0,"Unpriced","")&amp;IF(AND(V35&gt;0,W35=0,X35=0),"Low price from another market – confirm with company","")</f>
        <v/>
      </c>
      <c r="L35" s="18" t="n">
        <f aca="false">IFERROR(INDEX('Shortlisted Drugs X Company (7)'!$K$3:$K$698,MATCH(B35,'Shortlisted Drugs X Company (7)'!$C$3:$C$698,0)),"")</f>
        <v>1393</v>
      </c>
      <c r="M35" s="18" t="n">
        <f aca="false">IFERROR(ROUND(L35*INDEX('Injectable Value'!$Z$28:$Z$178,MATCH(B35,'Injectable Value'!$A$28:$A$178,0)),0),"")</f>
        <v>934</v>
      </c>
      <c r="N35" s="18" t="n">
        <f aca="false">IFERROR(INDEX('Shortlisted Drugs X Company (7)'!$L$3:$L$698,MATCH(B35,'Shortlisted Drugs X Company (7)'!$C$3:$C$698,0)),"")</f>
        <v>52401.4</v>
      </c>
      <c r="O35" s="15" t="str">
        <f aca="false">IF(AE35="No","IV only (not ID/IM/SC)",IF(AND(V35&gt;0,W35=0),"Price ≤ $5",""))</f>
        <v/>
      </c>
      <c r="P35" s="14" t="n">
        <f aca="false">IF(O35&lt;&gt;"","",COUNTIFS($A$29:$A$361,A35,$O$29:$O$361,"",$AC$29:$AC$361,"&gt;"&amp;AC35)+COUNTIFS($A$29:A35,A35,$O$29:O35,"",$AC$29:AC35,AC35))</f>
        <v>8</v>
      </c>
      <c r="Q35" s="15" t="str">
        <f aca="false">IF(O35&lt;&gt;"",IF(O35="Price ≤ $5","Excluded – price ≤ $5","Excluded – IV only"),IF(ISNUMBER(D35),IF(AND(D35&gt;=$C$3,M35&gt;=$E$3),"Priority 1",IF(OR(D35&gt;=$C$3,M35&gt;=$E$3),"Priority 2","Priority 3")),IF(M35&gt;=$E$3,"Priority 2","Priority 3")))</f>
        <v>Priority 2</v>
      </c>
      <c r="R35" s="16" t="s">
        <v>285</v>
      </c>
      <c r="S35" s="15" t="s">
        <v>286</v>
      </c>
      <c r="T35" s="32" t="s">
        <v>287</v>
      </c>
      <c r="U35" s="33" t="str">
        <f aca="false">B35&amp;"|"&amp;S35</f>
        <v>Ampicillin|Aurobindo Pharma</v>
      </c>
      <c r="V35" s="34" t="n">
        <f aca="false">COUNTIFS('Shortlisted Drugs X Company (7)'!$C$3:$C$698,$B35,'Shortlisted Drugs X Company (7)'!$E$3:$E$698,$S35,'Shortlisted Drugs X Company (7)'!$N$3:$N$698,"&gt;=0")</f>
        <v>2</v>
      </c>
      <c r="W35" s="34" t="n">
        <f aca="false">COUNTIFS('Shortlisted Drugs X Company (7)'!$C$3:$C$698,$B35,'Shortlisted Drugs X Company (7)'!$E$3:$E$698,$S35,'Shortlisted Drugs X Company (7)'!$N$3:$N$698,"&gt;5")</f>
        <v>2</v>
      </c>
      <c r="X35" s="34" t="n">
        <f aca="false">COUNTIFS('Shortlisted Drugs X Company (7)'!$C$3:$C$698,$B35,'Shortlisted Drugs X Company (7)'!$E$3:$E$698,$S35,'Shortlisted Drugs X Company (7)'!$P$3:$P$698,"Exact")+COUNTIFS('Shortlisted Drugs X Company (7)'!$C$3:$C$698,$B35,'Shortlisted Drugs X Company (7)'!$E$3:$E$698,$S35,'Shortlisted Drugs X Company (7)'!$P$3:$P$698,"Same-market proxy")</f>
        <v>2</v>
      </c>
      <c r="Y35" s="33" t="str">
        <f aca="false">A35&amp;"|"&amp;P35</f>
        <v>Aurobindo|8</v>
      </c>
      <c r="Z35" s="16" t="s">
        <v>288</v>
      </c>
      <c r="AA35" s="33" t="n">
        <f aca="false">INDEX($G$7:$G$25,MATCH(A35,$A$7:$A$25,0))</f>
        <v>2</v>
      </c>
      <c r="AB35" s="33" t="n">
        <f aca="false">IF(AE35="No","",AA35*1000+IF(P35="",900+COUNTIFS($A$29:A35,A35,$O$29:O35,"Price ≤ $5"),P35))</f>
        <v>2008</v>
      </c>
      <c r="AC35" s="33" t="n">
        <f aca="false">IF(O35&lt;&gt;"","",(4-VALUE(RIGHT(Q35,1)))*10^7+N(F35))</f>
        <v>20035129.8</v>
      </c>
      <c r="AD35" s="15" t="str">
        <f aca="false">IFERROR(INDEX('Route of Administration'!$C$5:$C$155,MATCH(B35,'Route of Administration'!$A$5:$A$155,0)),"")</f>
        <v>IV, IM</v>
      </c>
      <c r="AE35" s="14" t="str">
        <f aca="false">IFERROR(INDEX('Route of Administration'!$D$5:$D$155,MATCH(B35,'Route of Administration'!$A$5:$A$155,0)),"")</f>
        <v>Yes</v>
      </c>
      <c r="AF35" s="19" t="n">
        <f aca="false">IF(V35&gt;0,ROUND(AVERAGEIFS('Shortlisted Drugs X Company (7)'!$N$3:$N$698,'Shortlisted Drugs X Company (7)'!$C$3:$C$698,$B35,'Shortlisted Drugs X Company (7)'!$E$3:$E$698,$S35,'Shortlisted Drugs X Company (7)'!$N$3:$N$698,"&gt;=0"),2),"")</f>
        <v>7.79</v>
      </c>
      <c r="AG35" s="16" t="s">
        <v>289</v>
      </c>
      <c r="AH35" s="16" t="s">
        <v>290</v>
      </c>
      <c r="AI35" s="16" t="s">
        <v>290</v>
      </c>
      <c r="AJ35" s="16" t="str">
        <f aca="false">IF(O35&lt;&gt;"","",IF(ISNUMBER(D35),IF(D35&gt;=$C$3,"High price","Lower price"),"Unpriced")&amp;" · "&amp;IF(M35&gt;=$E$3,"high volume","lower volume"))</f>
        <v>Lower price · high volume</v>
      </c>
      <c r="AK35" s="15" t="str">
        <f aca="false">IF(O35&lt;&gt;"",IF(O35="Price ≤ $5","Excluded – price ≤ $5","Excluded – IV only"),IF(ISNUMBER(D35),IF(AND(D35&gt;=$C$3,L35&gt;=$H$3),"Priority 1",IF(OR(D35&gt;=$C$3,L35&gt;=$H$3),"Priority 2","Priority 3")),IF(L35&gt;=$H$3,"Priority 2","Priority 3")))</f>
        <v>Priority 2</v>
      </c>
      <c r="AL35" s="16" t="str">
        <f aca="false">IF(O35&lt;&gt;"","",IF(ISNUMBER(D35),IF(D35&gt;=$C$3,"High price","Lower price"),"Unpriced")&amp;" · "&amp;IF(L35&gt;=$H$3,"high volume","lower volume"))</f>
        <v>Lower price · high volume</v>
      </c>
      <c r="AM35" s="14" t="n">
        <f aca="false">IF(O35&lt;&gt;"","",COUNTIFS($A$29:$A$361,A35,$O$29:$O$361,"",$AQ$29:$AQ$361,"&gt;"&amp;AQ35)+COUNTIFS($A$29:A35,A35,$O$29:O35,"",$AQ$29:AQ35,AQ35))</f>
        <v>8</v>
      </c>
      <c r="AN35" s="19" t="n">
        <f aca="false">IF(AND(O35="",ISNUMBER(D35)),D35,"")</f>
        <v>7.79</v>
      </c>
      <c r="AO35" s="20" t="n">
        <f aca="false">IF(O35="",M35,"")</f>
        <v>934</v>
      </c>
      <c r="AP35" s="20" t="n">
        <f aca="false">IF(O35="",L35,"")</f>
        <v>1393</v>
      </c>
      <c r="AQ35" s="33" t="n">
        <f aca="false">IF(O35&lt;&gt;"","",(4-VALUE(RIGHT(AK35,1)))*10^7+N(N35))</f>
        <v>20052401.4</v>
      </c>
      <c r="AR35" s="33" t="n">
        <f aca="false">INDEX($O$7:$O$25,MATCH(A35,$I$7:$I$25,0))</f>
        <v>2</v>
      </c>
      <c r="AS35" s="33" t="n">
        <f aca="false">IF(AE35="No","",AR35*1000+IF(AM35="",900+COUNTIFS($A$29:A35,A35,$O$29:O35,"Price ≤ $5"),AM35))</f>
        <v>2008</v>
      </c>
    </row>
    <row r="36" customFormat="false" ht="41.75" hidden="false" customHeight="false" outlineLevel="0" collapsed="false">
      <c r="A36" s="15" t="s">
        <v>187</v>
      </c>
      <c r="B36" s="15" t="s">
        <v>291</v>
      </c>
      <c r="C36" s="16" t="s">
        <v>292</v>
      </c>
      <c r="D36" s="17" t="n">
        <f aca="false">IF(W36&gt;0,ROUND(AVERAGEIFS('Shortlisted Drugs X Company (7)'!$N$3:$N$698,'Shortlisted Drugs X Company (7)'!$C$3:$C$698,$B36,'Shortlisted Drugs X Company (7)'!$E$3:$E$698,$S36,'Shortlisted Drugs X Company (7)'!$N$3:$N$698,"&gt;5"),2),"")</f>
        <v>90.4</v>
      </c>
      <c r="E36" s="15" t="str">
        <f aca="false">IF(COUNTIFS('Shortlisted Drugs X Company (7)'!$C$3:$C$698,$B36,'Shortlisted Drugs X Company (7)'!$E$3:$E$698,$S36,'Shortlisted Drugs X Company (7)'!$P$3:$P$698,"Exact")&gt;0,"Exact",IF(COUNTIFS('Shortlisted Drugs X Company (7)'!$C$3:$C$698,$B36,'Shortlisted Drugs X Company (7)'!$E$3:$E$698,$S36,'Shortlisted Drugs X Company (7)'!$P$3:$P$698,"Same-market proxy")&gt;0,"Same-market proxy",IF(COUNTIFS('Shortlisted Drugs X Company (7)'!$C$3:$C$698,$B36,'Shortlisted Drugs X Company (7)'!$E$3:$E$698,$S36,'Shortlisted Drugs X Company (7)'!$P$3:$P$698,"Cross-market proxy")&gt;0,"Cross-market proxy",IF(COUNTIFS('Shortlisted Drugs X Company (7)'!$C$3:$C$698,$B36,'Shortlisted Drugs X Company (7)'!$E$3:$E$698,$S36,'Shortlisted Drugs X Company (7)'!$P$3:$P$698,"Source not found")&gt;0,"Source not found","Not priced"))))</f>
        <v>Same-market proxy</v>
      </c>
      <c r="F36" s="18" t="n">
        <f aca="false">IFERROR(ROUND(INDEX('Injectable Value'!$AA$28:$AA$178,MATCH(B36,'Injectable Value'!$A$28:$A$178,0)),1),"")</f>
        <v>2127.3</v>
      </c>
      <c r="G36" s="16" t="s">
        <v>247</v>
      </c>
      <c r="H36" s="14" t="n">
        <v>1</v>
      </c>
      <c r="I36" s="15" t="s">
        <v>248</v>
      </c>
      <c r="J36" s="15" t="s">
        <v>284</v>
      </c>
      <c r="K36" s="16" t="str">
        <f aca="false">""&amp;IF(V36=0,"Unpriced","")&amp;IF(AND(V36&gt;0,W36=0,X36=0),"Low price from another market – confirm with company","")</f>
        <v/>
      </c>
      <c r="L36" s="18" t="n">
        <f aca="false">IFERROR(INDEX('Shortlisted Drugs X Company (7)'!$K$3:$K$698,MATCH(B36,'Shortlisted Drugs X Company (7)'!$C$3:$C$698,0)),"")</f>
        <v>22</v>
      </c>
      <c r="M36" s="18" t="n">
        <f aca="false">IFERROR(ROUND(L36*INDEX('Injectable Value'!$Z$28:$Z$178,MATCH(B36,'Injectable Value'!$A$28:$A$178,0)),0),"")</f>
        <v>22</v>
      </c>
      <c r="N36" s="18" t="n">
        <f aca="false">IFERROR(INDEX('Shortlisted Drugs X Company (7)'!$L$3:$L$698,MATCH(B36,'Shortlisted Drugs X Company (7)'!$C$3:$C$698,0)),"")</f>
        <v>2127.31</v>
      </c>
      <c r="O36" s="15" t="str">
        <f aca="false">IF(AE36="No","IV only (not ID/IM/SC)",IF(AND(V36&gt;0,W36=0),"Price ≤ $5",""))</f>
        <v>IV only (not ID/IM/SC)</v>
      </c>
      <c r="P36" s="14" t="str">
        <f aca="false">IF(O36&lt;&gt;"","",COUNTIFS($A$29:$A$361,A36,$O$29:$O$361,"",$AC$29:$AC$361,"&gt;"&amp;AC36)+COUNTIFS($A$29:A36,A36,$O$29:O36,"",$AC$29:AC36,AC36))</f>
        <v/>
      </c>
      <c r="Q36" s="15" t="str">
        <f aca="false">IF(O36&lt;&gt;"",IF(O36="Price ≤ $5","Excluded – price ≤ $5","Excluded – IV only"),IF(ISNUMBER(D36),IF(AND(D36&gt;=$C$3,M36&gt;=$E$3),"Priority 1",IF(OR(D36&gt;=$C$3,M36&gt;=$E$3),"Priority 2","Priority 3")),IF(M36&gt;=$E$3,"Priority 2","Priority 3")))</f>
        <v>Excluded – IV only</v>
      </c>
      <c r="R36" s="16" t="s">
        <v>285</v>
      </c>
      <c r="S36" s="15" t="s">
        <v>286</v>
      </c>
      <c r="T36" s="32" t="s">
        <v>293</v>
      </c>
      <c r="U36" s="33" t="str">
        <f aca="false">B36&amp;"|"&amp;S36</f>
        <v>Argatroban|Aurobindo Pharma</v>
      </c>
      <c r="V36" s="34" t="n">
        <f aca="false">COUNTIFS('Shortlisted Drugs X Company (7)'!$C$3:$C$698,$B36,'Shortlisted Drugs X Company (7)'!$E$3:$E$698,$S36,'Shortlisted Drugs X Company (7)'!$N$3:$N$698,"&gt;=0")</f>
        <v>1</v>
      </c>
      <c r="W36" s="34" t="n">
        <f aca="false">COUNTIFS('Shortlisted Drugs X Company (7)'!$C$3:$C$698,$B36,'Shortlisted Drugs X Company (7)'!$E$3:$E$698,$S36,'Shortlisted Drugs X Company (7)'!$N$3:$N$698,"&gt;5")</f>
        <v>1</v>
      </c>
      <c r="X36" s="34" t="n">
        <f aca="false">COUNTIFS('Shortlisted Drugs X Company (7)'!$C$3:$C$698,$B36,'Shortlisted Drugs X Company (7)'!$E$3:$E$698,$S36,'Shortlisted Drugs X Company (7)'!$P$3:$P$698,"Exact")+COUNTIFS('Shortlisted Drugs X Company (7)'!$C$3:$C$698,$B36,'Shortlisted Drugs X Company (7)'!$E$3:$E$698,$S36,'Shortlisted Drugs X Company (7)'!$P$3:$P$698,"Same-market proxy")</f>
        <v>1</v>
      </c>
      <c r="Y36" s="33" t="str">
        <f aca="false">A36&amp;"|"&amp;P36</f>
        <v>Aurobindo|</v>
      </c>
      <c r="Z36" s="16" t="s">
        <v>294</v>
      </c>
      <c r="AA36" s="33" t="n">
        <f aca="false">INDEX($G$7:$G$25,MATCH(A36,$A$7:$A$25,0))</f>
        <v>2</v>
      </c>
      <c r="AB36" s="33" t="str">
        <f aca="false">IF(AE36="No","",AA36*1000+IF(P36="",900+COUNTIFS($A$29:A36,A36,$O$29:O36,"Price ≤ $5"),P36))</f>
        <v/>
      </c>
      <c r="AC36" s="33" t="str">
        <f aca="false">IF(O36&lt;&gt;"","",(4-VALUE(RIGHT(Q36,1)))*10^7+N(F36))</f>
        <v/>
      </c>
      <c r="AD36" s="15" t="str">
        <f aca="false">IFERROR(INDEX('Route of Administration'!$C$5:$C$155,MATCH(B36,'Route of Administration'!$A$5:$A$155,0)),"")</f>
        <v>IV</v>
      </c>
      <c r="AE36" s="14" t="str">
        <f aca="false">IFERROR(INDEX('Route of Administration'!$D$5:$D$155,MATCH(B36,'Route of Administration'!$A$5:$A$155,0)),"")</f>
        <v>No</v>
      </c>
      <c r="AF36" s="19" t="n">
        <f aca="false">IF(V36&gt;0,ROUND(AVERAGEIFS('Shortlisted Drugs X Company (7)'!$N$3:$N$698,'Shortlisted Drugs X Company (7)'!$C$3:$C$698,$B36,'Shortlisted Drugs X Company (7)'!$E$3:$E$698,$S36,'Shortlisted Drugs X Company (7)'!$N$3:$N$698,"&gt;=0"),2),"")</f>
        <v>90.4</v>
      </c>
      <c r="AG36" s="16" t="s">
        <v>295</v>
      </c>
      <c r="AH36" s="16" t="s">
        <v>247</v>
      </c>
      <c r="AI36" s="16" t="s">
        <v>247</v>
      </c>
      <c r="AJ36" s="16" t="str">
        <f aca="false">IF(O36&lt;&gt;"","",IF(ISNUMBER(D36),IF(D36&gt;=$C$3,"High price","Lower price"),"Unpriced")&amp;" · "&amp;IF(M36&gt;=$E$3,"high volume","lower volume"))</f>
        <v/>
      </c>
      <c r="AK36" s="15" t="str">
        <f aca="false">IF(O36&lt;&gt;"",IF(O36="Price ≤ $5","Excluded – price ≤ $5","Excluded – IV only"),IF(ISNUMBER(D36),IF(AND(D36&gt;=$C$3,L36&gt;=$H$3),"Priority 1",IF(OR(D36&gt;=$C$3,L36&gt;=$H$3),"Priority 2","Priority 3")),IF(L36&gt;=$H$3,"Priority 2","Priority 3")))</f>
        <v>Excluded – IV only</v>
      </c>
      <c r="AL36" s="16" t="str">
        <f aca="false">IF(O36&lt;&gt;"","",IF(ISNUMBER(D36),IF(D36&gt;=$C$3,"High price","Lower price"),"Unpriced")&amp;" · "&amp;IF(L36&gt;=$H$3,"high volume","lower volume"))</f>
        <v/>
      </c>
      <c r="AM36" s="14" t="str">
        <f aca="false">IF(O36&lt;&gt;"","",COUNTIFS($A$29:$A$361,A36,$O$29:$O$361,"",$AQ$29:$AQ$361,"&gt;"&amp;AQ36)+COUNTIFS($A$29:A36,A36,$O$29:O36,"",$AQ$29:AQ36,AQ36))</f>
        <v/>
      </c>
      <c r="AN36" s="33" t="str">
        <f aca="false">IF(AND(O36="",ISNUMBER(D36)),D36,"")</f>
        <v/>
      </c>
      <c r="AO36" s="33" t="str">
        <f aca="false">IF(O36="",M36,"")</f>
        <v/>
      </c>
      <c r="AP36" s="33" t="str">
        <f aca="false">IF(O36="",L36,"")</f>
        <v/>
      </c>
      <c r="AQ36" s="33" t="str">
        <f aca="false">IF(O36&lt;&gt;"","",(4-VALUE(RIGHT(AK36,1)))*10^7+N(N36))</f>
        <v/>
      </c>
      <c r="AR36" s="33" t="n">
        <f aca="false">INDEX($O$7:$O$25,MATCH(A36,$I$7:$I$25,0))</f>
        <v>2</v>
      </c>
      <c r="AS36" s="33" t="str">
        <f aca="false">IF(AE36="No","",AR36*1000+IF(AM36="",900+COUNTIFS($A$29:A36,A36,$O$29:O36,"Price ≤ $5"),AM36))</f>
        <v/>
      </c>
    </row>
    <row r="37" customFormat="false" ht="41.75" hidden="false" customHeight="false" outlineLevel="0" collapsed="false">
      <c r="A37" s="15" t="s">
        <v>187</v>
      </c>
      <c r="B37" s="15" t="s">
        <v>296</v>
      </c>
      <c r="C37" s="16" t="s">
        <v>297</v>
      </c>
      <c r="D37" s="17" t="n">
        <f aca="false">IF(W37&gt;0,ROUND(AVERAGEIFS('Shortlisted Drugs X Company (7)'!$N$3:$N$698,'Shortlisted Drugs X Company (7)'!$C$3:$C$698,$B37,'Shortlisted Drugs X Company (7)'!$E$3:$E$698,$S37,'Shortlisted Drugs X Company (7)'!$N$3:$N$698,"&gt;5"),2),"")</f>
        <v>256.12</v>
      </c>
      <c r="E37" s="15" t="str">
        <f aca="false">IF(COUNTIFS('Shortlisted Drugs X Company (7)'!$C$3:$C$698,$B37,'Shortlisted Drugs X Company (7)'!$E$3:$E$698,$S37,'Shortlisted Drugs X Company (7)'!$P$3:$P$698,"Exact")&gt;0,"Exact",IF(COUNTIFS('Shortlisted Drugs X Company (7)'!$C$3:$C$698,$B37,'Shortlisted Drugs X Company (7)'!$E$3:$E$698,$S37,'Shortlisted Drugs X Company (7)'!$P$3:$P$698,"Same-market proxy")&gt;0,"Same-market proxy",IF(COUNTIFS('Shortlisted Drugs X Company (7)'!$C$3:$C$698,$B37,'Shortlisted Drugs X Company (7)'!$E$3:$E$698,$S37,'Shortlisted Drugs X Company (7)'!$P$3:$P$698,"Cross-market proxy")&gt;0,"Cross-market proxy",IF(COUNTIFS('Shortlisted Drugs X Company (7)'!$C$3:$C$698,$B37,'Shortlisted Drugs X Company (7)'!$E$3:$E$698,$S37,'Shortlisted Drugs X Company (7)'!$P$3:$P$698,"Source not found")&gt;0,"Source not found","Not priced"))))</f>
        <v>Exact</v>
      </c>
      <c r="F37" s="18" t="n">
        <f aca="false">IFERROR(ROUND(INDEX('Injectable Value'!$AA$28:$AA$178,MATCH(B37,'Injectable Value'!$A$28:$A$178,0)),1),"")</f>
        <v>42181.7</v>
      </c>
      <c r="G37" s="16" t="s">
        <v>298</v>
      </c>
      <c r="H37" s="14" t="n">
        <v>11</v>
      </c>
      <c r="I37" s="15" t="s">
        <v>248</v>
      </c>
      <c r="J37" s="15" t="s">
        <v>299</v>
      </c>
      <c r="K37" s="16" t="str">
        <f aca="false">"Cancer drug (cytotoxic) – less relevant; Reconstitution"&amp;IF(V37=0,"; Unpriced","")&amp;IF(AND(V37&gt;0,W37=0,X37=0),"; Low price from another market – confirm with company","")</f>
        <v>Cancer drug (cytotoxic) – less relevant; Reconstitution</v>
      </c>
      <c r="L37" s="18" t="n">
        <f aca="false">IFERROR(INDEX('Shortlisted Drugs X Company (7)'!$K$3:$K$698,MATCH(B37,'Shortlisted Drugs X Company (7)'!$C$3:$C$698,0)),"")</f>
        <v>762</v>
      </c>
      <c r="M37" s="18" t="n">
        <f aca="false">IFERROR(ROUND(L37*INDEX('Injectable Value'!$Z$28:$Z$178,MATCH(B37,'Injectable Value'!$A$28:$A$178,0)),0),"")</f>
        <v>632</v>
      </c>
      <c r="N37" s="18" t="n">
        <f aca="false">IFERROR(INDEX('Shortlisted Drugs X Company (7)'!$L$3:$L$698,MATCH(B37,'Shortlisted Drugs X Company (7)'!$C$3:$C$698,0)),"")</f>
        <v>50865.56</v>
      </c>
      <c r="O37" s="15" t="str">
        <f aca="false">IF(AE37="No","IV only (not ID/IM/SC)",IF(AND(V37&gt;0,W37=0),"Price ≤ $5",""))</f>
        <v/>
      </c>
      <c r="P37" s="14" t="n">
        <f aca="false">IF(O37&lt;&gt;"","",COUNTIFS($A$29:$A$361,A37,$O$29:$O$361,"",$AC$29:$AC$361,"&gt;"&amp;AC37)+COUNTIFS($A$29:A37,A37,$O$29:O37,"",$AC$29:AC37,AC37))</f>
        <v>2</v>
      </c>
      <c r="Q37" s="15" t="str">
        <f aca="false">IF(O37&lt;&gt;"",IF(O37="Price ≤ $5","Excluded – price ≤ $5","Excluded – IV only"),IF(ISNUMBER(D37),IF(AND(D37&gt;=$C$3,M37&gt;=$E$3),"Priority 1",IF(OR(D37&gt;=$C$3,M37&gt;=$E$3),"Priority 2","Priority 3")),IF(M37&gt;=$E$3,"Priority 2","Priority 3")))</f>
        <v>Priority 1</v>
      </c>
      <c r="R37" s="16" t="s">
        <v>250</v>
      </c>
      <c r="S37" s="15" t="s">
        <v>286</v>
      </c>
      <c r="T37" s="32" t="s">
        <v>300</v>
      </c>
      <c r="U37" s="33" t="str">
        <f aca="false">B37&amp;"|"&amp;S37</f>
        <v>Azacitidine|Aurobindo Pharma</v>
      </c>
      <c r="V37" s="34" t="n">
        <f aca="false">COUNTIFS('Shortlisted Drugs X Company (7)'!$C$3:$C$698,$B37,'Shortlisted Drugs X Company (7)'!$E$3:$E$698,$S37,'Shortlisted Drugs X Company (7)'!$N$3:$N$698,"&gt;=0")</f>
        <v>3</v>
      </c>
      <c r="W37" s="34" t="n">
        <f aca="false">COUNTIFS('Shortlisted Drugs X Company (7)'!$C$3:$C$698,$B37,'Shortlisted Drugs X Company (7)'!$E$3:$E$698,$S37,'Shortlisted Drugs X Company (7)'!$N$3:$N$698,"&gt;5")</f>
        <v>3</v>
      </c>
      <c r="X37" s="34" t="n">
        <f aca="false">COUNTIFS('Shortlisted Drugs X Company (7)'!$C$3:$C$698,$B37,'Shortlisted Drugs X Company (7)'!$E$3:$E$698,$S37,'Shortlisted Drugs X Company (7)'!$P$3:$P$698,"Exact")+COUNTIFS('Shortlisted Drugs X Company (7)'!$C$3:$C$698,$B37,'Shortlisted Drugs X Company (7)'!$E$3:$E$698,$S37,'Shortlisted Drugs X Company (7)'!$P$3:$P$698,"Same-market proxy")</f>
        <v>3</v>
      </c>
      <c r="Y37" s="33" t="str">
        <f aca="false">A37&amp;"|"&amp;P37</f>
        <v>Aurobindo|2</v>
      </c>
      <c r="Z37" s="16" t="s">
        <v>301</v>
      </c>
      <c r="AA37" s="33" t="n">
        <f aca="false">INDEX($G$7:$G$25,MATCH(A37,$A$7:$A$25,0))</f>
        <v>2</v>
      </c>
      <c r="AB37" s="33" t="n">
        <f aca="false">IF(AE37="No","",AA37*1000+IF(P37="",900+COUNTIFS($A$29:A37,A37,$O$29:O37,"Price ≤ $5"),P37))</f>
        <v>2002</v>
      </c>
      <c r="AC37" s="33" t="n">
        <f aca="false">IF(O37&lt;&gt;"","",(4-VALUE(RIGHT(Q37,1)))*10^7+N(F37))</f>
        <v>30042181.7</v>
      </c>
      <c r="AD37" s="15" t="str">
        <f aca="false">IFERROR(INDEX('Route of Administration'!$C$5:$C$155,MATCH(B37,'Route of Administration'!$A$5:$A$155,0)),"")</f>
        <v>IV, SC</v>
      </c>
      <c r="AE37" s="14" t="str">
        <f aca="false">IFERROR(INDEX('Route of Administration'!$D$5:$D$155,MATCH(B37,'Route of Administration'!$A$5:$A$155,0)),"")</f>
        <v>Yes</v>
      </c>
      <c r="AF37" s="19" t="n">
        <f aca="false">IF(V37&gt;0,ROUND(AVERAGEIFS('Shortlisted Drugs X Company (7)'!$N$3:$N$698,'Shortlisted Drugs X Company (7)'!$C$3:$C$698,$B37,'Shortlisted Drugs X Company (7)'!$E$3:$E$698,$S37,'Shortlisted Drugs X Company (7)'!$N$3:$N$698,"&gt;=0"),2),"")</f>
        <v>256.12</v>
      </c>
      <c r="AG37" s="16" t="s">
        <v>302</v>
      </c>
      <c r="AH37" s="16" t="s">
        <v>303</v>
      </c>
      <c r="AI37" s="16" t="s">
        <v>304</v>
      </c>
      <c r="AJ37" s="16" t="str">
        <f aca="false">IF(O37&lt;&gt;"","",IF(ISNUMBER(D37),IF(D37&gt;=$C$3,"High price","Lower price"),"Unpriced")&amp;" · "&amp;IF(M37&gt;=$E$3,"high volume","lower volume"))</f>
        <v>High price · high volume</v>
      </c>
      <c r="AK37" s="15" t="str">
        <f aca="false">IF(O37&lt;&gt;"",IF(O37="Price ≤ $5","Excluded – price ≤ $5","Excluded – IV only"),IF(ISNUMBER(D37),IF(AND(D37&gt;=$C$3,L37&gt;=$H$3),"Priority 1",IF(OR(D37&gt;=$C$3,L37&gt;=$H$3),"Priority 2","Priority 3")),IF(L37&gt;=$H$3,"Priority 2","Priority 3")))</f>
        <v>Priority 1</v>
      </c>
      <c r="AL37" s="16" t="str">
        <f aca="false">IF(O37&lt;&gt;"","",IF(ISNUMBER(D37),IF(D37&gt;=$C$3,"High price","Lower price"),"Unpriced")&amp;" · "&amp;IF(L37&gt;=$H$3,"high volume","lower volume"))</f>
        <v>High price · high volume</v>
      </c>
      <c r="AM37" s="14" t="n">
        <f aca="false">IF(O37&lt;&gt;"","",COUNTIFS($A$29:$A$361,A37,$O$29:$O$361,"",$AQ$29:$AQ$361,"&gt;"&amp;AQ37)+COUNTIFS($A$29:A37,A37,$O$29:O37,"",$AQ$29:AQ37,AQ37))</f>
        <v>1</v>
      </c>
      <c r="AN37" s="19" t="n">
        <f aca="false">IF(AND(O37="",ISNUMBER(D37)),D37,"")</f>
        <v>256.12</v>
      </c>
      <c r="AO37" s="20" t="n">
        <f aca="false">IF(O37="",M37,"")</f>
        <v>632</v>
      </c>
      <c r="AP37" s="20" t="n">
        <f aca="false">IF(O37="",L37,"")</f>
        <v>762</v>
      </c>
      <c r="AQ37" s="33" t="n">
        <f aca="false">IF(O37&lt;&gt;"","",(4-VALUE(RIGHT(AK37,1)))*10^7+N(N37))</f>
        <v>30050865.56</v>
      </c>
      <c r="AR37" s="33" t="n">
        <f aca="false">INDEX($O$7:$O$25,MATCH(A37,$I$7:$I$25,0))</f>
        <v>2</v>
      </c>
      <c r="AS37" s="33" t="n">
        <f aca="false">IF(AE37="No","",AR37*1000+IF(AM37="",900+COUNTIFS($A$29:A37,A37,$O$29:O37,"Price ≤ $5"),AM37))</f>
        <v>2001</v>
      </c>
    </row>
    <row r="38" customFormat="false" ht="41.75" hidden="false" customHeight="false" outlineLevel="0" collapsed="false">
      <c r="A38" s="15" t="s">
        <v>187</v>
      </c>
      <c r="B38" s="15" t="s">
        <v>305</v>
      </c>
      <c r="C38" s="16" t="s">
        <v>306</v>
      </c>
      <c r="D38" s="17" t="n">
        <f aca="false">IF(W38&gt;0,ROUND(AVERAGEIFS('Shortlisted Drugs X Company (7)'!$N$3:$N$698,'Shortlisted Drugs X Company (7)'!$C$3:$C$698,$B38,'Shortlisted Drugs X Company (7)'!$E$3:$E$698,$S38,'Shortlisted Drugs X Company (7)'!$N$3:$N$698,"&gt;5"),2),"")</f>
        <v>584.34</v>
      </c>
      <c r="E38" s="15" t="str">
        <f aca="false">IF(COUNTIFS('Shortlisted Drugs X Company (7)'!$C$3:$C$698,$B38,'Shortlisted Drugs X Company (7)'!$E$3:$E$698,$S38,'Shortlisted Drugs X Company (7)'!$P$3:$P$698,"Exact")&gt;0,"Exact",IF(COUNTIFS('Shortlisted Drugs X Company (7)'!$C$3:$C$698,$B38,'Shortlisted Drugs X Company (7)'!$E$3:$E$698,$S38,'Shortlisted Drugs X Company (7)'!$P$3:$P$698,"Same-market proxy")&gt;0,"Same-market proxy",IF(COUNTIFS('Shortlisted Drugs X Company (7)'!$C$3:$C$698,$B38,'Shortlisted Drugs X Company (7)'!$E$3:$E$698,$S38,'Shortlisted Drugs X Company (7)'!$P$3:$P$698,"Cross-market proxy")&gt;0,"Cross-market proxy",IF(COUNTIFS('Shortlisted Drugs X Company (7)'!$C$3:$C$698,$B38,'Shortlisted Drugs X Company (7)'!$E$3:$E$698,$S38,'Shortlisted Drugs X Company (7)'!$P$3:$P$698,"Source not found")&gt;0,"Source not found","Not priced"))))</f>
        <v>Exact</v>
      </c>
      <c r="F38" s="18" t="n">
        <f aca="false">IFERROR(ROUND(INDEX('Injectable Value'!$AA$28:$AA$178,MATCH(B38,'Injectable Value'!$A$28:$A$178,0)),1),"")</f>
        <v>28093.4</v>
      </c>
      <c r="G38" s="16" t="s">
        <v>307</v>
      </c>
      <c r="H38" s="14" t="n">
        <v>12</v>
      </c>
      <c r="I38" s="15" t="s">
        <v>248</v>
      </c>
      <c r="J38" s="15" t="s">
        <v>299</v>
      </c>
      <c r="K38" s="16" t="str">
        <f aca="false">"Cancer drug (cytotoxic) – less relevant; Reconstitution"&amp;IF(V38=0,"; Unpriced","")&amp;IF(AND(V38&gt;0,W38=0,X38=0),"; Low price from another market – confirm with company","")</f>
        <v>Cancer drug (cytotoxic) – less relevant; Reconstitution</v>
      </c>
      <c r="L38" s="18" t="n">
        <f aca="false">IFERROR(INDEX('Shortlisted Drugs X Company (7)'!$K$3:$K$698,MATCH(B38,'Shortlisted Drugs X Company (7)'!$C$3:$C$698,0)),"")</f>
        <v>905</v>
      </c>
      <c r="M38" s="18" t="n">
        <f aca="false">IFERROR(ROUND(L38*INDEX('Injectable Value'!$Z$28:$Z$178,MATCH(B38,'Injectable Value'!$A$28:$A$178,0)),0),"")</f>
        <v>905</v>
      </c>
      <c r="N38" s="18" t="n">
        <f aca="false">IFERROR(INDEX('Shortlisted Drugs X Company (7)'!$L$3:$L$698,MATCH(B38,'Shortlisted Drugs X Company (7)'!$C$3:$C$698,0)),"")</f>
        <v>28093.38</v>
      </c>
      <c r="O38" s="15" t="str">
        <f aca="false">IF(AE38="No","IV only (not ID/IM/SC)",IF(AND(V38&gt;0,W38=0),"Price ≤ $5",""))</f>
        <v/>
      </c>
      <c r="P38" s="14" t="n">
        <f aca="false">IF(O38&lt;&gt;"","",COUNTIFS($A$29:$A$361,A38,$O$29:$O$361,"",$AC$29:$AC$361,"&gt;"&amp;AC38)+COUNTIFS($A$29:A38,A38,$O$29:O38,"",$AC$29:AC38,AC38))</f>
        <v>3</v>
      </c>
      <c r="Q38" s="15" t="str">
        <f aca="false">IF(O38&lt;&gt;"",IF(O38="Price ≤ $5","Excluded – price ≤ $5","Excluded – IV only"),IF(ISNUMBER(D38),IF(AND(D38&gt;=$C$3,M38&gt;=$E$3),"Priority 1",IF(OR(D38&gt;=$C$3,M38&gt;=$E$3),"Priority 2","Priority 3")),IF(M38&gt;=$E$3,"Priority 2","Priority 3")))</f>
        <v>Priority 1</v>
      </c>
      <c r="R38" s="16" t="s">
        <v>250</v>
      </c>
      <c r="S38" s="15" t="s">
        <v>286</v>
      </c>
      <c r="T38" s="32" t="s">
        <v>308</v>
      </c>
      <c r="U38" s="33" t="str">
        <f aca="false">B38&amp;"|"&amp;S38</f>
        <v>Bortezomib|Aurobindo Pharma</v>
      </c>
      <c r="V38" s="34" t="n">
        <f aca="false">COUNTIFS('Shortlisted Drugs X Company (7)'!$C$3:$C$698,$B38,'Shortlisted Drugs X Company (7)'!$E$3:$E$698,$S38,'Shortlisted Drugs X Company (7)'!$N$3:$N$698,"&gt;=0")</f>
        <v>4</v>
      </c>
      <c r="W38" s="34" t="n">
        <f aca="false">COUNTIFS('Shortlisted Drugs X Company (7)'!$C$3:$C$698,$B38,'Shortlisted Drugs X Company (7)'!$E$3:$E$698,$S38,'Shortlisted Drugs X Company (7)'!$N$3:$N$698,"&gt;5")</f>
        <v>4</v>
      </c>
      <c r="X38" s="34" t="n">
        <f aca="false">COUNTIFS('Shortlisted Drugs X Company (7)'!$C$3:$C$698,$B38,'Shortlisted Drugs X Company (7)'!$E$3:$E$698,$S38,'Shortlisted Drugs X Company (7)'!$P$3:$P$698,"Exact")+COUNTIFS('Shortlisted Drugs X Company (7)'!$C$3:$C$698,$B38,'Shortlisted Drugs X Company (7)'!$E$3:$E$698,$S38,'Shortlisted Drugs X Company (7)'!$P$3:$P$698,"Same-market proxy")</f>
        <v>4</v>
      </c>
      <c r="Y38" s="33" t="str">
        <f aca="false">A38&amp;"|"&amp;P38</f>
        <v>Aurobindo|3</v>
      </c>
      <c r="Z38" s="16" t="s">
        <v>309</v>
      </c>
      <c r="AA38" s="33" t="n">
        <f aca="false">INDEX($G$7:$G$25,MATCH(A38,$A$7:$A$25,0))</f>
        <v>2</v>
      </c>
      <c r="AB38" s="33" t="n">
        <f aca="false">IF(AE38="No","",AA38*1000+IF(P38="",900+COUNTIFS($A$29:A38,A38,$O$29:O38,"Price ≤ $5"),P38))</f>
        <v>2003</v>
      </c>
      <c r="AC38" s="33" t="n">
        <f aca="false">IF(O38&lt;&gt;"","",(4-VALUE(RIGHT(Q38,1)))*10^7+N(F38))</f>
        <v>30028093.4</v>
      </c>
      <c r="AD38" s="15" t="str">
        <f aca="false">IFERROR(INDEX('Route of Administration'!$C$5:$C$155,MATCH(B38,'Route of Administration'!$A$5:$A$155,0)),"")</f>
        <v>IV, SC</v>
      </c>
      <c r="AE38" s="14" t="str">
        <f aca="false">IFERROR(INDEX('Route of Administration'!$D$5:$D$155,MATCH(B38,'Route of Administration'!$A$5:$A$155,0)),"")</f>
        <v>Yes</v>
      </c>
      <c r="AF38" s="19" t="n">
        <f aca="false">IF(V38&gt;0,ROUND(AVERAGEIFS('Shortlisted Drugs X Company (7)'!$N$3:$N$698,'Shortlisted Drugs X Company (7)'!$C$3:$C$698,$B38,'Shortlisted Drugs X Company (7)'!$E$3:$E$698,$S38,'Shortlisted Drugs X Company (7)'!$N$3:$N$698,"&gt;=0"),2),"")</f>
        <v>584.34</v>
      </c>
      <c r="AG38" s="16" t="s">
        <v>310</v>
      </c>
      <c r="AH38" s="16" t="s">
        <v>311</v>
      </c>
      <c r="AI38" s="16" t="s">
        <v>312</v>
      </c>
      <c r="AJ38" s="16" t="str">
        <f aca="false">IF(O38&lt;&gt;"","",IF(ISNUMBER(D38),IF(D38&gt;=$C$3,"High price","Lower price"),"Unpriced")&amp;" · "&amp;IF(M38&gt;=$E$3,"high volume","lower volume"))</f>
        <v>High price · high volume</v>
      </c>
      <c r="AK38" s="15" t="str">
        <f aca="false">IF(O38&lt;&gt;"",IF(O38="Price ≤ $5","Excluded – price ≤ $5","Excluded – IV only"),IF(ISNUMBER(D38),IF(AND(D38&gt;=$C$3,L38&gt;=$H$3),"Priority 1",IF(OR(D38&gt;=$C$3,L38&gt;=$H$3),"Priority 2","Priority 3")),IF(L38&gt;=$H$3,"Priority 2","Priority 3")))</f>
        <v>Priority 1</v>
      </c>
      <c r="AL38" s="16" t="str">
        <f aca="false">IF(O38&lt;&gt;"","",IF(ISNUMBER(D38),IF(D38&gt;=$C$3,"High price","Lower price"),"Unpriced")&amp;" · "&amp;IF(L38&gt;=$H$3,"high volume","lower volume"))</f>
        <v>High price · high volume</v>
      </c>
      <c r="AM38" s="14" t="n">
        <f aca="false">IF(O38&lt;&gt;"","",COUNTIFS($A$29:$A$361,A38,$O$29:$O$361,"",$AQ$29:$AQ$361,"&gt;"&amp;AQ38)+COUNTIFS($A$29:A38,A38,$O$29:O38,"",$AQ$29:AQ38,AQ38))</f>
        <v>2</v>
      </c>
      <c r="AN38" s="19" t="n">
        <f aca="false">IF(AND(O38="",ISNUMBER(D38)),D38,"")</f>
        <v>584.34</v>
      </c>
      <c r="AO38" s="20" t="n">
        <f aca="false">IF(O38="",M38,"")</f>
        <v>905</v>
      </c>
      <c r="AP38" s="20" t="n">
        <f aca="false">IF(O38="",L38,"")</f>
        <v>905</v>
      </c>
      <c r="AQ38" s="33" t="n">
        <f aca="false">IF(O38&lt;&gt;"","",(4-VALUE(RIGHT(AK38,1)))*10^7+N(N38))</f>
        <v>30028093.38</v>
      </c>
      <c r="AR38" s="33" t="n">
        <f aca="false">INDEX($O$7:$O$25,MATCH(A38,$I$7:$I$25,0))</f>
        <v>2</v>
      </c>
      <c r="AS38" s="33" t="n">
        <f aca="false">IF(AE38="No","",AR38*1000+IF(AM38="",900+COUNTIFS($A$29:A38,A38,$O$29:O38,"Price ≤ $5"),AM38))</f>
        <v>2002</v>
      </c>
    </row>
    <row r="39" customFormat="false" ht="41.75" hidden="false" customHeight="false" outlineLevel="0" collapsed="false">
      <c r="A39" s="15" t="s">
        <v>187</v>
      </c>
      <c r="B39" s="15" t="s">
        <v>313</v>
      </c>
      <c r="C39" s="16" t="s">
        <v>314</v>
      </c>
      <c r="D39" s="17" t="n">
        <f aca="false">IF(W39&gt;0,ROUND(AVERAGEIFS('Shortlisted Drugs X Company (7)'!$N$3:$N$698,'Shortlisted Drugs X Company (7)'!$C$3:$C$698,$B39,'Shortlisted Drugs X Company (7)'!$E$3:$E$698,$S39,'Shortlisted Drugs X Company (7)'!$N$3:$N$698,"&gt;5"),2),"")</f>
        <v>5.15</v>
      </c>
      <c r="E39" s="15" t="str">
        <f aca="false">IF(COUNTIFS('Shortlisted Drugs X Company (7)'!$C$3:$C$698,$B39,'Shortlisted Drugs X Company (7)'!$E$3:$E$698,$S39,'Shortlisted Drugs X Company (7)'!$P$3:$P$698,"Exact")&gt;0,"Exact",IF(COUNTIFS('Shortlisted Drugs X Company (7)'!$C$3:$C$698,$B39,'Shortlisted Drugs X Company (7)'!$E$3:$E$698,$S39,'Shortlisted Drugs X Company (7)'!$P$3:$P$698,"Same-market proxy")&gt;0,"Same-market proxy",IF(COUNTIFS('Shortlisted Drugs X Company (7)'!$C$3:$C$698,$B39,'Shortlisted Drugs X Company (7)'!$E$3:$E$698,$S39,'Shortlisted Drugs X Company (7)'!$P$3:$P$698,"Cross-market proxy")&gt;0,"Cross-market proxy",IF(COUNTIFS('Shortlisted Drugs X Company (7)'!$C$3:$C$698,$B39,'Shortlisted Drugs X Company (7)'!$E$3:$E$698,$S39,'Shortlisted Drugs X Company (7)'!$P$3:$P$698,"Source not found")&gt;0,"Source not found","Not priced"))))</f>
        <v>Exact</v>
      </c>
      <c r="F39" s="18" t="n">
        <f aca="false">IFERROR(ROUND(INDEX('Injectable Value'!$AA$28:$AA$178,MATCH(B39,'Injectable Value'!$A$28:$A$178,0)),1),"")</f>
        <v>16359.3</v>
      </c>
      <c r="G39" s="16" t="s">
        <v>315</v>
      </c>
      <c r="H39" s="14" t="n">
        <v>6</v>
      </c>
      <c r="I39" s="15" t="s">
        <v>316</v>
      </c>
      <c r="J39" s="15" t="s">
        <v>249</v>
      </c>
      <c r="K39" s="16" t="str">
        <f aca="false">""&amp;IF(V39=0,"Unpriced","")&amp;IF(AND(V39&gt;0,W39=0,X39=0),"Low price from another market – confirm with company","")</f>
        <v/>
      </c>
      <c r="L39" s="18" t="n">
        <f aca="false">IFERROR(INDEX('Shortlisted Drugs X Company (7)'!$K$3:$K$698,MATCH(B39,'Shortlisted Drugs X Company (7)'!$C$3:$C$698,0)),"")</f>
        <v>598</v>
      </c>
      <c r="M39" s="18" t="n">
        <f aca="false">IFERROR(ROUND(L39*INDEX('Injectable Value'!$Z$28:$Z$178,MATCH(B39,'Injectable Value'!$A$28:$A$178,0)),0),"")</f>
        <v>581</v>
      </c>
      <c r="N39" s="18" t="n">
        <f aca="false">IFERROR(INDEX('Shortlisted Drugs X Company (7)'!$L$3:$L$698,MATCH(B39,'Shortlisted Drugs X Company (7)'!$C$3:$C$698,0)),"")</f>
        <v>16840.43</v>
      </c>
      <c r="O39" s="15" t="str">
        <f aca="false">IF(AE39="No","IV only (not ID/IM/SC)",IF(AND(V39&gt;0,W39=0),"Price ≤ $5",""))</f>
        <v/>
      </c>
      <c r="P39" s="14" t="n">
        <f aca="false">IF(O39&lt;&gt;"","",COUNTIFS($A$29:$A$361,A39,$O$29:$O$361,"",$AC$29:$AC$361,"&gt;"&amp;AC39)+COUNTIFS($A$29:A39,A39,$O$29:O39,"",$AC$29:AC39,AC39))</f>
        <v>10</v>
      </c>
      <c r="Q39" s="15" t="str">
        <f aca="false">IF(O39&lt;&gt;"",IF(O39="Price ≤ $5","Excluded – price ≤ $5","Excluded – IV only"),IF(ISNUMBER(D39),IF(AND(D39&gt;=$C$3,M39&gt;=$E$3),"Priority 1",IF(OR(D39&gt;=$C$3,M39&gt;=$E$3),"Priority 2","Priority 3")),IF(M39&gt;=$E$3,"Priority 2","Priority 3")))</f>
        <v>Priority 2</v>
      </c>
      <c r="R39" s="16" t="s">
        <v>285</v>
      </c>
      <c r="S39" s="15" t="s">
        <v>286</v>
      </c>
      <c r="T39" s="32" t="s">
        <v>317</v>
      </c>
      <c r="U39" s="33" t="str">
        <f aca="false">B39&amp;"|"&amp;S39</f>
        <v>Bupivacaine|Aurobindo Pharma</v>
      </c>
      <c r="V39" s="34" t="n">
        <f aca="false">COUNTIFS('Shortlisted Drugs X Company (7)'!$C$3:$C$698,$B39,'Shortlisted Drugs X Company (7)'!$E$3:$E$698,$S39,'Shortlisted Drugs X Company (7)'!$N$3:$N$698,"&gt;=0")</f>
        <v>1</v>
      </c>
      <c r="W39" s="34" t="n">
        <f aca="false">COUNTIFS('Shortlisted Drugs X Company (7)'!$C$3:$C$698,$B39,'Shortlisted Drugs X Company (7)'!$E$3:$E$698,$S39,'Shortlisted Drugs X Company (7)'!$N$3:$N$698,"&gt;5")</f>
        <v>1</v>
      </c>
      <c r="X39" s="34" t="n">
        <f aca="false">COUNTIFS('Shortlisted Drugs X Company (7)'!$C$3:$C$698,$B39,'Shortlisted Drugs X Company (7)'!$E$3:$E$698,$S39,'Shortlisted Drugs X Company (7)'!$P$3:$P$698,"Exact")+COUNTIFS('Shortlisted Drugs X Company (7)'!$C$3:$C$698,$B39,'Shortlisted Drugs X Company (7)'!$E$3:$E$698,$S39,'Shortlisted Drugs X Company (7)'!$P$3:$P$698,"Same-market proxy")</f>
        <v>1</v>
      </c>
      <c r="Y39" s="33" t="str">
        <f aca="false">A39&amp;"|"&amp;P39</f>
        <v>Aurobindo|10</v>
      </c>
      <c r="Z39" s="16" t="s">
        <v>318</v>
      </c>
      <c r="AA39" s="33" t="n">
        <f aca="false">INDEX($G$7:$G$25,MATCH(A39,$A$7:$A$25,0))</f>
        <v>2</v>
      </c>
      <c r="AB39" s="33" t="n">
        <f aca="false">IF(AE39="No","",AA39*1000+IF(P39="",900+COUNTIFS($A$29:A39,A39,$O$29:O39,"Price ≤ $5"),P39))</f>
        <v>2010</v>
      </c>
      <c r="AC39" s="33" t="n">
        <f aca="false">IF(O39&lt;&gt;"","",(4-VALUE(RIGHT(Q39,1)))*10^7+N(F39))</f>
        <v>20016359.3</v>
      </c>
      <c r="AD39" s="15" t="str">
        <f aca="false">IFERROR(INDEX('Route of Administration'!$C$5:$C$155,MATCH(B39,'Route of Administration'!$A$5:$A$155,0)),"")</f>
        <v>Epidural, intra-articular, SC, perineural</v>
      </c>
      <c r="AE39" s="14" t="str">
        <f aca="false">IFERROR(INDEX('Route of Administration'!$D$5:$D$155,MATCH(B39,'Route of Administration'!$A$5:$A$155,0)),"")</f>
        <v>Yes</v>
      </c>
      <c r="AF39" s="19" t="n">
        <f aca="false">IF(V39&gt;0,ROUND(AVERAGEIFS('Shortlisted Drugs X Company (7)'!$N$3:$N$698,'Shortlisted Drugs X Company (7)'!$C$3:$C$698,$B39,'Shortlisted Drugs X Company (7)'!$E$3:$E$698,$S39,'Shortlisted Drugs X Company (7)'!$N$3:$N$698,"&gt;=0"),2),"")</f>
        <v>5.15</v>
      </c>
      <c r="AG39" s="16" t="s">
        <v>319</v>
      </c>
      <c r="AH39" s="16" t="s">
        <v>320</v>
      </c>
      <c r="AI39" s="16" t="s">
        <v>320</v>
      </c>
      <c r="AJ39" s="16" t="str">
        <f aca="false">IF(O39&lt;&gt;"","",IF(ISNUMBER(D39),IF(D39&gt;=$C$3,"High price","Lower price"),"Unpriced")&amp;" · "&amp;IF(M39&gt;=$E$3,"high volume","lower volume"))</f>
        <v>Lower price · high volume</v>
      </c>
      <c r="AK39" s="15" t="str">
        <f aca="false">IF(O39&lt;&gt;"",IF(O39="Price ≤ $5","Excluded – price ≤ $5","Excluded – IV only"),IF(ISNUMBER(D39),IF(AND(D39&gt;=$C$3,L39&gt;=$H$3),"Priority 1",IF(OR(D39&gt;=$C$3,L39&gt;=$H$3),"Priority 2","Priority 3")),IF(L39&gt;=$H$3,"Priority 2","Priority 3")))</f>
        <v>Priority 2</v>
      </c>
      <c r="AL39" s="16" t="str">
        <f aca="false">IF(O39&lt;&gt;"","",IF(ISNUMBER(D39),IF(D39&gt;=$C$3,"High price","Lower price"),"Unpriced")&amp;" · "&amp;IF(L39&gt;=$H$3,"high volume","lower volume"))</f>
        <v>Lower price · high volume</v>
      </c>
      <c r="AM39" s="14" t="n">
        <f aca="false">IF(O39&lt;&gt;"","",COUNTIFS($A$29:$A$361,A39,$O$29:$O$361,"",$AQ$29:$AQ$361,"&gt;"&amp;AQ39)+COUNTIFS($A$29:A39,A39,$O$29:O39,"",$AQ$29:AQ39,AQ39))</f>
        <v>12</v>
      </c>
      <c r="AN39" s="19" t="n">
        <f aca="false">IF(AND(O39="",ISNUMBER(D39)),D39,"")</f>
        <v>5.15</v>
      </c>
      <c r="AO39" s="20" t="n">
        <f aca="false">IF(O39="",M39,"")</f>
        <v>581</v>
      </c>
      <c r="AP39" s="20" t="n">
        <f aca="false">IF(O39="",L39,"")</f>
        <v>598</v>
      </c>
      <c r="AQ39" s="33" t="n">
        <f aca="false">IF(O39&lt;&gt;"","",(4-VALUE(RIGHT(AK39,1)))*10^7+N(N39))</f>
        <v>20016840.43</v>
      </c>
      <c r="AR39" s="33" t="n">
        <f aca="false">INDEX($O$7:$O$25,MATCH(A39,$I$7:$I$25,0))</f>
        <v>2</v>
      </c>
      <c r="AS39" s="33" t="n">
        <f aca="false">IF(AE39="No","",AR39*1000+IF(AM39="",900+COUNTIFS($A$29:A39,A39,$O$29:O39,"Price ≤ $5"),AM39))</f>
        <v>2012</v>
      </c>
    </row>
    <row r="40" customFormat="false" ht="41.75" hidden="false" customHeight="false" outlineLevel="0" collapsed="false">
      <c r="A40" s="15" t="s">
        <v>187</v>
      </c>
      <c r="B40" s="15" t="s">
        <v>245</v>
      </c>
      <c r="C40" s="16" t="s">
        <v>246</v>
      </c>
      <c r="D40" s="17" t="n">
        <f aca="false">IF(W40&gt;0,ROUND(AVERAGEIFS('Shortlisted Drugs X Company (7)'!$N$3:$N$698,'Shortlisted Drugs X Company (7)'!$C$3:$C$698,$B40,'Shortlisted Drugs X Company (7)'!$E$3:$E$698,$S40,'Shortlisted Drugs X Company (7)'!$N$3:$N$698,"&gt;5"),2),"")</f>
        <v>30.01</v>
      </c>
      <c r="E40" s="15" t="str">
        <f aca="false">IF(COUNTIFS('Shortlisted Drugs X Company (7)'!$C$3:$C$698,$B40,'Shortlisted Drugs X Company (7)'!$E$3:$E$698,$S40,'Shortlisted Drugs X Company (7)'!$P$3:$P$698,"Exact")&gt;0,"Exact",IF(COUNTIFS('Shortlisted Drugs X Company (7)'!$C$3:$C$698,$B40,'Shortlisted Drugs X Company (7)'!$E$3:$E$698,$S40,'Shortlisted Drugs X Company (7)'!$P$3:$P$698,"Same-market proxy")&gt;0,"Same-market proxy",IF(COUNTIFS('Shortlisted Drugs X Company (7)'!$C$3:$C$698,$B40,'Shortlisted Drugs X Company (7)'!$E$3:$E$698,$S40,'Shortlisted Drugs X Company (7)'!$P$3:$P$698,"Cross-market proxy")&gt;0,"Cross-market proxy",IF(COUNTIFS('Shortlisted Drugs X Company (7)'!$C$3:$C$698,$B40,'Shortlisted Drugs X Company (7)'!$E$3:$E$698,$S40,'Shortlisted Drugs X Company (7)'!$P$3:$P$698,"Source not found")&gt;0,"Source not found","Not priced"))))</f>
        <v>Same-market proxy</v>
      </c>
      <c r="F40" s="18" t="n">
        <f aca="false">IFERROR(ROUND(INDEX('Injectable Value'!$AA$28:$AA$178,MATCH(B40,'Injectable Value'!$A$28:$A$178,0)),1),"")</f>
        <v>3625.3</v>
      </c>
      <c r="G40" s="16" t="s">
        <v>247</v>
      </c>
      <c r="H40" s="14" t="n">
        <v>1</v>
      </c>
      <c r="I40" s="15" t="s">
        <v>248</v>
      </c>
      <c r="J40" s="15" t="s">
        <v>249</v>
      </c>
      <c r="K40" s="16" t="str">
        <f aca="false">""&amp;IF(V40=0,"Unpriced","")&amp;IF(AND(V40&gt;0,W40=0,X40=0),"Low price from another market – confirm with company","")</f>
        <v/>
      </c>
      <c r="L40" s="18" t="n">
        <f aca="false">IFERROR(INDEX('Shortlisted Drugs X Company (7)'!$K$3:$K$698,MATCH(B40,'Shortlisted Drugs X Company (7)'!$C$3:$C$698,0)),"")</f>
        <v>156</v>
      </c>
      <c r="M40" s="18" t="n">
        <f aca="false">IFERROR(ROUND(L40*INDEX('Injectable Value'!$Z$28:$Z$178,MATCH(B40,'Injectable Value'!$A$28:$A$178,0)),0),"")</f>
        <v>143</v>
      </c>
      <c r="N40" s="18" t="n">
        <f aca="false">IFERROR(INDEX('Shortlisted Drugs X Company (7)'!$L$3:$L$698,MATCH(B40,'Shortlisted Drugs X Company (7)'!$C$3:$C$698,0)),"")</f>
        <v>3954.83</v>
      </c>
      <c r="O40" s="15" t="str">
        <f aca="false">IF(AE40="No","IV only (not ID/IM/SC)",IF(AND(V40&gt;0,W40=0),"Price ≤ $5",""))</f>
        <v/>
      </c>
      <c r="P40" s="14" t="n">
        <f aca="false">IF(O40&lt;&gt;"","",COUNTIFS($A$29:$A$361,A40,$O$29:$O$361,"",$AC$29:$AC$361,"&gt;"&amp;AC40)+COUNTIFS($A$29:A40,A40,$O$29:O40,"",$AC$29:AC40,AC40))</f>
        <v>16</v>
      </c>
      <c r="Q40" s="15" t="str">
        <f aca="false">IF(O40&lt;&gt;"",IF(O40="Price ≤ $5","Excluded – price ≤ $5","Excluded – IV only"),IF(ISNUMBER(D40),IF(AND(D40&gt;=$C$3,M40&gt;=$E$3),"Priority 1",IF(OR(D40&gt;=$C$3,M40&gt;=$E$3),"Priority 2","Priority 3")),IF(M40&gt;=$E$3,"Priority 2","Priority 3")))</f>
        <v>Priority 2</v>
      </c>
      <c r="R40" s="16" t="s">
        <v>250</v>
      </c>
      <c r="S40" s="15" t="s">
        <v>286</v>
      </c>
      <c r="T40" s="32" t="s">
        <v>252</v>
      </c>
      <c r="U40" s="33" t="str">
        <f aca="false">B40&amp;"|"&amp;S40</f>
        <v>Carboprost|Aurobindo Pharma</v>
      </c>
      <c r="V40" s="34" t="n">
        <f aca="false">COUNTIFS('Shortlisted Drugs X Company (7)'!$C$3:$C$698,$B40,'Shortlisted Drugs X Company (7)'!$E$3:$E$698,$S40,'Shortlisted Drugs X Company (7)'!$N$3:$N$698,"&gt;=0")</f>
        <v>1</v>
      </c>
      <c r="W40" s="34" t="n">
        <f aca="false">COUNTIFS('Shortlisted Drugs X Company (7)'!$C$3:$C$698,$B40,'Shortlisted Drugs X Company (7)'!$E$3:$E$698,$S40,'Shortlisted Drugs X Company (7)'!$N$3:$N$698,"&gt;5")</f>
        <v>1</v>
      </c>
      <c r="X40" s="34" t="n">
        <f aca="false">COUNTIFS('Shortlisted Drugs X Company (7)'!$C$3:$C$698,$B40,'Shortlisted Drugs X Company (7)'!$E$3:$E$698,$S40,'Shortlisted Drugs X Company (7)'!$P$3:$P$698,"Exact")+COUNTIFS('Shortlisted Drugs X Company (7)'!$C$3:$C$698,$B40,'Shortlisted Drugs X Company (7)'!$E$3:$E$698,$S40,'Shortlisted Drugs X Company (7)'!$P$3:$P$698,"Same-market proxy")</f>
        <v>1</v>
      </c>
      <c r="Y40" s="33" t="str">
        <f aca="false">A40&amp;"|"&amp;P40</f>
        <v>Aurobindo|16</v>
      </c>
      <c r="Z40" s="16" t="s">
        <v>253</v>
      </c>
      <c r="AA40" s="33" t="n">
        <f aca="false">INDEX($G$7:$G$25,MATCH(A40,$A$7:$A$25,0))</f>
        <v>2</v>
      </c>
      <c r="AB40" s="33" t="n">
        <f aca="false">IF(AE40="No","",AA40*1000+IF(P40="",900+COUNTIFS($A$29:A40,A40,$O$29:O40,"Price ≤ $5"),P40))</f>
        <v>2016</v>
      </c>
      <c r="AC40" s="33" t="n">
        <f aca="false">IF(O40&lt;&gt;"","",(4-VALUE(RIGHT(Q40,1)))*10^7+N(F40))</f>
        <v>20003625.3</v>
      </c>
      <c r="AD40" s="15" t="str">
        <f aca="false">IFERROR(INDEX('Route of Administration'!$C$5:$C$155,MATCH(B40,'Route of Administration'!$A$5:$A$155,0)),"")</f>
        <v>IM</v>
      </c>
      <c r="AE40" s="14" t="str">
        <f aca="false">IFERROR(INDEX('Route of Administration'!$D$5:$D$155,MATCH(B40,'Route of Administration'!$A$5:$A$155,0)),"")</f>
        <v>Yes</v>
      </c>
      <c r="AF40" s="19" t="n">
        <f aca="false">IF(V40&gt;0,ROUND(AVERAGEIFS('Shortlisted Drugs X Company (7)'!$N$3:$N$698,'Shortlisted Drugs X Company (7)'!$C$3:$C$698,$B40,'Shortlisted Drugs X Company (7)'!$E$3:$E$698,$S40,'Shortlisted Drugs X Company (7)'!$N$3:$N$698,"&gt;=0"),2),"")</f>
        <v>30.01</v>
      </c>
      <c r="AG40" s="16" t="s">
        <v>321</v>
      </c>
      <c r="AH40" s="16" t="s">
        <v>247</v>
      </c>
      <c r="AI40" s="16" t="s">
        <v>247</v>
      </c>
      <c r="AJ40" s="16" t="str">
        <f aca="false">IF(O40&lt;&gt;"","",IF(ISNUMBER(D40),IF(D40&gt;=$C$3,"High price","Lower price"),"Unpriced")&amp;" · "&amp;IF(M40&gt;=$E$3,"high volume","lower volume"))</f>
        <v>High price · lower volume</v>
      </c>
      <c r="AK40" s="15" t="str">
        <f aca="false">IF(O40&lt;&gt;"",IF(O40="Price ≤ $5","Excluded – price ≤ $5","Excluded – IV only"),IF(ISNUMBER(D40),IF(AND(D40&gt;=$C$3,L40&gt;=$H$3),"Priority 1",IF(OR(D40&gt;=$C$3,L40&gt;=$H$3),"Priority 2","Priority 3")),IF(L40&gt;=$H$3,"Priority 2","Priority 3")))</f>
        <v>Priority 2</v>
      </c>
      <c r="AL40" s="16" t="str">
        <f aca="false">IF(O40&lt;&gt;"","",IF(ISNUMBER(D40),IF(D40&gt;=$C$3,"High price","Lower price"),"Unpriced")&amp;" · "&amp;IF(L40&gt;=$H$3,"high volume","lower volume"))</f>
        <v>High price · lower volume</v>
      </c>
      <c r="AM40" s="14" t="n">
        <f aca="false">IF(O40&lt;&gt;"","",COUNTIFS($A$29:$A$361,A40,$O$29:$O$361,"",$AQ$29:$AQ$361,"&gt;"&amp;AQ40)+COUNTIFS($A$29:A40,A40,$O$29:O40,"",$AQ$29:AQ40,AQ40))</f>
        <v>21</v>
      </c>
      <c r="AN40" s="19" t="n">
        <f aca="false">IF(AND(O40="",ISNUMBER(D40)),D40,"")</f>
        <v>30.01</v>
      </c>
      <c r="AO40" s="20" t="n">
        <f aca="false">IF(O40="",M40,"")</f>
        <v>143</v>
      </c>
      <c r="AP40" s="20" t="n">
        <f aca="false">IF(O40="",L40,"")</f>
        <v>156</v>
      </c>
      <c r="AQ40" s="33" t="n">
        <f aca="false">IF(O40&lt;&gt;"","",(4-VALUE(RIGHT(AK40,1)))*10^7+N(N40))</f>
        <v>20003954.83</v>
      </c>
      <c r="AR40" s="33" t="n">
        <f aca="false">INDEX($O$7:$O$25,MATCH(A40,$I$7:$I$25,0))</f>
        <v>2</v>
      </c>
      <c r="AS40" s="33" t="n">
        <f aca="false">IF(AE40="No","",AR40*1000+IF(AM40="",900+COUNTIFS($A$29:A40,A40,$O$29:O40,"Price ≤ $5"),AM40))</f>
        <v>2021</v>
      </c>
    </row>
    <row r="41" customFormat="false" ht="41.75" hidden="false" customHeight="false" outlineLevel="0" collapsed="false">
      <c r="A41" s="15" t="s">
        <v>187</v>
      </c>
      <c r="B41" s="15" t="s">
        <v>322</v>
      </c>
      <c r="C41" s="16" t="s">
        <v>323</v>
      </c>
      <c r="D41" s="17" t="n">
        <f aca="false">IF(W41&gt;0,ROUND(AVERAGEIFS('Shortlisted Drugs X Company (7)'!$N$3:$N$698,'Shortlisted Drugs X Company (7)'!$C$3:$C$698,$B41,'Shortlisted Drugs X Company (7)'!$E$3:$E$698,$S41,'Shortlisted Drugs X Company (7)'!$N$3:$N$698,"&gt;5"),2),"")</f>
        <v>9.08</v>
      </c>
      <c r="E41" s="15" t="str">
        <f aca="false">IF(COUNTIFS('Shortlisted Drugs X Company (7)'!$C$3:$C$698,$B41,'Shortlisted Drugs X Company (7)'!$E$3:$E$698,$S41,'Shortlisted Drugs X Company (7)'!$P$3:$P$698,"Exact")&gt;0,"Exact",IF(COUNTIFS('Shortlisted Drugs X Company (7)'!$C$3:$C$698,$B41,'Shortlisted Drugs X Company (7)'!$E$3:$E$698,$S41,'Shortlisted Drugs X Company (7)'!$P$3:$P$698,"Same-market proxy")&gt;0,"Same-market proxy",IF(COUNTIFS('Shortlisted Drugs X Company (7)'!$C$3:$C$698,$B41,'Shortlisted Drugs X Company (7)'!$E$3:$E$698,$S41,'Shortlisted Drugs X Company (7)'!$P$3:$P$698,"Cross-market proxy")&gt;0,"Cross-market proxy",IF(COUNTIFS('Shortlisted Drugs X Company (7)'!$C$3:$C$698,$B41,'Shortlisted Drugs X Company (7)'!$E$3:$E$698,$S41,'Shortlisted Drugs X Company (7)'!$P$3:$P$698,"Source not found")&gt;0,"Source not found","Not priced"))))</f>
        <v>Exact</v>
      </c>
      <c r="F41" s="18" t="n">
        <f aca="false">IFERROR(ROUND(INDEX('Injectable Value'!$AA$28:$AA$178,MATCH(B41,'Injectable Value'!$A$28:$A$178,0)),1),"")</f>
        <v>6294.9</v>
      </c>
      <c r="G41" s="16" t="s">
        <v>70</v>
      </c>
      <c r="H41" s="14" t="n">
        <v>1</v>
      </c>
      <c r="I41" s="15" t="s">
        <v>248</v>
      </c>
      <c r="J41" s="15" t="s">
        <v>324</v>
      </c>
      <c r="K41" s="16" t="str">
        <f aca="false">"Reconstitution"&amp;IF(V41=0,"; Unpriced","")&amp;IF(AND(V41&gt;0,W41=0,X41=0),"; Low price from another market – confirm with company","")</f>
        <v>Reconstitution</v>
      </c>
      <c r="L41" s="18" t="n">
        <f aca="false">IFERROR(INDEX('Shortlisted Drugs X Company (7)'!$K$3:$K$698,MATCH(B41,'Shortlisted Drugs X Company (7)'!$C$3:$C$698,0)),"")</f>
        <v>290</v>
      </c>
      <c r="M41" s="18" t="n">
        <f aca="false">IFERROR(ROUND(L41*INDEX('Injectable Value'!$Z$28:$Z$178,MATCH(B41,'Injectable Value'!$A$28:$A$178,0)),0),"")</f>
        <v>288</v>
      </c>
      <c r="N41" s="18" t="n">
        <f aca="false">IFERROR(INDEX('Shortlisted Drugs X Company (7)'!$L$3:$L$698,MATCH(B41,'Shortlisted Drugs X Company (7)'!$C$3:$C$698,0)),"")</f>
        <v>6348.25</v>
      </c>
      <c r="O41" s="15" t="str">
        <f aca="false">IF(AE41="No","IV only (not ID/IM/SC)",IF(AND(V41&gt;0,W41=0),"Price ≤ $5",""))</f>
        <v/>
      </c>
      <c r="P41" s="14" t="n">
        <f aca="false">IF(O41&lt;&gt;"","",COUNTIFS($A$29:$A$361,A41,$O$29:$O$361,"",$AC$29:$AC$361,"&gt;"&amp;AC41)+COUNTIFS($A$29:A41,A41,$O$29:O41,"",$AC$29:AC41,AC41))</f>
        <v>14</v>
      </c>
      <c r="Q41" s="15" t="str">
        <f aca="false">IF(O41&lt;&gt;"",IF(O41="Price ≤ $5","Excluded – price ≤ $5","Excluded – IV only"),IF(ISNUMBER(D41),IF(AND(D41&gt;=$C$3,M41&gt;=$E$3),"Priority 1",IF(OR(D41&gt;=$C$3,M41&gt;=$E$3),"Priority 2","Priority 3")),IF(M41&gt;=$E$3,"Priority 2","Priority 3")))</f>
        <v>Priority 2</v>
      </c>
      <c r="R41" s="16" t="s">
        <v>250</v>
      </c>
      <c r="S41" s="15" t="s">
        <v>286</v>
      </c>
      <c r="T41" s="32" t="s">
        <v>325</v>
      </c>
      <c r="U41" s="33" t="str">
        <f aca="false">B41&amp;"|"&amp;S41</f>
        <v>Cefepime|Aurobindo Pharma</v>
      </c>
      <c r="V41" s="34" t="n">
        <f aca="false">COUNTIFS('Shortlisted Drugs X Company (7)'!$C$3:$C$698,$B41,'Shortlisted Drugs X Company (7)'!$E$3:$E$698,$S41,'Shortlisted Drugs X Company (7)'!$N$3:$N$698,"&gt;=0")</f>
        <v>4</v>
      </c>
      <c r="W41" s="34" t="n">
        <f aca="false">COUNTIFS('Shortlisted Drugs X Company (7)'!$C$3:$C$698,$B41,'Shortlisted Drugs X Company (7)'!$E$3:$E$698,$S41,'Shortlisted Drugs X Company (7)'!$N$3:$N$698,"&gt;5")</f>
        <v>4</v>
      </c>
      <c r="X41" s="34" t="n">
        <f aca="false">COUNTIFS('Shortlisted Drugs X Company (7)'!$C$3:$C$698,$B41,'Shortlisted Drugs X Company (7)'!$E$3:$E$698,$S41,'Shortlisted Drugs X Company (7)'!$P$3:$P$698,"Exact")+COUNTIFS('Shortlisted Drugs X Company (7)'!$C$3:$C$698,$B41,'Shortlisted Drugs X Company (7)'!$E$3:$E$698,$S41,'Shortlisted Drugs X Company (7)'!$P$3:$P$698,"Same-market proxy")</f>
        <v>4</v>
      </c>
      <c r="Y41" s="33" t="str">
        <f aca="false">A41&amp;"|"&amp;P41</f>
        <v>Aurobindo|14</v>
      </c>
      <c r="Z41" s="16" t="s">
        <v>326</v>
      </c>
      <c r="AA41" s="33" t="n">
        <f aca="false">INDEX($G$7:$G$25,MATCH(A41,$A$7:$A$25,0))</f>
        <v>2</v>
      </c>
      <c r="AB41" s="33" t="n">
        <f aca="false">IF(AE41="No","",AA41*1000+IF(P41="",900+COUNTIFS($A$29:A41,A41,$O$29:O41,"Price ≤ $5"),P41))</f>
        <v>2014</v>
      </c>
      <c r="AC41" s="33" t="n">
        <f aca="false">IF(O41&lt;&gt;"","",(4-VALUE(RIGHT(Q41,1)))*10^7+N(F41))</f>
        <v>20006294.9</v>
      </c>
      <c r="AD41" s="15" t="str">
        <f aca="false">IFERROR(INDEX('Route of Administration'!$C$5:$C$155,MATCH(B41,'Route of Administration'!$A$5:$A$155,0)),"")</f>
        <v>IV, IM</v>
      </c>
      <c r="AE41" s="14" t="str">
        <f aca="false">IFERROR(INDEX('Route of Administration'!$D$5:$D$155,MATCH(B41,'Route of Administration'!$A$5:$A$155,0)),"")</f>
        <v>Yes</v>
      </c>
      <c r="AF41" s="19" t="n">
        <f aca="false">IF(V41&gt;0,ROUND(AVERAGEIFS('Shortlisted Drugs X Company (7)'!$N$3:$N$698,'Shortlisted Drugs X Company (7)'!$C$3:$C$698,$B41,'Shortlisted Drugs X Company (7)'!$E$3:$E$698,$S41,'Shortlisted Drugs X Company (7)'!$N$3:$N$698,"&gt;=0"),2),"")</f>
        <v>9.08</v>
      </c>
      <c r="AG41" s="16" t="s">
        <v>327</v>
      </c>
      <c r="AH41" s="16" t="s">
        <v>328</v>
      </c>
      <c r="AI41" s="16" t="s">
        <v>328</v>
      </c>
      <c r="AJ41" s="16" t="str">
        <f aca="false">IF(O41&lt;&gt;"","",IF(ISNUMBER(D41),IF(D41&gt;=$C$3,"High price","Lower price"),"Unpriced")&amp;" · "&amp;IF(M41&gt;=$E$3,"high volume","lower volume"))</f>
        <v>Lower price · high volume</v>
      </c>
      <c r="AK41" s="15" t="str">
        <f aca="false">IF(O41&lt;&gt;"",IF(O41="Price ≤ $5","Excluded – price ≤ $5","Excluded – IV only"),IF(ISNUMBER(D41),IF(AND(D41&gt;=$C$3,L41&gt;=$H$3),"Priority 1",IF(OR(D41&gt;=$C$3,L41&gt;=$H$3),"Priority 2","Priority 3")),IF(L41&gt;=$H$3,"Priority 2","Priority 3")))</f>
        <v>Priority 2</v>
      </c>
      <c r="AL41" s="16" t="str">
        <f aca="false">IF(O41&lt;&gt;"","",IF(ISNUMBER(D41),IF(D41&gt;=$C$3,"High price","Lower price"),"Unpriced")&amp;" · "&amp;IF(L41&gt;=$H$3,"high volume","lower volume"))</f>
        <v>Lower price · high volume</v>
      </c>
      <c r="AM41" s="14" t="n">
        <f aca="false">IF(O41&lt;&gt;"","",COUNTIFS($A$29:$A$361,A41,$O$29:$O$361,"",$AQ$29:$AQ$361,"&gt;"&amp;AQ41)+COUNTIFS($A$29:A41,A41,$O$29:O41,"",$AQ$29:AQ41,AQ41))</f>
        <v>19</v>
      </c>
      <c r="AN41" s="19" t="n">
        <f aca="false">IF(AND(O41="",ISNUMBER(D41)),D41,"")</f>
        <v>9.08</v>
      </c>
      <c r="AO41" s="20" t="n">
        <f aca="false">IF(O41="",M41,"")</f>
        <v>288</v>
      </c>
      <c r="AP41" s="20" t="n">
        <f aca="false">IF(O41="",L41,"")</f>
        <v>290</v>
      </c>
      <c r="AQ41" s="33" t="n">
        <f aca="false">IF(O41&lt;&gt;"","",(4-VALUE(RIGHT(AK41,1)))*10^7+N(N41))</f>
        <v>20006348.25</v>
      </c>
      <c r="AR41" s="33" t="n">
        <f aca="false">INDEX($O$7:$O$25,MATCH(A41,$I$7:$I$25,0))</f>
        <v>2</v>
      </c>
      <c r="AS41" s="33" t="n">
        <f aca="false">IF(AE41="No","",AR41*1000+IF(AM41="",900+COUNTIFS($A$29:A41,A41,$O$29:O41,"Price ≤ $5"),AM41))</f>
        <v>2019</v>
      </c>
    </row>
    <row r="42" customFormat="false" ht="41.75" hidden="false" customHeight="false" outlineLevel="0" collapsed="false">
      <c r="A42" s="15" t="s">
        <v>187</v>
      </c>
      <c r="B42" s="15" t="s">
        <v>329</v>
      </c>
      <c r="C42" s="16" t="s">
        <v>330</v>
      </c>
      <c r="D42" s="17" t="n">
        <f aca="false">IF(W42&gt;0,ROUND(AVERAGEIFS('Shortlisted Drugs X Company (7)'!$N$3:$N$698,'Shortlisted Drugs X Company (7)'!$C$3:$C$698,$B42,'Shortlisted Drugs X Company (7)'!$E$3:$E$698,$S42,'Shortlisted Drugs X Company (7)'!$N$3:$N$698,"&gt;5"),2),"")</f>
        <v>8.5</v>
      </c>
      <c r="E42" s="15" t="str">
        <f aca="false">IF(COUNTIFS('Shortlisted Drugs X Company (7)'!$C$3:$C$698,$B42,'Shortlisted Drugs X Company (7)'!$E$3:$E$698,$S42,'Shortlisted Drugs X Company (7)'!$P$3:$P$698,"Exact")&gt;0,"Exact",IF(COUNTIFS('Shortlisted Drugs X Company (7)'!$C$3:$C$698,$B42,'Shortlisted Drugs X Company (7)'!$E$3:$E$698,$S42,'Shortlisted Drugs X Company (7)'!$P$3:$P$698,"Same-market proxy")&gt;0,"Same-market proxy",IF(COUNTIFS('Shortlisted Drugs X Company (7)'!$C$3:$C$698,$B42,'Shortlisted Drugs X Company (7)'!$E$3:$E$698,$S42,'Shortlisted Drugs X Company (7)'!$P$3:$P$698,"Cross-market proxy")&gt;0,"Cross-market proxy",IF(COUNTIFS('Shortlisted Drugs X Company (7)'!$C$3:$C$698,$B42,'Shortlisted Drugs X Company (7)'!$E$3:$E$698,$S42,'Shortlisted Drugs X Company (7)'!$P$3:$P$698,"Source not found")&gt;0,"Source not found","Not priced"))))</f>
        <v>Exact</v>
      </c>
      <c r="F42" s="18" t="n">
        <f aca="false">IFERROR(ROUND(INDEX('Injectable Value'!$AA$28:$AA$178,MATCH(B42,'Injectable Value'!$A$28:$A$178,0)),1),"")</f>
        <v>5713.6</v>
      </c>
      <c r="G42" s="16" t="s">
        <v>331</v>
      </c>
      <c r="H42" s="14" t="n">
        <v>1</v>
      </c>
      <c r="I42" s="15" t="s">
        <v>248</v>
      </c>
      <c r="J42" s="15" t="s">
        <v>299</v>
      </c>
      <c r="K42" s="16" t="str">
        <f aca="false">"Reconstitution"&amp;IF(V42=0,"; Unpriced","")&amp;IF(AND(V42&gt;0,W42=0,X42=0),"; Low price from another market – confirm with company","")</f>
        <v>Reconstitution</v>
      </c>
      <c r="L42" s="18" t="n">
        <f aca="false">IFERROR(INDEX('Shortlisted Drugs X Company (7)'!$K$3:$K$698,MATCH(B42,'Shortlisted Drugs X Company (7)'!$C$3:$C$698,0)),"")</f>
        <v>335</v>
      </c>
      <c r="M42" s="18" t="n">
        <f aca="false">IFERROR(ROUND(L42*INDEX('Injectable Value'!$Z$28:$Z$178,MATCH(B42,'Injectable Value'!$A$28:$A$178,0)),0),"")</f>
        <v>335</v>
      </c>
      <c r="N42" s="18" t="n">
        <f aca="false">IFERROR(INDEX('Shortlisted Drugs X Company (7)'!$L$3:$L$698,MATCH(B42,'Shortlisted Drugs X Company (7)'!$C$3:$C$698,0)),"")</f>
        <v>5713.56</v>
      </c>
      <c r="O42" s="15" t="str">
        <f aca="false">IF(AE42="No","IV only (not ID/IM/SC)",IF(AND(V42&gt;0,W42=0),"Price ≤ $5",""))</f>
        <v/>
      </c>
      <c r="P42" s="14" t="n">
        <f aca="false">IF(O42&lt;&gt;"","",COUNTIFS($A$29:$A$361,A42,$O$29:$O$361,"",$AC$29:$AC$361,"&gt;"&amp;AC42)+COUNTIFS($A$29:A42,A42,$O$29:O42,"",$AC$29:AC42,AC42))</f>
        <v>15</v>
      </c>
      <c r="Q42" s="15" t="str">
        <f aca="false">IF(O42&lt;&gt;"",IF(O42="Price ≤ $5","Excluded – price ≤ $5","Excluded – IV only"),IF(ISNUMBER(D42),IF(AND(D42&gt;=$C$3,M42&gt;=$E$3),"Priority 1",IF(OR(D42&gt;=$C$3,M42&gt;=$E$3),"Priority 2","Priority 3")),IF(M42&gt;=$E$3,"Priority 2","Priority 3")))</f>
        <v>Priority 2</v>
      </c>
      <c r="R42" s="16" t="s">
        <v>250</v>
      </c>
      <c r="S42" s="15" t="s">
        <v>286</v>
      </c>
      <c r="T42" s="32" t="s">
        <v>332</v>
      </c>
      <c r="U42" s="33" t="str">
        <f aca="false">B42&amp;"|"&amp;S42</f>
        <v>Ceftazidime|Aurobindo Pharma</v>
      </c>
      <c r="V42" s="34" t="n">
        <f aca="false">COUNTIFS('Shortlisted Drugs X Company (7)'!$C$3:$C$698,$B42,'Shortlisted Drugs X Company (7)'!$E$3:$E$698,$S42,'Shortlisted Drugs X Company (7)'!$N$3:$N$698,"&gt;=0")</f>
        <v>1</v>
      </c>
      <c r="W42" s="34" t="n">
        <f aca="false">COUNTIFS('Shortlisted Drugs X Company (7)'!$C$3:$C$698,$B42,'Shortlisted Drugs X Company (7)'!$E$3:$E$698,$S42,'Shortlisted Drugs X Company (7)'!$N$3:$N$698,"&gt;5")</f>
        <v>1</v>
      </c>
      <c r="X42" s="34" t="n">
        <f aca="false">COUNTIFS('Shortlisted Drugs X Company (7)'!$C$3:$C$698,$B42,'Shortlisted Drugs X Company (7)'!$E$3:$E$698,$S42,'Shortlisted Drugs X Company (7)'!$P$3:$P$698,"Exact")+COUNTIFS('Shortlisted Drugs X Company (7)'!$C$3:$C$698,$B42,'Shortlisted Drugs X Company (7)'!$E$3:$E$698,$S42,'Shortlisted Drugs X Company (7)'!$P$3:$P$698,"Same-market proxy")</f>
        <v>1</v>
      </c>
      <c r="Y42" s="33" t="str">
        <f aca="false">A42&amp;"|"&amp;P42</f>
        <v>Aurobindo|15</v>
      </c>
      <c r="Z42" s="16" t="s">
        <v>333</v>
      </c>
      <c r="AA42" s="33" t="n">
        <f aca="false">INDEX($G$7:$G$25,MATCH(A42,$A$7:$A$25,0))</f>
        <v>2</v>
      </c>
      <c r="AB42" s="33" t="n">
        <f aca="false">IF(AE42="No","",AA42*1000+IF(P42="",900+COUNTIFS($A$29:A42,A42,$O$29:O42,"Price ≤ $5"),P42))</f>
        <v>2015</v>
      </c>
      <c r="AC42" s="33" t="n">
        <f aca="false">IF(O42&lt;&gt;"","",(4-VALUE(RIGHT(Q42,1)))*10^7+N(F42))</f>
        <v>20005713.6</v>
      </c>
      <c r="AD42" s="15" t="str">
        <f aca="false">IFERROR(INDEX('Route of Administration'!$C$5:$C$155,MATCH(B42,'Route of Administration'!$A$5:$A$155,0)),"")</f>
        <v>IV, IM</v>
      </c>
      <c r="AE42" s="14" t="str">
        <f aca="false">IFERROR(INDEX('Route of Administration'!$D$5:$D$155,MATCH(B42,'Route of Administration'!$A$5:$A$155,0)),"")</f>
        <v>Yes</v>
      </c>
      <c r="AF42" s="19" t="n">
        <f aca="false">IF(V42&gt;0,ROUND(AVERAGEIFS('Shortlisted Drugs X Company (7)'!$N$3:$N$698,'Shortlisted Drugs X Company (7)'!$C$3:$C$698,$B42,'Shortlisted Drugs X Company (7)'!$E$3:$E$698,$S42,'Shortlisted Drugs X Company (7)'!$N$3:$N$698,"&gt;=0"),2),"")</f>
        <v>8.5</v>
      </c>
      <c r="AG42" s="16" t="s">
        <v>334</v>
      </c>
      <c r="AH42" s="16" t="s">
        <v>335</v>
      </c>
      <c r="AI42" s="16" t="s">
        <v>335</v>
      </c>
      <c r="AJ42" s="16" t="str">
        <f aca="false">IF(O42&lt;&gt;"","",IF(ISNUMBER(D42),IF(D42&gt;=$C$3,"High price","Lower price"),"Unpriced")&amp;" · "&amp;IF(M42&gt;=$E$3,"high volume","lower volume"))</f>
        <v>Lower price · high volume</v>
      </c>
      <c r="AK42" s="15" t="str">
        <f aca="false">IF(O42&lt;&gt;"",IF(O42="Price ≤ $5","Excluded – price ≤ $5","Excluded – IV only"),IF(ISNUMBER(D42),IF(AND(D42&gt;=$C$3,L42&gt;=$H$3),"Priority 1",IF(OR(D42&gt;=$C$3,L42&gt;=$H$3),"Priority 2","Priority 3")),IF(L42&gt;=$H$3,"Priority 2","Priority 3")))</f>
        <v>Priority 2</v>
      </c>
      <c r="AL42" s="16" t="str">
        <f aca="false">IF(O42&lt;&gt;"","",IF(ISNUMBER(D42),IF(D42&gt;=$C$3,"High price","Lower price"),"Unpriced")&amp;" · "&amp;IF(L42&gt;=$H$3,"high volume","lower volume"))</f>
        <v>Lower price · high volume</v>
      </c>
      <c r="AM42" s="14" t="n">
        <f aca="false">IF(O42&lt;&gt;"","",COUNTIFS($A$29:$A$361,A42,$O$29:$O$361,"",$AQ$29:$AQ$361,"&gt;"&amp;AQ42)+COUNTIFS($A$29:A42,A42,$O$29:O42,"",$AQ$29:AQ42,AQ42))</f>
        <v>20</v>
      </c>
      <c r="AN42" s="19" t="n">
        <f aca="false">IF(AND(O42="",ISNUMBER(D42)),D42,"")</f>
        <v>8.5</v>
      </c>
      <c r="AO42" s="20" t="n">
        <f aca="false">IF(O42="",M42,"")</f>
        <v>335</v>
      </c>
      <c r="AP42" s="20" t="n">
        <f aca="false">IF(O42="",L42,"")</f>
        <v>335</v>
      </c>
      <c r="AQ42" s="33" t="n">
        <f aca="false">IF(O42&lt;&gt;"","",(4-VALUE(RIGHT(AK42,1)))*10^7+N(N42))</f>
        <v>20005713.56</v>
      </c>
      <c r="AR42" s="33" t="n">
        <f aca="false">INDEX($O$7:$O$25,MATCH(A42,$I$7:$I$25,0))</f>
        <v>2</v>
      </c>
      <c r="AS42" s="33" t="n">
        <f aca="false">IF(AE42="No","",AR42*1000+IF(AM42="",900+COUNTIFS($A$29:A42,A42,$O$29:O42,"Price ≤ $5"),AM42))</f>
        <v>2020</v>
      </c>
    </row>
    <row r="43" customFormat="false" ht="41.75" hidden="false" customHeight="false" outlineLevel="0" collapsed="false">
      <c r="A43" s="15" t="s">
        <v>187</v>
      </c>
      <c r="B43" s="15" t="s">
        <v>336</v>
      </c>
      <c r="C43" s="16" t="s">
        <v>337</v>
      </c>
      <c r="D43" s="17" t="n">
        <f aca="false">IF(W43&gt;0,ROUND(AVERAGEIFS('Shortlisted Drugs X Company (7)'!$N$3:$N$698,'Shortlisted Drugs X Company (7)'!$C$3:$C$698,$B43,'Shortlisted Drugs X Company (7)'!$E$3:$E$698,$S43,'Shortlisted Drugs X Company (7)'!$N$3:$N$698,"&gt;5"),2),"")</f>
        <v>5.6</v>
      </c>
      <c r="E43" s="15" t="str">
        <f aca="false">IF(COUNTIFS('Shortlisted Drugs X Company (7)'!$C$3:$C$698,$B43,'Shortlisted Drugs X Company (7)'!$E$3:$E$698,$S43,'Shortlisted Drugs X Company (7)'!$P$3:$P$698,"Exact")&gt;0,"Exact",IF(COUNTIFS('Shortlisted Drugs X Company (7)'!$C$3:$C$698,$B43,'Shortlisted Drugs X Company (7)'!$E$3:$E$698,$S43,'Shortlisted Drugs X Company (7)'!$P$3:$P$698,"Same-market proxy")&gt;0,"Same-market proxy",IF(COUNTIFS('Shortlisted Drugs X Company (7)'!$C$3:$C$698,$B43,'Shortlisted Drugs X Company (7)'!$E$3:$E$698,$S43,'Shortlisted Drugs X Company (7)'!$P$3:$P$698,"Cross-market proxy")&gt;0,"Cross-market proxy",IF(COUNTIFS('Shortlisted Drugs X Company (7)'!$C$3:$C$698,$B43,'Shortlisted Drugs X Company (7)'!$E$3:$E$698,$S43,'Shortlisted Drugs X Company (7)'!$P$3:$P$698,"Source not found")&gt;0,"Source not found","Not priced"))))</f>
        <v>Exact</v>
      </c>
      <c r="F43" s="18" t="n">
        <f aca="false">IFERROR(ROUND(INDEX('Injectable Value'!$AA$28:$AA$178,MATCH(B43,'Injectable Value'!$A$28:$A$178,0)),1),"")</f>
        <v>93119.2</v>
      </c>
      <c r="G43" s="16" t="s">
        <v>338</v>
      </c>
      <c r="H43" s="14" t="n">
        <v>4</v>
      </c>
      <c r="I43" s="15" t="s">
        <v>339</v>
      </c>
      <c r="J43" s="15" t="s">
        <v>249</v>
      </c>
      <c r="K43" s="16" t="str">
        <f aca="false">"Reconstitution"&amp;IF(V43=0,"; Unpriced","")&amp;IF(AND(V43&gt;0,W43=0,X43=0),"; Low price from another market – confirm with company","")</f>
        <v>Reconstitution</v>
      </c>
      <c r="L43" s="18" t="n">
        <f aca="false">IFERROR(INDEX('Shortlisted Drugs X Company (7)'!$K$3:$K$698,MATCH(B43,'Shortlisted Drugs X Company (7)'!$C$3:$C$698,0)),"")</f>
        <v>3110</v>
      </c>
      <c r="M43" s="18" t="n">
        <f aca="false">IFERROR(ROUND(L43*INDEX('Injectable Value'!$Z$28:$Z$178,MATCH(B43,'Injectable Value'!$A$28:$A$178,0)),0),"")</f>
        <v>3110</v>
      </c>
      <c r="N43" s="18" t="n">
        <f aca="false">IFERROR(INDEX('Shortlisted Drugs X Company (7)'!$L$3:$L$698,MATCH(B43,'Shortlisted Drugs X Company (7)'!$C$3:$C$698,0)),"")</f>
        <v>93119.22</v>
      </c>
      <c r="O43" s="15" t="str">
        <f aca="false">IF(AE43="No","IV only (not ID/IM/SC)",IF(AND(V43&gt;0,W43=0),"Price ≤ $5",""))</f>
        <v/>
      </c>
      <c r="P43" s="14" t="n">
        <f aca="false">IF(O43&lt;&gt;"","",COUNTIFS($A$29:$A$361,A43,$O$29:$O$361,"",$AC$29:$AC$361,"&gt;"&amp;AC43)+COUNTIFS($A$29:A43,A43,$O$29:O43,"",$AC$29:AC43,AC43))</f>
        <v>7</v>
      </c>
      <c r="Q43" s="15" t="str">
        <f aca="false">IF(O43&lt;&gt;"",IF(O43="Price ≤ $5","Excluded – price ≤ $5","Excluded – IV only"),IF(ISNUMBER(D43),IF(AND(D43&gt;=$C$3,M43&gt;=$E$3),"Priority 1",IF(OR(D43&gt;=$C$3,M43&gt;=$E$3),"Priority 2","Priority 3")),IF(M43&gt;=$E$3,"Priority 2","Priority 3")))</f>
        <v>Priority 2</v>
      </c>
      <c r="R43" s="16" t="s">
        <v>250</v>
      </c>
      <c r="S43" s="15" t="s">
        <v>286</v>
      </c>
      <c r="T43" s="32" t="s">
        <v>340</v>
      </c>
      <c r="U43" s="33" t="str">
        <f aca="false">B43&amp;"|"&amp;S43</f>
        <v>Ceftriaxone|Aurobindo Pharma</v>
      </c>
      <c r="V43" s="34" t="n">
        <f aca="false">COUNTIFS('Shortlisted Drugs X Company (7)'!$C$3:$C$698,$B43,'Shortlisted Drugs X Company (7)'!$E$3:$E$698,$S43,'Shortlisted Drugs X Company (7)'!$N$3:$N$698,"&gt;=0")</f>
        <v>2</v>
      </c>
      <c r="W43" s="34" t="n">
        <f aca="false">COUNTIFS('Shortlisted Drugs X Company (7)'!$C$3:$C$698,$B43,'Shortlisted Drugs X Company (7)'!$E$3:$E$698,$S43,'Shortlisted Drugs X Company (7)'!$N$3:$N$698,"&gt;5")</f>
        <v>2</v>
      </c>
      <c r="X43" s="34" t="n">
        <f aca="false">COUNTIFS('Shortlisted Drugs X Company (7)'!$C$3:$C$698,$B43,'Shortlisted Drugs X Company (7)'!$E$3:$E$698,$S43,'Shortlisted Drugs X Company (7)'!$P$3:$P$698,"Exact")+COUNTIFS('Shortlisted Drugs X Company (7)'!$C$3:$C$698,$B43,'Shortlisted Drugs X Company (7)'!$E$3:$E$698,$S43,'Shortlisted Drugs X Company (7)'!$P$3:$P$698,"Same-market proxy")</f>
        <v>2</v>
      </c>
      <c r="Y43" s="33" t="str">
        <f aca="false">A43&amp;"|"&amp;P43</f>
        <v>Aurobindo|7</v>
      </c>
      <c r="Z43" s="16" t="s">
        <v>333</v>
      </c>
      <c r="AA43" s="33" t="n">
        <f aca="false">INDEX($G$7:$G$25,MATCH(A43,$A$7:$A$25,0))</f>
        <v>2</v>
      </c>
      <c r="AB43" s="33" t="n">
        <f aca="false">IF(AE43="No","",AA43*1000+IF(P43="",900+COUNTIFS($A$29:A43,A43,$O$29:O43,"Price ≤ $5"),P43))</f>
        <v>2007</v>
      </c>
      <c r="AC43" s="33" t="n">
        <f aca="false">IF(O43&lt;&gt;"","",(4-VALUE(RIGHT(Q43,1)))*10^7+N(F43))</f>
        <v>20093119.2</v>
      </c>
      <c r="AD43" s="15" t="str">
        <f aca="false">IFERROR(INDEX('Route of Administration'!$C$5:$C$155,MATCH(B43,'Route of Administration'!$A$5:$A$155,0)),"")</f>
        <v>IV, IM</v>
      </c>
      <c r="AE43" s="14" t="str">
        <f aca="false">IFERROR(INDEX('Route of Administration'!$D$5:$D$155,MATCH(B43,'Route of Administration'!$A$5:$A$155,0)),"")</f>
        <v>Yes</v>
      </c>
      <c r="AF43" s="19" t="n">
        <f aca="false">IF(V43&gt;0,ROUND(AVERAGEIFS('Shortlisted Drugs X Company (7)'!$N$3:$N$698,'Shortlisted Drugs X Company (7)'!$C$3:$C$698,$B43,'Shortlisted Drugs X Company (7)'!$E$3:$E$698,$S43,'Shortlisted Drugs X Company (7)'!$N$3:$N$698,"&gt;=0"),2),"")</f>
        <v>5.6</v>
      </c>
      <c r="AG43" s="16" t="s">
        <v>341</v>
      </c>
      <c r="AH43" s="16" t="s">
        <v>342</v>
      </c>
      <c r="AI43" s="16" t="s">
        <v>342</v>
      </c>
      <c r="AJ43" s="16" t="str">
        <f aca="false">IF(O43&lt;&gt;"","",IF(ISNUMBER(D43),IF(D43&gt;=$C$3,"High price","Lower price"),"Unpriced")&amp;" · "&amp;IF(M43&gt;=$E$3,"high volume","lower volume"))</f>
        <v>Lower price · high volume</v>
      </c>
      <c r="AK43" s="15" t="str">
        <f aca="false">IF(O43&lt;&gt;"",IF(O43="Price ≤ $5","Excluded – price ≤ $5","Excluded – IV only"),IF(ISNUMBER(D43),IF(AND(D43&gt;=$C$3,L43&gt;=$H$3),"Priority 1",IF(OR(D43&gt;=$C$3,L43&gt;=$H$3),"Priority 2","Priority 3")),IF(L43&gt;=$H$3,"Priority 2","Priority 3")))</f>
        <v>Priority 2</v>
      </c>
      <c r="AL43" s="16" t="str">
        <f aca="false">IF(O43&lt;&gt;"","",IF(ISNUMBER(D43),IF(D43&gt;=$C$3,"High price","Lower price"),"Unpriced")&amp;" · "&amp;IF(L43&gt;=$H$3,"high volume","lower volume"))</f>
        <v>Lower price · high volume</v>
      </c>
      <c r="AM43" s="14" t="n">
        <f aca="false">IF(O43&lt;&gt;"","",COUNTIFS($A$29:$A$361,A43,$O$29:$O$361,"",$AQ$29:$AQ$361,"&gt;"&amp;AQ43)+COUNTIFS($A$29:A43,A43,$O$29:O43,"",$AQ$29:AQ43,AQ43))</f>
        <v>6</v>
      </c>
      <c r="AN43" s="19" t="n">
        <f aca="false">IF(AND(O43="",ISNUMBER(D43)),D43,"")</f>
        <v>5.6</v>
      </c>
      <c r="AO43" s="20" t="n">
        <f aca="false">IF(O43="",M43,"")</f>
        <v>3110</v>
      </c>
      <c r="AP43" s="20" t="n">
        <f aca="false">IF(O43="",L43,"")</f>
        <v>3110</v>
      </c>
      <c r="AQ43" s="33" t="n">
        <f aca="false">IF(O43&lt;&gt;"","",(4-VALUE(RIGHT(AK43,1)))*10^7+N(N43))</f>
        <v>20093119.22</v>
      </c>
      <c r="AR43" s="33" t="n">
        <f aca="false">INDEX($O$7:$O$25,MATCH(A43,$I$7:$I$25,0))</f>
        <v>2</v>
      </c>
      <c r="AS43" s="33" t="n">
        <f aca="false">IF(AE43="No","",AR43*1000+IF(AM43="",900+COUNTIFS($A$29:A43,A43,$O$29:O43,"Price ≤ $5"),AM43))</f>
        <v>2006</v>
      </c>
    </row>
    <row r="44" customFormat="false" ht="41.75" hidden="false" customHeight="false" outlineLevel="0" collapsed="false">
      <c r="A44" s="15" t="s">
        <v>187</v>
      </c>
      <c r="B44" s="15" t="s">
        <v>343</v>
      </c>
      <c r="C44" s="16" t="s">
        <v>344</v>
      </c>
      <c r="D44" s="17" t="n">
        <f aca="false">IF(W44&gt;0,ROUND(AVERAGEIFS('Shortlisted Drugs X Company (7)'!$N$3:$N$698,'Shortlisted Drugs X Company (7)'!$C$3:$C$698,$B44,'Shortlisted Drugs X Company (7)'!$E$3:$E$698,$S44,'Shortlisted Drugs X Company (7)'!$N$3:$N$698,"&gt;5"),2),"")</f>
        <v>14.96</v>
      </c>
      <c r="E44" s="15" t="str">
        <f aca="false">IF(COUNTIFS('Shortlisted Drugs X Company (7)'!$C$3:$C$698,$B44,'Shortlisted Drugs X Company (7)'!$E$3:$E$698,$S44,'Shortlisted Drugs X Company (7)'!$P$3:$P$698,"Exact")&gt;0,"Exact",IF(COUNTIFS('Shortlisted Drugs X Company (7)'!$C$3:$C$698,$B44,'Shortlisted Drugs X Company (7)'!$E$3:$E$698,$S44,'Shortlisted Drugs X Company (7)'!$P$3:$P$698,"Same-market proxy")&gt;0,"Same-market proxy",IF(COUNTIFS('Shortlisted Drugs X Company (7)'!$C$3:$C$698,$B44,'Shortlisted Drugs X Company (7)'!$E$3:$E$698,$S44,'Shortlisted Drugs X Company (7)'!$P$3:$P$698,"Cross-market proxy")&gt;0,"Cross-market proxy",IF(COUNTIFS('Shortlisted Drugs X Company (7)'!$C$3:$C$698,$B44,'Shortlisted Drugs X Company (7)'!$E$3:$E$698,$S44,'Shortlisted Drugs X Company (7)'!$P$3:$P$698,"Source not found")&gt;0,"Source not found","Not priced"))))</f>
        <v>Same-market proxy</v>
      </c>
      <c r="F44" s="18" t="n">
        <f aca="false">IFERROR(ROUND(INDEX('Injectable Value'!$AA$28:$AA$178,MATCH(B44,'Injectable Value'!$A$28:$A$178,0)),1),"")</f>
        <v>1358.2</v>
      </c>
      <c r="G44" s="16" t="s">
        <v>247</v>
      </c>
      <c r="H44" s="14" t="n">
        <v>1</v>
      </c>
      <c r="I44" s="15" t="s">
        <v>316</v>
      </c>
      <c r="J44" s="15" t="s">
        <v>249</v>
      </c>
      <c r="K44" s="16" t="str">
        <f aca="false">""&amp;IF(V44=0,"Unpriced","")&amp;IF(AND(V44&gt;0,W44=0,X44=0),"Low price from another market – confirm with company","")</f>
        <v/>
      </c>
      <c r="L44" s="18" t="n">
        <f aca="false">IFERROR(INDEX('Shortlisted Drugs X Company (7)'!$K$3:$K$698,MATCH(B44,'Shortlisted Drugs X Company (7)'!$C$3:$C$698,0)),"")</f>
        <v>472</v>
      </c>
      <c r="M44" s="18" t="n">
        <f aca="false">IFERROR(ROUND(L44*INDEX('Injectable Value'!$Z$28:$Z$178,MATCH(B44,'Injectable Value'!$A$28:$A$178,0)),0),"")</f>
        <v>82</v>
      </c>
      <c r="N44" s="18" t="n">
        <f aca="false">IFERROR(INDEX('Shortlisted Drugs X Company (7)'!$L$3:$L$698,MATCH(B44,'Shortlisted Drugs X Company (7)'!$C$3:$C$698,0)),"")</f>
        <v>7831.08</v>
      </c>
      <c r="O44" s="15" t="str">
        <f aca="false">IF(AE44="No","IV only (not ID/IM/SC)",IF(AND(V44&gt;0,W44=0),"Price ≤ $5",""))</f>
        <v/>
      </c>
      <c r="P44" s="14" t="n">
        <f aca="false">IF(O44&lt;&gt;"","",COUNTIFS($A$29:$A$361,A44,$O$29:$O$361,"",$AC$29:$AC$361,"&gt;"&amp;AC44)+COUNTIFS($A$29:A44,A44,$O$29:O44,"",$AC$29:AC44,AC44))</f>
        <v>24</v>
      </c>
      <c r="Q44" s="15" t="str">
        <f aca="false">IF(O44&lt;&gt;"",IF(O44="Price ≤ $5","Excluded – price ≤ $5","Excluded – IV only"),IF(ISNUMBER(D44),IF(AND(D44&gt;=$C$3,M44&gt;=$E$3),"Priority 1",IF(OR(D44&gt;=$C$3,M44&gt;=$E$3),"Priority 2","Priority 3")),IF(M44&gt;=$E$3,"Priority 2","Priority 3")))</f>
        <v>Priority 3</v>
      </c>
      <c r="R44" s="16" t="s">
        <v>278</v>
      </c>
      <c r="S44" s="15" t="s">
        <v>286</v>
      </c>
      <c r="T44" s="32" t="s">
        <v>345</v>
      </c>
      <c r="U44" s="33" t="str">
        <f aca="false">B44&amp;"|"&amp;S44</f>
        <v>Chlorpromazine|Aurobindo Pharma</v>
      </c>
      <c r="V44" s="34" t="n">
        <f aca="false">COUNTIFS('Shortlisted Drugs X Company (7)'!$C$3:$C$698,$B44,'Shortlisted Drugs X Company (7)'!$E$3:$E$698,$S44,'Shortlisted Drugs X Company (7)'!$N$3:$N$698,"&gt;=0")</f>
        <v>1</v>
      </c>
      <c r="W44" s="34" t="n">
        <f aca="false">COUNTIFS('Shortlisted Drugs X Company (7)'!$C$3:$C$698,$B44,'Shortlisted Drugs X Company (7)'!$E$3:$E$698,$S44,'Shortlisted Drugs X Company (7)'!$N$3:$N$698,"&gt;5")</f>
        <v>1</v>
      </c>
      <c r="X44" s="34" t="n">
        <f aca="false">COUNTIFS('Shortlisted Drugs X Company (7)'!$C$3:$C$698,$B44,'Shortlisted Drugs X Company (7)'!$E$3:$E$698,$S44,'Shortlisted Drugs X Company (7)'!$P$3:$P$698,"Exact")+COUNTIFS('Shortlisted Drugs X Company (7)'!$C$3:$C$698,$B44,'Shortlisted Drugs X Company (7)'!$E$3:$E$698,$S44,'Shortlisted Drugs X Company (7)'!$P$3:$P$698,"Same-market proxy")</f>
        <v>1</v>
      </c>
      <c r="Y44" s="33" t="str">
        <f aca="false">A44&amp;"|"&amp;P44</f>
        <v>Aurobindo|24</v>
      </c>
      <c r="Z44" s="16" t="s">
        <v>346</v>
      </c>
      <c r="AA44" s="33" t="n">
        <f aca="false">INDEX($G$7:$G$25,MATCH(A44,$A$7:$A$25,0))</f>
        <v>2</v>
      </c>
      <c r="AB44" s="33" t="n">
        <f aca="false">IF(AE44="No","",AA44*1000+IF(P44="",900+COUNTIFS($A$29:A44,A44,$O$29:O44,"Price ≤ $5"),P44))</f>
        <v>2024</v>
      </c>
      <c r="AC44" s="33" t="n">
        <f aca="false">IF(O44&lt;&gt;"","",(4-VALUE(RIGHT(Q44,1)))*10^7+N(F44))</f>
        <v>10001358.2</v>
      </c>
      <c r="AD44" s="15" t="str">
        <f aca="false">IFERROR(INDEX('Route of Administration'!$C$5:$C$155,MATCH(B44,'Route of Administration'!$A$5:$A$155,0)),"")</f>
        <v>IM</v>
      </c>
      <c r="AE44" s="14" t="str">
        <f aca="false">IFERROR(INDEX('Route of Administration'!$D$5:$D$155,MATCH(B44,'Route of Administration'!$A$5:$A$155,0)),"")</f>
        <v>Yes</v>
      </c>
      <c r="AF44" s="19" t="n">
        <f aca="false">IF(V44&gt;0,ROUND(AVERAGEIFS('Shortlisted Drugs X Company (7)'!$N$3:$N$698,'Shortlisted Drugs X Company (7)'!$C$3:$C$698,$B44,'Shortlisted Drugs X Company (7)'!$E$3:$E$698,$S44,'Shortlisted Drugs X Company (7)'!$N$3:$N$698,"&gt;=0"),2),"")</f>
        <v>14.96</v>
      </c>
      <c r="AG44" s="16" t="s">
        <v>347</v>
      </c>
      <c r="AH44" s="16" t="s">
        <v>247</v>
      </c>
      <c r="AI44" s="16" t="s">
        <v>247</v>
      </c>
      <c r="AJ44" s="16" t="str">
        <f aca="false">IF(O44&lt;&gt;"","",IF(ISNUMBER(D44),IF(D44&gt;=$C$3,"High price","Lower price"),"Unpriced")&amp;" · "&amp;IF(M44&gt;=$E$3,"high volume","lower volume"))</f>
        <v>Lower price · lower volume</v>
      </c>
      <c r="AK44" s="15" t="str">
        <f aca="false">IF(O44&lt;&gt;"",IF(O44="Price ≤ $5","Excluded – price ≤ $5","Excluded – IV only"),IF(ISNUMBER(D44),IF(AND(D44&gt;=$C$3,L44&gt;=$H$3),"Priority 1",IF(OR(D44&gt;=$C$3,L44&gt;=$H$3),"Priority 2","Priority 3")),IF(L44&gt;=$H$3,"Priority 2","Priority 3")))</f>
        <v>Priority 2</v>
      </c>
      <c r="AL44" s="16" t="str">
        <f aca="false">IF(O44&lt;&gt;"","",IF(ISNUMBER(D44),IF(D44&gt;=$C$3,"High price","Lower price"),"Unpriced")&amp;" · "&amp;IF(L44&gt;=$H$3,"high volume","lower volume"))</f>
        <v>Lower price · high volume</v>
      </c>
      <c r="AM44" s="14" t="n">
        <f aca="false">IF(O44&lt;&gt;"","",COUNTIFS($A$29:$A$361,A44,$O$29:$O$361,"",$AQ$29:$AQ$361,"&gt;"&amp;AQ44)+COUNTIFS($A$29:A44,A44,$O$29:O44,"",$AQ$29:AQ44,AQ44))</f>
        <v>17</v>
      </c>
      <c r="AN44" s="19" t="n">
        <f aca="false">IF(AND(O44="",ISNUMBER(D44)),D44,"")</f>
        <v>14.96</v>
      </c>
      <c r="AO44" s="20" t="n">
        <f aca="false">IF(O44="",M44,"")</f>
        <v>82</v>
      </c>
      <c r="AP44" s="20" t="n">
        <f aca="false">IF(O44="",L44,"")</f>
        <v>472</v>
      </c>
      <c r="AQ44" s="33" t="n">
        <f aca="false">IF(O44&lt;&gt;"","",(4-VALUE(RIGHT(AK44,1)))*10^7+N(N44))</f>
        <v>20007831.08</v>
      </c>
      <c r="AR44" s="33" t="n">
        <f aca="false">INDEX($O$7:$O$25,MATCH(A44,$I$7:$I$25,0))</f>
        <v>2</v>
      </c>
      <c r="AS44" s="33" t="n">
        <f aca="false">IF(AE44="No","",AR44*1000+IF(AM44="",900+COUNTIFS($A$29:A44,A44,$O$29:O44,"Price ≤ $5"),AM44))</f>
        <v>2017</v>
      </c>
    </row>
    <row r="45" customFormat="false" ht="41.75" hidden="false" customHeight="false" outlineLevel="0" collapsed="false">
      <c r="A45" s="15" t="s">
        <v>187</v>
      </c>
      <c r="B45" s="15" t="s">
        <v>348</v>
      </c>
      <c r="C45" s="16" t="s">
        <v>349</v>
      </c>
      <c r="D45" s="17" t="n">
        <f aca="false">IF(W45&gt;0,ROUND(AVERAGEIFS('Shortlisted Drugs X Company (7)'!$N$3:$N$698,'Shortlisted Drugs X Company (7)'!$C$3:$C$698,$B45,'Shortlisted Drugs X Company (7)'!$E$3:$E$698,$S45,'Shortlisted Drugs X Company (7)'!$N$3:$N$698,"&gt;5"),2),"")</f>
        <v>234.04</v>
      </c>
      <c r="E45" s="15" t="str">
        <f aca="false">IF(COUNTIFS('Shortlisted Drugs X Company (7)'!$C$3:$C$698,$B45,'Shortlisted Drugs X Company (7)'!$E$3:$E$698,$S45,'Shortlisted Drugs X Company (7)'!$P$3:$P$698,"Exact")&gt;0,"Exact",IF(COUNTIFS('Shortlisted Drugs X Company (7)'!$C$3:$C$698,$B45,'Shortlisted Drugs X Company (7)'!$E$3:$E$698,$S45,'Shortlisted Drugs X Company (7)'!$P$3:$P$698,"Same-market proxy")&gt;0,"Same-market proxy",IF(COUNTIFS('Shortlisted Drugs X Company (7)'!$C$3:$C$698,$B45,'Shortlisted Drugs X Company (7)'!$E$3:$E$698,$S45,'Shortlisted Drugs X Company (7)'!$P$3:$P$698,"Cross-market proxy")&gt;0,"Cross-market proxy",IF(COUNTIFS('Shortlisted Drugs X Company (7)'!$C$3:$C$698,$B45,'Shortlisted Drugs X Company (7)'!$E$3:$E$698,$S45,'Shortlisted Drugs X Company (7)'!$P$3:$P$698,"Source not found")&gt;0,"Source not found","Not priced"))))</f>
        <v>Same-market proxy</v>
      </c>
      <c r="F45" s="18" t="n">
        <f aca="false">IFERROR(ROUND(INDEX('Injectable Value'!$AA$28:$AA$178,MATCH(B45,'Injectable Value'!$A$28:$A$178,0)),1),"")</f>
        <v>3871.2</v>
      </c>
      <c r="G45" s="16" t="s">
        <v>247</v>
      </c>
      <c r="H45" s="14" t="n">
        <v>1</v>
      </c>
      <c r="I45" s="15" t="s">
        <v>248</v>
      </c>
      <c r="J45" s="15" t="s">
        <v>249</v>
      </c>
      <c r="K45" s="16" t="str">
        <f aca="false">"Cancer drug (cytotoxic) – less relevant"&amp;IF(V45=0,"; Unpriced","")&amp;IF(AND(V45&gt;0,W45=0,X45=0),"; Low price from another market – confirm with company","")</f>
        <v>Cancer drug (cytotoxic) – less relevant</v>
      </c>
      <c r="L45" s="18" t="n">
        <f aca="false">IFERROR(INDEX('Shortlisted Drugs X Company (7)'!$K$3:$K$698,MATCH(B45,'Shortlisted Drugs X Company (7)'!$C$3:$C$698,0)),"")</f>
        <v>843</v>
      </c>
      <c r="M45" s="18" t="n">
        <f aca="false">IFERROR(ROUND(L45*INDEX('Injectable Value'!$Z$28:$Z$178,MATCH(B45,'Injectable Value'!$A$28:$A$178,0)),0),"")</f>
        <v>724</v>
      </c>
      <c r="N45" s="18" t="n">
        <f aca="false">IFERROR(INDEX('Shortlisted Drugs X Company (7)'!$L$3:$L$698,MATCH(B45,'Shortlisted Drugs X Company (7)'!$C$3:$C$698,0)),"")</f>
        <v>4508</v>
      </c>
      <c r="O45" s="15" t="str">
        <f aca="false">IF(AE45="No","IV only (not ID/IM/SC)",IF(AND(V45&gt;0,W45=0),"Price ≤ $5",""))</f>
        <v>IV only (not ID/IM/SC)</v>
      </c>
      <c r="P45" s="14" t="str">
        <f aca="false">IF(O45&lt;&gt;"","",COUNTIFS($A$29:$A$361,A45,$O$29:$O$361,"",$AC$29:$AC$361,"&gt;"&amp;AC45)+COUNTIFS($A$29:A45,A45,$O$29:O45,"",$AC$29:AC45,AC45))</f>
        <v/>
      </c>
      <c r="Q45" s="15" t="str">
        <f aca="false">IF(O45&lt;&gt;"",IF(O45="Price ≤ $5","Excluded – price ≤ $5","Excluded – IV only"),IF(ISNUMBER(D45),IF(AND(D45&gt;=$C$3,M45&gt;=$E$3),"Priority 1",IF(OR(D45&gt;=$C$3,M45&gt;=$E$3),"Priority 2","Priority 3")),IF(M45&gt;=$E$3,"Priority 2","Priority 3")))</f>
        <v>Excluded – IV only</v>
      </c>
      <c r="R45" s="16" t="s">
        <v>250</v>
      </c>
      <c r="S45" s="15" t="s">
        <v>286</v>
      </c>
      <c r="T45" s="32" t="s">
        <v>350</v>
      </c>
      <c r="U45" s="33" t="str">
        <f aca="false">B45&amp;"|"&amp;S45</f>
        <v>Cyclophosphamide|Aurobindo Pharma</v>
      </c>
      <c r="V45" s="34" t="n">
        <f aca="false">COUNTIFS('Shortlisted Drugs X Company (7)'!$C$3:$C$698,$B45,'Shortlisted Drugs X Company (7)'!$E$3:$E$698,$S45,'Shortlisted Drugs X Company (7)'!$N$3:$N$698,"&gt;=0")</f>
        <v>3</v>
      </c>
      <c r="W45" s="34" t="n">
        <f aca="false">COUNTIFS('Shortlisted Drugs X Company (7)'!$C$3:$C$698,$B45,'Shortlisted Drugs X Company (7)'!$E$3:$E$698,$S45,'Shortlisted Drugs X Company (7)'!$N$3:$N$698,"&gt;5")</f>
        <v>3</v>
      </c>
      <c r="X45" s="34" t="n">
        <f aca="false">COUNTIFS('Shortlisted Drugs X Company (7)'!$C$3:$C$698,$B45,'Shortlisted Drugs X Company (7)'!$E$3:$E$698,$S45,'Shortlisted Drugs X Company (7)'!$P$3:$P$698,"Exact")+COUNTIFS('Shortlisted Drugs X Company (7)'!$C$3:$C$698,$B45,'Shortlisted Drugs X Company (7)'!$E$3:$E$698,$S45,'Shortlisted Drugs X Company (7)'!$P$3:$P$698,"Same-market proxy")</f>
        <v>3</v>
      </c>
      <c r="Y45" s="33" t="str">
        <f aca="false">A45&amp;"|"&amp;P45</f>
        <v>Aurobindo|</v>
      </c>
      <c r="Z45" s="16" t="s">
        <v>351</v>
      </c>
      <c r="AA45" s="33" t="n">
        <f aca="false">INDEX($G$7:$G$25,MATCH(A45,$A$7:$A$25,0))</f>
        <v>2</v>
      </c>
      <c r="AB45" s="33" t="str">
        <f aca="false">IF(AE45="No","",AA45*1000+IF(P45="",900+COUNTIFS($A$29:A45,A45,$O$29:O45,"Price ≤ $5"),P45))</f>
        <v/>
      </c>
      <c r="AC45" s="33" t="str">
        <f aca="false">IF(O45&lt;&gt;"","",(4-VALUE(RIGHT(Q45,1)))*10^7+N(F45))</f>
        <v/>
      </c>
      <c r="AD45" s="15" t="str">
        <f aca="false">IFERROR(INDEX('Route of Administration'!$C$5:$C$155,MATCH(B45,'Route of Administration'!$A$5:$A$155,0)),"")</f>
        <v>IV</v>
      </c>
      <c r="AE45" s="14" t="str">
        <f aca="false">IFERROR(INDEX('Route of Administration'!$D$5:$D$155,MATCH(B45,'Route of Administration'!$A$5:$A$155,0)),"")</f>
        <v>No</v>
      </c>
      <c r="AF45" s="19" t="n">
        <f aca="false">IF(V45&gt;0,ROUND(AVERAGEIFS('Shortlisted Drugs X Company (7)'!$N$3:$N$698,'Shortlisted Drugs X Company (7)'!$C$3:$C$698,$B45,'Shortlisted Drugs X Company (7)'!$E$3:$E$698,$S45,'Shortlisted Drugs X Company (7)'!$N$3:$N$698,"&gt;=0"),2),"")</f>
        <v>234.04</v>
      </c>
      <c r="AG45" s="16" t="s">
        <v>348</v>
      </c>
      <c r="AH45" s="16" t="s">
        <v>247</v>
      </c>
      <c r="AI45" s="16" t="s">
        <v>247</v>
      </c>
      <c r="AJ45" s="16" t="str">
        <f aca="false">IF(O45&lt;&gt;"","",IF(ISNUMBER(D45),IF(D45&gt;=$C$3,"High price","Lower price"),"Unpriced")&amp;" · "&amp;IF(M45&gt;=$E$3,"high volume","lower volume"))</f>
        <v/>
      </c>
      <c r="AK45" s="15" t="str">
        <f aca="false">IF(O45&lt;&gt;"",IF(O45="Price ≤ $5","Excluded – price ≤ $5","Excluded – IV only"),IF(ISNUMBER(D45),IF(AND(D45&gt;=$C$3,L45&gt;=$H$3),"Priority 1",IF(OR(D45&gt;=$C$3,L45&gt;=$H$3),"Priority 2","Priority 3")),IF(L45&gt;=$H$3,"Priority 2","Priority 3")))</f>
        <v>Excluded – IV only</v>
      </c>
      <c r="AL45" s="16" t="str">
        <f aca="false">IF(O45&lt;&gt;"","",IF(ISNUMBER(D45),IF(D45&gt;=$C$3,"High price","Lower price"),"Unpriced")&amp;" · "&amp;IF(L45&gt;=$H$3,"high volume","lower volume"))</f>
        <v/>
      </c>
      <c r="AM45" s="14" t="str">
        <f aca="false">IF(O45&lt;&gt;"","",COUNTIFS($A$29:$A$361,A45,$O$29:$O$361,"",$AQ$29:$AQ$361,"&gt;"&amp;AQ45)+COUNTIFS($A$29:A45,A45,$O$29:O45,"",$AQ$29:AQ45,AQ45))</f>
        <v/>
      </c>
      <c r="AN45" s="33" t="str">
        <f aca="false">IF(AND(O45="",ISNUMBER(D45)),D45,"")</f>
        <v/>
      </c>
      <c r="AO45" s="33" t="str">
        <f aca="false">IF(O45="",M45,"")</f>
        <v/>
      </c>
      <c r="AP45" s="33" t="str">
        <f aca="false">IF(O45="",L45,"")</f>
        <v/>
      </c>
      <c r="AQ45" s="33" t="str">
        <f aca="false">IF(O45&lt;&gt;"","",(4-VALUE(RIGHT(AK45,1)))*10^7+N(N45))</f>
        <v/>
      </c>
      <c r="AR45" s="33" t="n">
        <f aca="false">INDEX($O$7:$O$25,MATCH(A45,$I$7:$I$25,0))</f>
        <v>2</v>
      </c>
      <c r="AS45" s="33" t="str">
        <f aca="false">IF(AE45="No","",AR45*1000+IF(AM45="",900+COUNTIFS($A$29:A45,A45,$O$29:O45,"Price ≤ $5"),AM45))</f>
        <v/>
      </c>
    </row>
    <row r="46" customFormat="false" ht="55.2" hidden="false" customHeight="false" outlineLevel="0" collapsed="false">
      <c r="A46" s="15" t="s">
        <v>187</v>
      </c>
      <c r="B46" s="15" t="s">
        <v>352</v>
      </c>
      <c r="C46" s="16" t="s">
        <v>353</v>
      </c>
      <c r="D46" s="17" t="n">
        <f aca="false">IF(W46&gt;0,ROUND(AVERAGEIFS('Shortlisted Drugs X Company (7)'!$N$3:$N$698,'Shortlisted Drugs X Company (7)'!$C$3:$C$698,$B46,'Shortlisted Drugs X Company (7)'!$E$3:$E$698,$S46,'Shortlisted Drugs X Company (7)'!$N$3:$N$698,"&gt;5"),2),"")</f>
        <v>427.8</v>
      </c>
      <c r="E46" s="15" t="str">
        <f aca="false">IF(COUNTIFS('Shortlisted Drugs X Company (7)'!$C$3:$C$698,$B46,'Shortlisted Drugs X Company (7)'!$E$3:$E$698,$S46,'Shortlisted Drugs X Company (7)'!$P$3:$P$698,"Exact")&gt;0,"Exact",IF(COUNTIFS('Shortlisted Drugs X Company (7)'!$C$3:$C$698,$B46,'Shortlisted Drugs X Company (7)'!$E$3:$E$698,$S46,'Shortlisted Drugs X Company (7)'!$P$3:$P$698,"Same-market proxy")&gt;0,"Same-market proxy",IF(COUNTIFS('Shortlisted Drugs X Company (7)'!$C$3:$C$698,$B46,'Shortlisted Drugs X Company (7)'!$E$3:$E$698,$S46,'Shortlisted Drugs X Company (7)'!$P$3:$P$698,"Cross-market proxy")&gt;0,"Cross-market proxy",IF(COUNTIFS('Shortlisted Drugs X Company (7)'!$C$3:$C$698,$B46,'Shortlisted Drugs X Company (7)'!$E$3:$E$698,$S46,'Shortlisted Drugs X Company (7)'!$P$3:$P$698,"Source not found")&gt;0,"Source not found","Not priced"))))</f>
        <v>Same-market proxy</v>
      </c>
      <c r="F46" s="18" t="n">
        <f aca="false">IFERROR(ROUND(INDEX('Injectable Value'!$AA$28:$AA$178,MATCH(B46,'Injectable Value'!$A$28:$A$178,0)),1),"")</f>
        <v>2151.5</v>
      </c>
      <c r="G46" s="16" t="s">
        <v>247</v>
      </c>
      <c r="H46" s="14" t="n">
        <v>1</v>
      </c>
      <c r="I46" s="15" t="s">
        <v>248</v>
      </c>
      <c r="J46" s="15" t="s">
        <v>299</v>
      </c>
      <c r="K46" s="16" t="str">
        <f aca="false">"Cancer drug (cytotoxic) – less relevant; Reconstitution"&amp;IF(V46=0,"; Unpriced","")&amp;IF(AND(V46&gt;0,W46=0,X46=0),"; Low price from another market – confirm with company","")</f>
        <v>Cancer drug (cytotoxic) – less relevant; Reconstitution</v>
      </c>
      <c r="L46" s="18" t="n">
        <f aca="false">IFERROR(INDEX('Shortlisted Drugs X Company (7)'!$K$3:$K$698,MATCH(B46,'Shortlisted Drugs X Company (7)'!$C$3:$C$698,0)),"")</f>
        <v>411</v>
      </c>
      <c r="M46" s="18" t="n">
        <f aca="false">IFERROR(ROUND(L46*INDEX('Injectable Value'!$Z$28:$Z$178,MATCH(B46,'Injectable Value'!$A$28:$A$178,0)),0),"")</f>
        <v>411</v>
      </c>
      <c r="N46" s="18" t="n">
        <f aca="false">IFERROR(INDEX('Shortlisted Drugs X Company (7)'!$L$3:$L$698,MATCH(B46,'Shortlisted Drugs X Company (7)'!$C$3:$C$698,0)),"")</f>
        <v>2151.51</v>
      </c>
      <c r="O46" s="15" t="str">
        <f aca="false">IF(AE46="No","IV only (not ID/IM/SC)",IF(AND(V46&gt;0,W46=0),"Price ≤ $5",""))</f>
        <v>IV only (not ID/IM/SC)</v>
      </c>
      <c r="P46" s="14" t="str">
        <f aca="false">IF(O46&lt;&gt;"","",COUNTIFS($A$29:$A$361,A46,$O$29:$O$361,"",$AC$29:$AC$361,"&gt;"&amp;AC46)+COUNTIFS($A$29:A46,A46,$O$29:O46,"",$AC$29:AC46,AC46))</f>
        <v/>
      </c>
      <c r="Q46" s="15" t="str">
        <f aca="false">IF(O46&lt;&gt;"",IF(O46="Price ≤ $5","Excluded – price ≤ $5","Excluded – IV only"),IF(ISNUMBER(D46),IF(AND(D46&gt;=$C$3,M46&gt;=$E$3),"Priority 1",IF(OR(D46&gt;=$C$3,M46&gt;=$E$3),"Priority 2","Priority 3")),IF(M46&gt;=$E$3,"Priority 2","Priority 3")))</f>
        <v>Excluded – IV only</v>
      </c>
      <c r="R46" s="16" t="s">
        <v>285</v>
      </c>
      <c r="S46" s="15" t="s">
        <v>286</v>
      </c>
      <c r="T46" s="32" t="s">
        <v>354</v>
      </c>
      <c r="U46" s="33" t="str">
        <f aca="false">B46&amp;"|"&amp;S46</f>
        <v>Dactinomycin|Aurobindo Pharma</v>
      </c>
      <c r="V46" s="34" t="n">
        <f aca="false">COUNTIFS('Shortlisted Drugs X Company (7)'!$C$3:$C$698,$B46,'Shortlisted Drugs X Company (7)'!$E$3:$E$698,$S46,'Shortlisted Drugs X Company (7)'!$N$3:$N$698,"&gt;=0")</f>
        <v>1</v>
      </c>
      <c r="W46" s="34" t="n">
        <f aca="false">COUNTIFS('Shortlisted Drugs X Company (7)'!$C$3:$C$698,$B46,'Shortlisted Drugs X Company (7)'!$E$3:$E$698,$S46,'Shortlisted Drugs X Company (7)'!$N$3:$N$698,"&gt;5")</f>
        <v>1</v>
      </c>
      <c r="X46" s="34" t="n">
        <f aca="false">COUNTIFS('Shortlisted Drugs X Company (7)'!$C$3:$C$698,$B46,'Shortlisted Drugs X Company (7)'!$E$3:$E$698,$S46,'Shortlisted Drugs X Company (7)'!$P$3:$P$698,"Exact")+COUNTIFS('Shortlisted Drugs X Company (7)'!$C$3:$C$698,$B46,'Shortlisted Drugs X Company (7)'!$E$3:$E$698,$S46,'Shortlisted Drugs X Company (7)'!$P$3:$P$698,"Same-market proxy")</f>
        <v>1</v>
      </c>
      <c r="Y46" s="33" t="str">
        <f aca="false">A46&amp;"|"&amp;P46</f>
        <v>Aurobindo|</v>
      </c>
      <c r="Z46" s="16" t="s">
        <v>355</v>
      </c>
      <c r="AA46" s="33" t="n">
        <f aca="false">INDEX($G$7:$G$25,MATCH(A46,$A$7:$A$25,0))</f>
        <v>2</v>
      </c>
      <c r="AB46" s="33" t="str">
        <f aca="false">IF(AE46="No","",AA46*1000+IF(P46="",900+COUNTIFS($A$29:A46,A46,$O$29:O46,"Price ≤ $5"),P46))</f>
        <v/>
      </c>
      <c r="AC46" s="33" t="str">
        <f aca="false">IF(O46&lt;&gt;"","",(4-VALUE(RIGHT(Q46,1)))*10^7+N(F46))</f>
        <v/>
      </c>
      <c r="AD46" s="15" t="str">
        <f aca="false">IFERROR(INDEX('Route of Administration'!$C$5:$C$155,MATCH(B46,'Route of Administration'!$A$5:$A$155,0)),"")</f>
        <v>IV</v>
      </c>
      <c r="AE46" s="14" t="str">
        <f aca="false">IFERROR(INDEX('Route of Administration'!$D$5:$D$155,MATCH(B46,'Route of Administration'!$A$5:$A$155,0)),"")</f>
        <v>No</v>
      </c>
      <c r="AF46" s="19" t="n">
        <f aca="false">IF(V46&gt;0,ROUND(AVERAGEIFS('Shortlisted Drugs X Company (7)'!$N$3:$N$698,'Shortlisted Drugs X Company (7)'!$C$3:$C$698,$B46,'Shortlisted Drugs X Company (7)'!$E$3:$E$698,$S46,'Shortlisted Drugs X Company (7)'!$N$3:$N$698,"&gt;=0"),2),"")</f>
        <v>427.8</v>
      </c>
      <c r="AG46" s="16" t="s">
        <v>352</v>
      </c>
      <c r="AH46" s="16" t="s">
        <v>247</v>
      </c>
      <c r="AI46" s="16" t="s">
        <v>247</v>
      </c>
      <c r="AJ46" s="16" t="str">
        <f aca="false">IF(O46&lt;&gt;"","",IF(ISNUMBER(D46),IF(D46&gt;=$C$3,"High price","Lower price"),"Unpriced")&amp;" · "&amp;IF(M46&gt;=$E$3,"high volume","lower volume"))</f>
        <v/>
      </c>
      <c r="AK46" s="15" t="str">
        <f aca="false">IF(O46&lt;&gt;"",IF(O46="Price ≤ $5","Excluded – price ≤ $5","Excluded – IV only"),IF(ISNUMBER(D46),IF(AND(D46&gt;=$C$3,L46&gt;=$H$3),"Priority 1",IF(OR(D46&gt;=$C$3,L46&gt;=$H$3),"Priority 2","Priority 3")),IF(L46&gt;=$H$3,"Priority 2","Priority 3")))</f>
        <v>Excluded – IV only</v>
      </c>
      <c r="AL46" s="16" t="str">
        <f aca="false">IF(O46&lt;&gt;"","",IF(ISNUMBER(D46),IF(D46&gt;=$C$3,"High price","Lower price"),"Unpriced")&amp;" · "&amp;IF(L46&gt;=$H$3,"high volume","lower volume"))</f>
        <v/>
      </c>
      <c r="AM46" s="14" t="str">
        <f aca="false">IF(O46&lt;&gt;"","",COUNTIFS($A$29:$A$361,A46,$O$29:$O$361,"",$AQ$29:$AQ$361,"&gt;"&amp;AQ46)+COUNTIFS($A$29:A46,A46,$O$29:O46,"",$AQ$29:AQ46,AQ46))</f>
        <v/>
      </c>
      <c r="AN46" s="33" t="str">
        <f aca="false">IF(AND(O46="",ISNUMBER(D46)),D46,"")</f>
        <v/>
      </c>
      <c r="AO46" s="33" t="str">
        <f aca="false">IF(O46="",M46,"")</f>
        <v/>
      </c>
      <c r="AP46" s="33" t="str">
        <f aca="false">IF(O46="",L46,"")</f>
        <v/>
      </c>
      <c r="AQ46" s="33" t="str">
        <f aca="false">IF(O46&lt;&gt;"","",(4-VALUE(RIGHT(AK46,1)))*10^7+N(N46))</f>
        <v/>
      </c>
      <c r="AR46" s="33" t="n">
        <f aca="false">INDEX($O$7:$O$25,MATCH(A46,$I$7:$I$25,0))</f>
        <v>2</v>
      </c>
      <c r="AS46" s="33" t="str">
        <f aca="false">IF(AE46="No","",AR46*1000+IF(AM46="",900+COUNTIFS($A$29:A46,A46,$O$29:O46,"Price ≤ $5"),AM46))</f>
        <v/>
      </c>
    </row>
    <row r="47" customFormat="false" ht="41.75" hidden="false" customHeight="false" outlineLevel="0" collapsed="false">
      <c r="A47" s="15" t="s">
        <v>187</v>
      </c>
      <c r="B47" s="15" t="s">
        <v>356</v>
      </c>
      <c r="C47" s="16" t="s">
        <v>357</v>
      </c>
      <c r="D47" s="17" t="n">
        <f aca="false">IF(W47&gt;0,ROUND(AVERAGEIFS('Shortlisted Drugs X Company (7)'!$N$3:$N$698,'Shortlisted Drugs X Company (7)'!$C$3:$C$698,$B47,'Shortlisted Drugs X Company (7)'!$E$3:$E$698,$S47,'Shortlisted Drugs X Company (7)'!$N$3:$N$698,"&gt;5"),2),"")</f>
        <v>93.73</v>
      </c>
      <c r="E47" s="15" t="str">
        <f aca="false">IF(COUNTIFS('Shortlisted Drugs X Company (7)'!$C$3:$C$698,$B47,'Shortlisted Drugs X Company (7)'!$E$3:$E$698,$S47,'Shortlisted Drugs X Company (7)'!$P$3:$P$698,"Exact")&gt;0,"Exact",IF(COUNTIFS('Shortlisted Drugs X Company (7)'!$C$3:$C$698,$B47,'Shortlisted Drugs X Company (7)'!$E$3:$E$698,$S47,'Shortlisted Drugs X Company (7)'!$P$3:$P$698,"Same-market proxy")&gt;0,"Same-market proxy",IF(COUNTIFS('Shortlisted Drugs X Company (7)'!$C$3:$C$698,$B47,'Shortlisted Drugs X Company (7)'!$E$3:$E$698,$S47,'Shortlisted Drugs X Company (7)'!$P$3:$P$698,"Cross-market proxy")&gt;0,"Cross-market proxy",IF(COUNTIFS('Shortlisted Drugs X Company (7)'!$C$3:$C$698,$B47,'Shortlisted Drugs X Company (7)'!$E$3:$E$698,$S47,'Shortlisted Drugs X Company (7)'!$P$3:$P$698,"Source not found")&gt;0,"Source not found","Not priced"))))</f>
        <v>Same-market proxy</v>
      </c>
      <c r="F47" s="18" t="n">
        <f aca="false">IFERROR(ROUND(INDEX('Injectable Value'!$AA$28:$AA$178,MATCH(B47,'Injectable Value'!$A$28:$A$178,0)),1),"")</f>
        <v>59827.2</v>
      </c>
      <c r="G47" s="16" t="s">
        <v>338</v>
      </c>
      <c r="H47" s="14" t="n">
        <v>5</v>
      </c>
      <c r="I47" s="15" t="s">
        <v>248</v>
      </c>
      <c r="J47" s="15" t="s">
        <v>299</v>
      </c>
      <c r="K47" s="16" t="str">
        <f aca="false">"Reconstitution"&amp;IF(V47=0,"; Unpriced","")&amp;IF(AND(V47&gt;0,W47=0,X47=0),"; Low price from another market – confirm with company","")</f>
        <v>Reconstitution</v>
      </c>
      <c r="L47" s="18" t="n">
        <f aca="false">IFERROR(INDEX('Shortlisted Drugs X Company (7)'!$K$3:$K$698,MATCH(B47,'Shortlisted Drugs X Company (7)'!$C$3:$C$698,0)),"")</f>
        <v>312</v>
      </c>
      <c r="M47" s="18" t="n">
        <f aca="false">IFERROR(ROUND(L47*INDEX('Injectable Value'!$Z$28:$Z$178,MATCH(B47,'Injectable Value'!$A$28:$A$178,0)),0),"")</f>
        <v>312</v>
      </c>
      <c r="N47" s="18" t="n">
        <f aca="false">IFERROR(INDEX('Shortlisted Drugs X Company (7)'!$L$3:$L$698,MATCH(B47,'Shortlisted Drugs X Company (7)'!$C$3:$C$698,0)),"")</f>
        <v>59827.18</v>
      </c>
      <c r="O47" s="15" t="str">
        <f aca="false">IF(AE47="No","IV only (not ID/IM/SC)",IF(AND(V47&gt;0,W47=0),"Price ≤ $5",""))</f>
        <v>IV only (not ID/IM/SC)</v>
      </c>
      <c r="P47" s="14" t="str">
        <f aca="false">IF(O47&lt;&gt;"","",COUNTIFS($A$29:$A$361,A47,$O$29:$O$361,"",$AC$29:$AC$361,"&gt;"&amp;AC47)+COUNTIFS($A$29:A47,A47,$O$29:O47,"",$AC$29:AC47,AC47))</f>
        <v/>
      </c>
      <c r="Q47" s="15" t="str">
        <f aca="false">IF(O47&lt;&gt;"",IF(O47="Price ≤ $5","Excluded – price ≤ $5","Excluded – IV only"),IF(ISNUMBER(D47),IF(AND(D47&gt;=$C$3,M47&gt;=$E$3),"Priority 1",IF(OR(D47&gt;=$C$3,M47&gt;=$E$3),"Priority 2","Priority 3")),IF(M47&gt;=$E$3,"Priority 2","Priority 3")))</f>
        <v>Excluded – IV only</v>
      </c>
      <c r="R47" s="16" t="s">
        <v>250</v>
      </c>
      <c r="S47" s="15" t="s">
        <v>286</v>
      </c>
      <c r="T47" s="32" t="s">
        <v>358</v>
      </c>
      <c r="U47" s="33" t="str">
        <f aca="false">B47&amp;"|"&amp;S47</f>
        <v>Daptomycin|Aurobindo Pharma</v>
      </c>
      <c r="V47" s="34" t="n">
        <f aca="false">COUNTIFS('Shortlisted Drugs X Company (7)'!$C$3:$C$698,$B47,'Shortlisted Drugs X Company (7)'!$E$3:$E$698,$S47,'Shortlisted Drugs X Company (7)'!$N$3:$N$698,"&gt;=0")</f>
        <v>1</v>
      </c>
      <c r="W47" s="34" t="n">
        <f aca="false">COUNTIFS('Shortlisted Drugs X Company (7)'!$C$3:$C$698,$B47,'Shortlisted Drugs X Company (7)'!$E$3:$E$698,$S47,'Shortlisted Drugs X Company (7)'!$N$3:$N$698,"&gt;5")</f>
        <v>1</v>
      </c>
      <c r="X47" s="34" t="n">
        <f aca="false">COUNTIFS('Shortlisted Drugs X Company (7)'!$C$3:$C$698,$B47,'Shortlisted Drugs X Company (7)'!$E$3:$E$698,$S47,'Shortlisted Drugs X Company (7)'!$P$3:$P$698,"Exact")+COUNTIFS('Shortlisted Drugs X Company (7)'!$C$3:$C$698,$B47,'Shortlisted Drugs X Company (7)'!$E$3:$E$698,$S47,'Shortlisted Drugs X Company (7)'!$P$3:$P$698,"Same-market proxy")</f>
        <v>1</v>
      </c>
      <c r="Y47" s="33" t="str">
        <f aca="false">A47&amp;"|"&amp;P47</f>
        <v>Aurobindo|</v>
      </c>
      <c r="Z47" s="16" t="s">
        <v>359</v>
      </c>
      <c r="AA47" s="33" t="n">
        <f aca="false">INDEX($G$7:$G$25,MATCH(A47,$A$7:$A$25,0))</f>
        <v>2</v>
      </c>
      <c r="AB47" s="33" t="str">
        <f aca="false">IF(AE47="No","",AA47*1000+IF(P47="",900+COUNTIFS($A$29:A47,A47,$O$29:O47,"Price ≤ $5"),P47))</f>
        <v/>
      </c>
      <c r="AC47" s="33" t="str">
        <f aca="false">IF(O47&lt;&gt;"","",(4-VALUE(RIGHT(Q47,1)))*10^7+N(F47))</f>
        <v/>
      </c>
      <c r="AD47" s="15" t="str">
        <f aca="false">IFERROR(INDEX('Route of Administration'!$C$5:$C$155,MATCH(B47,'Route of Administration'!$A$5:$A$155,0)),"")</f>
        <v>IV</v>
      </c>
      <c r="AE47" s="14" t="str">
        <f aca="false">IFERROR(INDEX('Route of Administration'!$D$5:$D$155,MATCH(B47,'Route of Administration'!$A$5:$A$155,0)),"")</f>
        <v>No</v>
      </c>
      <c r="AF47" s="19" t="n">
        <f aca="false">IF(V47&gt;0,ROUND(AVERAGEIFS('Shortlisted Drugs X Company (7)'!$N$3:$N$698,'Shortlisted Drugs X Company (7)'!$C$3:$C$698,$B47,'Shortlisted Drugs X Company (7)'!$E$3:$E$698,$S47,'Shortlisted Drugs X Company (7)'!$N$3:$N$698,"&gt;=0"),2),"")</f>
        <v>93.73</v>
      </c>
      <c r="AG47" s="16" t="s">
        <v>360</v>
      </c>
      <c r="AH47" s="16" t="s">
        <v>361</v>
      </c>
      <c r="AI47" s="16" t="s">
        <v>361</v>
      </c>
      <c r="AJ47" s="16" t="str">
        <f aca="false">IF(O47&lt;&gt;"","",IF(ISNUMBER(D47),IF(D47&gt;=$C$3,"High price","Lower price"),"Unpriced")&amp;" · "&amp;IF(M47&gt;=$E$3,"high volume","lower volume"))</f>
        <v/>
      </c>
      <c r="AK47" s="15" t="str">
        <f aca="false">IF(O47&lt;&gt;"",IF(O47="Price ≤ $5","Excluded – price ≤ $5","Excluded – IV only"),IF(ISNUMBER(D47),IF(AND(D47&gt;=$C$3,L47&gt;=$H$3),"Priority 1",IF(OR(D47&gt;=$C$3,L47&gt;=$H$3),"Priority 2","Priority 3")),IF(L47&gt;=$H$3,"Priority 2","Priority 3")))</f>
        <v>Excluded – IV only</v>
      </c>
      <c r="AL47" s="16" t="str">
        <f aca="false">IF(O47&lt;&gt;"","",IF(ISNUMBER(D47),IF(D47&gt;=$C$3,"High price","Lower price"),"Unpriced")&amp;" · "&amp;IF(L47&gt;=$H$3,"high volume","lower volume"))</f>
        <v/>
      </c>
      <c r="AM47" s="14" t="str">
        <f aca="false">IF(O47&lt;&gt;"","",COUNTIFS($A$29:$A$361,A47,$O$29:$O$361,"",$AQ$29:$AQ$361,"&gt;"&amp;AQ47)+COUNTIFS($A$29:A47,A47,$O$29:O47,"",$AQ$29:AQ47,AQ47))</f>
        <v/>
      </c>
      <c r="AN47" s="33" t="str">
        <f aca="false">IF(AND(O47="",ISNUMBER(D47)),D47,"")</f>
        <v/>
      </c>
      <c r="AO47" s="33" t="str">
        <f aca="false">IF(O47="",M47,"")</f>
        <v/>
      </c>
      <c r="AP47" s="33" t="str">
        <f aca="false">IF(O47="",L47,"")</f>
        <v/>
      </c>
      <c r="AQ47" s="33" t="str">
        <f aca="false">IF(O47&lt;&gt;"","",(4-VALUE(RIGHT(AK47,1)))*10^7+N(N47))</f>
        <v/>
      </c>
      <c r="AR47" s="33" t="n">
        <f aca="false">INDEX($O$7:$O$25,MATCH(A47,$I$7:$I$25,0))</f>
        <v>2</v>
      </c>
      <c r="AS47" s="33" t="str">
        <f aca="false">IF(AE47="No","",AR47*1000+IF(AM47="",900+COUNTIFS($A$29:A47,A47,$O$29:O47,"Price ≤ $5"),AM47))</f>
        <v/>
      </c>
    </row>
    <row r="48" customFormat="false" ht="28.35" hidden="false" customHeight="false" outlineLevel="0" collapsed="false">
      <c r="A48" s="15" t="s">
        <v>187</v>
      </c>
      <c r="B48" s="15" t="s">
        <v>362</v>
      </c>
      <c r="C48" s="16" t="s">
        <v>363</v>
      </c>
      <c r="D48" s="17" t="n">
        <f aca="false">IF(W48&gt;0,ROUND(AVERAGEIFS('Shortlisted Drugs X Company (7)'!$N$3:$N$698,'Shortlisted Drugs X Company (7)'!$C$3:$C$698,$B48,'Shortlisted Drugs X Company (7)'!$E$3:$E$698,$S48,'Shortlisted Drugs X Company (7)'!$N$3:$N$698,"&gt;5"),2),"")</f>
        <v>16.84</v>
      </c>
      <c r="E48" s="15" t="str">
        <f aca="false">IF(COUNTIFS('Shortlisted Drugs X Company (7)'!$C$3:$C$698,$B48,'Shortlisted Drugs X Company (7)'!$E$3:$E$698,$S48,'Shortlisted Drugs X Company (7)'!$P$3:$P$698,"Exact")&gt;0,"Exact",IF(COUNTIFS('Shortlisted Drugs X Company (7)'!$C$3:$C$698,$B48,'Shortlisted Drugs X Company (7)'!$E$3:$E$698,$S48,'Shortlisted Drugs X Company (7)'!$P$3:$P$698,"Same-market proxy")&gt;0,"Same-market proxy",IF(COUNTIFS('Shortlisted Drugs X Company (7)'!$C$3:$C$698,$B48,'Shortlisted Drugs X Company (7)'!$E$3:$E$698,$S48,'Shortlisted Drugs X Company (7)'!$P$3:$P$698,"Cross-market proxy")&gt;0,"Cross-market proxy",IF(COUNTIFS('Shortlisted Drugs X Company (7)'!$C$3:$C$698,$B48,'Shortlisted Drugs X Company (7)'!$E$3:$E$698,$S48,'Shortlisted Drugs X Company (7)'!$P$3:$P$698,"Source not found")&gt;0,"Source not found","Not priced"))))</f>
        <v>Exact</v>
      </c>
      <c r="F48" s="18" t="n">
        <f aca="false">IFERROR(ROUND(INDEX('Injectable Value'!$AA$28:$AA$178,MATCH(B48,'Injectable Value'!$A$28:$A$178,0)),1),"")</f>
        <v>41503.2</v>
      </c>
      <c r="G48" s="16" t="s">
        <v>364</v>
      </c>
      <c r="H48" s="14" t="n">
        <v>6</v>
      </c>
      <c r="I48" s="15" t="s">
        <v>248</v>
      </c>
      <c r="J48" s="15" t="s">
        <v>249</v>
      </c>
      <c r="K48" s="16" t="str">
        <f aca="false">"Cancer drug (cytotoxic) – less relevant"&amp;IF(V48=0,"; Unpriced","")&amp;IF(AND(V48&gt;0,W48=0,X48=0),"; Low price from another market – confirm with company","")</f>
        <v>Cancer drug (cytotoxic) – less relevant</v>
      </c>
      <c r="L48" s="18" t="n">
        <f aca="false">IFERROR(INDEX('Shortlisted Drugs X Company (7)'!$K$3:$K$698,MATCH(B48,'Shortlisted Drugs X Company (7)'!$C$3:$C$698,0)),"")</f>
        <v>1644</v>
      </c>
      <c r="M48" s="18" t="n">
        <f aca="false">IFERROR(ROUND(L48*INDEX('Injectable Value'!$Z$28:$Z$178,MATCH(B48,'Injectable Value'!$A$28:$A$178,0)),0),"")</f>
        <v>1629</v>
      </c>
      <c r="N48" s="18" t="n">
        <f aca="false">IFERROR(INDEX('Shortlisted Drugs X Company (7)'!$L$3:$L$698,MATCH(B48,'Shortlisted Drugs X Company (7)'!$C$3:$C$698,0)),"")</f>
        <v>41889.23</v>
      </c>
      <c r="O48" s="15" t="str">
        <f aca="false">IF(AE48="No","IV only (not ID/IM/SC)",IF(AND(V48&gt;0,W48=0),"Price ≤ $5",""))</f>
        <v>IV only (not ID/IM/SC)</v>
      </c>
      <c r="P48" s="14" t="str">
        <f aca="false">IF(O48&lt;&gt;"","",COUNTIFS($A$29:$A$361,A48,$O$29:$O$361,"",$AC$29:$AC$361,"&gt;"&amp;AC48)+COUNTIFS($A$29:A48,A48,$O$29:O48,"",$AC$29:AC48,AC48))</f>
        <v/>
      </c>
      <c r="Q48" s="15" t="str">
        <f aca="false">IF(O48&lt;&gt;"",IF(O48="Price ≤ $5","Excluded – price ≤ $5","Excluded – IV only"),IF(ISNUMBER(D48),IF(AND(D48&gt;=$C$3,M48&gt;=$E$3),"Priority 1",IF(OR(D48&gt;=$C$3,M48&gt;=$E$3),"Priority 2","Priority 3")),IF(M48&gt;=$E$3,"Priority 2","Priority 3")))</f>
        <v>Excluded – IV only</v>
      </c>
      <c r="R48" s="16" t="s">
        <v>250</v>
      </c>
      <c r="S48" s="15" t="s">
        <v>286</v>
      </c>
      <c r="T48" s="32" t="s">
        <v>365</v>
      </c>
      <c r="U48" s="33" t="str">
        <f aca="false">B48&amp;"|"&amp;S48</f>
        <v>Doxorubicin|Aurobindo Pharma</v>
      </c>
      <c r="V48" s="34" t="n">
        <f aca="false">COUNTIFS('Shortlisted Drugs X Company (7)'!$C$3:$C$698,$B48,'Shortlisted Drugs X Company (7)'!$E$3:$E$698,$S48,'Shortlisted Drugs X Company (7)'!$N$3:$N$698,"&gt;=0")</f>
        <v>1</v>
      </c>
      <c r="W48" s="34" t="n">
        <f aca="false">COUNTIFS('Shortlisted Drugs X Company (7)'!$C$3:$C$698,$B48,'Shortlisted Drugs X Company (7)'!$E$3:$E$698,$S48,'Shortlisted Drugs X Company (7)'!$N$3:$N$698,"&gt;5")</f>
        <v>1</v>
      </c>
      <c r="X48" s="34" t="n">
        <f aca="false">COUNTIFS('Shortlisted Drugs X Company (7)'!$C$3:$C$698,$B48,'Shortlisted Drugs X Company (7)'!$E$3:$E$698,$S48,'Shortlisted Drugs X Company (7)'!$P$3:$P$698,"Exact")+COUNTIFS('Shortlisted Drugs X Company (7)'!$C$3:$C$698,$B48,'Shortlisted Drugs X Company (7)'!$E$3:$E$698,$S48,'Shortlisted Drugs X Company (7)'!$P$3:$P$698,"Same-market proxy")</f>
        <v>1</v>
      </c>
      <c r="Y48" s="33" t="str">
        <f aca="false">A48&amp;"|"&amp;P48</f>
        <v>Aurobindo|</v>
      </c>
      <c r="Z48" s="16" t="s">
        <v>366</v>
      </c>
      <c r="AA48" s="33" t="n">
        <f aca="false">INDEX($G$7:$G$25,MATCH(A48,$A$7:$A$25,0))</f>
        <v>2</v>
      </c>
      <c r="AB48" s="33" t="str">
        <f aca="false">IF(AE48="No","",AA48*1000+IF(P48="",900+COUNTIFS($A$29:A48,A48,$O$29:O48,"Price ≤ $5"),P48))</f>
        <v/>
      </c>
      <c r="AC48" s="33" t="str">
        <f aca="false">IF(O48&lt;&gt;"","",(4-VALUE(RIGHT(Q48,1)))*10^7+N(F48))</f>
        <v/>
      </c>
      <c r="AD48" s="15" t="str">
        <f aca="false">IFERROR(INDEX('Route of Administration'!$C$5:$C$155,MATCH(B48,'Route of Administration'!$A$5:$A$155,0)),"")</f>
        <v>IV</v>
      </c>
      <c r="AE48" s="14" t="str">
        <f aca="false">IFERROR(INDEX('Route of Administration'!$D$5:$D$155,MATCH(B48,'Route of Administration'!$A$5:$A$155,0)),"")</f>
        <v>No</v>
      </c>
      <c r="AF48" s="19" t="n">
        <f aca="false">IF(V48&gt;0,ROUND(AVERAGEIFS('Shortlisted Drugs X Company (7)'!$N$3:$N$698,'Shortlisted Drugs X Company (7)'!$C$3:$C$698,$B48,'Shortlisted Drugs X Company (7)'!$E$3:$E$698,$S48,'Shortlisted Drugs X Company (7)'!$N$3:$N$698,"&gt;=0"),2),"")</f>
        <v>16.84</v>
      </c>
      <c r="AG48" s="16" t="s">
        <v>367</v>
      </c>
      <c r="AH48" s="16" t="s">
        <v>368</v>
      </c>
      <c r="AI48" s="16" t="s">
        <v>368</v>
      </c>
      <c r="AJ48" s="16" t="str">
        <f aca="false">IF(O48&lt;&gt;"","",IF(ISNUMBER(D48),IF(D48&gt;=$C$3,"High price","Lower price"),"Unpriced")&amp;" · "&amp;IF(M48&gt;=$E$3,"high volume","lower volume"))</f>
        <v/>
      </c>
      <c r="AK48" s="15" t="str">
        <f aca="false">IF(O48&lt;&gt;"",IF(O48="Price ≤ $5","Excluded – price ≤ $5","Excluded – IV only"),IF(ISNUMBER(D48),IF(AND(D48&gt;=$C$3,L48&gt;=$H$3),"Priority 1",IF(OR(D48&gt;=$C$3,L48&gt;=$H$3),"Priority 2","Priority 3")),IF(L48&gt;=$H$3,"Priority 2","Priority 3")))</f>
        <v>Excluded – IV only</v>
      </c>
      <c r="AL48" s="16" t="str">
        <f aca="false">IF(O48&lt;&gt;"","",IF(ISNUMBER(D48),IF(D48&gt;=$C$3,"High price","Lower price"),"Unpriced")&amp;" · "&amp;IF(L48&gt;=$H$3,"high volume","lower volume"))</f>
        <v/>
      </c>
      <c r="AM48" s="14" t="str">
        <f aca="false">IF(O48&lt;&gt;"","",COUNTIFS($A$29:$A$361,A48,$O$29:$O$361,"",$AQ$29:$AQ$361,"&gt;"&amp;AQ48)+COUNTIFS($A$29:A48,A48,$O$29:O48,"",$AQ$29:AQ48,AQ48))</f>
        <v/>
      </c>
      <c r="AN48" s="33" t="str">
        <f aca="false">IF(AND(O48="",ISNUMBER(D48)),D48,"")</f>
        <v/>
      </c>
      <c r="AO48" s="33" t="str">
        <f aca="false">IF(O48="",M48,"")</f>
        <v/>
      </c>
      <c r="AP48" s="33" t="str">
        <f aca="false">IF(O48="",L48,"")</f>
        <v/>
      </c>
      <c r="AQ48" s="33" t="str">
        <f aca="false">IF(O48&lt;&gt;"","",(4-VALUE(RIGHT(AK48,1)))*10^7+N(N48))</f>
        <v/>
      </c>
      <c r="AR48" s="33" t="n">
        <f aca="false">INDEX($O$7:$O$25,MATCH(A48,$I$7:$I$25,0))</f>
        <v>2</v>
      </c>
      <c r="AS48" s="33" t="str">
        <f aca="false">IF(AE48="No","",AR48*1000+IF(AM48="",900+COUNTIFS($A$29:A48,A48,$O$29:O48,"Price ≤ $5"),AM48))</f>
        <v/>
      </c>
    </row>
    <row r="49" customFormat="false" ht="41.75" hidden="false" customHeight="false" outlineLevel="0" collapsed="false">
      <c r="A49" s="15" t="s">
        <v>187</v>
      </c>
      <c r="B49" s="15" t="s">
        <v>369</v>
      </c>
      <c r="C49" s="16" t="s">
        <v>370</v>
      </c>
      <c r="D49" s="17" t="n">
        <f aca="false">IF(W49&gt;0,ROUND(AVERAGEIFS('Shortlisted Drugs X Company (7)'!$N$3:$N$698,'Shortlisted Drugs X Company (7)'!$C$3:$C$698,$B49,'Shortlisted Drugs X Company (7)'!$E$3:$E$698,$S49,'Shortlisted Drugs X Company (7)'!$N$3:$N$698,"&gt;5"),2),"")</f>
        <v>5.35</v>
      </c>
      <c r="E49" s="15" t="str">
        <f aca="false">IF(COUNTIFS('Shortlisted Drugs X Company (7)'!$C$3:$C$698,$B49,'Shortlisted Drugs X Company (7)'!$E$3:$E$698,$S49,'Shortlisted Drugs X Company (7)'!$P$3:$P$698,"Exact")&gt;0,"Exact",IF(COUNTIFS('Shortlisted Drugs X Company (7)'!$C$3:$C$698,$B49,'Shortlisted Drugs X Company (7)'!$E$3:$E$698,$S49,'Shortlisted Drugs X Company (7)'!$P$3:$P$698,"Same-market proxy")&gt;0,"Same-market proxy",IF(COUNTIFS('Shortlisted Drugs X Company (7)'!$C$3:$C$698,$B49,'Shortlisted Drugs X Company (7)'!$E$3:$E$698,$S49,'Shortlisted Drugs X Company (7)'!$P$3:$P$698,"Cross-market proxy")&gt;0,"Cross-market proxy",IF(COUNTIFS('Shortlisted Drugs X Company (7)'!$C$3:$C$698,$B49,'Shortlisted Drugs X Company (7)'!$E$3:$E$698,$S49,'Shortlisted Drugs X Company (7)'!$P$3:$P$698,"Source not found")&gt;0,"Source not found","Not priced"))))</f>
        <v>Same-market proxy</v>
      </c>
      <c r="F49" s="18" t="n">
        <f aca="false">IFERROR(ROUND(INDEX('Injectable Value'!$AA$28:$AA$178,MATCH(B49,'Injectable Value'!$A$28:$A$178,0)),1),"")</f>
        <v>2937.3</v>
      </c>
      <c r="G49" s="16" t="s">
        <v>371</v>
      </c>
      <c r="H49" s="14" t="n">
        <v>2</v>
      </c>
      <c r="I49" s="15" t="s">
        <v>248</v>
      </c>
      <c r="J49" s="15" t="s">
        <v>249</v>
      </c>
      <c r="K49" s="16" t="str">
        <f aca="false">""&amp;IF(V49=0,"Unpriced","")&amp;IF(AND(V49&gt;0,W49=0,X49=0),"Low price from another market – confirm with company","")</f>
        <v/>
      </c>
      <c r="L49" s="18" t="n">
        <f aca="false">IFERROR(INDEX('Shortlisted Drugs X Company (7)'!$K$3:$K$698,MATCH(B49,'Shortlisted Drugs X Company (7)'!$C$3:$C$698,0)),"")</f>
        <v>78</v>
      </c>
      <c r="M49" s="18" t="n">
        <f aca="false">IFERROR(ROUND(L49*INDEX('Injectable Value'!$Z$28:$Z$178,MATCH(B49,'Injectable Value'!$A$28:$A$178,0)),0),"")</f>
        <v>49</v>
      </c>
      <c r="N49" s="18" t="n">
        <f aca="false">IFERROR(INDEX('Shortlisted Drugs X Company (7)'!$L$3:$L$698,MATCH(B49,'Shortlisted Drugs X Company (7)'!$C$3:$C$698,0)),"")</f>
        <v>4714.67</v>
      </c>
      <c r="O49" s="15" t="str">
        <f aca="false">IF(AE49="No","IV only (not ID/IM/SC)",IF(AND(V49&gt;0,W49=0),"Price ≤ $5",""))</f>
        <v/>
      </c>
      <c r="P49" s="14" t="n">
        <f aca="false">IF(O49&lt;&gt;"","",COUNTIFS($A$29:$A$361,A49,$O$29:$O$361,"",$AC$29:$AC$361,"&gt;"&amp;AC49)+COUNTIFS($A$29:A49,A49,$O$29:O49,"",$AC$29:AC49,AC49))</f>
        <v>22</v>
      </c>
      <c r="Q49" s="15" t="str">
        <f aca="false">IF(O49&lt;&gt;"",IF(O49="Price ≤ $5","Excluded – price ≤ $5","Excluded – IV only"),IF(ISNUMBER(D49),IF(AND(D49&gt;=$C$3,M49&gt;=$E$3),"Priority 1",IF(OR(D49&gt;=$C$3,M49&gt;=$E$3),"Priority 2","Priority 3")),IF(M49&gt;=$E$3,"Priority 2","Priority 3")))</f>
        <v>Priority 3</v>
      </c>
      <c r="R49" s="16" t="s">
        <v>250</v>
      </c>
      <c r="S49" s="15" t="s">
        <v>286</v>
      </c>
      <c r="T49" s="32" t="s">
        <v>372</v>
      </c>
      <c r="U49" s="33" t="str">
        <f aca="false">B49&amp;"|"&amp;S49</f>
        <v>Ephedrine|Aurobindo Pharma</v>
      </c>
      <c r="V49" s="34" t="n">
        <f aca="false">COUNTIFS('Shortlisted Drugs X Company (7)'!$C$3:$C$698,$B49,'Shortlisted Drugs X Company (7)'!$E$3:$E$698,$S49,'Shortlisted Drugs X Company (7)'!$N$3:$N$698,"&gt;=0")</f>
        <v>1</v>
      </c>
      <c r="W49" s="34" t="n">
        <f aca="false">COUNTIFS('Shortlisted Drugs X Company (7)'!$C$3:$C$698,$B49,'Shortlisted Drugs X Company (7)'!$E$3:$E$698,$S49,'Shortlisted Drugs X Company (7)'!$N$3:$N$698,"&gt;5")</f>
        <v>1</v>
      </c>
      <c r="X49" s="34" t="n">
        <f aca="false">COUNTIFS('Shortlisted Drugs X Company (7)'!$C$3:$C$698,$B49,'Shortlisted Drugs X Company (7)'!$E$3:$E$698,$S49,'Shortlisted Drugs X Company (7)'!$P$3:$P$698,"Exact")+COUNTIFS('Shortlisted Drugs X Company (7)'!$C$3:$C$698,$B49,'Shortlisted Drugs X Company (7)'!$E$3:$E$698,$S49,'Shortlisted Drugs X Company (7)'!$P$3:$P$698,"Same-market proxy")</f>
        <v>1</v>
      </c>
      <c r="Y49" s="33" t="str">
        <f aca="false">A49&amp;"|"&amp;P49</f>
        <v>Aurobindo|22</v>
      </c>
      <c r="Z49" s="16" t="s">
        <v>373</v>
      </c>
      <c r="AA49" s="33" t="n">
        <f aca="false">INDEX($G$7:$G$25,MATCH(A49,$A$7:$A$25,0))</f>
        <v>2</v>
      </c>
      <c r="AB49" s="33" t="n">
        <f aca="false">IF(AE49="No","",AA49*1000+IF(P49="",900+COUNTIFS($A$29:A49,A49,$O$29:O49,"Price ≤ $5"),P49))</f>
        <v>2022</v>
      </c>
      <c r="AC49" s="33" t="n">
        <f aca="false">IF(O49&lt;&gt;"","",(4-VALUE(RIGHT(Q49,1)))*10^7+N(F49))</f>
        <v>10002937.3</v>
      </c>
      <c r="AD49" s="15" t="str">
        <f aca="false">IFERROR(INDEX('Route of Administration'!$C$5:$C$155,MATCH(B49,'Route of Administration'!$A$5:$A$155,0)),"")</f>
        <v>IV, IM, SC</v>
      </c>
      <c r="AE49" s="14" t="str">
        <f aca="false">IFERROR(INDEX('Route of Administration'!$D$5:$D$155,MATCH(B49,'Route of Administration'!$A$5:$A$155,0)),"")</f>
        <v>Yes</v>
      </c>
      <c r="AF49" s="19" t="n">
        <f aca="false">IF(V49&gt;0,ROUND(AVERAGEIFS('Shortlisted Drugs X Company (7)'!$N$3:$N$698,'Shortlisted Drugs X Company (7)'!$C$3:$C$698,$B49,'Shortlisted Drugs X Company (7)'!$E$3:$E$698,$S49,'Shortlisted Drugs X Company (7)'!$N$3:$N$698,"&gt;=0"),2),"")</f>
        <v>5.35</v>
      </c>
      <c r="AG49" s="16" t="s">
        <v>374</v>
      </c>
      <c r="AH49" s="16" t="s">
        <v>375</v>
      </c>
      <c r="AI49" s="16" t="s">
        <v>375</v>
      </c>
      <c r="AJ49" s="16" t="str">
        <f aca="false">IF(O49&lt;&gt;"","",IF(ISNUMBER(D49),IF(D49&gt;=$C$3,"High price","Lower price"),"Unpriced")&amp;" · "&amp;IF(M49&gt;=$E$3,"high volume","lower volume"))</f>
        <v>Lower price · lower volume</v>
      </c>
      <c r="AK49" s="15" t="str">
        <f aca="false">IF(O49&lt;&gt;"",IF(O49="Price ≤ $5","Excluded – price ≤ $5","Excluded – IV only"),IF(ISNUMBER(D49),IF(AND(D49&gt;=$C$3,L49&gt;=$H$3),"Priority 1",IF(OR(D49&gt;=$C$3,L49&gt;=$H$3),"Priority 2","Priority 3")),IF(L49&gt;=$H$3,"Priority 2","Priority 3")))</f>
        <v>Priority 3</v>
      </c>
      <c r="AL49" s="16" t="str">
        <f aca="false">IF(O49&lt;&gt;"","",IF(ISNUMBER(D49),IF(D49&gt;=$C$3,"High price","Lower price"),"Unpriced")&amp;" · "&amp;IF(L49&gt;=$H$3,"high volume","lower volume"))</f>
        <v>Lower price · lower volume</v>
      </c>
      <c r="AM49" s="14" t="n">
        <f aca="false">IF(O49&lt;&gt;"","",COUNTIFS($A$29:$A$361,A49,$O$29:$O$361,"",$AQ$29:$AQ$361,"&gt;"&amp;AQ49)+COUNTIFS($A$29:A49,A49,$O$29:O49,"",$AQ$29:AQ49,AQ49))</f>
        <v>24</v>
      </c>
      <c r="AN49" s="19" t="n">
        <f aca="false">IF(AND(O49="",ISNUMBER(D49)),D49,"")</f>
        <v>5.35</v>
      </c>
      <c r="AO49" s="20" t="n">
        <f aca="false">IF(O49="",M49,"")</f>
        <v>49</v>
      </c>
      <c r="AP49" s="20" t="n">
        <f aca="false">IF(O49="",L49,"")</f>
        <v>78</v>
      </c>
      <c r="AQ49" s="33" t="n">
        <f aca="false">IF(O49&lt;&gt;"","",(4-VALUE(RIGHT(AK49,1)))*10^7+N(N49))</f>
        <v>10004714.67</v>
      </c>
      <c r="AR49" s="33" t="n">
        <f aca="false">INDEX($O$7:$O$25,MATCH(A49,$I$7:$I$25,0))</f>
        <v>2</v>
      </c>
      <c r="AS49" s="33" t="n">
        <f aca="false">IF(AE49="No","",AR49*1000+IF(AM49="",900+COUNTIFS($A$29:A49,A49,$O$29:O49,"Price ≤ $5"),AM49))</f>
        <v>2024</v>
      </c>
    </row>
    <row r="50" customFormat="false" ht="28.35" hidden="false" customHeight="false" outlineLevel="0" collapsed="false">
      <c r="A50" s="15" t="s">
        <v>187</v>
      </c>
      <c r="B50" s="15" t="s">
        <v>376</v>
      </c>
      <c r="C50" s="16" t="s">
        <v>377</v>
      </c>
      <c r="D50" s="17" t="n">
        <f aca="false">IF(W50&gt;0,ROUND(AVERAGEIFS('Shortlisted Drugs X Company (7)'!$N$3:$N$698,'Shortlisted Drugs X Company (7)'!$C$3:$C$698,$B50,'Shortlisted Drugs X Company (7)'!$E$3:$E$698,$S50,'Shortlisted Drugs X Company (7)'!$N$3:$N$698,"&gt;5"),2),"")</f>
        <v>91.73</v>
      </c>
      <c r="E50" s="15" t="str">
        <f aca="false">IF(COUNTIFS('Shortlisted Drugs X Company (7)'!$C$3:$C$698,$B50,'Shortlisted Drugs X Company (7)'!$E$3:$E$698,$S50,'Shortlisted Drugs X Company (7)'!$P$3:$P$698,"Exact")&gt;0,"Exact",IF(COUNTIFS('Shortlisted Drugs X Company (7)'!$C$3:$C$698,$B50,'Shortlisted Drugs X Company (7)'!$E$3:$E$698,$S50,'Shortlisted Drugs X Company (7)'!$P$3:$P$698,"Same-market proxy")&gt;0,"Same-market proxy",IF(COUNTIFS('Shortlisted Drugs X Company (7)'!$C$3:$C$698,$B50,'Shortlisted Drugs X Company (7)'!$E$3:$E$698,$S50,'Shortlisted Drugs X Company (7)'!$P$3:$P$698,"Cross-market proxy")&gt;0,"Cross-market proxy",IF(COUNTIFS('Shortlisted Drugs X Company (7)'!$C$3:$C$698,$B50,'Shortlisted Drugs X Company (7)'!$E$3:$E$698,$S50,'Shortlisted Drugs X Company (7)'!$P$3:$P$698,"Source not found")&gt;0,"Source not found","Not priced"))))</f>
        <v>Cross-market proxy</v>
      </c>
      <c r="F50" s="18" t="n">
        <f aca="false">IFERROR(ROUND(INDEX('Injectable Value'!$AA$28:$AA$178,MATCH(B50,'Injectable Value'!$A$28:$A$178,0)),1),"")</f>
        <v>2770.2</v>
      </c>
      <c r="G50" s="16" t="s">
        <v>378</v>
      </c>
      <c r="H50" s="14" t="n">
        <v>4</v>
      </c>
      <c r="I50" s="15" t="s">
        <v>248</v>
      </c>
      <c r="J50" s="15" t="s">
        <v>284</v>
      </c>
      <c r="K50" s="16" t="str">
        <f aca="false">"Cancer drug (cytotoxic) – less relevant"&amp;IF(V50=0,"; Unpriced","")&amp;IF(AND(V50&gt;0,W50=0,X50=0),"; Low price from another market – confirm with company","")</f>
        <v>Cancer drug (cytotoxic) – less relevant</v>
      </c>
      <c r="L50" s="18" t="n">
        <f aca="false">IFERROR(INDEX('Shortlisted Drugs X Company (7)'!$K$3:$K$698,MATCH(B50,'Shortlisted Drugs X Company (7)'!$C$3:$C$698,0)),"")</f>
        <v>345</v>
      </c>
      <c r="M50" s="18" t="n">
        <f aca="false">IFERROR(ROUND(L50*INDEX('Injectable Value'!$Z$28:$Z$178,MATCH(B50,'Injectable Value'!$A$28:$A$178,0)),0),"")</f>
        <v>343</v>
      </c>
      <c r="N50" s="18" t="n">
        <f aca="false">IFERROR(INDEX('Shortlisted Drugs X Company (7)'!$L$3:$L$698,MATCH(B50,'Shortlisted Drugs X Company (7)'!$C$3:$C$698,0)),"")</f>
        <v>2783.28</v>
      </c>
      <c r="O50" s="15" t="str">
        <f aca="false">IF(AE50="No","IV only (not ID/IM/SC)",IF(AND(V50&gt;0,W50=0),"Price ≤ $5",""))</f>
        <v>IV only (not ID/IM/SC)</v>
      </c>
      <c r="P50" s="14" t="str">
        <f aca="false">IF(O50&lt;&gt;"","",COUNTIFS($A$29:$A$361,A50,$O$29:$O$361,"",$AC$29:$AC$361,"&gt;"&amp;AC50)+COUNTIFS($A$29:A50,A50,$O$29:O50,"",$AC$29:AC50,AC50))</f>
        <v/>
      </c>
      <c r="Q50" s="15" t="str">
        <f aca="false">IF(O50&lt;&gt;"",IF(O50="Price ≤ $5","Excluded – price ≤ $5","Excluded – IV only"),IF(ISNUMBER(D50),IF(AND(D50&gt;=$C$3,M50&gt;=$E$3),"Priority 1",IF(OR(D50&gt;=$C$3,M50&gt;=$E$3),"Priority 2","Priority 3")),IF(M50&gt;=$E$3,"Priority 2","Priority 3")))</f>
        <v>Excluded – IV only</v>
      </c>
      <c r="R50" s="16" t="s">
        <v>285</v>
      </c>
      <c r="S50" s="15" t="s">
        <v>286</v>
      </c>
      <c r="T50" s="32" t="s">
        <v>379</v>
      </c>
      <c r="U50" s="33" t="str">
        <f aca="false">B50&amp;"|"&amp;S50</f>
        <v>Epirubicin|Aurobindo Pharma</v>
      </c>
      <c r="V50" s="34" t="n">
        <f aca="false">COUNTIFS('Shortlisted Drugs X Company (7)'!$C$3:$C$698,$B50,'Shortlisted Drugs X Company (7)'!$E$3:$E$698,$S50,'Shortlisted Drugs X Company (7)'!$N$3:$N$698,"&gt;=0")</f>
        <v>1</v>
      </c>
      <c r="W50" s="34" t="n">
        <f aca="false">COUNTIFS('Shortlisted Drugs X Company (7)'!$C$3:$C$698,$B50,'Shortlisted Drugs X Company (7)'!$E$3:$E$698,$S50,'Shortlisted Drugs X Company (7)'!$N$3:$N$698,"&gt;5")</f>
        <v>1</v>
      </c>
      <c r="X50" s="34" t="n">
        <f aca="false">COUNTIFS('Shortlisted Drugs X Company (7)'!$C$3:$C$698,$B50,'Shortlisted Drugs X Company (7)'!$E$3:$E$698,$S50,'Shortlisted Drugs X Company (7)'!$P$3:$P$698,"Exact")+COUNTIFS('Shortlisted Drugs X Company (7)'!$C$3:$C$698,$B50,'Shortlisted Drugs X Company (7)'!$E$3:$E$698,$S50,'Shortlisted Drugs X Company (7)'!$P$3:$P$698,"Same-market proxy")</f>
        <v>0</v>
      </c>
      <c r="Y50" s="33" t="str">
        <f aca="false">A50&amp;"|"&amp;P50</f>
        <v>Aurobindo|</v>
      </c>
      <c r="Z50" s="16" t="s">
        <v>380</v>
      </c>
      <c r="AA50" s="33" t="n">
        <f aca="false">INDEX($G$7:$G$25,MATCH(A50,$A$7:$A$25,0))</f>
        <v>2</v>
      </c>
      <c r="AB50" s="33" t="str">
        <f aca="false">IF(AE50="No","",AA50*1000+IF(P50="",900+COUNTIFS($A$29:A50,A50,$O$29:O50,"Price ≤ $5"),P50))</f>
        <v/>
      </c>
      <c r="AC50" s="33" t="str">
        <f aca="false">IF(O50&lt;&gt;"","",(4-VALUE(RIGHT(Q50,1)))*10^7+N(F50))</f>
        <v/>
      </c>
      <c r="AD50" s="15" t="str">
        <f aca="false">IFERROR(INDEX('Route of Administration'!$C$5:$C$155,MATCH(B50,'Route of Administration'!$A$5:$A$155,0)),"")</f>
        <v>IV</v>
      </c>
      <c r="AE50" s="14" t="str">
        <f aca="false">IFERROR(INDEX('Route of Administration'!$D$5:$D$155,MATCH(B50,'Route of Administration'!$A$5:$A$155,0)),"")</f>
        <v>No</v>
      </c>
      <c r="AF50" s="19" t="n">
        <f aca="false">IF(V50&gt;0,ROUND(AVERAGEIFS('Shortlisted Drugs X Company (7)'!$N$3:$N$698,'Shortlisted Drugs X Company (7)'!$C$3:$C$698,$B50,'Shortlisted Drugs X Company (7)'!$E$3:$E$698,$S50,'Shortlisted Drugs X Company (7)'!$N$3:$N$698,"&gt;=0"),2),"")</f>
        <v>91.73</v>
      </c>
      <c r="AG50" s="16" t="s">
        <v>381</v>
      </c>
      <c r="AH50" s="16" t="s">
        <v>382</v>
      </c>
      <c r="AI50" s="16" t="s">
        <v>382</v>
      </c>
      <c r="AJ50" s="16" t="str">
        <f aca="false">IF(O50&lt;&gt;"","",IF(ISNUMBER(D50),IF(D50&gt;=$C$3,"High price","Lower price"),"Unpriced")&amp;" · "&amp;IF(M50&gt;=$E$3,"high volume","lower volume"))</f>
        <v/>
      </c>
      <c r="AK50" s="15" t="str">
        <f aca="false">IF(O50&lt;&gt;"",IF(O50="Price ≤ $5","Excluded – price ≤ $5","Excluded – IV only"),IF(ISNUMBER(D50),IF(AND(D50&gt;=$C$3,L50&gt;=$H$3),"Priority 1",IF(OR(D50&gt;=$C$3,L50&gt;=$H$3),"Priority 2","Priority 3")),IF(L50&gt;=$H$3,"Priority 2","Priority 3")))</f>
        <v>Excluded – IV only</v>
      </c>
      <c r="AL50" s="16" t="str">
        <f aca="false">IF(O50&lt;&gt;"","",IF(ISNUMBER(D50),IF(D50&gt;=$C$3,"High price","Lower price"),"Unpriced")&amp;" · "&amp;IF(L50&gt;=$H$3,"high volume","lower volume"))</f>
        <v/>
      </c>
      <c r="AM50" s="14" t="str">
        <f aca="false">IF(O50&lt;&gt;"","",COUNTIFS($A$29:$A$361,A50,$O$29:$O$361,"",$AQ$29:$AQ$361,"&gt;"&amp;AQ50)+COUNTIFS($A$29:A50,A50,$O$29:O50,"",$AQ$29:AQ50,AQ50))</f>
        <v/>
      </c>
      <c r="AN50" s="33" t="str">
        <f aca="false">IF(AND(O50="",ISNUMBER(D50)),D50,"")</f>
        <v/>
      </c>
      <c r="AO50" s="33" t="str">
        <f aca="false">IF(O50="",M50,"")</f>
        <v/>
      </c>
      <c r="AP50" s="33" t="str">
        <f aca="false">IF(O50="",L50,"")</f>
        <v/>
      </c>
      <c r="AQ50" s="33" t="str">
        <f aca="false">IF(O50&lt;&gt;"","",(4-VALUE(RIGHT(AK50,1)))*10^7+N(N50))</f>
        <v/>
      </c>
      <c r="AR50" s="33" t="n">
        <f aca="false">INDEX($O$7:$O$25,MATCH(A50,$I$7:$I$25,0))</f>
        <v>2</v>
      </c>
      <c r="AS50" s="33" t="str">
        <f aca="false">IF(AE50="No","",AR50*1000+IF(AM50="",900+COUNTIFS($A$29:A50,A50,$O$29:O50,"Price ≤ $5"),AM50))</f>
        <v/>
      </c>
    </row>
    <row r="51" customFormat="false" ht="41.75" hidden="false" customHeight="false" outlineLevel="0" collapsed="false">
      <c r="A51" s="15" t="s">
        <v>187</v>
      </c>
      <c r="B51" s="15" t="s">
        <v>383</v>
      </c>
      <c r="C51" s="16" t="s">
        <v>384</v>
      </c>
      <c r="D51" s="17" t="n">
        <f aca="false">IF(W51&gt;0,ROUND(AVERAGEIFS('Shortlisted Drugs X Company (7)'!$N$3:$N$698,'Shortlisted Drugs X Company (7)'!$C$3:$C$698,$B51,'Shortlisted Drugs X Company (7)'!$E$3:$E$698,$S51,'Shortlisted Drugs X Company (7)'!$N$3:$N$698,"&gt;5"),2),"")</f>
        <v>343.8</v>
      </c>
      <c r="E51" s="15" t="str">
        <f aca="false">IF(COUNTIFS('Shortlisted Drugs X Company (7)'!$C$3:$C$698,$B51,'Shortlisted Drugs X Company (7)'!$E$3:$E$698,$S51,'Shortlisted Drugs X Company (7)'!$P$3:$P$698,"Exact")&gt;0,"Exact",IF(COUNTIFS('Shortlisted Drugs X Company (7)'!$C$3:$C$698,$B51,'Shortlisted Drugs X Company (7)'!$E$3:$E$698,$S51,'Shortlisted Drugs X Company (7)'!$P$3:$P$698,"Same-market proxy")&gt;0,"Same-market proxy",IF(COUNTIFS('Shortlisted Drugs X Company (7)'!$C$3:$C$698,$B51,'Shortlisted Drugs X Company (7)'!$E$3:$E$698,$S51,'Shortlisted Drugs X Company (7)'!$P$3:$P$698,"Cross-market proxy")&gt;0,"Cross-market proxy",IF(COUNTIFS('Shortlisted Drugs X Company (7)'!$C$3:$C$698,$B51,'Shortlisted Drugs X Company (7)'!$E$3:$E$698,$S51,'Shortlisted Drugs X Company (7)'!$P$3:$P$698,"Source not found")&gt;0,"Source not found","Not priced"))))</f>
        <v>Same-market proxy</v>
      </c>
      <c r="F51" s="18" t="n">
        <f aca="false">IFERROR(ROUND(INDEX('Injectable Value'!$AA$28:$AA$178,MATCH(B51,'Injectable Value'!$A$28:$A$178,0)),1),"")</f>
        <v>5178.3</v>
      </c>
      <c r="G51" s="16" t="s">
        <v>247</v>
      </c>
      <c r="H51" s="14" t="n">
        <v>1</v>
      </c>
      <c r="I51" s="15" t="s">
        <v>248</v>
      </c>
      <c r="J51" s="15" t="s">
        <v>249</v>
      </c>
      <c r="K51" s="16" t="str">
        <f aca="false">""&amp;IF(V51=0,"Unpriced","")&amp;IF(AND(V51&gt;0,W51=0,X51=0),"Low price from another market – confirm with company","")</f>
        <v/>
      </c>
      <c r="L51" s="18" t="n">
        <f aca="false">IFERROR(INDEX('Shortlisted Drugs X Company (7)'!$K$3:$K$698,MATCH(B51,'Shortlisted Drugs X Company (7)'!$C$3:$C$698,0)),"")</f>
        <v>149</v>
      </c>
      <c r="M51" s="18" t="n">
        <f aca="false">IFERROR(ROUND(L51*INDEX('Injectable Value'!$Z$28:$Z$178,MATCH(B51,'Injectable Value'!$A$28:$A$178,0)),0),"")</f>
        <v>147</v>
      </c>
      <c r="N51" s="18" t="n">
        <f aca="false">IFERROR(INDEX('Shortlisted Drugs X Company (7)'!$L$3:$L$698,MATCH(B51,'Shortlisted Drugs X Company (7)'!$C$3:$C$698,0)),"")</f>
        <v>5255.61</v>
      </c>
      <c r="O51" s="15" t="str">
        <f aca="false">IF(AE51="No","IV only (not ID/IM/SC)",IF(AND(V51&gt;0,W51=0),"Price ≤ $5",""))</f>
        <v>IV only (not ID/IM/SC)</v>
      </c>
      <c r="P51" s="14" t="str">
        <f aca="false">IF(O51&lt;&gt;"","",COUNTIFS($A$29:$A$361,A51,$O$29:$O$361,"",$AC$29:$AC$361,"&gt;"&amp;AC51)+COUNTIFS($A$29:A51,A51,$O$29:O51,"",$AC$29:AC51,AC51))</f>
        <v/>
      </c>
      <c r="Q51" s="15" t="str">
        <f aca="false">IF(O51&lt;&gt;"",IF(O51="Price ≤ $5","Excluded – price ≤ $5","Excluded – IV only"),IF(ISNUMBER(D51),IF(AND(D51&gt;=$C$3,M51&gt;=$E$3),"Priority 1",IF(OR(D51&gt;=$C$3,M51&gt;=$E$3),"Priority 2","Priority 3")),IF(M51&gt;=$E$3,"Priority 2","Priority 3")))</f>
        <v>Excluded – IV only</v>
      </c>
      <c r="R51" s="16" t="s">
        <v>285</v>
      </c>
      <c r="S51" s="15" t="s">
        <v>286</v>
      </c>
      <c r="T51" s="32" t="s">
        <v>385</v>
      </c>
      <c r="U51" s="33" t="str">
        <f aca="false">B51&amp;"|"&amp;S51</f>
        <v>Eptifibatide|Aurobindo Pharma</v>
      </c>
      <c r="V51" s="34" t="n">
        <f aca="false">COUNTIFS('Shortlisted Drugs X Company (7)'!$C$3:$C$698,$B51,'Shortlisted Drugs X Company (7)'!$E$3:$E$698,$S51,'Shortlisted Drugs X Company (7)'!$N$3:$N$698,"&gt;=0")</f>
        <v>1</v>
      </c>
      <c r="W51" s="34" t="n">
        <f aca="false">COUNTIFS('Shortlisted Drugs X Company (7)'!$C$3:$C$698,$B51,'Shortlisted Drugs X Company (7)'!$E$3:$E$698,$S51,'Shortlisted Drugs X Company (7)'!$N$3:$N$698,"&gt;5")</f>
        <v>1</v>
      </c>
      <c r="X51" s="34" t="n">
        <f aca="false">COUNTIFS('Shortlisted Drugs X Company (7)'!$C$3:$C$698,$B51,'Shortlisted Drugs X Company (7)'!$E$3:$E$698,$S51,'Shortlisted Drugs X Company (7)'!$P$3:$P$698,"Exact")+COUNTIFS('Shortlisted Drugs X Company (7)'!$C$3:$C$698,$B51,'Shortlisted Drugs X Company (7)'!$E$3:$E$698,$S51,'Shortlisted Drugs X Company (7)'!$P$3:$P$698,"Same-market proxy")</f>
        <v>1</v>
      </c>
      <c r="Y51" s="33" t="str">
        <f aca="false">A51&amp;"|"&amp;P51</f>
        <v>Aurobindo|</v>
      </c>
      <c r="Z51" s="16" t="s">
        <v>386</v>
      </c>
      <c r="AA51" s="33" t="n">
        <f aca="false">INDEX($G$7:$G$25,MATCH(A51,$A$7:$A$25,0))</f>
        <v>2</v>
      </c>
      <c r="AB51" s="33" t="str">
        <f aca="false">IF(AE51="No","",AA51*1000+IF(P51="",900+COUNTIFS($A$29:A51,A51,$O$29:O51,"Price ≤ $5"),P51))</f>
        <v/>
      </c>
      <c r="AC51" s="33" t="str">
        <f aca="false">IF(O51&lt;&gt;"","",(4-VALUE(RIGHT(Q51,1)))*10^7+N(F51))</f>
        <v/>
      </c>
      <c r="AD51" s="15" t="str">
        <f aca="false">IFERROR(INDEX('Route of Administration'!$C$5:$C$155,MATCH(B51,'Route of Administration'!$A$5:$A$155,0)),"")</f>
        <v>IV</v>
      </c>
      <c r="AE51" s="14" t="str">
        <f aca="false">IFERROR(INDEX('Route of Administration'!$D$5:$D$155,MATCH(B51,'Route of Administration'!$A$5:$A$155,0)),"")</f>
        <v>No</v>
      </c>
      <c r="AF51" s="19" t="n">
        <f aca="false">IF(V51&gt;0,ROUND(AVERAGEIFS('Shortlisted Drugs X Company (7)'!$N$3:$N$698,'Shortlisted Drugs X Company (7)'!$C$3:$C$698,$B51,'Shortlisted Drugs X Company (7)'!$E$3:$E$698,$S51,'Shortlisted Drugs X Company (7)'!$N$3:$N$698,"&gt;=0"),2),"")</f>
        <v>343.8</v>
      </c>
      <c r="AG51" s="16" t="s">
        <v>383</v>
      </c>
      <c r="AH51" s="16" t="s">
        <v>247</v>
      </c>
      <c r="AI51" s="16" t="s">
        <v>247</v>
      </c>
      <c r="AJ51" s="16" t="str">
        <f aca="false">IF(O51&lt;&gt;"","",IF(ISNUMBER(D51),IF(D51&gt;=$C$3,"High price","Lower price"),"Unpriced")&amp;" · "&amp;IF(M51&gt;=$E$3,"high volume","lower volume"))</f>
        <v/>
      </c>
      <c r="AK51" s="15" t="str">
        <f aca="false">IF(O51&lt;&gt;"",IF(O51="Price ≤ $5","Excluded – price ≤ $5","Excluded – IV only"),IF(ISNUMBER(D51),IF(AND(D51&gt;=$C$3,L51&gt;=$H$3),"Priority 1",IF(OR(D51&gt;=$C$3,L51&gt;=$H$3),"Priority 2","Priority 3")),IF(L51&gt;=$H$3,"Priority 2","Priority 3")))</f>
        <v>Excluded – IV only</v>
      </c>
      <c r="AL51" s="16" t="str">
        <f aca="false">IF(O51&lt;&gt;"","",IF(ISNUMBER(D51),IF(D51&gt;=$C$3,"High price","Lower price"),"Unpriced")&amp;" · "&amp;IF(L51&gt;=$H$3,"high volume","lower volume"))</f>
        <v/>
      </c>
      <c r="AM51" s="14" t="str">
        <f aca="false">IF(O51&lt;&gt;"","",COUNTIFS($A$29:$A$361,A51,$O$29:$O$361,"",$AQ$29:$AQ$361,"&gt;"&amp;AQ51)+COUNTIFS($A$29:A51,A51,$O$29:O51,"",$AQ$29:AQ51,AQ51))</f>
        <v/>
      </c>
      <c r="AN51" s="33" t="str">
        <f aca="false">IF(AND(O51="",ISNUMBER(D51)),D51,"")</f>
        <v/>
      </c>
      <c r="AO51" s="33" t="str">
        <f aca="false">IF(O51="",M51,"")</f>
        <v/>
      </c>
      <c r="AP51" s="33" t="str">
        <f aca="false">IF(O51="",L51,"")</f>
        <v/>
      </c>
      <c r="AQ51" s="33" t="str">
        <f aca="false">IF(O51&lt;&gt;"","",(4-VALUE(RIGHT(AK51,1)))*10^7+N(N51))</f>
        <v/>
      </c>
      <c r="AR51" s="33" t="n">
        <f aca="false">INDEX($O$7:$O$25,MATCH(A51,$I$7:$I$25,0))</f>
        <v>2</v>
      </c>
      <c r="AS51" s="33" t="str">
        <f aca="false">IF(AE51="No","",AR51*1000+IF(AM51="",900+COUNTIFS($A$29:A51,A51,$O$29:O51,"Price ≤ $5"),AM51))</f>
        <v/>
      </c>
    </row>
    <row r="52" customFormat="false" ht="28.35" hidden="false" customHeight="false" outlineLevel="0" collapsed="false">
      <c r="A52" s="15" t="s">
        <v>187</v>
      </c>
      <c r="B52" s="15" t="s">
        <v>387</v>
      </c>
      <c r="C52" s="16" t="s">
        <v>388</v>
      </c>
      <c r="D52" s="17" t="n">
        <f aca="false">IF(W52&gt;0,ROUND(AVERAGEIFS('Shortlisted Drugs X Company (7)'!$N$3:$N$698,'Shortlisted Drugs X Company (7)'!$C$3:$C$698,$B52,'Shortlisted Drugs X Company (7)'!$E$3:$E$698,$S52,'Shortlisted Drugs X Company (7)'!$N$3:$N$698,"&gt;5"),2),"")</f>
        <v>28.55</v>
      </c>
      <c r="E52" s="15" t="str">
        <f aca="false">IF(COUNTIFS('Shortlisted Drugs X Company (7)'!$C$3:$C$698,$B52,'Shortlisted Drugs X Company (7)'!$E$3:$E$698,$S52,'Shortlisted Drugs X Company (7)'!$P$3:$P$698,"Exact")&gt;0,"Exact",IF(COUNTIFS('Shortlisted Drugs X Company (7)'!$C$3:$C$698,$B52,'Shortlisted Drugs X Company (7)'!$E$3:$E$698,$S52,'Shortlisted Drugs X Company (7)'!$P$3:$P$698,"Same-market proxy")&gt;0,"Same-market proxy",IF(COUNTIFS('Shortlisted Drugs X Company (7)'!$C$3:$C$698,$B52,'Shortlisted Drugs X Company (7)'!$E$3:$E$698,$S52,'Shortlisted Drugs X Company (7)'!$P$3:$P$698,"Cross-market proxy")&gt;0,"Cross-market proxy",IF(COUNTIFS('Shortlisted Drugs X Company (7)'!$C$3:$C$698,$B52,'Shortlisted Drugs X Company (7)'!$E$3:$E$698,$S52,'Shortlisted Drugs X Company (7)'!$P$3:$P$698,"Source not found")&gt;0,"Source not found","Not priced"))))</f>
        <v>Exact</v>
      </c>
      <c r="F52" s="18" t="n">
        <f aca="false">IFERROR(ROUND(INDEX('Injectable Value'!$AA$28:$AA$178,MATCH(B52,'Injectable Value'!$A$28:$A$178,0)),1),"")</f>
        <v>53539.9</v>
      </c>
      <c r="G52" s="16" t="s">
        <v>389</v>
      </c>
      <c r="H52" s="14" t="n">
        <v>10</v>
      </c>
      <c r="I52" s="15" t="s">
        <v>248</v>
      </c>
      <c r="J52" s="15" t="s">
        <v>324</v>
      </c>
      <c r="K52" s="16" t="str">
        <f aca="false">"Reconstitution"&amp;IF(V52=0,"; Unpriced","")&amp;IF(AND(V52&gt;0,W52=0,X52=0),"; Low price from another market – confirm with company","")</f>
        <v>Reconstitution</v>
      </c>
      <c r="L52" s="18" t="n">
        <f aca="false">IFERROR(INDEX('Shortlisted Drugs X Company (7)'!$K$3:$K$698,MATCH(B52,'Shortlisted Drugs X Company (7)'!$C$3:$C$698,0)),"")</f>
        <v>223</v>
      </c>
      <c r="M52" s="18" t="n">
        <f aca="false">IFERROR(ROUND(L52*INDEX('Injectable Value'!$Z$28:$Z$178,MATCH(B52,'Injectable Value'!$A$28:$A$178,0)),0),"")</f>
        <v>223</v>
      </c>
      <c r="N52" s="18" t="n">
        <f aca="false">IFERROR(INDEX('Shortlisted Drugs X Company (7)'!$L$3:$L$698,MATCH(B52,'Shortlisted Drugs X Company (7)'!$C$3:$C$698,0)),"")</f>
        <v>53539.87</v>
      </c>
      <c r="O52" s="15" t="str">
        <f aca="false">IF(AE52="No","IV only (not ID/IM/SC)",IF(AND(V52&gt;0,W52=0),"Price ≤ $5",""))</f>
        <v/>
      </c>
      <c r="P52" s="14" t="n">
        <f aca="false">IF(O52&lt;&gt;"","",COUNTIFS($A$29:$A$361,A52,$O$29:$O$361,"",$AC$29:$AC$361,"&gt;"&amp;AC52)+COUNTIFS($A$29:A52,A52,$O$29:O52,"",$AC$29:AC52,AC52))</f>
        <v>1</v>
      </c>
      <c r="Q52" s="15" t="str">
        <f aca="false">IF(O52&lt;&gt;"",IF(O52="Price ≤ $5","Excluded – price ≤ $5","Excluded – IV only"),IF(ISNUMBER(D52),IF(AND(D52&gt;=$C$3,M52&gt;=$E$3),"Priority 1",IF(OR(D52&gt;=$C$3,M52&gt;=$E$3),"Priority 2","Priority 3")),IF(M52&gt;=$E$3,"Priority 2","Priority 3")))</f>
        <v>Priority 1</v>
      </c>
      <c r="R52" s="16" t="s">
        <v>250</v>
      </c>
      <c r="S52" s="15" t="s">
        <v>286</v>
      </c>
      <c r="T52" s="32" t="s">
        <v>390</v>
      </c>
      <c r="U52" s="33" t="str">
        <f aca="false">B52&amp;"|"&amp;S52</f>
        <v>Ertapenem|Aurobindo Pharma</v>
      </c>
      <c r="V52" s="34" t="n">
        <f aca="false">COUNTIFS('Shortlisted Drugs X Company (7)'!$C$3:$C$698,$B52,'Shortlisted Drugs X Company (7)'!$E$3:$E$698,$S52,'Shortlisted Drugs X Company (7)'!$N$3:$N$698,"&gt;=0")</f>
        <v>7</v>
      </c>
      <c r="W52" s="34" t="n">
        <f aca="false">COUNTIFS('Shortlisted Drugs X Company (7)'!$C$3:$C$698,$B52,'Shortlisted Drugs X Company (7)'!$E$3:$E$698,$S52,'Shortlisted Drugs X Company (7)'!$N$3:$N$698,"&gt;5")</f>
        <v>7</v>
      </c>
      <c r="X52" s="34" t="n">
        <f aca="false">COUNTIFS('Shortlisted Drugs X Company (7)'!$C$3:$C$698,$B52,'Shortlisted Drugs X Company (7)'!$E$3:$E$698,$S52,'Shortlisted Drugs X Company (7)'!$P$3:$P$698,"Exact")+COUNTIFS('Shortlisted Drugs X Company (7)'!$C$3:$C$698,$B52,'Shortlisted Drugs X Company (7)'!$E$3:$E$698,$S52,'Shortlisted Drugs X Company (7)'!$P$3:$P$698,"Same-market proxy")</f>
        <v>7</v>
      </c>
      <c r="Y52" s="33" t="str">
        <f aca="false">A52&amp;"|"&amp;P52</f>
        <v>Aurobindo|1</v>
      </c>
      <c r="Z52" s="16" t="s">
        <v>391</v>
      </c>
      <c r="AA52" s="33" t="n">
        <f aca="false">INDEX($G$7:$G$25,MATCH(A52,$A$7:$A$25,0))</f>
        <v>2</v>
      </c>
      <c r="AB52" s="33" t="n">
        <f aca="false">IF(AE52="No","",AA52*1000+IF(P52="",900+COUNTIFS($A$29:A52,A52,$O$29:O52,"Price ≤ $5"),P52))</f>
        <v>2001</v>
      </c>
      <c r="AC52" s="33" t="n">
        <f aca="false">IF(O52&lt;&gt;"","",(4-VALUE(RIGHT(Q52,1)))*10^7+N(F52))</f>
        <v>30053539.9</v>
      </c>
      <c r="AD52" s="15" t="str">
        <f aca="false">IFERROR(INDEX('Route of Administration'!$C$5:$C$155,MATCH(B52,'Route of Administration'!$A$5:$A$155,0)),"")</f>
        <v>IV, IM</v>
      </c>
      <c r="AE52" s="14" t="str">
        <f aca="false">IFERROR(INDEX('Route of Administration'!$D$5:$D$155,MATCH(B52,'Route of Administration'!$A$5:$A$155,0)),"")</f>
        <v>Yes</v>
      </c>
      <c r="AF52" s="19" t="n">
        <f aca="false">IF(V52&gt;0,ROUND(AVERAGEIFS('Shortlisted Drugs X Company (7)'!$N$3:$N$698,'Shortlisted Drugs X Company (7)'!$C$3:$C$698,$B52,'Shortlisted Drugs X Company (7)'!$E$3:$E$698,$S52,'Shortlisted Drugs X Company (7)'!$N$3:$N$698,"&gt;=0"),2),"")</f>
        <v>28.55</v>
      </c>
      <c r="AG52" s="16" t="s">
        <v>392</v>
      </c>
      <c r="AH52" s="16" t="s">
        <v>393</v>
      </c>
      <c r="AI52" s="16" t="s">
        <v>393</v>
      </c>
      <c r="AJ52" s="16" t="str">
        <f aca="false">IF(O52&lt;&gt;"","",IF(ISNUMBER(D52),IF(D52&gt;=$C$3,"High price","Lower price"),"Unpriced")&amp;" · "&amp;IF(M52&gt;=$E$3,"high volume","lower volume"))</f>
        <v>High price · high volume</v>
      </c>
      <c r="AK52" s="15" t="str">
        <f aca="false">IF(O52&lt;&gt;"",IF(O52="Price ≤ $5","Excluded – price ≤ $5","Excluded – IV only"),IF(ISNUMBER(D52),IF(AND(D52&gt;=$C$3,L52&gt;=$H$3),"Priority 1",IF(OR(D52&gt;=$C$3,L52&gt;=$H$3),"Priority 2","Priority 3")),IF(L52&gt;=$H$3,"Priority 2","Priority 3")))</f>
        <v>Priority 2</v>
      </c>
      <c r="AL52" s="16" t="str">
        <f aca="false">IF(O52&lt;&gt;"","",IF(ISNUMBER(D52),IF(D52&gt;=$C$3,"High price","Lower price"),"Unpriced")&amp;" · "&amp;IF(L52&gt;=$H$3,"high volume","lower volume"))</f>
        <v>High price · lower volume</v>
      </c>
      <c r="AM52" s="14" t="n">
        <f aca="false">IF(O52&lt;&gt;"","",COUNTIFS($A$29:$A$361,A52,$O$29:$O$361,"",$AQ$29:$AQ$361,"&gt;"&amp;AQ52)+COUNTIFS($A$29:A52,A52,$O$29:O52,"",$AQ$29:AQ52,AQ52))</f>
        <v>7</v>
      </c>
      <c r="AN52" s="19" t="n">
        <f aca="false">IF(AND(O52="",ISNUMBER(D52)),D52,"")</f>
        <v>28.55</v>
      </c>
      <c r="AO52" s="20" t="n">
        <f aca="false">IF(O52="",M52,"")</f>
        <v>223</v>
      </c>
      <c r="AP52" s="20" t="n">
        <f aca="false">IF(O52="",L52,"")</f>
        <v>223</v>
      </c>
      <c r="AQ52" s="33" t="n">
        <f aca="false">IF(O52&lt;&gt;"","",(4-VALUE(RIGHT(AK52,1)))*10^7+N(N52))</f>
        <v>20053539.87</v>
      </c>
      <c r="AR52" s="33" t="n">
        <f aca="false">INDEX($O$7:$O$25,MATCH(A52,$I$7:$I$25,0))</f>
        <v>2</v>
      </c>
      <c r="AS52" s="33" t="n">
        <f aca="false">IF(AE52="No","",AR52*1000+IF(AM52="",900+COUNTIFS($A$29:A52,A52,$O$29:O52,"Price ≤ $5"),AM52))</f>
        <v>2007</v>
      </c>
    </row>
    <row r="53" customFormat="false" ht="28.35" hidden="false" customHeight="false" outlineLevel="0" collapsed="false">
      <c r="A53" s="15" t="s">
        <v>187</v>
      </c>
      <c r="B53" s="15" t="s">
        <v>394</v>
      </c>
      <c r="C53" s="16" t="s">
        <v>395</v>
      </c>
      <c r="D53" s="17" t="n">
        <f aca="false">IF(W53&gt;0,ROUND(AVERAGEIFS('Shortlisted Drugs X Company (7)'!$N$3:$N$698,'Shortlisted Drugs X Company (7)'!$C$3:$C$698,$B53,'Shortlisted Drugs X Company (7)'!$E$3:$E$698,$S53,'Shortlisted Drugs X Company (7)'!$N$3:$N$698,"&gt;5"),2),"")</f>
        <v>54.54</v>
      </c>
      <c r="E53" s="15" t="str">
        <f aca="false">IF(COUNTIFS('Shortlisted Drugs X Company (7)'!$C$3:$C$698,$B53,'Shortlisted Drugs X Company (7)'!$E$3:$E$698,$S53,'Shortlisted Drugs X Company (7)'!$P$3:$P$698,"Exact")&gt;0,"Exact",IF(COUNTIFS('Shortlisted Drugs X Company (7)'!$C$3:$C$698,$B53,'Shortlisted Drugs X Company (7)'!$E$3:$E$698,$S53,'Shortlisted Drugs X Company (7)'!$P$3:$P$698,"Same-market proxy")&gt;0,"Same-market proxy",IF(COUNTIFS('Shortlisted Drugs X Company (7)'!$C$3:$C$698,$B53,'Shortlisted Drugs X Company (7)'!$E$3:$E$698,$S53,'Shortlisted Drugs X Company (7)'!$P$3:$P$698,"Cross-market proxy")&gt;0,"Cross-market proxy",IF(COUNTIFS('Shortlisted Drugs X Company (7)'!$C$3:$C$698,$B53,'Shortlisted Drugs X Company (7)'!$E$3:$E$698,$S53,'Shortlisted Drugs X Company (7)'!$P$3:$P$698,"Source not found")&gt;0,"Source not found","Not priced"))))</f>
        <v>Same-market proxy</v>
      </c>
      <c r="F53" s="18" t="n">
        <f aca="false">IFERROR(ROUND(INDEX('Injectable Value'!$AA$28:$AA$178,MATCH(B53,'Injectable Value'!$A$28:$A$178,0)),1),"")</f>
        <v>5896.5</v>
      </c>
      <c r="G53" s="16" t="s">
        <v>247</v>
      </c>
      <c r="H53" s="14" t="n">
        <v>2</v>
      </c>
      <c r="I53" s="15" t="s">
        <v>396</v>
      </c>
      <c r="J53" s="15" t="s">
        <v>284</v>
      </c>
      <c r="K53" s="16" t="str">
        <f aca="false">""&amp;IF(V53=0,"Unpriced","")&amp;IF(AND(V53&gt;0,W53=0,X53=0),"Low price from another market – confirm with company","")</f>
        <v/>
      </c>
      <c r="L53" s="18" t="n">
        <f aca="false">IFERROR(INDEX('Shortlisted Drugs X Company (7)'!$K$3:$K$698,MATCH(B53,'Shortlisted Drugs X Company (7)'!$C$3:$C$698,0)),"")</f>
        <v>126</v>
      </c>
      <c r="M53" s="18" t="n">
        <f aca="false">IFERROR(ROUND(L53*INDEX('Injectable Value'!$Z$28:$Z$178,MATCH(B53,'Injectable Value'!$A$28:$A$178,0)),0),"")</f>
        <v>126</v>
      </c>
      <c r="N53" s="18" t="n">
        <f aca="false">IFERROR(INDEX('Shortlisted Drugs X Company (7)'!$L$3:$L$698,MATCH(B53,'Shortlisted Drugs X Company (7)'!$C$3:$C$698,0)),"")</f>
        <v>5896.49</v>
      </c>
      <c r="O53" s="15" t="str">
        <f aca="false">IF(AE53="No","IV only (not ID/IM/SC)",IF(AND(V53&gt;0,W53=0),"Price ≤ $5",""))</f>
        <v>IV only (not ID/IM/SC)</v>
      </c>
      <c r="P53" s="14" t="str">
        <f aca="false">IF(O53&lt;&gt;"","",COUNTIFS($A$29:$A$361,A53,$O$29:$O$361,"",$AC$29:$AC$361,"&gt;"&amp;AC53)+COUNTIFS($A$29:A53,A53,$O$29:O53,"",$AC$29:AC53,AC53))</f>
        <v/>
      </c>
      <c r="Q53" s="15" t="str">
        <f aca="false">IF(O53&lt;&gt;"",IF(O53="Price ≤ $5","Excluded – price ≤ $5","Excluded – IV only"),IF(ISNUMBER(D53),IF(AND(D53&gt;=$C$3,M53&gt;=$E$3),"Priority 1",IF(OR(D53&gt;=$C$3,M53&gt;=$E$3),"Priority 2","Priority 3")),IF(M53&gt;=$E$3,"Priority 2","Priority 3")))</f>
        <v>Excluded – IV only</v>
      </c>
      <c r="R53" s="16" t="s">
        <v>285</v>
      </c>
      <c r="S53" s="15" t="s">
        <v>286</v>
      </c>
      <c r="T53" s="32" t="s">
        <v>397</v>
      </c>
      <c r="U53" s="33" t="str">
        <f aca="false">B53&amp;"|"&amp;S53</f>
        <v>Esmolol|Aurobindo Pharma</v>
      </c>
      <c r="V53" s="34" t="n">
        <f aca="false">COUNTIFS('Shortlisted Drugs X Company (7)'!$C$3:$C$698,$B53,'Shortlisted Drugs X Company (7)'!$E$3:$E$698,$S53,'Shortlisted Drugs X Company (7)'!$N$3:$N$698,"&gt;=0")</f>
        <v>1</v>
      </c>
      <c r="W53" s="34" t="n">
        <f aca="false">COUNTIFS('Shortlisted Drugs X Company (7)'!$C$3:$C$698,$B53,'Shortlisted Drugs X Company (7)'!$E$3:$E$698,$S53,'Shortlisted Drugs X Company (7)'!$N$3:$N$698,"&gt;5")</f>
        <v>1</v>
      </c>
      <c r="X53" s="34" t="n">
        <f aca="false">COUNTIFS('Shortlisted Drugs X Company (7)'!$C$3:$C$698,$B53,'Shortlisted Drugs X Company (7)'!$E$3:$E$698,$S53,'Shortlisted Drugs X Company (7)'!$P$3:$P$698,"Exact")+COUNTIFS('Shortlisted Drugs X Company (7)'!$C$3:$C$698,$B53,'Shortlisted Drugs X Company (7)'!$E$3:$E$698,$S53,'Shortlisted Drugs X Company (7)'!$P$3:$P$698,"Same-market proxy")</f>
        <v>1</v>
      </c>
      <c r="Y53" s="33" t="str">
        <f aca="false">A53&amp;"|"&amp;P53</f>
        <v>Aurobindo|</v>
      </c>
      <c r="Z53" s="16" t="s">
        <v>398</v>
      </c>
      <c r="AA53" s="33" t="n">
        <f aca="false">INDEX($G$7:$G$25,MATCH(A53,$A$7:$A$25,0))</f>
        <v>2</v>
      </c>
      <c r="AB53" s="33" t="str">
        <f aca="false">IF(AE53="No","",AA53*1000+IF(P53="",900+COUNTIFS($A$29:A53,A53,$O$29:O53,"Price ≤ $5"),P53))</f>
        <v/>
      </c>
      <c r="AC53" s="33" t="str">
        <f aca="false">IF(O53&lt;&gt;"","",(4-VALUE(RIGHT(Q53,1)))*10^7+N(F53))</f>
        <v/>
      </c>
      <c r="AD53" s="15" t="str">
        <f aca="false">IFERROR(INDEX('Route of Administration'!$C$5:$C$155,MATCH(B53,'Route of Administration'!$A$5:$A$155,0)),"")</f>
        <v>IV</v>
      </c>
      <c r="AE53" s="14" t="str">
        <f aca="false">IFERROR(INDEX('Route of Administration'!$D$5:$D$155,MATCH(B53,'Route of Administration'!$A$5:$A$155,0)),"")</f>
        <v>No</v>
      </c>
      <c r="AF53" s="19" t="n">
        <f aca="false">IF(V53&gt;0,ROUND(AVERAGEIFS('Shortlisted Drugs X Company (7)'!$N$3:$N$698,'Shortlisted Drugs X Company (7)'!$C$3:$C$698,$B53,'Shortlisted Drugs X Company (7)'!$E$3:$E$698,$S53,'Shortlisted Drugs X Company (7)'!$N$3:$N$698,"&gt;=0"),2),"")</f>
        <v>54.54</v>
      </c>
      <c r="AG53" s="16" t="s">
        <v>399</v>
      </c>
      <c r="AH53" s="16" t="s">
        <v>400</v>
      </c>
      <c r="AI53" s="16" t="s">
        <v>400</v>
      </c>
      <c r="AJ53" s="16" t="str">
        <f aca="false">IF(O53&lt;&gt;"","",IF(ISNUMBER(D53),IF(D53&gt;=$C$3,"High price","Lower price"),"Unpriced")&amp;" · "&amp;IF(M53&gt;=$E$3,"high volume","lower volume"))</f>
        <v/>
      </c>
      <c r="AK53" s="15" t="str">
        <f aca="false">IF(O53&lt;&gt;"",IF(O53="Price ≤ $5","Excluded – price ≤ $5","Excluded – IV only"),IF(ISNUMBER(D53),IF(AND(D53&gt;=$C$3,L53&gt;=$H$3),"Priority 1",IF(OR(D53&gt;=$C$3,L53&gt;=$H$3),"Priority 2","Priority 3")),IF(L53&gt;=$H$3,"Priority 2","Priority 3")))</f>
        <v>Excluded – IV only</v>
      </c>
      <c r="AL53" s="16" t="str">
        <f aca="false">IF(O53&lt;&gt;"","",IF(ISNUMBER(D53),IF(D53&gt;=$C$3,"High price","Lower price"),"Unpriced")&amp;" · "&amp;IF(L53&gt;=$H$3,"high volume","lower volume"))</f>
        <v/>
      </c>
      <c r="AM53" s="14" t="str">
        <f aca="false">IF(O53&lt;&gt;"","",COUNTIFS($A$29:$A$361,A53,$O$29:$O$361,"",$AQ$29:$AQ$361,"&gt;"&amp;AQ53)+COUNTIFS($A$29:A53,A53,$O$29:O53,"",$AQ$29:AQ53,AQ53))</f>
        <v/>
      </c>
      <c r="AN53" s="33" t="str">
        <f aca="false">IF(AND(O53="",ISNUMBER(D53)),D53,"")</f>
        <v/>
      </c>
      <c r="AO53" s="33" t="str">
        <f aca="false">IF(O53="",M53,"")</f>
        <v/>
      </c>
      <c r="AP53" s="33" t="str">
        <f aca="false">IF(O53="",L53,"")</f>
        <v/>
      </c>
      <c r="AQ53" s="33" t="str">
        <f aca="false">IF(O53&lt;&gt;"","",(4-VALUE(RIGHT(AK53,1)))*10^7+N(N53))</f>
        <v/>
      </c>
      <c r="AR53" s="33" t="n">
        <f aca="false">INDEX($O$7:$O$25,MATCH(A53,$I$7:$I$25,0))</f>
        <v>2</v>
      </c>
      <c r="AS53" s="33" t="str">
        <f aca="false">IF(AE53="No","",AR53*1000+IF(AM53="",900+COUNTIFS($A$29:A53,A53,$O$29:O53,"Price ≤ $5"),AM53))</f>
        <v/>
      </c>
    </row>
    <row r="54" customFormat="false" ht="41.75" hidden="false" customHeight="false" outlineLevel="0" collapsed="false">
      <c r="A54" s="15" t="s">
        <v>187</v>
      </c>
      <c r="B54" s="15" t="s">
        <v>401</v>
      </c>
      <c r="C54" s="16" t="s">
        <v>402</v>
      </c>
      <c r="D54" s="17" t="str">
        <f aca="false">IF(W54&gt;0,ROUND(AVERAGEIFS('Shortlisted Drugs X Company (7)'!$N$3:$N$698,'Shortlisted Drugs X Company (7)'!$C$3:$C$698,$B54,'Shortlisted Drugs X Company (7)'!$E$3:$E$698,$S54,'Shortlisted Drugs X Company (7)'!$N$3:$N$698,"&gt;5"),2),"")</f>
        <v/>
      </c>
      <c r="E54" s="15" t="str">
        <f aca="false">IF(COUNTIFS('Shortlisted Drugs X Company (7)'!$C$3:$C$698,$B54,'Shortlisted Drugs X Company (7)'!$E$3:$E$698,$S54,'Shortlisted Drugs X Company (7)'!$P$3:$P$698,"Exact")&gt;0,"Exact",IF(COUNTIFS('Shortlisted Drugs X Company (7)'!$C$3:$C$698,$B54,'Shortlisted Drugs X Company (7)'!$E$3:$E$698,$S54,'Shortlisted Drugs X Company (7)'!$P$3:$P$698,"Same-market proxy")&gt;0,"Same-market proxy",IF(COUNTIFS('Shortlisted Drugs X Company (7)'!$C$3:$C$698,$B54,'Shortlisted Drugs X Company (7)'!$E$3:$E$698,$S54,'Shortlisted Drugs X Company (7)'!$P$3:$P$698,"Cross-market proxy")&gt;0,"Cross-market proxy",IF(COUNTIFS('Shortlisted Drugs X Company (7)'!$C$3:$C$698,$B54,'Shortlisted Drugs X Company (7)'!$E$3:$E$698,$S54,'Shortlisted Drugs X Company (7)'!$P$3:$P$698,"Source not found")&gt;0,"Source not found","Not priced"))))</f>
        <v>Same-market proxy</v>
      </c>
      <c r="F54" s="18" t="n">
        <f aca="false">IFERROR(ROUND(INDEX('Injectable Value'!$AA$28:$AA$178,MATCH(B54,'Injectable Value'!$A$28:$A$178,0)),1),"")</f>
        <v>6287.6</v>
      </c>
      <c r="G54" s="16" t="s">
        <v>403</v>
      </c>
      <c r="H54" s="14" t="n">
        <v>8</v>
      </c>
      <c r="I54" s="15" t="s">
        <v>248</v>
      </c>
      <c r="J54" s="15" t="s">
        <v>299</v>
      </c>
      <c r="K54" s="16" t="str">
        <f aca="false">"Reconstitution"&amp;IF(V54=0,"; Unpriced","")&amp;IF(AND(V54&gt;0,W54=0,X54=0),"; Low price from another market – confirm with company","")</f>
        <v>Reconstitution</v>
      </c>
      <c r="L54" s="18" t="n">
        <f aca="false">IFERROR(INDEX('Shortlisted Drugs X Company (7)'!$K$3:$K$698,MATCH(B54,'Shortlisted Drugs X Company (7)'!$C$3:$C$698,0)),"")</f>
        <v>347</v>
      </c>
      <c r="M54" s="18" t="n">
        <f aca="false">IFERROR(ROUND(L54*INDEX('Injectable Value'!$Z$28:$Z$178,MATCH(B54,'Injectable Value'!$A$28:$A$178,0)),0),"")</f>
        <v>116</v>
      </c>
      <c r="N54" s="18" t="n">
        <f aca="false">IFERROR(INDEX('Shortlisted Drugs X Company (7)'!$L$3:$L$698,MATCH(B54,'Shortlisted Drugs X Company (7)'!$C$3:$C$698,0)),"")</f>
        <v>18803.98</v>
      </c>
      <c r="O54" s="15" t="str">
        <f aca="false">IF(AE54="No","IV only (not ID/IM/SC)",IF(AND(V54&gt;0,W54=0),"Price ≤ $5",""))</f>
        <v>Price ≤ $5</v>
      </c>
      <c r="P54" s="14" t="str">
        <f aca="false">IF(O54&lt;&gt;"","",COUNTIFS($A$29:$A$361,A54,$O$29:$O$361,"",$AC$29:$AC$361,"&gt;"&amp;AC54)+COUNTIFS($A$29:A54,A54,$O$29:O54,"",$AC$29:AC54,AC54))</f>
        <v/>
      </c>
      <c r="Q54" s="15" t="str">
        <f aca="false">IF(O54&lt;&gt;"",IF(O54="Price ≤ $5","Excluded – price ≤ $5","Excluded – IV only"),IF(ISNUMBER(D54),IF(AND(D54&gt;=$C$3,M54&gt;=$E$3),"Priority 1",IF(OR(D54&gt;=$C$3,M54&gt;=$E$3),"Priority 2","Priority 3")),IF(M54&gt;=$E$3,"Priority 2","Priority 3")))</f>
        <v>Excluded – price ≤ $5</v>
      </c>
      <c r="R54" s="16" t="s">
        <v>285</v>
      </c>
      <c r="S54" s="15" t="s">
        <v>286</v>
      </c>
      <c r="T54" s="32" t="s">
        <v>404</v>
      </c>
      <c r="U54" s="33" t="str">
        <f aca="false">B54&amp;"|"&amp;S54</f>
        <v>Flucloxacillin|Aurobindo Pharma</v>
      </c>
      <c r="V54" s="34" t="n">
        <f aca="false">COUNTIFS('Shortlisted Drugs X Company (7)'!$C$3:$C$698,$B54,'Shortlisted Drugs X Company (7)'!$E$3:$E$698,$S54,'Shortlisted Drugs X Company (7)'!$N$3:$N$698,"&gt;=0")</f>
        <v>2</v>
      </c>
      <c r="W54" s="34" t="n">
        <f aca="false">COUNTIFS('Shortlisted Drugs X Company (7)'!$C$3:$C$698,$B54,'Shortlisted Drugs X Company (7)'!$E$3:$E$698,$S54,'Shortlisted Drugs X Company (7)'!$N$3:$N$698,"&gt;5")</f>
        <v>0</v>
      </c>
      <c r="X54" s="34" t="n">
        <f aca="false">COUNTIFS('Shortlisted Drugs X Company (7)'!$C$3:$C$698,$B54,'Shortlisted Drugs X Company (7)'!$E$3:$E$698,$S54,'Shortlisted Drugs X Company (7)'!$P$3:$P$698,"Exact")+COUNTIFS('Shortlisted Drugs X Company (7)'!$C$3:$C$698,$B54,'Shortlisted Drugs X Company (7)'!$E$3:$E$698,$S54,'Shortlisted Drugs X Company (7)'!$P$3:$P$698,"Same-market proxy")</f>
        <v>1</v>
      </c>
      <c r="Y54" s="33" t="str">
        <f aca="false">A54&amp;"|"&amp;P54</f>
        <v>Aurobindo|</v>
      </c>
      <c r="Z54" s="16" t="s">
        <v>405</v>
      </c>
      <c r="AA54" s="33" t="n">
        <f aca="false">INDEX($G$7:$G$25,MATCH(A54,$A$7:$A$25,0))</f>
        <v>2</v>
      </c>
      <c r="AB54" s="33" t="n">
        <f aca="false">IF(AE54="No","",AA54*1000+IF(P54="",900+COUNTIFS($A$29:A54,A54,$O$29:O54,"Price ≤ $5"),P54))</f>
        <v>2901</v>
      </c>
      <c r="AC54" s="33" t="str">
        <f aca="false">IF(O54&lt;&gt;"","",(4-VALUE(RIGHT(Q54,1)))*10^7+N(F54))</f>
        <v/>
      </c>
      <c r="AD54" s="15" t="str">
        <f aca="false">IFERROR(INDEX('Route of Administration'!$C$5:$C$155,MATCH(B54,'Route of Administration'!$A$5:$A$155,0)),"")</f>
        <v>IV, IM (also intra-articular, intrapleural)</v>
      </c>
      <c r="AE54" s="14" t="str">
        <f aca="false">IFERROR(INDEX('Route of Administration'!$D$5:$D$155,MATCH(B54,'Route of Administration'!$A$5:$A$155,0)),"")</f>
        <v>Yes</v>
      </c>
      <c r="AF54" s="19" t="n">
        <f aca="false">IF(V54&gt;0,ROUND(AVERAGEIFS('Shortlisted Drugs X Company (7)'!$N$3:$N$698,'Shortlisted Drugs X Company (7)'!$C$3:$C$698,$B54,'Shortlisted Drugs X Company (7)'!$E$3:$E$698,$S54,'Shortlisted Drugs X Company (7)'!$N$3:$N$698,"&gt;=0"),2),"")</f>
        <v>3.32</v>
      </c>
      <c r="AG54" s="16" t="s">
        <v>406</v>
      </c>
      <c r="AH54" s="16" t="s">
        <v>407</v>
      </c>
      <c r="AI54" s="16" t="s">
        <v>407</v>
      </c>
      <c r="AJ54" s="16" t="str">
        <f aca="false">IF(O54&lt;&gt;"","",IF(ISNUMBER(D54),IF(D54&gt;=$C$3,"High price","Lower price"),"Unpriced")&amp;" · "&amp;IF(M54&gt;=$E$3,"high volume","lower volume"))</f>
        <v/>
      </c>
      <c r="AK54" s="15" t="str">
        <f aca="false">IF(O54&lt;&gt;"",IF(O54="Price ≤ $5","Excluded – price ≤ $5","Excluded – IV only"),IF(ISNUMBER(D54),IF(AND(D54&gt;=$C$3,L54&gt;=$H$3),"Priority 1",IF(OR(D54&gt;=$C$3,L54&gt;=$H$3),"Priority 2","Priority 3")),IF(L54&gt;=$H$3,"Priority 2","Priority 3")))</f>
        <v>Excluded – price ≤ $5</v>
      </c>
      <c r="AL54" s="16" t="str">
        <f aca="false">IF(O54&lt;&gt;"","",IF(ISNUMBER(D54),IF(D54&gt;=$C$3,"High price","Lower price"),"Unpriced")&amp;" · "&amp;IF(L54&gt;=$H$3,"high volume","lower volume"))</f>
        <v/>
      </c>
      <c r="AM54" s="14" t="str">
        <f aca="false">IF(O54&lt;&gt;"","",COUNTIFS($A$29:$A$361,A54,$O$29:$O$361,"",$AQ$29:$AQ$361,"&gt;"&amp;AQ54)+COUNTIFS($A$29:A54,A54,$O$29:O54,"",$AQ$29:AQ54,AQ54))</f>
        <v/>
      </c>
      <c r="AN54" s="33" t="str">
        <f aca="false">IF(AND(O54="",ISNUMBER(D54)),D54,"")</f>
        <v/>
      </c>
      <c r="AO54" s="33" t="str">
        <f aca="false">IF(O54="",M54,"")</f>
        <v/>
      </c>
      <c r="AP54" s="33" t="str">
        <f aca="false">IF(O54="",L54,"")</f>
        <v/>
      </c>
      <c r="AQ54" s="33" t="str">
        <f aca="false">IF(O54&lt;&gt;"","",(4-VALUE(RIGHT(AK54,1)))*10^7+N(N54))</f>
        <v/>
      </c>
      <c r="AR54" s="33" t="n">
        <f aca="false">INDEX($O$7:$O$25,MATCH(A54,$I$7:$I$25,0))</f>
        <v>2</v>
      </c>
      <c r="AS54" s="33" t="n">
        <f aca="false">IF(AE54="No","",AR54*1000+IF(AM54="",900+COUNTIFS($A$29:A54,A54,$O$29:O54,"Price ≤ $5"),AM54))</f>
        <v>2901</v>
      </c>
    </row>
    <row r="55" customFormat="false" ht="41.75" hidden="false" customHeight="false" outlineLevel="0" collapsed="false">
      <c r="A55" s="15" t="s">
        <v>187</v>
      </c>
      <c r="B55" s="15" t="s">
        <v>408</v>
      </c>
      <c r="C55" s="16" t="s">
        <v>409</v>
      </c>
      <c r="D55" s="17" t="n">
        <f aca="false">IF(W55&gt;0,ROUND(AVERAGEIFS('Shortlisted Drugs X Company (7)'!$N$3:$N$698,'Shortlisted Drugs X Company (7)'!$C$3:$C$698,$B55,'Shortlisted Drugs X Company (7)'!$E$3:$E$698,$S55,'Shortlisted Drugs X Company (7)'!$N$3:$N$698,"&gt;5"),2),"")</f>
        <v>5.68</v>
      </c>
      <c r="E55" s="15" t="str">
        <f aca="false">IF(COUNTIFS('Shortlisted Drugs X Company (7)'!$C$3:$C$698,$B55,'Shortlisted Drugs X Company (7)'!$E$3:$E$698,$S55,'Shortlisted Drugs X Company (7)'!$P$3:$P$698,"Exact")&gt;0,"Exact",IF(COUNTIFS('Shortlisted Drugs X Company (7)'!$C$3:$C$698,$B55,'Shortlisted Drugs X Company (7)'!$E$3:$E$698,$S55,'Shortlisted Drugs X Company (7)'!$P$3:$P$698,"Same-market proxy")&gt;0,"Same-market proxy",IF(COUNTIFS('Shortlisted Drugs X Company (7)'!$C$3:$C$698,$B55,'Shortlisted Drugs X Company (7)'!$E$3:$E$698,$S55,'Shortlisted Drugs X Company (7)'!$P$3:$P$698,"Cross-market proxy")&gt;0,"Cross-market proxy",IF(COUNTIFS('Shortlisted Drugs X Company (7)'!$C$3:$C$698,$B55,'Shortlisted Drugs X Company (7)'!$E$3:$E$698,$S55,'Shortlisted Drugs X Company (7)'!$P$3:$P$698,"Source not found")&gt;0,"Source not found","Not priced"))))</f>
        <v>Same-market proxy</v>
      </c>
      <c r="F55" s="18" t="n">
        <f aca="false">IFERROR(ROUND(INDEX('Injectable Value'!$AA$28:$AA$178,MATCH(B55,'Injectable Value'!$A$28:$A$178,0)),1),"")</f>
        <v>4878</v>
      </c>
      <c r="G55" s="16" t="s">
        <v>247</v>
      </c>
      <c r="H55" s="14" t="n">
        <v>1</v>
      </c>
      <c r="I55" s="15" t="s">
        <v>248</v>
      </c>
      <c r="J55" s="15" t="s">
        <v>284</v>
      </c>
      <c r="K55" s="16" t="str">
        <f aca="false">"Cancer drug (cytotoxic) – less relevant"&amp;IF(V55=0,"; Unpriced","")&amp;IF(AND(V55&gt;0,W55=0,X55=0),"; Low price from another market – confirm with company","")</f>
        <v>Cancer drug (cytotoxic) – less relevant</v>
      </c>
      <c r="L55" s="18" t="n">
        <f aca="false">IFERROR(INDEX('Shortlisted Drugs X Company (7)'!$K$3:$K$698,MATCH(B55,'Shortlisted Drugs X Company (7)'!$C$3:$C$698,0)),"")</f>
        <v>727</v>
      </c>
      <c r="M55" s="18" t="n">
        <f aca="false">IFERROR(ROUND(L55*INDEX('Injectable Value'!$Z$28:$Z$178,MATCH(B55,'Injectable Value'!$A$28:$A$178,0)),0),"")</f>
        <v>473</v>
      </c>
      <c r="N55" s="18" t="n">
        <f aca="false">IFERROR(INDEX('Shortlisted Drugs X Company (7)'!$L$3:$L$698,MATCH(B55,'Shortlisted Drugs X Company (7)'!$C$3:$C$698,0)),"")</f>
        <v>7496</v>
      </c>
      <c r="O55" s="15" t="str">
        <f aca="false">IF(AE55="No","IV only (not ID/IM/SC)",IF(AND(V55&gt;0,W55=0),"Price ≤ $5",""))</f>
        <v>IV only (not ID/IM/SC)</v>
      </c>
      <c r="P55" s="14" t="str">
        <f aca="false">IF(O55&lt;&gt;"","",COUNTIFS($A$29:$A$361,A55,$O$29:$O$361,"",$AC$29:$AC$361,"&gt;"&amp;AC55)+COUNTIFS($A$29:A55,A55,$O$29:O55,"",$AC$29:AC55,AC55))</f>
        <v/>
      </c>
      <c r="Q55" s="15" t="str">
        <f aca="false">IF(O55&lt;&gt;"",IF(O55="Price ≤ $5","Excluded – price ≤ $5","Excluded – IV only"),IF(ISNUMBER(D55),IF(AND(D55&gt;=$C$3,M55&gt;=$E$3),"Priority 1",IF(OR(D55&gt;=$C$3,M55&gt;=$E$3),"Priority 2","Priority 3")),IF(M55&gt;=$E$3,"Priority 2","Priority 3")))</f>
        <v>Excluded – IV only</v>
      </c>
      <c r="R55" s="16" t="s">
        <v>285</v>
      </c>
      <c r="S55" s="15" t="s">
        <v>286</v>
      </c>
      <c r="T55" s="32" t="s">
        <v>410</v>
      </c>
      <c r="U55" s="33" t="str">
        <f aca="false">B55&amp;"|"&amp;S55</f>
        <v>Fluorouracil|Aurobindo Pharma</v>
      </c>
      <c r="V55" s="34" t="n">
        <f aca="false">COUNTIFS('Shortlisted Drugs X Company (7)'!$C$3:$C$698,$B55,'Shortlisted Drugs X Company (7)'!$E$3:$E$698,$S55,'Shortlisted Drugs X Company (7)'!$N$3:$N$698,"&gt;=0")</f>
        <v>1</v>
      </c>
      <c r="W55" s="34" t="n">
        <f aca="false">COUNTIFS('Shortlisted Drugs X Company (7)'!$C$3:$C$698,$B55,'Shortlisted Drugs X Company (7)'!$E$3:$E$698,$S55,'Shortlisted Drugs X Company (7)'!$N$3:$N$698,"&gt;5")</f>
        <v>1</v>
      </c>
      <c r="X55" s="34" t="n">
        <f aca="false">COUNTIFS('Shortlisted Drugs X Company (7)'!$C$3:$C$698,$B55,'Shortlisted Drugs X Company (7)'!$E$3:$E$698,$S55,'Shortlisted Drugs X Company (7)'!$P$3:$P$698,"Exact")+COUNTIFS('Shortlisted Drugs X Company (7)'!$C$3:$C$698,$B55,'Shortlisted Drugs X Company (7)'!$E$3:$E$698,$S55,'Shortlisted Drugs X Company (7)'!$P$3:$P$698,"Same-market proxy")</f>
        <v>1</v>
      </c>
      <c r="Y55" s="33" t="str">
        <f aca="false">A55&amp;"|"&amp;P55</f>
        <v>Aurobindo|</v>
      </c>
      <c r="Z55" s="16" t="s">
        <v>411</v>
      </c>
      <c r="AA55" s="33" t="n">
        <f aca="false">INDEX($G$7:$G$25,MATCH(A55,$A$7:$A$25,0))</f>
        <v>2</v>
      </c>
      <c r="AB55" s="33" t="str">
        <f aca="false">IF(AE55="No","",AA55*1000+IF(P55="",900+COUNTIFS($A$29:A55,A55,$O$29:O55,"Price ≤ $5"),P55))</f>
        <v/>
      </c>
      <c r="AC55" s="33" t="str">
        <f aca="false">IF(O55&lt;&gt;"","",(4-VALUE(RIGHT(Q55,1)))*10^7+N(F55))</f>
        <v/>
      </c>
      <c r="AD55" s="15" t="str">
        <f aca="false">IFERROR(INDEX('Route of Administration'!$C$5:$C$155,MATCH(B55,'Route of Administration'!$A$5:$A$155,0)),"")</f>
        <v>IV</v>
      </c>
      <c r="AE55" s="14" t="str">
        <f aca="false">IFERROR(INDEX('Route of Administration'!$D$5:$D$155,MATCH(B55,'Route of Administration'!$A$5:$A$155,0)),"")</f>
        <v>No</v>
      </c>
      <c r="AF55" s="19" t="n">
        <f aca="false">IF(V55&gt;0,ROUND(AVERAGEIFS('Shortlisted Drugs X Company (7)'!$N$3:$N$698,'Shortlisted Drugs X Company (7)'!$C$3:$C$698,$B55,'Shortlisted Drugs X Company (7)'!$E$3:$E$698,$S55,'Shortlisted Drugs X Company (7)'!$N$3:$N$698,"&gt;=0"),2),"")</f>
        <v>5.68</v>
      </c>
      <c r="AG55" s="16" t="s">
        <v>408</v>
      </c>
      <c r="AH55" s="16" t="s">
        <v>247</v>
      </c>
      <c r="AI55" s="16" t="s">
        <v>247</v>
      </c>
      <c r="AJ55" s="16" t="str">
        <f aca="false">IF(O55&lt;&gt;"","",IF(ISNUMBER(D55),IF(D55&gt;=$C$3,"High price","Lower price"),"Unpriced")&amp;" · "&amp;IF(M55&gt;=$E$3,"high volume","lower volume"))</f>
        <v/>
      </c>
      <c r="AK55" s="15" t="str">
        <f aca="false">IF(O55&lt;&gt;"",IF(O55="Price ≤ $5","Excluded – price ≤ $5","Excluded – IV only"),IF(ISNUMBER(D55),IF(AND(D55&gt;=$C$3,L55&gt;=$H$3),"Priority 1",IF(OR(D55&gt;=$C$3,L55&gt;=$H$3),"Priority 2","Priority 3")),IF(L55&gt;=$H$3,"Priority 2","Priority 3")))</f>
        <v>Excluded – IV only</v>
      </c>
      <c r="AL55" s="16" t="str">
        <f aca="false">IF(O55&lt;&gt;"","",IF(ISNUMBER(D55),IF(D55&gt;=$C$3,"High price","Lower price"),"Unpriced")&amp;" · "&amp;IF(L55&gt;=$H$3,"high volume","lower volume"))</f>
        <v/>
      </c>
      <c r="AM55" s="14" t="str">
        <f aca="false">IF(O55&lt;&gt;"","",COUNTIFS($A$29:$A$361,A55,$O$29:$O$361,"",$AQ$29:$AQ$361,"&gt;"&amp;AQ55)+COUNTIFS($A$29:A55,A55,$O$29:O55,"",$AQ$29:AQ55,AQ55))</f>
        <v/>
      </c>
      <c r="AN55" s="33" t="str">
        <f aca="false">IF(AND(O55="",ISNUMBER(D55)),D55,"")</f>
        <v/>
      </c>
      <c r="AO55" s="33" t="str">
        <f aca="false">IF(O55="",M55,"")</f>
        <v/>
      </c>
      <c r="AP55" s="33" t="str">
        <f aca="false">IF(O55="",L55,"")</f>
        <v/>
      </c>
      <c r="AQ55" s="33" t="str">
        <f aca="false">IF(O55&lt;&gt;"","",(4-VALUE(RIGHT(AK55,1)))*10^7+N(N55))</f>
        <v/>
      </c>
      <c r="AR55" s="33" t="n">
        <f aca="false">INDEX($O$7:$O$25,MATCH(A55,$I$7:$I$25,0))</f>
        <v>2</v>
      </c>
      <c r="AS55" s="33" t="str">
        <f aca="false">IF(AE55="No","",AR55*1000+IF(AM55="",900+COUNTIFS($A$29:A55,A55,$O$29:O55,"Price ≤ $5"),AM55))</f>
        <v/>
      </c>
    </row>
    <row r="56" customFormat="false" ht="41.75" hidden="false" customHeight="false" outlineLevel="0" collapsed="false">
      <c r="A56" s="15" t="s">
        <v>187</v>
      </c>
      <c r="B56" s="15" t="s">
        <v>412</v>
      </c>
      <c r="C56" s="16" t="s">
        <v>413</v>
      </c>
      <c r="D56" s="17" t="n">
        <f aca="false">IF(W56&gt;0,ROUND(AVERAGEIFS('Shortlisted Drugs X Company (7)'!$N$3:$N$698,'Shortlisted Drugs X Company (7)'!$C$3:$C$698,$B56,'Shortlisted Drugs X Company (7)'!$E$3:$E$698,$S56,'Shortlisted Drugs X Company (7)'!$N$3:$N$698,"&gt;5"),2),"")</f>
        <v>54.55</v>
      </c>
      <c r="E56" s="15" t="str">
        <f aca="false">IF(COUNTIFS('Shortlisted Drugs X Company (7)'!$C$3:$C$698,$B56,'Shortlisted Drugs X Company (7)'!$E$3:$E$698,$S56,'Shortlisted Drugs X Company (7)'!$P$3:$P$698,"Exact")&gt;0,"Exact",IF(COUNTIFS('Shortlisted Drugs X Company (7)'!$C$3:$C$698,$B56,'Shortlisted Drugs X Company (7)'!$E$3:$E$698,$S56,'Shortlisted Drugs X Company (7)'!$P$3:$P$698,"Same-market proxy")&gt;0,"Same-market proxy",IF(COUNTIFS('Shortlisted Drugs X Company (7)'!$C$3:$C$698,$B56,'Shortlisted Drugs X Company (7)'!$E$3:$E$698,$S56,'Shortlisted Drugs X Company (7)'!$P$3:$P$698,"Cross-market proxy")&gt;0,"Cross-market proxy",IF(COUNTIFS('Shortlisted Drugs X Company (7)'!$C$3:$C$698,$B56,'Shortlisted Drugs X Company (7)'!$E$3:$E$698,$S56,'Shortlisted Drugs X Company (7)'!$P$3:$P$698,"Source not found")&gt;0,"Source not found","Not priced"))))</f>
        <v>Same-market proxy</v>
      </c>
      <c r="F56" s="18" t="n">
        <f aca="false">IFERROR(ROUND(INDEX('Injectable Value'!$AA$28:$AA$178,MATCH(B56,'Injectable Value'!$A$28:$A$178,0)),1),"")</f>
        <v>3407.5</v>
      </c>
      <c r="G56" s="16" t="s">
        <v>247</v>
      </c>
      <c r="H56" s="14" t="n">
        <v>1</v>
      </c>
      <c r="I56" s="15" t="s">
        <v>248</v>
      </c>
      <c r="J56" s="15" t="s">
        <v>249</v>
      </c>
      <c r="K56" s="16" t="str">
        <f aca="false">""&amp;IF(V56=0,"Unpriced","")&amp;IF(AND(V56&gt;0,W56=0,X56=0),"Low price from another market – confirm with company","")</f>
        <v/>
      </c>
      <c r="L56" s="18" t="n">
        <f aca="false">IFERROR(INDEX('Shortlisted Drugs X Company (7)'!$K$3:$K$698,MATCH(B56,'Shortlisted Drugs X Company (7)'!$C$3:$C$698,0)),"")</f>
        <v>126</v>
      </c>
      <c r="M56" s="18" t="n">
        <f aca="false">IFERROR(ROUND(L56*INDEX('Injectable Value'!$Z$28:$Z$178,MATCH(B56,'Injectable Value'!$A$28:$A$178,0)),0),"")</f>
        <v>126</v>
      </c>
      <c r="N56" s="18" t="n">
        <f aca="false">IFERROR(INDEX('Shortlisted Drugs X Company (7)'!$L$3:$L$698,MATCH(B56,'Shortlisted Drugs X Company (7)'!$C$3:$C$698,0)),"")</f>
        <v>3407.51</v>
      </c>
      <c r="O56" s="15" t="str">
        <f aca="false">IF(AE56="No","IV only (not ID/IM/SC)",IF(AND(V56&gt;0,W56=0),"Price ≤ $5",""))</f>
        <v/>
      </c>
      <c r="P56" s="14" t="n">
        <f aca="false">IF(O56&lt;&gt;"","",COUNTIFS($A$29:$A$361,A56,$O$29:$O$361,"",$AC$29:$AC$361,"&gt;"&amp;AC56)+COUNTIFS($A$29:A56,A56,$O$29:O56,"",$AC$29:AC56,AC56))</f>
        <v>17</v>
      </c>
      <c r="Q56" s="15" t="str">
        <f aca="false">IF(O56&lt;&gt;"",IF(O56="Price ≤ $5","Excluded – price ≤ $5","Excluded – IV only"),IF(ISNUMBER(D56),IF(AND(D56&gt;=$C$3,M56&gt;=$E$3),"Priority 1",IF(OR(D56&gt;=$C$3,M56&gt;=$E$3),"Priority 2","Priority 3")),IF(M56&gt;=$E$3,"Priority 2","Priority 3")))</f>
        <v>Priority 2</v>
      </c>
      <c r="R56" s="16" t="s">
        <v>285</v>
      </c>
      <c r="S56" s="15" t="s">
        <v>286</v>
      </c>
      <c r="T56" s="32" t="s">
        <v>414</v>
      </c>
      <c r="U56" s="33" t="str">
        <f aca="false">B56&amp;"|"&amp;S56</f>
        <v>Fluphenazine Decanoate|Aurobindo Pharma</v>
      </c>
      <c r="V56" s="34" t="n">
        <f aca="false">COUNTIFS('Shortlisted Drugs X Company (7)'!$C$3:$C$698,$B56,'Shortlisted Drugs X Company (7)'!$E$3:$E$698,$S56,'Shortlisted Drugs X Company (7)'!$N$3:$N$698,"&gt;=0")</f>
        <v>1</v>
      </c>
      <c r="W56" s="34" t="n">
        <f aca="false">COUNTIFS('Shortlisted Drugs X Company (7)'!$C$3:$C$698,$B56,'Shortlisted Drugs X Company (7)'!$E$3:$E$698,$S56,'Shortlisted Drugs X Company (7)'!$N$3:$N$698,"&gt;5")</f>
        <v>1</v>
      </c>
      <c r="X56" s="34" t="n">
        <f aca="false">COUNTIFS('Shortlisted Drugs X Company (7)'!$C$3:$C$698,$B56,'Shortlisted Drugs X Company (7)'!$E$3:$E$698,$S56,'Shortlisted Drugs X Company (7)'!$P$3:$P$698,"Exact")+COUNTIFS('Shortlisted Drugs X Company (7)'!$C$3:$C$698,$B56,'Shortlisted Drugs X Company (7)'!$E$3:$E$698,$S56,'Shortlisted Drugs X Company (7)'!$P$3:$P$698,"Same-market proxy")</f>
        <v>1</v>
      </c>
      <c r="Y56" s="33" t="str">
        <f aca="false">A56&amp;"|"&amp;P56</f>
        <v>Aurobindo|17</v>
      </c>
      <c r="Z56" s="16" t="s">
        <v>415</v>
      </c>
      <c r="AA56" s="33" t="n">
        <f aca="false">INDEX($G$7:$G$25,MATCH(A56,$A$7:$A$25,0))</f>
        <v>2</v>
      </c>
      <c r="AB56" s="33" t="n">
        <f aca="false">IF(AE56="No","",AA56*1000+IF(P56="",900+COUNTIFS($A$29:A56,A56,$O$29:O56,"Price ≤ $5"),P56))</f>
        <v>2017</v>
      </c>
      <c r="AC56" s="33" t="n">
        <f aca="false">IF(O56&lt;&gt;"","",(4-VALUE(RIGHT(Q56,1)))*10^7+N(F56))</f>
        <v>20003407.5</v>
      </c>
      <c r="AD56" s="15" t="str">
        <f aca="false">IFERROR(INDEX('Route of Administration'!$C$5:$C$155,MATCH(B56,'Route of Administration'!$A$5:$A$155,0)),"")</f>
        <v>IM, SC</v>
      </c>
      <c r="AE56" s="14" t="str">
        <f aca="false">IFERROR(INDEX('Route of Administration'!$D$5:$D$155,MATCH(B56,'Route of Administration'!$A$5:$A$155,0)),"")</f>
        <v>Yes</v>
      </c>
      <c r="AF56" s="19" t="n">
        <f aca="false">IF(V56&gt;0,ROUND(AVERAGEIFS('Shortlisted Drugs X Company (7)'!$N$3:$N$698,'Shortlisted Drugs X Company (7)'!$C$3:$C$698,$B56,'Shortlisted Drugs X Company (7)'!$E$3:$E$698,$S56,'Shortlisted Drugs X Company (7)'!$N$3:$N$698,"&gt;=0"),2),"")</f>
        <v>54.55</v>
      </c>
      <c r="AG56" s="16" t="s">
        <v>412</v>
      </c>
      <c r="AH56" s="16" t="s">
        <v>247</v>
      </c>
      <c r="AI56" s="16" t="s">
        <v>247</v>
      </c>
      <c r="AJ56" s="16" t="str">
        <f aca="false">IF(O56&lt;&gt;"","",IF(ISNUMBER(D56),IF(D56&gt;=$C$3,"High price","Lower price"),"Unpriced")&amp;" · "&amp;IF(M56&gt;=$E$3,"high volume","lower volume"))</f>
        <v>High price · lower volume</v>
      </c>
      <c r="AK56" s="15" t="str">
        <f aca="false">IF(O56&lt;&gt;"",IF(O56="Price ≤ $5","Excluded – price ≤ $5","Excluded – IV only"),IF(ISNUMBER(D56),IF(AND(D56&gt;=$C$3,L56&gt;=$H$3),"Priority 1",IF(OR(D56&gt;=$C$3,L56&gt;=$H$3),"Priority 2","Priority 3")),IF(L56&gt;=$H$3,"Priority 2","Priority 3")))</f>
        <v>Priority 2</v>
      </c>
      <c r="AL56" s="16" t="str">
        <f aca="false">IF(O56&lt;&gt;"","",IF(ISNUMBER(D56),IF(D56&gt;=$C$3,"High price","Lower price"),"Unpriced")&amp;" · "&amp;IF(L56&gt;=$H$3,"high volume","lower volume"))</f>
        <v>High price · lower volume</v>
      </c>
      <c r="AM56" s="14" t="n">
        <f aca="false">IF(O56&lt;&gt;"","",COUNTIFS($A$29:$A$361,A56,$O$29:$O$361,"",$AQ$29:$AQ$361,"&gt;"&amp;AQ56)+COUNTIFS($A$29:A56,A56,$O$29:O56,"",$AQ$29:AQ56,AQ56))</f>
        <v>22</v>
      </c>
      <c r="AN56" s="19" t="n">
        <f aca="false">IF(AND(O56="",ISNUMBER(D56)),D56,"")</f>
        <v>54.55</v>
      </c>
      <c r="AO56" s="20" t="n">
        <f aca="false">IF(O56="",M56,"")</f>
        <v>126</v>
      </c>
      <c r="AP56" s="20" t="n">
        <f aca="false">IF(O56="",L56,"")</f>
        <v>126</v>
      </c>
      <c r="AQ56" s="33" t="n">
        <f aca="false">IF(O56&lt;&gt;"","",(4-VALUE(RIGHT(AK56,1)))*10^7+N(N56))</f>
        <v>20003407.51</v>
      </c>
      <c r="AR56" s="33" t="n">
        <f aca="false">INDEX($O$7:$O$25,MATCH(A56,$I$7:$I$25,0))</f>
        <v>2</v>
      </c>
      <c r="AS56" s="33" t="n">
        <f aca="false">IF(AE56="No","",AR56*1000+IF(AM56="",900+COUNTIFS($A$29:A56,A56,$O$29:O56,"Price ≤ $5"),AM56))</f>
        <v>2022</v>
      </c>
    </row>
    <row r="57" customFormat="false" ht="41.75" hidden="false" customHeight="false" outlineLevel="0" collapsed="false">
      <c r="A57" s="15" t="s">
        <v>187</v>
      </c>
      <c r="B57" s="15" t="s">
        <v>416</v>
      </c>
      <c r="C57" s="16" t="s">
        <v>417</v>
      </c>
      <c r="D57" s="17" t="n">
        <f aca="false">IF(W57&gt;0,ROUND(AVERAGEIFS('Shortlisted Drugs X Company (7)'!$N$3:$N$698,'Shortlisted Drugs X Company (7)'!$C$3:$C$698,$B57,'Shortlisted Drugs X Company (7)'!$E$3:$E$698,$S57,'Shortlisted Drugs X Company (7)'!$N$3:$N$698,"&gt;5"),2),"")</f>
        <v>64.93</v>
      </c>
      <c r="E57" s="15" t="str">
        <f aca="false">IF(COUNTIFS('Shortlisted Drugs X Company (7)'!$C$3:$C$698,$B57,'Shortlisted Drugs X Company (7)'!$E$3:$E$698,$S57,'Shortlisted Drugs X Company (7)'!$P$3:$P$698,"Exact")&gt;0,"Exact",IF(COUNTIFS('Shortlisted Drugs X Company (7)'!$C$3:$C$698,$B57,'Shortlisted Drugs X Company (7)'!$E$3:$E$698,$S57,'Shortlisted Drugs X Company (7)'!$P$3:$P$698,"Same-market proxy")&gt;0,"Same-market proxy",IF(COUNTIFS('Shortlisted Drugs X Company (7)'!$C$3:$C$698,$B57,'Shortlisted Drugs X Company (7)'!$E$3:$E$698,$S57,'Shortlisted Drugs X Company (7)'!$P$3:$P$698,"Cross-market proxy")&gt;0,"Cross-market proxy",IF(COUNTIFS('Shortlisted Drugs X Company (7)'!$C$3:$C$698,$B57,'Shortlisted Drugs X Company (7)'!$E$3:$E$698,$S57,'Shortlisted Drugs X Company (7)'!$P$3:$P$698,"Source not found")&gt;0,"Source not found","Not priced"))))</f>
        <v>Cross-market proxy</v>
      </c>
      <c r="F57" s="18" t="n">
        <f aca="false">IFERROR(ROUND(INDEX('Injectable Value'!$AA$28:$AA$178,MATCH(B57,'Injectable Value'!$A$28:$A$178,0)),1),"")</f>
        <v>3562.5</v>
      </c>
      <c r="G57" s="16" t="s">
        <v>418</v>
      </c>
      <c r="H57" s="14" t="n">
        <v>1</v>
      </c>
      <c r="I57" s="15" t="s">
        <v>248</v>
      </c>
      <c r="J57" s="15" t="s">
        <v>284</v>
      </c>
      <c r="K57" s="16" t="str">
        <f aca="false">""&amp;IF(V57=0,"Unpriced","")&amp;IF(AND(V57&gt;0,W57=0,X57=0),"Low price from another market – confirm with company","")</f>
        <v/>
      </c>
      <c r="L57" s="18" t="n">
        <f aca="false">IFERROR(INDEX('Shortlisted Drugs X Company (7)'!$K$3:$K$698,MATCH(B57,'Shortlisted Drugs X Company (7)'!$C$3:$C$698,0)),"")</f>
        <v>366</v>
      </c>
      <c r="M57" s="18" t="n">
        <f aca="false">IFERROR(ROUND(L57*INDEX('Injectable Value'!$Z$28:$Z$178,MATCH(B57,'Injectable Value'!$A$28:$A$178,0)),0),"")</f>
        <v>243</v>
      </c>
      <c r="N57" s="18" t="n">
        <f aca="false">IFERROR(INDEX('Shortlisted Drugs X Company (7)'!$L$3:$L$698,MATCH(B57,'Shortlisted Drugs X Company (7)'!$C$3:$C$698,0)),"")</f>
        <v>5357.19</v>
      </c>
      <c r="O57" s="15" t="str">
        <f aca="false">IF(AE57="No","IV only (not ID/IM/SC)",IF(AND(V57&gt;0,W57=0),"Price ≤ $5",""))</f>
        <v/>
      </c>
      <c r="P57" s="14" t="n">
        <f aca="false">IF(O57&lt;&gt;"","",COUNTIFS($A$29:$A$361,A57,$O$29:$O$361,"",$AC$29:$AC$361,"&gt;"&amp;AC57)+COUNTIFS($A$29:A57,A57,$O$29:O57,"",$AC$29:AC57,AC57))</f>
        <v>5</v>
      </c>
      <c r="Q57" s="15" t="str">
        <f aca="false">IF(O57&lt;&gt;"",IF(O57="Price ≤ $5","Excluded – price ≤ $5","Excluded – IV only"),IF(ISNUMBER(D57),IF(AND(D57&gt;=$C$3,M57&gt;=$E$3),"Priority 1",IF(OR(D57&gt;=$C$3,M57&gt;=$E$3),"Priority 2","Priority 3")),IF(M57&gt;=$E$3,"Priority 2","Priority 3")))</f>
        <v>Priority 1</v>
      </c>
      <c r="R57" s="16" t="s">
        <v>285</v>
      </c>
      <c r="S57" s="15" t="s">
        <v>286</v>
      </c>
      <c r="T57" s="32" t="s">
        <v>419</v>
      </c>
      <c r="U57" s="33" t="str">
        <f aca="false">B57&amp;"|"&amp;S57</f>
        <v>Folinic Acid (Leucovorin)|Aurobindo Pharma</v>
      </c>
      <c r="V57" s="34" t="n">
        <f aca="false">COUNTIFS('Shortlisted Drugs X Company (7)'!$C$3:$C$698,$B57,'Shortlisted Drugs X Company (7)'!$E$3:$E$698,$S57,'Shortlisted Drugs X Company (7)'!$N$3:$N$698,"&gt;=0")</f>
        <v>1</v>
      </c>
      <c r="W57" s="34" t="n">
        <f aca="false">COUNTIFS('Shortlisted Drugs X Company (7)'!$C$3:$C$698,$B57,'Shortlisted Drugs X Company (7)'!$E$3:$E$698,$S57,'Shortlisted Drugs X Company (7)'!$N$3:$N$698,"&gt;5")</f>
        <v>1</v>
      </c>
      <c r="X57" s="34" t="n">
        <f aca="false">COUNTIFS('Shortlisted Drugs X Company (7)'!$C$3:$C$698,$B57,'Shortlisted Drugs X Company (7)'!$E$3:$E$698,$S57,'Shortlisted Drugs X Company (7)'!$P$3:$P$698,"Exact")+COUNTIFS('Shortlisted Drugs X Company (7)'!$C$3:$C$698,$B57,'Shortlisted Drugs X Company (7)'!$E$3:$E$698,$S57,'Shortlisted Drugs X Company (7)'!$P$3:$P$698,"Same-market proxy")</f>
        <v>0</v>
      </c>
      <c r="Y57" s="33" t="str">
        <f aca="false">A57&amp;"|"&amp;P57</f>
        <v>Aurobindo|5</v>
      </c>
      <c r="Z57" s="16" t="s">
        <v>420</v>
      </c>
      <c r="AA57" s="33" t="n">
        <f aca="false">INDEX($G$7:$G$25,MATCH(A57,$A$7:$A$25,0))</f>
        <v>2</v>
      </c>
      <c r="AB57" s="33" t="n">
        <f aca="false">IF(AE57="No","",AA57*1000+IF(P57="",900+COUNTIFS($A$29:A57,A57,$O$29:O57,"Price ≤ $5"),P57))</f>
        <v>2005</v>
      </c>
      <c r="AC57" s="33" t="n">
        <f aca="false">IF(O57&lt;&gt;"","",(4-VALUE(RIGHT(Q57,1)))*10^7+N(F57))</f>
        <v>30003562.5</v>
      </c>
      <c r="AD57" s="15" t="str">
        <f aca="false">IFERROR(INDEX('Route of Administration'!$C$5:$C$155,MATCH(B57,'Route of Administration'!$A$5:$A$155,0)),"")</f>
        <v>IV, IM</v>
      </c>
      <c r="AE57" s="14" t="str">
        <f aca="false">IFERROR(INDEX('Route of Administration'!$D$5:$D$155,MATCH(B57,'Route of Administration'!$A$5:$A$155,0)),"")</f>
        <v>Yes</v>
      </c>
      <c r="AF57" s="19" t="n">
        <f aca="false">IF(V57&gt;0,ROUND(AVERAGEIFS('Shortlisted Drugs X Company (7)'!$N$3:$N$698,'Shortlisted Drugs X Company (7)'!$C$3:$C$698,$B57,'Shortlisted Drugs X Company (7)'!$E$3:$E$698,$S57,'Shortlisted Drugs X Company (7)'!$N$3:$N$698,"&gt;=0"),2),"")</f>
        <v>64.93</v>
      </c>
      <c r="AG57" s="16" t="s">
        <v>421</v>
      </c>
      <c r="AH57" s="16" t="s">
        <v>422</v>
      </c>
      <c r="AI57" s="16" t="s">
        <v>422</v>
      </c>
      <c r="AJ57" s="16" t="str">
        <f aca="false">IF(O57&lt;&gt;"","",IF(ISNUMBER(D57),IF(D57&gt;=$C$3,"High price","Lower price"),"Unpriced")&amp;" · "&amp;IF(M57&gt;=$E$3,"high volume","lower volume"))</f>
        <v>High price · high volume</v>
      </c>
      <c r="AK57" s="15" t="str">
        <f aca="false">IF(O57&lt;&gt;"",IF(O57="Price ≤ $5","Excluded – price ≤ $5","Excluded – IV only"),IF(ISNUMBER(D57),IF(AND(D57&gt;=$C$3,L57&gt;=$H$3),"Priority 1",IF(OR(D57&gt;=$C$3,L57&gt;=$H$3),"Priority 2","Priority 3")),IF(L57&gt;=$H$3,"Priority 2","Priority 3")))</f>
        <v>Priority 1</v>
      </c>
      <c r="AL57" s="16" t="str">
        <f aca="false">IF(O57&lt;&gt;"","",IF(ISNUMBER(D57),IF(D57&gt;=$C$3,"High price","Lower price"),"Unpriced")&amp;" · "&amp;IF(L57&gt;=$H$3,"high volume","lower volume"))</f>
        <v>High price · high volume</v>
      </c>
      <c r="AM57" s="14" t="n">
        <f aca="false">IF(O57&lt;&gt;"","",COUNTIFS($A$29:$A$361,A57,$O$29:$O$361,"",$AQ$29:$AQ$361,"&gt;"&amp;AQ57)+COUNTIFS($A$29:A57,A57,$O$29:O57,"",$AQ$29:AQ57,AQ57))</f>
        <v>4</v>
      </c>
      <c r="AN57" s="19" t="n">
        <f aca="false">IF(AND(O57="",ISNUMBER(D57)),D57,"")</f>
        <v>64.93</v>
      </c>
      <c r="AO57" s="20" t="n">
        <f aca="false">IF(O57="",M57,"")</f>
        <v>243</v>
      </c>
      <c r="AP57" s="20" t="n">
        <f aca="false">IF(O57="",L57,"")</f>
        <v>366</v>
      </c>
      <c r="AQ57" s="33" t="n">
        <f aca="false">IF(O57&lt;&gt;"","",(4-VALUE(RIGHT(AK57,1)))*10^7+N(N57))</f>
        <v>30005357.19</v>
      </c>
      <c r="AR57" s="33" t="n">
        <f aca="false">INDEX($O$7:$O$25,MATCH(A57,$I$7:$I$25,0))</f>
        <v>2</v>
      </c>
      <c r="AS57" s="33" t="n">
        <f aca="false">IF(AE57="No","",AR57*1000+IF(AM57="",900+COUNTIFS($A$29:A57,A57,$O$29:O57,"Price ≤ $5"),AM57))</f>
        <v>2004</v>
      </c>
    </row>
    <row r="58" customFormat="false" ht="28.35" hidden="false" customHeight="false" outlineLevel="0" collapsed="false">
      <c r="A58" s="15" t="s">
        <v>187</v>
      </c>
      <c r="B58" s="15" t="s">
        <v>262</v>
      </c>
      <c r="C58" s="16" t="s">
        <v>263</v>
      </c>
      <c r="D58" s="17" t="n">
        <f aca="false">IF(W58&gt;0,ROUND(AVERAGEIFS('Shortlisted Drugs X Company (7)'!$N$3:$N$698,'Shortlisted Drugs X Company (7)'!$C$3:$C$698,$B58,'Shortlisted Drugs X Company (7)'!$E$3:$E$698,$S58,'Shortlisted Drugs X Company (7)'!$N$3:$N$698,"&gt;5"),2),"")</f>
        <v>308.1</v>
      </c>
      <c r="E58" s="15" t="str">
        <f aca="false">IF(COUNTIFS('Shortlisted Drugs X Company (7)'!$C$3:$C$698,$B58,'Shortlisted Drugs X Company (7)'!$E$3:$E$698,$S58,'Shortlisted Drugs X Company (7)'!$P$3:$P$698,"Exact")&gt;0,"Exact",IF(COUNTIFS('Shortlisted Drugs X Company (7)'!$C$3:$C$698,$B58,'Shortlisted Drugs X Company (7)'!$E$3:$E$698,$S58,'Shortlisted Drugs X Company (7)'!$P$3:$P$698,"Same-market proxy")&gt;0,"Same-market proxy",IF(COUNTIFS('Shortlisted Drugs X Company (7)'!$C$3:$C$698,$B58,'Shortlisted Drugs X Company (7)'!$E$3:$E$698,$S58,'Shortlisted Drugs X Company (7)'!$P$3:$P$698,"Cross-market proxy")&gt;0,"Cross-market proxy",IF(COUNTIFS('Shortlisted Drugs X Company (7)'!$C$3:$C$698,$B58,'Shortlisted Drugs X Company (7)'!$E$3:$E$698,$S58,'Shortlisted Drugs X Company (7)'!$P$3:$P$698,"Source not found")&gt;0,"Source not found","Not priced"))))</f>
        <v>Exact</v>
      </c>
      <c r="F58" s="18" t="n">
        <f aca="false">IFERROR(ROUND(INDEX('Injectable Value'!$AA$28:$AA$178,MATCH(B58,'Injectable Value'!$A$28:$A$178,0)),1),"")</f>
        <v>11366.1</v>
      </c>
      <c r="G58" s="16" t="s">
        <v>423</v>
      </c>
      <c r="H58" s="14" t="n">
        <v>10</v>
      </c>
      <c r="I58" s="15" t="s">
        <v>258</v>
      </c>
      <c r="J58" s="15" t="s">
        <v>249</v>
      </c>
      <c r="K58" s="16" t="str">
        <f aca="false">"Prefilled only"&amp;IF(V58=0,"; Unpriced","")&amp;IF(AND(V58&gt;0,W58=0,X58=0),"; Low price from another market – confirm with company","")</f>
        <v>Prefilled only</v>
      </c>
      <c r="L58" s="18" t="n">
        <f aca="false">IFERROR(INDEX('Shortlisted Drugs X Company (7)'!$K$3:$K$698,MATCH(B58,'Shortlisted Drugs X Company (7)'!$C$3:$C$698,0)),"")</f>
        <v>146</v>
      </c>
      <c r="M58" s="18" t="n">
        <f aca="false">IFERROR(ROUND(L58*INDEX('Injectable Value'!$Z$28:$Z$178,MATCH(B58,'Injectable Value'!$A$28:$A$178,0)),0),"")</f>
        <v>146</v>
      </c>
      <c r="N58" s="18" t="n">
        <f aca="false">IFERROR(INDEX('Shortlisted Drugs X Company (7)'!$L$3:$L$698,MATCH(B58,'Shortlisted Drugs X Company (7)'!$C$3:$C$698,0)),"")</f>
        <v>11366.06</v>
      </c>
      <c r="O58" s="15" t="str">
        <f aca="false">IF(AE58="No","IV only (not ID/IM/SC)",IF(AND(V58&gt;0,W58=0),"Price ≤ $5",""))</f>
        <v/>
      </c>
      <c r="P58" s="14" t="n">
        <f aca="false">IF(O58&lt;&gt;"","",COUNTIFS($A$29:$A$361,A58,$O$29:$O$361,"",$AC$29:$AC$361,"&gt;"&amp;AC58)+COUNTIFS($A$29:A58,A58,$O$29:O58,"",$AC$29:AC58,AC58))</f>
        <v>4</v>
      </c>
      <c r="Q58" s="15" t="str">
        <f aca="false">IF(O58&lt;&gt;"",IF(O58="Price ≤ $5","Excluded – price ≤ $5","Excluded – IV only"),IF(ISNUMBER(D58),IF(AND(D58&gt;=$C$3,M58&gt;=$E$3),"Priority 1",IF(OR(D58&gt;=$C$3,M58&gt;=$E$3),"Priority 2","Priority 3")),IF(M58&gt;=$E$3,"Priority 2","Priority 3")))</f>
        <v>Priority 1</v>
      </c>
      <c r="R58" s="16" t="s">
        <v>259</v>
      </c>
      <c r="S58" s="15" t="s">
        <v>286</v>
      </c>
      <c r="T58" s="32" t="s">
        <v>264</v>
      </c>
      <c r="U58" s="33" t="str">
        <f aca="false">B58&amp;"|"&amp;S58</f>
        <v>Fulvestrant|Aurobindo Pharma</v>
      </c>
      <c r="V58" s="34" t="n">
        <f aca="false">COUNTIFS('Shortlisted Drugs X Company (7)'!$C$3:$C$698,$B58,'Shortlisted Drugs X Company (7)'!$E$3:$E$698,$S58,'Shortlisted Drugs X Company (7)'!$N$3:$N$698,"&gt;=0")</f>
        <v>3</v>
      </c>
      <c r="W58" s="34" t="n">
        <f aca="false">COUNTIFS('Shortlisted Drugs X Company (7)'!$C$3:$C$698,$B58,'Shortlisted Drugs X Company (7)'!$E$3:$E$698,$S58,'Shortlisted Drugs X Company (7)'!$N$3:$N$698,"&gt;5")</f>
        <v>3</v>
      </c>
      <c r="X58" s="34" t="n">
        <f aca="false">COUNTIFS('Shortlisted Drugs X Company (7)'!$C$3:$C$698,$B58,'Shortlisted Drugs X Company (7)'!$E$3:$E$698,$S58,'Shortlisted Drugs X Company (7)'!$P$3:$P$698,"Exact")+COUNTIFS('Shortlisted Drugs X Company (7)'!$C$3:$C$698,$B58,'Shortlisted Drugs X Company (7)'!$E$3:$E$698,$S58,'Shortlisted Drugs X Company (7)'!$P$3:$P$698,"Same-market proxy")</f>
        <v>3</v>
      </c>
      <c r="Y58" s="33" t="str">
        <f aca="false">A58&amp;"|"&amp;P58</f>
        <v>Aurobindo|4</v>
      </c>
      <c r="Z58" s="16" t="s">
        <v>265</v>
      </c>
      <c r="AA58" s="33" t="n">
        <f aca="false">INDEX($G$7:$G$25,MATCH(A58,$A$7:$A$25,0))</f>
        <v>2</v>
      </c>
      <c r="AB58" s="33" t="n">
        <f aca="false">IF(AE58="No","",AA58*1000+IF(P58="",900+COUNTIFS($A$29:A58,A58,$O$29:O58,"Price ≤ $5"),P58))</f>
        <v>2004</v>
      </c>
      <c r="AC58" s="33" t="n">
        <f aca="false">IF(O58&lt;&gt;"","",(4-VALUE(RIGHT(Q58,1)))*10^7+N(F58))</f>
        <v>30011366.1</v>
      </c>
      <c r="AD58" s="15" t="str">
        <f aca="false">IFERROR(INDEX('Route of Administration'!$C$5:$C$155,MATCH(B58,'Route of Administration'!$A$5:$A$155,0)),"")</f>
        <v>IM</v>
      </c>
      <c r="AE58" s="14" t="str">
        <f aca="false">IFERROR(INDEX('Route of Administration'!$D$5:$D$155,MATCH(B58,'Route of Administration'!$A$5:$A$155,0)),"")</f>
        <v>Yes</v>
      </c>
      <c r="AF58" s="19" t="n">
        <f aca="false">IF(V58&gt;0,ROUND(AVERAGEIFS('Shortlisted Drugs X Company (7)'!$N$3:$N$698,'Shortlisted Drugs X Company (7)'!$C$3:$C$698,$B58,'Shortlisted Drugs X Company (7)'!$E$3:$E$698,$S58,'Shortlisted Drugs X Company (7)'!$N$3:$N$698,"&gt;=0"),2),"")</f>
        <v>308.1</v>
      </c>
      <c r="AG58" s="16" t="s">
        <v>424</v>
      </c>
      <c r="AH58" s="16" t="s">
        <v>425</v>
      </c>
      <c r="AI58" s="16" t="s">
        <v>426</v>
      </c>
      <c r="AJ58" s="16" t="str">
        <f aca="false">IF(O58&lt;&gt;"","",IF(ISNUMBER(D58),IF(D58&gt;=$C$3,"High price","Lower price"),"Unpriced")&amp;" · "&amp;IF(M58&gt;=$E$3,"high volume","lower volume"))</f>
        <v>High price · high volume</v>
      </c>
      <c r="AK58" s="15" t="str">
        <f aca="false">IF(O58&lt;&gt;"",IF(O58="Price ≤ $5","Excluded – price ≤ $5","Excluded – IV only"),IF(ISNUMBER(D58),IF(AND(D58&gt;=$C$3,L58&gt;=$H$3),"Priority 1",IF(OR(D58&gt;=$C$3,L58&gt;=$H$3),"Priority 2","Priority 3")),IF(L58&gt;=$H$3,"Priority 2","Priority 3")))</f>
        <v>Priority 2</v>
      </c>
      <c r="AL58" s="16" t="str">
        <f aca="false">IF(O58&lt;&gt;"","",IF(ISNUMBER(D58),IF(D58&gt;=$C$3,"High price","Lower price"),"Unpriced")&amp;" · "&amp;IF(L58&gt;=$H$3,"high volume","lower volume"))</f>
        <v>High price · lower volume</v>
      </c>
      <c r="AM58" s="14" t="n">
        <f aca="false">IF(O58&lt;&gt;"","",COUNTIFS($A$29:$A$361,A58,$O$29:$O$361,"",$AQ$29:$AQ$361,"&gt;"&amp;AQ58)+COUNTIFS($A$29:A58,A58,$O$29:O58,"",$AQ$29:AQ58,AQ58))</f>
        <v>14</v>
      </c>
      <c r="AN58" s="19" t="n">
        <f aca="false">IF(AND(O58="",ISNUMBER(D58)),D58,"")</f>
        <v>308.1</v>
      </c>
      <c r="AO58" s="20" t="n">
        <f aca="false">IF(O58="",M58,"")</f>
        <v>146</v>
      </c>
      <c r="AP58" s="20" t="n">
        <f aca="false">IF(O58="",L58,"")</f>
        <v>146</v>
      </c>
      <c r="AQ58" s="33" t="n">
        <f aca="false">IF(O58&lt;&gt;"","",(4-VALUE(RIGHT(AK58,1)))*10^7+N(N58))</f>
        <v>20011366.06</v>
      </c>
      <c r="AR58" s="33" t="n">
        <f aca="false">INDEX($O$7:$O$25,MATCH(A58,$I$7:$I$25,0))</f>
        <v>2</v>
      </c>
      <c r="AS58" s="33" t="n">
        <f aca="false">IF(AE58="No","",AR58*1000+IF(AM58="",900+COUNTIFS($A$29:A58,A58,$O$29:O58,"Price ≤ $5"),AM58))</f>
        <v>2014</v>
      </c>
    </row>
    <row r="59" customFormat="false" ht="41.75" hidden="false" customHeight="false" outlineLevel="0" collapsed="false">
      <c r="A59" s="15" t="s">
        <v>187</v>
      </c>
      <c r="B59" s="15" t="s">
        <v>427</v>
      </c>
      <c r="C59" s="16" t="s">
        <v>428</v>
      </c>
      <c r="D59" s="17" t="n">
        <f aca="false">IF(W59&gt;0,ROUND(AVERAGEIFS('Shortlisted Drugs X Company (7)'!$N$3:$N$698,'Shortlisted Drugs X Company (7)'!$C$3:$C$698,$B59,'Shortlisted Drugs X Company (7)'!$E$3:$E$698,$S59,'Shortlisted Drugs X Company (7)'!$N$3:$N$698,"&gt;5"),2),"")</f>
        <v>7.36</v>
      </c>
      <c r="E59" s="15" t="str">
        <f aca="false">IF(COUNTIFS('Shortlisted Drugs X Company (7)'!$C$3:$C$698,$B59,'Shortlisted Drugs X Company (7)'!$E$3:$E$698,$S59,'Shortlisted Drugs X Company (7)'!$P$3:$P$698,"Exact")&gt;0,"Exact",IF(COUNTIFS('Shortlisted Drugs X Company (7)'!$C$3:$C$698,$B59,'Shortlisted Drugs X Company (7)'!$E$3:$E$698,$S59,'Shortlisted Drugs X Company (7)'!$P$3:$P$698,"Same-market proxy")&gt;0,"Same-market proxy",IF(COUNTIFS('Shortlisted Drugs X Company (7)'!$C$3:$C$698,$B59,'Shortlisted Drugs X Company (7)'!$E$3:$E$698,$S59,'Shortlisted Drugs X Company (7)'!$P$3:$P$698,"Cross-market proxy")&gt;0,"Cross-market proxy",IF(COUNTIFS('Shortlisted Drugs X Company (7)'!$C$3:$C$698,$B59,'Shortlisted Drugs X Company (7)'!$E$3:$E$698,$S59,'Shortlisted Drugs X Company (7)'!$P$3:$P$698,"Source not found")&gt;0,"Source not found","Not priced"))))</f>
        <v>Exact</v>
      </c>
      <c r="F59" s="18" t="n">
        <f aca="false">IFERROR(ROUND(INDEX('Injectable Value'!$AA$28:$AA$178,MATCH(B59,'Injectable Value'!$A$28:$A$178,0)),1),"")</f>
        <v>3519.3</v>
      </c>
      <c r="G59" s="16" t="s">
        <v>429</v>
      </c>
      <c r="H59" s="14" t="n">
        <v>1</v>
      </c>
      <c r="I59" s="15" t="s">
        <v>248</v>
      </c>
      <c r="J59" s="15" t="s">
        <v>249</v>
      </c>
      <c r="K59" s="16" t="str">
        <f aca="false">""&amp;IF(V59=0,"Unpriced","")&amp;IF(AND(V59&gt;0,W59=0,X59=0),"Low price from another market – confirm with company","")</f>
        <v/>
      </c>
      <c r="L59" s="18" t="n">
        <f aca="false">IFERROR(INDEX('Shortlisted Drugs X Company (7)'!$K$3:$K$698,MATCH(B59,'Shortlisted Drugs X Company (7)'!$C$3:$C$698,0)),"")</f>
        <v>503</v>
      </c>
      <c r="M59" s="18" t="n">
        <f aca="false">IFERROR(ROUND(L59*INDEX('Injectable Value'!$Z$28:$Z$178,MATCH(B59,'Injectable Value'!$A$28:$A$178,0)),0),"")</f>
        <v>82</v>
      </c>
      <c r="N59" s="18" t="n">
        <f aca="false">IFERROR(INDEX('Shortlisted Drugs X Company (7)'!$L$3:$L$698,MATCH(B59,'Shortlisted Drugs X Company (7)'!$C$3:$C$698,0)),"")</f>
        <v>21671.77</v>
      </c>
      <c r="O59" s="15" t="str">
        <f aca="false">IF(AE59="No","IV only (not ID/IM/SC)",IF(AND(V59&gt;0,W59=0),"Price ≤ $5",""))</f>
        <v/>
      </c>
      <c r="P59" s="14" t="n">
        <f aca="false">IF(O59&lt;&gt;"","",COUNTIFS($A$29:$A$361,A59,$O$29:$O$361,"",$AC$29:$AC$361,"&gt;"&amp;AC59)+COUNTIFS($A$29:A59,A59,$O$29:O59,"",$AC$29:AC59,AC59))</f>
        <v>21</v>
      </c>
      <c r="Q59" s="15" t="str">
        <f aca="false">IF(O59&lt;&gt;"",IF(O59="Price ≤ $5","Excluded – price ≤ $5","Excluded – IV only"),IF(ISNUMBER(D59),IF(AND(D59&gt;=$C$3,M59&gt;=$E$3),"Priority 1",IF(OR(D59&gt;=$C$3,M59&gt;=$E$3),"Priority 2","Priority 3")),IF(M59&gt;=$E$3,"Priority 2","Priority 3")))</f>
        <v>Priority 3</v>
      </c>
      <c r="R59" s="16" t="s">
        <v>285</v>
      </c>
      <c r="S59" s="15" t="s">
        <v>286</v>
      </c>
      <c r="T59" s="32" t="s">
        <v>430</v>
      </c>
      <c r="U59" s="33" t="str">
        <f aca="false">B59&amp;"|"&amp;S59</f>
        <v>Hydralazine|Aurobindo Pharma</v>
      </c>
      <c r="V59" s="34" t="n">
        <f aca="false">COUNTIFS('Shortlisted Drugs X Company (7)'!$C$3:$C$698,$B59,'Shortlisted Drugs X Company (7)'!$E$3:$E$698,$S59,'Shortlisted Drugs X Company (7)'!$N$3:$N$698,"&gt;=0")</f>
        <v>2</v>
      </c>
      <c r="W59" s="34" t="n">
        <f aca="false">COUNTIFS('Shortlisted Drugs X Company (7)'!$C$3:$C$698,$B59,'Shortlisted Drugs X Company (7)'!$E$3:$E$698,$S59,'Shortlisted Drugs X Company (7)'!$N$3:$N$698,"&gt;5")</f>
        <v>2</v>
      </c>
      <c r="X59" s="34" t="n">
        <f aca="false">COUNTIFS('Shortlisted Drugs X Company (7)'!$C$3:$C$698,$B59,'Shortlisted Drugs X Company (7)'!$E$3:$E$698,$S59,'Shortlisted Drugs X Company (7)'!$P$3:$P$698,"Exact")+COUNTIFS('Shortlisted Drugs X Company (7)'!$C$3:$C$698,$B59,'Shortlisted Drugs X Company (7)'!$E$3:$E$698,$S59,'Shortlisted Drugs X Company (7)'!$P$3:$P$698,"Same-market proxy")</f>
        <v>2</v>
      </c>
      <c r="Y59" s="33" t="str">
        <f aca="false">A59&amp;"|"&amp;P59</f>
        <v>Aurobindo|21</v>
      </c>
      <c r="Z59" s="16" t="s">
        <v>431</v>
      </c>
      <c r="AA59" s="33" t="n">
        <f aca="false">INDEX($G$7:$G$25,MATCH(A59,$A$7:$A$25,0))</f>
        <v>2</v>
      </c>
      <c r="AB59" s="33" t="n">
        <f aca="false">IF(AE59="No","",AA59*1000+IF(P59="",900+COUNTIFS($A$29:A59,A59,$O$29:O59,"Price ≤ $5"),P59))</f>
        <v>2021</v>
      </c>
      <c r="AC59" s="33" t="n">
        <f aca="false">IF(O59&lt;&gt;"","",(4-VALUE(RIGHT(Q59,1)))*10^7+N(F59))</f>
        <v>10003519.3</v>
      </c>
      <c r="AD59" s="15" t="str">
        <f aca="false">IFERROR(INDEX('Route of Administration'!$C$5:$C$155,MATCH(B59,'Route of Administration'!$A$5:$A$155,0)),"")</f>
        <v>IV, IM</v>
      </c>
      <c r="AE59" s="14" t="str">
        <f aca="false">IFERROR(INDEX('Route of Administration'!$D$5:$D$155,MATCH(B59,'Route of Administration'!$A$5:$A$155,0)),"")</f>
        <v>Yes</v>
      </c>
      <c r="AF59" s="19" t="n">
        <f aca="false">IF(V59&gt;0,ROUND(AVERAGEIFS('Shortlisted Drugs X Company (7)'!$N$3:$N$698,'Shortlisted Drugs X Company (7)'!$C$3:$C$698,$B59,'Shortlisted Drugs X Company (7)'!$E$3:$E$698,$S59,'Shortlisted Drugs X Company (7)'!$N$3:$N$698,"&gt;=0"),2),"")</f>
        <v>7.36</v>
      </c>
      <c r="AG59" s="16" t="s">
        <v>432</v>
      </c>
      <c r="AH59" s="16" t="s">
        <v>433</v>
      </c>
      <c r="AI59" s="16" t="s">
        <v>433</v>
      </c>
      <c r="AJ59" s="16" t="str">
        <f aca="false">IF(O59&lt;&gt;"","",IF(ISNUMBER(D59),IF(D59&gt;=$C$3,"High price","Lower price"),"Unpriced")&amp;" · "&amp;IF(M59&gt;=$E$3,"high volume","lower volume"))</f>
        <v>Lower price · lower volume</v>
      </c>
      <c r="AK59" s="15" t="str">
        <f aca="false">IF(O59&lt;&gt;"",IF(O59="Price ≤ $5","Excluded – price ≤ $5","Excluded – IV only"),IF(ISNUMBER(D59),IF(AND(D59&gt;=$C$3,L59&gt;=$H$3),"Priority 1",IF(OR(D59&gt;=$C$3,L59&gt;=$H$3),"Priority 2","Priority 3")),IF(L59&gt;=$H$3,"Priority 2","Priority 3")))</f>
        <v>Priority 2</v>
      </c>
      <c r="AL59" s="16" t="str">
        <f aca="false">IF(O59&lt;&gt;"","",IF(ISNUMBER(D59),IF(D59&gt;=$C$3,"High price","Lower price"),"Unpriced")&amp;" · "&amp;IF(L59&gt;=$H$3,"high volume","lower volume"))</f>
        <v>Lower price · high volume</v>
      </c>
      <c r="AM59" s="14" t="n">
        <f aca="false">IF(O59&lt;&gt;"","",COUNTIFS($A$29:$A$361,A59,$O$29:$O$361,"",$AQ$29:$AQ$361,"&gt;"&amp;AQ59)+COUNTIFS($A$29:A59,A59,$O$29:O59,"",$AQ$29:AQ59,AQ59))</f>
        <v>11</v>
      </c>
      <c r="AN59" s="19" t="n">
        <f aca="false">IF(AND(O59="",ISNUMBER(D59)),D59,"")</f>
        <v>7.36</v>
      </c>
      <c r="AO59" s="20" t="n">
        <f aca="false">IF(O59="",M59,"")</f>
        <v>82</v>
      </c>
      <c r="AP59" s="20" t="n">
        <f aca="false">IF(O59="",L59,"")</f>
        <v>503</v>
      </c>
      <c r="AQ59" s="33" t="n">
        <f aca="false">IF(O59&lt;&gt;"","",(4-VALUE(RIGHT(AK59,1)))*10^7+N(N59))</f>
        <v>20021671.77</v>
      </c>
      <c r="AR59" s="33" t="n">
        <f aca="false">INDEX($O$7:$O$25,MATCH(A59,$I$7:$I$25,0))</f>
        <v>2</v>
      </c>
      <c r="AS59" s="33" t="n">
        <f aca="false">IF(AE59="No","",AR59*1000+IF(AM59="",900+COUNTIFS($A$29:A59,A59,$O$29:O59,"Price ≤ $5"),AM59))</f>
        <v>2011</v>
      </c>
    </row>
    <row r="60" customFormat="false" ht="28.35" hidden="false" customHeight="false" outlineLevel="0" collapsed="false">
      <c r="A60" s="15" t="s">
        <v>187</v>
      </c>
      <c r="B60" s="15" t="s">
        <v>434</v>
      </c>
      <c r="C60" s="16" t="s">
        <v>435</v>
      </c>
      <c r="D60" s="17" t="n">
        <f aca="false">IF(W60&gt;0,ROUND(AVERAGEIFS('Shortlisted Drugs X Company (7)'!$N$3:$N$698,'Shortlisted Drugs X Company (7)'!$C$3:$C$698,$B60,'Shortlisted Drugs X Company (7)'!$E$3:$E$698,$S60,'Shortlisted Drugs X Company (7)'!$N$3:$N$698,"&gt;5"),2),"")</f>
        <v>125</v>
      </c>
      <c r="E60" s="15" t="str">
        <f aca="false">IF(COUNTIFS('Shortlisted Drugs X Company (7)'!$C$3:$C$698,$B60,'Shortlisted Drugs X Company (7)'!$E$3:$E$698,$S60,'Shortlisted Drugs X Company (7)'!$P$3:$P$698,"Exact")&gt;0,"Exact",IF(COUNTIFS('Shortlisted Drugs X Company (7)'!$C$3:$C$698,$B60,'Shortlisted Drugs X Company (7)'!$E$3:$E$698,$S60,'Shortlisted Drugs X Company (7)'!$P$3:$P$698,"Same-market proxy")&gt;0,"Same-market proxy",IF(COUNTIFS('Shortlisted Drugs X Company (7)'!$C$3:$C$698,$B60,'Shortlisted Drugs X Company (7)'!$E$3:$E$698,$S60,'Shortlisted Drugs X Company (7)'!$P$3:$P$698,"Cross-market proxy")&gt;0,"Cross-market proxy",IF(COUNTIFS('Shortlisted Drugs X Company (7)'!$C$3:$C$698,$B60,'Shortlisted Drugs X Company (7)'!$E$3:$E$698,$S60,'Shortlisted Drugs X Company (7)'!$P$3:$P$698,"Source not found")&gt;0,"Source not found","Not priced"))))</f>
        <v>Same-market proxy</v>
      </c>
      <c r="F60" s="18" t="n">
        <f aca="false">IFERROR(ROUND(INDEX('Injectable Value'!$AA$28:$AA$178,MATCH(B60,'Injectable Value'!$A$28:$A$178,0)),1),"")</f>
        <v>517.1</v>
      </c>
      <c r="G60" s="16" t="s">
        <v>247</v>
      </c>
      <c r="H60" s="14" t="n">
        <v>1</v>
      </c>
      <c r="I60" s="15" t="s">
        <v>258</v>
      </c>
      <c r="J60" s="15" t="s">
        <v>249</v>
      </c>
      <c r="K60" s="16" t="str">
        <f aca="false">"Prefilled only"&amp;IF(V60=0,"; Unpriced","")&amp;IF(AND(V60&gt;0,W60=0,X60=0),"; Low price from another market – confirm with company","")</f>
        <v>Prefilled only</v>
      </c>
      <c r="L60" s="18" t="n">
        <f aca="false">IFERROR(INDEX('Shortlisted Drugs X Company (7)'!$K$3:$K$698,MATCH(B60,'Shortlisted Drugs X Company (7)'!$C$3:$C$698,0)),"")</f>
        <v>116</v>
      </c>
      <c r="M60" s="18" t="n">
        <f aca="false">IFERROR(ROUND(L60*INDEX('Injectable Value'!$Z$28:$Z$178,MATCH(B60,'Injectable Value'!$A$28:$A$178,0)),0),"")</f>
        <v>52</v>
      </c>
      <c r="N60" s="18" t="n">
        <f aca="false">IFERROR(INDEX('Shortlisted Drugs X Company (7)'!$L$3:$L$698,MATCH(B60,'Shortlisted Drugs X Company (7)'!$C$3:$C$698,0)),"")</f>
        <v>1162.12</v>
      </c>
      <c r="O60" s="15" t="str">
        <f aca="false">IF(AE60="No","IV only (not ID/IM/SC)",IF(AND(V60&gt;0,W60=0),"Price ≤ $5",""))</f>
        <v>IV only (not ID/IM/SC)</v>
      </c>
      <c r="P60" s="14" t="str">
        <f aca="false">IF(O60&lt;&gt;"","",COUNTIFS($A$29:$A$361,A60,$O$29:$O$361,"",$AC$29:$AC$361,"&gt;"&amp;AC60)+COUNTIFS($A$29:A60,A60,$O$29:O60,"",$AC$29:AC60,AC60))</f>
        <v/>
      </c>
      <c r="Q60" s="15" t="str">
        <f aca="false">IF(O60&lt;&gt;"",IF(O60="Price ≤ $5","Excluded – price ≤ $5","Excluded – IV only"),IF(ISNUMBER(D60),IF(AND(D60&gt;=$C$3,M60&gt;=$E$3),"Priority 1",IF(OR(D60&gt;=$C$3,M60&gt;=$E$3),"Priority 2","Priority 3")),IF(M60&gt;=$E$3,"Priority 2","Priority 3")))</f>
        <v>Excluded – IV only</v>
      </c>
      <c r="R60" s="16" t="s">
        <v>259</v>
      </c>
      <c r="S60" s="15" t="s">
        <v>286</v>
      </c>
      <c r="T60" s="32" t="s">
        <v>436</v>
      </c>
      <c r="U60" s="33" t="str">
        <f aca="false">B60&amp;"|"&amp;S60</f>
        <v>Ibandronic Acid|Aurobindo Pharma</v>
      </c>
      <c r="V60" s="34" t="n">
        <f aca="false">COUNTIFS('Shortlisted Drugs X Company (7)'!$C$3:$C$698,$B60,'Shortlisted Drugs X Company (7)'!$E$3:$E$698,$S60,'Shortlisted Drugs X Company (7)'!$N$3:$N$698,"&gt;=0")</f>
        <v>1</v>
      </c>
      <c r="W60" s="34" t="n">
        <f aca="false">COUNTIFS('Shortlisted Drugs X Company (7)'!$C$3:$C$698,$B60,'Shortlisted Drugs X Company (7)'!$E$3:$E$698,$S60,'Shortlisted Drugs X Company (7)'!$N$3:$N$698,"&gt;5")</f>
        <v>1</v>
      </c>
      <c r="X60" s="34" t="n">
        <f aca="false">COUNTIFS('Shortlisted Drugs X Company (7)'!$C$3:$C$698,$B60,'Shortlisted Drugs X Company (7)'!$E$3:$E$698,$S60,'Shortlisted Drugs X Company (7)'!$P$3:$P$698,"Exact")+COUNTIFS('Shortlisted Drugs X Company (7)'!$C$3:$C$698,$B60,'Shortlisted Drugs X Company (7)'!$E$3:$E$698,$S60,'Shortlisted Drugs X Company (7)'!$P$3:$P$698,"Same-market proxy")</f>
        <v>1</v>
      </c>
      <c r="Y60" s="33" t="str">
        <f aca="false">A60&amp;"|"&amp;P60</f>
        <v>Aurobindo|</v>
      </c>
      <c r="Z60" s="16" t="s">
        <v>437</v>
      </c>
      <c r="AA60" s="33" t="n">
        <f aca="false">INDEX($G$7:$G$25,MATCH(A60,$A$7:$A$25,0))</f>
        <v>2</v>
      </c>
      <c r="AB60" s="33" t="str">
        <f aca="false">IF(AE60="No","",AA60*1000+IF(P60="",900+COUNTIFS($A$29:A60,A60,$O$29:O60,"Price ≤ $5"),P60))</f>
        <v/>
      </c>
      <c r="AC60" s="33" t="str">
        <f aca="false">IF(O60&lt;&gt;"","",(4-VALUE(RIGHT(Q60,1)))*10^7+N(F60))</f>
        <v/>
      </c>
      <c r="AD60" s="15" t="str">
        <f aca="false">IFERROR(INDEX('Route of Administration'!$C$5:$C$155,MATCH(B60,'Route of Administration'!$A$5:$A$155,0)),"")</f>
        <v>IV</v>
      </c>
      <c r="AE60" s="14" t="str">
        <f aca="false">IFERROR(INDEX('Route of Administration'!$D$5:$D$155,MATCH(B60,'Route of Administration'!$A$5:$A$155,0)),"")</f>
        <v>No</v>
      </c>
      <c r="AF60" s="19" t="n">
        <f aca="false">IF(V60&gt;0,ROUND(AVERAGEIFS('Shortlisted Drugs X Company (7)'!$N$3:$N$698,'Shortlisted Drugs X Company (7)'!$C$3:$C$698,$B60,'Shortlisted Drugs X Company (7)'!$E$3:$E$698,$S60,'Shortlisted Drugs X Company (7)'!$N$3:$N$698,"&gt;=0"),2),"")</f>
        <v>125</v>
      </c>
      <c r="AG60" s="16" t="s">
        <v>438</v>
      </c>
      <c r="AH60" s="16" t="s">
        <v>247</v>
      </c>
      <c r="AI60" s="16" t="s">
        <v>247</v>
      </c>
      <c r="AJ60" s="16" t="str">
        <f aca="false">IF(O60&lt;&gt;"","",IF(ISNUMBER(D60),IF(D60&gt;=$C$3,"High price","Lower price"),"Unpriced")&amp;" · "&amp;IF(M60&gt;=$E$3,"high volume","lower volume"))</f>
        <v/>
      </c>
      <c r="AK60" s="15" t="str">
        <f aca="false">IF(O60&lt;&gt;"",IF(O60="Price ≤ $5","Excluded – price ≤ $5","Excluded – IV only"),IF(ISNUMBER(D60),IF(AND(D60&gt;=$C$3,L60&gt;=$H$3),"Priority 1",IF(OR(D60&gt;=$C$3,L60&gt;=$H$3),"Priority 2","Priority 3")),IF(L60&gt;=$H$3,"Priority 2","Priority 3")))</f>
        <v>Excluded – IV only</v>
      </c>
      <c r="AL60" s="16" t="str">
        <f aca="false">IF(O60&lt;&gt;"","",IF(ISNUMBER(D60),IF(D60&gt;=$C$3,"High price","Lower price"),"Unpriced")&amp;" · "&amp;IF(L60&gt;=$H$3,"high volume","lower volume"))</f>
        <v/>
      </c>
      <c r="AM60" s="14" t="str">
        <f aca="false">IF(O60&lt;&gt;"","",COUNTIFS($A$29:$A$361,A60,$O$29:$O$361,"",$AQ$29:$AQ$361,"&gt;"&amp;AQ60)+COUNTIFS($A$29:A60,A60,$O$29:O60,"",$AQ$29:AQ60,AQ60))</f>
        <v/>
      </c>
      <c r="AN60" s="33" t="str">
        <f aca="false">IF(AND(O60="",ISNUMBER(D60)),D60,"")</f>
        <v/>
      </c>
      <c r="AO60" s="33" t="str">
        <f aca="false">IF(O60="",M60,"")</f>
        <v/>
      </c>
      <c r="AP60" s="33" t="str">
        <f aca="false">IF(O60="",L60,"")</f>
        <v/>
      </c>
      <c r="AQ60" s="33" t="str">
        <f aca="false">IF(O60&lt;&gt;"","",(4-VALUE(RIGHT(AK60,1)))*10^7+N(N60))</f>
        <v/>
      </c>
      <c r="AR60" s="33" t="n">
        <f aca="false">INDEX($O$7:$O$25,MATCH(A60,$I$7:$I$25,0))</f>
        <v>2</v>
      </c>
      <c r="AS60" s="33" t="str">
        <f aca="false">IF(AE60="No","",AR60*1000+IF(AM60="",900+COUNTIFS($A$29:A60,A60,$O$29:O60,"Price ≤ $5"),AM60))</f>
        <v/>
      </c>
    </row>
    <row r="61" customFormat="false" ht="28.35" hidden="false" customHeight="false" outlineLevel="0" collapsed="false">
      <c r="A61" s="15" t="s">
        <v>187</v>
      </c>
      <c r="B61" s="15" t="s">
        <v>439</v>
      </c>
      <c r="C61" s="16" t="s">
        <v>440</v>
      </c>
      <c r="D61" s="17" t="n">
        <f aca="false">IF(W61&gt;0,ROUND(AVERAGEIFS('Shortlisted Drugs X Company (7)'!$N$3:$N$698,'Shortlisted Drugs X Company (7)'!$C$3:$C$698,$B61,'Shortlisted Drugs X Company (7)'!$E$3:$E$698,$S61,'Shortlisted Drugs X Company (7)'!$N$3:$N$698,"&gt;5"),2),"")</f>
        <v>35.26</v>
      </c>
      <c r="E61" s="15" t="str">
        <f aca="false">IF(COUNTIFS('Shortlisted Drugs X Company (7)'!$C$3:$C$698,$B61,'Shortlisted Drugs X Company (7)'!$E$3:$E$698,$S61,'Shortlisted Drugs X Company (7)'!$P$3:$P$698,"Exact")&gt;0,"Exact",IF(COUNTIFS('Shortlisted Drugs X Company (7)'!$C$3:$C$698,$B61,'Shortlisted Drugs X Company (7)'!$E$3:$E$698,$S61,'Shortlisted Drugs X Company (7)'!$P$3:$P$698,"Same-market proxy")&gt;0,"Same-market proxy",IF(COUNTIFS('Shortlisted Drugs X Company (7)'!$C$3:$C$698,$B61,'Shortlisted Drugs X Company (7)'!$E$3:$E$698,$S61,'Shortlisted Drugs X Company (7)'!$P$3:$P$698,"Cross-market proxy")&gt;0,"Cross-market proxy",IF(COUNTIFS('Shortlisted Drugs X Company (7)'!$C$3:$C$698,$B61,'Shortlisted Drugs X Company (7)'!$E$3:$E$698,$S61,'Shortlisted Drugs X Company (7)'!$P$3:$P$698,"Source not found")&gt;0,"Source not found","Not priced"))))</f>
        <v>Same-market proxy</v>
      </c>
      <c r="F61" s="18" t="n">
        <f aca="false">IFERROR(ROUND(INDEX('Injectable Value'!$AA$28:$AA$178,MATCH(B61,'Injectable Value'!$A$28:$A$178,0)),1),"")</f>
        <v>2690.1</v>
      </c>
      <c r="G61" s="16" t="s">
        <v>247</v>
      </c>
      <c r="H61" s="14" t="n">
        <v>1</v>
      </c>
      <c r="I61" s="15" t="s">
        <v>441</v>
      </c>
      <c r="J61" s="15" t="s">
        <v>249</v>
      </c>
      <c r="K61" s="16" t="str">
        <f aca="false">""&amp;IF(V61=0,"Unpriced","")&amp;IF(AND(V61&gt;0,W61=0,X61=0),"Low price from another market – confirm with company","")</f>
        <v/>
      </c>
      <c r="L61" s="18" t="n">
        <f aca="false">IFERROR(INDEX('Shortlisted Drugs X Company (7)'!$K$3:$K$698,MATCH(B61,'Shortlisted Drugs X Company (7)'!$C$3:$C$698,0)),"")</f>
        <v>122</v>
      </c>
      <c r="M61" s="18" t="n">
        <f aca="false">IFERROR(ROUND(L61*INDEX('Injectable Value'!$Z$28:$Z$178,MATCH(B61,'Injectable Value'!$A$28:$A$178,0)),0),"")</f>
        <v>41</v>
      </c>
      <c r="N61" s="18" t="n">
        <f aca="false">IFERROR(INDEX('Shortlisted Drugs X Company (7)'!$L$3:$L$698,MATCH(B61,'Shortlisted Drugs X Company (7)'!$C$3:$C$698,0)),"")</f>
        <v>8000.57</v>
      </c>
      <c r="O61" s="15" t="str">
        <f aca="false">IF(AE61="No","IV only (not ID/IM/SC)",IF(AND(V61&gt;0,W61=0),"Price ≤ $5",""))</f>
        <v/>
      </c>
      <c r="P61" s="14" t="n">
        <f aca="false">IF(O61&lt;&gt;"","",COUNTIFS($A$29:$A$361,A61,$O$29:$O$361,"",$AC$29:$AC$361,"&gt;"&amp;AC61)+COUNTIFS($A$29:A61,A61,$O$29:O61,"",$AC$29:AC61,AC61))</f>
        <v>18</v>
      </c>
      <c r="Q61" s="15" t="str">
        <f aca="false">IF(O61&lt;&gt;"",IF(O61="Price ≤ $5","Excluded – price ≤ $5","Excluded – IV only"),IF(ISNUMBER(D61),IF(AND(D61&gt;=$C$3,M61&gt;=$E$3),"Priority 1",IF(OR(D61&gt;=$C$3,M61&gt;=$E$3),"Priority 2","Priority 3")),IF(M61&gt;=$E$3,"Priority 2","Priority 3")))</f>
        <v>Priority 2</v>
      </c>
      <c r="R61" s="16" t="s">
        <v>285</v>
      </c>
      <c r="S61" s="15" t="s">
        <v>286</v>
      </c>
      <c r="T61" s="32" t="s">
        <v>442</v>
      </c>
      <c r="U61" s="33" t="str">
        <f aca="false">B61&amp;"|"&amp;S61</f>
        <v>Medroxyprogesterone Acetate|Aurobindo Pharma</v>
      </c>
      <c r="V61" s="34" t="n">
        <f aca="false">COUNTIFS('Shortlisted Drugs X Company (7)'!$C$3:$C$698,$B61,'Shortlisted Drugs X Company (7)'!$E$3:$E$698,$S61,'Shortlisted Drugs X Company (7)'!$N$3:$N$698,"&gt;=0")</f>
        <v>2</v>
      </c>
      <c r="W61" s="34" t="n">
        <f aca="false">COUNTIFS('Shortlisted Drugs X Company (7)'!$C$3:$C$698,$B61,'Shortlisted Drugs X Company (7)'!$E$3:$E$698,$S61,'Shortlisted Drugs X Company (7)'!$N$3:$N$698,"&gt;5")</f>
        <v>2</v>
      </c>
      <c r="X61" s="34" t="n">
        <f aca="false">COUNTIFS('Shortlisted Drugs X Company (7)'!$C$3:$C$698,$B61,'Shortlisted Drugs X Company (7)'!$E$3:$E$698,$S61,'Shortlisted Drugs X Company (7)'!$P$3:$P$698,"Exact")+COUNTIFS('Shortlisted Drugs X Company (7)'!$C$3:$C$698,$B61,'Shortlisted Drugs X Company (7)'!$E$3:$E$698,$S61,'Shortlisted Drugs X Company (7)'!$P$3:$P$698,"Same-market proxy")</f>
        <v>2</v>
      </c>
      <c r="Y61" s="33" t="str">
        <f aca="false">A61&amp;"|"&amp;P61</f>
        <v>Aurobindo|18</v>
      </c>
      <c r="Z61" s="16" t="s">
        <v>443</v>
      </c>
      <c r="AA61" s="33" t="n">
        <f aca="false">INDEX($G$7:$G$25,MATCH(A61,$A$7:$A$25,0))</f>
        <v>2</v>
      </c>
      <c r="AB61" s="33" t="n">
        <f aca="false">IF(AE61="No","",AA61*1000+IF(P61="",900+COUNTIFS($A$29:A61,A61,$O$29:O61,"Price ≤ $5"),P61))</f>
        <v>2018</v>
      </c>
      <c r="AC61" s="33" t="n">
        <f aca="false">IF(O61&lt;&gt;"","",(4-VALUE(RIGHT(Q61,1)))*10^7+N(F61))</f>
        <v>20002690.1</v>
      </c>
      <c r="AD61" s="15" t="str">
        <f aca="false">IFERROR(INDEX('Route of Administration'!$C$5:$C$155,MATCH(B61,'Route of Administration'!$A$5:$A$155,0)),"")</f>
        <v>IM, SC</v>
      </c>
      <c r="AE61" s="14" t="str">
        <f aca="false">IFERROR(INDEX('Route of Administration'!$D$5:$D$155,MATCH(B61,'Route of Administration'!$A$5:$A$155,0)),"")</f>
        <v>Yes</v>
      </c>
      <c r="AF61" s="19" t="n">
        <f aca="false">IF(V61&gt;0,ROUND(AVERAGEIFS('Shortlisted Drugs X Company (7)'!$N$3:$N$698,'Shortlisted Drugs X Company (7)'!$C$3:$C$698,$B61,'Shortlisted Drugs X Company (7)'!$E$3:$E$698,$S61,'Shortlisted Drugs X Company (7)'!$N$3:$N$698,"&gt;=0"),2),"")</f>
        <v>35.26</v>
      </c>
      <c r="AG61" s="16" t="s">
        <v>439</v>
      </c>
      <c r="AH61" s="16" t="s">
        <v>247</v>
      </c>
      <c r="AI61" s="16" t="s">
        <v>247</v>
      </c>
      <c r="AJ61" s="16" t="str">
        <f aca="false">IF(O61&lt;&gt;"","",IF(ISNUMBER(D61),IF(D61&gt;=$C$3,"High price","Lower price"),"Unpriced")&amp;" · "&amp;IF(M61&gt;=$E$3,"high volume","lower volume"))</f>
        <v>High price · lower volume</v>
      </c>
      <c r="AK61" s="15" t="str">
        <f aca="false">IF(O61&lt;&gt;"",IF(O61="Price ≤ $5","Excluded – price ≤ $5","Excluded – IV only"),IF(ISNUMBER(D61),IF(AND(D61&gt;=$C$3,L61&gt;=$H$3),"Priority 1",IF(OR(D61&gt;=$C$3,L61&gt;=$H$3),"Priority 2","Priority 3")),IF(L61&gt;=$H$3,"Priority 2","Priority 3")))</f>
        <v>Priority 2</v>
      </c>
      <c r="AL61" s="16" t="str">
        <f aca="false">IF(O61&lt;&gt;"","",IF(ISNUMBER(D61),IF(D61&gt;=$C$3,"High price","Lower price"),"Unpriced")&amp;" · "&amp;IF(L61&gt;=$H$3,"high volume","lower volume"))</f>
        <v>High price · lower volume</v>
      </c>
      <c r="AM61" s="14" t="n">
        <f aca="false">IF(O61&lt;&gt;"","",COUNTIFS($A$29:$A$361,A61,$O$29:$O$361,"",$AQ$29:$AQ$361,"&gt;"&amp;AQ61)+COUNTIFS($A$29:A61,A61,$O$29:O61,"",$AQ$29:AQ61,AQ61))</f>
        <v>15</v>
      </c>
      <c r="AN61" s="19" t="n">
        <f aca="false">IF(AND(O61="",ISNUMBER(D61)),D61,"")</f>
        <v>35.26</v>
      </c>
      <c r="AO61" s="20" t="n">
        <f aca="false">IF(O61="",M61,"")</f>
        <v>41</v>
      </c>
      <c r="AP61" s="20" t="n">
        <f aca="false">IF(O61="",L61,"")</f>
        <v>122</v>
      </c>
      <c r="AQ61" s="33" t="n">
        <f aca="false">IF(O61&lt;&gt;"","",(4-VALUE(RIGHT(AK61,1)))*10^7+N(N61))</f>
        <v>20008000.57</v>
      </c>
      <c r="AR61" s="33" t="n">
        <f aca="false">INDEX($O$7:$O$25,MATCH(A61,$I$7:$I$25,0))</f>
        <v>2</v>
      </c>
      <c r="AS61" s="33" t="n">
        <f aca="false">IF(AE61="No","",AR61*1000+IF(AM61="",900+COUNTIFS($A$29:A61,A61,$O$29:O61,"Price ≤ $5"),AM61))</f>
        <v>2015</v>
      </c>
    </row>
    <row r="62" customFormat="false" ht="28.35" hidden="false" customHeight="false" outlineLevel="0" collapsed="false">
      <c r="A62" s="15" t="s">
        <v>187</v>
      </c>
      <c r="B62" s="15" t="s">
        <v>444</v>
      </c>
      <c r="C62" s="16" t="s">
        <v>445</v>
      </c>
      <c r="D62" s="17" t="n">
        <f aca="false">IF(W62&gt;0,ROUND(AVERAGEIFS('Shortlisted Drugs X Company (7)'!$N$3:$N$698,'Shortlisted Drugs X Company (7)'!$C$3:$C$698,$B62,'Shortlisted Drugs X Company (7)'!$E$3:$E$698,$S62,'Shortlisted Drugs X Company (7)'!$N$3:$N$698,"&gt;5"),2),"")</f>
        <v>95.2</v>
      </c>
      <c r="E62" s="15" t="str">
        <f aca="false">IF(COUNTIFS('Shortlisted Drugs X Company (7)'!$C$3:$C$698,$B62,'Shortlisted Drugs X Company (7)'!$E$3:$E$698,$S62,'Shortlisted Drugs X Company (7)'!$P$3:$P$698,"Exact")&gt;0,"Exact",IF(COUNTIFS('Shortlisted Drugs X Company (7)'!$C$3:$C$698,$B62,'Shortlisted Drugs X Company (7)'!$E$3:$E$698,$S62,'Shortlisted Drugs X Company (7)'!$P$3:$P$698,"Same-market proxy")&gt;0,"Same-market proxy",IF(COUNTIFS('Shortlisted Drugs X Company (7)'!$C$3:$C$698,$B62,'Shortlisted Drugs X Company (7)'!$E$3:$E$698,$S62,'Shortlisted Drugs X Company (7)'!$P$3:$P$698,"Cross-market proxy")&gt;0,"Cross-market proxy",IF(COUNTIFS('Shortlisted Drugs X Company (7)'!$C$3:$C$698,$B62,'Shortlisted Drugs X Company (7)'!$E$3:$E$698,$S62,'Shortlisted Drugs X Company (7)'!$P$3:$P$698,"Source not found")&gt;0,"Source not found","Not priced"))))</f>
        <v>Cross-market proxy</v>
      </c>
      <c r="F62" s="18" t="n">
        <f aca="false">IFERROR(ROUND(INDEX('Injectable Value'!$AA$28:$AA$178,MATCH(B62,'Injectable Value'!$A$28:$A$178,0)),1),"")</f>
        <v>2886</v>
      </c>
      <c r="G62" s="16" t="s">
        <v>446</v>
      </c>
      <c r="H62" s="14" t="n">
        <v>3</v>
      </c>
      <c r="I62" s="15" t="s">
        <v>248</v>
      </c>
      <c r="J62" s="15" t="s">
        <v>299</v>
      </c>
      <c r="K62" s="16" t="str">
        <f aca="false">"Cancer drug (cytotoxic) – less relevant; Reconstitution"&amp;IF(V62=0,"; Unpriced","")&amp;IF(AND(V62&gt;0,W62=0,X62=0),"; Low price from another market – confirm with company","")</f>
        <v>Cancer drug (cytotoxic) – less relevant; Reconstitution</v>
      </c>
      <c r="L62" s="18" t="n">
        <f aca="false">IFERROR(INDEX('Shortlisted Drugs X Company (7)'!$K$3:$K$698,MATCH(B62,'Shortlisted Drugs X Company (7)'!$C$3:$C$698,0)),"")</f>
        <v>257</v>
      </c>
      <c r="M62" s="18" t="n">
        <f aca="false">IFERROR(ROUND(L62*INDEX('Injectable Value'!$Z$28:$Z$178,MATCH(B62,'Injectable Value'!$A$28:$A$178,0)),0),"")</f>
        <v>177</v>
      </c>
      <c r="N62" s="18" t="n">
        <f aca="false">IFERROR(INDEX('Shortlisted Drugs X Company (7)'!$L$3:$L$698,MATCH(B62,'Shortlisted Drugs X Company (7)'!$C$3:$C$698,0)),"")</f>
        <v>4183.29</v>
      </c>
      <c r="O62" s="15" t="str">
        <f aca="false">IF(AE62="No","IV only (not ID/IM/SC)",IF(AND(V62&gt;0,W62=0),"Price ≤ $5",""))</f>
        <v>IV only (not ID/IM/SC)</v>
      </c>
      <c r="P62" s="14" t="str">
        <f aca="false">IF(O62&lt;&gt;"","",COUNTIFS($A$29:$A$361,A62,$O$29:$O$361,"",$AC$29:$AC$361,"&gt;"&amp;AC62)+COUNTIFS($A$29:A62,A62,$O$29:O62,"",$AC$29:AC62,AC62))</f>
        <v/>
      </c>
      <c r="Q62" s="15" t="str">
        <f aca="false">IF(O62&lt;&gt;"",IF(O62="Price ≤ $5","Excluded – price ≤ $5","Excluded – IV only"),IF(ISNUMBER(D62),IF(AND(D62&gt;=$C$3,M62&gt;=$E$3),"Priority 1",IF(OR(D62&gt;=$C$3,M62&gt;=$E$3),"Priority 2","Priority 3")),IF(M62&gt;=$E$3,"Priority 2","Priority 3")))</f>
        <v>Excluded – IV only</v>
      </c>
      <c r="R62" s="16" t="s">
        <v>250</v>
      </c>
      <c r="S62" s="15" t="s">
        <v>286</v>
      </c>
      <c r="T62" s="32" t="s">
        <v>447</v>
      </c>
      <c r="U62" s="33" t="str">
        <f aca="false">B62&amp;"|"&amp;S62</f>
        <v>Melphalan|Aurobindo Pharma</v>
      </c>
      <c r="V62" s="34" t="n">
        <f aca="false">COUNTIFS('Shortlisted Drugs X Company (7)'!$C$3:$C$698,$B62,'Shortlisted Drugs X Company (7)'!$E$3:$E$698,$S62,'Shortlisted Drugs X Company (7)'!$N$3:$N$698,"&gt;=0")</f>
        <v>1</v>
      </c>
      <c r="W62" s="34" t="n">
        <f aca="false">COUNTIFS('Shortlisted Drugs X Company (7)'!$C$3:$C$698,$B62,'Shortlisted Drugs X Company (7)'!$E$3:$E$698,$S62,'Shortlisted Drugs X Company (7)'!$N$3:$N$698,"&gt;5")</f>
        <v>1</v>
      </c>
      <c r="X62" s="34" t="n">
        <f aca="false">COUNTIFS('Shortlisted Drugs X Company (7)'!$C$3:$C$698,$B62,'Shortlisted Drugs X Company (7)'!$E$3:$E$698,$S62,'Shortlisted Drugs X Company (7)'!$P$3:$P$698,"Exact")+COUNTIFS('Shortlisted Drugs X Company (7)'!$C$3:$C$698,$B62,'Shortlisted Drugs X Company (7)'!$E$3:$E$698,$S62,'Shortlisted Drugs X Company (7)'!$P$3:$P$698,"Same-market proxy")</f>
        <v>0</v>
      </c>
      <c r="Y62" s="33" t="str">
        <f aca="false">A62&amp;"|"&amp;P62</f>
        <v>Aurobindo|</v>
      </c>
      <c r="Z62" s="16" t="s">
        <v>448</v>
      </c>
      <c r="AA62" s="33" t="n">
        <f aca="false">INDEX($G$7:$G$25,MATCH(A62,$A$7:$A$25,0))</f>
        <v>2</v>
      </c>
      <c r="AB62" s="33" t="str">
        <f aca="false">IF(AE62="No","",AA62*1000+IF(P62="",900+COUNTIFS($A$29:A62,A62,$O$29:O62,"Price ≤ $5"),P62))</f>
        <v/>
      </c>
      <c r="AC62" s="33" t="str">
        <f aca="false">IF(O62&lt;&gt;"","",(4-VALUE(RIGHT(Q62,1)))*10^7+N(F62))</f>
        <v/>
      </c>
      <c r="AD62" s="15" t="str">
        <f aca="false">IFERROR(INDEX('Route of Administration'!$C$5:$C$155,MATCH(B62,'Route of Administration'!$A$5:$A$155,0)),"")</f>
        <v>IV</v>
      </c>
      <c r="AE62" s="14" t="str">
        <f aca="false">IFERROR(INDEX('Route of Administration'!$D$5:$D$155,MATCH(B62,'Route of Administration'!$A$5:$A$155,0)),"")</f>
        <v>No</v>
      </c>
      <c r="AF62" s="19" t="n">
        <f aca="false">IF(V62&gt;0,ROUND(AVERAGEIFS('Shortlisted Drugs X Company (7)'!$N$3:$N$698,'Shortlisted Drugs X Company (7)'!$C$3:$C$698,$B62,'Shortlisted Drugs X Company (7)'!$E$3:$E$698,$S62,'Shortlisted Drugs X Company (7)'!$N$3:$N$698,"&gt;=0"),2),"")</f>
        <v>95.2</v>
      </c>
      <c r="AG62" s="16" t="s">
        <v>449</v>
      </c>
      <c r="AH62" s="16" t="s">
        <v>450</v>
      </c>
      <c r="AI62" s="16" t="s">
        <v>450</v>
      </c>
      <c r="AJ62" s="16" t="str">
        <f aca="false">IF(O62&lt;&gt;"","",IF(ISNUMBER(D62),IF(D62&gt;=$C$3,"High price","Lower price"),"Unpriced")&amp;" · "&amp;IF(M62&gt;=$E$3,"high volume","lower volume"))</f>
        <v/>
      </c>
      <c r="AK62" s="15" t="str">
        <f aca="false">IF(O62&lt;&gt;"",IF(O62="Price ≤ $5","Excluded – price ≤ $5","Excluded – IV only"),IF(ISNUMBER(D62),IF(AND(D62&gt;=$C$3,L62&gt;=$H$3),"Priority 1",IF(OR(D62&gt;=$C$3,L62&gt;=$H$3),"Priority 2","Priority 3")),IF(L62&gt;=$H$3,"Priority 2","Priority 3")))</f>
        <v>Excluded – IV only</v>
      </c>
      <c r="AL62" s="16" t="str">
        <f aca="false">IF(O62&lt;&gt;"","",IF(ISNUMBER(D62),IF(D62&gt;=$C$3,"High price","Lower price"),"Unpriced")&amp;" · "&amp;IF(L62&gt;=$H$3,"high volume","lower volume"))</f>
        <v/>
      </c>
      <c r="AM62" s="14" t="str">
        <f aca="false">IF(O62&lt;&gt;"","",COUNTIFS($A$29:$A$361,A62,$O$29:$O$361,"",$AQ$29:$AQ$361,"&gt;"&amp;AQ62)+COUNTIFS($A$29:A62,A62,$O$29:O62,"",$AQ$29:AQ62,AQ62))</f>
        <v/>
      </c>
      <c r="AN62" s="33" t="str">
        <f aca="false">IF(AND(O62="",ISNUMBER(D62)),D62,"")</f>
        <v/>
      </c>
      <c r="AO62" s="33" t="str">
        <f aca="false">IF(O62="",M62,"")</f>
        <v/>
      </c>
      <c r="AP62" s="33" t="str">
        <f aca="false">IF(O62="",L62,"")</f>
        <v/>
      </c>
      <c r="AQ62" s="33" t="str">
        <f aca="false">IF(O62&lt;&gt;"","",(4-VALUE(RIGHT(AK62,1)))*10^7+N(N62))</f>
        <v/>
      </c>
      <c r="AR62" s="33" t="n">
        <f aca="false">INDEX($O$7:$O$25,MATCH(A62,$I$7:$I$25,0))</f>
        <v>2</v>
      </c>
      <c r="AS62" s="33" t="str">
        <f aca="false">IF(AE62="No","",AR62*1000+IF(AM62="",900+COUNTIFS($A$29:A62,A62,$O$29:O62,"Price ≤ $5"),AM62))</f>
        <v/>
      </c>
    </row>
    <row r="63" customFormat="false" ht="41.75" hidden="false" customHeight="false" outlineLevel="0" collapsed="false">
      <c r="A63" s="15" t="s">
        <v>187</v>
      </c>
      <c r="B63" s="15" t="s">
        <v>451</v>
      </c>
      <c r="C63" s="16" t="s">
        <v>452</v>
      </c>
      <c r="D63" s="17" t="n">
        <f aca="false">IF(W63&gt;0,ROUND(AVERAGEIFS('Shortlisted Drugs X Company (7)'!$N$3:$N$698,'Shortlisted Drugs X Company (7)'!$C$3:$C$698,$B63,'Shortlisted Drugs X Company (7)'!$E$3:$E$698,$S63,'Shortlisted Drugs X Company (7)'!$N$3:$N$698,"&gt;5"),2),"")</f>
        <v>20.14</v>
      </c>
      <c r="E63" s="15" t="str">
        <f aca="false">IF(COUNTIFS('Shortlisted Drugs X Company (7)'!$C$3:$C$698,$B63,'Shortlisted Drugs X Company (7)'!$E$3:$E$698,$S63,'Shortlisted Drugs X Company (7)'!$P$3:$P$698,"Exact")&gt;0,"Exact",IF(COUNTIFS('Shortlisted Drugs X Company (7)'!$C$3:$C$698,$B63,'Shortlisted Drugs X Company (7)'!$E$3:$E$698,$S63,'Shortlisted Drugs X Company (7)'!$P$3:$P$698,"Same-market proxy")&gt;0,"Same-market proxy",IF(COUNTIFS('Shortlisted Drugs X Company (7)'!$C$3:$C$698,$B63,'Shortlisted Drugs X Company (7)'!$E$3:$E$698,$S63,'Shortlisted Drugs X Company (7)'!$P$3:$P$698,"Cross-market proxy")&gt;0,"Cross-market proxy",IF(COUNTIFS('Shortlisted Drugs X Company (7)'!$C$3:$C$698,$B63,'Shortlisted Drugs X Company (7)'!$E$3:$E$698,$S63,'Shortlisted Drugs X Company (7)'!$P$3:$P$698,"Source not found")&gt;0,"Source not found","Not priced"))))</f>
        <v>Exact</v>
      </c>
      <c r="F63" s="18" t="n">
        <f aca="false">IFERROR(ROUND(INDEX('Injectable Value'!$AA$28:$AA$178,MATCH(B63,'Injectable Value'!$A$28:$A$178,0)),1),"")</f>
        <v>58920.4</v>
      </c>
      <c r="G63" s="16" t="s">
        <v>453</v>
      </c>
      <c r="H63" s="14" t="n">
        <v>10</v>
      </c>
      <c r="I63" s="15" t="s">
        <v>248</v>
      </c>
      <c r="J63" s="15" t="s">
        <v>324</v>
      </c>
      <c r="K63" s="16" t="str">
        <f aca="false">"Reconstitution"&amp;IF(V63=0,"; Unpriced","")&amp;IF(AND(V63&gt;0,W63=0,X63=0),"; Low price from another market – confirm with company","")</f>
        <v>Reconstitution</v>
      </c>
      <c r="L63" s="18" t="n">
        <f aca="false">IFERROR(INDEX('Shortlisted Drugs X Company (7)'!$K$3:$K$698,MATCH(B63,'Shortlisted Drugs X Company (7)'!$C$3:$C$698,0)),"")</f>
        <v>1185</v>
      </c>
      <c r="M63" s="18" t="n">
        <f aca="false">IFERROR(ROUND(L63*INDEX('Injectable Value'!$Z$28:$Z$178,MATCH(B63,'Injectable Value'!$A$28:$A$178,0)),0),"")</f>
        <v>1175</v>
      </c>
      <c r="N63" s="18" t="n">
        <f aca="false">IFERROR(INDEX('Shortlisted Drugs X Company (7)'!$L$3:$L$698,MATCH(B63,'Shortlisted Drugs X Company (7)'!$C$3:$C$698,0)),"")</f>
        <v>59407.06</v>
      </c>
      <c r="O63" s="15" t="str">
        <f aca="false">IF(AE63="No","IV only (not ID/IM/SC)",IF(AND(V63&gt;0,W63=0),"Price ≤ $5",""))</f>
        <v>IV only (not ID/IM/SC)</v>
      </c>
      <c r="P63" s="14" t="str">
        <f aca="false">IF(O63&lt;&gt;"","",COUNTIFS($A$29:$A$361,A63,$O$29:$O$361,"",$AC$29:$AC$361,"&gt;"&amp;AC63)+COUNTIFS($A$29:A63,A63,$O$29:O63,"",$AC$29:AC63,AC63))</f>
        <v/>
      </c>
      <c r="Q63" s="15" t="str">
        <f aca="false">IF(O63&lt;&gt;"",IF(O63="Price ≤ $5","Excluded – price ≤ $5","Excluded – IV only"),IF(ISNUMBER(D63),IF(AND(D63&gt;=$C$3,M63&gt;=$E$3),"Priority 1",IF(OR(D63&gt;=$C$3,M63&gt;=$E$3),"Priority 2","Priority 3")),IF(M63&gt;=$E$3,"Priority 2","Priority 3")))</f>
        <v>Excluded – IV only</v>
      </c>
      <c r="R63" s="16" t="s">
        <v>250</v>
      </c>
      <c r="S63" s="15" t="s">
        <v>286</v>
      </c>
      <c r="T63" s="32" t="s">
        <v>454</v>
      </c>
      <c r="U63" s="33" t="str">
        <f aca="false">B63&amp;"|"&amp;S63</f>
        <v>Meropenem|Aurobindo Pharma</v>
      </c>
      <c r="V63" s="34" t="n">
        <f aca="false">COUNTIFS('Shortlisted Drugs X Company (7)'!$C$3:$C$698,$B63,'Shortlisted Drugs X Company (7)'!$E$3:$E$698,$S63,'Shortlisted Drugs X Company (7)'!$N$3:$N$698,"&gt;=0")</f>
        <v>7</v>
      </c>
      <c r="W63" s="34" t="n">
        <f aca="false">COUNTIFS('Shortlisted Drugs X Company (7)'!$C$3:$C$698,$B63,'Shortlisted Drugs X Company (7)'!$E$3:$E$698,$S63,'Shortlisted Drugs X Company (7)'!$N$3:$N$698,"&gt;5")</f>
        <v>7</v>
      </c>
      <c r="X63" s="34" t="n">
        <f aca="false">COUNTIFS('Shortlisted Drugs X Company (7)'!$C$3:$C$698,$B63,'Shortlisted Drugs X Company (7)'!$E$3:$E$698,$S63,'Shortlisted Drugs X Company (7)'!$P$3:$P$698,"Exact")+COUNTIFS('Shortlisted Drugs X Company (7)'!$C$3:$C$698,$B63,'Shortlisted Drugs X Company (7)'!$E$3:$E$698,$S63,'Shortlisted Drugs X Company (7)'!$P$3:$P$698,"Same-market proxy")</f>
        <v>7</v>
      </c>
      <c r="Y63" s="33" t="str">
        <f aca="false">A63&amp;"|"&amp;P63</f>
        <v>Aurobindo|</v>
      </c>
      <c r="Z63" s="16" t="s">
        <v>455</v>
      </c>
      <c r="AA63" s="33" t="n">
        <f aca="false">INDEX($G$7:$G$25,MATCH(A63,$A$7:$A$25,0))</f>
        <v>2</v>
      </c>
      <c r="AB63" s="33" t="str">
        <f aca="false">IF(AE63="No","",AA63*1000+IF(P63="",900+COUNTIFS($A$29:A63,A63,$O$29:O63,"Price ≤ $5"),P63))</f>
        <v/>
      </c>
      <c r="AC63" s="33" t="str">
        <f aca="false">IF(O63&lt;&gt;"","",(4-VALUE(RIGHT(Q63,1)))*10^7+N(F63))</f>
        <v/>
      </c>
      <c r="AD63" s="15" t="str">
        <f aca="false">IFERROR(INDEX('Route of Administration'!$C$5:$C$155,MATCH(B63,'Route of Administration'!$A$5:$A$155,0)),"")</f>
        <v>IV</v>
      </c>
      <c r="AE63" s="14" t="str">
        <f aca="false">IFERROR(INDEX('Route of Administration'!$D$5:$D$155,MATCH(B63,'Route of Administration'!$A$5:$A$155,0)),"")</f>
        <v>No</v>
      </c>
      <c r="AF63" s="19" t="n">
        <f aca="false">IF(V63&gt;0,ROUND(AVERAGEIFS('Shortlisted Drugs X Company (7)'!$N$3:$N$698,'Shortlisted Drugs X Company (7)'!$C$3:$C$698,$B63,'Shortlisted Drugs X Company (7)'!$E$3:$E$698,$S63,'Shortlisted Drugs X Company (7)'!$N$3:$N$698,"&gt;=0"),2),"")</f>
        <v>20.14</v>
      </c>
      <c r="AG63" s="16" t="s">
        <v>456</v>
      </c>
      <c r="AH63" s="16" t="s">
        <v>457</v>
      </c>
      <c r="AI63" s="16" t="s">
        <v>458</v>
      </c>
      <c r="AJ63" s="16" t="str">
        <f aca="false">IF(O63&lt;&gt;"","",IF(ISNUMBER(D63),IF(D63&gt;=$C$3,"High price","Lower price"),"Unpriced")&amp;" · "&amp;IF(M63&gt;=$E$3,"high volume","lower volume"))</f>
        <v/>
      </c>
      <c r="AK63" s="15" t="str">
        <f aca="false">IF(O63&lt;&gt;"",IF(O63="Price ≤ $5","Excluded – price ≤ $5","Excluded – IV only"),IF(ISNUMBER(D63),IF(AND(D63&gt;=$C$3,L63&gt;=$H$3),"Priority 1",IF(OR(D63&gt;=$C$3,L63&gt;=$H$3),"Priority 2","Priority 3")),IF(L63&gt;=$H$3,"Priority 2","Priority 3")))</f>
        <v>Excluded – IV only</v>
      </c>
      <c r="AL63" s="16" t="str">
        <f aca="false">IF(O63&lt;&gt;"","",IF(ISNUMBER(D63),IF(D63&gt;=$C$3,"High price","Lower price"),"Unpriced")&amp;" · "&amp;IF(L63&gt;=$H$3,"high volume","lower volume"))</f>
        <v/>
      </c>
      <c r="AM63" s="14" t="str">
        <f aca="false">IF(O63&lt;&gt;"","",COUNTIFS($A$29:$A$361,A63,$O$29:$O$361,"",$AQ$29:$AQ$361,"&gt;"&amp;AQ63)+COUNTIFS($A$29:A63,A63,$O$29:O63,"",$AQ$29:AQ63,AQ63))</f>
        <v/>
      </c>
      <c r="AN63" s="33" t="str">
        <f aca="false">IF(AND(O63="",ISNUMBER(D63)),D63,"")</f>
        <v/>
      </c>
      <c r="AO63" s="33" t="str">
        <f aca="false">IF(O63="",M63,"")</f>
        <v/>
      </c>
      <c r="AP63" s="33" t="str">
        <f aca="false">IF(O63="",L63,"")</f>
        <v/>
      </c>
      <c r="AQ63" s="33" t="str">
        <f aca="false">IF(O63&lt;&gt;"","",(4-VALUE(RIGHT(AK63,1)))*10^7+N(N63))</f>
        <v/>
      </c>
      <c r="AR63" s="33" t="n">
        <f aca="false">INDEX($O$7:$O$25,MATCH(A63,$I$7:$I$25,0))</f>
        <v>2</v>
      </c>
      <c r="AS63" s="33" t="str">
        <f aca="false">IF(AE63="No","",AR63*1000+IF(AM63="",900+COUNTIFS($A$29:A63,A63,$O$29:O63,"Price ≤ $5"),AM63))</f>
        <v/>
      </c>
    </row>
    <row r="64" customFormat="false" ht="41.75" hidden="false" customHeight="false" outlineLevel="0" collapsed="false">
      <c r="A64" s="15" t="s">
        <v>187</v>
      </c>
      <c r="B64" s="15" t="s">
        <v>459</v>
      </c>
      <c r="C64" s="16" t="s">
        <v>460</v>
      </c>
      <c r="D64" s="17" t="n">
        <f aca="false">IF(W64&gt;0,ROUND(AVERAGEIFS('Shortlisted Drugs X Company (7)'!$N$3:$N$698,'Shortlisted Drugs X Company (7)'!$C$3:$C$698,$B64,'Shortlisted Drugs X Company (7)'!$E$3:$E$698,$S64,'Shortlisted Drugs X Company (7)'!$N$3:$N$698,"&gt;5"),2),"")</f>
        <v>22.25</v>
      </c>
      <c r="E64" s="15" t="str">
        <f aca="false">IF(COUNTIFS('Shortlisted Drugs X Company (7)'!$C$3:$C$698,$B64,'Shortlisted Drugs X Company (7)'!$E$3:$E$698,$S64,'Shortlisted Drugs X Company (7)'!$P$3:$P$698,"Exact")&gt;0,"Exact",IF(COUNTIFS('Shortlisted Drugs X Company (7)'!$C$3:$C$698,$B64,'Shortlisted Drugs X Company (7)'!$E$3:$E$698,$S64,'Shortlisted Drugs X Company (7)'!$P$3:$P$698,"Same-market proxy")&gt;0,"Same-market proxy",IF(COUNTIFS('Shortlisted Drugs X Company (7)'!$C$3:$C$698,$B64,'Shortlisted Drugs X Company (7)'!$E$3:$E$698,$S64,'Shortlisted Drugs X Company (7)'!$P$3:$P$698,"Cross-market proxy")&gt;0,"Cross-market proxy",IF(COUNTIFS('Shortlisted Drugs X Company (7)'!$C$3:$C$698,$B64,'Shortlisted Drugs X Company (7)'!$E$3:$E$698,$S64,'Shortlisted Drugs X Company (7)'!$P$3:$P$698,"Source not found")&gt;0,"Source not found","Not priced"))))</f>
        <v>Same-market proxy</v>
      </c>
      <c r="F64" s="18" t="n">
        <f aca="false">IFERROR(ROUND(INDEX('Injectable Value'!$AA$28:$AA$178,MATCH(B64,'Injectable Value'!$A$28:$A$178,0)),1),"")</f>
        <v>484.3</v>
      </c>
      <c r="G64" s="16" t="s">
        <v>247</v>
      </c>
      <c r="H64" s="14" t="n">
        <v>1</v>
      </c>
      <c r="I64" s="15" t="s">
        <v>248</v>
      </c>
      <c r="J64" s="15" t="s">
        <v>249</v>
      </c>
      <c r="K64" s="16" t="str">
        <f aca="false">""&amp;IF(V64=0,"Unpriced","")&amp;IF(AND(V64&gt;0,W64=0,X64=0),"Low price from another market – confirm with company","")</f>
        <v/>
      </c>
      <c r="L64" s="18" t="n">
        <f aca="false">IFERROR(INDEX('Shortlisted Drugs X Company (7)'!$K$3:$K$698,MATCH(B64,'Shortlisted Drugs X Company (7)'!$C$3:$C$698,0)),"")</f>
        <v>305</v>
      </c>
      <c r="M64" s="18" t="n">
        <f aca="false">IFERROR(ROUND(L64*INDEX('Injectable Value'!$Z$28:$Z$178,MATCH(B64,'Injectable Value'!$A$28:$A$178,0)),0),"")</f>
        <v>210</v>
      </c>
      <c r="N64" s="18" t="n">
        <f aca="false">IFERROR(INDEX('Shortlisted Drugs X Company (7)'!$L$3:$L$698,MATCH(B64,'Shortlisted Drugs X Company (7)'!$C$3:$C$698,0)),"")</f>
        <v>703.44</v>
      </c>
      <c r="O64" s="15" t="str">
        <f aca="false">IF(AE64="No","IV only (not ID/IM/SC)",IF(AND(V64&gt;0,W64=0),"Price ≤ $5",""))</f>
        <v>IV only (not ID/IM/SC)</v>
      </c>
      <c r="P64" s="14" t="str">
        <f aca="false">IF(O64&lt;&gt;"","",COUNTIFS($A$29:$A$361,A64,$O$29:$O$361,"",$AC$29:$AC$361,"&gt;"&amp;AC64)+COUNTIFS($A$29:A64,A64,$O$29:O64,"",$AC$29:AC64,AC64))</f>
        <v/>
      </c>
      <c r="Q64" s="15" t="str">
        <f aca="false">IF(O64&lt;&gt;"",IF(O64="Price ≤ $5","Excluded – price ≤ $5","Excluded – IV only"),IF(ISNUMBER(D64),IF(AND(D64&gt;=$C$3,M64&gt;=$E$3),"Priority 1",IF(OR(D64&gt;=$C$3,M64&gt;=$E$3),"Priority 2","Priority 3")),IF(M64&gt;=$E$3,"Priority 2","Priority 3")))</f>
        <v>Excluded – IV only</v>
      </c>
      <c r="R64" s="16" t="s">
        <v>285</v>
      </c>
      <c r="S64" s="15" t="s">
        <v>286</v>
      </c>
      <c r="T64" s="32" t="s">
        <v>461</v>
      </c>
      <c r="U64" s="33" t="str">
        <f aca="false">B64&amp;"|"&amp;S64</f>
        <v>Mesna|Aurobindo Pharma</v>
      </c>
      <c r="V64" s="34" t="n">
        <f aca="false">COUNTIFS('Shortlisted Drugs X Company (7)'!$C$3:$C$698,$B64,'Shortlisted Drugs X Company (7)'!$E$3:$E$698,$S64,'Shortlisted Drugs X Company (7)'!$N$3:$N$698,"&gt;=0")</f>
        <v>1</v>
      </c>
      <c r="W64" s="34" t="n">
        <f aca="false">COUNTIFS('Shortlisted Drugs X Company (7)'!$C$3:$C$698,$B64,'Shortlisted Drugs X Company (7)'!$E$3:$E$698,$S64,'Shortlisted Drugs X Company (7)'!$N$3:$N$698,"&gt;5")</f>
        <v>1</v>
      </c>
      <c r="X64" s="34" t="n">
        <f aca="false">COUNTIFS('Shortlisted Drugs X Company (7)'!$C$3:$C$698,$B64,'Shortlisted Drugs X Company (7)'!$E$3:$E$698,$S64,'Shortlisted Drugs X Company (7)'!$P$3:$P$698,"Exact")+COUNTIFS('Shortlisted Drugs X Company (7)'!$C$3:$C$698,$B64,'Shortlisted Drugs X Company (7)'!$E$3:$E$698,$S64,'Shortlisted Drugs X Company (7)'!$P$3:$P$698,"Same-market proxy")</f>
        <v>1</v>
      </c>
      <c r="Y64" s="33" t="str">
        <f aca="false">A64&amp;"|"&amp;P64</f>
        <v>Aurobindo|</v>
      </c>
      <c r="Z64" s="16" t="s">
        <v>462</v>
      </c>
      <c r="AA64" s="33" t="n">
        <f aca="false">INDEX($G$7:$G$25,MATCH(A64,$A$7:$A$25,0))</f>
        <v>2</v>
      </c>
      <c r="AB64" s="33" t="str">
        <f aca="false">IF(AE64="No","",AA64*1000+IF(P64="",900+COUNTIFS($A$29:A64,A64,$O$29:O64,"Price ≤ $5"),P64))</f>
        <v/>
      </c>
      <c r="AC64" s="33" t="str">
        <f aca="false">IF(O64&lt;&gt;"","",(4-VALUE(RIGHT(Q64,1)))*10^7+N(F64))</f>
        <v/>
      </c>
      <c r="AD64" s="15" t="str">
        <f aca="false">IFERROR(INDEX('Route of Administration'!$C$5:$C$155,MATCH(B64,'Route of Administration'!$A$5:$A$155,0)),"")</f>
        <v>IV</v>
      </c>
      <c r="AE64" s="14" t="str">
        <f aca="false">IFERROR(INDEX('Route of Administration'!$D$5:$D$155,MATCH(B64,'Route of Administration'!$A$5:$A$155,0)),"")</f>
        <v>No</v>
      </c>
      <c r="AF64" s="19" t="n">
        <f aca="false">IF(V64&gt;0,ROUND(AVERAGEIFS('Shortlisted Drugs X Company (7)'!$N$3:$N$698,'Shortlisted Drugs X Company (7)'!$C$3:$C$698,$B64,'Shortlisted Drugs X Company (7)'!$E$3:$E$698,$S64,'Shortlisted Drugs X Company (7)'!$N$3:$N$698,"&gt;=0"),2),"")</f>
        <v>22.25</v>
      </c>
      <c r="AG64" s="16" t="s">
        <v>459</v>
      </c>
      <c r="AH64" s="16" t="s">
        <v>247</v>
      </c>
      <c r="AI64" s="16" t="s">
        <v>247</v>
      </c>
      <c r="AJ64" s="16" t="str">
        <f aca="false">IF(O64&lt;&gt;"","",IF(ISNUMBER(D64),IF(D64&gt;=$C$3,"High price","Lower price"),"Unpriced")&amp;" · "&amp;IF(M64&gt;=$E$3,"high volume","lower volume"))</f>
        <v/>
      </c>
      <c r="AK64" s="15" t="str">
        <f aca="false">IF(O64&lt;&gt;"",IF(O64="Price ≤ $5","Excluded – price ≤ $5","Excluded – IV only"),IF(ISNUMBER(D64),IF(AND(D64&gt;=$C$3,L64&gt;=$H$3),"Priority 1",IF(OR(D64&gt;=$C$3,L64&gt;=$H$3),"Priority 2","Priority 3")),IF(L64&gt;=$H$3,"Priority 2","Priority 3")))</f>
        <v>Excluded – IV only</v>
      </c>
      <c r="AL64" s="16" t="str">
        <f aca="false">IF(O64&lt;&gt;"","",IF(ISNUMBER(D64),IF(D64&gt;=$C$3,"High price","Lower price"),"Unpriced")&amp;" · "&amp;IF(L64&gt;=$H$3,"high volume","lower volume"))</f>
        <v/>
      </c>
      <c r="AM64" s="14" t="str">
        <f aca="false">IF(O64&lt;&gt;"","",COUNTIFS($A$29:$A$361,A64,$O$29:$O$361,"",$AQ$29:$AQ$361,"&gt;"&amp;AQ64)+COUNTIFS($A$29:A64,A64,$O$29:O64,"",$AQ$29:AQ64,AQ64))</f>
        <v/>
      </c>
      <c r="AN64" s="33" t="str">
        <f aca="false">IF(AND(O64="",ISNUMBER(D64)),D64,"")</f>
        <v/>
      </c>
      <c r="AO64" s="33" t="str">
        <f aca="false">IF(O64="",M64,"")</f>
        <v/>
      </c>
      <c r="AP64" s="33" t="str">
        <f aca="false">IF(O64="",L64,"")</f>
        <v/>
      </c>
      <c r="AQ64" s="33" t="str">
        <f aca="false">IF(O64&lt;&gt;"","",(4-VALUE(RIGHT(AK64,1)))*10^7+N(N64))</f>
        <v/>
      </c>
      <c r="AR64" s="33" t="n">
        <f aca="false">INDEX($O$7:$O$25,MATCH(A64,$I$7:$I$25,0))</f>
        <v>2</v>
      </c>
      <c r="AS64" s="33" t="str">
        <f aca="false">IF(AE64="No","",AR64*1000+IF(AM64="",900+COUNTIFS($A$29:A64,A64,$O$29:O64,"Price ≤ $5"),AM64))</f>
        <v/>
      </c>
    </row>
    <row r="65" customFormat="false" ht="55.2" hidden="false" customHeight="false" outlineLevel="0" collapsed="false">
      <c r="A65" s="15" t="s">
        <v>187</v>
      </c>
      <c r="B65" s="15" t="s">
        <v>266</v>
      </c>
      <c r="C65" s="16" t="s">
        <v>267</v>
      </c>
      <c r="D65" s="17" t="n">
        <f aca="false">IF(W65&gt;0,ROUND(AVERAGEIFS('Shortlisted Drugs X Company (7)'!$N$3:$N$698,'Shortlisted Drugs X Company (7)'!$C$3:$C$698,$B65,'Shortlisted Drugs X Company (7)'!$E$3:$E$698,$S65,'Shortlisted Drugs X Company (7)'!$N$3:$N$698,"&gt;5"),2),"")</f>
        <v>9.81</v>
      </c>
      <c r="E65" s="15" t="str">
        <f aca="false">IF(COUNTIFS('Shortlisted Drugs X Company (7)'!$C$3:$C$698,$B65,'Shortlisted Drugs X Company (7)'!$E$3:$E$698,$S65,'Shortlisted Drugs X Company (7)'!$P$3:$P$698,"Exact")&gt;0,"Exact",IF(COUNTIFS('Shortlisted Drugs X Company (7)'!$C$3:$C$698,$B65,'Shortlisted Drugs X Company (7)'!$E$3:$E$698,$S65,'Shortlisted Drugs X Company (7)'!$P$3:$P$698,"Same-market proxy")&gt;0,"Same-market proxy",IF(COUNTIFS('Shortlisted Drugs X Company (7)'!$C$3:$C$698,$B65,'Shortlisted Drugs X Company (7)'!$E$3:$E$698,$S65,'Shortlisted Drugs X Company (7)'!$P$3:$P$698,"Cross-market proxy")&gt;0,"Cross-market proxy",IF(COUNTIFS('Shortlisted Drugs X Company (7)'!$C$3:$C$698,$B65,'Shortlisted Drugs X Company (7)'!$E$3:$E$698,$S65,'Shortlisted Drugs X Company (7)'!$P$3:$P$698,"Source not found")&gt;0,"Source not found","Not priced"))))</f>
        <v>Same-market proxy</v>
      </c>
      <c r="F65" s="18" t="n">
        <f aca="false">IFERROR(ROUND(INDEX('Injectable Value'!$AA$28:$AA$178,MATCH(B65,'Injectable Value'!$A$28:$A$178,0)),1),"")</f>
        <v>13045.6</v>
      </c>
      <c r="G65" s="16" t="s">
        <v>247</v>
      </c>
      <c r="H65" s="14" t="n">
        <v>1</v>
      </c>
      <c r="I65" s="15" t="s">
        <v>248</v>
      </c>
      <c r="J65" s="15" t="s">
        <v>249</v>
      </c>
      <c r="K65" s="16" t="str">
        <f aca="false">"Cancer drug (cytotoxic) – less relevant"&amp;IF(V65=0,"; Unpriced","")&amp;IF(AND(V65&gt;0,W65=0,X65=0),"; Low price from another market – confirm with company","")</f>
        <v>Cancer drug (cytotoxic) – less relevant</v>
      </c>
      <c r="L65" s="18" t="n">
        <f aca="false">IFERROR(INDEX('Shortlisted Drugs X Company (7)'!$K$3:$K$698,MATCH(B65,'Shortlisted Drugs X Company (7)'!$C$3:$C$698,0)),"")</f>
        <v>1282</v>
      </c>
      <c r="M65" s="18" t="n">
        <f aca="false">IFERROR(ROUND(L65*INDEX('Injectable Value'!$Z$28:$Z$178,MATCH(B65,'Injectable Value'!$A$28:$A$178,0)),0),"")</f>
        <v>996</v>
      </c>
      <c r="N65" s="18" t="n">
        <f aca="false">IFERROR(INDEX('Shortlisted Drugs X Company (7)'!$L$3:$L$698,MATCH(B65,'Shortlisted Drugs X Company (7)'!$C$3:$C$698,0)),"")</f>
        <v>16792.84</v>
      </c>
      <c r="O65" s="15" t="str">
        <f aca="false">IF(AE65="No","IV only (not ID/IM/SC)",IF(AND(V65&gt;0,W65=0),"Price ≤ $5",""))</f>
        <v/>
      </c>
      <c r="P65" s="14" t="n">
        <f aca="false">IF(O65&lt;&gt;"","",COUNTIFS($A$29:$A$361,A65,$O$29:$O$361,"",$AC$29:$AC$361,"&gt;"&amp;AC65)+COUNTIFS($A$29:A65,A65,$O$29:O65,"",$AC$29:AC65,AC65))</f>
        <v>11</v>
      </c>
      <c r="Q65" s="15" t="str">
        <f aca="false">IF(O65&lt;&gt;"",IF(O65="Price ≤ $5","Excluded – price ≤ $5","Excluded – IV only"),IF(ISNUMBER(D65),IF(AND(D65&gt;=$C$3,M65&gt;=$E$3),"Priority 1",IF(OR(D65&gt;=$C$3,M65&gt;=$E$3),"Priority 2","Priority 3")),IF(M65&gt;=$E$3,"Priority 2","Priority 3")))</f>
        <v>Priority 2</v>
      </c>
      <c r="R65" s="16" t="s">
        <v>250</v>
      </c>
      <c r="S65" s="15" t="s">
        <v>286</v>
      </c>
      <c r="T65" s="32" t="s">
        <v>268</v>
      </c>
      <c r="U65" s="33" t="str">
        <f aca="false">B65&amp;"|"&amp;S65</f>
        <v>Methotrexate|Aurobindo Pharma</v>
      </c>
      <c r="V65" s="34" t="n">
        <f aca="false">COUNTIFS('Shortlisted Drugs X Company (7)'!$C$3:$C$698,$B65,'Shortlisted Drugs X Company (7)'!$E$3:$E$698,$S65,'Shortlisted Drugs X Company (7)'!$N$3:$N$698,"&gt;=0")</f>
        <v>3</v>
      </c>
      <c r="W65" s="34" t="n">
        <f aca="false">COUNTIFS('Shortlisted Drugs X Company (7)'!$C$3:$C$698,$B65,'Shortlisted Drugs X Company (7)'!$E$3:$E$698,$S65,'Shortlisted Drugs X Company (7)'!$N$3:$N$698,"&gt;5")</f>
        <v>3</v>
      </c>
      <c r="X65" s="34" t="n">
        <f aca="false">COUNTIFS('Shortlisted Drugs X Company (7)'!$C$3:$C$698,$B65,'Shortlisted Drugs X Company (7)'!$E$3:$E$698,$S65,'Shortlisted Drugs X Company (7)'!$P$3:$P$698,"Exact")+COUNTIFS('Shortlisted Drugs X Company (7)'!$C$3:$C$698,$B65,'Shortlisted Drugs X Company (7)'!$E$3:$E$698,$S65,'Shortlisted Drugs X Company (7)'!$P$3:$P$698,"Same-market proxy")</f>
        <v>3</v>
      </c>
      <c r="Y65" s="33" t="str">
        <f aca="false">A65&amp;"|"&amp;P65</f>
        <v>Aurobindo|11</v>
      </c>
      <c r="Z65" s="16" t="s">
        <v>463</v>
      </c>
      <c r="AA65" s="33" t="n">
        <f aca="false">INDEX($G$7:$G$25,MATCH(A65,$A$7:$A$25,0))</f>
        <v>2</v>
      </c>
      <c r="AB65" s="33" t="n">
        <f aca="false">IF(AE65="No","",AA65*1000+IF(P65="",900+COUNTIFS($A$29:A65,A65,$O$29:O65,"Price ≤ $5"),P65))</f>
        <v>2011</v>
      </c>
      <c r="AC65" s="33" t="n">
        <f aca="false">IF(O65&lt;&gt;"","",(4-VALUE(RIGHT(Q65,1)))*10^7+N(F65))</f>
        <v>20013045.6</v>
      </c>
      <c r="AD65" s="15" t="str">
        <f aca="false">IFERROR(INDEX('Route of Administration'!$C$5:$C$155,MATCH(B65,'Route of Administration'!$A$5:$A$155,0)),"")</f>
        <v>IV, IM, SC</v>
      </c>
      <c r="AE65" s="14" t="str">
        <f aca="false">IFERROR(INDEX('Route of Administration'!$D$5:$D$155,MATCH(B65,'Route of Administration'!$A$5:$A$155,0)),"")</f>
        <v>Yes</v>
      </c>
      <c r="AF65" s="19" t="n">
        <f aca="false">IF(V65&gt;0,ROUND(AVERAGEIFS('Shortlisted Drugs X Company (7)'!$N$3:$N$698,'Shortlisted Drugs X Company (7)'!$C$3:$C$698,$B65,'Shortlisted Drugs X Company (7)'!$E$3:$E$698,$S65,'Shortlisted Drugs X Company (7)'!$N$3:$N$698,"&gt;=0"),2),"")</f>
        <v>9.81</v>
      </c>
      <c r="AG65" s="16" t="s">
        <v>464</v>
      </c>
      <c r="AH65" s="16" t="s">
        <v>247</v>
      </c>
      <c r="AI65" s="16" t="s">
        <v>247</v>
      </c>
      <c r="AJ65" s="16" t="str">
        <f aca="false">IF(O65&lt;&gt;"","",IF(ISNUMBER(D65),IF(D65&gt;=$C$3,"High price","Lower price"),"Unpriced")&amp;" · "&amp;IF(M65&gt;=$E$3,"high volume","lower volume"))</f>
        <v>Lower price · high volume</v>
      </c>
      <c r="AK65" s="15" t="str">
        <f aca="false">IF(O65&lt;&gt;"",IF(O65="Price ≤ $5","Excluded – price ≤ $5","Excluded – IV only"),IF(ISNUMBER(D65),IF(AND(D65&gt;=$C$3,L65&gt;=$H$3),"Priority 1",IF(OR(D65&gt;=$C$3,L65&gt;=$H$3),"Priority 2","Priority 3")),IF(L65&gt;=$H$3,"Priority 2","Priority 3")))</f>
        <v>Priority 2</v>
      </c>
      <c r="AL65" s="16" t="str">
        <f aca="false">IF(O65&lt;&gt;"","",IF(ISNUMBER(D65),IF(D65&gt;=$C$3,"High price","Lower price"),"Unpriced")&amp;" · "&amp;IF(L65&gt;=$H$3,"high volume","lower volume"))</f>
        <v>Lower price · high volume</v>
      </c>
      <c r="AM65" s="14" t="n">
        <f aca="false">IF(O65&lt;&gt;"","",COUNTIFS($A$29:$A$361,A65,$O$29:$O$361,"",$AQ$29:$AQ$361,"&gt;"&amp;AQ65)+COUNTIFS($A$29:A65,A65,$O$29:O65,"",$AQ$29:AQ65,AQ65))</f>
        <v>13</v>
      </c>
      <c r="AN65" s="19" t="n">
        <f aca="false">IF(AND(O65="",ISNUMBER(D65)),D65,"")</f>
        <v>9.81</v>
      </c>
      <c r="AO65" s="20" t="n">
        <f aca="false">IF(O65="",M65,"")</f>
        <v>996</v>
      </c>
      <c r="AP65" s="20" t="n">
        <f aca="false">IF(O65="",L65,"")</f>
        <v>1282</v>
      </c>
      <c r="AQ65" s="33" t="n">
        <f aca="false">IF(O65&lt;&gt;"","",(4-VALUE(RIGHT(AK65,1)))*10^7+N(N65))</f>
        <v>20016792.84</v>
      </c>
      <c r="AR65" s="33" t="n">
        <f aca="false">INDEX($O$7:$O$25,MATCH(A65,$I$7:$I$25,0))</f>
        <v>2</v>
      </c>
      <c r="AS65" s="33" t="n">
        <f aca="false">IF(AE65="No","",AR65*1000+IF(AM65="",900+COUNTIFS($A$29:A65,A65,$O$29:O65,"Price ≤ $5"),AM65))</f>
        <v>2013</v>
      </c>
    </row>
    <row r="66" customFormat="false" ht="41.75" hidden="false" customHeight="false" outlineLevel="0" collapsed="false">
      <c r="A66" s="15" t="s">
        <v>187</v>
      </c>
      <c r="B66" s="15" t="s">
        <v>465</v>
      </c>
      <c r="C66" s="16" t="s">
        <v>466</v>
      </c>
      <c r="D66" s="17" t="n">
        <f aca="false">IF(W66&gt;0,ROUND(AVERAGEIFS('Shortlisted Drugs X Company (7)'!$N$3:$N$698,'Shortlisted Drugs X Company (7)'!$C$3:$C$698,$B66,'Shortlisted Drugs X Company (7)'!$E$3:$E$698,$S66,'Shortlisted Drugs X Company (7)'!$N$3:$N$698,"&gt;5"),2),"")</f>
        <v>9.84</v>
      </c>
      <c r="E66" s="15" t="str">
        <f aca="false">IF(COUNTIFS('Shortlisted Drugs X Company (7)'!$C$3:$C$698,$B66,'Shortlisted Drugs X Company (7)'!$E$3:$E$698,$S66,'Shortlisted Drugs X Company (7)'!$P$3:$P$698,"Exact")&gt;0,"Exact",IF(COUNTIFS('Shortlisted Drugs X Company (7)'!$C$3:$C$698,$B66,'Shortlisted Drugs X Company (7)'!$E$3:$E$698,$S66,'Shortlisted Drugs X Company (7)'!$P$3:$P$698,"Same-market proxy")&gt;0,"Same-market proxy",IF(COUNTIFS('Shortlisted Drugs X Company (7)'!$C$3:$C$698,$B66,'Shortlisted Drugs X Company (7)'!$E$3:$E$698,$S66,'Shortlisted Drugs X Company (7)'!$P$3:$P$698,"Cross-market proxy")&gt;0,"Cross-market proxy",IF(COUNTIFS('Shortlisted Drugs X Company (7)'!$C$3:$C$698,$B66,'Shortlisted Drugs X Company (7)'!$E$3:$E$698,$S66,'Shortlisted Drugs X Company (7)'!$P$3:$P$698,"Source not found")&gt;0,"Source not found","Not priced"))))</f>
        <v>Same-market proxy</v>
      </c>
      <c r="F66" s="18" t="n">
        <f aca="false">IFERROR(ROUND(INDEX('Injectable Value'!$AA$28:$AA$178,MATCH(B66,'Injectable Value'!$A$28:$A$178,0)),1),"")</f>
        <v>4745.9</v>
      </c>
      <c r="G66" s="16" t="s">
        <v>247</v>
      </c>
      <c r="H66" s="14" t="n">
        <v>1</v>
      </c>
      <c r="I66" s="15" t="s">
        <v>248</v>
      </c>
      <c r="J66" s="15" t="s">
        <v>299</v>
      </c>
      <c r="K66" s="16" t="str">
        <f aca="false">"Reconstitution"&amp;IF(V66=0,"; Unpriced","")&amp;IF(AND(V66&gt;0,W66=0,X66=0),"; Low price from another market – confirm with company","")</f>
        <v>Reconstitution</v>
      </c>
      <c r="L66" s="18" t="n">
        <f aca="false">IFERROR(INDEX('Shortlisted Drugs X Company (7)'!$K$3:$K$698,MATCH(B66,'Shortlisted Drugs X Company (7)'!$C$3:$C$698,0)),"")</f>
        <v>81</v>
      </c>
      <c r="M66" s="18" t="n">
        <f aca="false">IFERROR(ROUND(L66*INDEX('Injectable Value'!$Z$28:$Z$178,MATCH(B66,'Injectable Value'!$A$28:$A$178,0)),0),"")</f>
        <v>81</v>
      </c>
      <c r="N66" s="18" t="n">
        <f aca="false">IFERROR(INDEX('Shortlisted Drugs X Company (7)'!$L$3:$L$698,MATCH(B66,'Shortlisted Drugs X Company (7)'!$C$3:$C$698,0)),"")</f>
        <v>4745.88</v>
      </c>
      <c r="O66" s="15" t="str">
        <f aca="false">IF(AE66="No","IV only (not ID/IM/SC)",IF(AND(V66&gt;0,W66=0),"Price ≤ $5",""))</f>
        <v/>
      </c>
      <c r="P66" s="14" t="n">
        <f aca="false">IF(O66&lt;&gt;"","",COUNTIFS($A$29:$A$361,A66,$O$29:$O$361,"",$AC$29:$AC$361,"&gt;"&amp;AC66)+COUNTIFS($A$29:A66,A66,$O$29:O66,"",$AC$29:AC66,AC66))</f>
        <v>20</v>
      </c>
      <c r="Q66" s="15" t="str">
        <f aca="false">IF(O66&lt;&gt;"",IF(O66="Price ≤ $5","Excluded – price ≤ $5","Excluded – IV only"),IF(ISNUMBER(D66),IF(AND(D66&gt;=$C$3,M66&gt;=$E$3),"Priority 1",IF(OR(D66&gt;=$C$3,M66&gt;=$E$3),"Priority 2","Priority 3")),IF(M66&gt;=$E$3,"Priority 2","Priority 3")))</f>
        <v>Priority 3</v>
      </c>
      <c r="R66" s="16" t="s">
        <v>285</v>
      </c>
      <c r="S66" s="15" t="s">
        <v>286</v>
      </c>
      <c r="T66" s="32" t="s">
        <v>467</v>
      </c>
      <c r="U66" s="33" t="str">
        <f aca="false">B66&amp;"|"&amp;S66</f>
        <v>Methylprednisolone Acetate|Aurobindo Pharma</v>
      </c>
      <c r="V66" s="34" t="n">
        <f aca="false">COUNTIFS('Shortlisted Drugs X Company (7)'!$C$3:$C$698,$B66,'Shortlisted Drugs X Company (7)'!$E$3:$E$698,$S66,'Shortlisted Drugs X Company (7)'!$N$3:$N$698,"&gt;=0")</f>
        <v>2</v>
      </c>
      <c r="W66" s="34" t="n">
        <f aca="false">COUNTIFS('Shortlisted Drugs X Company (7)'!$C$3:$C$698,$B66,'Shortlisted Drugs X Company (7)'!$E$3:$E$698,$S66,'Shortlisted Drugs X Company (7)'!$N$3:$N$698,"&gt;5")</f>
        <v>1</v>
      </c>
      <c r="X66" s="34" t="n">
        <f aca="false">COUNTIFS('Shortlisted Drugs X Company (7)'!$C$3:$C$698,$B66,'Shortlisted Drugs X Company (7)'!$E$3:$E$698,$S66,'Shortlisted Drugs X Company (7)'!$P$3:$P$698,"Exact")+COUNTIFS('Shortlisted Drugs X Company (7)'!$C$3:$C$698,$B66,'Shortlisted Drugs X Company (7)'!$E$3:$E$698,$S66,'Shortlisted Drugs X Company (7)'!$P$3:$P$698,"Same-market proxy")</f>
        <v>2</v>
      </c>
      <c r="Y66" s="33" t="str">
        <f aca="false">A66&amp;"|"&amp;P66</f>
        <v>Aurobindo|20</v>
      </c>
      <c r="Z66" s="16" t="s">
        <v>468</v>
      </c>
      <c r="AA66" s="33" t="n">
        <f aca="false">INDEX($G$7:$G$25,MATCH(A66,$A$7:$A$25,0))</f>
        <v>2</v>
      </c>
      <c r="AB66" s="33" t="n">
        <f aca="false">IF(AE66="No","",AA66*1000+IF(P66="",900+COUNTIFS($A$29:A66,A66,$O$29:O66,"Price ≤ $5"),P66))</f>
        <v>2020</v>
      </c>
      <c r="AC66" s="33" t="n">
        <f aca="false">IF(O66&lt;&gt;"","",(4-VALUE(RIGHT(Q66,1)))*10^7+N(F66))</f>
        <v>10004745.9</v>
      </c>
      <c r="AD66" s="15" t="str">
        <f aca="false">IFERROR(INDEX('Route of Administration'!$C$5:$C$155,MATCH(B66,'Route of Administration'!$A$5:$A$155,0)),"")</f>
        <v>IM</v>
      </c>
      <c r="AE66" s="14" t="str">
        <f aca="false">IFERROR(INDEX('Route of Administration'!$D$5:$D$155,MATCH(B66,'Route of Administration'!$A$5:$A$155,0)),"")</f>
        <v>Yes</v>
      </c>
      <c r="AF66" s="19" t="n">
        <f aca="false">IF(V66&gt;0,ROUND(AVERAGEIFS('Shortlisted Drugs X Company (7)'!$N$3:$N$698,'Shortlisted Drugs X Company (7)'!$C$3:$C$698,$B66,'Shortlisted Drugs X Company (7)'!$E$3:$E$698,$S66,'Shortlisted Drugs X Company (7)'!$N$3:$N$698,"&gt;=0"),2),"")</f>
        <v>7.38</v>
      </c>
      <c r="AG66" s="16" t="s">
        <v>465</v>
      </c>
      <c r="AH66" s="16" t="s">
        <v>247</v>
      </c>
      <c r="AI66" s="16" t="s">
        <v>247</v>
      </c>
      <c r="AJ66" s="16" t="str">
        <f aca="false">IF(O66&lt;&gt;"","",IF(ISNUMBER(D66),IF(D66&gt;=$C$3,"High price","Lower price"),"Unpriced")&amp;" · "&amp;IF(M66&gt;=$E$3,"high volume","lower volume"))</f>
        <v>Lower price · lower volume</v>
      </c>
      <c r="AK66" s="15" t="str">
        <f aca="false">IF(O66&lt;&gt;"",IF(O66="Price ≤ $5","Excluded – price ≤ $5","Excluded – IV only"),IF(ISNUMBER(D66),IF(AND(D66&gt;=$C$3,L66&gt;=$H$3),"Priority 1",IF(OR(D66&gt;=$C$3,L66&gt;=$H$3),"Priority 2","Priority 3")),IF(L66&gt;=$H$3,"Priority 2","Priority 3")))</f>
        <v>Priority 3</v>
      </c>
      <c r="AL66" s="16" t="str">
        <f aca="false">IF(O66&lt;&gt;"","",IF(ISNUMBER(D66),IF(D66&gt;=$C$3,"High price","Lower price"),"Unpriced")&amp;" · "&amp;IF(L66&gt;=$H$3,"high volume","lower volume"))</f>
        <v>Lower price · lower volume</v>
      </c>
      <c r="AM66" s="14" t="n">
        <f aca="false">IF(O66&lt;&gt;"","",COUNTIFS($A$29:$A$361,A66,$O$29:$O$361,"",$AQ$29:$AQ$361,"&gt;"&amp;AQ66)+COUNTIFS($A$29:A66,A66,$O$29:O66,"",$AQ$29:AQ66,AQ66))</f>
        <v>23</v>
      </c>
      <c r="AN66" s="19" t="n">
        <f aca="false">IF(AND(O66="",ISNUMBER(D66)),D66,"")</f>
        <v>9.84</v>
      </c>
      <c r="AO66" s="20" t="n">
        <f aca="false">IF(O66="",M66,"")</f>
        <v>81</v>
      </c>
      <c r="AP66" s="20" t="n">
        <f aca="false">IF(O66="",L66,"")</f>
        <v>81</v>
      </c>
      <c r="AQ66" s="33" t="n">
        <f aca="false">IF(O66&lt;&gt;"","",(4-VALUE(RIGHT(AK66,1)))*10^7+N(N66))</f>
        <v>10004745.88</v>
      </c>
      <c r="AR66" s="33" t="n">
        <f aca="false">INDEX($O$7:$O$25,MATCH(A66,$I$7:$I$25,0))</f>
        <v>2</v>
      </c>
      <c r="AS66" s="33" t="n">
        <f aca="false">IF(AE66="No","",AR66*1000+IF(AM66="",900+COUNTIFS($A$29:A66,A66,$O$29:O66,"Price ≤ $5"),AM66))</f>
        <v>2023</v>
      </c>
    </row>
    <row r="67" customFormat="false" ht="28.35" hidden="false" customHeight="false" outlineLevel="0" collapsed="false">
      <c r="A67" s="15" t="s">
        <v>187</v>
      </c>
      <c r="B67" s="15" t="s">
        <v>469</v>
      </c>
      <c r="C67" s="16" t="s">
        <v>470</v>
      </c>
      <c r="D67" s="17" t="n">
        <f aca="false">IF(W67&gt;0,ROUND(AVERAGEIFS('Shortlisted Drugs X Company (7)'!$N$3:$N$698,'Shortlisted Drugs X Company (7)'!$C$3:$C$698,$B67,'Shortlisted Drugs X Company (7)'!$E$3:$E$698,$S67,'Shortlisted Drugs X Company (7)'!$N$3:$N$698,"&gt;5"),2),"")</f>
        <v>55.89</v>
      </c>
      <c r="E67" s="15" t="str">
        <f aca="false">IF(COUNTIFS('Shortlisted Drugs X Company (7)'!$C$3:$C$698,$B67,'Shortlisted Drugs X Company (7)'!$E$3:$E$698,$S67,'Shortlisted Drugs X Company (7)'!$P$3:$P$698,"Exact")&gt;0,"Exact",IF(COUNTIFS('Shortlisted Drugs X Company (7)'!$C$3:$C$698,$B67,'Shortlisted Drugs X Company (7)'!$E$3:$E$698,$S67,'Shortlisted Drugs X Company (7)'!$P$3:$P$698,"Same-market proxy")&gt;0,"Same-market proxy",IF(COUNTIFS('Shortlisted Drugs X Company (7)'!$C$3:$C$698,$B67,'Shortlisted Drugs X Company (7)'!$E$3:$E$698,$S67,'Shortlisted Drugs X Company (7)'!$P$3:$P$698,"Cross-market proxy")&gt;0,"Cross-market proxy",IF(COUNTIFS('Shortlisted Drugs X Company (7)'!$C$3:$C$698,$B67,'Shortlisted Drugs X Company (7)'!$E$3:$E$698,$S67,'Shortlisted Drugs X Company (7)'!$P$3:$P$698,"Source not found")&gt;0,"Source not found","Not priced"))))</f>
        <v>Cross-market proxy</v>
      </c>
      <c r="F67" s="18" t="n">
        <f aca="false">IFERROR(ROUND(INDEX('Injectable Value'!$AA$28:$AA$178,MATCH(B67,'Injectable Value'!$A$28:$A$178,0)),1),"")</f>
        <v>6754.2</v>
      </c>
      <c r="G67" s="16" t="s">
        <v>70</v>
      </c>
      <c r="H67" s="14" t="n">
        <v>2</v>
      </c>
      <c r="I67" s="15" t="s">
        <v>248</v>
      </c>
      <c r="J67" s="15" t="s">
        <v>299</v>
      </c>
      <c r="K67" s="16" t="str">
        <f aca="false">"Cancer drug (cytotoxic) – less relevant; Reconstitution"&amp;IF(V67=0,"; Unpriced","")&amp;IF(AND(V67&gt;0,W67=0,X67=0),"; Low price from another market – confirm with company","")</f>
        <v>Cancer drug (cytotoxic) – less relevant; Reconstitution</v>
      </c>
      <c r="L67" s="18" t="n">
        <f aca="false">IFERROR(INDEX('Shortlisted Drugs X Company (7)'!$K$3:$K$698,MATCH(B67,'Shortlisted Drugs X Company (7)'!$C$3:$C$698,0)),"")</f>
        <v>544</v>
      </c>
      <c r="M67" s="18" t="n">
        <f aca="false">IFERROR(ROUND(L67*INDEX('Injectable Value'!$Z$28:$Z$178,MATCH(B67,'Injectable Value'!$A$28:$A$178,0)),0),"")</f>
        <v>480</v>
      </c>
      <c r="N67" s="18" t="n">
        <f aca="false">IFERROR(INDEX('Shortlisted Drugs X Company (7)'!$L$3:$L$698,MATCH(B67,'Shortlisted Drugs X Company (7)'!$C$3:$C$698,0)),"")</f>
        <v>7654.85</v>
      </c>
      <c r="O67" s="15" t="str">
        <f aca="false">IF(AE67="No","IV only (not ID/IM/SC)",IF(AND(V67&gt;0,W67=0),"Price ≤ $5",""))</f>
        <v>IV only (not ID/IM/SC)</v>
      </c>
      <c r="P67" s="14" t="str">
        <f aca="false">IF(O67&lt;&gt;"","",COUNTIFS($A$29:$A$361,A67,$O$29:$O$361,"",$AC$29:$AC$361,"&gt;"&amp;AC67)+COUNTIFS($A$29:A67,A67,$O$29:O67,"",$AC$29:AC67,AC67))</f>
        <v/>
      </c>
      <c r="Q67" s="15" t="str">
        <f aca="false">IF(O67&lt;&gt;"",IF(O67="Price ≤ $5","Excluded – price ≤ $5","Excluded – IV only"),IF(ISNUMBER(D67),IF(AND(D67&gt;=$C$3,M67&gt;=$E$3),"Priority 1",IF(OR(D67&gt;=$C$3,M67&gt;=$E$3),"Priority 2","Priority 3")),IF(M67&gt;=$E$3,"Priority 2","Priority 3")))</f>
        <v>Excluded – IV only</v>
      </c>
      <c r="R67" s="16" t="s">
        <v>285</v>
      </c>
      <c r="S67" s="15" t="s">
        <v>286</v>
      </c>
      <c r="T67" s="32" t="s">
        <v>471</v>
      </c>
      <c r="U67" s="33" t="str">
        <f aca="false">B67&amp;"|"&amp;S67</f>
        <v>Mitomycin|Aurobindo Pharma</v>
      </c>
      <c r="V67" s="34" t="n">
        <f aca="false">COUNTIFS('Shortlisted Drugs X Company (7)'!$C$3:$C$698,$B67,'Shortlisted Drugs X Company (7)'!$E$3:$E$698,$S67,'Shortlisted Drugs X Company (7)'!$N$3:$N$698,"&gt;=0")</f>
        <v>1</v>
      </c>
      <c r="W67" s="34" t="n">
        <f aca="false">COUNTIFS('Shortlisted Drugs X Company (7)'!$C$3:$C$698,$B67,'Shortlisted Drugs X Company (7)'!$E$3:$E$698,$S67,'Shortlisted Drugs X Company (7)'!$N$3:$N$698,"&gt;5")</f>
        <v>1</v>
      </c>
      <c r="X67" s="34" t="n">
        <f aca="false">COUNTIFS('Shortlisted Drugs X Company (7)'!$C$3:$C$698,$B67,'Shortlisted Drugs X Company (7)'!$E$3:$E$698,$S67,'Shortlisted Drugs X Company (7)'!$P$3:$P$698,"Exact")+COUNTIFS('Shortlisted Drugs X Company (7)'!$C$3:$C$698,$B67,'Shortlisted Drugs X Company (7)'!$E$3:$E$698,$S67,'Shortlisted Drugs X Company (7)'!$P$3:$P$698,"Same-market proxy")</f>
        <v>0</v>
      </c>
      <c r="Y67" s="33" t="str">
        <f aca="false">A67&amp;"|"&amp;P67</f>
        <v>Aurobindo|</v>
      </c>
      <c r="Z67" s="16" t="s">
        <v>472</v>
      </c>
      <c r="AA67" s="33" t="n">
        <f aca="false">INDEX($G$7:$G$25,MATCH(A67,$A$7:$A$25,0))</f>
        <v>2</v>
      </c>
      <c r="AB67" s="33" t="str">
        <f aca="false">IF(AE67="No","",AA67*1000+IF(P67="",900+COUNTIFS($A$29:A67,A67,$O$29:O67,"Price ≤ $5"),P67))</f>
        <v/>
      </c>
      <c r="AC67" s="33" t="str">
        <f aca="false">IF(O67&lt;&gt;"","",(4-VALUE(RIGHT(Q67,1)))*10^7+N(F67))</f>
        <v/>
      </c>
      <c r="AD67" s="15" t="str">
        <f aca="false">IFERROR(INDEX('Route of Administration'!$C$5:$C$155,MATCH(B67,'Route of Administration'!$A$5:$A$155,0)),"")</f>
        <v>IV</v>
      </c>
      <c r="AE67" s="14" t="str">
        <f aca="false">IFERROR(INDEX('Route of Administration'!$D$5:$D$155,MATCH(B67,'Route of Administration'!$A$5:$A$155,0)),"")</f>
        <v>No</v>
      </c>
      <c r="AF67" s="19" t="n">
        <f aca="false">IF(V67&gt;0,ROUND(AVERAGEIFS('Shortlisted Drugs X Company (7)'!$N$3:$N$698,'Shortlisted Drugs X Company (7)'!$C$3:$C$698,$B67,'Shortlisted Drugs X Company (7)'!$E$3:$E$698,$S67,'Shortlisted Drugs X Company (7)'!$N$3:$N$698,"&gt;=0"),2),"")</f>
        <v>55.89</v>
      </c>
      <c r="AG67" s="16" t="s">
        <v>473</v>
      </c>
      <c r="AH67" s="16" t="s">
        <v>474</v>
      </c>
      <c r="AI67" s="16" t="s">
        <v>474</v>
      </c>
      <c r="AJ67" s="16" t="str">
        <f aca="false">IF(O67&lt;&gt;"","",IF(ISNUMBER(D67),IF(D67&gt;=$C$3,"High price","Lower price"),"Unpriced")&amp;" · "&amp;IF(M67&gt;=$E$3,"high volume","lower volume"))</f>
        <v/>
      </c>
      <c r="AK67" s="15" t="str">
        <f aca="false">IF(O67&lt;&gt;"",IF(O67="Price ≤ $5","Excluded – price ≤ $5","Excluded – IV only"),IF(ISNUMBER(D67),IF(AND(D67&gt;=$C$3,L67&gt;=$H$3),"Priority 1",IF(OR(D67&gt;=$C$3,L67&gt;=$H$3),"Priority 2","Priority 3")),IF(L67&gt;=$H$3,"Priority 2","Priority 3")))</f>
        <v>Excluded – IV only</v>
      </c>
      <c r="AL67" s="16" t="str">
        <f aca="false">IF(O67&lt;&gt;"","",IF(ISNUMBER(D67),IF(D67&gt;=$C$3,"High price","Lower price"),"Unpriced")&amp;" · "&amp;IF(L67&gt;=$H$3,"high volume","lower volume"))</f>
        <v/>
      </c>
      <c r="AM67" s="14" t="str">
        <f aca="false">IF(O67&lt;&gt;"","",COUNTIFS($A$29:$A$361,A67,$O$29:$O$361,"",$AQ$29:$AQ$361,"&gt;"&amp;AQ67)+COUNTIFS($A$29:A67,A67,$O$29:O67,"",$AQ$29:AQ67,AQ67))</f>
        <v/>
      </c>
      <c r="AN67" s="33" t="str">
        <f aca="false">IF(AND(O67="",ISNUMBER(D67)),D67,"")</f>
        <v/>
      </c>
      <c r="AO67" s="33" t="str">
        <f aca="false">IF(O67="",M67,"")</f>
        <v/>
      </c>
      <c r="AP67" s="33" t="str">
        <f aca="false">IF(O67="",L67,"")</f>
        <v/>
      </c>
      <c r="AQ67" s="33" t="str">
        <f aca="false">IF(O67&lt;&gt;"","",(4-VALUE(RIGHT(AK67,1)))*10^7+N(N67))</f>
        <v/>
      </c>
      <c r="AR67" s="33" t="n">
        <f aca="false">INDEX($O$7:$O$25,MATCH(A67,$I$7:$I$25,0))</f>
        <v>2</v>
      </c>
      <c r="AS67" s="33" t="str">
        <f aca="false">IF(AE67="No","",AR67*1000+IF(AM67="",900+COUNTIFS($A$29:A67,A67,$O$29:O67,"Price ≤ $5"),AM67))</f>
        <v/>
      </c>
    </row>
    <row r="68" customFormat="false" ht="28.35" hidden="false" customHeight="false" outlineLevel="0" collapsed="false">
      <c r="A68" s="15" t="s">
        <v>187</v>
      </c>
      <c r="B68" s="15" t="s">
        <v>475</v>
      </c>
      <c r="C68" s="16" t="s">
        <v>476</v>
      </c>
      <c r="D68" s="17" t="n">
        <f aca="false">IF(W68&gt;0,ROUND(AVERAGEIFS('Shortlisted Drugs X Company (7)'!$N$3:$N$698,'Shortlisted Drugs X Company (7)'!$C$3:$C$698,$B68,'Shortlisted Drugs X Company (7)'!$E$3:$E$698,$S68,'Shortlisted Drugs X Company (7)'!$N$3:$N$698,"&gt;5"),2),"")</f>
        <v>7.41</v>
      </c>
      <c r="E68" s="15" t="str">
        <f aca="false">IF(COUNTIFS('Shortlisted Drugs X Company (7)'!$C$3:$C$698,$B68,'Shortlisted Drugs X Company (7)'!$E$3:$E$698,$S68,'Shortlisted Drugs X Company (7)'!$P$3:$P$698,"Exact")&gt;0,"Exact",IF(COUNTIFS('Shortlisted Drugs X Company (7)'!$C$3:$C$698,$B68,'Shortlisted Drugs X Company (7)'!$E$3:$E$698,$S68,'Shortlisted Drugs X Company (7)'!$P$3:$P$698,"Same-market proxy")&gt;0,"Same-market proxy",IF(COUNTIFS('Shortlisted Drugs X Company (7)'!$C$3:$C$698,$B68,'Shortlisted Drugs X Company (7)'!$E$3:$E$698,$S68,'Shortlisted Drugs X Company (7)'!$P$3:$P$698,"Cross-market proxy")&gt;0,"Cross-market proxy",IF(COUNTIFS('Shortlisted Drugs X Company (7)'!$C$3:$C$698,$B68,'Shortlisted Drugs X Company (7)'!$E$3:$E$698,$S68,'Shortlisted Drugs X Company (7)'!$P$3:$P$698,"Source not found")&gt;0,"Source not found","Not priced"))))</f>
        <v>Same-market proxy</v>
      </c>
      <c r="F68" s="18" t="n">
        <f aca="false">IFERROR(ROUND(INDEX('Injectable Value'!$AA$28:$AA$178,MATCH(B68,'Injectable Value'!$A$28:$A$178,0)),1),"")</f>
        <v>570.1</v>
      </c>
      <c r="G68" s="16" t="s">
        <v>247</v>
      </c>
      <c r="H68" s="14" t="n">
        <v>1</v>
      </c>
      <c r="I68" s="15" t="s">
        <v>248</v>
      </c>
      <c r="J68" s="15" t="s">
        <v>299</v>
      </c>
      <c r="K68" s="16" t="str">
        <f aca="false">"Reconstitution"&amp;IF(V68=0,"; Unpriced","")&amp;IF(AND(V68&gt;0,W68=0,X68=0),"; Low price from another market – confirm with company","")</f>
        <v>Reconstitution</v>
      </c>
      <c r="L68" s="18" t="n">
        <f aca="false">IFERROR(INDEX('Shortlisted Drugs X Company (7)'!$K$3:$K$698,MATCH(B68,'Shortlisted Drugs X Company (7)'!$C$3:$C$698,0)),"")</f>
        <v>4</v>
      </c>
      <c r="M68" s="18" t="n">
        <f aca="false">IFERROR(ROUND(L68*INDEX('Injectable Value'!$Z$28:$Z$178,MATCH(B68,'Injectable Value'!$A$28:$A$178,0)),0),"")</f>
        <v>4</v>
      </c>
      <c r="N68" s="18" t="n">
        <f aca="false">IFERROR(INDEX('Shortlisted Drugs X Company (7)'!$L$3:$L$698,MATCH(B68,'Shortlisted Drugs X Company (7)'!$C$3:$C$698,0)),"")</f>
        <v>570.1</v>
      </c>
      <c r="O68" s="15" t="str">
        <f aca="false">IF(AE68="No","IV only (not ID/IM/SC)",IF(AND(V68&gt;0,W68=0),"Price ≤ $5",""))</f>
        <v/>
      </c>
      <c r="P68" s="14" t="n">
        <f aca="false">IF(O68&lt;&gt;"","",COUNTIFS($A$29:$A$361,A68,$O$29:$O$361,"",$AC$29:$AC$361,"&gt;"&amp;AC68)+COUNTIFS($A$29:A68,A68,$O$29:O68,"",$AC$29:AC68,AC68))</f>
        <v>25</v>
      </c>
      <c r="Q68" s="15" t="str">
        <f aca="false">IF(O68&lt;&gt;"",IF(O68="Price ≤ $5","Excluded – price ≤ $5","Excluded – IV only"),IF(ISNUMBER(D68),IF(AND(D68&gt;=$C$3,M68&gt;=$E$3),"Priority 1",IF(OR(D68&gt;=$C$3,M68&gt;=$E$3),"Priority 2","Priority 3")),IF(M68&gt;=$E$3,"Priority 2","Priority 3")))</f>
        <v>Priority 3</v>
      </c>
      <c r="R68" s="16" t="s">
        <v>285</v>
      </c>
      <c r="S68" s="15" t="s">
        <v>286</v>
      </c>
      <c r="T68" s="32" t="s">
        <v>477</v>
      </c>
      <c r="U68" s="33" t="str">
        <f aca="false">B68&amp;"|"&amp;S68</f>
        <v>Nafcillin|Aurobindo Pharma</v>
      </c>
      <c r="V68" s="34" t="n">
        <f aca="false">COUNTIFS('Shortlisted Drugs X Company (7)'!$C$3:$C$698,$B68,'Shortlisted Drugs X Company (7)'!$E$3:$E$698,$S68,'Shortlisted Drugs X Company (7)'!$N$3:$N$698,"&gt;=0")</f>
        <v>2</v>
      </c>
      <c r="W68" s="34" t="n">
        <f aca="false">COUNTIFS('Shortlisted Drugs X Company (7)'!$C$3:$C$698,$B68,'Shortlisted Drugs X Company (7)'!$E$3:$E$698,$S68,'Shortlisted Drugs X Company (7)'!$N$3:$N$698,"&gt;5")</f>
        <v>2</v>
      </c>
      <c r="X68" s="34" t="n">
        <f aca="false">COUNTIFS('Shortlisted Drugs X Company (7)'!$C$3:$C$698,$B68,'Shortlisted Drugs X Company (7)'!$E$3:$E$698,$S68,'Shortlisted Drugs X Company (7)'!$P$3:$P$698,"Exact")+COUNTIFS('Shortlisted Drugs X Company (7)'!$C$3:$C$698,$B68,'Shortlisted Drugs X Company (7)'!$E$3:$E$698,$S68,'Shortlisted Drugs X Company (7)'!$P$3:$P$698,"Same-market proxy")</f>
        <v>2</v>
      </c>
      <c r="Y68" s="33" t="str">
        <f aca="false">A68&amp;"|"&amp;P68</f>
        <v>Aurobindo|25</v>
      </c>
      <c r="Z68" s="16" t="s">
        <v>478</v>
      </c>
      <c r="AA68" s="33" t="n">
        <f aca="false">INDEX($G$7:$G$25,MATCH(A68,$A$7:$A$25,0))</f>
        <v>2</v>
      </c>
      <c r="AB68" s="33" t="n">
        <f aca="false">IF(AE68="No","",AA68*1000+IF(P68="",900+COUNTIFS($A$29:A68,A68,$O$29:O68,"Price ≤ $5"),P68))</f>
        <v>2025</v>
      </c>
      <c r="AC68" s="33" t="n">
        <f aca="false">IF(O68&lt;&gt;"","",(4-VALUE(RIGHT(Q68,1)))*10^7+N(F68))</f>
        <v>10000570.1</v>
      </c>
      <c r="AD68" s="15" t="str">
        <f aca="false">IFERROR(INDEX('Route of Administration'!$C$5:$C$155,MATCH(B68,'Route of Administration'!$A$5:$A$155,0)),"")</f>
        <v>IV, IM</v>
      </c>
      <c r="AE68" s="14" t="str">
        <f aca="false">IFERROR(INDEX('Route of Administration'!$D$5:$D$155,MATCH(B68,'Route of Administration'!$A$5:$A$155,0)),"")</f>
        <v>Yes</v>
      </c>
      <c r="AF68" s="19" t="n">
        <f aca="false">IF(V68&gt;0,ROUND(AVERAGEIFS('Shortlisted Drugs X Company (7)'!$N$3:$N$698,'Shortlisted Drugs X Company (7)'!$C$3:$C$698,$B68,'Shortlisted Drugs X Company (7)'!$E$3:$E$698,$S68,'Shortlisted Drugs X Company (7)'!$N$3:$N$698,"&gt;=0"),2),"")</f>
        <v>7.41</v>
      </c>
      <c r="AG68" s="16" t="s">
        <v>479</v>
      </c>
      <c r="AH68" s="16" t="s">
        <v>247</v>
      </c>
      <c r="AI68" s="16" t="s">
        <v>247</v>
      </c>
      <c r="AJ68" s="16" t="str">
        <f aca="false">IF(O68&lt;&gt;"","",IF(ISNUMBER(D68),IF(D68&gt;=$C$3,"High price","Lower price"),"Unpriced")&amp;" · "&amp;IF(M68&gt;=$E$3,"high volume","lower volume"))</f>
        <v>Lower price · lower volume</v>
      </c>
      <c r="AK68" s="15" t="str">
        <f aca="false">IF(O68&lt;&gt;"",IF(O68="Price ≤ $5","Excluded – price ≤ $5","Excluded – IV only"),IF(ISNUMBER(D68),IF(AND(D68&gt;=$C$3,L68&gt;=$H$3),"Priority 1",IF(OR(D68&gt;=$C$3,L68&gt;=$H$3),"Priority 2","Priority 3")),IF(L68&gt;=$H$3,"Priority 2","Priority 3")))</f>
        <v>Priority 3</v>
      </c>
      <c r="AL68" s="16" t="str">
        <f aca="false">IF(O68&lt;&gt;"","",IF(ISNUMBER(D68),IF(D68&gt;=$C$3,"High price","Lower price"),"Unpriced")&amp;" · "&amp;IF(L68&gt;=$H$3,"high volume","lower volume"))</f>
        <v>Lower price · lower volume</v>
      </c>
      <c r="AM68" s="14" t="n">
        <f aca="false">IF(O68&lt;&gt;"","",COUNTIFS($A$29:$A$361,A68,$O$29:$O$361,"",$AQ$29:$AQ$361,"&gt;"&amp;AQ68)+COUNTIFS($A$29:A68,A68,$O$29:O68,"",$AQ$29:AQ68,AQ68))</f>
        <v>25</v>
      </c>
      <c r="AN68" s="19" t="n">
        <f aca="false">IF(AND(O68="",ISNUMBER(D68)),D68,"")</f>
        <v>7.41</v>
      </c>
      <c r="AO68" s="20" t="n">
        <f aca="false">IF(O68="",M68,"")</f>
        <v>4</v>
      </c>
      <c r="AP68" s="20" t="n">
        <f aca="false">IF(O68="",L68,"")</f>
        <v>4</v>
      </c>
      <c r="AQ68" s="33" t="n">
        <f aca="false">IF(O68&lt;&gt;"","",(4-VALUE(RIGHT(AK68,1)))*10^7+N(N68))</f>
        <v>10000570.1</v>
      </c>
      <c r="AR68" s="33" t="n">
        <f aca="false">INDEX($O$7:$O$25,MATCH(A68,$I$7:$I$25,0))</f>
        <v>2</v>
      </c>
      <c r="AS68" s="33" t="n">
        <f aca="false">IF(AE68="No","",AR68*1000+IF(AM68="",900+COUNTIFS($A$29:A68,A68,$O$29:O68,"Price ≤ $5"),AM68))</f>
        <v>2025</v>
      </c>
    </row>
    <row r="69" customFormat="false" ht="28.35" hidden="false" customHeight="false" outlineLevel="0" collapsed="false">
      <c r="A69" s="15" t="s">
        <v>187</v>
      </c>
      <c r="B69" s="15" t="s">
        <v>480</v>
      </c>
      <c r="C69" s="16" t="s">
        <v>481</v>
      </c>
      <c r="D69" s="17" t="n">
        <f aca="false">IF(W69&gt;0,ROUND(AVERAGEIFS('Shortlisted Drugs X Company (7)'!$N$3:$N$698,'Shortlisted Drugs X Company (7)'!$C$3:$C$698,$B69,'Shortlisted Drugs X Company (7)'!$E$3:$E$698,$S69,'Shortlisted Drugs X Company (7)'!$N$3:$N$698,"&gt;5"),2),"")</f>
        <v>51.32</v>
      </c>
      <c r="E69" s="15" t="str">
        <f aca="false">IF(COUNTIFS('Shortlisted Drugs X Company (7)'!$C$3:$C$698,$B69,'Shortlisted Drugs X Company (7)'!$E$3:$E$698,$S69,'Shortlisted Drugs X Company (7)'!$P$3:$P$698,"Exact")&gt;0,"Exact",IF(COUNTIFS('Shortlisted Drugs X Company (7)'!$C$3:$C$698,$B69,'Shortlisted Drugs X Company (7)'!$E$3:$E$698,$S69,'Shortlisted Drugs X Company (7)'!$P$3:$P$698,"Same-market proxy")&gt;0,"Same-market proxy",IF(COUNTIFS('Shortlisted Drugs X Company (7)'!$C$3:$C$698,$B69,'Shortlisted Drugs X Company (7)'!$E$3:$E$698,$S69,'Shortlisted Drugs X Company (7)'!$P$3:$P$698,"Cross-market proxy")&gt;0,"Cross-market proxy",IF(COUNTIFS('Shortlisted Drugs X Company (7)'!$C$3:$C$698,$B69,'Shortlisted Drugs X Company (7)'!$E$3:$E$698,$S69,'Shortlisted Drugs X Company (7)'!$P$3:$P$698,"Source not found")&gt;0,"Source not found","Not priced"))))</f>
        <v>Same-market proxy</v>
      </c>
      <c r="F69" s="18" t="n">
        <f aca="false">IFERROR(ROUND(INDEX('Injectable Value'!$AA$28:$AA$178,MATCH(B69,'Injectable Value'!$A$28:$A$178,0)),1),"")</f>
        <v>1437.9</v>
      </c>
      <c r="G69" s="16" t="s">
        <v>482</v>
      </c>
      <c r="H69" s="14" t="n">
        <v>2</v>
      </c>
      <c r="I69" s="15" t="s">
        <v>441</v>
      </c>
      <c r="J69" s="15" t="s">
        <v>249</v>
      </c>
      <c r="K69" s="16" t="str">
        <f aca="false">""&amp;IF(V69=0,"Unpriced","")&amp;IF(AND(V69&gt;0,W69=0,X69=0),"Low price from another market – confirm with company","")</f>
        <v/>
      </c>
      <c r="L69" s="18" t="n">
        <f aca="false">IFERROR(INDEX('Shortlisted Drugs X Company (7)'!$K$3:$K$698,MATCH(B69,'Shortlisted Drugs X Company (7)'!$C$3:$C$698,0)),"")</f>
        <v>365</v>
      </c>
      <c r="M69" s="18" t="n">
        <f aca="false">IFERROR(ROUND(L69*INDEX('Injectable Value'!$Z$28:$Z$178,MATCH(B69,'Injectable Value'!$A$28:$A$178,0)),0),"")</f>
        <v>88</v>
      </c>
      <c r="N69" s="18" t="n">
        <f aca="false">IFERROR(INDEX('Shortlisted Drugs X Company (7)'!$L$3:$L$698,MATCH(B69,'Shortlisted Drugs X Company (7)'!$C$3:$C$698,0)),"")</f>
        <v>5976.94</v>
      </c>
      <c r="O69" s="15" t="str">
        <f aca="false">IF(AE69="No","IV only (not ID/IM/SC)",IF(AND(V69&gt;0,W69=0),"Price ≤ $5",""))</f>
        <v/>
      </c>
      <c r="P69" s="14" t="n">
        <f aca="false">IF(O69&lt;&gt;"","",COUNTIFS($A$29:$A$361,A69,$O$29:$O$361,"",$AC$29:$AC$361,"&gt;"&amp;AC69)+COUNTIFS($A$29:A69,A69,$O$29:O69,"",$AC$29:AC69,AC69))</f>
        <v>19</v>
      </c>
      <c r="Q69" s="15" t="str">
        <f aca="false">IF(O69&lt;&gt;"",IF(O69="Price ≤ $5","Excluded – price ≤ $5","Excluded – IV only"),IF(ISNUMBER(D69),IF(AND(D69&gt;=$C$3,M69&gt;=$E$3),"Priority 1",IF(OR(D69&gt;=$C$3,M69&gt;=$E$3),"Priority 2","Priority 3")),IF(M69&gt;=$E$3,"Priority 2","Priority 3")))</f>
        <v>Priority 2</v>
      </c>
      <c r="R69" s="16" t="s">
        <v>250</v>
      </c>
      <c r="S69" s="15" t="s">
        <v>286</v>
      </c>
      <c r="T69" s="32" t="s">
        <v>483</v>
      </c>
      <c r="U69" s="33" t="str">
        <f aca="false">B69&amp;"|"&amp;S69</f>
        <v>Naloxone|Aurobindo Pharma</v>
      </c>
      <c r="V69" s="34" t="n">
        <f aca="false">COUNTIFS('Shortlisted Drugs X Company (7)'!$C$3:$C$698,$B69,'Shortlisted Drugs X Company (7)'!$E$3:$E$698,$S69,'Shortlisted Drugs X Company (7)'!$N$3:$N$698,"&gt;=0")</f>
        <v>2</v>
      </c>
      <c r="W69" s="34" t="n">
        <f aca="false">COUNTIFS('Shortlisted Drugs X Company (7)'!$C$3:$C$698,$B69,'Shortlisted Drugs X Company (7)'!$E$3:$E$698,$S69,'Shortlisted Drugs X Company (7)'!$N$3:$N$698,"&gt;5")</f>
        <v>2</v>
      </c>
      <c r="X69" s="34" t="n">
        <f aca="false">COUNTIFS('Shortlisted Drugs X Company (7)'!$C$3:$C$698,$B69,'Shortlisted Drugs X Company (7)'!$E$3:$E$698,$S69,'Shortlisted Drugs X Company (7)'!$P$3:$P$698,"Exact")+COUNTIFS('Shortlisted Drugs X Company (7)'!$C$3:$C$698,$B69,'Shortlisted Drugs X Company (7)'!$E$3:$E$698,$S69,'Shortlisted Drugs X Company (7)'!$P$3:$P$698,"Same-market proxy")</f>
        <v>2</v>
      </c>
      <c r="Y69" s="33" t="str">
        <f aca="false">A69&amp;"|"&amp;P69</f>
        <v>Aurobindo|19</v>
      </c>
      <c r="Z69" s="16" t="s">
        <v>484</v>
      </c>
      <c r="AA69" s="33" t="n">
        <f aca="false">INDEX($G$7:$G$25,MATCH(A69,$A$7:$A$25,0))</f>
        <v>2</v>
      </c>
      <c r="AB69" s="33" t="n">
        <f aca="false">IF(AE69="No","",AA69*1000+IF(P69="",900+COUNTIFS($A$29:A69,A69,$O$29:O69,"Price ≤ $5"),P69))</f>
        <v>2019</v>
      </c>
      <c r="AC69" s="33" t="n">
        <f aca="false">IF(O69&lt;&gt;"","",(4-VALUE(RIGHT(Q69,1)))*10^7+N(F69))</f>
        <v>20001437.9</v>
      </c>
      <c r="AD69" s="15" t="str">
        <f aca="false">IFERROR(INDEX('Route of Administration'!$C$5:$C$155,MATCH(B69,'Route of Administration'!$A$5:$A$155,0)),"")</f>
        <v>IV, IM, SC</v>
      </c>
      <c r="AE69" s="14" t="str">
        <f aca="false">IFERROR(INDEX('Route of Administration'!$D$5:$D$155,MATCH(B69,'Route of Administration'!$A$5:$A$155,0)),"")</f>
        <v>Yes</v>
      </c>
      <c r="AF69" s="19" t="n">
        <f aca="false">IF(V69&gt;0,ROUND(AVERAGEIFS('Shortlisted Drugs X Company (7)'!$N$3:$N$698,'Shortlisted Drugs X Company (7)'!$C$3:$C$698,$B69,'Shortlisted Drugs X Company (7)'!$E$3:$E$698,$S69,'Shortlisted Drugs X Company (7)'!$N$3:$N$698,"&gt;=0"),2),"")</f>
        <v>51.32</v>
      </c>
      <c r="AG69" s="16" t="s">
        <v>485</v>
      </c>
      <c r="AH69" s="16" t="s">
        <v>486</v>
      </c>
      <c r="AI69" s="16" t="s">
        <v>486</v>
      </c>
      <c r="AJ69" s="16" t="str">
        <f aca="false">IF(O69&lt;&gt;"","",IF(ISNUMBER(D69),IF(D69&gt;=$C$3,"High price","Lower price"),"Unpriced")&amp;" · "&amp;IF(M69&gt;=$E$3,"high volume","lower volume"))</f>
        <v>High price · lower volume</v>
      </c>
      <c r="AK69" s="15" t="str">
        <f aca="false">IF(O69&lt;&gt;"",IF(O69="Price ≤ $5","Excluded – price ≤ $5","Excluded – IV only"),IF(ISNUMBER(D69),IF(AND(D69&gt;=$C$3,L69&gt;=$H$3),"Priority 1",IF(OR(D69&gt;=$C$3,L69&gt;=$H$3),"Priority 2","Priority 3")),IF(L69&gt;=$H$3,"Priority 2","Priority 3")))</f>
        <v>Priority 1</v>
      </c>
      <c r="AL69" s="16" t="str">
        <f aca="false">IF(O69&lt;&gt;"","",IF(ISNUMBER(D69),IF(D69&gt;=$C$3,"High price","Lower price"),"Unpriced")&amp;" · "&amp;IF(L69&gt;=$H$3,"high volume","lower volume"))</f>
        <v>High price · high volume</v>
      </c>
      <c r="AM69" s="14" t="n">
        <f aca="false">IF(O69&lt;&gt;"","",COUNTIFS($A$29:$A$361,A69,$O$29:$O$361,"",$AQ$29:$AQ$361,"&gt;"&amp;AQ69)+COUNTIFS($A$29:A69,A69,$O$29:O69,"",$AQ$29:AQ69,AQ69))</f>
        <v>3</v>
      </c>
      <c r="AN69" s="19" t="n">
        <f aca="false">IF(AND(O69="",ISNUMBER(D69)),D69,"")</f>
        <v>51.32</v>
      </c>
      <c r="AO69" s="20" t="n">
        <f aca="false">IF(O69="",M69,"")</f>
        <v>88</v>
      </c>
      <c r="AP69" s="20" t="n">
        <f aca="false">IF(O69="",L69,"")</f>
        <v>365</v>
      </c>
      <c r="AQ69" s="33" t="n">
        <f aca="false">IF(O69&lt;&gt;"","",(4-VALUE(RIGHT(AK69,1)))*10^7+N(N69))</f>
        <v>30005976.94</v>
      </c>
      <c r="AR69" s="33" t="n">
        <f aca="false">INDEX($O$7:$O$25,MATCH(A69,$I$7:$I$25,0))</f>
        <v>2</v>
      </c>
      <c r="AS69" s="33" t="n">
        <f aca="false">IF(AE69="No","",AR69*1000+IF(AM69="",900+COUNTIFS($A$29:A69,A69,$O$29:O69,"Price ≤ $5"),AM69))</f>
        <v>2003</v>
      </c>
    </row>
    <row r="70" customFormat="false" ht="41.75" hidden="false" customHeight="false" outlineLevel="0" collapsed="false">
      <c r="A70" s="15" t="s">
        <v>187</v>
      </c>
      <c r="B70" s="15" t="s">
        <v>487</v>
      </c>
      <c r="C70" s="16" t="s">
        <v>488</v>
      </c>
      <c r="D70" s="17" t="n">
        <f aca="false">IF(W70&gt;0,ROUND(AVERAGEIFS('Shortlisted Drugs X Company (7)'!$N$3:$N$698,'Shortlisted Drugs X Company (7)'!$C$3:$C$698,$B70,'Shortlisted Drugs X Company (7)'!$E$3:$E$698,$S70,'Shortlisted Drugs X Company (7)'!$N$3:$N$698,"&gt;5"),2),"")</f>
        <v>9.82</v>
      </c>
      <c r="E70" s="15" t="str">
        <f aca="false">IF(COUNTIFS('Shortlisted Drugs X Company (7)'!$C$3:$C$698,$B70,'Shortlisted Drugs X Company (7)'!$E$3:$E$698,$S70,'Shortlisted Drugs X Company (7)'!$P$3:$P$698,"Exact")&gt;0,"Exact",IF(COUNTIFS('Shortlisted Drugs X Company (7)'!$C$3:$C$698,$B70,'Shortlisted Drugs X Company (7)'!$E$3:$E$698,$S70,'Shortlisted Drugs X Company (7)'!$P$3:$P$698,"Same-market proxy")&gt;0,"Same-market proxy",IF(COUNTIFS('Shortlisted Drugs X Company (7)'!$C$3:$C$698,$B70,'Shortlisted Drugs X Company (7)'!$E$3:$E$698,$S70,'Shortlisted Drugs X Company (7)'!$P$3:$P$698,"Cross-market proxy")&gt;0,"Cross-market proxy",IF(COUNTIFS('Shortlisted Drugs X Company (7)'!$C$3:$C$698,$B70,'Shortlisted Drugs X Company (7)'!$E$3:$E$698,$S70,'Shortlisted Drugs X Company (7)'!$P$3:$P$698,"Source not found")&gt;0,"Source not found","Not priced"))))</f>
        <v>Exact</v>
      </c>
      <c r="F70" s="18" t="n">
        <f aca="false">IFERROR(ROUND(INDEX('Injectable Value'!$AA$28:$AA$178,MATCH(B70,'Injectable Value'!$A$28:$A$178,0)),1),"")</f>
        <v>17590.5</v>
      </c>
      <c r="G70" s="16" t="s">
        <v>489</v>
      </c>
      <c r="H70" s="14" t="n">
        <v>10</v>
      </c>
      <c r="I70" s="15" t="s">
        <v>339</v>
      </c>
      <c r="J70" s="15" t="s">
        <v>249</v>
      </c>
      <c r="K70" s="16" t="str">
        <f aca="false">""&amp;IF(V70=0,"Unpriced","")&amp;IF(AND(V70&gt;0,W70=0,X70=0),"Low price from another market – confirm with company","")</f>
        <v/>
      </c>
      <c r="L70" s="18" t="n">
        <f aca="false">IFERROR(INDEX('Shortlisted Drugs X Company (7)'!$K$3:$K$698,MATCH(B70,'Shortlisted Drugs X Company (7)'!$C$3:$C$698,0)),"")</f>
        <v>2546</v>
      </c>
      <c r="M70" s="18" t="n">
        <f aca="false">IFERROR(ROUND(L70*INDEX('Injectable Value'!$Z$28:$Z$178,MATCH(B70,'Injectable Value'!$A$28:$A$178,0)),0),"")</f>
        <v>963</v>
      </c>
      <c r="N70" s="18" t="n">
        <f aca="false">IFERROR(INDEX('Shortlisted Drugs X Company (7)'!$L$3:$L$698,MATCH(B70,'Shortlisted Drugs X Company (7)'!$C$3:$C$698,0)),"")</f>
        <v>46507.62</v>
      </c>
      <c r="O70" s="15" t="str">
        <f aca="false">IF(AE70="No","IV only (not ID/IM/SC)",IF(AND(V70&gt;0,W70=0),"Price ≤ $5",""))</f>
        <v/>
      </c>
      <c r="P70" s="14" t="n">
        <f aca="false">IF(O70&lt;&gt;"","",COUNTIFS($A$29:$A$361,A70,$O$29:$O$361,"",$AC$29:$AC$361,"&gt;"&amp;AC70)+COUNTIFS($A$29:A70,A70,$O$29:O70,"",$AC$29:AC70,AC70))</f>
        <v>9</v>
      </c>
      <c r="Q70" s="15" t="str">
        <f aca="false">IF(O70&lt;&gt;"",IF(O70="Price ≤ $5","Excluded – price ≤ $5","Excluded – IV only"),IF(ISNUMBER(D70),IF(AND(D70&gt;=$C$3,M70&gt;=$E$3),"Priority 1",IF(OR(D70&gt;=$C$3,M70&gt;=$E$3),"Priority 2","Priority 3")),IF(M70&gt;=$E$3,"Priority 2","Priority 3")))</f>
        <v>Priority 2</v>
      </c>
      <c r="R70" s="16" t="s">
        <v>250</v>
      </c>
      <c r="S70" s="15" t="s">
        <v>286</v>
      </c>
      <c r="T70" s="32" t="s">
        <v>490</v>
      </c>
      <c r="U70" s="33" t="str">
        <f aca="false">B70&amp;"|"&amp;S70</f>
        <v>Ondansetron|Aurobindo Pharma</v>
      </c>
      <c r="V70" s="34" t="n">
        <f aca="false">COUNTIFS('Shortlisted Drugs X Company (7)'!$C$3:$C$698,$B70,'Shortlisted Drugs X Company (7)'!$E$3:$E$698,$S70,'Shortlisted Drugs X Company (7)'!$N$3:$N$698,"&gt;=0")</f>
        <v>5</v>
      </c>
      <c r="W70" s="34" t="n">
        <f aca="false">COUNTIFS('Shortlisted Drugs X Company (7)'!$C$3:$C$698,$B70,'Shortlisted Drugs X Company (7)'!$E$3:$E$698,$S70,'Shortlisted Drugs X Company (7)'!$N$3:$N$698,"&gt;5")</f>
        <v>5</v>
      </c>
      <c r="X70" s="34" t="n">
        <f aca="false">COUNTIFS('Shortlisted Drugs X Company (7)'!$C$3:$C$698,$B70,'Shortlisted Drugs X Company (7)'!$E$3:$E$698,$S70,'Shortlisted Drugs X Company (7)'!$P$3:$P$698,"Exact")+COUNTIFS('Shortlisted Drugs X Company (7)'!$C$3:$C$698,$B70,'Shortlisted Drugs X Company (7)'!$E$3:$E$698,$S70,'Shortlisted Drugs X Company (7)'!$P$3:$P$698,"Same-market proxy")</f>
        <v>5</v>
      </c>
      <c r="Y70" s="33" t="str">
        <f aca="false">A70&amp;"|"&amp;P70</f>
        <v>Aurobindo|9</v>
      </c>
      <c r="Z70" s="16" t="s">
        <v>491</v>
      </c>
      <c r="AA70" s="33" t="n">
        <f aca="false">INDEX($G$7:$G$25,MATCH(A70,$A$7:$A$25,0))</f>
        <v>2</v>
      </c>
      <c r="AB70" s="33" t="n">
        <f aca="false">IF(AE70="No","",AA70*1000+IF(P70="",900+COUNTIFS($A$29:A70,A70,$O$29:O70,"Price ≤ $5"),P70))</f>
        <v>2009</v>
      </c>
      <c r="AC70" s="33" t="n">
        <f aca="false">IF(O70&lt;&gt;"","",(4-VALUE(RIGHT(Q70,1)))*10^7+N(F70))</f>
        <v>20017590.5</v>
      </c>
      <c r="AD70" s="15" t="str">
        <f aca="false">IFERROR(INDEX('Route of Administration'!$C$5:$C$155,MATCH(B70,'Route of Administration'!$A$5:$A$155,0)),"")</f>
        <v>IV, IM</v>
      </c>
      <c r="AE70" s="14" t="str">
        <f aca="false">IFERROR(INDEX('Route of Administration'!$D$5:$D$155,MATCH(B70,'Route of Administration'!$A$5:$A$155,0)),"")</f>
        <v>Yes</v>
      </c>
      <c r="AF70" s="19" t="n">
        <f aca="false">IF(V70&gt;0,ROUND(AVERAGEIFS('Shortlisted Drugs X Company (7)'!$N$3:$N$698,'Shortlisted Drugs X Company (7)'!$C$3:$C$698,$B70,'Shortlisted Drugs X Company (7)'!$E$3:$E$698,$S70,'Shortlisted Drugs X Company (7)'!$N$3:$N$698,"&gt;=0"),2),"")</f>
        <v>9.82</v>
      </c>
      <c r="AG70" s="16" t="s">
        <v>492</v>
      </c>
      <c r="AH70" s="16" t="s">
        <v>493</v>
      </c>
      <c r="AI70" s="16" t="s">
        <v>494</v>
      </c>
      <c r="AJ70" s="16" t="str">
        <f aca="false">IF(O70&lt;&gt;"","",IF(ISNUMBER(D70),IF(D70&gt;=$C$3,"High price","Lower price"),"Unpriced")&amp;" · "&amp;IF(M70&gt;=$E$3,"high volume","lower volume"))</f>
        <v>Lower price · high volume</v>
      </c>
      <c r="AK70" s="15" t="str">
        <f aca="false">IF(O70&lt;&gt;"",IF(O70="Price ≤ $5","Excluded – price ≤ $5","Excluded – IV only"),IF(ISNUMBER(D70),IF(AND(D70&gt;=$C$3,L70&gt;=$H$3),"Priority 1",IF(OR(D70&gt;=$C$3,L70&gt;=$H$3),"Priority 2","Priority 3")),IF(L70&gt;=$H$3,"Priority 2","Priority 3")))</f>
        <v>Priority 2</v>
      </c>
      <c r="AL70" s="16" t="str">
        <f aca="false">IF(O70&lt;&gt;"","",IF(ISNUMBER(D70),IF(D70&gt;=$C$3,"High price","Lower price"),"Unpriced")&amp;" · "&amp;IF(L70&gt;=$H$3,"high volume","lower volume"))</f>
        <v>Lower price · high volume</v>
      </c>
      <c r="AM70" s="14" t="n">
        <f aca="false">IF(O70&lt;&gt;"","",COUNTIFS($A$29:$A$361,A70,$O$29:$O$361,"",$AQ$29:$AQ$361,"&gt;"&amp;AQ70)+COUNTIFS($A$29:A70,A70,$O$29:O70,"",$AQ$29:AQ70,AQ70))</f>
        <v>9</v>
      </c>
      <c r="AN70" s="19" t="n">
        <f aca="false">IF(AND(O70="",ISNUMBER(D70)),D70,"")</f>
        <v>9.82</v>
      </c>
      <c r="AO70" s="20" t="n">
        <f aca="false">IF(O70="",M70,"")</f>
        <v>963</v>
      </c>
      <c r="AP70" s="20" t="n">
        <f aca="false">IF(O70="",L70,"")</f>
        <v>2546</v>
      </c>
      <c r="AQ70" s="33" t="n">
        <f aca="false">IF(O70&lt;&gt;"","",(4-VALUE(RIGHT(AK70,1)))*10^7+N(N70))</f>
        <v>20046507.62</v>
      </c>
      <c r="AR70" s="33" t="n">
        <f aca="false">INDEX($O$7:$O$25,MATCH(A70,$I$7:$I$25,0))</f>
        <v>2</v>
      </c>
      <c r="AS70" s="33" t="n">
        <f aca="false">IF(AE70="No","",AR70*1000+IF(AM70="",900+COUNTIFS($A$29:A70,A70,$O$29:O70,"Price ≤ $5"),AM70))</f>
        <v>2009</v>
      </c>
    </row>
    <row r="71" customFormat="false" ht="28.35" hidden="false" customHeight="false" outlineLevel="0" collapsed="false">
      <c r="A71" s="15" t="s">
        <v>187</v>
      </c>
      <c r="B71" s="15" t="s">
        <v>495</v>
      </c>
      <c r="C71" s="16" t="s">
        <v>476</v>
      </c>
      <c r="D71" s="17" t="n">
        <f aca="false">IF(W71&gt;0,ROUND(AVERAGEIFS('Shortlisted Drugs X Company (7)'!$N$3:$N$698,'Shortlisted Drugs X Company (7)'!$C$3:$C$698,$B71,'Shortlisted Drugs X Company (7)'!$E$3:$E$698,$S71,'Shortlisted Drugs X Company (7)'!$N$3:$N$698,"&gt;5"),2),"")</f>
        <v>10.93</v>
      </c>
      <c r="E71" s="15" t="str">
        <f aca="false">IF(COUNTIFS('Shortlisted Drugs X Company (7)'!$C$3:$C$698,$B71,'Shortlisted Drugs X Company (7)'!$E$3:$E$698,$S71,'Shortlisted Drugs X Company (7)'!$P$3:$P$698,"Exact")&gt;0,"Exact",IF(COUNTIFS('Shortlisted Drugs X Company (7)'!$C$3:$C$698,$B71,'Shortlisted Drugs X Company (7)'!$E$3:$E$698,$S71,'Shortlisted Drugs X Company (7)'!$P$3:$P$698,"Same-market proxy")&gt;0,"Same-market proxy",IF(COUNTIFS('Shortlisted Drugs X Company (7)'!$C$3:$C$698,$B71,'Shortlisted Drugs X Company (7)'!$E$3:$E$698,$S71,'Shortlisted Drugs X Company (7)'!$P$3:$P$698,"Cross-market proxy")&gt;0,"Cross-market proxy",IF(COUNTIFS('Shortlisted Drugs X Company (7)'!$C$3:$C$698,$B71,'Shortlisted Drugs X Company (7)'!$E$3:$E$698,$S71,'Shortlisted Drugs X Company (7)'!$P$3:$P$698,"Source not found")&gt;0,"Source not found","Not priced"))))</f>
        <v>Same-market proxy</v>
      </c>
      <c r="F71" s="18" t="n">
        <f aca="false">IFERROR(ROUND(INDEX('Injectable Value'!$AA$28:$AA$178,MATCH(B71,'Injectable Value'!$A$28:$A$178,0)),1),"")</f>
        <v>260.9</v>
      </c>
      <c r="G71" s="16" t="s">
        <v>247</v>
      </c>
      <c r="H71" s="14" t="n">
        <v>1</v>
      </c>
      <c r="I71" s="15" t="s">
        <v>248</v>
      </c>
      <c r="J71" s="15" t="s">
        <v>299</v>
      </c>
      <c r="K71" s="16" t="str">
        <f aca="false">"Reconstitution"&amp;IF(V71=0,"; Unpriced","")&amp;IF(AND(V71&gt;0,W71=0,X71=0),"; Low price from another market – confirm with company","")</f>
        <v>Reconstitution</v>
      </c>
      <c r="L71" s="18" t="n">
        <f aca="false">IFERROR(INDEX('Shortlisted Drugs X Company (7)'!$K$3:$K$698,MATCH(B71,'Shortlisted Drugs X Company (7)'!$C$3:$C$698,0)),"")</f>
        <v>10</v>
      </c>
      <c r="M71" s="18" t="n">
        <f aca="false">IFERROR(ROUND(L71*INDEX('Injectable Value'!$Z$28:$Z$178,MATCH(B71,'Injectable Value'!$A$28:$A$178,0)),0),"")</f>
        <v>9</v>
      </c>
      <c r="N71" s="18" t="n">
        <f aca="false">IFERROR(INDEX('Shortlisted Drugs X Company (7)'!$L$3:$L$698,MATCH(B71,'Shortlisted Drugs X Company (7)'!$C$3:$C$698,0)),"")</f>
        <v>280.98</v>
      </c>
      <c r="O71" s="15" t="str">
        <f aca="false">IF(AE71="No","IV only (not ID/IM/SC)",IF(AND(V71&gt;0,W71=0),"Price ≤ $5",""))</f>
        <v/>
      </c>
      <c r="P71" s="14" t="n">
        <f aca="false">IF(O71&lt;&gt;"","",COUNTIFS($A$29:$A$361,A71,$O$29:$O$361,"",$AC$29:$AC$361,"&gt;"&amp;AC71)+COUNTIFS($A$29:A71,A71,$O$29:O71,"",$AC$29:AC71,AC71))</f>
        <v>26</v>
      </c>
      <c r="Q71" s="15" t="str">
        <f aca="false">IF(O71&lt;&gt;"",IF(O71="Price ≤ $5","Excluded – price ≤ $5","Excluded – IV only"),IF(ISNUMBER(D71),IF(AND(D71&gt;=$C$3,M71&gt;=$E$3),"Priority 1",IF(OR(D71&gt;=$C$3,M71&gt;=$E$3),"Priority 2","Priority 3")),IF(M71&gt;=$E$3,"Priority 2","Priority 3")))</f>
        <v>Priority 3</v>
      </c>
      <c r="R71" s="16" t="s">
        <v>285</v>
      </c>
      <c r="S71" s="15" t="s">
        <v>286</v>
      </c>
      <c r="T71" s="32" t="s">
        <v>496</v>
      </c>
      <c r="U71" s="33" t="str">
        <f aca="false">B71&amp;"|"&amp;S71</f>
        <v>Oxacillin|Aurobindo Pharma</v>
      </c>
      <c r="V71" s="34" t="n">
        <f aca="false">COUNTIFS('Shortlisted Drugs X Company (7)'!$C$3:$C$698,$B71,'Shortlisted Drugs X Company (7)'!$E$3:$E$698,$S71,'Shortlisted Drugs X Company (7)'!$N$3:$N$698,"&gt;=0")</f>
        <v>1</v>
      </c>
      <c r="W71" s="34" t="n">
        <f aca="false">COUNTIFS('Shortlisted Drugs X Company (7)'!$C$3:$C$698,$B71,'Shortlisted Drugs X Company (7)'!$E$3:$E$698,$S71,'Shortlisted Drugs X Company (7)'!$N$3:$N$698,"&gt;5")</f>
        <v>1</v>
      </c>
      <c r="X71" s="34" t="n">
        <f aca="false">COUNTIFS('Shortlisted Drugs X Company (7)'!$C$3:$C$698,$B71,'Shortlisted Drugs X Company (7)'!$E$3:$E$698,$S71,'Shortlisted Drugs X Company (7)'!$P$3:$P$698,"Exact")+COUNTIFS('Shortlisted Drugs X Company (7)'!$C$3:$C$698,$B71,'Shortlisted Drugs X Company (7)'!$E$3:$E$698,$S71,'Shortlisted Drugs X Company (7)'!$P$3:$P$698,"Same-market proxy")</f>
        <v>1</v>
      </c>
      <c r="Y71" s="33" t="str">
        <f aca="false">A71&amp;"|"&amp;P71</f>
        <v>Aurobindo|26</v>
      </c>
      <c r="Z71" s="16" t="s">
        <v>333</v>
      </c>
      <c r="AA71" s="33" t="n">
        <f aca="false">INDEX($G$7:$G$25,MATCH(A71,$A$7:$A$25,0))</f>
        <v>2</v>
      </c>
      <c r="AB71" s="33" t="n">
        <f aca="false">IF(AE71="No","",AA71*1000+IF(P71="",900+COUNTIFS($A$29:A71,A71,$O$29:O71,"Price ≤ $5"),P71))</f>
        <v>2026</v>
      </c>
      <c r="AC71" s="33" t="n">
        <f aca="false">IF(O71&lt;&gt;"","",(4-VALUE(RIGHT(Q71,1)))*10^7+N(F71))</f>
        <v>10000260.9</v>
      </c>
      <c r="AD71" s="15" t="str">
        <f aca="false">IFERROR(INDEX('Route of Administration'!$C$5:$C$155,MATCH(B71,'Route of Administration'!$A$5:$A$155,0)),"")</f>
        <v>IV, IM</v>
      </c>
      <c r="AE71" s="14" t="str">
        <f aca="false">IFERROR(INDEX('Route of Administration'!$D$5:$D$155,MATCH(B71,'Route of Administration'!$A$5:$A$155,0)),"")</f>
        <v>Yes</v>
      </c>
      <c r="AF71" s="19" t="n">
        <f aca="false">IF(V71&gt;0,ROUND(AVERAGEIFS('Shortlisted Drugs X Company (7)'!$N$3:$N$698,'Shortlisted Drugs X Company (7)'!$C$3:$C$698,$B71,'Shortlisted Drugs X Company (7)'!$E$3:$E$698,$S71,'Shortlisted Drugs X Company (7)'!$N$3:$N$698,"&gt;=0"),2),"")</f>
        <v>10.93</v>
      </c>
      <c r="AG71" s="16" t="s">
        <v>497</v>
      </c>
      <c r="AH71" s="16" t="s">
        <v>247</v>
      </c>
      <c r="AI71" s="16" t="s">
        <v>247</v>
      </c>
      <c r="AJ71" s="16" t="str">
        <f aca="false">IF(O71&lt;&gt;"","",IF(ISNUMBER(D71),IF(D71&gt;=$C$3,"High price","Lower price"),"Unpriced")&amp;" · "&amp;IF(M71&gt;=$E$3,"high volume","lower volume"))</f>
        <v>Lower price · lower volume</v>
      </c>
      <c r="AK71" s="15" t="str">
        <f aca="false">IF(O71&lt;&gt;"",IF(O71="Price ≤ $5","Excluded – price ≤ $5","Excluded – IV only"),IF(ISNUMBER(D71),IF(AND(D71&gt;=$C$3,L71&gt;=$H$3),"Priority 1",IF(OR(D71&gt;=$C$3,L71&gt;=$H$3),"Priority 2","Priority 3")),IF(L71&gt;=$H$3,"Priority 2","Priority 3")))</f>
        <v>Priority 3</v>
      </c>
      <c r="AL71" s="16" t="str">
        <f aca="false">IF(O71&lt;&gt;"","",IF(ISNUMBER(D71),IF(D71&gt;=$C$3,"High price","Lower price"),"Unpriced")&amp;" · "&amp;IF(L71&gt;=$H$3,"high volume","lower volume"))</f>
        <v>Lower price · lower volume</v>
      </c>
      <c r="AM71" s="14" t="n">
        <f aca="false">IF(O71&lt;&gt;"","",COUNTIFS($A$29:$A$361,A71,$O$29:$O$361,"",$AQ$29:$AQ$361,"&gt;"&amp;AQ71)+COUNTIFS($A$29:A71,A71,$O$29:O71,"",$AQ$29:AQ71,AQ71))</f>
        <v>26</v>
      </c>
      <c r="AN71" s="19" t="n">
        <f aca="false">IF(AND(O71="",ISNUMBER(D71)),D71,"")</f>
        <v>10.93</v>
      </c>
      <c r="AO71" s="20" t="n">
        <f aca="false">IF(O71="",M71,"")</f>
        <v>9</v>
      </c>
      <c r="AP71" s="20" t="n">
        <f aca="false">IF(O71="",L71,"")</f>
        <v>10</v>
      </c>
      <c r="AQ71" s="33" t="n">
        <f aca="false">IF(O71&lt;&gt;"","",(4-VALUE(RIGHT(AK71,1)))*10^7+N(N71))</f>
        <v>10000280.98</v>
      </c>
      <c r="AR71" s="33" t="n">
        <f aca="false">INDEX($O$7:$O$25,MATCH(A71,$I$7:$I$25,0))</f>
        <v>2</v>
      </c>
      <c r="AS71" s="33" t="n">
        <f aca="false">IF(AE71="No","",AR71*1000+IF(AM71="",900+COUNTIFS($A$29:A71,A71,$O$29:O71,"Price ≤ $5"),AM71))</f>
        <v>2026</v>
      </c>
    </row>
    <row r="72" customFormat="false" ht="28.35" hidden="false" customHeight="false" outlineLevel="0" collapsed="false">
      <c r="A72" s="15" t="s">
        <v>187</v>
      </c>
      <c r="B72" s="15" t="s">
        <v>498</v>
      </c>
      <c r="C72" s="16" t="s">
        <v>499</v>
      </c>
      <c r="D72" s="17" t="n">
        <f aca="false">IF(W72&gt;0,ROUND(AVERAGEIFS('Shortlisted Drugs X Company (7)'!$N$3:$N$698,'Shortlisted Drugs X Company (7)'!$C$3:$C$698,$B72,'Shortlisted Drugs X Company (7)'!$E$3:$E$698,$S72,'Shortlisted Drugs X Company (7)'!$N$3:$N$698,"&gt;5"),2),"")</f>
        <v>9.74</v>
      </c>
      <c r="E72" s="15" t="str">
        <f aca="false">IF(COUNTIFS('Shortlisted Drugs X Company (7)'!$C$3:$C$698,$B72,'Shortlisted Drugs X Company (7)'!$E$3:$E$698,$S72,'Shortlisted Drugs X Company (7)'!$P$3:$P$698,"Exact")&gt;0,"Exact",IF(COUNTIFS('Shortlisted Drugs X Company (7)'!$C$3:$C$698,$B72,'Shortlisted Drugs X Company (7)'!$E$3:$E$698,$S72,'Shortlisted Drugs X Company (7)'!$P$3:$P$698,"Same-market proxy")&gt;0,"Same-market proxy",IF(COUNTIFS('Shortlisted Drugs X Company (7)'!$C$3:$C$698,$B72,'Shortlisted Drugs X Company (7)'!$E$3:$E$698,$S72,'Shortlisted Drugs X Company (7)'!$P$3:$P$698,"Cross-market proxy")&gt;0,"Cross-market proxy",IF(COUNTIFS('Shortlisted Drugs X Company (7)'!$C$3:$C$698,$B72,'Shortlisted Drugs X Company (7)'!$E$3:$E$698,$S72,'Shortlisted Drugs X Company (7)'!$P$3:$P$698,"Source not found")&gt;0,"Source not found","Not priced"))))</f>
        <v>Same-market proxy</v>
      </c>
      <c r="F72" s="18" t="n">
        <f aca="false">IFERROR(ROUND(INDEX('Injectable Value'!$AA$28:$AA$178,MATCH(B72,'Injectable Value'!$A$28:$A$178,0)),1),"")</f>
        <v>2802.1</v>
      </c>
      <c r="G72" s="16" t="s">
        <v>247</v>
      </c>
      <c r="H72" s="14" t="n">
        <v>1</v>
      </c>
      <c r="I72" s="15" t="s">
        <v>248</v>
      </c>
      <c r="J72" s="15" t="s">
        <v>249</v>
      </c>
      <c r="K72" s="16" t="str">
        <f aca="false">""&amp;IF(V72=0,"Unpriced","")&amp;IF(AND(V72&gt;0,W72=0,X72=0),"Low price from another market – confirm with company","")</f>
        <v/>
      </c>
      <c r="L72" s="18" t="n">
        <f aca="false">IFERROR(INDEX('Shortlisted Drugs X Company (7)'!$K$3:$K$698,MATCH(B72,'Shortlisted Drugs X Company (7)'!$C$3:$C$698,0)),"")</f>
        <v>119</v>
      </c>
      <c r="M72" s="18" t="n">
        <f aca="false">IFERROR(ROUND(L72*INDEX('Injectable Value'!$Z$28:$Z$178,MATCH(B72,'Injectable Value'!$A$28:$A$178,0)),0),"")</f>
        <v>107</v>
      </c>
      <c r="N72" s="18" t="n">
        <f aca="false">IFERROR(INDEX('Shortlisted Drugs X Company (7)'!$L$3:$L$698,MATCH(B72,'Shortlisted Drugs X Company (7)'!$C$3:$C$698,0)),"")</f>
        <v>3113.83</v>
      </c>
      <c r="O72" s="15" t="str">
        <f aca="false">IF(AE72="No","IV only (not ID/IM/SC)",IF(AND(V72&gt;0,W72=0),"Price ≤ $5",""))</f>
        <v>IV only (not ID/IM/SC)</v>
      </c>
      <c r="P72" s="14" t="str">
        <f aca="false">IF(O72&lt;&gt;"","",COUNTIFS($A$29:$A$361,A72,$O$29:$O$361,"",$AC$29:$AC$361,"&gt;"&amp;AC72)+COUNTIFS($A$29:A72,A72,$O$29:O72,"",$AC$29:AC72,AC72))</f>
        <v/>
      </c>
      <c r="Q72" s="15" t="str">
        <f aca="false">IF(O72&lt;&gt;"",IF(O72="Price ≤ $5","Excluded – price ≤ $5","Excluded – IV only"),IF(ISNUMBER(D72),IF(AND(D72&gt;=$C$3,M72&gt;=$E$3),"Priority 1",IF(OR(D72&gt;=$C$3,M72&gt;=$E$3),"Priority 2","Priority 3")),IF(M72&gt;=$E$3,"Priority 2","Priority 3")))</f>
        <v>Excluded – IV only</v>
      </c>
      <c r="R72" s="16" t="s">
        <v>250</v>
      </c>
      <c r="S72" s="15" t="s">
        <v>286</v>
      </c>
      <c r="T72" s="32" t="s">
        <v>500</v>
      </c>
      <c r="U72" s="33" t="str">
        <f aca="false">B72&amp;"|"&amp;S72</f>
        <v>Palonosetron|Aurobindo Pharma</v>
      </c>
      <c r="V72" s="34" t="n">
        <f aca="false">COUNTIFS('Shortlisted Drugs X Company (7)'!$C$3:$C$698,$B72,'Shortlisted Drugs X Company (7)'!$E$3:$E$698,$S72,'Shortlisted Drugs X Company (7)'!$N$3:$N$698,"&gt;=0")</f>
        <v>1</v>
      </c>
      <c r="W72" s="34" t="n">
        <f aca="false">COUNTIFS('Shortlisted Drugs X Company (7)'!$C$3:$C$698,$B72,'Shortlisted Drugs X Company (7)'!$E$3:$E$698,$S72,'Shortlisted Drugs X Company (7)'!$N$3:$N$698,"&gt;5")</f>
        <v>1</v>
      </c>
      <c r="X72" s="34" t="n">
        <f aca="false">COUNTIFS('Shortlisted Drugs X Company (7)'!$C$3:$C$698,$B72,'Shortlisted Drugs X Company (7)'!$E$3:$E$698,$S72,'Shortlisted Drugs X Company (7)'!$P$3:$P$698,"Exact")+COUNTIFS('Shortlisted Drugs X Company (7)'!$C$3:$C$698,$B72,'Shortlisted Drugs X Company (7)'!$E$3:$E$698,$S72,'Shortlisted Drugs X Company (7)'!$P$3:$P$698,"Same-market proxy")</f>
        <v>1</v>
      </c>
      <c r="Y72" s="33" t="str">
        <f aca="false">A72&amp;"|"&amp;P72</f>
        <v>Aurobindo|</v>
      </c>
      <c r="Z72" s="16" t="s">
        <v>501</v>
      </c>
      <c r="AA72" s="33" t="n">
        <f aca="false">INDEX($G$7:$G$25,MATCH(A72,$A$7:$A$25,0))</f>
        <v>2</v>
      </c>
      <c r="AB72" s="33" t="str">
        <f aca="false">IF(AE72="No","",AA72*1000+IF(P72="",900+COUNTIFS($A$29:A72,A72,$O$29:O72,"Price ≤ $5"),P72))</f>
        <v/>
      </c>
      <c r="AC72" s="33" t="str">
        <f aca="false">IF(O72&lt;&gt;"","",(4-VALUE(RIGHT(Q72,1)))*10^7+N(F72))</f>
        <v/>
      </c>
      <c r="AD72" s="15" t="str">
        <f aca="false">IFERROR(INDEX('Route of Administration'!$C$5:$C$155,MATCH(B72,'Route of Administration'!$A$5:$A$155,0)),"")</f>
        <v>IV</v>
      </c>
      <c r="AE72" s="14" t="str">
        <f aca="false">IFERROR(INDEX('Route of Administration'!$D$5:$D$155,MATCH(B72,'Route of Administration'!$A$5:$A$155,0)),"")</f>
        <v>No</v>
      </c>
      <c r="AF72" s="19" t="n">
        <f aca="false">IF(V72&gt;0,ROUND(AVERAGEIFS('Shortlisted Drugs X Company (7)'!$N$3:$N$698,'Shortlisted Drugs X Company (7)'!$C$3:$C$698,$B72,'Shortlisted Drugs X Company (7)'!$E$3:$E$698,$S72,'Shortlisted Drugs X Company (7)'!$N$3:$N$698,"&gt;=0"),2),"")</f>
        <v>9.74</v>
      </c>
      <c r="AG72" s="16" t="s">
        <v>502</v>
      </c>
      <c r="AH72" s="16" t="s">
        <v>247</v>
      </c>
      <c r="AI72" s="16" t="s">
        <v>247</v>
      </c>
      <c r="AJ72" s="16" t="str">
        <f aca="false">IF(O72&lt;&gt;"","",IF(ISNUMBER(D72),IF(D72&gt;=$C$3,"High price","Lower price"),"Unpriced")&amp;" · "&amp;IF(M72&gt;=$E$3,"high volume","lower volume"))</f>
        <v/>
      </c>
      <c r="AK72" s="15" t="str">
        <f aca="false">IF(O72&lt;&gt;"",IF(O72="Price ≤ $5","Excluded – price ≤ $5","Excluded – IV only"),IF(ISNUMBER(D72),IF(AND(D72&gt;=$C$3,L72&gt;=$H$3),"Priority 1",IF(OR(D72&gt;=$C$3,L72&gt;=$H$3),"Priority 2","Priority 3")),IF(L72&gt;=$H$3,"Priority 2","Priority 3")))</f>
        <v>Excluded – IV only</v>
      </c>
      <c r="AL72" s="16" t="str">
        <f aca="false">IF(O72&lt;&gt;"","",IF(ISNUMBER(D72),IF(D72&gt;=$C$3,"High price","Lower price"),"Unpriced")&amp;" · "&amp;IF(L72&gt;=$H$3,"high volume","lower volume"))</f>
        <v/>
      </c>
      <c r="AM72" s="14" t="str">
        <f aca="false">IF(O72&lt;&gt;"","",COUNTIFS($A$29:$A$361,A72,$O$29:$O$361,"",$AQ$29:$AQ$361,"&gt;"&amp;AQ72)+COUNTIFS($A$29:A72,A72,$O$29:O72,"",$AQ$29:AQ72,AQ72))</f>
        <v/>
      </c>
      <c r="AN72" s="33" t="str">
        <f aca="false">IF(AND(O72="",ISNUMBER(D72)),D72,"")</f>
        <v/>
      </c>
      <c r="AO72" s="33" t="str">
        <f aca="false">IF(O72="",M72,"")</f>
        <v/>
      </c>
      <c r="AP72" s="33" t="str">
        <f aca="false">IF(O72="",L72,"")</f>
        <v/>
      </c>
      <c r="AQ72" s="33" t="str">
        <f aca="false">IF(O72&lt;&gt;"","",(4-VALUE(RIGHT(AK72,1)))*10^7+N(N72))</f>
        <v/>
      </c>
      <c r="AR72" s="33" t="n">
        <f aca="false">INDEX($O$7:$O$25,MATCH(A72,$I$7:$I$25,0))</f>
        <v>2</v>
      </c>
      <c r="AS72" s="33" t="str">
        <f aca="false">IF(AE72="No","",AR72*1000+IF(AM72="",900+COUNTIFS($A$29:A72,A72,$O$29:O72,"Price ≤ $5"),AM72))</f>
        <v/>
      </c>
    </row>
    <row r="73" customFormat="false" ht="41.75" hidden="false" customHeight="false" outlineLevel="0" collapsed="false">
      <c r="A73" s="15" t="s">
        <v>187</v>
      </c>
      <c r="B73" s="15" t="s">
        <v>503</v>
      </c>
      <c r="C73" s="16" t="s">
        <v>504</v>
      </c>
      <c r="D73" s="17" t="n">
        <f aca="false">IF(W73&gt;0,ROUND(AVERAGEIFS('Shortlisted Drugs X Company (7)'!$N$3:$N$698,'Shortlisted Drugs X Company (7)'!$C$3:$C$698,$B73,'Shortlisted Drugs X Company (7)'!$E$3:$E$698,$S73,'Shortlisted Drugs X Company (7)'!$N$3:$N$698,"&gt;5"),2),"")</f>
        <v>7.7</v>
      </c>
      <c r="E73" s="15" t="str">
        <f aca="false">IF(COUNTIFS('Shortlisted Drugs X Company (7)'!$C$3:$C$698,$B73,'Shortlisted Drugs X Company (7)'!$E$3:$E$698,$S73,'Shortlisted Drugs X Company (7)'!$P$3:$P$698,"Exact")&gt;0,"Exact",IF(COUNTIFS('Shortlisted Drugs X Company (7)'!$C$3:$C$698,$B73,'Shortlisted Drugs X Company (7)'!$E$3:$E$698,$S73,'Shortlisted Drugs X Company (7)'!$P$3:$P$698,"Same-market proxy")&gt;0,"Same-market proxy",IF(COUNTIFS('Shortlisted Drugs X Company (7)'!$C$3:$C$698,$B73,'Shortlisted Drugs X Company (7)'!$E$3:$E$698,$S73,'Shortlisted Drugs X Company (7)'!$P$3:$P$698,"Cross-market proxy")&gt;0,"Cross-market proxy",IF(COUNTIFS('Shortlisted Drugs X Company (7)'!$C$3:$C$698,$B73,'Shortlisted Drugs X Company (7)'!$E$3:$E$698,$S73,'Shortlisted Drugs X Company (7)'!$P$3:$P$698,"Source not found")&gt;0,"Source not found","Not priced"))))</f>
        <v>Exact</v>
      </c>
      <c r="F73" s="18" t="n">
        <f aca="false">IFERROR(ROUND(INDEX('Injectable Value'!$AA$28:$AA$178,MATCH(B73,'Injectable Value'!$A$28:$A$178,0)),1),"")</f>
        <v>35276.7</v>
      </c>
      <c r="G73" s="16" t="s">
        <v>505</v>
      </c>
      <c r="H73" s="14" t="n">
        <v>11</v>
      </c>
      <c r="I73" s="15" t="s">
        <v>248</v>
      </c>
      <c r="J73" s="15" t="s">
        <v>249</v>
      </c>
      <c r="K73" s="16" t="str">
        <f aca="false">""&amp;IF(V73=0,"Unpriced","")&amp;IF(AND(V73&gt;0,W73=0,X73=0),"Low price from another market – confirm with company","")</f>
        <v/>
      </c>
      <c r="L73" s="18" t="n">
        <f aca="false">IFERROR(INDEX('Shortlisted Drugs X Company (7)'!$K$3:$K$698,MATCH(B73,'Shortlisted Drugs X Company (7)'!$C$3:$C$698,0)),"")</f>
        <v>3515</v>
      </c>
      <c r="M73" s="18" t="n">
        <f aca="false">IFERROR(ROUND(L73*INDEX('Injectable Value'!$Z$28:$Z$178,MATCH(B73,'Injectable Value'!$A$28:$A$178,0)),0),"")</f>
        <v>885</v>
      </c>
      <c r="N73" s="18" t="n">
        <f aca="false">IFERROR(INDEX('Shortlisted Drugs X Company (7)'!$L$3:$L$698,MATCH(B73,'Shortlisted Drugs X Company (7)'!$C$3:$C$698,0)),"")</f>
        <v>140084.73</v>
      </c>
      <c r="O73" s="15" t="str">
        <f aca="false">IF(AE73="No","IV only (not ID/IM/SC)",IF(AND(V73&gt;0,W73=0),"Price ≤ $5",""))</f>
        <v>IV only (not ID/IM/SC)</v>
      </c>
      <c r="P73" s="14" t="str">
        <f aca="false">IF(O73&lt;&gt;"","",COUNTIFS($A$29:$A$361,A73,$O$29:$O$361,"",$AC$29:$AC$361,"&gt;"&amp;AC73)+COUNTIFS($A$29:A73,A73,$O$29:O73,"",$AC$29:AC73,AC73))</f>
        <v/>
      </c>
      <c r="Q73" s="15" t="str">
        <f aca="false">IF(O73&lt;&gt;"",IF(O73="Price ≤ $5","Excluded – price ≤ $5","Excluded – IV only"),IF(ISNUMBER(D73),IF(AND(D73&gt;=$C$3,M73&gt;=$E$3),"Priority 1",IF(OR(D73&gt;=$C$3,M73&gt;=$E$3),"Priority 2","Priority 3")),IF(M73&gt;=$E$3,"Priority 2","Priority 3")))</f>
        <v>Excluded – IV only</v>
      </c>
      <c r="R73" s="16" t="s">
        <v>250</v>
      </c>
      <c r="S73" s="15" t="s">
        <v>286</v>
      </c>
      <c r="T73" s="32" t="s">
        <v>506</v>
      </c>
      <c r="U73" s="33" t="str">
        <f aca="false">B73&amp;"|"&amp;S73</f>
        <v>Pantoprazole|Aurobindo Pharma</v>
      </c>
      <c r="V73" s="34" t="n">
        <f aca="false">COUNTIFS('Shortlisted Drugs X Company (7)'!$C$3:$C$698,$B73,'Shortlisted Drugs X Company (7)'!$E$3:$E$698,$S73,'Shortlisted Drugs X Company (7)'!$N$3:$N$698,"&gt;=0")</f>
        <v>3</v>
      </c>
      <c r="W73" s="34" t="n">
        <f aca="false">COUNTIFS('Shortlisted Drugs X Company (7)'!$C$3:$C$698,$B73,'Shortlisted Drugs X Company (7)'!$E$3:$E$698,$S73,'Shortlisted Drugs X Company (7)'!$N$3:$N$698,"&gt;5")</f>
        <v>3</v>
      </c>
      <c r="X73" s="34" t="n">
        <f aca="false">COUNTIFS('Shortlisted Drugs X Company (7)'!$C$3:$C$698,$B73,'Shortlisted Drugs X Company (7)'!$E$3:$E$698,$S73,'Shortlisted Drugs X Company (7)'!$P$3:$P$698,"Exact")+COUNTIFS('Shortlisted Drugs X Company (7)'!$C$3:$C$698,$B73,'Shortlisted Drugs X Company (7)'!$E$3:$E$698,$S73,'Shortlisted Drugs X Company (7)'!$P$3:$P$698,"Same-market proxy")</f>
        <v>3</v>
      </c>
      <c r="Y73" s="33" t="str">
        <f aca="false">A73&amp;"|"&amp;P73</f>
        <v>Aurobindo|</v>
      </c>
      <c r="Z73" s="16" t="s">
        <v>507</v>
      </c>
      <c r="AA73" s="33" t="n">
        <f aca="false">INDEX($G$7:$G$25,MATCH(A73,$A$7:$A$25,0))</f>
        <v>2</v>
      </c>
      <c r="AB73" s="33" t="str">
        <f aca="false">IF(AE73="No","",AA73*1000+IF(P73="",900+COUNTIFS($A$29:A73,A73,$O$29:O73,"Price ≤ $5"),P73))</f>
        <v/>
      </c>
      <c r="AC73" s="33" t="str">
        <f aca="false">IF(O73&lt;&gt;"","",(4-VALUE(RIGHT(Q73,1)))*10^7+N(F73))</f>
        <v/>
      </c>
      <c r="AD73" s="15" t="str">
        <f aca="false">IFERROR(INDEX('Route of Administration'!$C$5:$C$155,MATCH(B73,'Route of Administration'!$A$5:$A$155,0)),"")</f>
        <v>IV</v>
      </c>
      <c r="AE73" s="14" t="str">
        <f aca="false">IFERROR(INDEX('Route of Administration'!$D$5:$D$155,MATCH(B73,'Route of Administration'!$A$5:$A$155,0)),"")</f>
        <v>No</v>
      </c>
      <c r="AF73" s="19" t="n">
        <f aca="false">IF(V73&gt;0,ROUND(AVERAGEIFS('Shortlisted Drugs X Company (7)'!$N$3:$N$698,'Shortlisted Drugs X Company (7)'!$C$3:$C$698,$B73,'Shortlisted Drugs X Company (7)'!$E$3:$E$698,$S73,'Shortlisted Drugs X Company (7)'!$N$3:$N$698,"&gt;=0"),2),"")</f>
        <v>7.7</v>
      </c>
      <c r="AG73" s="16" t="s">
        <v>503</v>
      </c>
      <c r="AH73" s="16" t="s">
        <v>508</v>
      </c>
      <c r="AI73" s="16" t="s">
        <v>509</v>
      </c>
      <c r="AJ73" s="16" t="str">
        <f aca="false">IF(O73&lt;&gt;"","",IF(ISNUMBER(D73),IF(D73&gt;=$C$3,"High price","Lower price"),"Unpriced")&amp;" · "&amp;IF(M73&gt;=$E$3,"high volume","lower volume"))</f>
        <v/>
      </c>
      <c r="AK73" s="15" t="str">
        <f aca="false">IF(O73&lt;&gt;"",IF(O73="Price ≤ $5","Excluded – price ≤ $5","Excluded – IV only"),IF(ISNUMBER(D73),IF(AND(D73&gt;=$C$3,L73&gt;=$H$3),"Priority 1",IF(OR(D73&gt;=$C$3,L73&gt;=$H$3),"Priority 2","Priority 3")),IF(L73&gt;=$H$3,"Priority 2","Priority 3")))</f>
        <v>Excluded – IV only</v>
      </c>
      <c r="AL73" s="16" t="str">
        <f aca="false">IF(O73&lt;&gt;"","",IF(ISNUMBER(D73),IF(D73&gt;=$C$3,"High price","Lower price"),"Unpriced")&amp;" · "&amp;IF(L73&gt;=$H$3,"high volume","lower volume"))</f>
        <v/>
      </c>
      <c r="AM73" s="14" t="str">
        <f aca="false">IF(O73&lt;&gt;"","",COUNTIFS($A$29:$A$361,A73,$O$29:$O$361,"",$AQ$29:$AQ$361,"&gt;"&amp;AQ73)+COUNTIFS($A$29:A73,A73,$O$29:O73,"",$AQ$29:AQ73,AQ73))</f>
        <v/>
      </c>
      <c r="AN73" s="33" t="str">
        <f aca="false">IF(AND(O73="",ISNUMBER(D73)),D73,"")</f>
        <v/>
      </c>
      <c r="AO73" s="33" t="str">
        <f aca="false">IF(O73="",M73,"")</f>
        <v/>
      </c>
      <c r="AP73" s="33" t="str">
        <f aca="false">IF(O73="",L73,"")</f>
        <v/>
      </c>
      <c r="AQ73" s="33" t="str">
        <f aca="false">IF(O73&lt;&gt;"","",(4-VALUE(RIGHT(AK73,1)))*10^7+N(N73))</f>
        <v/>
      </c>
      <c r="AR73" s="33" t="n">
        <f aca="false">INDEX($O$7:$O$25,MATCH(A73,$I$7:$I$25,0))</f>
        <v>2</v>
      </c>
      <c r="AS73" s="33" t="str">
        <f aca="false">IF(AE73="No","",AR73*1000+IF(AM73="",900+COUNTIFS($A$29:A73,A73,$O$29:O73,"Price ≤ $5"),AM73))</f>
        <v/>
      </c>
    </row>
    <row r="74" customFormat="false" ht="41.75" hidden="false" customHeight="false" outlineLevel="0" collapsed="false">
      <c r="A74" s="15" t="s">
        <v>187</v>
      </c>
      <c r="B74" s="15" t="s">
        <v>510</v>
      </c>
      <c r="C74" s="16" t="s">
        <v>511</v>
      </c>
      <c r="D74" s="17" t="n">
        <f aca="false">IF(W74&gt;0,ROUND(AVERAGEIFS('Shortlisted Drugs X Company (7)'!$N$3:$N$698,'Shortlisted Drugs X Company (7)'!$C$3:$C$698,$B74,'Shortlisted Drugs X Company (7)'!$E$3:$E$698,$S74,'Shortlisted Drugs X Company (7)'!$N$3:$N$698,"&gt;5"),2),"")</f>
        <v>3710.2</v>
      </c>
      <c r="E74" s="15" t="str">
        <f aca="false">IF(COUNTIFS('Shortlisted Drugs X Company (7)'!$C$3:$C$698,$B74,'Shortlisted Drugs X Company (7)'!$E$3:$E$698,$S74,'Shortlisted Drugs X Company (7)'!$P$3:$P$698,"Exact")&gt;0,"Exact",IF(COUNTIFS('Shortlisted Drugs X Company (7)'!$C$3:$C$698,$B74,'Shortlisted Drugs X Company (7)'!$E$3:$E$698,$S74,'Shortlisted Drugs X Company (7)'!$P$3:$P$698,"Same-market proxy")&gt;0,"Same-market proxy",IF(COUNTIFS('Shortlisted Drugs X Company (7)'!$C$3:$C$698,$B74,'Shortlisted Drugs X Company (7)'!$E$3:$E$698,$S74,'Shortlisted Drugs X Company (7)'!$P$3:$P$698,"Cross-market proxy")&gt;0,"Cross-market proxy",IF(COUNTIFS('Shortlisted Drugs X Company (7)'!$C$3:$C$698,$B74,'Shortlisted Drugs X Company (7)'!$E$3:$E$698,$S74,'Shortlisted Drugs X Company (7)'!$P$3:$P$698,"Source not found")&gt;0,"Source not found","Not priced"))))</f>
        <v>Exact</v>
      </c>
      <c r="F74" s="18" t="n">
        <f aca="false">IFERROR(ROUND(INDEX('Injectable Value'!$AA$28:$AA$178,MATCH(B74,'Injectable Value'!$A$28:$A$178,0)),1),"")</f>
        <v>7904.7</v>
      </c>
      <c r="G74" s="16" t="s">
        <v>512</v>
      </c>
      <c r="H74" s="14" t="n">
        <v>10</v>
      </c>
      <c r="I74" s="15" t="s">
        <v>248</v>
      </c>
      <c r="J74" s="15" t="s">
        <v>249</v>
      </c>
      <c r="K74" s="16" t="str">
        <f aca="false">""&amp;IF(V74=0,"Unpriced","")&amp;IF(AND(V74&gt;0,W74=0,X74=0),"Low price from another market – confirm with company","")</f>
        <v/>
      </c>
      <c r="L74" s="18" t="n">
        <f aca="false">IFERROR(INDEX('Shortlisted Drugs X Company (7)'!$K$3:$K$698,MATCH(B74,'Shortlisted Drugs X Company (7)'!$C$3:$C$698,0)),"")</f>
        <v>47</v>
      </c>
      <c r="M74" s="18" t="n">
        <f aca="false">IFERROR(ROUND(L74*INDEX('Injectable Value'!$Z$28:$Z$178,MATCH(B74,'Injectable Value'!$A$28:$A$178,0)),0),"")</f>
        <v>47</v>
      </c>
      <c r="N74" s="18" t="n">
        <f aca="false">IFERROR(INDEX('Shortlisted Drugs X Company (7)'!$L$3:$L$698,MATCH(B74,'Shortlisted Drugs X Company (7)'!$C$3:$C$698,0)),"")</f>
        <v>7904.67</v>
      </c>
      <c r="O74" s="15" t="str">
        <f aca="false">IF(AE74="No","IV only (not ID/IM/SC)",IF(AND(V74&gt;0,W74=0),"Price ≤ $5",""))</f>
        <v/>
      </c>
      <c r="P74" s="14" t="n">
        <f aca="false">IF(O74&lt;&gt;"","",COUNTIFS($A$29:$A$361,A74,$O$29:$O$361,"",$AC$29:$AC$361,"&gt;"&amp;AC74)+COUNTIFS($A$29:A74,A74,$O$29:O74,"",$AC$29:AC74,AC74))</f>
        <v>12</v>
      </c>
      <c r="Q74" s="15" t="str">
        <f aca="false">IF(O74&lt;&gt;"",IF(O74="Price ≤ $5","Excluded – price ≤ $5","Excluded – IV only"),IF(ISNUMBER(D74),IF(AND(D74&gt;=$C$3,M74&gt;=$E$3),"Priority 1",IF(OR(D74&gt;=$C$3,M74&gt;=$E$3),"Priority 2","Priority 3")),IF(M74&gt;=$E$3,"Priority 2","Priority 3")))</f>
        <v>Priority 2</v>
      </c>
      <c r="R74" s="16" t="s">
        <v>250</v>
      </c>
      <c r="S74" s="15" t="s">
        <v>286</v>
      </c>
      <c r="T74" s="32" t="s">
        <v>513</v>
      </c>
      <c r="U74" s="33" t="str">
        <f aca="false">B74&amp;"|"&amp;S74</f>
        <v>Plerixafor|Aurobindo Pharma</v>
      </c>
      <c r="V74" s="34" t="n">
        <f aca="false">COUNTIFS('Shortlisted Drugs X Company (7)'!$C$3:$C$698,$B74,'Shortlisted Drugs X Company (7)'!$E$3:$E$698,$S74,'Shortlisted Drugs X Company (7)'!$N$3:$N$698,"&gt;=0")</f>
        <v>5</v>
      </c>
      <c r="W74" s="34" t="n">
        <f aca="false">COUNTIFS('Shortlisted Drugs X Company (7)'!$C$3:$C$698,$B74,'Shortlisted Drugs X Company (7)'!$E$3:$E$698,$S74,'Shortlisted Drugs X Company (7)'!$N$3:$N$698,"&gt;5")</f>
        <v>5</v>
      </c>
      <c r="X74" s="34" t="n">
        <f aca="false">COUNTIFS('Shortlisted Drugs X Company (7)'!$C$3:$C$698,$B74,'Shortlisted Drugs X Company (7)'!$E$3:$E$698,$S74,'Shortlisted Drugs X Company (7)'!$P$3:$P$698,"Exact")+COUNTIFS('Shortlisted Drugs X Company (7)'!$C$3:$C$698,$B74,'Shortlisted Drugs X Company (7)'!$E$3:$E$698,$S74,'Shortlisted Drugs X Company (7)'!$P$3:$P$698,"Same-market proxy")</f>
        <v>5</v>
      </c>
      <c r="Y74" s="33" t="str">
        <f aca="false">A74&amp;"|"&amp;P74</f>
        <v>Aurobindo|12</v>
      </c>
      <c r="Z74" s="16" t="s">
        <v>514</v>
      </c>
      <c r="AA74" s="33" t="n">
        <f aca="false">INDEX($G$7:$G$25,MATCH(A74,$A$7:$A$25,0))</f>
        <v>2</v>
      </c>
      <c r="AB74" s="33" t="n">
        <f aca="false">IF(AE74="No","",AA74*1000+IF(P74="",900+COUNTIFS($A$29:A74,A74,$O$29:O74,"Price ≤ $5"),P74))</f>
        <v>2012</v>
      </c>
      <c r="AC74" s="33" t="n">
        <f aca="false">IF(O74&lt;&gt;"","",(4-VALUE(RIGHT(Q74,1)))*10^7+N(F74))</f>
        <v>20007904.7</v>
      </c>
      <c r="AD74" s="15" t="str">
        <f aca="false">IFERROR(INDEX('Route of Administration'!$C$5:$C$155,MATCH(B74,'Route of Administration'!$A$5:$A$155,0)),"")</f>
        <v>SC</v>
      </c>
      <c r="AE74" s="14" t="str">
        <f aca="false">IFERROR(INDEX('Route of Administration'!$D$5:$D$155,MATCH(B74,'Route of Administration'!$A$5:$A$155,0)),"")</f>
        <v>Yes</v>
      </c>
      <c r="AF74" s="19" t="n">
        <f aca="false">IF(V74&gt;0,ROUND(AVERAGEIFS('Shortlisted Drugs X Company (7)'!$N$3:$N$698,'Shortlisted Drugs X Company (7)'!$C$3:$C$698,$B74,'Shortlisted Drugs X Company (7)'!$E$3:$E$698,$S74,'Shortlisted Drugs X Company (7)'!$N$3:$N$698,"&gt;=0"),2),"")</f>
        <v>3710.2</v>
      </c>
      <c r="AG74" s="16" t="s">
        <v>515</v>
      </c>
      <c r="AH74" s="16" t="s">
        <v>516</v>
      </c>
      <c r="AI74" s="16" t="s">
        <v>516</v>
      </c>
      <c r="AJ74" s="16" t="str">
        <f aca="false">IF(O74&lt;&gt;"","",IF(ISNUMBER(D74),IF(D74&gt;=$C$3,"High price","Lower price"),"Unpriced")&amp;" · "&amp;IF(M74&gt;=$E$3,"high volume","lower volume"))</f>
        <v>High price · lower volume</v>
      </c>
      <c r="AK74" s="15" t="str">
        <f aca="false">IF(O74&lt;&gt;"",IF(O74="Price ≤ $5","Excluded – price ≤ $5","Excluded – IV only"),IF(ISNUMBER(D74),IF(AND(D74&gt;=$C$3,L74&gt;=$H$3),"Priority 1",IF(OR(D74&gt;=$C$3,L74&gt;=$H$3),"Priority 2","Priority 3")),IF(L74&gt;=$H$3,"Priority 2","Priority 3")))</f>
        <v>Priority 2</v>
      </c>
      <c r="AL74" s="16" t="str">
        <f aca="false">IF(O74&lt;&gt;"","",IF(ISNUMBER(D74),IF(D74&gt;=$C$3,"High price","Lower price"),"Unpriced")&amp;" · "&amp;IF(L74&gt;=$H$3,"high volume","lower volume"))</f>
        <v>High price · lower volume</v>
      </c>
      <c r="AM74" s="14" t="n">
        <f aca="false">IF(O74&lt;&gt;"","",COUNTIFS($A$29:$A$361,A74,$O$29:$O$361,"",$AQ$29:$AQ$361,"&gt;"&amp;AQ74)+COUNTIFS($A$29:A74,A74,$O$29:O74,"",$AQ$29:AQ74,AQ74))</f>
        <v>16</v>
      </c>
      <c r="AN74" s="19" t="n">
        <f aca="false">IF(AND(O74="",ISNUMBER(D74)),D74,"")</f>
        <v>3710.2</v>
      </c>
      <c r="AO74" s="20" t="n">
        <f aca="false">IF(O74="",M74,"")</f>
        <v>47</v>
      </c>
      <c r="AP74" s="20" t="n">
        <f aca="false">IF(O74="",L74,"")</f>
        <v>47</v>
      </c>
      <c r="AQ74" s="33" t="n">
        <f aca="false">IF(O74&lt;&gt;"","",(4-VALUE(RIGHT(AK74,1)))*10^7+N(N74))</f>
        <v>20007904.67</v>
      </c>
      <c r="AR74" s="33" t="n">
        <f aca="false">INDEX($O$7:$O$25,MATCH(A74,$I$7:$I$25,0))</f>
        <v>2</v>
      </c>
      <c r="AS74" s="33" t="n">
        <f aca="false">IF(AE74="No","",AR74*1000+IF(AM74="",900+COUNTIFS($A$29:A74,A74,$O$29:O74,"Price ≤ $5"),AM74))</f>
        <v>2016</v>
      </c>
    </row>
    <row r="75" customFormat="false" ht="41.75" hidden="false" customHeight="false" outlineLevel="0" collapsed="false">
      <c r="A75" s="15" t="s">
        <v>187</v>
      </c>
      <c r="B75" s="15" t="s">
        <v>517</v>
      </c>
      <c r="C75" s="16" t="s">
        <v>518</v>
      </c>
      <c r="D75" s="17" t="n">
        <f aca="false">IF(W75&gt;0,ROUND(AVERAGEIFS('Shortlisted Drugs X Company (7)'!$N$3:$N$698,'Shortlisted Drugs X Company (7)'!$C$3:$C$698,$B75,'Shortlisted Drugs X Company (7)'!$E$3:$E$698,$S75,'Shortlisted Drugs X Company (7)'!$N$3:$N$698,"&gt;5"),2),"")</f>
        <v>22.25</v>
      </c>
      <c r="E75" s="15" t="str">
        <f aca="false">IF(COUNTIFS('Shortlisted Drugs X Company (7)'!$C$3:$C$698,$B75,'Shortlisted Drugs X Company (7)'!$E$3:$E$698,$S75,'Shortlisted Drugs X Company (7)'!$P$3:$P$698,"Exact")&gt;0,"Exact",IF(COUNTIFS('Shortlisted Drugs X Company (7)'!$C$3:$C$698,$B75,'Shortlisted Drugs X Company (7)'!$E$3:$E$698,$S75,'Shortlisted Drugs X Company (7)'!$P$3:$P$698,"Same-market proxy")&gt;0,"Same-market proxy",IF(COUNTIFS('Shortlisted Drugs X Company (7)'!$C$3:$C$698,$B75,'Shortlisted Drugs X Company (7)'!$E$3:$E$698,$S75,'Shortlisted Drugs X Company (7)'!$P$3:$P$698,"Cross-market proxy")&gt;0,"Cross-market proxy",IF(COUNTIFS('Shortlisted Drugs X Company (7)'!$C$3:$C$698,$B75,'Shortlisted Drugs X Company (7)'!$E$3:$E$698,$S75,'Shortlisted Drugs X Company (7)'!$P$3:$P$698,"Source not found")&gt;0,"Source not found","Not priced"))))</f>
        <v>Same-market proxy</v>
      </c>
      <c r="F75" s="18" t="n">
        <f aca="false">IFERROR(ROUND(INDEX('Injectable Value'!$AA$28:$AA$178,MATCH(B75,'Injectable Value'!$A$28:$A$178,0)),1),"")</f>
        <v>2646.6</v>
      </c>
      <c r="G75" s="16" t="s">
        <v>247</v>
      </c>
      <c r="H75" s="14" t="n">
        <v>1</v>
      </c>
      <c r="I75" s="15" t="s">
        <v>248</v>
      </c>
      <c r="J75" s="15" t="s">
        <v>249</v>
      </c>
      <c r="K75" s="16" t="str">
        <f aca="false">""&amp;IF(V75=0,"Unpriced","")&amp;IF(AND(V75&gt;0,W75=0,X75=0),"Low price from another market – confirm with company","")</f>
        <v/>
      </c>
      <c r="L75" s="18" t="n">
        <f aca="false">IFERROR(INDEX('Shortlisted Drugs X Company (7)'!$K$3:$K$698,MATCH(B75,'Shortlisted Drugs X Company (7)'!$C$3:$C$698,0)),"")</f>
        <v>736</v>
      </c>
      <c r="M75" s="18" t="n">
        <f aca="false">IFERROR(ROUND(L75*INDEX('Injectable Value'!$Z$28:$Z$178,MATCH(B75,'Injectable Value'!$A$28:$A$178,0)),0),"")</f>
        <v>88</v>
      </c>
      <c r="N75" s="18" t="n">
        <f aca="false">IFERROR(INDEX('Shortlisted Drugs X Company (7)'!$L$3:$L$698,MATCH(B75,'Shortlisted Drugs X Company (7)'!$C$3:$C$698,0)),"")</f>
        <v>22018.81</v>
      </c>
      <c r="O75" s="15" t="str">
        <f aca="false">IF(AE75="No","IV only (not ID/IM/SC)",IF(AND(V75&gt;0,W75=0),"Price ≤ $5",""))</f>
        <v/>
      </c>
      <c r="P75" s="14" t="n">
        <f aca="false">IF(O75&lt;&gt;"","",COUNTIFS($A$29:$A$361,A75,$O$29:$O$361,"",$AC$29:$AC$361,"&gt;"&amp;AC75)+COUNTIFS($A$29:A75,A75,$O$29:O75,"",$AC$29:AC75,AC75))</f>
        <v>23</v>
      </c>
      <c r="Q75" s="15" t="str">
        <f aca="false">IF(O75&lt;&gt;"",IF(O75="Price ≤ $5","Excluded – price ≤ $5","Excluded – IV only"),IF(ISNUMBER(D75),IF(AND(D75&gt;=$C$3,M75&gt;=$E$3),"Priority 1",IF(OR(D75&gt;=$C$3,M75&gt;=$E$3),"Priority 2","Priority 3")),IF(M75&gt;=$E$3,"Priority 2","Priority 3")))</f>
        <v>Priority 3</v>
      </c>
      <c r="R75" s="16" t="s">
        <v>285</v>
      </c>
      <c r="S75" s="15" t="s">
        <v>286</v>
      </c>
      <c r="T75" s="32" t="s">
        <v>519</v>
      </c>
      <c r="U75" s="33" t="str">
        <f aca="false">B75&amp;"|"&amp;S75</f>
        <v>Progesterone|Aurobindo Pharma</v>
      </c>
      <c r="V75" s="34" t="n">
        <f aca="false">COUNTIFS('Shortlisted Drugs X Company (7)'!$C$3:$C$698,$B75,'Shortlisted Drugs X Company (7)'!$E$3:$E$698,$S75,'Shortlisted Drugs X Company (7)'!$N$3:$N$698,"&gt;=0")</f>
        <v>1</v>
      </c>
      <c r="W75" s="34" t="n">
        <f aca="false">COUNTIFS('Shortlisted Drugs X Company (7)'!$C$3:$C$698,$B75,'Shortlisted Drugs X Company (7)'!$E$3:$E$698,$S75,'Shortlisted Drugs X Company (7)'!$N$3:$N$698,"&gt;5")</f>
        <v>1</v>
      </c>
      <c r="X75" s="34" t="n">
        <f aca="false">COUNTIFS('Shortlisted Drugs X Company (7)'!$C$3:$C$698,$B75,'Shortlisted Drugs X Company (7)'!$E$3:$E$698,$S75,'Shortlisted Drugs X Company (7)'!$P$3:$P$698,"Exact")+COUNTIFS('Shortlisted Drugs X Company (7)'!$C$3:$C$698,$B75,'Shortlisted Drugs X Company (7)'!$E$3:$E$698,$S75,'Shortlisted Drugs X Company (7)'!$P$3:$P$698,"Same-market proxy")</f>
        <v>1</v>
      </c>
      <c r="Y75" s="33" t="str">
        <f aca="false">A75&amp;"|"&amp;P75</f>
        <v>Aurobindo|23</v>
      </c>
      <c r="Z75" s="16" t="s">
        <v>520</v>
      </c>
      <c r="AA75" s="33" t="n">
        <f aca="false">INDEX($G$7:$G$25,MATCH(A75,$A$7:$A$25,0))</f>
        <v>2</v>
      </c>
      <c r="AB75" s="33" t="n">
        <f aca="false">IF(AE75="No","",AA75*1000+IF(P75="",900+COUNTIFS($A$29:A75,A75,$O$29:O75,"Price ≤ $5"),P75))</f>
        <v>2023</v>
      </c>
      <c r="AC75" s="33" t="n">
        <f aca="false">IF(O75&lt;&gt;"","",(4-VALUE(RIGHT(Q75,1)))*10^7+N(F75))</f>
        <v>10002646.6</v>
      </c>
      <c r="AD75" s="15" t="str">
        <f aca="false">IFERROR(INDEX('Route of Administration'!$C$5:$C$155,MATCH(B75,'Route of Administration'!$A$5:$A$155,0)),"")</f>
        <v>IM</v>
      </c>
      <c r="AE75" s="14" t="str">
        <f aca="false">IFERROR(INDEX('Route of Administration'!$D$5:$D$155,MATCH(B75,'Route of Administration'!$A$5:$A$155,0)),"")</f>
        <v>Yes</v>
      </c>
      <c r="AF75" s="19" t="n">
        <f aca="false">IF(V75&gt;0,ROUND(AVERAGEIFS('Shortlisted Drugs X Company (7)'!$N$3:$N$698,'Shortlisted Drugs X Company (7)'!$C$3:$C$698,$B75,'Shortlisted Drugs X Company (7)'!$E$3:$E$698,$S75,'Shortlisted Drugs X Company (7)'!$N$3:$N$698,"&gt;=0"),2),"")</f>
        <v>22.25</v>
      </c>
      <c r="AG75" s="16" t="s">
        <v>517</v>
      </c>
      <c r="AH75" s="16" t="s">
        <v>247</v>
      </c>
      <c r="AI75" s="16" t="s">
        <v>247</v>
      </c>
      <c r="AJ75" s="16" t="str">
        <f aca="false">IF(O75&lt;&gt;"","",IF(ISNUMBER(D75),IF(D75&gt;=$C$3,"High price","Lower price"),"Unpriced")&amp;" · "&amp;IF(M75&gt;=$E$3,"high volume","lower volume"))</f>
        <v>Lower price · lower volume</v>
      </c>
      <c r="AK75" s="15" t="str">
        <f aca="false">IF(O75&lt;&gt;"",IF(O75="Price ≤ $5","Excluded – price ≤ $5","Excluded – IV only"),IF(ISNUMBER(D75),IF(AND(D75&gt;=$C$3,L75&gt;=$H$3),"Priority 1",IF(OR(D75&gt;=$C$3,L75&gt;=$H$3),"Priority 2","Priority 3")),IF(L75&gt;=$H$3,"Priority 2","Priority 3")))</f>
        <v>Priority 2</v>
      </c>
      <c r="AL75" s="16" t="str">
        <f aca="false">IF(O75&lt;&gt;"","",IF(ISNUMBER(D75),IF(D75&gt;=$C$3,"High price","Lower price"),"Unpriced")&amp;" · "&amp;IF(L75&gt;=$H$3,"high volume","lower volume"))</f>
        <v>Lower price · high volume</v>
      </c>
      <c r="AM75" s="14" t="n">
        <f aca="false">IF(O75&lt;&gt;"","",COUNTIFS($A$29:$A$361,A75,$O$29:$O$361,"",$AQ$29:$AQ$361,"&gt;"&amp;AQ75)+COUNTIFS($A$29:A75,A75,$O$29:O75,"",$AQ$29:AQ75,AQ75))</f>
        <v>10</v>
      </c>
      <c r="AN75" s="19" t="n">
        <f aca="false">IF(AND(O75="",ISNUMBER(D75)),D75,"")</f>
        <v>22.25</v>
      </c>
      <c r="AO75" s="20" t="n">
        <f aca="false">IF(O75="",M75,"")</f>
        <v>88</v>
      </c>
      <c r="AP75" s="20" t="n">
        <f aca="false">IF(O75="",L75,"")</f>
        <v>736</v>
      </c>
      <c r="AQ75" s="33" t="n">
        <f aca="false">IF(O75&lt;&gt;"","",(4-VALUE(RIGHT(AK75,1)))*10^7+N(N75))</f>
        <v>20022018.81</v>
      </c>
      <c r="AR75" s="33" t="n">
        <f aca="false">INDEX($O$7:$O$25,MATCH(A75,$I$7:$I$25,0))</f>
        <v>2</v>
      </c>
      <c r="AS75" s="33" t="n">
        <f aca="false">IF(AE75="No","",AR75*1000+IF(AM75="",900+COUNTIFS($A$29:A75,A75,$O$29:O75,"Price ≤ $5"),AM75))</f>
        <v>2010</v>
      </c>
    </row>
    <row r="76" customFormat="false" ht="28.35" hidden="false" customHeight="false" outlineLevel="0" collapsed="false">
      <c r="A76" s="15" t="s">
        <v>187</v>
      </c>
      <c r="B76" s="15" t="s">
        <v>521</v>
      </c>
      <c r="C76" s="16" t="s">
        <v>522</v>
      </c>
      <c r="D76" s="17" t="n">
        <f aca="false">IF(W76&gt;0,ROUND(AVERAGEIFS('Shortlisted Drugs X Company (7)'!$N$3:$N$698,'Shortlisted Drugs X Company (7)'!$C$3:$C$698,$B76,'Shortlisted Drugs X Company (7)'!$E$3:$E$698,$S76,'Shortlisted Drugs X Company (7)'!$N$3:$N$698,"&gt;5"),2),"")</f>
        <v>10.03</v>
      </c>
      <c r="E76" s="15" t="str">
        <f aca="false">IF(COUNTIFS('Shortlisted Drugs X Company (7)'!$C$3:$C$698,$B76,'Shortlisted Drugs X Company (7)'!$E$3:$E$698,$S76,'Shortlisted Drugs X Company (7)'!$P$3:$P$698,"Exact")&gt;0,"Exact",IF(COUNTIFS('Shortlisted Drugs X Company (7)'!$C$3:$C$698,$B76,'Shortlisted Drugs X Company (7)'!$E$3:$E$698,$S76,'Shortlisted Drugs X Company (7)'!$P$3:$P$698,"Same-market proxy")&gt;0,"Same-market proxy",IF(COUNTIFS('Shortlisted Drugs X Company (7)'!$C$3:$C$698,$B76,'Shortlisted Drugs X Company (7)'!$E$3:$E$698,$S76,'Shortlisted Drugs X Company (7)'!$P$3:$P$698,"Cross-market proxy")&gt;0,"Cross-market proxy",IF(COUNTIFS('Shortlisted Drugs X Company (7)'!$C$3:$C$698,$B76,'Shortlisted Drugs X Company (7)'!$E$3:$E$698,$S76,'Shortlisted Drugs X Company (7)'!$P$3:$P$698,"Source not found")&gt;0,"Source not found","Not priced"))))</f>
        <v>Same-market proxy</v>
      </c>
      <c r="F76" s="18" t="n">
        <f aca="false">IFERROR(ROUND(INDEX('Injectable Value'!$AA$28:$AA$178,MATCH(B76,'Injectable Value'!$A$28:$A$178,0)),1),"")</f>
        <v>1127.6</v>
      </c>
      <c r="G76" s="16" t="s">
        <v>247</v>
      </c>
      <c r="H76" s="14" t="n">
        <v>1</v>
      </c>
      <c r="I76" s="15" t="s">
        <v>258</v>
      </c>
      <c r="J76" s="15" t="s">
        <v>249</v>
      </c>
      <c r="K76" s="16" t="str">
        <f aca="false">"Prefilled only"&amp;IF(V76=0,"; Unpriced","")&amp;IF(AND(V76&gt;0,W76=0,X76=0),"; Low price from another market – confirm with company","")</f>
        <v>Prefilled only</v>
      </c>
      <c r="L76" s="18" t="n">
        <f aca="false">IFERROR(INDEX('Shortlisted Drugs X Company (7)'!$K$3:$K$698,MATCH(B76,'Shortlisted Drugs X Company (7)'!$C$3:$C$698,0)),"")</f>
        <v>9</v>
      </c>
      <c r="M76" s="18" t="n">
        <f aca="false">IFERROR(ROUND(L76*INDEX('Injectable Value'!$Z$28:$Z$178,MATCH(B76,'Injectable Value'!$A$28:$A$178,0)),0),"")</f>
        <v>9</v>
      </c>
      <c r="N76" s="18" t="n">
        <f aca="false">IFERROR(INDEX('Shortlisted Drugs X Company (7)'!$L$3:$L$698,MATCH(B76,'Shortlisted Drugs X Company (7)'!$C$3:$C$698,0)),"")</f>
        <v>1127.64</v>
      </c>
      <c r="O76" s="15" t="str">
        <f aca="false">IF(AE76="No","IV only (not ID/IM/SC)",IF(AND(V76&gt;0,W76=0),"Price ≤ $5",""))</f>
        <v>IV only (not ID/IM/SC)</v>
      </c>
      <c r="P76" s="14" t="str">
        <f aca="false">IF(O76&lt;&gt;"","",COUNTIFS($A$29:$A$361,A76,$O$29:$O$361,"",$AC$29:$AC$361,"&gt;"&amp;AC76)+COUNTIFS($A$29:A76,A76,$O$29:O76,"",$AC$29:AC76,AC76))</f>
        <v/>
      </c>
      <c r="Q76" s="15" t="str">
        <f aca="false">IF(O76&lt;&gt;"",IF(O76="Price ≤ $5","Excluded – price ≤ $5","Excluded – IV only"),IF(ISNUMBER(D76),IF(AND(D76&gt;=$C$3,M76&gt;=$E$3),"Priority 1",IF(OR(D76&gt;=$C$3,M76&gt;=$E$3),"Priority 2","Priority 3")),IF(M76&gt;=$E$3,"Priority 2","Priority 3")))</f>
        <v>Excluded – IV only</v>
      </c>
      <c r="R76" s="16" t="s">
        <v>259</v>
      </c>
      <c r="S76" s="15" t="s">
        <v>286</v>
      </c>
      <c r="T76" s="32" t="s">
        <v>523</v>
      </c>
      <c r="U76" s="33" t="str">
        <f aca="false">B76&amp;"|"&amp;S76</f>
        <v>Regadenoson|Aurobindo Pharma</v>
      </c>
      <c r="V76" s="34" t="n">
        <f aca="false">COUNTIFS('Shortlisted Drugs X Company (7)'!$C$3:$C$698,$B76,'Shortlisted Drugs X Company (7)'!$E$3:$E$698,$S76,'Shortlisted Drugs X Company (7)'!$N$3:$N$698,"&gt;=0")</f>
        <v>1</v>
      </c>
      <c r="W76" s="34" t="n">
        <f aca="false">COUNTIFS('Shortlisted Drugs X Company (7)'!$C$3:$C$698,$B76,'Shortlisted Drugs X Company (7)'!$E$3:$E$698,$S76,'Shortlisted Drugs X Company (7)'!$N$3:$N$698,"&gt;5")</f>
        <v>1</v>
      </c>
      <c r="X76" s="34" t="n">
        <f aca="false">COUNTIFS('Shortlisted Drugs X Company (7)'!$C$3:$C$698,$B76,'Shortlisted Drugs X Company (7)'!$E$3:$E$698,$S76,'Shortlisted Drugs X Company (7)'!$P$3:$P$698,"Exact")+COUNTIFS('Shortlisted Drugs X Company (7)'!$C$3:$C$698,$B76,'Shortlisted Drugs X Company (7)'!$E$3:$E$698,$S76,'Shortlisted Drugs X Company (7)'!$P$3:$P$698,"Same-market proxy")</f>
        <v>1</v>
      </c>
      <c r="Y76" s="33" t="str">
        <f aca="false">A76&amp;"|"&amp;P76</f>
        <v>Aurobindo|</v>
      </c>
      <c r="Z76" s="16" t="s">
        <v>524</v>
      </c>
      <c r="AA76" s="33" t="n">
        <f aca="false">INDEX($G$7:$G$25,MATCH(A76,$A$7:$A$25,0))</f>
        <v>2</v>
      </c>
      <c r="AB76" s="33" t="str">
        <f aca="false">IF(AE76="No","",AA76*1000+IF(P76="",900+COUNTIFS($A$29:A76,A76,$O$29:O76,"Price ≤ $5"),P76))</f>
        <v/>
      </c>
      <c r="AC76" s="33" t="str">
        <f aca="false">IF(O76&lt;&gt;"","",(4-VALUE(RIGHT(Q76,1)))*10^7+N(F76))</f>
        <v/>
      </c>
      <c r="AD76" s="15" t="str">
        <f aca="false">IFERROR(INDEX('Route of Administration'!$C$5:$C$155,MATCH(B76,'Route of Administration'!$A$5:$A$155,0)),"")</f>
        <v>IV</v>
      </c>
      <c r="AE76" s="14" t="str">
        <f aca="false">IFERROR(INDEX('Route of Administration'!$D$5:$D$155,MATCH(B76,'Route of Administration'!$A$5:$A$155,0)),"")</f>
        <v>No</v>
      </c>
      <c r="AF76" s="19" t="n">
        <f aca="false">IF(V76&gt;0,ROUND(AVERAGEIFS('Shortlisted Drugs X Company (7)'!$N$3:$N$698,'Shortlisted Drugs X Company (7)'!$C$3:$C$698,$B76,'Shortlisted Drugs X Company (7)'!$E$3:$E$698,$S76,'Shortlisted Drugs X Company (7)'!$N$3:$N$698,"&gt;=0"),2),"")</f>
        <v>10.03</v>
      </c>
      <c r="AG76" s="16" t="s">
        <v>521</v>
      </c>
      <c r="AH76" s="16" t="s">
        <v>247</v>
      </c>
      <c r="AI76" s="16" t="s">
        <v>247</v>
      </c>
      <c r="AJ76" s="16" t="str">
        <f aca="false">IF(O76&lt;&gt;"","",IF(ISNUMBER(D76),IF(D76&gt;=$C$3,"High price","Lower price"),"Unpriced")&amp;" · "&amp;IF(M76&gt;=$E$3,"high volume","lower volume"))</f>
        <v/>
      </c>
      <c r="AK76" s="15" t="str">
        <f aca="false">IF(O76&lt;&gt;"",IF(O76="Price ≤ $5","Excluded – price ≤ $5","Excluded – IV only"),IF(ISNUMBER(D76),IF(AND(D76&gt;=$C$3,L76&gt;=$H$3),"Priority 1",IF(OR(D76&gt;=$C$3,L76&gt;=$H$3),"Priority 2","Priority 3")),IF(L76&gt;=$H$3,"Priority 2","Priority 3")))</f>
        <v>Excluded – IV only</v>
      </c>
      <c r="AL76" s="16" t="str">
        <f aca="false">IF(O76&lt;&gt;"","",IF(ISNUMBER(D76),IF(D76&gt;=$C$3,"High price","Lower price"),"Unpriced")&amp;" · "&amp;IF(L76&gt;=$H$3,"high volume","lower volume"))</f>
        <v/>
      </c>
      <c r="AM76" s="14" t="str">
        <f aca="false">IF(O76&lt;&gt;"","",COUNTIFS($A$29:$A$361,A76,$O$29:$O$361,"",$AQ$29:$AQ$361,"&gt;"&amp;AQ76)+COUNTIFS($A$29:A76,A76,$O$29:O76,"",$AQ$29:AQ76,AQ76))</f>
        <v/>
      </c>
      <c r="AN76" s="33" t="str">
        <f aca="false">IF(AND(O76="",ISNUMBER(D76)),D76,"")</f>
        <v/>
      </c>
      <c r="AO76" s="33" t="str">
        <f aca="false">IF(O76="",M76,"")</f>
        <v/>
      </c>
      <c r="AP76" s="33" t="str">
        <f aca="false">IF(O76="",L76,"")</f>
        <v/>
      </c>
      <c r="AQ76" s="33" t="str">
        <f aca="false">IF(O76&lt;&gt;"","",(4-VALUE(RIGHT(AK76,1)))*10^7+N(N76))</f>
        <v/>
      </c>
      <c r="AR76" s="33" t="n">
        <f aca="false">INDEX($O$7:$O$25,MATCH(A76,$I$7:$I$25,0))</f>
        <v>2</v>
      </c>
      <c r="AS76" s="33" t="str">
        <f aca="false">IF(AE76="No","",AR76*1000+IF(AM76="",900+COUNTIFS($A$29:A76,A76,$O$29:O76,"Price ≤ $5"),AM76))</f>
        <v/>
      </c>
    </row>
    <row r="77" customFormat="false" ht="28.35" hidden="false" customHeight="false" outlineLevel="0" collapsed="false">
      <c r="A77" s="15" t="s">
        <v>187</v>
      </c>
      <c r="B77" s="15" t="s">
        <v>525</v>
      </c>
      <c r="C77" s="16" t="s">
        <v>526</v>
      </c>
      <c r="D77" s="17" t="n">
        <f aca="false">IF(W77&gt;0,ROUND(AVERAGEIFS('Shortlisted Drugs X Company (7)'!$N$3:$N$698,'Shortlisted Drugs X Company (7)'!$C$3:$C$698,$B77,'Shortlisted Drugs X Company (7)'!$E$3:$E$698,$S77,'Shortlisted Drugs X Company (7)'!$N$3:$N$698,"&gt;5"),2),"")</f>
        <v>7.04</v>
      </c>
      <c r="E77" s="15" t="str">
        <f aca="false">IF(COUNTIFS('Shortlisted Drugs X Company (7)'!$C$3:$C$698,$B77,'Shortlisted Drugs X Company (7)'!$E$3:$E$698,$S77,'Shortlisted Drugs X Company (7)'!$P$3:$P$698,"Exact")&gt;0,"Exact",IF(COUNTIFS('Shortlisted Drugs X Company (7)'!$C$3:$C$698,$B77,'Shortlisted Drugs X Company (7)'!$E$3:$E$698,$S77,'Shortlisted Drugs X Company (7)'!$P$3:$P$698,"Same-market proxy")&gt;0,"Same-market proxy",IF(COUNTIFS('Shortlisted Drugs X Company (7)'!$C$3:$C$698,$B77,'Shortlisted Drugs X Company (7)'!$E$3:$E$698,$S77,'Shortlisted Drugs X Company (7)'!$P$3:$P$698,"Cross-market proxy")&gt;0,"Cross-market proxy",IF(COUNTIFS('Shortlisted Drugs X Company (7)'!$C$3:$C$698,$B77,'Shortlisted Drugs X Company (7)'!$E$3:$E$698,$S77,'Shortlisted Drugs X Company (7)'!$P$3:$P$698,"Source not found")&gt;0,"Source not found","Not priced"))))</f>
        <v>Cross-market proxy</v>
      </c>
      <c r="F77" s="18" t="n">
        <f aca="false">IFERROR(ROUND(INDEX('Injectable Value'!$AA$28:$AA$178,MATCH(B77,'Injectable Value'!$A$28:$A$178,0)),1),"")</f>
        <v>71.4</v>
      </c>
      <c r="G77" s="16" t="s">
        <v>527</v>
      </c>
      <c r="H77" s="14" t="n">
        <v>1</v>
      </c>
      <c r="I77" s="15" t="s">
        <v>248</v>
      </c>
      <c r="J77" s="15" t="s">
        <v>299</v>
      </c>
      <c r="K77" s="16" t="str">
        <f aca="false">"Reconstitution"&amp;IF(V77=0,"; Unpriced","")&amp;IF(AND(V77&gt;0,W77=0,X77=0),"; Low price from another market – confirm with company","")</f>
        <v>Reconstitution</v>
      </c>
      <c r="L77" s="18" t="n">
        <f aca="false">IFERROR(INDEX('Shortlisted Drugs X Company (7)'!$K$3:$K$698,MATCH(B77,'Shortlisted Drugs X Company (7)'!$C$3:$C$698,0)),"")</f>
        <v>2</v>
      </c>
      <c r="M77" s="18" t="n">
        <f aca="false">IFERROR(ROUND(L77*INDEX('Injectable Value'!$Z$28:$Z$178,MATCH(B77,'Injectable Value'!$A$28:$A$178,0)),0),"")</f>
        <v>2</v>
      </c>
      <c r="N77" s="18" t="n">
        <f aca="false">IFERROR(INDEX('Shortlisted Drugs X Company (7)'!$L$3:$L$698,MATCH(B77,'Shortlisted Drugs X Company (7)'!$C$3:$C$698,0)),"")</f>
        <v>71.73</v>
      </c>
      <c r="O77" s="15" t="str">
        <f aca="false">IF(AE77="No","IV only (not ID/IM/SC)",IF(AND(V77&gt;0,W77=0),"Price ≤ $5",""))</f>
        <v>IV only (not ID/IM/SC)</v>
      </c>
      <c r="P77" s="14" t="str">
        <f aca="false">IF(O77&lt;&gt;"","",COUNTIFS($A$29:$A$361,A77,$O$29:$O$361,"",$AC$29:$AC$361,"&gt;"&amp;AC77)+COUNTIFS($A$29:A77,A77,$O$29:O77,"",$AC$29:AC77,AC77))</f>
        <v/>
      </c>
      <c r="Q77" s="15" t="str">
        <f aca="false">IF(O77&lt;&gt;"",IF(O77="Price ≤ $5","Excluded – price ≤ $5","Excluded – IV only"),IF(ISNUMBER(D77),IF(AND(D77&gt;=$C$3,M77&gt;=$E$3),"Priority 1",IF(OR(D77&gt;=$C$3,M77&gt;=$E$3),"Priority 2","Priority 3")),IF(M77&gt;=$E$3,"Priority 2","Priority 3")))</f>
        <v>Excluded – IV only</v>
      </c>
      <c r="R77" s="16" t="s">
        <v>250</v>
      </c>
      <c r="S77" s="15" t="s">
        <v>286</v>
      </c>
      <c r="T77" s="32" t="s">
        <v>528</v>
      </c>
      <c r="U77" s="33" t="str">
        <f aca="false">B77&amp;"|"&amp;S77</f>
        <v>Remifentanil|Aurobindo Pharma</v>
      </c>
      <c r="V77" s="34" t="n">
        <f aca="false">COUNTIFS('Shortlisted Drugs X Company (7)'!$C$3:$C$698,$B77,'Shortlisted Drugs X Company (7)'!$E$3:$E$698,$S77,'Shortlisted Drugs X Company (7)'!$N$3:$N$698,"&gt;=0")</f>
        <v>1</v>
      </c>
      <c r="W77" s="34" t="n">
        <f aca="false">COUNTIFS('Shortlisted Drugs X Company (7)'!$C$3:$C$698,$B77,'Shortlisted Drugs X Company (7)'!$E$3:$E$698,$S77,'Shortlisted Drugs X Company (7)'!$N$3:$N$698,"&gt;5")</f>
        <v>1</v>
      </c>
      <c r="X77" s="34" t="n">
        <f aca="false">COUNTIFS('Shortlisted Drugs X Company (7)'!$C$3:$C$698,$B77,'Shortlisted Drugs X Company (7)'!$E$3:$E$698,$S77,'Shortlisted Drugs X Company (7)'!$P$3:$P$698,"Exact")+COUNTIFS('Shortlisted Drugs X Company (7)'!$C$3:$C$698,$B77,'Shortlisted Drugs X Company (7)'!$E$3:$E$698,$S77,'Shortlisted Drugs X Company (7)'!$P$3:$P$698,"Same-market proxy")</f>
        <v>0</v>
      </c>
      <c r="Y77" s="33" t="str">
        <f aca="false">A77&amp;"|"&amp;P77</f>
        <v>Aurobindo|</v>
      </c>
      <c r="Z77" s="16" t="s">
        <v>529</v>
      </c>
      <c r="AA77" s="33" t="n">
        <f aca="false">INDEX($G$7:$G$25,MATCH(A77,$A$7:$A$25,0))</f>
        <v>2</v>
      </c>
      <c r="AB77" s="33" t="str">
        <f aca="false">IF(AE77="No","",AA77*1000+IF(P77="",900+COUNTIFS($A$29:A77,A77,$O$29:O77,"Price ≤ $5"),P77))</f>
        <v/>
      </c>
      <c r="AC77" s="33" t="str">
        <f aca="false">IF(O77&lt;&gt;"","",(4-VALUE(RIGHT(Q77,1)))*10^7+N(F77))</f>
        <v/>
      </c>
      <c r="AD77" s="15" t="str">
        <f aca="false">IFERROR(INDEX('Route of Administration'!$C$5:$C$155,MATCH(B77,'Route of Administration'!$A$5:$A$155,0)),"")</f>
        <v>IV</v>
      </c>
      <c r="AE77" s="14" t="str">
        <f aca="false">IFERROR(INDEX('Route of Administration'!$D$5:$D$155,MATCH(B77,'Route of Administration'!$A$5:$A$155,0)),"")</f>
        <v>No</v>
      </c>
      <c r="AF77" s="19" t="n">
        <f aca="false">IF(V77&gt;0,ROUND(AVERAGEIFS('Shortlisted Drugs X Company (7)'!$N$3:$N$698,'Shortlisted Drugs X Company (7)'!$C$3:$C$698,$B77,'Shortlisted Drugs X Company (7)'!$E$3:$E$698,$S77,'Shortlisted Drugs X Company (7)'!$N$3:$N$698,"&gt;=0"),2),"")</f>
        <v>7.04</v>
      </c>
      <c r="AG77" s="16" t="s">
        <v>530</v>
      </c>
      <c r="AH77" s="16" t="s">
        <v>531</v>
      </c>
      <c r="AI77" s="16" t="s">
        <v>531</v>
      </c>
      <c r="AJ77" s="16" t="str">
        <f aca="false">IF(O77&lt;&gt;"","",IF(ISNUMBER(D77),IF(D77&gt;=$C$3,"High price","Lower price"),"Unpriced")&amp;" · "&amp;IF(M77&gt;=$E$3,"high volume","lower volume"))</f>
        <v/>
      </c>
      <c r="AK77" s="15" t="str">
        <f aca="false">IF(O77&lt;&gt;"",IF(O77="Price ≤ $5","Excluded – price ≤ $5","Excluded – IV only"),IF(ISNUMBER(D77),IF(AND(D77&gt;=$C$3,L77&gt;=$H$3),"Priority 1",IF(OR(D77&gt;=$C$3,L77&gt;=$H$3),"Priority 2","Priority 3")),IF(L77&gt;=$H$3,"Priority 2","Priority 3")))</f>
        <v>Excluded – IV only</v>
      </c>
      <c r="AL77" s="16" t="str">
        <f aca="false">IF(O77&lt;&gt;"","",IF(ISNUMBER(D77),IF(D77&gt;=$C$3,"High price","Lower price"),"Unpriced")&amp;" · "&amp;IF(L77&gt;=$H$3,"high volume","lower volume"))</f>
        <v/>
      </c>
      <c r="AM77" s="14" t="str">
        <f aca="false">IF(O77&lt;&gt;"","",COUNTIFS($A$29:$A$361,A77,$O$29:$O$361,"",$AQ$29:$AQ$361,"&gt;"&amp;AQ77)+COUNTIFS($A$29:A77,A77,$O$29:O77,"",$AQ$29:AQ77,AQ77))</f>
        <v/>
      </c>
      <c r="AN77" s="33" t="str">
        <f aca="false">IF(AND(O77="",ISNUMBER(D77)),D77,"")</f>
        <v/>
      </c>
      <c r="AO77" s="33" t="str">
        <f aca="false">IF(O77="",M77,"")</f>
        <v/>
      </c>
      <c r="AP77" s="33" t="str">
        <f aca="false">IF(O77="",L77,"")</f>
        <v/>
      </c>
      <c r="AQ77" s="33" t="str">
        <f aca="false">IF(O77&lt;&gt;"","",(4-VALUE(RIGHT(AK77,1)))*10^7+N(N77))</f>
        <v/>
      </c>
      <c r="AR77" s="33" t="n">
        <f aca="false">INDEX($O$7:$O$25,MATCH(A77,$I$7:$I$25,0))</f>
        <v>2</v>
      </c>
      <c r="AS77" s="33" t="str">
        <f aca="false">IF(AE77="No","",AR77*1000+IF(AM77="",900+COUNTIFS($A$29:A77,A77,$O$29:O77,"Price ≤ $5"),AM77))</f>
        <v/>
      </c>
    </row>
    <row r="78" customFormat="false" ht="28.35" hidden="false" customHeight="false" outlineLevel="0" collapsed="false">
      <c r="A78" s="15" t="s">
        <v>187</v>
      </c>
      <c r="B78" s="15" t="s">
        <v>532</v>
      </c>
      <c r="C78" s="16" t="s">
        <v>533</v>
      </c>
      <c r="D78" s="17" t="n">
        <f aca="false">IF(W78&gt;0,ROUND(AVERAGEIFS('Shortlisted Drugs X Company (7)'!$N$3:$N$698,'Shortlisted Drugs X Company (7)'!$C$3:$C$698,$B78,'Shortlisted Drugs X Company (7)'!$E$3:$E$698,$S78,'Shortlisted Drugs X Company (7)'!$N$3:$N$698,"&gt;5"),2),"")</f>
        <v>8.84</v>
      </c>
      <c r="E78" s="15" t="str">
        <f aca="false">IF(COUNTIFS('Shortlisted Drugs X Company (7)'!$C$3:$C$698,$B78,'Shortlisted Drugs X Company (7)'!$E$3:$E$698,$S78,'Shortlisted Drugs X Company (7)'!$P$3:$P$698,"Exact")&gt;0,"Exact",IF(COUNTIFS('Shortlisted Drugs X Company (7)'!$C$3:$C$698,$B78,'Shortlisted Drugs X Company (7)'!$E$3:$E$698,$S78,'Shortlisted Drugs X Company (7)'!$P$3:$P$698,"Same-market proxy")&gt;0,"Same-market proxy",IF(COUNTIFS('Shortlisted Drugs X Company (7)'!$C$3:$C$698,$B78,'Shortlisted Drugs X Company (7)'!$E$3:$E$698,$S78,'Shortlisted Drugs X Company (7)'!$P$3:$P$698,"Cross-market proxy")&gt;0,"Cross-market proxy",IF(COUNTIFS('Shortlisted Drugs X Company (7)'!$C$3:$C$698,$B78,'Shortlisted Drugs X Company (7)'!$E$3:$E$698,$S78,'Shortlisted Drugs X Company (7)'!$P$3:$P$698,"Source not found")&gt;0,"Source not found","Not priced"))))</f>
        <v>Same-market proxy</v>
      </c>
      <c r="F78" s="18" t="n">
        <f aca="false">IFERROR(ROUND(INDEX('Injectable Value'!$AA$28:$AA$178,MATCH(B78,'Injectable Value'!$A$28:$A$178,0)),1),"")</f>
        <v>8072.6</v>
      </c>
      <c r="G78" s="16" t="s">
        <v>247</v>
      </c>
      <c r="H78" s="14" t="n">
        <v>1</v>
      </c>
      <c r="I78" s="15" t="s">
        <v>248</v>
      </c>
      <c r="J78" s="15" t="s">
        <v>249</v>
      </c>
      <c r="K78" s="16" t="str">
        <f aca="false">""&amp;IF(V78=0,"Unpriced","")&amp;IF(AND(V78&gt;0,W78=0,X78=0),"Low price from another market – confirm with company","")</f>
        <v/>
      </c>
      <c r="L78" s="18" t="n">
        <f aca="false">IFERROR(INDEX('Shortlisted Drugs X Company (7)'!$K$3:$K$698,MATCH(B78,'Shortlisted Drugs X Company (7)'!$C$3:$C$698,0)),"")</f>
        <v>159</v>
      </c>
      <c r="M78" s="18" t="n">
        <f aca="false">IFERROR(ROUND(L78*INDEX('Injectable Value'!$Z$28:$Z$178,MATCH(B78,'Injectable Value'!$A$28:$A$178,0)),0),"")</f>
        <v>159</v>
      </c>
      <c r="N78" s="18" t="n">
        <f aca="false">IFERROR(INDEX('Shortlisted Drugs X Company (7)'!$L$3:$L$698,MATCH(B78,'Shortlisted Drugs X Company (7)'!$C$3:$C$698,0)),"")</f>
        <v>8072.59</v>
      </c>
      <c r="O78" s="15" t="str">
        <f aca="false">IF(AE78="No","IV only (not ID/IM/SC)",IF(AND(V78&gt;0,W78=0),"Price ≤ $5",""))</f>
        <v>IV only (not ID/IM/SC)</v>
      </c>
      <c r="P78" s="14" t="str">
        <f aca="false">IF(O78&lt;&gt;"","",COUNTIFS($A$29:$A$361,A78,$O$29:$O$361,"",$AC$29:$AC$361,"&gt;"&amp;AC78)+COUNTIFS($A$29:A78,A78,$O$29:O78,"",$AC$29:AC78,AC78))</f>
        <v/>
      </c>
      <c r="Q78" s="15" t="str">
        <f aca="false">IF(O78&lt;&gt;"",IF(O78="Price ≤ $5","Excluded – price ≤ $5","Excluded – IV only"),IF(ISNUMBER(D78),IF(AND(D78&gt;=$C$3,M78&gt;=$E$3),"Priority 1",IF(OR(D78&gt;=$C$3,M78&gt;=$E$3),"Priority 2","Priority 3")),IF(M78&gt;=$E$3,"Priority 2","Priority 3")))</f>
        <v>Excluded – IV only</v>
      </c>
      <c r="R78" s="16" t="s">
        <v>285</v>
      </c>
      <c r="S78" s="15" t="s">
        <v>286</v>
      </c>
      <c r="T78" s="32" t="s">
        <v>534</v>
      </c>
      <c r="U78" s="33" t="str">
        <f aca="false">B78&amp;"|"&amp;S78</f>
        <v>Ropivacaine|Aurobindo Pharma</v>
      </c>
      <c r="V78" s="34" t="n">
        <f aca="false">COUNTIFS('Shortlisted Drugs X Company (7)'!$C$3:$C$698,$B78,'Shortlisted Drugs X Company (7)'!$E$3:$E$698,$S78,'Shortlisted Drugs X Company (7)'!$N$3:$N$698,"&gt;=0")</f>
        <v>6</v>
      </c>
      <c r="W78" s="34" t="n">
        <f aca="false">COUNTIFS('Shortlisted Drugs X Company (7)'!$C$3:$C$698,$B78,'Shortlisted Drugs X Company (7)'!$E$3:$E$698,$S78,'Shortlisted Drugs X Company (7)'!$N$3:$N$698,"&gt;5")</f>
        <v>6</v>
      </c>
      <c r="X78" s="34" t="n">
        <f aca="false">COUNTIFS('Shortlisted Drugs X Company (7)'!$C$3:$C$698,$B78,'Shortlisted Drugs X Company (7)'!$E$3:$E$698,$S78,'Shortlisted Drugs X Company (7)'!$P$3:$P$698,"Exact")+COUNTIFS('Shortlisted Drugs X Company (7)'!$C$3:$C$698,$B78,'Shortlisted Drugs X Company (7)'!$E$3:$E$698,$S78,'Shortlisted Drugs X Company (7)'!$P$3:$P$698,"Same-market proxy")</f>
        <v>6</v>
      </c>
      <c r="Y78" s="33" t="str">
        <f aca="false">A78&amp;"|"&amp;P78</f>
        <v>Aurobindo|</v>
      </c>
      <c r="Z78" s="16" t="s">
        <v>535</v>
      </c>
      <c r="AA78" s="33" t="n">
        <f aca="false">INDEX($G$7:$G$25,MATCH(A78,$A$7:$A$25,0))</f>
        <v>2</v>
      </c>
      <c r="AB78" s="33" t="str">
        <f aca="false">IF(AE78="No","",AA78*1000+IF(P78="",900+COUNTIFS($A$29:A78,A78,$O$29:O78,"Price ≤ $5"),P78))</f>
        <v/>
      </c>
      <c r="AC78" s="33" t="str">
        <f aca="false">IF(O78&lt;&gt;"","",(4-VALUE(RIGHT(Q78,1)))*10^7+N(F78))</f>
        <v/>
      </c>
      <c r="AD78" s="15" t="str">
        <f aca="false">IFERROR(INDEX('Route of Administration'!$C$5:$C$155,MATCH(B78,'Route of Administration'!$A$5:$A$155,0)),"")</f>
        <v>Epidural, perineural, infiltration</v>
      </c>
      <c r="AE78" s="14" t="str">
        <f aca="false">IFERROR(INDEX('Route of Administration'!$D$5:$D$155,MATCH(B78,'Route of Administration'!$A$5:$A$155,0)),"")</f>
        <v>No</v>
      </c>
      <c r="AF78" s="19" t="n">
        <f aca="false">IF(V78&gt;0,ROUND(AVERAGEIFS('Shortlisted Drugs X Company (7)'!$N$3:$N$698,'Shortlisted Drugs X Company (7)'!$C$3:$C$698,$B78,'Shortlisted Drugs X Company (7)'!$E$3:$E$698,$S78,'Shortlisted Drugs X Company (7)'!$N$3:$N$698,"&gt;=0"),2),"")</f>
        <v>8.84</v>
      </c>
      <c r="AG78" s="16" t="s">
        <v>536</v>
      </c>
      <c r="AH78" s="16" t="s">
        <v>247</v>
      </c>
      <c r="AI78" s="16" t="s">
        <v>247</v>
      </c>
      <c r="AJ78" s="16" t="str">
        <f aca="false">IF(O78&lt;&gt;"","",IF(ISNUMBER(D78),IF(D78&gt;=$C$3,"High price","Lower price"),"Unpriced")&amp;" · "&amp;IF(M78&gt;=$E$3,"high volume","lower volume"))</f>
        <v/>
      </c>
      <c r="AK78" s="15" t="str">
        <f aca="false">IF(O78&lt;&gt;"",IF(O78="Price ≤ $5","Excluded – price ≤ $5","Excluded – IV only"),IF(ISNUMBER(D78),IF(AND(D78&gt;=$C$3,L78&gt;=$H$3),"Priority 1",IF(OR(D78&gt;=$C$3,L78&gt;=$H$3),"Priority 2","Priority 3")),IF(L78&gt;=$H$3,"Priority 2","Priority 3")))</f>
        <v>Excluded – IV only</v>
      </c>
      <c r="AL78" s="16" t="str">
        <f aca="false">IF(O78&lt;&gt;"","",IF(ISNUMBER(D78),IF(D78&gt;=$C$3,"High price","Lower price"),"Unpriced")&amp;" · "&amp;IF(L78&gt;=$H$3,"high volume","lower volume"))</f>
        <v/>
      </c>
      <c r="AM78" s="14" t="str">
        <f aca="false">IF(O78&lt;&gt;"","",COUNTIFS($A$29:$A$361,A78,$O$29:$O$361,"",$AQ$29:$AQ$361,"&gt;"&amp;AQ78)+COUNTIFS($A$29:A78,A78,$O$29:O78,"",$AQ$29:AQ78,AQ78))</f>
        <v/>
      </c>
      <c r="AN78" s="33" t="str">
        <f aca="false">IF(AND(O78="",ISNUMBER(D78)),D78,"")</f>
        <v/>
      </c>
      <c r="AO78" s="33" t="str">
        <f aca="false">IF(O78="",M78,"")</f>
        <v/>
      </c>
      <c r="AP78" s="33" t="str">
        <f aca="false">IF(O78="",L78,"")</f>
        <v/>
      </c>
      <c r="AQ78" s="33" t="str">
        <f aca="false">IF(O78&lt;&gt;"","",(4-VALUE(RIGHT(AK78,1)))*10^7+N(N78))</f>
        <v/>
      </c>
      <c r="AR78" s="33" t="n">
        <f aca="false">INDEX($O$7:$O$25,MATCH(A78,$I$7:$I$25,0))</f>
        <v>2</v>
      </c>
      <c r="AS78" s="33" t="str">
        <f aca="false">IF(AE78="No","",AR78*1000+IF(AM78="",900+COUNTIFS($A$29:A78,A78,$O$29:O78,"Price ≤ $5"),AM78))</f>
        <v/>
      </c>
    </row>
    <row r="79" customFormat="false" ht="28.35" hidden="false" customHeight="false" outlineLevel="0" collapsed="false">
      <c r="A79" s="15" t="s">
        <v>187</v>
      </c>
      <c r="B79" s="15" t="s">
        <v>537</v>
      </c>
      <c r="C79" s="16" t="s">
        <v>538</v>
      </c>
      <c r="D79" s="17" t="n">
        <f aca="false">IF(W79&gt;0,ROUND(AVERAGEIFS('Shortlisted Drugs X Company (7)'!$N$3:$N$698,'Shortlisted Drugs X Company (7)'!$C$3:$C$698,$B79,'Shortlisted Drugs X Company (7)'!$E$3:$E$698,$S79,'Shortlisted Drugs X Company (7)'!$N$3:$N$698,"&gt;5"),2),"")</f>
        <v>161.8</v>
      </c>
      <c r="E79" s="15" t="str">
        <f aca="false">IF(COUNTIFS('Shortlisted Drugs X Company (7)'!$C$3:$C$698,$B79,'Shortlisted Drugs X Company (7)'!$E$3:$E$698,$S79,'Shortlisted Drugs X Company (7)'!$P$3:$P$698,"Exact")&gt;0,"Exact",IF(COUNTIFS('Shortlisted Drugs X Company (7)'!$C$3:$C$698,$B79,'Shortlisted Drugs X Company (7)'!$E$3:$E$698,$S79,'Shortlisted Drugs X Company (7)'!$P$3:$P$698,"Same-market proxy")&gt;0,"Same-market proxy",IF(COUNTIFS('Shortlisted Drugs X Company (7)'!$C$3:$C$698,$B79,'Shortlisted Drugs X Company (7)'!$E$3:$E$698,$S79,'Shortlisted Drugs X Company (7)'!$P$3:$P$698,"Cross-market proxy")&gt;0,"Cross-market proxy",IF(COUNTIFS('Shortlisted Drugs X Company (7)'!$C$3:$C$698,$B79,'Shortlisted Drugs X Company (7)'!$E$3:$E$698,$S79,'Shortlisted Drugs X Company (7)'!$P$3:$P$698,"Source not found")&gt;0,"Source not found","Not priced"))))</f>
        <v>Same-market proxy</v>
      </c>
      <c r="F79" s="18" t="n">
        <f aca="false">IFERROR(ROUND(INDEX('Injectable Value'!$AA$28:$AA$178,MATCH(B79,'Injectable Value'!$A$28:$A$178,0)),1),"")</f>
        <v>755</v>
      </c>
      <c r="G79" s="16" t="s">
        <v>247</v>
      </c>
      <c r="H79" s="14" t="n">
        <v>1</v>
      </c>
      <c r="I79" s="15" t="s">
        <v>248</v>
      </c>
      <c r="J79" s="15" t="s">
        <v>284</v>
      </c>
      <c r="K79" s="16" t="str">
        <f aca="false">""&amp;IF(V79=0,"Unpriced","")&amp;IF(AND(V79&gt;0,W79=0,X79=0),"Low price from another market – confirm with company","")</f>
        <v/>
      </c>
      <c r="L79" s="18" t="n">
        <f aca="false">IFERROR(INDEX('Shortlisted Drugs X Company (7)'!$K$3:$K$698,MATCH(B79,'Shortlisted Drugs X Company (7)'!$C$3:$C$698,0)),"")</f>
        <v>9996</v>
      </c>
      <c r="M79" s="18" t="n">
        <f aca="false">IFERROR(ROUND(L79*INDEX('Injectable Value'!$Z$28:$Z$178,MATCH(B79,'Injectable Value'!$A$28:$A$178,0)),0),"")</f>
        <v>106</v>
      </c>
      <c r="N79" s="18" t="n">
        <f aca="false">IFERROR(INDEX('Shortlisted Drugs X Company (7)'!$L$3:$L$698,MATCH(B79,'Shortlisted Drugs X Company (7)'!$C$3:$C$698,0)),"")</f>
        <v>71311.67</v>
      </c>
      <c r="O79" s="15" t="str">
        <f aca="false">IF(AE79="No","IV only (not ID/IM/SC)",IF(AND(V79&gt;0,W79=0),"Price ≤ $5",""))</f>
        <v>IV only (not ID/IM/SC)</v>
      </c>
      <c r="P79" s="14" t="str">
        <f aca="false">IF(O79&lt;&gt;"","",COUNTIFS($A$29:$A$361,A79,$O$29:$O$361,"",$AC$29:$AC$361,"&gt;"&amp;AC79)+COUNTIFS($A$29:A79,A79,$O$29:O79,"",$AC$29:AC79,AC79))</f>
        <v/>
      </c>
      <c r="Q79" s="15" t="str">
        <f aca="false">IF(O79&lt;&gt;"",IF(O79="Price ≤ $5","Excluded – price ≤ $5","Excluded – IV only"),IF(ISNUMBER(D79),IF(AND(D79&gt;=$C$3,M79&gt;=$E$3),"Priority 1",IF(OR(D79&gt;=$C$3,M79&gt;=$E$3),"Priority 2","Priority 3")),IF(M79&gt;=$E$3,"Priority 2","Priority 3")))</f>
        <v>Excluded – IV only</v>
      </c>
      <c r="R79" s="16" t="s">
        <v>285</v>
      </c>
      <c r="S79" s="15" t="s">
        <v>286</v>
      </c>
      <c r="T79" s="32" t="s">
        <v>539</v>
      </c>
      <c r="U79" s="33" t="str">
        <f aca="false">B79&amp;"|"&amp;S79</f>
        <v>Sildenafil|Aurobindo Pharma</v>
      </c>
      <c r="V79" s="34" t="n">
        <f aca="false">COUNTIFS('Shortlisted Drugs X Company (7)'!$C$3:$C$698,$B79,'Shortlisted Drugs X Company (7)'!$E$3:$E$698,$S79,'Shortlisted Drugs X Company (7)'!$N$3:$N$698,"&gt;=0")</f>
        <v>1</v>
      </c>
      <c r="W79" s="34" t="n">
        <f aca="false">COUNTIFS('Shortlisted Drugs X Company (7)'!$C$3:$C$698,$B79,'Shortlisted Drugs X Company (7)'!$E$3:$E$698,$S79,'Shortlisted Drugs X Company (7)'!$N$3:$N$698,"&gt;5")</f>
        <v>1</v>
      </c>
      <c r="X79" s="34" t="n">
        <f aca="false">COUNTIFS('Shortlisted Drugs X Company (7)'!$C$3:$C$698,$B79,'Shortlisted Drugs X Company (7)'!$E$3:$E$698,$S79,'Shortlisted Drugs X Company (7)'!$P$3:$P$698,"Exact")+COUNTIFS('Shortlisted Drugs X Company (7)'!$C$3:$C$698,$B79,'Shortlisted Drugs X Company (7)'!$E$3:$E$698,$S79,'Shortlisted Drugs X Company (7)'!$P$3:$P$698,"Same-market proxy")</f>
        <v>1</v>
      </c>
      <c r="Y79" s="33" t="str">
        <f aca="false">A79&amp;"|"&amp;P79</f>
        <v>Aurobindo|</v>
      </c>
      <c r="Z79" s="16" t="s">
        <v>540</v>
      </c>
      <c r="AA79" s="33" t="n">
        <f aca="false">INDEX($G$7:$G$25,MATCH(A79,$A$7:$A$25,0))</f>
        <v>2</v>
      </c>
      <c r="AB79" s="33" t="str">
        <f aca="false">IF(AE79="No","",AA79*1000+IF(P79="",900+COUNTIFS($A$29:A79,A79,$O$29:O79,"Price ≤ $5"),P79))</f>
        <v/>
      </c>
      <c r="AC79" s="33" t="str">
        <f aca="false">IF(O79&lt;&gt;"","",(4-VALUE(RIGHT(Q79,1)))*10^7+N(F79))</f>
        <v/>
      </c>
      <c r="AD79" s="15" t="str">
        <f aca="false">IFERROR(INDEX('Route of Administration'!$C$5:$C$155,MATCH(B79,'Route of Administration'!$A$5:$A$155,0)),"")</f>
        <v>IV</v>
      </c>
      <c r="AE79" s="14" t="str">
        <f aca="false">IFERROR(INDEX('Route of Administration'!$D$5:$D$155,MATCH(B79,'Route of Administration'!$A$5:$A$155,0)),"")</f>
        <v>No</v>
      </c>
      <c r="AF79" s="19" t="n">
        <f aca="false">IF(V79&gt;0,ROUND(AVERAGEIFS('Shortlisted Drugs X Company (7)'!$N$3:$N$698,'Shortlisted Drugs X Company (7)'!$C$3:$C$698,$B79,'Shortlisted Drugs X Company (7)'!$E$3:$E$698,$S79,'Shortlisted Drugs X Company (7)'!$N$3:$N$698,"&gt;=0"),2),"")</f>
        <v>161.8</v>
      </c>
      <c r="AG79" s="16" t="s">
        <v>541</v>
      </c>
      <c r="AH79" s="16" t="s">
        <v>247</v>
      </c>
      <c r="AI79" s="16" t="s">
        <v>247</v>
      </c>
      <c r="AJ79" s="16" t="str">
        <f aca="false">IF(O79&lt;&gt;"","",IF(ISNUMBER(D79),IF(D79&gt;=$C$3,"High price","Lower price"),"Unpriced")&amp;" · "&amp;IF(M79&gt;=$E$3,"high volume","lower volume"))</f>
        <v/>
      </c>
      <c r="AK79" s="15" t="str">
        <f aca="false">IF(O79&lt;&gt;"",IF(O79="Price ≤ $5","Excluded – price ≤ $5","Excluded – IV only"),IF(ISNUMBER(D79),IF(AND(D79&gt;=$C$3,L79&gt;=$H$3),"Priority 1",IF(OR(D79&gt;=$C$3,L79&gt;=$H$3),"Priority 2","Priority 3")),IF(L79&gt;=$H$3,"Priority 2","Priority 3")))</f>
        <v>Excluded – IV only</v>
      </c>
      <c r="AL79" s="16" t="str">
        <f aca="false">IF(O79&lt;&gt;"","",IF(ISNUMBER(D79),IF(D79&gt;=$C$3,"High price","Lower price"),"Unpriced")&amp;" · "&amp;IF(L79&gt;=$H$3,"high volume","lower volume"))</f>
        <v/>
      </c>
      <c r="AM79" s="14" t="str">
        <f aca="false">IF(O79&lt;&gt;"","",COUNTIFS($A$29:$A$361,A79,$O$29:$O$361,"",$AQ$29:$AQ$361,"&gt;"&amp;AQ79)+COUNTIFS($A$29:A79,A79,$O$29:O79,"",$AQ$29:AQ79,AQ79))</f>
        <v/>
      </c>
      <c r="AN79" s="33" t="str">
        <f aca="false">IF(AND(O79="",ISNUMBER(D79)),D79,"")</f>
        <v/>
      </c>
      <c r="AO79" s="33" t="str">
        <f aca="false">IF(O79="",M79,"")</f>
        <v/>
      </c>
      <c r="AP79" s="33" t="str">
        <f aca="false">IF(O79="",L79,"")</f>
        <v/>
      </c>
      <c r="AQ79" s="33" t="str">
        <f aca="false">IF(O79&lt;&gt;"","",(4-VALUE(RIGHT(AK79,1)))*10^7+N(N79))</f>
        <v/>
      </c>
      <c r="AR79" s="33" t="n">
        <f aca="false">INDEX($O$7:$O$25,MATCH(A79,$I$7:$I$25,0))</f>
        <v>2</v>
      </c>
      <c r="AS79" s="33" t="str">
        <f aca="false">IF(AE79="No","",AR79*1000+IF(AM79="",900+COUNTIFS($A$29:A79,A79,$O$29:O79,"Price ≤ $5"),AM79))</f>
        <v/>
      </c>
    </row>
    <row r="80" customFormat="false" ht="41.75" hidden="false" customHeight="false" outlineLevel="0" collapsed="false">
      <c r="A80" s="15" t="s">
        <v>187</v>
      </c>
      <c r="B80" s="15" t="s">
        <v>542</v>
      </c>
      <c r="C80" s="16" t="s">
        <v>543</v>
      </c>
      <c r="D80" s="17" t="n">
        <f aca="false">IF(W80&gt;0,ROUND(AVERAGEIFS('Shortlisted Drugs X Company (7)'!$N$3:$N$698,'Shortlisted Drugs X Company (7)'!$C$3:$C$698,$B80,'Shortlisted Drugs X Company (7)'!$E$3:$E$698,$S80,'Shortlisted Drugs X Company (7)'!$N$3:$N$698,"&gt;5"),2),"")</f>
        <v>20.63</v>
      </c>
      <c r="E80" s="15" t="str">
        <f aca="false">IF(COUNTIFS('Shortlisted Drugs X Company (7)'!$C$3:$C$698,$B80,'Shortlisted Drugs X Company (7)'!$E$3:$E$698,$S80,'Shortlisted Drugs X Company (7)'!$P$3:$P$698,"Exact")&gt;0,"Exact",IF(COUNTIFS('Shortlisted Drugs X Company (7)'!$C$3:$C$698,$B80,'Shortlisted Drugs X Company (7)'!$E$3:$E$698,$S80,'Shortlisted Drugs X Company (7)'!$P$3:$P$698,"Same-market proxy")&gt;0,"Same-market proxy",IF(COUNTIFS('Shortlisted Drugs X Company (7)'!$C$3:$C$698,$B80,'Shortlisted Drugs X Company (7)'!$E$3:$E$698,$S80,'Shortlisted Drugs X Company (7)'!$P$3:$P$698,"Cross-market proxy")&gt;0,"Cross-market proxy",IF(COUNTIFS('Shortlisted Drugs X Company (7)'!$C$3:$C$698,$B80,'Shortlisted Drugs X Company (7)'!$E$3:$E$698,$S80,'Shortlisted Drugs X Company (7)'!$P$3:$P$698,"Source not found")&gt;0,"Source not found","Not priced"))))</f>
        <v>Same-market proxy</v>
      </c>
      <c r="F80" s="18" t="n">
        <f aca="false">IFERROR(ROUND(INDEX('Injectable Value'!$AA$28:$AA$178,MATCH(B80,'Injectable Value'!$A$28:$A$178,0)),1),"")</f>
        <v>6893.7</v>
      </c>
      <c r="G80" s="16" t="s">
        <v>247</v>
      </c>
      <c r="H80" s="14" t="n">
        <v>1</v>
      </c>
      <c r="I80" s="15" t="s">
        <v>248</v>
      </c>
      <c r="J80" s="15" t="s">
        <v>249</v>
      </c>
      <c r="K80" s="16" t="str">
        <f aca="false">""&amp;IF(V80=0,"Unpriced","")&amp;IF(AND(V80&gt;0,W80=0,X80=0),"Low price from another market – confirm with company","")</f>
        <v/>
      </c>
      <c r="L80" s="18" t="n">
        <f aca="false">IFERROR(INDEX('Shortlisted Drugs X Company (7)'!$K$3:$K$698,MATCH(B80,'Shortlisted Drugs X Company (7)'!$C$3:$C$698,0)),"")</f>
        <v>307</v>
      </c>
      <c r="M80" s="18" t="n">
        <f aca="false">IFERROR(ROUND(L80*INDEX('Injectable Value'!$Z$28:$Z$178,MATCH(B80,'Injectable Value'!$A$28:$A$178,0)),0),"")</f>
        <v>291</v>
      </c>
      <c r="N80" s="18" t="n">
        <f aca="false">IFERROR(INDEX('Shortlisted Drugs X Company (7)'!$L$3:$L$698,MATCH(B80,'Shortlisted Drugs X Company (7)'!$C$3:$C$698,0)),"")</f>
        <v>7276.73</v>
      </c>
      <c r="O80" s="15" t="str">
        <f aca="false">IF(AE80="No","IV only (not ID/IM/SC)",IF(AND(V80&gt;0,W80=0),"Price ≤ $5",""))</f>
        <v/>
      </c>
      <c r="P80" s="14" t="n">
        <f aca="false">IF(O80&lt;&gt;"","",COUNTIFS($A$29:$A$361,A80,$O$29:$O$361,"",$AC$29:$AC$361,"&gt;"&amp;AC80)+COUNTIFS($A$29:A80,A80,$O$29:O80,"",$AC$29:AC80,AC80))</f>
        <v>13</v>
      </c>
      <c r="Q80" s="15" t="str">
        <f aca="false">IF(O80&lt;&gt;"",IF(O80="Price ≤ $5","Excluded – price ≤ $5","Excluded – IV only"),IF(ISNUMBER(D80),IF(AND(D80&gt;=$C$3,M80&gt;=$E$3),"Priority 1",IF(OR(D80&gt;=$C$3,M80&gt;=$E$3),"Priority 2","Priority 3")),IF(M80&gt;=$E$3,"Priority 2","Priority 3")))</f>
        <v>Priority 2</v>
      </c>
      <c r="R80" s="16" t="s">
        <v>250</v>
      </c>
      <c r="S80" s="15" t="s">
        <v>286</v>
      </c>
      <c r="T80" s="32" t="s">
        <v>544</v>
      </c>
      <c r="U80" s="33" t="str">
        <f aca="false">B80&amp;"|"&amp;S80</f>
        <v>Testosterone Cypionate|Aurobindo Pharma</v>
      </c>
      <c r="V80" s="34" t="n">
        <f aca="false">COUNTIFS('Shortlisted Drugs X Company (7)'!$C$3:$C$698,$B80,'Shortlisted Drugs X Company (7)'!$E$3:$E$698,$S80,'Shortlisted Drugs X Company (7)'!$N$3:$N$698,"&gt;=0")</f>
        <v>2</v>
      </c>
      <c r="W80" s="34" t="n">
        <f aca="false">COUNTIFS('Shortlisted Drugs X Company (7)'!$C$3:$C$698,$B80,'Shortlisted Drugs X Company (7)'!$E$3:$E$698,$S80,'Shortlisted Drugs X Company (7)'!$N$3:$N$698,"&gt;5")</f>
        <v>2</v>
      </c>
      <c r="X80" s="34" t="n">
        <f aca="false">COUNTIFS('Shortlisted Drugs X Company (7)'!$C$3:$C$698,$B80,'Shortlisted Drugs X Company (7)'!$E$3:$E$698,$S80,'Shortlisted Drugs X Company (7)'!$P$3:$P$698,"Exact")+COUNTIFS('Shortlisted Drugs X Company (7)'!$C$3:$C$698,$B80,'Shortlisted Drugs X Company (7)'!$E$3:$E$698,$S80,'Shortlisted Drugs X Company (7)'!$P$3:$P$698,"Same-market proxy")</f>
        <v>2</v>
      </c>
      <c r="Y80" s="33" t="str">
        <f aca="false">A80&amp;"|"&amp;P80</f>
        <v>Aurobindo|13</v>
      </c>
      <c r="Z80" s="16" t="s">
        <v>545</v>
      </c>
      <c r="AA80" s="33" t="n">
        <f aca="false">INDEX($G$7:$G$25,MATCH(A80,$A$7:$A$25,0))</f>
        <v>2</v>
      </c>
      <c r="AB80" s="33" t="n">
        <f aca="false">IF(AE80="No","",AA80*1000+IF(P80="",900+COUNTIFS($A$29:A80,A80,$O$29:O80,"Price ≤ $5"),P80))</f>
        <v>2013</v>
      </c>
      <c r="AC80" s="33" t="n">
        <f aca="false">IF(O80&lt;&gt;"","",(4-VALUE(RIGHT(Q80,1)))*10^7+N(F80))</f>
        <v>20006893.7</v>
      </c>
      <c r="AD80" s="15" t="str">
        <f aca="false">IFERROR(INDEX('Route of Administration'!$C$5:$C$155,MATCH(B80,'Route of Administration'!$A$5:$A$155,0)),"")</f>
        <v>IM</v>
      </c>
      <c r="AE80" s="14" t="str">
        <f aca="false">IFERROR(INDEX('Route of Administration'!$D$5:$D$155,MATCH(B80,'Route of Administration'!$A$5:$A$155,0)),"")</f>
        <v>Yes</v>
      </c>
      <c r="AF80" s="19" t="n">
        <f aca="false">IF(V80&gt;0,ROUND(AVERAGEIFS('Shortlisted Drugs X Company (7)'!$N$3:$N$698,'Shortlisted Drugs X Company (7)'!$C$3:$C$698,$B80,'Shortlisted Drugs X Company (7)'!$E$3:$E$698,$S80,'Shortlisted Drugs X Company (7)'!$N$3:$N$698,"&gt;=0"),2),"")</f>
        <v>20.63</v>
      </c>
      <c r="AG80" s="16" t="s">
        <v>542</v>
      </c>
      <c r="AH80" s="16" t="s">
        <v>247</v>
      </c>
      <c r="AI80" s="16" t="s">
        <v>247</v>
      </c>
      <c r="AJ80" s="16" t="str">
        <f aca="false">IF(O80&lt;&gt;"","",IF(ISNUMBER(D80),IF(D80&gt;=$C$3,"High price","Lower price"),"Unpriced")&amp;" · "&amp;IF(M80&gt;=$E$3,"high volume","lower volume"))</f>
        <v>Lower price · high volume</v>
      </c>
      <c r="AK80" s="15" t="str">
        <f aca="false">IF(O80&lt;&gt;"",IF(O80="Price ≤ $5","Excluded – price ≤ $5","Excluded – IV only"),IF(ISNUMBER(D80),IF(AND(D80&gt;=$C$3,L80&gt;=$H$3),"Priority 1",IF(OR(D80&gt;=$C$3,L80&gt;=$H$3),"Priority 2","Priority 3")),IF(L80&gt;=$H$3,"Priority 2","Priority 3")))</f>
        <v>Priority 2</v>
      </c>
      <c r="AL80" s="16" t="str">
        <f aca="false">IF(O80&lt;&gt;"","",IF(ISNUMBER(D80),IF(D80&gt;=$C$3,"High price","Lower price"),"Unpriced")&amp;" · "&amp;IF(L80&gt;=$H$3,"high volume","lower volume"))</f>
        <v>Lower price · high volume</v>
      </c>
      <c r="AM80" s="14" t="n">
        <f aca="false">IF(O80&lt;&gt;"","",COUNTIFS($A$29:$A$361,A80,$O$29:$O$361,"",$AQ$29:$AQ$361,"&gt;"&amp;AQ80)+COUNTIFS($A$29:A80,A80,$O$29:O80,"",$AQ$29:AQ80,AQ80))</f>
        <v>18</v>
      </c>
      <c r="AN80" s="19" t="n">
        <f aca="false">IF(AND(O80="",ISNUMBER(D80)),D80,"")</f>
        <v>20.63</v>
      </c>
      <c r="AO80" s="20" t="n">
        <f aca="false">IF(O80="",M80,"")</f>
        <v>291</v>
      </c>
      <c r="AP80" s="20" t="n">
        <f aca="false">IF(O80="",L80,"")</f>
        <v>307</v>
      </c>
      <c r="AQ80" s="33" t="n">
        <f aca="false">IF(O80&lt;&gt;"","",(4-VALUE(RIGHT(AK80,1)))*10^7+N(N80))</f>
        <v>20007276.73</v>
      </c>
      <c r="AR80" s="33" t="n">
        <f aca="false">INDEX($O$7:$O$25,MATCH(A80,$I$7:$I$25,0))</f>
        <v>2</v>
      </c>
      <c r="AS80" s="33" t="n">
        <f aca="false">IF(AE80="No","",AR80*1000+IF(AM80="",900+COUNTIFS($A$29:A80,A80,$O$29:O80,"Price ≤ $5"),AM80))</f>
        <v>2018</v>
      </c>
    </row>
    <row r="81" customFormat="false" ht="28.35" hidden="false" customHeight="false" outlineLevel="0" collapsed="false">
      <c r="A81" s="15" t="s">
        <v>187</v>
      </c>
      <c r="B81" s="15" t="s">
        <v>546</v>
      </c>
      <c r="C81" s="16" t="s">
        <v>547</v>
      </c>
      <c r="D81" s="17" t="n">
        <f aca="false">IF(W81&gt;0,ROUND(AVERAGEIFS('Shortlisted Drugs X Company (7)'!$N$3:$N$698,'Shortlisted Drugs X Company (7)'!$C$3:$C$698,$B81,'Shortlisted Drugs X Company (7)'!$E$3:$E$698,$S81,'Shortlisted Drugs X Company (7)'!$N$3:$N$698,"&gt;5"),2),"")</f>
        <v>36.17</v>
      </c>
      <c r="E81" s="15" t="str">
        <f aca="false">IF(COUNTIFS('Shortlisted Drugs X Company (7)'!$C$3:$C$698,$B81,'Shortlisted Drugs X Company (7)'!$E$3:$E$698,$S81,'Shortlisted Drugs X Company (7)'!$P$3:$P$698,"Exact")&gt;0,"Exact",IF(COUNTIFS('Shortlisted Drugs X Company (7)'!$C$3:$C$698,$B81,'Shortlisted Drugs X Company (7)'!$E$3:$E$698,$S81,'Shortlisted Drugs X Company (7)'!$P$3:$P$698,"Same-market proxy")&gt;0,"Same-market proxy",IF(COUNTIFS('Shortlisted Drugs X Company (7)'!$C$3:$C$698,$B81,'Shortlisted Drugs X Company (7)'!$E$3:$E$698,$S81,'Shortlisted Drugs X Company (7)'!$P$3:$P$698,"Cross-market proxy")&gt;0,"Cross-market proxy",IF(COUNTIFS('Shortlisted Drugs X Company (7)'!$C$3:$C$698,$B81,'Shortlisted Drugs X Company (7)'!$E$3:$E$698,$S81,'Shortlisted Drugs X Company (7)'!$P$3:$P$698,"Source not found")&gt;0,"Source not found","Not priced"))))</f>
        <v>Same-market proxy</v>
      </c>
      <c r="F81" s="18" t="n">
        <f aca="false">IFERROR(ROUND(INDEX('Injectable Value'!$AA$28:$AA$178,MATCH(B81,'Injectable Value'!$A$28:$A$178,0)),1),"")</f>
        <v>1202.2</v>
      </c>
      <c r="G81" s="16" t="s">
        <v>247</v>
      </c>
      <c r="H81" s="14" t="n">
        <v>1</v>
      </c>
      <c r="I81" s="15" t="s">
        <v>248</v>
      </c>
      <c r="J81" s="15" t="s">
        <v>249</v>
      </c>
      <c r="K81" s="16" t="str">
        <f aca="false">""&amp;IF(V81=0,"Unpriced","")&amp;IF(AND(V81&gt;0,W81=0,X81=0),"Low price from another market – confirm with company","")</f>
        <v/>
      </c>
      <c r="L81" s="18" t="n">
        <f aca="false">IFERROR(INDEX('Shortlisted Drugs X Company (7)'!$K$3:$K$698,MATCH(B81,'Shortlisted Drugs X Company (7)'!$C$3:$C$698,0)),"")</f>
        <v>448</v>
      </c>
      <c r="M81" s="18" t="n">
        <f aca="false">IFERROR(ROUND(L81*INDEX('Injectable Value'!$Z$28:$Z$178,MATCH(B81,'Injectable Value'!$A$28:$A$178,0)),0),"")</f>
        <v>448</v>
      </c>
      <c r="N81" s="18" t="n">
        <f aca="false">IFERROR(INDEX('Shortlisted Drugs X Company (7)'!$L$3:$L$698,MATCH(B81,'Shortlisted Drugs X Company (7)'!$C$3:$C$698,0)),"")</f>
        <v>1202.23</v>
      </c>
      <c r="O81" s="15" t="str">
        <f aca="false">IF(AE81="No","IV only (not ID/IM/SC)",IF(AND(V81&gt;0,W81=0),"Price ≤ $5",""))</f>
        <v/>
      </c>
      <c r="P81" s="14" t="n">
        <f aca="false">IF(O81&lt;&gt;"","",COUNTIFS($A$29:$A$361,A81,$O$29:$O$361,"",$AC$29:$AC$361,"&gt;"&amp;AC81)+COUNTIFS($A$29:A81,A81,$O$29:O81,"",$AC$29:AC81,AC81))</f>
        <v>6</v>
      </c>
      <c r="Q81" s="15" t="str">
        <f aca="false">IF(O81&lt;&gt;"",IF(O81="Price ≤ $5","Excluded – price ≤ $5","Excluded – IV only"),IF(ISNUMBER(D81),IF(AND(D81&gt;=$C$3,M81&gt;=$E$3),"Priority 1",IF(OR(D81&gt;=$C$3,M81&gt;=$E$3),"Priority 2","Priority 3")),IF(M81&gt;=$E$3,"Priority 2","Priority 3")))</f>
        <v>Priority 1</v>
      </c>
      <c r="R81" s="16" t="s">
        <v>285</v>
      </c>
      <c r="S81" s="15" t="s">
        <v>286</v>
      </c>
      <c r="T81" s="32" t="s">
        <v>548</v>
      </c>
      <c r="U81" s="33" t="str">
        <f aca="false">B81&amp;"|"&amp;S81</f>
        <v>Testosterone Enanthate|Aurobindo Pharma</v>
      </c>
      <c r="V81" s="34" t="n">
        <f aca="false">COUNTIFS('Shortlisted Drugs X Company (7)'!$C$3:$C$698,$B81,'Shortlisted Drugs X Company (7)'!$E$3:$E$698,$S81,'Shortlisted Drugs X Company (7)'!$N$3:$N$698,"&gt;=0")</f>
        <v>1</v>
      </c>
      <c r="W81" s="34" t="n">
        <f aca="false">COUNTIFS('Shortlisted Drugs X Company (7)'!$C$3:$C$698,$B81,'Shortlisted Drugs X Company (7)'!$E$3:$E$698,$S81,'Shortlisted Drugs X Company (7)'!$N$3:$N$698,"&gt;5")</f>
        <v>1</v>
      </c>
      <c r="X81" s="34" t="n">
        <f aca="false">COUNTIFS('Shortlisted Drugs X Company (7)'!$C$3:$C$698,$B81,'Shortlisted Drugs X Company (7)'!$E$3:$E$698,$S81,'Shortlisted Drugs X Company (7)'!$P$3:$P$698,"Exact")+COUNTIFS('Shortlisted Drugs X Company (7)'!$C$3:$C$698,$B81,'Shortlisted Drugs X Company (7)'!$E$3:$E$698,$S81,'Shortlisted Drugs X Company (7)'!$P$3:$P$698,"Same-market proxy")</f>
        <v>1</v>
      </c>
      <c r="Y81" s="33" t="str">
        <f aca="false">A81&amp;"|"&amp;P81</f>
        <v>Aurobindo|6</v>
      </c>
      <c r="Z81" s="16" t="s">
        <v>549</v>
      </c>
      <c r="AA81" s="33" t="n">
        <f aca="false">INDEX($G$7:$G$25,MATCH(A81,$A$7:$A$25,0))</f>
        <v>2</v>
      </c>
      <c r="AB81" s="33" t="n">
        <f aca="false">IF(AE81="No","",AA81*1000+IF(P81="",900+COUNTIFS($A$29:A81,A81,$O$29:O81,"Price ≤ $5"),P81))</f>
        <v>2006</v>
      </c>
      <c r="AC81" s="33" t="n">
        <f aca="false">IF(O81&lt;&gt;"","",(4-VALUE(RIGHT(Q81,1)))*10^7+N(F81))</f>
        <v>30001202.2</v>
      </c>
      <c r="AD81" s="15" t="str">
        <f aca="false">IFERROR(INDEX('Route of Administration'!$C$5:$C$155,MATCH(B81,'Route of Administration'!$A$5:$A$155,0)),"")</f>
        <v>IM, SC</v>
      </c>
      <c r="AE81" s="14" t="str">
        <f aca="false">IFERROR(INDEX('Route of Administration'!$D$5:$D$155,MATCH(B81,'Route of Administration'!$A$5:$A$155,0)),"")</f>
        <v>Yes</v>
      </c>
      <c r="AF81" s="19" t="n">
        <f aca="false">IF(V81&gt;0,ROUND(AVERAGEIFS('Shortlisted Drugs X Company (7)'!$N$3:$N$698,'Shortlisted Drugs X Company (7)'!$C$3:$C$698,$B81,'Shortlisted Drugs X Company (7)'!$E$3:$E$698,$S81,'Shortlisted Drugs X Company (7)'!$N$3:$N$698,"&gt;=0"),2),"")</f>
        <v>36.17</v>
      </c>
      <c r="AG81" s="16" t="s">
        <v>546</v>
      </c>
      <c r="AH81" s="16" t="s">
        <v>247</v>
      </c>
      <c r="AI81" s="16" t="s">
        <v>247</v>
      </c>
      <c r="AJ81" s="16" t="str">
        <f aca="false">IF(O81&lt;&gt;"","",IF(ISNUMBER(D81),IF(D81&gt;=$C$3,"High price","Lower price"),"Unpriced")&amp;" · "&amp;IF(M81&gt;=$E$3,"high volume","lower volume"))</f>
        <v>High price · high volume</v>
      </c>
      <c r="AK81" s="15" t="str">
        <f aca="false">IF(O81&lt;&gt;"",IF(O81="Price ≤ $5","Excluded – price ≤ $5","Excluded – IV only"),IF(ISNUMBER(D81),IF(AND(D81&gt;=$C$3,L81&gt;=$H$3),"Priority 1",IF(OR(D81&gt;=$C$3,L81&gt;=$H$3),"Priority 2","Priority 3")),IF(L81&gt;=$H$3,"Priority 2","Priority 3")))</f>
        <v>Priority 1</v>
      </c>
      <c r="AL81" s="16" t="str">
        <f aca="false">IF(O81&lt;&gt;"","",IF(ISNUMBER(D81),IF(D81&gt;=$C$3,"High price","Lower price"),"Unpriced")&amp;" · "&amp;IF(L81&gt;=$H$3,"high volume","lower volume"))</f>
        <v>High price · high volume</v>
      </c>
      <c r="AM81" s="14" t="n">
        <f aca="false">IF(O81&lt;&gt;"","",COUNTIFS($A$29:$A$361,A81,$O$29:$O$361,"",$AQ$29:$AQ$361,"&gt;"&amp;AQ81)+COUNTIFS($A$29:A81,A81,$O$29:O81,"",$AQ$29:AQ81,AQ81))</f>
        <v>5</v>
      </c>
      <c r="AN81" s="19" t="n">
        <f aca="false">IF(AND(O81="",ISNUMBER(D81)),D81,"")</f>
        <v>36.17</v>
      </c>
      <c r="AO81" s="20" t="n">
        <f aca="false">IF(O81="",M81,"")</f>
        <v>448</v>
      </c>
      <c r="AP81" s="20" t="n">
        <f aca="false">IF(O81="",L81,"")</f>
        <v>448</v>
      </c>
      <c r="AQ81" s="33" t="n">
        <f aca="false">IF(O81&lt;&gt;"","",(4-VALUE(RIGHT(AK81,1)))*10^7+N(N81))</f>
        <v>30001202.23</v>
      </c>
      <c r="AR81" s="33" t="n">
        <f aca="false">INDEX($O$7:$O$25,MATCH(A81,$I$7:$I$25,0))</f>
        <v>2</v>
      </c>
      <c r="AS81" s="33" t="n">
        <f aca="false">IF(AE81="No","",AR81*1000+IF(AM81="",900+COUNTIFS($A$29:A81,A81,$O$29:O81,"Price ≤ $5"),AM81))</f>
        <v>2005</v>
      </c>
    </row>
    <row r="82" customFormat="false" ht="28.35" hidden="false" customHeight="false" outlineLevel="0" collapsed="false">
      <c r="A82" s="15" t="s">
        <v>187</v>
      </c>
      <c r="B82" s="15" t="s">
        <v>550</v>
      </c>
      <c r="C82" s="16" t="s">
        <v>551</v>
      </c>
      <c r="D82" s="17" t="n">
        <f aca="false">IF(W82&gt;0,ROUND(AVERAGEIFS('Shortlisted Drugs X Company (7)'!$N$3:$N$698,'Shortlisted Drugs X Company (7)'!$C$3:$C$698,$B82,'Shortlisted Drugs X Company (7)'!$E$3:$E$698,$S82,'Shortlisted Drugs X Company (7)'!$N$3:$N$698,"&gt;5"),2),"")</f>
        <v>139.81</v>
      </c>
      <c r="E82" s="15" t="str">
        <f aca="false">IF(COUNTIFS('Shortlisted Drugs X Company (7)'!$C$3:$C$698,$B82,'Shortlisted Drugs X Company (7)'!$E$3:$E$698,$S82,'Shortlisted Drugs X Company (7)'!$P$3:$P$698,"Exact")&gt;0,"Exact",IF(COUNTIFS('Shortlisted Drugs X Company (7)'!$C$3:$C$698,$B82,'Shortlisted Drugs X Company (7)'!$E$3:$E$698,$S82,'Shortlisted Drugs X Company (7)'!$P$3:$P$698,"Same-market proxy")&gt;0,"Same-market proxy",IF(COUNTIFS('Shortlisted Drugs X Company (7)'!$C$3:$C$698,$B82,'Shortlisted Drugs X Company (7)'!$E$3:$E$698,$S82,'Shortlisted Drugs X Company (7)'!$P$3:$P$698,"Cross-market proxy")&gt;0,"Cross-market proxy",IF(COUNTIFS('Shortlisted Drugs X Company (7)'!$C$3:$C$698,$B82,'Shortlisted Drugs X Company (7)'!$E$3:$E$698,$S82,'Shortlisted Drugs X Company (7)'!$P$3:$P$698,"Source not found")&gt;0,"Source not found","Not priced"))))</f>
        <v>Same-market proxy</v>
      </c>
      <c r="F82" s="18" t="n">
        <f aca="false">IFERROR(ROUND(INDEX('Injectable Value'!$AA$28:$AA$178,MATCH(B82,'Injectable Value'!$A$28:$A$178,0)),1),"")</f>
        <v>2812.8</v>
      </c>
      <c r="G82" s="16" t="s">
        <v>552</v>
      </c>
      <c r="H82" s="14" t="n">
        <v>6</v>
      </c>
      <c r="I82" s="15" t="s">
        <v>396</v>
      </c>
      <c r="J82" s="15" t="s">
        <v>284</v>
      </c>
      <c r="K82" s="16" t="str">
        <f aca="false">""&amp;IF(V82=0,"Unpriced","")&amp;IF(AND(V82&gt;0,W82=0,X82=0),"Low price from another market – confirm with company","")</f>
        <v/>
      </c>
      <c r="L82" s="18" t="n">
        <f aca="false">IFERROR(INDEX('Shortlisted Drugs X Company (7)'!$K$3:$K$698,MATCH(B82,'Shortlisted Drugs X Company (7)'!$C$3:$C$698,0)),"")</f>
        <v>61</v>
      </c>
      <c r="M82" s="18" t="n">
        <f aca="false">IFERROR(ROUND(L82*INDEX('Injectable Value'!$Z$28:$Z$178,MATCH(B82,'Injectable Value'!$A$28:$A$178,0)),0),"")</f>
        <v>61</v>
      </c>
      <c r="N82" s="18" t="n">
        <f aca="false">IFERROR(INDEX('Shortlisted Drugs X Company (7)'!$L$3:$L$698,MATCH(B82,'Shortlisted Drugs X Company (7)'!$C$3:$C$698,0)),"")</f>
        <v>2812.77</v>
      </c>
      <c r="O82" s="15" t="str">
        <f aca="false">IF(AE82="No","IV only (not ID/IM/SC)",IF(AND(V82&gt;0,W82=0),"Price ≤ $5",""))</f>
        <v>IV only (not ID/IM/SC)</v>
      </c>
      <c r="P82" s="14" t="str">
        <f aca="false">IF(O82&lt;&gt;"","",COUNTIFS($A$29:$A$361,A82,$O$29:$O$361,"",$AC$29:$AC$361,"&gt;"&amp;AC82)+COUNTIFS($A$29:A82,A82,$O$29:O82,"",$AC$29:AC82,AC82))</f>
        <v/>
      </c>
      <c r="Q82" s="15" t="str">
        <f aca="false">IF(O82&lt;&gt;"",IF(O82="Price ≤ $5","Excluded – price ≤ $5","Excluded – IV only"),IF(ISNUMBER(D82),IF(AND(D82&gt;=$C$3,M82&gt;=$E$3),"Priority 1",IF(OR(D82&gt;=$C$3,M82&gt;=$E$3),"Priority 2","Priority 3")),IF(M82&gt;=$E$3,"Priority 2","Priority 3")))</f>
        <v>Excluded – IV only</v>
      </c>
      <c r="R82" s="16" t="s">
        <v>285</v>
      </c>
      <c r="S82" s="15" t="s">
        <v>286</v>
      </c>
      <c r="T82" s="32" t="s">
        <v>553</v>
      </c>
      <c r="U82" s="33" t="str">
        <f aca="false">B82&amp;"|"&amp;S82</f>
        <v>Tirofiban|Aurobindo Pharma</v>
      </c>
      <c r="V82" s="34" t="n">
        <f aca="false">COUNTIFS('Shortlisted Drugs X Company (7)'!$C$3:$C$698,$B82,'Shortlisted Drugs X Company (7)'!$E$3:$E$698,$S82,'Shortlisted Drugs X Company (7)'!$N$3:$N$698,"&gt;=0")</f>
        <v>2</v>
      </c>
      <c r="W82" s="34" t="n">
        <f aca="false">COUNTIFS('Shortlisted Drugs X Company (7)'!$C$3:$C$698,$B82,'Shortlisted Drugs X Company (7)'!$E$3:$E$698,$S82,'Shortlisted Drugs X Company (7)'!$N$3:$N$698,"&gt;5")</f>
        <v>2</v>
      </c>
      <c r="X82" s="34" t="n">
        <f aca="false">COUNTIFS('Shortlisted Drugs X Company (7)'!$C$3:$C$698,$B82,'Shortlisted Drugs X Company (7)'!$E$3:$E$698,$S82,'Shortlisted Drugs X Company (7)'!$P$3:$P$698,"Exact")+COUNTIFS('Shortlisted Drugs X Company (7)'!$C$3:$C$698,$B82,'Shortlisted Drugs X Company (7)'!$E$3:$E$698,$S82,'Shortlisted Drugs X Company (7)'!$P$3:$P$698,"Same-market proxy")</f>
        <v>2</v>
      </c>
      <c r="Y82" s="33" t="str">
        <f aca="false">A82&amp;"|"&amp;P82</f>
        <v>Aurobindo|</v>
      </c>
      <c r="Z82" s="16" t="s">
        <v>554</v>
      </c>
      <c r="AA82" s="33" t="n">
        <f aca="false">INDEX($G$7:$G$25,MATCH(A82,$A$7:$A$25,0))</f>
        <v>2</v>
      </c>
      <c r="AB82" s="33" t="str">
        <f aca="false">IF(AE82="No","",AA82*1000+IF(P82="",900+COUNTIFS($A$29:A82,A82,$O$29:O82,"Price ≤ $5"),P82))</f>
        <v/>
      </c>
      <c r="AC82" s="33" t="str">
        <f aca="false">IF(O82&lt;&gt;"","",(4-VALUE(RIGHT(Q82,1)))*10^7+N(F82))</f>
        <v/>
      </c>
      <c r="AD82" s="15" t="str">
        <f aca="false">IFERROR(INDEX('Route of Administration'!$C$5:$C$155,MATCH(B82,'Route of Administration'!$A$5:$A$155,0)),"")</f>
        <v>IV</v>
      </c>
      <c r="AE82" s="14" t="str">
        <f aca="false">IFERROR(INDEX('Route of Administration'!$D$5:$D$155,MATCH(B82,'Route of Administration'!$A$5:$A$155,0)),"")</f>
        <v>No</v>
      </c>
      <c r="AF82" s="19" t="n">
        <f aca="false">IF(V82&gt;0,ROUND(AVERAGEIFS('Shortlisted Drugs X Company (7)'!$N$3:$N$698,'Shortlisted Drugs X Company (7)'!$C$3:$C$698,$B82,'Shortlisted Drugs X Company (7)'!$E$3:$E$698,$S82,'Shortlisted Drugs X Company (7)'!$N$3:$N$698,"&gt;=0"),2),"")</f>
        <v>139.81</v>
      </c>
      <c r="AG82" s="16" t="s">
        <v>555</v>
      </c>
      <c r="AH82" s="16" t="s">
        <v>556</v>
      </c>
      <c r="AI82" s="16" t="s">
        <v>556</v>
      </c>
      <c r="AJ82" s="16" t="str">
        <f aca="false">IF(O82&lt;&gt;"","",IF(ISNUMBER(D82),IF(D82&gt;=$C$3,"High price","Lower price"),"Unpriced")&amp;" · "&amp;IF(M82&gt;=$E$3,"high volume","lower volume"))</f>
        <v/>
      </c>
      <c r="AK82" s="15" t="str">
        <f aca="false">IF(O82&lt;&gt;"",IF(O82="Price ≤ $5","Excluded – price ≤ $5","Excluded – IV only"),IF(ISNUMBER(D82),IF(AND(D82&gt;=$C$3,L82&gt;=$H$3),"Priority 1",IF(OR(D82&gt;=$C$3,L82&gt;=$H$3),"Priority 2","Priority 3")),IF(L82&gt;=$H$3,"Priority 2","Priority 3")))</f>
        <v>Excluded – IV only</v>
      </c>
      <c r="AL82" s="16" t="str">
        <f aca="false">IF(O82&lt;&gt;"","",IF(ISNUMBER(D82),IF(D82&gt;=$C$3,"High price","Lower price"),"Unpriced")&amp;" · "&amp;IF(L82&gt;=$H$3,"high volume","lower volume"))</f>
        <v/>
      </c>
      <c r="AM82" s="14" t="str">
        <f aca="false">IF(O82&lt;&gt;"","",COUNTIFS($A$29:$A$361,A82,$O$29:$O$361,"",$AQ$29:$AQ$361,"&gt;"&amp;AQ82)+COUNTIFS($A$29:A82,A82,$O$29:O82,"",$AQ$29:AQ82,AQ82))</f>
        <v/>
      </c>
      <c r="AN82" s="33" t="str">
        <f aca="false">IF(AND(O82="",ISNUMBER(D82)),D82,"")</f>
        <v/>
      </c>
      <c r="AO82" s="33" t="str">
        <f aca="false">IF(O82="",M82,"")</f>
        <v/>
      </c>
      <c r="AP82" s="33" t="str">
        <f aca="false">IF(O82="",L82,"")</f>
        <v/>
      </c>
      <c r="AQ82" s="33" t="str">
        <f aca="false">IF(O82&lt;&gt;"","",(4-VALUE(RIGHT(AK82,1)))*10^7+N(N82))</f>
        <v/>
      </c>
      <c r="AR82" s="33" t="n">
        <f aca="false">INDEX($O$7:$O$25,MATCH(A82,$I$7:$I$25,0))</f>
        <v>2</v>
      </c>
      <c r="AS82" s="33" t="str">
        <f aca="false">IF(AE82="No","",AR82*1000+IF(AM82="",900+COUNTIFS($A$29:A82,A82,$O$29:O82,"Price ≤ $5"),AM82))</f>
        <v/>
      </c>
    </row>
    <row r="83" customFormat="false" ht="41.75" hidden="false" customHeight="false" outlineLevel="0" collapsed="false">
      <c r="A83" s="15" t="s">
        <v>187</v>
      </c>
      <c r="B83" s="15" t="s">
        <v>557</v>
      </c>
      <c r="C83" s="16" t="s">
        <v>558</v>
      </c>
      <c r="D83" s="17" t="n">
        <f aca="false">IF(W83&gt;0,ROUND(AVERAGEIFS('Shortlisted Drugs X Company (7)'!$N$3:$N$698,'Shortlisted Drugs X Company (7)'!$C$3:$C$698,$B83,'Shortlisted Drugs X Company (7)'!$E$3:$E$698,$S83,'Shortlisted Drugs X Company (7)'!$N$3:$N$698,"&gt;5"),2),"")</f>
        <v>13.53</v>
      </c>
      <c r="E83" s="15" t="str">
        <f aca="false">IF(COUNTIFS('Shortlisted Drugs X Company (7)'!$C$3:$C$698,$B83,'Shortlisted Drugs X Company (7)'!$E$3:$E$698,$S83,'Shortlisted Drugs X Company (7)'!$P$3:$P$698,"Exact")&gt;0,"Exact",IF(COUNTIFS('Shortlisted Drugs X Company (7)'!$C$3:$C$698,$B83,'Shortlisted Drugs X Company (7)'!$E$3:$E$698,$S83,'Shortlisted Drugs X Company (7)'!$P$3:$P$698,"Same-market proxy")&gt;0,"Same-market proxy",IF(COUNTIFS('Shortlisted Drugs X Company (7)'!$C$3:$C$698,$B83,'Shortlisted Drugs X Company (7)'!$E$3:$E$698,$S83,'Shortlisted Drugs X Company (7)'!$P$3:$P$698,"Cross-market proxy")&gt;0,"Cross-market proxy",IF(COUNTIFS('Shortlisted Drugs X Company (7)'!$C$3:$C$698,$B83,'Shortlisted Drugs X Company (7)'!$E$3:$E$698,$S83,'Shortlisted Drugs X Company (7)'!$P$3:$P$698,"Source not found")&gt;0,"Source not found","Not priced"))))</f>
        <v>Exact</v>
      </c>
      <c r="F83" s="18" t="n">
        <f aca="false">IFERROR(ROUND(INDEX('Injectable Value'!$AA$28:$AA$178,MATCH(B83,'Injectable Value'!$A$28:$A$178,0)),1),"")</f>
        <v>22518.6</v>
      </c>
      <c r="G83" s="16" t="s">
        <v>559</v>
      </c>
      <c r="H83" s="14" t="n">
        <v>7</v>
      </c>
      <c r="I83" s="15" t="s">
        <v>339</v>
      </c>
      <c r="J83" s="15" t="s">
        <v>249</v>
      </c>
      <c r="K83" s="16" t="str">
        <f aca="false">""&amp;IF(V83=0,"Unpriced","")&amp;IF(AND(V83&gt;0,W83=0,X83=0),"Low price from another market – confirm with company","")</f>
        <v/>
      </c>
      <c r="L83" s="18" t="n">
        <f aca="false">IFERROR(INDEX('Shortlisted Drugs X Company (7)'!$K$3:$K$698,MATCH(B83,'Shortlisted Drugs X Company (7)'!$C$3:$C$698,0)),"")</f>
        <v>1307</v>
      </c>
      <c r="M83" s="18" t="n">
        <f aca="false">IFERROR(ROUND(L83*INDEX('Injectable Value'!$Z$28:$Z$178,MATCH(B83,'Injectable Value'!$A$28:$A$178,0)),0),"")</f>
        <v>808</v>
      </c>
      <c r="N83" s="18" t="n">
        <f aca="false">IFERROR(INDEX('Shortlisted Drugs X Company (7)'!$L$3:$L$698,MATCH(B83,'Shortlisted Drugs X Company (7)'!$C$3:$C$698,0)),"")</f>
        <v>36428.56</v>
      </c>
      <c r="O83" s="15" t="str">
        <f aca="false">IF(AE83="No","IV only (not ID/IM/SC)",IF(AND(V83&gt;0,W83=0),"Price ≤ $5",""))</f>
        <v>IV only (not ID/IM/SC)</v>
      </c>
      <c r="P83" s="14" t="str">
        <f aca="false">IF(O83&lt;&gt;"","",COUNTIFS($A$29:$A$361,A83,$O$29:$O$361,"",$AC$29:$AC$361,"&gt;"&amp;AC83)+COUNTIFS($A$29:A83,A83,$O$29:O83,"",$AC$29:AC83,AC83))</f>
        <v/>
      </c>
      <c r="Q83" s="15" t="str">
        <f aca="false">IF(O83&lt;&gt;"",IF(O83="Price ≤ $5","Excluded – price ≤ $5","Excluded – IV only"),IF(ISNUMBER(D83),IF(AND(D83&gt;=$C$3,M83&gt;=$E$3),"Priority 1",IF(OR(D83&gt;=$C$3,M83&gt;=$E$3),"Priority 2","Priority 3")),IF(M83&gt;=$E$3,"Priority 2","Priority 3")))</f>
        <v>Excluded – IV only</v>
      </c>
      <c r="R83" s="16" t="s">
        <v>285</v>
      </c>
      <c r="S83" s="15" t="s">
        <v>286</v>
      </c>
      <c r="T83" s="32" t="s">
        <v>560</v>
      </c>
      <c r="U83" s="33" t="str">
        <f aca="false">B83&amp;"|"&amp;S83</f>
        <v>Tranexamic Acid|Aurobindo Pharma</v>
      </c>
      <c r="V83" s="34" t="n">
        <f aca="false">COUNTIFS('Shortlisted Drugs X Company (7)'!$C$3:$C$698,$B83,'Shortlisted Drugs X Company (7)'!$E$3:$E$698,$S83,'Shortlisted Drugs X Company (7)'!$N$3:$N$698,"&gt;=0")</f>
        <v>3</v>
      </c>
      <c r="W83" s="34" t="n">
        <f aca="false">COUNTIFS('Shortlisted Drugs X Company (7)'!$C$3:$C$698,$B83,'Shortlisted Drugs X Company (7)'!$E$3:$E$698,$S83,'Shortlisted Drugs X Company (7)'!$N$3:$N$698,"&gt;5")</f>
        <v>3</v>
      </c>
      <c r="X83" s="34" t="n">
        <f aca="false">COUNTIFS('Shortlisted Drugs X Company (7)'!$C$3:$C$698,$B83,'Shortlisted Drugs X Company (7)'!$E$3:$E$698,$S83,'Shortlisted Drugs X Company (7)'!$P$3:$P$698,"Exact")+COUNTIFS('Shortlisted Drugs X Company (7)'!$C$3:$C$698,$B83,'Shortlisted Drugs X Company (7)'!$E$3:$E$698,$S83,'Shortlisted Drugs X Company (7)'!$P$3:$P$698,"Same-market proxy")</f>
        <v>3</v>
      </c>
      <c r="Y83" s="33" t="str">
        <f aca="false">A83&amp;"|"&amp;P83</f>
        <v>Aurobindo|</v>
      </c>
      <c r="Z83" s="16" t="s">
        <v>561</v>
      </c>
      <c r="AA83" s="33" t="n">
        <f aca="false">INDEX($G$7:$G$25,MATCH(A83,$A$7:$A$25,0))</f>
        <v>2</v>
      </c>
      <c r="AB83" s="33" t="str">
        <f aca="false">IF(AE83="No","",AA83*1000+IF(P83="",900+COUNTIFS($A$29:A83,A83,$O$29:O83,"Price ≤ $5"),P83))</f>
        <v/>
      </c>
      <c r="AC83" s="33" t="str">
        <f aca="false">IF(O83&lt;&gt;"","",(4-VALUE(RIGHT(Q83,1)))*10^7+N(F83))</f>
        <v/>
      </c>
      <c r="AD83" s="15" t="str">
        <f aca="false">IFERROR(INDEX('Route of Administration'!$C$5:$C$155,MATCH(B83,'Route of Administration'!$A$5:$A$155,0)),"")</f>
        <v>IV</v>
      </c>
      <c r="AE83" s="14" t="str">
        <f aca="false">IFERROR(INDEX('Route of Administration'!$D$5:$D$155,MATCH(B83,'Route of Administration'!$A$5:$A$155,0)),"")</f>
        <v>No</v>
      </c>
      <c r="AF83" s="19" t="n">
        <f aca="false">IF(V83&gt;0,ROUND(AVERAGEIFS('Shortlisted Drugs X Company (7)'!$N$3:$N$698,'Shortlisted Drugs X Company (7)'!$C$3:$C$698,$B83,'Shortlisted Drugs X Company (7)'!$E$3:$E$698,$S83,'Shortlisted Drugs X Company (7)'!$N$3:$N$698,"&gt;=0"),2),"")</f>
        <v>13.53</v>
      </c>
      <c r="AG83" s="16" t="s">
        <v>557</v>
      </c>
      <c r="AH83" s="16" t="s">
        <v>562</v>
      </c>
      <c r="AI83" s="16" t="s">
        <v>562</v>
      </c>
      <c r="AJ83" s="16" t="str">
        <f aca="false">IF(O83&lt;&gt;"","",IF(ISNUMBER(D83),IF(D83&gt;=$C$3,"High price","Lower price"),"Unpriced")&amp;" · "&amp;IF(M83&gt;=$E$3,"high volume","lower volume"))</f>
        <v/>
      </c>
      <c r="AK83" s="15" t="str">
        <f aca="false">IF(O83&lt;&gt;"",IF(O83="Price ≤ $5","Excluded – price ≤ $5","Excluded – IV only"),IF(ISNUMBER(D83),IF(AND(D83&gt;=$C$3,L83&gt;=$H$3),"Priority 1",IF(OR(D83&gt;=$C$3,L83&gt;=$H$3),"Priority 2","Priority 3")),IF(L83&gt;=$H$3,"Priority 2","Priority 3")))</f>
        <v>Excluded – IV only</v>
      </c>
      <c r="AL83" s="16" t="str">
        <f aca="false">IF(O83&lt;&gt;"","",IF(ISNUMBER(D83),IF(D83&gt;=$C$3,"High price","Lower price"),"Unpriced")&amp;" · "&amp;IF(L83&gt;=$H$3,"high volume","lower volume"))</f>
        <v/>
      </c>
      <c r="AM83" s="14" t="str">
        <f aca="false">IF(O83&lt;&gt;"","",COUNTIFS($A$29:$A$361,A83,$O$29:$O$361,"",$AQ$29:$AQ$361,"&gt;"&amp;AQ83)+COUNTIFS($A$29:A83,A83,$O$29:O83,"",$AQ$29:AQ83,AQ83))</f>
        <v/>
      </c>
      <c r="AN83" s="33" t="str">
        <f aca="false">IF(AND(O83="",ISNUMBER(D83)),D83,"")</f>
        <v/>
      </c>
      <c r="AO83" s="33" t="str">
        <f aca="false">IF(O83="",M83,"")</f>
        <v/>
      </c>
      <c r="AP83" s="33" t="str">
        <f aca="false">IF(O83="",L83,"")</f>
        <v/>
      </c>
      <c r="AQ83" s="33" t="str">
        <f aca="false">IF(O83&lt;&gt;"","",(4-VALUE(RIGHT(AK83,1)))*10^7+N(N83))</f>
        <v/>
      </c>
      <c r="AR83" s="33" t="n">
        <f aca="false">INDEX($O$7:$O$25,MATCH(A83,$I$7:$I$25,0))</f>
        <v>2</v>
      </c>
      <c r="AS83" s="33" t="str">
        <f aca="false">IF(AE83="No","",AR83*1000+IF(AM83="",900+COUNTIFS($A$29:A83,A83,$O$29:O83,"Price ≤ $5"),AM83))</f>
        <v/>
      </c>
    </row>
    <row r="84" customFormat="false" ht="41.75" hidden="false" customHeight="false" outlineLevel="0" collapsed="false">
      <c r="A84" s="15" t="s">
        <v>187</v>
      </c>
      <c r="B84" s="15" t="s">
        <v>275</v>
      </c>
      <c r="C84" s="16" t="s">
        <v>276</v>
      </c>
      <c r="D84" s="17" t="str">
        <f aca="false">IF(W84&gt;0,ROUND(AVERAGEIFS('Shortlisted Drugs X Company (7)'!$N$3:$N$698,'Shortlisted Drugs X Company (7)'!$C$3:$C$698,$B84,'Shortlisted Drugs X Company (7)'!$E$3:$E$698,$S84,'Shortlisted Drugs X Company (7)'!$N$3:$N$698,"&gt;5"),2),"")</f>
        <v/>
      </c>
      <c r="E84" s="15" t="str">
        <f aca="false">IF(COUNTIFS('Shortlisted Drugs X Company (7)'!$C$3:$C$698,$B84,'Shortlisted Drugs X Company (7)'!$E$3:$E$698,$S84,'Shortlisted Drugs X Company (7)'!$P$3:$P$698,"Exact")&gt;0,"Exact",IF(COUNTIFS('Shortlisted Drugs X Company (7)'!$C$3:$C$698,$B84,'Shortlisted Drugs X Company (7)'!$E$3:$E$698,$S84,'Shortlisted Drugs X Company (7)'!$P$3:$P$698,"Same-market proxy")&gt;0,"Same-market proxy",IF(COUNTIFS('Shortlisted Drugs X Company (7)'!$C$3:$C$698,$B84,'Shortlisted Drugs X Company (7)'!$E$3:$E$698,$S84,'Shortlisted Drugs X Company (7)'!$P$3:$P$698,"Cross-market proxy")&gt;0,"Cross-market proxy",IF(COUNTIFS('Shortlisted Drugs X Company (7)'!$C$3:$C$698,$B84,'Shortlisted Drugs X Company (7)'!$E$3:$E$698,$S84,'Shortlisted Drugs X Company (7)'!$P$3:$P$698,"Source not found")&gt;0,"Source not found","Not priced"))))</f>
        <v>Same-market proxy</v>
      </c>
      <c r="F84" s="18" t="n">
        <f aca="false">IFERROR(ROUND(INDEX('Injectable Value'!$AA$28:$AA$178,MATCH(B84,'Injectable Value'!$A$28:$A$178,0)),1),"")</f>
        <v>4256.8</v>
      </c>
      <c r="G84" s="16" t="s">
        <v>247</v>
      </c>
      <c r="H84" s="14" t="n">
        <v>1</v>
      </c>
      <c r="I84" s="15" t="s">
        <v>277</v>
      </c>
      <c r="J84" s="15" t="s">
        <v>277</v>
      </c>
      <c r="K84" s="16" t="str">
        <f aca="false">""&amp;IF(V84=0,"Unpriced","")&amp;IF(AND(V84&gt;0,W84=0,X84=0),"Low price from another market – confirm with company","")</f>
        <v/>
      </c>
      <c r="L84" s="18" t="n">
        <f aca="false">IFERROR(INDEX('Shortlisted Drugs X Company (7)'!$K$3:$K$698,MATCH(B84,'Shortlisted Drugs X Company (7)'!$C$3:$C$698,0)),"")</f>
        <v>735</v>
      </c>
      <c r="M84" s="18" t="n">
        <f aca="false">IFERROR(ROUND(L84*INDEX('Injectable Value'!$Z$28:$Z$178,MATCH(B84,'Injectable Value'!$A$28:$A$178,0)),0),"")</f>
        <v>193</v>
      </c>
      <c r="N84" s="18" t="n">
        <f aca="false">IFERROR(INDEX('Shortlisted Drugs X Company (7)'!$L$3:$L$698,MATCH(B84,'Shortlisted Drugs X Company (7)'!$C$3:$C$698,0)),"")</f>
        <v>16205.48</v>
      </c>
      <c r="O84" s="15" t="str">
        <f aca="false">IF(AE84="No","IV only (not ID/IM/SC)",IF(AND(V84&gt;0,W84=0),"Price ≤ $5",""))</f>
        <v>Price ≤ $5</v>
      </c>
      <c r="P84" s="14" t="str">
        <f aca="false">IF(O84&lt;&gt;"","",COUNTIFS($A$29:$A$361,A84,$O$29:$O$361,"",$AC$29:$AC$361,"&gt;"&amp;AC84)+COUNTIFS($A$29:A84,A84,$O$29:O84,"",$AC$29:AC84,AC84))</f>
        <v/>
      </c>
      <c r="Q84" s="15" t="str">
        <f aca="false">IF(O84&lt;&gt;"",IF(O84="Price ≤ $5","Excluded – price ≤ $5","Excluded – IV only"),IF(ISNUMBER(D84),IF(AND(D84&gt;=$C$3,M84&gt;=$E$3),"Priority 1",IF(OR(D84&gt;=$C$3,M84&gt;=$E$3),"Priority 2","Priority 3")),IF(M84&gt;=$E$3,"Priority 2","Priority 3")))</f>
        <v>Excluded – price ≤ $5</v>
      </c>
      <c r="R84" s="16" t="s">
        <v>278</v>
      </c>
      <c r="S84" s="15" t="s">
        <v>286</v>
      </c>
      <c r="T84" s="32" t="s">
        <v>279</v>
      </c>
      <c r="U84" s="33" t="str">
        <f aca="false">B84&amp;"|"&amp;S84</f>
        <v>Triamcinolone Acetonide|Aurobindo Pharma</v>
      </c>
      <c r="V84" s="34" t="n">
        <f aca="false">COUNTIFS('Shortlisted Drugs X Company (7)'!$C$3:$C$698,$B84,'Shortlisted Drugs X Company (7)'!$E$3:$E$698,$S84,'Shortlisted Drugs X Company (7)'!$N$3:$N$698,"&gt;=0")</f>
        <v>1</v>
      </c>
      <c r="W84" s="34" t="n">
        <f aca="false">COUNTIFS('Shortlisted Drugs X Company (7)'!$C$3:$C$698,$B84,'Shortlisted Drugs X Company (7)'!$E$3:$E$698,$S84,'Shortlisted Drugs X Company (7)'!$N$3:$N$698,"&gt;5")</f>
        <v>0</v>
      </c>
      <c r="X84" s="34" t="n">
        <f aca="false">COUNTIFS('Shortlisted Drugs X Company (7)'!$C$3:$C$698,$B84,'Shortlisted Drugs X Company (7)'!$E$3:$E$698,$S84,'Shortlisted Drugs X Company (7)'!$P$3:$P$698,"Exact")+COUNTIFS('Shortlisted Drugs X Company (7)'!$C$3:$C$698,$B84,'Shortlisted Drugs X Company (7)'!$E$3:$E$698,$S84,'Shortlisted Drugs X Company (7)'!$P$3:$P$698,"Same-market proxy")</f>
        <v>1</v>
      </c>
      <c r="Y84" s="33" t="str">
        <f aca="false">A84&amp;"|"&amp;P84</f>
        <v>Aurobindo|</v>
      </c>
      <c r="Z84" s="16" t="s">
        <v>280</v>
      </c>
      <c r="AA84" s="33" t="n">
        <f aca="false">INDEX($G$7:$G$25,MATCH(A84,$A$7:$A$25,0))</f>
        <v>2</v>
      </c>
      <c r="AB84" s="33" t="n">
        <f aca="false">IF(AE84="No","",AA84*1000+IF(P84="",900+COUNTIFS($A$29:A84,A84,$O$29:O84,"Price ≤ $5"),P84))</f>
        <v>2902</v>
      </c>
      <c r="AC84" s="33" t="str">
        <f aca="false">IF(O84&lt;&gt;"","",(4-VALUE(RIGHT(Q84,1)))*10^7+N(F84))</f>
        <v/>
      </c>
      <c r="AD84" s="15" t="str">
        <f aca="false">IFERROR(INDEX('Route of Administration'!$C$5:$C$155,MATCH(B84,'Route of Administration'!$A$5:$A$155,0)),"")</f>
        <v>IM</v>
      </c>
      <c r="AE84" s="14" t="str">
        <f aca="false">IFERROR(INDEX('Route of Administration'!$D$5:$D$155,MATCH(B84,'Route of Administration'!$A$5:$A$155,0)),"")</f>
        <v>Yes</v>
      </c>
      <c r="AF84" s="19" t="n">
        <f aca="false">IF(V84&gt;0,ROUND(AVERAGEIFS('Shortlisted Drugs X Company (7)'!$N$3:$N$698,'Shortlisted Drugs X Company (7)'!$C$3:$C$698,$B84,'Shortlisted Drugs X Company (7)'!$E$3:$E$698,$S84,'Shortlisted Drugs X Company (7)'!$N$3:$N$698,"&gt;=0"),2),"")</f>
        <v>3.15</v>
      </c>
      <c r="AG84" s="16" t="s">
        <v>275</v>
      </c>
      <c r="AH84" s="16" t="s">
        <v>247</v>
      </c>
      <c r="AI84" s="16" t="s">
        <v>247</v>
      </c>
      <c r="AJ84" s="16" t="str">
        <f aca="false">IF(O84&lt;&gt;"","",IF(ISNUMBER(D84),IF(D84&gt;=$C$3,"High price","Lower price"),"Unpriced")&amp;" · "&amp;IF(M84&gt;=$E$3,"high volume","lower volume"))</f>
        <v/>
      </c>
      <c r="AK84" s="15" t="str">
        <f aca="false">IF(O84&lt;&gt;"",IF(O84="Price ≤ $5","Excluded – price ≤ $5","Excluded – IV only"),IF(ISNUMBER(D84),IF(AND(D84&gt;=$C$3,L84&gt;=$H$3),"Priority 1",IF(OR(D84&gt;=$C$3,L84&gt;=$H$3),"Priority 2","Priority 3")),IF(L84&gt;=$H$3,"Priority 2","Priority 3")))</f>
        <v>Excluded – price ≤ $5</v>
      </c>
      <c r="AL84" s="16" t="str">
        <f aca="false">IF(O84&lt;&gt;"","",IF(ISNUMBER(D84),IF(D84&gt;=$C$3,"High price","Lower price"),"Unpriced")&amp;" · "&amp;IF(L84&gt;=$H$3,"high volume","lower volume"))</f>
        <v/>
      </c>
      <c r="AM84" s="14" t="str">
        <f aca="false">IF(O84&lt;&gt;"","",COUNTIFS($A$29:$A$361,A84,$O$29:$O$361,"",$AQ$29:$AQ$361,"&gt;"&amp;AQ84)+COUNTIFS($A$29:A84,A84,$O$29:O84,"",$AQ$29:AQ84,AQ84))</f>
        <v/>
      </c>
      <c r="AN84" s="33" t="str">
        <f aca="false">IF(AND(O84="",ISNUMBER(D84)),D84,"")</f>
        <v/>
      </c>
      <c r="AO84" s="33" t="str">
        <f aca="false">IF(O84="",M84,"")</f>
        <v/>
      </c>
      <c r="AP84" s="33" t="str">
        <f aca="false">IF(O84="",L84,"")</f>
        <v/>
      </c>
      <c r="AQ84" s="33" t="str">
        <f aca="false">IF(O84&lt;&gt;"","",(4-VALUE(RIGHT(AK84,1)))*10^7+N(N84))</f>
        <v/>
      </c>
      <c r="AR84" s="33" t="n">
        <f aca="false">INDEX($O$7:$O$25,MATCH(A84,$I$7:$I$25,0))</f>
        <v>2</v>
      </c>
      <c r="AS84" s="33" t="n">
        <f aca="false">IF(AE84="No","",AR84*1000+IF(AM84="",900+COUNTIFS($A$29:A84,A84,$O$29:O84,"Price ≤ $5"),AM84))</f>
        <v>2902</v>
      </c>
    </row>
    <row r="85" customFormat="false" ht="28.35" hidden="false" customHeight="false" outlineLevel="0" collapsed="false">
      <c r="A85" s="15" t="s">
        <v>187</v>
      </c>
      <c r="B85" s="15" t="s">
        <v>563</v>
      </c>
      <c r="C85" s="16" t="s">
        <v>564</v>
      </c>
      <c r="D85" s="17" t="n">
        <f aca="false">IF(W85&gt;0,ROUND(AVERAGEIFS('Shortlisted Drugs X Company (7)'!$N$3:$N$698,'Shortlisted Drugs X Company (7)'!$C$3:$C$698,$B85,'Shortlisted Drugs X Company (7)'!$E$3:$E$698,$S85,'Shortlisted Drugs X Company (7)'!$N$3:$N$698,"&gt;5"),2),"")</f>
        <v>7.95</v>
      </c>
      <c r="E85" s="15" t="str">
        <f aca="false">IF(COUNTIFS('Shortlisted Drugs X Company (7)'!$C$3:$C$698,$B85,'Shortlisted Drugs X Company (7)'!$E$3:$E$698,$S85,'Shortlisted Drugs X Company (7)'!$P$3:$P$698,"Exact")&gt;0,"Exact",IF(COUNTIFS('Shortlisted Drugs X Company (7)'!$C$3:$C$698,$B85,'Shortlisted Drugs X Company (7)'!$E$3:$E$698,$S85,'Shortlisted Drugs X Company (7)'!$P$3:$P$698,"Same-market proxy")&gt;0,"Same-market proxy",IF(COUNTIFS('Shortlisted Drugs X Company (7)'!$C$3:$C$698,$B85,'Shortlisted Drugs X Company (7)'!$E$3:$E$698,$S85,'Shortlisted Drugs X Company (7)'!$P$3:$P$698,"Cross-market proxy")&gt;0,"Cross-market proxy",IF(COUNTIFS('Shortlisted Drugs X Company (7)'!$C$3:$C$698,$B85,'Shortlisted Drugs X Company (7)'!$E$3:$E$698,$S85,'Shortlisted Drugs X Company (7)'!$P$3:$P$698,"Source not found")&gt;0,"Source not found","Not priced"))))</f>
        <v>Cross-market proxy</v>
      </c>
      <c r="F85" s="18" t="n">
        <f aca="false">IFERROR(ROUND(INDEX('Injectable Value'!$AA$28:$AA$178,MATCH(B85,'Injectable Value'!$A$28:$A$178,0)),1),"")</f>
        <v>3923.6</v>
      </c>
      <c r="G85" s="16" t="s">
        <v>247</v>
      </c>
      <c r="H85" s="14" t="n">
        <v>1</v>
      </c>
      <c r="I85" s="15" t="s">
        <v>248</v>
      </c>
      <c r="J85" s="15" t="s">
        <v>277</v>
      </c>
      <c r="K85" s="16" t="str">
        <f aca="false">""&amp;IF(V85=0,"Unpriced","")&amp;IF(AND(V85&gt;0,W85=0,X85=0),"Low price from another market – confirm with company","")</f>
        <v/>
      </c>
      <c r="L85" s="18" t="n">
        <f aca="false">IFERROR(INDEX('Shortlisted Drugs X Company (7)'!$K$3:$K$698,MATCH(B85,'Shortlisted Drugs X Company (7)'!$C$3:$C$698,0)),"")</f>
        <v>208</v>
      </c>
      <c r="M85" s="18" t="n">
        <f aca="false">IFERROR(ROUND(L85*INDEX('Injectable Value'!$Z$28:$Z$178,MATCH(B85,'Injectable Value'!$A$28:$A$178,0)),0),"")</f>
        <v>208</v>
      </c>
      <c r="N85" s="18" t="n">
        <f aca="false">IFERROR(INDEX('Shortlisted Drugs X Company (7)'!$L$3:$L$698,MATCH(B85,'Shortlisted Drugs X Company (7)'!$C$3:$C$698,0)),"")</f>
        <v>3923.58</v>
      </c>
      <c r="O85" s="15" t="str">
        <f aca="false">IF(AE85="No","IV only (not ID/IM/SC)",IF(AND(V85&gt;0,W85=0),"Price ≤ $5",""))</f>
        <v>IV only (not ID/IM/SC)</v>
      </c>
      <c r="P85" s="14" t="str">
        <f aca="false">IF(O85&lt;&gt;"","",COUNTIFS($A$29:$A$361,A85,$O$29:$O$361,"",$AC$29:$AC$361,"&gt;"&amp;AC85)+COUNTIFS($A$29:A85,A85,$O$29:O85,"",$AC$29:AC85,AC85))</f>
        <v/>
      </c>
      <c r="Q85" s="15" t="str">
        <f aca="false">IF(O85&lt;&gt;"",IF(O85="Price ≤ $5","Excluded – price ≤ $5","Excluded – IV only"),IF(ISNUMBER(D85),IF(AND(D85&gt;=$C$3,M85&gt;=$E$3),"Priority 1",IF(OR(D85&gt;=$C$3,M85&gt;=$E$3),"Priority 2","Priority 3")),IF(M85&gt;=$E$3,"Priority 2","Priority 3")))</f>
        <v>Excluded – IV only</v>
      </c>
      <c r="R85" s="16" t="s">
        <v>285</v>
      </c>
      <c r="S85" s="15" t="s">
        <v>286</v>
      </c>
      <c r="T85" s="32" t="s">
        <v>565</v>
      </c>
      <c r="U85" s="33" t="str">
        <f aca="false">B85&amp;"|"&amp;S85</f>
        <v>Vecuronium|Aurobindo Pharma</v>
      </c>
      <c r="V85" s="34" t="n">
        <f aca="false">COUNTIFS('Shortlisted Drugs X Company (7)'!$C$3:$C$698,$B85,'Shortlisted Drugs X Company (7)'!$E$3:$E$698,$S85,'Shortlisted Drugs X Company (7)'!$N$3:$N$698,"&gt;=0")</f>
        <v>1</v>
      </c>
      <c r="W85" s="34" t="n">
        <f aca="false">COUNTIFS('Shortlisted Drugs X Company (7)'!$C$3:$C$698,$B85,'Shortlisted Drugs X Company (7)'!$E$3:$E$698,$S85,'Shortlisted Drugs X Company (7)'!$N$3:$N$698,"&gt;5")</f>
        <v>1</v>
      </c>
      <c r="X85" s="34" t="n">
        <f aca="false">COUNTIFS('Shortlisted Drugs X Company (7)'!$C$3:$C$698,$B85,'Shortlisted Drugs X Company (7)'!$E$3:$E$698,$S85,'Shortlisted Drugs X Company (7)'!$P$3:$P$698,"Exact")+COUNTIFS('Shortlisted Drugs X Company (7)'!$C$3:$C$698,$B85,'Shortlisted Drugs X Company (7)'!$E$3:$E$698,$S85,'Shortlisted Drugs X Company (7)'!$P$3:$P$698,"Same-market proxy")</f>
        <v>0</v>
      </c>
      <c r="Y85" s="33" t="str">
        <f aca="false">A85&amp;"|"&amp;P85</f>
        <v>Aurobindo|</v>
      </c>
      <c r="Z85" s="16" t="s">
        <v>566</v>
      </c>
      <c r="AA85" s="33" t="n">
        <f aca="false">INDEX($G$7:$G$25,MATCH(A85,$A$7:$A$25,0))</f>
        <v>2</v>
      </c>
      <c r="AB85" s="33" t="str">
        <f aca="false">IF(AE85="No","",AA85*1000+IF(P85="",900+COUNTIFS($A$29:A85,A85,$O$29:O85,"Price ≤ $5"),P85))</f>
        <v/>
      </c>
      <c r="AC85" s="33" t="str">
        <f aca="false">IF(O85&lt;&gt;"","",(4-VALUE(RIGHT(Q85,1)))*10^7+N(F85))</f>
        <v/>
      </c>
      <c r="AD85" s="15" t="str">
        <f aca="false">IFERROR(INDEX('Route of Administration'!$C$5:$C$155,MATCH(B85,'Route of Administration'!$A$5:$A$155,0)),"")</f>
        <v>IV</v>
      </c>
      <c r="AE85" s="14" t="str">
        <f aca="false">IFERROR(INDEX('Route of Administration'!$D$5:$D$155,MATCH(B85,'Route of Administration'!$A$5:$A$155,0)),"")</f>
        <v>No</v>
      </c>
      <c r="AF85" s="19" t="n">
        <f aca="false">IF(V85&gt;0,ROUND(AVERAGEIFS('Shortlisted Drugs X Company (7)'!$N$3:$N$698,'Shortlisted Drugs X Company (7)'!$C$3:$C$698,$B85,'Shortlisted Drugs X Company (7)'!$E$3:$E$698,$S85,'Shortlisted Drugs X Company (7)'!$N$3:$N$698,"&gt;=0"),2),"")</f>
        <v>7.95</v>
      </c>
      <c r="AG85" s="16" t="s">
        <v>567</v>
      </c>
      <c r="AH85" s="16" t="s">
        <v>247</v>
      </c>
      <c r="AI85" s="16" t="s">
        <v>247</v>
      </c>
      <c r="AJ85" s="16" t="str">
        <f aca="false">IF(O85&lt;&gt;"","",IF(ISNUMBER(D85),IF(D85&gt;=$C$3,"High price","Lower price"),"Unpriced")&amp;" · "&amp;IF(M85&gt;=$E$3,"high volume","lower volume"))</f>
        <v/>
      </c>
      <c r="AK85" s="15" t="str">
        <f aca="false">IF(O85&lt;&gt;"",IF(O85="Price ≤ $5","Excluded – price ≤ $5","Excluded – IV only"),IF(ISNUMBER(D85),IF(AND(D85&gt;=$C$3,L85&gt;=$H$3),"Priority 1",IF(OR(D85&gt;=$C$3,L85&gt;=$H$3),"Priority 2","Priority 3")),IF(L85&gt;=$H$3,"Priority 2","Priority 3")))</f>
        <v>Excluded – IV only</v>
      </c>
      <c r="AL85" s="16" t="str">
        <f aca="false">IF(O85&lt;&gt;"","",IF(ISNUMBER(D85),IF(D85&gt;=$C$3,"High price","Lower price"),"Unpriced")&amp;" · "&amp;IF(L85&gt;=$H$3,"high volume","lower volume"))</f>
        <v/>
      </c>
      <c r="AM85" s="14" t="str">
        <f aca="false">IF(O85&lt;&gt;"","",COUNTIFS($A$29:$A$361,A85,$O$29:$O$361,"",$AQ$29:$AQ$361,"&gt;"&amp;AQ85)+COUNTIFS($A$29:A85,A85,$O$29:O85,"",$AQ$29:AQ85,AQ85))</f>
        <v/>
      </c>
      <c r="AN85" s="33" t="str">
        <f aca="false">IF(AND(O85="",ISNUMBER(D85)),D85,"")</f>
        <v/>
      </c>
      <c r="AO85" s="33" t="str">
        <f aca="false">IF(O85="",M85,"")</f>
        <v/>
      </c>
      <c r="AP85" s="33" t="str">
        <f aca="false">IF(O85="",L85,"")</f>
        <v/>
      </c>
      <c r="AQ85" s="33" t="str">
        <f aca="false">IF(O85&lt;&gt;"","",(4-VALUE(RIGHT(AK85,1)))*10^7+N(N85))</f>
        <v/>
      </c>
      <c r="AR85" s="33" t="n">
        <f aca="false">INDEX($O$7:$O$25,MATCH(A85,$I$7:$I$25,0))</f>
        <v>2</v>
      </c>
      <c r="AS85" s="33" t="str">
        <f aca="false">IF(AE85="No","",AR85*1000+IF(AM85="",900+COUNTIFS($A$29:A85,A85,$O$29:O85,"Price ≤ $5"),AM85))</f>
        <v/>
      </c>
    </row>
    <row r="86" customFormat="false" ht="41.75" hidden="false" customHeight="false" outlineLevel="0" collapsed="false">
      <c r="A86" s="15" t="s">
        <v>187</v>
      </c>
      <c r="B86" s="15" t="s">
        <v>568</v>
      </c>
      <c r="C86" s="16" t="s">
        <v>569</v>
      </c>
      <c r="D86" s="17" t="n">
        <f aca="false">IF(W86&gt;0,ROUND(AVERAGEIFS('Shortlisted Drugs X Company (7)'!$N$3:$N$698,'Shortlisted Drugs X Company (7)'!$C$3:$C$698,$B86,'Shortlisted Drugs X Company (7)'!$E$3:$E$698,$S86,'Shortlisted Drugs X Company (7)'!$N$3:$N$698,"&gt;5"),2),"")</f>
        <v>13.63</v>
      </c>
      <c r="E86" s="15" t="str">
        <f aca="false">IF(COUNTIFS('Shortlisted Drugs X Company (7)'!$C$3:$C$698,$B86,'Shortlisted Drugs X Company (7)'!$E$3:$E$698,$S86,'Shortlisted Drugs X Company (7)'!$P$3:$P$698,"Exact")&gt;0,"Exact",IF(COUNTIFS('Shortlisted Drugs X Company (7)'!$C$3:$C$698,$B86,'Shortlisted Drugs X Company (7)'!$E$3:$E$698,$S86,'Shortlisted Drugs X Company (7)'!$P$3:$P$698,"Same-market proxy")&gt;0,"Same-market proxy",IF(COUNTIFS('Shortlisted Drugs X Company (7)'!$C$3:$C$698,$B86,'Shortlisted Drugs X Company (7)'!$E$3:$E$698,$S86,'Shortlisted Drugs X Company (7)'!$P$3:$P$698,"Cross-market proxy")&gt;0,"Cross-market proxy",IF(COUNTIFS('Shortlisted Drugs X Company (7)'!$C$3:$C$698,$B86,'Shortlisted Drugs X Company (7)'!$E$3:$E$698,$S86,'Shortlisted Drugs X Company (7)'!$P$3:$P$698,"Source not found")&gt;0,"Source not found","Not priced"))))</f>
        <v>Same-market proxy</v>
      </c>
      <c r="F86" s="18" t="n">
        <f aca="false">IFERROR(ROUND(INDEX('Injectable Value'!$AA$28:$AA$178,MATCH(B86,'Injectable Value'!$A$28:$A$178,0)),1),"")</f>
        <v>2476.9</v>
      </c>
      <c r="G86" s="16" t="s">
        <v>247</v>
      </c>
      <c r="H86" s="14" t="n">
        <v>1</v>
      </c>
      <c r="I86" s="15" t="s">
        <v>248</v>
      </c>
      <c r="J86" s="15" t="s">
        <v>249</v>
      </c>
      <c r="K86" s="16" t="str">
        <f aca="false">""&amp;IF(V86=0,"Unpriced","")&amp;IF(AND(V86&gt;0,W86=0,X86=0),"Low price from another market – confirm with company","")</f>
        <v/>
      </c>
      <c r="L86" s="18" t="n">
        <f aca="false">IFERROR(INDEX('Shortlisted Drugs X Company (7)'!$K$3:$K$698,MATCH(B86,'Shortlisted Drugs X Company (7)'!$C$3:$C$698,0)),"")</f>
        <v>374</v>
      </c>
      <c r="M86" s="18" t="n">
        <f aca="false">IFERROR(ROUND(L86*INDEX('Injectable Value'!$Z$28:$Z$178,MATCH(B86,'Injectable Value'!$A$28:$A$178,0)),0),"")</f>
        <v>68</v>
      </c>
      <c r="N86" s="18" t="n">
        <f aca="false">IFERROR(INDEX('Shortlisted Drugs X Company (7)'!$L$3:$L$698,MATCH(B86,'Shortlisted Drugs X Company (7)'!$C$3:$C$698,0)),"")</f>
        <v>13615.47</v>
      </c>
      <c r="O86" s="15" t="str">
        <f aca="false">IF(AE86="No","IV only (not ID/IM/SC)",IF(AND(V86&gt;0,W86=0),"Price ≤ $5",""))</f>
        <v>IV only (not ID/IM/SC)</v>
      </c>
      <c r="P86" s="14" t="str">
        <f aca="false">IF(O86&lt;&gt;"","",COUNTIFS($A$29:$A$361,A86,$O$29:$O$361,"",$AC$29:$AC$361,"&gt;"&amp;AC86)+COUNTIFS($A$29:A86,A86,$O$29:O86,"",$AC$29:AC86,AC86))</f>
        <v/>
      </c>
      <c r="Q86" s="15" t="str">
        <f aca="false">IF(O86&lt;&gt;"",IF(O86="Price ≤ $5","Excluded – price ≤ $5","Excluded – IV only"),IF(ISNUMBER(D86),IF(AND(D86&gt;=$C$3,M86&gt;=$E$3),"Priority 1",IF(OR(D86&gt;=$C$3,M86&gt;=$E$3),"Priority 2","Priority 3")),IF(M86&gt;=$E$3,"Priority 2","Priority 3")))</f>
        <v>Excluded – IV only</v>
      </c>
      <c r="R86" s="16" t="s">
        <v>250</v>
      </c>
      <c r="S86" s="15" t="s">
        <v>286</v>
      </c>
      <c r="T86" s="32" t="s">
        <v>570</v>
      </c>
      <c r="U86" s="33" t="str">
        <f aca="false">B86&amp;"|"&amp;S86</f>
        <v>Verapamil|Aurobindo Pharma</v>
      </c>
      <c r="V86" s="34" t="n">
        <f aca="false">COUNTIFS('Shortlisted Drugs X Company (7)'!$C$3:$C$698,$B86,'Shortlisted Drugs X Company (7)'!$E$3:$E$698,$S86,'Shortlisted Drugs X Company (7)'!$N$3:$N$698,"&gt;=0")</f>
        <v>1</v>
      </c>
      <c r="W86" s="34" t="n">
        <f aca="false">COUNTIFS('Shortlisted Drugs X Company (7)'!$C$3:$C$698,$B86,'Shortlisted Drugs X Company (7)'!$E$3:$E$698,$S86,'Shortlisted Drugs X Company (7)'!$N$3:$N$698,"&gt;5")</f>
        <v>1</v>
      </c>
      <c r="X86" s="34" t="n">
        <f aca="false">COUNTIFS('Shortlisted Drugs X Company (7)'!$C$3:$C$698,$B86,'Shortlisted Drugs X Company (7)'!$E$3:$E$698,$S86,'Shortlisted Drugs X Company (7)'!$P$3:$P$698,"Exact")+COUNTIFS('Shortlisted Drugs X Company (7)'!$C$3:$C$698,$B86,'Shortlisted Drugs X Company (7)'!$E$3:$E$698,$S86,'Shortlisted Drugs X Company (7)'!$P$3:$P$698,"Same-market proxy")</f>
        <v>1</v>
      </c>
      <c r="Y86" s="33" t="str">
        <f aca="false">A86&amp;"|"&amp;P86</f>
        <v>Aurobindo|</v>
      </c>
      <c r="Z86" s="16" t="s">
        <v>571</v>
      </c>
      <c r="AA86" s="33" t="n">
        <f aca="false">INDEX($G$7:$G$25,MATCH(A86,$A$7:$A$25,0))</f>
        <v>2</v>
      </c>
      <c r="AB86" s="33" t="str">
        <f aca="false">IF(AE86="No","",AA86*1000+IF(P86="",900+COUNTIFS($A$29:A86,A86,$O$29:O86,"Price ≤ $5"),P86))</f>
        <v/>
      </c>
      <c r="AC86" s="33" t="str">
        <f aca="false">IF(O86&lt;&gt;"","",(4-VALUE(RIGHT(Q86,1)))*10^7+N(F86))</f>
        <v/>
      </c>
      <c r="AD86" s="15" t="str">
        <f aca="false">IFERROR(INDEX('Route of Administration'!$C$5:$C$155,MATCH(B86,'Route of Administration'!$A$5:$A$155,0)),"")</f>
        <v>IV</v>
      </c>
      <c r="AE86" s="14" t="str">
        <f aca="false">IFERROR(INDEX('Route of Administration'!$D$5:$D$155,MATCH(B86,'Route of Administration'!$A$5:$A$155,0)),"")</f>
        <v>No</v>
      </c>
      <c r="AF86" s="19" t="n">
        <f aca="false">IF(V86&gt;0,ROUND(AVERAGEIFS('Shortlisted Drugs X Company (7)'!$N$3:$N$698,'Shortlisted Drugs X Company (7)'!$C$3:$C$698,$B86,'Shortlisted Drugs X Company (7)'!$E$3:$E$698,$S86,'Shortlisted Drugs X Company (7)'!$N$3:$N$698,"&gt;=0"),2),"")</f>
        <v>13.63</v>
      </c>
      <c r="AG86" s="16" t="s">
        <v>572</v>
      </c>
      <c r="AH86" s="16" t="s">
        <v>247</v>
      </c>
      <c r="AI86" s="16" t="s">
        <v>247</v>
      </c>
      <c r="AJ86" s="16" t="str">
        <f aca="false">IF(O86&lt;&gt;"","",IF(ISNUMBER(D86),IF(D86&gt;=$C$3,"High price","Lower price"),"Unpriced")&amp;" · "&amp;IF(M86&gt;=$E$3,"high volume","lower volume"))</f>
        <v/>
      </c>
      <c r="AK86" s="15" t="str">
        <f aca="false">IF(O86&lt;&gt;"",IF(O86="Price ≤ $5","Excluded – price ≤ $5","Excluded – IV only"),IF(ISNUMBER(D86),IF(AND(D86&gt;=$C$3,L86&gt;=$H$3),"Priority 1",IF(OR(D86&gt;=$C$3,L86&gt;=$H$3),"Priority 2","Priority 3")),IF(L86&gt;=$H$3,"Priority 2","Priority 3")))</f>
        <v>Excluded – IV only</v>
      </c>
      <c r="AL86" s="16" t="str">
        <f aca="false">IF(O86&lt;&gt;"","",IF(ISNUMBER(D86),IF(D86&gt;=$C$3,"High price","Lower price"),"Unpriced")&amp;" · "&amp;IF(L86&gt;=$H$3,"high volume","lower volume"))</f>
        <v/>
      </c>
      <c r="AM86" s="14" t="str">
        <f aca="false">IF(O86&lt;&gt;"","",COUNTIFS($A$29:$A$361,A86,$O$29:$O$361,"",$AQ$29:$AQ$361,"&gt;"&amp;AQ86)+COUNTIFS($A$29:A86,A86,$O$29:O86,"",$AQ$29:AQ86,AQ86))</f>
        <v/>
      </c>
      <c r="AN86" s="33" t="str">
        <f aca="false">IF(AND(O86="",ISNUMBER(D86)),D86,"")</f>
        <v/>
      </c>
      <c r="AO86" s="33" t="str">
        <f aca="false">IF(O86="",M86,"")</f>
        <v/>
      </c>
      <c r="AP86" s="33" t="str">
        <f aca="false">IF(O86="",L86,"")</f>
        <v/>
      </c>
      <c r="AQ86" s="33" t="str">
        <f aca="false">IF(O86&lt;&gt;"","",(4-VALUE(RIGHT(AK86,1)))*10^7+N(N86))</f>
        <v/>
      </c>
      <c r="AR86" s="33" t="n">
        <f aca="false">INDEX($O$7:$O$25,MATCH(A86,$I$7:$I$25,0))</f>
        <v>2</v>
      </c>
      <c r="AS86" s="33" t="str">
        <f aca="false">IF(AE86="No","",AR86*1000+IF(AM86="",900+COUNTIFS($A$29:A86,A86,$O$29:O86,"Price ≤ $5"),AM86))</f>
        <v/>
      </c>
    </row>
    <row r="87" customFormat="false" ht="28.35" hidden="false" customHeight="false" outlineLevel="0" collapsed="false">
      <c r="A87" s="15" t="s">
        <v>187</v>
      </c>
      <c r="B87" s="15" t="s">
        <v>573</v>
      </c>
      <c r="C87" s="16" t="s">
        <v>574</v>
      </c>
      <c r="D87" s="17" t="n">
        <f aca="false">IF(W87&gt;0,ROUND(AVERAGEIFS('Shortlisted Drugs X Company (7)'!$N$3:$N$698,'Shortlisted Drugs X Company (7)'!$C$3:$C$698,$B87,'Shortlisted Drugs X Company (7)'!$E$3:$E$698,$S87,'Shortlisted Drugs X Company (7)'!$N$3:$N$698,"&gt;5"),2),"")</f>
        <v>24.4</v>
      </c>
      <c r="E87" s="15" t="str">
        <f aca="false">IF(COUNTIFS('Shortlisted Drugs X Company (7)'!$C$3:$C$698,$B87,'Shortlisted Drugs X Company (7)'!$E$3:$E$698,$S87,'Shortlisted Drugs X Company (7)'!$P$3:$P$698,"Exact")&gt;0,"Exact",IF(COUNTIFS('Shortlisted Drugs X Company (7)'!$C$3:$C$698,$B87,'Shortlisted Drugs X Company (7)'!$E$3:$E$698,$S87,'Shortlisted Drugs X Company (7)'!$P$3:$P$698,"Same-market proxy")&gt;0,"Same-market proxy",IF(COUNTIFS('Shortlisted Drugs X Company (7)'!$C$3:$C$698,$B87,'Shortlisted Drugs X Company (7)'!$E$3:$E$698,$S87,'Shortlisted Drugs X Company (7)'!$P$3:$P$698,"Cross-market proxy")&gt;0,"Cross-market proxy",IF(COUNTIFS('Shortlisted Drugs X Company (7)'!$C$3:$C$698,$B87,'Shortlisted Drugs X Company (7)'!$E$3:$E$698,$S87,'Shortlisted Drugs X Company (7)'!$P$3:$P$698,"Source not found")&gt;0,"Source not found","Not priced"))))</f>
        <v>Exact</v>
      </c>
      <c r="F87" s="18" t="n">
        <f aca="false">IFERROR(ROUND(INDEX('Injectable Value'!$AA$28:$AA$178,MATCH(B87,'Injectable Value'!$A$28:$A$178,0)),1),"")</f>
        <v>301.7</v>
      </c>
      <c r="G87" s="16" t="s">
        <v>575</v>
      </c>
      <c r="H87" s="14" t="n">
        <v>7</v>
      </c>
      <c r="I87" s="15" t="s">
        <v>248</v>
      </c>
      <c r="J87" s="15" t="s">
        <v>249</v>
      </c>
      <c r="K87" s="16" t="str">
        <f aca="false">"Cancer drug (cytotoxic) – less relevant"&amp;IF(V87=0,"; Unpriced","")&amp;IF(AND(V87&gt;0,W87=0,X87=0),"; Low price from another market – confirm with company","")</f>
        <v>Cancer drug (cytotoxic) – less relevant</v>
      </c>
      <c r="L87" s="18" t="n">
        <f aca="false">IFERROR(INDEX('Shortlisted Drugs X Company (7)'!$K$3:$K$698,MATCH(B87,'Shortlisted Drugs X Company (7)'!$C$3:$C$698,0)),"")</f>
        <v>93</v>
      </c>
      <c r="M87" s="18" t="n">
        <f aca="false">IFERROR(ROUND(L87*INDEX('Injectable Value'!$Z$28:$Z$178,MATCH(B87,'Injectable Value'!$A$28:$A$178,0)),0),"")</f>
        <v>53</v>
      </c>
      <c r="N87" s="18" t="n">
        <f aca="false">IFERROR(INDEX('Shortlisted Drugs X Company (7)'!$L$3:$L$698,MATCH(B87,'Shortlisted Drugs X Company (7)'!$C$3:$C$698,0)),"")</f>
        <v>528.18</v>
      </c>
      <c r="O87" s="15" t="str">
        <f aca="false">IF(AE87="No","IV only (not ID/IM/SC)",IF(AND(V87&gt;0,W87=0),"Price ≤ $5",""))</f>
        <v>IV only (not ID/IM/SC)</v>
      </c>
      <c r="P87" s="14" t="str">
        <f aca="false">IF(O87&lt;&gt;"","",COUNTIFS($A$29:$A$361,A87,$O$29:$O$361,"",$AC$29:$AC$361,"&gt;"&amp;AC87)+COUNTIFS($A$29:A87,A87,$O$29:O87,"",$AC$29:AC87,AC87))</f>
        <v/>
      </c>
      <c r="Q87" s="15" t="str">
        <f aca="false">IF(O87&lt;&gt;"",IF(O87="Price ≤ $5","Excluded – price ≤ $5","Excluded – IV only"),IF(ISNUMBER(D87),IF(AND(D87&gt;=$C$3,M87&gt;=$E$3),"Priority 1",IF(OR(D87&gt;=$C$3,M87&gt;=$E$3),"Priority 2","Priority 3")),IF(M87&gt;=$E$3,"Priority 2","Priority 3")))</f>
        <v>Excluded – IV only</v>
      </c>
      <c r="R87" s="16" t="s">
        <v>250</v>
      </c>
      <c r="S87" s="15" t="s">
        <v>286</v>
      </c>
      <c r="T87" s="32" t="s">
        <v>576</v>
      </c>
      <c r="U87" s="33" t="str">
        <f aca="false">B87&amp;"|"&amp;S87</f>
        <v>Vinorelbine|Aurobindo Pharma</v>
      </c>
      <c r="V87" s="34" t="n">
        <f aca="false">COUNTIFS('Shortlisted Drugs X Company (7)'!$C$3:$C$698,$B87,'Shortlisted Drugs X Company (7)'!$E$3:$E$698,$S87,'Shortlisted Drugs X Company (7)'!$N$3:$N$698,"&gt;=0")</f>
        <v>2</v>
      </c>
      <c r="W87" s="34" t="n">
        <f aca="false">COUNTIFS('Shortlisted Drugs X Company (7)'!$C$3:$C$698,$B87,'Shortlisted Drugs X Company (7)'!$E$3:$E$698,$S87,'Shortlisted Drugs X Company (7)'!$N$3:$N$698,"&gt;5")</f>
        <v>2</v>
      </c>
      <c r="X87" s="34" t="n">
        <f aca="false">COUNTIFS('Shortlisted Drugs X Company (7)'!$C$3:$C$698,$B87,'Shortlisted Drugs X Company (7)'!$E$3:$E$698,$S87,'Shortlisted Drugs X Company (7)'!$P$3:$P$698,"Exact")+COUNTIFS('Shortlisted Drugs X Company (7)'!$C$3:$C$698,$B87,'Shortlisted Drugs X Company (7)'!$E$3:$E$698,$S87,'Shortlisted Drugs X Company (7)'!$P$3:$P$698,"Same-market proxy")</f>
        <v>2</v>
      </c>
      <c r="Y87" s="33" t="str">
        <f aca="false">A87&amp;"|"&amp;P87</f>
        <v>Aurobindo|</v>
      </c>
      <c r="Z87" s="16" t="s">
        <v>577</v>
      </c>
      <c r="AA87" s="33" t="n">
        <f aca="false">INDEX($G$7:$G$25,MATCH(A87,$A$7:$A$25,0))</f>
        <v>2</v>
      </c>
      <c r="AB87" s="33" t="str">
        <f aca="false">IF(AE87="No","",AA87*1000+IF(P87="",900+COUNTIFS($A$29:A87,A87,$O$29:O87,"Price ≤ $5"),P87))</f>
        <v/>
      </c>
      <c r="AC87" s="33" t="str">
        <f aca="false">IF(O87&lt;&gt;"","",(4-VALUE(RIGHT(Q87,1)))*10^7+N(F87))</f>
        <v/>
      </c>
      <c r="AD87" s="15" t="str">
        <f aca="false">IFERROR(INDEX('Route of Administration'!$C$5:$C$155,MATCH(B87,'Route of Administration'!$A$5:$A$155,0)),"")</f>
        <v>IV</v>
      </c>
      <c r="AE87" s="14" t="str">
        <f aca="false">IFERROR(INDEX('Route of Administration'!$D$5:$D$155,MATCH(B87,'Route of Administration'!$A$5:$A$155,0)),"")</f>
        <v>No</v>
      </c>
      <c r="AF87" s="19" t="n">
        <f aca="false">IF(V87&gt;0,ROUND(AVERAGEIFS('Shortlisted Drugs X Company (7)'!$N$3:$N$698,'Shortlisted Drugs X Company (7)'!$C$3:$C$698,$B87,'Shortlisted Drugs X Company (7)'!$E$3:$E$698,$S87,'Shortlisted Drugs X Company (7)'!$N$3:$N$698,"&gt;=0"),2),"")</f>
        <v>24.4</v>
      </c>
      <c r="AG87" s="16" t="s">
        <v>578</v>
      </c>
      <c r="AH87" s="16" t="s">
        <v>579</v>
      </c>
      <c r="AI87" s="16" t="s">
        <v>580</v>
      </c>
      <c r="AJ87" s="16" t="str">
        <f aca="false">IF(O87&lt;&gt;"","",IF(ISNUMBER(D87),IF(D87&gt;=$C$3,"High price","Lower price"),"Unpriced")&amp;" · "&amp;IF(M87&gt;=$E$3,"high volume","lower volume"))</f>
        <v/>
      </c>
      <c r="AK87" s="15" t="str">
        <f aca="false">IF(O87&lt;&gt;"",IF(O87="Price ≤ $5","Excluded – price ≤ $5","Excluded – IV only"),IF(ISNUMBER(D87),IF(AND(D87&gt;=$C$3,L87&gt;=$H$3),"Priority 1",IF(OR(D87&gt;=$C$3,L87&gt;=$H$3),"Priority 2","Priority 3")),IF(L87&gt;=$H$3,"Priority 2","Priority 3")))</f>
        <v>Excluded – IV only</v>
      </c>
      <c r="AL87" s="16" t="str">
        <f aca="false">IF(O87&lt;&gt;"","",IF(ISNUMBER(D87),IF(D87&gt;=$C$3,"High price","Lower price"),"Unpriced")&amp;" · "&amp;IF(L87&gt;=$H$3,"high volume","lower volume"))</f>
        <v/>
      </c>
      <c r="AM87" s="14" t="str">
        <f aca="false">IF(O87&lt;&gt;"","",COUNTIFS($A$29:$A$361,A87,$O$29:$O$361,"",$AQ$29:$AQ$361,"&gt;"&amp;AQ87)+COUNTIFS($A$29:A87,A87,$O$29:O87,"",$AQ$29:AQ87,AQ87))</f>
        <v/>
      </c>
      <c r="AN87" s="33" t="str">
        <f aca="false">IF(AND(O87="",ISNUMBER(D87)),D87,"")</f>
        <v/>
      </c>
      <c r="AO87" s="33" t="str">
        <f aca="false">IF(O87="",M87,"")</f>
        <v/>
      </c>
      <c r="AP87" s="33" t="str">
        <f aca="false">IF(O87="",L87,"")</f>
        <v/>
      </c>
      <c r="AQ87" s="33" t="str">
        <f aca="false">IF(O87&lt;&gt;"","",(4-VALUE(RIGHT(AK87,1)))*10^7+N(N87))</f>
        <v/>
      </c>
      <c r="AR87" s="33" t="n">
        <f aca="false">INDEX($O$7:$O$25,MATCH(A87,$I$7:$I$25,0))</f>
        <v>2</v>
      </c>
      <c r="AS87" s="33" t="str">
        <f aca="false">IF(AE87="No","",AR87*1000+IF(AM87="",900+COUNTIFS($A$29:A87,A87,$O$29:O87,"Price ≤ $5"),AM87))</f>
        <v/>
      </c>
    </row>
    <row r="88" customFormat="false" ht="41.75" hidden="false" customHeight="false" outlineLevel="0" collapsed="false">
      <c r="A88" s="15" t="s">
        <v>188</v>
      </c>
      <c r="B88" s="15" t="s">
        <v>296</v>
      </c>
      <c r="C88" s="16" t="s">
        <v>297</v>
      </c>
      <c r="D88" s="17" t="n">
        <f aca="false">IF(W88&gt;0,ROUND(AVERAGEIFS('Shortlisted Drugs X Company (7)'!$N$3:$N$698,'Shortlisted Drugs X Company (7)'!$C$3:$C$698,$B88,'Shortlisted Drugs X Company (7)'!$E$3:$E$698,$S88,'Shortlisted Drugs X Company (7)'!$N$3:$N$698,"&gt;5"),2),"")</f>
        <v>10.24</v>
      </c>
      <c r="E88" s="15" t="str">
        <f aca="false">IF(COUNTIFS('Shortlisted Drugs X Company (7)'!$C$3:$C$698,$B88,'Shortlisted Drugs X Company (7)'!$E$3:$E$698,$S88,'Shortlisted Drugs X Company (7)'!$P$3:$P$698,"Exact")&gt;0,"Exact",IF(COUNTIFS('Shortlisted Drugs X Company (7)'!$C$3:$C$698,$B88,'Shortlisted Drugs X Company (7)'!$E$3:$E$698,$S88,'Shortlisted Drugs X Company (7)'!$P$3:$P$698,"Same-market proxy")&gt;0,"Same-market proxy",IF(COUNTIFS('Shortlisted Drugs X Company (7)'!$C$3:$C$698,$B88,'Shortlisted Drugs X Company (7)'!$E$3:$E$698,$S88,'Shortlisted Drugs X Company (7)'!$P$3:$P$698,"Cross-market proxy")&gt;0,"Cross-market proxy",IF(COUNTIFS('Shortlisted Drugs X Company (7)'!$C$3:$C$698,$B88,'Shortlisted Drugs X Company (7)'!$E$3:$E$698,$S88,'Shortlisted Drugs X Company (7)'!$P$3:$P$698,"Source not found")&gt;0,"Source not found","Not priced"))))</f>
        <v>Same-market proxy</v>
      </c>
      <c r="F88" s="18" t="n">
        <f aca="false">IFERROR(ROUND(INDEX('Injectable Value'!$AA$28:$AA$178,MATCH(B88,'Injectable Value'!$A$28:$A$178,0)),1),"")</f>
        <v>42181.7</v>
      </c>
      <c r="G88" s="16" t="s">
        <v>70</v>
      </c>
      <c r="H88" s="14" t="n">
        <v>1</v>
      </c>
      <c r="I88" s="15" t="s">
        <v>248</v>
      </c>
      <c r="J88" s="15" t="s">
        <v>299</v>
      </c>
      <c r="K88" s="16" t="str">
        <f aca="false">"Cancer drug (cytotoxic) – less relevant; Reconstitution"&amp;IF(V88=0,"; Unpriced","")&amp;IF(AND(V88&gt;0,W88=0,X88=0),"; Low price from another market – confirm with company","")</f>
        <v>Cancer drug (cytotoxic) – less relevant; Reconstitution</v>
      </c>
      <c r="L88" s="18" t="n">
        <f aca="false">IFERROR(INDEX('Shortlisted Drugs X Company (7)'!$K$3:$K$698,MATCH(B88,'Shortlisted Drugs X Company (7)'!$C$3:$C$698,0)),"")</f>
        <v>762</v>
      </c>
      <c r="M88" s="18" t="n">
        <f aca="false">IFERROR(ROUND(L88*INDEX('Injectable Value'!$Z$28:$Z$178,MATCH(B88,'Injectable Value'!$A$28:$A$178,0)),0),"")</f>
        <v>632</v>
      </c>
      <c r="N88" s="18" t="n">
        <f aca="false">IFERROR(INDEX('Shortlisted Drugs X Company (7)'!$L$3:$L$698,MATCH(B88,'Shortlisted Drugs X Company (7)'!$C$3:$C$698,0)),"")</f>
        <v>50865.56</v>
      </c>
      <c r="O88" s="15" t="str">
        <f aca="false">IF(AE88="No","IV only (not ID/IM/SC)",IF(AND(V88&gt;0,W88=0),"Price ≤ $5",""))</f>
        <v/>
      </c>
      <c r="P88" s="14" t="n">
        <f aca="false">IF(O88&lt;&gt;"","",COUNTIFS($A$29:$A$361,A88,$O$29:$O$361,"",$AC$29:$AC$361,"&gt;"&amp;AC88)+COUNTIFS($A$29:A88,A88,$O$29:O88,"",$AC$29:AC88,AC88))</f>
        <v>5</v>
      </c>
      <c r="Q88" s="15" t="str">
        <f aca="false">IF(O88&lt;&gt;"",IF(O88="Price ≤ $5","Excluded – price ≤ $5","Excluded – IV only"),IF(ISNUMBER(D88),IF(AND(D88&gt;=$C$3,M88&gt;=$E$3),"Priority 1",IF(OR(D88&gt;=$C$3,M88&gt;=$E$3),"Priority 2","Priority 3")),IF(M88&gt;=$E$3,"Priority 2","Priority 3")))</f>
        <v>Priority 2</v>
      </c>
      <c r="R88" s="16" t="s">
        <v>250</v>
      </c>
      <c r="S88" s="15" t="s">
        <v>188</v>
      </c>
      <c r="T88" s="32" t="s">
        <v>300</v>
      </c>
      <c r="U88" s="33" t="str">
        <f aca="false">B88&amp;"|"&amp;S88</f>
        <v>Azacitidine|Cipla</v>
      </c>
      <c r="V88" s="34" t="n">
        <f aca="false">COUNTIFS('Shortlisted Drugs X Company (7)'!$C$3:$C$698,$B88,'Shortlisted Drugs X Company (7)'!$E$3:$E$698,$S88,'Shortlisted Drugs X Company (7)'!$N$3:$N$698,"&gt;=0")</f>
        <v>1</v>
      </c>
      <c r="W88" s="34" t="n">
        <f aca="false">COUNTIFS('Shortlisted Drugs X Company (7)'!$C$3:$C$698,$B88,'Shortlisted Drugs X Company (7)'!$E$3:$E$698,$S88,'Shortlisted Drugs X Company (7)'!$N$3:$N$698,"&gt;5")</f>
        <v>1</v>
      </c>
      <c r="X88" s="34" t="n">
        <f aca="false">COUNTIFS('Shortlisted Drugs X Company (7)'!$C$3:$C$698,$B88,'Shortlisted Drugs X Company (7)'!$E$3:$E$698,$S88,'Shortlisted Drugs X Company (7)'!$P$3:$P$698,"Exact")+COUNTIFS('Shortlisted Drugs X Company (7)'!$C$3:$C$698,$B88,'Shortlisted Drugs X Company (7)'!$E$3:$E$698,$S88,'Shortlisted Drugs X Company (7)'!$P$3:$P$698,"Same-market proxy")</f>
        <v>1</v>
      </c>
      <c r="Y88" s="33" t="str">
        <f aca="false">A88&amp;"|"&amp;P88</f>
        <v>Cipla|5</v>
      </c>
      <c r="Z88" s="16" t="s">
        <v>581</v>
      </c>
      <c r="AA88" s="33" t="n">
        <f aca="false">INDEX($G$7:$G$25,MATCH(A88,$A$7:$A$25,0))</f>
        <v>4</v>
      </c>
      <c r="AB88" s="33" t="n">
        <f aca="false">IF(AE88="No","",AA88*1000+IF(P88="",900+COUNTIFS($A$29:A88,A88,$O$29:O88,"Price ≤ $5"),P88))</f>
        <v>4005</v>
      </c>
      <c r="AC88" s="33" t="n">
        <f aca="false">IF(O88&lt;&gt;"","",(4-VALUE(RIGHT(Q88,1)))*10^7+N(F88))</f>
        <v>20042181.7</v>
      </c>
      <c r="AD88" s="15" t="str">
        <f aca="false">IFERROR(INDEX('Route of Administration'!$C$5:$C$155,MATCH(B88,'Route of Administration'!$A$5:$A$155,0)),"")</f>
        <v>IV, SC</v>
      </c>
      <c r="AE88" s="14" t="str">
        <f aca="false">IFERROR(INDEX('Route of Administration'!$D$5:$D$155,MATCH(B88,'Route of Administration'!$A$5:$A$155,0)),"")</f>
        <v>Yes</v>
      </c>
      <c r="AF88" s="19" t="n">
        <f aca="false">IF(V88&gt;0,ROUND(AVERAGEIFS('Shortlisted Drugs X Company (7)'!$N$3:$N$698,'Shortlisted Drugs X Company (7)'!$C$3:$C$698,$B88,'Shortlisted Drugs X Company (7)'!$E$3:$E$698,$S88,'Shortlisted Drugs X Company (7)'!$N$3:$N$698,"&gt;=0"),2),"")</f>
        <v>10.24</v>
      </c>
      <c r="AG88" s="16" t="s">
        <v>582</v>
      </c>
      <c r="AH88" s="16" t="s">
        <v>583</v>
      </c>
      <c r="AI88" s="16" t="s">
        <v>583</v>
      </c>
      <c r="AJ88" s="16" t="str">
        <f aca="false">IF(O88&lt;&gt;"","",IF(ISNUMBER(D88),IF(D88&gt;=$C$3,"High price","Lower price"),"Unpriced")&amp;" · "&amp;IF(M88&gt;=$E$3,"high volume","lower volume"))</f>
        <v>Lower price · high volume</v>
      </c>
      <c r="AK88" s="15" t="str">
        <f aca="false">IF(O88&lt;&gt;"",IF(O88="Price ≤ $5","Excluded – price ≤ $5","Excluded – IV only"),IF(ISNUMBER(D88),IF(AND(D88&gt;=$C$3,L88&gt;=$H$3),"Priority 1",IF(OR(D88&gt;=$C$3,L88&gt;=$H$3),"Priority 2","Priority 3")),IF(L88&gt;=$H$3,"Priority 2","Priority 3")))</f>
        <v>Priority 2</v>
      </c>
      <c r="AL88" s="16" t="str">
        <f aca="false">IF(O88&lt;&gt;"","",IF(ISNUMBER(D88),IF(D88&gt;=$C$3,"High price","Lower price"),"Unpriced")&amp;" · "&amp;IF(L88&gt;=$H$3,"high volume","lower volume"))</f>
        <v>Lower price · high volume</v>
      </c>
      <c r="AM88" s="14" t="n">
        <f aca="false">IF(O88&lt;&gt;"","",COUNTIFS($A$29:$A$361,A88,$O$29:$O$361,"",$AQ$29:$AQ$361,"&gt;"&amp;AQ88)+COUNTIFS($A$29:A88,A88,$O$29:O88,"",$AQ$29:AQ88,AQ88))</f>
        <v>4</v>
      </c>
      <c r="AN88" s="19" t="n">
        <f aca="false">IF(AND(O88="",ISNUMBER(D88)),D88,"")</f>
        <v>10.24</v>
      </c>
      <c r="AO88" s="20" t="n">
        <f aca="false">IF(O88="",M88,"")</f>
        <v>632</v>
      </c>
      <c r="AP88" s="20" t="n">
        <f aca="false">IF(O88="",L88,"")</f>
        <v>762</v>
      </c>
      <c r="AQ88" s="33" t="n">
        <f aca="false">IF(O88&lt;&gt;"","",(4-VALUE(RIGHT(AK88,1)))*10^7+N(N88))</f>
        <v>20050865.56</v>
      </c>
      <c r="AR88" s="33" t="n">
        <f aca="false">INDEX($O$7:$O$25,MATCH(A88,$I$7:$I$25,0))</f>
        <v>6</v>
      </c>
      <c r="AS88" s="33" t="n">
        <f aca="false">IF(AE88="No","",AR88*1000+IF(AM88="",900+COUNTIFS($A$29:A88,A88,$O$29:O88,"Price ≤ $5"),AM88))</f>
        <v>6004</v>
      </c>
    </row>
    <row r="89" customFormat="false" ht="41.75" hidden="false" customHeight="false" outlineLevel="0" collapsed="false">
      <c r="A89" s="15" t="s">
        <v>188</v>
      </c>
      <c r="B89" s="15" t="s">
        <v>584</v>
      </c>
      <c r="C89" s="16" t="s">
        <v>585</v>
      </c>
      <c r="D89" s="17" t="n">
        <f aca="false">IF(W89&gt;0,ROUND(AVERAGEIFS('Shortlisted Drugs X Company (7)'!$N$3:$N$698,'Shortlisted Drugs X Company (7)'!$C$3:$C$698,$B89,'Shortlisted Drugs X Company (7)'!$E$3:$E$698,$S89,'Shortlisted Drugs X Company (7)'!$N$3:$N$698,"&gt;5"),2),"")</f>
        <v>41.27</v>
      </c>
      <c r="E89" s="15" t="str">
        <f aca="false">IF(COUNTIFS('Shortlisted Drugs X Company (7)'!$C$3:$C$698,$B89,'Shortlisted Drugs X Company (7)'!$E$3:$E$698,$S89,'Shortlisted Drugs X Company (7)'!$P$3:$P$698,"Exact")&gt;0,"Exact",IF(COUNTIFS('Shortlisted Drugs X Company (7)'!$C$3:$C$698,$B89,'Shortlisted Drugs X Company (7)'!$E$3:$E$698,$S89,'Shortlisted Drugs X Company (7)'!$P$3:$P$698,"Same-market proxy")&gt;0,"Same-market proxy",IF(COUNTIFS('Shortlisted Drugs X Company (7)'!$C$3:$C$698,$B89,'Shortlisted Drugs X Company (7)'!$E$3:$E$698,$S89,'Shortlisted Drugs X Company (7)'!$P$3:$P$698,"Cross-market proxy")&gt;0,"Cross-market proxy",IF(COUNTIFS('Shortlisted Drugs X Company (7)'!$C$3:$C$698,$B89,'Shortlisted Drugs X Company (7)'!$E$3:$E$698,$S89,'Shortlisted Drugs X Company (7)'!$P$3:$P$698,"Source not found")&gt;0,"Source not found","Not priced"))))</f>
        <v>Exact</v>
      </c>
      <c r="F89" s="18" t="n">
        <f aca="false">IFERROR(ROUND(INDEX('Injectable Value'!$AA$28:$AA$178,MATCH(B89,'Injectable Value'!$A$28:$A$178,0)),1),"")</f>
        <v>3973.7</v>
      </c>
      <c r="G89" s="16" t="s">
        <v>70</v>
      </c>
      <c r="H89" s="14" t="n">
        <v>2</v>
      </c>
      <c r="I89" s="15" t="s">
        <v>248</v>
      </c>
      <c r="J89" s="15" t="s">
        <v>249</v>
      </c>
      <c r="K89" s="16" t="str">
        <f aca="false">"Cancer drug (cytotoxic) – less relevant; Reconstitution"&amp;IF(V89=0,"; Unpriced","")&amp;IF(AND(V89&gt;0,W89=0,X89=0),"; Low price from another market – confirm with company","")</f>
        <v>Cancer drug (cytotoxic) – less relevant; Reconstitution</v>
      </c>
      <c r="L89" s="18" t="n">
        <f aca="false">IFERROR(INDEX('Shortlisted Drugs X Company (7)'!$K$3:$K$698,MATCH(B89,'Shortlisted Drugs X Company (7)'!$C$3:$C$698,0)),"")</f>
        <v>441</v>
      </c>
      <c r="M89" s="18" t="n">
        <f aca="false">IFERROR(ROUND(L89*INDEX('Injectable Value'!$Z$28:$Z$178,MATCH(B89,'Injectable Value'!$A$28:$A$178,0)),0),"")</f>
        <v>441</v>
      </c>
      <c r="N89" s="18" t="n">
        <f aca="false">IFERROR(INDEX('Shortlisted Drugs X Company (7)'!$L$3:$L$698,MATCH(B89,'Shortlisted Drugs X Company (7)'!$C$3:$C$698,0)),"")</f>
        <v>3973.65</v>
      </c>
      <c r="O89" s="15" t="str">
        <f aca="false">IF(AE89="No","IV only (not ID/IM/SC)",IF(AND(V89&gt;0,W89=0),"Price ≤ $5",""))</f>
        <v/>
      </c>
      <c r="P89" s="14" t="n">
        <f aca="false">IF(O89&lt;&gt;"","",COUNTIFS($A$29:$A$361,A89,$O$29:$O$361,"",$AC$29:$AC$361,"&gt;"&amp;AC89)+COUNTIFS($A$29:A89,A89,$O$29:O89,"",$AC$29:AC89,AC89))</f>
        <v>3</v>
      </c>
      <c r="Q89" s="15" t="str">
        <f aca="false">IF(O89&lt;&gt;"",IF(O89="Price ≤ $5","Excluded – price ≤ $5","Excluded – IV only"),IF(ISNUMBER(D89),IF(AND(D89&gt;=$C$3,M89&gt;=$E$3),"Priority 1",IF(OR(D89&gt;=$C$3,M89&gt;=$E$3),"Priority 2","Priority 3")),IF(M89&gt;=$E$3,"Priority 2","Priority 3")))</f>
        <v>Priority 1</v>
      </c>
      <c r="R89" s="16" t="s">
        <v>250</v>
      </c>
      <c r="S89" s="15" t="s">
        <v>188</v>
      </c>
      <c r="T89" s="32" t="s">
        <v>586</v>
      </c>
      <c r="U89" s="33" t="str">
        <f aca="false">B89&amp;"|"&amp;S89</f>
        <v>Bleomycin|Cipla</v>
      </c>
      <c r="V89" s="34" t="n">
        <f aca="false">COUNTIFS('Shortlisted Drugs X Company (7)'!$C$3:$C$698,$B89,'Shortlisted Drugs X Company (7)'!$E$3:$E$698,$S89,'Shortlisted Drugs X Company (7)'!$N$3:$N$698,"&gt;=0")</f>
        <v>2</v>
      </c>
      <c r="W89" s="34" t="n">
        <f aca="false">COUNTIFS('Shortlisted Drugs X Company (7)'!$C$3:$C$698,$B89,'Shortlisted Drugs X Company (7)'!$E$3:$E$698,$S89,'Shortlisted Drugs X Company (7)'!$N$3:$N$698,"&gt;5")</f>
        <v>2</v>
      </c>
      <c r="X89" s="34" t="n">
        <f aca="false">COUNTIFS('Shortlisted Drugs X Company (7)'!$C$3:$C$698,$B89,'Shortlisted Drugs X Company (7)'!$E$3:$E$698,$S89,'Shortlisted Drugs X Company (7)'!$P$3:$P$698,"Exact")+COUNTIFS('Shortlisted Drugs X Company (7)'!$C$3:$C$698,$B89,'Shortlisted Drugs X Company (7)'!$E$3:$E$698,$S89,'Shortlisted Drugs X Company (7)'!$P$3:$P$698,"Same-market proxy")</f>
        <v>2</v>
      </c>
      <c r="Y89" s="33" t="str">
        <f aca="false">A89&amp;"|"&amp;P89</f>
        <v>Cipla|3</v>
      </c>
      <c r="Z89" s="16" t="s">
        <v>587</v>
      </c>
      <c r="AA89" s="33" t="n">
        <f aca="false">INDEX($G$7:$G$25,MATCH(A89,$A$7:$A$25,0))</f>
        <v>4</v>
      </c>
      <c r="AB89" s="33" t="n">
        <f aca="false">IF(AE89="No","",AA89*1000+IF(P89="",900+COUNTIFS($A$29:A89,A89,$O$29:O89,"Price ≤ $5"),P89))</f>
        <v>4003</v>
      </c>
      <c r="AC89" s="33" t="n">
        <f aca="false">IF(O89&lt;&gt;"","",(4-VALUE(RIGHT(Q89,1)))*10^7+N(F89))</f>
        <v>30003973.7</v>
      </c>
      <c r="AD89" s="15" t="str">
        <f aca="false">IFERROR(INDEX('Route of Administration'!$C$5:$C$155,MATCH(B89,'Route of Administration'!$A$5:$A$155,0)),"")</f>
        <v>IV, IM, SC</v>
      </c>
      <c r="AE89" s="14" t="str">
        <f aca="false">IFERROR(INDEX('Route of Administration'!$D$5:$D$155,MATCH(B89,'Route of Administration'!$A$5:$A$155,0)),"")</f>
        <v>Yes</v>
      </c>
      <c r="AF89" s="19" t="n">
        <f aca="false">IF(V89&gt;0,ROUND(AVERAGEIFS('Shortlisted Drugs X Company (7)'!$N$3:$N$698,'Shortlisted Drugs X Company (7)'!$C$3:$C$698,$B89,'Shortlisted Drugs X Company (7)'!$E$3:$E$698,$S89,'Shortlisted Drugs X Company (7)'!$N$3:$N$698,"&gt;=0"),2),"")</f>
        <v>41.27</v>
      </c>
      <c r="AG89" s="16" t="s">
        <v>588</v>
      </c>
      <c r="AH89" s="16" t="s">
        <v>589</v>
      </c>
      <c r="AI89" s="16" t="s">
        <v>589</v>
      </c>
      <c r="AJ89" s="16" t="str">
        <f aca="false">IF(O89&lt;&gt;"","",IF(ISNUMBER(D89),IF(D89&gt;=$C$3,"High price","Lower price"),"Unpriced")&amp;" · "&amp;IF(M89&gt;=$E$3,"high volume","lower volume"))</f>
        <v>High price · high volume</v>
      </c>
      <c r="AK89" s="15" t="str">
        <f aca="false">IF(O89&lt;&gt;"",IF(O89="Price ≤ $5","Excluded – price ≤ $5","Excluded – IV only"),IF(ISNUMBER(D89),IF(AND(D89&gt;=$C$3,L89&gt;=$H$3),"Priority 1",IF(OR(D89&gt;=$C$3,L89&gt;=$H$3),"Priority 2","Priority 3")),IF(L89&gt;=$H$3,"Priority 2","Priority 3")))</f>
        <v>Priority 1</v>
      </c>
      <c r="AL89" s="16" t="str">
        <f aca="false">IF(O89&lt;&gt;"","",IF(ISNUMBER(D89),IF(D89&gt;=$C$3,"High price","Lower price"),"Unpriced")&amp;" · "&amp;IF(L89&gt;=$H$3,"high volume","lower volume"))</f>
        <v>High price · high volume</v>
      </c>
      <c r="AM89" s="14" t="n">
        <f aca="false">IF(O89&lt;&gt;"","",COUNTIFS($A$29:$A$361,A89,$O$29:$O$361,"",$AQ$29:$AQ$361,"&gt;"&amp;AQ89)+COUNTIFS($A$29:A89,A89,$O$29:O89,"",$AQ$29:AQ89,AQ89))</f>
        <v>2</v>
      </c>
      <c r="AN89" s="19" t="n">
        <f aca="false">IF(AND(O89="",ISNUMBER(D89)),D89,"")</f>
        <v>41.27</v>
      </c>
      <c r="AO89" s="20" t="n">
        <f aca="false">IF(O89="",M89,"")</f>
        <v>441</v>
      </c>
      <c r="AP89" s="20" t="n">
        <f aca="false">IF(O89="",L89,"")</f>
        <v>441</v>
      </c>
      <c r="AQ89" s="33" t="n">
        <f aca="false">IF(O89&lt;&gt;"","",(4-VALUE(RIGHT(AK89,1)))*10^7+N(N89))</f>
        <v>30003973.65</v>
      </c>
      <c r="AR89" s="33" t="n">
        <f aca="false">INDEX($O$7:$O$25,MATCH(A89,$I$7:$I$25,0))</f>
        <v>6</v>
      </c>
      <c r="AS89" s="33" t="n">
        <f aca="false">IF(AE89="No","",AR89*1000+IF(AM89="",900+COUNTIFS($A$29:A89,A89,$O$29:O89,"Price ≤ $5"),AM89))</f>
        <v>6002</v>
      </c>
    </row>
    <row r="90" customFormat="false" ht="28.35" hidden="false" customHeight="false" outlineLevel="0" collapsed="false">
      <c r="A90" s="15" t="s">
        <v>188</v>
      </c>
      <c r="B90" s="15" t="s">
        <v>305</v>
      </c>
      <c r="C90" s="16" t="s">
        <v>306</v>
      </c>
      <c r="D90" s="17" t="n">
        <f aca="false">IF(W90&gt;0,ROUND(AVERAGEIFS('Shortlisted Drugs X Company (7)'!$N$3:$N$698,'Shortlisted Drugs X Company (7)'!$C$3:$C$698,$B90,'Shortlisted Drugs X Company (7)'!$E$3:$E$698,$S90,'Shortlisted Drugs X Company (7)'!$N$3:$N$698,"&gt;5"),2),"")</f>
        <v>163.29</v>
      </c>
      <c r="E90" s="15" t="str">
        <f aca="false">IF(COUNTIFS('Shortlisted Drugs X Company (7)'!$C$3:$C$698,$B90,'Shortlisted Drugs X Company (7)'!$E$3:$E$698,$S90,'Shortlisted Drugs X Company (7)'!$P$3:$P$698,"Exact")&gt;0,"Exact",IF(COUNTIFS('Shortlisted Drugs X Company (7)'!$C$3:$C$698,$B90,'Shortlisted Drugs X Company (7)'!$E$3:$E$698,$S90,'Shortlisted Drugs X Company (7)'!$P$3:$P$698,"Same-market proxy")&gt;0,"Same-market proxy",IF(COUNTIFS('Shortlisted Drugs X Company (7)'!$C$3:$C$698,$B90,'Shortlisted Drugs X Company (7)'!$E$3:$E$698,$S90,'Shortlisted Drugs X Company (7)'!$P$3:$P$698,"Cross-market proxy")&gt;0,"Cross-market proxy",IF(COUNTIFS('Shortlisted Drugs X Company (7)'!$C$3:$C$698,$B90,'Shortlisted Drugs X Company (7)'!$E$3:$E$698,$S90,'Shortlisted Drugs X Company (7)'!$P$3:$P$698,"Source not found")&gt;0,"Source not found","Not priced"))))</f>
        <v>Exact</v>
      </c>
      <c r="F90" s="18" t="n">
        <f aca="false">IFERROR(ROUND(INDEX('Injectable Value'!$AA$28:$AA$178,MATCH(B90,'Injectable Value'!$A$28:$A$178,0)),1),"")</f>
        <v>28093.4</v>
      </c>
      <c r="G90" s="16" t="s">
        <v>70</v>
      </c>
      <c r="H90" s="14" t="n">
        <v>1</v>
      </c>
      <c r="I90" s="15" t="s">
        <v>248</v>
      </c>
      <c r="J90" s="15" t="s">
        <v>249</v>
      </c>
      <c r="K90" s="16" t="str">
        <f aca="false">"Cancer drug (cytotoxic) – less relevant"&amp;IF(V90=0,"; Unpriced","")&amp;IF(AND(V90&gt;0,W90=0,X90=0),"; Low price from another market – confirm with company","")</f>
        <v>Cancer drug (cytotoxic) – less relevant</v>
      </c>
      <c r="L90" s="18" t="n">
        <f aca="false">IFERROR(INDEX('Shortlisted Drugs X Company (7)'!$K$3:$K$698,MATCH(B90,'Shortlisted Drugs X Company (7)'!$C$3:$C$698,0)),"")</f>
        <v>905</v>
      </c>
      <c r="M90" s="18" t="n">
        <f aca="false">IFERROR(ROUND(L90*INDEX('Injectable Value'!$Z$28:$Z$178,MATCH(B90,'Injectable Value'!$A$28:$A$178,0)),0),"")</f>
        <v>905</v>
      </c>
      <c r="N90" s="18" t="n">
        <f aca="false">IFERROR(INDEX('Shortlisted Drugs X Company (7)'!$L$3:$L$698,MATCH(B90,'Shortlisted Drugs X Company (7)'!$C$3:$C$698,0)),"")</f>
        <v>28093.38</v>
      </c>
      <c r="O90" s="15" t="str">
        <f aca="false">IF(AE90="No","IV only (not ID/IM/SC)",IF(AND(V90&gt;0,W90=0),"Price ≤ $5",""))</f>
        <v/>
      </c>
      <c r="P90" s="14" t="n">
        <f aca="false">IF(O90&lt;&gt;"","",COUNTIFS($A$29:$A$361,A90,$O$29:$O$361,"",$AC$29:$AC$361,"&gt;"&amp;AC90)+COUNTIFS($A$29:A90,A90,$O$29:O90,"",$AC$29:AC90,AC90))</f>
        <v>1</v>
      </c>
      <c r="Q90" s="15" t="str">
        <f aca="false">IF(O90&lt;&gt;"",IF(O90="Price ≤ $5","Excluded – price ≤ $5","Excluded – IV only"),IF(ISNUMBER(D90),IF(AND(D90&gt;=$C$3,M90&gt;=$E$3),"Priority 1",IF(OR(D90&gt;=$C$3,M90&gt;=$E$3),"Priority 2","Priority 3")),IF(M90&gt;=$E$3,"Priority 2","Priority 3")))</f>
        <v>Priority 1</v>
      </c>
      <c r="R90" s="16" t="s">
        <v>250</v>
      </c>
      <c r="S90" s="15" t="s">
        <v>188</v>
      </c>
      <c r="T90" s="32" t="s">
        <v>308</v>
      </c>
      <c r="U90" s="33" t="str">
        <f aca="false">B90&amp;"|"&amp;S90</f>
        <v>Bortezomib|Cipla</v>
      </c>
      <c r="V90" s="34" t="n">
        <f aca="false">COUNTIFS('Shortlisted Drugs X Company (7)'!$C$3:$C$698,$B90,'Shortlisted Drugs X Company (7)'!$E$3:$E$698,$S90,'Shortlisted Drugs X Company (7)'!$N$3:$N$698,"&gt;=0")</f>
        <v>1</v>
      </c>
      <c r="W90" s="34" t="n">
        <f aca="false">COUNTIFS('Shortlisted Drugs X Company (7)'!$C$3:$C$698,$B90,'Shortlisted Drugs X Company (7)'!$E$3:$E$698,$S90,'Shortlisted Drugs X Company (7)'!$N$3:$N$698,"&gt;5")</f>
        <v>1</v>
      </c>
      <c r="X90" s="34" t="n">
        <f aca="false">COUNTIFS('Shortlisted Drugs X Company (7)'!$C$3:$C$698,$B90,'Shortlisted Drugs X Company (7)'!$E$3:$E$698,$S90,'Shortlisted Drugs X Company (7)'!$P$3:$P$698,"Exact")+COUNTIFS('Shortlisted Drugs X Company (7)'!$C$3:$C$698,$B90,'Shortlisted Drugs X Company (7)'!$E$3:$E$698,$S90,'Shortlisted Drugs X Company (7)'!$P$3:$P$698,"Same-market proxy")</f>
        <v>1</v>
      </c>
      <c r="Y90" s="33" t="str">
        <f aca="false">A90&amp;"|"&amp;P90</f>
        <v>Cipla|1</v>
      </c>
      <c r="Z90" s="16" t="s">
        <v>590</v>
      </c>
      <c r="AA90" s="33" t="n">
        <f aca="false">INDEX($G$7:$G$25,MATCH(A90,$A$7:$A$25,0))</f>
        <v>4</v>
      </c>
      <c r="AB90" s="33" t="n">
        <f aca="false">IF(AE90="No","",AA90*1000+IF(P90="",900+COUNTIFS($A$29:A90,A90,$O$29:O90,"Price ≤ $5"),P90))</f>
        <v>4001</v>
      </c>
      <c r="AC90" s="33" t="n">
        <f aca="false">IF(O90&lt;&gt;"","",(4-VALUE(RIGHT(Q90,1)))*10^7+N(F90))</f>
        <v>30028093.4</v>
      </c>
      <c r="AD90" s="15" t="str">
        <f aca="false">IFERROR(INDEX('Route of Administration'!$C$5:$C$155,MATCH(B90,'Route of Administration'!$A$5:$A$155,0)),"")</f>
        <v>IV, SC</v>
      </c>
      <c r="AE90" s="14" t="str">
        <f aca="false">IFERROR(INDEX('Route of Administration'!$D$5:$D$155,MATCH(B90,'Route of Administration'!$A$5:$A$155,0)),"")</f>
        <v>Yes</v>
      </c>
      <c r="AF90" s="19" t="n">
        <f aca="false">IF(V90&gt;0,ROUND(AVERAGEIFS('Shortlisted Drugs X Company (7)'!$N$3:$N$698,'Shortlisted Drugs X Company (7)'!$C$3:$C$698,$B90,'Shortlisted Drugs X Company (7)'!$E$3:$E$698,$S90,'Shortlisted Drugs X Company (7)'!$N$3:$N$698,"&gt;=0"),2),"")</f>
        <v>163.29</v>
      </c>
      <c r="AG90" s="16" t="s">
        <v>591</v>
      </c>
      <c r="AH90" s="16" t="s">
        <v>328</v>
      </c>
      <c r="AI90" s="16" t="s">
        <v>328</v>
      </c>
      <c r="AJ90" s="16" t="str">
        <f aca="false">IF(O90&lt;&gt;"","",IF(ISNUMBER(D90),IF(D90&gt;=$C$3,"High price","Lower price"),"Unpriced")&amp;" · "&amp;IF(M90&gt;=$E$3,"high volume","lower volume"))</f>
        <v>High price · high volume</v>
      </c>
      <c r="AK90" s="15" t="str">
        <f aca="false">IF(O90&lt;&gt;"",IF(O90="Price ≤ $5","Excluded – price ≤ $5","Excluded – IV only"),IF(ISNUMBER(D90),IF(AND(D90&gt;=$C$3,L90&gt;=$H$3),"Priority 1",IF(OR(D90&gt;=$C$3,L90&gt;=$H$3),"Priority 2","Priority 3")),IF(L90&gt;=$H$3,"Priority 2","Priority 3")))</f>
        <v>Priority 1</v>
      </c>
      <c r="AL90" s="16" t="str">
        <f aca="false">IF(O90&lt;&gt;"","",IF(ISNUMBER(D90),IF(D90&gt;=$C$3,"High price","Lower price"),"Unpriced")&amp;" · "&amp;IF(L90&gt;=$H$3,"high volume","lower volume"))</f>
        <v>High price · high volume</v>
      </c>
      <c r="AM90" s="14" t="n">
        <f aca="false">IF(O90&lt;&gt;"","",COUNTIFS($A$29:$A$361,A90,$O$29:$O$361,"",$AQ$29:$AQ$361,"&gt;"&amp;AQ90)+COUNTIFS($A$29:A90,A90,$O$29:O90,"",$AQ$29:AQ90,AQ90))</f>
        <v>1</v>
      </c>
      <c r="AN90" s="19" t="n">
        <f aca="false">IF(AND(O90="",ISNUMBER(D90)),D90,"")</f>
        <v>163.29</v>
      </c>
      <c r="AO90" s="20" t="n">
        <f aca="false">IF(O90="",M90,"")</f>
        <v>905</v>
      </c>
      <c r="AP90" s="20" t="n">
        <f aca="false">IF(O90="",L90,"")</f>
        <v>905</v>
      </c>
      <c r="AQ90" s="33" t="n">
        <f aca="false">IF(O90&lt;&gt;"","",(4-VALUE(RIGHT(AK90,1)))*10^7+N(N90))</f>
        <v>30028093.38</v>
      </c>
      <c r="AR90" s="33" t="n">
        <f aca="false">INDEX($O$7:$O$25,MATCH(A90,$I$7:$I$25,0))</f>
        <v>6</v>
      </c>
      <c r="AS90" s="33" t="n">
        <f aca="false">IF(AE90="No","",AR90*1000+IF(AM90="",900+COUNTIFS($A$29:A90,A90,$O$29:O90,"Price ≤ $5"),AM90))</f>
        <v>6001</v>
      </c>
    </row>
    <row r="91" customFormat="false" ht="41.75" hidden="false" customHeight="false" outlineLevel="0" collapsed="false">
      <c r="A91" s="15" t="s">
        <v>188</v>
      </c>
      <c r="B91" s="15" t="s">
        <v>322</v>
      </c>
      <c r="C91" s="16" t="s">
        <v>323</v>
      </c>
      <c r="D91" s="17" t="n">
        <f aca="false">IF(W91&gt;0,ROUND(AVERAGEIFS('Shortlisted Drugs X Company (7)'!$N$3:$N$698,'Shortlisted Drugs X Company (7)'!$C$3:$C$698,$B91,'Shortlisted Drugs X Company (7)'!$E$3:$E$698,$S91,'Shortlisted Drugs X Company (7)'!$N$3:$N$698,"&gt;5"),2),"")</f>
        <v>24.42</v>
      </c>
      <c r="E91" s="15" t="str">
        <f aca="false">IF(COUNTIFS('Shortlisted Drugs X Company (7)'!$C$3:$C$698,$B91,'Shortlisted Drugs X Company (7)'!$E$3:$E$698,$S91,'Shortlisted Drugs X Company (7)'!$P$3:$P$698,"Exact")&gt;0,"Exact",IF(COUNTIFS('Shortlisted Drugs X Company (7)'!$C$3:$C$698,$B91,'Shortlisted Drugs X Company (7)'!$E$3:$E$698,$S91,'Shortlisted Drugs X Company (7)'!$P$3:$P$698,"Same-market proxy")&gt;0,"Same-market proxy",IF(COUNTIFS('Shortlisted Drugs X Company (7)'!$C$3:$C$698,$B91,'Shortlisted Drugs X Company (7)'!$E$3:$E$698,$S91,'Shortlisted Drugs X Company (7)'!$P$3:$P$698,"Cross-market proxy")&gt;0,"Cross-market proxy",IF(COUNTIFS('Shortlisted Drugs X Company (7)'!$C$3:$C$698,$B91,'Shortlisted Drugs X Company (7)'!$E$3:$E$698,$S91,'Shortlisted Drugs X Company (7)'!$P$3:$P$698,"Source not found")&gt;0,"Source not found","Not priced"))))</f>
        <v>Exact</v>
      </c>
      <c r="F91" s="18" t="n">
        <f aca="false">IFERROR(ROUND(INDEX('Injectable Value'!$AA$28:$AA$178,MATCH(B91,'Injectable Value'!$A$28:$A$178,0)),1),"")</f>
        <v>6294.9</v>
      </c>
      <c r="G91" s="16" t="s">
        <v>70</v>
      </c>
      <c r="H91" s="14" t="n">
        <v>1</v>
      </c>
      <c r="I91" s="15" t="s">
        <v>277</v>
      </c>
      <c r="J91" s="15" t="s">
        <v>277</v>
      </c>
      <c r="K91" s="16" t="str">
        <f aca="false">""&amp;IF(V91=0,"Unpriced","")&amp;IF(AND(V91&gt;0,W91=0,X91=0),"Low price from another market – confirm with company","")</f>
        <v/>
      </c>
      <c r="L91" s="18" t="n">
        <f aca="false">IFERROR(INDEX('Shortlisted Drugs X Company (7)'!$K$3:$K$698,MATCH(B91,'Shortlisted Drugs X Company (7)'!$C$3:$C$698,0)),"")</f>
        <v>290</v>
      </c>
      <c r="M91" s="18" t="n">
        <f aca="false">IFERROR(ROUND(L91*INDEX('Injectable Value'!$Z$28:$Z$178,MATCH(B91,'Injectable Value'!$A$28:$A$178,0)),0),"")</f>
        <v>288</v>
      </c>
      <c r="N91" s="18" t="n">
        <f aca="false">IFERROR(INDEX('Shortlisted Drugs X Company (7)'!$L$3:$L$698,MATCH(B91,'Shortlisted Drugs X Company (7)'!$C$3:$C$698,0)),"")</f>
        <v>6348.25</v>
      </c>
      <c r="O91" s="15" t="str">
        <f aca="false">IF(AE91="No","IV only (not ID/IM/SC)",IF(AND(V91&gt;0,W91=0),"Price ≤ $5",""))</f>
        <v/>
      </c>
      <c r="P91" s="14" t="n">
        <f aca="false">IF(O91&lt;&gt;"","",COUNTIFS($A$29:$A$361,A91,$O$29:$O$361,"",$AC$29:$AC$361,"&gt;"&amp;AC91)+COUNTIFS($A$29:A91,A91,$O$29:O91,"",$AC$29:AC91,AC91))</f>
        <v>7</v>
      </c>
      <c r="Q91" s="15" t="str">
        <f aca="false">IF(O91&lt;&gt;"",IF(O91="Price ≤ $5","Excluded – price ≤ $5","Excluded – IV only"),IF(ISNUMBER(D91),IF(AND(D91&gt;=$C$3,M91&gt;=$E$3),"Priority 1",IF(OR(D91&gt;=$C$3,M91&gt;=$E$3),"Priority 2","Priority 3")),IF(M91&gt;=$E$3,"Priority 2","Priority 3")))</f>
        <v>Priority 2</v>
      </c>
      <c r="R91" s="16" t="s">
        <v>278</v>
      </c>
      <c r="S91" s="15" t="s">
        <v>188</v>
      </c>
      <c r="T91" s="32" t="s">
        <v>325</v>
      </c>
      <c r="U91" s="33" t="str">
        <f aca="false">B91&amp;"|"&amp;S91</f>
        <v>Cefepime|Cipla</v>
      </c>
      <c r="V91" s="34" t="n">
        <f aca="false">COUNTIFS('Shortlisted Drugs X Company (7)'!$C$3:$C$698,$B91,'Shortlisted Drugs X Company (7)'!$E$3:$E$698,$S91,'Shortlisted Drugs X Company (7)'!$N$3:$N$698,"&gt;=0")</f>
        <v>2</v>
      </c>
      <c r="W91" s="34" t="n">
        <f aca="false">COUNTIFS('Shortlisted Drugs X Company (7)'!$C$3:$C$698,$B91,'Shortlisted Drugs X Company (7)'!$E$3:$E$698,$S91,'Shortlisted Drugs X Company (7)'!$N$3:$N$698,"&gt;5")</f>
        <v>2</v>
      </c>
      <c r="X91" s="34" t="n">
        <f aca="false">COUNTIFS('Shortlisted Drugs X Company (7)'!$C$3:$C$698,$B91,'Shortlisted Drugs X Company (7)'!$E$3:$E$698,$S91,'Shortlisted Drugs X Company (7)'!$P$3:$P$698,"Exact")+COUNTIFS('Shortlisted Drugs X Company (7)'!$C$3:$C$698,$B91,'Shortlisted Drugs X Company (7)'!$E$3:$E$698,$S91,'Shortlisted Drugs X Company (7)'!$P$3:$P$698,"Same-market proxy")</f>
        <v>2</v>
      </c>
      <c r="Y91" s="33" t="str">
        <f aca="false">A91&amp;"|"&amp;P91</f>
        <v>Cipla|7</v>
      </c>
      <c r="Z91" s="16" t="s">
        <v>592</v>
      </c>
      <c r="AA91" s="33" t="n">
        <f aca="false">INDEX($G$7:$G$25,MATCH(A91,$A$7:$A$25,0))</f>
        <v>4</v>
      </c>
      <c r="AB91" s="33" t="n">
        <f aca="false">IF(AE91="No","",AA91*1000+IF(P91="",900+COUNTIFS($A$29:A91,A91,$O$29:O91,"Price ≤ $5"),P91))</f>
        <v>4007</v>
      </c>
      <c r="AC91" s="33" t="n">
        <f aca="false">IF(O91&lt;&gt;"","",(4-VALUE(RIGHT(Q91,1)))*10^7+N(F91))</f>
        <v>20006294.9</v>
      </c>
      <c r="AD91" s="15" t="str">
        <f aca="false">IFERROR(INDEX('Route of Administration'!$C$5:$C$155,MATCH(B91,'Route of Administration'!$A$5:$A$155,0)),"")</f>
        <v>IV, IM</v>
      </c>
      <c r="AE91" s="14" t="str">
        <f aca="false">IFERROR(INDEX('Route of Administration'!$D$5:$D$155,MATCH(B91,'Route of Administration'!$A$5:$A$155,0)),"")</f>
        <v>Yes</v>
      </c>
      <c r="AF91" s="19" t="n">
        <f aca="false">IF(V91&gt;0,ROUND(AVERAGEIFS('Shortlisted Drugs X Company (7)'!$N$3:$N$698,'Shortlisted Drugs X Company (7)'!$C$3:$C$698,$B91,'Shortlisted Drugs X Company (7)'!$E$3:$E$698,$S91,'Shortlisted Drugs X Company (7)'!$N$3:$N$698,"&gt;=0"),2),"")</f>
        <v>24.42</v>
      </c>
      <c r="AG91" s="16" t="s">
        <v>593</v>
      </c>
      <c r="AH91" s="16" t="s">
        <v>328</v>
      </c>
      <c r="AI91" s="16" t="s">
        <v>328</v>
      </c>
      <c r="AJ91" s="16" t="str">
        <f aca="false">IF(O91&lt;&gt;"","",IF(ISNUMBER(D91),IF(D91&gt;=$C$3,"High price","Lower price"),"Unpriced")&amp;" · "&amp;IF(M91&gt;=$E$3,"high volume","lower volume"))</f>
        <v>Lower price · high volume</v>
      </c>
      <c r="AK91" s="15" t="str">
        <f aca="false">IF(O91&lt;&gt;"",IF(O91="Price ≤ $5","Excluded – price ≤ $5","Excluded – IV only"),IF(ISNUMBER(D91),IF(AND(D91&gt;=$C$3,L91&gt;=$H$3),"Priority 1",IF(OR(D91&gt;=$C$3,L91&gt;=$H$3),"Priority 2","Priority 3")),IF(L91&gt;=$H$3,"Priority 2","Priority 3")))</f>
        <v>Priority 2</v>
      </c>
      <c r="AL91" s="16" t="str">
        <f aca="false">IF(O91&lt;&gt;"","",IF(ISNUMBER(D91),IF(D91&gt;=$C$3,"High price","Lower price"),"Unpriced")&amp;" · "&amp;IF(L91&gt;=$H$3,"high volume","lower volume"))</f>
        <v>Lower price · high volume</v>
      </c>
      <c r="AM91" s="14" t="n">
        <f aca="false">IF(O91&lt;&gt;"","",COUNTIFS($A$29:$A$361,A91,$O$29:$O$361,"",$AQ$29:$AQ$361,"&gt;"&amp;AQ91)+COUNTIFS($A$29:A91,A91,$O$29:O91,"",$AQ$29:AQ91,AQ91))</f>
        <v>8</v>
      </c>
      <c r="AN91" s="19" t="n">
        <f aca="false">IF(AND(O91="",ISNUMBER(D91)),D91,"")</f>
        <v>24.42</v>
      </c>
      <c r="AO91" s="20" t="n">
        <f aca="false">IF(O91="",M91,"")</f>
        <v>288</v>
      </c>
      <c r="AP91" s="20" t="n">
        <f aca="false">IF(O91="",L91,"")</f>
        <v>290</v>
      </c>
      <c r="AQ91" s="33" t="n">
        <f aca="false">IF(O91&lt;&gt;"","",(4-VALUE(RIGHT(AK91,1)))*10^7+N(N91))</f>
        <v>20006348.25</v>
      </c>
      <c r="AR91" s="33" t="n">
        <f aca="false">INDEX($O$7:$O$25,MATCH(A91,$I$7:$I$25,0))</f>
        <v>6</v>
      </c>
      <c r="AS91" s="33" t="n">
        <f aca="false">IF(AE91="No","",AR91*1000+IF(AM91="",900+COUNTIFS($A$29:A91,A91,$O$29:O91,"Price ≤ $5"),AM91))</f>
        <v>6008</v>
      </c>
    </row>
    <row r="92" customFormat="false" ht="41.75" hidden="false" customHeight="false" outlineLevel="0" collapsed="false">
      <c r="A92" s="15" t="s">
        <v>188</v>
      </c>
      <c r="B92" s="15" t="s">
        <v>356</v>
      </c>
      <c r="C92" s="16" t="s">
        <v>357</v>
      </c>
      <c r="D92" s="17" t="n">
        <f aca="false">IF(W92&gt;0,ROUND(AVERAGEIFS('Shortlisted Drugs X Company (7)'!$N$3:$N$698,'Shortlisted Drugs X Company (7)'!$C$3:$C$698,$B92,'Shortlisted Drugs X Company (7)'!$E$3:$E$698,$S92,'Shortlisted Drugs X Company (7)'!$N$3:$N$698,"&gt;5"),2),"")</f>
        <v>87.85</v>
      </c>
      <c r="E92" s="15" t="str">
        <f aca="false">IF(COUNTIFS('Shortlisted Drugs X Company (7)'!$C$3:$C$698,$B92,'Shortlisted Drugs X Company (7)'!$E$3:$E$698,$S92,'Shortlisted Drugs X Company (7)'!$P$3:$P$698,"Exact")&gt;0,"Exact",IF(COUNTIFS('Shortlisted Drugs X Company (7)'!$C$3:$C$698,$B92,'Shortlisted Drugs X Company (7)'!$E$3:$E$698,$S92,'Shortlisted Drugs X Company (7)'!$P$3:$P$698,"Same-market proxy")&gt;0,"Same-market proxy",IF(COUNTIFS('Shortlisted Drugs X Company (7)'!$C$3:$C$698,$B92,'Shortlisted Drugs X Company (7)'!$E$3:$E$698,$S92,'Shortlisted Drugs X Company (7)'!$P$3:$P$698,"Cross-market proxy")&gt;0,"Cross-market proxy",IF(COUNTIFS('Shortlisted Drugs X Company (7)'!$C$3:$C$698,$B92,'Shortlisted Drugs X Company (7)'!$E$3:$E$698,$S92,'Shortlisted Drugs X Company (7)'!$P$3:$P$698,"Source not found")&gt;0,"Source not found","Not priced"))))</f>
        <v>Exact</v>
      </c>
      <c r="F92" s="18" t="n">
        <f aca="false">IFERROR(ROUND(INDEX('Injectable Value'!$AA$28:$AA$178,MATCH(B92,'Injectable Value'!$A$28:$A$178,0)),1),"")</f>
        <v>59827.2</v>
      </c>
      <c r="G92" s="16" t="s">
        <v>594</v>
      </c>
      <c r="H92" s="14" t="n">
        <v>5</v>
      </c>
      <c r="I92" s="15" t="s">
        <v>248</v>
      </c>
      <c r="J92" s="15" t="s">
        <v>249</v>
      </c>
      <c r="K92" s="16" t="str">
        <f aca="false">"Reconstitution"&amp;IF(V92=0,"; Unpriced","")&amp;IF(AND(V92&gt;0,W92=0,X92=0),"; Low price from another market – confirm with company","")</f>
        <v>Reconstitution</v>
      </c>
      <c r="L92" s="18" t="n">
        <f aca="false">IFERROR(INDEX('Shortlisted Drugs X Company (7)'!$K$3:$K$698,MATCH(B92,'Shortlisted Drugs X Company (7)'!$C$3:$C$698,0)),"")</f>
        <v>312</v>
      </c>
      <c r="M92" s="18" t="n">
        <f aca="false">IFERROR(ROUND(L92*INDEX('Injectable Value'!$Z$28:$Z$178,MATCH(B92,'Injectable Value'!$A$28:$A$178,0)),0),"")</f>
        <v>312</v>
      </c>
      <c r="N92" s="18" t="n">
        <f aca="false">IFERROR(INDEX('Shortlisted Drugs X Company (7)'!$L$3:$L$698,MATCH(B92,'Shortlisted Drugs X Company (7)'!$C$3:$C$698,0)),"")</f>
        <v>59827.18</v>
      </c>
      <c r="O92" s="15" t="str">
        <f aca="false">IF(AE92="No","IV only (not ID/IM/SC)",IF(AND(V92&gt;0,W92=0),"Price ≤ $5",""))</f>
        <v>IV only (not ID/IM/SC)</v>
      </c>
      <c r="P92" s="14" t="str">
        <f aca="false">IF(O92&lt;&gt;"","",COUNTIFS($A$29:$A$361,A92,$O$29:$O$361,"",$AC$29:$AC$361,"&gt;"&amp;AC92)+COUNTIFS($A$29:A92,A92,$O$29:O92,"",$AC$29:AC92,AC92))</f>
        <v/>
      </c>
      <c r="Q92" s="15" t="str">
        <f aca="false">IF(O92&lt;&gt;"",IF(O92="Price ≤ $5","Excluded – price ≤ $5","Excluded – IV only"),IF(ISNUMBER(D92),IF(AND(D92&gt;=$C$3,M92&gt;=$E$3),"Priority 1",IF(OR(D92&gt;=$C$3,M92&gt;=$E$3),"Priority 2","Priority 3")),IF(M92&gt;=$E$3,"Priority 2","Priority 3")))</f>
        <v>Excluded – IV only</v>
      </c>
      <c r="R92" s="16" t="s">
        <v>250</v>
      </c>
      <c r="S92" s="15" t="s">
        <v>188</v>
      </c>
      <c r="T92" s="32" t="s">
        <v>358</v>
      </c>
      <c r="U92" s="33" t="str">
        <f aca="false">B92&amp;"|"&amp;S92</f>
        <v>Daptomycin|Cipla</v>
      </c>
      <c r="V92" s="34" t="n">
        <f aca="false">COUNTIFS('Shortlisted Drugs X Company (7)'!$C$3:$C$698,$B92,'Shortlisted Drugs X Company (7)'!$E$3:$E$698,$S92,'Shortlisted Drugs X Company (7)'!$N$3:$N$698,"&gt;=0")</f>
        <v>2</v>
      </c>
      <c r="W92" s="34" t="n">
        <f aca="false">COUNTIFS('Shortlisted Drugs X Company (7)'!$C$3:$C$698,$B92,'Shortlisted Drugs X Company (7)'!$E$3:$E$698,$S92,'Shortlisted Drugs X Company (7)'!$N$3:$N$698,"&gt;5")</f>
        <v>2</v>
      </c>
      <c r="X92" s="34" t="n">
        <f aca="false">COUNTIFS('Shortlisted Drugs X Company (7)'!$C$3:$C$698,$B92,'Shortlisted Drugs X Company (7)'!$E$3:$E$698,$S92,'Shortlisted Drugs X Company (7)'!$P$3:$P$698,"Exact")+COUNTIFS('Shortlisted Drugs X Company (7)'!$C$3:$C$698,$B92,'Shortlisted Drugs X Company (7)'!$E$3:$E$698,$S92,'Shortlisted Drugs X Company (7)'!$P$3:$P$698,"Same-market proxy")</f>
        <v>1</v>
      </c>
      <c r="Y92" s="33" t="str">
        <f aca="false">A92&amp;"|"&amp;P92</f>
        <v>Cipla|</v>
      </c>
      <c r="Z92" s="16" t="s">
        <v>595</v>
      </c>
      <c r="AA92" s="33" t="n">
        <f aca="false">INDEX($G$7:$G$25,MATCH(A92,$A$7:$A$25,0))</f>
        <v>4</v>
      </c>
      <c r="AB92" s="33" t="str">
        <f aca="false">IF(AE92="No","",AA92*1000+IF(P92="",900+COUNTIFS($A$29:A92,A92,$O$29:O92,"Price ≤ $5"),P92))</f>
        <v/>
      </c>
      <c r="AC92" s="33" t="str">
        <f aca="false">IF(O92&lt;&gt;"","",(4-VALUE(RIGHT(Q92,1)))*10^7+N(F92))</f>
        <v/>
      </c>
      <c r="AD92" s="15" t="str">
        <f aca="false">IFERROR(INDEX('Route of Administration'!$C$5:$C$155,MATCH(B92,'Route of Administration'!$A$5:$A$155,0)),"")</f>
        <v>IV</v>
      </c>
      <c r="AE92" s="14" t="str">
        <f aca="false">IFERROR(INDEX('Route of Administration'!$D$5:$D$155,MATCH(B92,'Route of Administration'!$A$5:$A$155,0)),"")</f>
        <v>No</v>
      </c>
      <c r="AF92" s="19" t="n">
        <f aca="false">IF(V92&gt;0,ROUND(AVERAGEIFS('Shortlisted Drugs X Company (7)'!$N$3:$N$698,'Shortlisted Drugs X Company (7)'!$C$3:$C$698,$B92,'Shortlisted Drugs X Company (7)'!$E$3:$E$698,$S92,'Shortlisted Drugs X Company (7)'!$N$3:$N$698,"&gt;=0"),2),"")</f>
        <v>87.85</v>
      </c>
      <c r="AG92" s="16" t="s">
        <v>596</v>
      </c>
      <c r="AH92" s="16" t="s">
        <v>597</v>
      </c>
      <c r="AI92" s="16" t="s">
        <v>597</v>
      </c>
      <c r="AJ92" s="16" t="str">
        <f aca="false">IF(O92&lt;&gt;"","",IF(ISNUMBER(D92),IF(D92&gt;=$C$3,"High price","Lower price"),"Unpriced")&amp;" · "&amp;IF(M92&gt;=$E$3,"high volume","lower volume"))</f>
        <v/>
      </c>
      <c r="AK92" s="15" t="str">
        <f aca="false">IF(O92&lt;&gt;"",IF(O92="Price ≤ $5","Excluded – price ≤ $5","Excluded – IV only"),IF(ISNUMBER(D92),IF(AND(D92&gt;=$C$3,L92&gt;=$H$3),"Priority 1",IF(OR(D92&gt;=$C$3,L92&gt;=$H$3),"Priority 2","Priority 3")),IF(L92&gt;=$H$3,"Priority 2","Priority 3")))</f>
        <v>Excluded – IV only</v>
      </c>
      <c r="AL92" s="16" t="str">
        <f aca="false">IF(O92&lt;&gt;"","",IF(ISNUMBER(D92),IF(D92&gt;=$C$3,"High price","Lower price"),"Unpriced")&amp;" · "&amp;IF(L92&gt;=$H$3,"high volume","lower volume"))</f>
        <v/>
      </c>
      <c r="AM92" s="14" t="str">
        <f aca="false">IF(O92&lt;&gt;"","",COUNTIFS($A$29:$A$361,A92,$O$29:$O$361,"",$AQ$29:$AQ$361,"&gt;"&amp;AQ92)+COUNTIFS($A$29:A92,A92,$O$29:O92,"",$AQ$29:AQ92,AQ92))</f>
        <v/>
      </c>
      <c r="AN92" s="33" t="str">
        <f aca="false">IF(AND(O92="",ISNUMBER(D92)),D92,"")</f>
        <v/>
      </c>
      <c r="AO92" s="33" t="str">
        <f aca="false">IF(O92="",M92,"")</f>
        <v/>
      </c>
      <c r="AP92" s="33" t="str">
        <f aca="false">IF(O92="",L92,"")</f>
        <v/>
      </c>
      <c r="AQ92" s="33" t="str">
        <f aca="false">IF(O92&lt;&gt;"","",(4-VALUE(RIGHT(AK92,1)))*10^7+N(N92))</f>
        <v/>
      </c>
      <c r="AR92" s="33" t="n">
        <f aca="false">INDEX($O$7:$O$25,MATCH(A92,$I$7:$I$25,0))</f>
        <v>6</v>
      </c>
      <c r="AS92" s="33" t="str">
        <f aca="false">IF(AE92="No","",AR92*1000+IF(AM92="",900+COUNTIFS($A$29:A92,A92,$O$29:O92,"Price ≤ $5"),AM92))</f>
        <v/>
      </c>
    </row>
    <row r="93" customFormat="false" ht="28.35" hidden="false" customHeight="false" outlineLevel="0" collapsed="false">
      <c r="A93" s="15" t="s">
        <v>188</v>
      </c>
      <c r="B93" s="15" t="s">
        <v>362</v>
      </c>
      <c r="C93" s="16" t="s">
        <v>363</v>
      </c>
      <c r="D93" s="17" t="n">
        <f aca="false">IF(W93&gt;0,ROUND(AVERAGEIFS('Shortlisted Drugs X Company (7)'!$N$3:$N$698,'Shortlisted Drugs X Company (7)'!$C$3:$C$698,$B93,'Shortlisted Drugs X Company (7)'!$E$3:$E$698,$S93,'Shortlisted Drugs X Company (7)'!$N$3:$N$698,"&gt;5"),2),"")</f>
        <v>18.93</v>
      </c>
      <c r="E93" s="15" t="str">
        <f aca="false">IF(COUNTIFS('Shortlisted Drugs X Company (7)'!$C$3:$C$698,$B93,'Shortlisted Drugs X Company (7)'!$E$3:$E$698,$S93,'Shortlisted Drugs X Company (7)'!$P$3:$P$698,"Exact")&gt;0,"Exact",IF(COUNTIFS('Shortlisted Drugs X Company (7)'!$C$3:$C$698,$B93,'Shortlisted Drugs X Company (7)'!$E$3:$E$698,$S93,'Shortlisted Drugs X Company (7)'!$P$3:$P$698,"Same-market proxy")&gt;0,"Same-market proxy",IF(COUNTIFS('Shortlisted Drugs X Company (7)'!$C$3:$C$698,$B93,'Shortlisted Drugs X Company (7)'!$E$3:$E$698,$S93,'Shortlisted Drugs X Company (7)'!$P$3:$P$698,"Cross-market proxy")&gt;0,"Cross-market proxy",IF(COUNTIFS('Shortlisted Drugs X Company (7)'!$C$3:$C$698,$B93,'Shortlisted Drugs X Company (7)'!$E$3:$E$698,$S93,'Shortlisted Drugs X Company (7)'!$P$3:$P$698,"Source not found")&gt;0,"Source not found","Not priced"))))</f>
        <v>Exact</v>
      </c>
      <c r="F93" s="18" t="n">
        <f aca="false">IFERROR(ROUND(INDEX('Injectable Value'!$AA$28:$AA$178,MATCH(B93,'Injectable Value'!$A$28:$A$178,0)),1),"")</f>
        <v>41503.2</v>
      </c>
      <c r="G93" s="16" t="s">
        <v>70</v>
      </c>
      <c r="H93" s="14" t="n">
        <v>1</v>
      </c>
      <c r="I93" s="15" t="s">
        <v>248</v>
      </c>
      <c r="J93" s="15" t="s">
        <v>249</v>
      </c>
      <c r="K93" s="16" t="str">
        <f aca="false">"Cancer drug (cytotoxic) – less relevant; Reconstitution"&amp;IF(V93=0,"; Unpriced","")&amp;IF(AND(V93&gt;0,W93=0,X93=0),"; Low price from another market – confirm with company","")</f>
        <v>Cancer drug (cytotoxic) – less relevant; Reconstitution</v>
      </c>
      <c r="L93" s="18" t="n">
        <f aca="false">IFERROR(INDEX('Shortlisted Drugs X Company (7)'!$K$3:$K$698,MATCH(B93,'Shortlisted Drugs X Company (7)'!$C$3:$C$698,0)),"")</f>
        <v>1644</v>
      </c>
      <c r="M93" s="18" t="n">
        <f aca="false">IFERROR(ROUND(L93*INDEX('Injectable Value'!$Z$28:$Z$178,MATCH(B93,'Injectable Value'!$A$28:$A$178,0)),0),"")</f>
        <v>1629</v>
      </c>
      <c r="N93" s="18" t="n">
        <f aca="false">IFERROR(INDEX('Shortlisted Drugs X Company (7)'!$L$3:$L$698,MATCH(B93,'Shortlisted Drugs X Company (7)'!$C$3:$C$698,0)),"")</f>
        <v>41889.23</v>
      </c>
      <c r="O93" s="15" t="str">
        <f aca="false">IF(AE93="No","IV only (not ID/IM/SC)",IF(AND(V93&gt;0,W93=0),"Price ≤ $5",""))</f>
        <v>IV only (not ID/IM/SC)</v>
      </c>
      <c r="P93" s="14" t="str">
        <f aca="false">IF(O93&lt;&gt;"","",COUNTIFS($A$29:$A$361,A93,$O$29:$O$361,"",$AC$29:$AC$361,"&gt;"&amp;AC93)+COUNTIFS($A$29:A93,A93,$O$29:O93,"",$AC$29:AC93,AC93))</f>
        <v/>
      </c>
      <c r="Q93" s="15" t="str">
        <f aca="false">IF(O93&lt;&gt;"",IF(O93="Price ≤ $5","Excluded – price ≤ $5","Excluded – IV only"),IF(ISNUMBER(D93),IF(AND(D93&gt;=$C$3,M93&gt;=$E$3),"Priority 1",IF(OR(D93&gt;=$C$3,M93&gt;=$E$3),"Priority 2","Priority 3")),IF(M93&gt;=$E$3,"Priority 2","Priority 3")))</f>
        <v>Excluded – IV only</v>
      </c>
      <c r="R93" s="16" t="s">
        <v>250</v>
      </c>
      <c r="S93" s="15" t="s">
        <v>188</v>
      </c>
      <c r="T93" s="32" t="s">
        <v>365</v>
      </c>
      <c r="U93" s="33" t="str">
        <f aca="false">B93&amp;"|"&amp;S93</f>
        <v>Doxorubicin|Cipla</v>
      </c>
      <c r="V93" s="34" t="n">
        <f aca="false">COUNTIFS('Shortlisted Drugs X Company (7)'!$C$3:$C$698,$B93,'Shortlisted Drugs X Company (7)'!$E$3:$E$698,$S93,'Shortlisted Drugs X Company (7)'!$N$3:$N$698,"&gt;=0")</f>
        <v>2</v>
      </c>
      <c r="W93" s="34" t="n">
        <f aca="false">COUNTIFS('Shortlisted Drugs X Company (7)'!$C$3:$C$698,$B93,'Shortlisted Drugs X Company (7)'!$E$3:$E$698,$S93,'Shortlisted Drugs X Company (7)'!$N$3:$N$698,"&gt;5")</f>
        <v>2</v>
      </c>
      <c r="X93" s="34" t="n">
        <f aca="false">COUNTIFS('Shortlisted Drugs X Company (7)'!$C$3:$C$698,$B93,'Shortlisted Drugs X Company (7)'!$E$3:$E$698,$S93,'Shortlisted Drugs X Company (7)'!$P$3:$P$698,"Exact")+COUNTIFS('Shortlisted Drugs X Company (7)'!$C$3:$C$698,$B93,'Shortlisted Drugs X Company (7)'!$E$3:$E$698,$S93,'Shortlisted Drugs X Company (7)'!$P$3:$P$698,"Same-market proxy")</f>
        <v>2</v>
      </c>
      <c r="Y93" s="33" t="str">
        <f aca="false">A93&amp;"|"&amp;P93</f>
        <v>Cipla|</v>
      </c>
      <c r="Z93" s="16" t="s">
        <v>598</v>
      </c>
      <c r="AA93" s="33" t="n">
        <f aca="false">INDEX($G$7:$G$25,MATCH(A93,$A$7:$A$25,0))</f>
        <v>4</v>
      </c>
      <c r="AB93" s="33" t="str">
        <f aca="false">IF(AE93="No","",AA93*1000+IF(P93="",900+COUNTIFS($A$29:A93,A93,$O$29:O93,"Price ≤ $5"),P93))</f>
        <v/>
      </c>
      <c r="AC93" s="33" t="str">
        <f aca="false">IF(O93&lt;&gt;"","",(4-VALUE(RIGHT(Q93,1)))*10^7+N(F93))</f>
        <v/>
      </c>
      <c r="AD93" s="15" t="str">
        <f aca="false">IFERROR(INDEX('Route of Administration'!$C$5:$C$155,MATCH(B93,'Route of Administration'!$A$5:$A$155,0)),"")</f>
        <v>IV</v>
      </c>
      <c r="AE93" s="14" t="str">
        <f aca="false">IFERROR(INDEX('Route of Administration'!$D$5:$D$155,MATCH(B93,'Route of Administration'!$A$5:$A$155,0)),"")</f>
        <v>No</v>
      </c>
      <c r="AF93" s="19" t="n">
        <f aca="false">IF(V93&gt;0,ROUND(AVERAGEIFS('Shortlisted Drugs X Company (7)'!$N$3:$N$698,'Shortlisted Drugs X Company (7)'!$C$3:$C$698,$B93,'Shortlisted Drugs X Company (7)'!$E$3:$E$698,$S93,'Shortlisted Drugs X Company (7)'!$N$3:$N$698,"&gt;=0"),2),"")</f>
        <v>18.93</v>
      </c>
      <c r="AG93" s="16" t="s">
        <v>599</v>
      </c>
      <c r="AH93" s="16" t="s">
        <v>328</v>
      </c>
      <c r="AI93" s="16" t="s">
        <v>328</v>
      </c>
      <c r="AJ93" s="16" t="str">
        <f aca="false">IF(O93&lt;&gt;"","",IF(ISNUMBER(D93),IF(D93&gt;=$C$3,"High price","Lower price"),"Unpriced")&amp;" · "&amp;IF(M93&gt;=$E$3,"high volume","lower volume"))</f>
        <v/>
      </c>
      <c r="AK93" s="15" t="str">
        <f aca="false">IF(O93&lt;&gt;"",IF(O93="Price ≤ $5","Excluded – price ≤ $5","Excluded – IV only"),IF(ISNUMBER(D93),IF(AND(D93&gt;=$C$3,L93&gt;=$H$3),"Priority 1",IF(OR(D93&gt;=$C$3,L93&gt;=$H$3),"Priority 2","Priority 3")),IF(L93&gt;=$H$3,"Priority 2","Priority 3")))</f>
        <v>Excluded – IV only</v>
      </c>
      <c r="AL93" s="16" t="str">
        <f aca="false">IF(O93&lt;&gt;"","",IF(ISNUMBER(D93),IF(D93&gt;=$C$3,"High price","Lower price"),"Unpriced")&amp;" · "&amp;IF(L93&gt;=$H$3,"high volume","lower volume"))</f>
        <v/>
      </c>
      <c r="AM93" s="14" t="str">
        <f aca="false">IF(O93&lt;&gt;"","",COUNTIFS($A$29:$A$361,A93,$O$29:$O$361,"",$AQ$29:$AQ$361,"&gt;"&amp;AQ93)+COUNTIFS($A$29:A93,A93,$O$29:O93,"",$AQ$29:AQ93,AQ93))</f>
        <v/>
      </c>
      <c r="AN93" s="33" t="str">
        <f aca="false">IF(AND(O93="",ISNUMBER(D93)),D93,"")</f>
        <v/>
      </c>
      <c r="AO93" s="33" t="str">
        <f aca="false">IF(O93="",M93,"")</f>
        <v/>
      </c>
      <c r="AP93" s="33" t="str">
        <f aca="false">IF(O93="",L93,"")</f>
        <v/>
      </c>
      <c r="AQ93" s="33" t="str">
        <f aca="false">IF(O93&lt;&gt;"","",(4-VALUE(RIGHT(AK93,1)))*10^7+N(N93))</f>
        <v/>
      </c>
      <c r="AR93" s="33" t="n">
        <f aca="false">INDEX($O$7:$O$25,MATCH(A93,$I$7:$I$25,0))</f>
        <v>6</v>
      </c>
      <c r="AS93" s="33" t="str">
        <f aca="false">IF(AE93="No","",AR93*1000+IF(AM93="",900+COUNTIFS($A$29:A93,A93,$O$29:O93,"Price ≤ $5"),AM93))</f>
        <v/>
      </c>
    </row>
    <row r="94" customFormat="false" ht="28.35" hidden="false" customHeight="false" outlineLevel="0" collapsed="false">
      <c r="A94" s="15" t="s">
        <v>188</v>
      </c>
      <c r="B94" s="15" t="s">
        <v>262</v>
      </c>
      <c r="C94" s="16" t="s">
        <v>263</v>
      </c>
      <c r="D94" s="17" t="n">
        <f aca="false">IF(W94&gt;0,ROUND(AVERAGEIFS('Shortlisted Drugs X Company (7)'!$N$3:$N$698,'Shortlisted Drugs X Company (7)'!$C$3:$C$698,$B94,'Shortlisted Drugs X Company (7)'!$E$3:$E$698,$S94,'Shortlisted Drugs X Company (7)'!$N$3:$N$698,"&gt;5"),2),"")</f>
        <v>531.87</v>
      </c>
      <c r="E94" s="15" t="str">
        <f aca="false">IF(COUNTIFS('Shortlisted Drugs X Company (7)'!$C$3:$C$698,$B94,'Shortlisted Drugs X Company (7)'!$E$3:$E$698,$S94,'Shortlisted Drugs X Company (7)'!$P$3:$P$698,"Exact")&gt;0,"Exact",IF(COUNTIFS('Shortlisted Drugs X Company (7)'!$C$3:$C$698,$B94,'Shortlisted Drugs X Company (7)'!$E$3:$E$698,$S94,'Shortlisted Drugs X Company (7)'!$P$3:$P$698,"Same-market proxy")&gt;0,"Same-market proxy",IF(COUNTIFS('Shortlisted Drugs X Company (7)'!$C$3:$C$698,$B94,'Shortlisted Drugs X Company (7)'!$E$3:$E$698,$S94,'Shortlisted Drugs X Company (7)'!$P$3:$P$698,"Cross-market proxy")&gt;0,"Cross-market proxy",IF(COUNTIFS('Shortlisted Drugs X Company (7)'!$C$3:$C$698,$B94,'Shortlisted Drugs X Company (7)'!$E$3:$E$698,$S94,'Shortlisted Drugs X Company (7)'!$P$3:$P$698,"Source not found")&gt;0,"Source not found","Not priced"))))</f>
        <v>Cross-market proxy</v>
      </c>
      <c r="F94" s="18" t="n">
        <f aca="false">IFERROR(ROUND(INDEX('Injectable Value'!$AA$28:$AA$178,MATCH(B94,'Injectable Value'!$A$28:$A$178,0)),1),"")</f>
        <v>11366.1</v>
      </c>
      <c r="G94" s="16" t="s">
        <v>418</v>
      </c>
      <c r="H94" s="14" t="n">
        <v>1</v>
      </c>
      <c r="I94" s="15" t="s">
        <v>258</v>
      </c>
      <c r="J94" s="15" t="s">
        <v>249</v>
      </c>
      <c r="K94" s="16" t="str">
        <f aca="false">"Prefilled only"&amp;IF(V94=0,"; Unpriced","")&amp;IF(AND(V94&gt;0,W94=0,X94=0),"; Low price from another market – confirm with company","")</f>
        <v>Prefilled only</v>
      </c>
      <c r="L94" s="18" t="n">
        <f aca="false">IFERROR(INDEX('Shortlisted Drugs X Company (7)'!$K$3:$K$698,MATCH(B94,'Shortlisted Drugs X Company (7)'!$C$3:$C$698,0)),"")</f>
        <v>146</v>
      </c>
      <c r="M94" s="18" t="n">
        <f aca="false">IFERROR(ROUND(L94*INDEX('Injectable Value'!$Z$28:$Z$178,MATCH(B94,'Injectable Value'!$A$28:$A$178,0)),0),"")</f>
        <v>146</v>
      </c>
      <c r="N94" s="18" t="n">
        <f aca="false">IFERROR(INDEX('Shortlisted Drugs X Company (7)'!$L$3:$L$698,MATCH(B94,'Shortlisted Drugs X Company (7)'!$C$3:$C$698,0)),"")</f>
        <v>11366.06</v>
      </c>
      <c r="O94" s="15" t="str">
        <f aca="false">IF(AE94="No","IV only (not ID/IM/SC)",IF(AND(V94&gt;0,W94=0),"Price ≤ $5",""))</f>
        <v/>
      </c>
      <c r="P94" s="14" t="n">
        <f aca="false">IF(O94&lt;&gt;"","",COUNTIFS($A$29:$A$361,A94,$O$29:$O$361,"",$AC$29:$AC$361,"&gt;"&amp;AC94)+COUNTIFS($A$29:A94,A94,$O$29:O94,"",$AC$29:AC94,AC94))</f>
        <v>2</v>
      </c>
      <c r="Q94" s="15" t="str">
        <f aca="false">IF(O94&lt;&gt;"",IF(O94="Price ≤ $5","Excluded – price ≤ $5","Excluded – IV only"),IF(ISNUMBER(D94),IF(AND(D94&gt;=$C$3,M94&gt;=$E$3),"Priority 1",IF(OR(D94&gt;=$C$3,M94&gt;=$E$3),"Priority 2","Priority 3")),IF(M94&gt;=$E$3,"Priority 2","Priority 3")))</f>
        <v>Priority 1</v>
      </c>
      <c r="R94" s="16" t="s">
        <v>259</v>
      </c>
      <c r="S94" s="15" t="s">
        <v>188</v>
      </c>
      <c r="T94" s="32" t="s">
        <v>264</v>
      </c>
      <c r="U94" s="33" t="str">
        <f aca="false">B94&amp;"|"&amp;S94</f>
        <v>Fulvestrant|Cipla</v>
      </c>
      <c r="V94" s="34" t="n">
        <f aca="false">COUNTIFS('Shortlisted Drugs X Company (7)'!$C$3:$C$698,$B94,'Shortlisted Drugs X Company (7)'!$E$3:$E$698,$S94,'Shortlisted Drugs X Company (7)'!$N$3:$N$698,"&gt;=0")</f>
        <v>1</v>
      </c>
      <c r="W94" s="34" t="n">
        <f aca="false">COUNTIFS('Shortlisted Drugs X Company (7)'!$C$3:$C$698,$B94,'Shortlisted Drugs X Company (7)'!$E$3:$E$698,$S94,'Shortlisted Drugs X Company (7)'!$N$3:$N$698,"&gt;5")</f>
        <v>1</v>
      </c>
      <c r="X94" s="34" t="n">
        <f aca="false">COUNTIFS('Shortlisted Drugs X Company (7)'!$C$3:$C$698,$B94,'Shortlisted Drugs X Company (7)'!$E$3:$E$698,$S94,'Shortlisted Drugs X Company (7)'!$P$3:$P$698,"Exact")+COUNTIFS('Shortlisted Drugs X Company (7)'!$C$3:$C$698,$B94,'Shortlisted Drugs X Company (7)'!$E$3:$E$698,$S94,'Shortlisted Drugs X Company (7)'!$P$3:$P$698,"Same-market proxy")</f>
        <v>0</v>
      </c>
      <c r="Y94" s="33" t="str">
        <f aca="false">A94&amp;"|"&amp;P94</f>
        <v>Cipla|2</v>
      </c>
      <c r="Z94" s="16" t="s">
        <v>265</v>
      </c>
      <c r="AA94" s="33" t="n">
        <f aca="false">INDEX($G$7:$G$25,MATCH(A94,$A$7:$A$25,0))</f>
        <v>4</v>
      </c>
      <c r="AB94" s="33" t="n">
        <f aca="false">IF(AE94="No","",AA94*1000+IF(P94="",900+COUNTIFS($A$29:A94,A94,$O$29:O94,"Price ≤ $5"),P94))</f>
        <v>4002</v>
      </c>
      <c r="AC94" s="33" t="n">
        <f aca="false">IF(O94&lt;&gt;"","",(4-VALUE(RIGHT(Q94,1)))*10^7+N(F94))</f>
        <v>30011366.1</v>
      </c>
      <c r="AD94" s="15" t="str">
        <f aca="false">IFERROR(INDEX('Route of Administration'!$C$5:$C$155,MATCH(B94,'Route of Administration'!$A$5:$A$155,0)),"")</f>
        <v>IM</v>
      </c>
      <c r="AE94" s="14" t="str">
        <f aca="false">IFERROR(INDEX('Route of Administration'!$D$5:$D$155,MATCH(B94,'Route of Administration'!$A$5:$A$155,0)),"")</f>
        <v>Yes</v>
      </c>
      <c r="AF94" s="19" t="n">
        <f aca="false">IF(V94&gt;0,ROUND(AVERAGEIFS('Shortlisted Drugs X Company (7)'!$N$3:$N$698,'Shortlisted Drugs X Company (7)'!$C$3:$C$698,$B94,'Shortlisted Drugs X Company (7)'!$E$3:$E$698,$S94,'Shortlisted Drugs X Company (7)'!$N$3:$N$698,"&gt;=0"),2),"")</f>
        <v>531.87</v>
      </c>
      <c r="AG94" s="16" t="s">
        <v>600</v>
      </c>
      <c r="AH94" s="16" t="s">
        <v>422</v>
      </c>
      <c r="AI94" s="16" t="s">
        <v>422</v>
      </c>
      <c r="AJ94" s="16" t="str">
        <f aca="false">IF(O94&lt;&gt;"","",IF(ISNUMBER(D94),IF(D94&gt;=$C$3,"High price","Lower price"),"Unpriced")&amp;" · "&amp;IF(M94&gt;=$E$3,"high volume","lower volume"))</f>
        <v>High price · high volume</v>
      </c>
      <c r="AK94" s="15" t="str">
        <f aca="false">IF(O94&lt;&gt;"",IF(O94="Price ≤ $5","Excluded – price ≤ $5","Excluded – IV only"),IF(ISNUMBER(D94),IF(AND(D94&gt;=$C$3,L94&gt;=$H$3),"Priority 1",IF(OR(D94&gt;=$C$3,L94&gt;=$H$3),"Priority 2","Priority 3")),IF(L94&gt;=$H$3,"Priority 2","Priority 3")))</f>
        <v>Priority 2</v>
      </c>
      <c r="AL94" s="16" t="str">
        <f aca="false">IF(O94&lt;&gt;"","",IF(ISNUMBER(D94),IF(D94&gt;=$C$3,"High price","Lower price"),"Unpriced")&amp;" · "&amp;IF(L94&gt;=$H$3,"high volume","lower volume"))</f>
        <v>High price · lower volume</v>
      </c>
      <c r="AM94" s="14" t="n">
        <f aca="false">IF(O94&lt;&gt;"","",COUNTIFS($A$29:$A$361,A94,$O$29:$O$361,"",$AQ$29:$AQ$361,"&gt;"&amp;AQ94)+COUNTIFS($A$29:A94,A94,$O$29:O94,"",$AQ$29:AQ94,AQ94))</f>
        <v>6</v>
      </c>
      <c r="AN94" s="19" t="n">
        <f aca="false">IF(AND(O94="",ISNUMBER(D94)),D94,"")</f>
        <v>531.87</v>
      </c>
      <c r="AO94" s="20" t="n">
        <f aca="false">IF(O94="",M94,"")</f>
        <v>146</v>
      </c>
      <c r="AP94" s="20" t="n">
        <f aca="false">IF(O94="",L94,"")</f>
        <v>146</v>
      </c>
      <c r="AQ94" s="33" t="n">
        <f aca="false">IF(O94&lt;&gt;"","",(4-VALUE(RIGHT(AK94,1)))*10^7+N(N94))</f>
        <v>20011366.06</v>
      </c>
      <c r="AR94" s="33" t="n">
        <f aca="false">INDEX($O$7:$O$25,MATCH(A94,$I$7:$I$25,0))</f>
        <v>6</v>
      </c>
      <c r="AS94" s="33" t="n">
        <f aca="false">IF(AE94="No","",AR94*1000+IF(AM94="",900+COUNTIFS($A$29:A94,A94,$O$29:O94,"Price ≤ $5"),AM94))</f>
        <v>6006</v>
      </c>
    </row>
    <row r="95" customFormat="false" ht="41.75" hidden="false" customHeight="false" outlineLevel="0" collapsed="false">
      <c r="A95" s="15" t="s">
        <v>188</v>
      </c>
      <c r="B95" s="15" t="s">
        <v>601</v>
      </c>
      <c r="C95" s="16" t="s">
        <v>602</v>
      </c>
      <c r="D95" s="17" t="n">
        <f aca="false">IF(W95&gt;0,ROUND(AVERAGEIFS('Shortlisted Drugs X Company (7)'!$N$3:$N$698,'Shortlisted Drugs X Company (7)'!$C$3:$C$698,$B95,'Shortlisted Drugs X Company (7)'!$E$3:$E$698,$S95,'Shortlisted Drugs X Company (7)'!$N$3:$N$698,"&gt;5"),2),"")</f>
        <v>23.15</v>
      </c>
      <c r="E95" s="15" t="str">
        <f aca="false">IF(COUNTIFS('Shortlisted Drugs X Company (7)'!$C$3:$C$698,$B95,'Shortlisted Drugs X Company (7)'!$E$3:$E$698,$S95,'Shortlisted Drugs X Company (7)'!$P$3:$P$698,"Exact")&gt;0,"Exact",IF(COUNTIFS('Shortlisted Drugs X Company (7)'!$C$3:$C$698,$B95,'Shortlisted Drugs X Company (7)'!$E$3:$E$698,$S95,'Shortlisted Drugs X Company (7)'!$P$3:$P$698,"Same-market proxy")&gt;0,"Same-market proxy",IF(COUNTIFS('Shortlisted Drugs X Company (7)'!$C$3:$C$698,$B95,'Shortlisted Drugs X Company (7)'!$E$3:$E$698,$S95,'Shortlisted Drugs X Company (7)'!$P$3:$P$698,"Cross-market proxy")&gt;0,"Cross-market proxy",IF(COUNTIFS('Shortlisted Drugs X Company (7)'!$C$3:$C$698,$B95,'Shortlisted Drugs X Company (7)'!$E$3:$E$698,$S95,'Shortlisted Drugs X Company (7)'!$P$3:$P$698,"Source not found")&gt;0,"Source not found","Not priced"))))</f>
        <v>Same-market proxy</v>
      </c>
      <c r="F95" s="18" t="n">
        <f aca="false">IFERROR(ROUND(INDEX('Injectable Value'!$AA$28:$AA$178,MATCH(B95,'Injectable Value'!$A$28:$A$178,0)),1),"")</f>
        <v>4796.6</v>
      </c>
      <c r="G95" s="16" t="s">
        <v>247</v>
      </c>
      <c r="H95" s="14" t="n">
        <v>2</v>
      </c>
      <c r="I95" s="15" t="s">
        <v>248</v>
      </c>
      <c r="J95" s="15" t="s">
        <v>299</v>
      </c>
      <c r="K95" s="16" t="str">
        <f aca="false">"Reconstitution"&amp;IF(V95=0,"; Unpriced","")&amp;IF(AND(V95&gt;0,W95=0,X95=0),"; Low price from another market – confirm with company","")</f>
        <v>Reconstitution</v>
      </c>
      <c r="L95" s="18" t="n">
        <f aca="false">IFERROR(INDEX('Shortlisted Drugs X Company (7)'!$K$3:$K$698,MATCH(B95,'Shortlisted Drugs X Company (7)'!$C$3:$C$698,0)),"")</f>
        <v>2582</v>
      </c>
      <c r="M95" s="18" t="n">
        <f aca="false">IFERROR(ROUND(L95*INDEX('Injectable Value'!$Z$28:$Z$178,MATCH(B95,'Injectable Value'!$A$28:$A$178,0)),0),"")</f>
        <v>325</v>
      </c>
      <c r="N95" s="18" t="n">
        <f aca="false">IFERROR(INDEX('Shortlisted Drugs X Company (7)'!$L$3:$L$698,MATCH(B95,'Shortlisted Drugs X Company (7)'!$C$3:$C$698,0)),"")</f>
        <v>38106.07</v>
      </c>
      <c r="O95" s="15" t="str">
        <f aca="false">IF(AE95="No","IV only (not ID/IM/SC)",IF(AND(V95&gt;0,W95=0),"Price ≤ $5",""))</f>
        <v/>
      </c>
      <c r="P95" s="14" t="n">
        <f aca="false">IF(O95&lt;&gt;"","",COUNTIFS($A$29:$A$361,A95,$O$29:$O$361,"",$AC$29:$AC$361,"&gt;"&amp;AC95)+COUNTIFS($A$29:A95,A95,$O$29:O95,"",$AC$29:AC95,AC95))</f>
        <v>8</v>
      </c>
      <c r="Q95" s="15" t="str">
        <f aca="false">IF(O95&lt;&gt;"",IF(O95="Price ≤ $5","Excluded – price ≤ $5","Excluded – IV only"),IF(ISNUMBER(D95),IF(AND(D95&gt;=$C$3,M95&gt;=$E$3),"Priority 1",IF(OR(D95&gt;=$C$3,M95&gt;=$E$3),"Priority 2","Priority 3")),IF(M95&gt;=$E$3,"Priority 2","Priority 3")))</f>
        <v>Priority 2</v>
      </c>
      <c r="R95" s="16" t="s">
        <v>250</v>
      </c>
      <c r="S95" s="15" t="s">
        <v>188</v>
      </c>
      <c r="T95" s="32" t="s">
        <v>603</v>
      </c>
      <c r="U95" s="33" t="str">
        <f aca="false">B95&amp;"|"&amp;S95</f>
        <v>Hydrocortisone|Cipla</v>
      </c>
      <c r="V95" s="34" t="n">
        <f aca="false">COUNTIFS('Shortlisted Drugs X Company (7)'!$C$3:$C$698,$B95,'Shortlisted Drugs X Company (7)'!$E$3:$E$698,$S95,'Shortlisted Drugs X Company (7)'!$N$3:$N$698,"&gt;=0")</f>
        <v>2</v>
      </c>
      <c r="W95" s="34" t="n">
        <f aca="false">COUNTIFS('Shortlisted Drugs X Company (7)'!$C$3:$C$698,$B95,'Shortlisted Drugs X Company (7)'!$E$3:$E$698,$S95,'Shortlisted Drugs X Company (7)'!$N$3:$N$698,"&gt;5")</f>
        <v>2</v>
      </c>
      <c r="X95" s="34" t="n">
        <f aca="false">COUNTIFS('Shortlisted Drugs X Company (7)'!$C$3:$C$698,$B95,'Shortlisted Drugs X Company (7)'!$E$3:$E$698,$S95,'Shortlisted Drugs X Company (7)'!$P$3:$P$698,"Exact")+COUNTIFS('Shortlisted Drugs X Company (7)'!$C$3:$C$698,$B95,'Shortlisted Drugs X Company (7)'!$E$3:$E$698,$S95,'Shortlisted Drugs X Company (7)'!$P$3:$P$698,"Same-market proxy")</f>
        <v>2</v>
      </c>
      <c r="Y95" s="33" t="str">
        <f aca="false">A95&amp;"|"&amp;P95</f>
        <v>Cipla|8</v>
      </c>
      <c r="Z95" s="16" t="s">
        <v>581</v>
      </c>
      <c r="AA95" s="33" t="n">
        <f aca="false">INDEX($G$7:$G$25,MATCH(A95,$A$7:$A$25,0))</f>
        <v>4</v>
      </c>
      <c r="AB95" s="33" t="n">
        <f aca="false">IF(AE95="No","",AA95*1000+IF(P95="",900+COUNTIFS($A$29:A95,A95,$O$29:O95,"Price ≤ $5"),P95))</f>
        <v>4008</v>
      </c>
      <c r="AC95" s="33" t="n">
        <f aca="false">IF(O95&lt;&gt;"","",(4-VALUE(RIGHT(Q95,1)))*10^7+N(F95))</f>
        <v>20004796.6</v>
      </c>
      <c r="AD95" s="15" t="str">
        <f aca="false">IFERROR(INDEX('Route of Administration'!$C$5:$C$155,MATCH(B95,'Route of Administration'!$A$5:$A$155,0)),"")</f>
        <v>IV, IM</v>
      </c>
      <c r="AE95" s="14" t="str">
        <f aca="false">IFERROR(INDEX('Route of Administration'!$D$5:$D$155,MATCH(B95,'Route of Administration'!$A$5:$A$155,0)),"")</f>
        <v>Yes</v>
      </c>
      <c r="AF95" s="19" t="n">
        <f aca="false">IF(V95&gt;0,ROUND(AVERAGEIFS('Shortlisted Drugs X Company (7)'!$N$3:$N$698,'Shortlisted Drugs X Company (7)'!$C$3:$C$698,$B95,'Shortlisted Drugs X Company (7)'!$E$3:$E$698,$S95,'Shortlisted Drugs X Company (7)'!$N$3:$N$698,"&gt;=0"),2),"")</f>
        <v>23.15</v>
      </c>
      <c r="AG95" s="16" t="s">
        <v>604</v>
      </c>
      <c r="AH95" s="16" t="s">
        <v>605</v>
      </c>
      <c r="AI95" s="16" t="s">
        <v>605</v>
      </c>
      <c r="AJ95" s="16" t="str">
        <f aca="false">IF(O95&lt;&gt;"","",IF(ISNUMBER(D95),IF(D95&gt;=$C$3,"High price","Lower price"),"Unpriced")&amp;" · "&amp;IF(M95&gt;=$E$3,"high volume","lower volume"))</f>
        <v>Lower price · high volume</v>
      </c>
      <c r="AK95" s="15" t="str">
        <f aca="false">IF(O95&lt;&gt;"",IF(O95="Price ≤ $5","Excluded – price ≤ $5","Excluded – IV only"),IF(ISNUMBER(D95),IF(AND(D95&gt;=$C$3,L95&gt;=$H$3),"Priority 1",IF(OR(D95&gt;=$C$3,L95&gt;=$H$3),"Priority 2","Priority 3")),IF(L95&gt;=$H$3,"Priority 2","Priority 3")))</f>
        <v>Priority 2</v>
      </c>
      <c r="AL95" s="16" t="str">
        <f aca="false">IF(O95&lt;&gt;"","",IF(ISNUMBER(D95),IF(D95&gt;=$C$3,"High price","Lower price"),"Unpriced")&amp;" · "&amp;IF(L95&gt;=$H$3,"high volume","lower volume"))</f>
        <v>Lower price · high volume</v>
      </c>
      <c r="AM95" s="14" t="n">
        <f aca="false">IF(O95&lt;&gt;"","",COUNTIFS($A$29:$A$361,A95,$O$29:$O$361,"",$AQ$29:$AQ$361,"&gt;"&amp;AQ95)+COUNTIFS($A$29:A95,A95,$O$29:O95,"",$AQ$29:AQ95,AQ95))</f>
        <v>5</v>
      </c>
      <c r="AN95" s="19" t="n">
        <f aca="false">IF(AND(O95="",ISNUMBER(D95)),D95,"")</f>
        <v>23.15</v>
      </c>
      <c r="AO95" s="20" t="n">
        <f aca="false">IF(O95="",M95,"")</f>
        <v>325</v>
      </c>
      <c r="AP95" s="20" t="n">
        <f aca="false">IF(O95="",L95,"")</f>
        <v>2582</v>
      </c>
      <c r="AQ95" s="33" t="n">
        <f aca="false">IF(O95&lt;&gt;"","",(4-VALUE(RIGHT(AK95,1)))*10^7+N(N95))</f>
        <v>20038106.07</v>
      </c>
      <c r="AR95" s="33" t="n">
        <f aca="false">INDEX($O$7:$O$25,MATCH(A95,$I$7:$I$25,0))</f>
        <v>6</v>
      </c>
      <c r="AS95" s="33" t="n">
        <f aca="false">IF(AE95="No","",AR95*1000+IF(AM95="",900+COUNTIFS($A$29:A95,A95,$O$29:O95,"Price ≤ $5"),AM95))</f>
        <v>6005</v>
      </c>
    </row>
    <row r="96" customFormat="false" ht="28.35" hidden="false" customHeight="false" outlineLevel="0" collapsed="false">
      <c r="A96" s="15" t="s">
        <v>188</v>
      </c>
      <c r="B96" s="15" t="s">
        <v>606</v>
      </c>
      <c r="C96" s="16" t="s">
        <v>607</v>
      </c>
      <c r="D96" s="17" t="n">
        <f aca="false">IF(W96&gt;0,ROUND(AVERAGEIFS('Shortlisted Drugs X Company (7)'!$N$3:$N$698,'Shortlisted Drugs X Company (7)'!$C$3:$C$698,$B96,'Shortlisted Drugs X Company (7)'!$E$3:$E$698,$S96,'Shortlisted Drugs X Company (7)'!$N$3:$N$698,"&gt;5"),2),"")</f>
        <v>82.51</v>
      </c>
      <c r="E96" s="15" t="str">
        <f aca="false">IF(COUNTIFS('Shortlisted Drugs X Company (7)'!$C$3:$C$698,$B96,'Shortlisted Drugs X Company (7)'!$E$3:$E$698,$S96,'Shortlisted Drugs X Company (7)'!$P$3:$P$698,"Exact")&gt;0,"Exact",IF(COUNTIFS('Shortlisted Drugs X Company (7)'!$C$3:$C$698,$B96,'Shortlisted Drugs X Company (7)'!$E$3:$E$698,$S96,'Shortlisted Drugs X Company (7)'!$P$3:$P$698,"Same-market proxy")&gt;0,"Same-market proxy",IF(COUNTIFS('Shortlisted Drugs X Company (7)'!$C$3:$C$698,$B96,'Shortlisted Drugs X Company (7)'!$E$3:$E$698,$S96,'Shortlisted Drugs X Company (7)'!$P$3:$P$698,"Cross-market proxy")&gt;0,"Cross-market proxy",IF(COUNTIFS('Shortlisted Drugs X Company (7)'!$C$3:$C$698,$B96,'Shortlisted Drugs X Company (7)'!$E$3:$E$698,$S96,'Shortlisted Drugs X Company (7)'!$P$3:$P$698,"Source not found")&gt;0,"Source not found","Not priced"))))</f>
        <v>Cross-market proxy</v>
      </c>
      <c r="F96" s="18" t="n">
        <f aca="false">IFERROR(ROUND(INDEX('Injectable Value'!$AA$28:$AA$178,MATCH(B96,'Injectable Value'!$A$28:$A$178,0)),1),"")</f>
        <v>2931.4</v>
      </c>
      <c r="G96" s="16" t="s">
        <v>70</v>
      </c>
      <c r="H96" s="14" t="n">
        <v>1</v>
      </c>
      <c r="I96" s="15" t="s">
        <v>316</v>
      </c>
      <c r="J96" s="15" t="s">
        <v>249</v>
      </c>
      <c r="K96" s="16" t="str">
        <f aca="false">""&amp;IF(V96=0,"Unpriced","")&amp;IF(AND(V96&gt;0,W96=0,X96=0),"Low price from another market – confirm with company","")</f>
        <v/>
      </c>
      <c r="L96" s="18" t="n">
        <f aca="false">IFERROR(INDEX('Shortlisted Drugs X Company (7)'!$K$3:$K$698,MATCH(B96,'Shortlisted Drugs X Company (7)'!$C$3:$C$698,0)),"")</f>
        <v>87</v>
      </c>
      <c r="M96" s="18" t="n">
        <f aca="false">IFERROR(ROUND(L96*INDEX('Injectable Value'!$Z$28:$Z$178,MATCH(B96,'Injectable Value'!$A$28:$A$178,0)),0),"")</f>
        <v>87</v>
      </c>
      <c r="N96" s="18" t="n">
        <f aca="false">IFERROR(INDEX('Shortlisted Drugs X Company (7)'!$L$3:$L$698,MATCH(B96,'Shortlisted Drugs X Company (7)'!$C$3:$C$698,0)),"")</f>
        <v>2931.42</v>
      </c>
      <c r="O96" s="15" t="str">
        <f aca="false">IF(AE96="No","IV only (not ID/IM/SC)",IF(AND(V96&gt;0,W96=0),"Price ≤ $5",""))</f>
        <v/>
      </c>
      <c r="P96" s="14" t="n">
        <f aca="false">IF(O96&lt;&gt;"","",COUNTIFS($A$29:$A$361,A96,$O$29:$O$361,"",$AC$29:$AC$361,"&gt;"&amp;AC96)+COUNTIFS($A$29:A96,A96,$O$29:O96,"",$AC$29:AC96,AC96))</f>
        <v>9</v>
      </c>
      <c r="Q96" s="15" t="str">
        <f aca="false">IF(O96&lt;&gt;"",IF(O96="Price ≤ $5","Excluded – price ≤ $5","Excluded – IV only"),IF(ISNUMBER(D96),IF(AND(D96&gt;=$C$3,M96&gt;=$E$3),"Priority 1",IF(OR(D96&gt;=$C$3,M96&gt;=$E$3),"Priority 2","Priority 3")),IF(M96&gt;=$E$3,"Priority 2","Priority 3")))</f>
        <v>Priority 2</v>
      </c>
      <c r="R96" s="16" t="s">
        <v>250</v>
      </c>
      <c r="S96" s="15" t="s">
        <v>188</v>
      </c>
      <c r="T96" s="32" t="s">
        <v>608</v>
      </c>
      <c r="U96" s="33" t="str">
        <f aca="false">B96&amp;"|"&amp;S96</f>
        <v>Isoprenaline (Isoproterenol)|Cipla</v>
      </c>
      <c r="V96" s="34" t="n">
        <f aca="false">COUNTIFS('Shortlisted Drugs X Company (7)'!$C$3:$C$698,$B96,'Shortlisted Drugs X Company (7)'!$E$3:$E$698,$S96,'Shortlisted Drugs X Company (7)'!$N$3:$N$698,"&gt;=0")</f>
        <v>3</v>
      </c>
      <c r="W96" s="34" t="n">
        <f aca="false">COUNTIFS('Shortlisted Drugs X Company (7)'!$C$3:$C$698,$B96,'Shortlisted Drugs X Company (7)'!$E$3:$E$698,$S96,'Shortlisted Drugs X Company (7)'!$N$3:$N$698,"&gt;5")</f>
        <v>3</v>
      </c>
      <c r="X96" s="34" t="n">
        <f aca="false">COUNTIFS('Shortlisted Drugs X Company (7)'!$C$3:$C$698,$B96,'Shortlisted Drugs X Company (7)'!$E$3:$E$698,$S96,'Shortlisted Drugs X Company (7)'!$P$3:$P$698,"Exact")+COUNTIFS('Shortlisted Drugs X Company (7)'!$C$3:$C$698,$B96,'Shortlisted Drugs X Company (7)'!$E$3:$E$698,$S96,'Shortlisted Drugs X Company (7)'!$P$3:$P$698,"Same-market proxy")</f>
        <v>0</v>
      </c>
      <c r="Y96" s="33" t="str">
        <f aca="false">A96&amp;"|"&amp;P96</f>
        <v>Cipla|9</v>
      </c>
      <c r="Z96" s="16" t="s">
        <v>609</v>
      </c>
      <c r="AA96" s="33" t="n">
        <f aca="false">INDEX($G$7:$G$25,MATCH(A96,$A$7:$A$25,0))</f>
        <v>4</v>
      </c>
      <c r="AB96" s="33" t="n">
        <f aca="false">IF(AE96="No","",AA96*1000+IF(P96="",900+COUNTIFS($A$29:A96,A96,$O$29:O96,"Price ≤ $5"),P96))</f>
        <v>4009</v>
      </c>
      <c r="AC96" s="33" t="n">
        <f aca="false">IF(O96&lt;&gt;"","",(4-VALUE(RIGHT(Q96,1)))*10^7+N(F96))</f>
        <v>20002931.4</v>
      </c>
      <c r="AD96" s="15" t="str">
        <f aca="false">IFERROR(INDEX('Route of Administration'!$C$5:$C$155,MATCH(B96,'Route of Administration'!$A$5:$A$155,0)),"")</f>
        <v>IV, IM, SC</v>
      </c>
      <c r="AE96" s="14" t="str">
        <f aca="false">IFERROR(INDEX('Route of Administration'!$D$5:$D$155,MATCH(B96,'Route of Administration'!$A$5:$A$155,0)),"")</f>
        <v>Yes</v>
      </c>
      <c r="AF96" s="19" t="n">
        <f aca="false">IF(V96&gt;0,ROUND(AVERAGEIFS('Shortlisted Drugs X Company (7)'!$N$3:$N$698,'Shortlisted Drugs X Company (7)'!$C$3:$C$698,$B96,'Shortlisted Drugs X Company (7)'!$E$3:$E$698,$S96,'Shortlisted Drugs X Company (7)'!$N$3:$N$698,"&gt;=0"),2),"")</f>
        <v>82.51</v>
      </c>
      <c r="AG96" s="16" t="s">
        <v>610</v>
      </c>
      <c r="AH96" s="16" t="s">
        <v>583</v>
      </c>
      <c r="AI96" s="16" t="s">
        <v>583</v>
      </c>
      <c r="AJ96" s="16" t="str">
        <f aca="false">IF(O96&lt;&gt;"","",IF(ISNUMBER(D96),IF(D96&gt;=$C$3,"High price","Lower price"),"Unpriced")&amp;" · "&amp;IF(M96&gt;=$E$3,"high volume","lower volume"))</f>
        <v>High price · lower volume</v>
      </c>
      <c r="AK96" s="15" t="str">
        <f aca="false">IF(O96&lt;&gt;"",IF(O96="Price ≤ $5","Excluded – price ≤ $5","Excluded – IV only"),IF(ISNUMBER(D96),IF(AND(D96&gt;=$C$3,L96&gt;=$H$3),"Priority 1",IF(OR(D96&gt;=$C$3,L96&gt;=$H$3),"Priority 2","Priority 3")),IF(L96&gt;=$H$3,"Priority 2","Priority 3")))</f>
        <v>Priority 2</v>
      </c>
      <c r="AL96" s="16" t="str">
        <f aca="false">IF(O96&lt;&gt;"","",IF(ISNUMBER(D96),IF(D96&gt;=$C$3,"High price","Lower price"),"Unpriced")&amp;" · "&amp;IF(L96&gt;=$H$3,"high volume","lower volume"))</f>
        <v>High price · lower volume</v>
      </c>
      <c r="AM96" s="14" t="n">
        <f aca="false">IF(O96&lt;&gt;"","",COUNTIFS($A$29:$A$361,A96,$O$29:$O$361,"",$AQ$29:$AQ$361,"&gt;"&amp;AQ96)+COUNTIFS($A$29:A96,A96,$O$29:O96,"",$AQ$29:AQ96,AQ96))</f>
        <v>10</v>
      </c>
      <c r="AN96" s="19" t="n">
        <f aca="false">IF(AND(O96="",ISNUMBER(D96)),D96,"")</f>
        <v>82.51</v>
      </c>
      <c r="AO96" s="20" t="n">
        <f aca="false">IF(O96="",M96,"")</f>
        <v>87</v>
      </c>
      <c r="AP96" s="20" t="n">
        <f aca="false">IF(O96="",L96,"")</f>
        <v>87</v>
      </c>
      <c r="AQ96" s="33" t="n">
        <f aca="false">IF(O96&lt;&gt;"","",(4-VALUE(RIGHT(AK96,1)))*10^7+N(N96))</f>
        <v>20002931.42</v>
      </c>
      <c r="AR96" s="33" t="n">
        <f aca="false">INDEX($O$7:$O$25,MATCH(A96,$I$7:$I$25,0))</f>
        <v>6</v>
      </c>
      <c r="AS96" s="33" t="n">
        <f aca="false">IF(AE96="No","",AR96*1000+IF(AM96="",900+COUNTIFS($A$29:A96,A96,$O$29:O96,"Price ≤ $5"),AM96))</f>
        <v>6010</v>
      </c>
    </row>
    <row r="97" customFormat="false" ht="41.75" hidden="false" customHeight="false" outlineLevel="0" collapsed="false">
      <c r="A97" s="15" t="s">
        <v>188</v>
      </c>
      <c r="B97" s="15" t="s">
        <v>611</v>
      </c>
      <c r="C97" s="16" t="s">
        <v>612</v>
      </c>
      <c r="D97" s="17" t="n">
        <f aca="false">IF(W97&gt;0,ROUND(AVERAGEIFS('Shortlisted Drugs X Company (7)'!$N$3:$N$698,'Shortlisted Drugs X Company (7)'!$C$3:$C$698,$B97,'Shortlisted Drugs X Company (7)'!$E$3:$E$698,$S97,'Shortlisted Drugs X Company (7)'!$N$3:$N$698,"&gt;5"),2),"")</f>
        <v>5970.59</v>
      </c>
      <c r="E97" s="15" t="str">
        <f aca="false">IF(COUNTIFS('Shortlisted Drugs X Company (7)'!$C$3:$C$698,$B97,'Shortlisted Drugs X Company (7)'!$E$3:$E$698,$S97,'Shortlisted Drugs X Company (7)'!$P$3:$P$698,"Exact")&gt;0,"Exact",IF(COUNTIFS('Shortlisted Drugs X Company (7)'!$C$3:$C$698,$B97,'Shortlisted Drugs X Company (7)'!$E$3:$E$698,$S97,'Shortlisted Drugs X Company (7)'!$P$3:$P$698,"Same-market proxy")&gt;0,"Same-market proxy",IF(COUNTIFS('Shortlisted Drugs X Company (7)'!$C$3:$C$698,$B97,'Shortlisted Drugs X Company (7)'!$E$3:$E$698,$S97,'Shortlisted Drugs X Company (7)'!$P$3:$P$698,"Cross-market proxy")&gt;0,"Cross-market proxy",IF(COUNTIFS('Shortlisted Drugs X Company (7)'!$C$3:$C$698,$B97,'Shortlisted Drugs X Company (7)'!$E$3:$E$698,$S97,'Shortlisted Drugs X Company (7)'!$P$3:$P$698,"Source not found")&gt;0,"Source not found","Not priced"))))</f>
        <v>Same-market proxy</v>
      </c>
      <c r="F97" s="18" t="n">
        <f aca="false">IFERROR(ROUND(INDEX('Injectable Value'!$AA$28:$AA$178,MATCH(B97,'Injectable Value'!$A$28:$A$178,0)),1),"")</f>
        <v>0.2</v>
      </c>
      <c r="G97" s="16" t="s">
        <v>247</v>
      </c>
      <c r="H97" s="14" t="n">
        <v>1</v>
      </c>
      <c r="I97" s="15" t="s">
        <v>258</v>
      </c>
      <c r="J97" s="15" t="s">
        <v>249</v>
      </c>
      <c r="K97" s="16" t="str">
        <f aca="false">"Prefilled only"&amp;IF(V97=0,"; Unpriced","")&amp;IF(AND(V97&gt;0,W97=0,X97=0),"; Low price from another market – confirm with company","")</f>
        <v>Prefilled only</v>
      </c>
      <c r="L97" s="18" t="n">
        <f aca="false">IFERROR(INDEX('Shortlisted Drugs X Company (7)'!$K$3:$K$698,MATCH(B97,'Shortlisted Drugs X Company (7)'!$C$3:$C$698,0)),"")</f>
        <v>25</v>
      </c>
      <c r="M97" s="18" t="n">
        <f aca="false">IFERROR(ROUND(L97*INDEX('Injectable Value'!$Z$28:$Z$178,MATCH(B97,'Injectable Value'!$A$28:$A$178,0)),0),"")</f>
        <v>25</v>
      </c>
      <c r="N97" s="18" t="n">
        <f aca="false">IFERROR(INDEX('Shortlisted Drugs X Company (7)'!$L$3:$L$698,MATCH(B97,'Shortlisted Drugs X Company (7)'!$C$3:$C$698,0)),"")</f>
        <v>0.23</v>
      </c>
      <c r="O97" s="15" t="str">
        <f aca="false">IF(AE97="No","IV only (not ID/IM/SC)",IF(AND(V97&gt;0,W97=0),"Price ≤ $5",""))</f>
        <v/>
      </c>
      <c r="P97" s="14" t="n">
        <f aca="false">IF(O97&lt;&gt;"","",COUNTIFS($A$29:$A$361,A97,$O$29:$O$361,"",$AC$29:$AC$361,"&gt;"&amp;AC97)+COUNTIFS($A$29:A97,A97,$O$29:O97,"",$AC$29:AC97,AC97))</f>
        <v>12</v>
      </c>
      <c r="Q97" s="15" t="str">
        <f aca="false">IF(O97&lt;&gt;"",IF(O97="Price ≤ $5","Excluded – price ≤ $5","Excluded – IV only"),IF(ISNUMBER(D97),IF(AND(D97&gt;=$C$3,M97&gt;=$E$3),"Priority 1",IF(OR(D97&gt;=$C$3,M97&gt;=$E$3),"Priority 2","Priority 3")),IF(M97&gt;=$E$3,"Priority 2","Priority 3")))</f>
        <v>Priority 2</v>
      </c>
      <c r="R97" s="16" t="s">
        <v>259</v>
      </c>
      <c r="S97" s="15" t="s">
        <v>188</v>
      </c>
      <c r="T97" s="32" t="s">
        <v>613</v>
      </c>
      <c r="U97" s="33" t="str">
        <f aca="false">B97&amp;"|"&amp;S97</f>
        <v>Lanreotide|Cipla</v>
      </c>
      <c r="V97" s="34" t="n">
        <f aca="false">COUNTIFS('Shortlisted Drugs X Company (7)'!$C$3:$C$698,$B97,'Shortlisted Drugs X Company (7)'!$E$3:$E$698,$S97,'Shortlisted Drugs X Company (7)'!$N$3:$N$698,"&gt;=0")</f>
        <v>3</v>
      </c>
      <c r="W97" s="34" t="n">
        <f aca="false">COUNTIFS('Shortlisted Drugs X Company (7)'!$C$3:$C$698,$B97,'Shortlisted Drugs X Company (7)'!$E$3:$E$698,$S97,'Shortlisted Drugs X Company (7)'!$N$3:$N$698,"&gt;5")</f>
        <v>3</v>
      </c>
      <c r="X97" s="34" t="n">
        <f aca="false">COUNTIFS('Shortlisted Drugs X Company (7)'!$C$3:$C$698,$B97,'Shortlisted Drugs X Company (7)'!$E$3:$E$698,$S97,'Shortlisted Drugs X Company (7)'!$P$3:$P$698,"Exact")+COUNTIFS('Shortlisted Drugs X Company (7)'!$C$3:$C$698,$B97,'Shortlisted Drugs X Company (7)'!$E$3:$E$698,$S97,'Shortlisted Drugs X Company (7)'!$P$3:$P$698,"Same-market proxy")</f>
        <v>3</v>
      </c>
      <c r="Y97" s="33" t="str">
        <f aca="false">A97&amp;"|"&amp;P97</f>
        <v>Cipla|12</v>
      </c>
      <c r="Z97" s="16" t="s">
        <v>614</v>
      </c>
      <c r="AA97" s="33" t="n">
        <f aca="false">INDEX($G$7:$G$25,MATCH(A97,$A$7:$A$25,0))</f>
        <v>4</v>
      </c>
      <c r="AB97" s="33" t="n">
        <f aca="false">IF(AE97="No","",AA97*1000+IF(P97="",900+COUNTIFS($A$29:A97,A97,$O$29:O97,"Price ≤ $5"),P97))</f>
        <v>4012</v>
      </c>
      <c r="AC97" s="33" t="n">
        <f aca="false">IF(O97&lt;&gt;"","",(4-VALUE(RIGHT(Q97,1)))*10^7+N(F97))</f>
        <v>20000000.2</v>
      </c>
      <c r="AD97" s="15" t="str">
        <f aca="false">IFERROR(INDEX('Route of Administration'!$C$5:$C$155,MATCH(B97,'Route of Administration'!$A$5:$A$155,0)),"")</f>
        <v>SC</v>
      </c>
      <c r="AE97" s="14" t="str">
        <f aca="false">IFERROR(INDEX('Route of Administration'!$D$5:$D$155,MATCH(B97,'Route of Administration'!$A$5:$A$155,0)),"")</f>
        <v>Yes</v>
      </c>
      <c r="AF97" s="19" t="n">
        <f aca="false">IF(V97&gt;0,ROUND(AVERAGEIFS('Shortlisted Drugs X Company (7)'!$N$3:$N$698,'Shortlisted Drugs X Company (7)'!$C$3:$C$698,$B97,'Shortlisted Drugs X Company (7)'!$E$3:$E$698,$S97,'Shortlisted Drugs X Company (7)'!$N$3:$N$698,"&gt;=0"),2),"")</f>
        <v>5970.59</v>
      </c>
      <c r="AG97" s="16" t="s">
        <v>615</v>
      </c>
      <c r="AH97" s="16" t="s">
        <v>247</v>
      </c>
      <c r="AI97" s="16" t="s">
        <v>247</v>
      </c>
      <c r="AJ97" s="16" t="str">
        <f aca="false">IF(O97&lt;&gt;"","",IF(ISNUMBER(D97),IF(D97&gt;=$C$3,"High price","Lower price"),"Unpriced")&amp;" · "&amp;IF(M97&gt;=$E$3,"high volume","lower volume"))</f>
        <v>High price · lower volume</v>
      </c>
      <c r="AK97" s="15" t="str">
        <f aca="false">IF(O97&lt;&gt;"",IF(O97="Price ≤ $5","Excluded – price ≤ $5","Excluded – IV only"),IF(ISNUMBER(D97),IF(AND(D97&gt;=$C$3,L97&gt;=$H$3),"Priority 1",IF(OR(D97&gt;=$C$3,L97&gt;=$H$3),"Priority 2","Priority 3")),IF(L97&gt;=$H$3,"Priority 2","Priority 3")))</f>
        <v>Priority 2</v>
      </c>
      <c r="AL97" s="16" t="str">
        <f aca="false">IF(O97&lt;&gt;"","",IF(ISNUMBER(D97),IF(D97&gt;=$C$3,"High price","Lower price"),"Unpriced")&amp;" · "&amp;IF(L97&gt;=$H$3,"high volume","lower volume"))</f>
        <v>High price · lower volume</v>
      </c>
      <c r="AM97" s="14" t="n">
        <f aca="false">IF(O97&lt;&gt;"","",COUNTIFS($A$29:$A$361,A97,$O$29:$O$361,"",$AQ$29:$AQ$361,"&gt;"&amp;AQ97)+COUNTIFS($A$29:A97,A97,$O$29:O97,"",$AQ$29:AQ97,AQ97))</f>
        <v>12</v>
      </c>
      <c r="AN97" s="19" t="n">
        <f aca="false">IF(AND(O97="",ISNUMBER(D97)),D97,"")</f>
        <v>5970.59</v>
      </c>
      <c r="AO97" s="20" t="n">
        <f aca="false">IF(O97="",M97,"")</f>
        <v>25</v>
      </c>
      <c r="AP97" s="20" t="n">
        <f aca="false">IF(O97="",L97,"")</f>
        <v>25</v>
      </c>
      <c r="AQ97" s="33" t="n">
        <f aca="false">IF(O97&lt;&gt;"","",(4-VALUE(RIGHT(AK97,1)))*10^7+N(N97))</f>
        <v>20000000.23</v>
      </c>
      <c r="AR97" s="33" t="n">
        <f aca="false">INDEX($O$7:$O$25,MATCH(A97,$I$7:$I$25,0))</f>
        <v>6</v>
      </c>
      <c r="AS97" s="33" t="n">
        <f aca="false">IF(AE97="No","",AR97*1000+IF(AM97="",900+COUNTIFS($A$29:A97,A97,$O$29:O97,"Price ≤ $5"),AM97))</f>
        <v>6012</v>
      </c>
    </row>
    <row r="98" customFormat="false" ht="28.35" hidden="false" customHeight="false" outlineLevel="0" collapsed="false">
      <c r="A98" s="15" t="s">
        <v>188</v>
      </c>
      <c r="B98" s="15" t="s">
        <v>616</v>
      </c>
      <c r="C98" s="16" t="s">
        <v>617</v>
      </c>
      <c r="D98" s="17" t="n">
        <f aca="false">IF(W98&gt;0,ROUND(AVERAGEIFS('Shortlisted Drugs X Company (7)'!$N$3:$N$698,'Shortlisted Drugs X Company (7)'!$C$3:$C$698,$B98,'Shortlisted Drugs X Company (7)'!$E$3:$E$698,$S98,'Shortlisted Drugs X Company (7)'!$N$3:$N$698,"&gt;5"),2),"")</f>
        <v>9.55</v>
      </c>
      <c r="E98" s="15" t="str">
        <f aca="false">IF(COUNTIFS('Shortlisted Drugs X Company (7)'!$C$3:$C$698,$B98,'Shortlisted Drugs X Company (7)'!$E$3:$E$698,$S98,'Shortlisted Drugs X Company (7)'!$P$3:$P$698,"Exact")&gt;0,"Exact",IF(COUNTIFS('Shortlisted Drugs X Company (7)'!$C$3:$C$698,$B98,'Shortlisted Drugs X Company (7)'!$E$3:$E$698,$S98,'Shortlisted Drugs X Company (7)'!$P$3:$P$698,"Same-market proxy")&gt;0,"Same-market proxy",IF(COUNTIFS('Shortlisted Drugs X Company (7)'!$C$3:$C$698,$B98,'Shortlisted Drugs X Company (7)'!$E$3:$E$698,$S98,'Shortlisted Drugs X Company (7)'!$P$3:$P$698,"Cross-market proxy")&gt;0,"Cross-market proxy",IF(COUNTIFS('Shortlisted Drugs X Company (7)'!$C$3:$C$698,$B98,'Shortlisted Drugs X Company (7)'!$E$3:$E$698,$S98,'Shortlisted Drugs X Company (7)'!$P$3:$P$698,"Source not found")&gt;0,"Source not found","Not priced"))))</f>
        <v>Exact</v>
      </c>
      <c r="F98" s="18" t="n">
        <f aca="false">IFERROR(ROUND(INDEX('Injectable Value'!$AA$28:$AA$178,MATCH(B98,'Injectable Value'!$A$28:$A$178,0)),1),"")</f>
        <v>417765.2</v>
      </c>
      <c r="G98" s="16" t="s">
        <v>70</v>
      </c>
      <c r="H98" s="14" t="n">
        <v>1</v>
      </c>
      <c r="I98" s="15" t="s">
        <v>248</v>
      </c>
      <c r="J98" s="15" t="s">
        <v>249</v>
      </c>
      <c r="K98" s="16" t="str">
        <f aca="false">""&amp;IF(V98=0,"Unpriced","")&amp;IF(AND(V98&gt;0,W98=0,X98=0),"Low price from another market – confirm with company","")</f>
        <v/>
      </c>
      <c r="L98" s="18" t="n">
        <f aca="false">IFERROR(INDEX('Shortlisted Drugs X Company (7)'!$K$3:$K$698,MATCH(B98,'Shortlisted Drugs X Company (7)'!$C$3:$C$698,0)),"")</f>
        <v>590</v>
      </c>
      <c r="M98" s="18" t="n">
        <f aca="false">IFERROR(ROUND(L98*INDEX('Injectable Value'!$Z$28:$Z$178,MATCH(B98,'Injectable Value'!$A$28:$A$178,0)),0),"")</f>
        <v>590</v>
      </c>
      <c r="N98" s="18" t="n">
        <f aca="false">IFERROR(INDEX('Shortlisted Drugs X Company (7)'!$L$3:$L$698,MATCH(B98,'Shortlisted Drugs X Company (7)'!$C$3:$C$698,0)),"")</f>
        <v>417765.21</v>
      </c>
      <c r="O98" s="15" t="str">
        <f aca="false">IF(AE98="No","IV only (not ID/IM/SC)",IF(AND(V98&gt;0,W98=0),"Price ≤ $5",""))</f>
        <v/>
      </c>
      <c r="P98" s="14" t="n">
        <f aca="false">IF(O98&lt;&gt;"","",COUNTIFS($A$29:$A$361,A98,$O$29:$O$361,"",$AC$29:$AC$361,"&gt;"&amp;AC98)+COUNTIFS($A$29:A98,A98,$O$29:O98,"",$AC$29:AC98,AC98))</f>
        <v>4</v>
      </c>
      <c r="Q98" s="15" t="str">
        <f aca="false">IF(O98&lt;&gt;"",IF(O98="Price ≤ $5","Excluded – price ≤ $5","Excluded – IV only"),IF(ISNUMBER(D98),IF(AND(D98&gt;=$C$3,M98&gt;=$E$3),"Priority 1",IF(OR(D98&gt;=$C$3,M98&gt;=$E$3),"Priority 2","Priority 3")),IF(M98&gt;=$E$3,"Priority 2","Priority 3")))</f>
        <v>Priority 2</v>
      </c>
      <c r="R98" s="16" t="s">
        <v>285</v>
      </c>
      <c r="S98" s="15" t="s">
        <v>188</v>
      </c>
      <c r="T98" s="32" t="s">
        <v>618</v>
      </c>
      <c r="U98" s="33" t="str">
        <f aca="false">B98&amp;"|"&amp;S98</f>
        <v>Measles Vaccine|Cipla</v>
      </c>
      <c r="V98" s="34" t="n">
        <f aca="false">COUNTIFS('Shortlisted Drugs X Company (7)'!$C$3:$C$698,$B98,'Shortlisted Drugs X Company (7)'!$E$3:$E$698,$S98,'Shortlisted Drugs X Company (7)'!$N$3:$N$698,"&gt;=0")</f>
        <v>2</v>
      </c>
      <c r="W98" s="34" t="n">
        <f aca="false">COUNTIFS('Shortlisted Drugs X Company (7)'!$C$3:$C$698,$B98,'Shortlisted Drugs X Company (7)'!$E$3:$E$698,$S98,'Shortlisted Drugs X Company (7)'!$N$3:$N$698,"&gt;5")</f>
        <v>2</v>
      </c>
      <c r="X98" s="34" t="n">
        <f aca="false">COUNTIFS('Shortlisted Drugs X Company (7)'!$C$3:$C$698,$B98,'Shortlisted Drugs X Company (7)'!$E$3:$E$698,$S98,'Shortlisted Drugs X Company (7)'!$P$3:$P$698,"Exact")+COUNTIFS('Shortlisted Drugs X Company (7)'!$C$3:$C$698,$B98,'Shortlisted Drugs X Company (7)'!$E$3:$E$698,$S98,'Shortlisted Drugs X Company (7)'!$P$3:$P$698,"Same-market proxy")</f>
        <v>2</v>
      </c>
      <c r="Y98" s="33" t="str">
        <f aca="false">A98&amp;"|"&amp;P98</f>
        <v>Cipla|4</v>
      </c>
      <c r="Z98" s="16" t="s">
        <v>619</v>
      </c>
      <c r="AA98" s="33" t="n">
        <f aca="false">INDEX($G$7:$G$25,MATCH(A98,$A$7:$A$25,0))</f>
        <v>4</v>
      </c>
      <c r="AB98" s="33" t="n">
        <f aca="false">IF(AE98="No","",AA98*1000+IF(P98="",900+COUNTIFS($A$29:A98,A98,$O$29:O98,"Price ≤ $5"),P98))</f>
        <v>4004</v>
      </c>
      <c r="AC98" s="33" t="n">
        <f aca="false">IF(O98&lt;&gt;"","",(4-VALUE(RIGHT(Q98,1)))*10^7+N(F98))</f>
        <v>20417765.2</v>
      </c>
      <c r="AD98" s="15" t="str">
        <f aca="false">IFERROR(INDEX('Route of Administration'!$C$5:$C$155,MATCH(B98,'Route of Administration'!$A$5:$A$155,0)),"")</f>
        <v>SC, IM</v>
      </c>
      <c r="AE98" s="14" t="str">
        <f aca="false">IFERROR(INDEX('Route of Administration'!$D$5:$D$155,MATCH(B98,'Route of Administration'!$A$5:$A$155,0)),"")</f>
        <v>Yes</v>
      </c>
      <c r="AF98" s="19" t="n">
        <f aca="false">IF(V98&gt;0,ROUND(AVERAGEIFS('Shortlisted Drugs X Company (7)'!$N$3:$N$698,'Shortlisted Drugs X Company (7)'!$C$3:$C$698,$B98,'Shortlisted Drugs X Company (7)'!$E$3:$E$698,$S98,'Shortlisted Drugs X Company (7)'!$N$3:$N$698,"&gt;=0"),2),"")</f>
        <v>9.55</v>
      </c>
      <c r="AG98" s="16" t="s">
        <v>620</v>
      </c>
      <c r="AH98" s="16" t="s">
        <v>328</v>
      </c>
      <c r="AI98" s="16" t="s">
        <v>328</v>
      </c>
      <c r="AJ98" s="16" t="str">
        <f aca="false">IF(O98&lt;&gt;"","",IF(ISNUMBER(D98),IF(D98&gt;=$C$3,"High price","Lower price"),"Unpriced")&amp;" · "&amp;IF(M98&gt;=$E$3,"high volume","lower volume"))</f>
        <v>Lower price · high volume</v>
      </c>
      <c r="AK98" s="15" t="str">
        <f aca="false">IF(O98&lt;&gt;"",IF(O98="Price ≤ $5","Excluded – price ≤ $5","Excluded – IV only"),IF(ISNUMBER(D98),IF(AND(D98&gt;=$C$3,L98&gt;=$H$3),"Priority 1",IF(OR(D98&gt;=$C$3,L98&gt;=$H$3),"Priority 2","Priority 3")),IF(L98&gt;=$H$3,"Priority 2","Priority 3")))</f>
        <v>Priority 2</v>
      </c>
      <c r="AL98" s="16" t="str">
        <f aca="false">IF(O98&lt;&gt;"","",IF(ISNUMBER(D98),IF(D98&gt;=$C$3,"High price","Lower price"),"Unpriced")&amp;" · "&amp;IF(L98&gt;=$H$3,"high volume","lower volume"))</f>
        <v>Lower price · high volume</v>
      </c>
      <c r="AM98" s="14" t="n">
        <f aca="false">IF(O98&lt;&gt;"","",COUNTIFS($A$29:$A$361,A98,$O$29:$O$361,"",$AQ$29:$AQ$361,"&gt;"&amp;AQ98)+COUNTIFS($A$29:A98,A98,$O$29:O98,"",$AQ$29:AQ98,AQ98))</f>
        <v>3</v>
      </c>
      <c r="AN98" s="19" t="n">
        <f aca="false">IF(AND(O98="",ISNUMBER(D98)),D98,"")</f>
        <v>9.55</v>
      </c>
      <c r="AO98" s="20" t="n">
        <f aca="false">IF(O98="",M98,"")</f>
        <v>590</v>
      </c>
      <c r="AP98" s="20" t="n">
        <f aca="false">IF(O98="",L98,"")</f>
        <v>590</v>
      </c>
      <c r="AQ98" s="33" t="n">
        <f aca="false">IF(O98&lt;&gt;"","",(4-VALUE(RIGHT(AK98,1)))*10^7+N(N98))</f>
        <v>20417765.21</v>
      </c>
      <c r="AR98" s="33" t="n">
        <f aca="false">INDEX($O$7:$O$25,MATCH(A98,$I$7:$I$25,0))</f>
        <v>6</v>
      </c>
      <c r="AS98" s="33" t="n">
        <f aca="false">IF(AE98="No","",AR98*1000+IF(AM98="",900+COUNTIFS($A$29:A98,A98,$O$29:O98,"Price ≤ $5"),AM98))</f>
        <v>6003</v>
      </c>
    </row>
    <row r="99" customFormat="false" ht="28.35" hidden="false" customHeight="false" outlineLevel="0" collapsed="false">
      <c r="A99" s="15" t="s">
        <v>188</v>
      </c>
      <c r="B99" s="15" t="s">
        <v>439</v>
      </c>
      <c r="C99" s="16" t="s">
        <v>440</v>
      </c>
      <c r="D99" s="17" t="n">
        <f aca="false">IF(W99&gt;0,ROUND(AVERAGEIFS('Shortlisted Drugs X Company (7)'!$N$3:$N$698,'Shortlisted Drugs X Company (7)'!$C$3:$C$698,$B99,'Shortlisted Drugs X Company (7)'!$E$3:$E$698,$S99,'Shortlisted Drugs X Company (7)'!$N$3:$N$698,"&gt;5"),2),"")</f>
        <v>19.65</v>
      </c>
      <c r="E99" s="15" t="str">
        <f aca="false">IF(COUNTIFS('Shortlisted Drugs X Company (7)'!$C$3:$C$698,$B99,'Shortlisted Drugs X Company (7)'!$E$3:$E$698,$S99,'Shortlisted Drugs X Company (7)'!$P$3:$P$698,"Exact")&gt;0,"Exact",IF(COUNTIFS('Shortlisted Drugs X Company (7)'!$C$3:$C$698,$B99,'Shortlisted Drugs X Company (7)'!$E$3:$E$698,$S99,'Shortlisted Drugs X Company (7)'!$P$3:$P$698,"Same-market proxy")&gt;0,"Same-market proxy",IF(COUNTIFS('Shortlisted Drugs X Company (7)'!$C$3:$C$698,$B99,'Shortlisted Drugs X Company (7)'!$E$3:$E$698,$S99,'Shortlisted Drugs X Company (7)'!$P$3:$P$698,"Cross-market proxy")&gt;0,"Cross-market proxy",IF(COUNTIFS('Shortlisted Drugs X Company (7)'!$C$3:$C$698,$B99,'Shortlisted Drugs X Company (7)'!$E$3:$E$698,$S99,'Shortlisted Drugs X Company (7)'!$P$3:$P$698,"Source not found")&gt;0,"Source not found","Not priced"))))</f>
        <v>Same-market proxy</v>
      </c>
      <c r="F99" s="18" t="n">
        <f aca="false">IFERROR(ROUND(INDEX('Injectable Value'!$AA$28:$AA$178,MATCH(B99,'Injectable Value'!$A$28:$A$178,0)),1),"")</f>
        <v>2690.1</v>
      </c>
      <c r="G99" s="16" t="s">
        <v>70</v>
      </c>
      <c r="H99" s="14" t="n">
        <v>1</v>
      </c>
      <c r="I99" s="15" t="s">
        <v>248</v>
      </c>
      <c r="J99" s="15" t="s">
        <v>249</v>
      </c>
      <c r="K99" s="16" t="str">
        <f aca="false">""&amp;IF(V99=0,"Unpriced","")&amp;IF(AND(V99&gt;0,W99=0,X99=0),"Low price from another market – confirm with company","")</f>
        <v/>
      </c>
      <c r="L99" s="18" t="n">
        <f aca="false">IFERROR(INDEX('Shortlisted Drugs X Company (7)'!$K$3:$K$698,MATCH(B99,'Shortlisted Drugs X Company (7)'!$C$3:$C$698,0)),"")</f>
        <v>122</v>
      </c>
      <c r="M99" s="18" t="n">
        <f aca="false">IFERROR(ROUND(L99*INDEX('Injectable Value'!$Z$28:$Z$178,MATCH(B99,'Injectable Value'!$A$28:$A$178,0)),0),"")</f>
        <v>41</v>
      </c>
      <c r="N99" s="18" t="n">
        <f aca="false">IFERROR(INDEX('Shortlisted Drugs X Company (7)'!$L$3:$L$698,MATCH(B99,'Shortlisted Drugs X Company (7)'!$C$3:$C$698,0)),"")</f>
        <v>8000.57</v>
      </c>
      <c r="O99" s="15" t="str">
        <f aca="false">IF(AE99="No","IV only (not ID/IM/SC)",IF(AND(V99&gt;0,W99=0),"Price ≤ $5",""))</f>
        <v/>
      </c>
      <c r="P99" s="14" t="n">
        <f aca="false">IF(O99&lt;&gt;"","",COUNTIFS($A$29:$A$361,A99,$O$29:$O$361,"",$AC$29:$AC$361,"&gt;"&amp;AC99)+COUNTIFS($A$29:A99,A99,$O$29:O99,"",$AC$29:AC99,AC99))</f>
        <v>14</v>
      </c>
      <c r="Q99" s="15" t="str">
        <f aca="false">IF(O99&lt;&gt;"",IF(O99="Price ≤ $5","Excluded – price ≤ $5","Excluded – IV only"),IF(ISNUMBER(D99),IF(AND(D99&gt;=$C$3,M99&gt;=$E$3),"Priority 1",IF(OR(D99&gt;=$C$3,M99&gt;=$E$3),"Priority 2","Priority 3")),IF(M99&gt;=$E$3,"Priority 2","Priority 3")))</f>
        <v>Priority 3</v>
      </c>
      <c r="R99" s="16" t="s">
        <v>285</v>
      </c>
      <c r="S99" s="15" t="s">
        <v>188</v>
      </c>
      <c r="T99" s="32" t="s">
        <v>442</v>
      </c>
      <c r="U99" s="33" t="str">
        <f aca="false">B99&amp;"|"&amp;S99</f>
        <v>Medroxyprogesterone Acetate|Cipla</v>
      </c>
      <c r="V99" s="34" t="n">
        <f aca="false">COUNTIFS('Shortlisted Drugs X Company (7)'!$C$3:$C$698,$B99,'Shortlisted Drugs X Company (7)'!$E$3:$E$698,$S99,'Shortlisted Drugs X Company (7)'!$N$3:$N$698,"&gt;=0")</f>
        <v>1</v>
      </c>
      <c r="W99" s="34" t="n">
        <f aca="false">COUNTIFS('Shortlisted Drugs X Company (7)'!$C$3:$C$698,$B99,'Shortlisted Drugs X Company (7)'!$E$3:$E$698,$S99,'Shortlisted Drugs X Company (7)'!$N$3:$N$698,"&gt;5")</f>
        <v>1</v>
      </c>
      <c r="X99" s="34" t="n">
        <f aca="false">COUNTIFS('Shortlisted Drugs X Company (7)'!$C$3:$C$698,$B99,'Shortlisted Drugs X Company (7)'!$E$3:$E$698,$S99,'Shortlisted Drugs X Company (7)'!$P$3:$P$698,"Exact")+COUNTIFS('Shortlisted Drugs X Company (7)'!$C$3:$C$698,$B99,'Shortlisted Drugs X Company (7)'!$E$3:$E$698,$S99,'Shortlisted Drugs X Company (7)'!$P$3:$P$698,"Same-market proxy")</f>
        <v>1</v>
      </c>
      <c r="Y99" s="33" t="str">
        <f aca="false">A99&amp;"|"&amp;P99</f>
        <v>Cipla|14</v>
      </c>
      <c r="Z99" s="16" t="s">
        <v>621</v>
      </c>
      <c r="AA99" s="33" t="n">
        <f aca="false">INDEX($G$7:$G$25,MATCH(A99,$A$7:$A$25,0))</f>
        <v>4</v>
      </c>
      <c r="AB99" s="33" t="n">
        <f aca="false">IF(AE99="No","",AA99*1000+IF(P99="",900+COUNTIFS($A$29:A99,A99,$O$29:O99,"Price ≤ $5"),P99))</f>
        <v>4014</v>
      </c>
      <c r="AC99" s="33" t="n">
        <f aca="false">IF(O99&lt;&gt;"","",(4-VALUE(RIGHT(Q99,1)))*10^7+N(F99))</f>
        <v>10002690.1</v>
      </c>
      <c r="AD99" s="15" t="str">
        <f aca="false">IFERROR(INDEX('Route of Administration'!$C$5:$C$155,MATCH(B99,'Route of Administration'!$A$5:$A$155,0)),"")</f>
        <v>IM, SC</v>
      </c>
      <c r="AE99" s="14" t="str">
        <f aca="false">IFERROR(INDEX('Route of Administration'!$D$5:$D$155,MATCH(B99,'Route of Administration'!$A$5:$A$155,0)),"")</f>
        <v>Yes</v>
      </c>
      <c r="AF99" s="19" t="n">
        <f aca="false">IF(V99&gt;0,ROUND(AVERAGEIFS('Shortlisted Drugs X Company (7)'!$N$3:$N$698,'Shortlisted Drugs X Company (7)'!$C$3:$C$698,$B99,'Shortlisted Drugs X Company (7)'!$E$3:$E$698,$S99,'Shortlisted Drugs X Company (7)'!$N$3:$N$698,"&gt;=0"),2),"")</f>
        <v>19.65</v>
      </c>
      <c r="AG99" s="16" t="s">
        <v>622</v>
      </c>
      <c r="AH99" s="16" t="s">
        <v>583</v>
      </c>
      <c r="AI99" s="16" t="s">
        <v>583</v>
      </c>
      <c r="AJ99" s="16" t="str">
        <f aca="false">IF(O99&lt;&gt;"","",IF(ISNUMBER(D99),IF(D99&gt;=$C$3,"High price","Lower price"),"Unpriced")&amp;" · "&amp;IF(M99&gt;=$E$3,"high volume","lower volume"))</f>
        <v>Lower price · lower volume</v>
      </c>
      <c r="AK99" s="15" t="str">
        <f aca="false">IF(O99&lt;&gt;"",IF(O99="Price ≤ $5","Excluded – price ≤ $5","Excluded – IV only"),IF(ISNUMBER(D99),IF(AND(D99&gt;=$C$3,L99&gt;=$H$3),"Priority 1",IF(OR(D99&gt;=$C$3,L99&gt;=$H$3),"Priority 2","Priority 3")),IF(L99&gt;=$H$3,"Priority 2","Priority 3")))</f>
        <v>Priority 3</v>
      </c>
      <c r="AL99" s="16" t="str">
        <f aca="false">IF(O99&lt;&gt;"","",IF(ISNUMBER(D99),IF(D99&gt;=$C$3,"High price","Lower price"),"Unpriced")&amp;" · "&amp;IF(L99&gt;=$H$3,"high volume","lower volume"))</f>
        <v>Lower price · lower volume</v>
      </c>
      <c r="AM99" s="14" t="n">
        <f aca="false">IF(O99&lt;&gt;"","",COUNTIFS($A$29:$A$361,A99,$O$29:$O$361,"",$AQ$29:$AQ$361,"&gt;"&amp;AQ99)+COUNTIFS($A$29:A99,A99,$O$29:O99,"",$AQ$29:AQ99,AQ99))</f>
        <v>13</v>
      </c>
      <c r="AN99" s="19" t="n">
        <f aca="false">IF(AND(O99="",ISNUMBER(D99)),D99,"")</f>
        <v>19.65</v>
      </c>
      <c r="AO99" s="20" t="n">
        <f aca="false">IF(O99="",M99,"")</f>
        <v>41</v>
      </c>
      <c r="AP99" s="20" t="n">
        <f aca="false">IF(O99="",L99,"")</f>
        <v>122</v>
      </c>
      <c r="AQ99" s="33" t="n">
        <f aca="false">IF(O99&lt;&gt;"","",(4-VALUE(RIGHT(AK99,1)))*10^7+N(N99))</f>
        <v>10008000.57</v>
      </c>
      <c r="AR99" s="33" t="n">
        <f aca="false">INDEX($O$7:$O$25,MATCH(A99,$I$7:$I$25,0))</f>
        <v>6</v>
      </c>
      <c r="AS99" s="33" t="n">
        <f aca="false">IF(AE99="No","",AR99*1000+IF(AM99="",900+COUNTIFS($A$29:A99,A99,$O$29:O99,"Price ≤ $5"),AM99))</f>
        <v>6013</v>
      </c>
    </row>
    <row r="100" customFormat="false" ht="28.35" hidden="false" customHeight="false" outlineLevel="0" collapsed="false">
      <c r="A100" s="15" t="s">
        <v>188</v>
      </c>
      <c r="B100" s="15" t="s">
        <v>498</v>
      </c>
      <c r="C100" s="16" t="s">
        <v>499</v>
      </c>
      <c r="D100" s="17" t="n">
        <f aca="false">IF(W100&gt;0,ROUND(AVERAGEIFS('Shortlisted Drugs X Company (7)'!$N$3:$N$698,'Shortlisted Drugs X Company (7)'!$C$3:$C$698,$B100,'Shortlisted Drugs X Company (7)'!$E$3:$E$698,$S100,'Shortlisted Drugs X Company (7)'!$N$3:$N$698,"&gt;5"),2),"")</f>
        <v>6.94</v>
      </c>
      <c r="E100" s="15" t="str">
        <f aca="false">IF(COUNTIFS('Shortlisted Drugs X Company (7)'!$C$3:$C$698,$B100,'Shortlisted Drugs X Company (7)'!$E$3:$E$698,$S100,'Shortlisted Drugs X Company (7)'!$P$3:$P$698,"Exact")&gt;0,"Exact",IF(COUNTIFS('Shortlisted Drugs X Company (7)'!$C$3:$C$698,$B100,'Shortlisted Drugs X Company (7)'!$E$3:$E$698,$S100,'Shortlisted Drugs X Company (7)'!$P$3:$P$698,"Same-market proxy")&gt;0,"Same-market proxy",IF(COUNTIFS('Shortlisted Drugs X Company (7)'!$C$3:$C$698,$B100,'Shortlisted Drugs X Company (7)'!$E$3:$E$698,$S100,'Shortlisted Drugs X Company (7)'!$P$3:$P$698,"Cross-market proxy")&gt;0,"Cross-market proxy",IF(COUNTIFS('Shortlisted Drugs X Company (7)'!$C$3:$C$698,$B100,'Shortlisted Drugs X Company (7)'!$E$3:$E$698,$S100,'Shortlisted Drugs X Company (7)'!$P$3:$P$698,"Source not found")&gt;0,"Source not found","Not priced"))))</f>
        <v>Same-market proxy</v>
      </c>
      <c r="F100" s="18" t="n">
        <f aca="false">IFERROR(ROUND(INDEX('Injectable Value'!$AA$28:$AA$178,MATCH(B100,'Injectable Value'!$A$28:$A$178,0)),1),"")</f>
        <v>2802.1</v>
      </c>
      <c r="G100" s="16" t="s">
        <v>70</v>
      </c>
      <c r="H100" s="14" t="n">
        <v>1</v>
      </c>
      <c r="I100" s="15" t="s">
        <v>248</v>
      </c>
      <c r="J100" s="15" t="s">
        <v>249</v>
      </c>
      <c r="K100" s="16" t="str">
        <f aca="false">""&amp;IF(V100=0,"Unpriced","")&amp;IF(AND(V100&gt;0,W100=0,X100=0),"Low price from another market – confirm with company","")</f>
        <v/>
      </c>
      <c r="L100" s="18" t="n">
        <f aca="false">IFERROR(INDEX('Shortlisted Drugs X Company (7)'!$K$3:$K$698,MATCH(B100,'Shortlisted Drugs X Company (7)'!$C$3:$C$698,0)),"")</f>
        <v>119</v>
      </c>
      <c r="M100" s="18" t="n">
        <f aca="false">IFERROR(ROUND(L100*INDEX('Injectable Value'!$Z$28:$Z$178,MATCH(B100,'Injectable Value'!$A$28:$A$178,0)),0),"")</f>
        <v>107</v>
      </c>
      <c r="N100" s="18" t="n">
        <f aca="false">IFERROR(INDEX('Shortlisted Drugs X Company (7)'!$L$3:$L$698,MATCH(B100,'Shortlisted Drugs X Company (7)'!$C$3:$C$698,0)),"")</f>
        <v>3113.83</v>
      </c>
      <c r="O100" s="15" t="str">
        <f aca="false">IF(AE100="No","IV only (not ID/IM/SC)",IF(AND(V100&gt;0,W100=0),"Price ≤ $5",""))</f>
        <v>IV only (not ID/IM/SC)</v>
      </c>
      <c r="P100" s="14" t="str">
        <f aca="false">IF(O100&lt;&gt;"","",COUNTIFS($A$29:$A$361,A100,$O$29:$O$361,"",$AC$29:$AC$361,"&gt;"&amp;AC100)+COUNTIFS($A$29:A100,A100,$O$29:O100,"",$AC$29:AC100,AC100))</f>
        <v/>
      </c>
      <c r="Q100" s="15" t="str">
        <f aca="false">IF(O100&lt;&gt;"",IF(O100="Price ≤ $5","Excluded – price ≤ $5","Excluded – IV only"),IF(ISNUMBER(D100),IF(AND(D100&gt;=$C$3,M100&gt;=$E$3),"Priority 1",IF(OR(D100&gt;=$C$3,M100&gt;=$E$3),"Priority 2","Priority 3")),IF(M100&gt;=$E$3,"Priority 2","Priority 3")))</f>
        <v>Excluded – IV only</v>
      </c>
      <c r="R100" s="16" t="s">
        <v>250</v>
      </c>
      <c r="S100" s="15" t="s">
        <v>188</v>
      </c>
      <c r="T100" s="32" t="s">
        <v>500</v>
      </c>
      <c r="U100" s="33" t="str">
        <f aca="false">B100&amp;"|"&amp;S100</f>
        <v>Palonosetron|Cipla</v>
      </c>
      <c r="V100" s="34" t="n">
        <f aca="false">COUNTIFS('Shortlisted Drugs X Company (7)'!$C$3:$C$698,$B100,'Shortlisted Drugs X Company (7)'!$E$3:$E$698,$S100,'Shortlisted Drugs X Company (7)'!$N$3:$N$698,"&gt;=0")</f>
        <v>1</v>
      </c>
      <c r="W100" s="34" t="n">
        <f aca="false">COUNTIFS('Shortlisted Drugs X Company (7)'!$C$3:$C$698,$B100,'Shortlisted Drugs X Company (7)'!$E$3:$E$698,$S100,'Shortlisted Drugs X Company (7)'!$N$3:$N$698,"&gt;5")</f>
        <v>1</v>
      </c>
      <c r="X100" s="34" t="n">
        <f aca="false">COUNTIFS('Shortlisted Drugs X Company (7)'!$C$3:$C$698,$B100,'Shortlisted Drugs X Company (7)'!$E$3:$E$698,$S100,'Shortlisted Drugs X Company (7)'!$P$3:$P$698,"Exact")+COUNTIFS('Shortlisted Drugs X Company (7)'!$C$3:$C$698,$B100,'Shortlisted Drugs X Company (7)'!$E$3:$E$698,$S100,'Shortlisted Drugs X Company (7)'!$P$3:$P$698,"Same-market proxy")</f>
        <v>1</v>
      </c>
      <c r="Y100" s="33" t="str">
        <f aca="false">A100&amp;"|"&amp;P100</f>
        <v>Cipla|</v>
      </c>
      <c r="Z100" s="16" t="s">
        <v>623</v>
      </c>
      <c r="AA100" s="33" t="n">
        <f aca="false">INDEX($G$7:$G$25,MATCH(A100,$A$7:$A$25,0))</f>
        <v>4</v>
      </c>
      <c r="AB100" s="33" t="str">
        <f aca="false">IF(AE100="No","",AA100*1000+IF(P100="",900+COUNTIFS($A$29:A100,A100,$O$29:O100,"Price ≤ $5"),P100))</f>
        <v/>
      </c>
      <c r="AC100" s="33" t="str">
        <f aca="false">IF(O100&lt;&gt;"","",(4-VALUE(RIGHT(Q100,1)))*10^7+N(F100))</f>
        <v/>
      </c>
      <c r="AD100" s="15" t="str">
        <f aca="false">IFERROR(INDEX('Route of Administration'!$C$5:$C$155,MATCH(B100,'Route of Administration'!$A$5:$A$155,0)),"")</f>
        <v>IV</v>
      </c>
      <c r="AE100" s="14" t="str">
        <f aca="false">IFERROR(INDEX('Route of Administration'!$D$5:$D$155,MATCH(B100,'Route of Administration'!$A$5:$A$155,0)),"")</f>
        <v>No</v>
      </c>
      <c r="AF100" s="19" t="n">
        <f aca="false">IF(V100&gt;0,ROUND(AVERAGEIFS('Shortlisted Drugs X Company (7)'!$N$3:$N$698,'Shortlisted Drugs X Company (7)'!$C$3:$C$698,$B100,'Shortlisted Drugs X Company (7)'!$E$3:$E$698,$S100,'Shortlisted Drugs X Company (7)'!$N$3:$N$698,"&gt;=0"),2),"")</f>
        <v>6.94</v>
      </c>
      <c r="AG100" s="16" t="s">
        <v>624</v>
      </c>
      <c r="AH100" s="16" t="s">
        <v>583</v>
      </c>
      <c r="AI100" s="16" t="s">
        <v>583</v>
      </c>
      <c r="AJ100" s="16" t="str">
        <f aca="false">IF(O100&lt;&gt;"","",IF(ISNUMBER(D100),IF(D100&gt;=$C$3,"High price","Lower price"),"Unpriced")&amp;" · "&amp;IF(M100&gt;=$E$3,"high volume","lower volume"))</f>
        <v/>
      </c>
      <c r="AK100" s="15" t="str">
        <f aca="false">IF(O100&lt;&gt;"",IF(O100="Price ≤ $5","Excluded – price ≤ $5","Excluded – IV only"),IF(ISNUMBER(D100),IF(AND(D100&gt;=$C$3,L100&gt;=$H$3),"Priority 1",IF(OR(D100&gt;=$C$3,L100&gt;=$H$3),"Priority 2","Priority 3")),IF(L100&gt;=$H$3,"Priority 2","Priority 3")))</f>
        <v>Excluded – IV only</v>
      </c>
      <c r="AL100" s="16" t="str">
        <f aca="false">IF(O100&lt;&gt;"","",IF(ISNUMBER(D100),IF(D100&gt;=$C$3,"High price","Lower price"),"Unpriced")&amp;" · "&amp;IF(L100&gt;=$H$3,"high volume","lower volume"))</f>
        <v/>
      </c>
      <c r="AM100" s="14" t="str">
        <f aca="false">IF(O100&lt;&gt;"","",COUNTIFS($A$29:$A$361,A100,$O$29:$O$361,"",$AQ$29:$AQ$361,"&gt;"&amp;AQ100)+COUNTIFS($A$29:A100,A100,$O$29:O100,"",$AQ$29:AQ100,AQ100))</f>
        <v/>
      </c>
      <c r="AN100" s="33" t="str">
        <f aca="false">IF(AND(O100="",ISNUMBER(D100)),D100,"")</f>
        <v/>
      </c>
      <c r="AO100" s="33" t="str">
        <f aca="false">IF(O100="",M100,"")</f>
        <v/>
      </c>
      <c r="AP100" s="33" t="str">
        <f aca="false">IF(O100="",L100,"")</f>
        <v/>
      </c>
      <c r="AQ100" s="33" t="str">
        <f aca="false">IF(O100&lt;&gt;"","",(4-VALUE(RIGHT(AK100,1)))*10^7+N(N100))</f>
        <v/>
      </c>
      <c r="AR100" s="33" t="n">
        <f aca="false">INDEX($O$7:$O$25,MATCH(A100,$I$7:$I$25,0))</f>
        <v>6</v>
      </c>
      <c r="AS100" s="33" t="str">
        <f aca="false">IF(AE100="No","",AR100*1000+IF(AM100="",900+COUNTIFS($A$29:A100,A100,$O$29:O100,"Price ≤ $5"),AM100))</f>
        <v/>
      </c>
    </row>
    <row r="101" customFormat="false" ht="28.35" hidden="false" customHeight="false" outlineLevel="0" collapsed="false">
      <c r="A101" s="15" t="s">
        <v>188</v>
      </c>
      <c r="B101" s="15" t="s">
        <v>625</v>
      </c>
      <c r="C101" s="16" t="s">
        <v>626</v>
      </c>
      <c r="D101" s="17" t="str">
        <f aca="false">IF(W101&gt;0,ROUND(AVERAGEIFS('Shortlisted Drugs X Company (7)'!$N$3:$N$698,'Shortlisted Drugs X Company (7)'!$C$3:$C$698,$B101,'Shortlisted Drugs X Company (7)'!$E$3:$E$698,$S101,'Shortlisted Drugs X Company (7)'!$N$3:$N$698,"&gt;5"),2),"")</f>
        <v/>
      </c>
      <c r="E101" s="15" t="str">
        <f aca="false">IF(COUNTIFS('Shortlisted Drugs X Company (7)'!$C$3:$C$698,$B101,'Shortlisted Drugs X Company (7)'!$E$3:$E$698,$S101,'Shortlisted Drugs X Company (7)'!$P$3:$P$698,"Exact")&gt;0,"Exact",IF(COUNTIFS('Shortlisted Drugs X Company (7)'!$C$3:$C$698,$B101,'Shortlisted Drugs X Company (7)'!$E$3:$E$698,$S101,'Shortlisted Drugs X Company (7)'!$P$3:$P$698,"Same-market proxy")&gt;0,"Same-market proxy",IF(COUNTIFS('Shortlisted Drugs X Company (7)'!$C$3:$C$698,$B101,'Shortlisted Drugs X Company (7)'!$E$3:$E$698,$S101,'Shortlisted Drugs X Company (7)'!$P$3:$P$698,"Cross-market proxy")&gt;0,"Cross-market proxy",IF(COUNTIFS('Shortlisted Drugs X Company (7)'!$C$3:$C$698,$B101,'Shortlisted Drugs X Company (7)'!$E$3:$E$698,$S101,'Shortlisted Drugs X Company (7)'!$P$3:$P$698,"Source not found")&gt;0,"Source not found","Not priced"))))</f>
        <v>Cross-market proxy</v>
      </c>
      <c r="F101" s="18" t="n">
        <f aca="false">IFERROR(ROUND(INDEX('Injectable Value'!$AA$28:$AA$178,MATCH(B101,'Injectable Value'!$A$28:$A$178,0)),1),"")</f>
        <v>5695.2</v>
      </c>
      <c r="G101" s="16" t="s">
        <v>70</v>
      </c>
      <c r="H101" s="14" t="n">
        <v>1</v>
      </c>
      <c r="I101" s="15" t="s">
        <v>248</v>
      </c>
      <c r="J101" s="15" t="s">
        <v>249</v>
      </c>
      <c r="K101" s="16" t="str">
        <f aca="false">""&amp;IF(V101=0,"Unpriced","")&amp;IF(AND(V101&gt;0,W101=0,X101=0),"Low price from another market – confirm with company","")</f>
        <v>Low price from another market – confirm with company</v>
      </c>
      <c r="L101" s="18" t="n">
        <f aca="false">IFERROR(INDEX('Shortlisted Drugs X Company (7)'!$K$3:$K$698,MATCH(B101,'Shortlisted Drugs X Company (7)'!$C$3:$C$698,0)),"")</f>
        <v>1963</v>
      </c>
      <c r="M101" s="18" t="n">
        <f aca="false">IFERROR(ROUND(L101*INDEX('Injectable Value'!$Z$28:$Z$178,MATCH(B101,'Injectable Value'!$A$28:$A$178,0)),0),"")</f>
        <v>226</v>
      </c>
      <c r="N101" s="18" t="n">
        <f aca="false">IFERROR(INDEX('Shortlisted Drugs X Company (7)'!$L$3:$L$698,MATCH(B101,'Shortlisted Drugs X Company (7)'!$C$3:$C$698,0)),"")</f>
        <v>49365.77</v>
      </c>
      <c r="O101" s="15" t="str">
        <f aca="false">IF(AE101="No","IV only (not ID/IM/SC)",IF(AND(V101&gt;0,W101=0),"Price ≤ $5",""))</f>
        <v>Price ≤ $5</v>
      </c>
      <c r="P101" s="14" t="str">
        <f aca="false">IF(O101&lt;&gt;"","",COUNTIFS($A$29:$A$361,A101,$O$29:$O$361,"",$AC$29:$AC$361,"&gt;"&amp;AC101)+COUNTIFS($A$29:A101,A101,$O$29:O101,"",$AC$29:AC101,AC101))</f>
        <v/>
      </c>
      <c r="Q101" s="15" t="str">
        <f aca="false">IF(O101&lt;&gt;"",IF(O101="Price ≤ $5","Excluded – price ≤ $5","Excluded – IV only"),IF(ISNUMBER(D101),IF(AND(D101&gt;=$C$3,M101&gt;=$E$3),"Priority 1",IF(OR(D101&gt;=$C$3,M101&gt;=$E$3),"Priority 2","Priority 3")),IF(M101&gt;=$E$3,"Priority 2","Priority 3")))</f>
        <v>Excluded – price ≤ $5</v>
      </c>
      <c r="R101" s="16" t="s">
        <v>285</v>
      </c>
      <c r="S101" s="15" t="s">
        <v>188</v>
      </c>
      <c r="T101" s="32" t="s">
        <v>627</v>
      </c>
      <c r="U101" s="33" t="str">
        <f aca="false">B101&amp;"|"&amp;S101</f>
        <v>Phenylephrine|Cipla</v>
      </c>
      <c r="V101" s="34" t="n">
        <f aca="false">COUNTIFS('Shortlisted Drugs X Company (7)'!$C$3:$C$698,$B101,'Shortlisted Drugs X Company (7)'!$E$3:$E$698,$S101,'Shortlisted Drugs X Company (7)'!$N$3:$N$698,"&gt;=0")</f>
        <v>1</v>
      </c>
      <c r="W101" s="34" t="n">
        <f aca="false">COUNTIFS('Shortlisted Drugs X Company (7)'!$C$3:$C$698,$B101,'Shortlisted Drugs X Company (7)'!$E$3:$E$698,$S101,'Shortlisted Drugs X Company (7)'!$N$3:$N$698,"&gt;5")</f>
        <v>0</v>
      </c>
      <c r="X101" s="34" t="n">
        <f aca="false">COUNTIFS('Shortlisted Drugs X Company (7)'!$C$3:$C$698,$B101,'Shortlisted Drugs X Company (7)'!$E$3:$E$698,$S101,'Shortlisted Drugs X Company (7)'!$P$3:$P$698,"Exact")+COUNTIFS('Shortlisted Drugs X Company (7)'!$C$3:$C$698,$B101,'Shortlisted Drugs X Company (7)'!$E$3:$E$698,$S101,'Shortlisted Drugs X Company (7)'!$P$3:$P$698,"Same-market proxy")</f>
        <v>0</v>
      </c>
      <c r="Y101" s="33" t="str">
        <f aca="false">A101&amp;"|"&amp;P101</f>
        <v>Cipla|</v>
      </c>
      <c r="Z101" s="16" t="s">
        <v>577</v>
      </c>
      <c r="AA101" s="33" t="n">
        <f aca="false">INDEX($G$7:$G$25,MATCH(A101,$A$7:$A$25,0))</f>
        <v>4</v>
      </c>
      <c r="AB101" s="33" t="n">
        <f aca="false">IF(AE101="No","",AA101*1000+IF(P101="",900+COUNTIFS($A$29:A101,A101,$O$29:O101,"Price ≤ $5"),P101))</f>
        <v>4901</v>
      </c>
      <c r="AC101" s="33" t="str">
        <f aca="false">IF(O101&lt;&gt;"","",(4-VALUE(RIGHT(Q101,1)))*10^7+N(F101))</f>
        <v/>
      </c>
      <c r="AD101" s="15" t="str">
        <f aca="false">IFERROR(INDEX('Route of Administration'!$C$5:$C$155,MATCH(B101,'Route of Administration'!$A$5:$A$155,0)),"")</f>
        <v>IV, IM, SC</v>
      </c>
      <c r="AE101" s="14" t="str">
        <f aca="false">IFERROR(INDEX('Route of Administration'!$D$5:$D$155,MATCH(B101,'Route of Administration'!$A$5:$A$155,0)),"")</f>
        <v>Yes</v>
      </c>
      <c r="AF101" s="19" t="n">
        <f aca="false">IF(V101&gt;0,ROUND(AVERAGEIFS('Shortlisted Drugs X Company (7)'!$N$3:$N$698,'Shortlisted Drugs X Company (7)'!$C$3:$C$698,$B101,'Shortlisted Drugs X Company (7)'!$E$3:$E$698,$S101,'Shortlisted Drugs X Company (7)'!$N$3:$N$698,"&gt;=0"),2),"")</f>
        <v>1</v>
      </c>
      <c r="AG101" s="16" t="s">
        <v>628</v>
      </c>
      <c r="AH101" s="16" t="s">
        <v>583</v>
      </c>
      <c r="AI101" s="16" t="s">
        <v>583</v>
      </c>
      <c r="AJ101" s="16" t="str">
        <f aca="false">IF(O101&lt;&gt;"","",IF(ISNUMBER(D101),IF(D101&gt;=$C$3,"High price","Lower price"),"Unpriced")&amp;" · "&amp;IF(M101&gt;=$E$3,"high volume","lower volume"))</f>
        <v/>
      </c>
      <c r="AK101" s="15" t="str">
        <f aca="false">IF(O101&lt;&gt;"",IF(O101="Price ≤ $5","Excluded – price ≤ $5","Excluded – IV only"),IF(ISNUMBER(D101),IF(AND(D101&gt;=$C$3,L101&gt;=$H$3),"Priority 1",IF(OR(D101&gt;=$C$3,L101&gt;=$H$3),"Priority 2","Priority 3")),IF(L101&gt;=$H$3,"Priority 2","Priority 3")))</f>
        <v>Excluded – price ≤ $5</v>
      </c>
      <c r="AL101" s="16" t="str">
        <f aca="false">IF(O101&lt;&gt;"","",IF(ISNUMBER(D101),IF(D101&gt;=$C$3,"High price","Lower price"),"Unpriced")&amp;" · "&amp;IF(L101&gt;=$H$3,"high volume","lower volume"))</f>
        <v/>
      </c>
      <c r="AM101" s="14" t="str">
        <f aca="false">IF(O101&lt;&gt;"","",COUNTIFS($A$29:$A$361,A101,$O$29:$O$361,"",$AQ$29:$AQ$361,"&gt;"&amp;AQ101)+COUNTIFS($A$29:A101,A101,$O$29:O101,"",$AQ$29:AQ101,AQ101))</f>
        <v/>
      </c>
      <c r="AN101" s="33" t="str">
        <f aca="false">IF(AND(O101="",ISNUMBER(D101)),D101,"")</f>
        <v/>
      </c>
      <c r="AO101" s="33" t="str">
        <f aca="false">IF(O101="",M101,"")</f>
        <v/>
      </c>
      <c r="AP101" s="33" t="str">
        <f aca="false">IF(O101="",L101,"")</f>
        <v/>
      </c>
      <c r="AQ101" s="33" t="str">
        <f aca="false">IF(O101&lt;&gt;"","",(4-VALUE(RIGHT(AK101,1)))*10^7+N(N101))</f>
        <v/>
      </c>
      <c r="AR101" s="33" t="n">
        <f aca="false">INDEX($O$7:$O$25,MATCH(A101,$I$7:$I$25,0))</f>
        <v>6</v>
      </c>
      <c r="AS101" s="33" t="n">
        <f aca="false">IF(AE101="No","",AR101*1000+IF(AM101="",900+COUNTIFS($A$29:A101,A101,$O$29:O101,"Price ≤ $5"),AM101))</f>
        <v>6901</v>
      </c>
    </row>
    <row r="102" customFormat="false" ht="41.75" hidden="false" customHeight="false" outlineLevel="0" collapsed="false">
      <c r="A102" s="15" t="s">
        <v>188</v>
      </c>
      <c r="B102" s="15" t="s">
        <v>271</v>
      </c>
      <c r="C102" s="16" t="s">
        <v>272</v>
      </c>
      <c r="D102" s="17" t="n">
        <f aca="false">IF(W102&gt;0,ROUND(AVERAGEIFS('Shortlisted Drugs X Company (7)'!$N$3:$N$698,'Shortlisted Drugs X Company (7)'!$C$3:$C$698,$B102,'Shortlisted Drugs X Company (7)'!$E$3:$E$698,$S102,'Shortlisted Drugs X Company (7)'!$N$3:$N$698,"&gt;5"),2),"")</f>
        <v>39.89</v>
      </c>
      <c r="E102" s="15" t="str">
        <f aca="false">IF(COUNTIFS('Shortlisted Drugs X Company (7)'!$C$3:$C$698,$B102,'Shortlisted Drugs X Company (7)'!$E$3:$E$698,$S102,'Shortlisted Drugs X Company (7)'!$P$3:$P$698,"Exact")&gt;0,"Exact",IF(COUNTIFS('Shortlisted Drugs X Company (7)'!$C$3:$C$698,$B102,'Shortlisted Drugs X Company (7)'!$E$3:$E$698,$S102,'Shortlisted Drugs X Company (7)'!$P$3:$P$698,"Same-market proxy")&gt;0,"Same-market proxy",IF(COUNTIFS('Shortlisted Drugs X Company (7)'!$C$3:$C$698,$B102,'Shortlisted Drugs X Company (7)'!$E$3:$E$698,$S102,'Shortlisted Drugs X Company (7)'!$P$3:$P$698,"Cross-market proxy")&gt;0,"Cross-market proxy",IF(COUNTIFS('Shortlisted Drugs X Company (7)'!$C$3:$C$698,$B102,'Shortlisted Drugs X Company (7)'!$E$3:$E$698,$S102,'Shortlisted Drugs X Company (7)'!$P$3:$P$698,"Source not found")&gt;0,"Source not found","Not priced"))))</f>
        <v>Same-market proxy</v>
      </c>
      <c r="F102" s="18" t="n">
        <f aca="false">IFERROR(ROUND(INDEX('Injectable Value'!$AA$28:$AA$178,MATCH(B102,'Injectable Value'!$A$28:$A$178,0)),1),"")</f>
        <v>2702.3</v>
      </c>
      <c r="G102" s="16" t="s">
        <v>247</v>
      </c>
      <c r="H102" s="14" t="n">
        <v>1</v>
      </c>
      <c r="I102" s="15" t="s">
        <v>441</v>
      </c>
      <c r="J102" s="15" t="s">
        <v>249</v>
      </c>
      <c r="K102" s="16" t="str">
        <f aca="false">""&amp;IF(V102=0,"Unpriced","")&amp;IF(AND(V102&gt;0,W102=0,X102=0),"Low price from another market – confirm with company","")</f>
        <v/>
      </c>
      <c r="L102" s="18" t="n">
        <f aca="false">IFERROR(INDEX('Shortlisted Drugs X Company (7)'!$K$3:$K$698,MATCH(B102,'Shortlisted Drugs X Company (7)'!$C$3:$C$698,0)),"")</f>
        <v>51</v>
      </c>
      <c r="M102" s="18" t="n">
        <f aca="false">IFERROR(ROUND(L102*INDEX('Injectable Value'!$Z$28:$Z$178,MATCH(B102,'Injectable Value'!$A$28:$A$178,0)),0),"")</f>
        <v>24</v>
      </c>
      <c r="N102" s="18" t="n">
        <f aca="false">IFERROR(INDEX('Shortlisted Drugs X Company (7)'!$L$3:$L$698,MATCH(B102,'Shortlisted Drugs X Company (7)'!$C$3:$C$698,0)),"")</f>
        <v>5770.02</v>
      </c>
      <c r="O102" s="15" t="str">
        <f aca="false">IF(AE102="No","IV only (not ID/IM/SC)",IF(AND(V102&gt;0,W102=0),"Price ≤ $5",""))</f>
        <v/>
      </c>
      <c r="P102" s="14" t="n">
        <f aca="false">IF(O102&lt;&gt;"","",COUNTIFS($A$29:$A$361,A102,$O$29:$O$361,"",$AC$29:$AC$361,"&gt;"&amp;AC102)+COUNTIFS($A$29:A102,A102,$O$29:O102,"",$AC$29:AC102,AC102))</f>
        <v>10</v>
      </c>
      <c r="Q102" s="15" t="str">
        <f aca="false">IF(O102&lt;&gt;"",IF(O102="Price ≤ $5","Excluded – price ≤ $5","Excluded – IV only"),IF(ISNUMBER(D102),IF(AND(D102&gt;=$C$3,M102&gt;=$E$3),"Priority 1",IF(OR(D102&gt;=$C$3,M102&gt;=$E$3),"Priority 2","Priority 3")),IF(M102&gt;=$E$3,"Priority 2","Priority 3")))</f>
        <v>Priority 2</v>
      </c>
      <c r="R102" s="16" t="s">
        <v>250</v>
      </c>
      <c r="S102" s="15" t="s">
        <v>188</v>
      </c>
      <c r="T102" s="32" t="s">
        <v>273</v>
      </c>
      <c r="U102" s="33" t="str">
        <f aca="false">B102&amp;"|"&amp;S102</f>
        <v>Phytonadione|Cipla</v>
      </c>
      <c r="V102" s="34" t="n">
        <f aca="false">COUNTIFS('Shortlisted Drugs X Company (7)'!$C$3:$C$698,$B102,'Shortlisted Drugs X Company (7)'!$E$3:$E$698,$S102,'Shortlisted Drugs X Company (7)'!$N$3:$N$698,"&gt;=0")</f>
        <v>2</v>
      </c>
      <c r="W102" s="34" t="n">
        <f aca="false">COUNTIFS('Shortlisted Drugs X Company (7)'!$C$3:$C$698,$B102,'Shortlisted Drugs X Company (7)'!$E$3:$E$698,$S102,'Shortlisted Drugs X Company (7)'!$N$3:$N$698,"&gt;5")</f>
        <v>1</v>
      </c>
      <c r="X102" s="34" t="n">
        <f aca="false">COUNTIFS('Shortlisted Drugs X Company (7)'!$C$3:$C$698,$B102,'Shortlisted Drugs X Company (7)'!$E$3:$E$698,$S102,'Shortlisted Drugs X Company (7)'!$P$3:$P$698,"Exact")+COUNTIFS('Shortlisted Drugs X Company (7)'!$C$3:$C$698,$B102,'Shortlisted Drugs X Company (7)'!$E$3:$E$698,$S102,'Shortlisted Drugs X Company (7)'!$P$3:$P$698,"Same-market proxy")</f>
        <v>2</v>
      </c>
      <c r="Y102" s="33" t="str">
        <f aca="false">A102&amp;"|"&amp;P102</f>
        <v>Cipla|10</v>
      </c>
      <c r="Z102" s="16" t="s">
        <v>629</v>
      </c>
      <c r="AA102" s="33" t="n">
        <f aca="false">INDEX($G$7:$G$25,MATCH(A102,$A$7:$A$25,0))</f>
        <v>4</v>
      </c>
      <c r="AB102" s="33" t="n">
        <f aca="false">IF(AE102="No","",AA102*1000+IF(P102="",900+COUNTIFS($A$29:A102,A102,$O$29:O102,"Price ≤ $5"),P102))</f>
        <v>4010</v>
      </c>
      <c r="AC102" s="33" t="n">
        <f aca="false">IF(O102&lt;&gt;"","",(4-VALUE(RIGHT(Q102,1)))*10^7+N(F102))</f>
        <v>20002702.3</v>
      </c>
      <c r="AD102" s="15" t="str">
        <f aca="false">IFERROR(INDEX('Route of Administration'!$C$5:$C$155,MATCH(B102,'Route of Administration'!$A$5:$A$155,0)),"")</f>
        <v>IV, IM, SC</v>
      </c>
      <c r="AE102" s="14" t="str">
        <f aca="false">IFERROR(INDEX('Route of Administration'!$D$5:$D$155,MATCH(B102,'Route of Administration'!$A$5:$A$155,0)),"")</f>
        <v>Yes</v>
      </c>
      <c r="AF102" s="19" t="n">
        <f aca="false">IF(V102&gt;0,ROUND(AVERAGEIFS('Shortlisted Drugs X Company (7)'!$N$3:$N$698,'Shortlisted Drugs X Company (7)'!$C$3:$C$698,$B102,'Shortlisted Drugs X Company (7)'!$E$3:$E$698,$S102,'Shortlisted Drugs X Company (7)'!$N$3:$N$698,"&gt;=0"),2),"")</f>
        <v>21.94</v>
      </c>
      <c r="AG102" s="16" t="s">
        <v>271</v>
      </c>
      <c r="AH102" s="16" t="s">
        <v>247</v>
      </c>
      <c r="AI102" s="16" t="s">
        <v>247</v>
      </c>
      <c r="AJ102" s="16" t="str">
        <f aca="false">IF(O102&lt;&gt;"","",IF(ISNUMBER(D102),IF(D102&gt;=$C$3,"High price","Lower price"),"Unpriced")&amp;" · "&amp;IF(M102&gt;=$E$3,"high volume","lower volume"))</f>
        <v>High price · lower volume</v>
      </c>
      <c r="AK102" s="15" t="str">
        <f aca="false">IF(O102&lt;&gt;"",IF(O102="Price ≤ $5","Excluded – price ≤ $5","Excluded – IV only"),IF(ISNUMBER(D102),IF(AND(D102&gt;=$C$3,L102&gt;=$H$3),"Priority 1",IF(OR(D102&gt;=$C$3,L102&gt;=$H$3),"Priority 2","Priority 3")),IF(L102&gt;=$H$3,"Priority 2","Priority 3")))</f>
        <v>Priority 2</v>
      </c>
      <c r="AL102" s="16" t="str">
        <f aca="false">IF(O102&lt;&gt;"","",IF(ISNUMBER(D102),IF(D102&gt;=$C$3,"High price","Lower price"),"Unpriced")&amp;" · "&amp;IF(L102&gt;=$H$3,"high volume","lower volume"))</f>
        <v>High price · lower volume</v>
      </c>
      <c r="AM102" s="14" t="n">
        <f aca="false">IF(O102&lt;&gt;"","",COUNTIFS($A$29:$A$361,A102,$O$29:$O$361,"",$AQ$29:$AQ$361,"&gt;"&amp;AQ102)+COUNTIFS($A$29:A102,A102,$O$29:O102,"",$AQ$29:AQ102,AQ102))</f>
        <v>9</v>
      </c>
      <c r="AN102" s="19" t="n">
        <f aca="false">IF(AND(O102="",ISNUMBER(D102)),D102,"")</f>
        <v>39.89</v>
      </c>
      <c r="AO102" s="20" t="n">
        <f aca="false">IF(O102="",M102,"")</f>
        <v>24</v>
      </c>
      <c r="AP102" s="20" t="n">
        <f aca="false">IF(O102="",L102,"")</f>
        <v>51</v>
      </c>
      <c r="AQ102" s="33" t="n">
        <f aca="false">IF(O102&lt;&gt;"","",(4-VALUE(RIGHT(AK102,1)))*10^7+N(N102))</f>
        <v>20005770.02</v>
      </c>
      <c r="AR102" s="33" t="n">
        <f aca="false">INDEX($O$7:$O$25,MATCH(A102,$I$7:$I$25,0))</f>
        <v>6</v>
      </c>
      <c r="AS102" s="33" t="n">
        <f aca="false">IF(AE102="No","",AR102*1000+IF(AM102="",900+COUNTIFS($A$29:A102,A102,$O$29:O102,"Price ≤ $5"),AM102))</f>
        <v>6009</v>
      </c>
    </row>
    <row r="103" customFormat="false" ht="41.75" hidden="false" customHeight="false" outlineLevel="0" collapsed="false">
      <c r="A103" s="15" t="s">
        <v>188</v>
      </c>
      <c r="B103" s="15" t="s">
        <v>630</v>
      </c>
      <c r="C103" s="16" t="s">
        <v>631</v>
      </c>
      <c r="D103" s="17" t="n">
        <f aca="false">IF(W103&gt;0,ROUND(AVERAGEIFS('Shortlisted Drugs X Company (7)'!$N$3:$N$698,'Shortlisted Drugs X Company (7)'!$C$3:$C$698,$B103,'Shortlisted Drugs X Company (7)'!$E$3:$E$698,$S103,'Shortlisted Drugs X Company (7)'!$N$3:$N$698,"&gt;5"),2),"")</f>
        <v>218.09</v>
      </c>
      <c r="E103" s="15" t="str">
        <f aca="false">IF(COUNTIFS('Shortlisted Drugs X Company (7)'!$C$3:$C$698,$B103,'Shortlisted Drugs X Company (7)'!$E$3:$E$698,$S103,'Shortlisted Drugs X Company (7)'!$P$3:$P$698,"Exact")&gt;0,"Exact",IF(COUNTIFS('Shortlisted Drugs X Company (7)'!$C$3:$C$698,$B103,'Shortlisted Drugs X Company (7)'!$E$3:$E$698,$S103,'Shortlisted Drugs X Company (7)'!$P$3:$P$698,"Same-market proxy")&gt;0,"Same-market proxy",IF(COUNTIFS('Shortlisted Drugs X Company (7)'!$C$3:$C$698,$B103,'Shortlisted Drugs X Company (7)'!$E$3:$E$698,$S103,'Shortlisted Drugs X Company (7)'!$P$3:$P$698,"Cross-market proxy")&gt;0,"Cross-market proxy",IF(COUNTIFS('Shortlisted Drugs X Company (7)'!$C$3:$C$698,$B103,'Shortlisted Drugs X Company (7)'!$E$3:$E$698,$S103,'Shortlisted Drugs X Company (7)'!$P$3:$P$698,"Source not found")&gt;0,"Source not found","Not priced"))))</f>
        <v>Exact</v>
      </c>
      <c r="F103" s="18" t="n">
        <f aca="false">IFERROR(ROUND(INDEX('Injectable Value'!$AA$28:$AA$178,MATCH(B103,'Injectable Value'!$A$28:$A$178,0)),1),"")</f>
        <v>484.6</v>
      </c>
      <c r="G103" s="16" t="s">
        <v>70</v>
      </c>
      <c r="H103" s="14" t="n">
        <v>1</v>
      </c>
      <c r="I103" s="15" t="s">
        <v>248</v>
      </c>
      <c r="J103" s="15" t="s">
        <v>299</v>
      </c>
      <c r="K103" s="16" t="str">
        <f aca="false">"Reconstitution"&amp;IF(V103=0,"; Unpriced","")&amp;IF(AND(V103&gt;0,W103=0,X103=0),"; Low price from another market – confirm with company","")</f>
        <v>Reconstitution</v>
      </c>
      <c r="L103" s="18" t="n">
        <f aca="false">IFERROR(INDEX('Shortlisted Drugs X Company (7)'!$K$3:$K$698,MATCH(B103,'Shortlisted Drugs X Company (7)'!$C$3:$C$698,0)),"")</f>
        <v>143</v>
      </c>
      <c r="M103" s="18" t="n">
        <f aca="false">IFERROR(ROUND(L103*INDEX('Injectable Value'!$Z$28:$Z$178,MATCH(B103,'Injectable Value'!$A$28:$A$178,0)),0),"")</f>
        <v>53</v>
      </c>
      <c r="N103" s="18" t="n">
        <f aca="false">IFERROR(INDEX('Shortlisted Drugs X Company (7)'!$L$3:$L$698,MATCH(B103,'Shortlisted Drugs X Company (7)'!$C$3:$C$698,0)),"")</f>
        <v>1308.54</v>
      </c>
      <c r="O103" s="15" t="str">
        <f aca="false">IF(AE103="No","IV only (not ID/IM/SC)",IF(AND(V103&gt;0,W103=0),"Price ≤ $5",""))</f>
        <v>IV only (not ID/IM/SC)</v>
      </c>
      <c r="P103" s="14" t="str">
        <f aca="false">IF(O103&lt;&gt;"","",COUNTIFS($A$29:$A$361,A103,$O$29:$O$361,"",$AC$29:$AC$361,"&gt;"&amp;AC103)+COUNTIFS($A$29:A103,A103,$O$29:O103,"",$AC$29:AC103,AC103))</f>
        <v/>
      </c>
      <c r="Q103" s="15" t="str">
        <f aca="false">IF(O103&lt;&gt;"",IF(O103="Price ≤ $5","Excluded – price ≤ $5","Excluded – IV only"),IF(ISNUMBER(D103),IF(AND(D103&gt;=$C$3,M103&gt;=$E$3),"Priority 1",IF(OR(D103&gt;=$C$3,M103&gt;=$E$3),"Priority 2","Priority 3")),IF(M103&gt;=$E$3,"Priority 2","Priority 3")))</f>
        <v>Excluded – IV only</v>
      </c>
      <c r="R103" s="16" t="s">
        <v>285</v>
      </c>
      <c r="S103" s="15" t="s">
        <v>188</v>
      </c>
      <c r="T103" s="32" t="s">
        <v>632</v>
      </c>
      <c r="U103" s="33" t="str">
        <f aca="false">B103&amp;"|"&amp;S103</f>
        <v>Streptokinase|Cipla</v>
      </c>
      <c r="V103" s="34" t="n">
        <f aca="false">COUNTIFS('Shortlisted Drugs X Company (7)'!$C$3:$C$698,$B103,'Shortlisted Drugs X Company (7)'!$E$3:$E$698,$S103,'Shortlisted Drugs X Company (7)'!$N$3:$N$698,"&gt;=0")</f>
        <v>2</v>
      </c>
      <c r="W103" s="34" t="n">
        <f aca="false">COUNTIFS('Shortlisted Drugs X Company (7)'!$C$3:$C$698,$B103,'Shortlisted Drugs X Company (7)'!$E$3:$E$698,$S103,'Shortlisted Drugs X Company (7)'!$N$3:$N$698,"&gt;5")</f>
        <v>2</v>
      </c>
      <c r="X103" s="34" t="n">
        <f aca="false">COUNTIFS('Shortlisted Drugs X Company (7)'!$C$3:$C$698,$B103,'Shortlisted Drugs X Company (7)'!$E$3:$E$698,$S103,'Shortlisted Drugs X Company (7)'!$P$3:$P$698,"Exact")+COUNTIFS('Shortlisted Drugs X Company (7)'!$C$3:$C$698,$B103,'Shortlisted Drugs X Company (7)'!$E$3:$E$698,$S103,'Shortlisted Drugs X Company (7)'!$P$3:$P$698,"Same-market proxy")</f>
        <v>2</v>
      </c>
      <c r="Y103" s="33" t="str">
        <f aca="false">A103&amp;"|"&amp;P103</f>
        <v>Cipla|</v>
      </c>
      <c r="Z103" s="16" t="s">
        <v>633</v>
      </c>
      <c r="AA103" s="33" t="n">
        <f aca="false">INDEX($G$7:$G$25,MATCH(A103,$A$7:$A$25,0))</f>
        <v>4</v>
      </c>
      <c r="AB103" s="33" t="str">
        <f aca="false">IF(AE103="No","",AA103*1000+IF(P103="",900+COUNTIFS($A$29:A103,A103,$O$29:O103,"Price ≤ $5"),P103))</f>
        <v/>
      </c>
      <c r="AC103" s="33" t="str">
        <f aca="false">IF(O103&lt;&gt;"","",(4-VALUE(RIGHT(Q103,1)))*10^7+N(F103))</f>
        <v/>
      </c>
      <c r="AD103" s="15" t="str">
        <f aca="false">IFERROR(INDEX('Route of Administration'!$C$5:$C$155,MATCH(B103,'Route of Administration'!$A$5:$A$155,0)),"")</f>
        <v>IV, intracoronary</v>
      </c>
      <c r="AE103" s="14" t="str">
        <f aca="false">IFERROR(INDEX('Route of Administration'!$D$5:$D$155,MATCH(B103,'Route of Administration'!$A$5:$A$155,0)),"")</f>
        <v>No</v>
      </c>
      <c r="AF103" s="19" t="n">
        <f aca="false">IF(V103&gt;0,ROUND(AVERAGEIFS('Shortlisted Drugs X Company (7)'!$N$3:$N$698,'Shortlisted Drugs X Company (7)'!$C$3:$C$698,$B103,'Shortlisted Drugs X Company (7)'!$E$3:$E$698,$S103,'Shortlisted Drugs X Company (7)'!$N$3:$N$698,"&gt;=0"),2),"")</f>
        <v>218.09</v>
      </c>
      <c r="AG103" s="16" t="s">
        <v>634</v>
      </c>
      <c r="AH103" s="16" t="s">
        <v>328</v>
      </c>
      <c r="AI103" s="16" t="s">
        <v>328</v>
      </c>
      <c r="AJ103" s="16" t="str">
        <f aca="false">IF(O103&lt;&gt;"","",IF(ISNUMBER(D103),IF(D103&gt;=$C$3,"High price","Lower price"),"Unpriced")&amp;" · "&amp;IF(M103&gt;=$E$3,"high volume","lower volume"))</f>
        <v/>
      </c>
      <c r="AK103" s="15" t="str">
        <f aca="false">IF(O103&lt;&gt;"",IF(O103="Price ≤ $5","Excluded – price ≤ $5","Excluded – IV only"),IF(ISNUMBER(D103),IF(AND(D103&gt;=$C$3,L103&gt;=$H$3),"Priority 1",IF(OR(D103&gt;=$C$3,L103&gt;=$H$3),"Priority 2","Priority 3")),IF(L103&gt;=$H$3,"Priority 2","Priority 3")))</f>
        <v>Excluded – IV only</v>
      </c>
      <c r="AL103" s="16" t="str">
        <f aca="false">IF(O103&lt;&gt;"","",IF(ISNUMBER(D103),IF(D103&gt;=$C$3,"High price","Lower price"),"Unpriced")&amp;" · "&amp;IF(L103&gt;=$H$3,"high volume","lower volume"))</f>
        <v/>
      </c>
      <c r="AM103" s="14" t="str">
        <f aca="false">IF(O103&lt;&gt;"","",COUNTIFS($A$29:$A$361,A103,$O$29:$O$361,"",$AQ$29:$AQ$361,"&gt;"&amp;AQ103)+COUNTIFS($A$29:A103,A103,$O$29:O103,"",$AQ$29:AQ103,AQ103))</f>
        <v/>
      </c>
      <c r="AN103" s="33" t="str">
        <f aca="false">IF(AND(O103="",ISNUMBER(D103)),D103,"")</f>
        <v/>
      </c>
      <c r="AO103" s="33" t="str">
        <f aca="false">IF(O103="",M103,"")</f>
        <v/>
      </c>
      <c r="AP103" s="33" t="str">
        <f aca="false">IF(O103="",L103,"")</f>
        <v/>
      </c>
      <c r="AQ103" s="33" t="str">
        <f aca="false">IF(O103&lt;&gt;"","",(4-VALUE(RIGHT(AK103,1)))*10^7+N(N103))</f>
        <v/>
      </c>
      <c r="AR103" s="33" t="n">
        <f aca="false">INDEX($O$7:$O$25,MATCH(A103,$I$7:$I$25,0))</f>
        <v>6</v>
      </c>
      <c r="AS103" s="33" t="str">
        <f aca="false">IF(AE103="No","",AR103*1000+IF(AM103="",900+COUNTIFS($A$29:A103,A103,$O$29:O103,"Price ≤ $5"),AM103))</f>
        <v/>
      </c>
    </row>
    <row r="104" customFormat="false" ht="28.35" hidden="false" customHeight="false" outlineLevel="0" collapsed="false">
      <c r="A104" s="15" t="s">
        <v>188</v>
      </c>
      <c r="B104" s="15" t="s">
        <v>635</v>
      </c>
      <c r="C104" s="16" t="s">
        <v>636</v>
      </c>
      <c r="D104" s="17" t="n">
        <f aca="false">IF(W104&gt;0,ROUND(AVERAGEIFS('Shortlisted Drugs X Company (7)'!$N$3:$N$698,'Shortlisted Drugs X Company (7)'!$C$3:$C$698,$B104,'Shortlisted Drugs X Company (7)'!$E$3:$E$698,$S104,'Shortlisted Drugs X Company (7)'!$N$3:$N$698,"&gt;5"),2),"")</f>
        <v>39.42</v>
      </c>
      <c r="E104" s="15" t="str">
        <f aca="false">IF(COUNTIFS('Shortlisted Drugs X Company (7)'!$C$3:$C$698,$B104,'Shortlisted Drugs X Company (7)'!$E$3:$E$698,$S104,'Shortlisted Drugs X Company (7)'!$P$3:$P$698,"Exact")&gt;0,"Exact",IF(COUNTIFS('Shortlisted Drugs X Company (7)'!$C$3:$C$698,$B104,'Shortlisted Drugs X Company (7)'!$E$3:$E$698,$S104,'Shortlisted Drugs X Company (7)'!$P$3:$P$698,"Same-market proxy")&gt;0,"Same-market proxy",IF(COUNTIFS('Shortlisted Drugs X Company (7)'!$C$3:$C$698,$B104,'Shortlisted Drugs X Company (7)'!$E$3:$E$698,$S104,'Shortlisted Drugs X Company (7)'!$P$3:$P$698,"Cross-market proxy")&gt;0,"Cross-market proxy",IF(COUNTIFS('Shortlisted Drugs X Company (7)'!$C$3:$C$698,$B104,'Shortlisted Drugs X Company (7)'!$E$3:$E$698,$S104,'Shortlisted Drugs X Company (7)'!$P$3:$P$698,"Source not found")&gt;0,"Source not found","Not priced"))))</f>
        <v>Exact</v>
      </c>
      <c r="F104" s="18" t="n">
        <f aca="false">IFERROR(ROUND(INDEX('Injectable Value'!$AA$28:$AA$178,MATCH(B104,'Injectable Value'!$A$28:$A$178,0)),1),"")</f>
        <v>32830.2</v>
      </c>
      <c r="G104" s="16" t="s">
        <v>418</v>
      </c>
      <c r="H104" s="14" t="n">
        <v>4</v>
      </c>
      <c r="I104" s="15" t="s">
        <v>248</v>
      </c>
      <c r="J104" s="15" t="s">
        <v>249</v>
      </c>
      <c r="K104" s="16" t="str">
        <f aca="false">""&amp;IF(V104=0,"Unpriced","")&amp;IF(AND(V104&gt;0,W104=0,X104=0),"Low price from another market – confirm with company","")</f>
        <v/>
      </c>
      <c r="L104" s="18" t="n">
        <f aca="false">IFERROR(INDEX('Shortlisted Drugs X Company (7)'!$K$3:$K$698,MATCH(B104,'Shortlisted Drugs X Company (7)'!$C$3:$C$698,0)),"")</f>
        <v>346</v>
      </c>
      <c r="M104" s="18" t="n">
        <f aca="false">IFERROR(ROUND(L104*INDEX('Injectable Value'!$Z$28:$Z$178,MATCH(B104,'Injectable Value'!$A$28:$A$178,0)),0),"")</f>
        <v>346</v>
      </c>
      <c r="N104" s="18" t="n">
        <f aca="false">IFERROR(INDEX('Shortlisted Drugs X Company (7)'!$L$3:$L$698,MATCH(B104,'Shortlisted Drugs X Company (7)'!$C$3:$C$698,0)),"")</f>
        <v>32830.17</v>
      </c>
      <c r="O104" s="15" t="str">
        <f aca="false">IF(AE104="No","IV only (not ID/IM/SC)",IF(AND(V104&gt;0,W104=0),"Price ≤ $5",""))</f>
        <v>IV only (not ID/IM/SC)</v>
      </c>
      <c r="P104" s="14" t="str">
        <f aca="false">IF(O104&lt;&gt;"","",COUNTIFS($A$29:$A$361,A104,$O$29:$O$361,"",$AC$29:$AC$361,"&gt;"&amp;AC104)+COUNTIFS($A$29:A104,A104,$O$29:O104,"",$AC$29:AC104,AC104))</f>
        <v/>
      </c>
      <c r="Q104" s="15" t="str">
        <f aca="false">IF(O104&lt;&gt;"",IF(O104="Price ≤ $5","Excluded – price ≤ $5","Excluded – IV only"),IF(ISNUMBER(D104),IF(AND(D104&gt;=$C$3,M104&gt;=$E$3),"Priority 1",IF(OR(D104&gt;=$C$3,M104&gt;=$E$3),"Priority 2","Priority 3")),IF(M104&gt;=$E$3,"Priority 2","Priority 3")))</f>
        <v>Excluded – IV only</v>
      </c>
      <c r="R104" s="16" t="s">
        <v>250</v>
      </c>
      <c r="S104" s="15" t="s">
        <v>188</v>
      </c>
      <c r="T104" s="32" t="s">
        <v>637</v>
      </c>
      <c r="U104" s="33" t="str">
        <f aca="false">B104&amp;"|"&amp;S104</f>
        <v>Sugammadex|Cipla</v>
      </c>
      <c r="V104" s="34" t="n">
        <f aca="false">COUNTIFS('Shortlisted Drugs X Company (7)'!$C$3:$C$698,$B104,'Shortlisted Drugs X Company (7)'!$E$3:$E$698,$S104,'Shortlisted Drugs X Company (7)'!$N$3:$N$698,"&gt;=0")</f>
        <v>2</v>
      </c>
      <c r="W104" s="34" t="n">
        <f aca="false">COUNTIFS('Shortlisted Drugs X Company (7)'!$C$3:$C$698,$B104,'Shortlisted Drugs X Company (7)'!$E$3:$E$698,$S104,'Shortlisted Drugs X Company (7)'!$N$3:$N$698,"&gt;5")</f>
        <v>2</v>
      </c>
      <c r="X104" s="34" t="n">
        <f aca="false">COUNTIFS('Shortlisted Drugs X Company (7)'!$C$3:$C$698,$B104,'Shortlisted Drugs X Company (7)'!$E$3:$E$698,$S104,'Shortlisted Drugs X Company (7)'!$P$3:$P$698,"Exact")+COUNTIFS('Shortlisted Drugs X Company (7)'!$C$3:$C$698,$B104,'Shortlisted Drugs X Company (7)'!$E$3:$E$698,$S104,'Shortlisted Drugs X Company (7)'!$P$3:$P$698,"Same-market proxy")</f>
        <v>2</v>
      </c>
      <c r="Y104" s="33" t="str">
        <f aca="false">A104&amp;"|"&amp;P104</f>
        <v>Cipla|</v>
      </c>
      <c r="Z104" s="16" t="s">
        <v>638</v>
      </c>
      <c r="AA104" s="33" t="n">
        <f aca="false">INDEX($G$7:$G$25,MATCH(A104,$A$7:$A$25,0))</f>
        <v>4</v>
      </c>
      <c r="AB104" s="33" t="str">
        <f aca="false">IF(AE104="No","",AA104*1000+IF(P104="",900+COUNTIFS($A$29:A104,A104,$O$29:O104,"Price ≤ $5"),P104))</f>
        <v/>
      </c>
      <c r="AC104" s="33" t="str">
        <f aca="false">IF(O104&lt;&gt;"","",(4-VALUE(RIGHT(Q104,1)))*10^7+N(F104))</f>
        <v/>
      </c>
      <c r="AD104" s="15" t="str">
        <f aca="false">IFERROR(INDEX('Route of Administration'!$C$5:$C$155,MATCH(B104,'Route of Administration'!$A$5:$A$155,0)),"")</f>
        <v>IV</v>
      </c>
      <c r="AE104" s="14" t="str">
        <f aca="false">IFERROR(INDEX('Route of Administration'!$D$5:$D$155,MATCH(B104,'Route of Administration'!$A$5:$A$155,0)),"")</f>
        <v>No</v>
      </c>
      <c r="AF104" s="19" t="n">
        <f aca="false">IF(V104&gt;0,ROUND(AVERAGEIFS('Shortlisted Drugs X Company (7)'!$N$3:$N$698,'Shortlisted Drugs X Company (7)'!$C$3:$C$698,$B104,'Shortlisted Drugs X Company (7)'!$E$3:$E$698,$S104,'Shortlisted Drugs X Company (7)'!$N$3:$N$698,"&gt;=0"),2),"")</f>
        <v>39.42</v>
      </c>
      <c r="AG104" s="16" t="s">
        <v>639</v>
      </c>
      <c r="AH104" s="16" t="s">
        <v>640</v>
      </c>
      <c r="AI104" s="16" t="s">
        <v>640</v>
      </c>
      <c r="AJ104" s="16" t="str">
        <f aca="false">IF(O104&lt;&gt;"","",IF(ISNUMBER(D104),IF(D104&gt;=$C$3,"High price","Lower price"),"Unpriced")&amp;" · "&amp;IF(M104&gt;=$E$3,"high volume","lower volume"))</f>
        <v/>
      </c>
      <c r="AK104" s="15" t="str">
        <f aca="false">IF(O104&lt;&gt;"",IF(O104="Price ≤ $5","Excluded – price ≤ $5","Excluded – IV only"),IF(ISNUMBER(D104),IF(AND(D104&gt;=$C$3,L104&gt;=$H$3),"Priority 1",IF(OR(D104&gt;=$C$3,L104&gt;=$H$3),"Priority 2","Priority 3")),IF(L104&gt;=$H$3,"Priority 2","Priority 3")))</f>
        <v>Excluded – IV only</v>
      </c>
      <c r="AL104" s="16" t="str">
        <f aca="false">IF(O104&lt;&gt;"","",IF(ISNUMBER(D104),IF(D104&gt;=$C$3,"High price","Lower price"),"Unpriced")&amp;" · "&amp;IF(L104&gt;=$H$3,"high volume","lower volume"))</f>
        <v/>
      </c>
      <c r="AM104" s="14" t="str">
        <f aca="false">IF(O104&lt;&gt;"","",COUNTIFS($A$29:$A$361,A104,$O$29:$O$361,"",$AQ$29:$AQ$361,"&gt;"&amp;AQ104)+COUNTIFS($A$29:A104,A104,$O$29:O104,"",$AQ$29:AQ104,AQ104))</f>
        <v/>
      </c>
      <c r="AN104" s="33" t="str">
        <f aca="false">IF(AND(O104="",ISNUMBER(D104)),D104,"")</f>
        <v/>
      </c>
      <c r="AO104" s="33" t="str">
        <f aca="false">IF(O104="",M104,"")</f>
        <v/>
      </c>
      <c r="AP104" s="33" t="str">
        <f aca="false">IF(O104="",L104,"")</f>
        <v/>
      </c>
      <c r="AQ104" s="33" t="str">
        <f aca="false">IF(O104&lt;&gt;"","",(4-VALUE(RIGHT(AK104,1)))*10^7+N(N104))</f>
        <v/>
      </c>
      <c r="AR104" s="33" t="n">
        <f aca="false">INDEX($O$7:$O$25,MATCH(A104,$I$7:$I$25,0))</f>
        <v>6</v>
      </c>
      <c r="AS104" s="33" t="str">
        <f aca="false">IF(AE104="No","",AR104*1000+IF(AM104="",900+COUNTIFS($A$29:A104,A104,$O$29:O104,"Price ≤ $5"),AM104))</f>
        <v/>
      </c>
    </row>
    <row r="105" customFormat="false" ht="28.35" hidden="false" customHeight="false" outlineLevel="0" collapsed="false">
      <c r="A105" s="15" t="s">
        <v>188</v>
      </c>
      <c r="B105" s="15" t="s">
        <v>641</v>
      </c>
      <c r="C105" s="16" t="s">
        <v>642</v>
      </c>
      <c r="D105" s="17" t="n">
        <f aca="false">IF(W105&gt;0,ROUND(AVERAGEIFS('Shortlisted Drugs X Company (7)'!$N$3:$N$698,'Shortlisted Drugs X Company (7)'!$C$3:$C$698,$B105,'Shortlisted Drugs X Company (7)'!$E$3:$E$698,$S105,'Shortlisted Drugs X Company (7)'!$N$3:$N$698,"&gt;5"),2),"")</f>
        <v>13.97</v>
      </c>
      <c r="E105" s="15" t="str">
        <f aca="false">IF(COUNTIFS('Shortlisted Drugs X Company (7)'!$C$3:$C$698,$B105,'Shortlisted Drugs X Company (7)'!$E$3:$E$698,$S105,'Shortlisted Drugs X Company (7)'!$P$3:$P$698,"Exact")&gt;0,"Exact",IF(COUNTIFS('Shortlisted Drugs X Company (7)'!$C$3:$C$698,$B105,'Shortlisted Drugs X Company (7)'!$E$3:$E$698,$S105,'Shortlisted Drugs X Company (7)'!$P$3:$P$698,"Same-market proxy")&gt;0,"Same-market proxy",IF(COUNTIFS('Shortlisted Drugs X Company (7)'!$C$3:$C$698,$B105,'Shortlisted Drugs X Company (7)'!$E$3:$E$698,$S105,'Shortlisted Drugs X Company (7)'!$P$3:$P$698,"Cross-market proxy")&gt;0,"Cross-market proxy",IF(COUNTIFS('Shortlisted Drugs X Company (7)'!$C$3:$C$698,$B105,'Shortlisted Drugs X Company (7)'!$E$3:$E$698,$S105,'Shortlisted Drugs X Company (7)'!$P$3:$P$698,"Source not found")&gt;0,"Source not found","Not priced"))))</f>
        <v>Exact</v>
      </c>
      <c r="F105" s="18" t="n">
        <f aca="false">IFERROR(ROUND(INDEX('Injectable Value'!$AA$28:$AA$178,MATCH(B105,'Injectable Value'!$A$28:$A$178,0)),1),"")</f>
        <v>6632.6</v>
      </c>
      <c r="G105" s="16" t="s">
        <v>70</v>
      </c>
      <c r="H105" s="14" t="n">
        <v>1</v>
      </c>
      <c r="I105" s="15" t="s">
        <v>248</v>
      </c>
      <c r="J105" s="15" t="s">
        <v>249</v>
      </c>
      <c r="K105" s="16" t="str">
        <f aca="false">"Reconstitution"&amp;IF(V105=0,"; Unpriced","")&amp;IF(AND(V105&gt;0,W105=0,X105=0),"; Low price from another market – confirm with company","")</f>
        <v>Reconstitution</v>
      </c>
      <c r="L105" s="18" t="n">
        <f aca="false">IFERROR(INDEX('Shortlisted Drugs X Company (7)'!$K$3:$K$698,MATCH(B105,'Shortlisted Drugs X Company (7)'!$C$3:$C$698,0)),"")</f>
        <v>106</v>
      </c>
      <c r="M105" s="18" t="n">
        <f aca="false">IFERROR(ROUND(L105*INDEX('Injectable Value'!$Z$28:$Z$178,MATCH(B105,'Injectable Value'!$A$28:$A$178,0)),0),"")</f>
        <v>99</v>
      </c>
      <c r="N105" s="18" t="n">
        <f aca="false">IFERROR(INDEX('Shortlisted Drugs X Company (7)'!$L$3:$L$698,MATCH(B105,'Shortlisted Drugs X Company (7)'!$C$3:$C$698,0)),"")</f>
        <v>7074.72</v>
      </c>
      <c r="O105" s="15" t="str">
        <f aca="false">IF(AE105="No","IV only (not ID/IM/SC)",IF(AND(V105&gt;0,W105=0),"Price ≤ $5",""))</f>
        <v/>
      </c>
      <c r="P105" s="14" t="n">
        <f aca="false">IF(O105&lt;&gt;"","",COUNTIFS($A$29:$A$361,A105,$O$29:$O$361,"",$AC$29:$AC$361,"&gt;"&amp;AC105)+COUNTIFS($A$29:A105,A105,$O$29:O105,"",$AC$29:AC105,AC105))</f>
        <v>13</v>
      </c>
      <c r="Q105" s="15" t="str">
        <f aca="false">IF(O105&lt;&gt;"",IF(O105="Price ≤ $5","Excluded – price ≤ $5","Excluded – IV only"),IF(ISNUMBER(D105),IF(AND(D105&gt;=$C$3,M105&gt;=$E$3),"Priority 1",IF(OR(D105&gt;=$C$3,M105&gt;=$E$3),"Priority 2","Priority 3")),IF(M105&gt;=$E$3,"Priority 2","Priority 3")))</f>
        <v>Priority 3</v>
      </c>
      <c r="R105" s="16" t="s">
        <v>250</v>
      </c>
      <c r="S105" s="15" t="s">
        <v>188</v>
      </c>
      <c r="T105" s="32" t="s">
        <v>643</v>
      </c>
      <c r="U105" s="33" t="str">
        <f aca="false">B105&amp;"|"&amp;S105</f>
        <v>Teicoplanin|Cipla</v>
      </c>
      <c r="V105" s="34" t="n">
        <f aca="false">COUNTIFS('Shortlisted Drugs X Company (7)'!$C$3:$C$698,$B105,'Shortlisted Drugs X Company (7)'!$E$3:$E$698,$S105,'Shortlisted Drugs X Company (7)'!$N$3:$N$698,"&gt;=0")</f>
        <v>1</v>
      </c>
      <c r="W105" s="34" t="n">
        <f aca="false">COUNTIFS('Shortlisted Drugs X Company (7)'!$C$3:$C$698,$B105,'Shortlisted Drugs X Company (7)'!$E$3:$E$698,$S105,'Shortlisted Drugs X Company (7)'!$N$3:$N$698,"&gt;5")</f>
        <v>1</v>
      </c>
      <c r="X105" s="34" t="n">
        <f aca="false">COUNTIFS('Shortlisted Drugs X Company (7)'!$C$3:$C$698,$B105,'Shortlisted Drugs X Company (7)'!$E$3:$E$698,$S105,'Shortlisted Drugs X Company (7)'!$P$3:$P$698,"Exact")+COUNTIFS('Shortlisted Drugs X Company (7)'!$C$3:$C$698,$B105,'Shortlisted Drugs X Company (7)'!$E$3:$E$698,$S105,'Shortlisted Drugs X Company (7)'!$P$3:$P$698,"Same-market proxy")</f>
        <v>1</v>
      </c>
      <c r="Y105" s="33" t="str">
        <f aca="false">A105&amp;"|"&amp;P105</f>
        <v>Cipla|13</v>
      </c>
      <c r="Z105" s="16" t="s">
        <v>644</v>
      </c>
      <c r="AA105" s="33" t="n">
        <f aca="false">INDEX($G$7:$G$25,MATCH(A105,$A$7:$A$25,0))</f>
        <v>4</v>
      </c>
      <c r="AB105" s="33" t="n">
        <f aca="false">IF(AE105="No","",AA105*1000+IF(P105="",900+COUNTIFS($A$29:A105,A105,$O$29:O105,"Price ≤ $5"),P105))</f>
        <v>4013</v>
      </c>
      <c r="AC105" s="33" t="n">
        <f aca="false">IF(O105&lt;&gt;"","",(4-VALUE(RIGHT(Q105,1)))*10^7+N(F105))</f>
        <v>10006632.6</v>
      </c>
      <c r="AD105" s="15" t="str">
        <f aca="false">IFERROR(INDEX('Route of Administration'!$C$5:$C$155,MATCH(B105,'Route of Administration'!$A$5:$A$155,0)),"")</f>
        <v>IV, IM</v>
      </c>
      <c r="AE105" s="14" t="str">
        <f aca="false">IFERROR(INDEX('Route of Administration'!$D$5:$D$155,MATCH(B105,'Route of Administration'!$A$5:$A$155,0)),"")</f>
        <v>Yes</v>
      </c>
      <c r="AF105" s="19" t="n">
        <f aca="false">IF(V105&gt;0,ROUND(AVERAGEIFS('Shortlisted Drugs X Company (7)'!$N$3:$N$698,'Shortlisted Drugs X Company (7)'!$C$3:$C$698,$B105,'Shortlisted Drugs X Company (7)'!$E$3:$E$698,$S105,'Shortlisted Drugs X Company (7)'!$N$3:$N$698,"&gt;=0"),2),"")</f>
        <v>13.97</v>
      </c>
      <c r="AG105" s="16" t="s">
        <v>645</v>
      </c>
      <c r="AH105" s="16" t="s">
        <v>328</v>
      </c>
      <c r="AI105" s="16" t="s">
        <v>328</v>
      </c>
      <c r="AJ105" s="16" t="str">
        <f aca="false">IF(O105&lt;&gt;"","",IF(ISNUMBER(D105),IF(D105&gt;=$C$3,"High price","Lower price"),"Unpriced")&amp;" · "&amp;IF(M105&gt;=$E$3,"high volume","lower volume"))</f>
        <v>Lower price · lower volume</v>
      </c>
      <c r="AK105" s="15" t="str">
        <f aca="false">IF(O105&lt;&gt;"",IF(O105="Price ≤ $5","Excluded – price ≤ $5","Excluded – IV only"),IF(ISNUMBER(D105),IF(AND(D105&gt;=$C$3,L105&gt;=$H$3),"Priority 1",IF(OR(D105&gt;=$C$3,L105&gt;=$H$3),"Priority 2","Priority 3")),IF(L105&gt;=$H$3,"Priority 2","Priority 3")))</f>
        <v>Priority 3</v>
      </c>
      <c r="AL105" s="16" t="str">
        <f aca="false">IF(O105&lt;&gt;"","",IF(ISNUMBER(D105),IF(D105&gt;=$C$3,"High price","Lower price"),"Unpriced")&amp;" · "&amp;IF(L105&gt;=$H$3,"high volume","lower volume"))</f>
        <v>Lower price · lower volume</v>
      </c>
      <c r="AM105" s="14" t="n">
        <f aca="false">IF(O105&lt;&gt;"","",COUNTIFS($A$29:$A$361,A105,$O$29:$O$361,"",$AQ$29:$AQ$361,"&gt;"&amp;AQ105)+COUNTIFS($A$29:A105,A105,$O$29:O105,"",$AQ$29:AQ105,AQ105))</f>
        <v>14</v>
      </c>
      <c r="AN105" s="19" t="n">
        <f aca="false">IF(AND(O105="",ISNUMBER(D105)),D105,"")</f>
        <v>13.97</v>
      </c>
      <c r="AO105" s="20" t="n">
        <f aca="false">IF(O105="",M105,"")</f>
        <v>99</v>
      </c>
      <c r="AP105" s="20" t="n">
        <f aca="false">IF(O105="",L105,"")</f>
        <v>106</v>
      </c>
      <c r="AQ105" s="33" t="n">
        <f aca="false">IF(O105&lt;&gt;"","",(4-VALUE(RIGHT(AK105,1)))*10^7+N(N105))</f>
        <v>10007074.72</v>
      </c>
      <c r="AR105" s="33" t="n">
        <f aca="false">INDEX($O$7:$O$25,MATCH(A105,$I$7:$I$25,0))</f>
        <v>6</v>
      </c>
      <c r="AS105" s="33" t="n">
        <f aca="false">IF(AE105="No","",AR105*1000+IF(AM105="",900+COUNTIFS($A$29:A105,A105,$O$29:O105,"Price ≤ $5"),AM105))</f>
        <v>6014</v>
      </c>
    </row>
    <row r="106" customFormat="false" ht="41.75" hidden="false" customHeight="false" outlineLevel="0" collapsed="false">
      <c r="A106" s="15" t="s">
        <v>188</v>
      </c>
      <c r="B106" s="15" t="s">
        <v>542</v>
      </c>
      <c r="C106" s="16" t="s">
        <v>543</v>
      </c>
      <c r="D106" s="17" t="n">
        <f aca="false">IF(W106&gt;0,ROUND(AVERAGEIFS('Shortlisted Drugs X Company (7)'!$N$3:$N$698,'Shortlisted Drugs X Company (7)'!$C$3:$C$698,$B106,'Shortlisted Drugs X Company (7)'!$E$3:$E$698,$S106,'Shortlisted Drugs X Company (7)'!$N$3:$N$698,"&gt;5"),2),"")</f>
        <v>20.63</v>
      </c>
      <c r="E106" s="15" t="str">
        <f aca="false">IF(COUNTIFS('Shortlisted Drugs X Company (7)'!$C$3:$C$698,$B106,'Shortlisted Drugs X Company (7)'!$E$3:$E$698,$S106,'Shortlisted Drugs X Company (7)'!$P$3:$P$698,"Exact")&gt;0,"Exact",IF(COUNTIFS('Shortlisted Drugs X Company (7)'!$C$3:$C$698,$B106,'Shortlisted Drugs X Company (7)'!$E$3:$E$698,$S106,'Shortlisted Drugs X Company (7)'!$P$3:$P$698,"Same-market proxy")&gt;0,"Same-market proxy",IF(COUNTIFS('Shortlisted Drugs X Company (7)'!$C$3:$C$698,$B106,'Shortlisted Drugs X Company (7)'!$E$3:$E$698,$S106,'Shortlisted Drugs X Company (7)'!$P$3:$P$698,"Cross-market proxy")&gt;0,"Cross-market proxy",IF(COUNTIFS('Shortlisted Drugs X Company (7)'!$C$3:$C$698,$B106,'Shortlisted Drugs X Company (7)'!$E$3:$E$698,$S106,'Shortlisted Drugs X Company (7)'!$P$3:$P$698,"Source not found")&gt;0,"Source not found","Not priced"))))</f>
        <v>Same-market proxy</v>
      </c>
      <c r="F106" s="18" t="n">
        <f aca="false">IFERROR(ROUND(INDEX('Injectable Value'!$AA$28:$AA$178,MATCH(B106,'Injectable Value'!$A$28:$A$178,0)),1),"")</f>
        <v>6893.7</v>
      </c>
      <c r="G106" s="16" t="s">
        <v>247</v>
      </c>
      <c r="H106" s="14" t="n">
        <v>1</v>
      </c>
      <c r="I106" s="15" t="s">
        <v>248</v>
      </c>
      <c r="J106" s="15" t="s">
        <v>249</v>
      </c>
      <c r="K106" s="16" t="str">
        <f aca="false">""&amp;IF(V106=0,"Unpriced","")&amp;IF(AND(V106&gt;0,W106=0,X106=0),"Low price from another market – confirm with company","")</f>
        <v/>
      </c>
      <c r="L106" s="18" t="n">
        <f aca="false">IFERROR(INDEX('Shortlisted Drugs X Company (7)'!$K$3:$K$698,MATCH(B106,'Shortlisted Drugs X Company (7)'!$C$3:$C$698,0)),"")</f>
        <v>307</v>
      </c>
      <c r="M106" s="18" t="n">
        <f aca="false">IFERROR(ROUND(L106*INDEX('Injectable Value'!$Z$28:$Z$178,MATCH(B106,'Injectable Value'!$A$28:$A$178,0)),0),"")</f>
        <v>291</v>
      </c>
      <c r="N106" s="18" t="n">
        <f aca="false">IFERROR(INDEX('Shortlisted Drugs X Company (7)'!$L$3:$L$698,MATCH(B106,'Shortlisted Drugs X Company (7)'!$C$3:$C$698,0)),"")</f>
        <v>7276.73</v>
      </c>
      <c r="O106" s="15" t="str">
        <f aca="false">IF(AE106="No","IV only (not ID/IM/SC)",IF(AND(V106&gt;0,W106=0),"Price ≤ $5",""))</f>
        <v/>
      </c>
      <c r="P106" s="14" t="n">
        <f aca="false">IF(O106&lt;&gt;"","",COUNTIFS($A$29:$A$361,A106,$O$29:$O$361,"",$AC$29:$AC$361,"&gt;"&amp;AC106)+COUNTIFS($A$29:A106,A106,$O$29:O106,"",$AC$29:AC106,AC106))</f>
        <v>6</v>
      </c>
      <c r="Q106" s="15" t="str">
        <f aca="false">IF(O106&lt;&gt;"",IF(O106="Price ≤ $5","Excluded – price ≤ $5","Excluded – IV only"),IF(ISNUMBER(D106),IF(AND(D106&gt;=$C$3,M106&gt;=$E$3),"Priority 1",IF(OR(D106&gt;=$C$3,M106&gt;=$E$3),"Priority 2","Priority 3")),IF(M106&gt;=$E$3,"Priority 2","Priority 3")))</f>
        <v>Priority 2</v>
      </c>
      <c r="R106" s="16" t="s">
        <v>250</v>
      </c>
      <c r="S106" s="15" t="s">
        <v>188</v>
      </c>
      <c r="T106" s="32" t="s">
        <v>544</v>
      </c>
      <c r="U106" s="33" t="str">
        <f aca="false">B106&amp;"|"&amp;S106</f>
        <v>Testosterone Cypionate|Cipla</v>
      </c>
      <c r="V106" s="34" t="n">
        <f aca="false">COUNTIFS('Shortlisted Drugs X Company (7)'!$C$3:$C$698,$B106,'Shortlisted Drugs X Company (7)'!$E$3:$E$698,$S106,'Shortlisted Drugs X Company (7)'!$N$3:$N$698,"&gt;=0")</f>
        <v>2</v>
      </c>
      <c r="W106" s="34" t="n">
        <f aca="false">COUNTIFS('Shortlisted Drugs X Company (7)'!$C$3:$C$698,$B106,'Shortlisted Drugs X Company (7)'!$E$3:$E$698,$S106,'Shortlisted Drugs X Company (7)'!$N$3:$N$698,"&gt;5")</f>
        <v>2</v>
      </c>
      <c r="X106" s="34" t="n">
        <f aca="false">COUNTIFS('Shortlisted Drugs X Company (7)'!$C$3:$C$698,$B106,'Shortlisted Drugs X Company (7)'!$E$3:$E$698,$S106,'Shortlisted Drugs X Company (7)'!$P$3:$P$698,"Exact")+COUNTIFS('Shortlisted Drugs X Company (7)'!$C$3:$C$698,$B106,'Shortlisted Drugs X Company (7)'!$E$3:$E$698,$S106,'Shortlisted Drugs X Company (7)'!$P$3:$P$698,"Same-market proxy")</f>
        <v>2</v>
      </c>
      <c r="Y106" s="33" t="str">
        <f aca="false">A106&amp;"|"&amp;P106</f>
        <v>Cipla|6</v>
      </c>
      <c r="Z106" s="16" t="s">
        <v>545</v>
      </c>
      <c r="AA106" s="33" t="n">
        <f aca="false">INDEX($G$7:$G$25,MATCH(A106,$A$7:$A$25,0))</f>
        <v>4</v>
      </c>
      <c r="AB106" s="33" t="n">
        <f aca="false">IF(AE106="No","",AA106*1000+IF(P106="",900+COUNTIFS($A$29:A106,A106,$O$29:O106,"Price ≤ $5"),P106))</f>
        <v>4006</v>
      </c>
      <c r="AC106" s="33" t="n">
        <f aca="false">IF(O106&lt;&gt;"","",(4-VALUE(RIGHT(Q106,1)))*10^7+N(F106))</f>
        <v>20006893.7</v>
      </c>
      <c r="AD106" s="15" t="str">
        <f aca="false">IFERROR(INDEX('Route of Administration'!$C$5:$C$155,MATCH(B106,'Route of Administration'!$A$5:$A$155,0)),"")</f>
        <v>IM</v>
      </c>
      <c r="AE106" s="14" t="str">
        <f aca="false">IFERROR(INDEX('Route of Administration'!$D$5:$D$155,MATCH(B106,'Route of Administration'!$A$5:$A$155,0)),"")</f>
        <v>Yes</v>
      </c>
      <c r="AF106" s="19" t="n">
        <f aca="false">IF(V106&gt;0,ROUND(AVERAGEIFS('Shortlisted Drugs X Company (7)'!$N$3:$N$698,'Shortlisted Drugs X Company (7)'!$C$3:$C$698,$B106,'Shortlisted Drugs X Company (7)'!$E$3:$E$698,$S106,'Shortlisted Drugs X Company (7)'!$N$3:$N$698,"&gt;=0"),2),"")</f>
        <v>20.63</v>
      </c>
      <c r="AG106" s="16" t="s">
        <v>542</v>
      </c>
      <c r="AH106" s="16" t="s">
        <v>247</v>
      </c>
      <c r="AI106" s="16" t="s">
        <v>247</v>
      </c>
      <c r="AJ106" s="16" t="str">
        <f aca="false">IF(O106&lt;&gt;"","",IF(ISNUMBER(D106),IF(D106&gt;=$C$3,"High price","Lower price"),"Unpriced")&amp;" · "&amp;IF(M106&gt;=$E$3,"high volume","lower volume"))</f>
        <v>Lower price · high volume</v>
      </c>
      <c r="AK106" s="15" t="str">
        <f aca="false">IF(O106&lt;&gt;"",IF(O106="Price ≤ $5","Excluded – price ≤ $5","Excluded – IV only"),IF(ISNUMBER(D106),IF(AND(D106&gt;=$C$3,L106&gt;=$H$3),"Priority 1",IF(OR(D106&gt;=$C$3,L106&gt;=$H$3),"Priority 2","Priority 3")),IF(L106&gt;=$H$3,"Priority 2","Priority 3")))</f>
        <v>Priority 2</v>
      </c>
      <c r="AL106" s="16" t="str">
        <f aca="false">IF(O106&lt;&gt;"","",IF(ISNUMBER(D106),IF(D106&gt;=$C$3,"High price","Lower price"),"Unpriced")&amp;" · "&amp;IF(L106&gt;=$H$3,"high volume","lower volume"))</f>
        <v>Lower price · high volume</v>
      </c>
      <c r="AM106" s="14" t="n">
        <f aca="false">IF(O106&lt;&gt;"","",COUNTIFS($A$29:$A$361,A106,$O$29:$O$361,"",$AQ$29:$AQ$361,"&gt;"&amp;AQ106)+COUNTIFS($A$29:A106,A106,$O$29:O106,"",$AQ$29:AQ106,AQ106))</f>
        <v>7</v>
      </c>
      <c r="AN106" s="19" t="n">
        <f aca="false">IF(AND(O106="",ISNUMBER(D106)),D106,"")</f>
        <v>20.63</v>
      </c>
      <c r="AO106" s="20" t="n">
        <f aca="false">IF(O106="",M106,"")</f>
        <v>291</v>
      </c>
      <c r="AP106" s="20" t="n">
        <f aca="false">IF(O106="",L106,"")</f>
        <v>307</v>
      </c>
      <c r="AQ106" s="33" t="n">
        <f aca="false">IF(O106&lt;&gt;"","",(4-VALUE(RIGHT(AK106,1)))*10^7+N(N106))</f>
        <v>20007276.73</v>
      </c>
      <c r="AR106" s="33" t="n">
        <f aca="false">INDEX($O$7:$O$25,MATCH(A106,$I$7:$I$25,0))</f>
        <v>6</v>
      </c>
      <c r="AS106" s="33" t="n">
        <f aca="false">IF(AE106="No","",AR106*1000+IF(AM106="",900+COUNTIFS($A$29:A106,A106,$O$29:O106,"Price ≤ $5"),AM106))</f>
        <v>6007</v>
      </c>
    </row>
    <row r="107" customFormat="false" ht="41.75" hidden="false" customHeight="false" outlineLevel="0" collapsed="false">
      <c r="A107" s="15" t="s">
        <v>188</v>
      </c>
      <c r="B107" s="15" t="s">
        <v>646</v>
      </c>
      <c r="C107" s="16" t="s">
        <v>647</v>
      </c>
      <c r="D107" s="17" t="n">
        <f aca="false">IF(W107&gt;0,ROUND(AVERAGEIFS('Shortlisted Drugs X Company (7)'!$N$3:$N$698,'Shortlisted Drugs X Company (7)'!$C$3:$C$698,$B107,'Shortlisted Drugs X Company (7)'!$E$3:$E$698,$S107,'Shortlisted Drugs X Company (7)'!$N$3:$N$698,"&gt;5"),2),"")</f>
        <v>118.45</v>
      </c>
      <c r="E107" s="15" t="str">
        <f aca="false">IF(COUNTIFS('Shortlisted Drugs X Company (7)'!$C$3:$C$698,$B107,'Shortlisted Drugs X Company (7)'!$E$3:$E$698,$S107,'Shortlisted Drugs X Company (7)'!$P$3:$P$698,"Exact")&gt;0,"Exact",IF(COUNTIFS('Shortlisted Drugs X Company (7)'!$C$3:$C$698,$B107,'Shortlisted Drugs X Company (7)'!$E$3:$E$698,$S107,'Shortlisted Drugs X Company (7)'!$P$3:$P$698,"Same-market proxy")&gt;0,"Same-market proxy",IF(COUNTIFS('Shortlisted Drugs X Company (7)'!$C$3:$C$698,$B107,'Shortlisted Drugs X Company (7)'!$E$3:$E$698,$S107,'Shortlisted Drugs X Company (7)'!$P$3:$P$698,"Cross-market proxy")&gt;0,"Cross-market proxy",IF(COUNTIFS('Shortlisted Drugs X Company (7)'!$C$3:$C$698,$B107,'Shortlisted Drugs X Company (7)'!$E$3:$E$698,$S107,'Shortlisted Drugs X Company (7)'!$P$3:$P$698,"Source not found")&gt;0,"Source not found","Not priced"))))</f>
        <v>Exact</v>
      </c>
      <c r="F107" s="18" t="n">
        <f aca="false">IFERROR(ROUND(INDEX('Injectable Value'!$AA$28:$AA$178,MATCH(B107,'Injectable Value'!$A$28:$A$178,0)),1),"")</f>
        <v>184.9</v>
      </c>
      <c r="G107" s="16" t="s">
        <v>70</v>
      </c>
      <c r="H107" s="14" t="n">
        <v>1</v>
      </c>
      <c r="I107" s="15" t="s">
        <v>248</v>
      </c>
      <c r="J107" s="15" t="s">
        <v>249</v>
      </c>
      <c r="K107" s="16" t="str">
        <f aca="false">""&amp;IF(V107=0,"Unpriced","")&amp;IF(AND(V107&gt;0,W107=0,X107=0),"Low price from another market – confirm with company","")</f>
        <v/>
      </c>
      <c r="L107" s="18" t="n">
        <f aca="false">IFERROR(INDEX('Shortlisted Drugs X Company (7)'!$K$3:$K$698,MATCH(B107,'Shortlisted Drugs X Company (7)'!$C$3:$C$698,0)),"")</f>
        <v>188</v>
      </c>
      <c r="M107" s="18" t="n">
        <f aca="false">IFERROR(ROUND(L107*INDEX('Injectable Value'!$Z$28:$Z$178,MATCH(B107,'Injectable Value'!$A$28:$A$178,0)),0),"")</f>
        <v>132</v>
      </c>
      <c r="N107" s="18" t="n">
        <f aca="false">IFERROR(INDEX('Shortlisted Drugs X Company (7)'!$L$3:$L$698,MATCH(B107,'Shortlisted Drugs X Company (7)'!$C$3:$C$698,0)),"")</f>
        <v>262.84</v>
      </c>
      <c r="O107" s="15" t="str">
        <f aca="false">IF(AE107="No","IV only (not ID/IM/SC)",IF(AND(V107&gt;0,W107=0),"Price ≤ $5",""))</f>
        <v/>
      </c>
      <c r="P107" s="14" t="n">
        <f aca="false">IF(O107&lt;&gt;"","",COUNTIFS($A$29:$A$361,A107,$O$29:$O$361,"",$AC$29:$AC$361,"&gt;"&amp;AC107)+COUNTIFS($A$29:A107,A107,$O$29:O107,"",$AC$29:AC107,AC107))</f>
        <v>11</v>
      </c>
      <c r="Q107" s="15" t="str">
        <f aca="false">IF(O107&lt;&gt;"",IF(O107="Price ≤ $5","Excluded – price ≤ $5","Excluded – IV only"),IF(ISNUMBER(D107),IF(AND(D107&gt;=$C$3,M107&gt;=$E$3),"Priority 1",IF(OR(D107&gt;=$C$3,M107&gt;=$E$3),"Priority 2","Priority 3")),IF(M107&gt;=$E$3,"Priority 2","Priority 3")))</f>
        <v>Priority 2</v>
      </c>
      <c r="R107" s="16" t="s">
        <v>250</v>
      </c>
      <c r="S107" s="15" t="s">
        <v>188</v>
      </c>
      <c r="T107" s="32" t="s">
        <v>648</v>
      </c>
      <c r="U107" s="33" t="str">
        <f aca="false">B107&amp;"|"&amp;S107</f>
        <v>Testosterone Undecanoate|Cipla</v>
      </c>
      <c r="V107" s="34" t="n">
        <f aca="false">COUNTIFS('Shortlisted Drugs X Company (7)'!$C$3:$C$698,$B107,'Shortlisted Drugs X Company (7)'!$E$3:$E$698,$S107,'Shortlisted Drugs X Company (7)'!$N$3:$N$698,"&gt;=0")</f>
        <v>1</v>
      </c>
      <c r="W107" s="34" t="n">
        <f aca="false">COUNTIFS('Shortlisted Drugs X Company (7)'!$C$3:$C$698,$B107,'Shortlisted Drugs X Company (7)'!$E$3:$E$698,$S107,'Shortlisted Drugs X Company (7)'!$N$3:$N$698,"&gt;5")</f>
        <v>1</v>
      </c>
      <c r="X107" s="34" t="n">
        <f aca="false">COUNTIFS('Shortlisted Drugs X Company (7)'!$C$3:$C$698,$B107,'Shortlisted Drugs X Company (7)'!$E$3:$E$698,$S107,'Shortlisted Drugs X Company (7)'!$P$3:$P$698,"Exact")+COUNTIFS('Shortlisted Drugs X Company (7)'!$C$3:$C$698,$B107,'Shortlisted Drugs X Company (7)'!$E$3:$E$698,$S107,'Shortlisted Drugs X Company (7)'!$P$3:$P$698,"Same-market proxy")</f>
        <v>1</v>
      </c>
      <c r="Y107" s="33" t="str">
        <f aca="false">A107&amp;"|"&amp;P107</f>
        <v>Cipla|11</v>
      </c>
      <c r="Z107" s="16" t="s">
        <v>649</v>
      </c>
      <c r="AA107" s="33" t="n">
        <f aca="false">INDEX($G$7:$G$25,MATCH(A107,$A$7:$A$25,0))</f>
        <v>4</v>
      </c>
      <c r="AB107" s="33" t="n">
        <f aca="false">IF(AE107="No","",AA107*1000+IF(P107="",900+COUNTIFS($A$29:A107,A107,$O$29:O107,"Price ≤ $5"),P107))</f>
        <v>4011</v>
      </c>
      <c r="AC107" s="33" t="n">
        <f aca="false">IF(O107&lt;&gt;"","",(4-VALUE(RIGHT(Q107,1)))*10^7+N(F107))</f>
        <v>20000184.9</v>
      </c>
      <c r="AD107" s="15" t="str">
        <f aca="false">IFERROR(INDEX('Route of Administration'!$C$5:$C$155,MATCH(B107,'Route of Administration'!$A$5:$A$155,0)),"")</f>
        <v>IM</v>
      </c>
      <c r="AE107" s="14" t="str">
        <f aca="false">IFERROR(INDEX('Route of Administration'!$D$5:$D$155,MATCH(B107,'Route of Administration'!$A$5:$A$155,0)),"")</f>
        <v>Yes</v>
      </c>
      <c r="AF107" s="19" t="n">
        <f aca="false">IF(V107&gt;0,ROUND(AVERAGEIFS('Shortlisted Drugs X Company (7)'!$N$3:$N$698,'Shortlisted Drugs X Company (7)'!$C$3:$C$698,$B107,'Shortlisted Drugs X Company (7)'!$E$3:$E$698,$S107,'Shortlisted Drugs X Company (7)'!$N$3:$N$698,"&gt;=0"),2),"")</f>
        <v>118.45</v>
      </c>
      <c r="AG107" s="16" t="s">
        <v>650</v>
      </c>
      <c r="AH107" s="16" t="s">
        <v>328</v>
      </c>
      <c r="AI107" s="16" t="s">
        <v>328</v>
      </c>
      <c r="AJ107" s="16" t="str">
        <f aca="false">IF(O107&lt;&gt;"","",IF(ISNUMBER(D107),IF(D107&gt;=$C$3,"High price","Lower price"),"Unpriced")&amp;" · "&amp;IF(M107&gt;=$E$3,"high volume","lower volume"))</f>
        <v>High price · lower volume</v>
      </c>
      <c r="AK107" s="15" t="str">
        <f aca="false">IF(O107&lt;&gt;"",IF(O107="Price ≤ $5","Excluded – price ≤ $5","Excluded – IV only"),IF(ISNUMBER(D107),IF(AND(D107&gt;=$C$3,L107&gt;=$H$3),"Priority 1",IF(OR(D107&gt;=$C$3,L107&gt;=$H$3),"Priority 2","Priority 3")),IF(L107&gt;=$H$3,"Priority 2","Priority 3")))</f>
        <v>Priority 2</v>
      </c>
      <c r="AL107" s="16" t="str">
        <f aca="false">IF(O107&lt;&gt;"","",IF(ISNUMBER(D107),IF(D107&gt;=$C$3,"High price","Lower price"),"Unpriced")&amp;" · "&amp;IF(L107&gt;=$H$3,"high volume","lower volume"))</f>
        <v>High price · lower volume</v>
      </c>
      <c r="AM107" s="14" t="n">
        <f aca="false">IF(O107&lt;&gt;"","",COUNTIFS($A$29:$A$361,A107,$O$29:$O$361,"",$AQ$29:$AQ$361,"&gt;"&amp;AQ107)+COUNTIFS($A$29:A107,A107,$O$29:O107,"",$AQ$29:AQ107,AQ107))</f>
        <v>11</v>
      </c>
      <c r="AN107" s="19" t="n">
        <f aca="false">IF(AND(O107="",ISNUMBER(D107)),D107,"")</f>
        <v>118.45</v>
      </c>
      <c r="AO107" s="20" t="n">
        <f aca="false">IF(O107="",M107,"")</f>
        <v>132</v>
      </c>
      <c r="AP107" s="20" t="n">
        <f aca="false">IF(O107="",L107,"")</f>
        <v>188</v>
      </c>
      <c r="AQ107" s="33" t="n">
        <f aca="false">IF(O107&lt;&gt;"","",(4-VALUE(RIGHT(AK107,1)))*10^7+N(N107))</f>
        <v>20000262.84</v>
      </c>
      <c r="AR107" s="33" t="n">
        <f aca="false">INDEX($O$7:$O$25,MATCH(A107,$I$7:$I$25,0))</f>
        <v>6</v>
      </c>
      <c r="AS107" s="33" t="n">
        <f aca="false">IF(AE107="No","",AR107*1000+IF(AM107="",900+COUNTIFS($A$29:A107,A107,$O$29:O107,"Price ≤ $5"),AM107))</f>
        <v>6011</v>
      </c>
    </row>
    <row r="108" customFormat="false" ht="28.35" hidden="false" customHeight="false" outlineLevel="0" collapsed="false">
      <c r="A108" s="15" t="s">
        <v>188</v>
      </c>
      <c r="B108" s="15" t="s">
        <v>651</v>
      </c>
      <c r="C108" s="16" t="s">
        <v>652</v>
      </c>
      <c r="D108" s="17" t="n">
        <f aca="false">IF(W108&gt;0,ROUND(AVERAGEIFS('Shortlisted Drugs X Company (7)'!$N$3:$N$698,'Shortlisted Drugs X Company (7)'!$C$3:$C$698,$B108,'Shortlisted Drugs X Company (7)'!$E$3:$E$698,$S108,'Shortlisted Drugs X Company (7)'!$N$3:$N$698,"&gt;5"),2),"")</f>
        <v>73.63</v>
      </c>
      <c r="E108" s="15" t="str">
        <f aca="false">IF(COUNTIFS('Shortlisted Drugs X Company (7)'!$C$3:$C$698,$B108,'Shortlisted Drugs X Company (7)'!$E$3:$E$698,$S108,'Shortlisted Drugs X Company (7)'!$P$3:$P$698,"Exact")&gt;0,"Exact",IF(COUNTIFS('Shortlisted Drugs X Company (7)'!$C$3:$C$698,$B108,'Shortlisted Drugs X Company (7)'!$E$3:$E$698,$S108,'Shortlisted Drugs X Company (7)'!$P$3:$P$698,"Same-market proxy")&gt;0,"Same-market proxy",IF(COUNTIFS('Shortlisted Drugs X Company (7)'!$C$3:$C$698,$B108,'Shortlisted Drugs X Company (7)'!$E$3:$E$698,$S108,'Shortlisted Drugs X Company (7)'!$P$3:$P$698,"Cross-market proxy")&gt;0,"Cross-market proxy",IF(COUNTIFS('Shortlisted Drugs X Company (7)'!$C$3:$C$698,$B108,'Shortlisted Drugs X Company (7)'!$E$3:$E$698,$S108,'Shortlisted Drugs X Company (7)'!$P$3:$P$698,"Source not found")&gt;0,"Source not found","Not priced"))))</f>
        <v>Same-market proxy</v>
      </c>
      <c r="F108" s="18" t="n">
        <f aca="false">IFERROR(ROUND(INDEX('Injectable Value'!$AA$28:$AA$178,MATCH(B108,'Injectable Value'!$A$28:$A$178,0)),1),"")</f>
        <v>132723.1</v>
      </c>
      <c r="G108" s="16" t="s">
        <v>70</v>
      </c>
      <c r="H108" s="14" t="n">
        <v>1</v>
      </c>
      <c r="I108" s="15" t="s">
        <v>248</v>
      </c>
      <c r="J108" s="15" t="s">
        <v>299</v>
      </c>
      <c r="K108" s="16" t="str">
        <f aca="false">"Reconstitution"&amp;IF(V108=0,"; Unpriced","")&amp;IF(AND(V108&gt;0,W108=0,X108=0),"; Low price from another market – confirm with company","")</f>
        <v>Reconstitution</v>
      </c>
      <c r="L108" s="18" t="n">
        <f aca="false">IFERROR(INDEX('Shortlisted Drugs X Company (7)'!$K$3:$K$698,MATCH(B108,'Shortlisted Drugs X Company (7)'!$C$3:$C$698,0)),"")</f>
        <v>848</v>
      </c>
      <c r="M108" s="18" t="n">
        <f aca="false">IFERROR(ROUND(L108*INDEX('Injectable Value'!$Z$28:$Z$178,MATCH(B108,'Injectable Value'!$A$28:$A$178,0)),0),"")</f>
        <v>788</v>
      </c>
      <c r="N108" s="18" t="n">
        <f aca="false">IFERROR(INDEX('Shortlisted Drugs X Company (7)'!$L$3:$L$698,MATCH(B108,'Shortlisted Drugs X Company (7)'!$C$3:$C$698,0)),"")</f>
        <v>142879.93</v>
      </c>
      <c r="O108" s="15" t="str">
        <f aca="false">IF(AE108="No","IV only (not ID/IM/SC)",IF(AND(V108&gt;0,W108=0),"Price ≤ $5",""))</f>
        <v>IV only (not ID/IM/SC)</v>
      </c>
      <c r="P108" s="14" t="str">
        <f aca="false">IF(O108&lt;&gt;"","",COUNTIFS($A$29:$A$361,A108,$O$29:$O$361,"",$AC$29:$AC$361,"&gt;"&amp;AC108)+COUNTIFS($A$29:A108,A108,$O$29:O108,"",$AC$29:AC108,AC108))</f>
        <v/>
      </c>
      <c r="Q108" s="15" t="str">
        <f aca="false">IF(O108&lt;&gt;"",IF(O108="Price ≤ $5","Excluded – price ≤ $5","Excluded – IV only"),IF(ISNUMBER(D108),IF(AND(D108&gt;=$C$3,M108&gt;=$E$3),"Priority 1",IF(OR(D108&gt;=$C$3,M108&gt;=$E$3),"Priority 2","Priority 3")),IF(M108&gt;=$E$3,"Priority 2","Priority 3")))</f>
        <v>Excluded – IV only</v>
      </c>
      <c r="R108" s="16" t="s">
        <v>285</v>
      </c>
      <c r="S108" s="15" t="s">
        <v>188</v>
      </c>
      <c r="T108" s="32" t="s">
        <v>653</v>
      </c>
      <c r="U108" s="33" t="str">
        <f aca="false">B108&amp;"|"&amp;S108</f>
        <v>Trastuzumab|Cipla</v>
      </c>
      <c r="V108" s="34" t="n">
        <f aca="false">COUNTIFS('Shortlisted Drugs X Company (7)'!$C$3:$C$698,$B108,'Shortlisted Drugs X Company (7)'!$E$3:$E$698,$S108,'Shortlisted Drugs X Company (7)'!$N$3:$N$698,"&gt;=0")</f>
        <v>1</v>
      </c>
      <c r="W108" s="34" t="n">
        <f aca="false">COUNTIFS('Shortlisted Drugs X Company (7)'!$C$3:$C$698,$B108,'Shortlisted Drugs X Company (7)'!$E$3:$E$698,$S108,'Shortlisted Drugs X Company (7)'!$N$3:$N$698,"&gt;5")</f>
        <v>1</v>
      </c>
      <c r="X108" s="34" t="n">
        <f aca="false">COUNTIFS('Shortlisted Drugs X Company (7)'!$C$3:$C$698,$B108,'Shortlisted Drugs X Company (7)'!$E$3:$E$698,$S108,'Shortlisted Drugs X Company (7)'!$P$3:$P$698,"Exact")+COUNTIFS('Shortlisted Drugs X Company (7)'!$C$3:$C$698,$B108,'Shortlisted Drugs X Company (7)'!$E$3:$E$698,$S108,'Shortlisted Drugs X Company (7)'!$P$3:$P$698,"Same-market proxy")</f>
        <v>1</v>
      </c>
      <c r="Y108" s="33" t="str">
        <f aca="false">A108&amp;"|"&amp;P108</f>
        <v>Cipla|</v>
      </c>
      <c r="Z108" s="16" t="s">
        <v>654</v>
      </c>
      <c r="AA108" s="33" t="n">
        <f aca="false">INDEX($G$7:$G$25,MATCH(A108,$A$7:$A$25,0))</f>
        <v>4</v>
      </c>
      <c r="AB108" s="33" t="str">
        <f aca="false">IF(AE108="No","",AA108*1000+IF(P108="",900+COUNTIFS($A$29:A108,A108,$O$29:O108,"Price ≤ $5"),P108))</f>
        <v/>
      </c>
      <c r="AC108" s="33" t="str">
        <f aca="false">IF(O108&lt;&gt;"","",(4-VALUE(RIGHT(Q108,1)))*10^7+N(F108))</f>
        <v/>
      </c>
      <c r="AD108" s="15" t="str">
        <f aca="false">IFERROR(INDEX('Route of Administration'!$C$5:$C$155,MATCH(B108,'Route of Administration'!$A$5:$A$155,0)),"")</f>
        <v>IV</v>
      </c>
      <c r="AE108" s="14" t="str">
        <f aca="false">IFERROR(INDEX('Route of Administration'!$D$5:$D$155,MATCH(B108,'Route of Administration'!$A$5:$A$155,0)),"")</f>
        <v>No</v>
      </c>
      <c r="AF108" s="19" t="n">
        <f aca="false">IF(V108&gt;0,ROUND(AVERAGEIFS('Shortlisted Drugs X Company (7)'!$N$3:$N$698,'Shortlisted Drugs X Company (7)'!$C$3:$C$698,$B108,'Shortlisted Drugs X Company (7)'!$E$3:$E$698,$S108,'Shortlisted Drugs X Company (7)'!$N$3:$N$698,"&gt;=0"),2),"")</f>
        <v>73.63</v>
      </c>
      <c r="AG108" s="16" t="s">
        <v>655</v>
      </c>
      <c r="AH108" s="16" t="s">
        <v>583</v>
      </c>
      <c r="AI108" s="16" t="s">
        <v>583</v>
      </c>
      <c r="AJ108" s="16" t="str">
        <f aca="false">IF(O108&lt;&gt;"","",IF(ISNUMBER(D108),IF(D108&gt;=$C$3,"High price","Lower price"),"Unpriced")&amp;" · "&amp;IF(M108&gt;=$E$3,"high volume","lower volume"))</f>
        <v/>
      </c>
      <c r="AK108" s="15" t="str">
        <f aca="false">IF(O108&lt;&gt;"",IF(O108="Price ≤ $5","Excluded – price ≤ $5","Excluded – IV only"),IF(ISNUMBER(D108),IF(AND(D108&gt;=$C$3,L108&gt;=$H$3),"Priority 1",IF(OR(D108&gt;=$C$3,L108&gt;=$H$3),"Priority 2","Priority 3")),IF(L108&gt;=$H$3,"Priority 2","Priority 3")))</f>
        <v>Excluded – IV only</v>
      </c>
      <c r="AL108" s="16" t="str">
        <f aca="false">IF(O108&lt;&gt;"","",IF(ISNUMBER(D108),IF(D108&gt;=$C$3,"High price","Lower price"),"Unpriced")&amp;" · "&amp;IF(L108&gt;=$H$3,"high volume","lower volume"))</f>
        <v/>
      </c>
      <c r="AM108" s="14" t="str">
        <f aca="false">IF(O108&lt;&gt;"","",COUNTIFS($A$29:$A$361,A108,$O$29:$O$361,"",$AQ$29:$AQ$361,"&gt;"&amp;AQ108)+COUNTIFS($A$29:A108,A108,$O$29:O108,"",$AQ$29:AQ108,AQ108))</f>
        <v/>
      </c>
      <c r="AN108" s="33" t="str">
        <f aca="false">IF(AND(O108="",ISNUMBER(D108)),D108,"")</f>
        <v/>
      </c>
      <c r="AO108" s="33" t="str">
        <f aca="false">IF(O108="",M108,"")</f>
        <v/>
      </c>
      <c r="AP108" s="33" t="str">
        <f aca="false">IF(O108="",L108,"")</f>
        <v/>
      </c>
      <c r="AQ108" s="33" t="str">
        <f aca="false">IF(O108&lt;&gt;"","",(4-VALUE(RIGHT(AK108,1)))*10^7+N(N108))</f>
        <v/>
      </c>
      <c r="AR108" s="33" t="n">
        <f aca="false">INDEX($O$7:$O$25,MATCH(A108,$I$7:$I$25,0))</f>
        <v>6</v>
      </c>
      <c r="AS108" s="33" t="str">
        <f aca="false">IF(AE108="No","",AR108*1000+IF(AM108="",900+COUNTIFS($A$29:A108,A108,$O$29:O108,"Price ≤ $5"),AM108))</f>
        <v/>
      </c>
    </row>
    <row r="109" customFormat="false" ht="41.75" hidden="false" customHeight="false" outlineLevel="0" collapsed="false">
      <c r="A109" s="15" t="s">
        <v>188</v>
      </c>
      <c r="B109" s="15" t="s">
        <v>656</v>
      </c>
      <c r="C109" s="16" t="s">
        <v>657</v>
      </c>
      <c r="D109" s="17" t="n">
        <f aca="false">IF(W109&gt;0,ROUND(AVERAGEIFS('Shortlisted Drugs X Company (7)'!$N$3:$N$698,'Shortlisted Drugs X Company (7)'!$C$3:$C$698,$B109,'Shortlisted Drugs X Company (7)'!$E$3:$E$698,$S109,'Shortlisted Drugs X Company (7)'!$N$3:$N$698,"&gt;5"),2),"")</f>
        <v>21.16</v>
      </c>
      <c r="E109" s="15" t="str">
        <f aca="false">IF(COUNTIFS('Shortlisted Drugs X Company (7)'!$C$3:$C$698,$B109,'Shortlisted Drugs X Company (7)'!$E$3:$E$698,$S109,'Shortlisted Drugs X Company (7)'!$P$3:$P$698,"Exact")&gt;0,"Exact",IF(COUNTIFS('Shortlisted Drugs X Company (7)'!$C$3:$C$698,$B109,'Shortlisted Drugs X Company (7)'!$E$3:$E$698,$S109,'Shortlisted Drugs X Company (7)'!$P$3:$P$698,"Same-market proxy")&gt;0,"Same-market proxy",IF(COUNTIFS('Shortlisted Drugs X Company (7)'!$C$3:$C$698,$B109,'Shortlisted Drugs X Company (7)'!$E$3:$E$698,$S109,'Shortlisted Drugs X Company (7)'!$P$3:$P$698,"Cross-market proxy")&gt;0,"Cross-market proxy",IF(COUNTIFS('Shortlisted Drugs X Company (7)'!$C$3:$C$698,$B109,'Shortlisted Drugs X Company (7)'!$E$3:$E$698,$S109,'Shortlisted Drugs X Company (7)'!$P$3:$P$698,"Source not found")&gt;0,"Source not found","Not priced"))))</f>
        <v>Exact</v>
      </c>
      <c r="F109" s="18" t="n">
        <f aca="false">IFERROR(ROUND(INDEX('Injectable Value'!$AA$28:$AA$178,MATCH(B109,'Injectable Value'!$A$28:$A$178,0)),1),"")</f>
        <v>520.8</v>
      </c>
      <c r="G109" s="16" t="s">
        <v>70</v>
      </c>
      <c r="H109" s="14" t="n">
        <v>1</v>
      </c>
      <c r="I109" s="15" t="s">
        <v>248</v>
      </c>
      <c r="J109" s="15" t="s">
        <v>249</v>
      </c>
      <c r="K109" s="16" t="str">
        <f aca="false">"Cancer drug (cytotoxic) – less relevant"&amp;IF(V109=0,"; Unpriced","")&amp;IF(AND(V109&gt;0,W109=0,X109=0),"; Low price from another market – confirm with company","")</f>
        <v>Cancer drug (cytotoxic) – less relevant</v>
      </c>
      <c r="L109" s="18" t="n">
        <f aca="false">IFERROR(INDEX('Shortlisted Drugs X Company (7)'!$K$3:$K$698,MATCH(B109,'Shortlisted Drugs X Company (7)'!$C$3:$C$698,0)),"")</f>
        <v>342</v>
      </c>
      <c r="M109" s="18" t="n">
        <f aca="false">IFERROR(ROUND(L109*INDEX('Injectable Value'!$Z$28:$Z$178,MATCH(B109,'Injectable Value'!$A$28:$A$178,0)),0),"")</f>
        <v>342</v>
      </c>
      <c r="N109" s="18" t="n">
        <f aca="false">IFERROR(INDEX('Shortlisted Drugs X Company (7)'!$L$3:$L$698,MATCH(B109,'Shortlisted Drugs X Company (7)'!$C$3:$C$698,0)),"")</f>
        <v>520.76</v>
      </c>
      <c r="O109" s="15" t="str">
        <f aca="false">IF(AE109="No","IV only (not ID/IM/SC)",IF(AND(V109&gt;0,W109=0),"Price ≤ $5",""))</f>
        <v>IV only (not ID/IM/SC)</v>
      </c>
      <c r="P109" s="14" t="str">
        <f aca="false">IF(O109&lt;&gt;"","",COUNTIFS($A$29:$A$361,A109,$O$29:$O$361,"",$AC$29:$AC$361,"&gt;"&amp;AC109)+COUNTIFS($A$29:A109,A109,$O$29:O109,"",$AC$29:AC109,AC109))</f>
        <v/>
      </c>
      <c r="Q109" s="15" t="str">
        <f aca="false">IF(O109&lt;&gt;"",IF(O109="Price ≤ $5","Excluded – price ≤ $5","Excluded – IV only"),IF(ISNUMBER(D109),IF(AND(D109&gt;=$C$3,M109&gt;=$E$3),"Priority 1",IF(OR(D109&gt;=$C$3,M109&gt;=$E$3),"Priority 2","Priority 3")),IF(M109&gt;=$E$3,"Priority 2","Priority 3")))</f>
        <v>Excluded – IV only</v>
      </c>
      <c r="R109" s="16" t="s">
        <v>285</v>
      </c>
      <c r="S109" s="15" t="s">
        <v>188</v>
      </c>
      <c r="T109" s="32" t="s">
        <v>658</v>
      </c>
      <c r="U109" s="33" t="str">
        <f aca="false">B109&amp;"|"&amp;S109</f>
        <v>Vinblastine|Cipla</v>
      </c>
      <c r="V109" s="34" t="n">
        <f aca="false">COUNTIFS('Shortlisted Drugs X Company (7)'!$C$3:$C$698,$B109,'Shortlisted Drugs X Company (7)'!$E$3:$E$698,$S109,'Shortlisted Drugs X Company (7)'!$N$3:$N$698,"&gt;=0")</f>
        <v>1</v>
      </c>
      <c r="W109" s="34" t="n">
        <f aca="false">COUNTIFS('Shortlisted Drugs X Company (7)'!$C$3:$C$698,$B109,'Shortlisted Drugs X Company (7)'!$E$3:$E$698,$S109,'Shortlisted Drugs X Company (7)'!$N$3:$N$698,"&gt;5")</f>
        <v>1</v>
      </c>
      <c r="X109" s="34" t="n">
        <f aca="false">COUNTIFS('Shortlisted Drugs X Company (7)'!$C$3:$C$698,$B109,'Shortlisted Drugs X Company (7)'!$E$3:$E$698,$S109,'Shortlisted Drugs X Company (7)'!$P$3:$P$698,"Exact")+COUNTIFS('Shortlisted Drugs X Company (7)'!$C$3:$C$698,$B109,'Shortlisted Drugs X Company (7)'!$E$3:$E$698,$S109,'Shortlisted Drugs X Company (7)'!$P$3:$P$698,"Same-market proxy")</f>
        <v>1</v>
      </c>
      <c r="Y109" s="33" t="str">
        <f aca="false">A109&amp;"|"&amp;P109</f>
        <v>Cipla|</v>
      </c>
      <c r="Z109" s="16" t="s">
        <v>659</v>
      </c>
      <c r="AA109" s="33" t="n">
        <f aca="false">INDEX($G$7:$G$25,MATCH(A109,$A$7:$A$25,0))</f>
        <v>4</v>
      </c>
      <c r="AB109" s="33" t="str">
        <f aca="false">IF(AE109="No","",AA109*1000+IF(P109="",900+COUNTIFS($A$29:A109,A109,$O$29:O109,"Price ≤ $5"),P109))</f>
        <v/>
      </c>
      <c r="AC109" s="33" t="str">
        <f aca="false">IF(O109&lt;&gt;"","",(4-VALUE(RIGHT(Q109,1)))*10^7+N(F109))</f>
        <v/>
      </c>
      <c r="AD109" s="15" t="str">
        <f aca="false">IFERROR(INDEX('Route of Administration'!$C$5:$C$155,MATCH(B109,'Route of Administration'!$A$5:$A$155,0)),"")</f>
        <v>IV</v>
      </c>
      <c r="AE109" s="14" t="str">
        <f aca="false">IFERROR(INDEX('Route of Administration'!$D$5:$D$155,MATCH(B109,'Route of Administration'!$A$5:$A$155,0)),"")</f>
        <v>No</v>
      </c>
      <c r="AF109" s="19" t="n">
        <f aca="false">IF(V109&gt;0,ROUND(AVERAGEIFS('Shortlisted Drugs X Company (7)'!$N$3:$N$698,'Shortlisted Drugs X Company (7)'!$C$3:$C$698,$B109,'Shortlisted Drugs X Company (7)'!$E$3:$E$698,$S109,'Shortlisted Drugs X Company (7)'!$N$3:$N$698,"&gt;=0"),2),"")</f>
        <v>21.16</v>
      </c>
      <c r="AG109" s="16" t="s">
        <v>660</v>
      </c>
      <c r="AH109" s="16" t="s">
        <v>328</v>
      </c>
      <c r="AI109" s="16" t="s">
        <v>328</v>
      </c>
      <c r="AJ109" s="16" t="str">
        <f aca="false">IF(O109&lt;&gt;"","",IF(ISNUMBER(D109),IF(D109&gt;=$C$3,"High price","Lower price"),"Unpriced")&amp;" · "&amp;IF(M109&gt;=$E$3,"high volume","lower volume"))</f>
        <v/>
      </c>
      <c r="AK109" s="15" t="str">
        <f aca="false">IF(O109&lt;&gt;"",IF(O109="Price ≤ $5","Excluded – price ≤ $5","Excluded – IV only"),IF(ISNUMBER(D109),IF(AND(D109&gt;=$C$3,L109&gt;=$H$3),"Priority 1",IF(OR(D109&gt;=$C$3,L109&gt;=$H$3),"Priority 2","Priority 3")),IF(L109&gt;=$H$3,"Priority 2","Priority 3")))</f>
        <v>Excluded – IV only</v>
      </c>
      <c r="AL109" s="16" t="str">
        <f aca="false">IF(O109&lt;&gt;"","",IF(ISNUMBER(D109),IF(D109&gt;=$C$3,"High price","Lower price"),"Unpriced")&amp;" · "&amp;IF(L109&gt;=$H$3,"high volume","lower volume"))</f>
        <v/>
      </c>
      <c r="AM109" s="14" t="str">
        <f aca="false">IF(O109&lt;&gt;"","",COUNTIFS($A$29:$A$361,A109,$O$29:$O$361,"",$AQ$29:$AQ$361,"&gt;"&amp;AQ109)+COUNTIFS($A$29:A109,A109,$O$29:O109,"",$AQ$29:AQ109,AQ109))</f>
        <v/>
      </c>
      <c r="AN109" s="33" t="str">
        <f aca="false">IF(AND(O109="",ISNUMBER(D109)),D109,"")</f>
        <v/>
      </c>
      <c r="AO109" s="33" t="str">
        <f aca="false">IF(O109="",M109,"")</f>
        <v/>
      </c>
      <c r="AP109" s="33" t="str">
        <f aca="false">IF(O109="",L109,"")</f>
        <v/>
      </c>
      <c r="AQ109" s="33" t="str">
        <f aca="false">IF(O109&lt;&gt;"","",(4-VALUE(RIGHT(AK109,1)))*10^7+N(N109))</f>
        <v/>
      </c>
      <c r="AR109" s="33" t="n">
        <f aca="false">INDEX($O$7:$O$25,MATCH(A109,$I$7:$I$25,0))</f>
        <v>6</v>
      </c>
      <c r="AS109" s="33" t="str">
        <f aca="false">IF(AE109="No","",AR109*1000+IF(AM109="",900+COUNTIFS($A$29:A109,A109,$O$29:O109,"Price ≤ $5"),AM109))</f>
        <v/>
      </c>
    </row>
    <row r="110" customFormat="false" ht="28.35" hidden="false" customHeight="false" outlineLevel="0" collapsed="false">
      <c r="A110" s="15" t="s">
        <v>188</v>
      </c>
      <c r="B110" s="15" t="s">
        <v>573</v>
      </c>
      <c r="C110" s="16" t="s">
        <v>574</v>
      </c>
      <c r="D110" s="17" t="n">
        <f aca="false">IF(W110&gt;0,ROUND(AVERAGEIFS('Shortlisted Drugs X Company (7)'!$N$3:$N$698,'Shortlisted Drugs X Company (7)'!$C$3:$C$698,$B110,'Shortlisted Drugs X Company (7)'!$E$3:$E$698,$S110,'Shortlisted Drugs X Company (7)'!$N$3:$N$698,"&gt;5"),2),"")</f>
        <v>60.37</v>
      </c>
      <c r="E110" s="15" t="str">
        <f aca="false">IF(COUNTIFS('Shortlisted Drugs X Company (7)'!$C$3:$C$698,$B110,'Shortlisted Drugs X Company (7)'!$E$3:$E$698,$S110,'Shortlisted Drugs X Company (7)'!$P$3:$P$698,"Exact")&gt;0,"Exact",IF(COUNTIFS('Shortlisted Drugs X Company (7)'!$C$3:$C$698,$B110,'Shortlisted Drugs X Company (7)'!$E$3:$E$698,$S110,'Shortlisted Drugs X Company (7)'!$P$3:$P$698,"Same-market proxy")&gt;0,"Same-market proxy",IF(COUNTIFS('Shortlisted Drugs X Company (7)'!$C$3:$C$698,$B110,'Shortlisted Drugs X Company (7)'!$E$3:$E$698,$S110,'Shortlisted Drugs X Company (7)'!$P$3:$P$698,"Cross-market proxy")&gt;0,"Cross-market proxy",IF(COUNTIFS('Shortlisted Drugs X Company (7)'!$C$3:$C$698,$B110,'Shortlisted Drugs X Company (7)'!$E$3:$E$698,$S110,'Shortlisted Drugs X Company (7)'!$P$3:$P$698,"Source not found")&gt;0,"Source not found","Not priced"))))</f>
        <v>Exact</v>
      </c>
      <c r="F110" s="18" t="n">
        <f aca="false">IFERROR(ROUND(INDEX('Injectable Value'!$AA$28:$AA$178,MATCH(B110,'Injectable Value'!$A$28:$A$178,0)),1),"")</f>
        <v>301.7</v>
      </c>
      <c r="G110" s="16" t="s">
        <v>70</v>
      </c>
      <c r="H110" s="14" t="n">
        <v>1</v>
      </c>
      <c r="I110" s="15" t="s">
        <v>248</v>
      </c>
      <c r="J110" s="15" t="s">
        <v>249</v>
      </c>
      <c r="K110" s="16" t="str">
        <f aca="false">"Cancer drug (cytotoxic) – less relevant"&amp;IF(V110=0,"; Unpriced","")&amp;IF(AND(V110&gt;0,W110=0,X110=0),"; Low price from another market – confirm with company","")</f>
        <v>Cancer drug (cytotoxic) – less relevant</v>
      </c>
      <c r="L110" s="18" t="n">
        <f aca="false">IFERROR(INDEX('Shortlisted Drugs X Company (7)'!$K$3:$K$698,MATCH(B110,'Shortlisted Drugs X Company (7)'!$C$3:$C$698,0)),"")</f>
        <v>93</v>
      </c>
      <c r="M110" s="18" t="n">
        <f aca="false">IFERROR(ROUND(L110*INDEX('Injectable Value'!$Z$28:$Z$178,MATCH(B110,'Injectable Value'!$A$28:$A$178,0)),0),"")</f>
        <v>53</v>
      </c>
      <c r="N110" s="18" t="n">
        <f aca="false">IFERROR(INDEX('Shortlisted Drugs X Company (7)'!$L$3:$L$698,MATCH(B110,'Shortlisted Drugs X Company (7)'!$C$3:$C$698,0)),"")</f>
        <v>528.18</v>
      </c>
      <c r="O110" s="15" t="str">
        <f aca="false">IF(AE110="No","IV only (not ID/IM/SC)",IF(AND(V110&gt;0,W110=0),"Price ≤ $5",""))</f>
        <v>IV only (not ID/IM/SC)</v>
      </c>
      <c r="P110" s="14" t="str">
        <f aca="false">IF(O110&lt;&gt;"","",COUNTIFS($A$29:$A$361,A110,$O$29:$O$361,"",$AC$29:$AC$361,"&gt;"&amp;AC110)+COUNTIFS($A$29:A110,A110,$O$29:O110,"",$AC$29:AC110,AC110))</f>
        <v/>
      </c>
      <c r="Q110" s="15" t="str">
        <f aca="false">IF(O110&lt;&gt;"",IF(O110="Price ≤ $5","Excluded – price ≤ $5","Excluded – IV only"),IF(ISNUMBER(D110),IF(AND(D110&gt;=$C$3,M110&gt;=$E$3),"Priority 1",IF(OR(D110&gt;=$C$3,M110&gt;=$E$3),"Priority 2","Priority 3")),IF(M110&gt;=$E$3,"Priority 2","Priority 3")))</f>
        <v>Excluded – IV only</v>
      </c>
      <c r="R110" s="16" t="s">
        <v>250</v>
      </c>
      <c r="S110" s="15" t="s">
        <v>188</v>
      </c>
      <c r="T110" s="32" t="s">
        <v>576</v>
      </c>
      <c r="U110" s="33" t="str">
        <f aca="false">B110&amp;"|"&amp;S110</f>
        <v>Vinorelbine|Cipla</v>
      </c>
      <c r="V110" s="34" t="n">
        <f aca="false">COUNTIFS('Shortlisted Drugs X Company (7)'!$C$3:$C$698,$B110,'Shortlisted Drugs X Company (7)'!$E$3:$E$698,$S110,'Shortlisted Drugs X Company (7)'!$N$3:$N$698,"&gt;=0")</f>
        <v>2</v>
      </c>
      <c r="W110" s="34" t="n">
        <f aca="false">COUNTIFS('Shortlisted Drugs X Company (7)'!$C$3:$C$698,$B110,'Shortlisted Drugs X Company (7)'!$E$3:$E$698,$S110,'Shortlisted Drugs X Company (7)'!$N$3:$N$698,"&gt;5")</f>
        <v>2</v>
      </c>
      <c r="X110" s="34" t="n">
        <f aca="false">COUNTIFS('Shortlisted Drugs X Company (7)'!$C$3:$C$698,$B110,'Shortlisted Drugs X Company (7)'!$E$3:$E$698,$S110,'Shortlisted Drugs X Company (7)'!$P$3:$P$698,"Exact")+COUNTIFS('Shortlisted Drugs X Company (7)'!$C$3:$C$698,$B110,'Shortlisted Drugs X Company (7)'!$E$3:$E$698,$S110,'Shortlisted Drugs X Company (7)'!$P$3:$P$698,"Same-market proxy")</f>
        <v>2</v>
      </c>
      <c r="Y110" s="33" t="str">
        <f aca="false">A110&amp;"|"&amp;P110</f>
        <v>Cipla|</v>
      </c>
      <c r="Z110" s="16" t="s">
        <v>661</v>
      </c>
      <c r="AA110" s="33" t="n">
        <f aca="false">INDEX($G$7:$G$25,MATCH(A110,$A$7:$A$25,0))</f>
        <v>4</v>
      </c>
      <c r="AB110" s="33" t="str">
        <f aca="false">IF(AE110="No","",AA110*1000+IF(P110="",900+COUNTIFS($A$29:A110,A110,$O$29:O110,"Price ≤ $5"),P110))</f>
        <v/>
      </c>
      <c r="AC110" s="33" t="str">
        <f aca="false">IF(O110&lt;&gt;"","",(4-VALUE(RIGHT(Q110,1)))*10^7+N(F110))</f>
        <v/>
      </c>
      <c r="AD110" s="15" t="str">
        <f aca="false">IFERROR(INDEX('Route of Administration'!$C$5:$C$155,MATCH(B110,'Route of Administration'!$A$5:$A$155,0)),"")</f>
        <v>IV</v>
      </c>
      <c r="AE110" s="14" t="str">
        <f aca="false">IFERROR(INDEX('Route of Administration'!$D$5:$D$155,MATCH(B110,'Route of Administration'!$A$5:$A$155,0)),"")</f>
        <v>No</v>
      </c>
      <c r="AF110" s="19" t="n">
        <f aca="false">IF(V110&gt;0,ROUND(AVERAGEIFS('Shortlisted Drugs X Company (7)'!$N$3:$N$698,'Shortlisted Drugs X Company (7)'!$C$3:$C$698,$B110,'Shortlisted Drugs X Company (7)'!$E$3:$E$698,$S110,'Shortlisted Drugs X Company (7)'!$N$3:$N$698,"&gt;=0"),2),"")</f>
        <v>60.37</v>
      </c>
      <c r="AG110" s="16" t="s">
        <v>662</v>
      </c>
      <c r="AH110" s="16" t="s">
        <v>328</v>
      </c>
      <c r="AI110" s="16" t="s">
        <v>328</v>
      </c>
      <c r="AJ110" s="16" t="str">
        <f aca="false">IF(O110&lt;&gt;"","",IF(ISNUMBER(D110),IF(D110&gt;=$C$3,"High price","Lower price"),"Unpriced")&amp;" · "&amp;IF(M110&gt;=$E$3,"high volume","lower volume"))</f>
        <v/>
      </c>
      <c r="AK110" s="15" t="str">
        <f aca="false">IF(O110&lt;&gt;"",IF(O110="Price ≤ $5","Excluded – price ≤ $5","Excluded – IV only"),IF(ISNUMBER(D110),IF(AND(D110&gt;=$C$3,L110&gt;=$H$3),"Priority 1",IF(OR(D110&gt;=$C$3,L110&gt;=$H$3),"Priority 2","Priority 3")),IF(L110&gt;=$H$3,"Priority 2","Priority 3")))</f>
        <v>Excluded – IV only</v>
      </c>
      <c r="AL110" s="16" t="str">
        <f aca="false">IF(O110&lt;&gt;"","",IF(ISNUMBER(D110),IF(D110&gt;=$C$3,"High price","Lower price"),"Unpriced")&amp;" · "&amp;IF(L110&gt;=$H$3,"high volume","lower volume"))</f>
        <v/>
      </c>
      <c r="AM110" s="14" t="str">
        <f aca="false">IF(O110&lt;&gt;"","",COUNTIFS($A$29:$A$361,A110,$O$29:$O$361,"",$AQ$29:$AQ$361,"&gt;"&amp;AQ110)+COUNTIFS($A$29:A110,A110,$O$29:O110,"",$AQ$29:AQ110,AQ110))</f>
        <v/>
      </c>
      <c r="AN110" s="33" t="str">
        <f aca="false">IF(AND(O110="",ISNUMBER(D110)),D110,"")</f>
        <v/>
      </c>
      <c r="AO110" s="33" t="str">
        <f aca="false">IF(O110="",M110,"")</f>
        <v/>
      </c>
      <c r="AP110" s="33" t="str">
        <f aca="false">IF(O110="",L110,"")</f>
        <v/>
      </c>
      <c r="AQ110" s="33" t="str">
        <f aca="false">IF(O110&lt;&gt;"","",(4-VALUE(RIGHT(AK110,1)))*10^7+N(N110))</f>
        <v/>
      </c>
      <c r="AR110" s="33" t="n">
        <f aca="false">INDEX($O$7:$O$25,MATCH(A110,$I$7:$I$25,0))</f>
        <v>6</v>
      </c>
      <c r="AS110" s="33" t="str">
        <f aca="false">IF(AE110="No","",AR110*1000+IF(AM110="",900+COUNTIFS($A$29:A110,A110,$O$29:O110,"Price ≤ $5"),AM110))</f>
        <v/>
      </c>
    </row>
    <row r="111" customFormat="false" ht="95.5" hidden="false" customHeight="false" outlineLevel="0" collapsed="false">
      <c r="A111" s="15" t="s">
        <v>189</v>
      </c>
      <c r="B111" s="15" t="s">
        <v>296</v>
      </c>
      <c r="C111" s="16" t="s">
        <v>297</v>
      </c>
      <c r="D111" s="17" t="n">
        <f aca="false">IF(W111&gt;0,ROUND(AVERAGEIFS('Shortlisted Drugs X Company (7)'!$N$3:$N$698,'Shortlisted Drugs X Company (7)'!$C$3:$C$698,$B111,'Shortlisted Drugs X Company (7)'!$E$3:$E$698,$S111,'Shortlisted Drugs X Company (7)'!$N$3:$N$698,"&gt;5"),2),"")</f>
        <v>259.25</v>
      </c>
      <c r="E111" s="15" t="str">
        <f aca="false">IF(COUNTIFS('Shortlisted Drugs X Company (7)'!$C$3:$C$698,$B111,'Shortlisted Drugs X Company (7)'!$E$3:$E$698,$S111,'Shortlisted Drugs X Company (7)'!$P$3:$P$698,"Exact")&gt;0,"Exact",IF(COUNTIFS('Shortlisted Drugs X Company (7)'!$C$3:$C$698,$B111,'Shortlisted Drugs X Company (7)'!$E$3:$E$698,$S111,'Shortlisted Drugs X Company (7)'!$P$3:$P$698,"Same-market proxy")&gt;0,"Same-market proxy",IF(COUNTIFS('Shortlisted Drugs X Company (7)'!$C$3:$C$698,$B111,'Shortlisted Drugs X Company (7)'!$E$3:$E$698,$S111,'Shortlisted Drugs X Company (7)'!$P$3:$P$698,"Cross-market proxy")&gt;0,"Cross-market proxy",IF(COUNTIFS('Shortlisted Drugs X Company (7)'!$C$3:$C$698,$B111,'Shortlisted Drugs X Company (7)'!$E$3:$E$698,$S111,'Shortlisted Drugs X Company (7)'!$P$3:$P$698,"Source not found")&gt;0,"Source not found","Not priced"))))</f>
        <v>Exact</v>
      </c>
      <c r="F111" s="18" t="n">
        <f aca="false">IFERROR(ROUND(INDEX('Injectable Value'!$AA$28:$AA$178,MATCH(B111,'Injectable Value'!$A$28:$A$178,0)),1),"")</f>
        <v>42181.7</v>
      </c>
      <c r="G111" s="16" t="s">
        <v>663</v>
      </c>
      <c r="H111" s="14" t="n">
        <v>34</v>
      </c>
      <c r="I111" s="15" t="s">
        <v>248</v>
      </c>
      <c r="J111" s="15" t="s">
        <v>324</v>
      </c>
      <c r="K111" s="16" t="str">
        <f aca="false">"Cancer drug (cytotoxic) – less relevant; Reconstitution"&amp;IF(V111=0,"; Unpriced","")&amp;IF(AND(V111&gt;0,W111=0,X111=0),"; Low price from another market – confirm with company","")</f>
        <v>Cancer drug (cytotoxic) – less relevant; Reconstitution</v>
      </c>
      <c r="L111" s="18" t="n">
        <f aca="false">IFERROR(INDEX('Shortlisted Drugs X Company (7)'!$K$3:$K$698,MATCH(B111,'Shortlisted Drugs X Company (7)'!$C$3:$C$698,0)),"")</f>
        <v>762</v>
      </c>
      <c r="M111" s="18" t="n">
        <f aca="false">IFERROR(ROUND(L111*INDEX('Injectable Value'!$Z$28:$Z$178,MATCH(B111,'Injectable Value'!$A$28:$A$178,0)),0),"")</f>
        <v>632</v>
      </c>
      <c r="N111" s="18" t="n">
        <f aca="false">IFERROR(INDEX('Shortlisted Drugs X Company (7)'!$L$3:$L$698,MATCH(B111,'Shortlisted Drugs X Company (7)'!$C$3:$C$698,0)),"")</f>
        <v>50865.56</v>
      </c>
      <c r="O111" s="15" t="str">
        <f aca="false">IF(AE111="No","IV only (not ID/IM/SC)",IF(AND(V111&gt;0,W111=0),"Price ≤ $5",""))</f>
        <v/>
      </c>
      <c r="P111" s="14" t="n">
        <f aca="false">IF(O111&lt;&gt;"","",COUNTIFS($A$29:$A$361,A111,$O$29:$O$361,"",$AC$29:$AC$361,"&gt;"&amp;AC111)+COUNTIFS($A$29:A111,A111,$O$29:O111,"",$AC$29:AC111,AC111))</f>
        <v>2</v>
      </c>
      <c r="Q111" s="15" t="str">
        <f aca="false">IF(O111&lt;&gt;"",IF(O111="Price ≤ $5","Excluded – price ≤ $5","Excluded – IV only"),IF(ISNUMBER(D111),IF(AND(D111&gt;=$C$3,M111&gt;=$E$3),"Priority 1",IF(OR(D111&gt;=$C$3,M111&gt;=$E$3),"Priority 2","Priority 3")),IF(M111&gt;=$E$3,"Priority 2","Priority 3")))</f>
        <v>Priority 1</v>
      </c>
      <c r="R111" s="16" t="s">
        <v>250</v>
      </c>
      <c r="S111" s="15" t="s">
        <v>664</v>
      </c>
      <c r="T111" s="32" t="s">
        <v>300</v>
      </c>
      <c r="U111" s="33" t="str">
        <f aca="false">B111&amp;"|"&amp;S111</f>
        <v>Azacitidine|Dr. Reddy's Laboratories</v>
      </c>
      <c r="V111" s="34" t="n">
        <f aca="false">COUNTIFS('Shortlisted Drugs X Company (7)'!$C$3:$C$698,$B111,'Shortlisted Drugs X Company (7)'!$E$3:$E$698,$S111,'Shortlisted Drugs X Company (7)'!$N$3:$N$698,"&gt;=0")</f>
        <v>5</v>
      </c>
      <c r="W111" s="34" t="n">
        <f aca="false">COUNTIFS('Shortlisted Drugs X Company (7)'!$C$3:$C$698,$B111,'Shortlisted Drugs X Company (7)'!$E$3:$E$698,$S111,'Shortlisted Drugs X Company (7)'!$N$3:$N$698,"&gt;5")</f>
        <v>5</v>
      </c>
      <c r="X111" s="34" t="n">
        <f aca="false">COUNTIFS('Shortlisted Drugs X Company (7)'!$C$3:$C$698,$B111,'Shortlisted Drugs X Company (7)'!$E$3:$E$698,$S111,'Shortlisted Drugs X Company (7)'!$P$3:$P$698,"Exact")+COUNTIFS('Shortlisted Drugs X Company (7)'!$C$3:$C$698,$B111,'Shortlisted Drugs X Company (7)'!$E$3:$E$698,$S111,'Shortlisted Drugs X Company (7)'!$P$3:$P$698,"Same-market proxy")</f>
        <v>5</v>
      </c>
      <c r="Y111" s="33" t="str">
        <f aca="false">A111&amp;"|"&amp;P111</f>
        <v>Dr. Reddy's|2</v>
      </c>
      <c r="Z111" s="16" t="s">
        <v>665</v>
      </c>
      <c r="AA111" s="33" t="n">
        <f aca="false">INDEX($G$7:$G$25,MATCH(A111,$A$7:$A$25,0))</f>
        <v>3</v>
      </c>
      <c r="AB111" s="33" t="n">
        <f aca="false">IF(AE111="No","",AA111*1000+IF(P111="",900+COUNTIFS($A$29:A111,A111,$O$29:O111,"Price ≤ $5"),P111))</f>
        <v>3002</v>
      </c>
      <c r="AC111" s="33" t="n">
        <f aca="false">IF(O111&lt;&gt;"","",(4-VALUE(RIGHT(Q111,1)))*10^7+N(F111))</f>
        <v>30042181.7</v>
      </c>
      <c r="AD111" s="15" t="str">
        <f aca="false">IFERROR(INDEX('Route of Administration'!$C$5:$C$155,MATCH(B111,'Route of Administration'!$A$5:$A$155,0)),"")</f>
        <v>IV, SC</v>
      </c>
      <c r="AE111" s="14" t="str">
        <f aca="false">IFERROR(INDEX('Route of Administration'!$D$5:$D$155,MATCH(B111,'Route of Administration'!$A$5:$A$155,0)),"")</f>
        <v>Yes</v>
      </c>
      <c r="AF111" s="19" t="n">
        <f aca="false">IF(V111&gt;0,ROUND(AVERAGEIFS('Shortlisted Drugs X Company (7)'!$N$3:$N$698,'Shortlisted Drugs X Company (7)'!$C$3:$C$698,$B111,'Shortlisted Drugs X Company (7)'!$E$3:$E$698,$S111,'Shortlisted Drugs X Company (7)'!$N$3:$N$698,"&gt;=0"),2),"")</f>
        <v>259.25</v>
      </c>
      <c r="AG111" s="16" t="s">
        <v>666</v>
      </c>
      <c r="AH111" s="16" t="s">
        <v>667</v>
      </c>
      <c r="AI111" s="16" t="s">
        <v>668</v>
      </c>
      <c r="AJ111" s="16" t="str">
        <f aca="false">IF(O111&lt;&gt;"","",IF(ISNUMBER(D111),IF(D111&gt;=$C$3,"High price","Lower price"),"Unpriced")&amp;" · "&amp;IF(M111&gt;=$E$3,"high volume","lower volume"))</f>
        <v>High price · high volume</v>
      </c>
      <c r="AK111" s="15" t="str">
        <f aca="false">IF(O111&lt;&gt;"",IF(O111="Price ≤ $5","Excluded – price ≤ $5","Excluded – IV only"),IF(ISNUMBER(D111),IF(AND(D111&gt;=$C$3,L111&gt;=$H$3),"Priority 1",IF(OR(D111&gt;=$C$3,L111&gt;=$H$3),"Priority 2","Priority 3")),IF(L111&gt;=$H$3,"Priority 2","Priority 3")))</f>
        <v>Priority 1</v>
      </c>
      <c r="AL111" s="16" t="str">
        <f aca="false">IF(O111&lt;&gt;"","",IF(ISNUMBER(D111),IF(D111&gt;=$C$3,"High price","Lower price"),"Unpriced")&amp;" · "&amp;IF(L111&gt;=$H$3,"high volume","lower volume"))</f>
        <v>High price · high volume</v>
      </c>
      <c r="AM111" s="14" t="n">
        <f aca="false">IF(O111&lt;&gt;"","",COUNTIFS($A$29:$A$361,A111,$O$29:$O$361,"",$AQ$29:$AQ$361,"&gt;"&amp;AQ111)+COUNTIFS($A$29:A111,A111,$O$29:O111,"",$AQ$29:AQ111,AQ111))</f>
        <v>1</v>
      </c>
      <c r="AN111" s="19" t="n">
        <f aca="false">IF(AND(O111="",ISNUMBER(D111)),D111,"")</f>
        <v>259.25</v>
      </c>
      <c r="AO111" s="20" t="n">
        <f aca="false">IF(O111="",M111,"")</f>
        <v>632</v>
      </c>
      <c r="AP111" s="20" t="n">
        <f aca="false">IF(O111="",L111,"")</f>
        <v>762</v>
      </c>
      <c r="AQ111" s="33" t="n">
        <f aca="false">IF(O111&lt;&gt;"","",(4-VALUE(RIGHT(AK111,1)))*10^7+N(N111))</f>
        <v>30050865.56</v>
      </c>
      <c r="AR111" s="33" t="n">
        <f aca="false">INDEX($O$7:$O$25,MATCH(A111,$I$7:$I$25,0))</f>
        <v>8</v>
      </c>
      <c r="AS111" s="33" t="n">
        <f aca="false">IF(AE111="No","",AR111*1000+IF(AM111="",900+COUNTIFS($A$29:A111,A111,$O$29:O111,"Price ≤ $5"),AM111))</f>
        <v>8001</v>
      </c>
    </row>
    <row r="112" customFormat="false" ht="28.35" hidden="false" customHeight="false" outlineLevel="0" collapsed="false">
      <c r="A112" s="15" t="s">
        <v>189</v>
      </c>
      <c r="B112" s="15" t="s">
        <v>669</v>
      </c>
      <c r="C112" s="16" t="s">
        <v>670</v>
      </c>
      <c r="D112" s="17" t="n">
        <f aca="false">IF(W112&gt;0,ROUND(AVERAGEIFS('Shortlisted Drugs X Company (7)'!$N$3:$N$698,'Shortlisted Drugs X Company (7)'!$C$3:$C$698,$B112,'Shortlisted Drugs X Company (7)'!$E$3:$E$698,$S112,'Shortlisted Drugs X Company (7)'!$N$3:$N$698,"&gt;5"),2),"")</f>
        <v>31.16</v>
      </c>
      <c r="E112" s="15" t="str">
        <f aca="false">IF(COUNTIFS('Shortlisted Drugs X Company (7)'!$C$3:$C$698,$B112,'Shortlisted Drugs X Company (7)'!$E$3:$E$698,$S112,'Shortlisted Drugs X Company (7)'!$P$3:$P$698,"Exact")&gt;0,"Exact",IF(COUNTIFS('Shortlisted Drugs X Company (7)'!$C$3:$C$698,$B112,'Shortlisted Drugs X Company (7)'!$E$3:$E$698,$S112,'Shortlisted Drugs X Company (7)'!$P$3:$P$698,"Same-market proxy")&gt;0,"Same-market proxy",IF(COUNTIFS('Shortlisted Drugs X Company (7)'!$C$3:$C$698,$B112,'Shortlisted Drugs X Company (7)'!$E$3:$E$698,$S112,'Shortlisted Drugs X Company (7)'!$P$3:$P$698,"Cross-market proxy")&gt;0,"Cross-market proxy",IF(COUNTIFS('Shortlisted Drugs X Company (7)'!$C$3:$C$698,$B112,'Shortlisted Drugs X Company (7)'!$E$3:$E$698,$S112,'Shortlisted Drugs X Company (7)'!$P$3:$P$698,"Source not found")&gt;0,"Source not found","Not priced"))))</f>
        <v>Same-market proxy</v>
      </c>
      <c r="F112" s="18" t="n">
        <f aca="false">IFERROR(ROUND(INDEX('Injectable Value'!$AA$28:$AA$178,MATCH(B112,'Injectable Value'!$A$28:$A$178,0)),1),"")</f>
        <v>806.3</v>
      </c>
      <c r="G112" s="16" t="s">
        <v>247</v>
      </c>
      <c r="H112" s="14" t="n">
        <v>1</v>
      </c>
      <c r="I112" s="15" t="s">
        <v>248</v>
      </c>
      <c r="J112" s="15" t="s">
        <v>299</v>
      </c>
      <c r="K112" s="16" t="str">
        <f aca="false">"Reconstitution"&amp;IF(V112=0,"; Unpriced","")&amp;IF(AND(V112&gt;0,W112=0,X112=0),"; Low price from another market – confirm with company","")</f>
        <v>Reconstitution</v>
      </c>
      <c r="L112" s="18" t="n">
        <f aca="false">IFERROR(INDEX('Shortlisted Drugs X Company (7)'!$K$3:$K$698,MATCH(B112,'Shortlisted Drugs X Company (7)'!$C$3:$C$698,0)),"")</f>
        <v>5</v>
      </c>
      <c r="M112" s="18" t="n">
        <f aca="false">IFERROR(ROUND(L112*INDEX('Injectable Value'!$Z$28:$Z$178,MATCH(B112,'Injectable Value'!$A$28:$A$178,0)),0),"")</f>
        <v>5</v>
      </c>
      <c r="N112" s="18" t="n">
        <f aca="false">IFERROR(INDEX('Shortlisted Drugs X Company (7)'!$L$3:$L$698,MATCH(B112,'Shortlisted Drugs X Company (7)'!$C$3:$C$698,0)),"")</f>
        <v>806.34</v>
      </c>
      <c r="O112" s="15" t="str">
        <f aca="false">IF(AE112="No","IV only (not ID/IM/SC)",IF(AND(V112&gt;0,W112=0),"Price ≤ $5",""))</f>
        <v>IV only (not ID/IM/SC)</v>
      </c>
      <c r="P112" s="14" t="str">
        <f aca="false">IF(O112&lt;&gt;"","",COUNTIFS($A$29:$A$361,A112,$O$29:$O$361,"",$AC$29:$AC$361,"&gt;"&amp;AC112)+COUNTIFS($A$29:A112,A112,$O$29:O112,"",$AC$29:AC112,AC112))</f>
        <v/>
      </c>
      <c r="Q112" s="15" t="str">
        <f aca="false">IF(O112&lt;&gt;"",IF(O112="Price ≤ $5","Excluded – price ≤ $5","Excluded – IV only"),IF(ISNUMBER(D112),IF(AND(D112&gt;=$C$3,M112&gt;=$E$3),"Priority 1",IF(OR(D112&gt;=$C$3,M112&gt;=$E$3),"Priority 2","Priority 3")),IF(M112&gt;=$E$3,"Priority 2","Priority 3")))</f>
        <v>Excluded – IV only</v>
      </c>
      <c r="R112" s="16" t="s">
        <v>285</v>
      </c>
      <c r="S112" s="15" t="s">
        <v>664</v>
      </c>
      <c r="T112" s="32" t="s">
        <v>671</v>
      </c>
      <c r="U112" s="33" t="str">
        <f aca="false">B112&amp;"|"&amp;S112</f>
        <v>Bivalirudin|Dr. Reddy's Laboratories</v>
      </c>
      <c r="V112" s="34" t="n">
        <f aca="false">COUNTIFS('Shortlisted Drugs X Company (7)'!$C$3:$C$698,$B112,'Shortlisted Drugs X Company (7)'!$E$3:$E$698,$S112,'Shortlisted Drugs X Company (7)'!$N$3:$N$698,"&gt;=0")</f>
        <v>1</v>
      </c>
      <c r="W112" s="34" t="n">
        <f aca="false">COUNTIFS('Shortlisted Drugs X Company (7)'!$C$3:$C$698,$B112,'Shortlisted Drugs X Company (7)'!$E$3:$E$698,$S112,'Shortlisted Drugs X Company (7)'!$N$3:$N$698,"&gt;5")</f>
        <v>1</v>
      </c>
      <c r="X112" s="34" t="n">
        <f aca="false">COUNTIFS('Shortlisted Drugs X Company (7)'!$C$3:$C$698,$B112,'Shortlisted Drugs X Company (7)'!$E$3:$E$698,$S112,'Shortlisted Drugs X Company (7)'!$P$3:$P$698,"Exact")+COUNTIFS('Shortlisted Drugs X Company (7)'!$C$3:$C$698,$B112,'Shortlisted Drugs X Company (7)'!$E$3:$E$698,$S112,'Shortlisted Drugs X Company (7)'!$P$3:$P$698,"Same-market proxy")</f>
        <v>1</v>
      </c>
      <c r="Y112" s="33" t="str">
        <f aca="false">A112&amp;"|"&amp;P112</f>
        <v>Dr. Reddy's|</v>
      </c>
      <c r="Z112" s="16" t="s">
        <v>672</v>
      </c>
      <c r="AA112" s="33" t="n">
        <f aca="false">INDEX($G$7:$G$25,MATCH(A112,$A$7:$A$25,0))</f>
        <v>3</v>
      </c>
      <c r="AB112" s="33" t="str">
        <f aca="false">IF(AE112="No","",AA112*1000+IF(P112="",900+COUNTIFS($A$29:A112,A112,$O$29:O112,"Price ≤ $5"),P112))</f>
        <v/>
      </c>
      <c r="AC112" s="33" t="str">
        <f aca="false">IF(O112&lt;&gt;"","",(4-VALUE(RIGHT(Q112,1)))*10^7+N(F112))</f>
        <v/>
      </c>
      <c r="AD112" s="15" t="str">
        <f aca="false">IFERROR(INDEX('Route of Administration'!$C$5:$C$155,MATCH(B112,'Route of Administration'!$A$5:$A$155,0)),"")</f>
        <v>IV</v>
      </c>
      <c r="AE112" s="14" t="str">
        <f aca="false">IFERROR(INDEX('Route of Administration'!$D$5:$D$155,MATCH(B112,'Route of Administration'!$A$5:$A$155,0)),"")</f>
        <v>No</v>
      </c>
      <c r="AF112" s="19" t="n">
        <f aca="false">IF(V112&gt;0,ROUND(AVERAGEIFS('Shortlisted Drugs X Company (7)'!$N$3:$N$698,'Shortlisted Drugs X Company (7)'!$C$3:$C$698,$B112,'Shortlisted Drugs X Company (7)'!$E$3:$E$698,$S112,'Shortlisted Drugs X Company (7)'!$N$3:$N$698,"&gt;=0"),2),"")</f>
        <v>31.16</v>
      </c>
      <c r="AG112" s="16" t="s">
        <v>669</v>
      </c>
      <c r="AH112" s="16" t="s">
        <v>247</v>
      </c>
      <c r="AI112" s="16" t="s">
        <v>247</v>
      </c>
      <c r="AJ112" s="16" t="str">
        <f aca="false">IF(O112&lt;&gt;"","",IF(ISNUMBER(D112),IF(D112&gt;=$C$3,"High price","Lower price"),"Unpriced")&amp;" · "&amp;IF(M112&gt;=$E$3,"high volume","lower volume"))</f>
        <v/>
      </c>
      <c r="AK112" s="15" t="str">
        <f aca="false">IF(O112&lt;&gt;"",IF(O112="Price ≤ $5","Excluded – price ≤ $5","Excluded – IV only"),IF(ISNUMBER(D112),IF(AND(D112&gt;=$C$3,L112&gt;=$H$3),"Priority 1",IF(OR(D112&gt;=$C$3,L112&gt;=$H$3),"Priority 2","Priority 3")),IF(L112&gt;=$H$3,"Priority 2","Priority 3")))</f>
        <v>Excluded – IV only</v>
      </c>
      <c r="AL112" s="16" t="str">
        <f aca="false">IF(O112&lt;&gt;"","",IF(ISNUMBER(D112),IF(D112&gt;=$C$3,"High price","Lower price"),"Unpriced")&amp;" · "&amp;IF(L112&gt;=$H$3,"high volume","lower volume"))</f>
        <v/>
      </c>
      <c r="AM112" s="14" t="str">
        <f aca="false">IF(O112&lt;&gt;"","",COUNTIFS($A$29:$A$361,A112,$O$29:$O$361,"",$AQ$29:$AQ$361,"&gt;"&amp;AQ112)+COUNTIFS($A$29:A112,A112,$O$29:O112,"",$AQ$29:AQ112,AQ112))</f>
        <v/>
      </c>
      <c r="AN112" s="33" t="str">
        <f aca="false">IF(AND(O112="",ISNUMBER(D112)),D112,"")</f>
        <v/>
      </c>
      <c r="AO112" s="33" t="str">
        <f aca="false">IF(O112="",M112,"")</f>
        <v/>
      </c>
      <c r="AP112" s="33" t="str">
        <f aca="false">IF(O112="",L112,"")</f>
        <v/>
      </c>
      <c r="AQ112" s="33" t="str">
        <f aca="false">IF(O112&lt;&gt;"","",(4-VALUE(RIGHT(AK112,1)))*10^7+N(N112))</f>
        <v/>
      </c>
      <c r="AR112" s="33" t="n">
        <f aca="false">INDEX($O$7:$O$25,MATCH(A112,$I$7:$I$25,0))</f>
        <v>8</v>
      </c>
      <c r="AS112" s="33" t="str">
        <f aca="false">IF(AE112="No","",AR112*1000+IF(AM112="",900+COUNTIFS($A$29:A112,A112,$O$29:O112,"Price ≤ $5"),AM112))</f>
        <v/>
      </c>
    </row>
    <row r="113" customFormat="false" ht="41.75" hidden="false" customHeight="false" outlineLevel="0" collapsed="false">
      <c r="A113" s="15" t="s">
        <v>189</v>
      </c>
      <c r="B113" s="15" t="s">
        <v>305</v>
      </c>
      <c r="C113" s="16" t="s">
        <v>306</v>
      </c>
      <c r="D113" s="17" t="n">
        <f aca="false">IF(W113&gt;0,ROUND(AVERAGEIFS('Shortlisted Drugs X Company (7)'!$N$3:$N$698,'Shortlisted Drugs X Company (7)'!$C$3:$C$698,$B113,'Shortlisted Drugs X Company (7)'!$E$3:$E$698,$S113,'Shortlisted Drugs X Company (7)'!$N$3:$N$698,"&gt;5"),2),"")</f>
        <v>711.76</v>
      </c>
      <c r="E113" s="15" t="str">
        <f aca="false">IF(COUNTIFS('Shortlisted Drugs X Company (7)'!$C$3:$C$698,$B113,'Shortlisted Drugs X Company (7)'!$E$3:$E$698,$S113,'Shortlisted Drugs X Company (7)'!$P$3:$P$698,"Exact")&gt;0,"Exact",IF(COUNTIFS('Shortlisted Drugs X Company (7)'!$C$3:$C$698,$B113,'Shortlisted Drugs X Company (7)'!$E$3:$E$698,$S113,'Shortlisted Drugs X Company (7)'!$P$3:$P$698,"Same-market proxy")&gt;0,"Same-market proxy",IF(COUNTIFS('Shortlisted Drugs X Company (7)'!$C$3:$C$698,$B113,'Shortlisted Drugs X Company (7)'!$E$3:$E$698,$S113,'Shortlisted Drugs X Company (7)'!$P$3:$P$698,"Cross-market proxy")&gt;0,"Cross-market proxy",IF(COUNTIFS('Shortlisted Drugs X Company (7)'!$C$3:$C$698,$B113,'Shortlisted Drugs X Company (7)'!$E$3:$E$698,$S113,'Shortlisted Drugs X Company (7)'!$P$3:$P$698,"Source not found")&gt;0,"Source not found","Not priced"))))</f>
        <v>Exact</v>
      </c>
      <c r="F113" s="18" t="n">
        <f aca="false">IFERROR(ROUND(INDEX('Injectable Value'!$AA$28:$AA$178,MATCH(B113,'Injectable Value'!$A$28:$A$178,0)),1),"")</f>
        <v>28093.4</v>
      </c>
      <c r="G113" s="16" t="s">
        <v>673</v>
      </c>
      <c r="H113" s="14" t="n">
        <v>18</v>
      </c>
      <c r="I113" s="15" t="s">
        <v>248</v>
      </c>
      <c r="J113" s="15" t="s">
        <v>249</v>
      </c>
      <c r="K113" s="16" t="str">
        <f aca="false">"Cancer drug (cytotoxic) – less relevant; Reconstitution"&amp;IF(V113=0,"; Unpriced","")&amp;IF(AND(V113&gt;0,W113=0,X113=0),"; Low price from another market – confirm with company","")</f>
        <v>Cancer drug (cytotoxic) – less relevant; Reconstitution</v>
      </c>
      <c r="L113" s="18" t="n">
        <f aca="false">IFERROR(INDEX('Shortlisted Drugs X Company (7)'!$K$3:$K$698,MATCH(B113,'Shortlisted Drugs X Company (7)'!$C$3:$C$698,0)),"")</f>
        <v>905</v>
      </c>
      <c r="M113" s="18" t="n">
        <f aca="false">IFERROR(ROUND(L113*INDEX('Injectable Value'!$Z$28:$Z$178,MATCH(B113,'Injectable Value'!$A$28:$A$178,0)),0),"")</f>
        <v>905</v>
      </c>
      <c r="N113" s="18" t="n">
        <f aca="false">IFERROR(INDEX('Shortlisted Drugs X Company (7)'!$L$3:$L$698,MATCH(B113,'Shortlisted Drugs X Company (7)'!$C$3:$C$698,0)),"")</f>
        <v>28093.38</v>
      </c>
      <c r="O113" s="15" t="str">
        <f aca="false">IF(AE113="No","IV only (not ID/IM/SC)",IF(AND(V113&gt;0,W113=0),"Price ≤ $5",""))</f>
        <v/>
      </c>
      <c r="P113" s="14" t="n">
        <f aca="false">IF(O113&lt;&gt;"","",COUNTIFS($A$29:$A$361,A113,$O$29:$O$361,"",$AC$29:$AC$361,"&gt;"&amp;AC113)+COUNTIFS($A$29:A113,A113,$O$29:O113,"",$AC$29:AC113,AC113))</f>
        <v>3</v>
      </c>
      <c r="Q113" s="15" t="str">
        <f aca="false">IF(O113&lt;&gt;"",IF(O113="Price ≤ $5","Excluded – price ≤ $5","Excluded – IV only"),IF(ISNUMBER(D113),IF(AND(D113&gt;=$C$3,M113&gt;=$E$3),"Priority 1",IF(OR(D113&gt;=$C$3,M113&gt;=$E$3),"Priority 2","Priority 3")),IF(M113&gt;=$E$3,"Priority 2","Priority 3")))</f>
        <v>Priority 1</v>
      </c>
      <c r="R113" s="16" t="s">
        <v>250</v>
      </c>
      <c r="S113" s="15" t="s">
        <v>664</v>
      </c>
      <c r="T113" s="32" t="s">
        <v>308</v>
      </c>
      <c r="U113" s="33" t="str">
        <f aca="false">B113&amp;"|"&amp;S113</f>
        <v>Bortezomib|Dr. Reddy's Laboratories</v>
      </c>
      <c r="V113" s="34" t="n">
        <f aca="false">COUNTIFS('Shortlisted Drugs X Company (7)'!$C$3:$C$698,$B113,'Shortlisted Drugs X Company (7)'!$E$3:$E$698,$S113,'Shortlisted Drugs X Company (7)'!$N$3:$N$698,"&gt;=0")</f>
        <v>5</v>
      </c>
      <c r="W113" s="34" t="n">
        <f aca="false">COUNTIFS('Shortlisted Drugs X Company (7)'!$C$3:$C$698,$B113,'Shortlisted Drugs X Company (7)'!$E$3:$E$698,$S113,'Shortlisted Drugs X Company (7)'!$N$3:$N$698,"&gt;5")</f>
        <v>5</v>
      </c>
      <c r="X113" s="34" t="n">
        <f aca="false">COUNTIFS('Shortlisted Drugs X Company (7)'!$C$3:$C$698,$B113,'Shortlisted Drugs X Company (7)'!$E$3:$E$698,$S113,'Shortlisted Drugs X Company (7)'!$P$3:$P$698,"Exact")+COUNTIFS('Shortlisted Drugs X Company (7)'!$C$3:$C$698,$B113,'Shortlisted Drugs X Company (7)'!$E$3:$E$698,$S113,'Shortlisted Drugs X Company (7)'!$P$3:$P$698,"Same-market proxy")</f>
        <v>5</v>
      </c>
      <c r="Y113" s="33" t="str">
        <f aca="false">A113&amp;"|"&amp;P113</f>
        <v>Dr. Reddy's|3</v>
      </c>
      <c r="Z113" s="16" t="s">
        <v>674</v>
      </c>
      <c r="AA113" s="33" t="n">
        <f aca="false">INDEX($G$7:$G$25,MATCH(A113,$A$7:$A$25,0))</f>
        <v>3</v>
      </c>
      <c r="AB113" s="33" t="n">
        <f aca="false">IF(AE113="No","",AA113*1000+IF(P113="",900+COUNTIFS($A$29:A113,A113,$O$29:O113,"Price ≤ $5"),P113))</f>
        <v>3003</v>
      </c>
      <c r="AC113" s="33" t="n">
        <f aca="false">IF(O113&lt;&gt;"","",(4-VALUE(RIGHT(Q113,1)))*10^7+N(F113))</f>
        <v>30028093.4</v>
      </c>
      <c r="AD113" s="15" t="str">
        <f aca="false">IFERROR(INDEX('Route of Administration'!$C$5:$C$155,MATCH(B113,'Route of Administration'!$A$5:$A$155,0)),"")</f>
        <v>IV, SC</v>
      </c>
      <c r="AE113" s="14" t="str">
        <f aca="false">IFERROR(INDEX('Route of Administration'!$D$5:$D$155,MATCH(B113,'Route of Administration'!$A$5:$A$155,0)),"")</f>
        <v>Yes</v>
      </c>
      <c r="AF113" s="19" t="n">
        <f aca="false">IF(V113&gt;0,ROUND(AVERAGEIFS('Shortlisted Drugs X Company (7)'!$N$3:$N$698,'Shortlisted Drugs X Company (7)'!$C$3:$C$698,$B113,'Shortlisted Drugs X Company (7)'!$E$3:$E$698,$S113,'Shortlisted Drugs X Company (7)'!$N$3:$N$698,"&gt;=0"),2),"")</f>
        <v>711.76</v>
      </c>
      <c r="AG113" s="16" t="s">
        <v>675</v>
      </c>
      <c r="AH113" s="16" t="s">
        <v>676</v>
      </c>
      <c r="AI113" s="16" t="s">
        <v>677</v>
      </c>
      <c r="AJ113" s="16" t="str">
        <f aca="false">IF(O113&lt;&gt;"","",IF(ISNUMBER(D113),IF(D113&gt;=$C$3,"High price","Lower price"),"Unpriced")&amp;" · "&amp;IF(M113&gt;=$E$3,"high volume","lower volume"))</f>
        <v>High price · high volume</v>
      </c>
      <c r="AK113" s="15" t="str">
        <f aca="false">IF(O113&lt;&gt;"",IF(O113="Price ≤ $5","Excluded – price ≤ $5","Excluded – IV only"),IF(ISNUMBER(D113),IF(AND(D113&gt;=$C$3,L113&gt;=$H$3),"Priority 1",IF(OR(D113&gt;=$C$3,L113&gt;=$H$3),"Priority 2","Priority 3")),IF(L113&gt;=$H$3,"Priority 2","Priority 3")))</f>
        <v>Priority 1</v>
      </c>
      <c r="AL113" s="16" t="str">
        <f aca="false">IF(O113&lt;&gt;"","",IF(ISNUMBER(D113),IF(D113&gt;=$C$3,"High price","Lower price"),"Unpriced")&amp;" · "&amp;IF(L113&gt;=$H$3,"high volume","lower volume"))</f>
        <v>High price · high volume</v>
      </c>
      <c r="AM113" s="14" t="n">
        <f aca="false">IF(O113&lt;&gt;"","",COUNTIFS($A$29:$A$361,A113,$O$29:$O$361,"",$AQ$29:$AQ$361,"&gt;"&amp;AQ113)+COUNTIFS($A$29:A113,A113,$O$29:O113,"",$AQ$29:AQ113,AQ113))</f>
        <v>2</v>
      </c>
      <c r="AN113" s="19" t="n">
        <f aca="false">IF(AND(O113="",ISNUMBER(D113)),D113,"")</f>
        <v>711.76</v>
      </c>
      <c r="AO113" s="20" t="n">
        <f aca="false">IF(O113="",M113,"")</f>
        <v>905</v>
      </c>
      <c r="AP113" s="20" t="n">
        <f aca="false">IF(O113="",L113,"")</f>
        <v>905</v>
      </c>
      <c r="AQ113" s="33" t="n">
        <f aca="false">IF(O113&lt;&gt;"","",(4-VALUE(RIGHT(AK113,1)))*10^7+N(N113))</f>
        <v>30028093.38</v>
      </c>
      <c r="AR113" s="33" t="n">
        <f aca="false">INDEX($O$7:$O$25,MATCH(A113,$I$7:$I$25,0))</f>
        <v>8</v>
      </c>
      <c r="AS113" s="33" t="n">
        <f aca="false">IF(AE113="No","",AR113*1000+IF(AM113="",900+COUNTIFS($A$29:A113,A113,$O$29:O113,"Price ≤ $5"),AM113))</f>
        <v>8002</v>
      </c>
    </row>
    <row r="114" customFormat="false" ht="41.75" hidden="false" customHeight="false" outlineLevel="0" collapsed="false">
      <c r="A114" s="15" t="s">
        <v>189</v>
      </c>
      <c r="B114" s="15" t="s">
        <v>245</v>
      </c>
      <c r="C114" s="16" t="s">
        <v>246</v>
      </c>
      <c r="D114" s="17" t="n">
        <f aca="false">IF(W114&gt;0,ROUND(AVERAGEIFS('Shortlisted Drugs X Company (7)'!$N$3:$N$698,'Shortlisted Drugs X Company (7)'!$C$3:$C$698,$B114,'Shortlisted Drugs X Company (7)'!$E$3:$E$698,$S114,'Shortlisted Drugs X Company (7)'!$N$3:$N$698,"&gt;5"),2),"")</f>
        <v>127.38</v>
      </c>
      <c r="E114" s="15" t="str">
        <f aca="false">IF(COUNTIFS('Shortlisted Drugs X Company (7)'!$C$3:$C$698,$B114,'Shortlisted Drugs X Company (7)'!$E$3:$E$698,$S114,'Shortlisted Drugs X Company (7)'!$P$3:$P$698,"Exact")&gt;0,"Exact",IF(COUNTIFS('Shortlisted Drugs X Company (7)'!$C$3:$C$698,$B114,'Shortlisted Drugs X Company (7)'!$E$3:$E$698,$S114,'Shortlisted Drugs X Company (7)'!$P$3:$P$698,"Same-market proxy")&gt;0,"Same-market proxy",IF(COUNTIFS('Shortlisted Drugs X Company (7)'!$C$3:$C$698,$B114,'Shortlisted Drugs X Company (7)'!$E$3:$E$698,$S114,'Shortlisted Drugs X Company (7)'!$P$3:$P$698,"Cross-market proxy")&gt;0,"Cross-market proxy",IF(COUNTIFS('Shortlisted Drugs X Company (7)'!$C$3:$C$698,$B114,'Shortlisted Drugs X Company (7)'!$E$3:$E$698,$S114,'Shortlisted Drugs X Company (7)'!$P$3:$P$698,"Source not found")&gt;0,"Source not found","Not priced"))))</f>
        <v>Same-market proxy</v>
      </c>
      <c r="F114" s="18" t="n">
        <f aca="false">IFERROR(ROUND(INDEX('Injectable Value'!$AA$28:$AA$178,MATCH(B114,'Injectable Value'!$A$28:$A$178,0)),1),"")</f>
        <v>3625.3</v>
      </c>
      <c r="G114" s="16" t="s">
        <v>247</v>
      </c>
      <c r="H114" s="14" t="n">
        <v>2</v>
      </c>
      <c r="I114" s="15" t="s">
        <v>441</v>
      </c>
      <c r="J114" s="15" t="s">
        <v>249</v>
      </c>
      <c r="K114" s="16" t="str">
        <f aca="false">""&amp;IF(V114=0,"Unpriced","")&amp;IF(AND(V114&gt;0,W114=0,X114=0),"Low price from another market – confirm with company","")</f>
        <v/>
      </c>
      <c r="L114" s="18" t="n">
        <f aca="false">IFERROR(INDEX('Shortlisted Drugs X Company (7)'!$K$3:$K$698,MATCH(B114,'Shortlisted Drugs X Company (7)'!$C$3:$C$698,0)),"")</f>
        <v>156</v>
      </c>
      <c r="M114" s="18" t="n">
        <f aca="false">IFERROR(ROUND(L114*INDEX('Injectable Value'!$Z$28:$Z$178,MATCH(B114,'Injectable Value'!$A$28:$A$178,0)),0),"")</f>
        <v>143</v>
      </c>
      <c r="N114" s="18" t="n">
        <f aca="false">IFERROR(INDEX('Shortlisted Drugs X Company (7)'!$L$3:$L$698,MATCH(B114,'Shortlisted Drugs X Company (7)'!$C$3:$C$698,0)),"")</f>
        <v>3954.83</v>
      </c>
      <c r="O114" s="15" t="str">
        <f aca="false">IF(AE114="No","IV only (not ID/IM/SC)",IF(AND(V114&gt;0,W114=0),"Price ≤ $5",""))</f>
        <v/>
      </c>
      <c r="P114" s="14" t="n">
        <f aca="false">IF(O114&lt;&gt;"","",COUNTIFS($A$29:$A$361,A114,$O$29:$O$361,"",$AC$29:$AC$361,"&gt;"&amp;AC114)+COUNTIFS($A$29:A114,A114,$O$29:O114,"",$AC$29:AC114,AC114))</f>
        <v>6</v>
      </c>
      <c r="Q114" s="15" t="str">
        <f aca="false">IF(O114&lt;&gt;"",IF(O114="Price ≤ $5","Excluded – price ≤ $5","Excluded – IV only"),IF(ISNUMBER(D114),IF(AND(D114&gt;=$C$3,M114&gt;=$E$3),"Priority 1",IF(OR(D114&gt;=$C$3,M114&gt;=$E$3),"Priority 2","Priority 3")),IF(M114&gt;=$E$3,"Priority 2","Priority 3")))</f>
        <v>Priority 2</v>
      </c>
      <c r="R114" s="16" t="s">
        <v>250</v>
      </c>
      <c r="S114" s="15" t="s">
        <v>664</v>
      </c>
      <c r="T114" s="32" t="s">
        <v>252</v>
      </c>
      <c r="U114" s="33" t="str">
        <f aca="false">B114&amp;"|"&amp;S114</f>
        <v>Carboprost|Dr. Reddy's Laboratories</v>
      </c>
      <c r="V114" s="34" t="n">
        <f aca="false">COUNTIFS('Shortlisted Drugs X Company (7)'!$C$3:$C$698,$B114,'Shortlisted Drugs X Company (7)'!$E$3:$E$698,$S114,'Shortlisted Drugs X Company (7)'!$N$3:$N$698,"&gt;=0")</f>
        <v>2</v>
      </c>
      <c r="W114" s="34" t="n">
        <f aca="false">COUNTIFS('Shortlisted Drugs X Company (7)'!$C$3:$C$698,$B114,'Shortlisted Drugs X Company (7)'!$E$3:$E$698,$S114,'Shortlisted Drugs X Company (7)'!$N$3:$N$698,"&gt;5")</f>
        <v>2</v>
      </c>
      <c r="X114" s="34" t="n">
        <f aca="false">COUNTIFS('Shortlisted Drugs X Company (7)'!$C$3:$C$698,$B114,'Shortlisted Drugs X Company (7)'!$E$3:$E$698,$S114,'Shortlisted Drugs X Company (7)'!$P$3:$P$698,"Exact")+COUNTIFS('Shortlisted Drugs X Company (7)'!$C$3:$C$698,$B114,'Shortlisted Drugs X Company (7)'!$E$3:$E$698,$S114,'Shortlisted Drugs X Company (7)'!$P$3:$P$698,"Same-market proxy")</f>
        <v>2</v>
      </c>
      <c r="Y114" s="33" t="str">
        <f aca="false">A114&amp;"|"&amp;P114</f>
        <v>Dr. Reddy's|6</v>
      </c>
      <c r="Z114" s="16" t="s">
        <v>678</v>
      </c>
      <c r="AA114" s="33" t="n">
        <f aca="false">INDEX($G$7:$G$25,MATCH(A114,$A$7:$A$25,0))</f>
        <v>3</v>
      </c>
      <c r="AB114" s="33" t="n">
        <f aca="false">IF(AE114="No","",AA114*1000+IF(P114="",900+COUNTIFS($A$29:A114,A114,$O$29:O114,"Price ≤ $5"),P114))</f>
        <v>3006</v>
      </c>
      <c r="AC114" s="33" t="n">
        <f aca="false">IF(O114&lt;&gt;"","",(4-VALUE(RIGHT(Q114,1)))*10^7+N(F114))</f>
        <v>20003625.3</v>
      </c>
      <c r="AD114" s="15" t="str">
        <f aca="false">IFERROR(INDEX('Route of Administration'!$C$5:$C$155,MATCH(B114,'Route of Administration'!$A$5:$A$155,0)),"")</f>
        <v>IM</v>
      </c>
      <c r="AE114" s="14" t="str">
        <f aca="false">IFERROR(INDEX('Route of Administration'!$D$5:$D$155,MATCH(B114,'Route of Administration'!$A$5:$A$155,0)),"")</f>
        <v>Yes</v>
      </c>
      <c r="AF114" s="19" t="n">
        <f aca="false">IF(V114&gt;0,ROUND(AVERAGEIFS('Shortlisted Drugs X Company (7)'!$N$3:$N$698,'Shortlisted Drugs X Company (7)'!$C$3:$C$698,$B114,'Shortlisted Drugs X Company (7)'!$E$3:$E$698,$S114,'Shortlisted Drugs X Company (7)'!$N$3:$N$698,"&gt;=0"),2),"")</f>
        <v>127.38</v>
      </c>
      <c r="AG114" s="16" t="s">
        <v>679</v>
      </c>
      <c r="AH114" s="16" t="s">
        <v>605</v>
      </c>
      <c r="AI114" s="16" t="s">
        <v>605</v>
      </c>
      <c r="AJ114" s="16" t="str">
        <f aca="false">IF(O114&lt;&gt;"","",IF(ISNUMBER(D114),IF(D114&gt;=$C$3,"High price","Lower price"),"Unpriced")&amp;" · "&amp;IF(M114&gt;=$E$3,"high volume","lower volume"))</f>
        <v>High price · lower volume</v>
      </c>
      <c r="AK114" s="15" t="str">
        <f aca="false">IF(O114&lt;&gt;"",IF(O114="Price ≤ $5","Excluded – price ≤ $5","Excluded – IV only"),IF(ISNUMBER(D114),IF(AND(D114&gt;=$C$3,L114&gt;=$H$3),"Priority 1",IF(OR(D114&gt;=$C$3,L114&gt;=$H$3),"Priority 2","Priority 3")),IF(L114&gt;=$H$3,"Priority 2","Priority 3")))</f>
        <v>Priority 2</v>
      </c>
      <c r="AL114" s="16" t="str">
        <f aca="false">IF(O114&lt;&gt;"","",IF(ISNUMBER(D114),IF(D114&gt;=$C$3,"High price","Lower price"),"Unpriced")&amp;" · "&amp;IF(L114&gt;=$H$3,"high volume","lower volume"))</f>
        <v>High price · lower volume</v>
      </c>
      <c r="AM114" s="14" t="n">
        <f aca="false">IF(O114&lt;&gt;"","",COUNTIFS($A$29:$A$361,A114,$O$29:$O$361,"",$AQ$29:$AQ$361,"&gt;"&amp;AQ114)+COUNTIFS($A$29:A114,A114,$O$29:O114,"",$AQ$29:AQ114,AQ114))</f>
        <v>7</v>
      </c>
      <c r="AN114" s="19" t="n">
        <f aca="false">IF(AND(O114="",ISNUMBER(D114)),D114,"")</f>
        <v>127.38</v>
      </c>
      <c r="AO114" s="20" t="n">
        <f aca="false">IF(O114="",M114,"")</f>
        <v>143</v>
      </c>
      <c r="AP114" s="20" t="n">
        <f aca="false">IF(O114="",L114,"")</f>
        <v>156</v>
      </c>
      <c r="AQ114" s="33" t="n">
        <f aca="false">IF(O114&lt;&gt;"","",(4-VALUE(RIGHT(AK114,1)))*10^7+N(N114))</f>
        <v>20003954.83</v>
      </c>
      <c r="AR114" s="33" t="n">
        <f aca="false">INDEX($O$7:$O$25,MATCH(A114,$I$7:$I$25,0))</f>
        <v>8</v>
      </c>
      <c r="AS114" s="33" t="n">
        <f aca="false">IF(AE114="No","",AR114*1000+IF(AM114="",900+COUNTIFS($A$29:A114,A114,$O$29:O114,"Price ≤ $5"),AM114))</f>
        <v>8007</v>
      </c>
    </row>
    <row r="115" customFormat="false" ht="41.75" hidden="false" customHeight="false" outlineLevel="0" collapsed="false">
      <c r="A115" s="15" t="s">
        <v>189</v>
      </c>
      <c r="B115" s="15" t="s">
        <v>348</v>
      </c>
      <c r="C115" s="16" t="s">
        <v>349</v>
      </c>
      <c r="D115" s="17" t="n">
        <f aca="false">IF(W115&gt;0,ROUND(AVERAGEIFS('Shortlisted Drugs X Company (7)'!$N$3:$N$698,'Shortlisted Drugs X Company (7)'!$C$3:$C$698,$B115,'Shortlisted Drugs X Company (7)'!$E$3:$E$698,$S115,'Shortlisted Drugs X Company (7)'!$N$3:$N$698,"&gt;5"),2),"")</f>
        <v>234.04</v>
      </c>
      <c r="E115" s="15" t="str">
        <f aca="false">IF(COUNTIFS('Shortlisted Drugs X Company (7)'!$C$3:$C$698,$B115,'Shortlisted Drugs X Company (7)'!$E$3:$E$698,$S115,'Shortlisted Drugs X Company (7)'!$P$3:$P$698,"Exact")&gt;0,"Exact",IF(COUNTIFS('Shortlisted Drugs X Company (7)'!$C$3:$C$698,$B115,'Shortlisted Drugs X Company (7)'!$E$3:$E$698,$S115,'Shortlisted Drugs X Company (7)'!$P$3:$P$698,"Same-market proxy")&gt;0,"Same-market proxy",IF(COUNTIFS('Shortlisted Drugs X Company (7)'!$C$3:$C$698,$B115,'Shortlisted Drugs X Company (7)'!$E$3:$E$698,$S115,'Shortlisted Drugs X Company (7)'!$P$3:$P$698,"Cross-market proxy")&gt;0,"Cross-market proxy",IF(COUNTIFS('Shortlisted Drugs X Company (7)'!$C$3:$C$698,$B115,'Shortlisted Drugs X Company (7)'!$E$3:$E$698,$S115,'Shortlisted Drugs X Company (7)'!$P$3:$P$698,"Source not found")&gt;0,"Source not found","Not priced"))))</f>
        <v>Exact</v>
      </c>
      <c r="F115" s="18" t="n">
        <f aca="false">IFERROR(ROUND(INDEX('Injectable Value'!$AA$28:$AA$178,MATCH(B115,'Injectable Value'!$A$28:$A$178,0)),1),"")</f>
        <v>3871.2</v>
      </c>
      <c r="G115" s="16" t="s">
        <v>680</v>
      </c>
      <c r="H115" s="14" t="n">
        <v>5</v>
      </c>
      <c r="I115" s="15" t="s">
        <v>248</v>
      </c>
      <c r="J115" s="15" t="s">
        <v>249</v>
      </c>
      <c r="K115" s="16" t="str">
        <f aca="false">"Cancer drug (cytotoxic) – less relevant"&amp;IF(V115=0,"; Unpriced","")&amp;IF(AND(V115&gt;0,W115=0,X115=0),"; Low price from another market – confirm with company","")</f>
        <v>Cancer drug (cytotoxic) – less relevant</v>
      </c>
      <c r="L115" s="18" t="n">
        <f aca="false">IFERROR(INDEX('Shortlisted Drugs X Company (7)'!$K$3:$K$698,MATCH(B115,'Shortlisted Drugs X Company (7)'!$C$3:$C$698,0)),"")</f>
        <v>843</v>
      </c>
      <c r="M115" s="18" t="n">
        <f aca="false">IFERROR(ROUND(L115*INDEX('Injectable Value'!$Z$28:$Z$178,MATCH(B115,'Injectable Value'!$A$28:$A$178,0)),0),"")</f>
        <v>724</v>
      </c>
      <c r="N115" s="18" t="n">
        <f aca="false">IFERROR(INDEX('Shortlisted Drugs X Company (7)'!$L$3:$L$698,MATCH(B115,'Shortlisted Drugs X Company (7)'!$C$3:$C$698,0)),"")</f>
        <v>4508</v>
      </c>
      <c r="O115" s="15" t="str">
        <f aca="false">IF(AE115="No","IV only (not ID/IM/SC)",IF(AND(V115&gt;0,W115=0),"Price ≤ $5",""))</f>
        <v>IV only (not ID/IM/SC)</v>
      </c>
      <c r="P115" s="14" t="str">
        <f aca="false">IF(O115&lt;&gt;"","",COUNTIFS($A$29:$A$361,A115,$O$29:$O$361,"",$AC$29:$AC$361,"&gt;"&amp;AC115)+COUNTIFS($A$29:A115,A115,$O$29:O115,"",$AC$29:AC115,AC115))</f>
        <v/>
      </c>
      <c r="Q115" s="15" t="str">
        <f aca="false">IF(O115&lt;&gt;"",IF(O115="Price ≤ $5","Excluded – price ≤ $5","Excluded – IV only"),IF(ISNUMBER(D115),IF(AND(D115&gt;=$C$3,M115&gt;=$E$3),"Priority 1",IF(OR(D115&gt;=$C$3,M115&gt;=$E$3),"Priority 2","Priority 3")),IF(M115&gt;=$E$3,"Priority 2","Priority 3")))</f>
        <v>Excluded – IV only</v>
      </c>
      <c r="R115" s="16" t="s">
        <v>250</v>
      </c>
      <c r="S115" s="15" t="s">
        <v>664</v>
      </c>
      <c r="T115" s="32" t="s">
        <v>350</v>
      </c>
      <c r="U115" s="33" t="str">
        <f aca="false">B115&amp;"|"&amp;S115</f>
        <v>Cyclophosphamide|Dr. Reddy's Laboratories</v>
      </c>
      <c r="V115" s="34" t="n">
        <f aca="false">COUNTIFS('Shortlisted Drugs X Company (7)'!$C$3:$C$698,$B115,'Shortlisted Drugs X Company (7)'!$E$3:$E$698,$S115,'Shortlisted Drugs X Company (7)'!$N$3:$N$698,"&gt;=0")</f>
        <v>4</v>
      </c>
      <c r="W115" s="34" t="n">
        <f aca="false">COUNTIFS('Shortlisted Drugs X Company (7)'!$C$3:$C$698,$B115,'Shortlisted Drugs X Company (7)'!$E$3:$E$698,$S115,'Shortlisted Drugs X Company (7)'!$N$3:$N$698,"&gt;5")</f>
        <v>3</v>
      </c>
      <c r="X115" s="34" t="n">
        <f aca="false">COUNTIFS('Shortlisted Drugs X Company (7)'!$C$3:$C$698,$B115,'Shortlisted Drugs X Company (7)'!$E$3:$E$698,$S115,'Shortlisted Drugs X Company (7)'!$P$3:$P$698,"Exact")+COUNTIFS('Shortlisted Drugs X Company (7)'!$C$3:$C$698,$B115,'Shortlisted Drugs X Company (7)'!$E$3:$E$698,$S115,'Shortlisted Drugs X Company (7)'!$P$3:$P$698,"Same-market proxy")</f>
        <v>4</v>
      </c>
      <c r="Y115" s="33" t="str">
        <f aca="false">A115&amp;"|"&amp;P115</f>
        <v>Dr. Reddy's|</v>
      </c>
      <c r="Z115" s="16" t="s">
        <v>681</v>
      </c>
      <c r="AA115" s="33" t="n">
        <f aca="false">INDEX($G$7:$G$25,MATCH(A115,$A$7:$A$25,0))</f>
        <v>3</v>
      </c>
      <c r="AB115" s="33" t="str">
        <f aca="false">IF(AE115="No","",AA115*1000+IF(P115="",900+COUNTIFS($A$29:A115,A115,$O$29:O115,"Price ≤ $5"),P115))</f>
        <v/>
      </c>
      <c r="AC115" s="33" t="str">
        <f aca="false">IF(O115&lt;&gt;"","",(4-VALUE(RIGHT(Q115,1)))*10^7+N(F115))</f>
        <v/>
      </c>
      <c r="AD115" s="15" t="str">
        <f aca="false">IFERROR(INDEX('Route of Administration'!$C$5:$C$155,MATCH(B115,'Route of Administration'!$A$5:$A$155,0)),"")</f>
        <v>IV</v>
      </c>
      <c r="AE115" s="14" t="str">
        <f aca="false">IFERROR(INDEX('Route of Administration'!$D$5:$D$155,MATCH(B115,'Route of Administration'!$A$5:$A$155,0)),"")</f>
        <v>No</v>
      </c>
      <c r="AF115" s="19" t="n">
        <f aca="false">IF(V115&gt;0,ROUND(AVERAGEIFS('Shortlisted Drugs X Company (7)'!$N$3:$N$698,'Shortlisted Drugs X Company (7)'!$C$3:$C$698,$B115,'Shortlisted Drugs X Company (7)'!$E$3:$E$698,$S115,'Shortlisted Drugs X Company (7)'!$N$3:$N$698,"&gt;=0"),2),"")</f>
        <v>176.78</v>
      </c>
      <c r="AG115" s="16" t="s">
        <v>682</v>
      </c>
      <c r="AH115" s="16" t="s">
        <v>683</v>
      </c>
      <c r="AI115" s="16" t="s">
        <v>683</v>
      </c>
      <c r="AJ115" s="16" t="str">
        <f aca="false">IF(O115&lt;&gt;"","",IF(ISNUMBER(D115),IF(D115&gt;=$C$3,"High price","Lower price"),"Unpriced")&amp;" · "&amp;IF(M115&gt;=$E$3,"high volume","lower volume"))</f>
        <v/>
      </c>
      <c r="AK115" s="15" t="str">
        <f aca="false">IF(O115&lt;&gt;"",IF(O115="Price ≤ $5","Excluded – price ≤ $5","Excluded – IV only"),IF(ISNUMBER(D115),IF(AND(D115&gt;=$C$3,L115&gt;=$H$3),"Priority 1",IF(OR(D115&gt;=$C$3,L115&gt;=$H$3),"Priority 2","Priority 3")),IF(L115&gt;=$H$3,"Priority 2","Priority 3")))</f>
        <v>Excluded – IV only</v>
      </c>
      <c r="AL115" s="16" t="str">
        <f aca="false">IF(O115&lt;&gt;"","",IF(ISNUMBER(D115),IF(D115&gt;=$C$3,"High price","Lower price"),"Unpriced")&amp;" · "&amp;IF(L115&gt;=$H$3,"high volume","lower volume"))</f>
        <v/>
      </c>
      <c r="AM115" s="14" t="str">
        <f aca="false">IF(O115&lt;&gt;"","",COUNTIFS($A$29:$A$361,A115,$O$29:$O$361,"",$AQ$29:$AQ$361,"&gt;"&amp;AQ115)+COUNTIFS($A$29:A115,A115,$O$29:O115,"",$AQ$29:AQ115,AQ115))</f>
        <v/>
      </c>
      <c r="AN115" s="33" t="str">
        <f aca="false">IF(AND(O115="",ISNUMBER(D115)),D115,"")</f>
        <v/>
      </c>
      <c r="AO115" s="33" t="str">
        <f aca="false">IF(O115="",M115,"")</f>
        <v/>
      </c>
      <c r="AP115" s="33" t="str">
        <f aca="false">IF(O115="",L115,"")</f>
        <v/>
      </c>
      <c r="AQ115" s="33" t="str">
        <f aca="false">IF(O115&lt;&gt;"","",(4-VALUE(RIGHT(AK115,1)))*10^7+N(N115))</f>
        <v/>
      </c>
      <c r="AR115" s="33" t="n">
        <f aca="false">INDEX($O$7:$O$25,MATCH(A115,$I$7:$I$25,0))</f>
        <v>8</v>
      </c>
      <c r="AS115" s="33" t="str">
        <f aca="false">IF(AE115="No","",AR115*1000+IF(AM115="",900+COUNTIFS($A$29:A115,A115,$O$29:O115,"Price ≤ $5"),AM115))</f>
        <v/>
      </c>
    </row>
    <row r="116" customFormat="false" ht="41.75" hidden="false" customHeight="false" outlineLevel="0" collapsed="false">
      <c r="A116" s="15" t="s">
        <v>189</v>
      </c>
      <c r="B116" s="15" t="s">
        <v>356</v>
      </c>
      <c r="C116" s="16" t="s">
        <v>357</v>
      </c>
      <c r="D116" s="17" t="n">
        <f aca="false">IF(W116&gt;0,ROUND(AVERAGEIFS('Shortlisted Drugs X Company (7)'!$N$3:$N$698,'Shortlisted Drugs X Company (7)'!$C$3:$C$698,$B116,'Shortlisted Drugs X Company (7)'!$E$3:$E$698,$S116,'Shortlisted Drugs X Company (7)'!$N$3:$N$698,"&gt;5"),2),"")</f>
        <v>98.68</v>
      </c>
      <c r="E116" s="15" t="str">
        <f aca="false">IF(COUNTIFS('Shortlisted Drugs X Company (7)'!$C$3:$C$698,$B116,'Shortlisted Drugs X Company (7)'!$E$3:$E$698,$S116,'Shortlisted Drugs X Company (7)'!$P$3:$P$698,"Exact")&gt;0,"Exact",IF(COUNTIFS('Shortlisted Drugs X Company (7)'!$C$3:$C$698,$B116,'Shortlisted Drugs X Company (7)'!$E$3:$E$698,$S116,'Shortlisted Drugs X Company (7)'!$P$3:$P$698,"Same-market proxy")&gt;0,"Same-market proxy",IF(COUNTIFS('Shortlisted Drugs X Company (7)'!$C$3:$C$698,$B116,'Shortlisted Drugs X Company (7)'!$E$3:$E$698,$S116,'Shortlisted Drugs X Company (7)'!$P$3:$P$698,"Cross-market proxy")&gt;0,"Cross-market proxy",IF(COUNTIFS('Shortlisted Drugs X Company (7)'!$C$3:$C$698,$B116,'Shortlisted Drugs X Company (7)'!$E$3:$E$698,$S116,'Shortlisted Drugs X Company (7)'!$P$3:$P$698,"Source not found")&gt;0,"Source not found","Not priced"))))</f>
        <v>Exact</v>
      </c>
      <c r="F116" s="18" t="n">
        <f aca="false">IFERROR(ROUND(INDEX('Injectable Value'!$AA$28:$AA$178,MATCH(B116,'Injectable Value'!$A$28:$A$178,0)),1),"")</f>
        <v>59827.2</v>
      </c>
      <c r="G116" s="16" t="s">
        <v>684</v>
      </c>
      <c r="H116" s="14" t="n">
        <v>15</v>
      </c>
      <c r="I116" s="15" t="s">
        <v>248</v>
      </c>
      <c r="J116" s="15" t="s">
        <v>299</v>
      </c>
      <c r="K116" s="16" t="str">
        <f aca="false">"Reconstitution"&amp;IF(V116=0,"; Unpriced","")&amp;IF(AND(V116&gt;0,W116=0,X116=0),"; Low price from another market – confirm with company","")</f>
        <v>Reconstitution</v>
      </c>
      <c r="L116" s="18" t="n">
        <f aca="false">IFERROR(INDEX('Shortlisted Drugs X Company (7)'!$K$3:$K$698,MATCH(B116,'Shortlisted Drugs X Company (7)'!$C$3:$C$698,0)),"")</f>
        <v>312</v>
      </c>
      <c r="M116" s="18" t="n">
        <f aca="false">IFERROR(ROUND(L116*INDEX('Injectable Value'!$Z$28:$Z$178,MATCH(B116,'Injectable Value'!$A$28:$A$178,0)),0),"")</f>
        <v>312</v>
      </c>
      <c r="N116" s="18" t="n">
        <f aca="false">IFERROR(INDEX('Shortlisted Drugs X Company (7)'!$L$3:$L$698,MATCH(B116,'Shortlisted Drugs X Company (7)'!$C$3:$C$698,0)),"")</f>
        <v>59827.18</v>
      </c>
      <c r="O116" s="15" t="str">
        <f aca="false">IF(AE116="No","IV only (not ID/IM/SC)",IF(AND(V116&gt;0,W116=0),"Price ≤ $5",""))</f>
        <v>IV only (not ID/IM/SC)</v>
      </c>
      <c r="P116" s="14" t="str">
        <f aca="false">IF(O116&lt;&gt;"","",COUNTIFS($A$29:$A$361,A116,$O$29:$O$361,"",$AC$29:$AC$361,"&gt;"&amp;AC116)+COUNTIFS($A$29:A116,A116,$O$29:O116,"",$AC$29:AC116,AC116))</f>
        <v/>
      </c>
      <c r="Q116" s="15" t="str">
        <f aca="false">IF(O116&lt;&gt;"",IF(O116="Price ≤ $5","Excluded – price ≤ $5","Excluded – IV only"),IF(ISNUMBER(D116),IF(AND(D116&gt;=$C$3,M116&gt;=$E$3),"Priority 1",IF(OR(D116&gt;=$C$3,M116&gt;=$E$3),"Priority 2","Priority 3")),IF(M116&gt;=$E$3,"Priority 2","Priority 3")))</f>
        <v>Excluded – IV only</v>
      </c>
      <c r="R116" s="16" t="s">
        <v>250</v>
      </c>
      <c r="S116" s="15" t="s">
        <v>664</v>
      </c>
      <c r="T116" s="32" t="s">
        <v>358</v>
      </c>
      <c r="U116" s="33" t="str">
        <f aca="false">B116&amp;"|"&amp;S116</f>
        <v>Daptomycin|Dr. Reddy's Laboratories</v>
      </c>
      <c r="V116" s="34" t="n">
        <f aca="false">COUNTIFS('Shortlisted Drugs X Company (7)'!$C$3:$C$698,$B116,'Shortlisted Drugs X Company (7)'!$E$3:$E$698,$S116,'Shortlisted Drugs X Company (7)'!$N$3:$N$698,"&gt;=0")</f>
        <v>3</v>
      </c>
      <c r="W116" s="34" t="n">
        <f aca="false">COUNTIFS('Shortlisted Drugs X Company (7)'!$C$3:$C$698,$B116,'Shortlisted Drugs X Company (7)'!$E$3:$E$698,$S116,'Shortlisted Drugs X Company (7)'!$N$3:$N$698,"&gt;5")</f>
        <v>3</v>
      </c>
      <c r="X116" s="34" t="n">
        <f aca="false">COUNTIFS('Shortlisted Drugs X Company (7)'!$C$3:$C$698,$B116,'Shortlisted Drugs X Company (7)'!$E$3:$E$698,$S116,'Shortlisted Drugs X Company (7)'!$P$3:$P$698,"Exact")+COUNTIFS('Shortlisted Drugs X Company (7)'!$C$3:$C$698,$B116,'Shortlisted Drugs X Company (7)'!$E$3:$E$698,$S116,'Shortlisted Drugs X Company (7)'!$P$3:$P$698,"Same-market proxy")</f>
        <v>2</v>
      </c>
      <c r="Y116" s="33" t="str">
        <f aca="false">A116&amp;"|"&amp;P116</f>
        <v>Dr. Reddy's|</v>
      </c>
      <c r="Z116" s="16" t="s">
        <v>685</v>
      </c>
      <c r="AA116" s="33" t="n">
        <f aca="false">INDEX($G$7:$G$25,MATCH(A116,$A$7:$A$25,0))</f>
        <v>3</v>
      </c>
      <c r="AB116" s="33" t="str">
        <f aca="false">IF(AE116="No","",AA116*1000+IF(P116="",900+COUNTIFS($A$29:A116,A116,$O$29:O116,"Price ≤ $5"),P116))</f>
        <v/>
      </c>
      <c r="AC116" s="33" t="str">
        <f aca="false">IF(O116&lt;&gt;"","",(4-VALUE(RIGHT(Q116,1)))*10^7+N(F116))</f>
        <v/>
      </c>
      <c r="AD116" s="15" t="str">
        <f aca="false">IFERROR(INDEX('Route of Administration'!$C$5:$C$155,MATCH(B116,'Route of Administration'!$A$5:$A$155,0)),"")</f>
        <v>IV</v>
      </c>
      <c r="AE116" s="14" t="str">
        <f aca="false">IFERROR(INDEX('Route of Administration'!$D$5:$D$155,MATCH(B116,'Route of Administration'!$A$5:$A$155,0)),"")</f>
        <v>No</v>
      </c>
      <c r="AF116" s="19" t="n">
        <f aca="false">IF(V116&gt;0,ROUND(AVERAGEIFS('Shortlisted Drugs X Company (7)'!$N$3:$N$698,'Shortlisted Drugs X Company (7)'!$C$3:$C$698,$B116,'Shortlisted Drugs X Company (7)'!$E$3:$E$698,$S116,'Shortlisted Drugs X Company (7)'!$N$3:$N$698,"&gt;=0"),2),"")</f>
        <v>98.68</v>
      </c>
      <c r="AG116" s="16" t="s">
        <v>686</v>
      </c>
      <c r="AH116" s="16" t="s">
        <v>687</v>
      </c>
      <c r="AI116" s="16" t="s">
        <v>688</v>
      </c>
      <c r="AJ116" s="16" t="str">
        <f aca="false">IF(O116&lt;&gt;"","",IF(ISNUMBER(D116),IF(D116&gt;=$C$3,"High price","Lower price"),"Unpriced")&amp;" · "&amp;IF(M116&gt;=$E$3,"high volume","lower volume"))</f>
        <v/>
      </c>
      <c r="AK116" s="15" t="str">
        <f aca="false">IF(O116&lt;&gt;"",IF(O116="Price ≤ $5","Excluded – price ≤ $5","Excluded – IV only"),IF(ISNUMBER(D116),IF(AND(D116&gt;=$C$3,L116&gt;=$H$3),"Priority 1",IF(OR(D116&gt;=$C$3,L116&gt;=$H$3),"Priority 2","Priority 3")),IF(L116&gt;=$H$3,"Priority 2","Priority 3")))</f>
        <v>Excluded – IV only</v>
      </c>
      <c r="AL116" s="16" t="str">
        <f aca="false">IF(O116&lt;&gt;"","",IF(ISNUMBER(D116),IF(D116&gt;=$C$3,"High price","Lower price"),"Unpriced")&amp;" · "&amp;IF(L116&gt;=$H$3,"high volume","lower volume"))</f>
        <v/>
      </c>
      <c r="AM116" s="14" t="str">
        <f aca="false">IF(O116&lt;&gt;"","",COUNTIFS($A$29:$A$361,A116,$O$29:$O$361,"",$AQ$29:$AQ$361,"&gt;"&amp;AQ116)+COUNTIFS($A$29:A116,A116,$O$29:O116,"",$AQ$29:AQ116,AQ116))</f>
        <v/>
      </c>
      <c r="AN116" s="33" t="str">
        <f aca="false">IF(AND(O116="",ISNUMBER(D116)),D116,"")</f>
        <v/>
      </c>
      <c r="AO116" s="33" t="str">
        <f aca="false">IF(O116="",M116,"")</f>
        <v/>
      </c>
      <c r="AP116" s="33" t="str">
        <f aca="false">IF(O116="",L116,"")</f>
        <v/>
      </c>
      <c r="AQ116" s="33" t="str">
        <f aca="false">IF(O116&lt;&gt;"","",(4-VALUE(RIGHT(AK116,1)))*10^7+N(N116))</f>
        <v/>
      </c>
      <c r="AR116" s="33" t="n">
        <f aca="false">INDEX($O$7:$O$25,MATCH(A116,$I$7:$I$25,0))</f>
        <v>8</v>
      </c>
      <c r="AS116" s="33" t="str">
        <f aca="false">IF(AE116="No","",AR116*1000+IF(AM116="",900+COUNTIFS($A$29:A116,A116,$O$29:O116,"Price ≤ $5"),AM116))</f>
        <v/>
      </c>
    </row>
    <row r="117" customFormat="false" ht="41.75" hidden="false" customHeight="false" outlineLevel="0" collapsed="false">
      <c r="A117" s="15" t="s">
        <v>189</v>
      </c>
      <c r="B117" s="15" t="s">
        <v>689</v>
      </c>
      <c r="C117" s="16" t="s">
        <v>690</v>
      </c>
      <c r="D117" s="17" t="n">
        <f aca="false">IF(W117&gt;0,ROUND(AVERAGEIFS('Shortlisted Drugs X Company (7)'!$N$3:$N$698,'Shortlisted Drugs X Company (7)'!$C$3:$C$698,$B117,'Shortlisted Drugs X Company (7)'!$E$3:$E$698,$S117,'Shortlisted Drugs X Company (7)'!$N$3:$N$698,"&gt;5"),2),"")</f>
        <v>133.8</v>
      </c>
      <c r="E117" s="15" t="str">
        <f aca="false">IF(COUNTIFS('Shortlisted Drugs X Company (7)'!$C$3:$C$698,$B117,'Shortlisted Drugs X Company (7)'!$E$3:$E$698,$S117,'Shortlisted Drugs X Company (7)'!$P$3:$P$698,"Exact")&gt;0,"Exact",IF(COUNTIFS('Shortlisted Drugs X Company (7)'!$C$3:$C$698,$B117,'Shortlisted Drugs X Company (7)'!$E$3:$E$698,$S117,'Shortlisted Drugs X Company (7)'!$P$3:$P$698,"Same-market proxy")&gt;0,"Same-market proxy",IF(COUNTIFS('Shortlisted Drugs X Company (7)'!$C$3:$C$698,$B117,'Shortlisted Drugs X Company (7)'!$E$3:$E$698,$S117,'Shortlisted Drugs X Company (7)'!$P$3:$P$698,"Cross-market proxy")&gt;0,"Cross-market proxy",IF(COUNTIFS('Shortlisted Drugs X Company (7)'!$C$3:$C$698,$B117,'Shortlisted Drugs X Company (7)'!$E$3:$E$698,$S117,'Shortlisted Drugs X Company (7)'!$P$3:$P$698,"Source not found")&gt;0,"Source not found","Not priced"))))</f>
        <v>Same-market proxy</v>
      </c>
      <c r="F117" s="18" t="n">
        <f aca="false">IFERROR(ROUND(INDEX('Injectable Value'!$AA$28:$AA$178,MATCH(B117,'Injectable Value'!$A$28:$A$178,0)),1),"")</f>
        <v>543</v>
      </c>
      <c r="G117" s="16" t="s">
        <v>247</v>
      </c>
      <c r="H117" s="14" t="n">
        <v>1</v>
      </c>
      <c r="I117" s="15" t="s">
        <v>248</v>
      </c>
      <c r="J117" s="15" t="s">
        <v>249</v>
      </c>
      <c r="K117" s="16" t="str">
        <f aca="false">""&amp;IF(V117=0,"Unpriced","")&amp;IF(AND(V117&gt;0,W117=0,X117=0),"Low price from another market – confirm with company","")</f>
        <v/>
      </c>
      <c r="L117" s="18" t="n">
        <f aca="false">IFERROR(INDEX('Shortlisted Drugs X Company (7)'!$K$3:$K$698,MATCH(B117,'Shortlisted Drugs X Company (7)'!$C$3:$C$698,0)),"")</f>
        <v>209</v>
      </c>
      <c r="M117" s="18" t="n">
        <f aca="false">IFERROR(ROUND(L117*INDEX('Injectable Value'!$Z$28:$Z$178,MATCH(B117,'Injectable Value'!$A$28:$A$178,0)),0),"")</f>
        <v>40</v>
      </c>
      <c r="N117" s="18" t="n">
        <f aca="false">IFERROR(INDEX('Shortlisted Drugs X Company (7)'!$L$3:$L$698,MATCH(B117,'Shortlisted Drugs X Company (7)'!$C$3:$C$698,0)),"")</f>
        <v>2827.35</v>
      </c>
      <c r="O117" s="15" t="str">
        <f aca="false">IF(AE117="No","IV only (not ID/IM/SC)",IF(AND(V117&gt;0,W117=0),"Price ≤ $5",""))</f>
        <v/>
      </c>
      <c r="P117" s="14" t="n">
        <f aca="false">IF(O117&lt;&gt;"","",COUNTIFS($A$29:$A$361,A117,$O$29:$O$361,"",$AC$29:$AC$361,"&gt;"&amp;AC117)+COUNTIFS($A$29:A117,A117,$O$29:O117,"",$AC$29:AC117,AC117))</f>
        <v>9</v>
      </c>
      <c r="Q117" s="15" t="str">
        <f aca="false">IF(O117&lt;&gt;"",IF(O117="Price ≤ $5","Excluded – price ≤ $5","Excluded – IV only"),IF(ISNUMBER(D117),IF(AND(D117&gt;=$C$3,M117&gt;=$E$3),"Priority 1",IF(OR(D117&gt;=$C$3,M117&gt;=$E$3),"Priority 2","Priority 3")),IF(M117&gt;=$E$3,"Priority 2","Priority 3")))</f>
        <v>Priority 2</v>
      </c>
      <c r="R117" s="16" t="s">
        <v>285</v>
      </c>
      <c r="S117" s="15" t="s">
        <v>664</v>
      </c>
      <c r="T117" s="32" t="s">
        <v>691</v>
      </c>
      <c r="U117" s="33" t="str">
        <f aca="false">B117&amp;"|"&amp;S117</f>
        <v>Desmopressin|Dr. Reddy's Laboratories</v>
      </c>
      <c r="V117" s="34" t="n">
        <f aca="false">COUNTIFS('Shortlisted Drugs X Company (7)'!$C$3:$C$698,$B117,'Shortlisted Drugs X Company (7)'!$E$3:$E$698,$S117,'Shortlisted Drugs X Company (7)'!$N$3:$N$698,"&gt;=0")</f>
        <v>1</v>
      </c>
      <c r="W117" s="34" t="n">
        <f aca="false">COUNTIFS('Shortlisted Drugs X Company (7)'!$C$3:$C$698,$B117,'Shortlisted Drugs X Company (7)'!$E$3:$E$698,$S117,'Shortlisted Drugs X Company (7)'!$N$3:$N$698,"&gt;5")</f>
        <v>1</v>
      </c>
      <c r="X117" s="34" t="n">
        <f aca="false">COUNTIFS('Shortlisted Drugs X Company (7)'!$C$3:$C$698,$B117,'Shortlisted Drugs X Company (7)'!$E$3:$E$698,$S117,'Shortlisted Drugs X Company (7)'!$P$3:$P$698,"Exact")+COUNTIFS('Shortlisted Drugs X Company (7)'!$C$3:$C$698,$B117,'Shortlisted Drugs X Company (7)'!$E$3:$E$698,$S117,'Shortlisted Drugs X Company (7)'!$P$3:$P$698,"Same-market proxy")</f>
        <v>1</v>
      </c>
      <c r="Y117" s="33" t="str">
        <f aca="false">A117&amp;"|"&amp;P117</f>
        <v>Dr. Reddy's|9</v>
      </c>
      <c r="Z117" s="16" t="s">
        <v>692</v>
      </c>
      <c r="AA117" s="33" t="n">
        <f aca="false">INDEX($G$7:$G$25,MATCH(A117,$A$7:$A$25,0))</f>
        <v>3</v>
      </c>
      <c r="AB117" s="33" t="n">
        <f aca="false">IF(AE117="No","",AA117*1000+IF(P117="",900+COUNTIFS($A$29:A117,A117,$O$29:O117,"Price ≤ $5"),P117))</f>
        <v>3009</v>
      </c>
      <c r="AC117" s="33" t="n">
        <f aca="false">IF(O117&lt;&gt;"","",(4-VALUE(RIGHT(Q117,1)))*10^7+N(F117))</f>
        <v>20000543</v>
      </c>
      <c r="AD117" s="15" t="str">
        <f aca="false">IFERROR(INDEX('Route of Administration'!$C$5:$C$155,MATCH(B117,'Route of Administration'!$A$5:$A$155,0)),"")</f>
        <v>IV, SC</v>
      </c>
      <c r="AE117" s="14" t="str">
        <f aca="false">IFERROR(INDEX('Route of Administration'!$D$5:$D$155,MATCH(B117,'Route of Administration'!$A$5:$A$155,0)),"")</f>
        <v>Yes</v>
      </c>
      <c r="AF117" s="19" t="n">
        <f aca="false">IF(V117&gt;0,ROUND(AVERAGEIFS('Shortlisted Drugs X Company (7)'!$N$3:$N$698,'Shortlisted Drugs X Company (7)'!$C$3:$C$698,$B117,'Shortlisted Drugs X Company (7)'!$E$3:$E$698,$S117,'Shortlisted Drugs X Company (7)'!$N$3:$N$698,"&gt;=0"),2),"")</f>
        <v>133.8</v>
      </c>
      <c r="AG117" s="16" t="s">
        <v>693</v>
      </c>
      <c r="AH117" s="16" t="s">
        <v>247</v>
      </c>
      <c r="AI117" s="16" t="s">
        <v>247</v>
      </c>
      <c r="AJ117" s="16" t="str">
        <f aca="false">IF(O117&lt;&gt;"","",IF(ISNUMBER(D117),IF(D117&gt;=$C$3,"High price","Lower price"),"Unpriced")&amp;" · "&amp;IF(M117&gt;=$E$3,"high volume","lower volume"))</f>
        <v>High price · lower volume</v>
      </c>
      <c r="AK117" s="15" t="str">
        <f aca="false">IF(O117&lt;&gt;"",IF(O117="Price ≤ $5","Excluded – price ≤ $5","Excluded – IV only"),IF(ISNUMBER(D117),IF(AND(D117&gt;=$C$3,L117&gt;=$H$3),"Priority 1",IF(OR(D117&gt;=$C$3,L117&gt;=$H$3),"Priority 2","Priority 3")),IF(L117&gt;=$H$3,"Priority 2","Priority 3")))</f>
        <v>Priority 2</v>
      </c>
      <c r="AL117" s="16" t="str">
        <f aca="false">IF(O117&lt;&gt;"","",IF(ISNUMBER(D117),IF(D117&gt;=$C$3,"High price","Lower price"),"Unpriced")&amp;" · "&amp;IF(L117&gt;=$H$3,"high volume","lower volume"))</f>
        <v>High price · lower volume</v>
      </c>
      <c r="AM117" s="14" t="n">
        <f aca="false">IF(O117&lt;&gt;"","",COUNTIFS($A$29:$A$361,A117,$O$29:$O$361,"",$AQ$29:$AQ$361,"&gt;"&amp;AQ117)+COUNTIFS($A$29:A117,A117,$O$29:O117,"",$AQ$29:AQ117,AQ117))</f>
        <v>9</v>
      </c>
      <c r="AN117" s="19" t="n">
        <f aca="false">IF(AND(O117="",ISNUMBER(D117)),D117,"")</f>
        <v>133.8</v>
      </c>
      <c r="AO117" s="20" t="n">
        <f aca="false">IF(O117="",M117,"")</f>
        <v>40</v>
      </c>
      <c r="AP117" s="20" t="n">
        <f aca="false">IF(O117="",L117,"")</f>
        <v>209</v>
      </c>
      <c r="AQ117" s="33" t="n">
        <f aca="false">IF(O117&lt;&gt;"","",(4-VALUE(RIGHT(AK117,1)))*10^7+N(N117))</f>
        <v>20002827.35</v>
      </c>
      <c r="AR117" s="33" t="n">
        <f aca="false">INDEX($O$7:$O$25,MATCH(A117,$I$7:$I$25,0))</f>
        <v>8</v>
      </c>
      <c r="AS117" s="33" t="n">
        <f aca="false">IF(AE117="No","",AR117*1000+IF(AM117="",900+COUNTIFS($A$29:A117,A117,$O$29:O117,"Price ≤ $5"),AM117))</f>
        <v>8009</v>
      </c>
    </row>
    <row r="118" customFormat="false" ht="41.75" hidden="false" customHeight="false" outlineLevel="0" collapsed="false">
      <c r="A118" s="15" t="s">
        <v>189</v>
      </c>
      <c r="B118" s="15" t="s">
        <v>256</v>
      </c>
      <c r="C118" s="16" t="s">
        <v>257</v>
      </c>
      <c r="D118" s="17" t="n">
        <f aca="false">IF(W118&gt;0,ROUND(AVERAGEIFS('Shortlisted Drugs X Company (7)'!$N$3:$N$698,'Shortlisted Drugs X Company (7)'!$C$3:$C$698,$B118,'Shortlisted Drugs X Company (7)'!$E$3:$E$698,$S118,'Shortlisted Drugs X Company (7)'!$N$3:$N$698,"&gt;5"),2),"")</f>
        <v>10.14</v>
      </c>
      <c r="E118" s="15" t="str">
        <f aca="false">IF(COUNTIFS('Shortlisted Drugs X Company (7)'!$C$3:$C$698,$B118,'Shortlisted Drugs X Company (7)'!$E$3:$E$698,$S118,'Shortlisted Drugs X Company (7)'!$P$3:$P$698,"Exact")&gt;0,"Exact",IF(COUNTIFS('Shortlisted Drugs X Company (7)'!$C$3:$C$698,$B118,'Shortlisted Drugs X Company (7)'!$E$3:$E$698,$S118,'Shortlisted Drugs X Company (7)'!$P$3:$P$698,"Same-market proxy")&gt;0,"Same-market proxy",IF(COUNTIFS('Shortlisted Drugs X Company (7)'!$C$3:$C$698,$B118,'Shortlisted Drugs X Company (7)'!$E$3:$E$698,$S118,'Shortlisted Drugs X Company (7)'!$P$3:$P$698,"Cross-market proxy")&gt;0,"Cross-market proxy",IF(COUNTIFS('Shortlisted Drugs X Company (7)'!$C$3:$C$698,$B118,'Shortlisted Drugs X Company (7)'!$E$3:$E$698,$S118,'Shortlisted Drugs X Company (7)'!$P$3:$P$698,"Source not found")&gt;0,"Source not found","Not priced"))))</f>
        <v>Same-market proxy</v>
      </c>
      <c r="F118" s="18" t="n">
        <f aca="false">IFERROR(ROUND(INDEX('Injectable Value'!$AA$28:$AA$178,MATCH(B118,'Injectable Value'!$A$28:$A$178,0)),1),"")</f>
        <v>1053.6</v>
      </c>
      <c r="G118" s="16" t="s">
        <v>247</v>
      </c>
      <c r="H118" s="14" t="n">
        <v>1</v>
      </c>
      <c r="I118" s="15" t="s">
        <v>258</v>
      </c>
      <c r="J118" s="15" t="s">
        <v>249</v>
      </c>
      <c r="K118" s="16" t="str">
        <f aca="false">"Prefilled only"&amp;IF(V118=0,"; Unpriced","")&amp;IF(AND(V118&gt;0,W118=0,X118=0),"; Low price from another market – confirm with company","")</f>
        <v>Prefilled only</v>
      </c>
      <c r="L118" s="18" t="n">
        <f aca="false">IFERROR(INDEX('Shortlisted Drugs X Company (7)'!$K$3:$K$698,MATCH(B118,'Shortlisted Drugs X Company (7)'!$C$3:$C$698,0)),"")</f>
        <v>180</v>
      </c>
      <c r="M118" s="18" t="n">
        <f aca="false">IFERROR(ROUND(L118*INDEX('Injectable Value'!$Z$28:$Z$178,MATCH(B118,'Injectable Value'!$A$28:$A$178,0)),0),"")</f>
        <v>35</v>
      </c>
      <c r="N118" s="18" t="n">
        <f aca="false">IFERROR(INDEX('Shortlisted Drugs X Company (7)'!$L$3:$L$698,MATCH(B118,'Shortlisted Drugs X Company (7)'!$C$3:$C$698,0)),"")</f>
        <v>5403.25</v>
      </c>
      <c r="O118" s="15" t="str">
        <f aca="false">IF(AE118="No","IV only (not ID/IM/SC)",IF(AND(V118&gt;0,W118=0),"Price ≤ $5",""))</f>
        <v/>
      </c>
      <c r="P118" s="14" t="n">
        <f aca="false">IF(O118&lt;&gt;"","",COUNTIFS($A$29:$A$361,A118,$O$29:$O$361,"",$AC$29:$AC$361,"&gt;"&amp;AC118)+COUNTIFS($A$29:A118,A118,$O$29:O118,"",$AC$29:AC118,AC118))</f>
        <v>13</v>
      </c>
      <c r="Q118" s="15" t="str">
        <f aca="false">IF(O118&lt;&gt;"",IF(O118="Price ≤ $5","Excluded – price ≤ $5","Excluded – IV only"),IF(ISNUMBER(D118),IF(AND(D118&gt;=$C$3,M118&gt;=$E$3),"Priority 1",IF(OR(D118&gt;=$C$3,M118&gt;=$E$3),"Priority 2","Priority 3")),IF(M118&gt;=$E$3,"Priority 2","Priority 3")))</f>
        <v>Priority 3</v>
      </c>
      <c r="R118" s="16" t="s">
        <v>259</v>
      </c>
      <c r="S118" s="15" t="s">
        <v>664</v>
      </c>
      <c r="T118" s="32" t="s">
        <v>260</v>
      </c>
      <c r="U118" s="33" t="str">
        <f aca="false">B118&amp;"|"&amp;S118</f>
        <v>Diazepam|Dr. Reddy's Laboratories</v>
      </c>
      <c r="V118" s="34" t="n">
        <f aca="false">COUNTIFS('Shortlisted Drugs X Company (7)'!$C$3:$C$698,$B118,'Shortlisted Drugs X Company (7)'!$E$3:$E$698,$S118,'Shortlisted Drugs X Company (7)'!$N$3:$N$698,"&gt;=0")</f>
        <v>1</v>
      </c>
      <c r="W118" s="34" t="n">
        <f aca="false">COUNTIFS('Shortlisted Drugs X Company (7)'!$C$3:$C$698,$B118,'Shortlisted Drugs X Company (7)'!$E$3:$E$698,$S118,'Shortlisted Drugs X Company (7)'!$N$3:$N$698,"&gt;5")</f>
        <v>1</v>
      </c>
      <c r="X118" s="34" t="n">
        <f aca="false">COUNTIFS('Shortlisted Drugs X Company (7)'!$C$3:$C$698,$B118,'Shortlisted Drugs X Company (7)'!$E$3:$E$698,$S118,'Shortlisted Drugs X Company (7)'!$P$3:$P$698,"Exact")+COUNTIFS('Shortlisted Drugs X Company (7)'!$C$3:$C$698,$B118,'Shortlisted Drugs X Company (7)'!$E$3:$E$698,$S118,'Shortlisted Drugs X Company (7)'!$P$3:$P$698,"Same-market proxy")</f>
        <v>1</v>
      </c>
      <c r="Y118" s="33" t="str">
        <f aca="false">A118&amp;"|"&amp;P118</f>
        <v>Dr. Reddy's|13</v>
      </c>
      <c r="Z118" s="16" t="s">
        <v>261</v>
      </c>
      <c r="AA118" s="33" t="n">
        <f aca="false">INDEX($G$7:$G$25,MATCH(A118,$A$7:$A$25,0))</f>
        <v>3</v>
      </c>
      <c r="AB118" s="33" t="n">
        <f aca="false">IF(AE118="No","",AA118*1000+IF(P118="",900+COUNTIFS($A$29:A118,A118,$O$29:O118,"Price ≤ $5"),P118))</f>
        <v>3013</v>
      </c>
      <c r="AC118" s="33" t="n">
        <f aca="false">IF(O118&lt;&gt;"","",(4-VALUE(RIGHT(Q118,1)))*10^7+N(F118))</f>
        <v>10001053.6</v>
      </c>
      <c r="AD118" s="15" t="str">
        <f aca="false">IFERROR(INDEX('Route of Administration'!$C$5:$C$155,MATCH(B118,'Route of Administration'!$A$5:$A$155,0)),"")</f>
        <v>IV, IM</v>
      </c>
      <c r="AE118" s="14" t="str">
        <f aca="false">IFERROR(INDEX('Route of Administration'!$D$5:$D$155,MATCH(B118,'Route of Administration'!$A$5:$A$155,0)),"")</f>
        <v>Yes</v>
      </c>
      <c r="AF118" s="19" t="n">
        <f aca="false">IF(V118&gt;0,ROUND(AVERAGEIFS('Shortlisted Drugs X Company (7)'!$N$3:$N$698,'Shortlisted Drugs X Company (7)'!$C$3:$C$698,$B118,'Shortlisted Drugs X Company (7)'!$E$3:$E$698,$S118,'Shortlisted Drugs X Company (7)'!$N$3:$N$698,"&gt;=0"),2),"")</f>
        <v>10.14</v>
      </c>
      <c r="AG118" s="16" t="s">
        <v>256</v>
      </c>
      <c r="AH118" s="16" t="s">
        <v>247</v>
      </c>
      <c r="AI118" s="16" t="s">
        <v>247</v>
      </c>
      <c r="AJ118" s="16" t="str">
        <f aca="false">IF(O118&lt;&gt;"","",IF(ISNUMBER(D118),IF(D118&gt;=$C$3,"High price","Lower price"),"Unpriced")&amp;" · "&amp;IF(M118&gt;=$E$3,"high volume","lower volume"))</f>
        <v>Lower price · lower volume</v>
      </c>
      <c r="AK118" s="15" t="str">
        <f aca="false">IF(O118&lt;&gt;"",IF(O118="Price ≤ $5","Excluded – price ≤ $5","Excluded – IV only"),IF(ISNUMBER(D118),IF(AND(D118&gt;=$C$3,L118&gt;=$H$3),"Priority 1",IF(OR(D118&gt;=$C$3,L118&gt;=$H$3),"Priority 2","Priority 3")),IF(L118&gt;=$H$3,"Priority 2","Priority 3")))</f>
        <v>Priority 3</v>
      </c>
      <c r="AL118" s="16" t="str">
        <f aca="false">IF(O118&lt;&gt;"","",IF(ISNUMBER(D118),IF(D118&gt;=$C$3,"High price","Lower price"),"Unpriced")&amp;" · "&amp;IF(L118&gt;=$H$3,"high volume","lower volume"))</f>
        <v>Lower price · lower volume</v>
      </c>
      <c r="AM118" s="14" t="n">
        <f aca="false">IF(O118&lt;&gt;"","",COUNTIFS($A$29:$A$361,A118,$O$29:$O$361,"",$AQ$29:$AQ$361,"&gt;"&amp;AQ118)+COUNTIFS($A$29:A118,A118,$O$29:O118,"",$AQ$29:AQ118,AQ118))</f>
        <v>11</v>
      </c>
      <c r="AN118" s="19" t="n">
        <f aca="false">IF(AND(O118="",ISNUMBER(D118)),D118,"")</f>
        <v>10.14</v>
      </c>
      <c r="AO118" s="20" t="n">
        <f aca="false">IF(O118="",M118,"")</f>
        <v>35</v>
      </c>
      <c r="AP118" s="20" t="n">
        <f aca="false">IF(O118="",L118,"")</f>
        <v>180</v>
      </c>
      <c r="AQ118" s="33" t="n">
        <f aca="false">IF(O118&lt;&gt;"","",(4-VALUE(RIGHT(AK118,1)))*10^7+N(N118))</f>
        <v>10005403.25</v>
      </c>
      <c r="AR118" s="33" t="n">
        <f aca="false">INDEX($O$7:$O$25,MATCH(A118,$I$7:$I$25,0))</f>
        <v>8</v>
      </c>
      <c r="AS118" s="33" t="n">
        <f aca="false">IF(AE118="No","",AR118*1000+IF(AM118="",900+COUNTIFS($A$29:A118,A118,$O$29:O118,"Price ≤ $5"),AM118))</f>
        <v>8011</v>
      </c>
    </row>
    <row r="119" customFormat="false" ht="41.75" hidden="false" customHeight="false" outlineLevel="0" collapsed="false">
      <c r="A119" s="15" t="s">
        <v>189</v>
      </c>
      <c r="B119" s="15" t="s">
        <v>369</v>
      </c>
      <c r="C119" s="16" t="s">
        <v>370</v>
      </c>
      <c r="D119" s="17" t="n">
        <f aca="false">IF(W119&gt;0,ROUND(AVERAGEIFS('Shortlisted Drugs X Company (7)'!$N$3:$N$698,'Shortlisted Drugs X Company (7)'!$C$3:$C$698,$B119,'Shortlisted Drugs X Company (7)'!$E$3:$E$698,$S119,'Shortlisted Drugs X Company (7)'!$N$3:$N$698,"&gt;5"),2),"")</f>
        <v>5.35</v>
      </c>
      <c r="E119" s="15" t="str">
        <f aca="false">IF(COUNTIFS('Shortlisted Drugs X Company (7)'!$C$3:$C$698,$B119,'Shortlisted Drugs X Company (7)'!$E$3:$E$698,$S119,'Shortlisted Drugs X Company (7)'!$P$3:$P$698,"Exact")&gt;0,"Exact",IF(COUNTIFS('Shortlisted Drugs X Company (7)'!$C$3:$C$698,$B119,'Shortlisted Drugs X Company (7)'!$E$3:$E$698,$S119,'Shortlisted Drugs X Company (7)'!$P$3:$P$698,"Same-market proxy")&gt;0,"Same-market proxy",IF(COUNTIFS('Shortlisted Drugs X Company (7)'!$C$3:$C$698,$B119,'Shortlisted Drugs X Company (7)'!$E$3:$E$698,$S119,'Shortlisted Drugs X Company (7)'!$P$3:$P$698,"Cross-market proxy")&gt;0,"Cross-market proxy",IF(COUNTIFS('Shortlisted Drugs X Company (7)'!$C$3:$C$698,$B119,'Shortlisted Drugs X Company (7)'!$E$3:$E$698,$S119,'Shortlisted Drugs X Company (7)'!$P$3:$P$698,"Source not found")&gt;0,"Source not found","Not priced"))))</f>
        <v>Same-market proxy</v>
      </c>
      <c r="F119" s="18" t="n">
        <f aca="false">IFERROR(ROUND(INDEX('Injectable Value'!$AA$28:$AA$178,MATCH(B119,'Injectable Value'!$A$28:$A$178,0)),1),"")</f>
        <v>2937.3</v>
      </c>
      <c r="G119" s="16" t="s">
        <v>247</v>
      </c>
      <c r="H119" s="14" t="n">
        <v>1</v>
      </c>
      <c r="I119" s="15" t="s">
        <v>248</v>
      </c>
      <c r="J119" s="15" t="s">
        <v>249</v>
      </c>
      <c r="K119" s="16" t="str">
        <f aca="false">""&amp;IF(V119=0,"Unpriced","")&amp;IF(AND(V119&gt;0,W119=0,X119=0),"Low price from another market – confirm with company","")</f>
        <v/>
      </c>
      <c r="L119" s="18" t="n">
        <f aca="false">IFERROR(INDEX('Shortlisted Drugs X Company (7)'!$K$3:$K$698,MATCH(B119,'Shortlisted Drugs X Company (7)'!$C$3:$C$698,0)),"")</f>
        <v>78</v>
      </c>
      <c r="M119" s="18" t="n">
        <f aca="false">IFERROR(ROUND(L119*INDEX('Injectable Value'!$Z$28:$Z$178,MATCH(B119,'Injectable Value'!$A$28:$A$178,0)),0),"")</f>
        <v>49</v>
      </c>
      <c r="N119" s="18" t="n">
        <f aca="false">IFERROR(INDEX('Shortlisted Drugs X Company (7)'!$L$3:$L$698,MATCH(B119,'Shortlisted Drugs X Company (7)'!$C$3:$C$698,0)),"")</f>
        <v>4714.67</v>
      </c>
      <c r="O119" s="15" t="str">
        <f aca="false">IF(AE119="No","IV only (not ID/IM/SC)",IF(AND(V119&gt;0,W119=0),"Price ≤ $5",""))</f>
        <v/>
      </c>
      <c r="P119" s="14" t="n">
        <f aca="false">IF(O119&lt;&gt;"","",COUNTIFS($A$29:$A$361,A119,$O$29:$O$361,"",$AC$29:$AC$361,"&gt;"&amp;AC119)+COUNTIFS($A$29:A119,A119,$O$29:O119,"",$AC$29:AC119,AC119))</f>
        <v>10</v>
      </c>
      <c r="Q119" s="15" t="str">
        <f aca="false">IF(O119&lt;&gt;"",IF(O119="Price ≤ $5","Excluded – price ≤ $5","Excluded – IV only"),IF(ISNUMBER(D119),IF(AND(D119&gt;=$C$3,M119&gt;=$E$3),"Priority 1",IF(OR(D119&gt;=$C$3,M119&gt;=$E$3),"Priority 2","Priority 3")),IF(M119&gt;=$E$3,"Priority 2","Priority 3")))</f>
        <v>Priority 3</v>
      </c>
      <c r="R119" s="16" t="s">
        <v>250</v>
      </c>
      <c r="S119" s="15" t="s">
        <v>664</v>
      </c>
      <c r="T119" s="32" t="s">
        <v>372</v>
      </c>
      <c r="U119" s="33" t="str">
        <f aca="false">B119&amp;"|"&amp;S119</f>
        <v>Ephedrine|Dr. Reddy's Laboratories</v>
      </c>
      <c r="V119" s="34" t="n">
        <f aca="false">COUNTIFS('Shortlisted Drugs X Company (7)'!$C$3:$C$698,$B119,'Shortlisted Drugs X Company (7)'!$E$3:$E$698,$S119,'Shortlisted Drugs X Company (7)'!$N$3:$N$698,"&gt;=0")</f>
        <v>1</v>
      </c>
      <c r="W119" s="34" t="n">
        <f aca="false">COUNTIFS('Shortlisted Drugs X Company (7)'!$C$3:$C$698,$B119,'Shortlisted Drugs X Company (7)'!$E$3:$E$698,$S119,'Shortlisted Drugs X Company (7)'!$N$3:$N$698,"&gt;5")</f>
        <v>1</v>
      </c>
      <c r="X119" s="34" t="n">
        <f aca="false">COUNTIFS('Shortlisted Drugs X Company (7)'!$C$3:$C$698,$B119,'Shortlisted Drugs X Company (7)'!$E$3:$E$698,$S119,'Shortlisted Drugs X Company (7)'!$P$3:$P$698,"Exact")+COUNTIFS('Shortlisted Drugs X Company (7)'!$C$3:$C$698,$B119,'Shortlisted Drugs X Company (7)'!$E$3:$E$698,$S119,'Shortlisted Drugs X Company (7)'!$P$3:$P$698,"Same-market proxy")</f>
        <v>1</v>
      </c>
      <c r="Y119" s="33" t="str">
        <f aca="false">A119&amp;"|"&amp;P119</f>
        <v>Dr. Reddy's|10</v>
      </c>
      <c r="Z119" s="16" t="s">
        <v>373</v>
      </c>
      <c r="AA119" s="33" t="n">
        <f aca="false">INDEX($G$7:$G$25,MATCH(A119,$A$7:$A$25,0))</f>
        <v>3</v>
      </c>
      <c r="AB119" s="33" t="n">
        <f aca="false">IF(AE119="No","",AA119*1000+IF(P119="",900+COUNTIFS($A$29:A119,A119,$O$29:O119,"Price ≤ $5"),P119))</f>
        <v>3010</v>
      </c>
      <c r="AC119" s="33" t="n">
        <f aca="false">IF(O119&lt;&gt;"","",(4-VALUE(RIGHT(Q119,1)))*10^7+N(F119))</f>
        <v>10002937.3</v>
      </c>
      <c r="AD119" s="15" t="str">
        <f aca="false">IFERROR(INDEX('Route of Administration'!$C$5:$C$155,MATCH(B119,'Route of Administration'!$A$5:$A$155,0)),"")</f>
        <v>IV, IM, SC</v>
      </c>
      <c r="AE119" s="14" t="str">
        <f aca="false">IFERROR(INDEX('Route of Administration'!$D$5:$D$155,MATCH(B119,'Route of Administration'!$A$5:$A$155,0)),"")</f>
        <v>Yes</v>
      </c>
      <c r="AF119" s="19" t="n">
        <f aca="false">IF(V119&gt;0,ROUND(AVERAGEIFS('Shortlisted Drugs X Company (7)'!$N$3:$N$698,'Shortlisted Drugs X Company (7)'!$C$3:$C$698,$B119,'Shortlisted Drugs X Company (7)'!$E$3:$E$698,$S119,'Shortlisted Drugs X Company (7)'!$N$3:$N$698,"&gt;=0"),2),"")</f>
        <v>5.35</v>
      </c>
      <c r="AG119" s="16" t="s">
        <v>374</v>
      </c>
      <c r="AH119" s="16" t="s">
        <v>247</v>
      </c>
      <c r="AI119" s="16" t="s">
        <v>247</v>
      </c>
      <c r="AJ119" s="16" t="str">
        <f aca="false">IF(O119&lt;&gt;"","",IF(ISNUMBER(D119),IF(D119&gt;=$C$3,"High price","Lower price"),"Unpriced")&amp;" · "&amp;IF(M119&gt;=$E$3,"high volume","lower volume"))</f>
        <v>Lower price · lower volume</v>
      </c>
      <c r="AK119" s="15" t="str">
        <f aca="false">IF(O119&lt;&gt;"",IF(O119="Price ≤ $5","Excluded – price ≤ $5","Excluded – IV only"),IF(ISNUMBER(D119),IF(AND(D119&gt;=$C$3,L119&gt;=$H$3),"Priority 1",IF(OR(D119&gt;=$C$3,L119&gt;=$H$3),"Priority 2","Priority 3")),IF(L119&gt;=$H$3,"Priority 2","Priority 3")))</f>
        <v>Priority 3</v>
      </c>
      <c r="AL119" s="16" t="str">
        <f aca="false">IF(O119&lt;&gt;"","",IF(ISNUMBER(D119),IF(D119&gt;=$C$3,"High price","Lower price"),"Unpriced")&amp;" · "&amp;IF(L119&gt;=$H$3,"high volume","lower volume"))</f>
        <v>Lower price · lower volume</v>
      </c>
      <c r="AM119" s="14" t="n">
        <f aca="false">IF(O119&lt;&gt;"","",COUNTIFS($A$29:$A$361,A119,$O$29:$O$361,"",$AQ$29:$AQ$361,"&gt;"&amp;AQ119)+COUNTIFS($A$29:A119,A119,$O$29:O119,"",$AQ$29:AQ119,AQ119))</f>
        <v>12</v>
      </c>
      <c r="AN119" s="19" t="n">
        <f aca="false">IF(AND(O119="",ISNUMBER(D119)),D119,"")</f>
        <v>5.35</v>
      </c>
      <c r="AO119" s="20" t="n">
        <f aca="false">IF(O119="",M119,"")</f>
        <v>49</v>
      </c>
      <c r="AP119" s="20" t="n">
        <f aca="false">IF(O119="",L119,"")</f>
        <v>78</v>
      </c>
      <c r="AQ119" s="33" t="n">
        <f aca="false">IF(O119&lt;&gt;"","",(4-VALUE(RIGHT(AK119,1)))*10^7+N(N119))</f>
        <v>10004714.67</v>
      </c>
      <c r="AR119" s="33" t="n">
        <f aca="false">INDEX($O$7:$O$25,MATCH(A119,$I$7:$I$25,0))</f>
        <v>8</v>
      </c>
      <c r="AS119" s="33" t="n">
        <f aca="false">IF(AE119="No","",AR119*1000+IF(AM119="",900+COUNTIFS($A$29:A119,A119,$O$29:O119,"Price ≤ $5"),AM119))</f>
        <v>8012</v>
      </c>
    </row>
    <row r="120" customFormat="false" ht="28.35" hidden="false" customHeight="false" outlineLevel="0" collapsed="false">
      <c r="A120" s="15" t="s">
        <v>189</v>
      </c>
      <c r="B120" s="15" t="s">
        <v>694</v>
      </c>
      <c r="C120" s="16" t="s">
        <v>695</v>
      </c>
      <c r="D120" s="17" t="n">
        <f aca="false">IF(W120&gt;0,ROUND(AVERAGEIFS('Shortlisted Drugs X Company (7)'!$N$3:$N$698,'Shortlisted Drugs X Company (7)'!$C$3:$C$698,$B120,'Shortlisted Drugs X Company (7)'!$E$3:$E$698,$S120,'Shortlisted Drugs X Company (7)'!$N$3:$N$698,"&gt;5"),2),"")</f>
        <v>333.85</v>
      </c>
      <c r="E120" s="15" t="str">
        <f aca="false">IF(COUNTIFS('Shortlisted Drugs X Company (7)'!$C$3:$C$698,$B120,'Shortlisted Drugs X Company (7)'!$E$3:$E$698,$S120,'Shortlisted Drugs X Company (7)'!$P$3:$P$698,"Exact")&gt;0,"Exact",IF(COUNTIFS('Shortlisted Drugs X Company (7)'!$C$3:$C$698,$B120,'Shortlisted Drugs X Company (7)'!$E$3:$E$698,$S120,'Shortlisted Drugs X Company (7)'!$P$3:$P$698,"Same-market proxy")&gt;0,"Same-market proxy",IF(COUNTIFS('Shortlisted Drugs X Company (7)'!$C$3:$C$698,$B120,'Shortlisted Drugs X Company (7)'!$E$3:$E$698,$S120,'Shortlisted Drugs X Company (7)'!$P$3:$P$698,"Cross-market proxy")&gt;0,"Cross-market proxy",IF(COUNTIFS('Shortlisted Drugs X Company (7)'!$C$3:$C$698,$B120,'Shortlisted Drugs X Company (7)'!$E$3:$E$698,$S120,'Shortlisted Drugs X Company (7)'!$P$3:$P$698,"Source not found")&gt;0,"Source not found","Not priced"))))</f>
        <v>Exact</v>
      </c>
      <c r="F120" s="18" t="n">
        <f aca="false">IFERROR(ROUND(INDEX('Injectable Value'!$AA$28:$AA$178,MATCH(B120,'Injectable Value'!$A$28:$A$178,0)),1),"")</f>
        <v>1874.6</v>
      </c>
      <c r="G120" s="16" t="s">
        <v>696</v>
      </c>
      <c r="H120" s="14" t="n">
        <v>8</v>
      </c>
      <c r="I120" s="15" t="s">
        <v>248</v>
      </c>
      <c r="J120" s="15" t="s">
        <v>249</v>
      </c>
      <c r="K120" s="16" t="str">
        <f aca="false">"Cancer drug (cytotoxic) – less relevant"&amp;IF(V120=0,"; Unpriced","")&amp;IF(AND(V120&gt;0,W120=0,X120=0),"; Low price from another market – confirm with company","")</f>
        <v>Cancer drug (cytotoxic) – less relevant</v>
      </c>
      <c r="L120" s="18" t="n">
        <f aca="false">IFERROR(INDEX('Shortlisted Drugs X Company (7)'!$K$3:$K$698,MATCH(B120,'Shortlisted Drugs X Company (7)'!$C$3:$C$698,0)),"")</f>
        <v>42</v>
      </c>
      <c r="M120" s="18" t="n">
        <f aca="false">IFERROR(ROUND(L120*INDEX('Injectable Value'!$Z$28:$Z$178,MATCH(B120,'Injectable Value'!$A$28:$A$178,0)),0),"")</f>
        <v>42</v>
      </c>
      <c r="N120" s="18" t="n">
        <f aca="false">IFERROR(INDEX('Shortlisted Drugs X Company (7)'!$L$3:$L$698,MATCH(B120,'Shortlisted Drugs X Company (7)'!$C$3:$C$698,0)),"")</f>
        <v>1874.63</v>
      </c>
      <c r="O120" s="15" t="str">
        <f aca="false">IF(AE120="No","IV only (not ID/IM/SC)",IF(AND(V120&gt;0,W120=0),"Price ≤ $5",""))</f>
        <v>IV only (not ID/IM/SC)</v>
      </c>
      <c r="P120" s="14" t="str">
        <f aca="false">IF(O120&lt;&gt;"","",COUNTIFS($A$29:$A$361,A120,$O$29:$O$361,"",$AC$29:$AC$361,"&gt;"&amp;AC120)+COUNTIFS($A$29:A120,A120,$O$29:O120,"",$AC$29:AC120,AC120))</f>
        <v/>
      </c>
      <c r="Q120" s="15" t="str">
        <f aca="false">IF(O120&lt;&gt;"",IF(O120="Price ≤ $5","Excluded – price ≤ $5","Excluded – IV only"),IF(ISNUMBER(D120),IF(AND(D120&gt;=$C$3,M120&gt;=$E$3),"Priority 1",IF(OR(D120&gt;=$C$3,M120&gt;=$E$3),"Priority 2","Priority 3")),IF(M120&gt;=$E$3,"Priority 2","Priority 3")))</f>
        <v>Excluded – IV only</v>
      </c>
      <c r="R120" s="16" t="s">
        <v>250</v>
      </c>
      <c r="S120" s="15" t="s">
        <v>664</v>
      </c>
      <c r="T120" s="32" t="s">
        <v>697</v>
      </c>
      <c r="U120" s="33" t="str">
        <f aca="false">B120&amp;"|"&amp;S120</f>
        <v>Eribulin|Dr. Reddy's Laboratories</v>
      </c>
      <c r="V120" s="34" t="n">
        <f aca="false">COUNTIFS('Shortlisted Drugs X Company (7)'!$C$3:$C$698,$B120,'Shortlisted Drugs X Company (7)'!$E$3:$E$698,$S120,'Shortlisted Drugs X Company (7)'!$N$3:$N$698,"&gt;=0")</f>
        <v>6</v>
      </c>
      <c r="W120" s="34" t="n">
        <f aca="false">COUNTIFS('Shortlisted Drugs X Company (7)'!$C$3:$C$698,$B120,'Shortlisted Drugs X Company (7)'!$E$3:$E$698,$S120,'Shortlisted Drugs X Company (7)'!$N$3:$N$698,"&gt;5")</f>
        <v>6</v>
      </c>
      <c r="X120" s="34" t="n">
        <f aca="false">COUNTIFS('Shortlisted Drugs X Company (7)'!$C$3:$C$698,$B120,'Shortlisted Drugs X Company (7)'!$E$3:$E$698,$S120,'Shortlisted Drugs X Company (7)'!$P$3:$P$698,"Exact")+COUNTIFS('Shortlisted Drugs X Company (7)'!$C$3:$C$698,$B120,'Shortlisted Drugs X Company (7)'!$E$3:$E$698,$S120,'Shortlisted Drugs X Company (7)'!$P$3:$P$698,"Same-market proxy")</f>
        <v>5</v>
      </c>
      <c r="Y120" s="33" t="str">
        <f aca="false">A120&amp;"|"&amp;P120</f>
        <v>Dr. Reddy's|</v>
      </c>
      <c r="Z120" s="16" t="s">
        <v>698</v>
      </c>
      <c r="AA120" s="33" t="n">
        <f aca="false">INDEX($G$7:$G$25,MATCH(A120,$A$7:$A$25,0))</f>
        <v>3</v>
      </c>
      <c r="AB120" s="33" t="str">
        <f aca="false">IF(AE120="No","",AA120*1000+IF(P120="",900+COUNTIFS($A$29:A120,A120,$O$29:O120,"Price ≤ $5"),P120))</f>
        <v/>
      </c>
      <c r="AC120" s="33" t="str">
        <f aca="false">IF(O120&lt;&gt;"","",(4-VALUE(RIGHT(Q120,1)))*10^7+N(F120))</f>
        <v/>
      </c>
      <c r="AD120" s="15" t="str">
        <f aca="false">IFERROR(INDEX('Route of Administration'!$C$5:$C$155,MATCH(B120,'Route of Administration'!$A$5:$A$155,0)),"")</f>
        <v>IV</v>
      </c>
      <c r="AE120" s="14" t="str">
        <f aca="false">IFERROR(INDEX('Route of Administration'!$D$5:$D$155,MATCH(B120,'Route of Administration'!$A$5:$A$155,0)),"")</f>
        <v>No</v>
      </c>
      <c r="AF120" s="19" t="n">
        <f aca="false">IF(V120&gt;0,ROUND(AVERAGEIFS('Shortlisted Drugs X Company (7)'!$N$3:$N$698,'Shortlisted Drugs X Company (7)'!$C$3:$C$698,$B120,'Shortlisted Drugs X Company (7)'!$E$3:$E$698,$S120,'Shortlisted Drugs X Company (7)'!$N$3:$N$698,"&gt;=0"),2),"")</f>
        <v>333.85</v>
      </c>
      <c r="AG120" s="16" t="s">
        <v>699</v>
      </c>
      <c r="AH120" s="16" t="s">
        <v>700</v>
      </c>
      <c r="AI120" s="16" t="s">
        <v>700</v>
      </c>
      <c r="AJ120" s="16" t="str">
        <f aca="false">IF(O120&lt;&gt;"","",IF(ISNUMBER(D120),IF(D120&gt;=$C$3,"High price","Lower price"),"Unpriced")&amp;" · "&amp;IF(M120&gt;=$E$3,"high volume","lower volume"))</f>
        <v/>
      </c>
      <c r="AK120" s="15" t="str">
        <f aca="false">IF(O120&lt;&gt;"",IF(O120="Price ≤ $5","Excluded – price ≤ $5","Excluded – IV only"),IF(ISNUMBER(D120),IF(AND(D120&gt;=$C$3,L120&gt;=$H$3),"Priority 1",IF(OR(D120&gt;=$C$3,L120&gt;=$H$3),"Priority 2","Priority 3")),IF(L120&gt;=$H$3,"Priority 2","Priority 3")))</f>
        <v>Excluded – IV only</v>
      </c>
      <c r="AL120" s="16" t="str">
        <f aca="false">IF(O120&lt;&gt;"","",IF(ISNUMBER(D120),IF(D120&gt;=$C$3,"High price","Lower price"),"Unpriced")&amp;" · "&amp;IF(L120&gt;=$H$3,"high volume","lower volume"))</f>
        <v/>
      </c>
      <c r="AM120" s="14" t="str">
        <f aca="false">IF(O120&lt;&gt;"","",COUNTIFS($A$29:$A$361,A120,$O$29:$O$361,"",$AQ$29:$AQ$361,"&gt;"&amp;AQ120)+COUNTIFS($A$29:A120,A120,$O$29:O120,"",$AQ$29:AQ120,AQ120))</f>
        <v/>
      </c>
      <c r="AN120" s="33" t="str">
        <f aca="false">IF(AND(O120="",ISNUMBER(D120)),D120,"")</f>
        <v/>
      </c>
      <c r="AO120" s="33" t="str">
        <f aca="false">IF(O120="",M120,"")</f>
        <v/>
      </c>
      <c r="AP120" s="33" t="str">
        <f aca="false">IF(O120="",L120,"")</f>
        <v/>
      </c>
      <c r="AQ120" s="33" t="str">
        <f aca="false">IF(O120&lt;&gt;"","",(4-VALUE(RIGHT(AK120,1)))*10^7+N(N120))</f>
        <v/>
      </c>
      <c r="AR120" s="33" t="n">
        <f aca="false">INDEX($O$7:$O$25,MATCH(A120,$I$7:$I$25,0))</f>
        <v>8</v>
      </c>
      <c r="AS120" s="33" t="str">
        <f aca="false">IF(AE120="No","",AR120*1000+IF(AM120="",900+COUNTIFS($A$29:A120,A120,$O$29:O120,"Price ≤ $5"),AM120))</f>
        <v/>
      </c>
    </row>
    <row r="121" customFormat="false" ht="28.35" hidden="false" customHeight="false" outlineLevel="0" collapsed="false">
      <c r="A121" s="15" t="s">
        <v>189</v>
      </c>
      <c r="B121" s="15" t="s">
        <v>387</v>
      </c>
      <c r="C121" s="16" t="s">
        <v>388</v>
      </c>
      <c r="D121" s="17" t="n">
        <f aca="false">IF(W121&gt;0,ROUND(AVERAGEIFS('Shortlisted Drugs X Company (7)'!$N$3:$N$698,'Shortlisted Drugs X Company (7)'!$C$3:$C$698,$B121,'Shortlisted Drugs X Company (7)'!$E$3:$E$698,$S121,'Shortlisted Drugs X Company (7)'!$N$3:$N$698,"&gt;5"),2),"")</f>
        <v>36.59</v>
      </c>
      <c r="E121" s="15" t="str">
        <f aca="false">IF(COUNTIFS('Shortlisted Drugs X Company (7)'!$C$3:$C$698,$B121,'Shortlisted Drugs X Company (7)'!$E$3:$E$698,$S121,'Shortlisted Drugs X Company (7)'!$P$3:$P$698,"Exact")&gt;0,"Exact",IF(COUNTIFS('Shortlisted Drugs X Company (7)'!$C$3:$C$698,$B121,'Shortlisted Drugs X Company (7)'!$E$3:$E$698,$S121,'Shortlisted Drugs X Company (7)'!$P$3:$P$698,"Same-market proxy")&gt;0,"Same-market proxy",IF(COUNTIFS('Shortlisted Drugs X Company (7)'!$C$3:$C$698,$B121,'Shortlisted Drugs X Company (7)'!$E$3:$E$698,$S121,'Shortlisted Drugs X Company (7)'!$P$3:$P$698,"Cross-market proxy")&gt;0,"Cross-market proxy",IF(COUNTIFS('Shortlisted Drugs X Company (7)'!$C$3:$C$698,$B121,'Shortlisted Drugs X Company (7)'!$E$3:$E$698,$S121,'Shortlisted Drugs X Company (7)'!$P$3:$P$698,"Source not found")&gt;0,"Source not found","Not priced"))))</f>
        <v>Exact</v>
      </c>
      <c r="F121" s="18" t="n">
        <f aca="false">IFERROR(ROUND(INDEX('Injectable Value'!$AA$28:$AA$178,MATCH(B121,'Injectable Value'!$A$28:$A$178,0)),1),"")</f>
        <v>53539.9</v>
      </c>
      <c r="G121" s="16" t="s">
        <v>429</v>
      </c>
      <c r="H121" s="14" t="n">
        <v>1</v>
      </c>
      <c r="I121" s="15" t="s">
        <v>248</v>
      </c>
      <c r="J121" s="15" t="s">
        <v>277</v>
      </c>
      <c r="K121" s="16" t="str">
        <f aca="false">""&amp;IF(V121=0,"Unpriced","")&amp;IF(AND(V121&gt;0,W121=0,X121=0),"Low price from another market – confirm with company","")</f>
        <v/>
      </c>
      <c r="L121" s="18" t="n">
        <f aca="false">IFERROR(INDEX('Shortlisted Drugs X Company (7)'!$K$3:$K$698,MATCH(B121,'Shortlisted Drugs X Company (7)'!$C$3:$C$698,0)),"")</f>
        <v>223</v>
      </c>
      <c r="M121" s="18" t="n">
        <f aca="false">IFERROR(ROUND(L121*INDEX('Injectable Value'!$Z$28:$Z$178,MATCH(B121,'Injectable Value'!$A$28:$A$178,0)),0),"")</f>
        <v>223</v>
      </c>
      <c r="N121" s="18" t="n">
        <f aca="false">IFERROR(INDEX('Shortlisted Drugs X Company (7)'!$L$3:$L$698,MATCH(B121,'Shortlisted Drugs X Company (7)'!$C$3:$C$698,0)),"")</f>
        <v>53539.87</v>
      </c>
      <c r="O121" s="15" t="str">
        <f aca="false">IF(AE121="No","IV only (not ID/IM/SC)",IF(AND(V121&gt;0,W121=0),"Price ≤ $5",""))</f>
        <v/>
      </c>
      <c r="P121" s="14" t="n">
        <f aca="false">IF(O121&lt;&gt;"","",COUNTIFS($A$29:$A$361,A121,$O$29:$O$361,"",$AC$29:$AC$361,"&gt;"&amp;AC121)+COUNTIFS($A$29:A121,A121,$O$29:O121,"",$AC$29:AC121,AC121))</f>
        <v>1</v>
      </c>
      <c r="Q121" s="15" t="str">
        <f aca="false">IF(O121&lt;&gt;"",IF(O121="Price ≤ $5","Excluded – price ≤ $5","Excluded – IV only"),IF(ISNUMBER(D121),IF(AND(D121&gt;=$C$3,M121&gt;=$E$3),"Priority 1",IF(OR(D121&gt;=$C$3,M121&gt;=$E$3),"Priority 2","Priority 3")),IF(M121&gt;=$E$3,"Priority 2","Priority 3")))</f>
        <v>Priority 1</v>
      </c>
      <c r="R121" s="16" t="s">
        <v>250</v>
      </c>
      <c r="S121" s="15" t="s">
        <v>664</v>
      </c>
      <c r="T121" s="32" t="s">
        <v>390</v>
      </c>
      <c r="U121" s="33" t="str">
        <f aca="false">B121&amp;"|"&amp;S121</f>
        <v>Ertapenem|Dr. Reddy's Laboratories</v>
      </c>
      <c r="V121" s="34" t="n">
        <f aca="false">COUNTIFS('Shortlisted Drugs X Company (7)'!$C$3:$C$698,$B121,'Shortlisted Drugs X Company (7)'!$E$3:$E$698,$S121,'Shortlisted Drugs X Company (7)'!$N$3:$N$698,"&gt;=0")</f>
        <v>1</v>
      </c>
      <c r="W121" s="34" t="n">
        <f aca="false">COUNTIFS('Shortlisted Drugs X Company (7)'!$C$3:$C$698,$B121,'Shortlisted Drugs X Company (7)'!$E$3:$E$698,$S121,'Shortlisted Drugs X Company (7)'!$N$3:$N$698,"&gt;5")</f>
        <v>1</v>
      </c>
      <c r="X121" s="34" t="n">
        <f aca="false">COUNTIFS('Shortlisted Drugs X Company (7)'!$C$3:$C$698,$B121,'Shortlisted Drugs X Company (7)'!$E$3:$E$698,$S121,'Shortlisted Drugs X Company (7)'!$P$3:$P$698,"Exact")+COUNTIFS('Shortlisted Drugs X Company (7)'!$C$3:$C$698,$B121,'Shortlisted Drugs X Company (7)'!$E$3:$E$698,$S121,'Shortlisted Drugs X Company (7)'!$P$3:$P$698,"Same-market proxy")</f>
        <v>1</v>
      </c>
      <c r="Y121" s="33" t="str">
        <f aca="false">A121&amp;"|"&amp;P121</f>
        <v>Dr. Reddy's|1</v>
      </c>
      <c r="Z121" s="16" t="s">
        <v>701</v>
      </c>
      <c r="AA121" s="33" t="n">
        <f aca="false">INDEX($G$7:$G$25,MATCH(A121,$A$7:$A$25,0))</f>
        <v>3</v>
      </c>
      <c r="AB121" s="33" t="n">
        <f aca="false">IF(AE121="No","",AA121*1000+IF(P121="",900+COUNTIFS($A$29:A121,A121,$O$29:O121,"Price ≤ $5"),P121))</f>
        <v>3001</v>
      </c>
      <c r="AC121" s="33" t="n">
        <f aca="false">IF(O121&lt;&gt;"","",(4-VALUE(RIGHT(Q121,1)))*10^7+N(F121))</f>
        <v>30053539.9</v>
      </c>
      <c r="AD121" s="15" t="str">
        <f aca="false">IFERROR(INDEX('Route of Administration'!$C$5:$C$155,MATCH(B121,'Route of Administration'!$A$5:$A$155,0)),"")</f>
        <v>IV, IM</v>
      </c>
      <c r="AE121" s="14" t="str">
        <f aca="false">IFERROR(INDEX('Route of Administration'!$D$5:$D$155,MATCH(B121,'Route of Administration'!$A$5:$A$155,0)),"")</f>
        <v>Yes</v>
      </c>
      <c r="AF121" s="19" t="n">
        <f aca="false">IF(V121&gt;0,ROUND(AVERAGEIFS('Shortlisted Drugs X Company (7)'!$N$3:$N$698,'Shortlisted Drugs X Company (7)'!$C$3:$C$698,$B121,'Shortlisted Drugs X Company (7)'!$E$3:$E$698,$S121,'Shortlisted Drugs X Company (7)'!$N$3:$N$698,"&gt;=0"),2),"")</f>
        <v>36.59</v>
      </c>
      <c r="AG121" s="16" t="s">
        <v>387</v>
      </c>
      <c r="AH121" s="16" t="s">
        <v>433</v>
      </c>
      <c r="AI121" s="16" t="s">
        <v>433</v>
      </c>
      <c r="AJ121" s="16" t="str">
        <f aca="false">IF(O121&lt;&gt;"","",IF(ISNUMBER(D121),IF(D121&gt;=$C$3,"High price","Lower price"),"Unpriced")&amp;" · "&amp;IF(M121&gt;=$E$3,"high volume","lower volume"))</f>
        <v>High price · high volume</v>
      </c>
      <c r="AK121" s="15" t="str">
        <f aca="false">IF(O121&lt;&gt;"",IF(O121="Price ≤ $5","Excluded – price ≤ $5","Excluded – IV only"),IF(ISNUMBER(D121),IF(AND(D121&gt;=$C$3,L121&gt;=$H$3),"Priority 1",IF(OR(D121&gt;=$C$3,L121&gt;=$H$3),"Priority 2","Priority 3")),IF(L121&gt;=$H$3,"Priority 2","Priority 3")))</f>
        <v>Priority 2</v>
      </c>
      <c r="AL121" s="16" t="str">
        <f aca="false">IF(O121&lt;&gt;"","",IF(ISNUMBER(D121),IF(D121&gt;=$C$3,"High price","Lower price"),"Unpriced")&amp;" · "&amp;IF(L121&gt;=$H$3,"high volume","lower volume"))</f>
        <v>High price · lower volume</v>
      </c>
      <c r="AM121" s="14" t="n">
        <f aca="false">IF(O121&lt;&gt;"","",COUNTIFS($A$29:$A$361,A121,$O$29:$O$361,"",$AQ$29:$AQ$361,"&gt;"&amp;AQ121)+COUNTIFS($A$29:A121,A121,$O$29:O121,"",$AQ$29:AQ121,AQ121))</f>
        <v>3</v>
      </c>
      <c r="AN121" s="19" t="n">
        <f aca="false">IF(AND(O121="",ISNUMBER(D121)),D121,"")</f>
        <v>36.59</v>
      </c>
      <c r="AO121" s="20" t="n">
        <f aca="false">IF(O121="",M121,"")</f>
        <v>223</v>
      </c>
      <c r="AP121" s="20" t="n">
        <f aca="false">IF(O121="",L121,"")</f>
        <v>223</v>
      </c>
      <c r="AQ121" s="33" t="n">
        <f aca="false">IF(O121&lt;&gt;"","",(4-VALUE(RIGHT(AK121,1)))*10^7+N(N121))</f>
        <v>20053539.87</v>
      </c>
      <c r="AR121" s="33" t="n">
        <f aca="false">INDEX($O$7:$O$25,MATCH(A121,$I$7:$I$25,0))</f>
        <v>8</v>
      </c>
      <c r="AS121" s="33" t="n">
        <f aca="false">IF(AE121="No","",AR121*1000+IF(AM121="",900+COUNTIFS($A$29:A121,A121,$O$29:O121,"Price ≤ $5"),AM121))</f>
        <v>8003</v>
      </c>
    </row>
    <row r="122" customFormat="false" ht="41.75" hidden="false" customHeight="false" outlineLevel="0" collapsed="false">
      <c r="A122" s="15" t="s">
        <v>189</v>
      </c>
      <c r="B122" s="15" t="s">
        <v>702</v>
      </c>
      <c r="C122" s="16" t="s">
        <v>703</v>
      </c>
      <c r="D122" s="17" t="n">
        <f aca="false">IF(W122&gt;0,ROUND(AVERAGEIFS('Shortlisted Drugs X Company (7)'!$N$3:$N$698,'Shortlisted Drugs X Company (7)'!$C$3:$C$698,$B122,'Shortlisted Drugs X Company (7)'!$E$3:$E$698,$S122,'Shortlisted Drugs X Company (7)'!$N$3:$N$698,"&gt;5"),2),"")</f>
        <v>30.59</v>
      </c>
      <c r="E122" s="15" t="str">
        <f aca="false">IF(COUNTIFS('Shortlisted Drugs X Company (7)'!$C$3:$C$698,$B122,'Shortlisted Drugs X Company (7)'!$E$3:$E$698,$S122,'Shortlisted Drugs X Company (7)'!$P$3:$P$698,"Exact")&gt;0,"Exact",IF(COUNTIFS('Shortlisted Drugs X Company (7)'!$C$3:$C$698,$B122,'Shortlisted Drugs X Company (7)'!$E$3:$E$698,$S122,'Shortlisted Drugs X Company (7)'!$P$3:$P$698,"Same-market proxy")&gt;0,"Same-market proxy",IF(COUNTIFS('Shortlisted Drugs X Company (7)'!$C$3:$C$698,$B122,'Shortlisted Drugs X Company (7)'!$E$3:$E$698,$S122,'Shortlisted Drugs X Company (7)'!$P$3:$P$698,"Cross-market proxy")&gt;0,"Cross-market proxy",IF(COUNTIFS('Shortlisted Drugs X Company (7)'!$C$3:$C$698,$B122,'Shortlisted Drugs X Company (7)'!$E$3:$E$698,$S122,'Shortlisted Drugs X Company (7)'!$P$3:$P$698,"Source not found")&gt;0,"Source not found","Not priced"))))</f>
        <v>Exact</v>
      </c>
      <c r="F122" s="18" t="n">
        <f aca="false">IFERROR(ROUND(INDEX('Injectable Value'!$AA$28:$AA$178,MATCH(B122,'Injectable Value'!$A$28:$A$178,0)),1),"")</f>
        <v>373.9</v>
      </c>
      <c r="G122" s="16" t="s">
        <v>70</v>
      </c>
      <c r="H122" s="14" t="n">
        <v>1</v>
      </c>
      <c r="I122" s="15" t="s">
        <v>248</v>
      </c>
      <c r="J122" s="15" t="s">
        <v>249</v>
      </c>
      <c r="K122" s="16" t="str">
        <f aca="false">""&amp;IF(V122=0,"Unpriced","")&amp;IF(AND(V122&gt;0,W122=0,X122=0),"Low price from another market – confirm with company","")</f>
        <v/>
      </c>
      <c r="L122" s="18" t="n">
        <f aca="false">IFERROR(INDEX('Shortlisted Drugs X Company (7)'!$K$3:$K$698,MATCH(B122,'Shortlisted Drugs X Company (7)'!$C$3:$C$698,0)),"")</f>
        <v>132</v>
      </c>
      <c r="M122" s="18" t="n">
        <f aca="false">IFERROR(ROUND(L122*INDEX('Injectable Value'!$Z$28:$Z$178,MATCH(B122,'Injectable Value'!$A$28:$A$178,0)),0),"")</f>
        <v>131</v>
      </c>
      <c r="N122" s="18" t="n">
        <f aca="false">IFERROR(INDEX('Shortlisted Drugs X Company (7)'!$L$3:$L$698,MATCH(B122,'Shortlisted Drugs X Company (7)'!$C$3:$C$698,0)),"")</f>
        <v>376.39</v>
      </c>
      <c r="O122" s="15" t="str">
        <f aca="false">IF(AE122="No","IV only (not ID/IM/SC)",IF(AND(V122&gt;0,W122=0),"Price ≤ $5",""))</f>
        <v>IV only (not ID/IM/SC)</v>
      </c>
      <c r="P122" s="14" t="str">
        <f aca="false">IF(O122&lt;&gt;"","",COUNTIFS($A$29:$A$361,A122,$O$29:$O$361,"",$AC$29:$AC$361,"&gt;"&amp;AC122)+COUNTIFS($A$29:A122,A122,$O$29:O122,"",$AC$29:AC122,AC122))</f>
        <v/>
      </c>
      <c r="Q122" s="15" t="str">
        <f aca="false">IF(O122&lt;&gt;"",IF(O122="Price ≤ $5","Excluded – price ≤ $5","Excluded – IV only"),IF(ISNUMBER(D122),IF(AND(D122&gt;=$C$3,M122&gt;=$E$3),"Priority 1",IF(OR(D122&gt;=$C$3,M122&gt;=$E$3),"Priority 2","Priority 3")),IF(M122&gt;=$E$3,"Priority 2","Priority 3")))</f>
        <v>Excluded – IV only</v>
      </c>
      <c r="R122" s="16" t="s">
        <v>285</v>
      </c>
      <c r="S122" s="15" t="s">
        <v>664</v>
      </c>
      <c r="T122" s="32" t="s">
        <v>704</v>
      </c>
      <c r="U122" s="33" t="str">
        <f aca="false">B122&amp;"|"&amp;S122</f>
        <v>Ferric Carboxymaltose|Dr. Reddy's Laboratories</v>
      </c>
      <c r="V122" s="34" t="n">
        <f aca="false">COUNTIFS('Shortlisted Drugs X Company (7)'!$C$3:$C$698,$B122,'Shortlisted Drugs X Company (7)'!$E$3:$E$698,$S122,'Shortlisted Drugs X Company (7)'!$N$3:$N$698,"&gt;=0")</f>
        <v>3</v>
      </c>
      <c r="W122" s="34" t="n">
        <f aca="false">COUNTIFS('Shortlisted Drugs X Company (7)'!$C$3:$C$698,$B122,'Shortlisted Drugs X Company (7)'!$E$3:$E$698,$S122,'Shortlisted Drugs X Company (7)'!$N$3:$N$698,"&gt;5")</f>
        <v>3</v>
      </c>
      <c r="X122" s="34" t="n">
        <f aca="false">COUNTIFS('Shortlisted Drugs X Company (7)'!$C$3:$C$698,$B122,'Shortlisted Drugs X Company (7)'!$E$3:$E$698,$S122,'Shortlisted Drugs X Company (7)'!$P$3:$P$698,"Exact")+COUNTIFS('Shortlisted Drugs X Company (7)'!$C$3:$C$698,$B122,'Shortlisted Drugs X Company (7)'!$E$3:$E$698,$S122,'Shortlisted Drugs X Company (7)'!$P$3:$P$698,"Same-market proxy")</f>
        <v>3</v>
      </c>
      <c r="Y122" s="33" t="str">
        <f aca="false">A122&amp;"|"&amp;P122</f>
        <v>Dr. Reddy's|</v>
      </c>
      <c r="Z122" s="16" t="s">
        <v>705</v>
      </c>
      <c r="AA122" s="33" t="n">
        <f aca="false">INDEX($G$7:$G$25,MATCH(A122,$A$7:$A$25,0))</f>
        <v>3</v>
      </c>
      <c r="AB122" s="33" t="str">
        <f aca="false">IF(AE122="No","",AA122*1000+IF(P122="",900+COUNTIFS($A$29:A122,A122,$O$29:O122,"Price ≤ $5"),P122))</f>
        <v/>
      </c>
      <c r="AC122" s="33" t="str">
        <f aca="false">IF(O122&lt;&gt;"","",(4-VALUE(RIGHT(Q122,1)))*10^7+N(F122))</f>
        <v/>
      </c>
      <c r="AD122" s="15" t="str">
        <f aca="false">IFERROR(INDEX('Route of Administration'!$C$5:$C$155,MATCH(B122,'Route of Administration'!$A$5:$A$155,0)),"")</f>
        <v>IV</v>
      </c>
      <c r="AE122" s="14" t="str">
        <f aca="false">IFERROR(INDEX('Route of Administration'!$D$5:$D$155,MATCH(B122,'Route of Administration'!$A$5:$A$155,0)),"")</f>
        <v>No</v>
      </c>
      <c r="AF122" s="19" t="n">
        <f aca="false">IF(V122&gt;0,ROUND(AVERAGEIFS('Shortlisted Drugs X Company (7)'!$N$3:$N$698,'Shortlisted Drugs X Company (7)'!$C$3:$C$698,$B122,'Shortlisted Drugs X Company (7)'!$E$3:$E$698,$S122,'Shortlisted Drugs X Company (7)'!$N$3:$N$698,"&gt;=0"),2),"")</f>
        <v>30.59</v>
      </c>
      <c r="AG122" s="16" t="s">
        <v>706</v>
      </c>
      <c r="AH122" s="16" t="s">
        <v>583</v>
      </c>
      <c r="AI122" s="16" t="s">
        <v>583</v>
      </c>
      <c r="AJ122" s="16" t="str">
        <f aca="false">IF(O122&lt;&gt;"","",IF(ISNUMBER(D122),IF(D122&gt;=$C$3,"High price","Lower price"),"Unpriced")&amp;" · "&amp;IF(M122&gt;=$E$3,"high volume","lower volume"))</f>
        <v/>
      </c>
      <c r="AK122" s="15" t="str">
        <f aca="false">IF(O122&lt;&gt;"",IF(O122="Price ≤ $5","Excluded – price ≤ $5","Excluded – IV only"),IF(ISNUMBER(D122),IF(AND(D122&gt;=$C$3,L122&gt;=$H$3),"Priority 1",IF(OR(D122&gt;=$C$3,L122&gt;=$H$3),"Priority 2","Priority 3")),IF(L122&gt;=$H$3,"Priority 2","Priority 3")))</f>
        <v>Excluded – IV only</v>
      </c>
      <c r="AL122" s="16" t="str">
        <f aca="false">IF(O122&lt;&gt;"","",IF(ISNUMBER(D122),IF(D122&gt;=$C$3,"High price","Lower price"),"Unpriced")&amp;" · "&amp;IF(L122&gt;=$H$3,"high volume","lower volume"))</f>
        <v/>
      </c>
      <c r="AM122" s="14" t="str">
        <f aca="false">IF(O122&lt;&gt;"","",COUNTIFS($A$29:$A$361,A122,$O$29:$O$361,"",$AQ$29:$AQ$361,"&gt;"&amp;AQ122)+COUNTIFS($A$29:A122,A122,$O$29:O122,"",$AQ$29:AQ122,AQ122))</f>
        <v/>
      </c>
      <c r="AN122" s="33" t="str">
        <f aca="false">IF(AND(O122="",ISNUMBER(D122)),D122,"")</f>
        <v/>
      </c>
      <c r="AO122" s="33" t="str">
        <f aca="false">IF(O122="",M122,"")</f>
        <v/>
      </c>
      <c r="AP122" s="33" t="str">
        <f aca="false">IF(O122="",L122,"")</f>
        <v/>
      </c>
      <c r="AQ122" s="33" t="str">
        <f aca="false">IF(O122&lt;&gt;"","",(4-VALUE(RIGHT(AK122,1)))*10^7+N(N122))</f>
        <v/>
      </c>
      <c r="AR122" s="33" t="n">
        <f aca="false">INDEX($O$7:$O$25,MATCH(A122,$I$7:$I$25,0))</f>
        <v>8</v>
      </c>
      <c r="AS122" s="33" t="str">
        <f aca="false">IF(AE122="No","",AR122*1000+IF(AM122="",900+COUNTIFS($A$29:A122,A122,$O$29:O122,"Price ≤ $5"),AM122))</f>
        <v/>
      </c>
    </row>
    <row r="123" customFormat="false" ht="41.75" hidden="false" customHeight="false" outlineLevel="0" collapsed="false">
      <c r="A123" s="15" t="s">
        <v>189</v>
      </c>
      <c r="B123" s="15" t="s">
        <v>262</v>
      </c>
      <c r="C123" s="16" t="s">
        <v>263</v>
      </c>
      <c r="D123" s="17" t="n">
        <f aca="false">IF(W123&gt;0,ROUND(AVERAGEIFS('Shortlisted Drugs X Company (7)'!$N$3:$N$698,'Shortlisted Drugs X Company (7)'!$C$3:$C$698,$B123,'Shortlisted Drugs X Company (7)'!$E$3:$E$698,$S123,'Shortlisted Drugs X Company (7)'!$N$3:$N$698,"&gt;5"),2),"")</f>
        <v>248.6</v>
      </c>
      <c r="E123" s="15" t="str">
        <f aca="false">IF(COUNTIFS('Shortlisted Drugs X Company (7)'!$C$3:$C$698,$B123,'Shortlisted Drugs X Company (7)'!$E$3:$E$698,$S123,'Shortlisted Drugs X Company (7)'!$P$3:$P$698,"Exact")&gt;0,"Exact",IF(COUNTIFS('Shortlisted Drugs X Company (7)'!$C$3:$C$698,$B123,'Shortlisted Drugs X Company (7)'!$E$3:$E$698,$S123,'Shortlisted Drugs X Company (7)'!$P$3:$P$698,"Same-market proxy")&gt;0,"Same-market proxy",IF(COUNTIFS('Shortlisted Drugs X Company (7)'!$C$3:$C$698,$B123,'Shortlisted Drugs X Company (7)'!$E$3:$E$698,$S123,'Shortlisted Drugs X Company (7)'!$P$3:$P$698,"Cross-market proxy")&gt;0,"Cross-market proxy",IF(COUNTIFS('Shortlisted Drugs X Company (7)'!$C$3:$C$698,$B123,'Shortlisted Drugs X Company (7)'!$E$3:$E$698,$S123,'Shortlisted Drugs X Company (7)'!$P$3:$P$698,"Source not found")&gt;0,"Source not found","Not priced"))))</f>
        <v>Exact</v>
      </c>
      <c r="F123" s="18" t="n">
        <f aca="false">IFERROR(ROUND(INDEX('Injectable Value'!$AA$28:$AA$178,MATCH(B123,'Injectable Value'!$A$28:$A$178,0)),1),"")</f>
        <v>11366.1</v>
      </c>
      <c r="G123" s="16" t="s">
        <v>707</v>
      </c>
      <c r="H123" s="14" t="n">
        <v>14</v>
      </c>
      <c r="I123" s="15" t="s">
        <v>258</v>
      </c>
      <c r="J123" s="15" t="s">
        <v>249</v>
      </c>
      <c r="K123" s="16" t="str">
        <f aca="false">"Prefilled only"&amp;IF(V123=0,"; Unpriced","")&amp;IF(AND(V123&gt;0,W123=0,X123=0),"; Low price from another market – confirm with company","")</f>
        <v>Prefilled only</v>
      </c>
      <c r="L123" s="18" t="n">
        <f aca="false">IFERROR(INDEX('Shortlisted Drugs X Company (7)'!$K$3:$K$698,MATCH(B123,'Shortlisted Drugs X Company (7)'!$C$3:$C$698,0)),"")</f>
        <v>146</v>
      </c>
      <c r="M123" s="18" t="n">
        <f aca="false">IFERROR(ROUND(L123*INDEX('Injectable Value'!$Z$28:$Z$178,MATCH(B123,'Injectable Value'!$A$28:$A$178,0)),0),"")</f>
        <v>146</v>
      </c>
      <c r="N123" s="18" t="n">
        <f aca="false">IFERROR(INDEX('Shortlisted Drugs X Company (7)'!$L$3:$L$698,MATCH(B123,'Shortlisted Drugs X Company (7)'!$C$3:$C$698,0)),"")</f>
        <v>11366.06</v>
      </c>
      <c r="O123" s="15" t="str">
        <f aca="false">IF(AE123="No","IV only (not ID/IM/SC)",IF(AND(V123&gt;0,W123=0),"Price ≤ $5",""))</f>
        <v/>
      </c>
      <c r="P123" s="14" t="n">
        <f aca="false">IF(O123&lt;&gt;"","",COUNTIFS($A$29:$A$361,A123,$O$29:$O$361,"",$AC$29:$AC$361,"&gt;"&amp;AC123)+COUNTIFS($A$29:A123,A123,$O$29:O123,"",$AC$29:AC123,AC123))</f>
        <v>4</v>
      </c>
      <c r="Q123" s="15" t="str">
        <f aca="false">IF(O123&lt;&gt;"",IF(O123="Price ≤ $5","Excluded – price ≤ $5","Excluded – IV only"),IF(ISNUMBER(D123),IF(AND(D123&gt;=$C$3,M123&gt;=$E$3),"Priority 1",IF(OR(D123&gt;=$C$3,M123&gt;=$E$3),"Priority 2","Priority 3")),IF(M123&gt;=$E$3,"Priority 2","Priority 3")))</f>
        <v>Priority 1</v>
      </c>
      <c r="R123" s="16" t="s">
        <v>259</v>
      </c>
      <c r="S123" s="15" t="s">
        <v>664</v>
      </c>
      <c r="T123" s="32" t="s">
        <v>264</v>
      </c>
      <c r="U123" s="33" t="str">
        <f aca="false">B123&amp;"|"&amp;S123</f>
        <v>Fulvestrant|Dr. Reddy's Laboratories</v>
      </c>
      <c r="V123" s="34" t="n">
        <f aca="false">COUNTIFS('Shortlisted Drugs X Company (7)'!$C$3:$C$698,$B123,'Shortlisted Drugs X Company (7)'!$E$3:$E$698,$S123,'Shortlisted Drugs X Company (7)'!$N$3:$N$698,"&gt;=0")</f>
        <v>4</v>
      </c>
      <c r="W123" s="34" t="n">
        <f aca="false">COUNTIFS('Shortlisted Drugs X Company (7)'!$C$3:$C$698,$B123,'Shortlisted Drugs X Company (7)'!$E$3:$E$698,$S123,'Shortlisted Drugs X Company (7)'!$N$3:$N$698,"&gt;5")</f>
        <v>4</v>
      </c>
      <c r="X123" s="34" t="n">
        <f aca="false">COUNTIFS('Shortlisted Drugs X Company (7)'!$C$3:$C$698,$B123,'Shortlisted Drugs X Company (7)'!$E$3:$E$698,$S123,'Shortlisted Drugs X Company (7)'!$P$3:$P$698,"Exact")+COUNTIFS('Shortlisted Drugs X Company (7)'!$C$3:$C$698,$B123,'Shortlisted Drugs X Company (7)'!$E$3:$E$698,$S123,'Shortlisted Drugs X Company (7)'!$P$3:$P$698,"Same-market proxy")</f>
        <v>4</v>
      </c>
      <c r="Y123" s="33" t="str">
        <f aca="false">A123&amp;"|"&amp;P123</f>
        <v>Dr. Reddy's|4</v>
      </c>
      <c r="Z123" s="16" t="s">
        <v>265</v>
      </c>
      <c r="AA123" s="33" t="n">
        <f aca="false">INDEX($G$7:$G$25,MATCH(A123,$A$7:$A$25,0))</f>
        <v>3</v>
      </c>
      <c r="AB123" s="33" t="n">
        <f aca="false">IF(AE123="No","",AA123*1000+IF(P123="",900+COUNTIFS($A$29:A123,A123,$O$29:O123,"Price ≤ $5"),P123))</f>
        <v>3004</v>
      </c>
      <c r="AC123" s="33" t="n">
        <f aca="false">IF(O123&lt;&gt;"","",(4-VALUE(RIGHT(Q123,1)))*10^7+N(F123))</f>
        <v>30011366.1</v>
      </c>
      <c r="AD123" s="15" t="str">
        <f aca="false">IFERROR(INDEX('Route of Administration'!$C$5:$C$155,MATCH(B123,'Route of Administration'!$A$5:$A$155,0)),"")</f>
        <v>IM</v>
      </c>
      <c r="AE123" s="14" t="str">
        <f aca="false">IFERROR(INDEX('Route of Administration'!$D$5:$D$155,MATCH(B123,'Route of Administration'!$A$5:$A$155,0)),"")</f>
        <v>Yes</v>
      </c>
      <c r="AF123" s="19" t="n">
        <f aca="false">IF(V123&gt;0,ROUND(AVERAGEIFS('Shortlisted Drugs X Company (7)'!$N$3:$N$698,'Shortlisted Drugs X Company (7)'!$C$3:$C$698,$B123,'Shortlisted Drugs X Company (7)'!$E$3:$E$698,$S123,'Shortlisted Drugs X Company (7)'!$N$3:$N$698,"&gt;=0"),2),"")</f>
        <v>248.6</v>
      </c>
      <c r="AG123" s="16" t="s">
        <v>708</v>
      </c>
      <c r="AH123" s="16" t="s">
        <v>709</v>
      </c>
      <c r="AI123" s="16" t="s">
        <v>710</v>
      </c>
      <c r="AJ123" s="16" t="str">
        <f aca="false">IF(O123&lt;&gt;"","",IF(ISNUMBER(D123),IF(D123&gt;=$C$3,"High price","Lower price"),"Unpriced")&amp;" · "&amp;IF(M123&gt;=$E$3,"high volume","lower volume"))</f>
        <v>High price · high volume</v>
      </c>
      <c r="AK123" s="15" t="str">
        <f aca="false">IF(O123&lt;&gt;"",IF(O123="Price ≤ $5","Excluded – price ≤ $5","Excluded – IV only"),IF(ISNUMBER(D123),IF(AND(D123&gt;=$C$3,L123&gt;=$H$3),"Priority 1",IF(OR(D123&gt;=$C$3,L123&gt;=$H$3),"Priority 2","Priority 3")),IF(L123&gt;=$H$3,"Priority 2","Priority 3")))</f>
        <v>Priority 2</v>
      </c>
      <c r="AL123" s="16" t="str">
        <f aca="false">IF(O123&lt;&gt;"","",IF(ISNUMBER(D123),IF(D123&gt;=$C$3,"High price","Lower price"),"Unpriced")&amp;" · "&amp;IF(L123&gt;=$H$3,"high volume","lower volume"))</f>
        <v>High price · lower volume</v>
      </c>
      <c r="AM123" s="14" t="n">
        <f aca="false">IF(O123&lt;&gt;"","",COUNTIFS($A$29:$A$361,A123,$O$29:$O$361,"",$AQ$29:$AQ$361,"&gt;"&amp;AQ123)+COUNTIFS($A$29:A123,A123,$O$29:O123,"",$AQ$29:AQ123,AQ123))</f>
        <v>4</v>
      </c>
      <c r="AN123" s="19" t="n">
        <f aca="false">IF(AND(O123="",ISNUMBER(D123)),D123,"")</f>
        <v>248.6</v>
      </c>
      <c r="AO123" s="20" t="n">
        <f aca="false">IF(O123="",M123,"")</f>
        <v>146</v>
      </c>
      <c r="AP123" s="20" t="n">
        <f aca="false">IF(O123="",L123,"")</f>
        <v>146</v>
      </c>
      <c r="AQ123" s="33" t="n">
        <f aca="false">IF(O123&lt;&gt;"","",(4-VALUE(RIGHT(AK123,1)))*10^7+N(N123))</f>
        <v>20011366.06</v>
      </c>
      <c r="AR123" s="33" t="n">
        <f aca="false">INDEX($O$7:$O$25,MATCH(A123,$I$7:$I$25,0))</f>
        <v>8</v>
      </c>
      <c r="AS123" s="33" t="n">
        <f aca="false">IF(AE123="No","",AR123*1000+IF(AM123="",900+COUNTIFS($A$29:A123,A123,$O$29:O123,"Price ≤ $5"),AM123))</f>
        <v>8004</v>
      </c>
    </row>
    <row r="124" customFormat="false" ht="28.35" hidden="false" customHeight="false" outlineLevel="0" collapsed="false">
      <c r="A124" s="15" t="s">
        <v>189</v>
      </c>
      <c r="B124" s="15" t="s">
        <v>434</v>
      </c>
      <c r="C124" s="16" t="s">
        <v>435</v>
      </c>
      <c r="D124" s="17" t="n">
        <f aca="false">IF(W124&gt;0,ROUND(AVERAGEIFS('Shortlisted Drugs X Company (7)'!$N$3:$N$698,'Shortlisted Drugs X Company (7)'!$C$3:$C$698,$B124,'Shortlisted Drugs X Company (7)'!$E$3:$E$698,$S124,'Shortlisted Drugs X Company (7)'!$N$3:$N$698,"&gt;5"),2),"")</f>
        <v>46.35</v>
      </c>
      <c r="E124" s="15" t="str">
        <f aca="false">IF(COUNTIFS('Shortlisted Drugs X Company (7)'!$C$3:$C$698,$B124,'Shortlisted Drugs X Company (7)'!$E$3:$E$698,$S124,'Shortlisted Drugs X Company (7)'!$P$3:$P$698,"Exact")&gt;0,"Exact",IF(COUNTIFS('Shortlisted Drugs X Company (7)'!$C$3:$C$698,$B124,'Shortlisted Drugs X Company (7)'!$E$3:$E$698,$S124,'Shortlisted Drugs X Company (7)'!$P$3:$P$698,"Same-market proxy")&gt;0,"Same-market proxy",IF(COUNTIFS('Shortlisted Drugs X Company (7)'!$C$3:$C$698,$B124,'Shortlisted Drugs X Company (7)'!$E$3:$E$698,$S124,'Shortlisted Drugs X Company (7)'!$P$3:$P$698,"Cross-market proxy")&gt;0,"Cross-market proxy",IF(COUNTIFS('Shortlisted Drugs X Company (7)'!$C$3:$C$698,$B124,'Shortlisted Drugs X Company (7)'!$E$3:$E$698,$S124,'Shortlisted Drugs X Company (7)'!$P$3:$P$698,"Source not found")&gt;0,"Source not found","Not priced"))))</f>
        <v>Exact</v>
      </c>
      <c r="F124" s="18" t="n">
        <f aca="false">IFERROR(ROUND(INDEX('Injectable Value'!$AA$28:$AA$178,MATCH(B124,'Injectable Value'!$A$28:$A$178,0)),1),"")</f>
        <v>517.1</v>
      </c>
      <c r="G124" s="16" t="s">
        <v>418</v>
      </c>
      <c r="H124" s="14" t="n">
        <v>1</v>
      </c>
      <c r="I124" s="15" t="s">
        <v>258</v>
      </c>
      <c r="J124" s="15" t="s">
        <v>277</v>
      </c>
      <c r="K124" s="16" t="str">
        <f aca="false">"Prefilled only"&amp;IF(V124=0,"; Unpriced","")&amp;IF(AND(V124&gt;0,W124=0,X124=0),"; Low price from another market – confirm with company","")</f>
        <v>Prefilled only</v>
      </c>
      <c r="L124" s="18" t="n">
        <f aca="false">IFERROR(INDEX('Shortlisted Drugs X Company (7)'!$K$3:$K$698,MATCH(B124,'Shortlisted Drugs X Company (7)'!$C$3:$C$698,0)),"")</f>
        <v>116</v>
      </c>
      <c r="M124" s="18" t="n">
        <f aca="false">IFERROR(ROUND(L124*INDEX('Injectable Value'!$Z$28:$Z$178,MATCH(B124,'Injectable Value'!$A$28:$A$178,0)),0),"")</f>
        <v>52</v>
      </c>
      <c r="N124" s="18" t="n">
        <f aca="false">IFERROR(INDEX('Shortlisted Drugs X Company (7)'!$L$3:$L$698,MATCH(B124,'Shortlisted Drugs X Company (7)'!$C$3:$C$698,0)),"")</f>
        <v>1162.12</v>
      </c>
      <c r="O124" s="15" t="str">
        <f aca="false">IF(AE124="No","IV only (not ID/IM/SC)",IF(AND(V124&gt;0,W124=0),"Price ≤ $5",""))</f>
        <v>IV only (not ID/IM/SC)</v>
      </c>
      <c r="P124" s="14" t="str">
        <f aca="false">IF(O124&lt;&gt;"","",COUNTIFS($A$29:$A$361,A124,$O$29:$O$361,"",$AC$29:$AC$361,"&gt;"&amp;AC124)+COUNTIFS($A$29:A124,A124,$O$29:O124,"",$AC$29:AC124,AC124))</f>
        <v/>
      </c>
      <c r="Q124" s="15" t="str">
        <f aca="false">IF(O124&lt;&gt;"",IF(O124="Price ≤ $5","Excluded – price ≤ $5","Excluded – IV only"),IF(ISNUMBER(D124),IF(AND(D124&gt;=$C$3,M124&gt;=$E$3),"Priority 1",IF(OR(D124&gt;=$C$3,M124&gt;=$E$3),"Priority 2","Priority 3")),IF(M124&gt;=$E$3,"Priority 2","Priority 3")))</f>
        <v>Excluded – IV only</v>
      </c>
      <c r="R124" s="16" t="s">
        <v>259</v>
      </c>
      <c r="S124" s="15" t="s">
        <v>664</v>
      </c>
      <c r="T124" s="32" t="s">
        <v>436</v>
      </c>
      <c r="U124" s="33" t="str">
        <f aca="false">B124&amp;"|"&amp;S124</f>
        <v>Ibandronic Acid|Dr. Reddy's Laboratories</v>
      </c>
      <c r="V124" s="34" t="n">
        <f aca="false">COUNTIFS('Shortlisted Drugs X Company (7)'!$C$3:$C$698,$B124,'Shortlisted Drugs X Company (7)'!$E$3:$E$698,$S124,'Shortlisted Drugs X Company (7)'!$N$3:$N$698,"&gt;=0")</f>
        <v>1</v>
      </c>
      <c r="W124" s="34" t="n">
        <f aca="false">COUNTIFS('Shortlisted Drugs X Company (7)'!$C$3:$C$698,$B124,'Shortlisted Drugs X Company (7)'!$E$3:$E$698,$S124,'Shortlisted Drugs X Company (7)'!$N$3:$N$698,"&gt;5")</f>
        <v>1</v>
      </c>
      <c r="X124" s="34" t="n">
        <f aca="false">COUNTIFS('Shortlisted Drugs X Company (7)'!$C$3:$C$698,$B124,'Shortlisted Drugs X Company (7)'!$E$3:$E$698,$S124,'Shortlisted Drugs X Company (7)'!$P$3:$P$698,"Exact")+COUNTIFS('Shortlisted Drugs X Company (7)'!$C$3:$C$698,$B124,'Shortlisted Drugs X Company (7)'!$E$3:$E$698,$S124,'Shortlisted Drugs X Company (7)'!$P$3:$P$698,"Same-market proxy")</f>
        <v>1</v>
      </c>
      <c r="Y124" s="33" t="str">
        <f aca="false">A124&amp;"|"&amp;P124</f>
        <v>Dr. Reddy's|</v>
      </c>
      <c r="Z124" s="16" t="s">
        <v>711</v>
      </c>
      <c r="AA124" s="33" t="n">
        <f aca="false">INDEX($G$7:$G$25,MATCH(A124,$A$7:$A$25,0))</f>
        <v>3</v>
      </c>
      <c r="AB124" s="33" t="str">
        <f aca="false">IF(AE124="No","",AA124*1000+IF(P124="",900+COUNTIFS($A$29:A124,A124,$O$29:O124,"Price ≤ $5"),P124))</f>
        <v/>
      </c>
      <c r="AC124" s="33" t="str">
        <f aca="false">IF(O124&lt;&gt;"","",(4-VALUE(RIGHT(Q124,1)))*10^7+N(F124))</f>
        <v/>
      </c>
      <c r="AD124" s="15" t="str">
        <f aca="false">IFERROR(INDEX('Route of Administration'!$C$5:$C$155,MATCH(B124,'Route of Administration'!$A$5:$A$155,0)),"")</f>
        <v>IV</v>
      </c>
      <c r="AE124" s="14" t="str">
        <f aca="false">IFERROR(INDEX('Route of Administration'!$D$5:$D$155,MATCH(B124,'Route of Administration'!$A$5:$A$155,0)),"")</f>
        <v>No</v>
      </c>
      <c r="AF124" s="19" t="n">
        <f aca="false">IF(V124&gt;0,ROUND(AVERAGEIFS('Shortlisted Drugs X Company (7)'!$N$3:$N$698,'Shortlisted Drugs X Company (7)'!$C$3:$C$698,$B124,'Shortlisted Drugs X Company (7)'!$E$3:$E$698,$S124,'Shortlisted Drugs X Company (7)'!$N$3:$N$698,"&gt;=0"),2),"")</f>
        <v>46.35</v>
      </c>
      <c r="AG124" s="16" t="s">
        <v>712</v>
      </c>
      <c r="AH124" s="16" t="s">
        <v>422</v>
      </c>
      <c r="AI124" s="16" t="s">
        <v>422</v>
      </c>
      <c r="AJ124" s="16" t="str">
        <f aca="false">IF(O124&lt;&gt;"","",IF(ISNUMBER(D124),IF(D124&gt;=$C$3,"High price","Lower price"),"Unpriced")&amp;" · "&amp;IF(M124&gt;=$E$3,"high volume","lower volume"))</f>
        <v/>
      </c>
      <c r="AK124" s="15" t="str">
        <f aca="false">IF(O124&lt;&gt;"",IF(O124="Price ≤ $5","Excluded – price ≤ $5","Excluded – IV only"),IF(ISNUMBER(D124),IF(AND(D124&gt;=$C$3,L124&gt;=$H$3),"Priority 1",IF(OR(D124&gt;=$C$3,L124&gt;=$H$3),"Priority 2","Priority 3")),IF(L124&gt;=$H$3,"Priority 2","Priority 3")))</f>
        <v>Excluded – IV only</v>
      </c>
      <c r="AL124" s="16" t="str">
        <f aca="false">IF(O124&lt;&gt;"","",IF(ISNUMBER(D124),IF(D124&gt;=$C$3,"High price","Lower price"),"Unpriced")&amp;" · "&amp;IF(L124&gt;=$H$3,"high volume","lower volume"))</f>
        <v/>
      </c>
      <c r="AM124" s="14" t="str">
        <f aca="false">IF(O124&lt;&gt;"","",COUNTIFS($A$29:$A$361,A124,$O$29:$O$361,"",$AQ$29:$AQ$361,"&gt;"&amp;AQ124)+COUNTIFS($A$29:A124,A124,$O$29:O124,"",$AQ$29:AQ124,AQ124))</f>
        <v/>
      </c>
      <c r="AN124" s="33" t="str">
        <f aca="false">IF(AND(O124="",ISNUMBER(D124)),D124,"")</f>
        <v/>
      </c>
      <c r="AO124" s="33" t="str">
        <f aca="false">IF(O124="",M124,"")</f>
        <v/>
      </c>
      <c r="AP124" s="33" t="str">
        <f aca="false">IF(O124="",L124,"")</f>
        <v/>
      </c>
      <c r="AQ124" s="33" t="str">
        <f aca="false">IF(O124&lt;&gt;"","",(4-VALUE(RIGHT(AK124,1)))*10^7+N(N124))</f>
        <v/>
      </c>
      <c r="AR124" s="33" t="n">
        <f aca="false">INDEX($O$7:$O$25,MATCH(A124,$I$7:$I$25,0))</f>
        <v>8</v>
      </c>
      <c r="AS124" s="33" t="str">
        <f aca="false">IF(AE124="No","",AR124*1000+IF(AM124="",900+COUNTIFS($A$29:A124,A124,$O$29:O124,"Price ≤ $5"),AM124))</f>
        <v/>
      </c>
    </row>
    <row r="125" customFormat="false" ht="28.35" hidden="false" customHeight="false" outlineLevel="0" collapsed="false">
      <c r="A125" s="15" t="s">
        <v>189</v>
      </c>
      <c r="B125" s="15" t="s">
        <v>480</v>
      </c>
      <c r="C125" s="16" t="s">
        <v>481</v>
      </c>
      <c r="D125" s="17" t="n">
        <f aca="false">IF(W125&gt;0,ROUND(AVERAGEIFS('Shortlisted Drugs X Company (7)'!$N$3:$N$698,'Shortlisted Drugs X Company (7)'!$C$3:$C$698,$B125,'Shortlisted Drugs X Company (7)'!$E$3:$E$698,$S125,'Shortlisted Drugs X Company (7)'!$N$3:$N$698,"&gt;5"),2),"")</f>
        <v>13.87</v>
      </c>
      <c r="E125" s="15" t="str">
        <f aca="false">IF(COUNTIFS('Shortlisted Drugs X Company (7)'!$C$3:$C$698,$B125,'Shortlisted Drugs X Company (7)'!$E$3:$E$698,$S125,'Shortlisted Drugs X Company (7)'!$P$3:$P$698,"Exact")&gt;0,"Exact",IF(COUNTIFS('Shortlisted Drugs X Company (7)'!$C$3:$C$698,$B125,'Shortlisted Drugs X Company (7)'!$E$3:$E$698,$S125,'Shortlisted Drugs X Company (7)'!$P$3:$P$698,"Same-market proxy")&gt;0,"Same-market proxy",IF(COUNTIFS('Shortlisted Drugs X Company (7)'!$C$3:$C$698,$B125,'Shortlisted Drugs X Company (7)'!$E$3:$E$698,$S125,'Shortlisted Drugs X Company (7)'!$P$3:$P$698,"Cross-market proxy")&gt;0,"Cross-market proxy",IF(COUNTIFS('Shortlisted Drugs X Company (7)'!$C$3:$C$698,$B125,'Shortlisted Drugs X Company (7)'!$E$3:$E$698,$S125,'Shortlisted Drugs X Company (7)'!$P$3:$P$698,"Source not found")&gt;0,"Source not found","Not priced"))))</f>
        <v>Exact</v>
      </c>
      <c r="F125" s="18" t="n">
        <f aca="false">IFERROR(ROUND(INDEX('Injectable Value'!$AA$28:$AA$178,MATCH(B125,'Injectable Value'!$A$28:$A$178,0)),1),"")</f>
        <v>1437.9</v>
      </c>
      <c r="G125" s="16" t="s">
        <v>247</v>
      </c>
      <c r="H125" s="14" t="n">
        <v>1</v>
      </c>
      <c r="I125" s="15" t="s">
        <v>258</v>
      </c>
      <c r="J125" s="15" t="s">
        <v>249</v>
      </c>
      <c r="K125" s="16" t="str">
        <f aca="false">"Prefilled only"&amp;IF(V125=0,"; Unpriced","")&amp;IF(AND(V125&gt;0,W125=0,X125=0),"; Low price from another market – confirm with company","")</f>
        <v>Prefilled only</v>
      </c>
      <c r="L125" s="18" t="n">
        <f aca="false">IFERROR(INDEX('Shortlisted Drugs X Company (7)'!$K$3:$K$698,MATCH(B125,'Shortlisted Drugs X Company (7)'!$C$3:$C$698,0)),"")</f>
        <v>365</v>
      </c>
      <c r="M125" s="18" t="n">
        <f aca="false">IFERROR(ROUND(L125*INDEX('Injectable Value'!$Z$28:$Z$178,MATCH(B125,'Injectable Value'!$A$28:$A$178,0)),0),"")</f>
        <v>88</v>
      </c>
      <c r="N125" s="18" t="n">
        <f aca="false">IFERROR(INDEX('Shortlisted Drugs X Company (7)'!$L$3:$L$698,MATCH(B125,'Shortlisted Drugs X Company (7)'!$C$3:$C$698,0)),"")</f>
        <v>5976.94</v>
      </c>
      <c r="O125" s="15" t="str">
        <f aca="false">IF(AE125="No","IV only (not ID/IM/SC)",IF(AND(V125&gt;0,W125=0),"Price ≤ $5",""))</f>
        <v/>
      </c>
      <c r="P125" s="14" t="n">
        <f aca="false">IF(O125&lt;&gt;"","",COUNTIFS($A$29:$A$361,A125,$O$29:$O$361,"",$AC$29:$AC$361,"&gt;"&amp;AC125)+COUNTIFS($A$29:A125,A125,$O$29:O125,"",$AC$29:AC125,AC125))</f>
        <v>12</v>
      </c>
      <c r="Q125" s="15" t="str">
        <f aca="false">IF(O125&lt;&gt;"",IF(O125="Price ≤ $5","Excluded – price ≤ $5","Excluded – IV only"),IF(ISNUMBER(D125),IF(AND(D125&gt;=$C$3,M125&gt;=$E$3),"Priority 1",IF(OR(D125&gt;=$C$3,M125&gt;=$E$3),"Priority 2","Priority 3")),IF(M125&gt;=$E$3,"Priority 2","Priority 3")))</f>
        <v>Priority 3</v>
      </c>
      <c r="R125" s="16" t="s">
        <v>259</v>
      </c>
      <c r="S125" s="15" t="s">
        <v>664</v>
      </c>
      <c r="T125" s="32" t="s">
        <v>483</v>
      </c>
      <c r="U125" s="33" t="str">
        <f aca="false">B125&amp;"|"&amp;S125</f>
        <v>Naloxone|Dr. Reddy's Laboratories</v>
      </c>
      <c r="V125" s="34" t="n">
        <f aca="false">COUNTIFS('Shortlisted Drugs X Company (7)'!$C$3:$C$698,$B125,'Shortlisted Drugs X Company (7)'!$E$3:$E$698,$S125,'Shortlisted Drugs X Company (7)'!$N$3:$N$698,"&gt;=0")</f>
        <v>1</v>
      </c>
      <c r="W125" s="34" t="n">
        <f aca="false">COUNTIFS('Shortlisted Drugs X Company (7)'!$C$3:$C$698,$B125,'Shortlisted Drugs X Company (7)'!$E$3:$E$698,$S125,'Shortlisted Drugs X Company (7)'!$N$3:$N$698,"&gt;5")</f>
        <v>1</v>
      </c>
      <c r="X125" s="34" t="n">
        <f aca="false">COUNTIFS('Shortlisted Drugs X Company (7)'!$C$3:$C$698,$B125,'Shortlisted Drugs X Company (7)'!$E$3:$E$698,$S125,'Shortlisted Drugs X Company (7)'!$P$3:$P$698,"Exact")+COUNTIFS('Shortlisted Drugs X Company (7)'!$C$3:$C$698,$B125,'Shortlisted Drugs X Company (7)'!$E$3:$E$698,$S125,'Shortlisted Drugs X Company (7)'!$P$3:$P$698,"Same-market proxy")</f>
        <v>1</v>
      </c>
      <c r="Y125" s="33" t="str">
        <f aca="false">A125&amp;"|"&amp;P125</f>
        <v>Dr. Reddy's|12</v>
      </c>
      <c r="Z125" s="16" t="s">
        <v>713</v>
      </c>
      <c r="AA125" s="33" t="n">
        <f aca="false">INDEX($G$7:$G$25,MATCH(A125,$A$7:$A$25,0))</f>
        <v>3</v>
      </c>
      <c r="AB125" s="33" t="n">
        <f aca="false">IF(AE125="No","",AA125*1000+IF(P125="",900+COUNTIFS($A$29:A125,A125,$O$29:O125,"Price ≤ $5"),P125))</f>
        <v>3012</v>
      </c>
      <c r="AC125" s="33" t="n">
        <f aca="false">IF(O125&lt;&gt;"","",(4-VALUE(RIGHT(Q125,1)))*10^7+N(F125))</f>
        <v>10001437.9</v>
      </c>
      <c r="AD125" s="15" t="str">
        <f aca="false">IFERROR(INDEX('Route of Administration'!$C$5:$C$155,MATCH(B125,'Route of Administration'!$A$5:$A$155,0)),"")</f>
        <v>IV, IM, SC</v>
      </c>
      <c r="AE125" s="14" t="str">
        <f aca="false">IFERROR(INDEX('Route of Administration'!$D$5:$D$155,MATCH(B125,'Route of Administration'!$A$5:$A$155,0)),"")</f>
        <v>Yes</v>
      </c>
      <c r="AF125" s="19" t="n">
        <f aca="false">IF(V125&gt;0,ROUND(AVERAGEIFS('Shortlisted Drugs X Company (7)'!$N$3:$N$698,'Shortlisted Drugs X Company (7)'!$C$3:$C$698,$B125,'Shortlisted Drugs X Company (7)'!$E$3:$E$698,$S125,'Shortlisted Drugs X Company (7)'!$N$3:$N$698,"&gt;=0"),2),"")</f>
        <v>13.87</v>
      </c>
      <c r="AG125" s="16" t="s">
        <v>485</v>
      </c>
      <c r="AH125" s="16" t="s">
        <v>247</v>
      </c>
      <c r="AI125" s="16" t="s">
        <v>247</v>
      </c>
      <c r="AJ125" s="16" t="str">
        <f aca="false">IF(O125&lt;&gt;"","",IF(ISNUMBER(D125),IF(D125&gt;=$C$3,"High price","Lower price"),"Unpriced")&amp;" · "&amp;IF(M125&gt;=$E$3,"high volume","lower volume"))</f>
        <v>Lower price · lower volume</v>
      </c>
      <c r="AK125" s="15" t="str">
        <f aca="false">IF(O125&lt;&gt;"",IF(O125="Price ≤ $5","Excluded – price ≤ $5","Excluded – IV only"),IF(ISNUMBER(D125),IF(AND(D125&gt;=$C$3,L125&gt;=$H$3),"Priority 1",IF(OR(D125&gt;=$C$3,L125&gt;=$H$3),"Priority 2","Priority 3")),IF(L125&gt;=$H$3,"Priority 2","Priority 3")))</f>
        <v>Priority 2</v>
      </c>
      <c r="AL125" s="16" t="str">
        <f aca="false">IF(O125&lt;&gt;"","",IF(ISNUMBER(D125),IF(D125&gt;=$C$3,"High price","Lower price"),"Unpriced")&amp;" · "&amp;IF(L125&gt;=$H$3,"high volume","lower volume"))</f>
        <v>Lower price · high volume</v>
      </c>
      <c r="AM125" s="14" t="n">
        <f aca="false">IF(O125&lt;&gt;"","",COUNTIFS($A$29:$A$361,A125,$O$29:$O$361,"",$AQ$29:$AQ$361,"&gt;"&amp;AQ125)+COUNTIFS($A$29:A125,A125,$O$29:O125,"",$AQ$29:AQ125,AQ125))</f>
        <v>6</v>
      </c>
      <c r="AN125" s="19" t="n">
        <f aca="false">IF(AND(O125="",ISNUMBER(D125)),D125,"")</f>
        <v>13.87</v>
      </c>
      <c r="AO125" s="20" t="n">
        <f aca="false">IF(O125="",M125,"")</f>
        <v>88</v>
      </c>
      <c r="AP125" s="20" t="n">
        <f aca="false">IF(O125="",L125,"")</f>
        <v>365</v>
      </c>
      <c r="AQ125" s="33" t="n">
        <f aca="false">IF(O125&lt;&gt;"","",(4-VALUE(RIGHT(AK125,1)))*10^7+N(N125))</f>
        <v>20005976.94</v>
      </c>
      <c r="AR125" s="33" t="n">
        <f aca="false">INDEX($O$7:$O$25,MATCH(A125,$I$7:$I$25,0))</f>
        <v>8</v>
      </c>
      <c r="AS125" s="33" t="n">
        <f aca="false">IF(AE125="No","",AR125*1000+IF(AM125="",900+COUNTIFS($A$29:A125,A125,$O$29:O125,"Price ≤ $5"),AM125))</f>
        <v>8006</v>
      </c>
    </row>
    <row r="126" customFormat="false" ht="41.75" hidden="false" customHeight="false" outlineLevel="0" collapsed="false">
      <c r="A126" s="15" t="s">
        <v>189</v>
      </c>
      <c r="B126" s="15" t="s">
        <v>714</v>
      </c>
      <c r="C126" s="16" t="s">
        <v>715</v>
      </c>
      <c r="D126" s="17" t="n">
        <f aca="false">IF(W126&gt;0,ROUND(AVERAGEIFS('Shortlisted Drugs X Company (7)'!$N$3:$N$698,'Shortlisted Drugs X Company (7)'!$C$3:$C$698,$B126,'Shortlisted Drugs X Company (7)'!$E$3:$E$698,$S126,'Shortlisted Drugs X Company (7)'!$N$3:$N$698,"&gt;5"),2),"")</f>
        <v>17.79</v>
      </c>
      <c r="E126" s="15" t="str">
        <f aca="false">IF(COUNTIFS('Shortlisted Drugs X Company (7)'!$C$3:$C$698,$B126,'Shortlisted Drugs X Company (7)'!$E$3:$E$698,$S126,'Shortlisted Drugs X Company (7)'!$P$3:$P$698,"Exact")&gt;0,"Exact",IF(COUNTIFS('Shortlisted Drugs X Company (7)'!$C$3:$C$698,$B126,'Shortlisted Drugs X Company (7)'!$E$3:$E$698,$S126,'Shortlisted Drugs X Company (7)'!$P$3:$P$698,"Same-market proxy")&gt;0,"Same-market proxy",IF(COUNTIFS('Shortlisted Drugs X Company (7)'!$C$3:$C$698,$B126,'Shortlisted Drugs X Company (7)'!$E$3:$E$698,$S126,'Shortlisted Drugs X Company (7)'!$P$3:$P$698,"Cross-market proxy")&gt;0,"Cross-market proxy",IF(COUNTIFS('Shortlisted Drugs X Company (7)'!$C$3:$C$698,$B126,'Shortlisted Drugs X Company (7)'!$E$3:$E$698,$S126,'Shortlisted Drugs X Company (7)'!$P$3:$P$698,"Source not found")&gt;0,"Source not found","Not priced"))))</f>
        <v>Same-market proxy</v>
      </c>
      <c r="F126" s="18" t="n">
        <f aca="false">IFERROR(ROUND(INDEX('Injectable Value'!$AA$28:$AA$178,MATCH(B126,'Injectable Value'!$A$28:$A$178,0)),1),"")</f>
        <v>1830.5</v>
      </c>
      <c r="G126" s="16" t="s">
        <v>247</v>
      </c>
      <c r="H126" s="14" t="n">
        <v>1</v>
      </c>
      <c r="I126" s="15" t="s">
        <v>441</v>
      </c>
      <c r="J126" s="15" t="s">
        <v>249</v>
      </c>
      <c r="K126" s="16" t="str">
        <f aca="false">""&amp;IF(V126=0,"Unpriced","")&amp;IF(AND(V126&gt;0,W126=0,X126=0),"Low price from another market – confirm with company","")</f>
        <v/>
      </c>
      <c r="L126" s="18" t="n">
        <f aca="false">IFERROR(INDEX('Shortlisted Drugs X Company (7)'!$K$3:$K$698,MATCH(B126,'Shortlisted Drugs X Company (7)'!$C$3:$C$698,0)),"")</f>
        <v>236</v>
      </c>
      <c r="M126" s="18" t="n">
        <f aca="false">IFERROR(ROUND(L126*INDEX('Injectable Value'!$Z$28:$Z$178,MATCH(B126,'Injectable Value'!$A$28:$A$178,0)),0),"")</f>
        <v>234</v>
      </c>
      <c r="N126" s="18" t="n">
        <f aca="false">IFERROR(INDEX('Shortlisted Drugs X Company (7)'!$L$3:$L$698,MATCH(B126,'Shortlisted Drugs X Company (7)'!$C$3:$C$698,0)),"")</f>
        <v>1845.67</v>
      </c>
      <c r="O126" s="15" t="str">
        <f aca="false">IF(AE126="No","IV only (not ID/IM/SC)",IF(AND(V126&gt;0,W126=0),"Price ≤ $5",""))</f>
        <v/>
      </c>
      <c r="P126" s="14" t="n">
        <f aca="false">IF(O126&lt;&gt;"","",COUNTIFS($A$29:$A$361,A126,$O$29:$O$361,"",$AC$29:$AC$361,"&gt;"&amp;AC126)+COUNTIFS($A$29:A126,A126,$O$29:O126,"",$AC$29:AC126,AC126))</f>
        <v>8</v>
      </c>
      <c r="Q126" s="15" t="str">
        <f aca="false">IF(O126&lt;&gt;"",IF(O126="Price ≤ $5","Excluded – price ≤ $5","Excluded – IV only"),IF(ISNUMBER(D126),IF(AND(D126&gt;=$C$3,M126&gt;=$E$3),"Priority 1",IF(OR(D126&gt;=$C$3,M126&gt;=$E$3),"Priority 2","Priority 3")),IF(M126&gt;=$E$3,"Priority 2","Priority 3")))</f>
        <v>Priority 2</v>
      </c>
      <c r="R126" s="16" t="s">
        <v>285</v>
      </c>
      <c r="S126" s="15" t="s">
        <v>664</v>
      </c>
      <c r="T126" s="32" t="s">
        <v>716</v>
      </c>
      <c r="U126" s="33" t="str">
        <f aca="false">B126&amp;"|"&amp;S126</f>
        <v>Neostigmine|Dr. Reddy's Laboratories</v>
      </c>
      <c r="V126" s="34" t="n">
        <f aca="false">COUNTIFS('Shortlisted Drugs X Company (7)'!$C$3:$C$698,$B126,'Shortlisted Drugs X Company (7)'!$E$3:$E$698,$S126,'Shortlisted Drugs X Company (7)'!$N$3:$N$698,"&gt;=0")</f>
        <v>3</v>
      </c>
      <c r="W126" s="34" t="n">
        <f aca="false">COUNTIFS('Shortlisted Drugs X Company (7)'!$C$3:$C$698,$B126,'Shortlisted Drugs X Company (7)'!$E$3:$E$698,$S126,'Shortlisted Drugs X Company (7)'!$N$3:$N$698,"&gt;5")</f>
        <v>3</v>
      </c>
      <c r="X126" s="34" t="n">
        <f aca="false">COUNTIFS('Shortlisted Drugs X Company (7)'!$C$3:$C$698,$B126,'Shortlisted Drugs X Company (7)'!$E$3:$E$698,$S126,'Shortlisted Drugs X Company (7)'!$P$3:$P$698,"Exact")+COUNTIFS('Shortlisted Drugs X Company (7)'!$C$3:$C$698,$B126,'Shortlisted Drugs X Company (7)'!$E$3:$E$698,$S126,'Shortlisted Drugs X Company (7)'!$P$3:$P$698,"Same-market proxy")</f>
        <v>3</v>
      </c>
      <c r="Y126" s="33" t="str">
        <f aca="false">A126&amp;"|"&amp;P126</f>
        <v>Dr. Reddy's|8</v>
      </c>
      <c r="Z126" s="16" t="s">
        <v>717</v>
      </c>
      <c r="AA126" s="33" t="n">
        <f aca="false">INDEX($G$7:$G$25,MATCH(A126,$A$7:$A$25,0))</f>
        <v>3</v>
      </c>
      <c r="AB126" s="33" t="n">
        <f aca="false">IF(AE126="No","",AA126*1000+IF(P126="",900+COUNTIFS($A$29:A126,A126,$O$29:O126,"Price ≤ $5"),P126))</f>
        <v>3008</v>
      </c>
      <c r="AC126" s="33" t="n">
        <f aca="false">IF(O126&lt;&gt;"","",(4-VALUE(RIGHT(Q126,1)))*10^7+N(F126))</f>
        <v>20001830.5</v>
      </c>
      <c r="AD126" s="15" t="str">
        <f aca="false">IFERROR(INDEX('Route of Administration'!$C$5:$C$155,MATCH(B126,'Route of Administration'!$A$5:$A$155,0)),"")</f>
        <v>IV, SC, IM</v>
      </c>
      <c r="AE126" s="14" t="str">
        <f aca="false">IFERROR(INDEX('Route of Administration'!$D$5:$D$155,MATCH(B126,'Route of Administration'!$A$5:$A$155,0)),"")</f>
        <v>Yes</v>
      </c>
      <c r="AF126" s="19" t="n">
        <f aca="false">IF(V126&gt;0,ROUND(AVERAGEIFS('Shortlisted Drugs X Company (7)'!$N$3:$N$698,'Shortlisted Drugs X Company (7)'!$C$3:$C$698,$B126,'Shortlisted Drugs X Company (7)'!$E$3:$E$698,$S126,'Shortlisted Drugs X Company (7)'!$N$3:$N$698,"&gt;=0"),2),"")</f>
        <v>17.79</v>
      </c>
      <c r="AG126" s="16" t="s">
        <v>718</v>
      </c>
      <c r="AH126" s="16" t="s">
        <v>247</v>
      </c>
      <c r="AI126" s="16" t="s">
        <v>247</v>
      </c>
      <c r="AJ126" s="16" t="str">
        <f aca="false">IF(O126&lt;&gt;"","",IF(ISNUMBER(D126),IF(D126&gt;=$C$3,"High price","Lower price"),"Unpriced")&amp;" · "&amp;IF(M126&gt;=$E$3,"high volume","lower volume"))</f>
        <v>Lower price · high volume</v>
      </c>
      <c r="AK126" s="15" t="str">
        <f aca="false">IF(O126&lt;&gt;"",IF(O126="Price ≤ $5","Excluded – price ≤ $5","Excluded – IV only"),IF(ISNUMBER(D126),IF(AND(D126&gt;=$C$3,L126&gt;=$H$3),"Priority 1",IF(OR(D126&gt;=$C$3,L126&gt;=$H$3),"Priority 2","Priority 3")),IF(L126&gt;=$H$3,"Priority 2","Priority 3")))</f>
        <v>Priority 3</v>
      </c>
      <c r="AL126" s="16" t="str">
        <f aca="false">IF(O126&lt;&gt;"","",IF(ISNUMBER(D126),IF(D126&gt;=$C$3,"High price","Lower price"),"Unpriced")&amp;" · "&amp;IF(L126&gt;=$H$3,"high volume","lower volume"))</f>
        <v>Lower price · lower volume</v>
      </c>
      <c r="AM126" s="14" t="n">
        <f aca="false">IF(O126&lt;&gt;"","",COUNTIFS($A$29:$A$361,A126,$O$29:$O$361,"",$AQ$29:$AQ$361,"&gt;"&amp;AQ126)+COUNTIFS($A$29:A126,A126,$O$29:O126,"",$AQ$29:AQ126,AQ126))</f>
        <v>13</v>
      </c>
      <c r="AN126" s="19" t="n">
        <f aca="false">IF(AND(O126="",ISNUMBER(D126)),D126,"")</f>
        <v>17.79</v>
      </c>
      <c r="AO126" s="20" t="n">
        <f aca="false">IF(O126="",M126,"")</f>
        <v>234</v>
      </c>
      <c r="AP126" s="20" t="n">
        <f aca="false">IF(O126="",L126,"")</f>
        <v>236</v>
      </c>
      <c r="AQ126" s="33" t="n">
        <f aca="false">IF(O126&lt;&gt;"","",(4-VALUE(RIGHT(AK126,1)))*10^7+N(N126))</f>
        <v>10001845.67</v>
      </c>
      <c r="AR126" s="33" t="n">
        <f aca="false">INDEX($O$7:$O$25,MATCH(A126,$I$7:$I$25,0))</f>
        <v>8</v>
      </c>
      <c r="AS126" s="33" t="n">
        <f aca="false">IF(AE126="No","",AR126*1000+IF(AM126="",900+COUNTIFS($A$29:A126,A126,$O$29:O126,"Price ≤ $5"),AM126))</f>
        <v>8013</v>
      </c>
    </row>
    <row r="127" customFormat="false" ht="28.35" hidden="false" customHeight="false" outlineLevel="0" collapsed="false">
      <c r="A127" s="15" t="s">
        <v>189</v>
      </c>
      <c r="B127" s="15" t="s">
        <v>498</v>
      </c>
      <c r="C127" s="16" t="s">
        <v>499</v>
      </c>
      <c r="D127" s="17" t="n">
        <f aca="false">IF(W127&gt;0,ROUND(AVERAGEIFS('Shortlisted Drugs X Company (7)'!$N$3:$N$698,'Shortlisted Drugs X Company (7)'!$C$3:$C$698,$B127,'Shortlisted Drugs X Company (7)'!$E$3:$E$698,$S127,'Shortlisted Drugs X Company (7)'!$N$3:$N$698,"&gt;5"),2),"")</f>
        <v>37.87</v>
      </c>
      <c r="E127" s="15" t="str">
        <f aca="false">IF(COUNTIFS('Shortlisted Drugs X Company (7)'!$C$3:$C$698,$B127,'Shortlisted Drugs X Company (7)'!$E$3:$E$698,$S127,'Shortlisted Drugs X Company (7)'!$P$3:$P$698,"Exact")&gt;0,"Exact",IF(COUNTIFS('Shortlisted Drugs X Company (7)'!$C$3:$C$698,$B127,'Shortlisted Drugs X Company (7)'!$E$3:$E$698,$S127,'Shortlisted Drugs X Company (7)'!$P$3:$P$698,"Same-market proxy")&gt;0,"Same-market proxy",IF(COUNTIFS('Shortlisted Drugs X Company (7)'!$C$3:$C$698,$B127,'Shortlisted Drugs X Company (7)'!$E$3:$E$698,$S127,'Shortlisted Drugs X Company (7)'!$P$3:$P$698,"Cross-market proxy")&gt;0,"Cross-market proxy",IF(COUNTIFS('Shortlisted Drugs X Company (7)'!$C$3:$C$698,$B127,'Shortlisted Drugs X Company (7)'!$E$3:$E$698,$S127,'Shortlisted Drugs X Company (7)'!$P$3:$P$698,"Source not found")&gt;0,"Source not found","Not priced"))))</f>
        <v>Exact</v>
      </c>
      <c r="F127" s="18" t="n">
        <f aca="false">IFERROR(ROUND(INDEX('Injectable Value'!$AA$28:$AA$178,MATCH(B127,'Injectable Value'!$A$28:$A$178,0)),1),"")</f>
        <v>2802.1</v>
      </c>
      <c r="G127" s="16" t="s">
        <v>719</v>
      </c>
      <c r="H127" s="14" t="n">
        <v>5</v>
      </c>
      <c r="I127" s="15" t="s">
        <v>248</v>
      </c>
      <c r="J127" s="15" t="s">
        <v>249</v>
      </c>
      <c r="K127" s="16" t="str">
        <f aca="false">""&amp;IF(V127=0,"Unpriced","")&amp;IF(AND(V127&gt;0,W127=0,X127=0),"Low price from another market – confirm with company","")</f>
        <v/>
      </c>
      <c r="L127" s="18" t="n">
        <f aca="false">IFERROR(INDEX('Shortlisted Drugs X Company (7)'!$K$3:$K$698,MATCH(B127,'Shortlisted Drugs X Company (7)'!$C$3:$C$698,0)),"")</f>
        <v>119</v>
      </c>
      <c r="M127" s="18" t="n">
        <f aca="false">IFERROR(ROUND(L127*INDEX('Injectable Value'!$Z$28:$Z$178,MATCH(B127,'Injectable Value'!$A$28:$A$178,0)),0),"")</f>
        <v>107</v>
      </c>
      <c r="N127" s="18" t="n">
        <f aca="false">IFERROR(INDEX('Shortlisted Drugs X Company (7)'!$L$3:$L$698,MATCH(B127,'Shortlisted Drugs X Company (7)'!$C$3:$C$698,0)),"")</f>
        <v>3113.83</v>
      </c>
      <c r="O127" s="15" t="str">
        <f aca="false">IF(AE127="No","IV only (not ID/IM/SC)",IF(AND(V127&gt;0,W127=0),"Price ≤ $5",""))</f>
        <v>IV only (not ID/IM/SC)</v>
      </c>
      <c r="P127" s="14" t="str">
        <f aca="false">IF(O127&lt;&gt;"","",COUNTIFS($A$29:$A$361,A127,$O$29:$O$361,"",$AC$29:$AC$361,"&gt;"&amp;AC127)+COUNTIFS($A$29:A127,A127,$O$29:O127,"",$AC$29:AC127,AC127))</f>
        <v/>
      </c>
      <c r="Q127" s="15" t="str">
        <f aca="false">IF(O127&lt;&gt;"",IF(O127="Price ≤ $5","Excluded – price ≤ $5","Excluded – IV only"),IF(ISNUMBER(D127),IF(AND(D127&gt;=$C$3,M127&gt;=$E$3),"Priority 1",IF(OR(D127&gt;=$C$3,M127&gt;=$E$3),"Priority 2","Priority 3")),IF(M127&gt;=$E$3,"Priority 2","Priority 3")))</f>
        <v>Excluded – IV only</v>
      </c>
      <c r="R127" s="16" t="s">
        <v>250</v>
      </c>
      <c r="S127" s="15" t="s">
        <v>664</v>
      </c>
      <c r="T127" s="32" t="s">
        <v>500</v>
      </c>
      <c r="U127" s="33" t="str">
        <f aca="false">B127&amp;"|"&amp;S127</f>
        <v>Palonosetron|Dr. Reddy's Laboratories</v>
      </c>
      <c r="V127" s="34" t="n">
        <f aca="false">COUNTIFS('Shortlisted Drugs X Company (7)'!$C$3:$C$698,$B127,'Shortlisted Drugs X Company (7)'!$E$3:$E$698,$S127,'Shortlisted Drugs X Company (7)'!$N$3:$N$698,"&gt;=0")</f>
        <v>3</v>
      </c>
      <c r="W127" s="34" t="n">
        <f aca="false">COUNTIFS('Shortlisted Drugs X Company (7)'!$C$3:$C$698,$B127,'Shortlisted Drugs X Company (7)'!$E$3:$E$698,$S127,'Shortlisted Drugs X Company (7)'!$N$3:$N$698,"&gt;5")</f>
        <v>3</v>
      </c>
      <c r="X127" s="34" t="n">
        <f aca="false">COUNTIFS('Shortlisted Drugs X Company (7)'!$C$3:$C$698,$B127,'Shortlisted Drugs X Company (7)'!$E$3:$E$698,$S127,'Shortlisted Drugs X Company (7)'!$P$3:$P$698,"Exact")+COUNTIFS('Shortlisted Drugs X Company (7)'!$C$3:$C$698,$B127,'Shortlisted Drugs X Company (7)'!$E$3:$E$698,$S127,'Shortlisted Drugs X Company (7)'!$P$3:$P$698,"Same-market proxy")</f>
        <v>3</v>
      </c>
      <c r="Y127" s="33" t="str">
        <f aca="false">A127&amp;"|"&amp;P127</f>
        <v>Dr. Reddy's|</v>
      </c>
      <c r="Z127" s="16" t="s">
        <v>720</v>
      </c>
      <c r="AA127" s="33" t="n">
        <f aca="false">INDEX($G$7:$G$25,MATCH(A127,$A$7:$A$25,0))</f>
        <v>3</v>
      </c>
      <c r="AB127" s="33" t="str">
        <f aca="false">IF(AE127="No","",AA127*1000+IF(P127="",900+COUNTIFS($A$29:A127,A127,$O$29:O127,"Price ≤ $5"),P127))</f>
        <v/>
      </c>
      <c r="AC127" s="33" t="str">
        <f aca="false">IF(O127&lt;&gt;"","",(4-VALUE(RIGHT(Q127,1)))*10^7+N(F127))</f>
        <v/>
      </c>
      <c r="AD127" s="15" t="str">
        <f aca="false">IFERROR(INDEX('Route of Administration'!$C$5:$C$155,MATCH(B127,'Route of Administration'!$A$5:$A$155,0)),"")</f>
        <v>IV</v>
      </c>
      <c r="AE127" s="14" t="str">
        <f aca="false">IFERROR(INDEX('Route of Administration'!$D$5:$D$155,MATCH(B127,'Route of Administration'!$A$5:$A$155,0)),"")</f>
        <v>No</v>
      </c>
      <c r="AF127" s="19" t="n">
        <f aca="false">IF(V127&gt;0,ROUND(AVERAGEIFS('Shortlisted Drugs X Company (7)'!$N$3:$N$698,'Shortlisted Drugs X Company (7)'!$C$3:$C$698,$B127,'Shortlisted Drugs X Company (7)'!$E$3:$E$698,$S127,'Shortlisted Drugs X Company (7)'!$N$3:$N$698,"&gt;=0"),2),"")</f>
        <v>37.87</v>
      </c>
      <c r="AG127" s="16" t="s">
        <v>721</v>
      </c>
      <c r="AH127" s="16" t="s">
        <v>722</v>
      </c>
      <c r="AI127" s="16" t="s">
        <v>722</v>
      </c>
      <c r="AJ127" s="16" t="str">
        <f aca="false">IF(O127&lt;&gt;"","",IF(ISNUMBER(D127),IF(D127&gt;=$C$3,"High price","Lower price"),"Unpriced")&amp;" · "&amp;IF(M127&gt;=$E$3,"high volume","lower volume"))</f>
        <v/>
      </c>
      <c r="AK127" s="15" t="str">
        <f aca="false">IF(O127&lt;&gt;"",IF(O127="Price ≤ $5","Excluded – price ≤ $5","Excluded – IV only"),IF(ISNUMBER(D127),IF(AND(D127&gt;=$C$3,L127&gt;=$H$3),"Priority 1",IF(OR(D127&gt;=$C$3,L127&gt;=$H$3),"Priority 2","Priority 3")),IF(L127&gt;=$H$3,"Priority 2","Priority 3")))</f>
        <v>Excluded – IV only</v>
      </c>
      <c r="AL127" s="16" t="str">
        <f aca="false">IF(O127&lt;&gt;"","",IF(ISNUMBER(D127),IF(D127&gt;=$C$3,"High price","Lower price"),"Unpriced")&amp;" · "&amp;IF(L127&gt;=$H$3,"high volume","lower volume"))</f>
        <v/>
      </c>
      <c r="AM127" s="14" t="str">
        <f aca="false">IF(O127&lt;&gt;"","",COUNTIFS($A$29:$A$361,A127,$O$29:$O$361,"",$AQ$29:$AQ$361,"&gt;"&amp;AQ127)+COUNTIFS($A$29:A127,A127,$O$29:O127,"",$AQ$29:AQ127,AQ127))</f>
        <v/>
      </c>
      <c r="AN127" s="33" t="str">
        <f aca="false">IF(AND(O127="",ISNUMBER(D127)),D127,"")</f>
        <v/>
      </c>
      <c r="AO127" s="33" t="str">
        <f aca="false">IF(O127="",M127,"")</f>
        <v/>
      </c>
      <c r="AP127" s="33" t="str">
        <f aca="false">IF(O127="",L127,"")</f>
        <v/>
      </c>
      <c r="AQ127" s="33" t="str">
        <f aca="false">IF(O127&lt;&gt;"","",(4-VALUE(RIGHT(AK127,1)))*10^7+N(N127))</f>
        <v/>
      </c>
      <c r="AR127" s="33" t="n">
        <f aca="false">INDEX($O$7:$O$25,MATCH(A127,$I$7:$I$25,0))</f>
        <v>8</v>
      </c>
      <c r="AS127" s="33" t="str">
        <f aca="false">IF(AE127="No","",AR127*1000+IF(AM127="",900+COUNTIFS($A$29:A127,A127,$O$29:O127,"Price ≤ $5"),AM127))</f>
        <v/>
      </c>
    </row>
    <row r="128" customFormat="false" ht="41.75" hidden="false" customHeight="false" outlineLevel="0" collapsed="false">
      <c r="A128" s="15" t="s">
        <v>189</v>
      </c>
      <c r="B128" s="15" t="s">
        <v>271</v>
      </c>
      <c r="C128" s="16" t="s">
        <v>272</v>
      </c>
      <c r="D128" s="17" t="n">
        <f aca="false">IF(W128&gt;0,ROUND(AVERAGEIFS('Shortlisted Drugs X Company (7)'!$N$3:$N$698,'Shortlisted Drugs X Company (7)'!$C$3:$C$698,$B128,'Shortlisted Drugs X Company (7)'!$E$3:$E$698,$S128,'Shortlisted Drugs X Company (7)'!$N$3:$N$698,"&gt;5"),2),"")</f>
        <v>16.96</v>
      </c>
      <c r="E128" s="15" t="str">
        <f aca="false">IF(COUNTIFS('Shortlisted Drugs X Company (7)'!$C$3:$C$698,$B128,'Shortlisted Drugs X Company (7)'!$E$3:$E$698,$S128,'Shortlisted Drugs X Company (7)'!$P$3:$P$698,"Exact")&gt;0,"Exact",IF(COUNTIFS('Shortlisted Drugs X Company (7)'!$C$3:$C$698,$B128,'Shortlisted Drugs X Company (7)'!$E$3:$E$698,$S128,'Shortlisted Drugs X Company (7)'!$P$3:$P$698,"Same-market proxy")&gt;0,"Same-market proxy",IF(COUNTIFS('Shortlisted Drugs X Company (7)'!$C$3:$C$698,$B128,'Shortlisted Drugs X Company (7)'!$E$3:$E$698,$S128,'Shortlisted Drugs X Company (7)'!$P$3:$P$698,"Cross-market proxy")&gt;0,"Cross-market proxy",IF(COUNTIFS('Shortlisted Drugs X Company (7)'!$C$3:$C$698,$B128,'Shortlisted Drugs X Company (7)'!$E$3:$E$698,$S128,'Shortlisted Drugs X Company (7)'!$P$3:$P$698,"Source not found")&gt;0,"Source not found","Not priced"))))</f>
        <v>Same-market proxy</v>
      </c>
      <c r="F128" s="18" t="n">
        <f aca="false">IFERROR(ROUND(INDEX('Injectable Value'!$AA$28:$AA$178,MATCH(B128,'Injectable Value'!$A$28:$A$178,0)),1),"")</f>
        <v>2702.3</v>
      </c>
      <c r="G128" s="16" t="s">
        <v>247</v>
      </c>
      <c r="H128" s="14" t="n">
        <v>1</v>
      </c>
      <c r="I128" s="15" t="s">
        <v>316</v>
      </c>
      <c r="J128" s="15" t="s">
        <v>249</v>
      </c>
      <c r="K128" s="16" t="str">
        <f aca="false">""&amp;IF(V128=0,"Unpriced","")&amp;IF(AND(V128&gt;0,W128=0,X128=0),"Low price from another market – confirm with company","")</f>
        <v/>
      </c>
      <c r="L128" s="18" t="n">
        <f aca="false">IFERROR(INDEX('Shortlisted Drugs X Company (7)'!$K$3:$K$698,MATCH(B128,'Shortlisted Drugs X Company (7)'!$C$3:$C$698,0)),"")</f>
        <v>51</v>
      </c>
      <c r="M128" s="18" t="n">
        <f aca="false">IFERROR(ROUND(L128*INDEX('Injectable Value'!$Z$28:$Z$178,MATCH(B128,'Injectable Value'!$A$28:$A$178,0)),0),"")</f>
        <v>24</v>
      </c>
      <c r="N128" s="18" t="n">
        <f aca="false">IFERROR(INDEX('Shortlisted Drugs X Company (7)'!$L$3:$L$698,MATCH(B128,'Shortlisted Drugs X Company (7)'!$C$3:$C$698,0)),"")</f>
        <v>5770.02</v>
      </c>
      <c r="O128" s="15" t="str">
        <f aca="false">IF(AE128="No","IV only (not ID/IM/SC)",IF(AND(V128&gt;0,W128=0),"Price ≤ $5",""))</f>
        <v/>
      </c>
      <c r="P128" s="14" t="n">
        <f aca="false">IF(O128&lt;&gt;"","",COUNTIFS($A$29:$A$361,A128,$O$29:$O$361,"",$AC$29:$AC$361,"&gt;"&amp;AC128)+COUNTIFS($A$29:A128,A128,$O$29:O128,"",$AC$29:AC128,AC128))</f>
        <v>11</v>
      </c>
      <c r="Q128" s="15" t="str">
        <f aca="false">IF(O128&lt;&gt;"",IF(O128="Price ≤ $5","Excluded – price ≤ $5","Excluded – IV only"),IF(ISNUMBER(D128),IF(AND(D128&gt;=$C$3,M128&gt;=$E$3),"Priority 1",IF(OR(D128&gt;=$C$3,M128&gt;=$E$3),"Priority 2","Priority 3")),IF(M128&gt;=$E$3,"Priority 2","Priority 3")))</f>
        <v>Priority 3</v>
      </c>
      <c r="R128" s="16" t="s">
        <v>278</v>
      </c>
      <c r="S128" s="15" t="s">
        <v>664</v>
      </c>
      <c r="T128" s="32" t="s">
        <v>273</v>
      </c>
      <c r="U128" s="33" t="str">
        <f aca="false">B128&amp;"|"&amp;S128</f>
        <v>Phytonadione|Dr. Reddy's Laboratories</v>
      </c>
      <c r="V128" s="34" t="n">
        <f aca="false">COUNTIFS('Shortlisted Drugs X Company (7)'!$C$3:$C$698,$B128,'Shortlisted Drugs X Company (7)'!$E$3:$E$698,$S128,'Shortlisted Drugs X Company (7)'!$N$3:$N$698,"&gt;=0")</f>
        <v>1</v>
      </c>
      <c r="W128" s="34" t="n">
        <f aca="false">COUNTIFS('Shortlisted Drugs X Company (7)'!$C$3:$C$698,$B128,'Shortlisted Drugs X Company (7)'!$E$3:$E$698,$S128,'Shortlisted Drugs X Company (7)'!$N$3:$N$698,"&gt;5")</f>
        <v>1</v>
      </c>
      <c r="X128" s="34" t="n">
        <f aca="false">COUNTIFS('Shortlisted Drugs X Company (7)'!$C$3:$C$698,$B128,'Shortlisted Drugs X Company (7)'!$E$3:$E$698,$S128,'Shortlisted Drugs X Company (7)'!$P$3:$P$698,"Exact")+COUNTIFS('Shortlisted Drugs X Company (7)'!$C$3:$C$698,$B128,'Shortlisted Drugs X Company (7)'!$E$3:$E$698,$S128,'Shortlisted Drugs X Company (7)'!$P$3:$P$698,"Same-market proxy")</f>
        <v>1</v>
      </c>
      <c r="Y128" s="33" t="str">
        <f aca="false">A128&amp;"|"&amp;P128</f>
        <v>Dr. Reddy's|11</v>
      </c>
      <c r="Z128" s="16" t="s">
        <v>723</v>
      </c>
      <c r="AA128" s="33" t="n">
        <f aca="false">INDEX($G$7:$G$25,MATCH(A128,$A$7:$A$25,0))</f>
        <v>3</v>
      </c>
      <c r="AB128" s="33" t="n">
        <f aca="false">IF(AE128="No","",AA128*1000+IF(P128="",900+COUNTIFS($A$29:A128,A128,$O$29:O128,"Price ≤ $5"),P128))</f>
        <v>3011</v>
      </c>
      <c r="AC128" s="33" t="n">
        <f aca="false">IF(O128&lt;&gt;"","",(4-VALUE(RIGHT(Q128,1)))*10^7+N(F128))</f>
        <v>10002702.3</v>
      </c>
      <c r="AD128" s="15" t="str">
        <f aca="false">IFERROR(INDEX('Route of Administration'!$C$5:$C$155,MATCH(B128,'Route of Administration'!$A$5:$A$155,0)),"")</f>
        <v>IV, IM, SC</v>
      </c>
      <c r="AE128" s="14" t="str">
        <f aca="false">IFERROR(INDEX('Route of Administration'!$D$5:$D$155,MATCH(B128,'Route of Administration'!$A$5:$A$155,0)),"")</f>
        <v>Yes</v>
      </c>
      <c r="AF128" s="19" t="n">
        <f aca="false">IF(V128&gt;0,ROUND(AVERAGEIFS('Shortlisted Drugs X Company (7)'!$N$3:$N$698,'Shortlisted Drugs X Company (7)'!$C$3:$C$698,$B128,'Shortlisted Drugs X Company (7)'!$E$3:$E$698,$S128,'Shortlisted Drugs X Company (7)'!$N$3:$N$698,"&gt;=0"),2),"")</f>
        <v>16.96</v>
      </c>
      <c r="AG128" s="16" t="s">
        <v>271</v>
      </c>
      <c r="AH128" s="16" t="s">
        <v>247</v>
      </c>
      <c r="AI128" s="16" t="s">
        <v>247</v>
      </c>
      <c r="AJ128" s="16" t="str">
        <f aca="false">IF(O128&lt;&gt;"","",IF(ISNUMBER(D128),IF(D128&gt;=$C$3,"High price","Lower price"),"Unpriced")&amp;" · "&amp;IF(M128&gt;=$E$3,"high volume","lower volume"))</f>
        <v>Lower price · lower volume</v>
      </c>
      <c r="AK128" s="15" t="str">
        <f aca="false">IF(O128&lt;&gt;"",IF(O128="Price ≤ $5","Excluded – price ≤ $5","Excluded – IV only"),IF(ISNUMBER(D128),IF(AND(D128&gt;=$C$3,L128&gt;=$H$3),"Priority 1",IF(OR(D128&gt;=$C$3,L128&gt;=$H$3),"Priority 2","Priority 3")),IF(L128&gt;=$H$3,"Priority 2","Priority 3")))</f>
        <v>Priority 3</v>
      </c>
      <c r="AL128" s="16" t="str">
        <f aca="false">IF(O128&lt;&gt;"","",IF(ISNUMBER(D128),IF(D128&gt;=$C$3,"High price","Lower price"),"Unpriced")&amp;" · "&amp;IF(L128&gt;=$H$3,"high volume","lower volume"))</f>
        <v>Lower price · lower volume</v>
      </c>
      <c r="AM128" s="14" t="n">
        <f aca="false">IF(O128&lt;&gt;"","",COUNTIFS($A$29:$A$361,A128,$O$29:$O$361,"",$AQ$29:$AQ$361,"&gt;"&amp;AQ128)+COUNTIFS($A$29:A128,A128,$O$29:O128,"",$AQ$29:AQ128,AQ128))</f>
        <v>10</v>
      </c>
      <c r="AN128" s="19" t="n">
        <f aca="false">IF(AND(O128="",ISNUMBER(D128)),D128,"")</f>
        <v>16.96</v>
      </c>
      <c r="AO128" s="20" t="n">
        <f aca="false">IF(O128="",M128,"")</f>
        <v>24</v>
      </c>
      <c r="AP128" s="20" t="n">
        <f aca="false">IF(O128="",L128,"")</f>
        <v>51</v>
      </c>
      <c r="AQ128" s="33" t="n">
        <f aca="false">IF(O128&lt;&gt;"","",(4-VALUE(RIGHT(AK128,1)))*10^7+N(N128))</f>
        <v>10005770.02</v>
      </c>
      <c r="AR128" s="33" t="n">
        <f aca="false">INDEX($O$7:$O$25,MATCH(A128,$I$7:$I$25,0))</f>
        <v>8</v>
      </c>
      <c r="AS128" s="33" t="n">
        <f aca="false">IF(AE128="No","",AR128*1000+IF(AM128="",900+COUNTIFS($A$29:A128,A128,$O$29:O128,"Price ≤ $5"),AM128))</f>
        <v>8010</v>
      </c>
    </row>
    <row r="129" customFormat="false" ht="41.75" hidden="false" customHeight="false" outlineLevel="0" collapsed="false">
      <c r="A129" s="15" t="s">
        <v>189</v>
      </c>
      <c r="B129" s="15" t="s">
        <v>510</v>
      </c>
      <c r="C129" s="16" t="s">
        <v>511</v>
      </c>
      <c r="D129" s="17" t="n">
        <f aca="false">IF(W129&gt;0,ROUND(AVERAGEIFS('Shortlisted Drugs X Company (7)'!$N$3:$N$698,'Shortlisted Drugs X Company (7)'!$C$3:$C$698,$B129,'Shortlisted Drugs X Company (7)'!$E$3:$E$698,$S129,'Shortlisted Drugs X Company (7)'!$N$3:$N$698,"&gt;5"),2),"")</f>
        <v>343.8</v>
      </c>
      <c r="E129" s="15" t="str">
        <f aca="false">IF(COUNTIFS('Shortlisted Drugs X Company (7)'!$C$3:$C$698,$B129,'Shortlisted Drugs X Company (7)'!$E$3:$E$698,$S129,'Shortlisted Drugs X Company (7)'!$P$3:$P$698,"Exact")&gt;0,"Exact",IF(COUNTIFS('Shortlisted Drugs X Company (7)'!$C$3:$C$698,$B129,'Shortlisted Drugs X Company (7)'!$E$3:$E$698,$S129,'Shortlisted Drugs X Company (7)'!$P$3:$P$698,"Same-market proxy")&gt;0,"Same-market proxy",IF(COUNTIFS('Shortlisted Drugs X Company (7)'!$C$3:$C$698,$B129,'Shortlisted Drugs X Company (7)'!$E$3:$E$698,$S129,'Shortlisted Drugs X Company (7)'!$P$3:$P$698,"Cross-market proxy")&gt;0,"Cross-market proxy",IF(COUNTIFS('Shortlisted Drugs X Company (7)'!$C$3:$C$698,$B129,'Shortlisted Drugs X Company (7)'!$E$3:$E$698,$S129,'Shortlisted Drugs X Company (7)'!$P$3:$P$698,"Source not found")&gt;0,"Source not found","Not priced"))))</f>
        <v>Same-market proxy</v>
      </c>
      <c r="F129" s="18" t="n">
        <f aca="false">IFERROR(ROUND(INDEX('Injectable Value'!$AA$28:$AA$178,MATCH(B129,'Injectable Value'!$A$28:$A$178,0)),1),"")</f>
        <v>7904.7</v>
      </c>
      <c r="G129" s="16" t="s">
        <v>247</v>
      </c>
      <c r="H129" s="14" t="n">
        <v>1</v>
      </c>
      <c r="I129" s="15" t="s">
        <v>248</v>
      </c>
      <c r="J129" s="15" t="s">
        <v>249</v>
      </c>
      <c r="K129" s="16" t="str">
        <f aca="false">""&amp;IF(V129=0,"Unpriced","")&amp;IF(AND(V129&gt;0,W129=0,X129=0),"Low price from another market – confirm with company","")</f>
        <v/>
      </c>
      <c r="L129" s="18" t="n">
        <f aca="false">IFERROR(INDEX('Shortlisted Drugs X Company (7)'!$K$3:$K$698,MATCH(B129,'Shortlisted Drugs X Company (7)'!$C$3:$C$698,0)),"")</f>
        <v>47</v>
      </c>
      <c r="M129" s="18" t="n">
        <f aca="false">IFERROR(ROUND(L129*INDEX('Injectable Value'!$Z$28:$Z$178,MATCH(B129,'Injectable Value'!$A$28:$A$178,0)),0),"")</f>
        <v>47</v>
      </c>
      <c r="N129" s="18" t="n">
        <f aca="false">IFERROR(INDEX('Shortlisted Drugs X Company (7)'!$L$3:$L$698,MATCH(B129,'Shortlisted Drugs X Company (7)'!$C$3:$C$698,0)),"")</f>
        <v>7904.67</v>
      </c>
      <c r="O129" s="15" t="str">
        <f aca="false">IF(AE129="No","IV only (not ID/IM/SC)",IF(AND(V129&gt;0,W129=0),"Price ≤ $5",""))</f>
        <v/>
      </c>
      <c r="P129" s="14" t="n">
        <f aca="false">IF(O129&lt;&gt;"","",COUNTIFS($A$29:$A$361,A129,$O$29:$O$361,"",$AC$29:$AC$361,"&gt;"&amp;AC129)+COUNTIFS($A$29:A129,A129,$O$29:O129,"",$AC$29:AC129,AC129))</f>
        <v>5</v>
      </c>
      <c r="Q129" s="15" t="str">
        <f aca="false">IF(O129&lt;&gt;"",IF(O129="Price ≤ $5","Excluded – price ≤ $5","Excluded – IV only"),IF(ISNUMBER(D129),IF(AND(D129&gt;=$C$3,M129&gt;=$E$3),"Priority 1",IF(OR(D129&gt;=$C$3,M129&gt;=$E$3),"Priority 2","Priority 3")),IF(M129&gt;=$E$3,"Priority 2","Priority 3")))</f>
        <v>Priority 2</v>
      </c>
      <c r="R129" s="16" t="s">
        <v>250</v>
      </c>
      <c r="S129" s="15" t="s">
        <v>664</v>
      </c>
      <c r="T129" s="32" t="s">
        <v>513</v>
      </c>
      <c r="U129" s="33" t="str">
        <f aca="false">B129&amp;"|"&amp;S129</f>
        <v>Plerixafor|Dr. Reddy's Laboratories</v>
      </c>
      <c r="V129" s="34" t="n">
        <f aca="false">COUNTIFS('Shortlisted Drugs X Company (7)'!$C$3:$C$698,$B129,'Shortlisted Drugs X Company (7)'!$E$3:$E$698,$S129,'Shortlisted Drugs X Company (7)'!$N$3:$N$698,"&gt;=0")</f>
        <v>1</v>
      </c>
      <c r="W129" s="34" t="n">
        <f aca="false">COUNTIFS('Shortlisted Drugs X Company (7)'!$C$3:$C$698,$B129,'Shortlisted Drugs X Company (7)'!$E$3:$E$698,$S129,'Shortlisted Drugs X Company (7)'!$N$3:$N$698,"&gt;5")</f>
        <v>1</v>
      </c>
      <c r="X129" s="34" t="n">
        <f aca="false">COUNTIFS('Shortlisted Drugs X Company (7)'!$C$3:$C$698,$B129,'Shortlisted Drugs X Company (7)'!$E$3:$E$698,$S129,'Shortlisted Drugs X Company (7)'!$P$3:$P$698,"Exact")+COUNTIFS('Shortlisted Drugs X Company (7)'!$C$3:$C$698,$B129,'Shortlisted Drugs X Company (7)'!$E$3:$E$698,$S129,'Shortlisted Drugs X Company (7)'!$P$3:$P$698,"Same-market proxy")</f>
        <v>1</v>
      </c>
      <c r="Y129" s="33" t="str">
        <f aca="false">A129&amp;"|"&amp;P129</f>
        <v>Dr. Reddy's|5</v>
      </c>
      <c r="Z129" s="16" t="s">
        <v>514</v>
      </c>
      <c r="AA129" s="33" t="n">
        <f aca="false">INDEX($G$7:$G$25,MATCH(A129,$A$7:$A$25,0))</f>
        <v>3</v>
      </c>
      <c r="AB129" s="33" t="n">
        <f aca="false">IF(AE129="No","",AA129*1000+IF(P129="",900+COUNTIFS($A$29:A129,A129,$O$29:O129,"Price ≤ $5"),P129))</f>
        <v>3005</v>
      </c>
      <c r="AC129" s="33" t="n">
        <f aca="false">IF(O129&lt;&gt;"","",(4-VALUE(RIGHT(Q129,1)))*10^7+N(F129))</f>
        <v>20007904.7</v>
      </c>
      <c r="AD129" s="15" t="str">
        <f aca="false">IFERROR(INDEX('Route of Administration'!$C$5:$C$155,MATCH(B129,'Route of Administration'!$A$5:$A$155,0)),"")</f>
        <v>SC</v>
      </c>
      <c r="AE129" s="14" t="str">
        <f aca="false">IFERROR(INDEX('Route of Administration'!$D$5:$D$155,MATCH(B129,'Route of Administration'!$A$5:$A$155,0)),"")</f>
        <v>Yes</v>
      </c>
      <c r="AF129" s="19" t="n">
        <f aca="false">IF(V129&gt;0,ROUND(AVERAGEIFS('Shortlisted Drugs X Company (7)'!$N$3:$N$698,'Shortlisted Drugs X Company (7)'!$C$3:$C$698,$B129,'Shortlisted Drugs X Company (7)'!$E$3:$E$698,$S129,'Shortlisted Drugs X Company (7)'!$N$3:$N$698,"&gt;=0"),2),"")</f>
        <v>343.8</v>
      </c>
      <c r="AG129" s="16" t="s">
        <v>510</v>
      </c>
      <c r="AH129" s="16" t="s">
        <v>247</v>
      </c>
      <c r="AI129" s="16" t="s">
        <v>247</v>
      </c>
      <c r="AJ129" s="16" t="str">
        <f aca="false">IF(O129&lt;&gt;"","",IF(ISNUMBER(D129),IF(D129&gt;=$C$3,"High price","Lower price"),"Unpriced")&amp;" · "&amp;IF(M129&gt;=$E$3,"high volume","lower volume"))</f>
        <v>High price · lower volume</v>
      </c>
      <c r="AK129" s="15" t="str">
        <f aca="false">IF(O129&lt;&gt;"",IF(O129="Price ≤ $5","Excluded – price ≤ $5","Excluded – IV only"),IF(ISNUMBER(D129),IF(AND(D129&gt;=$C$3,L129&gt;=$H$3),"Priority 1",IF(OR(D129&gt;=$C$3,L129&gt;=$H$3),"Priority 2","Priority 3")),IF(L129&gt;=$H$3,"Priority 2","Priority 3")))</f>
        <v>Priority 2</v>
      </c>
      <c r="AL129" s="16" t="str">
        <f aca="false">IF(O129&lt;&gt;"","",IF(ISNUMBER(D129),IF(D129&gt;=$C$3,"High price","Lower price"),"Unpriced")&amp;" · "&amp;IF(L129&gt;=$H$3,"high volume","lower volume"))</f>
        <v>High price · lower volume</v>
      </c>
      <c r="AM129" s="14" t="n">
        <f aca="false">IF(O129&lt;&gt;"","",COUNTIFS($A$29:$A$361,A129,$O$29:$O$361,"",$AQ$29:$AQ$361,"&gt;"&amp;AQ129)+COUNTIFS($A$29:A129,A129,$O$29:O129,"",$AQ$29:AQ129,AQ129))</f>
        <v>5</v>
      </c>
      <c r="AN129" s="19" t="n">
        <f aca="false">IF(AND(O129="",ISNUMBER(D129)),D129,"")</f>
        <v>343.8</v>
      </c>
      <c r="AO129" s="20" t="n">
        <f aca="false">IF(O129="",M129,"")</f>
        <v>47</v>
      </c>
      <c r="AP129" s="20" t="n">
        <f aca="false">IF(O129="",L129,"")</f>
        <v>47</v>
      </c>
      <c r="AQ129" s="33" t="n">
        <f aca="false">IF(O129&lt;&gt;"","",(4-VALUE(RIGHT(AK129,1)))*10^7+N(N129))</f>
        <v>20007904.67</v>
      </c>
      <c r="AR129" s="33" t="n">
        <f aca="false">INDEX($O$7:$O$25,MATCH(A129,$I$7:$I$25,0))</f>
        <v>8</v>
      </c>
      <c r="AS129" s="33" t="n">
        <f aca="false">IF(AE129="No","",AR129*1000+IF(AM129="",900+COUNTIFS($A$29:A129,A129,$O$29:O129,"Price ≤ $5"),AM129))</f>
        <v>8005</v>
      </c>
    </row>
    <row r="130" customFormat="false" ht="28.35" hidden="false" customHeight="false" outlineLevel="0" collapsed="false">
      <c r="A130" s="15" t="s">
        <v>189</v>
      </c>
      <c r="B130" s="15" t="s">
        <v>521</v>
      </c>
      <c r="C130" s="16" t="s">
        <v>522</v>
      </c>
      <c r="D130" s="17" t="n">
        <f aca="false">IF(W130&gt;0,ROUND(AVERAGEIFS('Shortlisted Drugs X Company (7)'!$N$3:$N$698,'Shortlisted Drugs X Company (7)'!$C$3:$C$698,$B130,'Shortlisted Drugs X Company (7)'!$E$3:$E$698,$S130,'Shortlisted Drugs X Company (7)'!$N$3:$N$698,"&gt;5"),2),"")</f>
        <v>10.03</v>
      </c>
      <c r="E130" s="15" t="str">
        <f aca="false">IF(COUNTIFS('Shortlisted Drugs X Company (7)'!$C$3:$C$698,$B130,'Shortlisted Drugs X Company (7)'!$E$3:$E$698,$S130,'Shortlisted Drugs X Company (7)'!$P$3:$P$698,"Exact")&gt;0,"Exact",IF(COUNTIFS('Shortlisted Drugs X Company (7)'!$C$3:$C$698,$B130,'Shortlisted Drugs X Company (7)'!$E$3:$E$698,$S130,'Shortlisted Drugs X Company (7)'!$P$3:$P$698,"Same-market proxy")&gt;0,"Same-market proxy",IF(COUNTIFS('Shortlisted Drugs X Company (7)'!$C$3:$C$698,$B130,'Shortlisted Drugs X Company (7)'!$E$3:$E$698,$S130,'Shortlisted Drugs X Company (7)'!$P$3:$P$698,"Cross-market proxy")&gt;0,"Cross-market proxy",IF(COUNTIFS('Shortlisted Drugs X Company (7)'!$C$3:$C$698,$B130,'Shortlisted Drugs X Company (7)'!$E$3:$E$698,$S130,'Shortlisted Drugs X Company (7)'!$P$3:$P$698,"Source not found")&gt;0,"Source not found","Not priced"))))</f>
        <v>Same-market proxy</v>
      </c>
      <c r="F130" s="18" t="n">
        <f aca="false">IFERROR(ROUND(INDEX('Injectable Value'!$AA$28:$AA$178,MATCH(B130,'Injectable Value'!$A$28:$A$178,0)),1),"")</f>
        <v>1127.6</v>
      </c>
      <c r="G130" s="16" t="s">
        <v>247</v>
      </c>
      <c r="H130" s="14" t="n">
        <v>1</v>
      </c>
      <c r="I130" s="15" t="s">
        <v>258</v>
      </c>
      <c r="J130" s="15" t="s">
        <v>249</v>
      </c>
      <c r="K130" s="16" t="str">
        <f aca="false">"Prefilled only"&amp;IF(V130=0,"; Unpriced","")&amp;IF(AND(V130&gt;0,W130=0,X130=0),"; Low price from another market – confirm with company","")</f>
        <v>Prefilled only</v>
      </c>
      <c r="L130" s="18" t="n">
        <f aca="false">IFERROR(INDEX('Shortlisted Drugs X Company (7)'!$K$3:$K$698,MATCH(B130,'Shortlisted Drugs X Company (7)'!$C$3:$C$698,0)),"")</f>
        <v>9</v>
      </c>
      <c r="M130" s="18" t="n">
        <f aca="false">IFERROR(ROUND(L130*INDEX('Injectable Value'!$Z$28:$Z$178,MATCH(B130,'Injectable Value'!$A$28:$A$178,0)),0),"")</f>
        <v>9</v>
      </c>
      <c r="N130" s="18" t="n">
        <f aca="false">IFERROR(INDEX('Shortlisted Drugs X Company (7)'!$L$3:$L$698,MATCH(B130,'Shortlisted Drugs X Company (7)'!$C$3:$C$698,0)),"")</f>
        <v>1127.64</v>
      </c>
      <c r="O130" s="15" t="str">
        <f aca="false">IF(AE130="No","IV only (not ID/IM/SC)",IF(AND(V130&gt;0,W130=0),"Price ≤ $5",""))</f>
        <v>IV only (not ID/IM/SC)</v>
      </c>
      <c r="P130" s="14" t="str">
        <f aca="false">IF(O130&lt;&gt;"","",COUNTIFS($A$29:$A$361,A130,$O$29:$O$361,"",$AC$29:$AC$361,"&gt;"&amp;AC130)+COUNTIFS($A$29:A130,A130,$O$29:O130,"",$AC$29:AC130,AC130))</f>
        <v/>
      </c>
      <c r="Q130" s="15" t="str">
        <f aca="false">IF(O130&lt;&gt;"",IF(O130="Price ≤ $5","Excluded – price ≤ $5","Excluded – IV only"),IF(ISNUMBER(D130),IF(AND(D130&gt;=$C$3,M130&gt;=$E$3),"Priority 1",IF(OR(D130&gt;=$C$3,M130&gt;=$E$3),"Priority 2","Priority 3")),IF(M130&gt;=$E$3,"Priority 2","Priority 3")))</f>
        <v>Excluded – IV only</v>
      </c>
      <c r="R130" s="16" t="s">
        <v>259</v>
      </c>
      <c r="S130" s="15" t="s">
        <v>664</v>
      </c>
      <c r="T130" s="32" t="s">
        <v>523</v>
      </c>
      <c r="U130" s="33" t="str">
        <f aca="false">B130&amp;"|"&amp;S130</f>
        <v>Regadenoson|Dr. Reddy's Laboratories</v>
      </c>
      <c r="V130" s="34" t="n">
        <f aca="false">COUNTIFS('Shortlisted Drugs X Company (7)'!$C$3:$C$698,$B130,'Shortlisted Drugs X Company (7)'!$E$3:$E$698,$S130,'Shortlisted Drugs X Company (7)'!$N$3:$N$698,"&gt;=0")</f>
        <v>1</v>
      </c>
      <c r="W130" s="34" t="n">
        <f aca="false">COUNTIFS('Shortlisted Drugs X Company (7)'!$C$3:$C$698,$B130,'Shortlisted Drugs X Company (7)'!$E$3:$E$698,$S130,'Shortlisted Drugs X Company (7)'!$N$3:$N$698,"&gt;5")</f>
        <v>1</v>
      </c>
      <c r="X130" s="34" t="n">
        <f aca="false">COUNTIFS('Shortlisted Drugs X Company (7)'!$C$3:$C$698,$B130,'Shortlisted Drugs X Company (7)'!$E$3:$E$698,$S130,'Shortlisted Drugs X Company (7)'!$P$3:$P$698,"Exact")+COUNTIFS('Shortlisted Drugs X Company (7)'!$C$3:$C$698,$B130,'Shortlisted Drugs X Company (7)'!$E$3:$E$698,$S130,'Shortlisted Drugs X Company (7)'!$P$3:$P$698,"Same-market proxy")</f>
        <v>1</v>
      </c>
      <c r="Y130" s="33" t="str">
        <f aca="false">A130&amp;"|"&amp;P130</f>
        <v>Dr. Reddy's|</v>
      </c>
      <c r="Z130" s="16" t="s">
        <v>524</v>
      </c>
      <c r="AA130" s="33" t="n">
        <f aca="false">INDEX($G$7:$G$25,MATCH(A130,$A$7:$A$25,0))</f>
        <v>3</v>
      </c>
      <c r="AB130" s="33" t="str">
        <f aca="false">IF(AE130="No","",AA130*1000+IF(P130="",900+COUNTIFS($A$29:A130,A130,$O$29:O130,"Price ≤ $5"),P130))</f>
        <v/>
      </c>
      <c r="AC130" s="33" t="str">
        <f aca="false">IF(O130&lt;&gt;"","",(4-VALUE(RIGHT(Q130,1)))*10^7+N(F130))</f>
        <v/>
      </c>
      <c r="AD130" s="15" t="str">
        <f aca="false">IFERROR(INDEX('Route of Administration'!$C$5:$C$155,MATCH(B130,'Route of Administration'!$A$5:$A$155,0)),"")</f>
        <v>IV</v>
      </c>
      <c r="AE130" s="14" t="str">
        <f aca="false">IFERROR(INDEX('Route of Administration'!$D$5:$D$155,MATCH(B130,'Route of Administration'!$A$5:$A$155,0)),"")</f>
        <v>No</v>
      </c>
      <c r="AF130" s="19" t="n">
        <f aca="false">IF(V130&gt;0,ROUND(AVERAGEIFS('Shortlisted Drugs X Company (7)'!$N$3:$N$698,'Shortlisted Drugs X Company (7)'!$C$3:$C$698,$B130,'Shortlisted Drugs X Company (7)'!$E$3:$E$698,$S130,'Shortlisted Drugs X Company (7)'!$N$3:$N$698,"&gt;=0"),2),"")</f>
        <v>10.03</v>
      </c>
      <c r="AG130" s="16" t="s">
        <v>521</v>
      </c>
      <c r="AH130" s="16" t="s">
        <v>247</v>
      </c>
      <c r="AI130" s="16" t="s">
        <v>247</v>
      </c>
      <c r="AJ130" s="16" t="str">
        <f aca="false">IF(O130&lt;&gt;"","",IF(ISNUMBER(D130),IF(D130&gt;=$C$3,"High price","Lower price"),"Unpriced")&amp;" · "&amp;IF(M130&gt;=$E$3,"high volume","lower volume"))</f>
        <v/>
      </c>
      <c r="AK130" s="15" t="str">
        <f aca="false">IF(O130&lt;&gt;"",IF(O130="Price ≤ $5","Excluded – price ≤ $5","Excluded – IV only"),IF(ISNUMBER(D130),IF(AND(D130&gt;=$C$3,L130&gt;=$H$3),"Priority 1",IF(OR(D130&gt;=$C$3,L130&gt;=$H$3),"Priority 2","Priority 3")),IF(L130&gt;=$H$3,"Priority 2","Priority 3")))</f>
        <v>Excluded – IV only</v>
      </c>
      <c r="AL130" s="16" t="str">
        <f aca="false">IF(O130&lt;&gt;"","",IF(ISNUMBER(D130),IF(D130&gt;=$C$3,"High price","Lower price"),"Unpriced")&amp;" · "&amp;IF(L130&gt;=$H$3,"high volume","lower volume"))</f>
        <v/>
      </c>
      <c r="AM130" s="14" t="str">
        <f aca="false">IF(O130&lt;&gt;"","",COUNTIFS($A$29:$A$361,A130,$O$29:$O$361,"",$AQ$29:$AQ$361,"&gt;"&amp;AQ130)+COUNTIFS($A$29:A130,A130,$O$29:O130,"",$AQ$29:AQ130,AQ130))</f>
        <v/>
      </c>
      <c r="AN130" s="33" t="str">
        <f aca="false">IF(AND(O130="",ISNUMBER(D130)),D130,"")</f>
        <v/>
      </c>
      <c r="AO130" s="33" t="str">
        <f aca="false">IF(O130="",M130,"")</f>
        <v/>
      </c>
      <c r="AP130" s="33" t="str">
        <f aca="false">IF(O130="",L130,"")</f>
        <v/>
      </c>
      <c r="AQ130" s="33" t="str">
        <f aca="false">IF(O130&lt;&gt;"","",(4-VALUE(RIGHT(AK130,1)))*10^7+N(N130))</f>
        <v/>
      </c>
      <c r="AR130" s="33" t="n">
        <f aca="false">INDEX($O$7:$O$25,MATCH(A130,$I$7:$I$25,0))</f>
        <v>8</v>
      </c>
      <c r="AS130" s="33" t="str">
        <f aca="false">IF(AE130="No","",AR130*1000+IF(AM130="",900+COUNTIFS($A$29:A130,A130,$O$29:O130,"Price ≤ $5"),AM130))</f>
        <v/>
      </c>
    </row>
    <row r="131" customFormat="false" ht="28.35" hidden="false" customHeight="false" outlineLevel="0" collapsed="false">
      <c r="A131" s="15" t="s">
        <v>189</v>
      </c>
      <c r="B131" s="15" t="s">
        <v>724</v>
      </c>
      <c r="C131" s="16" t="s">
        <v>725</v>
      </c>
      <c r="D131" s="17" t="n">
        <f aca="false">IF(W131&gt;0,ROUND(AVERAGEIFS('Shortlisted Drugs X Company (7)'!$N$3:$N$698,'Shortlisted Drugs X Company (7)'!$C$3:$C$698,$B131,'Shortlisted Drugs X Company (7)'!$E$3:$E$698,$S131,'Shortlisted Drugs X Company (7)'!$N$3:$N$698,"&gt;5"),2),"")</f>
        <v>22.76</v>
      </c>
      <c r="E131" s="15" t="str">
        <f aca="false">IF(COUNTIFS('Shortlisted Drugs X Company (7)'!$C$3:$C$698,$B131,'Shortlisted Drugs X Company (7)'!$E$3:$E$698,$S131,'Shortlisted Drugs X Company (7)'!$P$3:$P$698,"Exact")&gt;0,"Exact",IF(COUNTIFS('Shortlisted Drugs X Company (7)'!$C$3:$C$698,$B131,'Shortlisted Drugs X Company (7)'!$E$3:$E$698,$S131,'Shortlisted Drugs X Company (7)'!$P$3:$P$698,"Same-market proxy")&gt;0,"Same-market proxy",IF(COUNTIFS('Shortlisted Drugs X Company (7)'!$C$3:$C$698,$B131,'Shortlisted Drugs X Company (7)'!$E$3:$E$698,$S131,'Shortlisted Drugs X Company (7)'!$P$3:$P$698,"Cross-market proxy")&gt;0,"Cross-market proxy",IF(COUNTIFS('Shortlisted Drugs X Company (7)'!$C$3:$C$698,$B131,'Shortlisted Drugs X Company (7)'!$E$3:$E$698,$S131,'Shortlisted Drugs X Company (7)'!$P$3:$P$698,"Source not found")&gt;0,"Source not found","Not priced"))))</f>
        <v>Same-market proxy</v>
      </c>
      <c r="F131" s="18" t="n">
        <f aca="false">IFERROR(ROUND(INDEX('Injectable Value'!$AA$28:$AA$178,MATCH(B131,'Injectable Value'!$A$28:$A$178,0)),1),"")</f>
        <v>3067.4</v>
      </c>
      <c r="G131" s="16" t="s">
        <v>482</v>
      </c>
      <c r="H131" s="14" t="n">
        <v>2</v>
      </c>
      <c r="I131" s="15" t="s">
        <v>248</v>
      </c>
      <c r="J131" s="15" t="s">
        <v>249</v>
      </c>
      <c r="K131" s="16" t="str">
        <f aca="false">""&amp;IF(V131=0,"Unpriced","")&amp;IF(AND(V131&gt;0,W131=0,X131=0),"Low price from another market – confirm with company","")</f>
        <v/>
      </c>
      <c r="L131" s="18" t="n">
        <f aca="false">IFERROR(INDEX('Shortlisted Drugs X Company (7)'!$K$3:$K$698,MATCH(B131,'Shortlisted Drugs X Company (7)'!$C$3:$C$698,0)),"")</f>
        <v>286</v>
      </c>
      <c r="M131" s="18" t="n">
        <f aca="false">IFERROR(ROUND(L131*INDEX('Injectable Value'!$Z$28:$Z$178,MATCH(B131,'Injectable Value'!$A$28:$A$178,0)),0),"")</f>
        <v>286</v>
      </c>
      <c r="N131" s="18" t="n">
        <f aca="false">IFERROR(INDEX('Shortlisted Drugs X Company (7)'!$L$3:$L$698,MATCH(B131,'Shortlisted Drugs X Company (7)'!$C$3:$C$698,0)),"")</f>
        <v>3067.39</v>
      </c>
      <c r="O131" s="15" t="str">
        <f aca="false">IF(AE131="No","IV only (not ID/IM/SC)",IF(AND(V131&gt;0,W131=0),"Price ≤ $5",""))</f>
        <v/>
      </c>
      <c r="P131" s="14" t="n">
        <f aca="false">IF(O131&lt;&gt;"","",COUNTIFS($A$29:$A$361,A131,$O$29:$O$361,"",$AC$29:$AC$361,"&gt;"&amp;AC131)+COUNTIFS($A$29:A131,A131,$O$29:O131,"",$AC$29:AC131,AC131))</f>
        <v>7</v>
      </c>
      <c r="Q131" s="15" t="str">
        <f aca="false">IF(O131&lt;&gt;"",IF(O131="Price ≤ $5","Excluded – price ≤ $5","Excluded – IV only"),IF(ISNUMBER(D131),IF(AND(D131&gt;=$C$3,M131&gt;=$E$3),"Priority 1",IF(OR(D131&gt;=$C$3,M131&gt;=$E$3),"Priority 2","Priority 3")),IF(M131&gt;=$E$3,"Priority 2","Priority 3")))</f>
        <v>Priority 2</v>
      </c>
      <c r="R131" s="16" t="s">
        <v>250</v>
      </c>
      <c r="S131" s="15" t="s">
        <v>664</v>
      </c>
      <c r="T131" s="32" t="s">
        <v>726</v>
      </c>
      <c r="U131" s="33" t="str">
        <f aca="false">B131&amp;"|"&amp;S131</f>
        <v>Succinylcholine (Suxamethonium)|Dr. Reddy's Laboratories</v>
      </c>
      <c r="V131" s="34" t="n">
        <f aca="false">COUNTIFS('Shortlisted Drugs X Company (7)'!$C$3:$C$698,$B131,'Shortlisted Drugs X Company (7)'!$E$3:$E$698,$S131,'Shortlisted Drugs X Company (7)'!$N$3:$N$698,"&gt;=0")</f>
        <v>1</v>
      </c>
      <c r="W131" s="34" t="n">
        <f aca="false">COUNTIFS('Shortlisted Drugs X Company (7)'!$C$3:$C$698,$B131,'Shortlisted Drugs X Company (7)'!$E$3:$E$698,$S131,'Shortlisted Drugs X Company (7)'!$N$3:$N$698,"&gt;5")</f>
        <v>1</v>
      </c>
      <c r="X131" s="34" t="n">
        <f aca="false">COUNTIFS('Shortlisted Drugs X Company (7)'!$C$3:$C$698,$B131,'Shortlisted Drugs X Company (7)'!$E$3:$E$698,$S131,'Shortlisted Drugs X Company (7)'!$P$3:$P$698,"Exact")+COUNTIFS('Shortlisted Drugs X Company (7)'!$C$3:$C$698,$B131,'Shortlisted Drugs X Company (7)'!$E$3:$E$698,$S131,'Shortlisted Drugs X Company (7)'!$P$3:$P$698,"Same-market proxy")</f>
        <v>1</v>
      </c>
      <c r="Y131" s="33" t="str">
        <f aca="false">A131&amp;"|"&amp;P131</f>
        <v>Dr. Reddy's|7</v>
      </c>
      <c r="Z131" s="16" t="s">
        <v>727</v>
      </c>
      <c r="AA131" s="33" t="n">
        <f aca="false">INDEX($G$7:$G$25,MATCH(A131,$A$7:$A$25,0))</f>
        <v>3</v>
      </c>
      <c r="AB131" s="33" t="n">
        <f aca="false">IF(AE131="No","",AA131*1000+IF(P131="",900+COUNTIFS($A$29:A131,A131,$O$29:O131,"Price ≤ $5"),P131))</f>
        <v>3007</v>
      </c>
      <c r="AC131" s="33" t="n">
        <f aca="false">IF(O131&lt;&gt;"","",(4-VALUE(RIGHT(Q131,1)))*10^7+N(F131))</f>
        <v>20003067.4</v>
      </c>
      <c r="AD131" s="15" t="str">
        <f aca="false">IFERROR(INDEX('Route of Administration'!$C$5:$C$155,MATCH(B131,'Route of Administration'!$A$5:$A$155,0)),"")</f>
        <v>IV, IM</v>
      </c>
      <c r="AE131" s="14" t="str">
        <f aca="false">IFERROR(INDEX('Route of Administration'!$D$5:$D$155,MATCH(B131,'Route of Administration'!$A$5:$A$155,0)),"")</f>
        <v>Yes</v>
      </c>
      <c r="AF131" s="19" t="n">
        <f aca="false">IF(V131&gt;0,ROUND(AVERAGEIFS('Shortlisted Drugs X Company (7)'!$N$3:$N$698,'Shortlisted Drugs X Company (7)'!$C$3:$C$698,$B131,'Shortlisted Drugs X Company (7)'!$E$3:$E$698,$S131,'Shortlisted Drugs X Company (7)'!$N$3:$N$698,"&gt;=0"),2),"")</f>
        <v>22.76</v>
      </c>
      <c r="AG131" s="16" t="s">
        <v>728</v>
      </c>
      <c r="AH131" s="16" t="s">
        <v>486</v>
      </c>
      <c r="AI131" s="16" t="s">
        <v>486</v>
      </c>
      <c r="AJ131" s="16" t="str">
        <f aca="false">IF(O131&lt;&gt;"","",IF(ISNUMBER(D131),IF(D131&gt;=$C$3,"High price","Lower price"),"Unpriced")&amp;" · "&amp;IF(M131&gt;=$E$3,"high volume","lower volume"))</f>
        <v>Lower price · high volume</v>
      </c>
      <c r="AK131" s="15" t="str">
        <f aca="false">IF(O131&lt;&gt;"",IF(O131="Price ≤ $5","Excluded – price ≤ $5","Excluded – IV only"),IF(ISNUMBER(D131),IF(AND(D131&gt;=$C$3,L131&gt;=$H$3),"Priority 1",IF(OR(D131&gt;=$C$3,L131&gt;=$H$3),"Priority 2","Priority 3")),IF(L131&gt;=$H$3,"Priority 2","Priority 3")))</f>
        <v>Priority 2</v>
      </c>
      <c r="AL131" s="16" t="str">
        <f aca="false">IF(O131&lt;&gt;"","",IF(ISNUMBER(D131),IF(D131&gt;=$C$3,"High price","Lower price"),"Unpriced")&amp;" · "&amp;IF(L131&gt;=$H$3,"high volume","lower volume"))</f>
        <v>Lower price · high volume</v>
      </c>
      <c r="AM131" s="14" t="n">
        <f aca="false">IF(O131&lt;&gt;"","",COUNTIFS($A$29:$A$361,A131,$O$29:$O$361,"",$AQ$29:$AQ$361,"&gt;"&amp;AQ131)+COUNTIFS($A$29:A131,A131,$O$29:O131,"",$AQ$29:AQ131,AQ131))</f>
        <v>8</v>
      </c>
      <c r="AN131" s="19" t="n">
        <f aca="false">IF(AND(O131="",ISNUMBER(D131)),D131,"")</f>
        <v>22.76</v>
      </c>
      <c r="AO131" s="20" t="n">
        <f aca="false">IF(O131="",M131,"")</f>
        <v>286</v>
      </c>
      <c r="AP131" s="20" t="n">
        <f aca="false">IF(O131="",L131,"")</f>
        <v>286</v>
      </c>
      <c r="AQ131" s="33" t="n">
        <f aca="false">IF(O131&lt;&gt;"","",(4-VALUE(RIGHT(AK131,1)))*10^7+N(N131))</f>
        <v>20003067.39</v>
      </c>
      <c r="AR131" s="33" t="n">
        <f aca="false">INDEX($O$7:$O$25,MATCH(A131,$I$7:$I$25,0))</f>
        <v>8</v>
      </c>
      <c r="AS131" s="33" t="n">
        <f aca="false">IF(AE131="No","",AR131*1000+IF(AM131="",900+COUNTIFS($A$29:A131,A131,$O$29:O131,"Price ≤ $5"),AM131))</f>
        <v>8008</v>
      </c>
    </row>
    <row r="132" customFormat="false" ht="55.2" hidden="false" customHeight="false" outlineLevel="0" collapsed="false">
      <c r="A132" s="15" t="s">
        <v>189</v>
      </c>
      <c r="B132" s="15" t="s">
        <v>635</v>
      </c>
      <c r="C132" s="16" t="s">
        <v>636</v>
      </c>
      <c r="D132" s="17" t="n">
        <f aca="false">IF(W132&gt;0,ROUND(AVERAGEIFS('Shortlisted Drugs X Company (7)'!$N$3:$N$698,'Shortlisted Drugs X Company (7)'!$C$3:$C$698,$B132,'Shortlisted Drugs X Company (7)'!$E$3:$E$698,$S132,'Shortlisted Drugs X Company (7)'!$N$3:$N$698,"&gt;5"),2),"")</f>
        <v>56.65</v>
      </c>
      <c r="E132" s="15" t="str">
        <f aca="false">IF(COUNTIFS('Shortlisted Drugs X Company (7)'!$C$3:$C$698,$B132,'Shortlisted Drugs X Company (7)'!$E$3:$E$698,$S132,'Shortlisted Drugs X Company (7)'!$P$3:$P$698,"Exact")&gt;0,"Exact",IF(COUNTIFS('Shortlisted Drugs X Company (7)'!$C$3:$C$698,$B132,'Shortlisted Drugs X Company (7)'!$E$3:$E$698,$S132,'Shortlisted Drugs X Company (7)'!$P$3:$P$698,"Same-market proxy")&gt;0,"Same-market proxy",IF(COUNTIFS('Shortlisted Drugs X Company (7)'!$C$3:$C$698,$B132,'Shortlisted Drugs X Company (7)'!$E$3:$E$698,$S132,'Shortlisted Drugs X Company (7)'!$P$3:$P$698,"Cross-market proxy")&gt;0,"Cross-market proxy",IF(COUNTIFS('Shortlisted Drugs X Company (7)'!$C$3:$C$698,$B132,'Shortlisted Drugs X Company (7)'!$E$3:$E$698,$S132,'Shortlisted Drugs X Company (7)'!$P$3:$P$698,"Source not found")&gt;0,"Source not found","Not priced"))))</f>
        <v>Exact</v>
      </c>
      <c r="F132" s="18" t="n">
        <f aca="false">IFERROR(ROUND(INDEX('Injectable Value'!$AA$28:$AA$178,MATCH(B132,'Injectable Value'!$A$28:$A$178,0)),1),"")</f>
        <v>32830.2</v>
      </c>
      <c r="G132" s="16" t="s">
        <v>729</v>
      </c>
      <c r="H132" s="14" t="n">
        <v>21</v>
      </c>
      <c r="I132" s="15" t="s">
        <v>248</v>
      </c>
      <c r="J132" s="15" t="s">
        <v>249</v>
      </c>
      <c r="K132" s="16" t="str">
        <f aca="false">""&amp;IF(V132=0,"Unpriced","")&amp;IF(AND(V132&gt;0,W132=0,X132=0),"Low price from another market – confirm with company","")</f>
        <v/>
      </c>
      <c r="L132" s="18" t="n">
        <f aca="false">IFERROR(INDEX('Shortlisted Drugs X Company (7)'!$K$3:$K$698,MATCH(B132,'Shortlisted Drugs X Company (7)'!$C$3:$C$698,0)),"")</f>
        <v>346</v>
      </c>
      <c r="M132" s="18" t="n">
        <f aca="false">IFERROR(ROUND(L132*INDEX('Injectable Value'!$Z$28:$Z$178,MATCH(B132,'Injectable Value'!$A$28:$A$178,0)),0),"")</f>
        <v>346</v>
      </c>
      <c r="N132" s="18" t="n">
        <f aca="false">IFERROR(INDEX('Shortlisted Drugs X Company (7)'!$L$3:$L$698,MATCH(B132,'Shortlisted Drugs X Company (7)'!$C$3:$C$698,0)),"")</f>
        <v>32830.17</v>
      </c>
      <c r="O132" s="15" t="str">
        <f aca="false">IF(AE132="No","IV only (not ID/IM/SC)",IF(AND(V132&gt;0,W132=0),"Price ≤ $5",""))</f>
        <v>IV only (not ID/IM/SC)</v>
      </c>
      <c r="P132" s="14" t="str">
        <f aca="false">IF(O132&lt;&gt;"","",COUNTIFS($A$29:$A$361,A132,$O$29:$O$361,"",$AC$29:$AC$361,"&gt;"&amp;AC132)+COUNTIFS($A$29:A132,A132,$O$29:O132,"",$AC$29:AC132,AC132))</f>
        <v/>
      </c>
      <c r="Q132" s="15" t="str">
        <f aca="false">IF(O132&lt;&gt;"",IF(O132="Price ≤ $5","Excluded – price ≤ $5","Excluded – IV only"),IF(ISNUMBER(D132),IF(AND(D132&gt;=$C$3,M132&gt;=$E$3),"Priority 1",IF(OR(D132&gt;=$C$3,M132&gt;=$E$3),"Priority 2","Priority 3")),IF(M132&gt;=$E$3,"Priority 2","Priority 3")))</f>
        <v>Excluded – IV only</v>
      </c>
      <c r="R132" s="16" t="s">
        <v>250</v>
      </c>
      <c r="S132" s="15" t="s">
        <v>664</v>
      </c>
      <c r="T132" s="32" t="s">
        <v>637</v>
      </c>
      <c r="U132" s="33" t="str">
        <f aca="false">B132&amp;"|"&amp;S132</f>
        <v>Sugammadex|Dr. Reddy's Laboratories</v>
      </c>
      <c r="V132" s="34" t="n">
        <f aca="false">COUNTIFS('Shortlisted Drugs X Company (7)'!$C$3:$C$698,$B132,'Shortlisted Drugs X Company (7)'!$E$3:$E$698,$S132,'Shortlisted Drugs X Company (7)'!$N$3:$N$698,"&gt;=0")</f>
        <v>6</v>
      </c>
      <c r="W132" s="34" t="n">
        <f aca="false">COUNTIFS('Shortlisted Drugs X Company (7)'!$C$3:$C$698,$B132,'Shortlisted Drugs X Company (7)'!$E$3:$E$698,$S132,'Shortlisted Drugs X Company (7)'!$N$3:$N$698,"&gt;5")</f>
        <v>6</v>
      </c>
      <c r="X132" s="34" t="n">
        <f aca="false">COUNTIFS('Shortlisted Drugs X Company (7)'!$C$3:$C$698,$B132,'Shortlisted Drugs X Company (7)'!$E$3:$E$698,$S132,'Shortlisted Drugs X Company (7)'!$P$3:$P$698,"Exact")+COUNTIFS('Shortlisted Drugs X Company (7)'!$C$3:$C$698,$B132,'Shortlisted Drugs X Company (7)'!$E$3:$E$698,$S132,'Shortlisted Drugs X Company (7)'!$P$3:$P$698,"Same-market proxy")</f>
        <v>6</v>
      </c>
      <c r="Y132" s="33" t="str">
        <f aca="false">A132&amp;"|"&amp;P132</f>
        <v>Dr. Reddy's|</v>
      </c>
      <c r="Z132" s="16" t="s">
        <v>638</v>
      </c>
      <c r="AA132" s="33" t="n">
        <f aca="false">INDEX($G$7:$G$25,MATCH(A132,$A$7:$A$25,0))</f>
        <v>3</v>
      </c>
      <c r="AB132" s="33" t="str">
        <f aca="false">IF(AE132="No","",AA132*1000+IF(P132="",900+COUNTIFS($A$29:A132,A132,$O$29:O132,"Price ≤ $5"),P132))</f>
        <v/>
      </c>
      <c r="AC132" s="33" t="str">
        <f aca="false">IF(O132&lt;&gt;"","",(4-VALUE(RIGHT(Q132,1)))*10^7+N(F132))</f>
        <v/>
      </c>
      <c r="AD132" s="15" t="str">
        <f aca="false">IFERROR(INDEX('Route of Administration'!$C$5:$C$155,MATCH(B132,'Route of Administration'!$A$5:$A$155,0)),"")</f>
        <v>IV</v>
      </c>
      <c r="AE132" s="14" t="str">
        <f aca="false">IFERROR(INDEX('Route of Administration'!$D$5:$D$155,MATCH(B132,'Route of Administration'!$A$5:$A$155,0)),"")</f>
        <v>No</v>
      </c>
      <c r="AF132" s="19" t="n">
        <f aca="false">IF(V132&gt;0,ROUND(AVERAGEIFS('Shortlisted Drugs X Company (7)'!$N$3:$N$698,'Shortlisted Drugs X Company (7)'!$C$3:$C$698,$B132,'Shortlisted Drugs X Company (7)'!$E$3:$E$698,$S132,'Shortlisted Drugs X Company (7)'!$N$3:$N$698,"&gt;=0"),2),"")</f>
        <v>56.65</v>
      </c>
      <c r="AG132" s="16" t="s">
        <v>730</v>
      </c>
      <c r="AH132" s="16" t="s">
        <v>731</v>
      </c>
      <c r="AI132" s="16" t="s">
        <v>732</v>
      </c>
      <c r="AJ132" s="16" t="str">
        <f aca="false">IF(O132&lt;&gt;"","",IF(ISNUMBER(D132),IF(D132&gt;=$C$3,"High price","Lower price"),"Unpriced")&amp;" · "&amp;IF(M132&gt;=$E$3,"high volume","lower volume"))</f>
        <v/>
      </c>
      <c r="AK132" s="15" t="str">
        <f aca="false">IF(O132&lt;&gt;"",IF(O132="Price ≤ $5","Excluded – price ≤ $5","Excluded – IV only"),IF(ISNUMBER(D132),IF(AND(D132&gt;=$C$3,L132&gt;=$H$3),"Priority 1",IF(OR(D132&gt;=$C$3,L132&gt;=$H$3),"Priority 2","Priority 3")),IF(L132&gt;=$H$3,"Priority 2","Priority 3")))</f>
        <v>Excluded – IV only</v>
      </c>
      <c r="AL132" s="16" t="str">
        <f aca="false">IF(O132&lt;&gt;"","",IF(ISNUMBER(D132),IF(D132&gt;=$C$3,"High price","Lower price"),"Unpriced")&amp;" · "&amp;IF(L132&gt;=$H$3,"high volume","lower volume"))</f>
        <v/>
      </c>
      <c r="AM132" s="14" t="str">
        <f aca="false">IF(O132&lt;&gt;"","",COUNTIFS($A$29:$A$361,A132,$O$29:$O$361,"",$AQ$29:$AQ$361,"&gt;"&amp;AQ132)+COUNTIFS($A$29:A132,A132,$O$29:O132,"",$AQ$29:AQ132,AQ132))</f>
        <v/>
      </c>
      <c r="AN132" s="33" t="str">
        <f aca="false">IF(AND(O132="",ISNUMBER(D132)),D132,"")</f>
        <v/>
      </c>
      <c r="AO132" s="33" t="str">
        <f aca="false">IF(O132="",M132,"")</f>
        <v/>
      </c>
      <c r="AP132" s="33" t="str">
        <f aca="false">IF(O132="",L132,"")</f>
        <v/>
      </c>
      <c r="AQ132" s="33" t="str">
        <f aca="false">IF(O132&lt;&gt;"","",(4-VALUE(RIGHT(AK132,1)))*10^7+N(N132))</f>
        <v/>
      </c>
      <c r="AR132" s="33" t="n">
        <f aca="false">INDEX($O$7:$O$25,MATCH(A132,$I$7:$I$25,0))</f>
        <v>8</v>
      </c>
      <c r="AS132" s="33" t="str">
        <f aca="false">IF(AE132="No","",AR132*1000+IF(AM132="",900+COUNTIFS($A$29:A132,A132,$O$29:O132,"Price ≤ $5"),AM132))</f>
        <v/>
      </c>
    </row>
    <row r="133" customFormat="false" ht="41.75" hidden="false" customHeight="false" outlineLevel="0" collapsed="false">
      <c r="A133" s="15" t="s">
        <v>189</v>
      </c>
      <c r="B133" s="15" t="s">
        <v>733</v>
      </c>
      <c r="C133" s="16" t="s">
        <v>734</v>
      </c>
      <c r="D133" s="17" t="n">
        <f aca="false">IF(W133&gt;0,ROUND(AVERAGEIFS('Shortlisted Drugs X Company (7)'!$N$3:$N$698,'Shortlisted Drugs X Company (7)'!$C$3:$C$698,$B133,'Shortlisted Drugs X Company (7)'!$E$3:$E$698,$S133,'Shortlisted Drugs X Company (7)'!$N$3:$N$698,"&gt;5"),2),"")</f>
        <v>154.8</v>
      </c>
      <c r="E133" s="15" t="str">
        <f aca="false">IF(COUNTIFS('Shortlisted Drugs X Company (7)'!$C$3:$C$698,$B133,'Shortlisted Drugs X Company (7)'!$E$3:$E$698,$S133,'Shortlisted Drugs X Company (7)'!$P$3:$P$698,"Exact")&gt;0,"Exact",IF(COUNTIFS('Shortlisted Drugs X Company (7)'!$C$3:$C$698,$B133,'Shortlisted Drugs X Company (7)'!$E$3:$E$698,$S133,'Shortlisted Drugs X Company (7)'!$P$3:$P$698,"Same-market proxy")&gt;0,"Same-market proxy",IF(COUNTIFS('Shortlisted Drugs X Company (7)'!$C$3:$C$698,$B133,'Shortlisted Drugs X Company (7)'!$E$3:$E$698,$S133,'Shortlisted Drugs X Company (7)'!$P$3:$P$698,"Cross-market proxy")&gt;0,"Cross-market proxy",IF(COUNTIFS('Shortlisted Drugs X Company (7)'!$C$3:$C$698,$B133,'Shortlisted Drugs X Company (7)'!$E$3:$E$698,$S133,'Shortlisted Drugs X Company (7)'!$P$3:$P$698,"Source not found")&gt;0,"Source not found","Not priced"))))</f>
        <v>Same-market proxy</v>
      </c>
      <c r="F133" s="18" t="n">
        <f aca="false">IFERROR(ROUND(INDEX('Injectable Value'!$AA$28:$AA$178,MATCH(B133,'Injectable Value'!$A$28:$A$178,0)),1),"")</f>
        <v>11040.9</v>
      </c>
      <c r="G133" s="16" t="s">
        <v>247</v>
      </c>
      <c r="H133" s="14" t="n">
        <v>1</v>
      </c>
      <c r="I133" s="15" t="s">
        <v>248</v>
      </c>
      <c r="J133" s="15" t="s">
        <v>299</v>
      </c>
      <c r="K133" s="16" t="str">
        <f aca="false">"Cancer drug (cytotoxic) – less relevant; Reconstitution"&amp;IF(V133=0,"; Unpriced","")&amp;IF(AND(V133&gt;0,W133=0,X133=0),"; Low price from another market – confirm with company","")</f>
        <v>Cancer drug (cytotoxic) – less relevant; Reconstitution</v>
      </c>
      <c r="L133" s="18" t="n">
        <f aca="false">IFERROR(INDEX('Shortlisted Drugs X Company (7)'!$K$3:$K$698,MATCH(B133,'Shortlisted Drugs X Company (7)'!$C$3:$C$698,0)),"")</f>
        <v>147</v>
      </c>
      <c r="M133" s="18" t="n">
        <f aca="false">IFERROR(ROUND(L133*INDEX('Injectable Value'!$Z$28:$Z$178,MATCH(B133,'Injectable Value'!$A$28:$A$178,0)),0),"")</f>
        <v>147</v>
      </c>
      <c r="N133" s="18" t="n">
        <f aca="false">IFERROR(INDEX('Shortlisted Drugs X Company (7)'!$L$3:$L$698,MATCH(B133,'Shortlisted Drugs X Company (7)'!$C$3:$C$698,0)),"")</f>
        <v>11040.91</v>
      </c>
      <c r="O133" s="15" t="str">
        <f aca="false">IF(AE133="No","IV only (not ID/IM/SC)",IF(AND(V133&gt;0,W133=0),"Price ≤ $5",""))</f>
        <v>IV only (not ID/IM/SC)</v>
      </c>
      <c r="P133" s="14" t="str">
        <f aca="false">IF(O133&lt;&gt;"","",COUNTIFS($A$29:$A$361,A133,$O$29:$O$361,"",$AC$29:$AC$361,"&gt;"&amp;AC133)+COUNTIFS($A$29:A133,A133,$O$29:O133,"",$AC$29:AC133,AC133))</f>
        <v/>
      </c>
      <c r="Q133" s="15" t="str">
        <f aca="false">IF(O133&lt;&gt;"",IF(O133="Price ≤ $5","Excluded – price ≤ $5","Excluded – IV only"),IF(ISNUMBER(D133),IF(AND(D133&gt;=$C$3,M133&gt;=$E$3),"Priority 1",IF(OR(D133&gt;=$C$3,M133&gt;=$E$3),"Priority 2","Priority 3")),IF(M133&gt;=$E$3,"Priority 2","Priority 3")))</f>
        <v>Excluded – IV only</v>
      </c>
      <c r="R133" s="16" t="s">
        <v>285</v>
      </c>
      <c r="S133" s="15" t="s">
        <v>664</v>
      </c>
      <c r="T133" s="32" t="s">
        <v>735</v>
      </c>
      <c r="U133" s="33" t="str">
        <f aca="false">B133&amp;"|"&amp;S133</f>
        <v>Thiotepa|Dr. Reddy's Laboratories</v>
      </c>
      <c r="V133" s="34" t="n">
        <f aca="false">COUNTIFS('Shortlisted Drugs X Company (7)'!$C$3:$C$698,$B133,'Shortlisted Drugs X Company (7)'!$E$3:$E$698,$S133,'Shortlisted Drugs X Company (7)'!$N$3:$N$698,"&gt;=0")</f>
        <v>1</v>
      </c>
      <c r="W133" s="34" t="n">
        <f aca="false">COUNTIFS('Shortlisted Drugs X Company (7)'!$C$3:$C$698,$B133,'Shortlisted Drugs X Company (7)'!$E$3:$E$698,$S133,'Shortlisted Drugs X Company (7)'!$N$3:$N$698,"&gt;5")</f>
        <v>1</v>
      </c>
      <c r="X133" s="34" t="n">
        <f aca="false">COUNTIFS('Shortlisted Drugs X Company (7)'!$C$3:$C$698,$B133,'Shortlisted Drugs X Company (7)'!$E$3:$E$698,$S133,'Shortlisted Drugs X Company (7)'!$P$3:$P$698,"Exact")+COUNTIFS('Shortlisted Drugs X Company (7)'!$C$3:$C$698,$B133,'Shortlisted Drugs X Company (7)'!$E$3:$E$698,$S133,'Shortlisted Drugs X Company (7)'!$P$3:$P$698,"Same-market proxy")</f>
        <v>1</v>
      </c>
      <c r="Y133" s="33" t="str">
        <f aca="false">A133&amp;"|"&amp;P133</f>
        <v>Dr. Reddy's|</v>
      </c>
      <c r="Z133" s="16" t="s">
        <v>736</v>
      </c>
      <c r="AA133" s="33" t="n">
        <f aca="false">INDEX($G$7:$G$25,MATCH(A133,$A$7:$A$25,0))</f>
        <v>3</v>
      </c>
      <c r="AB133" s="33" t="str">
        <f aca="false">IF(AE133="No","",AA133*1000+IF(P133="",900+COUNTIFS($A$29:A133,A133,$O$29:O133,"Price ≤ $5"),P133))</f>
        <v/>
      </c>
      <c r="AC133" s="33" t="str">
        <f aca="false">IF(O133&lt;&gt;"","",(4-VALUE(RIGHT(Q133,1)))*10^7+N(F133))</f>
        <v/>
      </c>
      <c r="AD133" s="15" t="str">
        <f aca="false">IFERROR(INDEX('Route of Administration'!$C$5:$C$155,MATCH(B133,'Route of Administration'!$A$5:$A$155,0)),"")</f>
        <v>IV</v>
      </c>
      <c r="AE133" s="14" t="str">
        <f aca="false">IFERROR(INDEX('Route of Administration'!$D$5:$D$155,MATCH(B133,'Route of Administration'!$A$5:$A$155,0)),"")</f>
        <v>No</v>
      </c>
      <c r="AF133" s="19" t="n">
        <f aca="false">IF(V133&gt;0,ROUND(AVERAGEIFS('Shortlisted Drugs X Company (7)'!$N$3:$N$698,'Shortlisted Drugs X Company (7)'!$C$3:$C$698,$B133,'Shortlisted Drugs X Company (7)'!$E$3:$E$698,$S133,'Shortlisted Drugs X Company (7)'!$N$3:$N$698,"&gt;=0"),2),"")</f>
        <v>154.8</v>
      </c>
      <c r="AG133" s="16" t="s">
        <v>733</v>
      </c>
      <c r="AH133" s="16" t="s">
        <v>247</v>
      </c>
      <c r="AI133" s="16" t="s">
        <v>247</v>
      </c>
      <c r="AJ133" s="16" t="str">
        <f aca="false">IF(O133&lt;&gt;"","",IF(ISNUMBER(D133),IF(D133&gt;=$C$3,"High price","Lower price"),"Unpriced")&amp;" · "&amp;IF(M133&gt;=$E$3,"high volume","lower volume"))</f>
        <v/>
      </c>
      <c r="AK133" s="15" t="str">
        <f aca="false">IF(O133&lt;&gt;"",IF(O133="Price ≤ $5","Excluded – price ≤ $5","Excluded – IV only"),IF(ISNUMBER(D133),IF(AND(D133&gt;=$C$3,L133&gt;=$H$3),"Priority 1",IF(OR(D133&gt;=$C$3,L133&gt;=$H$3),"Priority 2","Priority 3")),IF(L133&gt;=$H$3,"Priority 2","Priority 3")))</f>
        <v>Excluded – IV only</v>
      </c>
      <c r="AL133" s="16" t="str">
        <f aca="false">IF(O133&lt;&gt;"","",IF(ISNUMBER(D133),IF(D133&gt;=$C$3,"High price","Lower price"),"Unpriced")&amp;" · "&amp;IF(L133&gt;=$H$3,"high volume","lower volume"))</f>
        <v/>
      </c>
      <c r="AM133" s="14" t="str">
        <f aca="false">IF(O133&lt;&gt;"","",COUNTIFS($A$29:$A$361,A133,$O$29:$O$361,"",$AQ$29:$AQ$361,"&gt;"&amp;AQ133)+COUNTIFS($A$29:A133,A133,$O$29:O133,"",$AQ$29:AQ133,AQ133))</f>
        <v/>
      </c>
      <c r="AN133" s="33" t="str">
        <f aca="false">IF(AND(O133="",ISNUMBER(D133)),D133,"")</f>
        <v/>
      </c>
      <c r="AO133" s="33" t="str">
        <f aca="false">IF(O133="",M133,"")</f>
        <v/>
      </c>
      <c r="AP133" s="33" t="str">
        <f aca="false">IF(O133="",L133,"")</f>
        <v/>
      </c>
      <c r="AQ133" s="33" t="str">
        <f aca="false">IF(O133&lt;&gt;"","",(4-VALUE(RIGHT(AK133,1)))*10^7+N(N133))</f>
        <v/>
      </c>
      <c r="AR133" s="33" t="n">
        <f aca="false">INDEX($O$7:$O$25,MATCH(A133,$I$7:$I$25,0))</f>
        <v>8</v>
      </c>
      <c r="AS133" s="33" t="str">
        <f aca="false">IF(AE133="No","",AR133*1000+IF(AM133="",900+COUNTIFS($A$29:A133,A133,$O$29:O133,"Price ≤ $5"),AM133))</f>
        <v/>
      </c>
    </row>
    <row r="134" customFormat="false" ht="41.75" hidden="false" customHeight="false" outlineLevel="0" collapsed="false">
      <c r="A134" s="15" t="s">
        <v>189</v>
      </c>
      <c r="B134" s="15" t="s">
        <v>275</v>
      </c>
      <c r="C134" s="16" t="s">
        <v>276</v>
      </c>
      <c r="D134" s="17" t="str">
        <f aca="false">IF(W134&gt;0,ROUND(AVERAGEIFS('Shortlisted Drugs X Company (7)'!$N$3:$N$698,'Shortlisted Drugs X Company (7)'!$C$3:$C$698,$B134,'Shortlisted Drugs X Company (7)'!$E$3:$E$698,$S134,'Shortlisted Drugs X Company (7)'!$N$3:$N$698,"&gt;5"),2),"")</f>
        <v/>
      </c>
      <c r="E134" s="15" t="str">
        <f aca="false">IF(COUNTIFS('Shortlisted Drugs X Company (7)'!$C$3:$C$698,$B134,'Shortlisted Drugs X Company (7)'!$E$3:$E$698,$S134,'Shortlisted Drugs X Company (7)'!$P$3:$P$698,"Exact")&gt;0,"Exact",IF(COUNTIFS('Shortlisted Drugs X Company (7)'!$C$3:$C$698,$B134,'Shortlisted Drugs X Company (7)'!$E$3:$E$698,$S134,'Shortlisted Drugs X Company (7)'!$P$3:$P$698,"Same-market proxy")&gt;0,"Same-market proxy",IF(COUNTIFS('Shortlisted Drugs X Company (7)'!$C$3:$C$698,$B134,'Shortlisted Drugs X Company (7)'!$E$3:$E$698,$S134,'Shortlisted Drugs X Company (7)'!$P$3:$P$698,"Cross-market proxy")&gt;0,"Cross-market proxy",IF(COUNTIFS('Shortlisted Drugs X Company (7)'!$C$3:$C$698,$B134,'Shortlisted Drugs X Company (7)'!$E$3:$E$698,$S134,'Shortlisted Drugs X Company (7)'!$P$3:$P$698,"Source not found")&gt;0,"Source not found","Not priced"))))</f>
        <v>Same-market proxy</v>
      </c>
      <c r="F134" s="18" t="n">
        <f aca="false">IFERROR(ROUND(INDEX('Injectable Value'!$AA$28:$AA$178,MATCH(B134,'Injectable Value'!$A$28:$A$178,0)),1),"")</f>
        <v>4256.8</v>
      </c>
      <c r="G134" s="16" t="s">
        <v>247</v>
      </c>
      <c r="H134" s="14" t="n">
        <v>1</v>
      </c>
      <c r="I134" s="15" t="s">
        <v>277</v>
      </c>
      <c r="J134" s="15" t="s">
        <v>277</v>
      </c>
      <c r="K134" s="16" t="str">
        <f aca="false">""&amp;IF(V134=0,"Unpriced","")&amp;IF(AND(V134&gt;0,W134=0,X134=0),"Low price from another market – confirm with company","")</f>
        <v/>
      </c>
      <c r="L134" s="18" t="n">
        <f aca="false">IFERROR(INDEX('Shortlisted Drugs X Company (7)'!$K$3:$K$698,MATCH(B134,'Shortlisted Drugs X Company (7)'!$C$3:$C$698,0)),"")</f>
        <v>735</v>
      </c>
      <c r="M134" s="18" t="n">
        <f aca="false">IFERROR(ROUND(L134*INDEX('Injectable Value'!$Z$28:$Z$178,MATCH(B134,'Injectable Value'!$A$28:$A$178,0)),0),"")</f>
        <v>193</v>
      </c>
      <c r="N134" s="18" t="n">
        <f aca="false">IFERROR(INDEX('Shortlisted Drugs X Company (7)'!$L$3:$L$698,MATCH(B134,'Shortlisted Drugs X Company (7)'!$C$3:$C$698,0)),"")</f>
        <v>16205.48</v>
      </c>
      <c r="O134" s="15" t="str">
        <f aca="false">IF(AE134="No","IV only (not ID/IM/SC)",IF(AND(V134&gt;0,W134=0),"Price ≤ $5",""))</f>
        <v>Price ≤ $5</v>
      </c>
      <c r="P134" s="14" t="str">
        <f aca="false">IF(O134&lt;&gt;"","",COUNTIFS($A$29:$A$361,A134,$O$29:$O$361,"",$AC$29:$AC$361,"&gt;"&amp;AC134)+COUNTIFS($A$29:A134,A134,$O$29:O134,"",$AC$29:AC134,AC134))</f>
        <v/>
      </c>
      <c r="Q134" s="15" t="str">
        <f aca="false">IF(O134&lt;&gt;"",IF(O134="Price ≤ $5","Excluded – price ≤ $5","Excluded – IV only"),IF(ISNUMBER(D134),IF(AND(D134&gt;=$C$3,M134&gt;=$E$3),"Priority 1",IF(OR(D134&gt;=$C$3,M134&gt;=$E$3),"Priority 2","Priority 3")),IF(M134&gt;=$E$3,"Priority 2","Priority 3")))</f>
        <v>Excluded – price ≤ $5</v>
      </c>
      <c r="R134" s="16" t="s">
        <v>278</v>
      </c>
      <c r="S134" s="15" t="s">
        <v>664</v>
      </c>
      <c r="T134" s="32" t="s">
        <v>279</v>
      </c>
      <c r="U134" s="33" t="str">
        <f aca="false">B134&amp;"|"&amp;S134</f>
        <v>Triamcinolone Acetonide|Dr. Reddy's Laboratories</v>
      </c>
      <c r="V134" s="34" t="n">
        <f aca="false">COUNTIFS('Shortlisted Drugs X Company (7)'!$C$3:$C$698,$B134,'Shortlisted Drugs X Company (7)'!$E$3:$E$698,$S134,'Shortlisted Drugs X Company (7)'!$N$3:$N$698,"&gt;=0")</f>
        <v>2</v>
      </c>
      <c r="W134" s="34" t="n">
        <f aca="false">COUNTIFS('Shortlisted Drugs X Company (7)'!$C$3:$C$698,$B134,'Shortlisted Drugs X Company (7)'!$E$3:$E$698,$S134,'Shortlisted Drugs X Company (7)'!$N$3:$N$698,"&gt;5")</f>
        <v>0</v>
      </c>
      <c r="X134" s="34" t="n">
        <f aca="false">COUNTIFS('Shortlisted Drugs X Company (7)'!$C$3:$C$698,$B134,'Shortlisted Drugs X Company (7)'!$E$3:$E$698,$S134,'Shortlisted Drugs X Company (7)'!$P$3:$P$698,"Exact")+COUNTIFS('Shortlisted Drugs X Company (7)'!$C$3:$C$698,$B134,'Shortlisted Drugs X Company (7)'!$E$3:$E$698,$S134,'Shortlisted Drugs X Company (7)'!$P$3:$P$698,"Same-market proxy")</f>
        <v>2</v>
      </c>
      <c r="Y134" s="33" t="str">
        <f aca="false">A134&amp;"|"&amp;P134</f>
        <v>Dr. Reddy's|</v>
      </c>
      <c r="Z134" s="16" t="s">
        <v>737</v>
      </c>
      <c r="AA134" s="33" t="n">
        <f aca="false">INDEX($G$7:$G$25,MATCH(A134,$A$7:$A$25,0))</f>
        <v>3</v>
      </c>
      <c r="AB134" s="33" t="n">
        <f aca="false">IF(AE134="No","",AA134*1000+IF(P134="",900+COUNTIFS($A$29:A134,A134,$O$29:O134,"Price ≤ $5"),P134))</f>
        <v>3901</v>
      </c>
      <c r="AC134" s="33" t="str">
        <f aca="false">IF(O134&lt;&gt;"","",(4-VALUE(RIGHT(Q134,1)))*10^7+N(F134))</f>
        <v/>
      </c>
      <c r="AD134" s="15" t="str">
        <f aca="false">IFERROR(INDEX('Route of Administration'!$C$5:$C$155,MATCH(B134,'Route of Administration'!$A$5:$A$155,0)),"")</f>
        <v>IM</v>
      </c>
      <c r="AE134" s="14" t="str">
        <f aca="false">IFERROR(INDEX('Route of Administration'!$D$5:$D$155,MATCH(B134,'Route of Administration'!$A$5:$A$155,0)),"")</f>
        <v>Yes</v>
      </c>
      <c r="AF134" s="19" t="n">
        <f aca="false">IF(V134&gt;0,ROUND(AVERAGEIFS('Shortlisted Drugs X Company (7)'!$N$3:$N$698,'Shortlisted Drugs X Company (7)'!$C$3:$C$698,$B134,'Shortlisted Drugs X Company (7)'!$E$3:$E$698,$S134,'Shortlisted Drugs X Company (7)'!$N$3:$N$698,"&gt;=0"),2),"")</f>
        <v>3.55</v>
      </c>
      <c r="AG134" s="16" t="s">
        <v>275</v>
      </c>
      <c r="AH134" s="16" t="s">
        <v>247</v>
      </c>
      <c r="AI134" s="16" t="s">
        <v>247</v>
      </c>
      <c r="AJ134" s="16" t="str">
        <f aca="false">IF(O134&lt;&gt;"","",IF(ISNUMBER(D134),IF(D134&gt;=$C$3,"High price","Lower price"),"Unpriced")&amp;" · "&amp;IF(M134&gt;=$E$3,"high volume","lower volume"))</f>
        <v/>
      </c>
      <c r="AK134" s="15" t="str">
        <f aca="false">IF(O134&lt;&gt;"",IF(O134="Price ≤ $5","Excluded – price ≤ $5","Excluded – IV only"),IF(ISNUMBER(D134),IF(AND(D134&gt;=$C$3,L134&gt;=$H$3),"Priority 1",IF(OR(D134&gt;=$C$3,L134&gt;=$H$3),"Priority 2","Priority 3")),IF(L134&gt;=$H$3,"Priority 2","Priority 3")))</f>
        <v>Excluded – price ≤ $5</v>
      </c>
      <c r="AL134" s="16" t="str">
        <f aca="false">IF(O134&lt;&gt;"","",IF(ISNUMBER(D134),IF(D134&gt;=$C$3,"High price","Lower price"),"Unpriced")&amp;" · "&amp;IF(L134&gt;=$H$3,"high volume","lower volume"))</f>
        <v/>
      </c>
      <c r="AM134" s="14" t="str">
        <f aca="false">IF(O134&lt;&gt;"","",COUNTIFS($A$29:$A$361,A134,$O$29:$O$361,"",$AQ$29:$AQ$361,"&gt;"&amp;AQ134)+COUNTIFS($A$29:A134,A134,$O$29:O134,"",$AQ$29:AQ134,AQ134))</f>
        <v/>
      </c>
      <c r="AN134" s="33" t="str">
        <f aca="false">IF(AND(O134="",ISNUMBER(D134)),D134,"")</f>
        <v/>
      </c>
      <c r="AO134" s="33" t="str">
        <f aca="false">IF(O134="",M134,"")</f>
        <v/>
      </c>
      <c r="AP134" s="33" t="str">
        <f aca="false">IF(O134="",L134,"")</f>
        <v/>
      </c>
      <c r="AQ134" s="33" t="str">
        <f aca="false">IF(O134&lt;&gt;"","",(4-VALUE(RIGHT(AK134,1)))*10^7+N(N134))</f>
        <v/>
      </c>
      <c r="AR134" s="33" t="n">
        <f aca="false">INDEX($O$7:$O$25,MATCH(A134,$I$7:$I$25,0))</f>
        <v>8</v>
      </c>
      <c r="AS134" s="33" t="n">
        <f aca="false">IF(AE134="No","",AR134*1000+IF(AM134="",900+COUNTIFS($A$29:A134,A134,$O$29:O134,"Price ≤ $5"),AM134))</f>
        <v>8901</v>
      </c>
    </row>
    <row r="135" customFormat="false" ht="41.75" hidden="false" customHeight="false" outlineLevel="0" collapsed="false">
      <c r="A135" s="15" t="s">
        <v>190</v>
      </c>
      <c r="B135" s="15" t="s">
        <v>738</v>
      </c>
      <c r="C135" s="16" t="s">
        <v>739</v>
      </c>
      <c r="D135" s="17" t="n">
        <f aca="false">IF(W135&gt;0,ROUND(AVERAGEIFS('Shortlisted Drugs X Company (7)'!$N$3:$N$698,'Shortlisted Drugs X Company (7)'!$C$3:$C$698,$B135,'Shortlisted Drugs X Company (7)'!$E$3:$E$698,$S135,'Shortlisted Drugs X Company (7)'!$N$3:$N$698,"&gt;5"),2),"")</f>
        <v>17.81</v>
      </c>
      <c r="E135" s="15" t="str">
        <f aca="false">IF(COUNTIFS('Shortlisted Drugs X Company (7)'!$C$3:$C$698,$B135,'Shortlisted Drugs X Company (7)'!$E$3:$E$698,$S135,'Shortlisted Drugs X Company (7)'!$P$3:$P$698,"Exact")&gt;0,"Exact",IF(COUNTIFS('Shortlisted Drugs X Company (7)'!$C$3:$C$698,$B135,'Shortlisted Drugs X Company (7)'!$E$3:$E$698,$S135,'Shortlisted Drugs X Company (7)'!$P$3:$P$698,"Same-market proxy")&gt;0,"Same-market proxy",IF(COUNTIFS('Shortlisted Drugs X Company (7)'!$C$3:$C$698,$B135,'Shortlisted Drugs X Company (7)'!$E$3:$E$698,$S135,'Shortlisted Drugs X Company (7)'!$P$3:$P$698,"Cross-market proxy")&gt;0,"Cross-market proxy",IF(COUNTIFS('Shortlisted Drugs X Company (7)'!$C$3:$C$698,$B135,'Shortlisted Drugs X Company (7)'!$E$3:$E$698,$S135,'Shortlisted Drugs X Company (7)'!$P$3:$P$698,"Source not found")&gt;0,"Source not found","Not priced"))))</f>
        <v>Same-market proxy</v>
      </c>
      <c r="F135" s="18" t="n">
        <f aca="false">IFERROR(ROUND(INDEX('Injectable Value'!$AA$28:$AA$178,MATCH(B135,'Injectable Value'!$A$28:$A$178,0)),1),"")</f>
        <v>1405.2</v>
      </c>
      <c r="G135" s="16" t="s">
        <v>740</v>
      </c>
      <c r="H135" s="14" t="n">
        <v>2</v>
      </c>
      <c r="I135" s="15" t="s">
        <v>248</v>
      </c>
      <c r="J135" s="15" t="s">
        <v>299</v>
      </c>
      <c r="K135" s="16" t="str">
        <f aca="false">"Reconstitution"&amp;IF(V135=0,"; Unpriced","")&amp;IF(AND(V135&gt;0,W135=0,X135=0),"; Low price from another market – confirm with company","")</f>
        <v>Reconstitution</v>
      </c>
      <c r="L135" s="18" t="n">
        <f aca="false">IFERROR(INDEX('Shortlisted Drugs X Company (7)'!$K$3:$K$698,MATCH(B135,'Shortlisted Drugs X Company (7)'!$C$3:$C$698,0)),"")</f>
        <v>310</v>
      </c>
      <c r="M135" s="18" t="n">
        <f aca="false">IFERROR(ROUND(L135*INDEX('Injectable Value'!$Z$28:$Z$178,MATCH(B135,'Injectable Value'!$A$28:$A$178,0)),0),"")</f>
        <v>48</v>
      </c>
      <c r="N135" s="18" t="n">
        <f aca="false">IFERROR(INDEX('Shortlisted Drugs X Company (7)'!$L$3:$L$698,MATCH(B135,'Shortlisted Drugs X Company (7)'!$C$3:$C$698,0)),"")</f>
        <v>8995.42</v>
      </c>
      <c r="O135" s="15" t="str">
        <f aca="false">IF(AE135="No","IV only (not ID/IM/SC)",IF(AND(V135&gt;0,W135=0),"Price ≤ $5",""))</f>
        <v/>
      </c>
      <c r="P135" s="14" t="n">
        <f aca="false">IF(O135&lt;&gt;"","",COUNTIFS($A$29:$A$361,A135,$O$29:$O$361,"",$AC$29:$AC$361,"&gt;"&amp;AC135)+COUNTIFS($A$29:A135,A135,$O$29:O135,"",$AC$29:AC135,AC135))</f>
        <v>11</v>
      </c>
      <c r="Q135" s="15" t="str">
        <f aca="false">IF(O135&lt;&gt;"",IF(O135="Price ≤ $5","Excluded – price ≤ $5","Excluded – IV only"),IF(ISNUMBER(D135),IF(AND(D135&gt;=$C$3,M135&gt;=$E$3),"Priority 1",IF(OR(D135&gt;=$C$3,M135&gt;=$E$3),"Priority 2","Priority 3")),IF(M135&gt;=$E$3,"Priority 2","Priority 3")))</f>
        <v>Priority 3</v>
      </c>
      <c r="R135" s="16" t="s">
        <v>285</v>
      </c>
      <c r="S135" s="15" t="s">
        <v>741</v>
      </c>
      <c r="T135" s="32" t="s">
        <v>742</v>
      </c>
      <c r="U135" s="33" t="str">
        <f aca="false">B135&amp;"|"&amp;S135</f>
        <v>Acetazolamide|Emcure Pharmaceuticals</v>
      </c>
      <c r="V135" s="34" t="n">
        <f aca="false">COUNTIFS('Shortlisted Drugs X Company (7)'!$C$3:$C$698,$B135,'Shortlisted Drugs X Company (7)'!$E$3:$E$698,$S135,'Shortlisted Drugs X Company (7)'!$N$3:$N$698,"&gt;=0")</f>
        <v>2</v>
      </c>
      <c r="W135" s="34" t="n">
        <f aca="false">COUNTIFS('Shortlisted Drugs X Company (7)'!$C$3:$C$698,$B135,'Shortlisted Drugs X Company (7)'!$E$3:$E$698,$S135,'Shortlisted Drugs X Company (7)'!$N$3:$N$698,"&gt;5")</f>
        <v>2</v>
      </c>
      <c r="X135" s="34" t="n">
        <f aca="false">COUNTIFS('Shortlisted Drugs X Company (7)'!$C$3:$C$698,$B135,'Shortlisted Drugs X Company (7)'!$E$3:$E$698,$S135,'Shortlisted Drugs X Company (7)'!$P$3:$P$698,"Exact")+COUNTIFS('Shortlisted Drugs X Company (7)'!$C$3:$C$698,$B135,'Shortlisted Drugs X Company (7)'!$E$3:$E$698,$S135,'Shortlisted Drugs X Company (7)'!$P$3:$P$698,"Same-market proxy")</f>
        <v>1</v>
      </c>
      <c r="Y135" s="33" t="str">
        <f aca="false">A135&amp;"|"&amp;P135</f>
        <v>Emcure|11</v>
      </c>
      <c r="Z135" s="16" t="s">
        <v>743</v>
      </c>
      <c r="AA135" s="33" t="n">
        <f aca="false">INDEX($G$7:$G$25,MATCH(A135,$A$7:$A$25,0))</f>
        <v>5</v>
      </c>
      <c r="AB135" s="33" t="n">
        <f aca="false">IF(AE135="No","",AA135*1000+IF(P135="",900+COUNTIFS($A$29:A135,A135,$O$29:O135,"Price ≤ $5"),P135))</f>
        <v>5011</v>
      </c>
      <c r="AC135" s="33" t="n">
        <f aca="false">IF(O135&lt;&gt;"","",(4-VALUE(RIGHT(Q135,1)))*10^7+N(F135))</f>
        <v>10001405.2</v>
      </c>
      <c r="AD135" s="15" t="str">
        <f aca="false">IFERROR(INDEX('Route of Administration'!$C$5:$C$155,MATCH(B135,'Route of Administration'!$A$5:$A$155,0)),"")</f>
        <v>IV, IM</v>
      </c>
      <c r="AE135" s="14" t="str">
        <f aca="false">IFERROR(INDEX('Route of Administration'!$D$5:$D$155,MATCH(B135,'Route of Administration'!$A$5:$A$155,0)),"")</f>
        <v>Yes</v>
      </c>
      <c r="AF135" s="19" t="n">
        <f aca="false">IF(V135&gt;0,ROUND(AVERAGEIFS('Shortlisted Drugs X Company (7)'!$N$3:$N$698,'Shortlisted Drugs X Company (7)'!$C$3:$C$698,$B135,'Shortlisted Drugs X Company (7)'!$E$3:$E$698,$S135,'Shortlisted Drugs X Company (7)'!$N$3:$N$698,"&gt;=0"),2),"")</f>
        <v>17.81</v>
      </c>
      <c r="AG135" s="16" t="s">
        <v>744</v>
      </c>
      <c r="AH135" s="16" t="s">
        <v>740</v>
      </c>
      <c r="AI135" s="16" t="s">
        <v>740</v>
      </c>
      <c r="AJ135" s="16" t="str">
        <f aca="false">IF(O135&lt;&gt;"","",IF(ISNUMBER(D135),IF(D135&gt;=$C$3,"High price","Lower price"),"Unpriced")&amp;" · "&amp;IF(M135&gt;=$E$3,"high volume","lower volume"))</f>
        <v>Lower price · lower volume</v>
      </c>
      <c r="AK135" s="15" t="str">
        <f aca="false">IF(O135&lt;&gt;"",IF(O135="Price ≤ $5","Excluded – price ≤ $5","Excluded – IV only"),IF(ISNUMBER(D135),IF(AND(D135&gt;=$C$3,L135&gt;=$H$3),"Priority 1",IF(OR(D135&gt;=$C$3,L135&gt;=$H$3),"Priority 2","Priority 3")),IF(L135&gt;=$H$3,"Priority 2","Priority 3")))</f>
        <v>Priority 2</v>
      </c>
      <c r="AL135" s="16" t="str">
        <f aca="false">IF(O135&lt;&gt;"","",IF(ISNUMBER(D135),IF(D135&gt;=$C$3,"High price","Lower price"),"Unpriced")&amp;" · "&amp;IF(L135&gt;=$H$3,"high volume","lower volume"))</f>
        <v>Lower price · high volume</v>
      </c>
      <c r="AM135" s="14" t="n">
        <f aca="false">IF(O135&lt;&gt;"","",COUNTIFS($A$29:$A$361,A135,$O$29:$O$361,"",$AQ$29:$AQ$361,"&gt;"&amp;AQ135)+COUNTIFS($A$29:A135,A135,$O$29:O135,"",$AQ$29:AQ135,AQ135))</f>
        <v>6</v>
      </c>
      <c r="AN135" s="19" t="n">
        <f aca="false">IF(AND(O135="",ISNUMBER(D135)),D135,"")</f>
        <v>17.81</v>
      </c>
      <c r="AO135" s="20" t="n">
        <f aca="false">IF(O135="",M135,"")</f>
        <v>48</v>
      </c>
      <c r="AP135" s="20" t="n">
        <f aca="false">IF(O135="",L135,"")</f>
        <v>310</v>
      </c>
      <c r="AQ135" s="33" t="n">
        <f aca="false">IF(O135&lt;&gt;"","",(4-VALUE(RIGHT(AK135,1)))*10^7+N(N135))</f>
        <v>20008995.42</v>
      </c>
      <c r="AR135" s="33" t="n">
        <f aca="false">INDEX($O$7:$O$25,MATCH(A135,$I$7:$I$25,0))</f>
        <v>3</v>
      </c>
      <c r="AS135" s="33" t="n">
        <f aca="false">IF(AE135="No","",AR135*1000+IF(AM135="",900+COUNTIFS($A$29:A135,A135,$O$29:O135,"Price ≤ $5"),AM135))</f>
        <v>3006</v>
      </c>
    </row>
    <row r="136" customFormat="false" ht="41.75" hidden="false" customHeight="false" outlineLevel="0" collapsed="false">
      <c r="A136" s="15" t="s">
        <v>190</v>
      </c>
      <c r="B136" s="15" t="s">
        <v>745</v>
      </c>
      <c r="C136" s="16" t="s">
        <v>746</v>
      </c>
      <c r="D136" s="17" t="n">
        <f aca="false">IF(W136&gt;0,ROUND(AVERAGEIFS('Shortlisted Drugs X Company (7)'!$N$3:$N$698,'Shortlisted Drugs X Company (7)'!$C$3:$C$698,$B136,'Shortlisted Drugs X Company (7)'!$E$3:$E$698,$S136,'Shortlisted Drugs X Company (7)'!$N$3:$N$698,"&gt;5"),2),"")</f>
        <v>27.98</v>
      </c>
      <c r="E136" s="15" t="str">
        <f aca="false">IF(COUNTIFS('Shortlisted Drugs X Company (7)'!$C$3:$C$698,$B136,'Shortlisted Drugs X Company (7)'!$E$3:$E$698,$S136,'Shortlisted Drugs X Company (7)'!$P$3:$P$698,"Exact")&gt;0,"Exact",IF(COUNTIFS('Shortlisted Drugs X Company (7)'!$C$3:$C$698,$B136,'Shortlisted Drugs X Company (7)'!$E$3:$E$698,$S136,'Shortlisted Drugs X Company (7)'!$P$3:$P$698,"Same-market proxy")&gt;0,"Same-market proxy",IF(COUNTIFS('Shortlisted Drugs X Company (7)'!$C$3:$C$698,$B136,'Shortlisted Drugs X Company (7)'!$E$3:$E$698,$S136,'Shortlisted Drugs X Company (7)'!$P$3:$P$698,"Cross-market proxy")&gt;0,"Cross-market proxy",IF(COUNTIFS('Shortlisted Drugs X Company (7)'!$C$3:$C$698,$B136,'Shortlisted Drugs X Company (7)'!$E$3:$E$698,$S136,'Shortlisted Drugs X Company (7)'!$P$3:$P$698,"Source not found")&gt;0,"Source not found","Not priced"))))</f>
        <v>Exact</v>
      </c>
      <c r="F136" s="18" t="n">
        <f aca="false">IFERROR(ROUND(INDEX('Injectable Value'!$AA$28:$AA$178,MATCH(B136,'Injectable Value'!$A$28:$A$178,0)),1),"")</f>
        <v>8433.6</v>
      </c>
      <c r="G136" s="16" t="s">
        <v>747</v>
      </c>
      <c r="H136" s="14" t="n">
        <v>5</v>
      </c>
      <c r="I136" s="15" t="s">
        <v>248</v>
      </c>
      <c r="J136" s="15" t="s">
        <v>249</v>
      </c>
      <c r="K136" s="16" t="str">
        <f aca="false">""&amp;IF(V136=0,"Unpriced","")&amp;IF(AND(V136&gt;0,W136=0,X136=0),"Low price from another market – confirm with company","")</f>
        <v/>
      </c>
      <c r="L136" s="18" t="n">
        <f aca="false">IFERROR(INDEX('Shortlisted Drugs X Company (7)'!$K$3:$K$698,MATCH(B136,'Shortlisted Drugs X Company (7)'!$C$3:$C$698,0)),"")</f>
        <v>684</v>
      </c>
      <c r="M136" s="18" t="n">
        <f aca="false">IFERROR(ROUND(L136*INDEX('Injectable Value'!$Z$28:$Z$178,MATCH(B136,'Injectable Value'!$A$28:$A$178,0)),0),"")</f>
        <v>657</v>
      </c>
      <c r="N136" s="18" t="n">
        <f aca="false">IFERROR(INDEX('Shortlisted Drugs X Company (7)'!$L$3:$L$698,MATCH(B136,'Shortlisted Drugs X Company (7)'!$C$3:$C$698,0)),"")</f>
        <v>8785.35</v>
      </c>
      <c r="O136" s="15" t="str">
        <f aca="false">IF(AE136="No","IV only (not ID/IM/SC)",IF(AND(V136&gt;0,W136=0),"Price ≤ $5",""))</f>
        <v/>
      </c>
      <c r="P136" s="14" t="n">
        <f aca="false">IF(O136&lt;&gt;"","",COUNTIFS($A$29:$A$361,A136,$O$29:$O$361,"",$AC$29:$AC$361,"&gt;"&amp;AC136)+COUNTIFS($A$29:A136,A136,$O$29:O136,"",$AC$29:AC136,AC136))</f>
        <v>3</v>
      </c>
      <c r="Q136" s="15" t="str">
        <f aca="false">IF(O136&lt;&gt;"",IF(O136="Price ≤ $5","Excluded – price ≤ $5","Excluded – IV only"),IF(ISNUMBER(D136),IF(AND(D136&gt;=$C$3,M136&gt;=$E$3),"Priority 1",IF(OR(D136&gt;=$C$3,M136&gt;=$E$3),"Priority 2","Priority 3")),IF(M136&gt;=$E$3,"Priority 2","Priority 3")))</f>
        <v>Priority 1</v>
      </c>
      <c r="R136" s="16" t="s">
        <v>285</v>
      </c>
      <c r="S136" s="15" t="s">
        <v>741</v>
      </c>
      <c r="T136" s="32" t="s">
        <v>748</v>
      </c>
      <c r="U136" s="33" t="str">
        <f aca="false">B136&amp;"|"&amp;S136</f>
        <v>Amikacin|Emcure Pharmaceuticals</v>
      </c>
      <c r="V136" s="34" t="n">
        <f aca="false">COUNTIFS('Shortlisted Drugs X Company (7)'!$C$3:$C$698,$B136,'Shortlisted Drugs X Company (7)'!$E$3:$E$698,$S136,'Shortlisted Drugs X Company (7)'!$N$3:$N$698,"&gt;=0")</f>
        <v>3</v>
      </c>
      <c r="W136" s="34" t="n">
        <f aca="false">COUNTIFS('Shortlisted Drugs X Company (7)'!$C$3:$C$698,$B136,'Shortlisted Drugs X Company (7)'!$E$3:$E$698,$S136,'Shortlisted Drugs X Company (7)'!$N$3:$N$698,"&gt;5")</f>
        <v>3</v>
      </c>
      <c r="X136" s="34" t="n">
        <f aca="false">COUNTIFS('Shortlisted Drugs X Company (7)'!$C$3:$C$698,$B136,'Shortlisted Drugs X Company (7)'!$E$3:$E$698,$S136,'Shortlisted Drugs X Company (7)'!$P$3:$P$698,"Exact")+COUNTIFS('Shortlisted Drugs X Company (7)'!$C$3:$C$698,$B136,'Shortlisted Drugs X Company (7)'!$E$3:$E$698,$S136,'Shortlisted Drugs X Company (7)'!$P$3:$P$698,"Same-market proxy")</f>
        <v>2</v>
      </c>
      <c r="Y136" s="33" t="str">
        <f aca="false">A136&amp;"|"&amp;P136</f>
        <v>Emcure|3</v>
      </c>
      <c r="Z136" s="16" t="s">
        <v>749</v>
      </c>
      <c r="AA136" s="33" t="n">
        <f aca="false">INDEX($G$7:$G$25,MATCH(A136,$A$7:$A$25,0))</f>
        <v>5</v>
      </c>
      <c r="AB136" s="33" t="n">
        <f aca="false">IF(AE136="No","",AA136*1000+IF(P136="",900+COUNTIFS($A$29:A136,A136,$O$29:O136,"Price ≤ $5"),P136))</f>
        <v>5003</v>
      </c>
      <c r="AC136" s="33" t="n">
        <f aca="false">IF(O136&lt;&gt;"","",(4-VALUE(RIGHT(Q136,1)))*10^7+N(F136))</f>
        <v>30008433.6</v>
      </c>
      <c r="AD136" s="15" t="str">
        <f aca="false">IFERROR(INDEX('Route of Administration'!$C$5:$C$155,MATCH(B136,'Route of Administration'!$A$5:$A$155,0)),"")</f>
        <v>IV, IM</v>
      </c>
      <c r="AE136" s="14" t="str">
        <f aca="false">IFERROR(INDEX('Route of Administration'!$D$5:$D$155,MATCH(B136,'Route of Administration'!$A$5:$A$155,0)),"")</f>
        <v>Yes</v>
      </c>
      <c r="AF136" s="19" t="n">
        <f aca="false">IF(V136&gt;0,ROUND(AVERAGEIFS('Shortlisted Drugs X Company (7)'!$N$3:$N$698,'Shortlisted Drugs X Company (7)'!$C$3:$C$698,$B136,'Shortlisted Drugs X Company (7)'!$E$3:$E$698,$S136,'Shortlisted Drugs X Company (7)'!$N$3:$N$698,"&gt;=0"),2),"")</f>
        <v>27.98</v>
      </c>
      <c r="AG136" s="16" t="s">
        <v>750</v>
      </c>
      <c r="AH136" s="16" t="s">
        <v>751</v>
      </c>
      <c r="AI136" s="16" t="s">
        <v>751</v>
      </c>
      <c r="AJ136" s="16" t="str">
        <f aca="false">IF(O136&lt;&gt;"","",IF(ISNUMBER(D136),IF(D136&gt;=$C$3,"High price","Lower price"),"Unpriced")&amp;" · "&amp;IF(M136&gt;=$E$3,"high volume","lower volume"))</f>
        <v>High price · high volume</v>
      </c>
      <c r="AK136" s="15" t="str">
        <f aca="false">IF(O136&lt;&gt;"",IF(O136="Price ≤ $5","Excluded – price ≤ $5","Excluded – IV only"),IF(ISNUMBER(D136),IF(AND(D136&gt;=$C$3,L136&gt;=$H$3),"Priority 1",IF(OR(D136&gt;=$C$3,L136&gt;=$H$3),"Priority 2","Priority 3")),IF(L136&gt;=$H$3,"Priority 2","Priority 3")))</f>
        <v>Priority 1</v>
      </c>
      <c r="AL136" s="16" t="str">
        <f aca="false">IF(O136&lt;&gt;"","",IF(ISNUMBER(D136),IF(D136&gt;=$C$3,"High price","Lower price"),"Unpriced")&amp;" · "&amp;IF(L136&gt;=$H$3,"high volume","lower volume"))</f>
        <v>High price · high volume</v>
      </c>
      <c r="AM136" s="14" t="n">
        <f aca="false">IF(O136&lt;&gt;"","",COUNTIFS($A$29:$A$361,A136,$O$29:$O$361,"",$AQ$29:$AQ$361,"&gt;"&amp;AQ136)+COUNTIFS($A$29:A136,A136,$O$29:O136,"",$AQ$29:AQ136,AQ136))</f>
        <v>3</v>
      </c>
      <c r="AN136" s="19" t="n">
        <f aca="false">IF(AND(O136="",ISNUMBER(D136)),D136,"")</f>
        <v>27.98</v>
      </c>
      <c r="AO136" s="20" t="n">
        <f aca="false">IF(O136="",M136,"")</f>
        <v>657</v>
      </c>
      <c r="AP136" s="20" t="n">
        <f aca="false">IF(O136="",L136,"")</f>
        <v>684</v>
      </c>
      <c r="AQ136" s="33" t="n">
        <f aca="false">IF(O136&lt;&gt;"","",(4-VALUE(RIGHT(AK136,1)))*10^7+N(N136))</f>
        <v>30008785.35</v>
      </c>
      <c r="AR136" s="33" t="n">
        <f aca="false">INDEX($O$7:$O$25,MATCH(A136,$I$7:$I$25,0))</f>
        <v>3</v>
      </c>
      <c r="AS136" s="33" t="n">
        <f aca="false">IF(AE136="No","",AR136*1000+IF(AM136="",900+COUNTIFS($A$29:A136,A136,$O$29:O136,"Price ≤ $5"),AM136))</f>
        <v>3003</v>
      </c>
    </row>
    <row r="137" customFormat="false" ht="28.35" hidden="false" customHeight="false" outlineLevel="0" collapsed="false">
      <c r="A137" s="15" t="s">
        <v>190</v>
      </c>
      <c r="B137" s="15" t="s">
        <v>281</v>
      </c>
      <c r="C137" s="16" t="s">
        <v>282</v>
      </c>
      <c r="D137" s="17" t="n">
        <f aca="false">IF(W137&gt;0,ROUND(AVERAGEIFS('Shortlisted Drugs X Company (7)'!$N$3:$N$698,'Shortlisted Drugs X Company (7)'!$C$3:$C$698,$B137,'Shortlisted Drugs X Company (7)'!$E$3:$E$698,$S137,'Shortlisted Drugs X Company (7)'!$N$3:$N$698,"&gt;5"),2),"")</f>
        <v>9.04</v>
      </c>
      <c r="E137" s="15" t="str">
        <f aca="false">IF(COUNTIFS('Shortlisted Drugs X Company (7)'!$C$3:$C$698,$B137,'Shortlisted Drugs X Company (7)'!$E$3:$E$698,$S137,'Shortlisted Drugs X Company (7)'!$P$3:$P$698,"Exact")&gt;0,"Exact",IF(COUNTIFS('Shortlisted Drugs X Company (7)'!$C$3:$C$698,$B137,'Shortlisted Drugs X Company (7)'!$E$3:$E$698,$S137,'Shortlisted Drugs X Company (7)'!$P$3:$P$698,"Same-market proxy")&gt;0,"Same-market proxy",IF(COUNTIFS('Shortlisted Drugs X Company (7)'!$C$3:$C$698,$B137,'Shortlisted Drugs X Company (7)'!$E$3:$E$698,$S137,'Shortlisted Drugs X Company (7)'!$P$3:$P$698,"Cross-market proxy")&gt;0,"Cross-market proxy",IF(COUNTIFS('Shortlisted Drugs X Company (7)'!$C$3:$C$698,$B137,'Shortlisted Drugs X Company (7)'!$E$3:$E$698,$S137,'Shortlisted Drugs X Company (7)'!$P$3:$P$698,"Source not found")&gt;0,"Source not found","Not priced"))))</f>
        <v>Exact</v>
      </c>
      <c r="F137" s="18" t="n">
        <f aca="false">IFERROR(ROUND(INDEX('Injectable Value'!$AA$28:$AA$178,MATCH(B137,'Injectable Value'!$A$28:$A$178,0)),1),"")</f>
        <v>35129.8</v>
      </c>
      <c r="G137" s="16" t="s">
        <v>70</v>
      </c>
      <c r="H137" s="14" t="n">
        <v>1</v>
      </c>
      <c r="I137" s="15" t="s">
        <v>248</v>
      </c>
      <c r="J137" s="15" t="s">
        <v>277</v>
      </c>
      <c r="K137" s="16" t="str">
        <f aca="false">""&amp;IF(V137=0,"Unpriced","")&amp;IF(AND(V137&gt;0,W137=0,X137=0),"Low price from another market – confirm with company","")</f>
        <v/>
      </c>
      <c r="L137" s="18" t="n">
        <f aca="false">IFERROR(INDEX('Shortlisted Drugs X Company (7)'!$K$3:$K$698,MATCH(B137,'Shortlisted Drugs X Company (7)'!$C$3:$C$698,0)),"")</f>
        <v>1393</v>
      </c>
      <c r="M137" s="18" t="n">
        <f aca="false">IFERROR(ROUND(L137*INDEX('Injectable Value'!$Z$28:$Z$178,MATCH(B137,'Injectable Value'!$A$28:$A$178,0)),0),"")</f>
        <v>934</v>
      </c>
      <c r="N137" s="18" t="n">
        <f aca="false">IFERROR(INDEX('Shortlisted Drugs X Company (7)'!$L$3:$L$698,MATCH(B137,'Shortlisted Drugs X Company (7)'!$C$3:$C$698,0)),"")</f>
        <v>52401.4</v>
      </c>
      <c r="O137" s="15" t="str">
        <f aca="false">IF(AE137="No","IV only (not ID/IM/SC)",IF(AND(V137&gt;0,W137=0),"Price ≤ $5",""))</f>
        <v/>
      </c>
      <c r="P137" s="14" t="n">
        <f aca="false">IF(O137&lt;&gt;"","",COUNTIFS($A$29:$A$361,A137,$O$29:$O$361,"",$AC$29:$AC$361,"&gt;"&amp;AC137)+COUNTIFS($A$29:A137,A137,$O$29:O137,"",$AC$29:AC137,AC137))</f>
        <v>4</v>
      </c>
      <c r="Q137" s="15" t="str">
        <f aca="false">IF(O137&lt;&gt;"",IF(O137="Price ≤ $5","Excluded – price ≤ $5","Excluded – IV only"),IF(ISNUMBER(D137),IF(AND(D137&gt;=$C$3,M137&gt;=$E$3),"Priority 1",IF(OR(D137&gt;=$C$3,M137&gt;=$E$3),"Priority 2","Priority 3")),IF(M137&gt;=$E$3,"Priority 2","Priority 3")))</f>
        <v>Priority 2</v>
      </c>
      <c r="R137" s="16" t="s">
        <v>285</v>
      </c>
      <c r="S137" s="15" t="s">
        <v>741</v>
      </c>
      <c r="T137" s="32" t="s">
        <v>287</v>
      </c>
      <c r="U137" s="33" t="str">
        <f aca="false">B137&amp;"|"&amp;S137</f>
        <v>Ampicillin|Emcure Pharmaceuticals</v>
      </c>
      <c r="V137" s="34" t="n">
        <f aca="false">COUNTIFS('Shortlisted Drugs X Company (7)'!$C$3:$C$698,$B137,'Shortlisted Drugs X Company (7)'!$E$3:$E$698,$S137,'Shortlisted Drugs X Company (7)'!$N$3:$N$698,"&gt;=0")</f>
        <v>1</v>
      </c>
      <c r="W137" s="34" t="n">
        <f aca="false">COUNTIFS('Shortlisted Drugs X Company (7)'!$C$3:$C$698,$B137,'Shortlisted Drugs X Company (7)'!$E$3:$E$698,$S137,'Shortlisted Drugs X Company (7)'!$N$3:$N$698,"&gt;5")</f>
        <v>1</v>
      </c>
      <c r="X137" s="34" t="n">
        <f aca="false">COUNTIFS('Shortlisted Drugs X Company (7)'!$C$3:$C$698,$B137,'Shortlisted Drugs X Company (7)'!$E$3:$E$698,$S137,'Shortlisted Drugs X Company (7)'!$P$3:$P$698,"Exact")+COUNTIFS('Shortlisted Drugs X Company (7)'!$C$3:$C$698,$B137,'Shortlisted Drugs X Company (7)'!$E$3:$E$698,$S137,'Shortlisted Drugs X Company (7)'!$P$3:$P$698,"Same-market proxy")</f>
        <v>1</v>
      </c>
      <c r="Y137" s="33" t="str">
        <f aca="false">A137&amp;"|"&amp;P137</f>
        <v>Emcure|4</v>
      </c>
      <c r="Z137" s="16" t="s">
        <v>701</v>
      </c>
      <c r="AA137" s="33" t="n">
        <f aca="false">INDEX($G$7:$G$25,MATCH(A137,$A$7:$A$25,0))</f>
        <v>5</v>
      </c>
      <c r="AB137" s="33" t="n">
        <f aca="false">IF(AE137="No","",AA137*1000+IF(P137="",900+COUNTIFS($A$29:A137,A137,$O$29:O137,"Price ≤ $5"),P137))</f>
        <v>5004</v>
      </c>
      <c r="AC137" s="33" t="n">
        <f aca="false">IF(O137&lt;&gt;"","",(4-VALUE(RIGHT(Q137,1)))*10^7+N(F137))</f>
        <v>20035129.8</v>
      </c>
      <c r="AD137" s="15" t="str">
        <f aca="false">IFERROR(INDEX('Route of Administration'!$C$5:$C$155,MATCH(B137,'Route of Administration'!$A$5:$A$155,0)),"")</f>
        <v>IV, IM</v>
      </c>
      <c r="AE137" s="14" t="str">
        <f aca="false">IFERROR(INDEX('Route of Administration'!$D$5:$D$155,MATCH(B137,'Route of Administration'!$A$5:$A$155,0)),"")</f>
        <v>Yes</v>
      </c>
      <c r="AF137" s="19" t="n">
        <f aca="false">IF(V137&gt;0,ROUND(AVERAGEIFS('Shortlisted Drugs X Company (7)'!$N$3:$N$698,'Shortlisted Drugs X Company (7)'!$C$3:$C$698,$B137,'Shortlisted Drugs X Company (7)'!$E$3:$E$698,$S137,'Shortlisted Drugs X Company (7)'!$N$3:$N$698,"&gt;=0"),2),"")</f>
        <v>9.04</v>
      </c>
      <c r="AG137" s="16" t="s">
        <v>752</v>
      </c>
      <c r="AH137" s="16" t="s">
        <v>753</v>
      </c>
      <c r="AI137" s="16" t="s">
        <v>753</v>
      </c>
      <c r="AJ137" s="16" t="str">
        <f aca="false">IF(O137&lt;&gt;"","",IF(ISNUMBER(D137),IF(D137&gt;=$C$3,"High price","Lower price"),"Unpriced")&amp;" · "&amp;IF(M137&gt;=$E$3,"high volume","lower volume"))</f>
        <v>Lower price · high volume</v>
      </c>
      <c r="AK137" s="15" t="str">
        <f aca="false">IF(O137&lt;&gt;"",IF(O137="Price ≤ $5","Excluded – price ≤ $5","Excluded – IV only"),IF(ISNUMBER(D137),IF(AND(D137&gt;=$C$3,L137&gt;=$H$3),"Priority 1",IF(OR(D137&gt;=$C$3,L137&gt;=$H$3),"Priority 2","Priority 3")),IF(L137&gt;=$H$3,"Priority 2","Priority 3")))</f>
        <v>Priority 2</v>
      </c>
      <c r="AL137" s="16" t="str">
        <f aca="false">IF(O137&lt;&gt;"","",IF(ISNUMBER(D137),IF(D137&gt;=$C$3,"High price","Lower price"),"Unpriced")&amp;" · "&amp;IF(L137&gt;=$H$3,"high volume","lower volume"))</f>
        <v>Lower price · high volume</v>
      </c>
      <c r="AM137" s="14" t="n">
        <f aca="false">IF(O137&lt;&gt;"","",COUNTIFS($A$29:$A$361,A137,$O$29:$O$361,"",$AQ$29:$AQ$361,"&gt;"&amp;AQ137)+COUNTIFS($A$29:A137,A137,$O$29:O137,"",$AQ$29:AQ137,AQ137))</f>
        <v>4</v>
      </c>
      <c r="AN137" s="19" t="n">
        <f aca="false">IF(AND(O137="",ISNUMBER(D137)),D137,"")</f>
        <v>9.04</v>
      </c>
      <c r="AO137" s="20" t="n">
        <f aca="false">IF(O137="",M137,"")</f>
        <v>934</v>
      </c>
      <c r="AP137" s="20" t="n">
        <f aca="false">IF(O137="",L137,"")</f>
        <v>1393</v>
      </c>
      <c r="AQ137" s="33" t="n">
        <f aca="false">IF(O137&lt;&gt;"","",(4-VALUE(RIGHT(AK137,1)))*10^7+N(N137))</f>
        <v>20052401.4</v>
      </c>
      <c r="AR137" s="33" t="n">
        <f aca="false">INDEX($O$7:$O$25,MATCH(A137,$I$7:$I$25,0))</f>
        <v>3</v>
      </c>
      <c r="AS137" s="33" t="n">
        <f aca="false">IF(AE137="No","",AR137*1000+IF(AM137="",900+COUNTIFS($A$29:A137,A137,$O$29:O137,"Price ≤ $5"),AM137))</f>
        <v>3004</v>
      </c>
    </row>
    <row r="138" customFormat="false" ht="41.75" hidden="false" customHeight="false" outlineLevel="0" collapsed="false">
      <c r="A138" s="15" t="s">
        <v>190</v>
      </c>
      <c r="B138" s="15" t="s">
        <v>296</v>
      </c>
      <c r="C138" s="16" t="s">
        <v>297</v>
      </c>
      <c r="D138" s="17" t="n">
        <f aca="false">IF(W138&gt;0,ROUND(AVERAGEIFS('Shortlisted Drugs X Company (7)'!$N$3:$N$698,'Shortlisted Drugs X Company (7)'!$C$3:$C$698,$B138,'Shortlisted Drugs X Company (7)'!$E$3:$E$698,$S138,'Shortlisted Drugs X Company (7)'!$N$3:$N$698,"&gt;5"),2),"")</f>
        <v>410.89</v>
      </c>
      <c r="E138" s="15" t="str">
        <f aca="false">IF(COUNTIFS('Shortlisted Drugs X Company (7)'!$C$3:$C$698,$B138,'Shortlisted Drugs X Company (7)'!$E$3:$E$698,$S138,'Shortlisted Drugs X Company (7)'!$P$3:$P$698,"Exact")&gt;0,"Exact",IF(COUNTIFS('Shortlisted Drugs X Company (7)'!$C$3:$C$698,$B138,'Shortlisted Drugs X Company (7)'!$E$3:$E$698,$S138,'Shortlisted Drugs X Company (7)'!$P$3:$P$698,"Same-market proxy")&gt;0,"Same-market proxy",IF(COUNTIFS('Shortlisted Drugs X Company (7)'!$C$3:$C$698,$B138,'Shortlisted Drugs X Company (7)'!$E$3:$E$698,$S138,'Shortlisted Drugs X Company (7)'!$P$3:$P$698,"Cross-market proxy")&gt;0,"Cross-market proxy",IF(COUNTIFS('Shortlisted Drugs X Company (7)'!$C$3:$C$698,$B138,'Shortlisted Drugs X Company (7)'!$E$3:$E$698,$S138,'Shortlisted Drugs X Company (7)'!$P$3:$P$698,"Source not found")&gt;0,"Source not found","Not priced"))))</f>
        <v>Exact</v>
      </c>
      <c r="F138" s="18" t="n">
        <f aca="false">IFERROR(ROUND(INDEX('Injectable Value'!$AA$28:$AA$178,MATCH(B138,'Injectable Value'!$A$28:$A$178,0)),1),"")</f>
        <v>42181.7</v>
      </c>
      <c r="G138" s="16" t="s">
        <v>754</v>
      </c>
      <c r="H138" s="14" t="n">
        <v>11</v>
      </c>
      <c r="I138" s="15" t="s">
        <v>248</v>
      </c>
      <c r="J138" s="15" t="s">
        <v>299</v>
      </c>
      <c r="K138" s="16" t="str">
        <f aca="false">"Cancer drug (cytotoxic) – less relevant; Reconstitution"&amp;IF(V138=0,"; Unpriced","")&amp;IF(AND(V138&gt;0,W138=0,X138=0),"; Low price from another market – confirm with company","")</f>
        <v>Cancer drug (cytotoxic) – less relevant; Reconstitution</v>
      </c>
      <c r="L138" s="18" t="n">
        <f aca="false">IFERROR(INDEX('Shortlisted Drugs X Company (7)'!$K$3:$K$698,MATCH(B138,'Shortlisted Drugs X Company (7)'!$C$3:$C$698,0)),"")</f>
        <v>762</v>
      </c>
      <c r="M138" s="18" t="n">
        <f aca="false">IFERROR(ROUND(L138*INDEX('Injectable Value'!$Z$28:$Z$178,MATCH(B138,'Injectable Value'!$A$28:$A$178,0)),0),"")</f>
        <v>632</v>
      </c>
      <c r="N138" s="18" t="n">
        <f aca="false">IFERROR(INDEX('Shortlisted Drugs X Company (7)'!$L$3:$L$698,MATCH(B138,'Shortlisted Drugs X Company (7)'!$C$3:$C$698,0)),"")</f>
        <v>50865.56</v>
      </c>
      <c r="O138" s="15" t="str">
        <f aca="false">IF(AE138="No","IV only (not ID/IM/SC)",IF(AND(V138&gt;0,W138=0),"Price ≤ $5",""))</f>
        <v/>
      </c>
      <c r="P138" s="14" t="n">
        <f aca="false">IF(O138&lt;&gt;"","",COUNTIFS($A$29:$A$361,A138,$O$29:$O$361,"",$AC$29:$AC$361,"&gt;"&amp;AC138)+COUNTIFS($A$29:A138,A138,$O$29:O138,"",$AC$29:AC138,AC138))</f>
        <v>1</v>
      </c>
      <c r="Q138" s="15" t="str">
        <f aca="false">IF(O138&lt;&gt;"",IF(O138="Price ≤ $5","Excluded – price ≤ $5","Excluded – IV only"),IF(ISNUMBER(D138),IF(AND(D138&gt;=$C$3,M138&gt;=$E$3),"Priority 1",IF(OR(D138&gt;=$C$3,M138&gt;=$E$3),"Priority 2","Priority 3")),IF(M138&gt;=$E$3,"Priority 2","Priority 3")))</f>
        <v>Priority 1</v>
      </c>
      <c r="R138" s="16" t="s">
        <v>250</v>
      </c>
      <c r="S138" s="15" t="s">
        <v>741</v>
      </c>
      <c r="T138" s="32" t="s">
        <v>300</v>
      </c>
      <c r="U138" s="33" t="str">
        <f aca="false">B138&amp;"|"&amp;S138</f>
        <v>Azacitidine|Emcure Pharmaceuticals</v>
      </c>
      <c r="V138" s="34" t="n">
        <f aca="false">COUNTIFS('Shortlisted Drugs X Company (7)'!$C$3:$C$698,$B138,'Shortlisted Drugs X Company (7)'!$E$3:$E$698,$S138,'Shortlisted Drugs X Company (7)'!$N$3:$N$698,"&gt;=0")</f>
        <v>2</v>
      </c>
      <c r="W138" s="34" t="n">
        <f aca="false">COUNTIFS('Shortlisted Drugs X Company (7)'!$C$3:$C$698,$B138,'Shortlisted Drugs X Company (7)'!$E$3:$E$698,$S138,'Shortlisted Drugs X Company (7)'!$N$3:$N$698,"&gt;5")</f>
        <v>2</v>
      </c>
      <c r="X138" s="34" t="n">
        <f aca="false">COUNTIFS('Shortlisted Drugs X Company (7)'!$C$3:$C$698,$B138,'Shortlisted Drugs X Company (7)'!$E$3:$E$698,$S138,'Shortlisted Drugs X Company (7)'!$P$3:$P$698,"Exact")+COUNTIFS('Shortlisted Drugs X Company (7)'!$C$3:$C$698,$B138,'Shortlisted Drugs X Company (7)'!$E$3:$E$698,$S138,'Shortlisted Drugs X Company (7)'!$P$3:$P$698,"Same-market proxy")</f>
        <v>2</v>
      </c>
      <c r="Y138" s="33" t="str">
        <f aca="false">A138&amp;"|"&amp;P138</f>
        <v>Emcure|1</v>
      </c>
      <c r="Z138" s="16" t="s">
        <v>301</v>
      </c>
      <c r="AA138" s="33" t="n">
        <f aca="false">INDEX($G$7:$G$25,MATCH(A138,$A$7:$A$25,0))</f>
        <v>5</v>
      </c>
      <c r="AB138" s="33" t="n">
        <f aca="false">IF(AE138="No","",AA138*1000+IF(P138="",900+COUNTIFS($A$29:A138,A138,$O$29:O138,"Price ≤ $5"),P138))</f>
        <v>5001</v>
      </c>
      <c r="AC138" s="33" t="n">
        <f aca="false">IF(O138&lt;&gt;"","",(4-VALUE(RIGHT(Q138,1)))*10^7+N(F138))</f>
        <v>30042181.7</v>
      </c>
      <c r="AD138" s="15" t="str">
        <f aca="false">IFERROR(INDEX('Route of Administration'!$C$5:$C$155,MATCH(B138,'Route of Administration'!$A$5:$A$155,0)),"")</f>
        <v>IV, SC</v>
      </c>
      <c r="AE138" s="14" t="str">
        <f aca="false">IFERROR(INDEX('Route of Administration'!$D$5:$D$155,MATCH(B138,'Route of Administration'!$A$5:$A$155,0)),"")</f>
        <v>Yes</v>
      </c>
      <c r="AF138" s="19" t="n">
        <f aca="false">IF(V138&gt;0,ROUND(AVERAGEIFS('Shortlisted Drugs X Company (7)'!$N$3:$N$698,'Shortlisted Drugs X Company (7)'!$C$3:$C$698,$B138,'Shortlisted Drugs X Company (7)'!$E$3:$E$698,$S138,'Shortlisted Drugs X Company (7)'!$N$3:$N$698,"&gt;=0"),2),"")</f>
        <v>410.89</v>
      </c>
      <c r="AG138" s="16" t="s">
        <v>755</v>
      </c>
      <c r="AH138" s="16" t="s">
        <v>756</v>
      </c>
      <c r="AI138" s="16" t="s">
        <v>757</v>
      </c>
      <c r="AJ138" s="16" t="str">
        <f aca="false">IF(O138&lt;&gt;"","",IF(ISNUMBER(D138),IF(D138&gt;=$C$3,"High price","Lower price"),"Unpriced")&amp;" · "&amp;IF(M138&gt;=$E$3,"high volume","lower volume"))</f>
        <v>High price · high volume</v>
      </c>
      <c r="AK138" s="15" t="str">
        <f aca="false">IF(O138&lt;&gt;"",IF(O138="Price ≤ $5","Excluded – price ≤ $5","Excluded – IV only"),IF(ISNUMBER(D138),IF(AND(D138&gt;=$C$3,L138&gt;=$H$3),"Priority 1",IF(OR(D138&gt;=$C$3,L138&gt;=$H$3),"Priority 2","Priority 3")),IF(L138&gt;=$H$3,"Priority 2","Priority 3")))</f>
        <v>Priority 1</v>
      </c>
      <c r="AL138" s="16" t="str">
        <f aca="false">IF(O138&lt;&gt;"","",IF(ISNUMBER(D138),IF(D138&gt;=$C$3,"High price","Lower price"),"Unpriced")&amp;" · "&amp;IF(L138&gt;=$H$3,"high volume","lower volume"))</f>
        <v>High price · high volume</v>
      </c>
      <c r="AM138" s="14" t="n">
        <f aca="false">IF(O138&lt;&gt;"","",COUNTIFS($A$29:$A$361,A138,$O$29:$O$361,"",$AQ$29:$AQ$361,"&gt;"&amp;AQ138)+COUNTIFS($A$29:A138,A138,$O$29:O138,"",$AQ$29:AQ138,AQ138))</f>
        <v>1</v>
      </c>
      <c r="AN138" s="19" t="n">
        <f aca="false">IF(AND(O138="",ISNUMBER(D138)),D138,"")</f>
        <v>410.89</v>
      </c>
      <c r="AO138" s="20" t="n">
        <f aca="false">IF(O138="",M138,"")</f>
        <v>632</v>
      </c>
      <c r="AP138" s="20" t="n">
        <f aca="false">IF(O138="",L138,"")</f>
        <v>762</v>
      </c>
      <c r="AQ138" s="33" t="n">
        <f aca="false">IF(O138&lt;&gt;"","",(4-VALUE(RIGHT(AK138,1)))*10^7+N(N138))</f>
        <v>30050865.56</v>
      </c>
      <c r="AR138" s="33" t="n">
        <f aca="false">INDEX($O$7:$O$25,MATCH(A138,$I$7:$I$25,0))</f>
        <v>3</v>
      </c>
      <c r="AS138" s="33" t="n">
        <f aca="false">IF(AE138="No","",AR138*1000+IF(AM138="",900+COUNTIFS($A$29:A138,A138,$O$29:O138,"Price ≤ $5"),AM138))</f>
        <v>3001</v>
      </c>
    </row>
    <row r="139" customFormat="false" ht="28.35" hidden="false" customHeight="false" outlineLevel="0" collapsed="false">
      <c r="A139" s="15" t="s">
        <v>190</v>
      </c>
      <c r="B139" s="15" t="s">
        <v>305</v>
      </c>
      <c r="C139" s="16" t="s">
        <v>306</v>
      </c>
      <c r="D139" s="17" t="n">
        <f aca="false">IF(W139&gt;0,ROUND(AVERAGEIFS('Shortlisted Drugs X Company (7)'!$N$3:$N$698,'Shortlisted Drugs X Company (7)'!$C$3:$C$698,$B139,'Shortlisted Drugs X Company (7)'!$E$3:$E$698,$S139,'Shortlisted Drugs X Company (7)'!$N$3:$N$698,"&gt;5"),2),"")</f>
        <v>1212.91</v>
      </c>
      <c r="E139" s="15" t="str">
        <f aca="false">IF(COUNTIFS('Shortlisted Drugs X Company (7)'!$C$3:$C$698,$B139,'Shortlisted Drugs X Company (7)'!$E$3:$E$698,$S139,'Shortlisted Drugs X Company (7)'!$P$3:$P$698,"Exact")&gt;0,"Exact",IF(COUNTIFS('Shortlisted Drugs X Company (7)'!$C$3:$C$698,$B139,'Shortlisted Drugs X Company (7)'!$E$3:$E$698,$S139,'Shortlisted Drugs X Company (7)'!$P$3:$P$698,"Same-market proxy")&gt;0,"Same-market proxy",IF(COUNTIFS('Shortlisted Drugs X Company (7)'!$C$3:$C$698,$B139,'Shortlisted Drugs X Company (7)'!$E$3:$E$698,$S139,'Shortlisted Drugs X Company (7)'!$P$3:$P$698,"Cross-market proxy")&gt;0,"Cross-market proxy",IF(COUNTIFS('Shortlisted Drugs X Company (7)'!$C$3:$C$698,$B139,'Shortlisted Drugs X Company (7)'!$E$3:$E$698,$S139,'Shortlisted Drugs X Company (7)'!$P$3:$P$698,"Source not found")&gt;0,"Source not found","Not priced"))))</f>
        <v>Same-market proxy</v>
      </c>
      <c r="F139" s="18" t="n">
        <f aca="false">IFERROR(ROUND(INDEX('Injectable Value'!$AA$28:$AA$178,MATCH(B139,'Injectable Value'!$A$28:$A$178,0)),1),"")</f>
        <v>28093.4</v>
      </c>
      <c r="G139" s="16" t="s">
        <v>559</v>
      </c>
      <c r="H139" s="14" t="n">
        <v>4</v>
      </c>
      <c r="I139" s="15" t="s">
        <v>248</v>
      </c>
      <c r="J139" s="15" t="s">
        <v>249</v>
      </c>
      <c r="K139" s="16" t="str">
        <f aca="false">"Cancer drug (cytotoxic) – less relevant; Reconstitution"&amp;IF(V139=0,"; Unpriced","")&amp;IF(AND(V139&gt;0,W139=0,X139=0),"; Low price from another market – confirm with company","")</f>
        <v>Cancer drug (cytotoxic) – less relevant; Reconstitution</v>
      </c>
      <c r="L139" s="18" t="n">
        <f aca="false">IFERROR(INDEX('Shortlisted Drugs X Company (7)'!$K$3:$K$698,MATCH(B139,'Shortlisted Drugs X Company (7)'!$C$3:$C$698,0)),"")</f>
        <v>905</v>
      </c>
      <c r="M139" s="18" t="n">
        <f aca="false">IFERROR(ROUND(L139*INDEX('Injectable Value'!$Z$28:$Z$178,MATCH(B139,'Injectable Value'!$A$28:$A$178,0)),0),"")</f>
        <v>905</v>
      </c>
      <c r="N139" s="18" t="n">
        <f aca="false">IFERROR(INDEX('Shortlisted Drugs X Company (7)'!$L$3:$L$698,MATCH(B139,'Shortlisted Drugs X Company (7)'!$C$3:$C$698,0)),"")</f>
        <v>28093.38</v>
      </c>
      <c r="O139" s="15" t="str">
        <f aca="false">IF(AE139="No","IV only (not ID/IM/SC)",IF(AND(V139&gt;0,W139=0),"Price ≤ $5",""))</f>
        <v/>
      </c>
      <c r="P139" s="14" t="n">
        <f aca="false">IF(O139&lt;&gt;"","",COUNTIFS($A$29:$A$361,A139,$O$29:$O$361,"",$AC$29:$AC$361,"&gt;"&amp;AC139)+COUNTIFS($A$29:A139,A139,$O$29:O139,"",$AC$29:AC139,AC139))</f>
        <v>2</v>
      </c>
      <c r="Q139" s="15" t="str">
        <f aca="false">IF(O139&lt;&gt;"",IF(O139="Price ≤ $5","Excluded – price ≤ $5","Excluded – IV only"),IF(ISNUMBER(D139),IF(AND(D139&gt;=$C$3,M139&gt;=$E$3),"Priority 1",IF(OR(D139&gt;=$C$3,M139&gt;=$E$3),"Priority 2","Priority 3")),IF(M139&gt;=$E$3,"Priority 2","Priority 3")))</f>
        <v>Priority 1</v>
      </c>
      <c r="R139" s="16" t="s">
        <v>250</v>
      </c>
      <c r="S139" s="15" t="s">
        <v>741</v>
      </c>
      <c r="T139" s="32" t="s">
        <v>308</v>
      </c>
      <c r="U139" s="33" t="str">
        <f aca="false">B139&amp;"|"&amp;S139</f>
        <v>Bortezomib|Emcure Pharmaceuticals</v>
      </c>
      <c r="V139" s="34" t="n">
        <f aca="false">COUNTIFS('Shortlisted Drugs X Company (7)'!$C$3:$C$698,$B139,'Shortlisted Drugs X Company (7)'!$E$3:$E$698,$S139,'Shortlisted Drugs X Company (7)'!$N$3:$N$698,"&gt;=0")</f>
        <v>2</v>
      </c>
      <c r="W139" s="34" t="n">
        <f aca="false">COUNTIFS('Shortlisted Drugs X Company (7)'!$C$3:$C$698,$B139,'Shortlisted Drugs X Company (7)'!$E$3:$E$698,$S139,'Shortlisted Drugs X Company (7)'!$N$3:$N$698,"&gt;5")</f>
        <v>2</v>
      </c>
      <c r="X139" s="34" t="n">
        <f aca="false">COUNTIFS('Shortlisted Drugs X Company (7)'!$C$3:$C$698,$B139,'Shortlisted Drugs X Company (7)'!$E$3:$E$698,$S139,'Shortlisted Drugs X Company (7)'!$P$3:$P$698,"Exact")+COUNTIFS('Shortlisted Drugs X Company (7)'!$C$3:$C$698,$B139,'Shortlisted Drugs X Company (7)'!$E$3:$E$698,$S139,'Shortlisted Drugs X Company (7)'!$P$3:$P$698,"Same-market proxy")</f>
        <v>1</v>
      </c>
      <c r="Y139" s="33" t="str">
        <f aca="false">A139&amp;"|"&amp;P139</f>
        <v>Emcure|2</v>
      </c>
      <c r="Z139" s="16" t="s">
        <v>674</v>
      </c>
      <c r="AA139" s="33" t="n">
        <f aca="false">INDEX($G$7:$G$25,MATCH(A139,$A$7:$A$25,0))</f>
        <v>5</v>
      </c>
      <c r="AB139" s="33" t="n">
        <f aca="false">IF(AE139="No","",AA139*1000+IF(P139="",900+COUNTIFS($A$29:A139,A139,$O$29:O139,"Price ≤ $5"),P139))</f>
        <v>5002</v>
      </c>
      <c r="AC139" s="33" t="n">
        <f aca="false">IF(O139&lt;&gt;"","",(4-VALUE(RIGHT(Q139,1)))*10^7+N(F139))</f>
        <v>30028093.4</v>
      </c>
      <c r="AD139" s="15" t="str">
        <f aca="false">IFERROR(INDEX('Route of Administration'!$C$5:$C$155,MATCH(B139,'Route of Administration'!$A$5:$A$155,0)),"")</f>
        <v>IV, SC</v>
      </c>
      <c r="AE139" s="14" t="str">
        <f aca="false">IFERROR(INDEX('Route of Administration'!$D$5:$D$155,MATCH(B139,'Route of Administration'!$A$5:$A$155,0)),"")</f>
        <v>Yes</v>
      </c>
      <c r="AF139" s="19" t="n">
        <f aca="false">IF(V139&gt;0,ROUND(AVERAGEIFS('Shortlisted Drugs X Company (7)'!$N$3:$N$698,'Shortlisted Drugs X Company (7)'!$C$3:$C$698,$B139,'Shortlisted Drugs X Company (7)'!$E$3:$E$698,$S139,'Shortlisted Drugs X Company (7)'!$N$3:$N$698,"&gt;=0"),2),"")</f>
        <v>1212.91</v>
      </c>
      <c r="AG139" s="16" t="s">
        <v>758</v>
      </c>
      <c r="AH139" s="16" t="s">
        <v>759</v>
      </c>
      <c r="AI139" s="16" t="s">
        <v>759</v>
      </c>
      <c r="AJ139" s="16" t="str">
        <f aca="false">IF(O139&lt;&gt;"","",IF(ISNUMBER(D139),IF(D139&gt;=$C$3,"High price","Lower price"),"Unpriced")&amp;" · "&amp;IF(M139&gt;=$E$3,"high volume","lower volume"))</f>
        <v>High price · high volume</v>
      </c>
      <c r="AK139" s="15" t="str">
        <f aca="false">IF(O139&lt;&gt;"",IF(O139="Price ≤ $5","Excluded – price ≤ $5","Excluded – IV only"),IF(ISNUMBER(D139),IF(AND(D139&gt;=$C$3,L139&gt;=$H$3),"Priority 1",IF(OR(D139&gt;=$C$3,L139&gt;=$H$3),"Priority 2","Priority 3")),IF(L139&gt;=$H$3,"Priority 2","Priority 3")))</f>
        <v>Priority 1</v>
      </c>
      <c r="AL139" s="16" t="str">
        <f aca="false">IF(O139&lt;&gt;"","",IF(ISNUMBER(D139),IF(D139&gt;=$C$3,"High price","Lower price"),"Unpriced")&amp;" · "&amp;IF(L139&gt;=$H$3,"high volume","lower volume"))</f>
        <v>High price · high volume</v>
      </c>
      <c r="AM139" s="14" t="n">
        <f aca="false">IF(O139&lt;&gt;"","",COUNTIFS($A$29:$A$361,A139,$O$29:$O$361,"",$AQ$29:$AQ$361,"&gt;"&amp;AQ139)+COUNTIFS($A$29:A139,A139,$O$29:O139,"",$AQ$29:AQ139,AQ139))</f>
        <v>2</v>
      </c>
      <c r="AN139" s="19" t="n">
        <f aca="false">IF(AND(O139="",ISNUMBER(D139)),D139,"")</f>
        <v>1212.91</v>
      </c>
      <c r="AO139" s="20" t="n">
        <f aca="false">IF(O139="",M139,"")</f>
        <v>905</v>
      </c>
      <c r="AP139" s="20" t="n">
        <f aca="false">IF(O139="",L139,"")</f>
        <v>905</v>
      </c>
      <c r="AQ139" s="33" t="n">
        <f aca="false">IF(O139&lt;&gt;"","",(4-VALUE(RIGHT(AK139,1)))*10^7+N(N139))</f>
        <v>30028093.38</v>
      </c>
      <c r="AR139" s="33" t="n">
        <f aca="false">INDEX($O$7:$O$25,MATCH(A139,$I$7:$I$25,0))</f>
        <v>3</v>
      </c>
      <c r="AS139" s="33" t="n">
        <f aca="false">IF(AE139="No","",AR139*1000+IF(AM139="",900+COUNTIFS($A$29:A139,A139,$O$29:O139,"Price ≤ $5"),AM139))</f>
        <v>3002</v>
      </c>
    </row>
    <row r="140" customFormat="false" ht="41.75" hidden="false" customHeight="false" outlineLevel="0" collapsed="false">
      <c r="A140" s="15" t="s">
        <v>190</v>
      </c>
      <c r="B140" s="15" t="s">
        <v>760</v>
      </c>
      <c r="C140" s="16" t="s">
        <v>761</v>
      </c>
      <c r="D140" s="17" t="n">
        <f aca="false">IF(W140&gt;0,ROUND(AVERAGEIFS('Shortlisted Drugs X Company (7)'!$N$3:$N$698,'Shortlisted Drugs X Company (7)'!$C$3:$C$698,$B140,'Shortlisted Drugs X Company (7)'!$E$3:$E$698,$S140,'Shortlisted Drugs X Company (7)'!$N$3:$N$698,"&gt;5"),2),"")</f>
        <v>23.98</v>
      </c>
      <c r="E140" s="15" t="str">
        <f aca="false">IF(COUNTIFS('Shortlisted Drugs X Company (7)'!$C$3:$C$698,$B140,'Shortlisted Drugs X Company (7)'!$E$3:$E$698,$S140,'Shortlisted Drugs X Company (7)'!$P$3:$P$698,"Exact")&gt;0,"Exact",IF(COUNTIFS('Shortlisted Drugs X Company (7)'!$C$3:$C$698,$B140,'Shortlisted Drugs X Company (7)'!$E$3:$E$698,$S140,'Shortlisted Drugs X Company (7)'!$P$3:$P$698,"Same-market proxy")&gt;0,"Same-market proxy",IF(COUNTIFS('Shortlisted Drugs X Company (7)'!$C$3:$C$698,$B140,'Shortlisted Drugs X Company (7)'!$E$3:$E$698,$S140,'Shortlisted Drugs X Company (7)'!$P$3:$P$698,"Cross-market proxy")&gt;0,"Cross-market proxy",IF(COUNTIFS('Shortlisted Drugs X Company (7)'!$C$3:$C$698,$B140,'Shortlisted Drugs X Company (7)'!$E$3:$E$698,$S140,'Shortlisted Drugs X Company (7)'!$P$3:$P$698,"Source not found")&gt;0,"Source not found","Not priced"))))</f>
        <v>Same-market proxy</v>
      </c>
      <c r="F140" s="18" t="n">
        <f aca="false">IFERROR(ROUND(INDEX('Injectable Value'!$AA$28:$AA$178,MATCH(B140,'Injectable Value'!$A$28:$A$178,0)),1),"")</f>
        <v>2033.7</v>
      </c>
      <c r="G140" s="16" t="s">
        <v>429</v>
      </c>
      <c r="H140" s="14" t="n">
        <v>1</v>
      </c>
      <c r="I140" s="15" t="s">
        <v>248</v>
      </c>
      <c r="J140" s="15" t="s">
        <v>249</v>
      </c>
      <c r="K140" s="16" t="str">
        <f aca="false">""&amp;IF(V140=0,"Unpriced","")&amp;IF(AND(V140&gt;0,W140=0,X140=0),"Low price from another market – confirm with company","")</f>
        <v/>
      </c>
      <c r="L140" s="18" t="n">
        <f aca="false">IFERROR(INDEX('Shortlisted Drugs X Company (7)'!$K$3:$K$698,MATCH(B140,'Shortlisted Drugs X Company (7)'!$C$3:$C$698,0)),"")</f>
        <v>123</v>
      </c>
      <c r="M140" s="18" t="n">
        <f aca="false">IFERROR(ROUND(L140*INDEX('Injectable Value'!$Z$28:$Z$178,MATCH(B140,'Injectable Value'!$A$28:$A$178,0)),0),"")</f>
        <v>83</v>
      </c>
      <c r="N140" s="18" t="n">
        <f aca="false">IFERROR(INDEX('Shortlisted Drugs X Company (7)'!$L$3:$L$698,MATCH(B140,'Shortlisted Drugs X Company (7)'!$C$3:$C$698,0)),"")</f>
        <v>3010.2</v>
      </c>
      <c r="O140" s="15" t="str">
        <f aca="false">IF(AE140="No","IV only (not ID/IM/SC)",IF(AND(V140&gt;0,W140=0),"Price ≤ $5",""))</f>
        <v/>
      </c>
      <c r="P140" s="14" t="n">
        <f aca="false">IF(O140&lt;&gt;"","",COUNTIFS($A$29:$A$361,A140,$O$29:$O$361,"",$AC$29:$AC$361,"&gt;"&amp;AC140)+COUNTIFS($A$29:A140,A140,$O$29:O140,"",$AC$29:AC140,AC140))</f>
        <v>10</v>
      </c>
      <c r="Q140" s="15" t="str">
        <f aca="false">IF(O140&lt;&gt;"",IF(O140="Price ≤ $5","Excluded – price ≤ $5","Excluded – IV only"),IF(ISNUMBER(D140),IF(AND(D140&gt;=$C$3,M140&gt;=$E$3),"Priority 1",IF(OR(D140&gt;=$C$3,M140&gt;=$E$3),"Priority 2","Priority 3")),IF(M140&gt;=$E$3,"Priority 2","Priority 3")))</f>
        <v>Priority 3</v>
      </c>
      <c r="R140" s="16" t="s">
        <v>285</v>
      </c>
      <c r="S140" s="15" t="s">
        <v>741</v>
      </c>
      <c r="T140" s="32" t="s">
        <v>762</v>
      </c>
      <c r="U140" s="33" t="str">
        <f aca="false">B140&amp;"|"&amp;S140</f>
        <v>Colistimethate Sodium|Emcure Pharmaceuticals</v>
      </c>
      <c r="V140" s="34" t="n">
        <f aca="false">COUNTIFS('Shortlisted Drugs X Company (7)'!$C$3:$C$698,$B140,'Shortlisted Drugs X Company (7)'!$E$3:$E$698,$S140,'Shortlisted Drugs X Company (7)'!$N$3:$N$698,"&gt;=0")</f>
        <v>1</v>
      </c>
      <c r="W140" s="34" t="n">
        <f aca="false">COUNTIFS('Shortlisted Drugs X Company (7)'!$C$3:$C$698,$B140,'Shortlisted Drugs X Company (7)'!$E$3:$E$698,$S140,'Shortlisted Drugs X Company (7)'!$N$3:$N$698,"&gt;5")</f>
        <v>1</v>
      </c>
      <c r="X140" s="34" t="n">
        <f aca="false">COUNTIFS('Shortlisted Drugs X Company (7)'!$C$3:$C$698,$B140,'Shortlisted Drugs X Company (7)'!$E$3:$E$698,$S140,'Shortlisted Drugs X Company (7)'!$P$3:$P$698,"Exact")+COUNTIFS('Shortlisted Drugs X Company (7)'!$C$3:$C$698,$B140,'Shortlisted Drugs X Company (7)'!$E$3:$E$698,$S140,'Shortlisted Drugs X Company (7)'!$P$3:$P$698,"Same-market proxy")</f>
        <v>1</v>
      </c>
      <c r="Y140" s="33" t="str">
        <f aca="false">A140&amp;"|"&amp;P140</f>
        <v>Emcure|10</v>
      </c>
      <c r="Z140" s="16" t="s">
        <v>763</v>
      </c>
      <c r="AA140" s="33" t="n">
        <f aca="false">INDEX($G$7:$G$25,MATCH(A140,$A$7:$A$25,0))</f>
        <v>5</v>
      </c>
      <c r="AB140" s="33" t="n">
        <f aca="false">IF(AE140="No","",AA140*1000+IF(P140="",900+COUNTIFS($A$29:A140,A140,$O$29:O140,"Price ≤ $5"),P140))</f>
        <v>5010</v>
      </c>
      <c r="AC140" s="33" t="n">
        <f aca="false">IF(O140&lt;&gt;"","",(4-VALUE(RIGHT(Q140,1)))*10^7+N(F140))</f>
        <v>10002033.7</v>
      </c>
      <c r="AD140" s="15" t="str">
        <f aca="false">IFERROR(INDEX('Route of Administration'!$C$5:$C$155,MATCH(B140,'Route of Administration'!$A$5:$A$155,0)),"")</f>
        <v>IV, IM</v>
      </c>
      <c r="AE140" s="14" t="str">
        <f aca="false">IFERROR(INDEX('Route of Administration'!$D$5:$D$155,MATCH(B140,'Route of Administration'!$A$5:$A$155,0)),"")</f>
        <v>Yes</v>
      </c>
      <c r="AF140" s="19" t="n">
        <f aca="false">IF(V140&gt;0,ROUND(AVERAGEIFS('Shortlisted Drugs X Company (7)'!$N$3:$N$698,'Shortlisted Drugs X Company (7)'!$C$3:$C$698,$B140,'Shortlisted Drugs X Company (7)'!$E$3:$E$698,$S140,'Shortlisted Drugs X Company (7)'!$N$3:$N$698,"&gt;=0"),2),"")</f>
        <v>23.98</v>
      </c>
      <c r="AG140" s="16" t="s">
        <v>764</v>
      </c>
      <c r="AH140" s="16" t="s">
        <v>433</v>
      </c>
      <c r="AI140" s="16" t="s">
        <v>433</v>
      </c>
      <c r="AJ140" s="16" t="str">
        <f aca="false">IF(O140&lt;&gt;"","",IF(ISNUMBER(D140),IF(D140&gt;=$C$3,"High price","Lower price"),"Unpriced")&amp;" · "&amp;IF(M140&gt;=$E$3,"high volume","lower volume"))</f>
        <v>Lower price · lower volume</v>
      </c>
      <c r="AK140" s="15" t="str">
        <f aca="false">IF(O140&lt;&gt;"",IF(O140="Price ≤ $5","Excluded – price ≤ $5","Excluded – IV only"),IF(ISNUMBER(D140),IF(AND(D140&gt;=$C$3,L140&gt;=$H$3),"Priority 1",IF(OR(D140&gt;=$C$3,L140&gt;=$H$3),"Priority 2","Priority 3")),IF(L140&gt;=$H$3,"Priority 2","Priority 3")))</f>
        <v>Priority 3</v>
      </c>
      <c r="AL140" s="16" t="str">
        <f aca="false">IF(O140&lt;&gt;"","",IF(ISNUMBER(D140),IF(D140&gt;=$C$3,"High price","Lower price"),"Unpriced")&amp;" · "&amp;IF(L140&gt;=$H$3,"high volume","lower volume"))</f>
        <v>Lower price · lower volume</v>
      </c>
      <c r="AM140" s="14" t="n">
        <f aca="false">IF(O140&lt;&gt;"","",COUNTIFS($A$29:$A$361,A140,$O$29:$O$361,"",$AQ$29:$AQ$361,"&gt;"&amp;AQ140)+COUNTIFS($A$29:A140,A140,$O$29:O140,"",$AQ$29:AQ140,AQ140))</f>
        <v>10</v>
      </c>
      <c r="AN140" s="19" t="n">
        <f aca="false">IF(AND(O140="",ISNUMBER(D140)),D140,"")</f>
        <v>23.98</v>
      </c>
      <c r="AO140" s="20" t="n">
        <f aca="false">IF(O140="",M140,"")</f>
        <v>83</v>
      </c>
      <c r="AP140" s="20" t="n">
        <f aca="false">IF(O140="",L140,"")</f>
        <v>123</v>
      </c>
      <c r="AQ140" s="33" t="n">
        <f aca="false">IF(O140&lt;&gt;"","",(4-VALUE(RIGHT(AK140,1)))*10^7+N(N140))</f>
        <v>10003010.2</v>
      </c>
      <c r="AR140" s="33" t="n">
        <f aca="false">INDEX($O$7:$O$25,MATCH(A140,$I$7:$I$25,0))</f>
        <v>3</v>
      </c>
      <c r="AS140" s="33" t="n">
        <f aca="false">IF(AE140="No","",AR140*1000+IF(AM140="",900+COUNTIFS($A$29:A140,A140,$O$29:O140,"Price ≤ $5"),AM140))</f>
        <v>3010</v>
      </c>
    </row>
    <row r="141" customFormat="false" ht="41.75" hidden="false" customHeight="false" outlineLevel="0" collapsed="false">
      <c r="A141" s="15" t="s">
        <v>190</v>
      </c>
      <c r="B141" s="15" t="s">
        <v>348</v>
      </c>
      <c r="C141" s="16" t="s">
        <v>349</v>
      </c>
      <c r="D141" s="17" t="n">
        <f aca="false">IF(W141&gt;0,ROUND(AVERAGEIFS('Shortlisted Drugs X Company (7)'!$N$3:$N$698,'Shortlisted Drugs X Company (7)'!$C$3:$C$698,$B141,'Shortlisted Drugs X Company (7)'!$E$3:$E$698,$S141,'Shortlisted Drugs X Company (7)'!$N$3:$N$698,"&gt;5"),2),"")</f>
        <v>92.75</v>
      </c>
      <c r="E141" s="15" t="str">
        <f aca="false">IF(COUNTIFS('Shortlisted Drugs X Company (7)'!$C$3:$C$698,$B141,'Shortlisted Drugs X Company (7)'!$E$3:$E$698,$S141,'Shortlisted Drugs X Company (7)'!$P$3:$P$698,"Exact")&gt;0,"Exact",IF(COUNTIFS('Shortlisted Drugs X Company (7)'!$C$3:$C$698,$B141,'Shortlisted Drugs X Company (7)'!$E$3:$E$698,$S141,'Shortlisted Drugs X Company (7)'!$P$3:$P$698,"Same-market proxy")&gt;0,"Same-market proxy",IF(COUNTIFS('Shortlisted Drugs X Company (7)'!$C$3:$C$698,$B141,'Shortlisted Drugs X Company (7)'!$E$3:$E$698,$S141,'Shortlisted Drugs X Company (7)'!$P$3:$P$698,"Cross-market proxy")&gt;0,"Cross-market proxy",IF(COUNTIFS('Shortlisted Drugs X Company (7)'!$C$3:$C$698,$B141,'Shortlisted Drugs X Company (7)'!$E$3:$E$698,$S141,'Shortlisted Drugs X Company (7)'!$P$3:$P$698,"Source not found")&gt;0,"Source not found","Not priced"))))</f>
        <v>Same-market proxy</v>
      </c>
      <c r="F141" s="18" t="n">
        <f aca="false">IFERROR(ROUND(INDEX('Injectable Value'!$AA$28:$AA$178,MATCH(B141,'Injectable Value'!$A$28:$A$178,0)),1),"")</f>
        <v>3871.2</v>
      </c>
      <c r="G141" s="16" t="s">
        <v>429</v>
      </c>
      <c r="H141" s="14" t="n">
        <v>1</v>
      </c>
      <c r="I141" s="15" t="s">
        <v>248</v>
      </c>
      <c r="J141" s="15" t="s">
        <v>284</v>
      </c>
      <c r="K141" s="16" t="str">
        <f aca="false">"Cancer drug (cytotoxic) – less relevant"&amp;IF(V141=0,"; Unpriced","")&amp;IF(AND(V141&gt;0,W141=0,X141=0),"; Low price from another market – confirm with company","")</f>
        <v>Cancer drug (cytotoxic) – less relevant</v>
      </c>
      <c r="L141" s="18" t="n">
        <f aca="false">IFERROR(INDEX('Shortlisted Drugs X Company (7)'!$K$3:$K$698,MATCH(B141,'Shortlisted Drugs X Company (7)'!$C$3:$C$698,0)),"")</f>
        <v>843</v>
      </c>
      <c r="M141" s="18" t="n">
        <f aca="false">IFERROR(ROUND(L141*INDEX('Injectable Value'!$Z$28:$Z$178,MATCH(B141,'Injectable Value'!$A$28:$A$178,0)),0),"")</f>
        <v>724</v>
      </c>
      <c r="N141" s="18" t="n">
        <f aca="false">IFERROR(INDEX('Shortlisted Drugs X Company (7)'!$L$3:$L$698,MATCH(B141,'Shortlisted Drugs X Company (7)'!$C$3:$C$698,0)),"")</f>
        <v>4508</v>
      </c>
      <c r="O141" s="15" t="str">
        <f aca="false">IF(AE141="No","IV only (not ID/IM/SC)",IF(AND(V141&gt;0,W141=0),"Price ≤ $5",""))</f>
        <v>IV only (not ID/IM/SC)</v>
      </c>
      <c r="P141" s="14" t="str">
        <f aca="false">IF(O141&lt;&gt;"","",COUNTIFS($A$29:$A$361,A141,$O$29:$O$361,"",$AC$29:$AC$361,"&gt;"&amp;AC141)+COUNTIFS($A$29:A141,A141,$O$29:O141,"",$AC$29:AC141,AC141))</f>
        <v/>
      </c>
      <c r="Q141" s="15" t="str">
        <f aca="false">IF(O141&lt;&gt;"",IF(O141="Price ≤ $5","Excluded – price ≤ $5","Excluded – IV only"),IF(ISNUMBER(D141),IF(AND(D141&gt;=$C$3,M141&gt;=$E$3),"Priority 1",IF(OR(D141&gt;=$C$3,M141&gt;=$E$3),"Priority 2","Priority 3")),IF(M141&gt;=$E$3,"Priority 2","Priority 3")))</f>
        <v>Excluded – IV only</v>
      </c>
      <c r="R141" s="16" t="s">
        <v>250</v>
      </c>
      <c r="S141" s="15" t="s">
        <v>741</v>
      </c>
      <c r="T141" s="32" t="s">
        <v>350</v>
      </c>
      <c r="U141" s="33" t="str">
        <f aca="false">B141&amp;"|"&amp;S141</f>
        <v>Cyclophosphamide|Emcure Pharmaceuticals</v>
      </c>
      <c r="V141" s="34" t="n">
        <f aca="false">COUNTIFS('Shortlisted Drugs X Company (7)'!$C$3:$C$698,$B141,'Shortlisted Drugs X Company (7)'!$E$3:$E$698,$S141,'Shortlisted Drugs X Company (7)'!$N$3:$N$698,"&gt;=0")</f>
        <v>2</v>
      </c>
      <c r="W141" s="34" t="n">
        <f aca="false">COUNTIFS('Shortlisted Drugs X Company (7)'!$C$3:$C$698,$B141,'Shortlisted Drugs X Company (7)'!$E$3:$E$698,$S141,'Shortlisted Drugs X Company (7)'!$N$3:$N$698,"&gt;5")</f>
        <v>2</v>
      </c>
      <c r="X141" s="34" t="n">
        <f aca="false">COUNTIFS('Shortlisted Drugs X Company (7)'!$C$3:$C$698,$B141,'Shortlisted Drugs X Company (7)'!$E$3:$E$698,$S141,'Shortlisted Drugs X Company (7)'!$P$3:$P$698,"Exact")+COUNTIFS('Shortlisted Drugs X Company (7)'!$C$3:$C$698,$B141,'Shortlisted Drugs X Company (7)'!$E$3:$E$698,$S141,'Shortlisted Drugs X Company (7)'!$P$3:$P$698,"Same-market proxy")</f>
        <v>2</v>
      </c>
      <c r="Y141" s="33" t="str">
        <f aca="false">A141&amp;"|"&amp;P141</f>
        <v>Emcure|</v>
      </c>
      <c r="Z141" s="16" t="s">
        <v>765</v>
      </c>
      <c r="AA141" s="33" t="n">
        <f aca="false">INDEX($G$7:$G$25,MATCH(A141,$A$7:$A$25,0))</f>
        <v>5</v>
      </c>
      <c r="AB141" s="33" t="str">
        <f aca="false">IF(AE141="No","",AA141*1000+IF(P141="",900+COUNTIFS($A$29:A141,A141,$O$29:O141,"Price ≤ $5"),P141))</f>
        <v/>
      </c>
      <c r="AC141" s="33" t="str">
        <f aca="false">IF(O141&lt;&gt;"","",(4-VALUE(RIGHT(Q141,1)))*10^7+N(F141))</f>
        <v/>
      </c>
      <c r="AD141" s="15" t="str">
        <f aca="false">IFERROR(INDEX('Route of Administration'!$C$5:$C$155,MATCH(B141,'Route of Administration'!$A$5:$A$155,0)),"")</f>
        <v>IV</v>
      </c>
      <c r="AE141" s="14" t="str">
        <f aca="false">IFERROR(INDEX('Route of Administration'!$D$5:$D$155,MATCH(B141,'Route of Administration'!$A$5:$A$155,0)),"")</f>
        <v>No</v>
      </c>
      <c r="AF141" s="19" t="n">
        <f aca="false">IF(V141&gt;0,ROUND(AVERAGEIFS('Shortlisted Drugs X Company (7)'!$N$3:$N$698,'Shortlisted Drugs X Company (7)'!$C$3:$C$698,$B141,'Shortlisted Drugs X Company (7)'!$E$3:$E$698,$S141,'Shortlisted Drugs X Company (7)'!$N$3:$N$698,"&gt;=0"),2),"")</f>
        <v>92.75</v>
      </c>
      <c r="AG141" s="16" t="s">
        <v>348</v>
      </c>
      <c r="AH141" s="16" t="s">
        <v>433</v>
      </c>
      <c r="AI141" s="16" t="s">
        <v>433</v>
      </c>
      <c r="AJ141" s="16" t="str">
        <f aca="false">IF(O141&lt;&gt;"","",IF(ISNUMBER(D141),IF(D141&gt;=$C$3,"High price","Lower price"),"Unpriced")&amp;" · "&amp;IF(M141&gt;=$E$3,"high volume","lower volume"))</f>
        <v/>
      </c>
      <c r="AK141" s="15" t="str">
        <f aca="false">IF(O141&lt;&gt;"",IF(O141="Price ≤ $5","Excluded – price ≤ $5","Excluded – IV only"),IF(ISNUMBER(D141),IF(AND(D141&gt;=$C$3,L141&gt;=$H$3),"Priority 1",IF(OR(D141&gt;=$C$3,L141&gt;=$H$3),"Priority 2","Priority 3")),IF(L141&gt;=$H$3,"Priority 2","Priority 3")))</f>
        <v>Excluded – IV only</v>
      </c>
      <c r="AL141" s="16" t="str">
        <f aca="false">IF(O141&lt;&gt;"","",IF(ISNUMBER(D141),IF(D141&gt;=$C$3,"High price","Lower price"),"Unpriced")&amp;" · "&amp;IF(L141&gt;=$H$3,"high volume","lower volume"))</f>
        <v/>
      </c>
      <c r="AM141" s="14" t="str">
        <f aca="false">IF(O141&lt;&gt;"","",COUNTIFS($A$29:$A$361,A141,$O$29:$O$361,"",$AQ$29:$AQ$361,"&gt;"&amp;AQ141)+COUNTIFS($A$29:A141,A141,$O$29:O141,"",$AQ$29:AQ141,AQ141))</f>
        <v/>
      </c>
      <c r="AN141" s="33" t="str">
        <f aca="false">IF(AND(O141="",ISNUMBER(D141)),D141,"")</f>
        <v/>
      </c>
      <c r="AO141" s="33" t="str">
        <f aca="false">IF(O141="",M141,"")</f>
        <v/>
      </c>
      <c r="AP141" s="33" t="str">
        <f aca="false">IF(O141="",L141,"")</f>
        <v/>
      </c>
      <c r="AQ141" s="33" t="str">
        <f aca="false">IF(O141&lt;&gt;"","",(4-VALUE(RIGHT(AK141,1)))*10^7+N(N141))</f>
        <v/>
      </c>
      <c r="AR141" s="33" t="n">
        <f aca="false">INDEX($O$7:$O$25,MATCH(A141,$I$7:$I$25,0))</f>
        <v>3</v>
      </c>
      <c r="AS141" s="33" t="str">
        <f aca="false">IF(AE141="No","",AR141*1000+IF(AM141="",900+COUNTIFS($A$29:A141,A141,$O$29:O141,"Price ≤ $5"),AM141))</f>
        <v/>
      </c>
    </row>
    <row r="142" customFormat="false" ht="41.75" hidden="false" customHeight="false" outlineLevel="0" collapsed="false">
      <c r="A142" s="15" t="s">
        <v>190</v>
      </c>
      <c r="B142" s="15" t="s">
        <v>356</v>
      </c>
      <c r="C142" s="16" t="s">
        <v>357</v>
      </c>
      <c r="D142" s="17" t="n">
        <f aca="false">IF(W142&gt;0,ROUND(AVERAGEIFS('Shortlisted Drugs X Company (7)'!$N$3:$N$698,'Shortlisted Drugs X Company (7)'!$C$3:$C$698,$B142,'Shortlisted Drugs X Company (7)'!$E$3:$E$698,$S142,'Shortlisted Drugs X Company (7)'!$N$3:$N$698,"&gt;5"),2),"")</f>
        <v>87.85</v>
      </c>
      <c r="E142" s="15" t="str">
        <f aca="false">IF(COUNTIFS('Shortlisted Drugs X Company (7)'!$C$3:$C$698,$B142,'Shortlisted Drugs X Company (7)'!$E$3:$E$698,$S142,'Shortlisted Drugs X Company (7)'!$P$3:$P$698,"Exact")&gt;0,"Exact",IF(COUNTIFS('Shortlisted Drugs X Company (7)'!$C$3:$C$698,$B142,'Shortlisted Drugs X Company (7)'!$E$3:$E$698,$S142,'Shortlisted Drugs X Company (7)'!$P$3:$P$698,"Same-market proxy")&gt;0,"Same-market proxy",IF(COUNTIFS('Shortlisted Drugs X Company (7)'!$C$3:$C$698,$B142,'Shortlisted Drugs X Company (7)'!$E$3:$E$698,$S142,'Shortlisted Drugs X Company (7)'!$P$3:$P$698,"Cross-market proxy")&gt;0,"Cross-market proxy",IF(COUNTIFS('Shortlisted Drugs X Company (7)'!$C$3:$C$698,$B142,'Shortlisted Drugs X Company (7)'!$E$3:$E$698,$S142,'Shortlisted Drugs X Company (7)'!$P$3:$P$698,"Source not found")&gt;0,"Source not found","Not priced"))))</f>
        <v>Exact</v>
      </c>
      <c r="F142" s="18" t="n">
        <f aca="false">IFERROR(ROUND(INDEX('Injectable Value'!$AA$28:$AA$178,MATCH(B142,'Injectable Value'!$A$28:$A$178,0)),1),"")</f>
        <v>59827.2</v>
      </c>
      <c r="G142" s="16" t="s">
        <v>766</v>
      </c>
      <c r="H142" s="14" t="n">
        <v>5</v>
      </c>
      <c r="I142" s="15" t="s">
        <v>248</v>
      </c>
      <c r="J142" s="15" t="s">
        <v>299</v>
      </c>
      <c r="K142" s="16" t="str">
        <f aca="false">"Reconstitution"&amp;IF(V142=0,"; Unpriced","")&amp;IF(AND(V142&gt;0,W142=0,X142=0),"; Low price from another market – confirm with company","")</f>
        <v>Reconstitution</v>
      </c>
      <c r="L142" s="18" t="n">
        <f aca="false">IFERROR(INDEX('Shortlisted Drugs X Company (7)'!$K$3:$K$698,MATCH(B142,'Shortlisted Drugs X Company (7)'!$C$3:$C$698,0)),"")</f>
        <v>312</v>
      </c>
      <c r="M142" s="18" t="n">
        <f aca="false">IFERROR(ROUND(L142*INDEX('Injectable Value'!$Z$28:$Z$178,MATCH(B142,'Injectable Value'!$A$28:$A$178,0)),0),"")</f>
        <v>312</v>
      </c>
      <c r="N142" s="18" t="n">
        <f aca="false">IFERROR(INDEX('Shortlisted Drugs X Company (7)'!$L$3:$L$698,MATCH(B142,'Shortlisted Drugs X Company (7)'!$C$3:$C$698,0)),"")</f>
        <v>59827.18</v>
      </c>
      <c r="O142" s="15" t="str">
        <f aca="false">IF(AE142="No","IV only (not ID/IM/SC)",IF(AND(V142&gt;0,W142=0),"Price ≤ $5",""))</f>
        <v>IV only (not ID/IM/SC)</v>
      </c>
      <c r="P142" s="14" t="str">
        <f aca="false">IF(O142&lt;&gt;"","",COUNTIFS($A$29:$A$361,A142,$O$29:$O$361,"",$AC$29:$AC$361,"&gt;"&amp;AC142)+COUNTIFS($A$29:A142,A142,$O$29:O142,"",$AC$29:AC142,AC142))</f>
        <v/>
      </c>
      <c r="Q142" s="15" t="str">
        <f aca="false">IF(O142&lt;&gt;"",IF(O142="Price ≤ $5","Excluded – price ≤ $5","Excluded – IV only"),IF(ISNUMBER(D142),IF(AND(D142&gt;=$C$3,M142&gt;=$E$3),"Priority 1",IF(OR(D142&gt;=$C$3,M142&gt;=$E$3),"Priority 2","Priority 3")),IF(M142&gt;=$E$3,"Priority 2","Priority 3")))</f>
        <v>Excluded – IV only</v>
      </c>
      <c r="R142" s="16" t="s">
        <v>250</v>
      </c>
      <c r="S142" s="15" t="s">
        <v>741</v>
      </c>
      <c r="T142" s="32" t="s">
        <v>358</v>
      </c>
      <c r="U142" s="33" t="str">
        <f aca="false">B142&amp;"|"&amp;S142</f>
        <v>Daptomycin|Emcure Pharmaceuticals</v>
      </c>
      <c r="V142" s="34" t="n">
        <f aca="false">COUNTIFS('Shortlisted Drugs X Company (7)'!$C$3:$C$698,$B142,'Shortlisted Drugs X Company (7)'!$E$3:$E$698,$S142,'Shortlisted Drugs X Company (7)'!$N$3:$N$698,"&gt;=0")</f>
        <v>2</v>
      </c>
      <c r="W142" s="34" t="n">
        <f aca="false">COUNTIFS('Shortlisted Drugs X Company (7)'!$C$3:$C$698,$B142,'Shortlisted Drugs X Company (7)'!$E$3:$E$698,$S142,'Shortlisted Drugs X Company (7)'!$N$3:$N$698,"&gt;5")</f>
        <v>2</v>
      </c>
      <c r="X142" s="34" t="n">
        <f aca="false">COUNTIFS('Shortlisted Drugs X Company (7)'!$C$3:$C$698,$B142,'Shortlisted Drugs X Company (7)'!$E$3:$E$698,$S142,'Shortlisted Drugs X Company (7)'!$P$3:$P$698,"Exact")+COUNTIFS('Shortlisted Drugs X Company (7)'!$C$3:$C$698,$B142,'Shortlisted Drugs X Company (7)'!$E$3:$E$698,$S142,'Shortlisted Drugs X Company (7)'!$P$3:$P$698,"Same-market proxy")</f>
        <v>2</v>
      </c>
      <c r="Y142" s="33" t="str">
        <f aca="false">A142&amp;"|"&amp;P142</f>
        <v>Emcure|</v>
      </c>
      <c r="Z142" s="16" t="s">
        <v>359</v>
      </c>
      <c r="AA142" s="33" t="n">
        <f aca="false">INDEX($G$7:$G$25,MATCH(A142,$A$7:$A$25,0))</f>
        <v>5</v>
      </c>
      <c r="AB142" s="33" t="str">
        <f aca="false">IF(AE142="No","",AA142*1000+IF(P142="",900+COUNTIFS($A$29:A142,A142,$O$29:O142,"Price ≤ $5"),P142))</f>
        <v/>
      </c>
      <c r="AC142" s="33" t="str">
        <f aca="false">IF(O142&lt;&gt;"","",(4-VALUE(RIGHT(Q142,1)))*10^7+N(F142))</f>
        <v/>
      </c>
      <c r="AD142" s="15" t="str">
        <f aca="false">IFERROR(INDEX('Route of Administration'!$C$5:$C$155,MATCH(B142,'Route of Administration'!$A$5:$A$155,0)),"")</f>
        <v>IV</v>
      </c>
      <c r="AE142" s="14" t="str">
        <f aca="false">IFERROR(INDEX('Route of Administration'!$D$5:$D$155,MATCH(B142,'Route of Administration'!$A$5:$A$155,0)),"")</f>
        <v>No</v>
      </c>
      <c r="AF142" s="19" t="n">
        <f aca="false">IF(V142&gt;0,ROUND(AVERAGEIFS('Shortlisted Drugs X Company (7)'!$N$3:$N$698,'Shortlisted Drugs X Company (7)'!$C$3:$C$698,$B142,'Shortlisted Drugs X Company (7)'!$E$3:$E$698,$S142,'Shortlisted Drugs X Company (7)'!$N$3:$N$698,"&gt;=0"),2),"")</f>
        <v>87.85</v>
      </c>
      <c r="AG142" s="16" t="s">
        <v>767</v>
      </c>
      <c r="AH142" s="16" t="s">
        <v>768</v>
      </c>
      <c r="AI142" s="16" t="s">
        <v>768</v>
      </c>
      <c r="AJ142" s="16" t="str">
        <f aca="false">IF(O142&lt;&gt;"","",IF(ISNUMBER(D142),IF(D142&gt;=$C$3,"High price","Lower price"),"Unpriced")&amp;" · "&amp;IF(M142&gt;=$E$3,"high volume","lower volume"))</f>
        <v/>
      </c>
      <c r="AK142" s="15" t="str">
        <f aca="false">IF(O142&lt;&gt;"",IF(O142="Price ≤ $5","Excluded – price ≤ $5","Excluded – IV only"),IF(ISNUMBER(D142),IF(AND(D142&gt;=$C$3,L142&gt;=$H$3),"Priority 1",IF(OR(D142&gt;=$C$3,L142&gt;=$H$3),"Priority 2","Priority 3")),IF(L142&gt;=$H$3,"Priority 2","Priority 3")))</f>
        <v>Excluded – IV only</v>
      </c>
      <c r="AL142" s="16" t="str">
        <f aca="false">IF(O142&lt;&gt;"","",IF(ISNUMBER(D142),IF(D142&gt;=$C$3,"High price","Lower price"),"Unpriced")&amp;" · "&amp;IF(L142&gt;=$H$3,"high volume","lower volume"))</f>
        <v/>
      </c>
      <c r="AM142" s="14" t="str">
        <f aca="false">IF(O142&lt;&gt;"","",COUNTIFS($A$29:$A$361,A142,$O$29:$O$361,"",$AQ$29:$AQ$361,"&gt;"&amp;AQ142)+COUNTIFS($A$29:A142,A142,$O$29:O142,"",$AQ$29:AQ142,AQ142))</f>
        <v/>
      </c>
      <c r="AN142" s="33" t="str">
        <f aca="false">IF(AND(O142="",ISNUMBER(D142)),D142,"")</f>
        <v/>
      </c>
      <c r="AO142" s="33" t="str">
        <f aca="false">IF(O142="",M142,"")</f>
        <v/>
      </c>
      <c r="AP142" s="33" t="str">
        <f aca="false">IF(O142="",L142,"")</f>
        <v/>
      </c>
      <c r="AQ142" s="33" t="str">
        <f aca="false">IF(O142&lt;&gt;"","",(4-VALUE(RIGHT(AK142,1)))*10^7+N(N142))</f>
        <v/>
      </c>
      <c r="AR142" s="33" t="n">
        <f aca="false">INDEX($O$7:$O$25,MATCH(A142,$I$7:$I$25,0))</f>
        <v>3</v>
      </c>
      <c r="AS142" s="33" t="str">
        <f aca="false">IF(AE142="No","",AR142*1000+IF(AM142="",900+COUNTIFS($A$29:A142,A142,$O$29:O142,"Price ≤ $5"),AM142))</f>
        <v/>
      </c>
    </row>
    <row r="143" customFormat="false" ht="28.35" hidden="false" customHeight="false" outlineLevel="0" collapsed="false">
      <c r="A143" s="15" t="s">
        <v>190</v>
      </c>
      <c r="B143" s="15" t="s">
        <v>694</v>
      </c>
      <c r="C143" s="16" t="s">
        <v>695</v>
      </c>
      <c r="D143" s="17" t="n">
        <f aca="false">IF(W143&gt;0,ROUND(AVERAGEIFS('Shortlisted Drugs X Company (7)'!$N$3:$N$698,'Shortlisted Drugs X Company (7)'!$C$3:$C$698,$B143,'Shortlisted Drugs X Company (7)'!$E$3:$E$698,$S143,'Shortlisted Drugs X Company (7)'!$N$3:$N$698,"&gt;5"),2),"")</f>
        <v>404.59</v>
      </c>
      <c r="E143" s="15" t="str">
        <f aca="false">IF(COUNTIFS('Shortlisted Drugs X Company (7)'!$C$3:$C$698,$B143,'Shortlisted Drugs X Company (7)'!$E$3:$E$698,$S143,'Shortlisted Drugs X Company (7)'!$P$3:$P$698,"Exact")&gt;0,"Exact",IF(COUNTIFS('Shortlisted Drugs X Company (7)'!$C$3:$C$698,$B143,'Shortlisted Drugs X Company (7)'!$E$3:$E$698,$S143,'Shortlisted Drugs X Company (7)'!$P$3:$P$698,"Same-market proxy")&gt;0,"Same-market proxy",IF(COUNTIFS('Shortlisted Drugs X Company (7)'!$C$3:$C$698,$B143,'Shortlisted Drugs X Company (7)'!$E$3:$E$698,$S143,'Shortlisted Drugs X Company (7)'!$P$3:$P$698,"Cross-market proxy")&gt;0,"Cross-market proxy",IF(COUNTIFS('Shortlisted Drugs X Company (7)'!$C$3:$C$698,$B143,'Shortlisted Drugs X Company (7)'!$E$3:$E$698,$S143,'Shortlisted Drugs X Company (7)'!$P$3:$P$698,"Source not found")&gt;0,"Source not found","Not priced"))))</f>
        <v>Same-market proxy</v>
      </c>
      <c r="F143" s="18" t="n">
        <f aca="false">IFERROR(ROUND(INDEX('Injectable Value'!$AA$28:$AA$178,MATCH(B143,'Injectable Value'!$A$28:$A$178,0)),1),"")</f>
        <v>1874.6</v>
      </c>
      <c r="G143" s="16" t="s">
        <v>769</v>
      </c>
      <c r="H143" s="14" t="n">
        <v>7</v>
      </c>
      <c r="I143" s="15" t="s">
        <v>248</v>
      </c>
      <c r="J143" s="15" t="s">
        <v>249</v>
      </c>
      <c r="K143" s="16" t="str">
        <f aca="false">"Cancer drug (cytotoxic) – less relevant"&amp;IF(V143=0,"; Unpriced","")&amp;IF(AND(V143&gt;0,W143=0,X143=0),"; Low price from another market – confirm with company","")</f>
        <v>Cancer drug (cytotoxic) – less relevant</v>
      </c>
      <c r="L143" s="18" t="n">
        <f aca="false">IFERROR(INDEX('Shortlisted Drugs X Company (7)'!$K$3:$K$698,MATCH(B143,'Shortlisted Drugs X Company (7)'!$C$3:$C$698,0)),"")</f>
        <v>42</v>
      </c>
      <c r="M143" s="18" t="n">
        <f aca="false">IFERROR(ROUND(L143*INDEX('Injectable Value'!$Z$28:$Z$178,MATCH(B143,'Injectable Value'!$A$28:$A$178,0)),0),"")</f>
        <v>42</v>
      </c>
      <c r="N143" s="18" t="n">
        <f aca="false">IFERROR(INDEX('Shortlisted Drugs X Company (7)'!$L$3:$L$698,MATCH(B143,'Shortlisted Drugs X Company (7)'!$C$3:$C$698,0)),"")</f>
        <v>1874.63</v>
      </c>
      <c r="O143" s="15" t="str">
        <f aca="false">IF(AE143="No","IV only (not ID/IM/SC)",IF(AND(V143&gt;0,W143=0),"Price ≤ $5",""))</f>
        <v>IV only (not ID/IM/SC)</v>
      </c>
      <c r="P143" s="14" t="str">
        <f aca="false">IF(O143&lt;&gt;"","",COUNTIFS($A$29:$A$361,A143,$O$29:$O$361,"",$AC$29:$AC$361,"&gt;"&amp;AC143)+COUNTIFS($A$29:A143,A143,$O$29:O143,"",$AC$29:AC143,AC143))</f>
        <v/>
      </c>
      <c r="Q143" s="15" t="str">
        <f aca="false">IF(O143&lt;&gt;"",IF(O143="Price ≤ $5","Excluded – price ≤ $5","Excluded – IV only"),IF(ISNUMBER(D143),IF(AND(D143&gt;=$C$3,M143&gt;=$E$3),"Priority 1",IF(OR(D143&gt;=$C$3,M143&gt;=$E$3),"Priority 2","Priority 3")),IF(M143&gt;=$E$3,"Priority 2","Priority 3")))</f>
        <v>Excluded – IV only</v>
      </c>
      <c r="R143" s="16" t="s">
        <v>250</v>
      </c>
      <c r="S143" s="15" t="s">
        <v>741</v>
      </c>
      <c r="T143" s="32" t="s">
        <v>697</v>
      </c>
      <c r="U143" s="33" t="str">
        <f aca="false">B143&amp;"|"&amp;S143</f>
        <v>Eribulin|Emcure Pharmaceuticals</v>
      </c>
      <c r="V143" s="34" t="n">
        <f aca="false">COUNTIFS('Shortlisted Drugs X Company (7)'!$C$3:$C$698,$B143,'Shortlisted Drugs X Company (7)'!$E$3:$E$698,$S143,'Shortlisted Drugs X Company (7)'!$N$3:$N$698,"&gt;=0")</f>
        <v>1</v>
      </c>
      <c r="W143" s="34" t="n">
        <f aca="false">COUNTIFS('Shortlisted Drugs X Company (7)'!$C$3:$C$698,$B143,'Shortlisted Drugs X Company (7)'!$E$3:$E$698,$S143,'Shortlisted Drugs X Company (7)'!$N$3:$N$698,"&gt;5")</f>
        <v>1</v>
      </c>
      <c r="X143" s="34" t="n">
        <f aca="false">COUNTIFS('Shortlisted Drugs X Company (7)'!$C$3:$C$698,$B143,'Shortlisted Drugs X Company (7)'!$E$3:$E$698,$S143,'Shortlisted Drugs X Company (7)'!$P$3:$P$698,"Exact")+COUNTIFS('Shortlisted Drugs X Company (7)'!$C$3:$C$698,$B143,'Shortlisted Drugs X Company (7)'!$E$3:$E$698,$S143,'Shortlisted Drugs X Company (7)'!$P$3:$P$698,"Same-market proxy")</f>
        <v>1</v>
      </c>
      <c r="Y143" s="33" t="str">
        <f aca="false">A143&amp;"|"&amp;P143</f>
        <v>Emcure|</v>
      </c>
      <c r="Z143" s="16" t="s">
        <v>770</v>
      </c>
      <c r="AA143" s="33" t="n">
        <f aca="false">INDEX($G$7:$G$25,MATCH(A143,$A$7:$A$25,0))</f>
        <v>5</v>
      </c>
      <c r="AB143" s="33" t="str">
        <f aca="false">IF(AE143="No","",AA143*1000+IF(P143="",900+COUNTIFS($A$29:A143,A143,$O$29:O143,"Price ≤ $5"),P143))</f>
        <v/>
      </c>
      <c r="AC143" s="33" t="str">
        <f aca="false">IF(O143&lt;&gt;"","",(4-VALUE(RIGHT(Q143,1)))*10^7+N(F143))</f>
        <v/>
      </c>
      <c r="AD143" s="15" t="str">
        <f aca="false">IFERROR(INDEX('Route of Administration'!$C$5:$C$155,MATCH(B143,'Route of Administration'!$A$5:$A$155,0)),"")</f>
        <v>IV</v>
      </c>
      <c r="AE143" s="14" t="str">
        <f aca="false">IFERROR(INDEX('Route of Administration'!$D$5:$D$155,MATCH(B143,'Route of Administration'!$A$5:$A$155,0)),"")</f>
        <v>No</v>
      </c>
      <c r="AF143" s="19" t="n">
        <f aca="false">IF(V143&gt;0,ROUND(AVERAGEIFS('Shortlisted Drugs X Company (7)'!$N$3:$N$698,'Shortlisted Drugs X Company (7)'!$C$3:$C$698,$B143,'Shortlisted Drugs X Company (7)'!$E$3:$E$698,$S143,'Shortlisted Drugs X Company (7)'!$N$3:$N$698,"&gt;=0"),2),"")</f>
        <v>404.59</v>
      </c>
      <c r="AG143" s="16" t="s">
        <v>771</v>
      </c>
      <c r="AH143" s="16" t="s">
        <v>772</v>
      </c>
      <c r="AI143" s="16" t="s">
        <v>773</v>
      </c>
      <c r="AJ143" s="16" t="str">
        <f aca="false">IF(O143&lt;&gt;"","",IF(ISNUMBER(D143),IF(D143&gt;=$C$3,"High price","Lower price"),"Unpriced")&amp;" · "&amp;IF(M143&gt;=$E$3,"high volume","lower volume"))</f>
        <v/>
      </c>
      <c r="AK143" s="15" t="str">
        <f aca="false">IF(O143&lt;&gt;"",IF(O143="Price ≤ $5","Excluded – price ≤ $5","Excluded – IV only"),IF(ISNUMBER(D143),IF(AND(D143&gt;=$C$3,L143&gt;=$H$3),"Priority 1",IF(OR(D143&gt;=$C$3,L143&gt;=$H$3),"Priority 2","Priority 3")),IF(L143&gt;=$H$3,"Priority 2","Priority 3")))</f>
        <v>Excluded – IV only</v>
      </c>
      <c r="AL143" s="16" t="str">
        <f aca="false">IF(O143&lt;&gt;"","",IF(ISNUMBER(D143),IF(D143&gt;=$C$3,"High price","Lower price"),"Unpriced")&amp;" · "&amp;IF(L143&gt;=$H$3,"high volume","lower volume"))</f>
        <v/>
      </c>
      <c r="AM143" s="14" t="str">
        <f aca="false">IF(O143&lt;&gt;"","",COUNTIFS($A$29:$A$361,A143,$O$29:$O$361,"",$AQ$29:$AQ$361,"&gt;"&amp;AQ143)+COUNTIFS($A$29:A143,A143,$O$29:O143,"",$AQ$29:AQ143,AQ143))</f>
        <v/>
      </c>
      <c r="AN143" s="33" t="str">
        <f aca="false">IF(AND(O143="",ISNUMBER(D143)),D143,"")</f>
        <v/>
      </c>
      <c r="AO143" s="33" t="str">
        <f aca="false">IF(O143="",M143,"")</f>
        <v/>
      </c>
      <c r="AP143" s="33" t="str">
        <f aca="false">IF(O143="",L143,"")</f>
        <v/>
      </c>
      <c r="AQ143" s="33" t="str">
        <f aca="false">IF(O143&lt;&gt;"","",(4-VALUE(RIGHT(AK143,1)))*10^7+N(N143))</f>
        <v/>
      </c>
      <c r="AR143" s="33" t="n">
        <f aca="false">INDEX($O$7:$O$25,MATCH(A143,$I$7:$I$25,0))</f>
        <v>3</v>
      </c>
      <c r="AS143" s="33" t="str">
        <f aca="false">IF(AE143="No","",AR143*1000+IF(AM143="",900+COUNTIFS($A$29:A143,A143,$O$29:O143,"Price ≤ $5"),AM143))</f>
        <v/>
      </c>
    </row>
    <row r="144" customFormat="false" ht="28.35" hidden="false" customHeight="false" outlineLevel="0" collapsed="false">
      <c r="A144" s="15" t="s">
        <v>190</v>
      </c>
      <c r="B144" s="15" t="s">
        <v>774</v>
      </c>
      <c r="C144" s="16" t="s">
        <v>775</v>
      </c>
      <c r="D144" s="17" t="n">
        <f aca="false">IF(W144&gt;0,ROUND(AVERAGEIFS('Shortlisted Drugs X Company (7)'!$N$3:$N$698,'Shortlisted Drugs X Company (7)'!$C$3:$C$698,$B144,'Shortlisted Drugs X Company (7)'!$E$3:$E$698,$S144,'Shortlisted Drugs X Company (7)'!$N$3:$N$698,"&gt;5"),2),"")</f>
        <v>7.28</v>
      </c>
      <c r="E144" s="15" t="str">
        <f aca="false">IF(COUNTIFS('Shortlisted Drugs X Company (7)'!$C$3:$C$698,$B144,'Shortlisted Drugs X Company (7)'!$E$3:$E$698,$S144,'Shortlisted Drugs X Company (7)'!$P$3:$P$698,"Exact")&gt;0,"Exact",IF(COUNTIFS('Shortlisted Drugs X Company (7)'!$C$3:$C$698,$B144,'Shortlisted Drugs X Company (7)'!$E$3:$E$698,$S144,'Shortlisted Drugs X Company (7)'!$P$3:$P$698,"Same-market proxy")&gt;0,"Same-market proxy",IF(COUNTIFS('Shortlisted Drugs X Company (7)'!$C$3:$C$698,$B144,'Shortlisted Drugs X Company (7)'!$E$3:$E$698,$S144,'Shortlisted Drugs X Company (7)'!$P$3:$P$698,"Cross-market proxy")&gt;0,"Cross-market proxy",IF(COUNTIFS('Shortlisted Drugs X Company (7)'!$C$3:$C$698,$B144,'Shortlisted Drugs X Company (7)'!$E$3:$E$698,$S144,'Shortlisted Drugs X Company (7)'!$P$3:$P$698,"Source not found")&gt;0,"Source not found","Not priced"))))</f>
        <v>Exact</v>
      </c>
      <c r="F144" s="18" t="n">
        <f aca="false">IFERROR(ROUND(INDEX('Injectable Value'!$AA$28:$AA$178,MATCH(B144,'Injectable Value'!$A$28:$A$178,0)),1),"")</f>
        <v>13516.1</v>
      </c>
      <c r="G144" s="16" t="s">
        <v>776</v>
      </c>
      <c r="H144" s="14" t="n">
        <v>8</v>
      </c>
      <c r="I144" s="15" t="s">
        <v>248</v>
      </c>
      <c r="J144" s="15" t="s">
        <v>299</v>
      </c>
      <c r="K144" s="16" t="str">
        <f aca="false">"Reconstitution"&amp;IF(V144=0,"; Unpriced","")&amp;IF(AND(V144&gt;0,W144=0,X144=0),"; Low price from another market – confirm with company","")</f>
        <v>Reconstitution</v>
      </c>
      <c r="L144" s="18" t="n">
        <f aca="false">IFERROR(INDEX('Shortlisted Drugs X Company (7)'!$K$3:$K$698,MATCH(B144,'Shortlisted Drugs X Company (7)'!$C$3:$C$698,0)),"")</f>
        <v>3168</v>
      </c>
      <c r="M144" s="18" t="n">
        <f aca="false">IFERROR(ROUND(L144*INDEX('Injectable Value'!$Z$28:$Z$178,MATCH(B144,'Injectable Value'!$A$28:$A$178,0)),0),"")</f>
        <v>328</v>
      </c>
      <c r="N144" s="18" t="n">
        <f aca="false">IFERROR(INDEX('Shortlisted Drugs X Company (7)'!$L$3:$L$698,MATCH(B144,'Shortlisted Drugs X Company (7)'!$C$3:$C$698,0)),"")</f>
        <v>130453.11</v>
      </c>
      <c r="O144" s="15" t="str">
        <f aca="false">IF(AE144="No","IV only (not ID/IM/SC)",IF(AND(V144&gt;0,W144=0),"Price ≤ $5",""))</f>
        <v>IV only (not ID/IM/SC)</v>
      </c>
      <c r="P144" s="14" t="str">
        <f aca="false">IF(O144&lt;&gt;"","",COUNTIFS($A$29:$A$361,A144,$O$29:$O$361,"",$AC$29:$AC$361,"&gt;"&amp;AC144)+COUNTIFS($A$29:A144,A144,$O$29:O144,"",$AC$29:AC144,AC144))</f>
        <v/>
      </c>
      <c r="Q144" s="15" t="str">
        <f aca="false">IF(O144&lt;&gt;"",IF(O144="Price ≤ $5","Excluded – price ≤ $5","Excluded – IV only"),IF(ISNUMBER(D144),IF(AND(D144&gt;=$C$3,M144&gt;=$E$3),"Priority 1",IF(OR(D144&gt;=$C$3,M144&gt;=$E$3),"Priority 2","Priority 3")),IF(M144&gt;=$E$3,"Priority 2","Priority 3")))</f>
        <v>Excluded – IV only</v>
      </c>
      <c r="R144" s="16" t="s">
        <v>250</v>
      </c>
      <c r="S144" s="15" t="s">
        <v>741</v>
      </c>
      <c r="T144" s="32" t="s">
        <v>777</v>
      </c>
      <c r="U144" s="33" t="str">
        <f aca="false">B144&amp;"|"&amp;S144</f>
        <v>Esomeprazole|Emcure Pharmaceuticals</v>
      </c>
      <c r="V144" s="34" t="n">
        <f aca="false">COUNTIFS('Shortlisted Drugs X Company (7)'!$C$3:$C$698,$B144,'Shortlisted Drugs X Company (7)'!$E$3:$E$698,$S144,'Shortlisted Drugs X Company (7)'!$N$3:$N$698,"&gt;=0")</f>
        <v>1</v>
      </c>
      <c r="W144" s="34" t="n">
        <f aca="false">COUNTIFS('Shortlisted Drugs X Company (7)'!$C$3:$C$698,$B144,'Shortlisted Drugs X Company (7)'!$E$3:$E$698,$S144,'Shortlisted Drugs X Company (7)'!$N$3:$N$698,"&gt;5")</f>
        <v>1</v>
      </c>
      <c r="X144" s="34" t="n">
        <f aca="false">COUNTIFS('Shortlisted Drugs X Company (7)'!$C$3:$C$698,$B144,'Shortlisted Drugs X Company (7)'!$E$3:$E$698,$S144,'Shortlisted Drugs X Company (7)'!$P$3:$P$698,"Exact")+COUNTIFS('Shortlisted Drugs X Company (7)'!$C$3:$C$698,$B144,'Shortlisted Drugs X Company (7)'!$E$3:$E$698,$S144,'Shortlisted Drugs X Company (7)'!$P$3:$P$698,"Same-market proxy")</f>
        <v>1</v>
      </c>
      <c r="Y144" s="33" t="str">
        <f aca="false">A144&amp;"|"&amp;P144</f>
        <v>Emcure|</v>
      </c>
      <c r="Z144" s="16" t="s">
        <v>778</v>
      </c>
      <c r="AA144" s="33" t="n">
        <f aca="false">INDEX($G$7:$G$25,MATCH(A144,$A$7:$A$25,0))</f>
        <v>5</v>
      </c>
      <c r="AB144" s="33" t="str">
        <f aca="false">IF(AE144="No","",AA144*1000+IF(P144="",900+COUNTIFS($A$29:A144,A144,$O$29:O144,"Price ≤ $5"),P144))</f>
        <v/>
      </c>
      <c r="AC144" s="33" t="str">
        <f aca="false">IF(O144&lt;&gt;"","",(4-VALUE(RIGHT(Q144,1)))*10^7+N(F144))</f>
        <v/>
      </c>
      <c r="AD144" s="15" t="str">
        <f aca="false">IFERROR(INDEX('Route of Administration'!$C$5:$C$155,MATCH(B144,'Route of Administration'!$A$5:$A$155,0)),"")</f>
        <v>IV</v>
      </c>
      <c r="AE144" s="14" t="str">
        <f aca="false">IFERROR(INDEX('Route of Administration'!$D$5:$D$155,MATCH(B144,'Route of Administration'!$A$5:$A$155,0)),"")</f>
        <v>No</v>
      </c>
      <c r="AF144" s="19" t="n">
        <f aca="false">IF(V144&gt;0,ROUND(AVERAGEIFS('Shortlisted Drugs X Company (7)'!$N$3:$N$698,'Shortlisted Drugs X Company (7)'!$C$3:$C$698,$B144,'Shortlisted Drugs X Company (7)'!$E$3:$E$698,$S144,'Shortlisted Drugs X Company (7)'!$N$3:$N$698,"&gt;=0"),2),"")</f>
        <v>7.28</v>
      </c>
      <c r="AG144" s="16" t="s">
        <v>779</v>
      </c>
      <c r="AH144" s="16" t="s">
        <v>780</v>
      </c>
      <c r="AI144" s="16" t="s">
        <v>781</v>
      </c>
      <c r="AJ144" s="16" t="str">
        <f aca="false">IF(O144&lt;&gt;"","",IF(ISNUMBER(D144),IF(D144&gt;=$C$3,"High price","Lower price"),"Unpriced")&amp;" · "&amp;IF(M144&gt;=$E$3,"high volume","lower volume"))</f>
        <v/>
      </c>
      <c r="AK144" s="15" t="str">
        <f aca="false">IF(O144&lt;&gt;"",IF(O144="Price ≤ $5","Excluded – price ≤ $5","Excluded – IV only"),IF(ISNUMBER(D144),IF(AND(D144&gt;=$C$3,L144&gt;=$H$3),"Priority 1",IF(OR(D144&gt;=$C$3,L144&gt;=$H$3),"Priority 2","Priority 3")),IF(L144&gt;=$H$3,"Priority 2","Priority 3")))</f>
        <v>Excluded – IV only</v>
      </c>
      <c r="AL144" s="16" t="str">
        <f aca="false">IF(O144&lt;&gt;"","",IF(ISNUMBER(D144),IF(D144&gt;=$C$3,"High price","Lower price"),"Unpriced")&amp;" · "&amp;IF(L144&gt;=$H$3,"high volume","lower volume"))</f>
        <v/>
      </c>
      <c r="AM144" s="14" t="str">
        <f aca="false">IF(O144&lt;&gt;"","",COUNTIFS($A$29:$A$361,A144,$O$29:$O$361,"",$AQ$29:$AQ$361,"&gt;"&amp;AQ144)+COUNTIFS($A$29:A144,A144,$O$29:O144,"",$AQ$29:AQ144,AQ144))</f>
        <v/>
      </c>
      <c r="AN144" s="33" t="str">
        <f aca="false">IF(AND(O144="",ISNUMBER(D144)),D144,"")</f>
        <v/>
      </c>
      <c r="AO144" s="33" t="str">
        <f aca="false">IF(O144="",M144,"")</f>
        <v/>
      </c>
      <c r="AP144" s="33" t="str">
        <f aca="false">IF(O144="",L144,"")</f>
        <v/>
      </c>
      <c r="AQ144" s="33" t="str">
        <f aca="false">IF(O144&lt;&gt;"","",(4-VALUE(RIGHT(AK144,1)))*10^7+N(N144))</f>
        <v/>
      </c>
      <c r="AR144" s="33" t="n">
        <f aca="false">INDEX($O$7:$O$25,MATCH(A144,$I$7:$I$25,0))</f>
        <v>3</v>
      </c>
      <c r="AS144" s="33" t="str">
        <f aca="false">IF(AE144="No","",AR144*1000+IF(AM144="",900+COUNTIFS($A$29:A144,A144,$O$29:O144,"Price ≤ $5"),AM144))</f>
        <v/>
      </c>
    </row>
    <row r="145" customFormat="false" ht="28.35" hidden="false" customHeight="false" outlineLevel="0" collapsed="false">
      <c r="A145" s="15" t="s">
        <v>190</v>
      </c>
      <c r="B145" s="15" t="s">
        <v>606</v>
      </c>
      <c r="C145" s="16" t="s">
        <v>607</v>
      </c>
      <c r="D145" s="17" t="n">
        <f aca="false">IF(W145&gt;0,ROUND(AVERAGEIFS('Shortlisted Drugs X Company (7)'!$N$3:$N$698,'Shortlisted Drugs X Company (7)'!$C$3:$C$698,$B145,'Shortlisted Drugs X Company (7)'!$E$3:$E$698,$S145,'Shortlisted Drugs X Company (7)'!$N$3:$N$698,"&gt;5"),2),"")</f>
        <v>25.24</v>
      </c>
      <c r="E145" s="15" t="str">
        <f aca="false">IF(COUNTIFS('Shortlisted Drugs X Company (7)'!$C$3:$C$698,$B145,'Shortlisted Drugs X Company (7)'!$E$3:$E$698,$S145,'Shortlisted Drugs X Company (7)'!$P$3:$P$698,"Exact")&gt;0,"Exact",IF(COUNTIFS('Shortlisted Drugs X Company (7)'!$C$3:$C$698,$B145,'Shortlisted Drugs X Company (7)'!$E$3:$E$698,$S145,'Shortlisted Drugs X Company (7)'!$P$3:$P$698,"Same-market proxy")&gt;0,"Same-market proxy",IF(COUNTIFS('Shortlisted Drugs X Company (7)'!$C$3:$C$698,$B145,'Shortlisted Drugs X Company (7)'!$E$3:$E$698,$S145,'Shortlisted Drugs X Company (7)'!$P$3:$P$698,"Cross-market proxy")&gt;0,"Cross-market proxy",IF(COUNTIFS('Shortlisted Drugs X Company (7)'!$C$3:$C$698,$B145,'Shortlisted Drugs X Company (7)'!$E$3:$E$698,$S145,'Shortlisted Drugs X Company (7)'!$P$3:$P$698,"Source not found")&gt;0,"Source not found","Not priced"))))</f>
        <v>Source not found</v>
      </c>
      <c r="F145" s="18" t="n">
        <f aca="false">IFERROR(ROUND(INDEX('Injectable Value'!$AA$28:$AA$178,MATCH(B145,'Injectable Value'!$A$28:$A$178,0)),1),"")</f>
        <v>2931.4</v>
      </c>
      <c r="G145" s="16" t="s">
        <v>782</v>
      </c>
      <c r="H145" s="14" t="n">
        <v>3</v>
      </c>
      <c r="I145" s="15" t="s">
        <v>248</v>
      </c>
      <c r="J145" s="15" t="s">
        <v>249</v>
      </c>
      <c r="K145" s="16" t="str">
        <f aca="false">""&amp;IF(V145=0,"Unpriced","")&amp;IF(AND(V145&gt;0,W145=0,X145=0),"Low price from another market – confirm with company","")</f>
        <v/>
      </c>
      <c r="L145" s="18" t="n">
        <f aca="false">IFERROR(INDEX('Shortlisted Drugs X Company (7)'!$K$3:$K$698,MATCH(B145,'Shortlisted Drugs X Company (7)'!$C$3:$C$698,0)),"")</f>
        <v>87</v>
      </c>
      <c r="M145" s="18" t="n">
        <f aca="false">IFERROR(ROUND(L145*INDEX('Injectable Value'!$Z$28:$Z$178,MATCH(B145,'Injectable Value'!$A$28:$A$178,0)),0),"")</f>
        <v>87</v>
      </c>
      <c r="N145" s="18" t="n">
        <f aca="false">IFERROR(INDEX('Shortlisted Drugs X Company (7)'!$L$3:$L$698,MATCH(B145,'Shortlisted Drugs X Company (7)'!$C$3:$C$698,0)),"")</f>
        <v>2931.42</v>
      </c>
      <c r="O145" s="15" t="str">
        <f aca="false">IF(AE145="No","IV only (not ID/IM/SC)",IF(AND(V145&gt;0,W145=0),"Price ≤ $5",""))</f>
        <v/>
      </c>
      <c r="P145" s="14" t="n">
        <f aca="false">IF(O145&lt;&gt;"","",COUNTIFS($A$29:$A$361,A145,$O$29:$O$361,"",$AC$29:$AC$361,"&gt;"&amp;AC145)+COUNTIFS($A$29:A145,A145,$O$29:O145,"",$AC$29:AC145,AC145))</f>
        <v>7</v>
      </c>
      <c r="Q145" s="15" t="str">
        <f aca="false">IF(O145&lt;&gt;"",IF(O145="Price ≤ $5","Excluded – price ≤ $5","Excluded – IV only"),IF(ISNUMBER(D145),IF(AND(D145&gt;=$C$3,M145&gt;=$E$3),"Priority 1",IF(OR(D145&gt;=$C$3,M145&gt;=$E$3),"Priority 2","Priority 3")),IF(M145&gt;=$E$3,"Priority 2","Priority 3")))</f>
        <v>Priority 2</v>
      </c>
      <c r="R145" s="16" t="s">
        <v>250</v>
      </c>
      <c r="S145" s="15" t="s">
        <v>741</v>
      </c>
      <c r="T145" s="32" t="s">
        <v>608</v>
      </c>
      <c r="U145" s="33" t="str">
        <f aca="false">B145&amp;"|"&amp;S145</f>
        <v>Isoprenaline (Isoproterenol)|Emcure Pharmaceuticals</v>
      </c>
      <c r="V145" s="34" t="n">
        <f aca="false">COUNTIFS('Shortlisted Drugs X Company (7)'!$C$3:$C$698,$B145,'Shortlisted Drugs X Company (7)'!$E$3:$E$698,$S145,'Shortlisted Drugs X Company (7)'!$N$3:$N$698,"&gt;=0")</f>
        <v>2</v>
      </c>
      <c r="W145" s="34" t="n">
        <f aca="false">COUNTIFS('Shortlisted Drugs X Company (7)'!$C$3:$C$698,$B145,'Shortlisted Drugs X Company (7)'!$E$3:$E$698,$S145,'Shortlisted Drugs X Company (7)'!$N$3:$N$698,"&gt;5")</f>
        <v>2</v>
      </c>
      <c r="X145" s="34" t="n">
        <f aca="false">COUNTIFS('Shortlisted Drugs X Company (7)'!$C$3:$C$698,$B145,'Shortlisted Drugs X Company (7)'!$E$3:$E$698,$S145,'Shortlisted Drugs X Company (7)'!$P$3:$P$698,"Exact")+COUNTIFS('Shortlisted Drugs X Company (7)'!$C$3:$C$698,$B145,'Shortlisted Drugs X Company (7)'!$E$3:$E$698,$S145,'Shortlisted Drugs X Company (7)'!$P$3:$P$698,"Same-market proxy")</f>
        <v>0</v>
      </c>
      <c r="Y145" s="33" t="str">
        <f aca="false">A145&amp;"|"&amp;P145</f>
        <v>Emcure|7</v>
      </c>
      <c r="Z145" s="16" t="s">
        <v>783</v>
      </c>
      <c r="AA145" s="33" t="n">
        <f aca="false">INDEX($G$7:$G$25,MATCH(A145,$A$7:$A$25,0))</f>
        <v>5</v>
      </c>
      <c r="AB145" s="33" t="n">
        <f aca="false">IF(AE145="No","",AA145*1000+IF(P145="",900+COUNTIFS($A$29:A145,A145,$O$29:O145,"Price ≤ $5"),P145))</f>
        <v>5007</v>
      </c>
      <c r="AC145" s="33" t="n">
        <f aca="false">IF(O145&lt;&gt;"","",(4-VALUE(RIGHT(Q145,1)))*10^7+N(F145))</f>
        <v>20002931.4</v>
      </c>
      <c r="AD145" s="15" t="str">
        <f aca="false">IFERROR(INDEX('Route of Administration'!$C$5:$C$155,MATCH(B145,'Route of Administration'!$A$5:$A$155,0)),"")</f>
        <v>IV, IM, SC</v>
      </c>
      <c r="AE145" s="14" t="str">
        <f aca="false">IFERROR(INDEX('Route of Administration'!$D$5:$D$155,MATCH(B145,'Route of Administration'!$A$5:$A$155,0)),"")</f>
        <v>Yes</v>
      </c>
      <c r="AF145" s="19" t="n">
        <f aca="false">IF(V145&gt;0,ROUND(AVERAGEIFS('Shortlisted Drugs X Company (7)'!$N$3:$N$698,'Shortlisted Drugs X Company (7)'!$C$3:$C$698,$B145,'Shortlisted Drugs X Company (7)'!$E$3:$E$698,$S145,'Shortlisted Drugs X Company (7)'!$N$3:$N$698,"&gt;=0"),2),"")</f>
        <v>25.24</v>
      </c>
      <c r="AG145" s="16" t="s">
        <v>784</v>
      </c>
      <c r="AH145" s="16" t="s">
        <v>785</v>
      </c>
      <c r="AI145" s="16" t="s">
        <v>785</v>
      </c>
      <c r="AJ145" s="16" t="str">
        <f aca="false">IF(O145&lt;&gt;"","",IF(ISNUMBER(D145),IF(D145&gt;=$C$3,"High price","Lower price"),"Unpriced")&amp;" · "&amp;IF(M145&gt;=$E$3,"high volume","lower volume"))</f>
        <v>High price · lower volume</v>
      </c>
      <c r="AK145" s="15" t="str">
        <f aca="false">IF(O145&lt;&gt;"",IF(O145="Price ≤ $5","Excluded – price ≤ $5","Excluded – IV only"),IF(ISNUMBER(D145),IF(AND(D145&gt;=$C$3,L145&gt;=$H$3),"Priority 1",IF(OR(D145&gt;=$C$3,L145&gt;=$H$3),"Priority 2","Priority 3")),IF(L145&gt;=$H$3,"Priority 2","Priority 3")))</f>
        <v>Priority 2</v>
      </c>
      <c r="AL145" s="16" t="str">
        <f aca="false">IF(O145&lt;&gt;"","",IF(ISNUMBER(D145),IF(D145&gt;=$C$3,"High price","Lower price"),"Unpriced")&amp;" · "&amp;IF(L145&gt;=$H$3,"high volume","lower volume"))</f>
        <v>High price · lower volume</v>
      </c>
      <c r="AM145" s="14" t="n">
        <f aca="false">IF(O145&lt;&gt;"","",COUNTIFS($A$29:$A$361,A145,$O$29:$O$361,"",$AQ$29:$AQ$361,"&gt;"&amp;AQ145)+COUNTIFS($A$29:A145,A145,$O$29:O145,"",$AQ$29:AQ145,AQ145))</f>
        <v>8</v>
      </c>
      <c r="AN145" s="19" t="n">
        <f aca="false">IF(AND(O145="",ISNUMBER(D145)),D145,"")</f>
        <v>25.24</v>
      </c>
      <c r="AO145" s="20" t="n">
        <f aca="false">IF(O145="",M145,"")</f>
        <v>87</v>
      </c>
      <c r="AP145" s="20" t="n">
        <f aca="false">IF(O145="",L145,"")</f>
        <v>87</v>
      </c>
      <c r="AQ145" s="33" t="n">
        <f aca="false">IF(O145&lt;&gt;"","",(4-VALUE(RIGHT(AK145,1)))*10^7+N(N145))</f>
        <v>20002931.42</v>
      </c>
      <c r="AR145" s="33" t="n">
        <f aca="false">INDEX($O$7:$O$25,MATCH(A145,$I$7:$I$25,0))</f>
        <v>3</v>
      </c>
      <c r="AS145" s="33" t="n">
        <f aca="false">IF(AE145="No","",AR145*1000+IF(AM145="",900+COUNTIFS($A$29:A145,A145,$O$29:O145,"Price ≤ $5"),AM145))</f>
        <v>3008</v>
      </c>
    </row>
    <row r="146" customFormat="false" ht="41.75" hidden="false" customHeight="false" outlineLevel="0" collapsed="false">
      <c r="A146" s="15" t="s">
        <v>190</v>
      </c>
      <c r="B146" s="15" t="s">
        <v>444</v>
      </c>
      <c r="C146" s="16" t="s">
        <v>445</v>
      </c>
      <c r="D146" s="17" t="n">
        <f aca="false">IF(W146&gt;0,ROUND(AVERAGEIFS('Shortlisted Drugs X Company (7)'!$N$3:$N$698,'Shortlisted Drugs X Company (7)'!$C$3:$C$698,$B146,'Shortlisted Drugs X Company (7)'!$E$3:$E$698,$S146,'Shortlisted Drugs X Company (7)'!$N$3:$N$698,"&gt;5"),2),"")</f>
        <v>195.71</v>
      </c>
      <c r="E146" s="15" t="str">
        <f aca="false">IF(COUNTIFS('Shortlisted Drugs X Company (7)'!$C$3:$C$698,$B146,'Shortlisted Drugs X Company (7)'!$E$3:$E$698,$S146,'Shortlisted Drugs X Company (7)'!$P$3:$P$698,"Exact")&gt;0,"Exact",IF(COUNTIFS('Shortlisted Drugs X Company (7)'!$C$3:$C$698,$B146,'Shortlisted Drugs X Company (7)'!$E$3:$E$698,$S146,'Shortlisted Drugs X Company (7)'!$P$3:$P$698,"Same-market proxy")&gt;0,"Same-market proxy",IF(COUNTIFS('Shortlisted Drugs X Company (7)'!$C$3:$C$698,$B146,'Shortlisted Drugs X Company (7)'!$E$3:$E$698,$S146,'Shortlisted Drugs X Company (7)'!$P$3:$P$698,"Cross-market proxy")&gt;0,"Cross-market proxy",IF(COUNTIFS('Shortlisted Drugs X Company (7)'!$C$3:$C$698,$B146,'Shortlisted Drugs X Company (7)'!$E$3:$E$698,$S146,'Shortlisted Drugs X Company (7)'!$P$3:$P$698,"Source not found")&gt;0,"Source not found","Not priced"))))</f>
        <v>Exact</v>
      </c>
      <c r="F146" s="18" t="n">
        <f aca="false">IFERROR(ROUND(INDEX('Injectable Value'!$AA$28:$AA$178,MATCH(B146,'Injectable Value'!$A$28:$A$178,0)),1),"")</f>
        <v>2886</v>
      </c>
      <c r="G146" s="16" t="s">
        <v>505</v>
      </c>
      <c r="H146" s="14" t="n">
        <v>18</v>
      </c>
      <c r="I146" s="15" t="s">
        <v>248</v>
      </c>
      <c r="J146" s="15" t="s">
        <v>249</v>
      </c>
      <c r="K146" s="16" t="str">
        <f aca="false">"Cancer drug (cytotoxic) – less relevant; Reconstitution"&amp;IF(V146=0,"; Unpriced","")&amp;IF(AND(V146&gt;0,W146=0,X146=0),"; Low price from another market – confirm with company","")</f>
        <v>Cancer drug (cytotoxic) – less relevant; Reconstitution</v>
      </c>
      <c r="L146" s="18" t="n">
        <f aca="false">IFERROR(INDEX('Shortlisted Drugs X Company (7)'!$K$3:$K$698,MATCH(B146,'Shortlisted Drugs X Company (7)'!$C$3:$C$698,0)),"")</f>
        <v>257</v>
      </c>
      <c r="M146" s="18" t="n">
        <f aca="false">IFERROR(ROUND(L146*INDEX('Injectable Value'!$Z$28:$Z$178,MATCH(B146,'Injectable Value'!$A$28:$A$178,0)),0),"")</f>
        <v>177</v>
      </c>
      <c r="N146" s="18" t="n">
        <f aca="false">IFERROR(INDEX('Shortlisted Drugs X Company (7)'!$L$3:$L$698,MATCH(B146,'Shortlisted Drugs X Company (7)'!$C$3:$C$698,0)),"")</f>
        <v>4183.29</v>
      </c>
      <c r="O146" s="15" t="str">
        <f aca="false">IF(AE146="No","IV only (not ID/IM/SC)",IF(AND(V146&gt;0,W146=0),"Price ≤ $5",""))</f>
        <v>IV only (not ID/IM/SC)</v>
      </c>
      <c r="P146" s="14" t="str">
        <f aca="false">IF(O146&lt;&gt;"","",COUNTIFS($A$29:$A$361,A146,$O$29:$O$361,"",$AC$29:$AC$361,"&gt;"&amp;AC146)+COUNTIFS($A$29:A146,A146,$O$29:O146,"",$AC$29:AC146,AC146))</f>
        <v/>
      </c>
      <c r="Q146" s="15" t="str">
        <f aca="false">IF(O146&lt;&gt;"",IF(O146="Price ≤ $5","Excluded – price ≤ $5","Excluded – IV only"),IF(ISNUMBER(D146),IF(AND(D146&gt;=$C$3,M146&gt;=$E$3),"Priority 1",IF(OR(D146&gt;=$C$3,M146&gt;=$E$3),"Priority 2","Priority 3")),IF(M146&gt;=$E$3,"Priority 2","Priority 3")))</f>
        <v>Excluded – IV only</v>
      </c>
      <c r="R146" s="16" t="s">
        <v>250</v>
      </c>
      <c r="S146" s="15" t="s">
        <v>741</v>
      </c>
      <c r="T146" s="32" t="s">
        <v>447</v>
      </c>
      <c r="U146" s="33" t="str">
        <f aca="false">B146&amp;"|"&amp;S146</f>
        <v>Melphalan|Emcure Pharmaceuticals</v>
      </c>
      <c r="V146" s="34" t="n">
        <f aca="false">COUNTIFS('Shortlisted Drugs X Company (7)'!$C$3:$C$698,$B146,'Shortlisted Drugs X Company (7)'!$E$3:$E$698,$S146,'Shortlisted Drugs X Company (7)'!$N$3:$N$698,"&gt;=0")</f>
        <v>4</v>
      </c>
      <c r="W146" s="34" t="n">
        <f aca="false">COUNTIFS('Shortlisted Drugs X Company (7)'!$C$3:$C$698,$B146,'Shortlisted Drugs X Company (7)'!$E$3:$E$698,$S146,'Shortlisted Drugs X Company (7)'!$N$3:$N$698,"&gt;5")</f>
        <v>4</v>
      </c>
      <c r="X146" s="34" t="n">
        <f aca="false">COUNTIFS('Shortlisted Drugs X Company (7)'!$C$3:$C$698,$B146,'Shortlisted Drugs X Company (7)'!$E$3:$E$698,$S146,'Shortlisted Drugs X Company (7)'!$P$3:$P$698,"Exact")+COUNTIFS('Shortlisted Drugs X Company (7)'!$C$3:$C$698,$B146,'Shortlisted Drugs X Company (7)'!$E$3:$E$698,$S146,'Shortlisted Drugs X Company (7)'!$P$3:$P$698,"Same-market proxy")</f>
        <v>4</v>
      </c>
      <c r="Y146" s="33" t="str">
        <f aca="false">A146&amp;"|"&amp;P146</f>
        <v>Emcure|</v>
      </c>
      <c r="Z146" s="16" t="s">
        <v>448</v>
      </c>
      <c r="AA146" s="33" t="n">
        <f aca="false">INDEX($G$7:$G$25,MATCH(A146,$A$7:$A$25,0))</f>
        <v>5</v>
      </c>
      <c r="AB146" s="33" t="str">
        <f aca="false">IF(AE146="No","",AA146*1000+IF(P146="",900+COUNTIFS($A$29:A146,A146,$O$29:O146,"Price ≤ $5"),P146))</f>
        <v/>
      </c>
      <c r="AC146" s="33" t="str">
        <f aca="false">IF(O146&lt;&gt;"","",(4-VALUE(RIGHT(Q146,1)))*10^7+N(F146))</f>
        <v/>
      </c>
      <c r="AD146" s="15" t="str">
        <f aca="false">IFERROR(INDEX('Route of Administration'!$C$5:$C$155,MATCH(B146,'Route of Administration'!$A$5:$A$155,0)),"")</f>
        <v>IV</v>
      </c>
      <c r="AE146" s="14" t="str">
        <f aca="false">IFERROR(INDEX('Route of Administration'!$D$5:$D$155,MATCH(B146,'Route of Administration'!$A$5:$A$155,0)),"")</f>
        <v>No</v>
      </c>
      <c r="AF146" s="19" t="n">
        <f aca="false">IF(V146&gt;0,ROUND(AVERAGEIFS('Shortlisted Drugs X Company (7)'!$N$3:$N$698,'Shortlisted Drugs X Company (7)'!$C$3:$C$698,$B146,'Shortlisted Drugs X Company (7)'!$E$3:$E$698,$S146,'Shortlisted Drugs X Company (7)'!$N$3:$N$698,"&gt;=0"),2),"")</f>
        <v>195.71</v>
      </c>
      <c r="AG146" s="16" t="s">
        <v>786</v>
      </c>
      <c r="AH146" s="16" t="s">
        <v>787</v>
      </c>
      <c r="AI146" s="16" t="s">
        <v>788</v>
      </c>
      <c r="AJ146" s="16" t="str">
        <f aca="false">IF(O146&lt;&gt;"","",IF(ISNUMBER(D146),IF(D146&gt;=$C$3,"High price","Lower price"),"Unpriced")&amp;" · "&amp;IF(M146&gt;=$E$3,"high volume","lower volume"))</f>
        <v/>
      </c>
      <c r="AK146" s="15" t="str">
        <f aca="false">IF(O146&lt;&gt;"",IF(O146="Price ≤ $5","Excluded – price ≤ $5","Excluded – IV only"),IF(ISNUMBER(D146),IF(AND(D146&gt;=$C$3,L146&gt;=$H$3),"Priority 1",IF(OR(D146&gt;=$C$3,L146&gt;=$H$3),"Priority 2","Priority 3")),IF(L146&gt;=$H$3,"Priority 2","Priority 3")))</f>
        <v>Excluded – IV only</v>
      </c>
      <c r="AL146" s="16" t="str">
        <f aca="false">IF(O146&lt;&gt;"","",IF(ISNUMBER(D146),IF(D146&gt;=$C$3,"High price","Lower price"),"Unpriced")&amp;" · "&amp;IF(L146&gt;=$H$3,"high volume","lower volume"))</f>
        <v/>
      </c>
      <c r="AM146" s="14" t="str">
        <f aca="false">IF(O146&lt;&gt;"","",COUNTIFS($A$29:$A$361,A146,$O$29:$O$361,"",$AQ$29:$AQ$361,"&gt;"&amp;AQ146)+COUNTIFS($A$29:A146,A146,$O$29:O146,"",$AQ$29:AQ146,AQ146))</f>
        <v/>
      </c>
      <c r="AN146" s="33" t="str">
        <f aca="false">IF(AND(O146="",ISNUMBER(D146)),D146,"")</f>
        <v/>
      </c>
      <c r="AO146" s="33" t="str">
        <f aca="false">IF(O146="",M146,"")</f>
        <v/>
      </c>
      <c r="AP146" s="33" t="str">
        <f aca="false">IF(O146="",L146,"")</f>
        <v/>
      </c>
      <c r="AQ146" s="33" t="str">
        <f aca="false">IF(O146&lt;&gt;"","",(4-VALUE(RIGHT(AK146,1)))*10^7+N(N146))</f>
        <v/>
      </c>
      <c r="AR146" s="33" t="n">
        <f aca="false">INDEX($O$7:$O$25,MATCH(A146,$I$7:$I$25,0))</f>
        <v>3</v>
      </c>
      <c r="AS146" s="33" t="str">
        <f aca="false">IF(AE146="No","",AR146*1000+IF(AM146="",900+COUNTIFS($A$29:A146,A146,$O$29:O146,"Price ≤ $5"),AM146))</f>
        <v/>
      </c>
    </row>
    <row r="147" customFormat="false" ht="28.35" hidden="false" customHeight="false" outlineLevel="0" collapsed="false">
      <c r="A147" s="15" t="s">
        <v>190</v>
      </c>
      <c r="B147" s="15" t="s">
        <v>789</v>
      </c>
      <c r="C147" s="16" t="s">
        <v>790</v>
      </c>
      <c r="D147" s="17" t="n">
        <f aca="false">IF(W147&gt;0,ROUND(AVERAGEIFS('Shortlisted Drugs X Company (7)'!$N$3:$N$698,'Shortlisted Drugs X Company (7)'!$C$3:$C$698,$B147,'Shortlisted Drugs X Company (7)'!$E$3:$E$698,$S147,'Shortlisted Drugs X Company (7)'!$N$3:$N$698,"&gt;5"),2),"")</f>
        <v>22.38</v>
      </c>
      <c r="E147" s="15" t="str">
        <f aca="false">IF(COUNTIFS('Shortlisted Drugs X Company (7)'!$C$3:$C$698,$B147,'Shortlisted Drugs X Company (7)'!$E$3:$E$698,$S147,'Shortlisted Drugs X Company (7)'!$P$3:$P$698,"Exact")&gt;0,"Exact",IF(COUNTIFS('Shortlisted Drugs X Company (7)'!$C$3:$C$698,$B147,'Shortlisted Drugs X Company (7)'!$E$3:$E$698,$S147,'Shortlisted Drugs X Company (7)'!$P$3:$P$698,"Same-market proxy")&gt;0,"Same-market proxy",IF(COUNTIFS('Shortlisted Drugs X Company (7)'!$C$3:$C$698,$B147,'Shortlisted Drugs X Company (7)'!$E$3:$E$698,$S147,'Shortlisted Drugs X Company (7)'!$P$3:$P$698,"Cross-market proxy")&gt;0,"Cross-market proxy",IF(COUNTIFS('Shortlisted Drugs X Company (7)'!$C$3:$C$698,$B147,'Shortlisted Drugs X Company (7)'!$E$3:$E$698,$S147,'Shortlisted Drugs X Company (7)'!$P$3:$P$698,"Source not found")&gt;0,"Source not found","Not priced"))))</f>
        <v>Exact</v>
      </c>
      <c r="F147" s="18" t="n">
        <f aca="false">IFERROR(ROUND(INDEX('Injectable Value'!$AA$28:$AA$178,MATCH(B147,'Injectable Value'!$A$28:$A$178,0)),1),"")</f>
        <v>4036.6</v>
      </c>
      <c r="G147" s="16" t="s">
        <v>754</v>
      </c>
      <c r="H147" s="14" t="n">
        <v>7</v>
      </c>
      <c r="I147" s="15" t="s">
        <v>248</v>
      </c>
      <c r="J147" s="15" t="s">
        <v>249</v>
      </c>
      <c r="K147" s="16" t="str">
        <f aca="false">""&amp;IF(V147=0,"Unpriced","")&amp;IF(AND(V147&gt;0,W147=0,X147=0),"Low price from another market – confirm with company","")</f>
        <v/>
      </c>
      <c r="L147" s="18" t="n">
        <f aca="false">IFERROR(INDEX('Shortlisted Drugs X Company (7)'!$K$3:$K$698,MATCH(B147,'Shortlisted Drugs X Company (7)'!$C$3:$C$698,0)),"")</f>
        <v>133</v>
      </c>
      <c r="M147" s="18" t="n">
        <f aca="false">IFERROR(ROUND(L147*INDEX('Injectable Value'!$Z$28:$Z$178,MATCH(B147,'Injectable Value'!$A$28:$A$178,0)),0),"")</f>
        <v>133</v>
      </c>
      <c r="N147" s="18" t="n">
        <f aca="false">IFERROR(INDEX('Shortlisted Drugs X Company (7)'!$L$3:$L$698,MATCH(B147,'Shortlisted Drugs X Company (7)'!$C$3:$C$698,0)),"")</f>
        <v>4036.55</v>
      </c>
      <c r="O147" s="15" t="str">
        <f aca="false">IF(AE147="No","IV only (not ID/IM/SC)",IF(AND(V147&gt;0,W147=0),"Price ≤ $5",""))</f>
        <v>IV only (not ID/IM/SC)</v>
      </c>
      <c r="P147" s="14" t="str">
        <f aca="false">IF(O147&lt;&gt;"","",COUNTIFS($A$29:$A$361,A147,$O$29:$O$361,"",$AC$29:$AC$361,"&gt;"&amp;AC147)+COUNTIFS($A$29:A147,A147,$O$29:O147,"",$AC$29:AC147,AC147))</f>
        <v/>
      </c>
      <c r="Q147" s="15" t="str">
        <f aca="false">IF(O147&lt;&gt;"",IF(O147="Price ≤ $5","Excluded – price ≤ $5","Excluded – IV only"),IF(ISNUMBER(D147),IF(AND(D147&gt;=$C$3,M147&gt;=$E$3),"Priority 1",IF(OR(D147&gt;=$C$3,M147&gt;=$E$3),"Priority 2","Priority 3")),IF(M147&gt;=$E$3,"Priority 2","Priority 3")))</f>
        <v>Excluded – IV only</v>
      </c>
      <c r="R147" s="16" t="s">
        <v>250</v>
      </c>
      <c r="S147" s="15" t="s">
        <v>741</v>
      </c>
      <c r="T147" s="32" t="s">
        <v>791</v>
      </c>
      <c r="U147" s="33" t="str">
        <f aca="false">B147&amp;"|"&amp;S147</f>
        <v>Milrinone|Emcure Pharmaceuticals</v>
      </c>
      <c r="V147" s="34" t="n">
        <f aca="false">COUNTIFS('Shortlisted Drugs X Company (7)'!$C$3:$C$698,$B147,'Shortlisted Drugs X Company (7)'!$E$3:$E$698,$S147,'Shortlisted Drugs X Company (7)'!$N$3:$N$698,"&gt;=0")</f>
        <v>2</v>
      </c>
      <c r="W147" s="34" t="n">
        <f aca="false">COUNTIFS('Shortlisted Drugs X Company (7)'!$C$3:$C$698,$B147,'Shortlisted Drugs X Company (7)'!$E$3:$E$698,$S147,'Shortlisted Drugs X Company (7)'!$N$3:$N$698,"&gt;5")</f>
        <v>2</v>
      </c>
      <c r="X147" s="34" t="n">
        <f aca="false">COUNTIFS('Shortlisted Drugs X Company (7)'!$C$3:$C$698,$B147,'Shortlisted Drugs X Company (7)'!$E$3:$E$698,$S147,'Shortlisted Drugs X Company (7)'!$P$3:$P$698,"Exact")+COUNTIFS('Shortlisted Drugs X Company (7)'!$C$3:$C$698,$B147,'Shortlisted Drugs X Company (7)'!$E$3:$E$698,$S147,'Shortlisted Drugs X Company (7)'!$P$3:$P$698,"Same-market proxy")</f>
        <v>2</v>
      </c>
      <c r="Y147" s="33" t="str">
        <f aca="false">A147&amp;"|"&amp;P147</f>
        <v>Emcure|</v>
      </c>
      <c r="Z147" s="16" t="s">
        <v>659</v>
      </c>
      <c r="AA147" s="33" t="n">
        <f aca="false">INDEX($G$7:$G$25,MATCH(A147,$A$7:$A$25,0))</f>
        <v>5</v>
      </c>
      <c r="AB147" s="33" t="str">
        <f aca="false">IF(AE147="No","",AA147*1000+IF(P147="",900+COUNTIFS($A$29:A147,A147,$O$29:O147,"Price ≤ $5"),P147))</f>
        <v/>
      </c>
      <c r="AC147" s="33" t="str">
        <f aca="false">IF(O147&lt;&gt;"","",(4-VALUE(RIGHT(Q147,1)))*10^7+N(F147))</f>
        <v/>
      </c>
      <c r="AD147" s="15" t="str">
        <f aca="false">IFERROR(INDEX('Route of Administration'!$C$5:$C$155,MATCH(B147,'Route of Administration'!$A$5:$A$155,0)),"")</f>
        <v>IV</v>
      </c>
      <c r="AE147" s="14" t="str">
        <f aca="false">IFERROR(INDEX('Route of Administration'!$D$5:$D$155,MATCH(B147,'Route of Administration'!$A$5:$A$155,0)),"")</f>
        <v>No</v>
      </c>
      <c r="AF147" s="19" t="n">
        <f aca="false">IF(V147&gt;0,ROUND(AVERAGEIFS('Shortlisted Drugs X Company (7)'!$N$3:$N$698,'Shortlisted Drugs X Company (7)'!$C$3:$C$698,$B147,'Shortlisted Drugs X Company (7)'!$E$3:$E$698,$S147,'Shortlisted Drugs X Company (7)'!$N$3:$N$698,"&gt;=0"),2),"")</f>
        <v>22.38</v>
      </c>
      <c r="AG147" s="16" t="s">
        <v>792</v>
      </c>
      <c r="AH147" s="16" t="s">
        <v>793</v>
      </c>
      <c r="AI147" s="16" t="s">
        <v>793</v>
      </c>
      <c r="AJ147" s="16" t="str">
        <f aca="false">IF(O147&lt;&gt;"","",IF(ISNUMBER(D147),IF(D147&gt;=$C$3,"High price","Lower price"),"Unpriced")&amp;" · "&amp;IF(M147&gt;=$E$3,"high volume","lower volume"))</f>
        <v/>
      </c>
      <c r="AK147" s="15" t="str">
        <f aca="false">IF(O147&lt;&gt;"",IF(O147="Price ≤ $5","Excluded – price ≤ $5","Excluded – IV only"),IF(ISNUMBER(D147),IF(AND(D147&gt;=$C$3,L147&gt;=$H$3),"Priority 1",IF(OR(D147&gt;=$C$3,L147&gt;=$H$3),"Priority 2","Priority 3")),IF(L147&gt;=$H$3,"Priority 2","Priority 3")))</f>
        <v>Excluded – IV only</v>
      </c>
      <c r="AL147" s="16" t="str">
        <f aca="false">IF(O147&lt;&gt;"","",IF(ISNUMBER(D147),IF(D147&gt;=$C$3,"High price","Lower price"),"Unpriced")&amp;" · "&amp;IF(L147&gt;=$H$3,"high volume","lower volume"))</f>
        <v/>
      </c>
      <c r="AM147" s="14" t="str">
        <f aca="false">IF(O147&lt;&gt;"","",COUNTIFS($A$29:$A$361,A147,$O$29:$O$361,"",$AQ$29:$AQ$361,"&gt;"&amp;AQ147)+COUNTIFS($A$29:A147,A147,$O$29:O147,"",$AQ$29:AQ147,AQ147))</f>
        <v/>
      </c>
      <c r="AN147" s="33" t="str">
        <f aca="false">IF(AND(O147="",ISNUMBER(D147)),D147,"")</f>
        <v/>
      </c>
      <c r="AO147" s="33" t="str">
        <f aca="false">IF(O147="",M147,"")</f>
        <v/>
      </c>
      <c r="AP147" s="33" t="str">
        <f aca="false">IF(O147="",L147,"")</f>
        <v/>
      </c>
      <c r="AQ147" s="33" t="str">
        <f aca="false">IF(O147&lt;&gt;"","",(4-VALUE(RIGHT(AK147,1)))*10^7+N(N147))</f>
        <v/>
      </c>
      <c r="AR147" s="33" t="n">
        <f aca="false">INDEX($O$7:$O$25,MATCH(A147,$I$7:$I$25,0))</f>
        <v>3</v>
      </c>
      <c r="AS147" s="33" t="str">
        <f aca="false">IF(AE147="No","",AR147*1000+IF(AM147="",900+COUNTIFS($A$29:A147,A147,$O$29:O147,"Price ≤ $5"),AM147))</f>
        <v/>
      </c>
    </row>
    <row r="148" customFormat="false" ht="41.75" hidden="false" customHeight="false" outlineLevel="0" collapsed="false">
      <c r="A148" s="15" t="s">
        <v>190</v>
      </c>
      <c r="B148" s="15" t="s">
        <v>714</v>
      </c>
      <c r="C148" s="16" t="s">
        <v>715</v>
      </c>
      <c r="D148" s="17" t="n">
        <f aca="false">IF(W148&gt;0,ROUND(AVERAGEIFS('Shortlisted Drugs X Company (7)'!$N$3:$N$698,'Shortlisted Drugs X Company (7)'!$C$3:$C$698,$B148,'Shortlisted Drugs X Company (7)'!$E$3:$E$698,$S148,'Shortlisted Drugs X Company (7)'!$N$3:$N$698,"&gt;5"),2),"")</f>
        <v>7.98</v>
      </c>
      <c r="E148" s="15" t="str">
        <f aca="false">IF(COUNTIFS('Shortlisted Drugs X Company (7)'!$C$3:$C$698,$B148,'Shortlisted Drugs X Company (7)'!$E$3:$E$698,$S148,'Shortlisted Drugs X Company (7)'!$P$3:$P$698,"Exact")&gt;0,"Exact",IF(COUNTIFS('Shortlisted Drugs X Company (7)'!$C$3:$C$698,$B148,'Shortlisted Drugs X Company (7)'!$E$3:$E$698,$S148,'Shortlisted Drugs X Company (7)'!$P$3:$P$698,"Same-market proxy")&gt;0,"Same-market proxy",IF(COUNTIFS('Shortlisted Drugs X Company (7)'!$C$3:$C$698,$B148,'Shortlisted Drugs X Company (7)'!$E$3:$E$698,$S148,'Shortlisted Drugs X Company (7)'!$P$3:$P$698,"Cross-market proxy")&gt;0,"Cross-market proxy",IF(COUNTIFS('Shortlisted Drugs X Company (7)'!$C$3:$C$698,$B148,'Shortlisted Drugs X Company (7)'!$E$3:$E$698,$S148,'Shortlisted Drugs X Company (7)'!$P$3:$P$698,"Source not found")&gt;0,"Source not found","Not priced"))))</f>
        <v>Same-market proxy</v>
      </c>
      <c r="F148" s="18" t="n">
        <f aca="false">IFERROR(ROUND(INDEX('Injectable Value'!$AA$28:$AA$178,MATCH(B148,'Injectable Value'!$A$28:$A$178,0)),1),"")</f>
        <v>1830.5</v>
      </c>
      <c r="G148" s="16" t="s">
        <v>429</v>
      </c>
      <c r="H148" s="14" t="n">
        <v>1</v>
      </c>
      <c r="I148" s="15" t="s">
        <v>248</v>
      </c>
      <c r="J148" s="15" t="s">
        <v>249</v>
      </c>
      <c r="K148" s="16" t="str">
        <f aca="false">""&amp;IF(V148=0,"Unpriced","")&amp;IF(AND(V148&gt;0,W148=0,X148=0),"Low price from another market – confirm with company","")</f>
        <v/>
      </c>
      <c r="L148" s="18" t="n">
        <f aca="false">IFERROR(INDEX('Shortlisted Drugs X Company (7)'!$K$3:$K$698,MATCH(B148,'Shortlisted Drugs X Company (7)'!$C$3:$C$698,0)),"")</f>
        <v>236</v>
      </c>
      <c r="M148" s="18" t="n">
        <f aca="false">IFERROR(ROUND(L148*INDEX('Injectable Value'!$Z$28:$Z$178,MATCH(B148,'Injectable Value'!$A$28:$A$178,0)),0),"")</f>
        <v>234</v>
      </c>
      <c r="N148" s="18" t="n">
        <f aca="false">IFERROR(INDEX('Shortlisted Drugs X Company (7)'!$L$3:$L$698,MATCH(B148,'Shortlisted Drugs X Company (7)'!$C$3:$C$698,0)),"")</f>
        <v>1845.67</v>
      </c>
      <c r="O148" s="15" t="str">
        <f aca="false">IF(AE148="No","IV only (not ID/IM/SC)",IF(AND(V148&gt;0,W148=0),"Price ≤ $5",""))</f>
        <v/>
      </c>
      <c r="P148" s="14" t="n">
        <f aca="false">IF(O148&lt;&gt;"","",COUNTIFS($A$29:$A$361,A148,$O$29:$O$361,"",$AC$29:$AC$361,"&gt;"&amp;AC148)+COUNTIFS($A$29:A148,A148,$O$29:O148,"",$AC$29:AC148,AC148))</f>
        <v>8</v>
      </c>
      <c r="Q148" s="15" t="str">
        <f aca="false">IF(O148&lt;&gt;"",IF(O148="Price ≤ $5","Excluded – price ≤ $5","Excluded – IV only"),IF(ISNUMBER(D148),IF(AND(D148&gt;=$C$3,M148&gt;=$E$3),"Priority 1",IF(OR(D148&gt;=$C$3,M148&gt;=$E$3),"Priority 2","Priority 3")),IF(M148&gt;=$E$3,"Priority 2","Priority 3")))</f>
        <v>Priority 2</v>
      </c>
      <c r="R148" s="16" t="s">
        <v>285</v>
      </c>
      <c r="S148" s="15" t="s">
        <v>741</v>
      </c>
      <c r="T148" s="32" t="s">
        <v>716</v>
      </c>
      <c r="U148" s="33" t="str">
        <f aca="false">B148&amp;"|"&amp;S148</f>
        <v>Neostigmine|Emcure Pharmaceuticals</v>
      </c>
      <c r="V148" s="34" t="n">
        <f aca="false">COUNTIFS('Shortlisted Drugs X Company (7)'!$C$3:$C$698,$B148,'Shortlisted Drugs X Company (7)'!$E$3:$E$698,$S148,'Shortlisted Drugs X Company (7)'!$N$3:$N$698,"&gt;=0")</f>
        <v>2</v>
      </c>
      <c r="W148" s="34" t="n">
        <f aca="false">COUNTIFS('Shortlisted Drugs X Company (7)'!$C$3:$C$698,$B148,'Shortlisted Drugs X Company (7)'!$E$3:$E$698,$S148,'Shortlisted Drugs X Company (7)'!$N$3:$N$698,"&gt;5")</f>
        <v>2</v>
      </c>
      <c r="X148" s="34" t="n">
        <f aca="false">COUNTIFS('Shortlisted Drugs X Company (7)'!$C$3:$C$698,$B148,'Shortlisted Drugs X Company (7)'!$E$3:$E$698,$S148,'Shortlisted Drugs X Company (7)'!$P$3:$P$698,"Exact")+COUNTIFS('Shortlisted Drugs X Company (7)'!$C$3:$C$698,$B148,'Shortlisted Drugs X Company (7)'!$E$3:$E$698,$S148,'Shortlisted Drugs X Company (7)'!$P$3:$P$698,"Same-market proxy")</f>
        <v>2</v>
      </c>
      <c r="Y148" s="33" t="str">
        <f aca="false">A148&amp;"|"&amp;P148</f>
        <v>Emcure|8</v>
      </c>
      <c r="Z148" s="16" t="s">
        <v>794</v>
      </c>
      <c r="AA148" s="33" t="n">
        <f aca="false">INDEX($G$7:$G$25,MATCH(A148,$A$7:$A$25,0))</f>
        <v>5</v>
      </c>
      <c r="AB148" s="33" t="n">
        <f aca="false">IF(AE148="No","",AA148*1000+IF(P148="",900+COUNTIFS($A$29:A148,A148,$O$29:O148,"Price ≤ $5"),P148))</f>
        <v>5008</v>
      </c>
      <c r="AC148" s="33" t="n">
        <f aca="false">IF(O148&lt;&gt;"","",(4-VALUE(RIGHT(Q148,1)))*10^7+N(F148))</f>
        <v>20001830.5</v>
      </c>
      <c r="AD148" s="15" t="str">
        <f aca="false">IFERROR(INDEX('Route of Administration'!$C$5:$C$155,MATCH(B148,'Route of Administration'!$A$5:$A$155,0)),"")</f>
        <v>IV, SC, IM</v>
      </c>
      <c r="AE148" s="14" t="str">
        <f aca="false">IFERROR(INDEX('Route of Administration'!$D$5:$D$155,MATCH(B148,'Route of Administration'!$A$5:$A$155,0)),"")</f>
        <v>Yes</v>
      </c>
      <c r="AF148" s="19" t="n">
        <f aca="false">IF(V148&gt;0,ROUND(AVERAGEIFS('Shortlisted Drugs X Company (7)'!$N$3:$N$698,'Shortlisted Drugs X Company (7)'!$C$3:$C$698,$B148,'Shortlisted Drugs X Company (7)'!$E$3:$E$698,$S148,'Shortlisted Drugs X Company (7)'!$N$3:$N$698,"&gt;=0"),2),"")</f>
        <v>7.98</v>
      </c>
      <c r="AG148" s="16" t="s">
        <v>718</v>
      </c>
      <c r="AH148" s="16" t="s">
        <v>433</v>
      </c>
      <c r="AI148" s="16" t="s">
        <v>433</v>
      </c>
      <c r="AJ148" s="16" t="str">
        <f aca="false">IF(O148&lt;&gt;"","",IF(ISNUMBER(D148),IF(D148&gt;=$C$3,"High price","Lower price"),"Unpriced")&amp;" · "&amp;IF(M148&gt;=$E$3,"high volume","lower volume"))</f>
        <v>Lower price · high volume</v>
      </c>
      <c r="AK148" s="15" t="str">
        <f aca="false">IF(O148&lt;&gt;"",IF(O148="Price ≤ $5","Excluded – price ≤ $5","Excluded – IV only"),IF(ISNUMBER(D148),IF(AND(D148&gt;=$C$3,L148&gt;=$H$3),"Priority 1",IF(OR(D148&gt;=$C$3,L148&gt;=$H$3),"Priority 2","Priority 3")),IF(L148&gt;=$H$3,"Priority 2","Priority 3")))</f>
        <v>Priority 3</v>
      </c>
      <c r="AL148" s="16" t="str">
        <f aca="false">IF(O148&lt;&gt;"","",IF(ISNUMBER(D148),IF(D148&gt;=$C$3,"High price","Lower price"),"Unpriced")&amp;" · "&amp;IF(L148&gt;=$H$3,"high volume","lower volume"))</f>
        <v>Lower price · lower volume</v>
      </c>
      <c r="AM148" s="14" t="n">
        <f aca="false">IF(O148&lt;&gt;"","",COUNTIFS($A$29:$A$361,A148,$O$29:$O$361,"",$AQ$29:$AQ$361,"&gt;"&amp;AQ148)+COUNTIFS($A$29:A148,A148,$O$29:O148,"",$AQ$29:AQ148,AQ148))</f>
        <v>11</v>
      </c>
      <c r="AN148" s="19" t="n">
        <f aca="false">IF(AND(O148="",ISNUMBER(D148)),D148,"")</f>
        <v>7.98</v>
      </c>
      <c r="AO148" s="20" t="n">
        <f aca="false">IF(O148="",M148,"")</f>
        <v>234</v>
      </c>
      <c r="AP148" s="20" t="n">
        <f aca="false">IF(O148="",L148,"")</f>
        <v>236</v>
      </c>
      <c r="AQ148" s="33" t="n">
        <f aca="false">IF(O148&lt;&gt;"","",(4-VALUE(RIGHT(AK148,1)))*10^7+N(N148))</f>
        <v>10001845.67</v>
      </c>
      <c r="AR148" s="33" t="n">
        <f aca="false">INDEX($O$7:$O$25,MATCH(A148,$I$7:$I$25,0))</f>
        <v>3</v>
      </c>
      <c r="AS148" s="33" t="n">
        <f aca="false">IF(AE148="No","",AR148*1000+IF(AM148="",900+COUNTIFS($A$29:A148,A148,$O$29:O148,"Price ≤ $5"),AM148))</f>
        <v>3011</v>
      </c>
    </row>
    <row r="149" customFormat="false" ht="41.75" hidden="false" customHeight="false" outlineLevel="0" collapsed="false">
      <c r="A149" s="15" t="s">
        <v>190</v>
      </c>
      <c r="B149" s="15" t="s">
        <v>487</v>
      </c>
      <c r="C149" s="16" t="s">
        <v>488</v>
      </c>
      <c r="D149" s="17" t="n">
        <f aca="false">IF(W149&gt;0,ROUND(AVERAGEIFS('Shortlisted Drugs X Company (7)'!$N$3:$N$698,'Shortlisted Drugs X Company (7)'!$C$3:$C$698,$B149,'Shortlisted Drugs X Company (7)'!$E$3:$E$698,$S149,'Shortlisted Drugs X Company (7)'!$N$3:$N$698,"&gt;5"),2),"")</f>
        <v>5.32</v>
      </c>
      <c r="E149" s="15" t="str">
        <f aca="false">IF(COUNTIFS('Shortlisted Drugs X Company (7)'!$C$3:$C$698,$B149,'Shortlisted Drugs X Company (7)'!$E$3:$E$698,$S149,'Shortlisted Drugs X Company (7)'!$P$3:$P$698,"Exact")&gt;0,"Exact",IF(COUNTIFS('Shortlisted Drugs X Company (7)'!$C$3:$C$698,$B149,'Shortlisted Drugs X Company (7)'!$E$3:$E$698,$S149,'Shortlisted Drugs X Company (7)'!$P$3:$P$698,"Same-market proxy")&gt;0,"Same-market proxy",IF(COUNTIFS('Shortlisted Drugs X Company (7)'!$C$3:$C$698,$B149,'Shortlisted Drugs X Company (7)'!$E$3:$E$698,$S149,'Shortlisted Drugs X Company (7)'!$P$3:$P$698,"Cross-market proxy")&gt;0,"Cross-market proxy",IF(COUNTIFS('Shortlisted Drugs X Company (7)'!$C$3:$C$698,$B149,'Shortlisted Drugs X Company (7)'!$E$3:$E$698,$S149,'Shortlisted Drugs X Company (7)'!$P$3:$P$698,"Source not found")&gt;0,"Source not found","Not priced"))))</f>
        <v>Cross-market proxy</v>
      </c>
      <c r="F149" s="18" t="n">
        <f aca="false">IFERROR(ROUND(INDEX('Injectable Value'!$AA$28:$AA$178,MATCH(B149,'Injectable Value'!$A$28:$A$178,0)),1),"")</f>
        <v>17590.5</v>
      </c>
      <c r="G149" s="16" t="s">
        <v>418</v>
      </c>
      <c r="H149" s="14" t="n">
        <v>1</v>
      </c>
      <c r="I149" s="15" t="s">
        <v>316</v>
      </c>
      <c r="J149" s="15" t="s">
        <v>249</v>
      </c>
      <c r="K149" s="16" t="str">
        <f aca="false">""&amp;IF(V149=0,"Unpriced","")&amp;IF(AND(V149&gt;0,W149=0,X149=0),"Low price from another market – confirm with company","")</f>
        <v/>
      </c>
      <c r="L149" s="18" t="n">
        <f aca="false">IFERROR(INDEX('Shortlisted Drugs X Company (7)'!$K$3:$K$698,MATCH(B149,'Shortlisted Drugs X Company (7)'!$C$3:$C$698,0)),"")</f>
        <v>2546</v>
      </c>
      <c r="M149" s="18" t="n">
        <f aca="false">IFERROR(ROUND(L149*INDEX('Injectable Value'!$Z$28:$Z$178,MATCH(B149,'Injectable Value'!$A$28:$A$178,0)),0),"")</f>
        <v>963</v>
      </c>
      <c r="N149" s="18" t="n">
        <f aca="false">IFERROR(INDEX('Shortlisted Drugs X Company (7)'!$L$3:$L$698,MATCH(B149,'Shortlisted Drugs X Company (7)'!$C$3:$C$698,0)),"")</f>
        <v>46507.62</v>
      </c>
      <c r="O149" s="15" t="str">
        <f aca="false">IF(AE149="No","IV only (not ID/IM/SC)",IF(AND(V149&gt;0,W149=0),"Price ≤ $5",""))</f>
        <v/>
      </c>
      <c r="P149" s="14" t="n">
        <f aca="false">IF(O149&lt;&gt;"","",COUNTIFS($A$29:$A$361,A149,$O$29:$O$361,"",$AC$29:$AC$361,"&gt;"&amp;AC149)+COUNTIFS($A$29:A149,A149,$O$29:O149,"",$AC$29:AC149,AC149))</f>
        <v>5</v>
      </c>
      <c r="Q149" s="15" t="str">
        <f aca="false">IF(O149&lt;&gt;"",IF(O149="Price ≤ $5","Excluded – price ≤ $5","Excluded – IV only"),IF(ISNUMBER(D149),IF(AND(D149&gt;=$C$3,M149&gt;=$E$3),"Priority 1",IF(OR(D149&gt;=$C$3,M149&gt;=$E$3),"Priority 2","Priority 3")),IF(M149&gt;=$E$3,"Priority 2","Priority 3")))</f>
        <v>Priority 2</v>
      </c>
      <c r="R149" s="16" t="s">
        <v>250</v>
      </c>
      <c r="S149" s="15" t="s">
        <v>741</v>
      </c>
      <c r="T149" s="32" t="s">
        <v>490</v>
      </c>
      <c r="U149" s="33" t="str">
        <f aca="false">B149&amp;"|"&amp;S149</f>
        <v>Ondansetron|Emcure Pharmaceuticals</v>
      </c>
      <c r="V149" s="34" t="n">
        <f aca="false">COUNTIFS('Shortlisted Drugs X Company (7)'!$C$3:$C$698,$B149,'Shortlisted Drugs X Company (7)'!$E$3:$E$698,$S149,'Shortlisted Drugs X Company (7)'!$N$3:$N$698,"&gt;=0")</f>
        <v>1</v>
      </c>
      <c r="W149" s="34" t="n">
        <f aca="false">COUNTIFS('Shortlisted Drugs X Company (7)'!$C$3:$C$698,$B149,'Shortlisted Drugs X Company (7)'!$E$3:$E$698,$S149,'Shortlisted Drugs X Company (7)'!$N$3:$N$698,"&gt;5")</f>
        <v>1</v>
      </c>
      <c r="X149" s="34" t="n">
        <f aca="false">COUNTIFS('Shortlisted Drugs X Company (7)'!$C$3:$C$698,$B149,'Shortlisted Drugs X Company (7)'!$E$3:$E$698,$S149,'Shortlisted Drugs X Company (7)'!$P$3:$P$698,"Exact")+COUNTIFS('Shortlisted Drugs X Company (7)'!$C$3:$C$698,$B149,'Shortlisted Drugs X Company (7)'!$E$3:$E$698,$S149,'Shortlisted Drugs X Company (7)'!$P$3:$P$698,"Same-market proxy")</f>
        <v>0</v>
      </c>
      <c r="Y149" s="33" t="str">
        <f aca="false">A149&amp;"|"&amp;P149</f>
        <v>Emcure|5</v>
      </c>
      <c r="Z149" s="16" t="s">
        <v>795</v>
      </c>
      <c r="AA149" s="33" t="n">
        <f aca="false">INDEX($G$7:$G$25,MATCH(A149,$A$7:$A$25,0))</f>
        <v>5</v>
      </c>
      <c r="AB149" s="33" t="n">
        <f aca="false">IF(AE149="No","",AA149*1000+IF(P149="",900+COUNTIFS($A$29:A149,A149,$O$29:O149,"Price ≤ $5"),P149))</f>
        <v>5005</v>
      </c>
      <c r="AC149" s="33" t="n">
        <f aca="false">IF(O149&lt;&gt;"","",(4-VALUE(RIGHT(Q149,1)))*10^7+N(F149))</f>
        <v>20017590.5</v>
      </c>
      <c r="AD149" s="15" t="str">
        <f aca="false">IFERROR(INDEX('Route of Administration'!$C$5:$C$155,MATCH(B149,'Route of Administration'!$A$5:$A$155,0)),"")</f>
        <v>IV, IM</v>
      </c>
      <c r="AE149" s="14" t="str">
        <f aca="false">IFERROR(INDEX('Route of Administration'!$D$5:$D$155,MATCH(B149,'Route of Administration'!$A$5:$A$155,0)),"")</f>
        <v>Yes</v>
      </c>
      <c r="AF149" s="19" t="n">
        <f aca="false">IF(V149&gt;0,ROUND(AVERAGEIFS('Shortlisted Drugs X Company (7)'!$N$3:$N$698,'Shortlisted Drugs X Company (7)'!$C$3:$C$698,$B149,'Shortlisted Drugs X Company (7)'!$E$3:$E$698,$S149,'Shortlisted Drugs X Company (7)'!$N$3:$N$698,"&gt;=0"),2),"")</f>
        <v>5.32</v>
      </c>
      <c r="AG149" s="16" t="s">
        <v>796</v>
      </c>
      <c r="AH149" s="16" t="s">
        <v>422</v>
      </c>
      <c r="AI149" s="16" t="s">
        <v>422</v>
      </c>
      <c r="AJ149" s="16" t="str">
        <f aca="false">IF(O149&lt;&gt;"","",IF(ISNUMBER(D149),IF(D149&gt;=$C$3,"High price","Lower price"),"Unpriced")&amp;" · "&amp;IF(M149&gt;=$E$3,"high volume","lower volume"))</f>
        <v>Lower price · high volume</v>
      </c>
      <c r="AK149" s="15" t="str">
        <f aca="false">IF(O149&lt;&gt;"",IF(O149="Price ≤ $5","Excluded – price ≤ $5","Excluded – IV only"),IF(ISNUMBER(D149),IF(AND(D149&gt;=$C$3,L149&gt;=$H$3),"Priority 1",IF(OR(D149&gt;=$C$3,L149&gt;=$H$3),"Priority 2","Priority 3")),IF(L149&gt;=$H$3,"Priority 2","Priority 3")))</f>
        <v>Priority 2</v>
      </c>
      <c r="AL149" s="16" t="str">
        <f aca="false">IF(O149&lt;&gt;"","",IF(ISNUMBER(D149),IF(D149&gt;=$C$3,"High price","Lower price"),"Unpriced")&amp;" · "&amp;IF(L149&gt;=$H$3,"high volume","lower volume"))</f>
        <v>Lower price · high volume</v>
      </c>
      <c r="AM149" s="14" t="n">
        <f aca="false">IF(O149&lt;&gt;"","",COUNTIFS($A$29:$A$361,A149,$O$29:$O$361,"",$AQ$29:$AQ$361,"&gt;"&amp;AQ149)+COUNTIFS($A$29:A149,A149,$O$29:O149,"",$AQ$29:AQ149,AQ149))</f>
        <v>5</v>
      </c>
      <c r="AN149" s="19" t="n">
        <f aca="false">IF(AND(O149="",ISNUMBER(D149)),D149,"")</f>
        <v>5.32</v>
      </c>
      <c r="AO149" s="20" t="n">
        <f aca="false">IF(O149="",M149,"")</f>
        <v>963</v>
      </c>
      <c r="AP149" s="20" t="n">
        <f aca="false">IF(O149="",L149,"")</f>
        <v>2546</v>
      </c>
      <c r="AQ149" s="33" t="n">
        <f aca="false">IF(O149&lt;&gt;"","",(4-VALUE(RIGHT(AK149,1)))*10^7+N(N149))</f>
        <v>20046507.62</v>
      </c>
      <c r="AR149" s="33" t="n">
        <f aca="false">INDEX($O$7:$O$25,MATCH(A149,$I$7:$I$25,0))</f>
        <v>3</v>
      </c>
      <c r="AS149" s="33" t="n">
        <f aca="false">IF(AE149="No","",AR149*1000+IF(AM149="",900+COUNTIFS($A$29:A149,A149,$O$29:O149,"Price ≤ $5"),AM149))</f>
        <v>3005</v>
      </c>
    </row>
    <row r="150" customFormat="false" ht="41.75" hidden="false" customHeight="false" outlineLevel="0" collapsed="false">
      <c r="A150" s="15" t="s">
        <v>190</v>
      </c>
      <c r="B150" s="15" t="s">
        <v>503</v>
      </c>
      <c r="C150" s="16" t="s">
        <v>504</v>
      </c>
      <c r="D150" s="17" t="n">
        <f aca="false">IF(W150&gt;0,ROUND(AVERAGEIFS('Shortlisted Drugs X Company (7)'!$N$3:$N$698,'Shortlisted Drugs X Company (7)'!$C$3:$C$698,$B150,'Shortlisted Drugs X Company (7)'!$E$3:$E$698,$S150,'Shortlisted Drugs X Company (7)'!$N$3:$N$698,"&gt;5"),2),"")</f>
        <v>6.61</v>
      </c>
      <c r="E150" s="15" t="str">
        <f aca="false">IF(COUNTIFS('Shortlisted Drugs X Company (7)'!$C$3:$C$698,$B150,'Shortlisted Drugs X Company (7)'!$E$3:$E$698,$S150,'Shortlisted Drugs X Company (7)'!$P$3:$P$698,"Exact")&gt;0,"Exact",IF(COUNTIFS('Shortlisted Drugs X Company (7)'!$C$3:$C$698,$B150,'Shortlisted Drugs X Company (7)'!$E$3:$E$698,$S150,'Shortlisted Drugs X Company (7)'!$P$3:$P$698,"Same-market proxy")&gt;0,"Same-market proxy",IF(COUNTIFS('Shortlisted Drugs X Company (7)'!$C$3:$C$698,$B150,'Shortlisted Drugs X Company (7)'!$E$3:$E$698,$S150,'Shortlisted Drugs X Company (7)'!$P$3:$P$698,"Cross-market proxy")&gt;0,"Cross-market proxy",IF(COUNTIFS('Shortlisted Drugs X Company (7)'!$C$3:$C$698,$B150,'Shortlisted Drugs X Company (7)'!$E$3:$E$698,$S150,'Shortlisted Drugs X Company (7)'!$P$3:$P$698,"Source not found")&gt;0,"Source not found","Not priced"))))</f>
        <v>Exact</v>
      </c>
      <c r="F150" s="18" t="n">
        <f aca="false">IFERROR(ROUND(INDEX('Injectable Value'!$AA$28:$AA$178,MATCH(B150,'Injectable Value'!$A$28:$A$178,0)),1),"")</f>
        <v>35276.7</v>
      </c>
      <c r="G150" s="16" t="s">
        <v>797</v>
      </c>
      <c r="H150" s="14" t="n">
        <v>5</v>
      </c>
      <c r="I150" s="15" t="s">
        <v>248</v>
      </c>
      <c r="J150" s="15" t="s">
        <v>299</v>
      </c>
      <c r="K150" s="16" t="str">
        <f aca="false">"Reconstitution"&amp;IF(V150=0,"; Unpriced","")&amp;IF(AND(V150&gt;0,W150=0,X150=0),"; Low price from another market – confirm with company","")</f>
        <v>Reconstitution</v>
      </c>
      <c r="L150" s="18" t="n">
        <f aca="false">IFERROR(INDEX('Shortlisted Drugs X Company (7)'!$K$3:$K$698,MATCH(B150,'Shortlisted Drugs X Company (7)'!$C$3:$C$698,0)),"")</f>
        <v>3515</v>
      </c>
      <c r="M150" s="18" t="n">
        <f aca="false">IFERROR(ROUND(L150*INDEX('Injectable Value'!$Z$28:$Z$178,MATCH(B150,'Injectable Value'!$A$28:$A$178,0)),0),"")</f>
        <v>885</v>
      </c>
      <c r="N150" s="18" t="n">
        <f aca="false">IFERROR(INDEX('Shortlisted Drugs X Company (7)'!$L$3:$L$698,MATCH(B150,'Shortlisted Drugs X Company (7)'!$C$3:$C$698,0)),"")</f>
        <v>140084.73</v>
      </c>
      <c r="O150" s="15" t="str">
        <f aca="false">IF(AE150="No","IV only (not ID/IM/SC)",IF(AND(V150&gt;0,W150=0),"Price ≤ $5",""))</f>
        <v>IV only (not ID/IM/SC)</v>
      </c>
      <c r="P150" s="14" t="str">
        <f aca="false">IF(O150&lt;&gt;"","",COUNTIFS($A$29:$A$361,A150,$O$29:$O$361,"",$AC$29:$AC$361,"&gt;"&amp;AC150)+COUNTIFS($A$29:A150,A150,$O$29:O150,"",$AC$29:AC150,AC150))</f>
        <v/>
      </c>
      <c r="Q150" s="15" t="str">
        <f aca="false">IF(O150&lt;&gt;"",IF(O150="Price ≤ $5","Excluded – price ≤ $5","Excluded – IV only"),IF(ISNUMBER(D150),IF(AND(D150&gt;=$C$3,M150&gt;=$E$3),"Priority 1",IF(OR(D150&gt;=$C$3,M150&gt;=$E$3),"Priority 2","Priority 3")),IF(M150&gt;=$E$3,"Priority 2","Priority 3")))</f>
        <v>Excluded – IV only</v>
      </c>
      <c r="R150" s="16" t="s">
        <v>250</v>
      </c>
      <c r="S150" s="15" t="s">
        <v>741</v>
      </c>
      <c r="T150" s="32" t="s">
        <v>506</v>
      </c>
      <c r="U150" s="33" t="str">
        <f aca="false">B150&amp;"|"&amp;S150</f>
        <v>Pantoprazole|Emcure Pharmaceuticals</v>
      </c>
      <c r="V150" s="34" t="n">
        <f aca="false">COUNTIFS('Shortlisted Drugs X Company (7)'!$C$3:$C$698,$B150,'Shortlisted Drugs X Company (7)'!$E$3:$E$698,$S150,'Shortlisted Drugs X Company (7)'!$N$3:$N$698,"&gt;=0")</f>
        <v>1</v>
      </c>
      <c r="W150" s="34" t="n">
        <f aca="false">COUNTIFS('Shortlisted Drugs X Company (7)'!$C$3:$C$698,$B150,'Shortlisted Drugs X Company (7)'!$E$3:$E$698,$S150,'Shortlisted Drugs X Company (7)'!$N$3:$N$698,"&gt;5")</f>
        <v>1</v>
      </c>
      <c r="X150" s="34" t="n">
        <f aca="false">COUNTIFS('Shortlisted Drugs X Company (7)'!$C$3:$C$698,$B150,'Shortlisted Drugs X Company (7)'!$E$3:$E$698,$S150,'Shortlisted Drugs X Company (7)'!$P$3:$P$698,"Exact")+COUNTIFS('Shortlisted Drugs X Company (7)'!$C$3:$C$698,$B150,'Shortlisted Drugs X Company (7)'!$E$3:$E$698,$S150,'Shortlisted Drugs X Company (7)'!$P$3:$P$698,"Same-market proxy")</f>
        <v>1</v>
      </c>
      <c r="Y150" s="33" t="str">
        <f aca="false">A150&amp;"|"&amp;P150</f>
        <v>Emcure|</v>
      </c>
      <c r="Z150" s="16" t="s">
        <v>778</v>
      </c>
      <c r="AA150" s="33" t="n">
        <f aca="false">INDEX($G$7:$G$25,MATCH(A150,$A$7:$A$25,0))</f>
        <v>5</v>
      </c>
      <c r="AB150" s="33" t="str">
        <f aca="false">IF(AE150="No","",AA150*1000+IF(P150="",900+COUNTIFS($A$29:A150,A150,$O$29:O150,"Price ≤ $5"),P150))</f>
        <v/>
      </c>
      <c r="AC150" s="33" t="str">
        <f aca="false">IF(O150&lt;&gt;"","",(4-VALUE(RIGHT(Q150,1)))*10^7+N(F150))</f>
        <v/>
      </c>
      <c r="AD150" s="15" t="str">
        <f aca="false">IFERROR(INDEX('Route of Administration'!$C$5:$C$155,MATCH(B150,'Route of Administration'!$A$5:$A$155,0)),"")</f>
        <v>IV</v>
      </c>
      <c r="AE150" s="14" t="str">
        <f aca="false">IFERROR(INDEX('Route of Administration'!$D$5:$D$155,MATCH(B150,'Route of Administration'!$A$5:$A$155,0)),"")</f>
        <v>No</v>
      </c>
      <c r="AF150" s="19" t="n">
        <f aca="false">IF(V150&gt;0,ROUND(AVERAGEIFS('Shortlisted Drugs X Company (7)'!$N$3:$N$698,'Shortlisted Drugs X Company (7)'!$C$3:$C$698,$B150,'Shortlisted Drugs X Company (7)'!$E$3:$E$698,$S150,'Shortlisted Drugs X Company (7)'!$N$3:$N$698,"&gt;=0"),2),"")</f>
        <v>6.61</v>
      </c>
      <c r="AG150" s="16" t="s">
        <v>503</v>
      </c>
      <c r="AH150" s="16" t="s">
        <v>798</v>
      </c>
      <c r="AI150" s="16" t="s">
        <v>798</v>
      </c>
      <c r="AJ150" s="16" t="str">
        <f aca="false">IF(O150&lt;&gt;"","",IF(ISNUMBER(D150),IF(D150&gt;=$C$3,"High price","Lower price"),"Unpriced")&amp;" · "&amp;IF(M150&gt;=$E$3,"high volume","lower volume"))</f>
        <v/>
      </c>
      <c r="AK150" s="15" t="str">
        <f aca="false">IF(O150&lt;&gt;"",IF(O150="Price ≤ $5","Excluded – price ≤ $5","Excluded – IV only"),IF(ISNUMBER(D150),IF(AND(D150&gt;=$C$3,L150&gt;=$H$3),"Priority 1",IF(OR(D150&gt;=$C$3,L150&gt;=$H$3),"Priority 2","Priority 3")),IF(L150&gt;=$H$3,"Priority 2","Priority 3")))</f>
        <v>Excluded – IV only</v>
      </c>
      <c r="AL150" s="16" t="str">
        <f aca="false">IF(O150&lt;&gt;"","",IF(ISNUMBER(D150),IF(D150&gt;=$C$3,"High price","Lower price"),"Unpriced")&amp;" · "&amp;IF(L150&gt;=$H$3,"high volume","lower volume"))</f>
        <v/>
      </c>
      <c r="AM150" s="14" t="str">
        <f aca="false">IF(O150&lt;&gt;"","",COUNTIFS($A$29:$A$361,A150,$O$29:$O$361,"",$AQ$29:$AQ$361,"&gt;"&amp;AQ150)+COUNTIFS($A$29:A150,A150,$O$29:O150,"",$AQ$29:AQ150,AQ150))</f>
        <v/>
      </c>
      <c r="AN150" s="33" t="str">
        <f aca="false">IF(AND(O150="",ISNUMBER(D150)),D150,"")</f>
        <v/>
      </c>
      <c r="AO150" s="33" t="str">
        <f aca="false">IF(O150="",M150,"")</f>
        <v/>
      </c>
      <c r="AP150" s="33" t="str">
        <f aca="false">IF(O150="",L150,"")</f>
        <v/>
      </c>
      <c r="AQ150" s="33" t="str">
        <f aca="false">IF(O150&lt;&gt;"","",(4-VALUE(RIGHT(AK150,1)))*10^7+N(N150))</f>
        <v/>
      </c>
      <c r="AR150" s="33" t="n">
        <f aca="false">INDEX($O$7:$O$25,MATCH(A150,$I$7:$I$25,0))</f>
        <v>3</v>
      </c>
      <c r="AS150" s="33" t="str">
        <f aca="false">IF(AE150="No","",AR150*1000+IF(AM150="",900+COUNTIFS($A$29:A150,A150,$O$29:O150,"Price ≤ $5"),AM150))</f>
        <v/>
      </c>
    </row>
    <row r="151" customFormat="false" ht="41.75" hidden="false" customHeight="false" outlineLevel="0" collapsed="false">
      <c r="A151" s="15" t="s">
        <v>190</v>
      </c>
      <c r="B151" s="15" t="s">
        <v>799</v>
      </c>
      <c r="C151" s="16" t="s">
        <v>800</v>
      </c>
      <c r="D151" s="17" t="n">
        <f aca="false">IF(W151&gt;0,ROUND(AVERAGEIFS('Shortlisted Drugs X Company (7)'!$N$3:$N$698,'Shortlisted Drugs X Company (7)'!$C$3:$C$698,$B151,'Shortlisted Drugs X Company (7)'!$E$3:$E$698,$S151,'Shortlisted Drugs X Company (7)'!$N$3:$N$698,"&gt;5"),2),"")</f>
        <v>186.04</v>
      </c>
      <c r="E151" s="15" t="str">
        <f aca="false">IF(COUNTIFS('Shortlisted Drugs X Company (7)'!$C$3:$C$698,$B151,'Shortlisted Drugs X Company (7)'!$E$3:$E$698,$S151,'Shortlisted Drugs X Company (7)'!$P$3:$P$698,"Exact")&gt;0,"Exact",IF(COUNTIFS('Shortlisted Drugs X Company (7)'!$C$3:$C$698,$B151,'Shortlisted Drugs X Company (7)'!$E$3:$E$698,$S151,'Shortlisted Drugs X Company (7)'!$P$3:$P$698,"Same-market proxy")&gt;0,"Same-market proxy",IF(COUNTIFS('Shortlisted Drugs X Company (7)'!$C$3:$C$698,$B151,'Shortlisted Drugs X Company (7)'!$E$3:$E$698,$S151,'Shortlisted Drugs X Company (7)'!$P$3:$P$698,"Cross-market proxy")&gt;0,"Cross-market proxy",IF(COUNTIFS('Shortlisted Drugs X Company (7)'!$C$3:$C$698,$B151,'Shortlisted Drugs X Company (7)'!$E$3:$E$698,$S151,'Shortlisted Drugs X Company (7)'!$P$3:$P$698,"Source not found")&gt;0,"Source not found","Not priced"))))</f>
        <v>Exact</v>
      </c>
      <c r="F151" s="18" t="n">
        <f aca="false">IFERROR(ROUND(INDEX('Injectable Value'!$AA$28:$AA$178,MATCH(B151,'Injectable Value'!$A$28:$A$178,0)),1),"")</f>
        <v>1652</v>
      </c>
      <c r="G151" s="16" t="s">
        <v>801</v>
      </c>
      <c r="H151" s="14" t="n">
        <v>12</v>
      </c>
      <c r="I151" s="15" t="s">
        <v>248</v>
      </c>
      <c r="J151" s="15" t="s">
        <v>324</v>
      </c>
      <c r="K151" s="16" t="str">
        <f aca="false">"Reconstitution"&amp;IF(V151=0,"; Unpriced","")&amp;IF(AND(V151&gt;0,W151=0,X151=0),"; Low price from another market – confirm with company","")</f>
        <v>Reconstitution</v>
      </c>
      <c r="L151" s="18" t="n">
        <f aca="false">IFERROR(INDEX('Shortlisted Drugs X Company (7)'!$K$3:$K$698,MATCH(B151,'Shortlisted Drugs X Company (7)'!$C$3:$C$698,0)),"")</f>
        <v>12</v>
      </c>
      <c r="M151" s="18" t="n">
        <f aca="false">IFERROR(ROUND(L151*INDEX('Injectable Value'!$Z$28:$Z$178,MATCH(B151,'Injectable Value'!$A$28:$A$178,0)),0),"")</f>
        <v>9</v>
      </c>
      <c r="N151" s="18" t="n">
        <f aca="false">IFERROR(INDEX('Shortlisted Drugs X Company (7)'!$L$3:$L$698,MATCH(B151,'Shortlisted Drugs X Company (7)'!$C$3:$C$698,0)),"")</f>
        <v>2202.64</v>
      </c>
      <c r="O151" s="15" t="str">
        <f aca="false">IF(AE151="No","IV only (not ID/IM/SC)",IF(AND(V151&gt;0,W151=0),"Price ≤ $5",""))</f>
        <v/>
      </c>
      <c r="P151" s="14" t="n">
        <f aca="false">IF(O151&lt;&gt;"","",COUNTIFS($A$29:$A$361,A151,$O$29:$O$361,"",$AC$29:$AC$361,"&gt;"&amp;AC151)+COUNTIFS($A$29:A151,A151,$O$29:O151,"",$AC$29:AC151,AC151))</f>
        <v>9</v>
      </c>
      <c r="Q151" s="15" t="str">
        <f aca="false">IF(O151&lt;&gt;"",IF(O151="Price ≤ $5","Excluded – price ≤ $5","Excluded – IV only"),IF(ISNUMBER(D151),IF(AND(D151&gt;=$C$3,M151&gt;=$E$3),"Priority 1",IF(OR(D151&gt;=$C$3,M151&gt;=$E$3),"Priority 2","Priority 3")),IF(M151&gt;=$E$3,"Priority 2","Priority 3")))</f>
        <v>Priority 2</v>
      </c>
      <c r="R151" s="16" t="s">
        <v>285</v>
      </c>
      <c r="S151" s="15" t="s">
        <v>741</v>
      </c>
      <c r="T151" s="32" t="s">
        <v>802</v>
      </c>
      <c r="U151" s="33" t="str">
        <f aca="false">B151&amp;"|"&amp;S151</f>
        <v>Pentamidine|Emcure Pharmaceuticals</v>
      </c>
      <c r="V151" s="34" t="n">
        <f aca="false">COUNTIFS('Shortlisted Drugs X Company (7)'!$C$3:$C$698,$B151,'Shortlisted Drugs X Company (7)'!$E$3:$E$698,$S151,'Shortlisted Drugs X Company (7)'!$N$3:$N$698,"&gt;=0")</f>
        <v>3</v>
      </c>
      <c r="W151" s="34" t="n">
        <f aca="false">COUNTIFS('Shortlisted Drugs X Company (7)'!$C$3:$C$698,$B151,'Shortlisted Drugs X Company (7)'!$E$3:$E$698,$S151,'Shortlisted Drugs X Company (7)'!$N$3:$N$698,"&gt;5")</f>
        <v>3</v>
      </c>
      <c r="X151" s="34" t="n">
        <f aca="false">COUNTIFS('Shortlisted Drugs X Company (7)'!$C$3:$C$698,$B151,'Shortlisted Drugs X Company (7)'!$E$3:$E$698,$S151,'Shortlisted Drugs X Company (7)'!$P$3:$P$698,"Exact")+COUNTIFS('Shortlisted Drugs X Company (7)'!$C$3:$C$698,$B151,'Shortlisted Drugs X Company (7)'!$E$3:$E$698,$S151,'Shortlisted Drugs X Company (7)'!$P$3:$P$698,"Same-market proxy")</f>
        <v>3</v>
      </c>
      <c r="Y151" s="33" t="str">
        <f aca="false">A151&amp;"|"&amp;P151</f>
        <v>Emcure|9</v>
      </c>
      <c r="Z151" s="16" t="s">
        <v>803</v>
      </c>
      <c r="AA151" s="33" t="n">
        <f aca="false">INDEX($G$7:$G$25,MATCH(A151,$A$7:$A$25,0))</f>
        <v>5</v>
      </c>
      <c r="AB151" s="33" t="n">
        <f aca="false">IF(AE151="No","",AA151*1000+IF(P151="",900+COUNTIFS($A$29:A151,A151,$O$29:O151,"Price ≤ $5"),P151))</f>
        <v>5009</v>
      </c>
      <c r="AC151" s="33" t="n">
        <f aca="false">IF(O151&lt;&gt;"","",(4-VALUE(RIGHT(Q151,1)))*10^7+N(F151))</f>
        <v>20001652</v>
      </c>
      <c r="AD151" s="15" t="str">
        <f aca="false">IFERROR(INDEX('Route of Administration'!$C$5:$C$155,MATCH(B151,'Route of Administration'!$A$5:$A$155,0)),"")</f>
        <v>IV, IM</v>
      </c>
      <c r="AE151" s="14" t="str">
        <f aca="false">IFERROR(INDEX('Route of Administration'!$D$5:$D$155,MATCH(B151,'Route of Administration'!$A$5:$A$155,0)),"")</f>
        <v>Yes</v>
      </c>
      <c r="AF151" s="19" t="n">
        <f aca="false">IF(V151&gt;0,ROUND(AVERAGEIFS('Shortlisted Drugs X Company (7)'!$N$3:$N$698,'Shortlisted Drugs X Company (7)'!$C$3:$C$698,$B151,'Shortlisted Drugs X Company (7)'!$E$3:$E$698,$S151,'Shortlisted Drugs X Company (7)'!$N$3:$N$698,"&gt;=0"),2),"")</f>
        <v>186.04</v>
      </c>
      <c r="AG151" s="16" t="s">
        <v>804</v>
      </c>
      <c r="AH151" s="16" t="s">
        <v>805</v>
      </c>
      <c r="AI151" s="16" t="s">
        <v>806</v>
      </c>
      <c r="AJ151" s="16" t="str">
        <f aca="false">IF(O151&lt;&gt;"","",IF(ISNUMBER(D151),IF(D151&gt;=$C$3,"High price","Lower price"),"Unpriced")&amp;" · "&amp;IF(M151&gt;=$E$3,"high volume","lower volume"))</f>
        <v>High price · lower volume</v>
      </c>
      <c r="AK151" s="15" t="str">
        <f aca="false">IF(O151&lt;&gt;"",IF(O151="Price ≤ $5","Excluded – price ≤ $5","Excluded – IV only"),IF(ISNUMBER(D151),IF(AND(D151&gt;=$C$3,L151&gt;=$H$3),"Priority 1",IF(OR(D151&gt;=$C$3,L151&gt;=$H$3),"Priority 2","Priority 3")),IF(L151&gt;=$H$3,"Priority 2","Priority 3")))</f>
        <v>Priority 2</v>
      </c>
      <c r="AL151" s="16" t="str">
        <f aca="false">IF(O151&lt;&gt;"","",IF(ISNUMBER(D151),IF(D151&gt;=$C$3,"High price","Lower price"),"Unpriced")&amp;" · "&amp;IF(L151&gt;=$H$3,"high volume","lower volume"))</f>
        <v>High price · lower volume</v>
      </c>
      <c r="AM151" s="14" t="n">
        <f aca="false">IF(O151&lt;&gt;"","",COUNTIFS($A$29:$A$361,A151,$O$29:$O$361,"",$AQ$29:$AQ$361,"&gt;"&amp;AQ151)+COUNTIFS($A$29:A151,A151,$O$29:O151,"",$AQ$29:AQ151,AQ151))</f>
        <v>9</v>
      </c>
      <c r="AN151" s="19" t="n">
        <f aca="false">IF(AND(O151="",ISNUMBER(D151)),D151,"")</f>
        <v>186.04</v>
      </c>
      <c r="AO151" s="20" t="n">
        <f aca="false">IF(O151="",M151,"")</f>
        <v>9</v>
      </c>
      <c r="AP151" s="20" t="n">
        <f aca="false">IF(O151="",L151,"")</f>
        <v>12</v>
      </c>
      <c r="AQ151" s="33" t="n">
        <f aca="false">IF(O151&lt;&gt;"","",(4-VALUE(RIGHT(AK151,1)))*10^7+N(N151))</f>
        <v>20002202.64</v>
      </c>
      <c r="AR151" s="33" t="n">
        <f aca="false">INDEX($O$7:$O$25,MATCH(A151,$I$7:$I$25,0))</f>
        <v>3</v>
      </c>
      <c r="AS151" s="33" t="n">
        <f aca="false">IF(AE151="No","",AR151*1000+IF(AM151="",900+COUNTIFS($A$29:A151,A151,$O$29:O151,"Price ≤ $5"),AM151))</f>
        <v>3009</v>
      </c>
    </row>
    <row r="152" customFormat="false" ht="41.75" hidden="false" customHeight="false" outlineLevel="0" collapsed="false">
      <c r="A152" s="15" t="s">
        <v>190</v>
      </c>
      <c r="B152" s="15" t="s">
        <v>510</v>
      </c>
      <c r="C152" s="16" t="s">
        <v>511</v>
      </c>
      <c r="D152" s="17" t="n">
        <f aca="false">IF(W152&gt;0,ROUND(AVERAGEIFS('Shortlisted Drugs X Company (7)'!$N$3:$N$698,'Shortlisted Drugs X Company (7)'!$C$3:$C$698,$B152,'Shortlisted Drugs X Company (7)'!$E$3:$E$698,$S152,'Shortlisted Drugs X Company (7)'!$N$3:$N$698,"&gt;5"),2),"")</f>
        <v>6173.01</v>
      </c>
      <c r="E152" s="15" t="str">
        <f aca="false">IF(COUNTIFS('Shortlisted Drugs X Company (7)'!$C$3:$C$698,$B152,'Shortlisted Drugs X Company (7)'!$E$3:$E$698,$S152,'Shortlisted Drugs X Company (7)'!$P$3:$P$698,"Exact")&gt;0,"Exact",IF(COUNTIFS('Shortlisted Drugs X Company (7)'!$C$3:$C$698,$B152,'Shortlisted Drugs X Company (7)'!$E$3:$E$698,$S152,'Shortlisted Drugs X Company (7)'!$P$3:$P$698,"Same-market proxy")&gt;0,"Same-market proxy",IF(COUNTIFS('Shortlisted Drugs X Company (7)'!$C$3:$C$698,$B152,'Shortlisted Drugs X Company (7)'!$E$3:$E$698,$S152,'Shortlisted Drugs X Company (7)'!$P$3:$P$698,"Cross-market proxy")&gt;0,"Cross-market proxy",IF(COUNTIFS('Shortlisted Drugs X Company (7)'!$C$3:$C$698,$B152,'Shortlisted Drugs X Company (7)'!$E$3:$E$698,$S152,'Shortlisted Drugs X Company (7)'!$P$3:$P$698,"Source not found")&gt;0,"Source not found","Not priced"))))</f>
        <v>Exact</v>
      </c>
      <c r="F152" s="18" t="n">
        <f aca="false">IFERROR(ROUND(INDEX('Injectable Value'!$AA$28:$AA$178,MATCH(B152,'Injectable Value'!$A$28:$A$178,0)),1),"")</f>
        <v>7904.7</v>
      </c>
      <c r="G152" s="16" t="s">
        <v>766</v>
      </c>
      <c r="H152" s="14" t="n">
        <v>4</v>
      </c>
      <c r="I152" s="15" t="s">
        <v>248</v>
      </c>
      <c r="J152" s="15" t="s">
        <v>249</v>
      </c>
      <c r="K152" s="16" t="str">
        <f aca="false">""&amp;IF(V152=0,"Unpriced","")&amp;IF(AND(V152&gt;0,W152=0,X152=0),"Low price from another market – confirm with company","")</f>
        <v/>
      </c>
      <c r="L152" s="18" t="n">
        <f aca="false">IFERROR(INDEX('Shortlisted Drugs X Company (7)'!$K$3:$K$698,MATCH(B152,'Shortlisted Drugs X Company (7)'!$C$3:$C$698,0)),"")</f>
        <v>47</v>
      </c>
      <c r="M152" s="18" t="n">
        <f aca="false">IFERROR(ROUND(L152*INDEX('Injectable Value'!$Z$28:$Z$178,MATCH(B152,'Injectable Value'!$A$28:$A$178,0)),0),"")</f>
        <v>47</v>
      </c>
      <c r="N152" s="18" t="n">
        <f aca="false">IFERROR(INDEX('Shortlisted Drugs X Company (7)'!$L$3:$L$698,MATCH(B152,'Shortlisted Drugs X Company (7)'!$C$3:$C$698,0)),"")</f>
        <v>7904.67</v>
      </c>
      <c r="O152" s="15" t="str">
        <f aca="false">IF(AE152="No","IV only (not ID/IM/SC)",IF(AND(V152&gt;0,W152=0),"Price ≤ $5",""))</f>
        <v/>
      </c>
      <c r="P152" s="14" t="n">
        <f aca="false">IF(O152&lt;&gt;"","",COUNTIFS($A$29:$A$361,A152,$O$29:$O$361,"",$AC$29:$AC$361,"&gt;"&amp;AC152)+COUNTIFS($A$29:A152,A152,$O$29:O152,"",$AC$29:AC152,AC152))</f>
        <v>6</v>
      </c>
      <c r="Q152" s="15" t="str">
        <f aca="false">IF(O152&lt;&gt;"",IF(O152="Price ≤ $5","Excluded – price ≤ $5","Excluded – IV only"),IF(ISNUMBER(D152),IF(AND(D152&gt;=$C$3,M152&gt;=$E$3),"Priority 1",IF(OR(D152&gt;=$C$3,M152&gt;=$E$3),"Priority 2","Priority 3")),IF(M152&gt;=$E$3,"Priority 2","Priority 3")))</f>
        <v>Priority 2</v>
      </c>
      <c r="R152" s="16" t="s">
        <v>250</v>
      </c>
      <c r="S152" s="15" t="s">
        <v>741</v>
      </c>
      <c r="T152" s="32" t="s">
        <v>513</v>
      </c>
      <c r="U152" s="33" t="str">
        <f aca="false">B152&amp;"|"&amp;S152</f>
        <v>Plerixafor|Emcure Pharmaceuticals</v>
      </c>
      <c r="V152" s="34" t="n">
        <f aca="false">COUNTIFS('Shortlisted Drugs X Company (7)'!$C$3:$C$698,$B152,'Shortlisted Drugs X Company (7)'!$E$3:$E$698,$S152,'Shortlisted Drugs X Company (7)'!$N$3:$N$698,"&gt;=0")</f>
        <v>2</v>
      </c>
      <c r="W152" s="34" t="n">
        <f aca="false">COUNTIFS('Shortlisted Drugs X Company (7)'!$C$3:$C$698,$B152,'Shortlisted Drugs X Company (7)'!$E$3:$E$698,$S152,'Shortlisted Drugs X Company (7)'!$N$3:$N$698,"&gt;5")</f>
        <v>2</v>
      </c>
      <c r="X152" s="34" t="n">
        <f aca="false">COUNTIFS('Shortlisted Drugs X Company (7)'!$C$3:$C$698,$B152,'Shortlisted Drugs X Company (7)'!$E$3:$E$698,$S152,'Shortlisted Drugs X Company (7)'!$P$3:$P$698,"Exact")+COUNTIFS('Shortlisted Drugs X Company (7)'!$C$3:$C$698,$B152,'Shortlisted Drugs X Company (7)'!$E$3:$E$698,$S152,'Shortlisted Drugs X Company (7)'!$P$3:$P$698,"Same-market proxy")</f>
        <v>2</v>
      </c>
      <c r="Y152" s="33" t="str">
        <f aca="false">A152&amp;"|"&amp;P152</f>
        <v>Emcure|6</v>
      </c>
      <c r="Z152" s="16" t="s">
        <v>514</v>
      </c>
      <c r="AA152" s="33" t="n">
        <f aca="false">INDEX($G$7:$G$25,MATCH(A152,$A$7:$A$25,0))</f>
        <v>5</v>
      </c>
      <c r="AB152" s="33" t="n">
        <f aca="false">IF(AE152="No","",AA152*1000+IF(P152="",900+COUNTIFS($A$29:A152,A152,$O$29:O152,"Price ≤ $5"),P152))</f>
        <v>5006</v>
      </c>
      <c r="AC152" s="33" t="n">
        <f aca="false">IF(O152&lt;&gt;"","",(4-VALUE(RIGHT(Q152,1)))*10^7+N(F152))</f>
        <v>20007904.7</v>
      </c>
      <c r="AD152" s="15" t="str">
        <f aca="false">IFERROR(INDEX('Route of Administration'!$C$5:$C$155,MATCH(B152,'Route of Administration'!$A$5:$A$155,0)),"")</f>
        <v>SC</v>
      </c>
      <c r="AE152" s="14" t="str">
        <f aca="false">IFERROR(INDEX('Route of Administration'!$D$5:$D$155,MATCH(B152,'Route of Administration'!$A$5:$A$155,0)),"")</f>
        <v>Yes</v>
      </c>
      <c r="AF152" s="19" t="n">
        <f aca="false">IF(V152&gt;0,ROUND(AVERAGEIFS('Shortlisted Drugs X Company (7)'!$N$3:$N$698,'Shortlisted Drugs X Company (7)'!$C$3:$C$698,$B152,'Shortlisted Drugs X Company (7)'!$E$3:$E$698,$S152,'Shortlisted Drugs X Company (7)'!$N$3:$N$698,"&gt;=0"),2),"")</f>
        <v>6173.01</v>
      </c>
      <c r="AG152" s="16" t="s">
        <v>807</v>
      </c>
      <c r="AH152" s="16" t="s">
        <v>808</v>
      </c>
      <c r="AI152" s="16" t="s">
        <v>808</v>
      </c>
      <c r="AJ152" s="16" t="str">
        <f aca="false">IF(O152&lt;&gt;"","",IF(ISNUMBER(D152),IF(D152&gt;=$C$3,"High price","Lower price"),"Unpriced")&amp;" · "&amp;IF(M152&gt;=$E$3,"high volume","lower volume"))</f>
        <v>High price · lower volume</v>
      </c>
      <c r="AK152" s="15" t="str">
        <f aca="false">IF(O152&lt;&gt;"",IF(O152="Price ≤ $5","Excluded – price ≤ $5","Excluded – IV only"),IF(ISNUMBER(D152),IF(AND(D152&gt;=$C$3,L152&gt;=$H$3),"Priority 1",IF(OR(D152&gt;=$C$3,L152&gt;=$H$3),"Priority 2","Priority 3")),IF(L152&gt;=$H$3,"Priority 2","Priority 3")))</f>
        <v>Priority 2</v>
      </c>
      <c r="AL152" s="16" t="str">
        <f aca="false">IF(O152&lt;&gt;"","",IF(ISNUMBER(D152),IF(D152&gt;=$C$3,"High price","Lower price"),"Unpriced")&amp;" · "&amp;IF(L152&gt;=$H$3,"high volume","lower volume"))</f>
        <v>High price · lower volume</v>
      </c>
      <c r="AM152" s="14" t="n">
        <f aca="false">IF(O152&lt;&gt;"","",COUNTIFS($A$29:$A$361,A152,$O$29:$O$361,"",$AQ$29:$AQ$361,"&gt;"&amp;AQ152)+COUNTIFS($A$29:A152,A152,$O$29:O152,"",$AQ$29:AQ152,AQ152))</f>
        <v>7</v>
      </c>
      <c r="AN152" s="19" t="n">
        <f aca="false">IF(AND(O152="",ISNUMBER(D152)),D152,"")</f>
        <v>6173.01</v>
      </c>
      <c r="AO152" s="20" t="n">
        <f aca="false">IF(O152="",M152,"")</f>
        <v>47</v>
      </c>
      <c r="AP152" s="20" t="n">
        <f aca="false">IF(O152="",L152,"")</f>
        <v>47</v>
      </c>
      <c r="AQ152" s="33" t="n">
        <f aca="false">IF(O152&lt;&gt;"","",(4-VALUE(RIGHT(AK152,1)))*10^7+N(N152))</f>
        <v>20007904.67</v>
      </c>
      <c r="AR152" s="33" t="n">
        <f aca="false">INDEX($O$7:$O$25,MATCH(A152,$I$7:$I$25,0))</f>
        <v>3</v>
      </c>
      <c r="AS152" s="33" t="n">
        <f aca="false">IF(AE152="No","",AR152*1000+IF(AM152="",900+COUNTIFS($A$29:A152,A152,$O$29:O152,"Price ≤ $5"),AM152))</f>
        <v>3007</v>
      </c>
    </row>
    <row r="153" customFormat="false" ht="28.35" hidden="false" customHeight="false" outlineLevel="0" collapsed="false">
      <c r="A153" s="15" t="s">
        <v>190</v>
      </c>
      <c r="B153" s="15" t="s">
        <v>809</v>
      </c>
      <c r="C153" s="16" t="s">
        <v>810</v>
      </c>
      <c r="D153" s="17" t="n">
        <f aca="false">IF(W153&gt;0,ROUND(AVERAGEIFS('Shortlisted Drugs X Company (7)'!$N$3:$N$698,'Shortlisted Drugs X Company (7)'!$C$3:$C$698,$B153,'Shortlisted Drugs X Company (7)'!$E$3:$E$698,$S153,'Shortlisted Drugs X Company (7)'!$N$3:$N$698,"&gt;5"),2),"")</f>
        <v>6.44</v>
      </c>
      <c r="E153" s="15" t="str">
        <f aca="false">IF(COUNTIFS('Shortlisted Drugs X Company (7)'!$C$3:$C$698,$B153,'Shortlisted Drugs X Company (7)'!$E$3:$E$698,$S153,'Shortlisted Drugs X Company (7)'!$P$3:$P$698,"Exact")&gt;0,"Exact",IF(COUNTIFS('Shortlisted Drugs X Company (7)'!$C$3:$C$698,$B153,'Shortlisted Drugs X Company (7)'!$E$3:$E$698,$S153,'Shortlisted Drugs X Company (7)'!$P$3:$P$698,"Same-market proxy")&gt;0,"Same-market proxy",IF(COUNTIFS('Shortlisted Drugs X Company (7)'!$C$3:$C$698,$B153,'Shortlisted Drugs X Company (7)'!$E$3:$E$698,$S153,'Shortlisted Drugs X Company (7)'!$P$3:$P$698,"Cross-market proxy")&gt;0,"Cross-market proxy",IF(COUNTIFS('Shortlisted Drugs X Company (7)'!$C$3:$C$698,$B153,'Shortlisted Drugs X Company (7)'!$E$3:$E$698,$S153,'Shortlisted Drugs X Company (7)'!$P$3:$P$698,"Source not found")&gt;0,"Source not found","Not priced"))))</f>
        <v>Same-market proxy</v>
      </c>
      <c r="F153" s="18" t="n">
        <f aca="false">IFERROR(ROUND(INDEX('Injectable Value'!$AA$28:$AA$178,MATCH(B153,'Injectable Value'!$A$28:$A$178,0)),1),"")</f>
        <v>54624.8</v>
      </c>
      <c r="G153" s="16" t="s">
        <v>429</v>
      </c>
      <c r="H153" s="14" t="n">
        <v>1</v>
      </c>
      <c r="I153" s="15" t="s">
        <v>248</v>
      </c>
      <c r="J153" s="15" t="s">
        <v>284</v>
      </c>
      <c r="K153" s="16" t="str">
        <f aca="false">""&amp;IF(V153=0,"Unpriced","")&amp;IF(AND(V153&gt;0,W153=0,X153=0),"Low price from another market – confirm with company","")</f>
        <v/>
      </c>
      <c r="L153" s="18" t="n">
        <f aca="false">IFERROR(INDEX('Shortlisted Drugs X Company (7)'!$K$3:$K$698,MATCH(B153,'Shortlisted Drugs X Company (7)'!$C$3:$C$698,0)),"")</f>
        <v>615</v>
      </c>
      <c r="M153" s="18" t="n">
        <f aca="false">IFERROR(ROUND(L153*INDEX('Injectable Value'!$Z$28:$Z$178,MATCH(B153,'Injectable Value'!$A$28:$A$178,0)),0),"")</f>
        <v>614</v>
      </c>
      <c r="N153" s="18" t="n">
        <f aca="false">IFERROR(INDEX('Shortlisted Drugs X Company (7)'!$L$3:$L$698,MATCH(B153,'Shortlisted Drugs X Company (7)'!$C$3:$C$698,0)),"")</f>
        <v>54682.27</v>
      </c>
      <c r="O153" s="15" t="str">
        <f aca="false">IF(AE153="No","IV only (not ID/IM/SC)",IF(AND(V153&gt;0,W153=0),"Price ≤ $5",""))</f>
        <v>IV only (not ID/IM/SC)</v>
      </c>
      <c r="P153" s="14" t="str">
        <f aca="false">IF(O153&lt;&gt;"","",COUNTIFS($A$29:$A$361,A153,$O$29:$O$361,"",$AC$29:$AC$361,"&gt;"&amp;AC153)+COUNTIFS($A$29:A153,A153,$O$29:O153,"",$AC$29:AC153,AC153))</f>
        <v/>
      </c>
      <c r="Q153" s="15" t="str">
        <f aca="false">IF(O153&lt;&gt;"",IF(O153="Price ≤ $5","Excluded – price ≤ $5","Excluded – IV only"),IF(ISNUMBER(D153),IF(AND(D153&gt;=$C$3,M153&gt;=$E$3),"Priority 1",IF(OR(D153&gt;=$C$3,M153&gt;=$E$3),"Priority 2","Priority 3")),IF(M153&gt;=$E$3,"Priority 2","Priority 3")))</f>
        <v>Excluded – IV only</v>
      </c>
      <c r="R153" s="16" t="s">
        <v>285</v>
      </c>
      <c r="S153" s="15" t="s">
        <v>741</v>
      </c>
      <c r="T153" s="32" t="s">
        <v>811</v>
      </c>
      <c r="U153" s="33" t="str">
        <f aca="false">B153&amp;"|"&amp;S153</f>
        <v>Propofol|Emcure Pharmaceuticals</v>
      </c>
      <c r="V153" s="34" t="n">
        <f aca="false">COUNTIFS('Shortlisted Drugs X Company (7)'!$C$3:$C$698,$B153,'Shortlisted Drugs X Company (7)'!$E$3:$E$698,$S153,'Shortlisted Drugs X Company (7)'!$N$3:$N$698,"&gt;=0")</f>
        <v>1</v>
      </c>
      <c r="W153" s="34" t="n">
        <f aca="false">COUNTIFS('Shortlisted Drugs X Company (7)'!$C$3:$C$698,$B153,'Shortlisted Drugs X Company (7)'!$E$3:$E$698,$S153,'Shortlisted Drugs X Company (7)'!$N$3:$N$698,"&gt;5")</f>
        <v>1</v>
      </c>
      <c r="X153" s="34" t="n">
        <f aca="false">COUNTIFS('Shortlisted Drugs X Company (7)'!$C$3:$C$698,$B153,'Shortlisted Drugs X Company (7)'!$E$3:$E$698,$S153,'Shortlisted Drugs X Company (7)'!$P$3:$P$698,"Exact")+COUNTIFS('Shortlisted Drugs X Company (7)'!$C$3:$C$698,$B153,'Shortlisted Drugs X Company (7)'!$E$3:$E$698,$S153,'Shortlisted Drugs X Company (7)'!$P$3:$P$698,"Same-market proxy")</f>
        <v>1</v>
      </c>
      <c r="Y153" s="33" t="str">
        <f aca="false">A153&amp;"|"&amp;P153</f>
        <v>Emcure|</v>
      </c>
      <c r="Z153" s="16" t="s">
        <v>812</v>
      </c>
      <c r="AA153" s="33" t="n">
        <f aca="false">INDEX($G$7:$G$25,MATCH(A153,$A$7:$A$25,0))</f>
        <v>5</v>
      </c>
      <c r="AB153" s="33" t="str">
        <f aca="false">IF(AE153="No","",AA153*1000+IF(P153="",900+COUNTIFS($A$29:A153,A153,$O$29:O153,"Price ≤ $5"),P153))</f>
        <v/>
      </c>
      <c r="AC153" s="33" t="str">
        <f aca="false">IF(O153&lt;&gt;"","",(4-VALUE(RIGHT(Q153,1)))*10^7+N(F153))</f>
        <v/>
      </c>
      <c r="AD153" s="15" t="str">
        <f aca="false">IFERROR(INDEX('Route of Administration'!$C$5:$C$155,MATCH(B153,'Route of Administration'!$A$5:$A$155,0)),"")</f>
        <v>IV</v>
      </c>
      <c r="AE153" s="14" t="str">
        <f aca="false">IFERROR(INDEX('Route of Administration'!$D$5:$D$155,MATCH(B153,'Route of Administration'!$A$5:$A$155,0)),"")</f>
        <v>No</v>
      </c>
      <c r="AF153" s="19" t="n">
        <f aca="false">IF(V153&gt;0,ROUND(AVERAGEIFS('Shortlisted Drugs X Company (7)'!$N$3:$N$698,'Shortlisted Drugs X Company (7)'!$C$3:$C$698,$B153,'Shortlisted Drugs X Company (7)'!$E$3:$E$698,$S153,'Shortlisted Drugs X Company (7)'!$N$3:$N$698,"&gt;=0"),2),"")</f>
        <v>6.44</v>
      </c>
      <c r="AG153" s="16" t="s">
        <v>809</v>
      </c>
      <c r="AH153" s="16" t="s">
        <v>433</v>
      </c>
      <c r="AI153" s="16" t="s">
        <v>433</v>
      </c>
      <c r="AJ153" s="16" t="str">
        <f aca="false">IF(O153&lt;&gt;"","",IF(ISNUMBER(D153),IF(D153&gt;=$C$3,"High price","Lower price"),"Unpriced")&amp;" · "&amp;IF(M153&gt;=$E$3,"high volume","lower volume"))</f>
        <v/>
      </c>
      <c r="AK153" s="15" t="str">
        <f aca="false">IF(O153&lt;&gt;"",IF(O153="Price ≤ $5","Excluded – price ≤ $5","Excluded – IV only"),IF(ISNUMBER(D153),IF(AND(D153&gt;=$C$3,L153&gt;=$H$3),"Priority 1",IF(OR(D153&gt;=$C$3,L153&gt;=$H$3),"Priority 2","Priority 3")),IF(L153&gt;=$H$3,"Priority 2","Priority 3")))</f>
        <v>Excluded – IV only</v>
      </c>
      <c r="AL153" s="16" t="str">
        <f aca="false">IF(O153&lt;&gt;"","",IF(ISNUMBER(D153),IF(D153&gt;=$C$3,"High price","Lower price"),"Unpriced")&amp;" · "&amp;IF(L153&gt;=$H$3,"high volume","lower volume"))</f>
        <v/>
      </c>
      <c r="AM153" s="14" t="str">
        <f aca="false">IF(O153&lt;&gt;"","",COUNTIFS($A$29:$A$361,A153,$O$29:$O$361,"",$AQ$29:$AQ$361,"&gt;"&amp;AQ153)+COUNTIFS($A$29:A153,A153,$O$29:O153,"",$AQ$29:AQ153,AQ153))</f>
        <v/>
      </c>
      <c r="AN153" s="33" t="str">
        <f aca="false">IF(AND(O153="",ISNUMBER(D153)),D153,"")</f>
        <v/>
      </c>
      <c r="AO153" s="33" t="str">
        <f aca="false">IF(O153="",M153,"")</f>
        <v/>
      </c>
      <c r="AP153" s="33" t="str">
        <f aca="false">IF(O153="",L153,"")</f>
        <v/>
      </c>
      <c r="AQ153" s="33" t="str">
        <f aca="false">IF(O153&lt;&gt;"","",(4-VALUE(RIGHT(AK153,1)))*10^7+N(N153))</f>
        <v/>
      </c>
      <c r="AR153" s="33" t="n">
        <f aca="false">INDEX($O$7:$O$25,MATCH(A153,$I$7:$I$25,0))</f>
        <v>3</v>
      </c>
      <c r="AS153" s="33" t="str">
        <f aca="false">IF(AE153="No","",AR153*1000+IF(AM153="",900+COUNTIFS($A$29:A153,A153,$O$29:O153,"Price ≤ $5"),AM153))</f>
        <v/>
      </c>
    </row>
    <row r="154" customFormat="false" ht="28.35" hidden="false" customHeight="false" outlineLevel="0" collapsed="false">
      <c r="A154" s="15" t="s">
        <v>190</v>
      </c>
      <c r="B154" s="15" t="s">
        <v>635</v>
      </c>
      <c r="C154" s="16" t="s">
        <v>636</v>
      </c>
      <c r="D154" s="17" t="n">
        <f aca="false">IF(W154&gt;0,ROUND(AVERAGEIFS('Shortlisted Drugs X Company (7)'!$N$3:$N$698,'Shortlisted Drugs X Company (7)'!$C$3:$C$698,$B154,'Shortlisted Drugs X Company (7)'!$E$3:$E$698,$S154,'Shortlisted Drugs X Company (7)'!$N$3:$N$698,"&gt;5"),2),"")</f>
        <v>74.41</v>
      </c>
      <c r="E154" s="15" t="str">
        <f aca="false">IF(COUNTIFS('Shortlisted Drugs X Company (7)'!$C$3:$C$698,$B154,'Shortlisted Drugs X Company (7)'!$E$3:$E$698,$S154,'Shortlisted Drugs X Company (7)'!$P$3:$P$698,"Exact")&gt;0,"Exact",IF(COUNTIFS('Shortlisted Drugs X Company (7)'!$C$3:$C$698,$B154,'Shortlisted Drugs X Company (7)'!$E$3:$E$698,$S154,'Shortlisted Drugs X Company (7)'!$P$3:$P$698,"Same-market proxy")&gt;0,"Same-market proxy",IF(COUNTIFS('Shortlisted Drugs X Company (7)'!$C$3:$C$698,$B154,'Shortlisted Drugs X Company (7)'!$E$3:$E$698,$S154,'Shortlisted Drugs X Company (7)'!$P$3:$P$698,"Cross-market proxy")&gt;0,"Cross-market proxy",IF(COUNTIFS('Shortlisted Drugs X Company (7)'!$C$3:$C$698,$B154,'Shortlisted Drugs X Company (7)'!$E$3:$E$698,$S154,'Shortlisted Drugs X Company (7)'!$P$3:$P$698,"Source not found")&gt;0,"Source not found","Not priced"))))</f>
        <v>Exact</v>
      </c>
      <c r="F154" s="18" t="n">
        <f aca="false">IFERROR(ROUND(INDEX('Injectable Value'!$AA$28:$AA$178,MATCH(B154,'Injectable Value'!$A$28:$A$178,0)),1),"")</f>
        <v>32830.2</v>
      </c>
      <c r="G154" s="16" t="s">
        <v>754</v>
      </c>
      <c r="H154" s="14" t="n">
        <v>7</v>
      </c>
      <c r="I154" s="15" t="s">
        <v>248</v>
      </c>
      <c r="J154" s="15" t="s">
        <v>249</v>
      </c>
      <c r="K154" s="16" t="str">
        <f aca="false">""&amp;IF(V154=0,"Unpriced","")&amp;IF(AND(V154&gt;0,W154=0,X154=0),"Low price from another market – confirm with company","")</f>
        <v/>
      </c>
      <c r="L154" s="18" t="n">
        <f aca="false">IFERROR(INDEX('Shortlisted Drugs X Company (7)'!$K$3:$K$698,MATCH(B154,'Shortlisted Drugs X Company (7)'!$C$3:$C$698,0)),"")</f>
        <v>346</v>
      </c>
      <c r="M154" s="18" t="n">
        <f aca="false">IFERROR(ROUND(L154*INDEX('Injectable Value'!$Z$28:$Z$178,MATCH(B154,'Injectable Value'!$A$28:$A$178,0)),0),"")</f>
        <v>346</v>
      </c>
      <c r="N154" s="18" t="n">
        <f aca="false">IFERROR(INDEX('Shortlisted Drugs X Company (7)'!$L$3:$L$698,MATCH(B154,'Shortlisted Drugs X Company (7)'!$C$3:$C$698,0)),"")</f>
        <v>32830.17</v>
      </c>
      <c r="O154" s="15" t="str">
        <f aca="false">IF(AE154="No","IV only (not ID/IM/SC)",IF(AND(V154&gt;0,W154=0),"Price ≤ $5",""))</f>
        <v>IV only (not ID/IM/SC)</v>
      </c>
      <c r="P154" s="14" t="str">
        <f aca="false">IF(O154&lt;&gt;"","",COUNTIFS($A$29:$A$361,A154,$O$29:$O$361,"",$AC$29:$AC$361,"&gt;"&amp;AC154)+COUNTIFS($A$29:A154,A154,$O$29:O154,"",$AC$29:AC154,AC154))</f>
        <v/>
      </c>
      <c r="Q154" s="15" t="str">
        <f aca="false">IF(O154&lt;&gt;"",IF(O154="Price ≤ $5","Excluded – price ≤ $5","Excluded – IV only"),IF(ISNUMBER(D154),IF(AND(D154&gt;=$C$3,M154&gt;=$E$3),"Priority 1",IF(OR(D154&gt;=$C$3,M154&gt;=$E$3),"Priority 2","Priority 3")),IF(M154&gt;=$E$3,"Priority 2","Priority 3")))</f>
        <v>Excluded – IV only</v>
      </c>
      <c r="R154" s="16" t="s">
        <v>250</v>
      </c>
      <c r="S154" s="15" t="s">
        <v>741</v>
      </c>
      <c r="T154" s="32" t="s">
        <v>637</v>
      </c>
      <c r="U154" s="33" t="str">
        <f aca="false">B154&amp;"|"&amp;S154</f>
        <v>Sugammadex|Emcure Pharmaceuticals</v>
      </c>
      <c r="V154" s="34" t="n">
        <f aca="false">COUNTIFS('Shortlisted Drugs X Company (7)'!$C$3:$C$698,$B154,'Shortlisted Drugs X Company (7)'!$E$3:$E$698,$S154,'Shortlisted Drugs X Company (7)'!$N$3:$N$698,"&gt;=0")</f>
        <v>2</v>
      </c>
      <c r="W154" s="34" t="n">
        <f aca="false">COUNTIFS('Shortlisted Drugs X Company (7)'!$C$3:$C$698,$B154,'Shortlisted Drugs X Company (7)'!$E$3:$E$698,$S154,'Shortlisted Drugs X Company (7)'!$N$3:$N$698,"&gt;5")</f>
        <v>2</v>
      </c>
      <c r="X154" s="34" t="n">
        <f aca="false">COUNTIFS('Shortlisted Drugs X Company (7)'!$C$3:$C$698,$B154,'Shortlisted Drugs X Company (7)'!$E$3:$E$698,$S154,'Shortlisted Drugs X Company (7)'!$P$3:$P$698,"Exact")+COUNTIFS('Shortlisted Drugs X Company (7)'!$C$3:$C$698,$B154,'Shortlisted Drugs X Company (7)'!$E$3:$E$698,$S154,'Shortlisted Drugs X Company (7)'!$P$3:$P$698,"Same-market proxy")</f>
        <v>2</v>
      </c>
      <c r="Y154" s="33" t="str">
        <f aca="false">A154&amp;"|"&amp;P154</f>
        <v>Emcure|</v>
      </c>
      <c r="Z154" s="16" t="s">
        <v>813</v>
      </c>
      <c r="AA154" s="33" t="n">
        <f aca="false">INDEX($G$7:$G$25,MATCH(A154,$A$7:$A$25,0))</f>
        <v>5</v>
      </c>
      <c r="AB154" s="33" t="str">
        <f aca="false">IF(AE154="No","",AA154*1000+IF(P154="",900+COUNTIFS($A$29:A154,A154,$O$29:O154,"Price ≤ $5"),P154))</f>
        <v/>
      </c>
      <c r="AC154" s="33" t="str">
        <f aca="false">IF(O154&lt;&gt;"","",(4-VALUE(RIGHT(Q154,1)))*10^7+N(F154))</f>
        <v/>
      </c>
      <c r="AD154" s="15" t="str">
        <f aca="false">IFERROR(INDEX('Route of Administration'!$C$5:$C$155,MATCH(B154,'Route of Administration'!$A$5:$A$155,0)),"")</f>
        <v>IV</v>
      </c>
      <c r="AE154" s="14" t="str">
        <f aca="false">IFERROR(INDEX('Route of Administration'!$D$5:$D$155,MATCH(B154,'Route of Administration'!$A$5:$A$155,0)),"")</f>
        <v>No</v>
      </c>
      <c r="AF154" s="19" t="n">
        <f aca="false">IF(V154&gt;0,ROUND(AVERAGEIFS('Shortlisted Drugs X Company (7)'!$N$3:$N$698,'Shortlisted Drugs X Company (7)'!$C$3:$C$698,$B154,'Shortlisted Drugs X Company (7)'!$E$3:$E$698,$S154,'Shortlisted Drugs X Company (7)'!$N$3:$N$698,"&gt;=0"),2),"")</f>
        <v>74.41</v>
      </c>
      <c r="AG154" s="16" t="s">
        <v>814</v>
      </c>
      <c r="AH154" s="16" t="s">
        <v>815</v>
      </c>
      <c r="AI154" s="16" t="s">
        <v>815</v>
      </c>
      <c r="AJ154" s="16" t="str">
        <f aca="false">IF(O154&lt;&gt;"","",IF(ISNUMBER(D154),IF(D154&gt;=$C$3,"High price","Lower price"),"Unpriced")&amp;" · "&amp;IF(M154&gt;=$E$3,"high volume","lower volume"))</f>
        <v/>
      </c>
      <c r="AK154" s="15" t="str">
        <f aca="false">IF(O154&lt;&gt;"",IF(O154="Price ≤ $5","Excluded – price ≤ $5","Excluded – IV only"),IF(ISNUMBER(D154),IF(AND(D154&gt;=$C$3,L154&gt;=$H$3),"Priority 1",IF(OR(D154&gt;=$C$3,L154&gt;=$H$3),"Priority 2","Priority 3")),IF(L154&gt;=$H$3,"Priority 2","Priority 3")))</f>
        <v>Excluded – IV only</v>
      </c>
      <c r="AL154" s="16" t="str">
        <f aca="false">IF(O154&lt;&gt;"","",IF(ISNUMBER(D154),IF(D154&gt;=$C$3,"High price","Lower price"),"Unpriced")&amp;" · "&amp;IF(L154&gt;=$H$3,"high volume","lower volume"))</f>
        <v/>
      </c>
      <c r="AM154" s="14" t="str">
        <f aca="false">IF(O154&lt;&gt;"","",COUNTIFS($A$29:$A$361,A154,$O$29:$O$361,"",$AQ$29:$AQ$361,"&gt;"&amp;AQ154)+COUNTIFS($A$29:A154,A154,$O$29:O154,"",$AQ$29:AQ154,AQ154))</f>
        <v/>
      </c>
      <c r="AN154" s="33" t="str">
        <f aca="false">IF(AND(O154="",ISNUMBER(D154)),D154,"")</f>
        <v/>
      </c>
      <c r="AO154" s="33" t="str">
        <f aca="false">IF(O154="",M154,"")</f>
        <v/>
      </c>
      <c r="AP154" s="33" t="str">
        <f aca="false">IF(O154="",L154,"")</f>
        <v/>
      </c>
      <c r="AQ154" s="33" t="str">
        <f aca="false">IF(O154&lt;&gt;"","",(4-VALUE(RIGHT(AK154,1)))*10^7+N(N154))</f>
        <v/>
      </c>
      <c r="AR154" s="33" t="n">
        <f aca="false">INDEX($O$7:$O$25,MATCH(A154,$I$7:$I$25,0))</f>
        <v>3</v>
      </c>
      <c r="AS154" s="33" t="str">
        <f aca="false">IF(AE154="No","",AR154*1000+IF(AM154="",900+COUNTIFS($A$29:A154,A154,$O$29:O154,"Price ≤ $5"),AM154))</f>
        <v/>
      </c>
    </row>
    <row r="155" customFormat="false" ht="41.75" hidden="false" customHeight="false" outlineLevel="0" collapsed="false">
      <c r="A155" s="15" t="s">
        <v>191</v>
      </c>
      <c r="B155" s="15" t="s">
        <v>296</v>
      </c>
      <c r="C155" s="16" t="s">
        <v>297</v>
      </c>
      <c r="D155" s="17" t="n">
        <f aca="false">IF(W155&gt;0,ROUND(AVERAGEIFS('Shortlisted Drugs X Company (7)'!$N$3:$N$698,'Shortlisted Drugs X Company (7)'!$C$3:$C$698,$B155,'Shortlisted Drugs X Company (7)'!$E$3:$E$698,$S155,'Shortlisted Drugs X Company (7)'!$N$3:$N$698,"&gt;5"),2),"")</f>
        <v>397.42</v>
      </c>
      <c r="E155" s="15" t="str">
        <f aca="false">IF(COUNTIFS('Shortlisted Drugs X Company (7)'!$C$3:$C$698,$B155,'Shortlisted Drugs X Company (7)'!$E$3:$E$698,$S155,'Shortlisted Drugs X Company (7)'!$P$3:$P$698,"Exact")&gt;0,"Exact",IF(COUNTIFS('Shortlisted Drugs X Company (7)'!$C$3:$C$698,$B155,'Shortlisted Drugs X Company (7)'!$E$3:$E$698,$S155,'Shortlisted Drugs X Company (7)'!$P$3:$P$698,"Same-market proxy")&gt;0,"Same-market proxy",IF(COUNTIFS('Shortlisted Drugs X Company (7)'!$C$3:$C$698,$B155,'Shortlisted Drugs X Company (7)'!$E$3:$E$698,$S155,'Shortlisted Drugs X Company (7)'!$P$3:$P$698,"Cross-market proxy")&gt;0,"Cross-market proxy",IF(COUNTIFS('Shortlisted Drugs X Company (7)'!$C$3:$C$698,$B155,'Shortlisted Drugs X Company (7)'!$E$3:$E$698,$S155,'Shortlisted Drugs X Company (7)'!$P$3:$P$698,"Source not found")&gt;0,"Source not found","Not priced"))))</f>
        <v>Cross-market proxy</v>
      </c>
      <c r="F155" s="18" t="n">
        <f aca="false">IFERROR(ROUND(INDEX('Injectable Value'!$AA$28:$AA$178,MATCH(B155,'Injectable Value'!$A$28:$A$178,0)),1),"")</f>
        <v>42181.7</v>
      </c>
      <c r="G155" s="16" t="s">
        <v>70</v>
      </c>
      <c r="H155" s="14" t="n">
        <v>3</v>
      </c>
      <c r="I155" s="15" t="s">
        <v>248</v>
      </c>
      <c r="J155" s="15" t="s">
        <v>299</v>
      </c>
      <c r="K155" s="16" t="str">
        <f aca="false">"Cancer drug (cytotoxic) – less relevant; Reconstitution"&amp;IF(V155=0,"; Unpriced","")&amp;IF(AND(V155&gt;0,W155=0,X155=0),"; Low price from another market – confirm with company","")</f>
        <v>Cancer drug (cytotoxic) – less relevant; Reconstitution</v>
      </c>
      <c r="L155" s="18" t="n">
        <f aca="false">IFERROR(INDEX('Shortlisted Drugs X Company (7)'!$K$3:$K$698,MATCH(B155,'Shortlisted Drugs X Company (7)'!$C$3:$C$698,0)),"")</f>
        <v>762</v>
      </c>
      <c r="M155" s="18" t="n">
        <f aca="false">IFERROR(ROUND(L155*INDEX('Injectable Value'!$Z$28:$Z$178,MATCH(B155,'Injectable Value'!$A$28:$A$178,0)),0),"")</f>
        <v>632</v>
      </c>
      <c r="N155" s="18" t="n">
        <f aca="false">IFERROR(INDEX('Shortlisted Drugs X Company (7)'!$L$3:$L$698,MATCH(B155,'Shortlisted Drugs X Company (7)'!$C$3:$C$698,0)),"")</f>
        <v>50865.56</v>
      </c>
      <c r="O155" s="15" t="str">
        <f aca="false">IF(AE155="No","IV only (not ID/IM/SC)",IF(AND(V155&gt;0,W155=0),"Price ≤ $5",""))</f>
        <v/>
      </c>
      <c r="P155" s="14" t="n">
        <f aca="false">IF(O155&lt;&gt;"","",COUNTIFS($A$29:$A$361,A155,$O$29:$O$361,"",$AC$29:$AC$361,"&gt;"&amp;AC155)+COUNTIFS($A$29:A155,A155,$O$29:O155,"",$AC$29:AC155,AC155))</f>
        <v>1</v>
      </c>
      <c r="Q155" s="15" t="str">
        <f aca="false">IF(O155&lt;&gt;"",IF(O155="Price ≤ $5","Excluded – price ≤ $5","Excluded – IV only"),IF(ISNUMBER(D155),IF(AND(D155&gt;=$C$3,M155&gt;=$E$3),"Priority 1",IF(OR(D155&gt;=$C$3,M155&gt;=$E$3),"Priority 2","Priority 3")),IF(M155&gt;=$E$3,"Priority 2","Priority 3")))</f>
        <v>Priority 1</v>
      </c>
      <c r="R155" s="16" t="s">
        <v>250</v>
      </c>
      <c r="S155" s="15" t="s">
        <v>816</v>
      </c>
      <c r="T155" s="32" t="s">
        <v>300</v>
      </c>
      <c r="U155" s="33" t="str">
        <f aca="false">B155&amp;"|"&amp;S155</f>
        <v>Azacitidine|Glenmark Pharmaceuticals</v>
      </c>
      <c r="V155" s="34" t="n">
        <f aca="false">COUNTIFS('Shortlisted Drugs X Company (7)'!$C$3:$C$698,$B155,'Shortlisted Drugs X Company (7)'!$E$3:$E$698,$S155,'Shortlisted Drugs X Company (7)'!$N$3:$N$698,"&gt;=0")</f>
        <v>1</v>
      </c>
      <c r="W155" s="34" t="n">
        <f aca="false">COUNTIFS('Shortlisted Drugs X Company (7)'!$C$3:$C$698,$B155,'Shortlisted Drugs X Company (7)'!$E$3:$E$698,$S155,'Shortlisted Drugs X Company (7)'!$N$3:$N$698,"&gt;5")</f>
        <v>1</v>
      </c>
      <c r="X155" s="34" t="n">
        <f aca="false">COUNTIFS('Shortlisted Drugs X Company (7)'!$C$3:$C$698,$B155,'Shortlisted Drugs X Company (7)'!$E$3:$E$698,$S155,'Shortlisted Drugs X Company (7)'!$P$3:$P$698,"Exact")+COUNTIFS('Shortlisted Drugs X Company (7)'!$C$3:$C$698,$B155,'Shortlisted Drugs X Company (7)'!$E$3:$E$698,$S155,'Shortlisted Drugs X Company (7)'!$P$3:$P$698,"Same-market proxy")</f>
        <v>0</v>
      </c>
      <c r="Y155" s="33" t="str">
        <f aca="false">A155&amp;"|"&amp;P155</f>
        <v>Glenmark|1</v>
      </c>
      <c r="Z155" s="16" t="s">
        <v>581</v>
      </c>
      <c r="AA155" s="33" t="n">
        <f aca="false">INDEX($G$7:$G$25,MATCH(A155,$A$7:$A$25,0))</f>
        <v>7</v>
      </c>
      <c r="AB155" s="33" t="n">
        <f aca="false">IF(AE155="No","",AA155*1000+IF(P155="",900+COUNTIFS($A$29:A155,A155,$O$29:O155,"Price ≤ $5"),P155))</f>
        <v>7001</v>
      </c>
      <c r="AC155" s="33" t="n">
        <f aca="false">IF(O155&lt;&gt;"","",(4-VALUE(RIGHT(Q155,1)))*10^7+N(F155))</f>
        <v>30042181.7</v>
      </c>
      <c r="AD155" s="15" t="str">
        <f aca="false">IFERROR(INDEX('Route of Administration'!$C$5:$C$155,MATCH(B155,'Route of Administration'!$A$5:$A$155,0)),"")</f>
        <v>IV, SC</v>
      </c>
      <c r="AE155" s="14" t="str">
        <f aca="false">IFERROR(INDEX('Route of Administration'!$D$5:$D$155,MATCH(B155,'Route of Administration'!$A$5:$A$155,0)),"")</f>
        <v>Yes</v>
      </c>
      <c r="AF155" s="19" t="n">
        <f aca="false">IF(V155&gt;0,ROUND(AVERAGEIFS('Shortlisted Drugs X Company (7)'!$N$3:$N$698,'Shortlisted Drugs X Company (7)'!$C$3:$C$698,$B155,'Shortlisted Drugs X Company (7)'!$E$3:$E$698,$S155,'Shortlisted Drugs X Company (7)'!$N$3:$N$698,"&gt;=0"),2),"")</f>
        <v>397.42</v>
      </c>
      <c r="AG155" s="16" t="s">
        <v>817</v>
      </c>
      <c r="AH155" s="16" t="s">
        <v>818</v>
      </c>
      <c r="AI155" s="16" t="s">
        <v>818</v>
      </c>
      <c r="AJ155" s="16" t="str">
        <f aca="false">IF(O155&lt;&gt;"","",IF(ISNUMBER(D155),IF(D155&gt;=$C$3,"High price","Lower price"),"Unpriced")&amp;" · "&amp;IF(M155&gt;=$E$3,"high volume","lower volume"))</f>
        <v>High price · high volume</v>
      </c>
      <c r="AK155" s="15" t="str">
        <f aca="false">IF(O155&lt;&gt;"",IF(O155="Price ≤ $5","Excluded – price ≤ $5","Excluded – IV only"),IF(ISNUMBER(D155),IF(AND(D155&gt;=$C$3,L155&gt;=$H$3),"Priority 1",IF(OR(D155&gt;=$C$3,L155&gt;=$H$3),"Priority 2","Priority 3")),IF(L155&gt;=$H$3,"Priority 2","Priority 3")))</f>
        <v>Priority 1</v>
      </c>
      <c r="AL155" s="16" t="str">
        <f aca="false">IF(O155&lt;&gt;"","",IF(ISNUMBER(D155),IF(D155&gt;=$C$3,"High price","Lower price"),"Unpriced")&amp;" · "&amp;IF(L155&gt;=$H$3,"high volume","lower volume"))</f>
        <v>High price · high volume</v>
      </c>
      <c r="AM155" s="14" t="n">
        <f aca="false">IF(O155&lt;&gt;"","",COUNTIFS($A$29:$A$361,A155,$O$29:$O$361,"",$AQ$29:$AQ$361,"&gt;"&amp;AQ155)+COUNTIFS($A$29:A155,A155,$O$29:O155,"",$AQ$29:AQ155,AQ155))</f>
        <v>1</v>
      </c>
      <c r="AN155" s="19" t="n">
        <f aca="false">IF(AND(O155="",ISNUMBER(D155)),D155,"")</f>
        <v>397.42</v>
      </c>
      <c r="AO155" s="20" t="n">
        <f aca="false">IF(O155="",M155,"")</f>
        <v>632</v>
      </c>
      <c r="AP155" s="20" t="n">
        <f aca="false">IF(O155="",L155,"")</f>
        <v>762</v>
      </c>
      <c r="AQ155" s="33" t="n">
        <f aca="false">IF(O155&lt;&gt;"","",(4-VALUE(RIGHT(AK155,1)))*10^7+N(N155))</f>
        <v>30050865.56</v>
      </c>
      <c r="AR155" s="33" t="n">
        <f aca="false">INDEX($O$7:$O$25,MATCH(A155,$I$7:$I$25,0))</f>
        <v>9</v>
      </c>
      <c r="AS155" s="33" t="n">
        <f aca="false">IF(AE155="No","",AR155*1000+IF(AM155="",900+COUNTIFS($A$29:A155,A155,$O$29:O155,"Price ≤ $5"),AM155))</f>
        <v>9001</v>
      </c>
    </row>
    <row r="156" customFormat="false" ht="41.75" hidden="false" customHeight="false" outlineLevel="0" collapsed="false">
      <c r="A156" s="15" t="s">
        <v>191</v>
      </c>
      <c r="B156" s="15" t="s">
        <v>305</v>
      </c>
      <c r="C156" s="16" t="s">
        <v>306</v>
      </c>
      <c r="D156" s="17" t="n">
        <f aca="false">IF(W156&gt;0,ROUND(AVERAGEIFS('Shortlisted Drugs X Company (7)'!$N$3:$N$698,'Shortlisted Drugs X Company (7)'!$C$3:$C$698,$B156,'Shortlisted Drugs X Company (7)'!$E$3:$E$698,$S156,'Shortlisted Drugs X Company (7)'!$N$3:$N$698,"&gt;5"),2),"")</f>
        <v>64.91</v>
      </c>
      <c r="E156" s="15" t="str">
        <f aca="false">IF(COUNTIFS('Shortlisted Drugs X Company (7)'!$C$3:$C$698,$B156,'Shortlisted Drugs X Company (7)'!$E$3:$E$698,$S156,'Shortlisted Drugs X Company (7)'!$P$3:$P$698,"Exact")&gt;0,"Exact",IF(COUNTIFS('Shortlisted Drugs X Company (7)'!$C$3:$C$698,$B156,'Shortlisted Drugs X Company (7)'!$E$3:$E$698,$S156,'Shortlisted Drugs X Company (7)'!$P$3:$P$698,"Same-market proxy")&gt;0,"Same-market proxy",IF(COUNTIFS('Shortlisted Drugs X Company (7)'!$C$3:$C$698,$B156,'Shortlisted Drugs X Company (7)'!$E$3:$E$698,$S156,'Shortlisted Drugs X Company (7)'!$P$3:$P$698,"Cross-market proxy")&gt;0,"Cross-market proxy",IF(COUNTIFS('Shortlisted Drugs X Company (7)'!$C$3:$C$698,$B156,'Shortlisted Drugs X Company (7)'!$E$3:$E$698,$S156,'Shortlisted Drugs X Company (7)'!$P$3:$P$698,"Source not found")&gt;0,"Source not found","Not priced"))))</f>
        <v>Exact</v>
      </c>
      <c r="F156" s="18" t="n">
        <f aca="false">IFERROR(ROUND(INDEX('Injectable Value'!$AA$28:$AA$178,MATCH(B156,'Injectable Value'!$A$28:$A$178,0)),1),"")</f>
        <v>28093.4</v>
      </c>
      <c r="G156" s="16" t="s">
        <v>364</v>
      </c>
      <c r="H156" s="14" t="n">
        <v>12</v>
      </c>
      <c r="I156" s="15" t="s">
        <v>248</v>
      </c>
      <c r="J156" s="15" t="s">
        <v>249</v>
      </c>
      <c r="K156" s="16" t="str">
        <f aca="false">"Cancer drug (cytotoxic) – less relevant; Reconstitution"&amp;IF(V156=0,"; Unpriced","")&amp;IF(AND(V156&gt;0,W156=0,X156=0),"; Low price from another market – confirm with company","")</f>
        <v>Cancer drug (cytotoxic) – less relevant; Reconstitution</v>
      </c>
      <c r="L156" s="18" t="n">
        <f aca="false">IFERROR(INDEX('Shortlisted Drugs X Company (7)'!$K$3:$K$698,MATCH(B156,'Shortlisted Drugs X Company (7)'!$C$3:$C$698,0)),"")</f>
        <v>905</v>
      </c>
      <c r="M156" s="18" t="n">
        <f aca="false">IFERROR(ROUND(L156*INDEX('Injectable Value'!$Z$28:$Z$178,MATCH(B156,'Injectable Value'!$A$28:$A$178,0)),0),"")</f>
        <v>905</v>
      </c>
      <c r="N156" s="18" t="n">
        <f aca="false">IFERROR(INDEX('Shortlisted Drugs X Company (7)'!$L$3:$L$698,MATCH(B156,'Shortlisted Drugs X Company (7)'!$C$3:$C$698,0)),"")</f>
        <v>28093.38</v>
      </c>
      <c r="O156" s="15" t="str">
        <f aca="false">IF(AE156="No","IV only (not ID/IM/SC)",IF(AND(V156&gt;0,W156=0),"Price ≤ $5",""))</f>
        <v/>
      </c>
      <c r="P156" s="14" t="n">
        <f aca="false">IF(O156&lt;&gt;"","",COUNTIFS($A$29:$A$361,A156,$O$29:$O$361,"",$AC$29:$AC$361,"&gt;"&amp;AC156)+COUNTIFS($A$29:A156,A156,$O$29:O156,"",$AC$29:AC156,AC156))</f>
        <v>2</v>
      </c>
      <c r="Q156" s="15" t="str">
        <f aca="false">IF(O156&lt;&gt;"",IF(O156="Price ≤ $5","Excluded – price ≤ $5","Excluded – IV only"),IF(ISNUMBER(D156),IF(AND(D156&gt;=$C$3,M156&gt;=$E$3),"Priority 1",IF(OR(D156&gt;=$C$3,M156&gt;=$E$3),"Priority 2","Priority 3")),IF(M156&gt;=$E$3,"Priority 2","Priority 3")))</f>
        <v>Priority 1</v>
      </c>
      <c r="R156" s="16" t="s">
        <v>250</v>
      </c>
      <c r="S156" s="15" t="s">
        <v>816</v>
      </c>
      <c r="T156" s="32" t="s">
        <v>308</v>
      </c>
      <c r="U156" s="33" t="str">
        <f aca="false">B156&amp;"|"&amp;S156</f>
        <v>Bortezomib|Glenmark Pharmaceuticals</v>
      </c>
      <c r="V156" s="34" t="n">
        <f aca="false">COUNTIFS('Shortlisted Drugs X Company (7)'!$C$3:$C$698,$B156,'Shortlisted Drugs X Company (7)'!$E$3:$E$698,$S156,'Shortlisted Drugs X Company (7)'!$N$3:$N$698,"&gt;=0")</f>
        <v>3</v>
      </c>
      <c r="W156" s="34" t="n">
        <f aca="false">COUNTIFS('Shortlisted Drugs X Company (7)'!$C$3:$C$698,$B156,'Shortlisted Drugs X Company (7)'!$E$3:$E$698,$S156,'Shortlisted Drugs X Company (7)'!$N$3:$N$698,"&gt;5")</f>
        <v>3</v>
      </c>
      <c r="X156" s="34" t="n">
        <f aca="false">COUNTIFS('Shortlisted Drugs X Company (7)'!$C$3:$C$698,$B156,'Shortlisted Drugs X Company (7)'!$E$3:$E$698,$S156,'Shortlisted Drugs X Company (7)'!$P$3:$P$698,"Exact")+COUNTIFS('Shortlisted Drugs X Company (7)'!$C$3:$C$698,$B156,'Shortlisted Drugs X Company (7)'!$E$3:$E$698,$S156,'Shortlisted Drugs X Company (7)'!$P$3:$P$698,"Same-market proxy")</f>
        <v>3</v>
      </c>
      <c r="Y156" s="33" t="str">
        <f aca="false">A156&amp;"|"&amp;P156</f>
        <v>Glenmark|2</v>
      </c>
      <c r="Z156" s="16" t="s">
        <v>819</v>
      </c>
      <c r="AA156" s="33" t="n">
        <f aca="false">INDEX($G$7:$G$25,MATCH(A156,$A$7:$A$25,0))</f>
        <v>7</v>
      </c>
      <c r="AB156" s="33" t="n">
        <f aca="false">IF(AE156="No","",AA156*1000+IF(P156="",900+COUNTIFS($A$29:A156,A156,$O$29:O156,"Price ≤ $5"),P156))</f>
        <v>7002</v>
      </c>
      <c r="AC156" s="33" t="n">
        <f aca="false">IF(O156&lt;&gt;"","",(4-VALUE(RIGHT(Q156,1)))*10^7+N(F156))</f>
        <v>30028093.4</v>
      </c>
      <c r="AD156" s="15" t="str">
        <f aca="false">IFERROR(INDEX('Route of Administration'!$C$5:$C$155,MATCH(B156,'Route of Administration'!$A$5:$A$155,0)),"")</f>
        <v>IV, SC</v>
      </c>
      <c r="AE156" s="14" t="str">
        <f aca="false">IFERROR(INDEX('Route of Administration'!$D$5:$D$155,MATCH(B156,'Route of Administration'!$A$5:$A$155,0)),"")</f>
        <v>Yes</v>
      </c>
      <c r="AF156" s="19" t="n">
        <f aca="false">IF(V156&gt;0,ROUND(AVERAGEIFS('Shortlisted Drugs X Company (7)'!$N$3:$N$698,'Shortlisted Drugs X Company (7)'!$C$3:$C$698,$B156,'Shortlisted Drugs X Company (7)'!$E$3:$E$698,$S156,'Shortlisted Drugs X Company (7)'!$N$3:$N$698,"&gt;=0"),2),"")</f>
        <v>64.91</v>
      </c>
      <c r="AG156" s="16" t="s">
        <v>820</v>
      </c>
      <c r="AH156" s="16" t="s">
        <v>821</v>
      </c>
      <c r="AI156" s="16" t="s">
        <v>822</v>
      </c>
      <c r="AJ156" s="16" t="str">
        <f aca="false">IF(O156&lt;&gt;"","",IF(ISNUMBER(D156),IF(D156&gt;=$C$3,"High price","Lower price"),"Unpriced")&amp;" · "&amp;IF(M156&gt;=$E$3,"high volume","lower volume"))</f>
        <v>High price · high volume</v>
      </c>
      <c r="AK156" s="15" t="str">
        <f aca="false">IF(O156&lt;&gt;"",IF(O156="Price ≤ $5","Excluded – price ≤ $5","Excluded – IV only"),IF(ISNUMBER(D156),IF(AND(D156&gt;=$C$3,L156&gt;=$H$3),"Priority 1",IF(OR(D156&gt;=$C$3,L156&gt;=$H$3),"Priority 2","Priority 3")),IF(L156&gt;=$H$3,"Priority 2","Priority 3")))</f>
        <v>Priority 1</v>
      </c>
      <c r="AL156" s="16" t="str">
        <f aca="false">IF(O156&lt;&gt;"","",IF(ISNUMBER(D156),IF(D156&gt;=$C$3,"High price","Lower price"),"Unpriced")&amp;" · "&amp;IF(L156&gt;=$H$3,"high volume","lower volume"))</f>
        <v>High price · high volume</v>
      </c>
      <c r="AM156" s="14" t="n">
        <f aca="false">IF(O156&lt;&gt;"","",COUNTIFS($A$29:$A$361,A156,$O$29:$O$361,"",$AQ$29:$AQ$361,"&gt;"&amp;AQ156)+COUNTIFS($A$29:A156,A156,$O$29:O156,"",$AQ$29:AQ156,AQ156))</f>
        <v>2</v>
      </c>
      <c r="AN156" s="19" t="n">
        <f aca="false">IF(AND(O156="",ISNUMBER(D156)),D156,"")</f>
        <v>64.91</v>
      </c>
      <c r="AO156" s="20" t="n">
        <f aca="false">IF(O156="",M156,"")</f>
        <v>905</v>
      </c>
      <c r="AP156" s="20" t="n">
        <f aca="false">IF(O156="",L156,"")</f>
        <v>905</v>
      </c>
      <c r="AQ156" s="33" t="n">
        <f aca="false">IF(O156&lt;&gt;"","",(4-VALUE(RIGHT(AK156,1)))*10^7+N(N156))</f>
        <v>30028093.38</v>
      </c>
      <c r="AR156" s="33" t="n">
        <f aca="false">INDEX($O$7:$O$25,MATCH(A156,$I$7:$I$25,0))</f>
        <v>9</v>
      </c>
      <c r="AS156" s="33" t="n">
        <f aca="false">IF(AE156="No","",AR156*1000+IF(AM156="",900+COUNTIFS($A$29:A156,A156,$O$29:O156,"Price ≤ $5"),AM156))</f>
        <v>9002</v>
      </c>
    </row>
    <row r="157" customFormat="false" ht="41.75" hidden="false" customHeight="false" outlineLevel="0" collapsed="false">
      <c r="A157" s="15" t="s">
        <v>191</v>
      </c>
      <c r="B157" s="15" t="s">
        <v>694</v>
      </c>
      <c r="C157" s="16" t="s">
        <v>695</v>
      </c>
      <c r="D157" s="17" t="n">
        <f aca="false">IF(W157&gt;0,ROUND(AVERAGEIFS('Shortlisted Drugs X Company (7)'!$N$3:$N$698,'Shortlisted Drugs X Company (7)'!$C$3:$C$698,$B157,'Shortlisted Drugs X Company (7)'!$E$3:$E$698,$S157,'Shortlisted Drugs X Company (7)'!$N$3:$N$698,"&gt;5"),2),"")</f>
        <v>400.86</v>
      </c>
      <c r="E157" s="15" t="str">
        <f aca="false">IF(COUNTIFS('Shortlisted Drugs X Company (7)'!$C$3:$C$698,$B157,'Shortlisted Drugs X Company (7)'!$E$3:$E$698,$S157,'Shortlisted Drugs X Company (7)'!$P$3:$P$698,"Exact")&gt;0,"Exact",IF(COUNTIFS('Shortlisted Drugs X Company (7)'!$C$3:$C$698,$B157,'Shortlisted Drugs X Company (7)'!$E$3:$E$698,$S157,'Shortlisted Drugs X Company (7)'!$P$3:$P$698,"Same-market proxy")&gt;0,"Same-market proxy",IF(COUNTIFS('Shortlisted Drugs X Company (7)'!$C$3:$C$698,$B157,'Shortlisted Drugs X Company (7)'!$E$3:$E$698,$S157,'Shortlisted Drugs X Company (7)'!$P$3:$P$698,"Cross-market proxy")&gt;0,"Cross-market proxy",IF(COUNTIFS('Shortlisted Drugs X Company (7)'!$C$3:$C$698,$B157,'Shortlisted Drugs X Company (7)'!$E$3:$E$698,$S157,'Shortlisted Drugs X Company (7)'!$P$3:$P$698,"Source not found")&gt;0,"Source not found","Not priced"))))</f>
        <v>Exact</v>
      </c>
      <c r="F157" s="18" t="n">
        <f aca="false">IFERROR(ROUND(INDEX('Injectable Value'!$AA$28:$AA$178,MATCH(B157,'Injectable Value'!$A$28:$A$178,0)),1),"")</f>
        <v>1874.6</v>
      </c>
      <c r="G157" s="16" t="s">
        <v>823</v>
      </c>
      <c r="H157" s="14" t="n">
        <v>9</v>
      </c>
      <c r="I157" s="15" t="s">
        <v>248</v>
      </c>
      <c r="J157" s="15" t="s">
        <v>249</v>
      </c>
      <c r="K157" s="16" t="str">
        <f aca="false">"Cancer drug (cytotoxic) – less relevant"&amp;IF(V157=0,"; Unpriced","")&amp;IF(AND(V157&gt;0,W157=0,X157=0),"; Low price from another market – confirm with company","")</f>
        <v>Cancer drug (cytotoxic) – less relevant</v>
      </c>
      <c r="L157" s="18" t="n">
        <f aca="false">IFERROR(INDEX('Shortlisted Drugs X Company (7)'!$K$3:$K$698,MATCH(B157,'Shortlisted Drugs X Company (7)'!$C$3:$C$698,0)),"")</f>
        <v>42</v>
      </c>
      <c r="M157" s="18" t="n">
        <f aca="false">IFERROR(ROUND(L157*INDEX('Injectable Value'!$Z$28:$Z$178,MATCH(B157,'Injectable Value'!$A$28:$A$178,0)),0),"")</f>
        <v>42</v>
      </c>
      <c r="N157" s="18" t="n">
        <f aca="false">IFERROR(INDEX('Shortlisted Drugs X Company (7)'!$L$3:$L$698,MATCH(B157,'Shortlisted Drugs X Company (7)'!$C$3:$C$698,0)),"")</f>
        <v>1874.63</v>
      </c>
      <c r="O157" s="15" t="str">
        <f aca="false">IF(AE157="No","IV only (not ID/IM/SC)",IF(AND(V157&gt;0,W157=0),"Price ≤ $5",""))</f>
        <v>IV only (not ID/IM/SC)</v>
      </c>
      <c r="P157" s="14" t="str">
        <f aca="false">IF(O157&lt;&gt;"","",COUNTIFS($A$29:$A$361,A157,$O$29:$O$361,"",$AC$29:$AC$361,"&gt;"&amp;AC157)+COUNTIFS($A$29:A157,A157,$O$29:O157,"",$AC$29:AC157,AC157))</f>
        <v/>
      </c>
      <c r="Q157" s="15" t="str">
        <f aca="false">IF(O157&lt;&gt;"",IF(O157="Price ≤ $5","Excluded – price ≤ $5","Excluded – IV only"),IF(ISNUMBER(D157),IF(AND(D157&gt;=$C$3,M157&gt;=$E$3),"Priority 1",IF(OR(D157&gt;=$C$3,M157&gt;=$E$3),"Priority 2","Priority 3")),IF(M157&gt;=$E$3,"Priority 2","Priority 3")))</f>
        <v>Excluded – IV only</v>
      </c>
      <c r="R157" s="16" t="s">
        <v>250</v>
      </c>
      <c r="S157" s="15" t="s">
        <v>816</v>
      </c>
      <c r="T157" s="32" t="s">
        <v>697</v>
      </c>
      <c r="U157" s="33" t="str">
        <f aca="false">B157&amp;"|"&amp;S157</f>
        <v>Eribulin|Glenmark Pharmaceuticals</v>
      </c>
      <c r="V157" s="34" t="n">
        <f aca="false">COUNTIFS('Shortlisted Drugs X Company (7)'!$C$3:$C$698,$B157,'Shortlisted Drugs X Company (7)'!$E$3:$E$698,$S157,'Shortlisted Drugs X Company (7)'!$N$3:$N$698,"&gt;=0")</f>
        <v>3</v>
      </c>
      <c r="W157" s="34" t="n">
        <f aca="false">COUNTIFS('Shortlisted Drugs X Company (7)'!$C$3:$C$698,$B157,'Shortlisted Drugs X Company (7)'!$E$3:$E$698,$S157,'Shortlisted Drugs X Company (7)'!$N$3:$N$698,"&gt;5")</f>
        <v>3</v>
      </c>
      <c r="X157" s="34" t="n">
        <f aca="false">COUNTIFS('Shortlisted Drugs X Company (7)'!$C$3:$C$698,$B157,'Shortlisted Drugs X Company (7)'!$E$3:$E$698,$S157,'Shortlisted Drugs X Company (7)'!$P$3:$P$698,"Exact")+COUNTIFS('Shortlisted Drugs X Company (7)'!$C$3:$C$698,$B157,'Shortlisted Drugs X Company (7)'!$E$3:$E$698,$S157,'Shortlisted Drugs X Company (7)'!$P$3:$P$698,"Same-market proxy")</f>
        <v>3</v>
      </c>
      <c r="Y157" s="33" t="str">
        <f aca="false">A157&amp;"|"&amp;P157</f>
        <v>Glenmark|</v>
      </c>
      <c r="Z157" s="16" t="s">
        <v>824</v>
      </c>
      <c r="AA157" s="33" t="n">
        <f aca="false">INDEX($G$7:$G$25,MATCH(A157,$A$7:$A$25,0))</f>
        <v>7</v>
      </c>
      <c r="AB157" s="33" t="str">
        <f aca="false">IF(AE157="No","",AA157*1000+IF(P157="",900+COUNTIFS($A$29:A157,A157,$O$29:O157,"Price ≤ $5"),P157))</f>
        <v/>
      </c>
      <c r="AC157" s="33" t="str">
        <f aca="false">IF(O157&lt;&gt;"","",(4-VALUE(RIGHT(Q157,1)))*10^7+N(F157))</f>
        <v/>
      </c>
      <c r="AD157" s="15" t="str">
        <f aca="false">IFERROR(INDEX('Route of Administration'!$C$5:$C$155,MATCH(B157,'Route of Administration'!$A$5:$A$155,0)),"")</f>
        <v>IV</v>
      </c>
      <c r="AE157" s="14" t="str">
        <f aca="false">IFERROR(INDEX('Route of Administration'!$D$5:$D$155,MATCH(B157,'Route of Administration'!$A$5:$A$155,0)),"")</f>
        <v>No</v>
      </c>
      <c r="AF157" s="19" t="n">
        <f aca="false">IF(V157&gt;0,ROUND(AVERAGEIFS('Shortlisted Drugs X Company (7)'!$N$3:$N$698,'Shortlisted Drugs X Company (7)'!$C$3:$C$698,$B157,'Shortlisted Drugs X Company (7)'!$E$3:$E$698,$S157,'Shortlisted Drugs X Company (7)'!$N$3:$N$698,"&gt;=0"),2),"")</f>
        <v>400.86</v>
      </c>
      <c r="AG157" s="16" t="s">
        <v>825</v>
      </c>
      <c r="AH157" s="16" t="s">
        <v>826</v>
      </c>
      <c r="AI157" s="16" t="s">
        <v>826</v>
      </c>
      <c r="AJ157" s="16" t="str">
        <f aca="false">IF(O157&lt;&gt;"","",IF(ISNUMBER(D157),IF(D157&gt;=$C$3,"High price","Lower price"),"Unpriced")&amp;" · "&amp;IF(M157&gt;=$E$3,"high volume","lower volume"))</f>
        <v/>
      </c>
      <c r="AK157" s="15" t="str">
        <f aca="false">IF(O157&lt;&gt;"",IF(O157="Price ≤ $5","Excluded – price ≤ $5","Excluded – IV only"),IF(ISNUMBER(D157),IF(AND(D157&gt;=$C$3,L157&gt;=$H$3),"Priority 1",IF(OR(D157&gt;=$C$3,L157&gt;=$H$3),"Priority 2","Priority 3")),IF(L157&gt;=$H$3,"Priority 2","Priority 3")))</f>
        <v>Excluded – IV only</v>
      </c>
      <c r="AL157" s="16" t="str">
        <f aca="false">IF(O157&lt;&gt;"","",IF(ISNUMBER(D157),IF(D157&gt;=$C$3,"High price","Lower price"),"Unpriced")&amp;" · "&amp;IF(L157&gt;=$H$3,"high volume","lower volume"))</f>
        <v/>
      </c>
      <c r="AM157" s="14" t="str">
        <f aca="false">IF(O157&lt;&gt;"","",COUNTIFS($A$29:$A$361,A157,$O$29:$O$361,"",$AQ$29:$AQ$361,"&gt;"&amp;AQ157)+COUNTIFS($A$29:A157,A157,$O$29:O157,"",$AQ$29:AQ157,AQ157))</f>
        <v/>
      </c>
      <c r="AN157" s="33" t="str">
        <f aca="false">IF(AND(O157="",ISNUMBER(D157)),D157,"")</f>
        <v/>
      </c>
      <c r="AO157" s="33" t="str">
        <f aca="false">IF(O157="",M157,"")</f>
        <v/>
      </c>
      <c r="AP157" s="33" t="str">
        <f aca="false">IF(O157="",L157,"")</f>
        <v/>
      </c>
      <c r="AQ157" s="33" t="str">
        <f aca="false">IF(O157&lt;&gt;"","",(4-VALUE(RIGHT(AK157,1)))*10^7+N(N157))</f>
        <v/>
      </c>
      <c r="AR157" s="33" t="n">
        <f aca="false">INDEX($O$7:$O$25,MATCH(A157,$I$7:$I$25,0))</f>
        <v>9</v>
      </c>
      <c r="AS157" s="33" t="str">
        <f aca="false">IF(AE157="No","",AR157*1000+IF(AM157="",900+COUNTIFS($A$29:A157,A157,$O$29:O157,"Price ≤ $5"),AM157))</f>
        <v/>
      </c>
    </row>
    <row r="158" customFormat="false" ht="28.35" hidden="false" customHeight="false" outlineLevel="0" collapsed="false">
      <c r="A158" s="15" t="s">
        <v>191</v>
      </c>
      <c r="B158" s="15" t="s">
        <v>262</v>
      </c>
      <c r="C158" s="16" t="s">
        <v>263</v>
      </c>
      <c r="D158" s="17" t="n">
        <f aca="false">IF(W158&gt;0,ROUND(AVERAGEIFS('Shortlisted Drugs X Company (7)'!$N$3:$N$698,'Shortlisted Drugs X Company (7)'!$C$3:$C$698,$B158,'Shortlisted Drugs X Company (7)'!$E$3:$E$698,$S158,'Shortlisted Drugs X Company (7)'!$N$3:$N$698,"&gt;5"),2),"")</f>
        <v>302.38</v>
      </c>
      <c r="E158" s="15" t="str">
        <f aca="false">IF(COUNTIFS('Shortlisted Drugs X Company (7)'!$C$3:$C$698,$B158,'Shortlisted Drugs X Company (7)'!$E$3:$E$698,$S158,'Shortlisted Drugs X Company (7)'!$P$3:$P$698,"Exact")&gt;0,"Exact",IF(COUNTIFS('Shortlisted Drugs X Company (7)'!$C$3:$C$698,$B158,'Shortlisted Drugs X Company (7)'!$E$3:$E$698,$S158,'Shortlisted Drugs X Company (7)'!$P$3:$P$698,"Same-market proxy")&gt;0,"Same-market proxy",IF(COUNTIFS('Shortlisted Drugs X Company (7)'!$C$3:$C$698,$B158,'Shortlisted Drugs X Company (7)'!$E$3:$E$698,$S158,'Shortlisted Drugs X Company (7)'!$P$3:$P$698,"Cross-market proxy")&gt;0,"Cross-market proxy",IF(COUNTIFS('Shortlisted Drugs X Company (7)'!$C$3:$C$698,$B158,'Shortlisted Drugs X Company (7)'!$E$3:$E$698,$S158,'Shortlisted Drugs X Company (7)'!$P$3:$P$698,"Source not found")&gt;0,"Source not found","Not priced"))))</f>
        <v>Same-market proxy</v>
      </c>
      <c r="F158" s="18" t="n">
        <f aca="false">IFERROR(ROUND(INDEX('Injectable Value'!$AA$28:$AA$178,MATCH(B158,'Injectable Value'!$A$28:$A$178,0)),1),"")</f>
        <v>11366.1</v>
      </c>
      <c r="G158" s="16" t="s">
        <v>827</v>
      </c>
      <c r="H158" s="14" t="n">
        <v>8</v>
      </c>
      <c r="I158" s="15" t="s">
        <v>258</v>
      </c>
      <c r="J158" s="15" t="s">
        <v>249</v>
      </c>
      <c r="K158" s="16" t="str">
        <f aca="false">"Prefilled only"&amp;IF(V158=0,"; Unpriced","")&amp;IF(AND(V158&gt;0,W158=0,X158=0),"; Low price from another market – confirm with company","")</f>
        <v>Prefilled only</v>
      </c>
      <c r="L158" s="18" t="n">
        <f aca="false">IFERROR(INDEX('Shortlisted Drugs X Company (7)'!$K$3:$K$698,MATCH(B158,'Shortlisted Drugs X Company (7)'!$C$3:$C$698,0)),"")</f>
        <v>146</v>
      </c>
      <c r="M158" s="18" t="n">
        <f aca="false">IFERROR(ROUND(L158*INDEX('Injectable Value'!$Z$28:$Z$178,MATCH(B158,'Injectable Value'!$A$28:$A$178,0)),0),"")</f>
        <v>146</v>
      </c>
      <c r="N158" s="18" t="n">
        <f aca="false">IFERROR(INDEX('Shortlisted Drugs X Company (7)'!$L$3:$L$698,MATCH(B158,'Shortlisted Drugs X Company (7)'!$C$3:$C$698,0)),"")</f>
        <v>11366.06</v>
      </c>
      <c r="O158" s="15" t="str">
        <f aca="false">IF(AE158="No","IV only (not ID/IM/SC)",IF(AND(V158&gt;0,W158=0),"Price ≤ $5",""))</f>
        <v/>
      </c>
      <c r="P158" s="14" t="n">
        <f aca="false">IF(O158&lt;&gt;"","",COUNTIFS($A$29:$A$361,A158,$O$29:$O$361,"",$AC$29:$AC$361,"&gt;"&amp;AC158)+COUNTIFS($A$29:A158,A158,$O$29:O158,"",$AC$29:AC158,AC158))</f>
        <v>3</v>
      </c>
      <c r="Q158" s="15" t="str">
        <f aca="false">IF(O158&lt;&gt;"",IF(O158="Price ≤ $5","Excluded – price ≤ $5","Excluded – IV only"),IF(ISNUMBER(D158),IF(AND(D158&gt;=$C$3,M158&gt;=$E$3),"Priority 1",IF(OR(D158&gt;=$C$3,M158&gt;=$E$3),"Priority 2","Priority 3")),IF(M158&gt;=$E$3,"Priority 2","Priority 3")))</f>
        <v>Priority 1</v>
      </c>
      <c r="R158" s="16" t="s">
        <v>259</v>
      </c>
      <c r="S158" s="15" t="s">
        <v>816</v>
      </c>
      <c r="T158" s="32" t="s">
        <v>264</v>
      </c>
      <c r="U158" s="33" t="str">
        <f aca="false">B158&amp;"|"&amp;S158</f>
        <v>Fulvestrant|Glenmark Pharmaceuticals</v>
      </c>
      <c r="V158" s="34" t="n">
        <f aca="false">COUNTIFS('Shortlisted Drugs X Company (7)'!$C$3:$C$698,$B158,'Shortlisted Drugs X Company (7)'!$E$3:$E$698,$S158,'Shortlisted Drugs X Company (7)'!$N$3:$N$698,"&gt;=0")</f>
        <v>3</v>
      </c>
      <c r="W158" s="34" t="n">
        <f aca="false">COUNTIFS('Shortlisted Drugs X Company (7)'!$C$3:$C$698,$B158,'Shortlisted Drugs X Company (7)'!$E$3:$E$698,$S158,'Shortlisted Drugs X Company (7)'!$N$3:$N$698,"&gt;5")</f>
        <v>3</v>
      </c>
      <c r="X158" s="34" t="n">
        <f aca="false">COUNTIFS('Shortlisted Drugs X Company (7)'!$C$3:$C$698,$B158,'Shortlisted Drugs X Company (7)'!$E$3:$E$698,$S158,'Shortlisted Drugs X Company (7)'!$P$3:$P$698,"Exact")+COUNTIFS('Shortlisted Drugs X Company (7)'!$C$3:$C$698,$B158,'Shortlisted Drugs X Company (7)'!$E$3:$E$698,$S158,'Shortlisted Drugs X Company (7)'!$P$3:$P$698,"Same-market proxy")</f>
        <v>2</v>
      </c>
      <c r="Y158" s="33" t="str">
        <f aca="false">A158&amp;"|"&amp;P158</f>
        <v>Glenmark|3</v>
      </c>
      <c r="Z158" s="16" t="s">
        <v>828</v>
      </c>
      <c r="AA158" s="33" t="n">
        <f aca="false">INDEX($G$7:$G$25,MATCH(A158,$A$7:$A$25,0))</f>
        <v>7</v>
      </c>
      <c r="AB158" s="33" t="n">
        <f aca="false">IF(AE158="No","",AA158*1000+IF(P158="",900+COUNTIFS($A$29:A158,A158,$O$29:O158,"Price ≤ $5"),P158))</f>
        <v>7003</v>
      </c>
      <c r="AC158" s="33" t="n">
        <f aca="false">IF(O158&lt;&gt;"","",(4-VALUE(RIGHT(Q158,1)))*10^7+N(F158))</f>
        <v>30011366.1</v>
      </c>
      <c r="AD158" s="15" t="str">
        <f aca="false">IFERROR(INDEX('Route of Administration'!$C$5:$C$155,MATCH(B158,'Route of Administration'!$A$5:$A$155,0)),"")</f>
        <v>IM</v>
      </c>
      <c r="AE158" s="14" t="str">
        <f aca="false">IFERROR(INDEX('Route of Administration'!$D$5:$D$155,MATCH(B158,'Route of Administration'!$A$5:$A$155,0)),"")</f>
        <v>Yes</v>
      </c>
      <c r="AF158" s="19" t="n">
        <f aca="false">IF(V158&gt;0,ROUND(AVERAGEIFS('Shortlisted Drugs X Company (7)'!$N$3:$N$698,'Shortlisted Drugs X Company (7)'!$C$3:$C$698,$B158,'Shortlisted Drugs X Company (7)'!$E$3:$E$698,$S158,'Shortlisted Drugs X Company (7)'!$N$3:$N$698,"&gt;=0"),2),"")</f>
        <v>302.38</v>
      </c>
      <c r="AG158" s="16" t="s">
        <v>829</v>
      </c>
      <c r="AH158" s="16" t="s">
        <v>830</v>
      </c>
      <c r="AI158" s="16" t="s">
        <v>830</v>
      </c>
      <c r="AJ158" s="16" t="str">
        <f aca="false">IF(O158&lt;&gt;"","",IF(ISNUMBER(D158),IF(D158&gt;=$C$3,"High price","Lower price"),"Unpriced")&amp;" · "&amp;IF(M158&gt;=$E$3,"high volume","lower volume"))</f>
        <v>High price · high volume</v>
      </c>
      <c r="AK158" s="15" t="str">
        <f aca="false">IF(O158&lt;&gt;"",IF(O158="Price ≤ $5","Excluded – price ≤ $5","Excluded – IV only"),IF(ISNUMBER(D158),IF(AND(D158&gt;=$C$3,L158&gt;=$H$3),"Priority 1",IF(OR(D158&gt;=$C$3,L158&gt;=$H$3),"Priority 2","Priority 3")),IF(L158&gt;=$H$3,"Priority 2","Priority 3")))</f>
        <v>Priority 2</v>
      </c>
      <c r="AL158" s="16" t="str">
        <f aca="false">IF(O158&lt;&gt;"","",IF(ISNUMBER(D158),IF(D158&gt;=$C$3,"High price","Lower price"),"Unpriced")&amp;" · "&amp;IF(L158&gt;=$H$3,"high volume","lower volume"))</f>
        <v>High price · lower volume</v>
      </c>
      <c r="AM158" s="14" t="n">
        <f aca="false">IF(O158&lt;&gt;"","",COUNTIFS($A$29:$A$361,A158,$O$29:$O$361,"",$AQ$29:$AQ$361,"&gt;"&amp;AQ158)+COUNTIFS($A$29:A158,A158,$O$29:O158,"",$AQ$29:AQ158,AQ158))</f>
        <v>3</v>
      </c>
      <c r="AN158" s="19" t="n">
        <f aca="false">IF(AND(O158="",ISNUMBER(D158)),D158,"")</f>
        <v>302.38</v>
      </c>
      <c r="AO158" s="20" t="n">
        <f aca="false">IF(O158="",M158,"")</f>
        <v>146</v>
      </c>
      <c r="AP158" s="20" t="n">
        <f aca="false">IF(O158="",L158,"")</f>
        <v>146</v>
      </c>
      <c r="AQ158" s="33" t="n">
        <f aca="false">IF(O158&lt;&gt;"","",(4-VALUE(RIGHT(AK158,1)))*10^7+N(N158))</f>
        <v>20011366.06</v>
      </c>
      <c r="AR158" s="33" t="n">
        <f aca="false">INDEX($O$7:$O$25,MATCH(A158,$I$7:$I$25,0))</f>
        <v>9</v>
      </c>
      <c r="AS158" s="33" t="n">
        <f aca="false">IF(AE158="No","",AR158*1000+IF(AM158="",900+COUNTIFS($A$29:A158,A158,$O$29:O158,"Price ≤ $5"),AM158))</f>
        <v>9003</v>
      </c>
    </row>
    <row r="159" customFormat="false" ht="41.75" hidden="false" customHeight="false" outlineLevel="0" collapsed="false">
      <c r="A159" s="15" t="s">
        <v>191</v>
      </c>
      <c r="B159" s="15" t="s">
        <v>510</v>
      </c>
      <c r="C159" s="16" t="s">
        <v>511</v>
      </c>
      <c r="D159" s="17" t="n">
        <f aca="false">IF(W159&gt;0,ROUND(AVERAGEIFS('Shortlisted Drugs X Company (7)'!$N$3:$N$698,'Shortlisted Drugs X Company (7)'!$C$3:$C$698,$B159,'Shortlisted Drugs X Company (7)'!$E$3:$E$698,$S159,'Shortlisted Drugs X Company (7)'!$N$3:$N$698,"&gt;5"),2),"")</f>
        <v>7322.42</v>
      </c>
      <c r="E159" s="15" t="str">
        <f aca="false">IF(COUNTIFS('Shortlisted Drugs X Company (7)'!$C$3:$C$698,$B159,'Shortlisted Drugs X Company (7)'!$E$3:$E$698,$S159,'Shortlisted Drugs X Company (7)'!$P$3:$P$698,"Exact")&gt;0,"Exact",IF(COUNTIFS('Shortlisted Drugs X Company (7)'!$C$3:$C$698,$B159,'Shortlisted Drugs X Company (7)'!$E$3:$E$698,$S159,'Shortlisted Drugs X Company (7)'!$P$3:$P$698,"Same-market proxy")&gt;0,"Same-market proxy",IF(COUNTIFS('Shortlisted Drugs X Company (7)'!$C$3:$C$698,$B159,'Shortlisted Drugs X Company (7)'!$E$3:$E$698,$S159,'Shortlisted Drugs X Company (7)'!$P$3:$P$698,"Cross-market proxy")&gt;0,"Cross-market proxy",IF(COUNTIFS('Shortlisted Drugs X Company (7)'!$C$3:$C$698,$B159,'Shortlisted Drugs X Company (7)'!$E$3:$E$698,$S159,'Shortlisted Drugs X Company (7)'!$P$3:$P$698,"Source not found")&gt;0,"Source not found","Not priced"))))</f>
        <v>Cross-market proxy</v>
      </c>
      <c r="F159" s="18" t="n">
        <f aca="false">IFERROR(ROUND(INDEX('Injectable Value'!$AA$28:$AA$178,MATCH(B159,'Injectable Value'!$A$28:$A$178,0)),1),"")</f>
        <v>7904.7</v>
      </c>
      <c r="G159" s="16" t="s">
        <v>70</v>
      </c>
      <c r="H159" s="14" t="n">
        <v>1</v>
      </c>
      <c r="I159" s="15" t="s">
        <v>248</v>
      </c>
      <c r="J159" s="15" t="s">
        <v>249</v>
      </c>
      <c r="K159" s="16" t="str">
        <f aca="false">""&amp;IF(V159=0,"Unpriced","")&amp;IF(AND(V159&gt;0,W159=0,X159=0),"Low price from another market – confirm with company","")</f>
        <v/>
      </c>
      <c r="L159" s="18" t="n">
        <f aca="false">IFERROR(INDEX('Shortlisted Drugs X Company (7)'!$K$3:$K$698,MATCH(B159,'Shortlisted Drugs X Company (7)'!$C$3:$C$698,0)),"")</f>
        <v>47</v>
      </c>
      <c r="M159" s="18" t="n">
        <f aca="false">IFERROR(ROUND(L159*INDEX('Injectable Value'!$Z$28:$Z$178,MATCH(B159,'Injectable Value'!$A$28:$A$178,0)),0),"")</f>
        <v>47</v>
      </c>
      <c r="N159" s="18" t="n">
        <f aca="false">IFERROR(INDEX('Shortlisted Drugs X Company (7)'!$L$3:$L$698,MATCH(B159,'Shortlisted Drugs X Company (7)'!$C$3:$C$698,0)),"")</f>
        <v>7904.67</v>
      </c>
      <c r="O159" s="15" t="str">
        <f aca="false">IF(AE159="No","IV only (not ID/IM/SC)",IF(AND(V159&gt;0,W159=0),"Price ≤ $5",""))</f>
        <v/>
      </c>
      <c r="P159" s="14" t="n">
        <f aca="false">IF(O159&lt;&gt;"","",COUNTIFS($A$29:$A$361,A159,$O$29:$O$361,"",$AC$29:$AC$361,"&gt;"&amp;AC159)+COUNTIFS($A$29:A159,A159,$O$29:O159,"",$AC$29:AC159,AC159))</f>
        <v>4</v>
      </c>
      <c r="Q159" s="15" t="str">
        <f aca="false">IF(O159&lt;&gt;"",IF(O159="Price ≤ $5","Excluded – price ≤ $5","Excluded – IV only"),IF(ISNUMBER(D159),IF(AND(D159&gt;=$C$3,M159&gt;=$E$3),"Priority 1",IF(OR(D159&gt;=$C$3,M159&gt;=$E$3),"Priority 2","Priority 3")),IF(M159&gt;=$E$3,"Priority 2","Priority 3")))</f>
        <v>Priority 2</v>
      </c>
      <c r="R159" s="16" t="s">
        <v>250</v>
      </c>
      <c r="S159" s="15" t="s">
        <v>816</v>
      </c>
      <c r="T159" s="32" t="s">
        <v>513</v>
      </c>
      <c r="U159" s="33" t="str">
        <f aca="false">B159&amp;"|"&amp;S159</f>
        <v>Plerixafor|Glenmark Pharmaceuticals</v>
      </c>
      <c r="V159" s="34" t="n">
        <f aca="false">COUNTIFS('Shortlisted Drugs X Company (7)'!$C$3:$C$698,$B159,'Shortlisted Drugs X Company (7)'!$E$3:$E$698,$S159,'Shortlisted Drugs X Company (7)'!$N$3:$N$698,"&gt;=0")</f>
        <v>1</v>
      </c>
      <c r="W159" s="34" t="n">
        <f aca="false">COUNTIFS('Shortlisted Drugs X Company (7)'!$C$3:$C$698,$B159,'Shortlisted Drugs X Company (7)'!$E$3:$E$698,$S159,'Shortlisted Drugs X Company (7)'!$N$3:$N$698,"&gt;5")</f>
        <v>1</v>
      </c>
      <c r="X159" s="34" t="n">
        <f aca="false">COUNTIFS('Shortlisted Drugs X Company (7)'!$C$3:$C$698,$B159,'Shortlisted Drugs X Company (7)'!$E$3:$E$698,$S159,'Shortlisted Drugs X Company (7)'!$P$3:$P$698,"Exact")+COUNTIFS('Shortlisted Drugs X Company (7)'!$C$3:$C$698,$B159,'Shortlisted Drugs X Company (7)'!$E$3:$E$698,$S159,'Shortlisted Drugs X Company (7)'!$P$3:$P$698,"Same-market proxy")</f>
        <v>0</v>
      </c>
      <c r="Y159" s="33" t="str">
        <f aca="false">A159&amp;"|"&amp;P159</f>
        <v>Glenmark|4</v>
      </c>
      <c r="Z159" s="16" t="s">
        <v>514</v>
      </c>
      <c r="AA159" s="33" t="n">
        <f aca="false">INDEX($G$7:$G$25,MATCH(A159,$A$7:$A$25,0))</f>
        <v>7</v>
      </c>
      <c r="AB159" s="33" t="n">
        <f aca="false">IF(AE159="No","",AA159*1000+IF(P159="",900+COUNTIFS($A$29:A159,A159,$O$29:O159,"Price ≤ $5"),P159))</f>
        <v>7004</v>
      </c>
      <c r="AC159" s="33" t="n">
        <f aca="false">IF(O159&lt;&gt;"","",(4-VALUE(RIGHT(Q159,1)))*10^7+N(F159))</f>
        <v>20007904.7</v>
      </c>
      <c r="AD159" s="15" t="str">
        <f aca="false">IFERROR(INDEX('Route of Administration'!$C$5:$C$155,MATCH(B159,'Route of Administration'!$A$5:$A$155,0)),"")</f>
        <v>SC</v>
      </c>
      <c r="AE159" s="14" t="str">
        <f aca="false">IFERROR(INDEX('Route of Administration'!$D$5:$D$155,MATCH(B159,'Route of Administration'!$A$5:$A$155,0)),"")</f>
        <v>Yes</v>
      </c>
      <c r="AF159" s="19" t="n">
        <f aca="false">IF(V159&gt;0,ROUND(AVERAGEIFS('Shortlisted Drugs X Company (7)'!$N$3:$N$698,'Shortlisted Drugs X Company (7)'!$C$3:$C$698,$B159,'Shortlisted Drugs X Company (7)'!$E$3:$E$698,$S159,'Shortlisted Drugs X Company (7)'!$N$3:$N$698,"&gt;=0"),2),"")</f>
        <v>7322.42</v>
      </c>
      <c r="AG159" s="16" t="s">
        <v>831</v>
      </c>
      <c r="AH159" s="16" t="s">
        <v>832</v>
      </c>
      <c r="AI159" s="16" t="s">
        <v>832</v>
      </c>
      <c r="AJ159" s="16" t="str">
        <f aca="false">IF(O159&lt;&gt;"","",IF(ISNUMBER(D159),IF(D159&gt;=$C$3,"High price","Lower price"),"Unpriced")&amp;" · "&amp;IF(M159&gt;=$E$3,"high volume","lower volume"))</f>
        <v>High price · lower volume</v>
      </c>
      <c r="AK159" s="15" t="str">
        <f aca="false">IF(O159&lt;&gt;"",IF(O159="Price ≤ $5","Excluded – price ≤ $5","Excluded – IV only"),IF(ISNUMBER(D159),IF(AND(D159&gt;=$C$3,L159&gt;=$H$3),"Priority 1",IF(OR(D159&gt;=$C$3,L159&gt;=$H$3),"Priority 2","Priority 3")),IF(L159&gt;=$H$3,"Priority 2","Priority 3")))</f>
        <v>Priority 2</v>
      </c>
      <c r="AL159" s="16" t="str">
        <f aca="false">IF(O159&lt;&gt;"","",IF(ISNUMBER(D159),IF(D159&gt;=$C$3,"High price","Lower price"),"Unpriced")&amp;" · "&amp;IF(L159&gt;=$H$3,"high volume","lower volume"))</f>
        <v>High price · lower volume</v>
      </c>
      <c r="AM159" s="14" t="n">
        <f aca="false">IF(O159&lt;&gt;"","",COUNTIFS($A$29:$A$361,A159,$O$29:$O$361,"",$AQ$29:$AQ$361,"&gt;"&amp;AQ159)+COUNTIFS($A$29:A159,A159,$O$29:O159,"",$AQ$29:AQ159,AQ159))</f>
        <v>4</v>
      </c>
      <c r="AN159" s="19" t="n">
        <f aca="false">IF(AND(O159="",ISNUMBER(D159)),D159,"")</f>
        <v>7322.42</v>
      </c>
      <c r="AO159" s="20" t="n">
        <f aca="false">IF(O159="",M159,"")</f>
        <v>47</v>
      </c>
      <c r="AP159" s="20" t="n">
        <f aca="false">IF(O159="",L159,"")</f>
        <v>47</v>
      </c>
      <c r="AQ159" s="33" t="n">
        <f aca="false">IF(O159&lt;&gt;"","",(4-VALUE(RIGHT(AK159,1)))*10^7+N(N159))</f>
        <v>20007904.67</v>
      </c>
      <c r="AR159" s="33" t="n">
        <f aca="false">INDEX($O$7:$O$25,MATCH(A159,$I$7:$I$25,0))</f>
        <v>9</v>
      </c>
      <c r="AS159" s="33" t="n">
        <f aca="false">IF(AE159="No","",AR159*1000+IF(AM159="",900+COUNTIFS($A$29:A159,A159,$O$29:O159,"Price ≤ $5"),AM159))</f>
        <v>9004</v>
      </c>
    </row>
    <row r="160" customFormat="false" ht="28.35" hidden="false" customHeight="false" outlineLevel="0" collapsed="false">
      <c r="A160" s="15" t="s">
        <v>191</v>
      </c>
      <c r="B160" s="15" t="s">
        <v>635</v>
      </c>
      <c r="C160" s="16" t="s">
        <v>636</v>
      </c>
      <c r="D160" s="17" t="n">
        <f aca="false">IF(W160&gt;0,ROUND(AVERAGEIFS('Shortlisted Drugs X Company (7)'!$N$3:$N$698,'Shortlisted Drugs X Company (7)'!$C$3:$C$698,$B160,'Shortlisted Drugs X Company (7)'!$E$3:$E$698,$S160,'Shortlisted Drugs X Company (7)'!$N$3:$N$698,"&gt;5"),2),"")</f>
        <v>79.53</v>
      </c>
      <c r="E160" s="15" t="str">
        <f aca="false">IF(COUNTIFS('Shortlisted Drugs X Company (7)'!$C$3:$C$698,$B160,'Shortlisted Drugs X Company (7)'!$E$3:$E$698,$S160,'Shortlisted Drugs X Company (7)'!$P$3:$P$698,"Exact")&gt;0,"Exact",IF(COUNTIFS('Shortlisted Drugs X Company (7)'!$C$3:$C$698,$B160,'Shortlisted Drugs X Company (7)'!$E$3:$E$698,$S160,'Shortlisted Drugs X Company (7)'!$P$3:$P$698,"Same-market proxy")&gt;0,"Same-market proxy",IF(COUNTIFS('Shortlisted Drugs X Company (7)'!$C$3:$C$698,$B160,'Shortlisted Drugs X Company (7)'!$E$3:$E$698,$S160,'Shortlisted Drugs X Company (7)'!$P$3:$P$698,"Cross-market proxy")&gt;0,"Cross-market proxy",IF(COUNTIFS('Shortlisted Drugs X Company (7)'!$C$3:$C$698,$B160,'Shortlisted Drugs X Company (7)'!$E$3:$E$698,$S160,'Shortlisted Drugs X Company (7)'!$P$3:$P$698,"Source not found")&gt;0,"Source not found","Not priced"))))</f>
        <v>Same-market proxy</v>
      </c>
      <c r="F160" s="18" t="n">
        <f aca="false">IFERROR(ROUND(INDEX('Injectable Value'!$AA$28:$AA$178,MATCH(B160,'Injectable Value'!$A$28:$A$178,0)),1),"")</f>
        <v>32830.2</v>
      </c>
      <c r="G160" s="16" t="s">
        <v>833</v>
      </c>
      <c r="H160" s="14" t="n">
        <v>9</v>
      </c>
      <c r="I160" s="15" t="s">
        <v>248</v>
      </c>
      <c r="J160" s="15" t="s">
        <v>249</v>
      </c>
      <c r="K160" s="16" t="str">
        <f aca="false">""&amp;IF(V160=0,"Unpriced","")&amp;IF(AND(V160&gt;0,W160=0,X160=0),"Low price from another market – confirm with company","")</f>
        <v/>
      </c>
      <c r="L160" s="18" t="n">
        <f aca="false">IFERROR(INDEX('Shortlisted Drugs X Company (7)'!$K$3:$K$698,MATCH(B160,'Shortlisted Drugs X Company (7)'!$C$3:$C$698,0)),"")</f>
        <v>346</v>
      </c>
      <c r="M160" s="18" t="n">
        <f aca="false">IFERROR(ROUND(L160*INDEX('Injectable Value'!$Z$28:$Z$178,MATCH(B160,'Injectable Value'!$A$28:$A$178,0)),0),"")</f>
        <v>346</v>
      </c>
      <c r="N160" s="18" t="n">
        <f aca="false">IFERROR(INDEX('Shortlisted Drugs X Company (7)'!$L$3:$L$698,MATCH(B160,'Shortlisted Drugs X Company (7)'!$C$3:$C$698,0)),"")</f>
        <v>32830.17</v>
      </c>
      <c r="O160" s="15" t="str">
        <f aca="false">IF(AE160="No","IV only (not ID/IM/SC)",IF(AND(V160&gt;0,W160=0),"Price ≤ $5",""))</f>
        <v>IV only (not ID/IM/SC)</v>
      </c>
      <c r="P160" s="14" t="str">
        <f aca="false">IF(O160&lt;&gt;"","",COUNTIFS($A$29:$A$361,A160,$O$29:$O$361,"",$AC$29:$AC$361,"&gt;"&amp;AC160)+COUNTIFS($A$29:A160,A160,$O$29:O160,"",$AC$29:AC160,AC160))</f>
        <v/>
      </c>
      <c r="Q160" s="15" t="str">
        <f aca="false">IF(O160&lt;&gt;"",IF(O160="Price ≤ $5","Excluded – price ≤ $5","Excluded – IV only"),IF(ISNUMBER(D160),IF(AND(D160&gt;=$C$3,M160&gt;=$E$3),"Priority 1",IF(OR(D160&gt;=$C$3,M160&gt;=$E$3),"Priority 2","Priority 3")),IF(M160&gt;=$E$3,"Priority 2","Priority 3")))</f>
        <v>Excluded – IV only</v>
      </c>
      <c r="R160" s="16" t="s">
        <v>250</v>
      </c>
      <c r="S160" s="15" t="s">
        <v>816</v>
      </c>
      <c r="T160" s="32" t="s">
        <v>637</v>
      </c>
      <c r="U160" s="33" t="str">
        <f aca="false">B160&amp;"|"&amp;S160</f>
        <v>Sugammadex|Glenmark Pharmaceuticals</v>
      </c>
      <c r="V160" s="34" t="n">
        <f aca="false">COUNTIFS('Shortlisted Drugs X Company (7)'!$C$3:$C$698,$B160,'Shortlisted Drugs X Company (7)'!$E$3:$E$698,$S160,'Shortlisted Drugs X Company (7)'!$N$3:$N$698,"&gt;=0")</f>
        <v>2</v>
      </c>
      <c r="W160" s="34" t="n">
        <f aca="false">COUNTIFS('Shortlisted Drugs X Company (7)'!$C$3:$C$698,$B160,'Shortlisted Drugs X Company (7)'!$E$3:$E$698,$S160,'Shortlisted Drugs X Company (7)'!$N$3:$N$698,"&gt;5")</f>
        <v>2</v>
      </c>
      <c r="X160" s="34" t="n">
        <f aca="false">COUNTIFS('Shortlisted Drugs X Company (7)'!$C$3:$C$698,$B160,'Shortlisted Drugs X Company (7)'!$E$3:$E$698,$S160,'Shortlisted Drugs X Company (7)'!$P$3:$P$698,"Exact")+COUNTIFS('Shortlisted Drugs X Company (7)'!$C$3:$C$698,$B160,'Shortlisted Drugs X Company (7)'!$E$3:$E$698,$S160,'Shortlisted Drugs X Company (7)'!$P$3:$P$698,"Same-market proxy")</f>
        <v>2</v>
      </c>
      <c r="Y160" s="33" t="str">
        <f aca="false">A160&amp;"|"&amp;P160</f>
        <v>Glenmark|</v>
      </c>
      <c r="Z160" s="16" t="s">
        <v>834</v>
      </c>
      <c r="AA160" s="33" t="n">
        <f aca="false">INDEX($G$7:$G$25,MATCH(A160,$A$7:$A$25,0))</f>
        <v>7</v>
      </c>
      <c r="AB160" s="33" t="str">
        <f aca="false">IF(AE160="No","",AA160*1000+IF(P160="",900+COUNTIFS($A$29:A160,A160,$O$29:O160,"Price ≤ $5"),P160))</f>
        <v/>
      </c>
      <c r="AC160" s="33" t="str">
        <f aca="false">IF(O160&lt;&gt;"","",(4-VALUE(RIGHT(Q160,1)))*10^7+N(F160))</f>
        <v/>
      </c>
      <c r="AD160" s="15" t="str">
        <f aca="false">IFERROR(INDEX('Route of Administration'!$C$5:$C$155,MATCH(B160,'Route of Administration'!$A$5:$A$155,0)),"")</f>
        <v>IV</v>
      </c>
      <c r="AE160" s="14" t="str">
        <f aca="false">IFERROR(INDEX('Route of Administration'!$D$5:$D$155,MATCH(B160,'Route of Administration'!$A$5:$A$155,0)),"")</f>
        <v>No</v>
      </c>
      <c r="AF160" s="19" t="n">
        <f aca="false">IF(V160&gt;0,ROUND(AVERAGEIFS('Shortlisted Drugs X Company (7)'!$N$3:$N$698,'Shortlisted Drugs X Company (7)'!$C$3:$C$698,$B160,'Shortlisted Drugs X Company (7)'!$E$3:$E$698,$S160,'Shortlisted Drugs X Company (7)'!$N$3:$N$698,"&gt;=0"),2),"")</f>
        <v>79.53</v>
      </c>
      <c r="AG160" s="16" t="s">
        <v>835</v>
      </c>
      <c r="AH160" s="16" t="s">
        <v>836</v>
      </c>
      <c r="AI160" s="16" t="s">
        <v>837</v>
      </c>
      <c r="AJ160" s="16" t="str">
        <f aca="false">IF(O160&lt;&gt;"","",IF(ISNUMBER(D160),IF(D160&gt;=$C$3,"High price","Lower price"),"Unpriced")&amp;" · "&amp;IF(M160&gt;=$E$3,"high volume","lower volume"))</f>
        <v/>
      </c>
      <c r="AK160" s="15" t="str">
        <f aca="false">IF(O160&lt;&gt;"",IF(O160="Price ≤ $5","Excluded – price ≤ $5","Excluded – IV only"),IF(ISNUMBER(D160),IF(AND(D160&gt;=$C$3,L160&gt;=$H$3),"Priority 1",IF(OR(D160&gt;=$C$3,L160&gt;=$H$3),"Priority 2","Priority 3")),IF(L160&gt;=$H$3,"Priority 2","Priority 3")))</f>
        <v>Excluded – IV only</v>
      </c>
      <c r="AL160" s="16" t="str">
        <f aca="false">IF(O160&lt;&gt;"","",IF(ISNUMBER(D160),IF(D160&gt;=$C$3,"High price","Lower price"),"Unpriced")&amp;" · "&amp;IF(L160&gt;=$H$3,"high volume","lower volume"))</f>
        <v/>
      </c>
      <c r="AM160" s="14" t="str">
        <f aca="false">IF(O160&lt;&gt;"","",COUNTIFS($A$29:$A$361,A160,$O$29:$O$361,"",$AQ$29:$AQ$361,"&gt;"&amp;AQ160)+COUNTIFS($A$29:A160,A160,$O$29:O160,"",$AQ$29:AQ160,AQ160))</f>
        <v/>
      </c>
      <c r="AN160" s="33" t="str">
        <f aca="false">IF(AND(O160="",ISNUMBER(D160)),D160,"")</f>
        <v/>
      </c>
      <c r="AO160" s="33" t="str">
        <f aca="false">IF(O160="",M160,"")</f>
        <v/>
      </c>
      <c r="AP160" s="33" t="str">
        <f aca="false">IF(O160="",L160,"")</f>
        <v/>
      </c>
      <c r="AQ160" s="33" t="str">
        <f aca="false">IF(O160&lt;&gt;"","",(4-VALUE(RIGHT(AK160,1)))*10^7+N(N160))</f>
        <v/>
      </c>
      <c r="AR160" s="33" t="n">
        <f aca="false">INDEX($O$7:$O$25,MATCH(A160,$I$7:$I$25,0))</f>
        <v>9</v>
      </c>
      <c r="AS160" s="33" t="str">
        <f aca="false">IF(AE160="No","",AR160*1000+IF(AM160="",900+COUNTIFS($A$29:A160,A160,$O$29:O160,"Price ≤ $5"),AM160))</f>
        <v/>
      </c>
    </row>
    <row r="161" customFormat="false" ht="41.75" hidden="false" customHeight="false" outlineLevel="0" collapsed="false">
      <c r="A161" s="15" t="s">
        <v>192</v>
      </c>
      <c r="B161" s="15" t="s">
        <v>296</v>
      </c>
      <c r="C161" s="16" t="s">
        <v>297</v>
      </c>
      <c r="D161" s="17" t="n">
        <f aca="false">IF(W161&gt;0,ROUND(AVERAGEIFS('Shortlisted Drugs X Company (7)'!$N$3:$N$698,'Shortlisted Drugs X Company (7)'!$C$3:$C$698,$B161,'Shortlisted Drugs X Company (7)'!$E$3:$E$698,$S161,'Shortlisted Drugs X Company (7)'!$N$3:$N$698,"&gt;5"),2),"")</f>
        <v>360.71</v>
      </c>
      <c r="E161" s="15" t="str">
        <f aca="false">IF(COUNTIFS('Shortlisted Drugs X Company (7)'!$C$3:$C$698,$B161,'Shortlisted Drugs X Company (7)'!$E$3:$E$698,$S161,'Shortlisted Drugs X Company (7)'!$P$3:$P$698,"Exact")&gt;0,"Exact",IF(COUNTIFS('Shortlisted Drugs X Company (7)'!$C$3:$C$698,$B161,'Shortlisted Drugs X Company (7)'!$E$3:$E$698,$S161,'Shortlisted Drugs X Company (7)'!$P$3:$P$698,"Same-market proxy")&gt;0,"Same-market proxy",IF(COUNTIFS('Shortlisted Drugs X Company (7)'!$C$3:$C$698,$B161,'Shortlisted Drugs X Company (7)'!$E$3:$E$698,$S161,'Shortlisted Drugs X Company (7)'!$P$3:$P$698,"Cross-market proxy")&gt;0,"Cross-market proxy",IF(COUNTIFS('Shortlisted Drugs X Company (7)'!$C$3:$C$698,$B161,'Shortlisted Drugs X Company (7)'!$E$3:$E$698,$S161,'Shortlisted Drugs X Company (7)'!$P$3:$P$698,"Source not found")&gt;0,"Source not found","Not priced"))))</f>
        <v>Same-market proxy</v>
      </c>
      <c r="F161" s="18" t="n">
        <f aca="false">IFERROR(ROUND(INDEX('Injectable Value'!$AA$28:$AA$178,MATCH(B161,'Injectable Value'!$A$28:$A$178,0)),1),"")</f>
        <v>42181.7</v>
      </c>
      <c r="G161" s="16" t="s">
        <v>740</v>
      </c>
      <c r="H161" s="14" t="n">
        <v>2</v>
      </c>
      <c r="I161" s="15" t="s">
        <v>248</v>
      </c>
      <c r="J161" s="15" t="s">
        <v>299</v>
      </c>
      <c r="K161" s="16" t="str">
        <f aca="false">"Cancer drug (cytotoxic) – less relevant; Reconstitution"&amp;IF(V161=0,"; Unpriced","")&amp;IF(AND(V161&gt;0,W161=0,X161=0),"; Low price from another market – confirm with company","")</f>
        <v>Cancer drug (cytotoxic) – less relevant; Reconstitution</v>
      </c>
      <c r="L161" s="18" t="n">
        <f aca="false">IFERROR(INDEX('Shortlisted Drugs X Company (7)'!$K$3:$K$698,MATCH(B161,'Shortlisted Drugs X Company (7)'!$C$3:$C$698,0)),"")</f>
        <v>762</v>
      </c>
      <c r="M161" s="18" t="n">
        <f aca="false">IFERROR(ROUND(L161*INDEX('Injectable Value'!$Z$28:$Z$178,MATCH(B161,'Injectable Value'!$A$28:$A$178,0)),0),"")</f>
        <v>632</v>
      </c>
      <c r="N161" s="18" t="n">
        <f aca="false">IFERROR(INDEX('Shortlisted Drugs X Company (7)'!$L$3:$L$698,MATCH(B161,'Shortlisted Drugs X Company (7)'!$C$3:$C$698,0)),"")</f>
        <v>50865.56</v>
      </c>
      <c r="O161" s="15" t="str">
        <f aca="false">IF(AE161="No","IV only (not ID/IM/SC)",IF(AND(V161&gt;0,W161=0),"Price ≤ $5",""))</f>
        <v/>
      </c>
      <c r="P161" s="14" t="n">
        <f aca="false">IF(O161&lt;&gt;"","",COUNTIFS($A$29:$A$361,A161,$O$29:$O$361,"",$AC$29:$AC$361,"&gt;"&amp;AC161)+COUNTIFS($A$29:A161,A161,$O$29:O161,"",$AC$29:AC161,AC161))</f>
        <v>1</v>
      </c>
      <c r="Q161" s="15" t="str">
        <f aca="false">IF(O161&lt;&gt;"",IF(O161="Price ≤ $5","Excluded – price ≤ $5","Excluded – IV only"),IF(ISNUMBER(D161),IF(AND(D161&gt;=$C$3,M161&gt;=$E$3),"Priority 1",IF(OR(D161&gt;=$C$3,M161&gt;=$E$3),"Priority 2","Priority 3")),IF(M161&gt;=$E$3,"Priority 2","Priority 3")))</f>
        <v>Priority 1</v>
      </c>
      <c r="R161" s="16" t="s">
        <v>250</v>
      </c>
      <c r="S161" s="15" t="s">
        <v>838</v>
      </c>
      <c r="T161" s="32" t="s">
        <v>300</v>
      </c>
      <c r="U161" s="33" t="str">
        <f aca="false">B161&amp;"|"&amp;S161</f>
        <v>Azacitidine|Hetero Labs</v>
      </c>
      <c r="V161" s="34" t="n">
        <f aca="false">COUNTIFS('Shortlisted Drugs X Company (7)'!$C$3:$C$698,$B161,'Shortlisted Drugs X Company (7)'!$E$3:$E$698,$S161,'Shortlisted Drugs X Company (7)'!$N$3:$N$698,"&gt;=0")</f>
        <v>1</v>
      </c>
      <c r="W161" s="34" t="n">
        <f aca="false">COUNTIFS('Shortlisted Drugs X Company (7)'!$C$3:$C$698,$B161,'Shortlisted Drugs X Company (7)'!$E$3:$E$698,$S161,'Shortlisted Drugs X Company (7)'!$N$3:$N$698,"&gt;5")</f>
        <v>1</v>
      </c>
      <c r="X161" s="34" t="n">
        <f aca="false">COUNTIFS('Shortlisted Drugs X Company (7)'!$C$3:$C$698,$B161,'Shortlisted Drugs X Company (7)'!$E$3:$E$698,$S161,'Shortlisted Drugs X Company (7)'!$P$3:$P$698,"Exact")+COUNTIFS('Shortlisted Drugs X Company (7)'!$C$3:$C$698,$B161,'Shortlisted Drugs X Company (7)'!$E$3:$E$698,$S161,'Shortlisted Drugs X Company (7)'!$P$3:$P$698,"Same-market proxy")</f>
        <v>1</v>
      </c>
      <c r="Y161" s="33" t="str">
        <f aca="false">A161&amp;"|"&amp;P161</f>
        <v>Hetero|1</v>
      </c>
      <c r="Z161" s="16" t="s">
        <v>839</v>
      </c>
      <c r="AA161" s="33" t="n">
        <f aca="false">INDEX($G$7:$G$25,MATCH(A161,$A$7:$A$25,0))</f>
        <v>9</v>
      </c>
      <c r="AB161" s="33" t="n">
        <f aca="false">IF(AE161="No","",AA161*1000+IF(P161="",900+COUNTIFS($A$29:A161,A161,$O$29:O161,"Price ≤ $5"),P161))</f>
        <v>9001</v>
      </c>
      <c r="AC161" s="33" t="n">
        <f aca="false">IF(O161&lt;&gt;"","",(4-VALUE(RIGHT(Q161,1)))*10^7+N(F161))</f>
        <v>30042181.7</v>
      </c>
      <c r="AD161" s="15" t="str">
        <f aca="false">IFERROR(INDEX('Route of Administration'!$C$5:$C$155,MATCH(B161,'Route of Administration'!$A$5:$A$155,0)),"")</f>
        <v>IV, SC</v>
      </c>
      <c r="AE161" s="14" t="str">
        <f aca="false">IFERROR(INDEX('Route of Administration'!$D$5:$D$155,MATCH(B161,'Route of Administration'!$A$5:$A$155,0)),"")</f>
        <v>Yes</v>
      </c>
      <c r="AF161" s="19" t="n">
        <f aca="false">IF(V161&gt;0,ROUND(AVERAGEIFS('Shortlisted Drugs X Company (7)'!$N$3:$N$698,'Shortlisted Drugs X Company (7)'!$C$3:$C$698,$B161,'Shortlisted Drugs X Company (7)'!$E$3:$E$698,$S161,'Shortlisted Drugs X Company (7)'!$N$3:$N$698,"&gt;=0"),2),"")</f>
        <v>360.71</v>
      </c>
      <c r="AG161" s="16" t="s">
        <v>840</v>
      </c>
      <c r="AH161" s="16" t="s">
        <v>740</v>
      </c>
      <c r="AI161" s="16" t="s">
        <v>740</v>
      </c>
      <c r="AJ161" s="16" t="str">
        <f aca="false">IF(O161&lt;&gt;"","",IF(ISNUMBER(D161),IF(D161&gt;=$C$3,"High price","Lower price"),"Unpriced")&amp;" · "&amp;IF(M161&gt;=$E$3,"high volume","lower volume"))</f>
        <v>High price · high volume</v>
      </c>
      <c r="AK161" s="15" t="str">
        <f aca="false">IF(O161&lt;&gt;"",IF(O161="Price ≤ $5","Excluded – price ≤ $5","Excluded – IV only"),IF(ISNUMBER(D161),IF(AND(D161&gt;=$C$3,L161&gt;=$H$3),"Priority 1",IF(OR(D161&gt;=$C$3,L161&gt;=$H$3),"Priority 2","Priority 3")),IF(L161&gt;=$H$3,"Priority 2","Priority 3")))</f>
        <v>Priority 1</v>
      </c>
      <c r="AL161" s="16" t="str">
        <f aca="false">IF(O161&lt;&gt;"","",IF(ISNUMBER(D161),IF(D161&gt;=$C$3,"High price","Lower price"),"Unpriced")&amp;" · "&amp;IF(L161&gt;=$H$3,"high volume","lower volume"))</f>
        <v>High price · high volume</v>
      </c>
      <c r="AM161" s="14" t="n">
        <f aca="false">IF(O161&lt;&gt;"","",COUNTIFS($A$29:$A$361,A161,$O$29:$O$361,"",$AQ$29:$AQ$361,"&gt;"&amp;AQ161)+COUNTIFS($A$29:A161,A161,$O$29:O161,"",$AQ$29:AQ161,AQ161))</f>
        <v>1</v>
      </c>
      <c r="AN161" s="19" t="n">
        <f aca="false">IF(AND(O161="",ISNUMBER(D161)),D161,"")</f>
        <v>360.71</v>
      </c>
      <c r="AO161" s="20" t="n">
        <f aca="false">IF(O161="",M161,"")</f>
        <v>632</v>
      </c>
      <c r="AP161" s="20" t="n">
        <f aca="false">IF(O161="",L161,"")</f>
        <v>762</v>
      </c>
      <c r="AQ161" s="33" t="n">
        <f aca="false">IF(O161&lt;&gt;"","",(4-VALUE(RIGHT(AK161,1)))*10^7+N(N161))</f>
        <v>30050865.56</v>
      </c>
      <c r="AR161" s="33" t="n">
        <f aca="false">INDEX($O$7:$O$25,MATCH(A161,$I$7:$I$25,0))</f>
        <v>4</v>
      </c>
      <c r="AS161" s="33" t="n">
        <f aca="false">IF(AE161="No","",AR161*1000+IF(AM161="",900+COUNTIFS($A$29:A161,A161,$O$29:O161,"Price ≤ $5"),AM161))</f>
        <v>4001</v>
      </c>
    </row>
    <row r="162" customFormat="false" ht="28.35" hidden="false" customHeight="false" outlineLevel="0" collapsed="false">
      <c r="A162" s="15" t="s">
        <v>192</v>
      </c>
      <c r="B162" s="15" t="s">
        <v>305</v>
      </c>
      <c r="C162" s="16" t="s">
        <v>306</v>
      </c>
      <c r="D162" s="17" t="n">
        <f aca="false">IF(W162&gt;0,ROUND(AVERAGEIFS('Shortlisted Drugs X Company (7)'!$N$3:$N$698,'Shortlisted Drugs X Company (7)'!$C$3:$C$698,$B162,'Shortlisted Drugs X Company (7)'!$E$3:$E$698,$S162,'Shortlisted Drugs X Company (7)'!$N$3:$N$698,"&gt;5"),2),"")</f>
        <v>295.75</v>
      </c>
      <c r="E162" s="15" t="str">
        <f aca="false">IF(COUNTIFS('Shortlisted Drugs X Company (7)'!$C$3:$C$698,$B162,'Shortlisted Drugs X Company (7)'!$E$3:$E$698,$S162,'Shortlisted Drugs X Company (7)'!$P$3:$P$698,"Exact")&gt;0,"Exact",IF(COUNTIFS('Shortlisted Drugs X Company (7)'!$C$3:$C$698,$B162,'Shortlisted Drugs X Company (7)'!$E$3:$E$698,$S162,'Shortlisted Drugs X Company (7)'!$P$3:$P$698,"Same-market proxy")&gt;0,"Same-market proxy",IF(COUNTIFS('Shortlisted Drugs X Company (7)'!$C$3:$C$698,$B162,'Shortlisted Drugs X Company (7)'!$E$3:$E$698,$S162,'Shortlisted Drugs X Company (7)'!$P$3:$P$698,"Cross-market proxy")&gt;0,"Cross-market proxy",IF(COUNTIFS('Shortlisted Drugs X Company (7)'!$C$3:$C$698,$B162,'Shortlisted Drugs X Company (7)'!$E$3:$E$698,$S162,'Shortlisted Drugs X Company (7)'!$P$3:$P$698,"Source not found")&gt;0,"Source not found","Not priced"))))</f>
        <v>Exact</v>
      </c>
      <c r="F162" s="18" t="n">
        <f aca="false">IFERROR(ROUND(INDEX('Injectable Value'!$AA$28:$AA$178,MATCH(B162,'Injectable Value'!$A$28:$A$178,0)),1),"")</f>
        <v>28093.4</v>
      </c>
      <c r="G162" s="16" t="s">
        <v>827</v>
      </c>
      <c r="H162" s="14" t="n">
        <v>8</v>
      </c>
      <c r="I162" s="15" t="s">
        <v>248</v>
      </c>
      <c r="J162" s="15" t="s">
        <v>249</v>
      </c>
      <c r="K162" s="16" t="str">
        <f aca="false">"Cancer drug (cytotoxic) – less relevant; Reconstitution"&amp;IF(V162=0,"; Unpriced","")&amp;IF(AND(V162&gt;0,W162=0,X162=0),"; Low price from another market – confirm with company","")</f>
        <v>Cancer drug (cytotoxic) – less relevant; Reconstitution</v>
      </c>
      <c r="L162" s="18" t="n">
        <f aca="false">IFERROR(INDEX('Shortlisted Drugs X Company (7)'!$K$3:$K$698,MATCH(B162,'Shortlisted Drugs X Company (7)'!$C$3:$C$698,0)),"")</f>
        <v>905</v>
      </c>
      <c r="M162" s="18" t="n">
        <f aca="false">IFERROR(ROUND(L162*INDEX('Injectable Value'!$Z$28:$Z$178,MATCH(B162,'Injectable Value'!$A$28:$A$178,0)),0),"")</f>
        <v>905</v>
      </c>
      <c r="N162" s="18" t="n">
        <f aca="false">IFERROR(INDEX('Shortlisted Drugs X Company (7)'!$L$3:$L$698,MATCH(B162,'Shortlisted Drugs X Company (7)'!$C$3:$C$698,0)),"")</f>
        <v>28093.38</v>
      </c>
      <c r="O162" s="15" t="str">
        <f aca="false">IF(AE162="No","IV only (not ID/IM/SC)",IF(AND(V162&gt;0,W162=0),"Price ≤ $5",""))</f>
        <v/>
      </c>
      <c r="P162" s="14" t="n">
        <f aca="false">IF(O162&lt;&gt;"","",COUNTIFS($A$29:$A$361,A162,$O$29:$O$361,"",$AC$29:$AC$361,"&gt;"&amp;AC162)+COUNTIFS($A$29:A162,A162,$O$29:O162,"",$AC$29:AC162,AC162))</f>
        <v>2</v>
      </c>
      <c r="Q162" s="15" t="str">
        <f aca="false">IF(O162&lt;&gt;"",IF(O162="Price ≤ $5","Excluded – price ≤ $5","Excluded – IV only"),IF(ISNUMBER(D162),IF(AND(D162&gt;=$C$3,M162&gt;=$E$3),"Priority 1",IF(OR(D162&gt;=$C$3,M162&gt;=$E$3),"Priority 2","Priority 3")),IF(M162&gt;=$E$3,"Priority 2","Priority 3")))</f>
        <v>Priority 1</v>
      </c>
      <c r="R162" s="16" t="s">
        <v>250</v>
      </c>
      <c r="S162" s="15" t="s">
        <v>838</v>
      </c>
      <c r="T162" s="32" t="s">
        <v>308</v>
      </c>
      <c r="U162" s="33" t="str">
        <f aca="false">B162&amp;"|"&amp;S162</f>
        <v>Bortezomib|Hetero Labs</v>
      </c>
      <c r="V162" s="34" t="n">
        <f aca="false">COUNTIFS('Shortlisted Drugs X Company (7)'!$C$3:$C$698,$B162,'Shortlisted Drugs X Company (7)'!$E$3:$E$698,$S162,'Shortlisted Drugs X Company (7)'!$N$3:$N$698,"&gt;=0")</f>
        <v>7</v>
      </c>
      <c r="W162" s="34" t="n">
        <f aca="false">COUNTIFS('Shortlisted Drugs X Company (7)'!$C$3:$C$698,$B162,'Shortlisted Drugs X Company (7)'!$E$3:$E$698,$S162,'Shortlisted Drugs X Company (7)'!$N$3:$N$698,"&gt;5")</f>
        <v>7</v>
      </c>
      <c r="X162" s="34" t="n">
        <f aca="false">COUNTIFS('Shortlisted Drugs X Company (7)'!$C$3:$C$698,$B162,'Shortlisted Drugs X Company (7)'!$E$3:$E$698,$S162,'Shortlisted Drugs X Company (7)'!$P$3:$P$698,"Exact")+COUNTIFS('Shortlisted Drugs X Company (7)'!$C$3:$C$698,$B162,'Shortlisted Drugs X Company (7)'!$E$3:$E$698,$S162,'Shortlisted Drugs X Company (7)'!$P$3:$P$698,"Same-market proxy")</f>
        <v>6</v>
      </c>
      <c r="Y162" s="33" t="str">
        <f aca="false">A162&amp;"|"&amp;P162</f>
        <v>Hetero|2</v>
      </c>
      <c r="Z162" s="16" t="s">
        <v>841</v>
      </c>
      <c r="AA162" s="33" t="n">
        <f aca="false">INDEX($G$7:$G$25,MATCH(A162,$A$7:$A$25,0))</f>
        <v>9</v>
      </c>
      <c r="AB162" s="33" t="n">
        <f aca="false">IF(AE162="No","",AA162*1000+IF(P162="",900+COUNTIFS($A$29:A162,A162,$O$29:O162,"Price ≤ $5"),P162))</f>
        <v>9002</v>
      </c>
      <c r="AC162" s="33" t="n">
        <f aca="false">IF(O162&lt;&gt;"","",(4-VALUE(RIGHT(Q162,1)))*10^7+N(F162))</f>
        <v>30028093.4</v>
      </c>
      <c r="AD162" s="15" t="str">
        <f aca="false">IFERROR(INDEX('Route of Administration'!$C$5:$C$155,MATCH(B162,'Route of Administration'!$A$5:$A$155,0)),"")</f>
        <v>IV, SC</v>
      </c>
      <c r="AE162" s="14" t="str">
        <f aca="false">IFERROR(INDEX('Route of Administration'!$D$5:$D$155,MATCH(B162,'Route of Administration'!$A$5:$A$155,0)),"")</f>
        <v>Yes</v>
      </c>
      <c r="AF162" s="19" t="n">
        <f aca="false">IF(V162&gt;0,ROUND(AVERAGEIFS('Shortlisted Drugs X Company (7)'!$N$3:$N$698,'Shortlisted Drugs X Company (7)'!$C$3:$C$698,$B162,'Shortlisted Drugs X Company (7)'!$E$3:$E$698,$S162,'Shortlisted Drugs X Company (7)'!$N$3:$N$698,"&gt;=0"),2),"")</f>
        <v>295.75</v>
      </c>
      <c r="AG162" s="16" t="s">
        <v>842</v>
      </c>
      <c r="AH162" s="16" t="s">
        <v>843</v>
      </c>
      <c r="AI162" s="16" t="s">
        <v>843</v>
      </c>
      <c r="AJ162" s="16" t="str">
        <f aca="false">IF(O162&lt;&gt;"","",IF(ISNUMBER(D162),IF(D162&gt;=$C$3,"High price","Lower price"),"Unpriced")&amp;" · "&amp;IF(M162&gt;=$E$3,"high volume","lower volume"))</f>
        <v>High price · high volume</v>
      </c>
      <c r="AK162" s="15" t="str">
        <f aca="false">IF(O162&lt;&gt;"",IF(O162="Price ≤ $5","Excluded – price ≤ $5","Excluded – IV only"),IF(ISNUMBER(D162),IF(AND(D162&gt;=$C$3,L162&gt;=$H$3),"Priority 1",IF(OR(D162&gt;=$C$3,L162&gt;=$H$3),"Priority 2","Priority 3")),IF(L162&gt;=$H$3,"Priority 2","Priority 3")))</f>
        <v>Priority 1</v>
      </c>
      <c r="AL162" s="16" t="str">
        <f aca="false">IF(O162&lt;&gt;"","",IF(ISNUMBER(D162),IF(D162&gt;=$C$3,"High price","Lower price"),"Unpriced")&amp;" · "&amp;IF(L162&gt;=$H$3,"high volume","lower volume"))</f>
        <v>High price · high volume</v>
      </c>
      <c r="AM162" s="14" t="n">
        <f aca="false">IF(O162&lt;&gt;"","",COUNTIFS($A$29:$A$361,A162,$O$29:$O$361,"",$AQ$29:$AQ$361,"&gt;"&amp;AQ162)+COUNTIFS($A$29:A162,A162,$O$29:O162,"",$AQ$29:AQ162,AQ162))</f>
        <v>2</v>
      </c>
      <c r="AN162" s="19" t="n">
        <f aca="false">IF(AND(O162="",ISNUMBER(D162)),D162,"")</f>
        <v>295.75</v>
      </c>
      <c r="AO162" s="20" t="n">
        <f aca="false">IF(O162="",M162,"")</f>
        <v>905</v>
      </c>
      <c r="AP162" s="20" t="n">
        <f aca="false">IF(O162="",L162,"")</f>
        <v>905</v>
      </c>
      <c r="AQ162" s="33" t="n">
        <f aca="false">IF(O162&lt;&gt;"","",(4-VALUE(RIGHT(AK162,1)))*10^7+N(N162))</f>
        <v>30028093.38</v>
      </c>
      <c r="AR162" s="33" t="n">
        <f aca="false">INDEX($O$7:$O$25,MATCH(A162,$I$7:$I$25,0))</f>
        <v>4</v>
      </c>
      <c r="AS162" s="33" t="n">
        <f aca="false">IF(AE162="No","",AR162*1000+IF(AM162="",900+COUNTIFS($A$29:A162,A162,$O$29:O162,"Price ≤ $5"),AM162))</f>
        <v>4002</v>
      </c>
    </row>
    <row r="163" customFormat="false" ht="28.35" hidden="false" customHeight="false" outlineLevel="0" collapsed="false">
      <c r="A163" s="15" t="s">
        <v>192</v>
      </c>
      <c r="B163" s="15" t="s">
        <v>844</v>
      </c>
      <c r="C163" s="16" t="s">
        <v>845</v>
      </c>
      <c r="D163" s="17" t="n">
        <f aca="false">IF(W163&gt;0,ROUND(AVERAGEIFS('Shortlisted Drugs X Company (7)'!$N$3:$N$698,'Shortlisted Drugs X Company (7)'!$C$3:$C$698,$B163,'Shortlisted Drugs X Company (7)'!$E$3:$E$698,$S163,'Shortlisted Drugs X Company (7)'!$N$3:$N$698,"&gt;5"),2),"")</f>
        <v>38.92</v>
      </c>
      <c r="E163" s="15" t="str">
        <f aca="false">IF(COUNTIFS('Shortlisted Drugs X Company (7)'!$C$3:$C$698,$B163,'Shortlisted Drugs X Company (7)'!$E$3:$E$698,$S163,'Shortlisted Drugs X Company (7)'!$P$3:$P$698,"Exact")&gt;0,"Exact",IF(COUNTIFS('Shortlisted Drugs X Company (7)'!$C$3:$C$698,$B163,'Shortlisted Drugs X Company (7)'!$E$3:$E$698,$S163,'Shortlisted Drugs X Company (7)'!$P$3:$P$698,"Same-market proxy")&gt;0,"Same-market proxy",IF(COUNTIFS('Shortlisted Drugs X Company (7)'!$C$3:$C$698,$B163,'Shortlisted Drugs X Company (7)'!$E$3:$E$698,$S163,'Shortlisted Drugs X Company (7)'!$P$3:$P$698,"Cross-market proxy")&gt;0,"Cross-market proxy",IF(COUNTIFS('Shortlisted Drugs X Company (7)'!$C$3:$C$698,$B163,'Shortlisted Drugs X Company (7)'!$E$3:$E$698,$S163,'Shortlisted Drugs X Company (7)'!$P$3:$P$698,"Source not found")&gt;0,"Source not found","Not priced"))))</f>
        <v>Same-market proxy</v>
      </c>
      <c r="F163" s="18" t="n">
        <f aca="false">IFERROR(ROUND(INDEX('Injectable Value'!$AA$28:$AA$178,MATCH(B163,'Injectable Value'!$A$28:$A$178,0)),1),"")</f>
        <v>21.8</v>
      </c>
      <c r="G163" s="16" t="s">
        <v>833</v>
      </c>
      <c r="H163" s="14" t="n">
        <v>5</v>
      </c>
      <c r="I163" s="15" t="s">
        <v>248</v>
      </c>
      <c r="J163" s="15" t="s">
        <v>249</v>
      </c>
      <c r="K163" s="16" t="str">
        <f aca="false">""&amp;IF(V163=0,"Unpriced","")&amp;IF(AND(V163&gt;0,W163=0,X163=0),"Low price from another market – confirm with company","")</f>
        <v/>
      </c>
      <c r="L163" s="18" t="n">
        <f aca="false">IFERROR(INDEX('Shortlisted Drugs X Company (7)'!$K$3:$K$698,MATCH(B163,'Shortlisted Drugs X Company (7)'!$C$3:$C$698,0)),"")</f>
        <v>45</v>
      </c>
      <c r="M163" s="18" t="n">
        <f aca="false">IFERROR(ROUND(L163*INDEX('Injectable Value'!$Z$28:$Z$178,MATCH(B163,'Injectable Value'!$A$28:$A$178,0)),0),"")</f>
        <v>4</v>
      </c>
      <c r="N163" s="18" t="n">
        <f aca="false">IFERROR(INDEX('Shortlisted Drugs X Company (7)'!$L$3:$L$698,MATCH(B163,'Shortlisted Drugs X Company (7)'!$C$3:$C$698,0)),"")</f>
        <v>263.65</v>
      </c>
      <c r="O163" s="15" t="str">
        <f aca="false">IF(AE163="No","IV only (not ID/IM/SC)",IF(AND(V163&gt;0,W163=0),"Price ≤ $5",""))</f>
        <v>IV only (not ID/IM/SC)</v>
      </c>
      <c r="P163" s="14" t="str">
        <f aca="false">IF(O163&lt;&gt;"","",COUNTIFS($A$29:$A$361,A163,$O$29:$O$361,"",$AC$29:$AC$361,"&gt;"&amp;AC163)+COUNTIFS($A$29:A163,A163,$O$29:O163,"",$AC$29:AC163,AC163))</f>
        <v/>
      </c>
      <c r="Q163" s="15" t="str">
        <f aca="false">IF(O163&lt;&gt;"",IF(O163="Price ≤ $5","Excluded – price ≤ $5","Excluded – IV only"),IF(ISNUMBER(D163),IF(AND(D163&gt;=$C$3,M163&gt;=$E$3),"Priority 1",IF(OR(D163&gt;=$C$3,M163&gt;=$E$3),"Priority 2","Priority 3")),IF(M163&gt;=$E$3,"Priority 2","Priority 3")))</f>
        <v>Excluded – IV only</v>
      </c>
      <c r="R163" s="16" t="s">
        <v>250</v>
      </c>
      <c r="S163" s="15" t="s">
        <v>838</v>
      </c>
      <c r="T163" s="32" t="s">
        <v>846</v>
      </c>
      <c r="U163" s="33" t="str">
        <f aca="false">B163&amp;"|"&amp;S163</f>
        <v>Brivaracetam|Hetero Labs</v>
      </c>
      <c r="V163" s="34" t="n">
        <f aca="false">COUNTIFS('Shortlisted Drugs X Company (7)'!$C$3:$C$698,$B163,'Shortlisted Drugs X Company (7)'!$E$3:$E$698,$S163,'Shortlisted Drugs X Company (7)'!$N$3:$N$698,"&gt;=0")</f>
        <v>2</v>
      </c>
      <c r="W163" s="34" t="n">
        <f aca="false">COUNTIFS('Shortlisted Drugs X Company (7)'!$C$3:$C$698,$B163,'Shortlisted Drugs X Company (7)'!$E$3:$E$698,$S163,'Shortlisted Drugs X Company (7)'!$N$3:$N$698,"&gt;5")</f>
        <v>2</v>
      </c>
      <c r="X163" s="34" t="n">
        <f aca="false">COUNTIFS('Shortlisted Drugs X Company (7)'!$C$3:$C$698,$B163,'Shortlisted Drugs X Company (7)'!$E$3:$E$698,$S163,'Shortlisted Drugs X Company (7)'!$P$3:$P$698,"Exact")+COUNTIFS('Shortlisted Drugs X Company (7)'!$C$3:$C$698,$B163,'Shortlisted Drugs X Company (7)'!$E$3:$E$698,$S163,'Shortlisted Drugs X Company (7)'!$P$3:$P$698,"Same-market proxy")</f>
        <v>1</v>
      </c>
      <c r="Y163" s="33" t="str">
        <f aca="false">A163&amp;"|"&amp;P163</f>
        <v>Hetero|</v>
      </c>
      <c r="Z163" s="16" t="s">
        <v>847</v>
      </c>
      <c r="AA163" s="33" t="n">
        <f aca="false">INDEX($G$7:$G$25,MATCH(A163,$A$7:$A$25,0))</f>
        <v>9</v>
      </c>
      <c r="AB163" s="33" t="str">
        <f aca="false">IF(AE163="No","",AA163*1000+IF(P163="",900+COUNTIFS($A$29:A163,A163,$O$29:O163,"Price ≤ $5"),P163))</f>
        <v/>
      </c>
      <c r="AC163" s="33" t="str">
        <f aca="false">IF(O163&lt;&gt;"","",(4-VALUE(RIGHT(Q163,1)))*10^7+N(F163))</f>
        <v/>
      </c>
      <c r="AD163" s="15" t="str">
        <f aca="false">IFERROR(INDEX('Route of Administration'!$C$5:$C$155,MATCH(B163,'Route of Administration'!$A$5:$A$155,0)),"")</f>
        <v>IV</v>
      </c>
      <c r="AE163" s="14" t="str">
        <f aca="false">IFERROR(INDEX('Route of Administration'!$D$5:$D$155,MATCH(B163,'Route of Administration'!$A$5:$A$155,0)),"")</f>
        <v>No</v>
      </c>
      <c r="AF163" s="19" t="n">
        <f aca="false">IF(V163&gt;0,ROUND(AVERAGEIFS('Shortlisted Drugs X Company (7)'!$N$3:$N$698,'Shortlisted Drugs X Company (7)'!$C$3:$C$698,$B163,'Shortlisted Drugs X Company (7)'!$E$3:$E$698,$S163,'Shortlisted Drugs X Company (7)'!$N$3:$N$698,"&gt;=0"),2),"")</f>
        <v>38.92</v>
      </c>
      <c r="AG163" s="16" t="s">
        <v>848</v>
      </c>
      <c r="AH163" s="16" t="s">
        <v>849</v>
      </c>
      <c r="AI163" s="16" t="s">
        <v>849</v>
      </c>
      <c r="AJ163" s="16" t="str">
        <f aca="false">IF(O163&lt;&gt;"","",IF(ISNUMBER(D163),IF(D163&gt;=$C$3,"High price","Lower price"),"Unpriced")&amp;" · "&amp;IF(M163&gt;=$E$3,"high volume","lower volume"))</f>
        <v/>
      </c>
      <c r="AK163" s="15" t="str">
        <f aca="false">IF(O163&lt;&gt;"",IF(O163="Price ≤ $5","Excluded – price ≤ $5","Excluded – IV only"),IF(ISNUMBER(D163),IF(AND(D163&gt;=$C$3,L163&gt;=$H$3),"Priority 1",IF(OR(D163&gt;=$C$3,L163&gt;=$H$3),"Priority 2","Priority 3")),IF(L163&gt;=$H$3,"Priority 2","Priority 3")))</f>
        <v>Excluded – IV only</v>
      </c>
      <c r="AL163" s="16" t="str">
        <f aca="false">IF(O163&lt;&gt;"","",IF(ISNUMBER(D163),IF(D163&gt;=$C$3,"High price","Lower price"),"Unpriced")&amp;" · "&amp;IF(L163&gt;=$H$3,"high volume","lower volume"))</f>
        <v/>
      </c>
      <c r="AM163" s="14" t="str">
        <f aca="false">IF(O163&lt;&gt;"","",COUNTIFS($A$29:$A$361,A163,$O$29:$O$361,"",$AQ$29:$AQ$361,"&gt;"&amp;AQ163)+COUNTIFS($A$29:A163,A163,$O$29:O163,"",$AQ$29:AQ163,AQ163))</f>
        <v/>
      </c>
      <c r="AN163" s="33" t="str">
        <f aca="false">IF(AND(O163="",ISNUMBER(D163)),D163,"")</f>
        <v/>
      </c>
      <c r="AO163" s="33" t="str">
        <f aca="false">IF(O163="",M163,"")</f>
        <v/>
      </c>
      <c r="AP163" s="33" t="str">
        <f aca="false">IF(O163="",L163,"")</f>
        <v/>
      </c>
      <c r="AQ163" s="33" t="str">
        <f aca="false">IF(O163&lt;&gt;"","",(4-VALUE(RIGHT(AK163,1)))*10^7+N(N163))</f>
        <v/>
      </c>
      <c r="AR163" s="33" t="n">
        <f aca="false">INDEX($O$7:$O$25,MATCH(A163,$I$7:$I$25,0))</f>
        <v>4</v>
      </c>
      <c r="AS163" s="33" t="str">
        <f aca="false">IF(AE163="No","",AR163*1000+IF(AM163="",900+COUNTIFS($A$29:A163,A163,$O$29:O163,"Price ≤ $5"),AM163))</f>
        <v/>
      </c>
    </row>
    <row r="164" customFormat="false" ht="41.75" hidden="false" customHeight="false" outlineLevel="0" collapsed="false">
      <c r="A164" s="15" t="s">
        <v>192</v>
      </c>
      <c r="B164" s="15" t="s">
        <v>343</v>
      </c>
      <c r="C164" s="16" t="s">
        <v>344</v>
      </c>
      <c r="D164" s="17" t="n">
        <f aca="false">IF(W164&gt;0,ROUND(AVERAGEIFS('Shortlisted Drugs X Company (7)'!$N$3:$N$698,'Shortlisted Drugs X Company (7)'!$C$3:$C$698,$B164,'Shortlisted Drugs X Company (7)'!$E$3:$E$698,$S164,'Shortlisted Drugs X Company (7)'!$N$3:$N$698,"&gt;5"),2),"")</f>
        <v>14.96</v>
      </c>
      <c r="E164" s="15" t="str">
        <f aca="false">IF(COUNTIFS('Shortlisted Drugs X Company (7)'!$C$3:$C$698,$B164,'Shortlisted Drugs X Company (7)'!$E$3:$E$698,$S164,'Shortlisted Drugs X Company (7)'!$P$3:$P$698,"Exact")&gt;0,"Exact",IF(COUNTIFS('Shortlisted Drugs X Company (7)'!$C$3:$C$698,$B164,'Shortlisted Drugs X Company (7)'!$E$3:$E$698,$S164,'Shortlisted Drugs X Company (7)'!$P$3:$P$698,"Same-market proxy")&gt;0,"Same-market proxy",IF(COUNTIFS('Shortlisted Drugs X Company (7)'!$C$3:$C$698,$B164,'Shortlisted Drugs X Company (7)'!$E$3:$E$698,$S164,'Shortlisted Drugs X Company (7)'!$P$3:$P$698,"Cross-market proxy")&gt;0,"Cross-market proxy",IF(COUNTIFS('Shortlisted Drugs X Company (7)'!$C$3:$C$698,$B164,'Shortlisted Drugs X Company (7)'!$E$3:$E$698,$S164,'Shortlisted Drugs X Company (7)'!$P$3:$P$698,"Source not found")&gt;0,"Source not found","Not priced"))))</f>
        <v>Same-market proxy</v>
      </c>
      <c r="F164" s="18" t="n">
        <f aca="false">IFERROR(ROUND(INDEX('Injectable Value'!$AA$28:$AA$178,MATCH(B164,'Injectable Value'!$A$28:$A$178,0)),1),"")</f>
        <v>1358.2</v>
      </c>
      <c r="G164" s="16" t="s">
        <v>247</v>
      </c>
      <c r="H164" s="14" t="n">
        <v>1</v>
      </c>
      <c r="I164" s="15" t="s">
        <v>248</v>
      </c>
      <c r="J164" s="15" t="s">
        <v>249</v>
      </c>
      <c r="K164" s="16" t="str">
        <f aca="false">""&amp;IF(V164=0,"Unpriced","")&amp;IF(AND(V164&gt;0,W164=0,X164=0),"Low price from another market – confirm with company","")</f>
        <v/>
      </c>
      <c r="L164" s="18" t="n">
        <f aca="false">IFERROR(INDEX('Shortlisted Drugs X Company (7)'!$K$3:$K$698,MATCH(B164,'Shortlisted Drugs X Company (7)'!$C$3:$C$698,0)),"")</f>
        <v>472</v>
      </c>
      <c r="M164" s="18" t="n">
        <f aca="false">IFERROR(ROUND(L164*INDEX('Injectable Value'!$Z$28:$Z$178,MATCH(B164,'Injectable Value'!$A$28:$A$178,0)),0),"")</f>
        <v>82</v>
      </c>
      <c r="N164" s="18" t="n">
        <f aca="false">IFERROR(INDEX('Shortlisted Drugs X Company (7)'!$L$3:$L$698,MATCH(B164,'Shortlisted Drugs X Company (7)'!$C$3:$C$698,0)),"")</f>
        <v>7831.08</v>
      </c>
      <c r="O164" s="15" t="str">
        <f aca="false">IF(AE164="No","IV only (not ID/IM/SC)",IF(AND(V164&gt;0,W164=0),"Price ≤ $5",""))</f>
        <v/>
      </c>
      <c r="P164" s="14" t="n">
        <f aca="false">IF(O164&lt;&gt;"","",COUNTIFS($A$29:$A$361,A164,$O$29:$O$361,"",$AC$29:$AC$361,"&gt;"&amp;AC164)+COUNTIFS($A$29:A164,A164,$O$29:O164,"",$AC$29:AC164,AC164))</f>
        <v>10</v>
      </c>
      <c r="Q164" s="15" t="str">
        <f aca="false">IF(O164&lt;&gt;"",IF(O164="Price ≤ $5","Excluded – price ≤ $5","Excluded – IV only"),IF(ISNUMBER(D164),IF(AND(D164&gt;=$C$3,M164&gt;=$E$3),"Priority 1",IF(OR(D164&gt;=$C$3,M164&gt;=$E$3),"Priority 2","Priority 3")),IF(M164&gt;=$E$3,"Priority 2","Priority 3")))</f>
        <v>Priority 3</v>
      </c>
      <c r="R164" s="16" t="s">
        <v>250</v>
      </c>
      <c r="S164" s="15" t="s">
        <v>838</v>
      </c>
      <c r="T164" s="32" t="s">
        <v>345</v>
      </c>
      <c r="U164" s="33" t="str">
        <f aca="false">B164&amp;"|"&amp;S164</f>
        <v>Chlorpromazine|Hetero Labs</v>
      </c>
      <c r="V164" s="34" t="n">
        <f aca="false">COUNTIFS('Shortlisted Drugs X Company (7)'!$C$3:$C$698,$B164,'Shortlisted Drugs X Company (7)'!$E$3:$E$698,$S164,'Shortlisted Drugs X Company (7)'!$N$3:$N$698,"&gt;=0")</f>
        <v>1</v>
      </c>
      <c r="W164" s="34" t="n">
        <f aca="false">COUNTIFS('Shortlisted Drugs X Company (7)'!$C$3:$C$698,$B164,'Shortlisted Drugs X Company (7)'!$E$3:$E$698,$S164,'Shortlisted Drugs X Company (7)'!$N$3:$N$698,"&gt;5")</f>
        <v>1</v>
      </c>
      <c r="X164" s="34" t="n">
        <f aca="false">COUNTIFS('Shortlisted Drugs X Company (7)'!$C$3:$C$698,$B164,'Shortlisted Drugs X Company (7)'!$E$3:$E$698,$S164,'Shortlisted Drugs X Company (7)'!$P$3:$P$698,"Exact")+COUNTIFS('Shortlisted Drugs X Company (7)'!$C$3:$C$698,$B164,'Shortlisted Drugs X Company (7)'!$E$3:$E$698,$S164,'Shortlisted Drugs X Company (7)'!$P$3:$P$698,"Same-market proxy")</f>
        <v>1</v>
      </c>
      <c r="Y164" s="33" t="str">
        <f aca="false">A164&amp;"|"&amp;P164</f>
        <v>Hetero|10</v>
      </c>
      <c r="Z164" s="16" t="s">
        <v>850</v>
      </c>
      <c r="AA164" s="33" t="n">
        <f aca="false">INDEX($G$7:$G$25,MATCH(A164,$A$7:$A$25,0))</f>
        <v>9</v>
      </c>
      <c r="AB164" s="33" t="n">
        <f aca="false">IF(AE164="No","",AA164*1000+IF(P164="",900+COUNTIFS($A$29:A164,A164,$O$29:O164,"Price ≤ $5"),P164))</f>
        <v>9010</v>
      </c>
      <c r="AC164" s="33" t="n">
        <f aca="false">IF(O164&lt;&gt;"","",(4-VALUE(RIGHT(Q164,1)))*10^7+N(F164))</f>
        <v>10001358.2</v>
      </c>
      <c r="AD164" s="15" t="str">
        <f aca="false">IFERROR(INDEX('Route of Administration'!$C$5:$C$155,MATCH(B164,'Route of Administration'!$A$5:$A$155,0)),"")</f>
        <v>IM</v>
      </c>
      <c r="AE164" s="14" t="str">
        <f aca="false">IFERROR(INDEX('Route of Administration'!$D$5:$D$155,MATCH(B164,'Route of Administration'!$A$5:$A$155,0)),"")</f>
        <v>Yes</v>
      </c>
      <c r="AF164" s="19" t="n">
        <f aca="false">IF(V164&gt;0,ROUND(AVERAGEIFS('Shortlisted Drugs X Company (7)'!$N$3:$N$698,'Shortlisted Drugs X Company (7)'!$C$3:$C$698,$B164,'Shortlisted Drugs X Company (7)'!$E$3:$E$698,$S164,'Shortlisted Drugs X Company (7)'!$N$3:$N$698,"&gt;=0"),2),"")</f>
        <v>14.96</v>
      </c>
      <c r="AG164" s="16" t="s">
        <v>347</v>
      </c>
      <c r="AH164" s="16" t="s">
        <v>247</v>
      </c>
      <c r="AI164" s="16" t="s">
        <v>247</v>
      </c>
      <c r="AJ164" s="16" t="str">
        <f aca="false">IF(O164&lt;&gt;"","",IF(ISNUMBER(D164),IF(D164&gt;=$C$3,"High price","Lower price"),"Unpriced")&amp;" · "&amp;IF(M164&gt;=$E$3,"high volume","lower volume"))</f>
        <v>Lower price · lower volume</v>
      </c>
      <c r="AK164" s="15" t="str">
        <f aca="false">IF(O164&lt;&gt;"",IF(O164="Price ≤ $5","Excluded – price ≤ $5","Excluded – IV only"),IF(ISNUMBER(D164),IF(AND(D164&gt;=$C$3,L164&gt;=$H$3),"Priority 1",IF(OR(D164&gt;=$C$3,L164&gt;=$H$3),"Priority 2","Priority 3")),IF(L164&gt;=$H$3,"Priority 2","Priority 3")))</f>
        <v>Priority 2</v>
      </c>
      <c r="AL164" s="16" t="str">
        <f aca="false">IF(O164&lt;&gt;"","",IF(ISNUMBER(D164),IF(D164&gt;=$C$3,"High price","Lower price"),"Unpriced")&amp;" · "&amp;IF(L164&gt;=$H$3,"high volume","lower volume"))</f>
        <v>Lower price · high volume</v>
      </c>
      <c r="AM164" s="14" t="n">
        <f aca="false">IF(O164&lt;&gt;"","",COUNTIFS($A$29:$A$361,A164,$O$29:$O$361,"",$AQ$29:$AQ$361,"&gt;"&amp;AQ164)+COUNTIFS($A$29:A164,A164,$O$29:O164,"",$AQ$29:AQ164,AQ164))</f>
        <v>6</v>
      </c>
      <c r="AN164" s="19" t="n">
        <f aca="false">IF(AND(O164="",ISNUMBER(D164)),D164,"")</f>
        <v>14.96</v>
      </c>
      <c r="AO164" s="20" t="n">
        <f aca="false">IF(O164="",M164,"")</f>
        <v>82</v>
      </c>
      <c r="AP164" s="20" t="n">
        <f aca="false">IF(O164="",L164,"")</f>
        <v>472</v>
      </c>
      <c r="AQ164" s="33" t="n">
        <f aca="false">IF(O164&lt;&gt;"","",(4-VALUE(RIGHT(AK164,1)))*10^7+N(N164))</f>
        <v>20007831.08</v>
      </c>
      <c r="AR164" s="33" t="n">
        <f aca="false">INDEX($O$7:$O$25,MATCH(A164,$I$7:$I$25,0))</f>
        <v>4</v>
      </c>
      <c r="AS164" s="33" t="n">
        <f aca="false">IF(AE164="No","",AR164*1000+IF(AM164="",900+COUNTIFS($A$29:A164,A164,$O$29:O164,"Price ≤ $5"),AM164))</f>
        <v>4006</v>
      </c>
    </row>
    <row r="165" customFormat="false" ht="28.35" hidden="false" customHeight="false" outlineLevel="0" collapsed="false">
      <c r="A165" s="15" t="s">
        <v>192</v>
      </c>
      <c r="B165" s="15" t="s">
        <v>851</v>
      </c>
      <c r="C165" s="16" t="s">
        <v>852</v>
      </c>
      <c r="D165" s="17" t="str">
        <f aca="false">IF(W165&gt;0,ROUND(AVERAGEIFS('Shortlisted Drugs X Company (7)'!$N$3:$N$698,'Shortlisted Drugs X Company (7)'!$C$3:$C$698,$B165,'Shortlisted Drugs X Company (7)'!$E$3:$E$698,$S165,'Shortlisted Drugs X Company (7)'!$N$3:$N$698,"&gt;5"),2),"")</f>
        <v/>
      </c>
      <c r="E165" s="15" t="str">
        <f aca="false">IF(COUNTIFS('Shortlisted Drugs X Company (7)'!$C$3:$C$698,$B165,'Shortlisted Drugs X Company (7)'!$E$3:$E$698,$S165,'Shortlisted Drugs X Company (7)'!$P$3:$P$698,"Exact")&gt;0,"Exact",IF(COUNTIFS('Shortlisted Drugs X Company (7)'!$C$3:$C$698,$B165,'Shortlisted Drugs X Company (7)'!$E$3:$E$698,$S165,'Shortlisted Drugs X Company (7)'!$P$3:$P$698,"Same-market proxy")&gt;0,"Same-market proxy",IF(COUNTIFS('Shortlisted Drugs X Company (7)'!$C$3:$C$698,$B165,'Shortlisted Drugs X Company (7)'!$E$3:$E$698,$S165,'Shortlisted Drugs X Company (7)'!$P$3:$P$698,"Cross-market proxy")&gt;0,"Cross-market proxy",IF(COUNTIFS('Shortlisted Drugs X Company (7)'!$C$3:$C$698,$B165,'Shortlisted Drugs X Company (7)'!$E$3:$E$698,$S165,'Shortlisted Drugs X Company (7)'!$P$3:$P$698,"Source not found")&gt;0,"Source not found","Not priced"))))</f>
        <v>Same-market proxy</v>
      </c>
      <c r="F165" s="18" t="n">
        <f aca="false">IFERROR(ROUND(INDEX('Injectable Value'!$AA$28:$AA$178,MATCH(B165,'Injectable Value'!$A$28:$A$178,0)),1),"")</f>
        <v>2413</v>
      </c>
      <c r="G165" s="16" t="s">
        <v>247</v>
      </c>
      <c r="H165" s="14" t="n">
        <v>1</v>
      </c>
      <c r="I165" s="15" t="s">
        <v>277</v>
      </c>
      <c r="J165" s="15" t="s">
        <v>277</v>
      </c>
      <c r="K165" s="16" t="str">
        <f aca="false">""&amp;IF(V165=0,"Unpriced","")&amp;IF(AND(V165&gt;0,W165=0,X165=0),"Low price from another market – confirm with company","")</f>
        <v/>
      </c>
      <c r="L165" s="18" t="n">
        <f aca="false">IFERROR(INDEX('Shortlisted Drugs X Company (7)'!$K$3:$K$698,MATCH(B165,'Shortlisted Drugs X Company (7)'!$C$3:$C$698,0)),"")</f>
        <v>445</v>
      </c>
      <c r="M165" s="18" t="n">
        <f aca="false">IFERROR(ROUND(L165*INDEX('Injectable Value'!$Z$28:$Z$178,MATCH(B165,'Injectable Value'!$A$28:$A$178,0)),0),"")</f>
        <v>122</v>
      </c>
      <c r="N165" s="18" t="n">
        <f aca="false">IFERROR(INDEX('Shortlisted Drugs X Company (7)'!$L$3:$L$698,MATCH(B165,'Shortlisted Drugs X Company (7)'!$C$3:$C$698,0)),"")</f>
        <v>8796.85</v>
      </c>
      <c r="O165" s="15" t="str">
        <f aca="false">IF(AE165="No","IV only (not ID/IM/SC)",IF(AND(V165&gt;0,W165=0),"Price ≤ $5",""))</f>
        <v>Price ≤ $5</v>
      </c>
      <c r="P165" s="14" t="str">
        <f aca="false">IF(O165&lt;&gt;"","",COUNTIFS($A$29:$A$361,A165,$O$29:$O$361,"",$AC$29:$AC$361,"&gt;"&amp;AC165)+COUNTIFS($A$29:A165,A165,$O$29:O165,"",$AC$29:AC165,AC165))</f>
        <v/>
      </c>
      <c r="Q165" s="15" t="str">
        <f aca="false">IF(O165&lt;&gt;"",IF(O165="Price ≤ $5","Excluded – price ≤ $5","Excluded – IV only"),IF(ISNUMBER(D165),IF(AND(D165&gt;=$C$3,M165&gt;=$E$3),"Priority 1",IF(OR(D165&gt;=$C$3,M165&gt;=$E$3),"Priority 2","Priority 3")),IF(M165&gt;=$E$3,"Priority 2","Priority 3")))</f>
        <v>Excluded – price ≤ $5</v>
      </c>
      <c r="R165" s="16" t="s">
        <v>278</v>
      </c>
      <c r="S165" s="15" t="s">
        <v>838</v>
      </c>
      <c r="T165" s="32" t="s">
        <v>853</v>
      </c>
      <c r="U165" s="33" t="str">
        <f aca="false">B165&amp;"|"&amp;S165</f>
        <v>Cyanocobalamin|Hetero Labs</v>
      </c>
      <c r="V165" s="34" t="n">
        <f aca="false">COUNTIFS('Shortlisted Drugs X Company (7)'!$C$3:$C$698,$B165,'Shortlisted Drugs X Company (7)'!$E$3:$E$698,$S165,'Shortlisted Drugs X Company (7)'!$N$3:$N$698,"&gt;=0")</f>
        <v>1</v>
      </c>
      <c r="W165" s="34" t="n">
        <f aca="false">COUNTIFS('Shortlisted Drugs X Company (7)'!$C$3:$C$698,$B165,'Shortlisted Drugs X Company (7)'!$E$3:$E$698,$S165,'Shortlisted Drugs X Company (7)'!$N$3:$N$698,"&gt;5")</f>
        <v>0</v>
      </c>
      <c r="X165" s="34" t="n">
        <f aca="false">COUNTIFS('Shortlisted Drugs X Company (7)'!$C$3:$C$698,$B165,'Shortlisted Drugs X Company (7)'!$E$3:$E$698,$S165,'Shortlisted Drugs X Company (7)'!$P$3:$P$698,"Exact")+COUNTIFS('Shortlisted Drugs X Company (7)'!$C$3:$C$698,$B165,'Shortlisted Drugs X Company (7)'!$E$3:$E$698,$S165,'Shortlisted Drugs X Company (7)'!$P$3:$P$698,"Same-market proxy")</f>
        <v>1</v>
      </c>
      <c r="Y165" s="33" t="str">
        <f aca="false">A165&amp;"|"&amp;P165</f>
        <v>Hetero|</v>
      </c>
      <c r="Z165" s="16" t="s">
        <v>854</v>
      </c>
      <c r="AA165" s="33" t="n">
        <f aca="false">INDEX($G$7:$G$25,MATCH(A165,$A$7:$A$25,0))</f>
        <v>9</v>
      </c>
      <c r="AB165" s="33" t="n">
        <f aca="false">IF(AE165="No","",AA165*1000+IF(P165="",900+COUNTIFS($A$29:A165,A165,$O$29:O165,"Price ≤ $5"),P165))</f>
        <v>9901</v>
      </c>
      <c r="AC165" s="33" t="str">
        <f aca="false">IF(O165&lt;&gt;"","",(4-VALUE(RIGHT(Q165,1)))*10^7+N(F165))</f>
        <v/>
      </c>
      <c r="AD165" s="15" t="str">
        <f aca="false">IFERROR(INDEX('Route of Administration'!$C$5:$C$155,MATCH(B165,'Route of Administration'!$A$5:$A$155,0)),"")</f>
        <v>IM, SC</v>
      </c>
      <c r="AE165" s="14" t="str">
        <f aca="false">IFERROR(INDEX('Route of Administration'!$D$5:$D$155,MATCH(B165,'Route of Administration'!$A$5:$A$155,0)),"")</f>
        <v>Yes</v>
      </c>
      <c r="AF165" s="19" t="n">
        <f aca="false">IF(V165&gt;0,ROUND(AVERAGEIFS('Shortlisted Drugs X Company (7)'!$N$3:$N$698,'Shortlisted Drugs X Company (7)'!$C$3:$C$698,$B165,'Shortlisted Drugs X Company (7)'!$E$3:$E$698,$S165,'Shortlisted Drugs X Company (7)'!$N$3:$N$698,"&gt;=0"),2),"")</f>
        <v>0.65</v>
      </c>
      <c r="AG165" s="16" t="s">
        <v>851</v>
      </c>
      <c r="AH165" s="16" t="s">
        <v>247</v>
      </c>
      <c r="AI165" s="16" t="s">
        <v>247</v>
      </c>
      <c r="AJ165" s="16" t="str">
        <f aca="false">IF(O165&lt;&gt;"","",IF(ISNUMBER(D165),IF(D165&gt;=$C$3,"High price","Lower price"),"Unpriced")&amp;" · "&amp;IF(M165&gt;=$E$3,"high volume","lower volume"))</f>
        <v/>
      </c>
      <c r="AK165" s="15" t="str">
        <f aca="false">IF(O165&lt;&gt;"",IF(O165="Price ≤ $5","Excluded – price ≤ $5","Excluded – IV only"),IF(ISNUMBER(D165),IF(AND(D165&gt;=$C$3,L165&gt;=$H$3),"Priority 1",IF(OR(D165&gt;=$C$3,L165&gt;=$H$3),"Priority 2","Priority 3")),IF(L165&gt;=$H$3,"Priority 2","Priority 3")))</f>
        <v>Excluded – price ≤ $5</v>
      </c>
      <c r="AL165" s="16" t="str">
        <f aca="false">IF(O165&lt;&gt;"","",IF(ISNUMBER(D165),IF(D165&gt;=$C$3,"High price","Lower price"),"Unpriced")&amp;" · "&amp;IF(L165&gt;=$H$3,"high volume","lower volume"))</f>
        <v/>
      </c>
      <c r="AM165" s="14" t="str">
        <f aca="false">IF(O165&lt;&gt;"","",COUNTIFS($A$29:$A$361,A165,$O$29:$O$361,"",$AQ$29:$AQ$361,"&gt;"&amp;AQ165)+COUNTIFS($A$29:A165,A165,$O$29:O165,"",$AQ$29:AQ165,AQ165))</f>
        <v/>
      </c>
      <c r="AN165" s="33" t="str">
        <f aca="false">IF(AND(O165="",ISNUMBER(D165)),D165,"")</f>
        <v/>
      </c>
      <c r="AO165" s="33" t="str">
        <f aca="false">IF(O165="",M165,"")</f>
        <v/>
      </c>
      <c r="AP165" s="33" t="str">
        <f aca="false">IF(O165="",L165,"")</f>
        <v/>
      </c>
      <c r="AQ165" s="33" t="str">
        <f aca="false">IF(O165&lt;&gt;"","",(4-VALUE(RIGHT(AK165,1)))*10^7+N(N165))</f>
        <v/>
      </c>
      <c r="AR165" s="33" t="n">
        <f aca="false">INDEX($O$7:$O$25,MATCH(A165,$I$7:$I$25,0))</f>
        <v>4</v>
      </c>
      <c r="AS165" s="33" t="n">
        <f aca="false">IF(AE165="No","",AR165*1000+IF(AM165="",900+COUNTIFS($A$29:A165,A165,$O$29:O165,"Price ≤ $5"),AM165))</f>
        <v>4901</v>
      </c>
    </row>
    <row r="166" customFormat="false" ht="41.75" hidden="false" customHeight="false" outlineLevel="0" collapsed="false">
      <c r="A166" s="15" t="s">
        <v>192</v>
      </c>
      <c r="B166" s="15" t="s">
        <v>356</v>
      </c>
      <c r="C166" s="16" t="s">
        <v>357</v>
      </c>
      <c r="D166" s="17" t="n">
        <f aca="false">IF(W166&gt;0,ROUND(AVERAGEIFS('Shortlisted Drugs X Company (7)'!$N$3:$N$698,'Shortlisted Drugs X Company (7)'!$C$3:$C$698,$B166,'Shortlisted Drugs X Company (7)'!$E$3:$E$698,$S166,'Shortlisted Drugs X Company (7)'!$N$3:$N$698,"&gt;5"),2),"")</f>
        <v>83.75</v>
      </c>
      <c r="E166" s="15" t="str">
        <f aca="false">IF(COUNTIFS('Shortlisted Drugs X Company (7)'!$C$3:$C$698,$B166,'Shortlisted Drugs X Company (7)'!$E$3:$E$698,$S166,'Shortlisted Drugs X Company (7)'!$P$3:$P$698,"Exact")&gt;0,"Exact",IF(COUNTIFS('Shortlisted Drugs X Company (7)'!$C$3:$C$698,$B166,'Shortlisted Drugs X Company (7)'!$E$3:$E$698,$S166,'Shortlisted Drugs X Company (7)'!$P$3:$P$698,"Same-market proxy")&gt;0,"Same-market proxy",IF(COUNTIFS('Shortlisted Drugs X Company (7)'!$C$3:$C$698,$B166,'Shortlisted Drugs X Company (7)'!$E$3:$E$698,$S166,'Shortlisted Drugs X Company (7)'!$P$3:$P$698,"Cross-market proxy")&gt;0,"Cross-market proxy",IF(COUNTIFS('Shortlisted Drugs X Company (7)'!$C$3:$C$698,$B166,'Shortlisted Drugs X Company (7)'!$E$3:$E$698,$S166,'Shortlisted Drugs X Company (7)'!$P$3:$P$698,"Source not found")&gt;0,"Source not found","Not priced"))))</f>
        <v>Same-market proxy</v>
      </c>
      <c r="F166" s="18" t="n">
        <f aca="false">IFERROR(ROUND(INDEX('Injectable Value'!$AA$28:$AA$178,MATCH(B166,'Injectable Value'!$A$28:$A$178,0)),1),"")</f>
        <v>59827.2</v>
      </c>
      <c r="G166" s="16" t="s">
        <v>855</v>
      </c>
      <c r="H166" s="14" t="n">
        <v>5</v>
      </c>
      <c r="I166" s="15" t="s">
        <v>248</v>
      </c>
      <c r="J166" s="15" t="s">
        <v>299</v>
      </c>
      <c r="K166" s="16" t="str">
        <f aca="false">"Reconstitution"&amp;IF(V166=0,"; Unpriced","")&amp;IF(AND(V166&gt;0,W166=0,X166=0),"; Low price from another market – confirm with company","")</f>
        <v>Reconstitution</v>
      </c>
      <c r="L166" s="18" t="n">
        <f aca="false">IFERROR(INDEX('Shortlisted Drugs X Company (7)'!$K$3:$K$698,MATCH(B166,'Shortlisted Drugs X Company (7)'!$C$3:$C$698,0)),"")</f>
        <v>312</v>
      </c>
      <c r="M166" s="18" t="n">
        <f aca="false">IFERROR(ROUND(L166*INDEX('Injectable Value'!$Z$28:$Z$178,MATCH(B166,'Injectable Value'!$A$28:$A$178,0)),0),"")</f>
        <v>312</v>
      </c>
      <c r="N166" s="18" t="n">
        <f aca="false">IFERROR(INDEX('Shortlisted Drugs X Company (7)'!$L$3:$L$698,MATCH(B166,'Shortlisted Drugs X Company (7)'!$C$3:$C$698,0)),"")</f>
        <v>59827.18</v>
      </c>
      <c r="O166" s="15" t="str">
        <f aca="false">IF(AE166="No","IV only (not ID/IM/SC)",IF(AND(V166&gt;0,W166=0),"Price ≤ $5",""))</f>
        <v>IV only (not ID/IM/SC)</v>
      </c>
      <c r="P166" s="14" t="str">
        <f aca="false">IF(O166&lt;&gt;"","",COUNTIFS($A$29:$A$361,A166,$O$29:$O$361,"",$AC$29:$AC$361,"&gt;"&amp;AC166)+COUNTIFS($A$29:A166,A166,$O$29:O166,"",$AC$29:AC166,AC166))</f>
        <v/>
      </c>
      <c r="Q166" s="15" t="str">
        <f aca="false">IF(O166&lt;&gt;"",IF(O166="Price ≤ $5","Excluded – price ≤ $5","Excluded – IV only"),IF(ISNUMBER(D166),IF(AND(D166&gt;=$C$3,M166&gt;=$E$3),"Priority 1",IF(OR(D166&gt;=$C$3,M166&gt;=$E$3),"Priority 2","Priority 3")),IF(M166&gt;=$E$3,"Priority 2","Priority 3")))</f>
        <v>Excluded – IV only</v>
      </c>
      <c r="R166" s="16" t="s">
        <v>250</v>
      </c>
      <c r="S166" s="15" t="s">
        <v>838</v>
      </c>
      <c r="T166" s="32" t="s">
        <v>358</v>
      </c>
      <c r="U166" s="33" t="str">
        <f aca="false">B166&amp;"|"&amp;S166</f>
        <v>Daptomycin|Hetero Labs</v>
      </c>
      <c r="V166" s="34" t="n">
        <f aca="false">COUNTIFS('Shortlisted Drugs X Company (7)'!$C$3:$C$698,$B166,'Shortlisted Drugs X Company (7)'!$E$3:$E$698,$S166,'Shortlisted Drugs X Company (7)'!$N$3:$N$698,"&gt;=0")</f>
        <v>2</v>
      </c>
      <c r="W166" s="34" t="n">
        <f aca="false">COUNTIFS('Shortlisted Drugs X Company (7)'!$C$3:$C$698,$B166,'Shortlisted Drugs X Company (7)'!$E$3:$E$698,$S166,'Shortlisted Drugs X Company (7)'!$N$3:$N$698,"&gt;5")</f>
        <v>2</v>
      </c>
      <c r="X166" s="34" t="n">
        <f aca="false">COUNTIFS('Shortlisted Drugs X Company (7)'!$C$3:$C$698,$B166,'Shortlisted Drugs X Company (7)'!$E$3:$E$698,$S166,'Shortlisted Drugs X Company (7)'!$P$3:$P$698,"Exact")+COUNTIFS('Shortlisted Drugs X Company (7)'!$C$3:$C$698,$B166,'Shortlisted Drugs X Company (7)'!$E$3:$E$698,$S166,'Shortlisted Drugs X Company (7)'!$P$3:$P$698,"Same-market proxy")</f>
        <v>1</v>
      </c>
      <c r="Y166" s="33" t="str">
        <f aca="false">A166&amp;"|"&amp;P166</f>
        <v>Hetero|</v>
      </c>
      <c r="Z166" s="16" t="s">
        <v>359</v>
      </c>
      <c r="AA166" s="33" t="n">
        <f aca="false">INDEX($G$7:$G$25,MATCH(A166,$A$7:$A$25,0))</f>
        <v>9</v>
      </c>
      <c r="AB166" s="33" t="str">
        <f aca="false">IF(AE166="No","",AA166*1000+IF(P166="",900+COUNTIFS($A$29:A166,A166,$O$29:O166,"Price ≤ $5"),P166))</f>
        <v/>
      </c>
      <c r="AC166" s="33" t="str">
        <f aca="false">IF(O166&lt;&gt;"","",(4-VALUE(RIGHT(Q166,1)))*10^7+N(F166))</f>
        <v/>
      </c>
      <c r="AD166" s="15" t="str">
        <f aca="false">IFERROR(INDEX('Route of Administration'!$C$5:$C$155,MATCH(B166,'Route of Administration'!$A$5:$A$155,0)),"")</f>
        <v>IV</v>
      </c>
      <c r="AE166" s="14" t="str">
        <f aca="false">IFERROR(INDEX('Route of Administration'!$D$5:$D$155,MATCH(B166,'Route of Administration'!$A$5:$A$155,0)),"")</f>
        <v>No</v>
      </c>
      <c r="AF166" s="19" t="n">
        <f aca="false">IF(V166&gt;0,ROUND(AVERAGEIFS('Shortlisted Drugs X Company (7)'!$N$3:$N$698,'Shortlisted Drugs X Company (7)'!$C$3:$C$698,$B166,'Shortlisted Drugs X Company (7)'!$E$3:$E$698,$S166,'Shortlisted Drugs X Company (7)'!$N$3:$N$698,"&gt;=0"),2),"")</f>
        <v>83.75</v>
      </c>
      <c r="AG166" s="16" t="s">
        <v>856</v>
      </c>
      <c r="AH166" s="16" t="s">
        <v>857</v>
      </c>
      <c r="AI166" s="16" t="s">
        <v>857</v>
      </c>
      <c r="AJ166" s="16" t="str">
        <f aca="false">IF(O166&lt;&gt;"","",IF(ISNUMBER(D166),IF(D166&gt;=$C$3,"High price","Lower price"),"Unpriced")&amp;" · "&amp;IF(M166&gt;=$E$3,"high volume","lower volume"))</f>
        <v/>
      </c>
      <c r="AK166" s="15" t="str">
        <f aca="false">IF(O166&lt;&gt;"",IF(O166="Price ≤ $5","Excluded – price ≤ $5","Excluded – IV only"),IF(ISNUMBER(D166),IF(AND(D166&gt;=$C$3,L166&gt;=$H$3),"Priority 1",IF(OR(D166&gt;=$C$3,L166&gt;=$H$3),"Priority 2","Priority 3")),IF(L166&gt;=$H$3,"Priority 2","Priority 3")))</f>
        <v>Excluded – IV only</v>
      </c>
      <c r="AL166" s="16" t="str">
        <f aca="false">IF(O166&lt;&gt;"","",IF(ISNUMBER(D166),IF(D166&gt;=$C$3,"High price","Lower price"),"Unpriced")&amp;" · "&amp;IF(L166&gt;=$H$3,"high volume","lower volume"))</f>
        <v/>
      </c>
      <c r="AM166" s="14" t="str">
        <f aca="false">IF(O166&lt;&gt;"","",COUNTIFS($A$29:$A$361,A166,$O$29:$O$361,"",$AQ$29:$AQ$361,"&gt;"&amp;AQ166)+COUNTIFS($A$29:A166,A166,$O$29:O166,"",$AQ$29:AQ166,AQ166))</f>
        <v/>
      </c>
      <c r="AN166" s="33" t="str">
        <f aca="false">IF(AND(O166="",ISNUMBER(D166)),D166,"")</f>
        <v/>
      </c>
      <c r="AO166" s="33" t="str">
        <f aca="false">IF(O166="",M166,"")</f>
        <v/>
      </c>
      <c r="AP166" s="33" t="str">
        <f aca="false">IF(O166="",L166,"")</f>
        <v/>
      </c>
      <c r="AQ166" s="33" t="str">
        <f aca="false">IF(O166&lt;&gt;"","",(4-VALUE(RIGHT(AK166,1)))*10^7+N(N166))</f>
        <v/>
      </c>
      <c r="AR166" s="33" t="n">
        <f aca="false">INDEX($O$7:$O$25,MATCH(A166,$I$7:$I$25,0))</f>
        <v>4</v>
      </c>
      <c r="AS166" s="33" t="str">
        <f aca="false">IF(AE166="No","",AR166*1000+IF(AM166="",900+COUNTIFS($A$29:A166,A166,$O$29:O166,"Price ≤ $5"),AM166))</f>
        <v/>
      </c>
    </row>
    <row r="167" customFormat="false" ht="28.35" hidden="false" customHeight="false" outlineLevel="0" collapsed="false">
      <c r="A167" s="15" t="s">
        <v>192</v>
      </c>
      <c r="B167" s="15" t="s">
        <v>858</v>
      </c>
      <c r="C167" s="16" t="s">
        <v>859</v>
      </c>
      <c r="D167" s="17" t="n">
        <f aca="false">IF(W167&gt;0,ROUND(AVERAGEIFS('Shortlisted Drugs X Company (7)'!$N$3:$N$698,'Shortlisted Drugs X Company (7)'!$C$3:$C$698,$B167,'Shortlisted Drugs X Company (7)'!$E$3:$E$698,$S167,'Shortlisted Drugs X Company (7)'!$N$3:$N$698,"&gt;5"),2),"")</f>
        <v>30.23</v>
      </c>
      <c r="E167" s="15" t="str">
        <f aca="false">IF(COUNTIFS('Shortlisted Drugs X Company (7)'!$C$3:$C$698,$B167,'Shortlisted Drugs X Company (7)'!$E$3:$E$698,$S167,'Shortlisted Drugs X Company (7)'!$P$3:$P$698,"Exact")&gt;0,"Exact",IF(COUNTIFS('Shortlisted Drugs X Company (7)'!$C$3:$C$698,$B167,'Shortlisted Drugs X Company (7)'!$E$3:$E$698,$S167,'Shortlisted Drugs X Company (7)'!$P$3:$P$698,"Same-market proxy")&gt;0,"Same-market proxy",IF(COUNTIFS('Shortlisted Drugs X Company (7)'!$C$3:$C$698,$B167,'Shortlisted Drugs X Company (7)'!$E$3:$E$698,$S167,'Shortlisted Drugs X Company (7)'!$P$3:$P$698,"Cross-market proxy")&gt;0,"Cross-market proxy",IF(COUNTIFS('Shortlisted Drugs X Company (7)'!$C$3:$C$698,$B167,'Shortlisted Drugs X Company (7)'!$E$3:$E$698,$S167,'Shortlisted Drugs X Company (7)'!$P$3:$P$698,"Source not found")&gt;0,"Source not found","Not priced"))))</f>
        <v>Exact</v>
      </c>
      <c r="F167" s="18" t="n">
        <f aca="false">IFERROR(ROUND(INDEX('Injectable Value'!$AA$28:$AA$178,MATCH(B167,'Injectable Value'!$A$28:$A$178,0)),1),"")</f>
        <v>1332.4</v>
      </c>
      <c r="G167" s="16" t="s">
        <v>70</v>
      </c>
      <c r="H167" s="14" t="n">
        <v>1</v>
      </c>
      <c r="I167" s="15" t="s">
        <v>248</v>
      </c>
      <c r="J167" s="15" t="s">
        <v>249</v>
      </c>
      <c r="K167" s="16" t="str">
        <f aca="false">""&amp;IF(V167=0,"Unpriced","")&amp;IF(AND(V167&gt;0,W167=0,X167=0),"Low price from another market – confirm with company","")</f>
        <v/>
      </c>
      <c r="L167" s="18" t="n">
        <f aca="false">IFERROR(INDEX('Shortlisted Drugs X Company (7)'!$K$3:$K$698,MATCH(B167,'Shortlisted Drugs X Company (7)'!$C$3:$C$698,0)),"")</f>
        <v>286</v>
      </c>
      <c r="M167" s="18" t="n">
        <f aca="false">IFERROR(ROUND(L167*INDEX('Injectable Value'!$Z$28:$Z$178,MATCH(B167,'Injectable Value'!$A$28:$A$178,0)),0),"")</f>
        <v>119</v>
      </c>
      <c r="N167" s="18" t="n">
        <f aca="false">IFERROR(INDEX('Shortlisted Drugs X Company (7)'!$L$3:$L$698,MATCH(B167,'Shortlisted Drugs X Company (7)'!$C$3:$C$698,0)),"")</f>
        <v>3193.58</v>
      </c>
      <c r="O167" s="15" t="str">
        <f aca="false">IF(AE167="No","IV only (not ID/IM/SC)",IF(AND(V167&gt;0,W167=0),"Price ≤ $5",""))</f>
        <v/>
      </c>
      <c r="P167" s="14" t="n">
        <f aca="false">IF(O167&lt;&gt;"","",COUNTIFS($A$29:$A$361,A167,$O$29:$O$361,"",$AC$29:$AC$361,"&gt;"&amp;AC167)+COUNTIFS($A$29:A167,A167,$O$29:O167,"",$AC$29:AC167,AC167))</f>
        <v>8</v>
      </c>
      <c r="Q167" s="15" t="str">
        <f aca="false">IF(O167&lt;&gt;"",IF(O167="Price ≤ $5","Excluded – price ≤ $5","Excluded – IV only"),IF(ISNUMBER(D167),IF(AND(D167&gt;=$C$3,M167&gt;=$E$3),"Priority 1",IF(OR(D167&gt;=$C$3,M167&gt;=$E$3),"Priority 2","Priority 3")),IF(M167&gt;=$E$3,"Priority 2","Priority 3")))</f>
        <v>Priority 2</v>
      </c>
      <c r="R167" s="16" t="s">
        <v>285</v>
      </c>
      <c r="S167" s="15" t="s">
        <v>838</v>
      </c>
      <c r="T167" s="32" t="s">
        <v>860</v>
      </c>
      <c r="U167" s="33" t="str">
        <f aca="false">B167&amp;"|"&amp;S167</f>
        <v>Glycopyrrolate|Hetero Labs</v>
      </c>
      <c r="V167" s="34" t="n">
        <f aca="false">COUNTIFS('Shortlisted Drugs X Company (7)'!$C$3:$C$698,$B167,'Shortlisted Drugs X Company (7)'!$E$3:$E$698,$S167,'Shortlisted Drugs X Company (7)'!$N$3:$N$698,"&gt;=0")</f>
        <v>1</v>
      </c>
      <c r="W167" s="34" t="n">
        <f aca="false">COUNTIFS('Shortlisted Drugs X Company (7)'!$C$3:$C$698,$B167,'Shortlisted Drugs X Company (7)'!$E$3:$E$698,$S167,'Shortlisted Drugs X Company (7)'!$N$3:$N$698,"&gt;5")</f>
        <v>1</v>
      </c>
      <c r="X167" s="34" t="n">
        <f aca="false">COUNTIFS('Shortlisted Drugs X Company (7)'!$C$3:$C$698,$B167,'Shortlisted Drugs X Company (7)'!$E$3:$E$698,$S167,'Shortlisted Drugs X Company (7)'!$P$3:$P$698,"Exact")+COUNTIFS('Shortlisted Drugs X Company (7)'!$C$3:$C$698,$B167,'Shortlisted Drugs X Company (7)'!$E$3:$E$698,$S167,'Shortlisted Drugs X Company (7)'!$P$3:$P$698,"Same-market proxy")</f>
        <v>1</v>
      </c>
      <c r="Y167" s="33" t="str">
        <f aca="false">A167&amp;"|"&amp;P167</f>
        <v>Hetero|8</v>
      </c>
      <c r="Z167" s="16" t="s">
        <v>861</v>
      </c>
      <c r="AA167" s="33" t="n">
        <f aca="false">INDEX($G$7:$G$25,MATCH(A167,$A$7:$A$25,0))</f>
        <v>9</v>
      </c>
      <c r="AB167" s="33" t="n">
        <f aca="false">IF(AE167="No","",AA167*1000+IF(P167="",900+COUNTIFS($A$29:A167,A167,$O$29:O167,"Price ≤ $5"),P167))</f>
        <v>9008</v>
      </c>
      <c r="AC167" s="33" t="n">
        <f aca="false">IF(O167&lt;&gt;"","",(4-VALUE(RIGHT(Q167,1)))*10^7+N(F167))</f>
        <v>20001332.4</v>
      </c>
      <c r="AD167" s="15" t="str">
        <f aca="false">IFERROR(INDEX('Route of Administration'!$C$5:$C$155,MATCH(B167,'Route of Administration'!$A$5:$A$155,0)),"")</f>
        <v>IV, IM</v>
      </c>
      <c r="AE167" s="14" t="str">
        <f aca="false">IFERROR(INDEX('Route of Administration'!$D$5:$D$155,MATCH(B167,'Route of Administration'!$A$5:$A$155,0)),"")</f>
        <v>Yes</v>
      </c>
      <c r="AF167" s="19" t="n">
        <f aca="false">IF(V167&gt;0,ROUND(AVERAGEIFS('Shortlisted Drugs X Company (7)'!$N$3:$N$698,'Shortlisted Drugs X Company (7)'!$C$3:$C$698,$B167,'Shortlisted Drugs X Company (7)'!$E$3:$E$698,$S167,'Shortlisted Drugs X Company (7)'!$N$3:$N$698,"&gt;=0"),2),"")</f>
        <v>30.23</v>
      </c>
      <c r="AG167" s="16" t="s">
        <v>862</v>
      </c>
      <c r="AH167" s="16" t="s">
        <v>328</v>
      </c>
      <c r="AI167" s="16" t="s">
        <v>328</v>
      </c>
      <c r="AJ167" s="16" t="str">
        <f aca="false">IF(O167&lt;&gt;"","",IF(ISNUMBER(D167),IF(D167&gt;=$C$3,"High price","Lower price"),"Unpriced")&amp;" · "&amp;IF(M167&gt;=$E$3,"high volume","lower volume"))</f>
        <v>High price · lower volume</v>
      </c>
      <c r="AK167" s="15" t="str">
        <f aca="false">IF(O167&lt;&gt;"",IF(O167="Price ≤ $5","Excluded – price ≤ $5","Excluded – IV only"),IF(ISNUMBER(D167),IF(AND(D167&gt;=$C$3,L167&gt;=$H$3),"Priority 1",IF(OR(D167&gt;=$C$3,L167&gt;=$H$3),"Priority 2","Priority 3")),IF(L167&gt;=$H$3,"Priority 2","Priority 3")))</f>
        <v>Priority 1</v>
      </c>
      <c r="AL167" s="16" t="str">
        <f aca="false">IF(O167&lt;&gt;"","",IF(ISNUMBER(D167),IF(D167&gt;=$C$3,"High price","Lower price"),"Unpriced")&amp;" · "&amp;IF(L167&gt;=$H$3,"high volume","lower volume"))</f>
        <v>High price · high volume</v>
      </c>
      <c r="AM167" s="14" t="n">
        <f aca="false">IF(O167&lt;&gt;"","",COUNTIFS($A$29:$A$361,A167,$O$29:$O$361,"",$AQ$29:$AQ$361,"&gt;"&amp;AQ167)+COUNTIFS($A$29:A167,A167,$O$29:O167,"",$AQ$29:AQ167,AQ167))</f>
        <v>3</v>
      </c>
      <c r="AN167" s="19" t="n">
        <f aca="false">IF(AND(O167="",ISNUMBER(D167)),D167,"")</f>
        <v>30.23</v>
      </c>
      <c r="AO167" s="20" t="n">
        <f aca="false">IF(O167="",M167,"")</f>
        <v>119</v>
      </c>
      <c r="AP167" s="20" t="n">
        <f aca="false">IF(O167="",L167,"")</f>
        <v>286</v>
      </c>
      <c r="AQ167" s="33" t="n">
        <f aca="false">IF(O167&lt;&gt;"","",(4-VALUE(RIGHT(AK167,1)))*10^7+N(N167))</f>
        <v>30003193.58</v>
      </c>
      <c r="AR167" s="33" t="n">
        <f aca="false">INDEX($O$7:$O$25,MATCH(A167,$I$7:$I$25,0))</f>
        <v>4</v>
      </c>
      <c r="AS167" s="33" t="n">
        <f aca="false">IF(AE167="No","",AR167*1000+IF(AM167="",900+COUNTIFS($A$29:A167,A167,$O$29:O167,"Price ≤ $5"),AM167))</f>
        <v>4003</v>
      </c>
    </row>
    <row r="168" customFormat="false" ht="28.35" hidden="false" customHeight="false" outlineLevel="0" collapsed="false">
      <c r="A168" s="15" t="s">
        <v>192</v>
      </c>
      <c r="B168" s="15" t="s">
        <v>606</v>
      </c>
      <c r="C168" s="16" t="s">
        <v>607</v>
      </c>
      <c r="D168" s="17" t="n">
        <f aca="false">IF(W168&gt;0,ROUND(AVERAGEIFS('Shortlisted Drugs X Company (7)'!$N$3:$N$698,'Shortlisted Drugs X Company (7)'!$C$3:$C$698,$B168,'Shortlisted Drugs X Company (7)'!$E$3:$E$698,$S168,'Shortlisted Drugs X Company (7)'!$N$3:$N$698,"&gt;5"),2),"")</f>
        <v>69.18</v>
      </c>
      <c r="E168" s="15" t="str">
        <f aca="false">IF(COUNTIFS('Shortlisted Drugs X Company (7)'!$C$3:$C$698,$B168,'Shortlisted Drugs X Company (7)'!$E$3:$E$698,$S168,'Shortlisted Drugs X Company (7)'!$P$3:$P$698,"Exact")&gt;0,"Exact",IF(COUNTIFS('Shortlisted Drugs X Company (7)'!$C$3:$C$698,$B168,'Shortlisted Drugs X Company (7)'!$E$3:$E$698,$S168,'Shortlisted Drugs X Company (7)'!$P$3:$P$698,"Same-market proxy")&gt;0,"Same-market proxy",IF(COUNTIFS('Shortlisted Drugs X Company (7)'!$C$3:$C$698,$B168,'Shortlisted Drugs X Company (7)'!$E$3:$E$698,$S168,'Shortlisted Drugs X Company (7)'!$P$3:$P$698,"Cross-market proxy")&gt;0,"Cross-market proxy",IF(COUNTIFS('Shortlisted Drugs X Company (7)'!$C$3:$C$698,$B168,'Shortlisted Drugs X Company (7)'!$E$3:$E$698,$S168,'Shortlisted Drugs X Company (7)'!$P$3:$P$698,"Source not found")&gt;0,"Source not found","Not priced"))))</f>
        <v>Same-market proxy</v>
      </c>
      <c r="F168" s="18" t="n">
        <f aca="false">IFERROR(ROUND(INDEX('Injectable Value'!$AA$28:$AA$178,MATCH(B168,'Injectable Value'!$A$28:$A$178,0)),1),"")</f>
        <v>2931.4</v>
      </c>
      <c r="G168" s="16" t="s">
        <v>247</v>
      </c>
      <c r="H168" s="14" t="n">
        <v>1</v>
      </c>
      <c r="I168" s="15" t="s">
        <v>277</v>
      </c>
      <c r="J168" s="15" t="s">
        <v>277</v>
      </c>
      <c r="K168" s="16" t="str">
        <f aca="false">""&amp;IF(V168=0,"Unpriced","")&amp;IF(AND(V168&gt;0,W168=0,X168=0),"Low price from another market – confirm with company","")</f>
        <v/>
      </c>
      <c r="L168" s="18" t="n">
        <f aca="false">IFERROR(INDEX('Shortlisted Drugs X Company (7)'!$K$3:$K$698,MATCH(B168,'Shortlisted Drugs X Company (7)'!$C$3:$C$698,0)),"")</f>
        <v>87</v>
      </c>
      <c r="M168" s="18" t="n">
        <f aca="false">IFERROR(ROUND(L168*INDEX('Injectable Value'!$Z$28:$Z$178,MATCH(B168,'Injectable Value'!$A$28:$A$178,0)),0),"")</f>
        <v>87</v>
      </c>
      <c r="N168" s="18" t="n">
        <f aca="false">IFERROR(INDEX('Shortlisted Drugs X Company (7)'!$L$3:$L$698,MATCH(B168,'Shortlisted Drugs X Company (7)'!$C$3:$C$698,0)),"")</f>
        <v>2931.42</v>
      </c>
      <c r="O168" s="15" t="str">
        <f aca="false">IF(AE168="No","IV only (not ID/IM/SC)",IF(AND(V168&gt;0,W168=0),"Price ≤ $5",""))</f>
        <v/>
      </c>
      <c r="P168" s="14" t="n">
        <f aca="false">IF(O168&lt;&gt;"","",COUNTIFS($A$29:$A$361,A168,$O$29:$O$361,"",$AC$29:$AC$361,"&gt;"&amp;AC168)+COUNTIFS($A$29:A168,A168,$O$29:O168,"",$AC$29:AC168,AC168))</f>
        <v>7</v>
      </c>
      <c r="Q168" s="15" t="str">
        <f aca="false">IF(O168&lt;&gt;"",IF(O168="Price ≤ $5","Excluded – price ≤ $5","Excluded – IV only"),IF(ISNUMBER(D168),IF(AND(D168&gt;=$C$3,M168&gt;=$E$3),"Priority 1",IF(OR(D168&gt;=$C$3,M168&gt;=$E$3),"Priority 2","Priority 3")),IF(M168&gt;=$E$3,"Priority 2","Priority 3")))</f>
        <v>Priority 2</v>
      </c>
      <c r="R168" s="16" t="s">
        <v>278</v>
      </c>
      <c r="S168" s="15" t="s">
        <v>838</v>
      </c>
      <c r="T168" s="32" t="s">
        <v>608</v>
      </c>
      <c r="U168" s="33" t="str">
        <f aca="false">B168&amp;"|"&amp;S168</f>
        <v>Isoprenaline (Isoproterenol)|Hetero Labs</v>
      </c>
      <c r="V168" s="34" t="n">
        <f aca="false">COUNTIFS('Shortlisted Drugs X Company (7)'!$C$3:$C$698,$B168,'Shortlisted Drugs X Company (7)'!$E$3:$E$698,$S168,'Shortlisted Drugs X Company (7)'!$N$3:$N$698,"&gt;=0")</f>
        <v>1</v>
      </c>
      <c r="W168" s="34" t="n">
        <f aca="false">COUNTIFS('Shortlisted Drugs X Company (7)'!$C$3:$C$698,$B168,'Shortlisted Drugs X Company (7)'!$E$3:$E$698,$S168,'Shortlisted Drugs X Company (7)'!$N$3:$N$698,"&gt;5")</f>
        <v>1</v>
      </c>
      <c r="X168" s="34" t="n">
        <f aca="false">COUNTIFS('Shortlisted Drugs X Company (7)'!$C$3:$C$698,$B168,'Shortlisted Drugs X Company (7)'!$E$3:$E$698,$S168,'Shortlisted Drugs X Company (7)'!$P$3:$P$698,"Exact")+COUNTIFS('Shortlisted Drugs X Company (7)'!$C$3:$C$698,$B168,'Shortlisted Drugs X Company (7)'!$E$3:$E$698,$S168,'Shortlisted Drugs X Company (7)'!$P$3:$P$698,"Same-market proxy")</f>
        <v>1</v>
      </c>
      <c r="Y168" s="33" t="str">
        <f aca="false">A168&amp;"|"&amp;P168</f>
        <v>Hetero|7</v>
      </c>
      <c r="Z168" s="16" t="s">
        <v>863</v>
      </c>
      <c r="AA168" s="33" t="n">
        <f aca="false">INDEX($G$7:$G$25,MATCH(A168,$A$7:$A$25,0))</f>
        <v>9</v>
      </c>
      <c r="AB168" s="33" t="n">
        <f aca="false">IF(AE168="No","",AA168*1000+IF(P168="",900+COUNTIFS($A$29:A168,A168,$O$29:O168,"Price ≤ $5"),P168))</f>
        <v>9007</v>
      </c>
      <c r="AC168" s="33" t="n">
        <f aca="false">IF(O168&lt;&gt;"","",(4-VALUE(RIGHT(Q168,1)))*10^7+N(F168))</f>
        <v>20002931.4</v>
      </c>
      <c r="AD168" s="15" t="str">
        <f aca="false">IFERROR(INDEX('Route of Administration'!$C$5:$C$155,MATCH(B168,'Route of Administration'!$A$5:$A$155,0)),"")</f>
        <v>IV, IM, SC</v>
      </c>
      <c r="AE168" s="14" t="str">
        <f aca="false">IFERROR(INDEX('Route of Administration'!$D$5:$D$155,MATCH(B168,'Route of Administration'!$A$5:$A$155,0)),"")</f>
        <v>Yes</v>
      </c>
      <c r="AF168" s="19" t="n">
        <f aca="false">IF(V168&gt;0,ROUND(AVERAGEIFS('Shortlisted Drugs X Company (7)'!$N$3:$N$698,'Shortlisted Drugs X Company (7)'!$C$3:$C$698,$B168,'Shortlisted Drugs X Company (7)'!$E$3:$E$698,$S168,'Shortlisted Drugs X Company (7)'!$N$3:$N$698,"&gt;=0"),2),"")</f>
        <v>69.18</v>
      </c>
      <c r="AG168" s="16" t="s">
        <v>784</v>
      </c>
      <c r="AH168" s="16" t="s">
        <v>247</v>
      </c>
      <c r="AI168" s="16" t="s">
        <v>247</v>
      </c>
      <c r="AJ168" s="16" t="str">
        <f aca="false">IF(O168&lt;&gt;"","",IF(ISNUMBER(D168),IF(D168&gt;=$C$3,"High price","Lower price"),"Unpriced")&amp;" · "&amp;IF(M168&gt;=$E$3,"high volume","lower volume"))</f>
        <v>High price · lower volume</v>
      </c>
      <c r="AK168" s="15" t="str">
        <f aca="false">IF(O168&lt;&gt;"",IF(O168="Price ≤ $5","Excluded – price ≤ $5","Excluded – IV only"),IF(ISNUMBER(D168),IF(AND(D168&gt;=$C$3,L168&gt;=$H$3),"Priority 1",IF(OR(D168&gt;=$C$3,L168&gt;=$H$3),"Priority 2","Priority 3")),IF(L168&gt;=$H$3,"Priority 2","Priority 3")))</f>
        <v>Priority 2</v>
      </c>
      <c r="AL168" s="16" t="str">
        <f aca="false">IF(O168&lt;&gt;"","",IF(ISNUMBER(D168),IF(D168&gt;=$C$3,"High price","Lower price"),"Unpriced")&amp;" · "&amp;IF(L168&gt;=$H$3,"high volume","lower volume"))</f>
        <v>High price · lower volume</v>
      </c>
      <c r="AM168" s="14" t="n">
        <f aca="false">IF(O168&lt;&gt;"","",COUNTIFS($A$29:$A$361,A168,$O$29:$O$361,"",$AQ$29:$AQ$361,"&gt;"&amp;AQ168)+COUNTIFS($A$29:A168,A168,$O$29:O168,"",$AQ$29:AQ168,AQ168))</f>
        <v>9</v>
      </c>
      <c r="AN168" s="19" t="n">
        <f aca="false">IF(AND(O168="",ISNUMBER(D168)),D168,"")</f>
        <v>69.18</v>
      </c>
      <c r="AO168" s="20" t="n">
        <f aca="false">IF(O168="",M168,"")</f>
        <v>87</v>
      </c>
      <c r="AP168" s="20" t="n">
        <f aca="false">IF(O168="",L168,"")</f>
        <v>87</v>
      </c>
      <c r="AQ168" s="33" t="n">
        <f aca="false">IF(O168&lt;&gt;"","",(4-VALUE(RIGHT(AK168,1)))*10^7+N(N168))</f>
        <v>20002931.42</v>
      </c>
      <c r="AR168" s="33" t="n">
        <f aca="false">INDEX($O$7:$O$25,MATCH(A168,$I$7:$I$25,0))</f>
        <v>4</v>
      </c>
      <c r="AS168" s="33" t="n">
        <f aca="false">IF(AE168="No","",AR168*1000+IF(AM168="",900+COUNTIFS($A$29:A168,A168,$O$29:O168,"Price ≤ $5"),AM168))</f>
        <v>4009</v>
      </c>
    </row>
    <row r="169" customFormat="false" ht="28.35" hidden="false" customHeight="false" outlineLevel="0" collapsed="false">
      <c r="A169" s="15" t="s">
        <v>192</v>
      </c>
      <c r="B169" s="15" t="s">
        <v>864</v>
      </c>
      <c r="C169" s="16" t="s">
        <v>865</v>
      </c>
      <c r="D169" s="17" t="str">
        <f aca="false">IF(W169&gt;0,ROUND(AVERAGEIFS('Shortlisted Drugs X Company (7)'!$N$3:$N$698,'Shortlisted Drugs X Company (7)'!$C$3:$C$698,$B169,'Shortlisted Drugs X Company (7)'!$E$3:$E$698,$S169,'Shortlisted Drugs X Company (7)'!$N$3:$N$698,"&gt;5"),2),"")</f>
        <v/>
      </c>
      <c r="E169" s="15" t="str">
        <f aca="false">IF(COUNTIFS('Shortlisted Drugs X Company (7)'!$C$3:$C$698,$B169,'Shortlisted Drugs X Company (7)'!$E$3:$E$698,$S169,'Shortlisted Drugs X Company (7)'!$P$3:$P$698,"Exact")&gt;0,"Exact",IF(COUNTIFS('Shortlisted Drugs X Company (7)'!$C$3:$C$698,$B169,'Shortlisted Drugs X Company (7)'!$E$3:$E$698,$S169,'Shortlisted Drugs X Company (7)'!$P$3:$P$698,"Same-market proxy")&gt;0,"Same-market proxy",IF(COUNTIFS('Shortlisted Drugs X Company (7)'!$C$3:$C$698,$B169,'Shortlisted Drugs X Company (7)'!$E$3:$E$698,$S169,'Shortlisted Drugs X Company (7)'!$P$3:$P$698,"Cross-market proxy")&gt;0,"Cross-market proxy",IF(COUNTIFS('Shortlisted Drugs X Company (7)'!$C$3:$C$698,$B169,'Shortlisted Drugs X Company (7)'!$E$3:$E$698,$S169,'Shortlisted Drugs X Company (7)'!$P$3:$P$698,"Source not found")&gt;0,"Source not found","Not priced"))))</f>
        <v>Same-market proxy</v>
      </c>
      <c r="F169" s="18" t="n">
        <f aca="false">IFERROR(ROUND(INDEX('Injectable Value'!$AA$28:$AA$178,MATCH(B169,'Injectable Value'!$A$28:$A$178,0)),1),"")</f>
        <v>18611.6</v>
      </c>
      <c r="G169" s="16" t="s">
        <v>247</v>
      </c>
      <c r="H169" s="14" t="n">
        <v>1</v>
      </c>
      <c r="I169" s="15" t="s">
        <v>248</v>
      </c>
      <c r="J169" s="15" t="s">
        <v>284</v>
      </c>
      <c r="K169" s="16" t="str">
        <f aca="false">""&amp;IF(V169=0,"Unpriced","")&amp;IF(AND(V169&gt;0,W169=0,X169=0),"Low price from another market – confirm with company","")</f>
        <v/>
      </c>
      <c r="L169" s="18" t="n">
        <f aca="false">IFERROR(INDEX('Shortlisted Drugs X Company (7)'!$K$3:$K$698,MATCH(B169,'Shortlisted Drugs X Company (7)'!$C$3:$C$698,0)),"")</f>
        <v>1683</v>
      </c>
      <c r="M169" s="18" t="n">
        <f aca="false">IFERROR(ROUND(L169*INDEX('Injectable Value'!$Z$28:$Z$178,MATCH(B169,'Injectable Value'!$A$28:$A$178,0)),0),"")</f>
        <v>670</v>
      </c>
      <c r="N169" s="18" t="n">
        <f aca="false">IFERROR(INDEX('Shortlisted Drugs X Company (7)'!$L$3:$L$698,MATCH(B169,'Shortlisted Drugs X Company (7)'!$C$3:$C$698,0)),"")</f>
        <v>46739.27</v>
      </c>
      <c r="O169" s="15" t="str">
        <f aca="false">IF(AE169="No","IV only (not ID/IM/SC)",IF(AND(V169&gt;0,W169=0),"Price ≤ $5",""))</f>
        <v>Price ≤ $5</v>
      </c>
      <c r="P169" s="14" t="str">
        <f aca="false">IF(O169&lt;&gt;"","",COUNTIFS($A$29:$A$361,A169,$O$29:$O$361,"",$AC$29:$AC$361,"&gt;"&amp;AC169)+COUNTIFS($A$29:A169,A169,$O$29:O169,"",$AC$29:AC169,AC169))</f>
        <v/>
      </c>
      <c r="Q169" s="15" t="str">
        <f aca="false">IF(O169&lt;&gt;"",IF(O169="Price ≤ $5","Excluded – price ≤ $5","Excluded – IV only"),IF(ISNUMBER(D169),IF(AND(D169&gt;=$C$3,M169&gt;=$E$3),"Priority 1",IF(OR(D169&gt;=$C$3,M169&gt;=$E$3),"Priority 2","Priority 3")),IF(M169&gt;=$E$3,"Priority 2","Priority 3")))</f>
        <v>Excluded – price ≤ $5</v>
      </c>
      <c r="R169" s="16" t="s">
        <v>285</v>
      </c>
      <c r="S169" s="15" t="s">
        <v>838</v>
      </c>
      <c r="T169" s="32" t="s">
        <v>866</v>
      </c>
      <c r="U169" s="33" t="str">
        <f aca="false">B169&amp;"|"&amp;S169</f>
        <v>Lidocaine|Hetero Labs</v>
      </c>
      <c r="V169" s="34" t="n">
        <f aca="false">COUNTIFS('Shortlisted Drugs X Company (7)'!$C$3:$C$698,$B169,'Shortlisted Drugs X Company (7)'!$E$3:$E$698,$S169,'Shortlisted Drugs X Company (7)'!$N$3:$N$698,"&gt;=0")</f>
        <v>1</v>
      </c>
      <c r="W169" s="34" t="n">
        <f aca="false">COUNTIFS('Shortlisted Drugs X Company (7)'!$C$3:$C$698,$B169,'Shortlisted Drugs X Company (7)'!$E$3:$E$698,$S169,'Shortlisted Drugs X Company (7)'!$N$3:$N$698,"&gt;5")</f>
        <v>0</v>
      </c>
      <c r="X169" s="34" t="n">
        <f aca="false">COUNTIFS('Shortlisted Drugs X Company (7)'!$C$3:$C$698,$B169,'Shortlisted Drugs X Company (7)'!$E$3:$E$698,$S169,'Shortlisted Drugs X Company (7)'!$P$3:$P$698,"Exact")+COUNTIFS('Shortlisted Drugs X Company (7)'!$C$3:$C$698,$B169,'Shortlisted Drugs X Company (7)'!$E$3:$E$698,$S169,'Shortlisted Drugs X Company (7)'!$P$3:$P$698,"Same-market proxy")</f>
        <v>1</v>
      </c>
      <c r="Y169" s="33" t="str">
        <f aca="false">A169&amp;"|"&amp;P169</f>
        <v>Hetero|</v>
      </c>
      <c r="Z169" s="16" t="s">
        <v>867</v>
      </c>
      <c r="AA169" s="33" t="n">
        <f aca="false">INDEX($G$7:$G$25,MATCH(A169,$A$7:$A$25,0))</f>
        <v>9</v>
      </c>
      <c r="AB169" s="33" t="n">
        <f aca="false">IF(AE169="No","",AA169*1000+IF(P169="",900+COUNTIFS($A$29:A169,A169,$O$29:O169,"Price ≤ $5"),P169))</f>
        <v>9902</v>
      </c>
      <c r="AC169" s="33" t="str">
        <f aca="false">IF(O169&lt;&gt;"","",(4-VALUE(RIGHT(Q169,1)))*10^7+N(F169))</f>
        <v/>
      </c>
      <c r="AD169" s="15" t="str">
        <f aca="false">IFERROR(INDEX('Route of Administration'!$C$5:$C$155,MATCH(B169,'Route of Administration'!$A$5:$A$155,0)),"")</f>
        <v>IV, infiltration (ID, SC), perineural</v>
      </c>
      <c r="AE169" s="14" t="str">
        <f aca="false">IFERROR(INDEX('Route of Administration'!$D$5:$D$155,MATCH(B169,'Route of Administration'!$A$5:$A$155,0)),"")</f>
        <v>Yes</v>
      </c>
      <c r="AF169" s="19" t="n">
        <f aca="false">IF(V169&gt;0,ROUND(AVERAGEIFS('Shortlisted Drugs X Company (7)'!$N$3:$N$698,'Shortlisted Drugs X Company (7)'!$C$3:$C$698,$B169,'Shortlisted Drugs X Company (7)'!$E$3:$E$698,$S169,'Shortlisted Drugs X Company (7)'!$N$3:$N$698,"&gt;=0"),2),"")</f>
        <v>1.91</v>
      </c>
      <c r="AG169" s="16" t="s">
        <v>868</v>
      </c>
      <c r="AH169" s="16" t="s">
        <v>247</v>
      </c>
      <c r="AI169" s="16" t="s">
        <v>247</v>
      </c>
      <c r="AJ169" s="16" t="str">
        <f aca="false">IF(O169&lt;&gt;"","",IF(ISNUMBER(D169),IF(D169&gt;=$C$3,"High price","Lower price"),"Unpriced")&amp;" · "&amp;IF(M169&gt;=$E$3,"high volume","lower volume"))</f>
        <v/>
      </c>
      <c r="AK169" s="15" t="str">
        <f aca="false">IF(O169&lt;&gt;"",IF(O169="Price ≤ $5","Excluded – price ≤ $5","Excluded – IV only"),IF(ISNUMBER(D169),IF(AND(D169&gt;=$C$3,L169&gt;=$H$3),"Priority 1",IF(OR(D169&gt;=$C$3,L169&gt;=$H$3),"Priority 2","Priority 3")),IF(L169&gt;=$H$3,"Priority 2","Priority 3")))</f>
        <v>Excluded – price ≤ $5</v>
      </c>
      <c r="AL169" s="16" t="str">
        <f aca="false">IF(O169&lt;&gt;"","",IF(ISNUMBER(D169),IF(D169&gt;=$C$3,"High price","Lower price"),"Unpriced")&amp;" · "&amp;IF(L169&gt;=$H$3,"high volume","lower volume"))</f>
        <v/>
      </c>
      <c r="AM169" s="14" t="str">
        <f aca="false">IF(O169&lt;&gt;"","",COUNTIFS($A$29:$A$361,A169,$O$29:$O$361,"",$AQ$29:$AQ$361,"&gt;"&amp;AQ169)+COUNTIFS($A$29:A169,A169,$O$29:O169,"",$AQ$29:AQ169,AQ169))</f>
        <v/>
      </c>
      <c r="AN169" s="33" t="str">
        <f aca="false">IF(AND(O169="",ISNUMBER(D169)),D169,"")</f>
        <v/>
      </c>
      <c r="AO169" s="33" t="str">
        <f aca="false">IF(O169="",M169,"")</f>
        <v/>
      </c>
      <c r="AP169" s="33" t="str">
        <f aca="false">IF(O169="",L169,"")</f>
        <v/>
      </c>
      <c r="AQ169" s="33" t="str">
        <f aca="false">IF(O169&lt;&gt;"","",(4-VALUE(RIGHT(AK169,1)))*10^7+N(N169))</f>
        <v/>
      </c>
      <c r="AR169" s="33" t="n">
        <f aca="false">INDEX($O$7:$O$25,MATCH(A169,$I$7:$I$25,0))</f>
        <v>4</v>
      </c>
      <c r="AS169" s="33" t="n">
        <f aca="false">IF(AE169="No","",AR169*1000+IF(AM169="",900+COUNTIFS($A$29:A169,A169,$O$29:O169,"Price ≤ $5"),AM169))</f>
        <v>4902</v>
      </c>
    </row>
    <row r="170" customFormat="false" ht="41.75" hidden="false" customHeight="false" outlineLevel="0" collapsed="false">
      <c r="A170" s="15" t="s">
        <v>192</v>
      </c>
      <c r="B170" s="15" t="s">
        <v>869</v>
      </c>
      <c r="C170" s="16" t="s">
        <v>870</v>
      </c>
      <c r="D170" s="17" t="n">
        <f aca="false">IF(W170&gt;0,ROUND(AVERAGEIFS('Shortlisted Drugs X Company (7)'!$N$3:$N$698,'Shortlisted Drugs X Company (7)'!$C$3:$C$698,$B170,'Shortlisted Drugs X Company (7)'!$E$3:$E$698,$S170,'Shortlisted Drugs X Company (7)'!$N$3:$N$698,"&gt;5"),2),"")</f>
        <v>9.12</v>
      </c>
      <c r="E170" s="15" t="str">
        <f aca="false">IF(COUNTIFS('Shortlisted Drugs X Company (7)'!$C$3:$C$698,$B170,'Shortlisted Drugs X Company (7)'!$E$3:$E$698,$S170,'Shortlisted Drugs X Company (7)'!$P$3:$P$698,"Exact")&gt;0,"Exact",IF(COUNTIFS('Shortlisted Drugs X Company (7)'!$C$3:$C$698,$B170,'Shortlisted Drugs X Company (7)'!$E$3:$E$698,$S170,'Shortlisted Drugs X Company (7)'!$P$3:$P$698,"Same-market proxy")&gt;0,"Same-market proxy",IF(COUNTIFS('Shortlisted Drugs X Company (7)'!$C$3:$C$698,$B170,'Shortlisted Drugs X Company (7)'!$E$3:$E$698,$S170,'Shortlisted Drugs X Company (7)'!$P$3:$P$698,"Cross-market proxy")&gt;0,"Cross-market proxy",IF(COUNTIFS('Shortlisted Drugs X Company (7)'!$C$3:$C$698,$B170,'Shortlisted Drugs X Company (7)'!$E$3:$E$698,$S170,'Shortlisted Drugs X Company (7)'!$P$3:$P$698,"Source not found")&gt;0,"Source not found","Not priced"))))</f>
        <v>Same-market proxy</v>
      </c>
      <c r="F170" s="18" t="n">
        <f aca="false">IFERROR(ROUND(INDEX('Injectable Value'!$AA$28:$AA$178,MATCH(B170,'Injectable Value'!$A$28:$A$178,0)),1),"")</f>
        <v>12210.4</v>
      </c>
      <c r="G170" s="16" t="s">
        <v>247</v>
      </c>
      <c r="H170" s="14" t="n">
        <v>1</v>
      </c>
      <c r="I170" s="15" t="s">
        <v>248</v>
      </c>
      <c r="J170" s="15" t="s">
        <v>284</v>
      </c>
      <c r="K170" s="16" t="str">
        <f aca="false">""&amp;IF(V170=0,"Unpriced","")&amp;IF(AND(V170&gt;0,W170=0,X170=0),"Low price from another market – confirm with company","")</f>
        <v/>
      </c>
      <c r="L170" s="18" t="n">
        <f aca="false">IFERROR(INDEX('Shortlisted Drugs X Company (7)'!$K$3:$K$698,MATCH(B170,'Shortlisted Drugs X Company (7)'!$C$3:$C$698,0)),"")</f>
        <v>160</v>
      </c>
      <c r="M170" s="18" t="n">
        <f aca="false">IFERROR(ROUND(L170*INDEX('Injectable Value'!$Z$28:$Z$178,MATCH(B170,'Injectable Value'!$A$28:$A$178,0)),0),"")</f>
        <v>116</v>
      </c>
      <c r="N170" s="18" t="n">
        <f aca="false">IFERROR(INDEX('Shortlisted Drugs X Company (7)'!$L$3:$L$698,MATCH(B170,'Shortlisted Drugs X Company (7)'!$C$3:$C$698,0)),"")</f>
        <v>16781.35</v>
      </c>
      <c r="O170" s="15" t="str">
        <f aca="false">IF(AE170="No","IV only (not ID/IM/SC)",IF(AND(V170&gt;0,W170=0),"Price ≤ $5",""))</f>
        <v/>
      </c>
      <c r="P170" s="14" t="n">
        <f aca="false">IF(O170&lt;&gt;"","",COUNTIFS($A$29:$A$361,A170,$O$29:$O$361,"",$AC$29:$AC$361,"&gt;"&amp;AC170)+COUNTIFS($A$29:A170,A170,$O$29:O170,"",$AC$29:AC170,AC170))</f>
        <v>9</v>
      </c>
      <c r="Q170" s="15" t="str">
        <f aca="false">IF(O170&lt;&gt;"",IF(O170="Price ≤ $5","Excluded – price ≤ $5","Excluded – IV only"),IF(ISNUMBER(D170),IF(AND(D170&gt;=$C$3,M170&gt;=$E$3),"Priority 1",IF(OR(D170&gt;=$C$3,M170&gt;=$E$3),"Priority 2","Priority 3")),IF(M170&gt;=$E$3,"Priority 2","Priority 3")))</f>
        <v>Priority 3</v>
      </c>
      <c r="R170" s="16" t="s">
        <v>285</v>
      </c>
      <c r="S170" s="15" t="s">
        <v>838</v>
      </c>
      <c r="T170" s="32" t="s">
        <v>871</v>
      </c>
      <c r="U170" s="33" t="str">
        <f aca="false">B170&amp;"|"&amp;S170</f>
        <v>Magnesium Sulfate|Hetero Labs</v>
      </c>
      <c r="V170" s="34" t="n">
        <f aca="false">COUNTIFS('Shortlisted Drugs X Company (7)'!$C$3:$C$698,$B170,'Shortlisted Drugs X Company (7)'!$E$3:$E$698,$S170,'Shortlisted Drugs X Company (7)'!$N$3:$N$698,"&gt;=0")</f>
        <v>1</v>
      </c>
      <c r="W170" s="34" t="n">
        <f aca="false">COUNTIFS('Shortlisted Drugs X Company (7)'!$C$3:$C$698,$B170,'Shortlisted Drugs X Company (7)'!$E$3:$E$698,$S170,'Shortlisted Drugs X Company (7)'!$N$3:$N$698,"&gt;5")</f>
        <v>1</v>
      </c>
      <c r="X170" s="34" t="n">
        <f aca="false">COUNTIFS('Shortlisted Drugs X Company (7)'!$C$3:$C$698,$B170,'Shortlisted Drugs X Company (7)'!$E$3:$E$698,$S170,'Shortlisted Drugs X Company (7)'!$P$3:$P$698,"Exact")+COUNTIFS('Shortlisted Drugs X Company (7)'!$C$3:$C$698,$B170,'Shortlisted Drugs X Company (7)'!$E$3:$E$698,$S170,'Shortlisted Drugs X Company (7)'!$P$3:$P$698,"Same-market proxy")</f>
        <v>1</v>
      </c>
      <c r="Y170" s="33" t="str">
        <f aca="false">A170&amp;"|"&amp;P170</f>
        <v>Hetero|9</v>
      </c>
      <c r="Z170" s="16" t="s">
        <v>872</v>
      </c>
      <c r="AA170" s="33" t="n">
        <f aca="false">INDEX($G$7:$G$25,MATCH(A170,$A$7:$A$25,0))</f>
        <v>9</v>
      </c>
      <c r="AB170" s="33" t="n">
        <f aca="false">IF(AE170="No","",AA170*1000+IF(P170="",900+COUNTIFS($A$29:A170,A170,$O$29:O170,"Price ≤ $5"),P170))</f>
        <v>9009</v>
      </c>
      <c r="AC170" s="33" t="n">
        <f aca="false">IF(O170&lt;&gt;"","",(4-VALUE(RIGHT(Q170,1)))*10^7+N(F170))</f>
        <v>10012210.4</v>
      </c>
      <c r="AD170" s="15" t="str">
        <f aca="false">IFERROR(INDEX('Route of Administration'!$C$5:$C$155,MATCH(B170,'Route of Administration'!$A$5:$A$155,0)),"")</f>
        <v>IV, IM</v>
      </c>
      <c r="AE170" s="14" t="str">
        <f aca="false">IFERROR(INDEX('Route of Administration'!$D$5:$D$155,MATCH(B170,'Route of Administration'!$A$5:$A$155,0)),"")</f>
        <v>Yes</v>
      </c>
      <c r="AF170" s="19" t="n">
        <f aca="false">IF(V170&gt;0,ROUND(AVERAGEIFS('Shortlisted Drugs X Company (7)'!$N$3:$N$698,'Shortlisted Drugs X Company (7)'!$C$3:$C$698,$B170,'Shortlisted Drugs X Company (7)'!$E$3:$E$698,$S170,'Shortlisted Drugs X Company (7)'!$N$3:$N$698,"&gt;=0"),2),"")</f>
        <v>9.12</v>
      </c>
      <c r="AG170" s="16" t="s">
        <v>869</v>
      </c>
      <c r="AH170" s="16" t="s">
        <v>247</v>
      </c>
      <c r="AI170" s="16" t="s">
        <v>247</v>
      </c>
      <c r="AJ170" s="16" t="str">
        <f aca="false">IF(O170&lt;&gt;"","",IF(ISNUMBER(D170),IF(D170&gt;=$C$3,"High price","Lower price"),"Unpriced")&amp;" · "&amp;IF(M170&gt;=$E$3,"high volume","lower volume"))</f>
        <v>Lower price · lower volume</v>
      </c>
      <c r="AK170" s="15" t="str">
        <f aca="false">IF(O170&lt;&gt;"",IF(O170="Price ≤ $5","Excluded – price ≤ $5","Excluded – IV only"),IF(ISNUMBER(D170),IF(AND(D170&gt;=$C$3,L170&gt;=$H$3),"Priority 1",IF(OR(D170&gt;=$C$3,L170&gt;=$H$3),"Priority 2","Priority 3")),IF(L170&gt;=$H$3,"Priority 2","Priority 3")))</f>
        <v>Priority 3</v>
      </c>
      <c r="AL170" s="16" t="str">
        <f aca="false">IF(O170&lt;&gt;"","",IF(ISNUMBER(D170),IF(D170&gt;=$C$3,"High price","Lower price"),"Unpriced")&amp;" · "&amp;IF(L170&gt;=$H$3,"high volume","lower volume"))</f>
        <v>Lower price · lower volume</v>
      </c>
      <c r="AM170" s="14" t="n">
        <f aca="false">IF(O170&lt;&gt;"","",COUNTIFS($A$29:$A$361,A170,$O$29:$O$361,"",$AQ$29:$AQ$361,"&gt;"&amp;AQ170)+COUNTIFS($A$29:A170,A170,$O$29:O170,"",$AQ$29:AQ170,AQ170))</f>
        <v>10</v>
      </c>
      <c r="AN170" s="19" t="n">
        <f aca="false">IF(AND(O170="",ISNUMBER(D170)),D170,"")</f>
        <v>9.12</v>
      </c>
      <c r="AO170" s="20" t="n">
        <f aca="false">IF(O170="",M170,"")</f>
        <v>116</v>
      </c>
      <c r="AP170" s="20" t="n">
        <f aca="false">IF(O170="",L170,"")</f>
        <v>160</v>
      </c>
      <c r="AQ170" s="33" t="n">
        <f aca="false">IF(O170&lt;&gt;"","",(4-VALUE(RIGHT(AK170,1)))*10^7+N(N170))</f>
        <v>10016781.35</v>
      </c>
      <c r="AR170" s="33" t="n">
        <f aca="false">INDEX($O$7:$O$25,MATCH(A170,$I$7:$I$25,0))</f>
        <v>4</v>
      </c>
      <c r="AS170" s="33" t="n">
        <f aca="false">IF(AE170="No","",AR170*1000+IF(AM170="",900+COUNTIFS($A$29:A170,A170,$O$29:O170,"Price ≤ $5"),AM170))</f>
        <v>4010</v>
      </c>
    </row>
    <row r="171" customFormat="false" ht="28.35" hidden="false" customHeight="false" outlineLevel="0" collapsed="false">
      <c r="A171" s="15" t="s">
        <v>192</v>
      </c>
      <c r="B171" s="15" t="s">
        <v>444</v>
      </c>
      <c r="C171" s="16" t="s">
        <v>445</v>
      </c>
      <c r="D171" s="17" t="n">
        <f aca="false">IF(W171&gt;0,ROUND(AVERAGEIFS('Shortlisted Drugs X Company (7)'!$N$3:$N$698,'Shortlisted Drugs X Company (7)'!$C$3:$C$698,$B171,'Shortlisted Drugs X Company (7)'!$E$3:$E$698,$S171,'Shortlisted Drugs X Company (7)'!$N$3:$N$698,"&gt;5"),2),"")</f>
        <v>92.74</v>
      </c>
      <c r="E171" s="15" t="str">
        <f aca="false">IF(COUNTIFS('Shortlisted Drugs X Company (7)'!$C$3:$C$698,$B171,'Shortlisted Drugs X Company (7)'!$E$3:$E$698,$S171,'Shortlisted Drugs X Company (7)'!$P$3:$P$698,"Exact")&gt;0,"Exact",IF(COUNTIFS('Shortlisted Drugs X Company (7)'!$C$3:$C$698,$B171,'Shortlisted Drugs X Company (7)'!$E$3:$E$698,$S171,'Shortlisted Drugs X Company (7)'!$P$3:$P$698,"Same-market proxy")&gt;0,"Same-market proxy",IF(COUNTIFS('Shortlisted Drugs X Company (7)'!$C$3:$C$698,$B171,'Shortlisted Drugs X Company (7)'!$E$3:$E$698,$S171,'Shortlisted Drugs X Company (7)'!$P$3:$P$698,"Cross-market proxy")&gt;0,"Cross-market proxy",IF(COUNTIFS('Shortlisted Drugs X Company (7)'!$C$3:$C$698,$B171,'Shortlisted Drugs X Company (7)'!$E$3:$E$698,$S171,'Shortlisted Drugs X Company (7)'!$P$3:$P$698,"Source not found")&gt;0,"Source not found","Not priced"))))</f>
        <v>Exact</v>
      </c>
      <c r="F171" s="18" t="n">
        <f aca="false">IFERROR(ROUND(INDEX('Injectable Value'!$AA$28:$AA$178,MATCH(B171,'Injectable Value'!$A$28:$A$178,0)),1),"")</f>
        <v>2886</v>
      </c>
      <c r="G171" s="16" t="s">
        <v>855</v>
      </c>
      <c r="H171" s="14" t="n">
        <v>5</v>
      </c>
      <c r="I171" s="15" t="s">
        <v>248</v>
      </c>
      <c r="J171" s="15" t="s">
        <v>249</v>
      </c>
      <c r="K171" s="16" t="str">
        <f aca="false">"Cancer drug (cytotoxic) – less relevant; Reconstitution"&amp;IF(V171=0,"; Unpriced","")&amp;IF(AND(V171&gt;0,W171=0,X171=0),"; Low price from another market – confirm with company","")</f>
        <v>Cancer drug (cytotoxic) – less relevant; Reconstitution</v>
      </c>
      <c r="L171" s="18" t="n">
        <f aca="false">IFERROR(INDEX('Shortlisted Drugs X Company (7)'!$K$3:$K$698,MATCH(B171,'Shortlisted Drugs X Company (7)'!$C$3:$C$698,0)),"")</f>
        <v>257</v>
      </c>
      <c r="M171" s="18" t="n">
        <f aca="false">IFERROR(ROUND(L171*INDEX('Injectable Value'!$Z$28:$Z$178,MATCH(B171,'Injectable Value'!$A$28:$A$178,0)),0),"")</f>
        <v>177</v>
      </c>
      <c r="N171" s="18" t="n">
        <f aca="false">IFERROR(INDEX('Shortlisted Drugs X Company (7)'!$L$3:$L$698,MATCH(B171,'Shortlisted Drugs X Company (7)'!$C$3:$C$698,0)),"")</f>
        <v>4183.29</v>
      </c>
      <c r="O171" s="15" t="str">
        <f aca="false">IF(AE171="No","IV only (not ID/IM/SC)",IF(AND(V171&gt;0,W171=0),"Price ≤ $5",""))</f>
        <v>IV only (not ID/IM/SC)</v>
      </c>
      <c r="P171" s="14" t="str">
        <f aca="false">IF(O171&lt;&gt;"","",COUNTIFS($A$29:$A$361,A171,$O$29:$O$361,"",$AC$29:$AC$361,"&gt;"&amp;AC171)+COUNTIFS($A$29:A171,A171,$O$29:O171,"",$AC$29:AC171,AC171))</f>
        <v/>
      </c>
      <c r="Q171" s="15" t="str">
        <f aca="false">IF(O171&lt;&gt;"",IF(O171="Price ≤ $5","Excluded – price ≤ $5","Excluded – IV only"),IF(ISNUMBER(D171),IF(AND(D171&gt;=$C$3,M171&gt;=$E$3),"Priority 1",IF(OR(D171&gt;=$C$3,M171&gt;=$E$3),"Priority 2","Priority 3")),IF(M171&gt;=$E$3,"Priority 2","Priority 3")))</f>
        <v>Excluded – IV only</v>
      </c>
      <c r="R171" s="16" t="s">
        <v>250</v>
      </c>
      <c r="S171" s="15" t="s">
        <v>838</v>
      </c>
      <c r="T171" s="32" t="s">
        <v>447</v>
      </c>
      <c r="U171" s="33" t="str">
        <f aca="false">B171&amp;"|"&amp;S171</f>
        <v>Melphalan|Hetero Labs</v>
      </c>
      <c r="V171" s="34" t="n">
        <f aca="false">COUNTIFS('Shortlisted Drugs X Company (7)'!$C$3:$C$698,$B171,'Shortlisted Drugs X Company (7)'!$E$3:$E$698,$S171,'Shortlisted Drugs X Company (7)'!$N$3:$N$698,"&gt;=0")</f>
        <v>3</v>
      </c>
      <c r="W171" s="34" t="n">
        <f aca="false">COUNTIFS('Shortlisted Drugs X Company (7)'!$C$3:$C$698,$B171,'Shortlisted Drugs X Company (7)'!$E$3:$E$698,$S171,'Shortlisted Drugs X Company (7)'!$N$3:$N$698,"&gt;5")</f>
        <v>3</v>
      </c>
      <c r="X171" s="34" t="n">
        <f aca="false">COUNTIFS('Shortlisted Drugs X Company (7)'!$C$3:$C$698,$B171,'Shortlisted Drugs X Company (7)'!$E$3:$E$698,$S171,'Shortlisted Drugs X Company (7)'!$P$3:$P$698,"Exact")+COUNTIFS('Shortlisted Drugs X Company (7)'!$C$3:$C$698,$B171,'Shortlisted Drugs X Company (7)'!$E$3:$E$698,$S171,'Shortlisted Drugs X Company (7)'!$P$3:$P$698,"Same-market proxy")</f>
        <v>2</v>
      </c>
      <c r="Y171" s="33" t="str">
        <f aca="false">A171&amp;"|"&amp;P171</f>
        <v>Hetero|</v>
      </c>
      <c r="Z171" s="16" t="s">
        <v>448</v>
      </c>
      <c r="AA171" s="33" t="n">
        <f aca="false">INDEX($G$7:$G$25,MATCH(A171,$A$7:$A$25,0))</f>
        <v>9</v>
      </c>
      <c r="AB171" s="33" t="str">
        <f aca="false">IF(AE171="No","",AA171*1000+IF(P171="",900+COUNTIFS($A$29:A171,A171,$O$29:O171,"Price ≤ $5"),P171))</f>
        <v/>
      </c>
      <c r="AC171" s="33" t="str">
        <f aca="false">IF(O171&lt;&gt;"","",(4-VALUE(RIGHT(Q171,1)))*10^7+N(F171))</f>
        <v/>
      </c>
      <c r="AD171" s="15" t="str">
        <f aca="false">IFERROR(INDEX('Route of Administration'!$C$5:$C$155,MATCH(B171,'Route of Administration'!$A$5:$A$155,0)),"")</f>
        <v>IV</v>
      </c>
      <c r="AE171" s="14" t="str">
        <f aca="false">IFERROR(INDEX('Route of Administration'!$D$5:$D$155,MATCH(B171,'Route of Administration'!$A$5:$A$155,0)),"")</f>
        <v>No</v>
      </c>
      <c r="AF171" s="19" t="n">
        <f aca="false">IF(V171&gt;0,ROUND(AVERAGEIFS('Shortlisted Drugs X Company (7)'!$N$3:$N$698,'Shortlisted Drugs X Company (7)'!$C$3:$C$698,$B171,'Shortlisted Drugs X Company (7)'!$E$3:$E$698,$S171,'Shortlisted Drugs X Company (7)'!$N$3:$N$698,"&gt;=0"),2),"")</f>
        <v>92.74</v>
      </c>
      <c r="AG171" s="16" t="s">
        <v>873</v>
      </c>
      <c r="AH171" s="16" t="s">
        <v>857</v>
      </c>
      <c r="AI171" s="16" t="s">
        <v>857</v>
      </c>
      <c r="AJ171" s="16" t="str">
        <f aca="false">IF(O171&lt;&gt;"","",IF(ISNUMBER(D171),IF(D171&gt;=$C$3,"High price","Lower price"),"Unpriced")&amp;" · "&amp;IF(M171&gt;=$E$3,"high volume","lower volume"))</f>
        <v/>
      </c>
      <c r="AK171" s="15" t="str">
        <f aca="false">IF(O171&lt;&gt;"",IF(O171="Price ≤ $5","Excluded – price ≤ $5","Excluded – IV only"),IF(ISNUMBER(D171),IF(AND(D171&gt;=$C$3,L171&gt;=$H$3),"Priority 1",IF(OR(D171&gt;=$C$3,L171&gt;=$H$3),"Priority 2","Priority 3")),IF(L171&gt;=$H$3,"Priority 2","Priority 3")))</f>
        <v>Excluded – IV only</v>
      </c>
      <c r="AL171" s="16" t="str">
        <f aca="false">IF(O171&lt;&gt;"","",IF(ISNUMBER(D171),IF(D171&gt;=$C$3,"High price","Lower price"),"Unpriced")&amp;" · "&amp;IF(L171&gt;=$H$3,"high volume","lower volume"))</f>
        <v/>
      </c>
      <c r="AM171" s="14" t="str">
        <f aca="false">IF(O171&lt;&gt;"","",COUNTIFS($A$29:$A$361,A171,$O$29:$O$361,"",$AQ$29:$AQ$361,"&gt;"&amp;AQ171)+COUNTIFS($A$29:A171,A171,$O$29:O171,"",$AQ$29:AQ171,AQ171))</f>
        <v/>
      </c>
      <c r="AN171" s="33" t="str">
        <f aca="false">IF(AND(O171="",ISNUMBER(D171)),D171,"")</f>
        <v/>
      </c>
      <c r="AO171" s="33" t="str">
        <f aca="false">IF(O171="",M171,"")</f>
        <v/>
      </c>
      <c r="AP171" s="33" t="str">
        <f aca="false">IF(O171="",L171,"")</f>
        <v/>
      </c>
      <c r="AQ171" s="33" t="str">
        <f aca="false">IF(O171&lt;&gt;"","",(4-VALUE(RIGHT(AK171,1)))*10^7+N(N171))</f>
        <v/>
      </c>
      <c r="AR171" s="33" t="n">
        <f aca="false">INDEX($O$7:$O$25,MATCH(A171,$I$7:$I$25,0))</f>
        <v>4</v>
      </c>
      <c r="AS171" s="33" t="str">
        <f aca="false">IF(AE171="No","",AR171*1000+IF(AM171="",900+COUNTIFS($A$29:A171,A171,$O$29:O171,"Price ≤ $5"),AM171))</f>
        <v/>
      </c>
    </row>
    <row r="172" customFormat="false" ht="55.2" hidden="false" customHeight="false" outlineLevel="0" collapsed="false">
      <c r="A172" s="15" t="s">
        <v>192</v>
      </c>
      <c r="B172" s="15" t="s">
        <v>266</v>
      </c>
      <c r="C172" s="16" t="s">
        <v>267</v>
      </c>
      <c r="D172" s="17" t="n">
        <f aca="false">IF(W172&gt;0,ROUND(AVERAGEIFS('Shortlisted Drugs X Company (7)'!$N$3:$N$698,'Shortlisted Drugs X Company (7)'!$C$3:$C$698,$B172,'Shortlisted Drugs X Company (7)'!$E$3:$E$698,$S172,'Shortlisted Drugs X Company (7)'!$N$3:$N$698,"&gt;5"),2),"")</f>
        <v>7.15</v>
      </c>
      <c r="E172" s="15" t="str">
        <f aca="false">IF(COUNTIFS('Shortlisted Drugs X Company (7)'!$C$3:$C$698,$B172,'Shortlisted Drugs X Company (7)'!$E$3:$E$698,$S172,'Shortlisted Drugs X Company (7)'!$P$3:$P$698,"Exact")&gt;0,"Exact",IF(COUNTIFS('Shortlisted Drugs X Company (7)'!$C$3:$C$698,$B172,'Shortlisted Drugs X Company (7)'!$E$3:$E$698,$S172,'Shortlisted Drugs X Company (7)'!$P$3:$P$698,"Same-market proxy")&gt;0,"Same-market proxy",IF(COUNTIFS('Shortlisted Drugs X Company (7)'!$C$3:$C$698,$B172,'Shortlisted Drugs X Company (7)'!$E$3:$E$698,$S172,'Shortlisted Drugs X Company (7)'!$P$3:$P$698,"Cross-market proxy")&gt;0,"Cross-market proxy",IF(COUNTIFS('Shortlisted Drugs X Company (7)'!$C$3:$C$698,$B172,'Shortlisted Drugs X Company (7)'!$E$3:$E$698,$S172,'Shortlisted Drugs X Company (7)'!$P$3:$P$698,"Source not found")&gt;0,"Source not found","Not priced"))))</f>
        <v>Same-market proxy</v>
      </c>
      <c r="F172" s="18" t="n">
        <f aca="false">IFERROR(ROUND(INDEX('Injectable Value'!$AA$28:$AA$178,MATCH(B172,'Injectable Value'!$A$28:$A$178,0)),1),"")</f>
        <v>13045.6</v>
      </c>
      <c r="G172" s="16" t="s">
        <v>247</v>
      </c>
      <c r="H172" s="14" t="n">
        <v>1</v>
      </c>
      <c r="I172" s="15" t="s">
        <v>277</v>
      </c>
      <c r="J172" s="15" t="s">
        <v>249</v>
      </c>
      <c r="K172" s="16" t="str">
        <f aca="false">"Cancer drug (cytotoxic) – less relevant"&amp;IF(V172=0,"; Unpriced","")&amp;IF(AND(V172&gt;0,W172=0,X172=0),"; Low price from another market – confirm with company","")</f>
        <v>Cancer drug (cytotoxic) – less relevant</v>
      </c>
      <c r="L172" s="18" t="n">
        <f aca="false">IFERROR(INDEX('Shortlisted Drugs X Company (7)'!$K$3:$K$698,MATCH(B172,'Shortlisted Drugs X Company (7)'!$C$3:$C$698,0)),"")</f>
        <v>1282</v>
      </c>
      <c r="M172" s="18" t="n">
        <f aca="false">IFERROR(ROUND(L172*INDEX('Injectable Value'!$Z$28:$Z$178,MATCH(B172,'Injectable Value'!$A$28:$A$178,0)),0),"")</f>
        <v>996</v>
      </c>
      <c r="N172" s="18" t="n">
        <f aca="false">IFERROR(INDEX('Shortlisted Drugs X Company (7)'!$L$3:$L$698,MATCH(B172,'Shortlisted Drugs X Company (7)'!$C$3:$C$698,0)),"")</f>
        <v>16792.84</v>
      </c>
      <c r="O172" s="15" t="str">
        <f aca="false">IF(AE172="No","IV only (not ID/IM/SC)",IF(AND(V172&gt;0,W172=0),"Price ≤ $5",""))</f>
        <v/>
      </c>
      <c r="P172" s="14" t="n">
        <f aca="false">IF(O172&lt;&gt;"","",COUNTIFS($A$29:$A$361,A172,$O$29:$O$361,"",$AC$29:$AC$361,"&gt;"&amp;AC172)+COUNTIFS($A$29:A172,A172,$O$29:O172,"",$AC$29:AC172,AC172))</f>
        <v>3</v>
      </c>
      <c r="Q172" s="15" t="str">
        <f aca="false">IF(O172&lt;&gt;"",IF(O172="Price ≤ $5","Excluded – price ≤ $5","Excluded – IV only"),IF(ISNUMBER(D172),IF(AND(D172&gt;=$C$3,M172&gt;=$E$3),"Priority 1",IF(OR(D172&gt;=$C$3,M172&gt;=$E$3),"Priority 2","Priority 3")),IF(M172&gt;=$E$3,"Priority 2","Priority 3")))</f>
        <v>Priority 2</v>
      </c>
      <c r="R172" s="16" t="s">
        <v>278</v>
      </c>
      <c r="S172" s="15" t="s">
        <v>838</v>
      </c>
      <c r="T172" s="32" t="s">
        <v>268</v>
      </c>
      <c r="U172" s="33" t="str">
        <f aca="false">B172&amp;"|"&amp;S172</f>
        <v>Methotrexate|Hetero Labs</v>
      </c>
      <c r="V172" s="34" t="n">
        <f aca="false">COUNTIFS('Shortlisted Drugs X Company (7)'!$C$3:$C$698,$B172,'Shortlisted Drugs X Company (7)'!$E$3:$E$698,$S172,'Shortlisted Drugs X Company (7)'!$N$3:$N$698,"&gt;=0")</f>
        <v>1</v>
      </c>
      <c r="W172" s="34" t="n">
        <f aca="false">COUNTIFS('Shortlisted Drugs X Company (7)'!$C$3:$C$698,$B172,'Shortlisted Drugs X Company (7)'!$E$3:$E$698,$S172,'Shortlisted Drugs X Company (7)'!$N$3:$N$698,"&gt;5")</f>
        <v>1</v>
      </c>
      <c r="X172" s="34" t="n">
        <f aca="false">COUNTIFS('Shortlisted Drugs X Company (7)'!$C$3:$C$698,$B172,'Shortlisted Drugs X Company (7)'!$E$3:$E$698,$S172,'Shortlisted Drugs X Company (7)'!$P$3:$P$698,"Exact")+COUNTIFS('Shortlisted Drugs X Company (7)'!$C$3:$C$698,$B172,'Shortlisted Drugs X Company (7)'!$E$3:$E$698,$S172,'Shortlisted Drugs X Company (7)'!$P$3:$P$698,"Same-market proxy")</f>
        <v>1</v>
      </c>
      <c r="Y172" s="33" t="str">
        <f aca="false">A172&amp;"|"&amp;P172</f>
        <v>Hetero|3</v>
      </c>
      <c r="Z172" s="16" t="s">
        <v>874</v>
      </c>
      <c r="AA172" s="33" t="n">
        <f aca="false">INDEX($G$7:$G$25,MATCH(A172,$A$7:$A$25,0))</f>
        <v>9</v>
      </c>
      <c r="AB172" s="33" t="n">
        <f aca="false">IF(AE172="No","",AA172*1000+IF(P172="",900+COUNTIFS($A$29:A172,A172,$O$29:O172,"Price ≤ $5"),P172))</f>
        <v>9003</v>
      </c>
      <c r="AC172" s="33" t="n">
        <f aca="false">IF(O172&lt;&gt;"","",(4-VALUE(RIGHT(Q172,1)))*10^7+N(F172))</f>
        <v>20013045.6</v>
      </c>
      <c r="AD172" s="15" t="str">
        <f aca="false">IFERROR(INDEX('Route of Administration'!$C$5:$C$155,MATCH(B172,'Route of Administration'!$A$5:$A$155,0)),"")</f>
        <v>IV, IM, SC</v>
      </c>
      <c r="AE172" s="14" t="str">
        <f aca="false">IFERROR(INDEX('Route of Administration'!$D$5:$D$155,MATCH(B172,'Route of Administration'!$A$5:$A$155,0)),"")</f>
        <v>Yes</v>
      </c>
      <c r="AF172" s="19" t="n">
        <f aca="false">IF(V172&gt;0,ROUND(AVERAGEIFS('Shortlisted Drugs X Company (7)'!$N$3:$N$698,'Shortlisted Drugs X Company (7)'!$C$3:$C$698,$B172,'Shortlisted Drugs X Company (7)'!$E$3:$E$698,$S172,'Shortlisted Drugs X Company (7)'!$N$3:$N$698,"&gt;=0"),2),"")</f>
        <v>7.15</v>
      </c>
      <c r="AG172" s="16" t="s">
        <v>270</v>
      </c>
      <c r="AH172" s="16" t="s">
        <v>247</v>
      </c>
      <c r="AI172" s="16" t="s">
        <v>247</v>
      </c>
      <c r="AJ172" s="16" t="str">
        <f aca="false">IF(O172&lt;&gt;"","",IF(ISNUMBER(D172),IF(D172&gt;=$C$3,"High price","Lower price"),"Unpriced")&amp;" · "&amp;IF(M172&gt;=$E$3,"high volume","lower volume"))</f>
        <v>Lower price · high volume</v>
      </c>
      <c r="AK172" s="15" t="str">
        <f aca="false">IF(O172&lt;&gt;"",IF(O172="Price ≤ $5","Excluded – price ≤ $5","Excluded – IV only"),IF(ISNUMBER(D172),IF(AND(D172&gt;=$C$3,L172&gt;=$H$3),"Priority 1",IF(OR(D172&gt;=$C$3,L172&gt;=$H$3),"Priority 2","Priority 3")),IF(L172&gt;=$H$3,"Priority 2","Priority 3")))</f>
        <v>Priority 2</v>
      </c>
      <c r="AL172" s="16" t="str">
        <f aca="false">IF(O172&lt;&gt;"","",IF(ISNUMBER(D172),IF(D172&gt;=$C$3,"High price","Lower price"),"Unpriced")&amp;" · "&amp;IF(L172&gt;=$H$3,"high volume","lower volume"))</f>
        <v>Lower price · high volume</v>
      </c>
      <c r="AM172" s="14" t="n">
        <f aca="false">IF(O172&lt;&gt;"","",COUNTIFS($A$29:$A$361,A172,$O$29:$O$361,"",$AQ$29:$AQ$361,"&gt;"&amp;AQ172)+COUNTIFS($A$29:A172,A172,$O$29:O172,"",$AQ$29:AQ172,AQ172))</f>
        <v>4</v>
      </c>
      <c r="AN172" s="19" t="n">
        <f aca="false">IF(AND(O172="",ISNUMBER(D172)),D172,"")</f>
        <v>7.15</v>
      </c>
      <c r="AO172" s="20" t="n">
        <f aca="false">IF(O172="",M172,"")</f>
        <v>996</v>
      </c>
      <c r="AP172" s="20" t="n">
        <f aca="false">IF(O172="",L172,"")</f>
        <v>1282</v>
      </c>
      <c r="AQ172" s="33" t="n">
        <f aca="false">IF(O172&lt;&gt;"","",(4-VALUE(RIGHT(AK172,1)))*10^7+N(N172))</f>
        <v>20016792.84</v>
      </c>
      <c r="AR172" s="33" t="n">
        <f aca="false">INDEX($O$7:$O$25,MATCH(A172,$I$7:$I$25,0))</f>
        <v>4</v>
      </c>
      <c r="AS172" s="33" t="n">
        <f aca="false">IF(AE172="No","",AR172*1000+IF(AM172="",900+COUNTIFS($A$29:A172,A172,$O$29:O172,"Price ≤ $5"),AM172))</f>
        <v>4004</v>
      </c>
    </row>
    <row r="173" customFormat="false" ht="28.35" hidden="false" customHeight="false" outlineLevel="0" collapsed="false">
      <c r="A173" s="15" t="s">
        <v>192</v>
      </c>
      <c r="B173" s="15" t="s">
        <v>498</v>
      </c>
      <c r="C173" s="16" t="s">
        <v>499</v>
      </c>
      <c r="D173" s="17" t="n">
        <f aca="false">IF(W173&gt;0,ROUND(AVERAGEIFS('Shortlisted Drugs X Company (7)'!$N$3:$N$698,'Shortlisted Drugs X Company (7)'!$C$3:$C$698,$B173,'Shortlisted Drugs X Company (7)'!$E$3:$E$698,$S173,'Shortlisted Drugs X Company (7)'!$N$3:$N$698,"&gt;5"),2),"")</f>
        <v>13.99</v>
      </c>
      <c r="E173" s="15" t="str">
        <f aca="false">IF(COUNTIFS('Shortlisted Drugs X Company (7)'!$C$3:$C$698,$B173,'Shortlisted Drugs X Company (7)'!$E$3:$E$698,$S173,'Shortlisted Drugs X Company (7)'!$P$3:$P$698,"Exact")&gt;0,"Exact",IF(COUNTIFS('Shortlisted Drugs X Company (7)'!$C$3:$C$698,$B173,'Shortlisted Drugs X Company (7)'!$E$3:$E$698,$S173,'Shortlisted Drugs X Company (7)'!$P$3:$P$698,"Same-market proxy")&gt;0,"Same-market proxy",IF(COUNTIFS('Shortlisted Drugs X Company (7)'!$C$3:$C$698,$B173,'Shortlisted Drugs X Company (7)'!$E$3:$E$698,$S173,'Shortlisted Drugs X Company (7)'!$P$3:$P$698,"Cross-market proxy")&gt;0,"Cross-market proxy",IF(COUNTIFS('Shortlisted Drugs X Company (7)'!$C$3:$C$698,$B173,'Shortlisted Drugs X Company (7)'!$E$3:$E$698,$S173,'Shortlisted Drugs X Company (7)'!$P$3:$P$698,"Source not found")&gt;0,"Source not found","Not priced"))))</f>
        <v>Exact</v>
      </c>
      <c r="F173" s="18" t="n">
        <f aca="false">IFERROR(ROUND(INDEX('Injectable Value'!$AA$28:$AA$178,MATCH(B173,'Injectable Value'!$A$28:$A$178,0)),1),"")</f>
        <v>2802.1</v>
      </c>
      <c r="G173" s="16" t="s">
        <v>70</v>
      </c>
      <c r="H173" s="14" t="n">
        <v>1</v>
      </c>
      <c r="I173" s="15" t="s">
        <v>248</v>
      </c>
      <c r="J173" s="15" t="s">
        <v>249</v>
      </c>
      <c r="K173" s="16" t="str">
        <f aca="false">""&amp;IF(V173=0,"Unpriced","")&amp;IF(AND(V173&gt;0,W173=0,X173=0),"Low price from another market – confirm with company","")</f>
        <v/>
      </c>
      <c r="L173" s="18" t="n">
        <f aca="false">IFERROR(INDEX('Shortlisted Drugs X Company (7)'!$K$3:$K$698,MATCH(B173,'Shortlisted Drugs X Company (7)'!$C$3:$C$698,0)),"")</f>
        <v>119</v>
      </c>
      <c r="M173" s="18" t="n">
        <f aca="false">IFERROR(ROUND(L173*INDEX('Injectable Value'!$Z$28:$Z$178,MATCH(B173,'Injectable Value'!$A$28:$A$178,0)),0),"")</f>
        <v>107</v>
      </c>
      <c r="N173" s="18" t="n">
        <f aca="false">IFERROR(INDEX('Shortlisted Drugs X Company (7)'!$L$3:$L$698,MATCH(B173,'Shortlisted Drugs X Company (7)'!$C$3:$C$698,0)),"")</f>
        <v>3113.83</v>
      </c>
      <c r="O173" s="15" t="str">
        <f aca="false">IF(AE173="No","IV only (not ID/IM/SC)",IF(AND(V173&gt;0,W173=0),"Price ≤ $5",""))</f>
        <v>IV only (not ID/IM/SC)</v>
      </c>
      <c r="P173" s="14" t="str">
        <f aca="false">IF(O173&lt;&gt;"","",COUNTIFS($A$29:$A$361,A173,$O$29:$O$361,"",$AC$29:$AC$361,"&gt;"&amp;AC173)+COUNTIFS($A$29:A173,A173,$O$29:O173,"",$AC$29:AC173,AC173))</f>
        <v/>
      </c>
      <c r="Q173" s="15" t="str">
        <f aca="false">IF(O173&lt;&gt;"",IF(O173="Price ≤ $5","Excluded – price ≤ $5","Excluded – IV only"),IF(ISNUMBER(D173),IF(AND(D173&gt;=$C$3,M173&gt;=$E$3),"Priority 1",IF(OR(D173&gt;=$C$3,M173&gt;=$E$3),"Priority 2","Priority 3")),IF(M173&gt;=$E$3,"Priority 2","Priority 3")))</f>
        <v>Excluded – IV only</v>
      </c>
      <c r="R173" s="16" t="s">
        <v>250</v>
      </c>
      <c r="S173" s="15" t="s">
        <v>838</v>
      </c>
      <c r="T173" s="32" t="s">
        <v>500</v>
      </c>
      <c r="U173" s="33" t="str">
        <f aca="false">B173&amp;"|"&amp;S173</f>
        <v>Palonosetron|Hetero Labs</v>
      </c>
      <c r="V173" s="34" t="n">
        <f aca="false">COUNTIFS('Shortlisted Drugs X Company (7)'!$C$3:$C$698,$B173,'Shortlisted Drugs X Company (7)'!$E$3:$E$698,$S173,'Shortlisted Drugs X Company (7)'!$N$3:$N$698,"&gt;=0")</f>
        <v>1</v>
      </c>
      <c r="W173" s="34" t="n">
        <f aca="false">COUNTIFS('Shortlisted Drugs X Company (7)'!$C$3:$C$698,$B173,'Shortlisted Drugs X Company (7)'!$E$3:$E$698,$S173,'Shortlisted Drugs X Company (7)'!$N$3:$N$698,"&gt;5")</f>
        <v>1</v>
      </c>
      <c r="X173" s="34" t="n">
        <f aca="false">COUNTIFS('Shortlisted Drugs X Company (7)'!$C$3:$C$698,$B173,'Shortlisted Drugs X Company (7)'!$E$3:$E$698,$S173,'Shortlisted Drugs X Company (7)'!$P$3:$P$698,"Exact")+COUNTIFS('Shortlisted Drugs X Company (7)'!$C$3:$C$698,$B173,'Shortlisted Drugs X Company (7)'!$E$3:$E$698,$S173,'Shortlisted Drugs X Company (7)'!$P$3:$P$698,"Same-market proxy")</f>
        <v>1</v>
      </c>
      <c r="Y173" s="33" t="str">
        <f aca="false">A173&amp;"|"&amp;P173</f>
        <v>Hetero|</v>
      </c>
      <c r="Z173" s="16" t="s">
        <v>501</v>
      </c>
      <c r="AA173" s="33" t="n">
        <f aca="false">INDEX($G$7:$G$25,MATCH(A173,$A$7:$A$25,0))</f>
        <v>9</v>
      </c>
      <c r="AB173" s="33" t="str">
        <f aca="false">IF(AE173="No","",AA173*1000+IF(P173="",900+COUNTIFS($A$29:A173,A173,$O$29:O173,"Price ≤ $5"),P173))</f>
        <v/>
      </c>
      <c r="AC173" s="33" t="str">
        <f aca="false">IF(O173&lt;&gt;"","",(4-VALUE(RIGHT(Q173,1)))*10^7+N(F173))</f>
        <v/>
      </c>
      <c r="AD173" s="15" t="str">
        <f aca="false">IFERROR(INDEX('Route of Administration'!$C$5:$C$155,MATCH(B173,'Route of Administration'!$A$5:$A$155,0)),"")</f>
        <v>IV</v>
      </c>
      <c r="AE173" s="14" t="str">
        <f aca="false">IFERROR(INDEX('Route of Administration'!$D$5:$D$155,MATCH(B173,'Route of Administration'!$A$5:$A$155,0)),"")</f>
        <v>No</v>
      </c>
      <c r="AF173" s="19" t="n">
        <f aca="false">IF(V173&gt;0,ROUND(AVERAGEIFS('Shortlisted Drugs X Company (7)'!$N$3:$N$698,'Shortlisted Drugs X Company (7)'!$C$3:$C$698,$B173,'Shortlisted Drugs X Company (7)'!$E$3:$E$698,$S173,'Shortlisted Drugs X Company (7)'!$N$3:$N$698,"&gt;=0"),2),"")</f>
        <v>13.99</v>
      </c>
      <c r="AG173" s="16" t="s">
        <v>875</v>
      </c>
      <c r="AH173" s="16" t="s">
        <v>328</v>
      </c>
      <c r="AI173" s="16" t="s">
        <v>328</v>
      </c>
      <c r="AJ173" s="16" t="str">
        <f aca="false">IF(O173&lt;&gt;"","",IF(ISNUMBER(D173),IF(D173&gt;=$C$3,"High price","Lower price"),"Unpriced")&amp;" · "&amp;IF(M173&gt;=$E$3,"high volume","lower volume"))</f>
        <v/>
      </c>
      <c r="AK173" s="15" t="str">
        <f aca="false">IF(O173&lt;&gt;"",IF(O173="Price ≤ $5","Excluded – price ≤ $5","Excluded – IV only"),IF(ISNUMBER(D173),IF(AND(D173&gt;=$C$3,L173&gt;=$H$3),"Priority 1",IF(OR(D173&gt;=$C$3,L173&gt;=$H$3),"Priority 2","Priority 3")),IF(L173&gt;=$H$3,"Priority 2","Priority 3")))</f>
        <v>Excluded – IV only</v>
      </c>
      <c r="AL173" s="16" t="str">
        <f aca="false">IF(O173&lt;&gt;"","",IF(ISNUMBER(D173),IF(D173&gt;=$C$3,"High price","Lower price"),"Unpriced")&amp;" · "&amp;IF(L173&gt;=$H$3,"high volume","lower volume"))</f>
        <v/>
      </c>
      <c r="AM173" s="14" t="str">
        <f aca="false">IF(O173&lt;&gt;"","",COUNTIFS($A$29:$A$361,A173,$O$29:$O$361,"",$AQ$29:$AQ$361,"&gt;"&amp;AQ173)+COUNTIFS($A$29:A173,A173,$O$29:O173,"",$AQ$29:AQ173,AQ173))</f>
        <v/>
      </c>
      <c r="AN173" s="33" t="str">
        <f aca="false">IF(AND(O173="",ISNUMBER(D173)),D173,"")</f>
        <v/>
      </c>
      <c r="AO173" s="33" t="str">
        <f aca="false">IF(O173="",M173,"")</f>
        <v/>
      </c>
      <c r="AP173" s="33" t="str">
        <f aca="false">IF(O173="",L173,"")</f>
        <v/>
      </c>
      <c r="AQ173" s="33" t="str">
        <f aca="false">IF(O173&lt;&gt;"","",(4-VALUE(RIGHT(AK173,1)))*10^7+N(N173))</f>
        <v/>
      </c>
      <c r="AR173" s="33" t="n">
        <f aca="false">INDEX($O$7:$O$25,MATCH(A173,$I$7:$I$25,0))</f>
        <v>4</v>
      </c>
      <c r="AS173" s="33" t="str">
        <f aca="false">IF(AE173="No","",AR173*1000+IF(AM173="",900+COUNTIFS($A$29:A173,A173,$O$29:O173,"Price ≤ $5"),AM173))</f>
        <v/>
      </c>
    </row>
    <row r="174" customFormat="false" ht="41.75" hidden="false" customHeight="false" outlineLevel="0" collapsed="false">
      <c r="A174" s="15" t="s">
        <v>192</v>
      </c>
      <c r="B174" s="15" t="s">
        <v>503</v>
      </c>
      <c r="C174" s="16" t="s">
        <v>504</v>
      </c>
      <c r="D174" s="17" t="n">
        <f aca="false">IF(W174&gt;0,ROUND(AVERAGEIFS('Shortlisted Drugs X Company (7)'!$N$3:$N$698,'Shortlisted Drugs X Company (7)'!$C$3:$C$698,$B174,'Shortlisted Drugs X Company (7)'!$E$3:$E$698,$S174,'Shortlisted Drugs X Company (7)'!$N$3:$N$698,"&gt;5"),2),"")</f>
        <v>6.08</v>
      </c>
      <c r="E174" s="15" t="str">
        <f aca="false">IF(COUNTIFS('Shortlisted Drugs X Company (7)'!$C$3:$C$698,$B174,'Shortlisted Drugs X Company (7)'!$E$3:$E$698,$S174,'Shortlisted Drugs X Company (7)'!$P$3:$P$698,"Exact")&gt;0,"Exact",IF(COUNTIFS('Shortlisted Drugs X Company (7)'!$C$3:$C$698,$B174,'Shortlisted Drugs X Company (7)'!$E$3:$E$698,$S174,'Shortlisted Drugs X Company (7)'!$P$3:$P$698,"Same-market proxy")&gt;0,"Same-market proxy",IF(COUNTIFS('Shortlisted Drugs X Company (7)'!$C$3:$C$698,$B174,'Shortlisted Drugs X Company (7)'!$E$3:$E$698,$S174,'Shortlisted Drugs X Company (7)'!$P$3:$P$698,"Cross-market proxy")&gt;0,"Cross-market proxy",IF(COUNTIFS('Shortlisted Drugs X Company (7)'!$C$3:$C$698,$B174,'Shortlisted Drugs X Company (7)'!$E$3:$E$698,$S174,'Shortlisted Drugs X Company (7)'!$P$3:$P$698,"Source not found")&gt;0,"Source not found","Not priced"))))</f>
        <v>Same-market proxy</v>
      </c>
      <c r="F174" s="18" t="n">
        <f aca="false">IFERROR(ROUND(INDEX('Injectable Value'!$AA$28:$AA$178,MATCH(B174,'Injectable Value'!$A$28:$A$178,0)),1),"")</f>
        <v>35276.7</v>
      </c>
      <c r="G174" s="16" t="s">
        <v>855</v>
      </c>
      <c r="H174" s="14" t="n">
        <v>5</v>
      </c>
      <c r="I174" s="15" t="s">
        <v>248</v>
      </c>
      <c r="J174" s="15" t="s">
        <v>299</v>
      </c>
      <c r="K174" s="16" t="str">
        <f aca="false">"Reconstitution"&amp;IF(V174=0,"; Unpriced","")&amp;IF(AND(V174&gt;0,W174=0,X174=0),"; Low price from another market – confirm with company","")</f>
        <v>Reconstitution</v>
      </c>
      <c r="L174" s="18" t="n">
        <f aca="false">IFERROR(INDEX('Shortlisted Drugs X Company (7)'!$K$3:$K$698,MATCH(B174,'Shortlisted Drugs X Company (7)'!$C$3:$C$698,0)),"")</f>
        <v>3515</v>
      </c>
      <c r="M174" s="18" t="n">
        <f aca="false">IFERROR(ROUND(L174*INDEX('Injectable Value'!$Z$28:$Z$178,MATCH(B174,'Injectable Value'!$A$28:$A$178,0)),0),"")</f>
        <v>885</v>
      </c>
      <c r="N174" s="18" t="n">
        <f aca="false">IFERROR(INDEX('Shortlisted Drugs X Company (7)'!$L$3:$L$698,MATCH(B174,'Shortlisted Drugs X Company (7)'!$C$3:$C$698,0)),"")</f>
        <v>140084.73</v>
      </c>
      <c r="O174" s="15" t="str">
        <f aca="false">IF(AE174="No","IV only (not ID/IM/SC)",IF(AND(V174&gt;0,W174=0),"Price ≤ $5",""))</f>
        <v>IV only (not ID/IM/SC)</v>
      </c>
      <c r="P174" s="14" t="str">
        <f aca="false">IF(O174&lt;&gt;"","",COUNTIFS($A$29:$A$361,A174,$O$29:$O$361,"",$AC$29:$AC$361,"&gt;"&amp;AC174)+COUNTIFS($A$29:A174,A174,$O$29:O174,"",$AC$29:AC174,AC174))</f>
        <v/>
      </c>
      <c r="Q174" s="15" t="str">
        <f aca="false">IF(O174&lt;&gt;"",IF(O174="Price ≤ $5","Excluded – price ≤ $5","Excluded – IV only"),IF(ISNUMBER(D174),IF(AND(D174&gt;=$C$3,M174&gt;=$E$3),"Priority 1",IF(OR(D174&gt;=$C$3,M174&gt;=$E$3),"Priority 2","Priority 3")),IF(M174&gt;=$E$3,"Priority 2","Priority 3")))</f>
        <v>Excluded – IV only</v>
      </c>
      <c r="R174" s="16" t="s">
        <v>250</v>
      </c>
      <c r="S174" s="15" t="s">
        <v>838</v>
      </c>
      <c r="T174" s="32" t="s">
        <v>506</v>
      </c>
      <c r="U174" s="33" t="str">
        <f aca="false">B174&amp;"|"&amp;S174</f>
        <v>Pantoprazole|Hetero Labs</v>
      </c>
      <c r="V174" s="34" t="n">
        <f aca="false">COUNTIFS('Shortlisted Drugs X Company (7)'!$C$3:$C$698,$B174,'Shortlisted Drugs X Company (7)'!$E$3:$E$698,$S174,'Shortlisted Drugs X Company (7)'!$N$3:$N$698,"&gt;=0")</f>
        <v>2</v>
      </c>
      <c r="W174" s="34" t="n">
        <f aca="false">COUNTIFS('Shortlisted Drugs X Company (7)'!$C$3:$C$698,$B174,'Shortlisted Drugs X Company (7)'!$E$3:$E$698,$S174,'Shortlisted Drugs X Company (7)'!$N$3:$N$698,"&gt;5")</f>
        <v>2</v>
      </c>
      <c r="X174" s="34" t="n">
        <f aca="false">COUNTIFS('Shortlisted Drugs X Company (7)'!$C$3:$C$698,$B174,'Shortlisted Drugs X Company (7)'!$E$3:$E$698,$S174,'Shortlisted Drugs X Company (7)'!$P$3:$P$698,"Exact")+COUNTIFS('Shortlisted Drugs X Company (7)'!$C$3:$C$698,$B174,'Shortlisted Drugs X Company (7)'!$E$3:$E$698,$S174,'Shortlisted Drugs X Company (7)'!$P$3:$P$698,"Same-market proxy")</f>
        <v>1</v>
      </c>
      <c r="Y174" s="33" t="str">
        <f aca="false">A174&amp;"|"&amp;P174</f>
        <v>Hetero|</v>
      </c>
      <c r="Z174" s="16" t="s">
        <v>778</v>
      </c>
      <c r="AA174" s="33" t="n">
        <f aca="false">INDEX($G$7:$G$25,MATCH(A174,$A$7:$A$25,0))</f>
        <v>9</v>
      </c>
      <c r="AB174" s="33" t="str">
        <f aca="false">IF(AE174="No","",AA174*1000+IF(P174="",900+COUNTIFS($A$29:A174,A174,$O$29:O174,"Price ≤ $5"),P174))</f>
        <v/>
      </c>
      <c r="AC174" s="33" t="str">
        <f aca="false">IF(O174&lt;&gt;"","",(4-VALUE(RIGHT(Q174,1)))*10^7+N(F174))</f>
        <v/>
      </c>
      <c r="AD174" s="15" t="str">
        <f aca="false">IFERROR(INDEX('Route of Administration'!$C$5:$C$155,MATCH(B174,'Route of Administration'!$A$5:$A$155,0)),"")</f>
        <v>IV</v>
      </c>
      <c r="AE174" s="14" t="str">
        <f aca="false">IFERROR(INDEX('Route of Administration'!$D$5:$D$155,MATCH(B174,'Route of Administration'!$A$5:$A$155,0)),"")</f>
        <v>No</v>
      </c>
      <c r="AF174" s="19" t="n">
        <f aca="false">IF(V174&gt;0,ROUND(AVERAGEIFS('Shortlisted Drugs X Company (7)'!$N$3:$N$698,'Shortlisted Drugs X Company (7)'!$C$3:$C$698,$B174,'Shortlisted Drugs X Company (7)'!$E$3:$E$698,$S174,'Shortlisted Drugs X Company (7)'!$N$3:$N$698,"&gt;=0"),2),"")</f>
        <v>6.08</v>
      </c>
      <c r="AG174" s="16" t="s">
        <v>876</v>
      </c>
      <c r="AH174" s="16" t="s">
        <v>857</v>
      </c>
      <c r="AI174" s="16" t="s">
        <v>857</v>
      </c>
      <c r="AJ174" s="16" t="str">
        <f aca="false">IF(O174&lt;&gt;"","",IF(ISNUMBER(D174),IF(D174&gt;=$C$3,"High price","Lower price"),"Unpriced")&amp;" · "&amp;IF(M174&gt;=$E$3,"high volume","lower volume"))</f>
        <v/>
      </c>
      <c r="AK174" s="15" t="str">
        <f aca="false">IF(O174&lt;&gt;"",IF(O174="Price ≤ $5","Excluded – price ≤ $5","Excluded – IV only"),IF(ISNUMBER(D174),IF(AND(D174&gt;=$C$3,L174&gt;=$H$3),"Priority 1",IF(OR(D174&gt;=$C$3,L174&gt;=$H$3),"Priority 2","Priority 3")),IF(L174&gt;=$H$3,"Priority 2","Priority 3")))</f>
        <v>Excluded – IV only</v>
      </c>
      <c r="AL174" s="16" t="str">
        <f aca="false">IF(O174&lt;&gt;"","",IF(ISNUMBER(D174),IF(D174&gt;=$C$3,"High price","Lower price"),"Unpriced")&amp;" · "&amp;IF(L174&gt;=$H$3,"high volume","lower volume"))</f>
        <v/>
      </c>
      <c r="AM174" s="14" t="str">
        <f aca="false">IF(O174&lt;&gt;"","",COUNTIFS($A$29:$A$361,A174,$O$29:$O$361,"",$AQ$29:$AQ$361,"&gt;"&amp;AQ174)+COUNTIFS($A$29:A174,A174,$O$29:O174,"",$AQ$29:AQ174,AQ174))</f>
        <v/>
      </c>
      <c r="AN174" s="33" t="str">
        <f aca="false">IF(AND(O174="",ISNUMBER(D174)),D174,"")</f>
        <v/>
      </c>
      <c r="AO174" s="33" t="str">
        <f aca="false">IF(O174="",M174,"")</f>
        <v/>
      </c>
      <c r="AP174" s="33" t="str">
        <f aca="false">IF(O174="",L174,"")</f>
        <v/>
      </c>
      <c r="AQ174" s="33" t="str">
        <f aca="false">IF(O174&lt;&gt;"","",(4-VALUE(RIGHT(AK174,1)))*10^7+N(N174))</f>
        <v/>
      </c>
      <c r="AR174" s="33" t="n">
        <f aca="false">INDEX($O$7:$O$25,MATCH(A174,$I$7:$I$25,0))</f>
        <v>4</v>
      </c>
      <c r="AS174" s="33" t="str">
        <f aca="false">IF(AE174="No","",AR174*1000+IF(AM174="",900+COUNTIFS($A$29:A174,A174,$O$29:O174,"Price ≤ $5"),AM174))</f>
        <v/>
      </c>
    </row>
    <row r="175" customFormat="false" ht="41.75" hidden="false" customHeight="false" outlineLevel="0" collapsed="false">
      <c r="A175" s="15" t="s">
        <v>192</v>
      </c>
      <c r="B175" s="15" t="s">
        <v>510</v>
      </c>
      <c r="C175" s="16" t="s">
        <v>511</v>
      </c>
      <c r="D175" s="17" t="n">
        <f aca="false">IF(W175&gt;0,ROUND(AVERAGEIFS('Shortlisted Drugs X Company (7)'!$N$3:$N$698,'Shortlisted Drugs X Company (7)'!$C$3:$C$698,$B175,'Shortlisted Drugs X Company (7)'!$E$3:$E$698,$S175,'Shortlisted Drugs X Company (7)'!$N$3:$N$698,"&gt;5"),2),"")</f>
        <v>4289.93</v>
      </c>
      <c r="E175" s="15" t="str">
        <f aca="false">IF(COUNTIFS('Shortlisted Drugs X Company (7)'!$C$3:$C$698,$B175,'Shortlisted Drugs X Company (7)'!$E$3:$E$698,$S175,'Shortlisted Drugs X Company (7)'!$P$3:$P$698,"Exact")&gt;0,"Exact",IF(COUNTIFS('Shortlisted Drugs X Company (7)'!$C$3:$C$698,$B175,'Shortlisted Drugs X Company (7)'!$E$3:$E$698,$S175,'Shortlisted Drugs X Company (7)'!$P$3:$P$698,"Same-market proxy")&gt;0,"Same-market proxy",IF(COUNTIFS('Shortlisted Drugs X Company (7)'!$C$3:$C$698,$B175,'Shortlisted Drugs X Company (7)'!$E$3:$E$698,$S175,'Shortlisted Drugs X Company (7)'!$P$3:$P$698,"Cross-market proxy")&gt;0,"Cross-market proxy",IF(COUNTIFS('Shortlisted Drugs X Company (7)'!$C$3:$C$698,$B175,'Shortlisted Drugs X Company (7)'!$E$3:$E$698,$S175,'Shortlisted Drugs X Company (7)'!$P$3:$P$698,"Source not found")&gt;0,"Source not found","Not priced"))))</f>
        <v>Exact</v>
      </c>
      <c r="F175" s="18" t="n">
        <f aca="false">IFERROR(ROUND(INDEX('Injectable Value'!$AA$28:$AA$178,MATCH(B175,'Injectable Value'!$A$28:$A$178,0)),1),"")</f>
        <v>7904.7</v>
      </c>
      <c r="G175" s="16" t="s">
        <v>827</v>
      </c>
      <c r="H175" s="14" t="n">
        <v>7</v>
      </c>
      <c r="I175" s="15" t="s">
        <v>248</v>
      </c>
      <c r="J175" s="15" t="s">
        <v>249</v>
      </c>
      <c r="K175" s="16" t="str">
        <f aca="false">""&amp;IF(V175=0,"Unpriced","")&amp;IF(AND(V175&gt;0,W175=0,X175=0),"Low price from another market – confirm with company","")</f>
        <v/>
      </c>
      <c r="L175" s="18" t="n">
        <f aca="false">IFERROR(INDEX('Shortlisted Drugs X Company (7)'!$K$3:$K$698,MATCH(B175,'Shortlisted Drugs X Company (7)'!$C$3:$C$698,0)),"")</f>
        <v>47</v>
      </c>
      <c r="M175" s="18" t="n">
        <f aca="false">IFERROR(ROUND(L175*INDEX('Injectable Value'!$Z$28:$Z$178,MATCH(B175,'Injectable Value'!$A$28:$A$178,0)),0),"")</f>
        <v>47</v>
      </c>
      <c r="N175" s="18" t="n">
        <f aca="false">IFERROR(INDEX('Shortlisted Drugs X Company (7)'!$L$3:$L$698,MATCH(B175,'Shortlisted Drugs X Company (7)'!$C$3:$C$698,0)),"")</f>
        <v>7904.67</v>
      </c>
      <c r="O175" s="15" t="str">
        <f aca="false">IF(AE175="No","IV only (not ID/IM/SC)",IF(AND(V175&gt;0,W175=0),"Price ≤ $5",""))</f>
        <v/>
      </c>
      <c r="P175" s="14" t="n">
        <f aca="false">IF(O175&lt;&gt;"","",COUNTIFS($A$29:$A$361,A175,$O$29:$O$361,"",$AC$29:$AC$361,"&gt;"&amp;AC175)+COUNTIFS($A$29:A175,A175,$O$29:O175,"",$AC$29:AC175,AC175))</f>
        <v>4</v>
      </c>
      <c r="Q175" s="15" t="str">
        <f aca="false">IF(O175&lt;&gt;"",IF(O175="Price ≤ $5","Excluded – price ≤ $5","Excluded – IV only"),IF(ISNUMBER(D175),IF(AND(D175&gt;=$C$3,M175&gt;=$E$3),"Priority 1",IF(OR(D175&gt;=$C$3,M175&gt;=$E$3),"Priority 2","Priority 3")),IF(M175&gt;=$E$3,"Priority 2","Priority 3")))</f>
        <v>Priority 2</v>
      </c>
      <c r="R175" s="16" t="s">
        <v>250</v>
      </c>
      <c r="S175" s="15" t="s">
        <v>838</v>
      </c>
      <c r="T175" s="32" t="s">
        <v>513</v>
      </c>
      <c r="U175" s="33" t="str">
        <f aca="false">B175&amp;"|"&amp;S175</f>
        <v>Plerixafor|Hetero Labs</v>
      </c>
      <c r="V175" s="34" t="n">
        <f aca="false">COUNTIFS('Shortlisted Drugs X Company (7)'!$C$3:$C$698,$B175,'Shortlisted Drugs X Company (7)'!$E$3:$E$698,$S175,'Shortlisted Drugs X Company (7)'!$N$3:$N$698,"&gt;=0")</f>
        <v>4</v>
      </c>
      <c r="W175" s="34" t="n">
        <f aca="false">COUNTIFS('Shortlisted Drugs X Company (7)'!$C$3:$C$698,$B175,'Shortlisted Drugs X Company (7)'!$E$3:$E$698,$S175,'Shortlisted Drugs X Company (7)'!$N$3:$N$698,"&gt;5")</f>
        <v>4</v>
      </c>
      <c r="X175" s="34" t="n">
        <f aca="false">COUNTIFS('Shortlisted Drugs X Company (7)'!$C$3:$C$698,$B175,'Shortlisted Drugs X Company (7)'!$E$3:$E$698,$S175,'Shortlisted Drugs X Company (7)'!$P$3:$P$698,"Exact")+COUNTIFS('Shortlisted Drugs X Company (7)'!$C$3:$C$698,$B175,'Shortlisted Drugs X Company (7)'!$E$3:$E$698,$S175,'Shortlisted Drugs X Company (7)'!$P$3:$P$698,"Same-market proxy")</f>
        <v>3</v>
      </c>
      <c r="Y175" s="33" t="str">
        <f aca="false">A175&amp;"|"&amp;P175</f>
        <v>Hetero|4</v>
      </c>
      <c r="Z175" s="16" t="s">
        <v>514</v>
      </c>
      <c r="AA175" s="33" t="n">
        <f aca="false">INDEX($G$7:$G$25,MATCH(A175,$A$7:$A$25,0))</f>
        <v>9</v>
      </c>
      <c r="AB175" s="33" t="n">
        <f aca="false">IF(AE175="No","",AA175*1000+IF(P175="",900+COUNTIFS($A$29:A175,A175,$O$29:O175,"Price ≤ $5"),P175))</f>
        <v>9004</v>
      </c>
      <c r="AC175" s="33" t="n">
        <f aca="false">IF(O175&lt;&gt;"","",(4-VALUE(RIGHT(Q175,1)))*10^7+N(F175))</f>
        <v>20007904.7</v>
      </c>
      <c r="AD175" s="15" t="str">
        <f aca="false">IFERROR(INDEX('Route of Administration'!$C$5:$C$155,MATCH(B175,'Route of Administration'!$A$5:$A$155,0)),"")</f>
        <v>SC</v>
      </c>
      <c r="AE175" s="14" t="str">
        <f aca="false">IFERROR(INDEX('Route of Administration'!$D$5:$D$155,MATCH(B175,'Route of Administration'!$A$5:$A$155,0)),"")</f>
        <v>Yes</v>
      </c>
      <c r="AF175" s="19" t="n">
        <f aca="false">IF(V175&gt;0,ROUND(AVERAGEIFS('Shortlisted Drugs X Company (7)'!$N$3:$N$698,'Shortlisted Drugs X Company (7)'!$C$3:$C$698,$B175,'Shortlisted Drugs X Company (7)'!$E$3:$E$698,$S175,'Shortlisted Drugs X Company (7)'!$N$3:$N$698,"&gt;=0"),2),"")</f>
        <v>4289.93</v>
      </c>
      <c r="AG175" s="16" t="s">
        <v>877</v>
      </c>
      <c r="AH175" s="16" t="s">
        <v>878</v>
      </c>
      <c r="AI175" s="16" t="s">
        <v>878</v>
      </c>
      <c r="AJ175" s="16" t="str">
        <f aca="false">IF(O175&lt;&gt;"","",IF(ISNUMBER(D175),IF(D175&gt;=$C$3,"High price","Lower price"),"Unpriced")&amp;" · "&amp;IF(M175&gt;=$E$3,"high volume","lower volume"))</f>
        <v>High price · lower volume</v>
      </c>
      <c r="AK175" s="15" t="str">
        <f aca="false">IF(O175&lt;&gt;"",IF(O175="Price ≤ $5","Excluded – price ≤ $5","Excluded – IV only"),IF(ISNUMBER(D175),IF(AND(D175&gt;=$C$3,L175&gt;=$H$3),"Priority 1",IF(OR(D175&gt;=$C$3,L175&gt;=$H$3),"Priority 2","Priority 3")),IF(L175&gt;=$H$3,"Priority 2","Priority 3")))</f>
        <v>Priority 2</v>
      </c>
      <c r="AL175" s="16" t="str">
        <f aca="false">IF(O175&lt;&gt;"","",IF(ISNUMBER(D175),IF(D175&gt;=$C$3,"High price","Lower price"),"Unpriced")&amp;" · "&amp;IF(L175&gt;=$H$3,"high volume","lower volume"))</f>
        <v>High price · lower volume</v>
      </c>
      <c r="AM175" s="14" t="n">
        <f aca="false">IF(O175&lt;&gt;"","",COUNTIFS($A$29:$A$361,A175,$O$29:$O$361,"",$AQ$29:$AQ$361,"&gt;"&amp;AQ175)+COUNTIFS($A$29:A175,A175,$O$29:O175,"",$AQ$29:AQ175,AQ175))</f>
        <v>5</v>
      </c>
      <c r="AN175" s="19" t="n">
        <f aca="false">IF(AND(O175="",ISNUMBER(D175)),D175,"")</f>
        <v>4289.93</v>
      </c>
      <c r="AO175" s="20" t="n">
        <f aca="false">IF(O175="",M175,"")</f>
        <v>47</v>
      </c>
      <c r="AP175" s="20" t="n">
        <f aca="false">IF(O175="",L175,"")</f>
        <v>47</v>
      </c>
      <c r="AQ175" s="33" t="n">
        <f aca="false">IF(O175&lt;&gt;"","",(4-VALUE(RIGHT(AK175,1)))*10^7+N(N175))</f>
        <v>20007904.67</v>
      </c>
      <c r="AR175" s="33" t="n">
        <f aca="false">INDEX($O$7:$O$25,MATCH(A175,$I$7:$I$25,0))</f>
        <v>4</v>
      </c>
      <c r="AS175" s="33" t="n">
        <f aca="false">IF(AE175="No","",AR175*1000+IF(AM175="",900+COUNTIFS($A$29:A175,A175,$O$29:O175,"Price ≤ $5"),AM175))</f>
        <v>4005</v>
      </c>
    </row>
    <row r="176" customFormat="false" ht="28.35" hidden="false" customHeight="false" outlineLevel="0" collapsed="false">
      <c r="A176" s="15" t="s">
        <v>192</v>
      </c>
      <c r="B176" s="15" t="s">
        <v>809</v>
      </c>
      <c r="C176" s="16" t="s">
        <v>810</v>
      </c>
      <c r="D176" s="17" t="str">
        <f aca="false">IF(W176&gt;0,ROUND(AVERAGEIFS('Shortlisted Drugs X Company (7)'!$N$3:$N$698,'Shortlisted Drugs X Company (7)'!$C$3:$C$698,$B176,'Shortlisted Drugs X Company (7)'!$E$3:$E$698,$S176,'Shortlisted Drugs X Company (7)'!$N$3:$N$698,"&gt;5"),2),"")</f>
        <v/>
      </c>
      <c r="E176" s="15" t="str">
        <f aca="false">IF(COUNTIFS('Shortlisted Drugs X Company (7)'!$C$3:$C$698,$B176,'Shortlisted Drugs X Company (7)'!$E$3:$E$698,$S176,'Shortlisted Drugs X Company (7)'!$P$3:$P$698,"Exact")&gt;0,"Exact",IF(COUNTIFS('Shortlisted Drugs X Company (7)'!$C$3:$C$698,$B176,'Shortlisted Drugs X Company (7)'!$E$3:$E$698,$S176,'Shortlisted Drugs X Company (7)'!$P$3:$P$698,"Same-market proxy")&gt;0,"Same-market proxy",IF(COUNTIFS('Shortlisted Drugs X Company (7)'!$C$3:$C$698,$B176,'Shortlisted Drugs X Company (7)'!$E$3:$E$698,$S176,'Shortlisted Drugs X Company (7)'!$P$3:$P$698,"Cross-market proxy")&gt;0,"Cross-market proxy",IF(COUNTIFS('Shortlisted Drugs X Company (7)'!$C$3:$C$698,$B176,'Shortlisted Drugs X Company (7)'!$E$3:$E$698,$S176,'Shortlisted Drugs X Company (7)'!$P$3:$P$698,"Source not found")&gt;0,"Source not found","Not priced"))))</f>
        <v>Same-market proxy</v>
      </c>
      <c r="F176" s="18" t="n">
        <f aca="false">IFERROR(ROUND(INDEX('Injectable Value'!$AA$28:$AA$178,MATCH(B176,'Injectable Value'!$A$28:$A$178,0)),1),"")</f>
        <v>54624.8</v>
      </c>
      <c r="G176" s="16" t="s">
        <v>247</v>
      </c>
      <c r="H176" s="14" t="n">
        <v>1</v>
      </c>
      <c r="I176" s="15" t="s">
        <v>277</v>
      </c>
      <c r="J176" s="15" t="s">
        <v>277</v>
      </c>
      <c r="K176" s="16" t="str">
        <f aca="false">""&amp;IF(V176=0,"Unpriced","")&amp;IF(AND(V176&gt;0,W176=0,X176=0),"Low price from another market – confirm with company","")</f>
        <v/>
      </c>
      <c r="L176" s="18" t="n">
        <f aca="false">IFERROR(INDEX('Shortlisted Drugs X Company (7)'!$K$3:$K$698,MATCH(B176,'Shortlisted Drugs X Company (7)'!$C$3:$C$698,0)),"")</f>
        <v>615</v>
      </c>
      <c r="M176" s="18" t="n">
        <f aca="false">IFERROR(ROUND(L176*INDEX('Injectable Value'!$Z$28:$Z$178,MATCH(B176,'Injectable Value'!$A$28:$A$178,0)),0),"")</f>
        <v>614</v>
      </c>
      <c r="N176" s="18" t="n">
        <f aca="false">IFERROR(INDEX('Shortlisted Drugs X Company (7)'!$L$3:$L$698,MATCH(B176,'Shortlisted Drugs X Company (7)'!$C$3:$C$698,0)),"")</f>
        <v>54682.27</v>
      </c>
      <c r="O176" s="15" t="str">
        <f aca="false">IF(AE176="No","IV only (not ID/IM/SC)",IF(AND(V176&gt;0,W176=0),"Price ≤ $5",""))</f>
        <v>IV only (not ID/IM/SC)</v>
      </c>
      <c r="P176" s="14" t="str">
        <f aca="false">IF(O176&lt;&gt;"","",COUNTIFS($A$29:$A$361,A176,$O$29:$O$361,"",$AC$29:$AC$361,"&gt;"&amp;AC176)+COUNTIFS($A$29:A176,A176,$O$29:O176,"",$AC$29:AC176,AC176))</f>
        <v/>
      </c>
      <c r="Q176" s="15" t="str">
        <f aca="false">IF(O176&lt;&gt;"",IF(O176="Price ≤ $5","Excluded – price ≤ $5","Excluded – IV only"),IF(ISNUMBER(D176),IF(AND(D176&gt;=$C$3,M176&gt;=$E$3),"Priority 1",IF(OR(D176&gt;=$C$3,M176&gt;=$E$3),"Priority 2","Priority 3")),IF(M176&gt;=$E$3,"Priority 2","Priority 3")))</f>
        <v>Excluded – IV only</v>
      </c>
      <c r="R176" s="16" t="s">
        <v>278</v>
      </c>
      <c r="S176" s="15" t="s">
        <v>838</v>
      </c>
      <c r="T176" s="32" t="s">
        <v>811</v>
      </c>
      <c r="U176" s="33" t="str">
        <f aca="false">B176&amp;"|"&amp;S176</f>
        <v>Propofol|Hetero Labs</v>
      </c>
      <c r="V176" s="34" t="n">
        <f aca="false">COUNTIFS('Shortlisted Drugs X Company (7)'!$C$3:$C$698,$B176,'Shortlisted Drugs X Company (7)'!$E$3:$E$698,$S176,'Shortlisted Drugs X Company (7)'!$N$3:$N$698,"&gt;=0")</f>
        <v>1</v>
      </c>
      <c r="W176" s="34" t="n">
        <f aca="false">COUNTIFS('Shortlisted Drugs X Company (7)'!$C$3:$C$698,$B176,'Shortlisted Drugs X Company (7)'!$E$3:$E$698,$S176,'Shortlisted Drugs X Company (7)'!$N$3:$N$698,"&gt;5")</f>
        <v>0</v>
      </c>
      <c r="X176" s="34" t="n">
        <f aca="false">COUNTIFS('Shortlisted Drugs X Company (7)'!$C$3:$C$698,$B176,'Shortlisted Drugs X Company (7)'!$E$3:$E$698,$S176,'Shortlisted Drugs X Company (7)'!$P$3:$P$698,"Exact")+COUNTIFS('Shortlisted Drugs X Company (7)'!$C$3:$C$698,$B176,'Shortlisted Drugs X Company (7)'!$E$3:$E$698,$S176,'Shortlisted Drugs X Company (7)'!$P$3:$P$698,"Same-market proxy")</f>
        <v>1</v>
      </c>
      <c r="Y176" s="33" t="str">
        <f aca="false">A176&amp;"|"&amp;P176</f>
        <v>Hetero|</v>
      </c>
      <c r="Z176" s="16" t="s">
        <v>879</v>
      </c>
      <c r="AA176" s="33" t="n">
        <f aca="false">INDEX($G$7:$G$25,MATCH(A176,$A$7:$A$25,0))</f>
        <v>9</v>
      </c>
      <c r="AB176" s="33" t="str">
        <f aca="false">IF(AE176="No","",AA176*1000+IF(P176="",900+COUNTIFS($A$29:A176,A176,$O$29:O176,"Price ≤ $5"),P176))</f>
        <v/>
      </c>
      <c r="AC176" s="33" t="str">
        <f aca="false">IF(O176&lt;&gt;"","",(4-VALUE(RIGHT(Q176,1)))*10^7+N(F176))</f>
        <v/>
      </c>
      <c r="AD176" s="15" t="str">
        <f aca="false">IFERROR(INDEX('Route of Administration'!$C$5:$C$155,MATCH(B176,'Route of Administration'!$A$5:$A$155,0)),"")</f>
        <v>IV</v>
      </c>
      <c r="AE176" s="14" t="str">
        <f aca="false">IFERROR(INDEX('Route of Administration'!$D$5:$D$155,MATCH(B176,'Route of Administration'!$A$5:$A$155,0)),"")</f>
        <v>No</v>
      </c>
      <c r="AF176" s="19" t="n">
        <f aca="false">IF(V176&gt;0,ROUND(AVERAGEIFS('Shortlisted Drugs X Company (7)'!$N$3:$N$698,'Shortlisted Drugs X Company (7)'!$C$3:$C$698,$B176,'Shortlisted Drugs X Company (7)'!$E$3:$E$698,$S176,'Shortlisted Drugs X Company (7)'!$N$3:$N$698,"&gt;=0"),2),"")</f>
        <v>1.86</v>
      </c>
      <c r="AG176" s="16" t="s">
        <v>809</v>
      </c>
      <c r="AH176" s="16" t="s">
        <v>247</v>
      </c>
      <c r="AI176" s="16" t="s">
        <v>247</v>
      </c>
      <c r="AJ176" s="16" t="str">
        <f aca="false">IF(O176&lt;&gt;"","",IF(ISNUMBER(D176),IF(D176&gt;=$C$3,"High price","Lower price"),"Unpriced")&amp;" · "&amp;IF(M176&gt;=$E$3,"high volume","lower volume"))</f>
        <v/>
      </c>
      <c r="AK176" s="15" t="str">
        <f aca="false">IF(O176&lt;&gt;"",IF(O176="Price ≤ $5","Excluded – price ≤ $5","Excluded – IV only"),IF(ISNUMBER(D176),IF(AND(D176&gt;=$C$3,L176&gt;=$H$3),"Priority 1",IF(OR(D176&gt;=$C$3,L176&gt;=$H$3),"Priority 2","Priority 3")),IF(L176&gt;=$H$3,"Priority 2","Priority 3")))</f>
        <v>Excluded – IV only</v>
      </c>
      <c r="AL176" s="16" t="str">
        <f aca="false">IF(O176&lt;&gt;"","",IF(ISNUMBER(D176),IF(D176&gt;=$C$3,"High price","Lower price"),"Unpriced")&amp;" · "&amp;IF(L176&gt;=$H$3,"high volume","lower volume"))</f>
        <v/>
      </c>
      <c r="AM176" s="14" t="str">
        <f aca="false">IF(O176&lt;&gt;"","",COUNTIFS($A$29:$A$361,A176,$O$29:$O$361,"",$AQ$29:$AQ$361,"&gt;"&amp;AQ176)+COUNTIFS($A$29:A176,A176,$O$29:O176,"",$AQ$29:AQ176,AQ176))</f>
        <v/>
      </c>
      <c r="AN176" s="33" t="str">
        <f aca="false">IF(AND(O176="",ISNUMBER(D176)),D176,"")</f>
        <v/>
      </c>
      <c r="AO176" s="33" t="str">
        <f aca="false">IF(O176="",M176,"")</f>
        <v/>
      </c>
      <c r="AP176" s="33" t="str">
        <f aca="false">IF(O176="",L176,"")</f>
        <v/>
      </c>
      <c r="AQ176" s="33" t="str">
        <f aca="false">IF(O176&lt;&gt;"","",(4-VALUE(RIGHT(AK176,1)))*10^7+N(N176))</f>
        <v/>
      </c>
      <c r="AR176" s="33" t="n">
        <f aca="false">INDEX($O$7:$O$25,MATCH(A176,$I$7:$I$25,0))</f>
        <v>4</v>
      </c>
      <c r="AS176" s="33" t="str">
        <f aca="false">IF(AE176="No","",AR176*1000+IF(AM176="",900+COUNTIFS($A$29:A176,A176,$O$29:O176,"Price ≤ $5"),AM176))</f>
        <v/>
      </c>
    </row>
    <row r="177" customFormat="false" ht="28.35" hidden="false" customHeight="false" outlineLevel="0" collapsed="false">
      <c r="A177" s="15" t="s">
        <v>192</v>
      </c>
      <c r="B177" s="15" t="s">
        <v>880</v>
      </c>
      <c r="C177" s="16" t="s">
        <v>564</v>
      </c>
      <c r="D177" s="17" t="n">
        <f aca="false">IF(W177&gt;0,ROUND(AVERAGEIFS('Shortlisted Drugs X Company (7)'!$N$3:$N$698,'Shortlisted Drugs X Company (7)'!$C$3:$C$698,$B177,'Shortlisted Drugs X Company (7)'!$E$3:$E$698,$S177,'Shortlisted Drugs X Company (7)'!$N$3:$N$698,"&gt;5"),2),"")</f>
        <v>6.17</v>
      </c>
      <c r="E177" s="15" t="str">
        <f aca="false">IF(COUNTIFS('Shortlisted Drugs X Company (7)'!$C$3:$C$698,$B177,'Shortlisted Drugs X Company (7)'!$E$3:$E$698,$S177,'Shortlisted Drugs X Company (7)'!$P$3:$P$698,"Exact")&gt;0,"Exact",IF(COUNTIFS('Shortlisted Drugs X Company (7)'!$C$3:$C$698,$B177,'Shortlisted Drugs X Company (7)'!$E$3:$E$698,$S177,'Shortlisted Drugs X Company (7)'!$P$3:$P$698,"Same-market proxy")&gt;0,"Same-market proxy",IF(COUNTIFS('Shortlisted Drugs X Company (7)'!$C$3:$C$698,$B177,'Shortlisted Drugs X Company (7)'!$E$3:$E$698,$S177,'Shortlisted Drugs X Company (7)'!$P$3:$P$698,"Cross-market proxy")&gt;0,"Cross-market proxy",IF(COUNTIFS('Shortlisted Drugs X Company (7)'!$C$3:$C$698,$B177,'Shortlisted Drugs X Company (7)'!$E$3:$E$698,$S177,'Shortlisted Drugs X Company (7)'!$P$3:$P$698,"Source not found")&gt;0,"Source not found","Not priced"))))</f>
        <v>Cross-market proxy</v>
      </c>
      <c r="F177" s="18" t="n">
        <f aca="false">IFERROR(ROUND(INDEX('Injectable Value'!$AA$28:$AA$178,MATCH(B177,'Injectable Value'!$A$28:$A$178,0)),1),"")</f>
        <v>20184.3</v>
      </c>
      <c r="G177" s="16" t="s">
        <v>881</v>
      </c>
      <c r="H177" s="14" t="n">
        <v>1</v>
      </c>
      <c r="I177" s="15" t="s">
        <v>248</v>
      </c>
      <c r="J177" s="15" t="s">
        <v>249</v>
      </c>
      <c r="K177" s="16" t="str">
        <f aca="false">""&amp;IF(V177=0,"Unpriced","")&amp;IF(AND(V177&gt;0,W177=0,X177=0),"Low price from another market – confirm with company","")</f>
        <v/>
      </c>
      <c r="L177" s="18" t="n">
        <f aca="false">IFERROR(INDEX('Shortlisted Drugs X Company (7)'!$K$3:$K$698,MATCH(B177,'Shortlisted Drugs X Company (7)'!$C$3:$C$698,0)),"")</f>
        <v>264</v>
      </c>
      <c r="M177" s="18" t="n">
        <f aca="false">IFERROR(ROUND(L177*INDEX('Injectable Value'!$Z$28:$Z$178,MATCH(B177,'Injectable Value'!$A$28:$A$178,0)),0),"")</f>
        <v>261</v>
      </c>
      <c r="N177" s="18" t="n">
        <f aca="false">IFERROR(INDEX('Shortlisted Drugs X Company (7)'!$L$3:$L$698,MATCH(B177,'Shortlisted Drugs X Company (7)'!$C$3:$C$698,0)),"")</f>
        <v>20408.58</v>
      </c>
      <c r="O177" s="15" t="str">
        <f aca="false">IF(AE177="No","IV only (not ID/IM/SC)",IF(AND(V177&gt;0,W177=0),"Price ≤ $5",""))</f>
        <v>IV only (not ID/IM/SC)</v>
      </c>
      <c r="P177" s="14" t="str">
        <f aca="false">IF(O177&lt;&gt;"","",COUNTIFS($A$29:$A$361,A177,$O$29:$O$361,"",$AC$29:$AC$361,"&gt;"&amp;AC177)+COUNTIFS($A$29:A177,A177,$O$29:O177,"",$AC$29:AC177,AC177))</f>
        <v/>
      </c>
      <c r="Q177" s="15" t="str">
        <f aca="false">IF(O177&lt;&gt;"",IF(O177="Price ≤ $5","Excluded – price ≤ $5","Excluded – IV only"),IF(ISNUMBER(D177),IF(AND(D177&gt;=$C$3,M177&gt;=$E$3),"Priority 1",IF(OR(D177&gt;=$C$3,M177&gt;=$E$3),"Priority 2","Priority 3")),IF(M177&gt;=$E$3,"Priority 2","Priority 3")))</f>
        <v>Excluded – IV only</v>
      </c>
      <c r="R177" s="16" t="s">
        <v>250</v>
      </c>
      <c r="S177" s="15" t="s">
        <v>838</v>
      </c>
      <c r="T177" s="32" t="s">
        <v>882</v>
      </c>
      <c r="U177" s="33" t="str">
        <f aca="false">B177&amp;"|"&amp;S177</f>
        <v>Rocuronium|Hetero Labs</v>
      </c>
      <c r="V177" s="34" t="n">
        <f aca="false">COUNTIFS('Shortlisted Drugs X Company (7)'!$C$3:$C$698,$B177,'Shortlisted Drugs X Company (7)'!$E$3:$E$698,$S177,'Shortlisted Drugs X Company (7)'!$N$3:$N$698,"&gt;=0")</f>
        <v>1</v>
      </c>
      <c r="W177" s="34" t="n">
        <f aca="false">COUNTIFS('Shortlisted Drugs X Company (7)'!$C$3:$C$698,$B177,'Shortlisted Drugs X Company (7)'!$E$3:$E$698,$S177,'Shortlisted Drugs X Company (7)'!$N$3:$N$698,"&gt;5")</f>
        <v>1</v>
      </c>
      <c r="X177" s="34" t="n">
        <f aca="false">COUNTIFS('Shortlisted Drugs X Company (7)'!$C$3:$C$698,$B177,'Shortlisted Drugs X Company (7)'!$E$3:$E$698,$S177,'Shortlisted Drugs X Company (7)'!$P$3:$P$698,"Exact")+COUNTIFS('Shortlisted Drugs X Company (7)'!$C$3:$C$698,$B177,'Shortlisted Drugs X Company (7)'!$E$3:$E$698,$S177,'Shortlisted Drugs X Company (7)'!$P$3:$P$698,"Same-market proxy")</f>
        <v>0</v>
      </c>
      <c r="Y177" s="33" t="str">
        <f aca="false">A177&amp;"|"&amp;P177</f>
        <v>Hetero|</v>
      </c>
      <c r="Z177" s="16" t="s">
        <v>847</v>
      </c>
      <c r="AA177" s="33" t="n">
        <f aca="false">INDEX($G$7:$G$25,MATCH(A177,$A$7:$A$25,0))</f>
        <v>9</v>
      </c>
      <c r="AB177" s="33" t="str">
        <f aca="false">IF(AE177="No","",AA177*1000+IF(P177="",900+COUNTIFS($A$29:A177,A177,$O$29:O177,"Price ≤ $5"),P177))</f>
        <v/>
      </c>
      <c r="AC177" s="33" t="str">
        <f aca="false">IF(O177&lt;&gt;"","",(4-VALUE(RIGHT(Q177,1)))*10^7+N(F177))</f>
        <v/>
      </c>
      <c r="AD177" s="15" t="str">
        <f aca="false">IFERROR(INDEX('Route of Administration'!$C$5:$C$155,MATCH(B177,'Route of Administration'!$A$5:$A$155,0)),"")</f>
        <v>IV</v>
      </c>
      <c r="AE177" s="14" t="str">
        <f aca="false">IFERROR(INDEX('Route of Administration'!$D$5:$D$155,MATCH(B177,'Route of Administration'!$A$5:$A$155,0)),"")</f>
        <v>No</v>
      </c>
      <c r="AF177" s="19" t="n">
        <f aca="false">IF(V177&gt;0,ROUND(AVERAGEIFS('Shortlisted Drugs X Company (7)'!$N$3:$N$698,'Shortlisted Drugs X Company (7)'!$C$3:$C$698,$B177,'Shortlisted Drugs X Company (7)'!$E$3:$E$698,$S177,'Shortlisted Drugs X Company (7)'!$N$3:$N$698,"&gt;=0"),2),"")</f>
        <v>6.17</v>
      </c>
      <c r="AG177" s="16" t="s">
        <v>883</v>
      </c>
      <c r="AH177" s="16" t="s">
        <v>881</v>
      </c>
      <c r="AI177" s="16" t="s">
        <v>881</v>
      </c>
      <c r="AJ177" s="16" t="str">
        <f aca="false">IF(O177&lt;&gt;"","",IF(ISNUMBER(D177),IF(D177&gt;=$C$3,"High price","Lower price"),"Unpriced")&amp;" · "&amp;IF(M177&gt;=$E$3,"high volume","lower volume"))</f>
        <v/>
      </c>
      <c r="AK177" s="15" t="str">
        <f aca="false">IF(O177&lt;&gt;"",IF(O177="Price ≤ $5","Excluded – price ≤ $5","Excluded – IV only"),IF(ISNUMBER(D177),IF(AND(D177&gt;=$C$3,L177&gt;=$H$3),"Priority 1",IF(OR(D177&gt;=$C$3,L177&gt;=$H$3),"Priority 2","Priority 3")),IF(L177&gt;=$H$3,"Priority 2","Priority 3")))</f>
        <v>Excluded – IV only</v>
      </c>
      <c r="AL177" s="16" t="str">
        <f aca="false">IF(O177&lt;&gt;"","",IF(ISNUMBER(D177),IF(D177&gt;=$C$3,"High price","Lower price"),"Unpriced")&amp;" · "&amp;IF(L177&gt;=$H$3,"high volume","lower volume"))</f>
        <v/>
      </c>
      <c r="AM177" s="14" t="str">
        <f aca="false">IF(O177&lt;&gt;"","",COUNTIFS($A$29:$A$361,A177,$O$29:$O$361,"",$AQ$29:$AQ$361,"&gt;"&amp;AQ177)+COUNTIFS($A$29:A177,A177,$O$29:O177,"",$AQ$29:AQ177,AQ177))</f>
        <v/>
      </c>
      <c r="AN177" s="33" t="str">
        <f aca="false">IF(AND(O177="",ISNUMBER(D177)),D177,"")</f>
        <v/>
      </c>
      <c r="AO177" s="33" t="str">
        <f aca="false">IF(O177="",M177,"")</f>
        <v/>
      </c>
      <c r="AP177" s="33" t="str">
        <f aca="false">IF(O177="",L177,"")</f>
        <v/>
      </c>
      <c r="AQ177" s="33" t="str">
        <f aca="false">IF(O177&lt;&gt;"","",(4-VALUE(RIGHT(AK177,1)))*10^7+N(N177))</f>
        <v/>
      </c>
      <c r="AR177" s="33" t="n">
        <f aca="false">INDEX($O$7:$O$25,MATCH(A177,$I$7:$I$25,0))</f>
        <v>4</v>
      </c>
      <c r="AS177" s="33" t="str">
        <f aca="false">IF(AE177="No","",AR177*1000+IF(AM177="",900+COUNTIFS($A$29:A177,A177,$O$29:O177,"Price ≤ $5"),AM177))</f>
        <v/>
      </c>
    </row>
    <row r="178" customFormat="false" ht="28.35" hidden="false" customHeight="false" outlineLevel="0" collapsed="false">
      <c r="A178" s="15" t="s">
        <v>192</v>
      </c>
      <c r="B178" s="15" t="s">
        <v>884</v>
      </c>
      <c r="C178" s="16" t="s">
        <v>885</v>
      </c>
      <c r="D178" s="17" t="n">
        <f aca="false">IF(W178&gt;0,ROUND(AVERAGEIFS('Shortlisted Drugs X Company (7)'!$N$3:$N$698,'Shortlisted Drugs X Company (7)'!$C$3:$C$698,$B178,'Shortlisted Drugs X Company (7)'!$E$3:$E$698,$S178,'Shortlisted Drugs X Company (7)'!$N$3:$N$698,"&gt;5"),2),"")</f>
        <v>6.53</v>
      </c>
      <c r="E178" s="15" t="str">
        <f aca="false">IF(COUNTIFS('Shortlisted Drugs X Company (7)'!$C$3:$C$698,$B178,'Shortlisted Drugs X Company (7)'!$E$3:$E$698,$S178,'Shortlisted Drugs X Company (7)'!$P$3:$P$698,"Exact")&gt;0,"Exact",IF(COUNTIFS('Shortlisted Drugs X Company (7)'!$C$3:$C$698,$B178,'Shortlisted Drugs X Company (7)'!$E$3:$E$698,$S178,'Shortlisted Drugs X Company (7)'!$P$3:$P$698,"Same-market proxy")&gt;0,"Same-market proxy",IF(COUNTIFS('Shortlisted Drugs X Company (7)'!$C$3:$C$698,$B178,'Shortlisted Drugs X Company (7)'!$E$3:$E$698,$S178,'Shortlisted Drugs X Company (7)'!$P$3:$P$698,"Cross-market proxy")&gt;0,"Cross-market proxy",IF(COUNTIFS('Shortlisted Drugs X Company (7)'!$C$3:$C$698,$B178,'Shortlisted Drugs X Company (7)'!$E$3:$E$698,$S178,'Shortlisted Drugs X Company (7)'!$P$3:$P$698,"Source not found")&gt;0,"Source not found","Not priced"))))</f>
        <v>Same-market proxy</v>
      </c>
      <c r="F178" s="18" t="n">
        <f aca="false">IFERROR(ROUND(INDEX('Injectable Value'!$AA$28:$AA$178,MATCH(B178,'Injectable Value'!$A$28:$A$178,0)),1),"")</f>
        <v>3650.7</v>
      </c>
      <c r="G178" s="16" t="s">
        <v>247</v>
      </c>
      <c r="H178" s="14" t="n">
        <v>1</v>
      </c>
      <c r="I178" s="15" t="s">
        <v>248</v>
      </c>
      <c r="J178" s="15" t="s">
        <v>249</v>
      </c>
      <c r="K178" s="16" t="str">
        <f aca="false">""&amp;IF(V178=0,"Unpriced","")&amp;IF(AND(V178&gt;0,W178=0,X178=0),"Low price from another market – confirm with company","")</f>
        <v/>
      </c>
      <c r="L178" s="18" t="n">
        <f aca="false">IFERROR(INDEX('Shortlisted Drugs X Company (7)'!$K$3:$K$698,MATCH(B178,'Shortlisted Drugs X Company (7)'!$C$3:$C$698,0)),"")</f>
        <v>1011</v>
      </c>
      <c r="M178" s="18" t="n">
        <f aca="false">IFERROR(ROUND(L178*INDEX('Injectable Value'!$Z$28:$Z$178,MATCH(B178,'Injectable Value'!$A$28:$A$178,0)),0),"")</f>
        <v>188</v>
      </c>
      <c r="N178" s="18" t="n">
        <f aca="false">IFERROR(INDEX('Shortlisted Drugs X Company (7)'!$L$3:$L$698,MATCH(B178,'Shortlisted Drugs X Company (7)'!$C$3:$C$698,0)),"")</f>
        <v>19666.38</v>
      </c>
      <c r="O178" s="15" t="str">
        <f aca="false">IF(AE178="No","IV only (not ID/IM/SC)",IF(AND(V178&gt;0,W178=0),"Price ≤ $5",""))</f>
        <v>IV only (not ID/IM/SC)</v>
      </c>
      <c r="P178" s="14" t="str">
        <f aca="false">IF(O178&lt;&gt;"","",COUNTIFS($A$29:$A$361,A178,$O$29:$O$361,"",$AC$29:$AC$361,"&gt;"&amp;AC178)+COUNTIFS($A$29:A178,A178,$O$29:O178,"",$AC$29:AC178,AC178))</f>
        <v/>
      </c>
      <c r="Q178" s="15" t="str">
        <f aca="false">IF(O178&lt;&gt;"",IF(O178="Price ≤ $5","Excluded – price ≤ $5","Excluded – IV only"),IF(ISNUMBER(D178),IF(AND(D178&gt;=$C$3,M178&gt;=$E$3),"Priority 1",IF(OR(D178&gt;=$C$3,M178&gt;=$E$3),"Priority 2","Priority 3")),IF(M178&gt;=$E$3,"Priority 2","Priority 3")))</f>
        <v>Excluded – IV only</v>
      </c>
      <c r="R178" s="16" t="s">
        <v>285</v>
      </c>
      <c r="S178" s="15" t="s">
        <v>838</v>
      </c>
      <c r="T178" s="32" t="s">
        <v>886</v>
      </c>
      <c r="U178" s="33" t="str">
        <f aca="false">B178&amp;"|"&amp;S178</f>
        <v>Sodium Bicarbonate|Hetero Labs</v>
      </c>
      <c r="V178" s="34" t="n">
        <f aca="false">COUNTIFS('Shortlisted Drugs X Company (7)'!$C$3:$C$698,$B178,'Shortlisted Drugs X Company (7)'!$E$3:$E$698,$S178,'Shortlisted Drugs X Company (7)'!$N$3:$N$698,"&gt;=0")</f>
        <v>1</v>
      </c>
      <c r="W178" s="34" t="n">
        <f aca="false">COUNTIFS('Shortlisted Drugs X Company (7)'!$C$3:$C$698,$B178,'Shortlisted Drugs X Company (7)'!$E$3:$E$698,$S178,'Shortlisted Drugs X Company (7)'!$N$3:$N$698,"&gt;5")</f>
        <v>1</v>
      </c>
      <c r="X178" s="34" t="n">
        <f aca="false">COUNTIFS('Shortlisted Drugs X Company (7)'!$C$3:$C$698,$B178,'Shortlisted Drugs X Company (7)'!$E$3:$E$698,$S178,'Shortlisted Drugs X Company (7)'!$P$3:$P$698,"Exact")+COUNTIFS('Shortlisted Drugs X Company (7)'!$C$3:$C$698,$B178,'Shortlisted Drugs X Company (7)'!$E$3:$E$698,$S178,'Shortlisted Drugs X Company (7)'!$P$3:$P$698,"Same-market proxy")</f>
        <v>1</v>
      </c>
      <c r="Y178" s="33" t="str">
        <f aca="false">A178&amp;"|"&amp;P178</f>
        <v>Hetero|</v>
      </c>
      <c r="Z178" s="16" t="s">
        <v>887</v>
      </c>
      <c r="AA178" s="33" t="n">
        <f aca="false">INDEX($G$7:$G$25,MATCH(A178,$A$7:$A$25,0))</f>
        <v>9</v>
      </c>
      <c r="AB178" s="33" t="str">
        <f aca="false">IF(AE178="No","",AA178*1000+IF(P178="",900+COUNTIFS($A$29:A178,A178,$O$29:O178,"Price ≤ $5"),P178))</f>
        <v/>
      </c>
      <c r="AC178" s="33" t="str">
        <f aca="false">IF(O178&lt;&gt;"","",(4-VALUE(RIGHT(Q178,1)))*10^7+N(F178))</f>
        <v/>
      </c>
      <c r="AD178" s="15" t="str">
        <f aca="false">IFERROR(INDEX('Route of Administration'!$C$5:$C$155,MATCH(B178,'Route of Administration'!$A$5:$A$155,0)),"")</f>
        <v>IV</v>
      </c>
      <c r="AE178" s="14" t="str">
        <f aca="false">IFERROR(INDEX('Route of Administration'!$D$5:$D$155,MATCH(B178,'Route of Administration'!$A$5:$A$155,0)),"")</f>
        <v>No</v>
      </c>
      <c r="AF178" s="19" t="n">
        <f aca="false">IF(V178&gt;0,ROUND(AVERAGEIFS('Shortlisted Drugs X Company (7)'!$N$3:$N$698,'Shortlisted Drugs X Company (7)'!$C$3:$C$698,$B178,'Shortlisted Drugs X Company (7)'!$E$3:$E$698,$S178,'Shortlisted Drugs X Company (7)'!$N$3:$N$698,"&gt;=0"),2),"")</f>
        <v>6.53</v>
      </c>
      <c r="AG178" s="16" t="s">
        <v>884</v>
      </c>
      <c r="AH178" s="16" t="s">
        <v>247</v>
      </c>
      <c r="AI178" s="16" t="s">
        <v>247</v>
      </c>
      <c r="AJ178" s="16" t="str">
        <f aca="false">IF(O178&lt;&gt;"","",IF(ISNUMBER(D178),IF(D178&gt;=$C$3,"High price","Lower price"),"Unpriced")&amp;" · "&amp;IF(M178&gt;=$E$3,"high volume","lower volume"))</f>
        <v/>
      </c>
      <c r="AK178" s="15" t="str">
        <f aca="false">IF(O178&lt;&gt;"",IF(O178="Price ≤ $5","Excluded – price ≤ $5","Excluded – IV only"),IF(ISNUMBER(D178),IF(AND(D178&gt;=$C$3,L178&gt;=$H$3),"Priority 1",IF(OR(D178&gt;=$C$3,L178&gt;=$H$3),"Priority 2","Priority 3")),IF(L178&gt;=$H$3,"Priority 2","Priority 3")))</f>
        <v>Excluded – IV only</v>
      </c>
      <c r="AL178" s="16" t="str">
        <f aca="false">IF(O178&lt;&gt;"","",IF(ISNUMBER(D178),IF(D178&gt;=$C$3,"High price","Lower price"),"Unpriced")&amp;" · "&amp;IF(L178&gt;=$H$3,"high volume","lower volume"))</f>
        <v/>
      </c>
      <c r="AM178" s="14" t="str">
        <f aca="false">IF(O178&lt;&gt;"","",COUNTIFS($A$29:$A$361,A178,$O$29:$O$361,"",$AQ$29:$AQ$361,"&gt;"&amp;AQ178)+COUNTIFS($A$29:A178,A178,$O$29:O178,"",$AQ$29:AQ178,AQ178))</f>
        <v/>
      </c>
      <c r="AN178" s="33" t="str">
        <f aca="false">IF(AND(O178="",ISNUMBER(D178)),D178,"")</f>
        <v/>
      </c>
      <c r="AO178" s="33" t="str">
        <f aca="false">IF(O178="",M178,"")</f>
        <v/>
      </c>
      <c r="AP178" s="33" t="str">
        <f aca="false">IF(O178="",L178,"")</f>
        <v/>
      </c>
      <c r="AQ178" s="33" t="str">
        <f aca="false">IF(O178&lt;&gt;"","",(4-VALUE(RIGHT(AK178,1)))*10^7+N(N178))</f>
        <v/>
      </c>
      <c r="AR178" s="33" t="n">
        <f aca="false">INDEX($O$7:$O$25,MATCH(A178,$I$7:$I$25,0))</f>
        <v>4</v>
      </c>
      <c r="AS178" s="33" t="str">
        <f aca="false">IF(AE178="No","",AR178*1000+IF(AM178="",900+COUNTIFS($A$29:A178,A178,$O$29:O178,"Price ≤ $5"),AM178))</f>
        <v/>
      </c>
    </row>
    <row r="179" customFormat="false" ht="28.35" hidden="false" customHeight="false" outlineLevel="0" collapsed="false">
      <c r="A179" s="15" t="s">
        <v>192</v>
      </c>
      <c r="B179" s="15" t="s">
        <v>724</v>
      </c>
      <c r="C179" s="16" t="s">
        <v>725</v>
      </c>
      <c r="D179" s="17" t="n">
        <f aca="false">IF(W179&gt;0,ROUND(AVERAGEIFS('Shortlisted Drugs X Company (7)'!$N$3:$N$698,'Shortlisted Drugs X Company (7)'!$C$3:$C$698,$B179,'Shortlisted Drugs X Company (7)'!$E$3:$E$698,$S179,'Shortlisted Drugs X Company (7)'!$N$3:$N$698,"&gt;5"),2),"")</f>
        <v>5.03</v>
      </c>
      <c r="E179" s="15" t="str">
        <f aca="false">IF(COUNTIFS('Shortlisted Drugs X Company (7)'!$C$3:$C$698,$B179,'Shortlisted Drugs X Company (7)'!$E$3:$E$698,$S179,'Shortlisted Drugs X Company (7)'!$P$3:$P$698,"Exact")&gt;0,"Exact",IF(COUNTIFS('Shortlisted Drugs X Company (7)'!$C$3:$C$698,$B179,'Shortlisted Drugs X Company (7)'!$E$3:$E$698,$S179,'Shortlisted Drugs X Company (7)'!$P$3:$P$698,"Same-market proxy")&gt;0,"Same-market proxy",IF(COUNTIFS('Shortlisted Drugs X Company (7)'!$C$3:$C$698,$B179,'Shortlisted Drugs X Company (7)'!$E$3:$E$698,$S179,'Shortlisted Drugs X Company (7)'!$P$3:$P$698,"Cross-market proxy")&gt;0,"Cross-market proxy",IF(COUNTIFS('Shortlisted Drugs X Company (7)'!$C$3:$C$698,$B179,'Shortlisted Drugs X Company (7)'!$E$3:$E$698,$S179,'Shortlisted Drugs X Company (7)'!$P$3:$P$698,"Source not found")&gt;0,"Source not found","Not priced"))))</f>
        <v>Same-market proxy</v>
      </c>
      <c r="F179" s="18" t="n">
        <f aca="false">IFERROR(ROUND(INDEX('Injectable Value'!$AA$28:$AA$178,MATCH(B179,'Injectable Value'!$A$28:$A$178,0)),1),"")</f>
        <v>3067.4</v>
      </c>
      <c r="G179" s="16" t="s">
        <v>247</v>
      </c>
      <c r="H179" s="14" t="n">
        <v>1</v>
      </c>
      <c r="I179" s="15" t="s">
        <v>248</v>
      </c>
      <c r="J179" s="15" t="s">
        <v>249</v>
      </c>
      <c r="K179" s="16" t="str">
        <f aca="false">""&amp;IF(V179=0,"Unpriced","")&amp;IF(AND(V179&gt;0,W179=0,X179=0),"Low price from another market – confirm with company","")</f>
        <v/>
      </c>
      <c r="L179" s="18" t="n">
        <f aca="false">IFERROR(INDEX('Shortlisted Drugs X Company (7)'!$K$3:$K$698,MATCH(B179,'Shortlisted Drugs X Company (7)'!$C$3:$C$698,0)),"")</f>
        <v>286</v>
      </c>
      <c r="M179" s="18" t="n">
        <f aca="false">IFERROR(ROUND(L179*INDEX('Injectable Value'!$Z$28:$Z$178,MATCH(B179,'Injectable Value'!$A$28:$A$178,0)),0),"")</f>
        <v>286</v>
      </c>
      <c r="N179" s="18" t="n">
        <f aca="false">IFERROR(INDEX('Shortlisted Drugs X Company (7)'!$L$3:$L$698,MATCH(B179,'Shortlisted Drugs X Company (7)'!$C$3:$C$698,0)),"")</f>
        <v>3067.39</v>
      </c>
      <c r="O179" s="15" t="str">
        <f aca="false">IF(AE179="No","IV only (not ID/IM/SC)",IF(AND(V179&gt;0,W179=0),"Price ≤ $5",""))</f>
        <v/>
      </c>
      <c r="P179" s="14" t="n">
        <f aca="false">IF(O179&lt;&gt;"","",COUNTIFS($A$29:$A$361,A179,$O$29:$O$361,"",$AC$29:$AC$361,"&gt;"&amp;AC179)+COUNTIFS($A$29:A179,A179,$O$29:O179,"",$AC$29:AC179,AC179))</f>
        <v>6</v>
      </c>
      <c r="Q179" s="15" t="str">
        <f aca="false">IF(O179&lt;&gt;"",IF(O179="Price ≤ $5","Excluded – price ≤ $5","Excluded – IV only"),IF(ISNUMBER(D179),IF(AND(D179&gt;=$C$3,M179&gt;=$E$3),"Priority 1",IF(OR(D179&gt;=$C$3,M179&gt;=$E$3),"Priority 2","Priority 3")),IF(M179&gt;=$E$3,"Priority 2","Priority 3")))</f>
        <v>Priority 2</v>
      </c>
      <c r="R179" s="16" t="s">
        <v>250</v>
      </c>
      <c r="S179" s="15" t="s">
        <v>838</v>
      </c>
      <c r="T179" s="32" t="s">
        <v>726</v>
      </c>
      <c r="U179" s="33" t="str">
        <f aca="false">B179&amp;"|"&amp;S179</f>
        <v>Succinylcholine (Suxamethonium)|Hetero Labs</v>
      </c>
      <c r="V179" s="34" t="n">
        <f aca="false">COUNTIFS('Shortlisted Drugs X Company (7)'!$C$3:$C$698,$B179,'Shortlisted Drugs X Company (7)'!$E$3:$E$698,$S179,'Shortlisted Drugs X Company (7)'!$N$3:$N$698,"&gt;=0")</f>
        <v>1</v>
      </c>
      <c r="W179" s="34" t="n">
        <f aca="false">COUNTIFS('Shortlisted Drugs X Company (7)'!$C$3:$C$698,$B179,'Shortlisted Drugs X Company (7)'!$E$3:$E$698,$S179,'Shortlisted Drugs X Company (7)'!$N$3:$N$698,"&gt;5")</f>
        <v>1</v>
      </c>
      <c r="X179" s="34" t="n">
        <f aca="false">COUNTIFS('Shortlisted Drugs X Company (7)'!$C$3:$C$698,$B179,'Shortlisted Drugs X Company (7)'!$E$3:$E$698,$S179,'Shortlisted Drugs X Company (7)'!$P$3:$P$698,"Exact")+COUNTIFS('Shortlisted Drugs X Company (7)'!$C$3:$C$698,$B179,'Shortlisted Drugs X Company (7)'!$E$3:$E$698,$S179,'Shortlisted Drugs X Company (7)'!$P$3:$P$698,"Same-market proxy")</f>
        <v>1</v>
      </c>
      <c r="Y179" s="33" t="str">
        <f aca="false">A179&amp;"|"&amp;P179</f>
        <v>Hetero|6</v>
      </c>
      <c r="Z179" s="16" t="s">
        <v>727</v>
      </c>
      <c r="AA179" s="33" t="n">
        <f aca="false">INDEX($G$7:$G$25,MATCH(A179,$A$7:$A$25,0))</f>
        <v>9</v>
      </c>
      <c r="AB179" s="33" t="n">
        <f aca="false">IF(AE179="No","",AA179*1000+IF(P179="",900+COUNTIFS($A$29:A179,A179,$O$29:O179,"Price ≤ $5"),P179))</f>
        <v>9006</v>
      </c>
      <c r="AC179" s="33" t="n">
        <f aca="false">IF(O179&lt;&gt;"","",(4-VALUE(RIGHT(Q179,1)))*10^7+N(F179))</f>
        <v>20003067.4</v>
      </c>
      <c r="AD179" s="15" t="str">
        <f aca="false">IFERROR(INDEX('Route of Administration'!$C$5:$C$155,MATCH(B179,'Route of Administration'!$A$5:$A$155,0)),"")</f>
        <v>IV, IM</v>
      </c>
      <c r="AE179" s="14" t="str">
        <f aca="false">IFERROR(INDEX('Route of Administration'!$D$5:$D$155,MATCH(B179,'Route of Administration'!$A$5:$A$155,0)),"")</f>
        <v>Yes</v>
      </c>
      <c r="AF179" s="19" t="n">
        <f aca="false">IF(V179&gt;0,ROUND(AVERAGEIFS('Shortlisted Drugs X Company (7)'!$N$3:$N$698,'Shortlisted Drugs X Company (7)'!$C$3:$C$698,$B179,'Shortlisted Drugs X Company (7)'!$E$3:$E$698,$S179,'Shortlisted Drugs X Company (7)'!$N$3:$N$698,"&gt;=0"),2),"")</f>
        <v>5.03</v>
      </c>
      <c r="AG179" s="16" t="s">
        <v>728</v>
      </c>
      <c r="AH179" s="16" t="s">
        <v>247</v>
      </c>
      <c r="AI179" s="16" t="s">
        <v>247</v>
      </c>
      <c r="AJ179" s="16" t="str">
        <f aca="false">IF(O179&lt;&gt;"","",IF(ISNUMBER(D179),IF(D179&gt;=$C$3,"High price","Lower price"),"Unpriced")&amp;" · "&amp;IF(M179&gt;=$E$3,"high volume","lower volume"))</f>
        <v>Lower price · high volume</v>
      </c>
      <c r="AK179" s="15" t="str">
        <f aca="false">IF(O179&lt;&gt;"",IF(O179="Price ≤ $5","Excluded – price ≤ $5","Excluded – IV only"),IF(ISNUMBER(D179),IF(AND(D179&gt;=$C$3,L179&gt;=$H$3),"Priority 1",IF(OR(D179&gt;=$C$3,L179&gt;=$H$3),"Priority 2","Priority 3")),IF(L179&gt;=$H$3,"Priority 2","Priority 3")))</f>
        <v>Priority 2</v>
      </c>
      <c r="AL179" s="16" t="str">
        <f aca="false">IF(O179&lt;&gt;"","",IF(ISNUMBER(D179),IF(D179&gt;=$C$3,"High price","Lower price"),"Unpriced")&amp;" · "&amp;IF(L179&gt;=$H$3,"high volume","lower volume"))</f>
        <v>Lower price · high volume</v>
      </c>
      <c r="AM179" s="14" t="n">
        <f aca="false">IF(O179&lt;&gt;"","",COUNTIFS($A$29:$A$361,A179,$O$29:$O$361,"",$AQ$29:$AQ$361,"&gt;"&amp;AQ179)+COUNTIFS($A$29:A179,A179,$O$29:O179,"",$AQ$29:AQ179,AQ179))</f>
        <v>8</v>
      </c>
      <c r="AN179" s="19" t="n">
        <f aca="false">IF(AND(O179="",ISNUMBER(D179)),D179,"")</f>
        <v>5.03</v>
      </c>
      <c r="AO179" s="20" t="n">
        <f aca="false">IF(O179="",M179,"")</f>
        <v>286</v>
      </c>
      <c r="AP179" s="20" t="n">
        <f aca="false">IF(O179="",L179,"")</f>
        <v>286</v>
      </c>
      <c r="AQ179" s="33" t="n">
        <f aca="false">IF(O179&lt;&gt;"","",(4-VALUE(RIGHT(AK179,1)))*10^7+N(N179))</f>
        <v>20003067.39</v>
      </c>
      <c r="AR179" s="33" t="n">
        <f aca="false">INDEX($O$7:$O$25,MATCH(A179,$I$7:$I$25,0))</f>
        <v>4</v>
      </c>
      <c r="AS179" s="33" t="n">
        <f aca="false">IF(AE179="No","",AR179*1000+IF(AM179="",900+COUNTIFS($A$29:A179,A179,$O$29:O179,"Price ≤ $5"),AM179))</f>
        <v>4008</v>
      </c>
    </row>
    <row r="180" customFormat="false" ht="41.75" hidden="false" customHeight="false" outlineLevel="0" collapsed="false">
      <c r="A180" s="15" t="s">
        <v>192</v>
      </c>
      <c r="B180" s="15" t="s">
        <v>635</v>
      </c>
      <c r="C180" s="16" t="s">
        <v>636</v>
      </c>
      <c r="D180" s="17" t="n">
        <f aca="false">IF(W180&gt;0,ROUND(AVERAGEIFS('Shortlisted Drugs X Company (7)'!$N$3:$N$698,'Shortlisted Drugs X Company (7)'!$C$3:$C$698,$B180,'Shortlisted Drugs X Company (7)'!$E$3:$E$698,$S180,'Shortlisted Drugs X Company (7)'!$N$3:$N$698,"&gt;5"),2),"")</f>
        <v>42.15</v>
      </c>
      <c r="E180" s="15" t="str">
        <f aca="false">IF(COUNTIFS('Shortlisted Drugs X Company (7)'!$C$3:$C$698,$B180,'Shortlisted Drugs X Company (7)'!$E$3:$E$698,$S180,'Shortlisted Drugs X Company (7)'!$P$3:$P$698,"Exact")&gt;0,"Exact",IF(COUNTIFS('Shortlisted Drugs X Company (7)'!$C$3:$C$698,$B180,'Shortlisted Drugs X Company (7)'!$E$3:$E$698,$S180,'Shortlisted Drugs X Company (7)'!$P$3:$P$698,"Same-market proxy")&gt;0,"Same-market proxy",IF(COUNTIFS('Shortlisted Drugs X Company (7)'!$C$3:$C$698,$B180,'Shortlisted Drugs X Company (7)'!$E$3:$E$698,$S180,'Shortlisted Drugs X Company (7)'!$P$3:$P$698,"Cross-market proxy")&gt;0,"Cross-market proxy",IF(COUNTIFS('Shortlisted Drugs X Company (7)'!$C$3:$C$698,$B180,'Shortlisted Drugs X Company (7)'!$E$3:$E$698,$S180,'Shortlisted Drugs X Company (7)'!$P$3:$P$698,"Source not found")&gt;0,"Source not found","Not priced"))))</f>
        <v>Exact</v>
      </c>
      <c r="F180" s="18" t="n">
        <f aca="false">IFERROR(ROUND(INDEX('Injectable Value'!$AA$28:$AA$178,MATCH(B180,'Injectable Value'!$A$28:$A$178,0)),1),"")</f>
        <v>32830.2</v>
      </c>
      <c r="G180" s="16" t="s">
        <v>827</v>
      </c>
      <c r="H180" s="14" t="n">
        <v>7</v>
      </c>
      <c r="I180" s="15" t="s">
        <v>248</v>
      </c>
      <c r="J180" s="15" t="s">
        <v>249</v>
      </c>
      <c r="K180" s="16" t="str">
        <f aca="false">""&amp;IF(V180=0,"Unpriced","")&amp;IF(AND(V180&gt;0,W180=0,X180=0),"Low price from another market – confirm with company","")</f>
        <v/>
      </c>
      <c r="L180" s="18" t="n">
        <f aca="false">IFERROR(INDEX('Shortlisted Drugs X Company (7)'!$K$3:$K$698,MATCH(B180,'Shortlisted Drugs X Company (7)'!$C$3:$C$698,0)),"")</f>
        <v>346</v>
      </c>
      <c r="M180" s="18" t="n">
        <f aca="false">IFERROR(ROUND(L180*INDEX('Injectable Value'!$Z$28:$Z$178,MATCH(B180,'Injectable Value'!$A$28:$A$178,0)),0),"")</f>
        <v>346</v>
      </c>
      <c r="N180" s="18" t="n">
        <f aca="false">IFERROR(INDEX('Shortlisted Drugs X Company (7)'!$L$3:$L$698,MATCH(B180,'Shortlisted Drugs X Company (7)'!$C$3:$C$698,0)),"")</f>
        <v>32830.17</v>
      </c>
      <c r="O180" s="15" t="str">
        <f aca="false">IF(AE180="No","IV only (not ID/IM/SC)",IF(AND(V180&gt;0,W180=0),"Price ≤ $5",""))</f>
        <v>IV only (not ID/IM/SC)</v>
      </c>
      <c r="P180" s="14" t="str">
        <f aca="false">IF(O180&lt;&gt;"","",COUNTIFS($A$29:$A$361,A180,$O$29:$O$361,"",$AC$29:$AC$361,"&gt;"&amp;AC180)+COUNTIFS($A$29:A180,A180,$O$29:O180,"",$AC$29:AC180,AC180))</f>
        <v/>
      </c>
      <c r="Q180" s="15" t="str">
        <f aca="false">IF(O180&lt;&gt;"",IF(O180="Price ≤ $5","Excluded – price ≤ $5","Excluded – IV only"),IF(ISNUMBER(D180),IF(AND(D180&gt;=$C$3,M180&gt;=$E$3),"Priority 1",IF(OR(D180&gt;=$C$3,M180&gt;=$E$3),"Priority 2","Priority 3")),IF(M180&gt;=$E$3,"Priority 2","Priority 3")))</f>
        <v>Excluded – IV only</v>
      </c>
      <c r="R180" s="16" t="s">
        <v>250</v>
      </c>
      <c r="S180" s="15" t="s">
        <v>838</v>
      </c>
      <c r="T180" s="32" t="s">
        <v>637</v>
      </c>
      <c r="U180" s="33" t="str">
        <f aca="false">B180&amp;"|"&amp;S180</f>
        <v>Sugammadex|Hetero Labs</v>
      </c>
      <c r="V180" s="34" t="n">
        <f aca="false">COUNTIFS('Shortlisted Drugs X Company (7)'!$C$3:$C$698,$B180,'Shortlisted Drugs X Company (7)'!$E$3:$E$698,$S180,'Shortlisted Drugs X Company (7)'!$N$3:$N$698,"&gt;=0")</f>
        <v>5</v>
      </c>
      <c r="W180" s="34" t="n">
        <f aca="false">COUNTIFS('Shortlisted Drugs X Company (7)'!$C$3:$C$698,$B180,'Shortlisted Drugs X Company (7)'!$E$3:$E$698,$S180,'Shortlisted Drugs X Company (7)'!$N$3:$N$698,"&gt;5")</f>
        <v>5</v>
      </c>
      <c r="X180" s="34" t="n">
        <f aca="false">COUNTIFS('Shortlisted Drugs X Company (7)'!$C$3:$C$698,$B180,'Shortlisted Drugs X Company (7)'!$E$3:$E$698,$S180,'Shortlisted Drugs X Company (7)'!$P$3:$P$698,"Exact")+COUNTIFS('Shortlisted Drugs X Company (7)'!$C$3:$C$698,$B180,'Shortlisted Drugs X Company (7)'!$E$3:$E$698,$S180,'Shortlisted Drugs X Company (7)'!$P$3:$P$698,"Same-market proxy")</f>
        <v>5</v>
      </c>
      <c r="Y180" s="33" t="str">
        <f aca="false">A180&amp;"|"&amp;P180</f>
        <v>Hetero|</v>
      </c>
      <c r="Z180" s="16" t="s">
        <v>638</v>
      </c>
      <c r="AA180" s="33" t="n">
        <f aca="false">INDEX($G$7:$G$25,MATCH(A180,$A$7:$A$25,0))</f>
        <v>9</v>
      </c>
      <c r="AB180" s="33" t="str">
        <f aca="false">IF(AE180="No","",AA180*1000+IF(P180="",900+COUNTIFS($A$29:A180,A180,$O$29:O180,"Price ≤ $5"),P180))</f>
        <v/>
      </c>
      <c r="AC180" s="33" t="str">
        <f aca="false">IF(O180&lt;&gt;"","",(4-VALUE(RIGHT(Q180,1)))*10^7+N(F180))</f>
        <v/>
      </c>
      <c r="AD180" s="15" t="str">
        <f aca="false">IFERROR(INDEX('Route of Administration'!$C$5:$C$155,MATCH(B180,'Route of Administration'!$A$5:$A$155,0)),"")</f>
        <v>IV</v>
      </c>
      <c r="AE180" s="14" t="str">
        <f aca="false">IFERROR(INDEX('Route of Administration'!$D$5:$D$155,MATCH(B180,'Route of Administration'!$A$5:$A$155,0)),"")</f>
        <v>No</v>
      </c>
      <c r="AF180" s="19" t="n">
        <f aca="false">IF(V180&gt;0,ROUND(AVERAGEIFS('Shortlisted Drugs X Company (7)'!$N$3:$N$698,'Shortlisted Drugs X Company (7)'!$C$3:$C$698,$B180,'Shortlisted Drugs X Company (7)'!$E$3:$E$698,$S180,'Shortlisted Drugs X Company (7)'!$N$3:$N$698,"&gt;=0"),2),"")</f>
        <v>42.15</v>
      </c>
      <c r="AG180" s="16" t="s">
        <v>888</v>
      </c>
      <c r="AH180" s="16" t="s">
        <v>878</v>
      </c>
      <c r="AI180" s="16" t="s">
        <v>878</v>
      </c>
      <c r="AJ180" s="16" t="str">
        <f aca="false">IF(O180&lt;&gt;"","",IF(ISNUMBER(D180),IF(D180&gt;=$C$3,"High price","Lower price"),"Unpriced")&amp;" · "&amp;IF(M180&gt;=$E$3,"high volume","lower volume"))</f>
        <v/>
      </c>
      <c r="AK180" s="15" t="str">
        <f aca="false">IF(O180&lt;&gt;"",IF(O180="Price ≤ $5","Excluded – price ≤ $5","Excluded – IV only"),IF(ISNUMBER(D180),IF(AND(D180&gt;=$C$3,L180&gt;=$H$3),"Priority 1",IF(OR(D180&gt;=$C$3,L180&gt;=$H$3),"Priority 2","Priority 3")),IF(L180&gt;=$H$3,"Priority 2","Priority 3")))</f>
        <v>Excluded – IV only</v>
      </c>
      <c r="AL180" s="16" t="str">
        <f aca="false">IF(O180&lt;&gt;"","",IF(ISNUMBER(D180),IF(D180&gt;=$C$3,"High price","Lower price"),"Unpriced")&amp;" · "&amp;IF(L180&gt;=$H$3,"high volume","lower volume"))</f>
        <v/>
      </c>
      <c r="AM180" s="14" t="str">
        <f aca="false">IF(O180&lt;&gt;"","",COUNTIFS($A$29:$A$361,A180,$O$29:$O$361,"",$AQ$29:$AQ$361,"&gt;"&amp;AQ180)+COUNTIFS($A$29:A180,A180,$O$29:O180,"",$AQ$29:AQ180,AQ180))</f>
        <v/>
      </c>
      <c r="AN180" s="33" t="str">
        <f aca="false">IF(AND(O180="",ISNUMBER(D180)),D180,"")</f>
        <v/>
      </c>
      <c r="AO180" s="33" t="str">
        <f aca="false">IF(O180="",M180,"")</f>
        <v/>
      </c>
      <c r="AP180" s="33" t="str">
        <f aca="false">IF(O180="",L180,"")</f>
        <v/>
      </c>
      <c r="AQ180" s="33" t="str">
        <f aca="false">IF(O180&lt;&gt;"","",(4-VALUE(RIGHT(AK180,1)))*10^7+N(N180))</f>
        <v/>
      </c>
      <c r="AR180" s="33" t="n">
        <f aca="false">INDEX($O$7:$O$25,MATCH(A180,$I$7:$I$25,0))</f>
        <v>4</v>
      </c>
      <c r="AS180" s="33" t="str">
        <f aca="false">IF(AE180="No","",AR180*1000+IF(AM180="",900+COUNTIFS($A$29:A180,A180,$O$29:O180,"Price ≤ $5"),AM180))</f>
        <v/>
      </c>
    </row>
    <row r="181" customFormat="false" ht="28.35" hidden="false" customHeight="false" outlineLevel="0" collapsed="false">
      <c r="A181" s="15" t="s">
        <v>192</v>
      </c>
      <c r="B181" s="15" t="s">
        <v>641</v>
      </c>
      <c r="C181" s="16" t="s">
        <v>642</v>
      </c>
      <c r="D181" s="17" t="n">
        <f aca="false">IF(W181&gt;0,ROUND(AVERAGEIFS('Shortlisted Drugs X Company (7)'!$N$3:$N$698,'Shortlisted Drugs X Company (7)'!$C$3:$C$698,$B181,'Shortlisted Drugs X Company (7)'!$E$3:$E$698,$S181,'Shortlisted Drugs X Company (7)'!$N$3:$N$698,"&gt;5"),2),"")</f>
        <v>36.53</v>
      </c>
      <c r="E181" s="15" t="str">
        <f aca="false">IF(COUNTIFS('Shortlisted Drugs X Company (7)'!$C$3:$C$698,$B181,'Shortlisted Drugs X Company (7)'!$E$3:$E$698,$S181,'Shortlisted Drugs X Company (7)'!$P$3:$P$698,"Exact")&gt;0,"Exact",IF(COUNTIFS('Shortlisted Drugs X Company (7)'!$C$3:$C$698,$B181,'Shortlisted Drugs X Company (7)'!$E$3:$E$698,$S181,'Shortlisted Drugs X Company (7)'!$P$3:$P$698,"Same-market proxy")&gt;0,"Same-market proxy",IF(COUNTIFS('Shortlisted Drugs X Company (7)'!$C$3:$C$698,$B181,'Shortlisted Drugs X Company (7)'!$E$3:$E$698,$S181,'Shortlisted Drugs X Company (7)'!$P$3:$P$698,"Cross-market proxy")&gt;0,"Cross-market proxy",IF(COUNTIFS('Shortlisted Drugs X Company (7)'!$C$3:$C$698,$B181,'Shortlisted Drugs X Company (7)'!$E$3:$E$698,$S181,'Shortlisted Drugs X Company (7)'!$P$3:$P$698,"Source not found")&gt;0,"Source not found","Not priced"))))</f>
        <v>Same-market proxy</v>
      </c>
      <c r="F181" s="18" t="n">
        <f aca="false">IFERROR(ROUND(INDEX('Injectable Value'!$AA$28:$AA$178,MATCH(B181,'Injectable Value'!$A$28:$A$178,0)),1),"")</f>
        <v>6632.6</v>
      </c>
      <c r="G181" s="16" t="s">
        <v>740</v>
      </c>
      <c r="H181" s="14" t="n">
        <v>2</v>
      </c>
      <c r="I181" s="15" t="s">
        <v>248</v>
      </c>
      <c r="J181" s="15" t="s">
        <v>249</v>
      </c>
      <c r="K181" s="16" t="str">
        <f aca="false">"Reconstitution"&amp;IF(V181=0,"; Unpriced","")&amp;IF(AND(V181&gt;0,W181=0,X181=0),"; Low price from another market – confirm with company","")</f>
        <v>Reconstitution</v>
      </c>
      <c r="L181" s="18" t="n">
        <f aca="false">IFERROR(INDEX('Shortlisted Drugs X Company (7)'!$K$3:$K$698,MATCH(B181,'Shortlisted Drugs X Company (7)'!$C$3:$C$698,0)),"")</f>
        <v>106</v>
      </c>
      <c r="M181" s="18" t="n">
        <f aca="false">IFERROR(ROUND(L181*INDEX('Injectable Value'!$Z$28:$Z$178,MATCH(B181,'Injectable Value'!$A$28:$A$178,0)),0),"")</f>
        <v>99</v>
      </c>
      <c r="N181" s="18" t="n">
        <f aca="false">IFERROR(INDEX('Shortlisted Drugs X Company (7)'!$L$3:$L$698,MATCH(B181,'Shortlisted Drugs X Company (7)'!$C$3:$C$698,0)),"")</f>
        <v>7074.72</v>
      </c>
      <c r="O181" s="15" t="str">
        <f aca="false">IF(AE181="No","IV only (not ID/IM/SC)",IF(AND(V181&gt;0,W181=0),"Price ≤ $5",""))</f>
        <v/>
      </c>
      <c r="P181" s="14" t="n">
        <f aca="false">IF(O181&lt;&gt;"","",COUNTIFS($A$29:$A$361,A181,$O$29:$O$361,"",$AC$29:$AC$361,"&gt;"&amp;AC181)+COUNTIFS($A$29:A181,A181,$O$29:O181,"",$AC$29:AC181,AC181))</f>
        <v>5</v>
      </c>
      <c r="Q181" s="15" t="str">
        <f aca="false">IF(O181&lt;&gt;"",IF(O181="Price ≤ $5","Excluded – price ≤ $5","Excluded – IV only"),IF(ISNUMBER(D181),IF(AND(D181&gt;=$C$3,M181&gt;=$E$3),"Priority 1",IF(OR(D181&gt;=$C$3,M181&gt;=$E$3),"Priority 2","Priority 3")),IF(M181&gt;=$E$3,"Priority 2","Priority 3")))</f>
        <v>Priority 2</v>
      </c>
      <c r="R181" s="16" t="s">
        <v>250</v>
      </c>
      <c r="S181" s="15" t="s">
        <v>838</v>
      </c>
      <c r="T181" s="32" t="s">
        <v>643</v>
      </c>
      <c r="U181" s="33" t="str">
        <f aca="false">B181&amp;"|"&amp;S181</f>
        <v>Teicoplanin|Hetero Labs</v>
      </c>
      <c r="V181" s="34" t="n">
        <f aca="false">COUNTIFS('Shortlisted Drugs X Company (7)'!$C$3:$C$698,$B181,'Shortlisted Drugs X Company (7)'!$E$3:$E$698,$S181,'Shortlisted Drugs X Company (7)'!$N$3:$N$698,"&gt;=0")</f>
        <v>2</v>
      </c>
      <c r="W181" s="34" t="n">
        <f aca="false">COUNTIFS('Shortlisted Drugs X Company (7)'!$C$3:$C$698,$B181,'Shortlisted Drugs X Company (7)'!$E$3:$E$698,$S181,'Shortlisted Drugs X Company (7)'!$N$3:$N$698,"&gt;5")</f>
        <v>2</v>
      </c>
      <c r="X181" s="34" t="n">
        <f aca="false">COUNTIFS('Shortlisted Drugs X Company (7)'!$C$3:$C$698,$B181,'Shortlisted Drugs X Company (7)'!$E$3:$E$698,$S181,'Shortlisted Drugs X Company (7)'!$P$3:$P$698,"Exact")+COUNTIFS('Shortlisted Drugs X Company (7)'!$C$3:$C$698,$B181,'Shortlisted Drugs X Company (7)'!$E$3:$E$698,$S181,'Shortlisted Drugs X Company (7)'!$P$3:$P$698,"Same-market proxy")</f>
        <v>1</v>
      </c>
      <c r="Y181" s="33" t="str">
        <f aca="false">A181&amp;"|"&amp;P181</f>
        <v>Hetero|5</v>
      </c>
      <c r="Z181" s="16" t="s">
        <v>889</v>
      </c>
      <c r="AA181" s="33" t="n">
        <f aca="false">INDEX($G$7:$G$25,MATCH(A181,$A$7:$A$25,0))</f>
        <v>9</v>
      </c>
      <c r="AB181" s="33" t="n">
        <f aca="false">IF(AE181="No","",AA181*1000+IF(P181="",900+COUNTIFS($A$29:A181,A181,$O$29:O181,"Price ≤ $5"),P181))</f>
        <v>9005</v>
      </c>
      <c r="AC181" s="33" t="n">
        <f aca="false">IF(O181&lt;&gt;"","",(4-VALUE(RIGHT(Q181,1)))*10^7+N(F181))</f>
        <v>20006632.6</v>
      </c>
      <c r="AD181" s="15" t="str">
        <f aca="false">IFERROR(INDEX('Route of Administration'!$C$5:$C$155,MATCH(B181,'Route of Administration'!$A$5:$A$155,0)),"")</f>
        <v>IV, IM</v>
      </c>
      <c r="AE181" s="14" t="str">
        <f aca="false">IFERROR(INDEX('Route of Administration'!$D$5:$D$155,MATCH(B181,'Route of Administration'!$A$5:$A$155,0)),"")</f>
        <v>Yes</v>
      </c>
      <c r="AF181" s="19" t="n">
        <f aca="false">IF(V181&gt;0,ROUND(AVERAGEIFS('Shortlisted Drugs X Company (7)'!$N$3:$N$698,'Shortlisted Drugs X Company (7)'!$C$3:$C$698,$B181,'Shortlisted Drugs X Company (7)'!$E$3:$E$698,$S181,'Shortlisted Drugs X Company (7)'!$N$3:$N$698,"&gt;=0"),2),"")</f>
        <v>36.53</v>
      </c>
      <c r="AG181" s="16" t="s">
        <v>890</v>
      </c>
      <c r="AH181" s="16" t="s">
        <v>740</v>
      </c>
      <c r="AI181" s="16" t="s">
        <v>740</v>
      </c>
      <c r="AJ181" s="16" t="str">
        <f aca="false">IF(O181&lt;&gt;"","",IF(ISNUMBER(D181),IF(D181&gt;=$C$3,"High price","Lower price"),"Unpriced")&amp;" · "&amp;IF(M181&gt;=$E$3,"high volume","lower volume"))</f>
        <v>High price · lower volume</v>
      </c>
      <c r="AK181" s="15" t="str">
        <f aca="false">IF(O181&lt;&gt;"",IF(O181="Price ≤ $5","Excluded – price ≤ $5","Excluded – IV only"),IF(ISNUMBER(D181),IF(AND(D181&gt;=$C$3,L181&gt;=$H$3),"Priority 1",IF(OR(D181&gt;=$C$3,L181&gt;=$H$3),"Priority 2","Priority 3")),IF(L181&gt;=$H$3,"Priority 2","Priority 3")))</f>
        <v>Priority 2</v>
      </c>
      <c r="AL181" s="16" t="str">
        <f aca="false">IF(O181&lt;&gt;"","",IF(ISNUMBER(D181),IF(D181&gt;=$C$3,"High price","Lower price"),"Unpriced")&amp;" · "&amp;IF(L181&gt;=$H$3,"high volume","lower volume"))</f>
        <v>High price · lower volume</v>
      </c>
      <c r="AM181" s="14" t="n">
        <f aca="false">IF(O181&lt;&gt;"","",COUNTIFS($A$29:$A$361,A181,$O$29:$O$361,"",$AQ$29:$AQ$361,"&gt;"&amp;AQ181)+COUNTIFS($A$29:A181,A181,$O$29:O181,"",$AQ$29:AQ181,AQ181))</f>
        <v>7</v>
      </c>
      <c r="AN181" s="19" t="n">
        <f aca="false">IF(AND(O181="",ISNUMBER(D181)),D181,"")</f>
        <v>36.53</v>
      </c>
      <c r="AO181" s="20" t="n">
        <f aca="false">IF(O181="",M181,"")</f>
        <v>99</v>
      </c>
      <c r="AP181" s="20" t="n">
        <f aca="false">IF(O181="",L181,"")</f>
        <v>106</v>
      </c>
      <c r="AQ181" s="33" t="n">
        <f aca="false">IF(O181&lt;&gt;"","",(4-VALUE(RIGHT(AK181,1)))*10^7+N(N181))</f>
        <v>20007074.72</v>
      </c>
      <c r="AR181" s="33" t="n">
        <f aca="false">INDEX($O$7:$O$25,MATCH(A181,$I$7:$I$25,0))</f>
        <v>4</v>
      </c>
      <c r="AS181" s="33" t="n">
        <f aca="false">IF(AE181="No","",AR181*1000+IF(AM181="",900+COUNTIFS($A$29:A181,A181,$O$29:O181,"Price ≤ $5"),AM181))</f>
        <v>4007</v>
      </c>
    </row>
    <row r="182" customFormat="false" ht="41.75" hidden="false" customHeight="false" outlineLevel="0" collapsed="false">
      <c r="A182" s="15" t="s">
        <v>192</v>
      </c>
      <c r="B182" s="15" t="s">
        <v>568</v>
      </c>
      <c r="C182" s="16" t="s">
        <v>569</v>
      </c>
      <c r="D182" s="17" t="str">
        <f aca="false">IF(W182&gt;0,ROUND(AVERAGEIFS('Shortlisted Drugs X Company (7)'!$N$3:$N$698,'Shortlisted Drugs X Company (7)'!$C$3:$C$698,$B182,'Shortlisted Drugs X Company (7)'!$E$3:$E$698,$S182,'Shortlisted Drugs X Company (7)'!$N$3:$N$698,"&gt;5"),2),"")</f>
        <v/>
      </c>
      <c r="E182" s="15" t="str">
        <f aca="false">IF(COUNTIFS('Shortlisted Drugs X Company (7)'!$C$3:$C$698,$B182,'Shortlisted Drugs X Company (7)'!$E$3:$E$698,$S182,'Shortlisted Drugs X Company (7)'!$P$3:$P$698,"Exact")&gt;0,"Exact",IF(COUNTIFS('Shortlisted Drugs X Company (7)'!$C$3:$C$698,$B182,'Shortlisted Drugs X Company (7)'!$E$3:$E$698,$S182,'Shortlisted Drugs X Company (7)'!$P$3:$P$698,"Same-market proxy")&gt;0,"Same-market proxy",IF(COUNTIFS('Shortlisted Drugs X Company (7)'!$C$3:$C$698,$B182,'Shortlisted Drugs X Company (7)'!$E$3:$E$698,$S182,'Shortlisted Drugs X Company (7)'!$P$3:$P$698,"Cross-market proxy")&gt;0,"Cross-market proxy",IF(COUNTIFS('Shortlisted Drugs X Company (7)'!$C$3:$C$698,$B182,'Shortlisted Drugs X Company (7)'!$E$3:$E$698,$S182,'Shortlisted Drugs X Company (7)'!$P$3:$P$698,"Source not found")&gt;0,"Source not found","Not priced"))))</f>
        <v>Same-market proxy</v>
      </c>
      <c r="F182" s="18" t="n">
        <f aca="false">IFERROR(ROUND(INDEX('Injectable Value'!$AA$28:$AA$178,MATCH(B182,'Injectable Value'!$A$28:$A$178,0)),1),"")</f>
        <v>2476.9</v>
      </c>
      <c r="G182" s="16" t="s">
        <v>247</v>
      </c>
      <c r="H182" s="14" t="n">
        <v>1</v>
      </c>
      <c r="I182" s="15" t="s">
        <v>277</v>
      </c>
      <c r="J182" s="15" t="s">
        <v>277</v>
      </c>
      <c r="K182" s="16" t="str">
        <f aca="false">""&amp;IF(V182=0,"Unpriced","")&amp;IF(AND(V182&gt;0,W182=0,X182=0),"Low price from another market – confirm with company","")</f>
        <v/>
      </c>
      <c r="L182" s="18" t="n">
        <f aca="false">IFERROR(INDEX('Shortlisted Drugs X Company (7)'!$K$3:$K$698,MATCH(B182,'Shortlisted Drugs X Company (7)'!$C$3:$C$698,0)),"")</f>
        <v>374</v>
      </c>
      <c r="M182" s="18" t="n">
        <f aca="false">IFERROR(ROUND(L182*INDEX('Injectable Value'!$Z$28:$Z$178,MATCH(B182,'Injectable Value'!$A$28:$A$178,0)),0),"")</f>
        <v>68</v>
      </c>
      <c r="N182" s="18" t="n">
        <f aca="false">IFERROR(INDEX('Shortlisted Drugs X Company (7)'!$L$3:$L$698,MATCH(B182,'Shortlisted Drugs X Company (7)'!$C$3:$C$698,0)),"")</f>
        <v>13615.47</v>
      </c>
      <c r="O182" s="15" t="str">
        <f aca="false">IF(AE182="No","IV only (not ID/IM/SC)",IF(AND(V182&gt;0,W182=0),"Price ≤ $5",""))</f>
        <v>IV only (not ID/IM/SC)</v>
      </c>
      <c r="P182" s="14" t="str">
        <f aca="false">IF(O182&lt;&gt;"","",COUNTIFS($A$29:$A$361,A182,$O$29:$O$361,"",$AC$29:$AC$361,"&gt;"&amp;AC182)+COUNTIFS($A$29:A182,A182,$O$29:O182,"",$AC$29:AC182,AC182))</f>
        <v/>
      </c>
      <c r="Q182" s="15" t="str">
        <f aca="false">IF(O182&lt;&gt;"",IF(O182="Price ≤ $5","Excluded – price ≤ $5","Excluded – IV only"),IF(ISNUMBER(D182),IF(AND(D182&gt;=$C$3,M182&gt;=$E$3),"Priority 1",IF(OR(D182&gt;=$C$3,M182&gt;=$E$3),"Priority 2","Priority 3")),IF(M182&gt;=$E$3,"Priority 2","Priority 3")))</f>
        <v>Excluded – IV only</v>
      </c>
      <c r="R182" s="16" t="s">
        <v>278</v>
      </c>
      <c r="S182" s="15" t="s">
        <v>838</v>
      </c>
      <c r="T182" s="32" t="s">
        <v>570</v>
      </c>
      <c r="U182" s="33" t="str">
        <f aca="false">B182&amp;"|"&amp;S182</f>
        <v>Verapamil|Hetero Labs</v>
      </c>
      <c r="V182" s="34" t="n">
        <f aca="false">COUNTIFS('Shortlisted Drugs X Company (7)'!$C$3:$C$698,$B182,'Shortlisted Drugs X Company (7)'!$E$3:$E$698,$S182,'Shortlisted Drugs X Company (7)'!$N$3:$N$698,"&gt;=0")</f>
        <v>1</v>
      </c>
      <c r="W182" s="34" t="n">
        <f aca="false">COUNTIFS('Shortlisted Drugs X Company (7)'!$C$3:$C$698,$B182,'Shortlisted Drugs X Company (7)'!$E$3:$E$698,$S182,'Shortlisted Drugs X Company (7)'!$N$3:$N$698,"&gt;5")</f>
        <v>0</v>
      </c>
      <c r="X182" s="34" t="n">
        <f aca="false">COUNTIFS('Shortlisted Drugs X Company (7)'!$C$3:$C$698,$B182,'Shortlisted Drugs X Company (7)'!$E$3:$E$698,$S182,'Shortlisted Drugs X Company (7)'!$P$3:$P$698,"Exact")+COUNTIFS('Shortlisted Drugs X Company (7)'!$C$3:$C$698,$B182,'Shortlisted Drugs X Company (7)'!$E$3:$E$698,$S182,'Shortlisted Drugs X Company (7)'!$P$3:$P$698,"Same-market proxy")</f>
        <v>1</v>
      </c>
      <c r="Y182" s="33" t="str">
        <f aca="false">A182&amp;"|"&amp;P182</f>
        <v>Hetero|</v>
      </c>
      <c r="Z182" s="16" t="s">
        <v>891</v>
      </c>
      <c r="AA182" s="33" t="n">
        <f aca="false">INDEX($G$7:$G$25,MATCH(A182,$A$7:$A$25,0))</f>
        <v>9</v>
      </c>
      <c r="AB182" s="33" t="str">
        <f aca="false">IF(AE182="No","",AA182*1000+IF(P182="",900+COUNTIFS($A$29:A182,A182,$O$29:O182,"Price ≤ $5"),P182))</f>
        <v/>
      </c>
      <c r="AC182" s="33" t="str">
        <f aca="false">IF(O182&lt;&gt;"","",(4-VALUE(RIGHT(Q182,1)))*10^7+N(F182))</f>
        <v/>
      </c>
      <c r="AD182" s="15" t="str">
        <f aca="false">IFERROR(INDEX('Route of Administration'!$C$5:$C$155,MATCH(B182,'Route of Administration'!$A$5:$A$155,0)),"")</f>
        <v>IV</v>
      </c>
      <c r="AE182" s="14" t="str">
        <f aca="false">IFERROR(INDEX('Route of Administration'!$D$5:$D$155,MATCH(B182,'Route of Administration'!$A$5:$A$155,0)),"")</f>
        <v>No</v>
      </c>
      <c r="AF182" s="19" t="n">
        <f aca="false">IF(V182&gt;0,ROUND(AVERAGEIFS('Shortlisted Drugs X Company (7)'!$N$3:$N$698,'Shortlisted Drugs X Company (7)'!$C$3:$C$698,$B182,'Shortlisted Drugs X Company (7)'!$E$3:$E$698,$S182,'Shortlisted Drugs X Company (7)'!$N$3:$N$698,"&gt;=0"),2),"")</f>
        <v>2.67</v>
      </c>
      <c r="AG182" s="16" t="s">
        <v>572</v>
      </c>
      <c r="AH182" s="16" t="s">
        <v>247</v>
      </c>
      <c r="AI182" s="16" t="s">
        <v>247</v>
      </c>
      <c r="AJ182" s="16" t="str">
        <f aca="false">IF(O182&lt;&gt;"","",IF(ISNUMBER(D182),IF(D182&gt;=$C$3,"High price","Lower price"),"Unpriced")&amp;" · "&amp;IF(M182&gt;=$E$3,"high volume","lower volume"))</f>
        <v/>
      </c>
      <c r="AK182" s="15" t="str">
        <f aca="false">IF(O182&lt;&gt;"",IF(O182="Price ≤ $5","Excluded – price ≤ $5","Excluded – IV only"),IF(ISNUMBER(D182),IF(AND(D182&gt;=$C$3,L182&gt;=$H$3),"Priority 1",IF(OR(D182&gt;=$C$3,L182&gt;=$H$3),"Priority 2","Priority 3")),IF(L182&gt;=$H$3,"Priority 2","Priority 3")))</f>
        <v>Excluded – IV only</v>
      </c>
      <c r="AL182" s="16" t="str">
        <f aca="false">IF(O182&lt;&gt;"","",IF(ISNUMBER(D182),IF(D182&gt;=$C$3,"High price","Lower price"),"Unpriced")&amp;" · "&amp;IF(L182&gt;=$H$3,"high volume","lower volume"))</f>
        <v/>
      </c>
      <c r="AM182" s="14" t="str">
        <f aca="false">IF(O182&lt;&gt;"","",COUNTIFS($A$29:$A$361,A182,$O$29:$O$361,"",$AQ$29:$AQ$361,"&gt;"&amp;AQ182)+COUNTIFS($A$29:A182,A182,$O$29:O182,"",$AQ$29:AQ182,AQ182))</f>
        <v/>
      </c>
      <c r="AN182" s="33" t="str">
        <f aca="false">IF(AND(O182="",ISNUMBER(D182)),D182,"")</f>
        <v/>
      </c>
      <c r="AO182" s="33" t="str">
        <f aca="false">IF(O182="",M182,"")</f>
        <v/>
      </c>
      <c r="AP182" s="33" t="str">
        <f aca="false">IF(O182="",L182,"")</f>
        <v/>
      </c>
      <c r="AQ182" s="33" t="str">
        <f aca="false">IF(O182&lt;&gt;"","",(4-VALUE(RIGHT(AK182,1)))*10^7+N(N182))</f>
        <v/>
      </c>
      <c r="AR182" s="33" t="n">
        <f aca="false">INDEX($O$7:$O$25,MATCH(A182,$I$7:$I$25,0))</f>
        <v>4</v>
      </c>
      <c r="AS182" s="33" t="str">
        <f aca="false">IF(AE182="No","",AR182*1000+IF(AM182="",900+COUNTIFS($A$29:A182,A182,$O$29:O182,"Price ≤ $5"),AM182))</f>
        <v/>
      </c>
    </row>
    <row r="183" customFormat="false" ht="28.35" hidden="false" customHeight="false" outlineLevel="0" collapsed="false">
      <c r="A183" s="15" t="s">
        <v>21</v>
      </c>
      <c r="B183" s="15" t="s">
        <v>892</v>
      </c>
      <c r="C183" s="16" t="s">
        <v>893</v>
      </c>
      <c r="D183" s="17" t="n">
        <f aca="false">IF(W183&gt;0,ROUND(AVERAGEIFS('Shortlisted Drugs X Company (7)'!$N$3:$N$698,'Shortlisted Drugs X Company (7)'!$C$3:$C$698,$B183,'Shortlisted Drugs X Company (7)'!$E$3:$E$698,$S183,'Shortlisted Drugs X Company (7)'!$N$3:$N$698,"&gt;5"),2),"")</f>
        <v>14.69</v>
      </c>
      <c r="E183" s="15" t="str">
        <f aca="false">IF(COUNTIFS('Shortlisted Drugs X Company (7)'!$C$3:$C$698,$B183,'Shortlisted Drugs X Company (7)'!$E$3:$E$698,$S183,'Shortlisted Drugs X Company (7)'!$P$3:$P$698,"Exact")&gt;0,"Exact",IF(COUNTIFS('Shortlisted Drugs X Company (7)'!$C$3:$C$698,$B183,'Shortlisted Drugs X Company (7)'!$E$3:$E$698,$S183,'Shortlisted Drugs X Company (7)'!$P$3:$P$698,"Same-market proxy")&gt;0,"Same-market proxy",IF(COUNTIFS('Shortlisted Drugs X Company (7)'!$C$3:$C$698,$B183,'Shortlisted Drugs X Company (7)'!$E$3:$E$698,$S183,'Shortlisted Drugs X Company (7)'!$P$3:$P$698,"Cross-market proxy")&gt;0,"Cross-market proxy",IF(COUNTIFS('Shortlisted Drugs X Company (7)'!$C$3:$C$698,$B183,'Shortlisted Drugs X Company (7)'!$E$3:$E$698,$S183,'Shortlisted Drugs X Company (7)'!$P$3:$P$698,"Source not found")&gt;0,"Source not found","Not priced"))))</f>
        <v>Exact</v>
      </c>
      <c r="F183" s="18" t="n">
        <f aca="false">IFERROR(ROUND(INDEX('Injectable Value'!$AA$28:$AA$178,MATCH(B183,'Injectable Value'!$A$28:$A$178,0)),1),"")</f>
        <v>5633.9</v>
      </c>
      <c r="G183" s="16" t="s">
        <v>881</v>
      </c>
      <c r="H183" s="14" t="n">
        <v>2</v>
      </c>
      <c r="I183" s="15" t="s">
        <v>258</v>
      </c>
      <c r="J183" s="15" t="s">
        <v>249</v>
      </c>
      <c r="K183" s="16" t="str">
        <f aca="false">"Prefilled only"&amp;IF(V183=0,"; Unpriced","")&amp;IF(AND(V183&gt;0,W183=0,X183=0),"; Low price from another market – confirm with company","")</f>
        <v>Prefilled only</v>
      </c>
      <c r="L183" s="18" t="n">
        <f aca="false">IFERROR(INDEX('Shortlisted Drugs X Company (7)'!$K$3:$K$698,MATCH(B183,'Shortlisted Drugs X Company (7)'!$C$3:$C$698,0)),"")</f>
        <v>646</v>
      </c>
      <c r="M183" s="18" t="n">
        <f aca="false">IFERROR(ROUND(L183*INDEX('Injectable Value'!$Z$28:$Z$178,MATCH(B183,'Injectable Value'!$A$28:$A$178,0)),0),"")</f>
        <v>191</v>
      </c>
      <c r="N183" s="18" t="n">
        <f aca="false">IFERROR(INDEX('Shortlisted Drugs X Company (7)'!$L$3:$L$698,MATCH(B183,'Shortlisted Drugs X Company (7)'!$C$3:$C$698,0)),"")</f>
        <v>19089.13</v>
      </c>
      <c r="O183" s="15" t="str">
        <f aca="false">IF(AE183="No","IV only (not ID/IM/SC)",IF(AND(V183&gt;0,W183=0),"Price ≤ $5",""))</f>
        <v>IV only (not ID/IM/SC)</v>
      </c>
      <c r="P183" s="14" t="str">
        <f aca="false">IF(O183&lt;&gt;"","",COUNTIFS($A$29:$A$361,A183,$O$29:$O$361,"",$AC$29:$AC$361,"&gt;"&amp;AC183)+COUNTIFS($A$29:A183,A183,$O$29:O183,"",$AC$29:AC183,AC183))</f>
        <v/>
      </c>
      <c r="Q183" s="15" t="str">
        <f aca="false">IF(O183&lt;&gt;"",IF(O183="Price ≤ $5","Excluded – price ≤ $5","Excluded – IV only"),IF(ISNUMBER(D183),IF(AND(D183&gt;=$C$3,M183&gt;=$E$3),"Priority 1",IF(OR(D183&gt;=$C$3,M183&gt;=$E$3),"Priority 2","Priority 3")),IF(M183&gt;=$E$3,"Priority 2","Priority 3")))</f>
        <v>Excluded – IV only</v>
      </c>
      <c r="R183" s="16" t="s">
        <v>259</v>
      </c>
      <c r="S183" s="15" t="s">
        <v>894</v>
      </c>
      <c r="T183" s="32" t="s">
        <v>895</v>
      </c>
      <c r="U183" s="33" t="str">
        <f aca="false">B183&amp;"|"&amp;S183</f>
        <v>Amiodarone|Intas Pharmaceuticals</v>
      </c>
      <c r="V183" s="34" t="n">
        <f aca="false">COUNTIFS('Shortlisted Drugs X Company (7)'!$C$3:$C$698,$B183,'Shortlisted Drugs X Company (7)'!$E$3:$E$698,$S183,'Shortlisted Drugs X Company (7)'!$N$3:$N$698,"&gt;=0")</f>
        <v>1</v>
      </c>
      <c r="W183" s="34" t="n">
        <f aca="false">COUNTIFS('Shortlisted Drugs X Company (7)'!$C$3:$C$698,$B183,'Shortlisted Drugs X Company (7)'!$E$3:$E$698,$S183,'Shortlisted Drugs X Company (7)'!$N$3:$N$698,"&gt;5")</f>
        <v>1</v>
      </c>
      <c r="X183" s="34" t="n">
        <f aca="false">COUNTIFS('Shortlisted Drugs X Company (7)'!$C$3:$C$698,$B183,'Shortlisted Drugs X Company (7)'!$E$3:$E$698,$S183,'Shortlisted Drugs X Company (7)'!$P$3:$P$698,"Exact")+COUNTIFS('Shortlisted Drugs X Company (7)'!$C$3:$C$698,$B183,'Shortlisted Drugs X Company (7)'!$E$3:$E$698,$S183,'Shortlisted Drugs X Company (7)'!$P$3:$P$698,"Same-market proxy")</f>
        <v>1</v>
      </c>
      <c r="Y183" s="33" t="str">
        <f aca="false">A183&amp;"|"&amp;P183</f>
        <v>Intas|</v>
      </c>
      <c r="Z183" s="16" t="s">
        <v>896</v>
      </c>
      <c r="AA183" s="33" t="n">
        <f aca="false">INDEX($G$7:$G$25,MATCH(A183,$A$7:$A$25,0))</f>
        <v>1</v>
      </c>
      <c r="AB183" s="33" t="str">
        <f aca="false">IF(AE183="No","",AA183*1000+IF(P183="",900+COUNTIFS($A$29:A183,A183,$O$29:O183,"Price ≤ $5"),P183))</f>
        <v/>
      </c>
      <c r="AC183" s="33" t="str">
        <f aca="false">IF(O183&lt;&gt;"","",(4-VALUE(RIGHT(Q183,1)))*10^7+N(F183))</f>
        <v/>
      </c>
      <c r="AD183" s="15" t="str">
        <f aca="false">IFERROR(INDEX('Route of Administration'!$C$5:$C$155,MATCH(B183,'Route of Administration'!$A$5:$A$155,0)),"")</f>
        <v>IV</v>
      </c>
      <c r="AE183" s="14" t="str">
        <f aca="false">IFERROR(INDEX('Route of Administration'!$D$5:$D$155,MATCH(B183,'Route of Administration'!$A$5:$A$155,0)),"")</f>
        <v>No</v>
      </c>
      <c r="AF183" s="19" t="n">
        <f aca="false">IF(V183&gt;0,ROUND(AVERAGEIFS('Shortlisted Drugs X Company (7)'!$N$3:$N$698,'Shortlisted Drugs X Company (7)'!$C$3:$C$698,$B183,'Shortlisted Drugs X Company (7)'!$E$3:$E$698,$S183,'Shortlisted Drugs X Company (7)'!$N$3:$N$698,"&gt;=0"),2),"")</f>
        <v>14.69</v>
      </c>
      <c r="AG183" s="16" t="s">
        <v>897</v>
      </c>
      <c r="AH183" s="16" t="s">
        <v>898</v>
      </c>
      <c r="AI183" s="16" t="s">
        <v>898</v>
      </c>
      <c r="AJ183" s="16" t="str">
        <f aca="false">IF(O183&lt;&gt;"","",IF(ISNUMBER(D183),IF(D183&gt;=$C$3,"High price","Lower price"),"Unpriced")&amp;" · "&amp;IF(M183&gt;=$E$3,"high volume","lower volume"))</f>
        <v/>
      </c>
      <c r="AK183" s="15" t="str">
        <f aca="false">IF(O183&lt;&gt;"",IF(O183="Price ≤ $5","Excluded – price ≤ $5","Excluded – IV only"),IF(ISNUMBER(D183),IF(AND(D183&gt;=$C$3,L183&gt;=$H$3),"Priority 1",IF(OR(D183&gt;=$C$3,L183&gt;=$H$3),"Priority 2","Priority 3")),IF(L183&gt;=$H$3,"Priority 2","Priority 3")))</f>
        <v>Excluded – IV only</v>
      </c>
      <c r="AL183" s="16" t="str">
        <f aca="false">IF(O183&lt;&gt;"","",IF(ISNUMBER(D183),IF(D183&gt;=$C$3,"High price","Lower price"),"Unpriced")&amp;" · "&amp;IF(L183&gt;=$H$3,"high volume","lower volume"))</f>
        <v/>
      </c>
      <c r="AM183" s="14" t="str">
        <f aca="false">IF(O183&lt;&gt;"","",COUNTIFS($A$29:$A$361,A183,$O$29:$O$361,"",$AQ$29:$AQ$361,"&gt;"&amp;AQ183)+COUNTIFS($A$29:A183,A183,$O$29:O183,"",$AQ$29:AQ183,AQ183))</f>
        <v/>
      </c>
      <c r="AN183" s="33" t="str">
        <f aca="false">IF(AND(O183="",ISNUMBER(D183)),D183,"")</f>
        <v/>
      </c>
      <c r="AO183" s="33" t="str">
        <f aca="false">IF(O183="",M183,"")</f>
        <v/>
      </c>
      <c r="AP183" s="33" t="str">
        <f aca="false">IF(O183="",L183,"")</f>
        <v/>
      </c>
      <c r="AQ183" s="33" t="str">
        <f aca="false">IF(O183&lt;&gt;"","",(4-VALUE(RIGHT(AK183,1)))*10^7+N(N183))</f>
        <v/>
      </c>
      <c r="AR183" s="33" t="n">
        <f aca="false">INDEX($O$7:$O$25,MATCH(A183,$I$7:$I$25,0))</f>
        <v>1</v>
      </c>
      <c r="AS183" s="33" t="str">
        <f aca="false">IF(AE183="No","",AR183*1000+IF(AM183="",900+COUNTIFS($A$29:A183,A183,$O$29:O183,"Price ≤ $5"),AM183))</f>
        <v/>
      </c>
    </row>
    <row r="184" customFormat="false" ht="41.75" hidden="false" customHeight="false" outlineLevel="0" collapsed="false">
      <c r="A184" s="15" t="s">
        <v>21</v>
      </c>
      <c r="B184" s="15" t="s">
        <v>899</v>
      </c>
      <c r="C184" s="16" t="s">
        <v>900</v>
      </c>
      <c r="D184" s="17" t="str">
        <f aca="false">IF(W184&gt;0,ROUND(AVERAGEIFS('Shortlisted Drugs X Company (7)'!$N$3:$N$698,'Shortlisted Drugs X Company (7)'!$C$3:$C$698,$B184,'Shortlisted Drugs X Company (7)'!$E$3:$E$698,$S184,'Shortlisted Drugs X Company (7)'!$N$3:$N$698,"&gt;5"),2),"")</f>
        <v/>
      </c>
      <c r="E184" s="15" t="str">
        <f aca="false">IF(COUNTIFS('Shortlisted Drugs X Company (7)'!$C$3:$C$698,$B184,'Shortlisted Drugs X Company (7)'!$E$3:$E$698,$S184,'Shortlisted Drugs X Company (7)'!$P$3:$P$698,"Exact")&gt;0,"Exact",IF(COUNTIFS('Shortlisted Drugs X Company (7)'!$C$3:$C$698,$B184,'Shortlisted Drugs X Company (7)'!$E$3:$E$698,$S184,'Shortlisted Drugs X Company (7)'!$P$3:$P$698,"Same-market proxy")&gt;0,"Same-market proxy",IF(COUNTIFS('Shortlisted Drugs X Company (7)'!$C$3:$C$698,$B184,'Shortlisted Drugs X Company (7)'!$E$3:$E$698,$S184,'Shortlisted Drugs X Company (7)'!$P$3:$P$698,"Cross-market proxy")&gt;0,"Cross-market proxy",IF(COUNTIFS('Shortlisted Drugs X Company (7)'!$C$3:$C$698,$B184,'Shortlisted Drugs X Company (7)'!$E$3:$E$698,$S184,'Shortlisted Drugs X Company (7)'!$P$3:$P$698,"Source not found")&gt;0,"Source not found","Not priced"))))</f>
        <v>Same-market proxy</v>
      </c>
      <c r="F184" s="18" t="n">
        <f aca="false">IFERROR(ROUND(INDEX('Injectable Value'!$AA$28:$AA$178,MATCH(B184,'Injectable Value'!$A$28:$A$178,0)),1),"")</f>
        <v>33794.9</v>
      </c>
      <c r="G184" s="16" t="s">
        <v>881</v>
      </c>
      <c r="H184" s="14" t="n">
        <v>2</v>
      </c>
      <c r="I184" s="15" t="s">
        <v>277</v>
      </c>
      <c r="J184" s="15" t="s">
        <v>277</v>
      </c>
      <c r="K184" s="16" t="str">
        <f aca="false">""&amp;IF(V184=0,"Unpriced","")&amp;IF(AND(V184&gt;0,W184=0,X184=0),"Low price from another market – confirm with company","")</f>
        <v/>
      </c>
      <c r="L184" s="18" t="n">
        <f aca="false">IFERROR(INDEX('Shortlisted Drugs X Company (7)'!$K$3:$K$698,MATCH(B184,'Shortlisted Drugs X Company (7)'!$C$3:$C$698,0)),"")</f>
        <v>9172</v>
      </c>
      <c r="M184" s="18" t="n">
        <f aca="false">IFERROR(ROUND(L184*INDEX('Injectable Value'!$Z$28:$Z$178,MATCH(B184,'Injectable Value'!$A$28:$A$178,0)),0),"")</f>
        <v>715</v>
      </c>
      <c r="N184" s="18" t="n">
        <f aca="false">IFERROR(INDEX('Shortlisted Drugs X Company (7)'!$L$3:$L$698,MATCH(B184,'Shortlisted Drugs X Company (7)'!$C$3:$C$698,0)),"")</f>
        <v>433588.09</v>
      </c>
      <c r="O184" s="15" t="str">
        <f aca="false">IF(AE184="No","IV only (not ID/IM/SC)",IF(AND(V184&gt;0,W184=0),"Price ≤ $5",""))</f>
        <v>Price ≤ $5</v>
      </c>
      <c r="P184" s="14" t="str">
        <f aca="false">IF(O184&lt;&gt;"","",COUNTIFS($A$29:$A$361,A184,$O$29:$O$361,"",$AC$29:$AC$361,"&gt;"&amp;AC184)+COUNTIFS($A$29:A184,A184,$O$29:O184,"",$AC$29:AC184,AC184))</f>
        <v/>
      </c>
      <c r="Q184" s="15" t="str">
        <f aca="false">IF(O184&lt;&gt;"",IF(O184="Price ≤ $5","Excluded – price ≤ $5","Excluded – IV only"),IF(ISNUMBER(D184),IF(AND(D184&gt;=$C$3,M184&gt;=$E$3),"Priority 1",IF(OR(D184&gt;=$C$3,M184&gt;=$E$3),"Priority 2","Priority 3")),IF(M184&gt;=$E$3,"Priority 2","Priority 3")))</f>
        <v>Excluded – price ≤ $5</v>
      </c>
      <c r="R184" s="16" t="s">
        <v>278</v>
      </c>
      <c r="S184" s="15" t="s">
        <v>894</v>
      </c>
      <c r="T184" s="32" t="s">
        <v>901</v>
      </c>
      <c r="U184" s="33" t="str">
        <f aca="false">B184&amp;"|"&amp;S184</f>
        <v>Amoxicillin|Intas Pharmaceuticals</v>
      </c>
      <c r="V184" s="34" t="n">
        <f aca="false">COUNTIFS('Shortlisted Drugs X Company (7)'!$C$3:$C$698,$B184,'Shortlisted Drugs X Company (7)'!$E$3:$E$698,$S184,'Shortlisted Drugs X Company (7)'!$N$3:$N$698,"&gt;=0")</f>
        <v>1</v>
      </c>
      <c r="W184" s="34" t="n">
        <f aca="false">COUNTIFS('Shortlisted Drugs X Company (7)'!$C$3:$C$698,$B184,'Shortlisted Drugs X Company (7)'!$E$3:$E$698,$S184,'Shortlisted Drugs X Company (7)'!$N$3:$N$698,"&gt;5")</f>
        <v>0</v>
      </c>
      <c r="X184" s="34" t="n">
        <f aca="false">COUNTIFS('Shortlisted Drugs X Company (7)'!$C$3:$C$698,$B184,'Shortlisted Drugs X Company (7)'!$E$3:$E$698,$S184,'Shortlisted Drugs X Company (7)'!$P$3:$P$698,"Exact")+COUNTIFS('Shortlisted Drugs X Company (7)'!$C$3:$C$698,$B184,'Shortlisted Drugs X Company (7)'!$E$3:$E$698,$S184,'Shortlisted Drugs X Company (7)'!$P$3:$P$698,"Same-market proxy")</f>
        <v>1</v>
      </c>
      <c r="Y184" s="33" t="str">
        <f aca="false">A184&amp;"|"&amp;P184</f>
        <v>Intas|</v>
      </c>
      <c r="Z184" s="16" t="s">
        <v>902</v>
      </c>
      <c r="AA184" s="33" t="n">
        <f aca="false">INDEX($G$7:$G$25,MATCH(A184,$A$7:$A$25,0))</f>
        <v>1</v>
      </c>
      <c r="AB184" s="33" t="n">
        <f aca="false">IF(AE184="No","",AA184*1000+IF(P184="",900+COUNTIFS($A$29:A184,A184,$O$29:O184,"Price ≤ $5"),P184))</f>
        <v>1901</v>
      </c>
      <c r="AC184" s="33" t="str">
        <f aca="false">IF(O184&lt;&gt;"","",(4-VALUE(RIGHT(Q184,1)))*10^7+N(F184))</f>
        <v/>
      </c>
      <c r="AD184" s="15" t="str">
        <f aca="false">IFERROR(INDEX('Route of Administration'!$C$5:$C$155,MATCH(B184,'Route of Administration'!$A$5:$A$155,0)),"")</f>
        <v>IV, IM</v>
      </c>
      <c r="AE184" s="14" t="str">
        <f aca="false">IFERROR(INDEX('Route of Administration'!$D$5:$D$155,MATCH(B184,'Route of Administration'!$A$5:$A$155,0)),"")</f>
        <v>Yes</v>
      </c>
      <c r="AF184" s="19" t="n">
        <f aca="false">IF(V184&gt;0,ROUND(AVERAGEIFS('Shortlisted Drugs X Company (7)'!$N$3:$N$698,'Shortlisted Drugs X Company (7)'!$C$3:$C$698,$B184,'Shortlisted Drugs X Company (7)'!$E$3:$E$698,$S184,'Shortlisted Drugs X Company (7)'!$N$3:$N$698,"&gt;=0"),2),"")</f>
        <v>1.59</v>
      </c>
      <c r="AG184" s="16" t="s">
        <v>903</v>
      </c>
      <c r="AH184" s="16" t="s">
        <v>904</v>
      </c>
      <c r="AI184" s="16" t="s">
        <v>904</v>
      </c>
      <c r="AJ184" s="16" t="str">
        <f aca="false">IF(O184&lt;&gt;"","",IF(ISNUMBER(D184),IF(D184&gt;=$C$3,"High price","Lower price"),"Unpriced")&amp;" · "&amp;IF(M184&gt;=$E$3,"high volume","lower volume"))</f>
        <v/>
      </c>
      <c r="AK184" s="15" t="str">
        <f aca="false">IF(O184&lt;&gt;"",IF(O184="Price ≤ $5","Excluded – price ≤ $5","Excluded – IV only"),IF(ISNUMBER(D184),IF(AND(D184&gt;=$C$3,L184&gt;=$H$3),"Priority 1",IF(OR(D184&gt;=$C$3,L184&gt;=$H$3),"Priority 2","Priority 3")),IF(L184&gt;=$H$3,"Priority 2","Priority 3")))</f>
        <v>Excluded – price ≤ $5</v>
      </c>
      <c r="AL184" s="16" t="str">
        <f aca="false">IF(O184&lt;&gt;"","",IF(ISNUMBER(D184),IF(D184&gt;=$C$3,"High price","Lower price"),"Unpriced")&amp;" · "&amp;IF(L184&gt;=$H$3,"high volume","lower volume"))</f>
        <v/>
      </c>
      <c r="AM184" s="14" t="str">
        <f aca="false">IF(O184&lt;&gt;"","",COUNTIFS($A$29:$A$361,A184,$O$29:$O$361,"",$AQ$29:$AQ$361,"&gt;"&amp;AQ184)+COUNTIFS($A$29:A184,A184,$O$29:O184,"",$AQ$29:AQ184,AQ184))</f>
        <v/>
      </c>
      <c r="AN184" s="33" t="str">
        <f aca="false">IF(AND(O184="",ISNUMBER(D184)),D184,"")</f>
        <v/>
      </c>
      <c r="AO184" s="33" t="str">
        <f aca="false">IF(O184="",M184,"")</f>
        <v/>
      </c>
      <c r="AP184" s="33" t="str">
        <f aca="false">IF(O184="",L184,"")</f>
        <v/>
      </c>
      <c r="AQ184" s="33" t="str">
        <f aca="false">IF(O184&lt;&gt;"","",(4-VALUE(RIGHT(AK184,1)))*10^7+N(N184))</f>
        <v/>
      </c>
      <c r="AR184" s="33" t="n">
        <f aca="false">INDEX($O$7:$O$25,MATCH(A184,$I$7:$I$25,0))</f>
        <v>1</v>
      </c>
      <c r="AS184" s="33" t="n">
        <f aca="false">IF(AE184="No","",AR184*1000+IF(AM184="",900+COUNTIFS($A$29:A184,A184,$O$29:O184,"Price ≤ $5"),AM184))</f>
        <v>1901</v>
      </c>
    </row>
    <row r="185" customFormat="false" ht="41.75" hidden="false" customHeight="false" outlineLevel="0" collapsed="false">
      <c r="A185" s="15" t="s">
        <v>21</v>
      </c>
      <c r="B185" s="15" t="s">
        <v>291</v>
      </c>
      <c r="C185" s="16" t="s">
        <v>292</v>
      </c>
      <c r="D185" s="17" t="n">
        <f aca="false">IF(W185&gt;0,ROUND(AVERAGEIFS('Shortlisted Drugs X Company (7)'!$N$3:$N$698,'Shortlisted Drugs X Company (7)'!$C$3:$C$698,$B185,'Shortlisted Drugs X Company (7)'!$E$3:$E$698,$S185,'Shortlisted Drugs X Company (7)'!$N$3:$N$698,"&gt;5"),2),"")</f>
        <v>90.4</v>
      </c>
      <c r="E185" s="15" t="str">
        <f aca="false">IF(COUNTIFS('Shortlisted Drugs X Company (7)'!$C$3:$C$698,$B185,'Shortlisted Drugs X Company (7)'!$E$3:$E$698,$S185,'Shortlisted Drugs X Company (7)'!$P$3:$P$698,"Exact")&gt;0,"Exact",IF(COUNTIFS('Shortlisted Drugs X Company (7)'!$C$3:$C$698,$B185,'Shortlisted Drugs X Company (7)'!$E$3:$E$698,$S185,'Shortlisted Drugs X Company (7)'!$P$3:$P$698,"Same-market proxy")&gt;0,"Same-market proxy",IF(COUNTIFS('Shortlisted Drugs X Company (7)'!$C$3:$C$698,$B185,'Shortlisted Drugs X Company (7)'!$E$3:$E$698,$S185,'Shortlisted Drugs X Company (7)'!$P$3:$P$698,"Cross-market proxy")&gt;0,"Cross-market proxy",IF(COUNTIFS('Shortlisted Drugs X Company (7)'!$C$3:$C$698,$B185,'Shortlisted Drugs X Company (7)'!$E$3:$E$698,$S185,'Shortlisted Drugs X Company (7)'!$P$3:$P$698,"Source not found")&gt;0,"Source not found","Not priced"))))</f>
        <v>Same-market proxy</v>
      </c>
      <c r="F185" s="18" t="n">
        <f aca="false">IFERROR(ROUND(INDEX('Injectable Value'!$AA$28:$AA$178,MATCH(B185,'Injectable Value'!$A$28:$A$178,0)),1),"")</f>
        <v>2127.3</v>
      </c>
      <c r="G185" s="16" t="s">
        <v>905</v>
      </c>
      <c r="H185" s="14" t="n">
        <v>5</v>
      </c>
      <c r="I185" s="15" t="s">
        <v>248</v>
      </c>
      <c r="J185" s="15" t="s">
        <v>284</v>
      </c>
      <c r="K185" s="16" t="str">
        <f aca="false">""&amp;IF(V185=0,"Unpriced","")&amp;IF(AND(V185&gt;0,W185=0,X185=0),"Low price from another market – confirm with company","")</f>
        <v/>
      </c>
      <c r="L185" s="18" t="n">
        <f aca="false">IFERROR(INDEX('Shortlisted Drugs X Company (7)'!$K$3:$K$698,MATCH(B185,'Shortlisted Drugs X Company (7)'!$C$3:$C$698,0)),"")</f>
        <v>22</v>
      </c>
      <c r="M185" s="18" t="n">
        <f aca="false">IFERROR(ROUND(L185*INDEX('Injectable Value'!$Z$28:$Z$178,MATCH(B185,'Injectable Value'!$A$28:$A$178,0)),0),"")</f>
        <v>22</v>
      </c>
      <c r="N185" s="18" t="n">
        <f aca="false">IFERROR(INDEX('Shortlisted Drugs X Company (7)'!$L$3:$L$698,MATCH(B185,'Shortlisted Drugs X Company (7)'!$C$3:$C$698,0)),"")</f>
        <v>2127.31</v>
      </c>
      <c r="O185" s="15" t="str">
        <f aca="false">IF(AE185="No","IV only (not ID/IM/SC)",IF(AND(V185&gt;0,W185=0),"Price ≤ $5",""))</f>
        <v>IV only (not ID/IM/SC)</v>
      </c>
      <c r="P185" s="14" t="str">
        <f aca="false">IF(O185&lt;&gt;"","",COUNTIFS($A$29:$A$361,A185,$O$29:$O$361,"",$AC$29:$AC$361,"&gt;"&amp;AC185)+COUNTIFS($A$29:A185,A185,$O$29:O185,"",$AC$29:AC185,AC185))</f>
        <v/>
      </c>
      <c r="Q185" s="15" t="str">
        <f aca="false">IF(O185&lt;&gt;"",IF(O185="Price ≤ $5","Excluded – price ≤ $5","Excluded – IV only"),IF(ISNUMBER(D185),IF(AND(D185&gt;=$C$3,M185&gt;=$E$3),"Priority 1",IF(OR(D185&gt;=$C$3,M185&gt;=$E$3),"Priority 2","Priority 3")),IF(M185&gt;=$E$3,"Priority 2","Priority 3")))</f>
        <v>Excluded – IV only</v>
      </c>
      <c r="R185" s="16" t="s">
        <v>285</v>
      </c>
      <c r="S185" s="15" t="s">
        <v>894</v>
      </c>
      <c r="T185" s="32" t="s">
        <v>293</v>
      </c>
      <c r="U185" s="33" t="str">
        <f aca="false">B185&amp;"|"&amp;S185</f>
        <v>Argatroban|Intas Pharmaceuticals</v>
      </c>
      <c r="V185" s="34" t="n">
        <f aca="false">COUNTIFS('Shortlisted Drugs X Company (7)'!$C$3:$C$698,$B185,'Shortlisted Drugs X Company (7)'!$E$3:$E$698,$S185,'Shortlisted Drugs X Company (7)'!$N$3:$N$698,"&gt;=0")</f>
        <v>1</v>
      </c>
      <c r="W185" s="34" t="n">
        <f aca="false">COUNTIFS('Shortlisted Drugs X Company (7)'!$C$3:$C$698,$B185,'Shortlisted Drugs X Company (7)'!$E$3:$E$698,$S185,'Shortlisted Drugs X Company (7)'!$N$3:$N$698,"&gt;5")</f>
        <v>1</v>
      </c>
      <c r="X185" s="34" t="n">
        <f aca="false">COUNTIFS('Shortlisted Drugs X Company (7)'!$C$3:$C$698,$B185,'Shortlisted Drugs X Company (7)'!$E$3:$E$698,$S185,'Shortlisted Drugs X Company (7)'!$P$3:$P$698,"Exact")+COUNTIFS('Shortlisted Drugs X Company (7)'!$C$3:$C$698,$B185,'Shortlisted Drugs X Company (7)'!$E$3:$E$698,$S185,'Shortlisted Drugs X Company (7)'!$P$3:$P$698,"Same-market proxy")</f>
        <v>1</v>
      </c>
      <c r="Y185" s="33" t="str">
        <f aca="false">A185&amp;"|"&amp;P185</f>
        <v>Intas|</v>
      </c>
      <c r="Z185" s="16" t="s">
        <v>294</v>
      </c>
      <c r="AA185" s="33" t="n">
        <f aca="false">INDEX($G$7:$G$25,MATCH(A185,$A$7:$A$25,0))</f>
        <v>1</v>
      </c>
      <c r="AB185" s="33" t="str">
        <f aca="false">IF(AE185="No","",AA185*1000+IF(P185="",900+COUNTIFS($A$29:A185,A185,$O$29:O185,"Price ≤ $5"),P185))</f>
        <v/>
      </c>
      <c r="AC185" s="33" t="str">
        <f aca="false">IF(O185&lt;&gt;"","",(4-VALUE(RIGHT(Q185,1)))*10^7+N(F185))</f>
        <v/>
      </c>
      <c r="AD185" s="15" t="str">
        <f aca="false">IFERROR(INDEX('Route of Administration'!$C$5:$C$155,MATCH(B185,'Route of Administration'!$A$5:$A$155,0)),"")</f>
        <v>IV</v>
      </c>
      <c r="AE185" s="14" t="str">
        <f aca="false">IFERROR(INDEX('Route of Administration'!$D$5:$D$155,MATCH(B185,'Route of Administration'!$A$5:$A$155,0)),"")</f>
        <v>No</v>
      </c>
      <c r="AF185" s="19" t="n">
        <f aca="false">IF(V185&gt;0,ROUND(AVERAGEIFS('Shortlisted Drugs X Company (7)'!$N$3:$N$698,'Shortlisted Drugs X Company (7)'!$C$3:$C$698,$B185,'Shortlisted Drugs X Company (7)'!$E$3:$E$698,$S185,'Shortlisted Drugs X Company (7)'!$N$3:$N$698,"&gt;=0"),2),"")</f>
        <v>90.4</v>
      </c>
      <c r="AG185" s="16" t="s">
        <v>295</v>
      </c>
      <c r="AH185" s="16" t="s">
        <v>906</v>
      </c>
      <c r="AI185" s="16" t="s">
        <v>906</v>
      </c>
      <c r="AJ185" s="16" t="str">
        <f aca="false">IF(O185&lt;&gt;"","",IF(ISNUMBER(D185),IF(D185&gt;=$C$3,"High price","Lower price"),"Unpriced")&amp;" · "&amp;IF(M185&gt;=$E$3,"high volume","lower volume"))</f>
        <v/>
      </c>
      <c r="AK185" s="15" t="str">
        <f aca="false">IF(O185&lt;&gt;"",IF(O185="Price ≤ $5","Excluded – price ≤ $5","Excluded – IV only"),IF(ISNUMBER(D185),IF(AND(D185&gt;=$C$3,L185&gt;=$H$3),"Priority 1",IF(OR(D185&gt;=$C$3,L185&gt;=$H$3),"Priority 2","Priority 3")),IF(L185&gt;=$H$3,"Priority 2","Priority 3")))</f>
        <v>Excluded – IV only</v>
      </c>
      <c r="AL185" s="16" t="str">
        <f aca="false">IF(O185&lt;&gt;"","",IF(ISNUMBER(D185),IF(D185&gt;=$C$3,"High price","Lower price"),"Unpriced")&amp;" · "&amp;IF(L185&gt;=$H$3,"high volume","lower volume"))</f>
        <v/>
      </c>
      <c r="AM185" s="14" t="str">
        <f aca="false">IF(O185&lt;&gt;"","",COUNTIFS($A$29:$A$361,A185,$O$29:$O$361,"",$AQ$29:$AQ$361,"&gt;"&amp;AQ185)+COUNTIFS($A$29:A185,A185,$O$29:O185,"",$AQ$29:AQ185,AQ185))</f>
        <v/>
      </c>
      <c r="AN185" s="33" t="str">
        <f aca="false">IF(AND(O185="",ISNUMBER(D185)),D185,"")</f>
        <v/>
      </c>
      <c r="AO185" s="33" t="str">
        <f aca="false">IF(O185="",M185,"")</f>
        <v/>
      </c>
      <c r="AP185" s="33" t="str">
        <f aca="false">IF(O185="",L185,"")</f>
        <v/>
      </c>
      <c r="AQ185" s="33" t="str">
        <f aca="false">IF(O185&lt;&gt;"","",(4-VALUE(RIGHT(AK185,1)))*10^7+N(N185))</f>
        <v/>
      </c>
      <c r="AR185" s="33" t="n">
        <f aca="false">INDEX($O$7:$O$25,MATCH(A185,$I$7:$I$25,0))</f>
        <v>1</v>
      </c>
      <c r="AS185" s="33" t="str">
        <f aca="false">IF(AE185="No","",AR185*1000+IF(AM185="",900+COUNTIFS($A$29:A185,A185,$O$29:O185,"Price ≤ $5"),AM185))</f>
        <v/>
      </c>
    </row>
    <row r="186" customFormat="false" ht="28.35" hidden="false" customHeight="false" outlineLevel="0" collapsed="false">
      <c r="A186" s="15" t="s">
        <v>21</v>
      </c>
      <c r="B186" s="15" t="s">
        <v>907</v>
      </c>
      <c r="C186" s="16" t="s">
        <v>564</v>
      </c>
      <c r="D186" s="17" t="n">
        <f aca="false">IF(W186&gt;0,ROUND(AVERAGEIFS('Shortlisted Drugs X Company (7)'!$N$3:$N$698,'Shortlisted Drugs X Company (7)'!$C$3:$C$698,$B186,'Shortlisted Drugs X Company (7)'!$E$3:$E$698,$S186,'Shortlisted Drugs X Company (7)'!$N$3:$N$698,"&gt;5"),2),"")</f>
        <v>5.48</v>
      </c>
      <c r="E186" s="15" t="str">
        <f aca="false">IF(COUNTIFS('Shortlisted Drugs X Company (7)'!$C$3:$C$698,$B186,'Shortlisted Drugs X Company (7)'!$E$3:$E$698,$S186,'Shortlisted Drugs X Company (7)'!$P$3:$P$698,"Exact")&gt;0,"Exact",IF(COUNTIFS('Shortlisted Drugs X Company (7)'!$C$3:$C$698,$B186,'Shortlisted Drugs X Company (7)'!$E$3:$E$698,$S186,'Shortlisted Drugs X Company (7)'!$P$3:$P$698,"Same-market proxy")&gt;0,"Same-market proxy",IF(COUNTIFS('Shortlisted Drugs X Company (7)'!$C$3:$C$698,$B186,'Shortlisted Drugs X Company (7)'!$E$3:$E$698,$S186,'Shortlisted Drugs X Company (7)'!$P$3:$P$698,"Cross-market proxy")&gt;0,"Cross-market proxy",IF(COUNTIFS('Shortlisted Drugs X Company (7)'!$C$3:$C$698,$B186,'Shortlisted Drugs X Company (7)'!$E$3:$E$698,$S186,'Shortlisted Drugs X Company (7)'!$P$3:$P$698,"Source not found")&gt;0,"Source not found","Not priced"))))</f>
        <v>Cross-market proxy</v>
      </c>
      <c r="F186" s="18" t="n">
        <f aca="false">IFERROR(ROUND(INDEX('Injectable Value'!$AA$28:$AA$178,MATCH(B186,'Injectable Value'!$A$28:$A$178,0)),1),"")</f>
        <v>3257.6</v>
      </c>
      <c r="G186" s="16" t="s">
        <v>881</v>
      </c>
      <c r="H186" s="14" t="n">
        <v>1</v>
      </c>
      <c r="I186" s="15" t="s">
        <v>277</v>
      </c>
      <c r="J186" s="15" t="s">
        <v>277</v>
      </c>
      <c r="K186" s="16" t="str">
        <f aca="false">""&amp;IF(V186=0,"Unpriced","")&amp;IF(AND(V186&gt;0,W186=0,X186=0),"Low price from another market – confirm with company","")</f>
        <v/>
      </c>
      <c r="L186" s="18" t="n">
        <f aca="false">IFERROR(INDEX('Shortlisted Drugs X Company (7)'!$K$3:$K$698,MATCH(B186,'Shortlisted Drugs X Company (7)'!$C$3:$C$698,0)),"")</f>
        <v>252</v>
      </c>
      <c r="M186" s="18" t="n">
        <f aca="false">IFERROR(ROUND(L186*INDEX('Injectable Value'!$Z$28:$Z$178,MATCH(B186,'Injectable Value'!$A$28:$A$178,0)),0),"")</f>
        <v>252</v>
      </c>
      <c r="N186" s="18" t="n">
        <f aca="false">IFERROR(INDEX('Shortlisted Drugs X Company (7)'!$L$3:$L$698,MATCH(B186,'Shortlisted Drugs X Company (7)'!$C$3:$C$698,0)),"")</f>
        <v>3257.58</v>
      </c>
      <c r="O186" s="15" t="str">
        <f aca="false">IF(AE186="No","IV only (not ID/IM/SC)",IF(AND(V186&gt;0,W186=0),"Price ≤ $5",""))</f>
        <v>IV only (not ID/IM/SC)</v>
      </c>
      <c r="P186" s="14" t="str">
        <f aca="false">IF(O186&lt;&gt;"","",COUNTIFS($A$29:$A$361,A186,$O$29:$O$361,"",$AC$29:$AC$361,"&gt;"&amp;AC186)+COUNTIFS($A$29:A186,A186,$O$29:O186,"",$AC$29:AC186,AC186))</f>
        <v/>
      </c>
      <c r="Q186" s="15" t="str">
        <f aca="false">IF(O186&lt;&gt;"",IF(O186="Price ≤ $5","Excluded – price ≤ $5","Excluded – IV only"),IF(ISNUMBER(D186),IF(AND(D186&gt;=$C$3,M186&gt;=$E$3),"Priority 1",IF(OR(D186&gt;=$C$3,M186&gt;=$E$3),"Priority 2","Priority 3")),IF(M186&gt;=$E$3,"Priority 2","Priority 3")))</f>
        <v>Excluded – IV only</v>
      </c>
      <c r="R186" s="16" t="s">
        <v>278</v>
      </c>
      <c r="S186" s="15" t="s">
        <v>894</v>
      </c>
      <c r="T186" s="32" t="s">
        <v>908</v>
      </c>
      <c r="U186" s="33" t="str">
        <f aca="false">B186&amp;"|"&amp;S186</f>
        <v>Atracurium|Intas Pharmaceuticals</v>
      </c>
      <c r="V186" s="34" t="n">
        <f aca="false">COUNTIFS('Shortlisted Drugs X Company (7)'!$C$3:$C$698,$B186,'Shortlisted Drugs X Company (7)'!$E$3:$E$698,$S186,'Shortlisted Drugs X Company (7)'!$N$3:$N$698,"&gt;=0")</f>
        <v>1</v>
      </c>
      <c r="W186" s="34" t="n">
        <f aca="false">COUNTIFS('Shortlisted Drugs X Company (7)'!$C$3:$C$698,$B186,'Shortlisted Drugs X Company (7)'!$E$3:$E$698,$S186,'Shortlisted Drugs X Company (7)'!$N$3:$N$698,"&gt;5")</f>
        <v>1</v>
      </c>
      <c r="X186" s="34" t="n">
        <f aca="false">COUNTIFS('Shortlisted Drugs X Company (7)'!$C$3:$C$698,$B186,'Shortlisted Drugs X Company (7)'!$E$3:$E$698,$S186,'Shortlisted Drugs X Company (7)'!$P$3:$P$698,"Exact")+COUNTIFS('Shortlisted Drugs X Company (7)'!$C$3:$C$698,$B186,'Shortlisted Drugs X Company (7)'!$E$3:$E$698,$S186,'Shortlisted Drugs X Company (7)'!$P$3:$P$698,"Same-market proxy")</f>
        <v>0</v>
      </c>
      <c r="Y186" s="33" t="str">
        <f aca="false">A186&amp;"|"&amp;P186</f>
        <v>Intas|</v>
      </c>
      <c r="Z186" s="16" t="s">
        <v>879</v>
      </c>
      <c r="AA186" s="33" t="n">
        <f aca="false">INDEX($G$7:$G$25,MATCH(A186,$A$7:$A$25,0))</f>
        <v>1</v>
      </c>
      <c r="AB186" s="33" t="str">
        <f aca="false">IF(AE186="No","",AA186*1000+IF(P186="",900+COUNTIFS($A$29:A186,A186,$O$29:O186,"Price ≤ $5"),P186))</f>
        <v/>
      </c>
      <c r="AC186" s="33" t="str">
        <f aca="false">IF(O186&lt;&gt;"","",(4-VALUE(RIGHT(Q186,1)))*10^7+N(F186))</f>
        <v/>
      </c>
      <c r="AD186" s="15" t="str">
        <f aca="false">IFERROR(INDEX('Route of Administration'!$C$5:$C$155,MATCH(B186,'Route of Administration'!$A$5:$A$155,0)),"")</f>
        <v>IV</v>
      </c>
      <c r="AE186" s="14" t="str">
        <f aca="false">IFERROR(INDEX('Route of Administration'!$D$5:$D$155,MATCH(B186,'Route of Administration'!$A$5:$A$155,0)),"")</f>
        <v>No</v>
      </c>
      <c r="AF186" s="19" t="n">
        <f aca="false">IF(V186&gt;0,ROUND(AVERAGEIFS('Shortlisted Drugs X Company (7)'!$N$3:$N$698,'Shortlisted Drugs X Company (7)'!$C$3:$C$698,$B186,'Shortlisted Drugs X Company (7)'!$E$3:$E$698,$S186,'Shortlisted Drugs X Company (7)'!$N$3:$N$698,"&gt;=0"),2),"")</f>
        <v>5.48</v>
      </c>
      <c r="AG186" s="16" t="s">
        <v>909</v>
      </c>
      <c r="AH186" s="16" t="s">
        <v>881</v>
      </c>
      <c r="AI186" s="16" t="s">
        <v>881</v>
      </c>
      <c r="AJ186" s="16" t="str">
        <f aca="false">IF(O186&lt;&gt;"","",IF(ISNUMBER(D186),IF(D186&gt;=$C$3,"High price","Lower price"),"Unpriced")&amp;" · "&amp;IF(M186&gt;=$E$3,"high volume","lower volume"))</f>
        <v/>
      </c>
      <c r="AK186" s="15" t="str">
        <f aca="false">IF(O186&lt;&gt;"",IF(O186="Price ≤ $5","Excluded – price ≤ $5","Excluded – IV only"),IF(ISNUMBER(D186),IF(AND(D186&gt;=$C$3,L186&gt;=$H$3),"Priority 1",IF(OR(D186&gt;=$C$3,L186&gt;=$H$3),"Priority 2","Priority 3")),IF(L186&gt;=$H$3,"Priority 2","Priority 3")))</f>
        <v>Excluded – IV only</v>
      </c>
      <c r="AL186" s="16" t="str">
        <f aca="false">IF(O186&lt;&gt;"","",IF(ISNUMBER(D186),IF(D186&gt;=$C$3,"High price","Lower price"),"Unpriced")&amp;" · "&amp;IF(L186&gt;=$H$3,"high volume","lower volume"))</f>
        <v/>
      </c>
      <c r="AM186" s="14" t="str">
        <f aca="false">IF(O186&lt;&gt;"","",COUNTIFS($A$29:$A$361,A186,$O$29:$O$361,"",$AQ$29:$AQ$361,"&gt;"&amp;AQ186)+COUNTIFS($A$29:A186,A186,$O$29:O186,"",$AQ$29:AQ186,AQ186))</f>
        <v/>
      </c>
      <c r="AN186" s="33" t="str">
        <f aca="false">IF(AND(O186="",ISNUMBER(D186)),D186,"")</f>
        <v/>
      </c>
      <c r="AO186" s="33" t="str">
        <f aca="false">IF(O186="",M186,"")</f>
        <v/>
      </c>
      <c r="AP186" s="33" t="str">
        <f aca="false">IF(O186="",L186,"")</f>
        <v/>
      </c>
      <c r="AQ186" s="33" t="str">
        <f aca="false">IF(O186&lt;&gt;"","",(4-VALUE(RIGHT(AK186,1)))*10^7+N(N186))</f>
        <v/>
      </c>
      <c r="AR186" s="33" t="n">
        <f aca="false">INDEX($O$7:$O$25,MATCH(A186,$I$7:$I$25,0))</f>
        <v>1</v>
      </c>
      <c r="AS186" s="33" t="str">
        <f aca="false">IF(AE186="No","",AR186*1000+IF(AM186="",900+COUNTIFS($A$29:A186,A186,$O$29:O186,"Price ≤ $5"),AM186))</f>
        <v/>
      </c>
    </row>
    <row r="187" customFormat="false" ht="41.75" hidden="false" customHeight="false" outlineLevel="0" collapsed="false">
      <c r="A187" s="15" t="s">
        <v>21</v>
      </c>
      <c r="B187" s="15" t="s">
        <v>910</v>
      </c>
      <c r="C187" s="16" t="s">
        <v>911</v>
      </c>
      <c r="D187" s="17" t="n">
        <f aca="false">IF(W187&gt;0,ROUND(AVERAGEIFS('Shortlisted Drugs X Company (7)'!$N$3:$N$698,'Shortlisted Drugs X Company (7)'!$C$3:$C$698,$B187,'Shortlisted Drugs X Company (7)'!$E$3:$E$698,$S187,'Shortlisted Drugs X Company (7)'!$N$3:$N$698,"&gt;5"),2),"")</f>
        <v>16.48</v>
      </c>
      <c r="E187" s="15" t="str">
        <f aca="false">IF(COUNTIFS('Shortlisted Drugs X Company (7)'!$C$3:$C$698,$B187,'Shortlisted Drugs X Company (7)'!$E$3:$E$698,$S187,'Shortlisted Drugs X Company (7)'!$P$3:$P$698,"Exact")&gt;0,"Exact",IF(COUNTIFS('Shortlisted Drugs X Company (7)'!$C$3:$C$698,$B187,'Shortlisted Drugs X Company (7)'!$E$3:$E$698,$S187,'Shortlisted Drugs X Company (7)'!$P$3:$P$698,"Same-market proxy")&gt;0,"Same-market proxy",IF(COUNTIFS('Shortlisted Drugs X Company (7)'!$C$3:$C$698,$B187,'Shortlisted Drugs X Company (7)'!$E$3:$E$698,$S187,'Shortlisted Drugs X Company (7)'!$P$3:$P$698,"Cross-market proxy")&gt;0,"Cross-market proxy",IF(COUNTIFS('Shortlisted Drugs X Company (7)'!$C$3:$C$698,$B187,'Shortlisted Drugs X Company (7)'!$E$3:$E$698,$S187,'Shortlisted Drugs X Company (7)'!$P$3:$P$698,"Source not found")&gt;0,"Source not found","Not priced"))))</f>
        <v>Exact</v>
      </c>
      <c r="F187" s="18" t="n">
        <f aca="false">IFERROR(ROUND(INDEX('Injectable Value'!$AA$28:$AA$178,MATCH(B187,'Injectable Value'!$A$28:$A$178,0)),1),"")</f>
        <v>6805</v>
      </c>
      <c r="G187" s="16" t="s">
        <v>729</v>
      </c>
      <c r="H187" s="14" t="n">
        <v>16</v>
      </c>
      <c r="I187" s="15" t="s">
        <v>441</v>
      </c>
      <c r="J187" s="15" t="s">
        <v>249</v>
      </c>
      <c r="K187" s="16" t="str">
        <f aca="false">""&amp;IF(V187=0,"Unpriced","")&amp;IF(AND(V187&gt;0,W187=0,X187=0),"Low price from another market – confirm with company","")</f>
        <v/>
      </c>
      <c r="L187" s="18" t="n">
        <f aca="false">IFERROR(INDEX('Shortlisted Drugs X Company (7)'!$K$3:$K$698,MATCH(B187,'Shortlisted Drugs X Company (7)'!$C$3:$C$698,0)),"")</f>
        <v>976</v>
      </c>
      <c r="M187" s="18" t="n">
        <f aca="false">IFERROR(ROUND(L187*INDEX('Injectable Value'!$Z$28:$Z$178,MATCH(B187,'Injectable Value'!$A$28:$A$178,0)),0),"")</f>
        <v>715</v>
      </c>
      <c r="N187" s="18" t="n">
        <f aca="false">IFERROR(INDEX('Shortlisted Drugs X Company (7)'!$L$3:$L$698,MATCH(B187,'Shortlisted Drugs X Company (7)'!$C$3:$C$698,0)),"")</f>
        <v>9295.14</v>
      </c>
      <c r="O187" s="15" t="str">
        <f aca="false">IF(AE187="No","IV only (not ID/IM/SC)",IF(AND(V187&gt;0,W187=0),"Price ≤ $5",""))</f>
        <v/>
      </c>
      <c r="P187" s="14" t="n">
        <f aca="false">IF(O187&lt;&gt;"","",COUNTIFS($A$29:$A$361,A187,$O$29:$O$361,"",$AC$29:$AC$361,"&gt;"&amp;AC187)+COUNTIFS($A$29:A187,A187,$O$29:O187,"",$AC$29:AC187,AC187))</f>
        <v>14</v>
      </c>
      <c r="Q187" s="15" t="str">
        <f aca="false">IF(O187&lt;&gt;"",IF(O187="Price ≤ $5","Excluded – price ≤ $5","Excluded – IV only"),IF(ISNUMBER(D187),IF(AND(D187&gt;=$C$3,M187&gt;=$E$3),"Priority 1",IF(OR(D187&gt;=$C$3,M187&gt;=$E$3),"Priority 2","Priority 3")),IF(M187&gt;=$E$3,"Priority 2","Priority 3")))</f>
        <v>Priority 2</v>
      </c>
      <c r="R187" s="16" t="s">
        <v>285</v>
      </c>
      <c r="S187" s="15" t="s">
        <v>894</v>
      </c>
      <c r="T187" s="32" t="s">
        <v>912</v>
      </c>
      <c r="U187" s="33" t="str">
        <f aca="false">B187&amp;"|"&amp;S187</f>
        <v>Atropine|Intas Pharmaceuticals</v>
      </c>
      <c r="V187" s="34" t="n">
        <f aca="false">COUNTIFS('Shortlisted Drugs X Company (7)'!$C$3:$C$698,$B187,'Shortlisted Drugs X Company (7)'!$E$3:$E$698,$S187,'Shortlisted Drugs X Company (7)'!$N$3:$N$698,"&gt;=0")</f>
        <v>8</v>
      </c>
      <c r="W187" s="34" t="n">
        <f aca="false">COUNTIFS('Shortlisted Drugs X Company (7)'!$C$3:$C$698,$B187,'Shortlisted Drugs X Company (7)'!$E$3:$E$698,$S187,'Shortlisted Drugs X Company (7)'!$N$3:$N$698,"&gt;5")</f>
        <v>8</v>
      </c>
      <c r="X187" s="34" t="n">
        <f aca="false">COUNTIFS('Shortlisted Drugs X Company (7)'!$C$3:$C$698,$B187,'Shortlisted Drugs X Company (7)'!$E$3:$E$698,$S187,'Shortlisted Drugs X Company (7)'!$P$3:$P$698,"Exact")+COUNTIFS('Shortlisted Drugs X Company (7)'!$C$3:$C$698,$B187,'Shortlisted Drugs X Company (7)'!$E$3:$E$698,$S187,'Shortlisted Drugs X Company (7)'!$P$3:$P$698,"Same-market proxy")</f>
        <v>8</v>
      </c>
      <c r="Y187" s="33" t="str">
        <f aca="false">A187&amp;"|"&amp;P187</f>
        <v>Intas|14</v>
      </c>
      <c r="Z187" s="16" t="s">
        <v>913</v>
      </c>
      <c r="AA187" s="33" t="n">
        <f aca="false">INDEX($G$7:$G$25,MATCH(A187,$A$7:$A$25,0))</f>
        <v>1</v>
      </c>
      <c r="AB187" s="33" t="n">
        <f aca="false">IF(AE187="No","",AA187*1000+IF(P187="",900+COUNTIFS($A$29:A187,A187,$O$29:O187,"Price ≤ $5"),P187))</f>
        <v>1014</v>
      </c>
      <c r="AC187" s="33" t="n">
        <f aca="false">IF(O187&lt;&gt;"","",(4-VALUE(RIGHT(Q187,1)))*10^7+N(F187))</f>
        <v>20006805</v>
      </c>
      <c r="AD187" s="15" t="str">
        <f aca="false">IFERROR(INDEX('Route of Administration'!$C$5:$C$155,MATCH(B187,'Route of Administration'!$A$5:$A$155,0)),"")</f>
        <v>IV, IM, SC</v>
      </c>
      <c r="AE187" s="14" t="str">
        <f aca="false">IFERROR(INDEX('Route of Administration'!$D$5:$D$155,MATCH(B187,'Route of Administration'!$A$5:$A$155,0)),"")</f>
        <v>Yes</v>
      </c>
      <c r="AF187" s="19" t="n">
        <f aca="false">IF(V187&gt;0,ROUND(AVERAGEIFS('Shortlisted Drugs X Company (7)'!$N$3:$N$698,'Shortlisted Drugs X Company (7)'!$C$3:$C$698,$B187,'Shortlisted Drugs X Company (7)'!$E$3:$E$698,$S187,'Shortlisted Drugs X Company (7)'!$N$3:$N$698,"&gt;=0"),2),"")</f>
        <v>16.48</v>
      </c>
      <c r="AG187" s="16" t="s">
        <v>914</v>
      </c>
      <c r="AH187" s="16" t="s">
        <v>915</v>
      </c>
      <c r="AI187" s="16" t="s">
        <v>916</v>
      </c>
      <c r="AJ187" s="16" t="str">
        <f aca="false">IF(O187&lt;&gt;"","",IF(ISNUMBER(D187),IF(D187&gt;=$C$3,"High price","Lower price"),"Unpriced")&amp;" · "&amp;IF(M187&gt;=$E$3,"high volume","lower volume"))</f>
        <v>Lower price · high volume</v>
      </c>
      <c r="AK187" s="15" t="str">
        <f aca="false">IF(O187&lt;&gt;"",IF(O187="Price ≤ $5","Excluded – price ≤ $5","Excluded – IV only"),IF(ISNUMBER(D187),IF(AND(D187&gt;=$C$3,L187&gt;=$H$3),"Priority 1",IF(OR(D187&gt;=$C$3,L187&gt;=$H$3),"Priority 2","Priority 3")),IF(L187&gt;=$H$3,"Priority 2","Priority 3")))</f>
        <v>Priority 2</v>
      </c>
      <c r="AL187" s="16" t="str">
        <f aca="false">IF(O187&lt;&gt;"","",IF(ISNUMBER(D187),IF(D187&gt;=$C$3,"High price","Lower price"),"Unpriced")&amp;" · "&amp;IF(L187&gt;=$H$3,"high volume","lower volume"))</f>
        <v>Lower price · high volume</v>
      </c>
      <c r="AM187" s="14" t="n">
        <f aca="false">IF(O187&lt;&gt;"","",COUNTIFS($A$29:$A$361,A187,$O$29:$O$361,"",$AQ$29:$AQ$361,"&gt;"&amp;AQ187)+COUNTIFS($A$29:A187,A187,$O$29:O187,"",$AQ$29:AQ187,AQ187))</f>
        <v>14</v>
      </c>
      <c r="AN187" s="19" t="n">
        <f aca="false">IF(AND(O187="",ISNUMBER(D187)),D187,"")</f>
        <v>16.48</v>
      </c>
      <c r="AO187" s="20" t="n">
        <f aca="false">IF(O187="",M187,"")</f>
        <v>715</v>
      </c>
      <c r="AP187" s="20" t="n">
        <f aca="false">IF(O187="",L187,"")</f>
        <v>976</v>
      </c>
      <c r="AQ187" s="33" t="n">
        <f aca="false">IF(O187&lt;&gt;"","",(4-VALUE(RIGHT(AK187,1)))*10^7+N(N187))</f>
        <v>20009295.14</v>
      </c>
      <c r="AR187" s="33" t="n">
        <f aca="false">INDEX($O$7:$O$25,MATCH(A187,$I$7:$I$25,0))</f>
        <v>1</v>
      </c>
      <c r="AS187" s="33" t="n">
        <f aca="false">IF(AE187="No","",AR187*1000+IF(AM187="",900+COUNTIFS($A$29:A187,A187,$O$29:O187,"Price ≤ $5"),AM187))</f>
        <v>1014</v>
      </c>
    </row>
    <row r="188" customFormat="false" ht="82.05" hidden="false" customHeight="false" outlineLevel="0" collapsed="false">
      <c r="A188" s="15" t="s">
        <v>21</v>
      </c>
      <c r="B188" s="15" t="s">
        <v>296</v>
      </c>
      <c r="C188" s="16" t="s">
        <v>297</v>
      </c>
      <c r="D188" s="17" t="n">
        <f aca="false">IF(W188&gt;0,ROUND(AVERAGEIFS('Shortlisted Drugs X Company (7)'!$N$3:$N$698,'Shortlisted Drugs X Company (7)'!$C$3:$C$698,$B188,'Shortlisted Drugs X Company (7)'!$E$3:$E$698,$S188,'Shortlisted Drugs X Company (7)'!$N$3:$N$698,"&gt;5"),2),"")</f>
        <v>256.12</v>
      </c>
      <c r="E188" s="15" t="str">
        <f aca="false">IF(COUNTIFS('Shortlisted Drugs X Company (7)'!$C$3:$C$698,$B188,'Shortlisted Drugs X Company (7)'!$E$3:$E$698,$S188,'Shortlisted Drugs X Company (7)'!$P$3:$P$698,"Exact")&gt;0,"Exact",IF(COUNTIFS('Shortlisted Drugs X Company (7)'!$C$3:$C$698,$B188,'Shortlisted Drugs X Company (7)'!$E$3:$E$698,$S188,'Shortlisted Drugs X Company (7)'!$P$3:$P$698,"Same-market proxy")&gt;0,"Same-market proxy",IF(COUNTIFS('Shortlisted Drugs X Company (7)'!$C$3:$C$698,$B188,'Shortlisted Drugs X Company (7)'!$E$3:$E$698,$S188,'Shortlisted Drugs X Company (7)'!$P$3:$P$698,"Cross-market proxy")&gt;0,"Cross-market proxy",IF(COUNTIFS('Shortlisted Drugs X Company (7)'!$C$3:$C$698,$B188,'Shortlisted Drugs X Company (7)'!$E$3:$E$698,$S188,'Shortlisted Drugs X Company (7)'!$P$3:$P$698,"Source not found")&gt;0,"Source not found","Not priced"))))</f>
        <v>Exact</v>
      </c>
      <c r="F188" s="18" t="n">
        <f aca="false">IFERROR(ROUND(INDEX('Injectable Value'!$AA$28:$AA$178,MATCH(B188,'Injectable Value'!$A$28:$A$178,0)),1),"")</f>
        <v>42181.7</v>
      </c>
      <c r="G188" s="16" t="s">
        <v>423</v>
      </c>
      <c r="H188" s="14" t="n">
        <v>32</v>
      </c>
      <c r="I188" s="15" t="s">
        <v>248</v>
      </c>
      <c r="J188" s="15" t="s">
        <v>299</v>
      </c>
      <c r="K188" s="16" t="str">
        <f aca="false">"Cancer drug (cytotoxic) – less relevant; Reconstitution"&amp;IF(V188=0,"; Unpriced","")&amp;IF(AND(V188&gt;0,W188=0,X188=0),"; Low price from another market – confirm with company","")</f>
        <v>Cancer drug (cytotoxic) – less relevant; Reconstitution</v>
      </c>
      <c r="L188" s="18" t="n">
        <f aca="false">IFERROR(INDEX('Shortlisted Drugs X Company (7)'!$K$3:$K$698,MATCH(B188,'Shortlisted Drugs X Company (7)'!$C$3:$C$698,0)),"")</f>
        <v>762</v>
      </c>
      <c r="M188" s="18" t="n">
        <f aca="false">IFERROR(ROUND(L188*INDEX('Injectable Value'!$Z$28:$Z$178,MATCH(B188,'Injectable Value'!$A$28:$A$178,0)),0),"")</f>
        <v>632</v>
      </c>
      <c r="N188" s="18" t="n">
        <f aca="false">IFERROR(INDEX('Shortlisted Drugs X Company (7)'!$L$3:$L$698,MATCH(B188,'Shortlisted Drugs X Company (7)'!$C$3:$C$698,0)),"")</f>
        <v>50865.56</v>
      </c>
      <c r="O188" s="15" t="str">
        <f aca="false">IF(AE188="No","IV only (not ID/IM/SC)",IF(AND(V188&gt;0,W188=0),"Price ≤ $5",""))</f>
        <v/>
      </c>
      <c r="P188" s="14" t="n">
        <f aca="false">IF(O188&lt;&gt;"","",COUNTIFS($A$29:$A$361,A188,$O$29:$O$361,"",$AC$29:$AC$361,"&gt;"&amp;AC188)+COUNTIFS($A$29:A188,A188,$O$29:O188,"",$AC$29:AC188,AC188))</f>
        <v>1</v>
      </c>
      <c r="Q188" s="15" t="str">
        <f aca="false">IF(O188&lt;&gt;"",IF(O188="Price ≤ $5","Excluded – price ≤ $5","Excluded – IV only"),IF(ISNUMBER(D188),IF(AND(D188&gt;=$C$3,M188&gt;=$E$3),"Priority 1",IF(OR(D188&gt;=$C$3,M188&gt;=$E$3),"Priority 2","Priority 3")),IF(M188&gt;=$E$3,"Priority 2","Priority 3")))</f>
        <v>Priority 1</v>
      </c>
      <c r="R188" s="16" t="s">
        <v>250</v>
      </c>
      <c r="S188" s="15" t="s">
        <v>894</v>
      </c>
      <c r="T188" s="32" t="s">
        <v>300</v>
      </c>
      <c r="U188" s="33" t="str">
        <f aca="false">B188&amp;"|"&amp;S188</f>
        <v>Azacitidine|Intas Pharmaceuticals</v>
      </c>
      <c r="V188" s="34" t="n">
        <f aca="false">COUNTIFS('Shortlisted Drugs X Company (7)'!$C$3:$C$698,$B188,'Shortlisted Drugs X Company (7)'!$E$3:$E$698,$S188,'Shortlisted Drugs X Company (7)'!$N$3:$N$698,"&gt;=0")</f>
        <v>3</v>
      </c>
      <c r="W188" s="34" t="n">
        <f aca="false">COUNTIFS('Shortlisted Drugs X Company (7)'!$C$3:$C$698,$B188,'Shortlisted Drugs X Company (7)'!$E$3:$E$698,$S188,'Shortlisted Drugs X Company (7)'!$N$3:$N$698,"&gt;5")</f>
        <v>3</v>
      </c>
      <c r="X188" s="34" t="n">
        <f aca="false">COUNTIFS('Shortlisted Drugs X Company (7)'!$C$3:$C$698,$B188,'Shortlisted Drugs X Company (7)'!$E$3:$E$698,$S188,'Shortlisted Drugs X Company (7)'!$P$3:$P$698,"Exact")+COUNTIFS('Shortlisted Drugs X Company (7)'!$C$3:$C$698,$B188,'Shortlisted Drugs X Company (7)'!$E$3:$E$698,$S188,'Shortlisted Drugs X Company (7)'!$P$3:$P$698,"Same-market proxy")</f>
        <v>3</v>
      </c>
      <c r="Y188" s="33" t="str">
        <f aca="false">A188&amp;"|"&amp;P188</f>
        <v>Intas|1</v>
      </c>
      <c r="Z188" s="16" t="s">
        <v>917</v>
      </c>
      <c r="AA188" s="33" t="n">
        <f aca="false">INDEX($G$7:$G$25,MATCH(A188,$A$7:$A$25,0))</f>
        <v>1</v>
      </c>
      <c r="AB188" s="33" t="n">
        <f aca="false">IF(AE188="No","",AA188*1000+IF(P188="",900+COUNTIFS($A$29:A188,A188,$O$29:O188,"Price ≤ $5"),P188))</f>
        <v>1001</v>
      </c>
      <c r="AC188" s="33" t="n">
        <f aca="false">IF(O188&lt;&gt;"","",(4-VALUE(RIGHT(Q188,1)))*10^7+N(F188))</f>
        <v>30042181.7</v>
      </c>
      <c r="AD188" s="15" t="str">
        <f aca="false">IFERROR(INDEX('Route of Administration'!$C$5:$C$155,MATCH(B188,'Route of Administration'!$A$5:$A$155,0)),"")</f>
        <v>IV, SC</v>
      </c>
      <c r="AE188" s="14" t="str">
        <f aca="false">IFERROR(INDEX('Route of Administration'!$D$5:$D$155,MATCH(B188,'Route of Administration'!$A$5:$A$155,0)),"")</f>
        <v>Yes</v>
      </c>
      <c r="AF188" s="19" t="n">
        <f aca="false">IF(V188&gt;0,ROUND(AVERAGEIFS('Shortlisted Drugs X Company (7)'!$N$3:$N$698,'Shortlisted Drugs X Company (7)'!$C$3:$C$698,$B188,'Shortlisted Drugs X Company (7)'!$E$3:$E$698,$S188,'Shortlisted Drugs X Company (7)'!$N$3:$N$698,"&gt;=0"),2),"")</f>
        <v>256.12</v>
      </c>
      <c r="AG188" s="16" t="s">
        <v>918</v>
      </c>
      <c r="AH188" s="16" t="s">
        <v>919</v>
      </c>
      <c r="AI188" s="16" t="s">
        <v>920</v>
      </c>
      <c r="AJ188" s="16" t="str">
        <f aca="false">IF(O188&lt;&gt;"","",IF(ISNUMBER(D188),IF(D188&gt;=$C$3,"High price","Lower price"),"Unpriced")&amp;" · "&amp;IF(M188&gt;=$E$3,"high volume","lower volume"))</f>
        <v>High price · high volume</v>
      </c>
      <c r="AK188" s="15" t="str">
        <f aca="false">IF(O188&lt;&gt;"",IF(O188="Price ≤ $5","Excluded – price ≤ $5","Excluded – IV only"),IF(ISNUMBER(D188),IF(AND(D188&gt;=$C$3,L188&gt;=$H$3),"Priority 1",IF(OR(D188&gt;=$C$3,L188&gt;=$H$3),"Priority 2","Priority 3")),IF(L188&gt;=$H$3,"Priority 2","Priority 3")))</f>
        <v>Priority 1</v>
      </c>
      <c r="AL188" s="16" t="str">
        <f aca="false">IF(O188&lt;&gt;"","",IF(ISNUMBER(D188),IF(D188&gt;=$C$3,"High price","Lower price"),"Unpriced")&amp;" · "&amp;IF(L188&gt;=$H$3,"high volume","lower volume"))</f>
        <v>High price · high volume</v>
      </c>
      <c r="AM188" s="14" t="n">
        <f aca="false">IF(O188&lt;&gt;"","",COUNTIFS($A$29:$A$361,A188,$O$29:$O$361,"",$AQ$29:$AQ$361,"&gt;"&amp;AQ188)+COUNTIFS($A$29:A188,A188,$O$29:O188,"",$AQ$29:AQ188,AQ188))</f>
        <v>1</v>
      </c>
      <c r="AN188" s="19" t="n">
        <f aca="false">IF(AND(O188="",ISNUMBER(D188)),D188,"")</f>
        <v>256.12</v>
      </c>
      <c r="AO188" s="20" t="n">
        <f aca="false">IF(O188="",M188,"")</f>
        <v>632</v>
      </c>
      <c r="AP188" s="20" t="n">
        <f aca="false">IF(O188="",L188,"")</f>
        <v>762</v>
      </c>
      <c r="AQ188" s="33" t="n">
        <f aca="false">IF(O188&lt;&gt;"","",(4-VALUE(RIGHT(AK188,1)))*10^7+N(N188))</f>
        <v>30050865.56</v>
      </c>
      <c r="AR188" s="33" t="n">
        <f aca="false">INDEX($O$7:$O$25,MATCH(A188,$I$7:$I$25,0))</f>
        <v>1</v>
      </c>
      <c r="AS188" s="33" t="n">
        <f aca="false">IF(AE188="No","",AR188*1000+IF(AM188="",900+COUNTIFS($A$29:A188,A188,$O$29:O188,"Price ≤ $5"),AM188))</f>
        <v>1001</v>
      </c>
    </row>
    <row r="189" customFormat="false" ht="41.75" hidden="false" customHeight="false" outlineLevel="0" collapsed="false">
      <c r="A189" s="15" t="s">
        <v>21</v>
      </c>
      <c r="B189" s="15" t="s">
        <v>669</v>
      </c>
      <c r="C189" s="16" t="s">
        <v>670</v>
      </c>
      <c r="D189" s="17" t="n">
        <f aca="false">IF(W189&gt;0,ROUND(AVERAGEIFS('Shortlisted Drugs X Company (7)'!$N$3:$N$698,'Shortlisted Drugs X Company (7)'!$C$3:$C$698,$B189,'Shortlisted Drugs X Company (7)'!$E$3:$E$698,$S189,'Shortlisted Drugs X Company (7)'!$N$3:$N$698,"&gt;5"),2),"")</f>
        <v>255.35</v>
      </c>
      <c r="E189" s="15" t="str">
        <f aca="false">IF(COUNTIFS('Shortlisted Drugs X Company (7)'!$C$3:$C$698,$B189,'Shortlisted Drugs X Company (7)'!$E$3:$E$698,$S189,'Shortlisted Drugs X Company (7)'!$P$3:$P$698,"Exact")&gt;0,"Exact",IF(COUNTIFS('Shortlisted Drugs X Company (7)'!$C$3:$C$698,$B189,'Shortlisted Drugs X Company (7)'!$E$3:$E$698,$S189,'Shortlisted Drugs X Company (7)'!$P$3:$P$698,"Same-market proxy")&gt;0,"Same-market proxy",IF(COUNTIFS('Shortlisted Drugs X Company (7)'!$C$3:$C$698,$B189,'Shortlisted Drugs X Company (7)'!$E$3:$E$698,$S189,'Shortlisted Drugs X Company (7)'!$P$3:$P$698,"Cross-market proxy")&gt;0,"Cross-market proxy",IF(COUNTIFS('Shortlisted Drugs X Company (7)'!$C$3:$C$698,$B189,'Shortlisted Drugs X Company (7)'!$E$3:$E$698,$S189,'Shortlisted Drugs X Company (7)'!$P$3:$P$698,"Source not found")&gt;0,"Source not found","Not priced"))))</f>
        <v>Exact</v>
      </c>
      <c r="F189" s="18" t="n">
        <f aca="false">IFERROR(ROUND(INDEX('Injectable Value'!$AA$28:$AA$178,MATCH(B189,'Injectable Value'!$A$28:$A$178,0)),1),"")</f>
        <v>806.3</v>
      </c>
      <c r="G189" s="16" t="s">
        <v>307</v>
      </c>
      <c r="H189" s="14" t="n">
        <v>12</v>
      </c>
      <c r="I189" s="15" t="s">
        <v>248</v>
      </c>
      <c r="J189" s="15" t="s">
        <v>299</v>
      </c>
      <c r="K189" s="16" t="str">
        <f aca="false">"Reconstitution"&amp;IF(V189=0,"; Unpriced","")&amp;IF(AND(V189&gt;0,W189=0,X189=0),"; Low price from another market – confirm with company","")</f>
        <v>Reconstitution</v>
      </c>
      <c r="L189" s="18" t="n">
        <f aca="false">IFERROR(INDEX('Shortlisted Drugs X Company (7)'!$K$3:$K$698,MATCH(B189,'Shortlisted Drugs X Company (7)'!$C$3:$C$698,0)),"")</f>
        <v>5</v>
      </c>
      <c r="M189" s="18" t="n">
        <f aca="false">IFERROR(ROUND(L189*INDEX('Injectable Value'!$Z$28:$Z$178,MATCH(B189,'Injectable Value'!$A$28:$A$178,0)),0),"")</f>
        <v>5</v>
      </c>
      <c r="N189" s="18" t="n">
        <f aca="false">IFERROR(INDEX('Shortlisted Drugs X Company (7)'!$L$3:$L$698,MATCH(B189,'Shortlisted Drugs X Company (7)'!$C$3:$C$698,0)),"")</f>
        <v>806.34</v>
      </c>
      <c r="O189" s="15" t="str">
        <f aca="false">IF(AE189="No","IV only (not ID/IM/SC)",IF(AND(V189&gt;0,W189=0),"Price ≤ $5",""))</f>
        <v>IV only (not ID/IM/SC)</v>
      </c>
      <c r="P189" s="14" t="str">
        <f aca="false">IF(O189&lt;&gt;"","",COUNTIFS($A$29:$A$361,A189,$O$29:$O$361,"",$AC$29:$AC$361,"&gt;"&amp;AC189)+COUNTIFS($A$29:A189,A189,$O$29:O189,"",$AC$29:AC189,AC189))</f>
        <v/>
      </c>
      <c r="Q189" s="15" t="str">
        <f aca="false">IF(O189&lt;&gt;"",IF(O189="Price ≤ $5","Excluded – price ≤ $5","Excluded – IV only"),IF(ISNUMBER(D189),IF(AND(D189&gt;=$C$3,M189&gt;=$E$3),"Priority 1",IF(OR(D189&gt;=$C$3,M189&gt;=$E$3),"Priority 2","Priority 3")),IF(M189&gt;=$E$3,"Priority 2","Priority 3")))</f>
        <v>Excluded – IV only</v>
      </c>
      <c r="R189" s="16" t="s">
        <v>285</v>
      </c>
      <c r="S189" s="15" t="s">
        <v>894</v>
      </c>
      <c r="T189" s="32" t="s">
        <v>671</v>
      </c>
      <c r="U189" s="33" t="str">
        <f aca="false">B189&amp;"|"&amp;S189</f>
        <v>Bivalirudin|Intas Pharmaceuticals</v>
      </c>
      <c r="V189" s="34" t="n">
        <f aca="false">COUNTIFS('Shortlisted Drugs X Company (7)'!$C$3:$C$698,$B189,'Shortlisted Drugs X Company (7)'!$E$3:$E$698,$S189,'Shortlisted Drugs X Company (7)'!$N$3:$N$698,"&gt;=0")</f>
        <v>3</v>
      </c>
      <c r="W189" s="34" t="n">
        <f aca="false">COUNTIFS('Shortlisted Drugs X Company (7)'!$C$3:$C$698,$B189,'Shortlisted Drugs X Company (7)'!$E$3:$E$698,$S189,'Shortlisted Drugs X Company (7)'!$N$3:$N$698,"&gt;5")</f>
        <v>3</v>
      </c>
      <c r="X189" s="34" t="n">
        <f aca="false">COUNTIFS('Shortlisted Drugs X Company (7)'!$C$3:$C$698,$B189,'Shortlisted Drugs X Company (7)'!$E$3:$E$698,$S189,'Shortlisted Drugs X Company (7)'!$P$3:$P$698,"Exact")+COUNTIFS('Shortlisted Drugs X Company (7)'!$C$3:$C$698,$B189,'Shortlisted Drugs X Company (7)'!$E$3:$E$698,$S189,'Shortlisted Drugs X Company (7)'!$P$3:$P$698,"Same-market proxy")</f>
        <v>3</v>
      </c>
      <c r="Y189" s="33" t="str">
        <f aca="false">A189&amp;"|"&amp;P189</f>
        <v>Intas|</v>
      </c>
      <c r="Z189" s="16" t="s">
        <v>921</v>
      </c>
      <c r="AA189" s="33" t="n">
        <f aca="false">INDEX($G$7:$G$25,MATCH(A189,$A$7:$A$25,0))</f>
        <v>1</v>
      </c>
      <c r="AB189" s="33" t="str">
        <f aca="false">IF(AE189="No","",AA189*1000+IF(P189="",900+COUNTIFS($A$29:A189,A189,$O$29:O189,"Price ≤ $5"),P189))</f>
        <v/>
      </c>
      <c r="AC189" s="33" t="str">
        <f aca="false">IF(O189&lt;&gt;"","",(4-VALUE(RIGHT(Q189,1)))*10^7+N(F189))</f>
        <v/>
      </c>
      <c r="AD189" s="15" t="str">
        <f aca="false">IFERROR(INDEX('Route of Administration'!$C$5:$C$155,MATCH(B189,'Route of Administration'!$A$5:$A$155,0)),"")</f>
        <v>IV</v>
      </c>
      <c r="AE189" s="14" t="str">
        <f aca="false">IFERROR(INDEX('Route of Administration'!$D$5:$D$155,MATCH(B189,'Route of Administration'!$A$5:$A$155,0)),"")</f>
        <v>No</v>
      </c>
      <c r="AF189" s="19" t="n">
        <f aca="false">IF(V189&gt;0,ROUND(AVERAGEIFS('Shortlisted Drugs X Company (7)'!$N$3:$N$698,'Shortlisted Drugs X Company (7)'!$C$3:$C$698,$B189,'Shortlisted Drugs X Company (7)'!$E$3:$E$698,$S189,'Shortlisted Drugs X Company (7)'!$N$3:$N$698,"&gt;=0"),2),"")</f>
        <v>255.35</v>
      </c>
      <c r="AG189" s="16" t="s">
        <v>922</v>
      </c>
      <c r="AH189" s="16" t="s">
        <v>923</v>
      </c>
      <c r="AI189" s="16" t="s">
        <v>924</v>
      </c>
      <c r="AJ189" s="16" t="str">
        <f aca="false">IF(O189&lt;&gt;"","",IF(ISNUMBER(D189),IF(D189&gt;=$C$3,"High price","Lower price"),"Unpriced")&amp;" · "&amp;IF(M189&gt;=$E$3,"high volume","lower volume"))</f>
        <v/>
      </c>
      <c r="AK189" s="15" t="str">
        <f aca="false">IF(O189&lt;&gt;"",IF(O189="Price ≤ $5","Excluded – price ≤ $5","Excluded – IV only"),IF(ISNUMBER(D189),IF(AND(D189&gt;=$C$3,L189&gt;=$H$3),"Priority 1",IF(OR(D189&gt;=$C$3,L189&gt;=$H$3),"Priority 2","Priority 3")),IF(L189&gt;=$H$3,"Priority 2","Priority 3")))</f>
        <v>Excluded – IV only</v>
      </c>
      <c r="AL189" s="16" t="str">
        <f aca="false">IF(O189&lt;&gt;"","",IF(ISNUMBER(D189),IF(D189&gt;=$C$3,"High price","Lower price"),"Unpriced")&amp;" · "&amp;IF(L189&gt;=$H$3,"high volume","lower volume"))</f>
        <v/>
      </c>
      <c r="AM189" s="14" t="str">
        <f aca="false">IF(O189&lt;&gt;"","",COUNTIFS($A$29:$A$361,A189,$O$29:$O$361,"",$AQ$29:$AQ$361,"&gt;"&amp;AQ189)+COUNTIFS($A$29:A189,A189,$O$29:O189,"",$AQ$29:AQ189,AQ189))</f>
        <v/>
      </c>
      <c r="AN189" s="33" t="str">
        <f aca="false">IF(AND(O189="",ISNUMBER(D189)),D189,"")</f>
        <v/>
      </c>
      <c r="AO189" s="33" t="str">
        <f aca="false">IF(O189="",M189,"")</f>
        <v/>
      </c>
      <c r="AP189" s="33" t="str">
        <f aca="false">IF(O189="",L189,"")</f>
        <v/>
      </c>
      <c r="AQ189" s="33" t="str">
        <f aca="false">IF(O189&lt;&gt;"","",(4-VALUE(RIGHT(AK189,1)))*10^7+N(N189))</f>
        <v/>
      </c>
      <c r="AR189" s="33" t="n">
        <f aca="false">INDEX($O$7:$O$25,MATCH(A189,$I$7:$I$25,0))</f>
        <v>1</v>
      </c>
      <c r="AS189" s="33" t="str">
        <f aca="false">IF(AE189="No","",AR189*1000+IF(AM189="",900+COUNTIFS($A$29:A189,A189,$O$29:O189,"Price ≤ $5"),AM189))</f>
        <v/>
      </c>
    </row>
    <row r="190" customFormat="false" ht="55.2" hidden="false" customHeight="false" outlineLevel="0" collapsed="false">
      <c r="A190" s="15" t="s">
        <v>21</v>
      </c>
      <c r="B190" s="15" t="s">
        <v>584</v>
      </c>
      <c r="C190" s="16" t="s">
        <v>585</v>
      </c>
      <c r="D190" s="17" t="n">
        <f aca="false">IF(W190&gt;0,ROUND(AVERAGEIFS('Shortlisted Drugs X Company (7)'!$N$3:$N$698,'Shortlisted Drugs X Company (7)'!$C$3:$C$698,$B190,'Shortlisted Drugs X Company (7)'!$E$3:$E$698,$S190,'Shortlisted Drugs X Company (7)'!$N$3:$N$698,"&gt;5"),2),"")</f>
        <v>50.27</v>
      </c>
      <c r="E190" s="15" t="str">
        <f aca="false">IF(COUNTIFS('Shortlisted Drugs X Company (7)'!$C$3:$C$698,$B190,'Shortlisted Drugs X Company (7)'!$E$3:$E$698,$S190,'Shortlisted Drugs X Company (7)'!$P$3:$P$698,"Exact")&gt;0,"Exact",IF(COUNTIFS('Shortlisted Drugs X Company (7)'!$C$3:$C$698,$B190,'Shortlisted Drugs X Company (7)'!$E$3:$E$698,$S190,'Shortlisted Drugs X Company (7)'!$P$3:$P$698,"Same-market proxy")&gt;0,"Same-market proxy",IF(COUNTIFS('Shortlisted Drugs X Company (7)'!$C$3:$C$698,$B190,'Shortlisted Drugs X Company (7)'!$E$3:$E$698,$S190,'Shortlisted Drugs X Company (7)'!$P$3:$P$698,"Cross-market proxy")&gt;0,"Cross-market proxy",IF(COUNTIFS('Shortlisted Drugs X Company (7)'!$C$3:$C$698,$B190,'Shortlisted Drugs X Company (7)'!$E$3:$E$698,$S190,'Shortlisted Drugs X Company (7)'!$P$3:$P$698,"Source not found")&gt;0,"Source not found","Not priced"))))</f>
        <v>Exact</v>
      </c>
      <c r="F190" s="18" t="n">
        <f aca="false">IFERROR(ROUND(INDEX('Injectable Value'!$AA$28:$AA$178,MATCH(B190,'Injectable Value'!$A$28:$A$178,0)),1),"")</f>
        <v>3973.7</v>
      </c>
      <c r="G190" s="16" t="s">
        <v>298</v>
      </c>
      <c r="H190" s="14" t="n">
        <v>17</v>
      </c>
      <c r="I190" s="15" t="s">
        <v>248</v>
      </c>
      <c r="J190" s="15" t="s">
        <v>299</v>
      </c>
      <c r="K190" s="16" t="str">
        <f aca="false">"Cancer drug (cytotoxic) – less relevant; Reconstitution"&amp;IF(V190=0,"; Unpriced","")&amp;IF(AND(V190&gt;0,W190=0,X190=0),"; Low price from another market – confirm with company","")</f>
        <v>Cancer drug (cytotoxic) – less relevant; Reconstitution</v>
      </c>
      <c r="L190" s="18" t="n">
        <f aca="false">IFERROR(INDEX('Shortlisted Drugs X Company (7)'!$K$3:$K$698,MATCH(B190,'Shortlisted Drugs X Company (7)'!$C$3:$C$698,0)),"")</f>
        <v>441</v>
      </c>
      <c r="M190" s="18" t="n">
        <f aca="false">IFERROR(ROUND(L190*INDEX('Injectable Value'!$Z$28:$Z$178,MATCH(B190,'Injectable Value'!$A$28:$A$178,0)),0),"")</f>
        <v>441</v>
      </c>
      <c r="N190" s="18" t="n">
        <f aca="false">IFERROR(INDEX('Shortlisted Drugs X Company (7)'!$L$3:$L$698,MATCH(B190,'Shortlisted Drugs X Company (7)'!$C$3:$C$698,0)),"")</f>
        <v>3973.65</v>
      </c>
      <c r="O190" s="15" t="str">
        <f aca="false">IF(AE190="No","IV only (not ID/IM/SC)",IF(AND(V190&gt;0,W190=0),"Price ≤ $5",""))</f>
        <v/>
      </c>
      <c r="P190" s="14" t="n">
        <f aca="false">IF(O190&lt;&gt;"","",COUNTIFS($A$29:$A$361,A190,$O$29:$O$361,"",$AC$29:$AC$361,"&gt;"&amp;AC190)+COUNTIFS($A$29:A190,A190,$O$29:O190,"",$AC$29:AC190,AC190))</f>
        <v>8</v>
      </c>
      <c r="Q190" s="15" t="str">
        <f aca="false">IF(O190&lt;&gt;"",IF(O190="Price ≤ $5","Excluded – price ≤ $5","Excluded – IV only"),IF(ISNUMBER(D190),IF(AND(D190&gt;=$C$3,M190&gt;=$E$3),"Priority 1",IF(OR(D190&gt;=$C$3,M190&gt;=$E$3),"Priority 2","Priority 3")),IF(M190&gt;=$E$3,"Priority 2","Priority 3")))</f>
        <v>Priority 1</v>
      </c>
      <c r="R190" s="16" t="s">
        <v>250</v>
      </c>
      <c r="S190" s="15" t="s">
        <v>894</v>
      </c>
      <c r="T190" s="32" t="s">
        <v>586</v>
      </c>
      <c r="U190" s="33" t="str">
        <f aca="false">B190&amp;"|"&amp;S190</f>
        <v>Bleomycin|Intas Pharmaceuticals</v>
      </c>
      <c r="V190" s="34" t="n">
        <f aca="false">COUNTIFS('Shortlisted Drugs X Company (7)'!$C$3:$C$698,$B190,'Shortlisted Drugs X Company (7)'!$E$3:$E$698,$S190,'Shortlisted Drugs X Company (7)'!$N$3:$N$698,"&gt;=0")</f>
        <v>3</v>
      </c>
      <c r="W190" s="34" t="n">
        <f aca="false">COUNTIFS('Shortlisted Drugs X Company (7)'!$C$3:$C$698,$B190,'Shortlisted Drugs X Company (7)'!$E$3:$E$698,$S190,'Shortlisted Drugs X Company (7)'!$N$3:$N$698,"&gt;5")</f>
        <v>3</v>
      </c>
      <c r="X190" s="34" t="n">
        <f aca="false">COUNTIFS('Shortlisted Drugs X Company (7)'!$C$3:$C$698,$B190,'Shortlisted Drugs X Company (7)'!$E$3:$E$698,$S190,'Shortlisted Drugs X Company (7)'!$P$3:$P$698,"Exact")+COUNTIFS('Shortlisted Drugs X Company (7)'!$C$3:$C$698,$B190,'Shortlisted Drugs X Company (7)'!$E$3:$E$698,$S190,'Shortlisted Drugs X Company (7)'!$P$3:$P$698,"Same-market proxy")</f>
        <v>3</v>
      </c>
      <c r="Y190" s="33" t="str">
        <f aca="false">A190&amp;"|"&amp;P190</f>
        <v>Intas|8</v>
      </c>
      <c r="Z190" s="16" t="s">
        <v>925</v>
      </c>
      <c r="AA190" s="33" t="n">
        <f aca="false">INDEX($G$7:$G$25,MATCH(A190,$A$7:$A$25,0))</f>
        <v>1</v>
      </c>
      <c r="AB190" s="33" t="n">
        <f aca="false">IF(AE190="No","",AA190*1000+IF(P190="",900+COUNTIFS($A$29:A190,A190,$O$29:O190,"Price ≤ $5"),P190))</f>
        <v>1008</v>
      </c>
      <c r="AC190" s="33" t="n">
        <f aca="false">IF(O190&lt;&gt;"","",(4-VALUE(RIGHT(Q190,1)))*10^7+N(F190))</f>
        <v>30003973.7</v>
      </c>
      <c r="AD190" s="15" t="str">
        <f aca="false">IFERROR(INDEX('Route of Administration'!$C$5:$C$155,MATCH(B190,'Route of Administration'!$A$5:$A$155,0)),"")</f>
        <v>IV, IM, SC</v>
      </c>
      <c r="AE190" s="14" t="str">
        <f aca="false">IFERROR(INDEX('Route of Administration'!$D$5:$D$155,MATCH(B190,'Route of Administration'!$A$5:$A$155,0)),"")</f>
        <v>Yes</v>
      </c>
      <c r="AF190" s="19" t="n">
        <f aca="false">IF(V190&gt;0,ROUND(AVERAGEIFS('Shortlisted Drugs X Company (7)'!$N$3:$N$698,'Shortlisted Drugs X Company (7)'!$C$3:$C$698,$B190,'Shortlisted Drugs X Company (7)'!$E$3:$E$698,$S190,'Shortlisted Drugs X Company (7)'!$N$3:$N$698,"&gt;=0"),2),"")</f>
        <v>50.27</v>
      </c>
      <c r="AG190" s="16" t="s">
        <v>926</v>
      </c>
      <c r="AH190" s="16" t="s">
        <v>927</v>
      </c>
      <c r="AI190" s="16" t="s">
        <v>928</v>
      </c>
      <c r="AJ190" s="16" t="str">
        <f aca="false">IF(O190&lt;&gt;"","",IF(ISNUMBER(D190),IF(D190&gt;=$C$3,"High price","Lower price"),"Unpriced")&amp;" · "&amp;IF(M190&gt;=$E$3,"high volume","lower volume"))</f>
        <v>High price · high volume</v>
      </c>
      <c r="AK190" s="15" t="str">
        <f aca="false">IF(O190&lt;&gt;"",IF(O190="Price ≤ $5","Excluded – price ≤ $5","Excluded – IV only"),IF(ISNUMBER(D190),IF(AND(D190&gt;=$C$3,L190&gt;=$H$3),"Priority 1",IF(OR(D190&gt;=$C$3,L190&gt;=$H$3),"Priority 2","Priority 3")),IF(L190&gt;=$H$3,"Priority 2","Priority 3")))</f>
        <v>Priority 1</v>
      </c>
      <c r="AL190" s="16" t="str">
        <f aca="false">IF(O190&lt;&gt;"","",IF(ISNUMBER(D190),IF(D190&gt;=$C$3,"High price","Lower price"),"Unpriced")&amp;" · "&amp;IF(L190&gt;=$H$3,"high volume","lower volume"))</f>
        <v>High price · high volume</v>
      </c>
      <c r="AM190" s="14" t="n">
        <f aca="false">IF(O190&lt;&gt;"","",COUNTIFS($A$29:$A$361,A190,$O$29:$O$361,"",$AQ$29:$AQ$361,"&gt;"&amp;AQ190)+COUNTIFS($A$29:A190,A190,$O$29:O190,"",$AQ$29:AQ190,AQ190))</f>
        <v>6</v>
      </c>
      <c r="AN190" s="19" t="n">
        <f aca="false">IF(AND(O190="",ISNUMBER(D190)),D190,"")</f>
        <v>50.27</v>
      </c>
      <c r="AO190" s="20" t="n">
        <f aca="false">IF(O190="",M190,"")</f>
        <v>441</v>
      </c>
      <c r="AP190" s="20" t="n">
        <f aca="false">IF(O190="",L190,"")</f>
        <v>441</v>
      </c>
      <c r="AQ190" s="33" t="n">
        <f aca="false">IF(O190&lt;&gt;"","",(4-VALUE(RIGHT(AK190,1)))*10^7+N(N190))</f>
        <v>30003973.65</v>
      </c>
      <c r="AR190" s="33" t="n">
        <f aca="false">INDEX($O$7:$O$25,MATCH(A190,$I$7:$I$25,0))</f>
        <v>1</v>
      </c>
      <c r="AS190" s="33" t="n">
        <f aca="false">IF(AE190="No","",AR190*1000+IF(AM190="",900+COUNTIFS($A$29:A190,A190,$O$29:O190,"Price ≤ $5"),AM190))</f>
        <v>1006</v>
      </c>
    </row>
    <row r="191" customFormat="false" ht="95.5" hidden="false" customHeight="false" outlineLevel="0" collapsed="false">
      <c r="A191" s="15" t="s">
        <v>21</v>
      </c>
      <c r="B191" s="15" t="s">
        <v>305</v>
      </c>
      <c r="C191" s="16" t="s">
        <v>306</v>
      </c>
      <c r="D191" s="17" t="n">
        <f aca="false">IF(W191&gt;0,ROUND(AVERAGEIFS('Shortlisted Drugs X Company (7)'!$N$3:$N$698,'Shortlisted Drugs X Company (7)'!$C$3:$C$698,$B191,'Shortlisted Drugs X Company (7)'!$E$3:$E$698,$S191,'Shortlisted Drugs X Company (7)'!$N$3:$N$698,"&gt;5"),2),"")</f>
        <v>569.27</v>
      </c>
      <c r="E191" s="15" t="str">
        <f aca="false">IF(COUNTIFS('Shortlisted Drugs X Company (7)'!$C$3:$C$698,$B191,'Shortlisted Drugs X Company (7)'!$E$3:$E$698,$S191,'Shortlisted Drugs X Company (7)'!$P$3:$P$698,"Exact")&gt;0,"Exact",IF(COUNTIFS('Shortlisted Drugs X Company (7)'!$C$3:$C$698,$B191,'Shortlisted Drugs X Company (7)'!$E$3:$E$698,$S191,'Shortlisted Drugs X Company (7)'!$P$3:$P$698,"Same-market proxy")&gt;0,"Same-market proxy",IF(COUNTIFS('Shortlisted Drugs X Company (7)'!$C$3:$C$698,$B191,'Shortlisted Drugs X Company (7)'!$E$3:$E$698,$S191,'Shortlisted Drugs X Company (7)'!$P$3:$P$698,"Cross-market proxy")&gt;0,"Cross-market proxy",IF(COUNTIFS('Shortlisted Drugs X Company (7)'!$C$3:$C$698,$B191,'Shortlisted Drugs X Company (7)'!$E$3:$E$698,$S191,'Shortlisted Drugs X Company (7)'!$P$3:$P$698,"Source not found")&gt;0,"Source not found","Not priced"))))</f>
        <v>Exact</v>
      </c>
      <c r="F191" s="18" t="n">
        <f aca="false">IFERROR(ROUND(INDEX('Injectable Value'!$AA$28:$AA$178,MATCH(B191,'Injectable Value'!$A$28:$A$178,0)),1),"")</f>
        <v>28093.4</v>
      </c>
      <c r="G191" s="16" t="s">
        <v>298</v>
      </c>
      <c r="H191" s="14" t="n">
        <v>34</v>
      </c>
      <c r="I191" s="15" t="s">
        <v>441</v>
      </c>
      <c r="J191" s="15" t="s">
        <v>249</v>
      </c>
      <c r="K191" s="16" t="str">
        <f aca="false">"Cancer drug (cytotoxic) – less relevant; Reconstitution"&amp;IF(V191=0,"; Unpriced","")&amp;IF(AND(V191&gt;0,W191=0,X191=0),"; Low price from another market – confirm with company","")</f>
        <v>Cancer drug (cytotoxic) – less relevant; Reconstitution</v>
      </c>
      <c r="L191" s="18" t="n">
        <f aca="false">IFERROR(INDEX('Shortlisted Drugs X Company (7)'!$K$3:$K$698,MATCH(B191,'Shortlisted Drugs X Company (7)'!$C$3:$C$698,0)),"")</f>
        <v>905</v>
      </c>
      <c r="M191" s="18" t="n">
        <f aca="false">IFERROR(ROUND(L191*INDEX('Injectable Value'!$Z$28:$Z$178,MATCH(B191,'Injectable Value'!$A$28:$A$178,0)),0),"")</f>
        <v>905</v>
      </c>
      <c r="N191" s="18" t="n">
        <f aca="false">IFERROR(INDEX('Shortlisted Drugs X Company (7)'!$L$3:$L$698,MATCH(B191,'Shortlisted Drugs X Company (7)'!$C$3:$C$698,0)),"")</f>
        <v>28093.38</v>
      </c>
      <c r="O191" s="15" t="str">
        <f aca="false">IF(AE191="No","IV only (not ID/IM/SC)",IF(AND(V191&gt;0,W191=0),"Price ≤ $5",""))</f>
        <v/>
      </c>
      <c r="P191" s="14" t="n">
        <f aca="false">IF(O191&lt;&gt;"","",COUNTIFS($A$29:$A$361,A191,$O$29:$O$361,"",$AC$29:$AC$361,"&gt;"&amp;AC191)+COUNTIFS($A$29:A191,A191,$O$29:O191,"",$AC$29:AC191,AC191))</f>
        <v>2</v>
      </c>
      <c r="Q191" s="15" t="str">
        <f aca="false">IF(O191&lt;&gt;"",IF(O191="Price ≤ $5","Excluded – price ≤ $5","Excluded – IV only"),IF(ISNUMBER(D191),IF(AND(D191&gt;=$C$3,M191&gt;=$E$3),"Priority 1",IF(OR(D191&gt;=$C$3,M191&gt;=$E$3),"Priority 2","Priority 3")),IF(M191&gt;=$E$3,"Priority 2","Priority 3")))</f>
        <v>Priority 1</v>
      </c>
      <c r="R191" s="16" t="s">
        <v>250</v>
      </c>
      <c r="S191" s="15" t="s">
        <v>894</v>
      </c>
      <c r="T191" s="32" t="s">
        <v>308</v>
      </c>
      <c r="U191" s="33" t="str">
        <f aca="false">B191&amp;"|"&amp;S191</f>
        <v>Bortezomib|Intas Pharmaceuticals</v>
      </c>
      <c r="V191" s="34" t="n">
        <f aca="false">COUNTIFS('Shortlisted Drugs X Company (7)'!$C$3:$C$698,$B191,'Shortlisted Drugs X Company (7)'!$E$3:$E$698,$S191,'Shortlisted Drugs X Company (7)'!$N$3:$N$698,"&gt;=0")</f>
        <v>3</v>
      </c>
      <c r="W191" s="34" t="n">
        <f aca="false">COUNTIFS('Shortlisted Drugs X Company (7)'!$C$3:$C$698,$B191,'Shortlisted Drugs X Company (7)'!$E$3:$E$698,$S191,'Shortlisted Drugs X Company (7)'!$N$3:$N$698,"&gt;5")</f>
        <v>3</v>
      </c>
      <c r="X191" s="34" t="n">
        <f aca="false">COUNTIFS('Shortlisted Drugs X Company (7)'!$C$3:$C$698,$B191,'Shortlisted Drugs X Company (7)'!$E$3:$E$698,$S191,'Shortlisted Drugs X Company (7)'!$P$3:$P$698,"Exact")+COUNTIFS('Shortlisted Drugs X Company (7)'!$C$3:$C$698,$B191,'Shortlisted Drugs X Company (7)'!$E$3:$E$698,$S191,'Shortlisted Drugs X Company (7)'!$P$3:$P$698,"Same-market proxy")</f>
        <v>3</v>
      </c>
      <c r="Y191" s="33" t="str">
        <f aca="false">A191&amp;"|"&amp;P191</f>
        <v>Intas|2</v>
      </c>
      <c r="Z191" s="16" t="s">
        <v>929</v>
      </c>
      <c r="AA191" s="33" t="n">
        <f aca="false">INDEX($G$7:$G$25,MATCH(A191,$A$7:$A$25,0))</f>
        <v>1</v>
      </c>
      <c r="AB191" s="33" t="n">
        <f aca="false">IF(AE191="No","",AA191*1000+IF(P191="",900+COUNTIFS($A$29:A191,A191,$O$29:O191,"Price ≤ $5"),P191))</f>
        <v>1002</v>
      </c>
      <c r="AC191" s="33" t="n">
        <f aca="false">IF(O191&lt;&gt;"","",(4-VALUE(RIGHT(Q191,1)))*10^7+N(F191))</f>
        <v>30028093.4</v>
      </c>
      <c r="AD191" s="15" t="str">
        <f aca="false">IFERROR(INDEX('Route of Administration'!$C$5:$C$155,MATCH(B191,'Route of Administration'!$A$5:$A$155,0)),"")</f>
        <v>IV, SC</v>
      </c>
      <c r="AE191" s="14" t="str">
        <f aca="false">IFERROR(INDEX('Route of Administration'!$D$5:$D$155,MATCH(B191,'Route of Administration'!$A$5:$A$155,0)),"")</f>
        <v>Yes</v>
      </c>
      <c r="AF191" s="19" t="n">
        <f aca="false">IF(V191&gt;0,ROUND(AVERAGEIFS('Shortlisted Drugs X Company (7)'!$N$3:$N$698,'Shortlisted Drugs X Company (7)'!$C$3:$C$698,$B191,'Shortlisted Drugs X Company (7)'!$E$3:$E$698,$S191,'Shortlisted Drugs X Company (7)'!$N$3:$N$698,"&gt;=0"),2),"")</f>
        <v>569.27</v>
      </c>
      <c r="AG191" s="16" t="s">
        <v>930</v>
      </c>
      <c r="AH191" s="16" t="s">
        <v>931</v>
      </c>
      <c r="AI191" s="16" t="s">
        <v>932</v>
      </c>
      <c r="AJ191" s="16" t="str">
        <f aca="false">IF(O191&lt;&gt;"","",IF(ISNUMBER(D191),IF(D191&gt;=$C$3,"High price","Lower price"),"Unpriced")&amp;" · "&amp;IF(M191&gt;=$E$3,"high volume","lower volume"))</f>
        <v>High price · high volume</v>
      </c>
      <c r="AK191" s="15" t="str">
        <f aca="false">IF(O191&lt;&gt;"",IF(O191="Price ≤ $5","Excluded – price ≤ $5","Excluded – IV only"),IF(ISNUMBER(D191),IF(AND(D191&gt;=$C$3,L191&gt;=$H$3),"Priority 1",IF(OR(D191&gt;=$C$3,L191&gt;=$H$3),"Priority 2","Priority 3")),IF(L191&gt;=$H$3,"Priority 2","Priority 3")))</f>
        <v>Priority 1</v>
      </c>
      <c r="AL191" s="16" t="str">
        <f aca="false">IF(O191&lt;&gt;"","",IF(ISNUMBER(D191),IF(D191&gt;=$C$3,"High price","Lower price"),"Unpriced")&amp;" · "&amp;IF(L191&gt;=$H$3,"high volume","lower volume"))</f>
        <v>High price · high volume</v>
      </c>
      <c r="AM191" s="14" t="n">
        <f aca="false">IF(O191&lt;&gt;"","",COUNTIFS($A$29:$A$361,A191,$O$29:$O$361,"",$AQ$29:$AQ$361,"&gt;"&amp;AQ191)+COUNTIFS($A$29:A191,A191,$O$29:O191,"",$AQ$29:AQ191,AQ191))</f>
        <v>3</v>
      </c>
      <c r="AN191" s="19" t="n">
        <f aca="false">IF(AND(O191="",ISNUMBER(D191)),D191,"")</f>
        <v>569.27</v>
      </c>
      <c r="AO191" s="20" t="n">
        <f aca="false">IF(O191="",M191,"")</f>
        <v>905</v>
      </c>
      <c r="AP191" s="20" t="n">
        <f aca="false">IF(O191="",L191,"")</f>
        <v>905</v>
      </c>
      <c r="AQ191" s="33" t="n">
        <f aca="false">IF(O191&lt;&gt;"","",(4-VALUE(RIGHT(AK191,1)))*10^7+N(N191))</f>
        <v>30028093.38</v>
      </c>
      <c r="AR191" s="33" t="n">
        <f aca="false">INDEX($O$7:$O$25,MATCH(A191,$I$7:$I$25,0))</f>
        <v>1</v>
      </c>
      <c r="AS191" s="33" t="n">
        <f aca="false">IF(AE191="No","",AR191*1000+IF(AM191="",900+COUNTIFS($A$29:A191,A191,$O$29:O191,"Price ≤ $5"),AM191))</f>
        <v>1003</v>
      </c>
    </row>
    <row r="192" customFormat="false" ht="41.75" hidden="false" customHeight="false" outlineLevel="0" collapsed="false">
      <c r="A192" s="15" t="s">
        <v>21</v>
      </c>
      <c r="B192" s="15" t="s">
        <v>322</v>
      </c>
      <c r="C192" s="16" t="s">
        <v>323</v>
      </c>
      <c r="D192" s="17" t="n">
        <f aca="false">IF(W192&gt;0,ROUND(AVERAGEIFS('Shortlisted Drugs X Company (7)'!$N$3:$N$698,'Shortlisted Drugs X Company (7)'!$C$3:$C$698,$B192,'Shortlisted Drugs X Company (7)'!$E$3:$E$698,$S192,'Shortlisted Drugs X Company (7)'!$N$3:$N$698,"&gt;5"),2),"")</f>
        <v>9.65</v>
      </c>
      <c r="E192" s="15" t="str">
        <f aca="false">IF(COUNTIFS('Shortlisted Drugs X Company (7)'!$C$3:$C$698,$B192,'Shortlisted Drugs X Company (7)'!$E$3:$E$698,$S192,'Shortlisted Drugs X Company (7)'!$P$3:$P$698,"Exact")&gt;0,"Exact",IF(COUNTIFS('Shortlisted Drugs X Company (7)'!$C$3:$C$698,$B192,'Shortlisted Drugs X Company (7)'!$E$3:$E$698,$S192,'Shortlisted Drugs X Company (7)'!$P$3:$P$698,"Same-market proxy")&gt;0,"Same-market proxy",IF(COUNTIFS('Shortlisted Drugs X Company (7)'!$C$3:$C$698,$B192,'Shortlisted Drugs X Company (7)'!$E$3:$E$698,$S192,'Shortlisted Drugs X Company (7)'!$P$3:$P$698,"Cross-market proxy")&gt;0,"Cross-market proxy",IF(COUNTIFS('Shortlisted Drugs X Company (7)'!$C$3:$C$698,$B192,'Shortlisted Drugs X Company (7)'!$E$3:$E$698,$S192,'Shortlisted Drugs X Company (7)'!$P$3:$P$698,"Source not found")&gt;0,"Source not found","Not priced"))))</f>
        <v>Cross-market proxy</v>
      </c>
      <c r="F192" s="18" t="n">
        <f aca="false">IFERROR(ROUND(INDEX('Injectable Value'!$AA$28:$AA$178,MATCH(B192,'Injectable Value'!$A$28:$A$178,0)),1),"")</f>
        <v>6294.9</v>
      </c>
      <c r="G192" s="16" t="s">
        <v>338</v>
      </c>
      <c r="H192" s="14" t="n">
        <v>4</v>
      </c>
      <c r="I192" s="15" t="s">
        <v>248</v>
      </c>
      <c r="J192" s="15" t="s">
        <v>299</v>
      </c>
      <c r="K192" s="16" t="str">
        <f aca="false">"Reconstitution"&amp;IF(V192=0,"; Unpriced","")&amp;IF(AND(V192&gt;0,W192=0,X192=0),"; Low price from another market – confirm with company","")</f>
        <v>Reconstitution</v>
      </c>
      <c r="L192" s="18" t="n">
        <f aca="false">IFERROR(INDEX('Shortlisted Drugs X Company (7)'!$K$3:$K$698,MATCH(B192,'Shortlisted Drugs X Company (7)'!$C$3:$C$698,0)),"")</f>
        <v>290</v>
      </c>
      <c r="M192" s="18" t="n">
        <f aca="false">IFERROR(ROUND(L192*INDEX('Injectable Value'!$Z$28:$Z$178,MATCH(B192,'Injectable Value'!$A$28:$A$178,0)),0),"")</f>
        <v>288</v>
      </c>
      <c r="N192" s="18" t="n">
        <f aca="false">IFERROR(INDEX('Shortlisted Drugs X Company (7)'!$L$3:$L$698,MATCH(B192,'Shortlisted Drugs X Company (7)'!$C$3:$C$698,0)),"")</f>
        <v>6348.25</v>
      </c>
      <c r="O192" s="15" t="str">
        <f aca="false">IF(AE192="No","IV only (not ID/IM/SC)",IF(AND(V192&gt;0,W192=0),"Price ≤ $5",""))</f>
        <v/>
      </c>
      <c r="P192" s="14" t="n">
        <f aca="false">IF(O192&lt;&gt;"","",COUNTIFS($A$29:$A$361,A192,$O$29:$O$361,"",$AC$29:$AC$361,"&gt;"&amp;AC192)+COUNTIFS($A$29:A192,A192,$O$29:O192,"",$AC$29:AC192,AC192))</f>
        <v>16</v>
      </c>
      <c r="Q192" s="15" t="str">
        <f aca="false">IF(O192&lt;&gt;"",IF(O192="Price ≤ $5","Excluded – price ≤ $5","Excluded – IV only"),IF(ISNUMBER(D192),IF(AND(D192&gt;=$C$3,M192&gt;=$E$3),"Priority 1",IF(OR(D192&gt;=$C$3,M192&gt;=$E$3),"Priority 2","Priority 3")),IF(M192&gt;=$E$3,"Priority 2","Priority 3")))</f>
        <v>Priority 2</v>
      </c>
      <c r="R192" s="16" t="s">
        <v>250</v>
      </c>
      <c r="S192" s="15" t="s">
        <v>894</v>
      </c>
      <c r="T192" s="32" t="s">
        <v>325</v>
      </c>
      <c r="U192" s="33" t="str">
        <f aca="false">B192&amp;"|"&amp;S192</f>
        <v>Cefepime|Intas Pharmaceuticals</v>
      </c>
      <c r="V192" s="34" t="n">
        <f aca="false">COUNTIFS('Shortlisted Drugs X Company (7)'!$C$3:$C$698,$B192,'Shortlisted Drugs X Company (7)'!$E$3:$E$698,$S192,'Shortlisted Drugs X Company (7)'!$N$3:$N$698,"&gt;=0")</f>
        <v>2</v>
      </c>
      <c r="W192" s="34" t="n">
        <f aca="false">COUNTIFS('Shortlisted Drugs X Company (7)'!$C$3:$C$698,$B192,'Shortlisted Drugs X Company (7)'!$E$3:$E$698,$S192,'Shortlisted Drugs X Company (7)'!$N$3:$N$698,"&gt;5")</f>
        <v>2</v>
      </c>
      <c r="X192" s="34" t="n">
        <f aca="false">COUNTIFS('Shortlisted Drugs X Company (7)'!$C$3:$C$698,$B192,'Shortlisted Drugs X Company (7)'!$E$3:$E$698,$S192,'Shortlisted Drugs X Company (7)'!$P$3:$P$698,"Exact")+COUNTIFS('Shortlisted Drugs X Company (7)'!$C$3:$C$698,$B192,'Shortlisted Drugs X Company (7)'!$E$3:$E$698,$S192,'Shortlisted Drugs X Company (7)'!$P$3:$P$698,"Same-market proxy")</f>
        <v>0</v>
      </c>
      <c r="Y192" s="33" t="str">
        <f aca="false">A192&amp;"|"&amp;P192</f>
        <v>Intas|16</v>
      </c>
      <c r="Z192" s="16" t="s">
        <v>333</v>
      </c>
      <c r="AA192" s="33" t="n">
        <f aca="false">INDEX($G$7:$G$25,MATCH(A192,$A$7:$A$25,0))</f>
        <v>1</v>
      </c>
      <c r="AB192" s="33" t="n">
        <f aca="false">IF(AE192="No","",AA192*1000+IF(P192="",900+COUNTIFS($A$29:A192,A192,$O$29:O192,"Price ≤ $5"),P192))</f>
        <v>1016</v>
      </c>
      <c r="AC192" s="33" t="n">
        <f aca="false">IF(O192&lt;&gt;"","",(4-VALUE(RIGHT(Q192,1)))*10^7+N(F192))</f>
        <v>20006294.9</v>
      </c>
      <c r="AD192" s="15" t="str">
        <f aca="false">IFERROR(INDEX('Route of Administration'!$C$5:$C$155,MATCH(B192,'Route of Administration'!$A$5:$A$155,0)),"")</f>
        <v>IV, IM</v>
      </c>
      <c r="AE192" s="14" t="str">
        <f aca="false">IFERROR(INDEX('Route of Administration'!$D$5:$D$155,MATCH(B192,'Route of Administration'!$A$5:$A$155,0)),"")</f>
        <v>Yes</v>
      </c>
      <c r="AF192" s="19" t="n">
        <f aca="false">IF(V192&gt;0,ROUND(AVERAGEIFS('Shortlisted Drugs X Company (7)'!$N$3:$N$698,'Shortlisted Drugs X Company (7)'!$C$3:$C$698,$B192,'Shortlisted Drugs X Company (7)'!$E$3:$E$698,$S192,'Shortlisted Drugs X Company (7)'!$N$3:$N$698,"&gt;=0"),2),"")</f>
        <v>9.65</v>
      </c>
      <c r="AG192" s="16" t="s">
        <v>933</v>
      </c>
      <c r="AH192" s="16" t="s">
        <v>934</v>
      </c>
      <c r="AI192" s="16" t="s">
        <v>934</v>
      </c>
      <c r="AJ192" s="16" t="str">
        <f aca="false">IF(O192&lt;&gt;"","",IF(ISNUMBER(D192),IF(D192&gt;=$C$3,"High price","Lower price"),"Unpriced")&amp;" · "&amp;IF(M192&gt;=$E$3,"high volume","lower volume"))</f>
        <v>Lower price · high volume</v>
      </c>
      <c r="AK192" s="15" t="str">
        <f aca="false">IF(O192&lt;&gt;"",IF(O192="Price ≤ $5","Excluded – price ≤ $5","Excluded – IV only"),IF(ISNUMBER(D192),IF(AND(D192&gt;=$C$3,L192&gt;=$H$3),"Priority 1",IF(OR(D192&gt;=$C$3,L192&gt;=$H$3),"Priority 2","Priority 3")),IF(L192&gt;=$H$3,"Priority 2","Priority 3")))</f>
        <v>Priority 2</v>
      </c>
      <c r="AL192" s="16" t="str">
        <f aca="false">IF(O192&lt;&gt;"","",IF(ISNUMBER(D192),IF(D192&gt;=$C$3,"High price","Lower price"),"Unpriced")&amp;" · "&amp;IF(L192&gt;=$H$3,"high volume","lower volume"))</f>
        <v>Lower price · high volume</v>
      </c>
      <c r="AM192" s="14" t="n">
        <f aca="false">IF(O192&lt;&gt;"","",COUNTIFS($A$29:$A$361,A192,$O$29:$O$361,"",$AQ$29:$AQ$361,"&gt;"&amp;AQ192)+COUNTIFS($A$29:A192,A192,$O$29:O192,"",$AQ$29:AQ192,AQ192))</f>
        <v>18</v>
      </c>
      <c r="AN192" s="19" t="n">
        <f aca="false">IF(AND(O192="",ISNUMBER(D192)),D192,"")</f>
        <v>9.65</v>
      </c>
      <c r="AO192" s="20" t="n">
        <f aca="false">IF(O192="",M192,"")</f>
        <v>288</v>
      </c>
      <c r="AP192" s="20" t="n">
        <f aca="false">IF(O192="",L192,"")</f>
        <v>290</v>
      </c>
      <c r="AQ192" s="33" t="n">
        <f aca="false">IF(O192&lt;&gt;"","",(4-VALUE(RIGHT(AK192,1)))*10^7+N(N192))</f>
        <v>20006348.25</v>
      </c>
      <c r="AR192" s="33" t="n">
        <f aca="false">INDEX($O$7:$O$25,MATCH(A192,$I$7:$I$25,0))</f>
        <v>1</v>
      </c>
      <c r="AS192" s="33" t="n">
        <f aca="false">IF(AE192="No","",AR192*1000+IF(AM192="",900+COUNTIFS($A$29:A192,A192,$O$29:O192,"Price ≤ $5"),AM192))</f>
        <v>1018</v>
      </c>
    </row>
    <row r="193" customFormat="false" ht="41.75" hidden="false" customHeight="false" outlineLevel="0" collapsed="false">
      <c r="A193" s="15" t="s">
        <v>21</v>
      </c>
      <c r="B193" s="15" t="s">
        <v>336</v>
      </c>
      <c r="C193" s="16" t="s">
        <v>337</v>
      </c>
      <c r="D193" s="17" t="n">
        <f aca="false">IF(W193&gt;0,ROUND(AVERAGEIFS('Shortlisted Drugs X Company (7)'!$N$3:$N$698,'Shortlisted Drugs X Company (7)'!$C$3:$C$698,$B193,'Shortlisted Drugs X Company (7)'!$E$3:$E$698,$S193,'Shortlisted Drugs X Company (7)'!$N$3:$N$698,"&gt;5"),2),"")</f>
        <v>5.6</v>
      </c>
      <c r="E193" s="15" t="str">
        <f aca="false">IF(COUNTIFS('Shortlisted Drugs X Company (7)'!$C$3:$C$698,$B193,'Shortlisted Drugs X Company (7)'!$E$3:$E$698,$S193,'Shortlisted Drugs X Company (7)'!$P$3:$P$698,"Exact")&gt;0,"Exact",IF(COUNTIFS('Shortlisted Drugs X Company (7)'!$C$3:$C$698,$B193,'Shortlisted Drugs X Company (7)'!$E$3:$E$698,$S193,'Shortlisted Drugs X Company (7)'!$P$3:$P$698,"Same-market proxy")&gt;0,"Same-market proxy",IF(COUNTIFS('Shortlisted Drugs X Company (7)'!$C$3:$C$698,$B193,'Shortlisted Drugs X Company (7)'!$E$3:$E$698,$S193,'Shortlisted Drugs X Company (7)'!$P$3:$P$698,"Cross-market proxy")&gt;0,"Cross-market proxy",IF(COUNTIFS('Shortlisted Drugs X Company (7)'!$C$3:$C$698,$B193,'Shortlisted Drugs X Company (7)'!$E$3:$E$698,$S193,'Shortlisted Drugs X Company (7)'!$P$3:$P$698,"Source not found")&gt;0,"Source not found","Not priced"))))</f>
        <v>Same-market proxy</v>
      </c>
      <c r="F193" s="18" t="n">
        <f aca="false">IFERROR(ROUND(INDEX('Injectable Value'!$AA$28:$AA$178,MATCH(B193,'Injectable Value'!$A$28:$A$178,0)),1),"")</f>
        <v>93119.2</v>
      </c>
      <c r="G193" s="16" t="s">
        <v>70</v>
      </c>
      <c r="H193" s="14" t="n">
        <v>1</v>
      </c>
      <c r="I193" s="15" t="s">
        <v>277</v>
      </c>
      <c r="J193" s="15" t="s">
        <v>277</v>
      </c>
      <c r="K193" s="16" t="str">
        <f aca="false">""&amp;IF(V193=0,"Unpriced","")&amp;IF(AND(V193&gt;0,W193=0,X193=0),"Low price from another market – confirm with company","")</f>
        <v/>
      </c>
      <c r="L193" s="18" t="n">
        <f aca="false">IFERROR(INDEX('Shortlisted Drugs X Company (7)'!$K$3:$K$698,MATCH(B193,'Shortlisted Drugs X Company (7)'!$C$3:$C$698,0)),"")</f>
        <v>3110</v>
      </c>
      <c r="M193" s="18" t="n">
        <f aca="false">IFERROR(ROUND(L193*INDEX('Injectable Value'!$Z$28:$Z$178,MATCH(B193,'Injectable Value'!$A$28:$A$178,0)),0),"")</f>
        <v>3110</v>
      </c>
      <c r="N193" s="18" t="n">
        <f aca="false">IFERROR(INDEX('Shortlisted Drugs X Company (7)'!$L$3:$L$698,MATCH(B193,'Shortlisted Drugs X Company (7)'!$C$3:$C$698,0)),"")</f>
        <v>93119.22</v>
      </c>
      <c r="O193" s="15" t="str">
        <f aca="false">IF(AE193="No","IV only (not ID/IM/SC)",IF(AND(V193&gt;0,W193=0),"Price ≤ $5",""))</f>
        <v/>
      </c>
      <c r="P193" s="14" t="n">
        <f aca="false">IF(O193&lt;&gt;"","",COUNTIFS($A$29:$A$361,A193,$O$29:$O$361,"",$AC$29:$AC$361,"&gt;"&amp;AC193)+COUNTIFS($A$29:A193,A193,$O$29:O193,"",$AC$29:AC193,AC193))</f>
        <v>10</v>
      </c>
      <c r="Q193" s="15" t="str">
        <f aca="false">IF(O193&lt;&gt;"",IF(O193="Price ≤ $5","Excluded – price ≤ $5","Excluded – IV only"),IF(ISNUMBER(D193),IF(AND(D193&gt;=$C$3,M193&gt;=$E$3),"Priority 1",IF(OR(D193&gt;=$C$3,M193&gt;=$E$3),"Priority 2","Priority 3")),IF(M193&gt;=$E$3,"Priority 2","Priority 3")))</f>
        <v>Priority 2</v>
      </c>
      <c r="R193" s="16" t="s">
        <v>278</v>
      </c>
      <c r="S193" s="15" t="s">
        <v>894</v>
      </c>
      <c r="T193" s="32" t="s">
        <v>340</v>
      </c>
      <c r="U193" s="33" t="str">
        <f aca="false">B193&amp;"|"&amp;S193</f>
        <v>Ceftriaxone|Intas Pharmaceuticals</v>
      </c>
      <c r="V193" s="34" t="n">
        <f aca="false">COUNTIFS('Shortlisted Drugs X Company (7)'!$C$3:$C$698,$B193,'Shortlisted Drugs X Company (7)'!$E$3:$E$698,$S193,'Shortlisted Drugs X Company (7)'!$N$3:$N$698,"&gt;=0")</f>
        <v>1</v>
      </c>
      <c r="W193" s="34" t="n">
        <f aca="false">COUNTIFS('Shortlisted Drugs X Company (7)'!$C$3:$C$698,$B193,'Shortlisted Drugs X Company (7)'!$E$3:$E$698,$S193,'Shortlisted Drugs X Company (7)'!$N$3:$N$698,"&gt;5")</f>
        <v>1</v>
      </c>
      <c r="X193" s="34" t="n">
        <f aca="false">COUNTIFS('Shortlisted Drugs X Company (7)'!$C$3:$C$698,$B193,'Shortlisted Drugs X Company (7)'!$E$3:$E$698,$S193,'Shortlisted Drugs X Company (7)'!$P$3:$P$698,"Exact")+COUNTIFS('Shortlisted Drugs X Company (7)'!$C$3:$C$698,$B193,'Shortlisted Drugs X Company (7)'!$E$3:$E$698,$S193,'Shortlisted Drugs X Company (7)'!$P$3:$P$698,"Same-market proxy")</f>
        <v>1</v>
      </c>
      <c r="Y193" s="33" t="str">
        <f aca="false">A193&amp;"|"&amp;P193</f>
        <v>Intas|10</v>
      </c>
      <c r="Z193" s="16" t="s">
        <v>935</v>
      </c>
      <c r="AA193" s="33" t="n">
        <f aca="false">INDEX($G$7:$G$25,MATCH(A193,$A$7:$A$25,0))</f>
        <v>1</v>
      </c>
      <c r="AB193" s="33" t="n">
        <f aca="false">IF(AE193="No","",AA193*1000+IF(P193="",900+COUNTIFS($A$29:A193,A193,$O$29:O193,"Price ≤ $5"),P193))</f>
        <v>1010</v>
      </c>
      <c r="AC193" s="33" t="n">
        <f aca="false">IF(O193&lt;&gt;"","",(4-VALUE(RIGHT(Q193,1)))*10^7+N(F193))</f>
        <v>20093119.2</v>
      </c>
      <c r="AD193" s="15" t="str">
        <f aca="false">IFERROR(INDEX('Route of Administration'!$C$5:$C$155,MATCH(B193,'Route of Administration'!$A$5:$A$155,0)),"")</f>
        <v>IV, IM</v>
      </c>
      <c r="AE193" s="14" t="str">
        <f aca="false">IFERROR(INDEX('Route of Administration'!$D$5:$D$155,MATCH(B193,'Route of Administration'!$A$5:$A$155,0)),"")</f>
        <v>Yes</v>
      </c>
      <c r="AF193" s="19" t="n">
        <f aca="false">IF(V193&gt;0,ROUND(AVERAGEIFS('Shortlisted Drugs X Company (7)'!$N$3:$N$698,'Shortlisted Drugs X Company (7)'!$C$3:$C$698,$B193,'Shortlisted Drugs X Company (7)'!$E$3:$E$698,$S193,'Shortlisted Drugs X Company (7)'!$N$3:$N$698,"&gt;=0"),2),"")</f>
        <v>5.6</v>
      </c>
      <c r="AG193" s="16" t="s">
        <v>936</v>
      </c>
      <c r="AH193" s="16" t="s">
        <v>753</v>
      </c>
      <c r="AI193" s="16" t="s">
        <v>753</v>
      </c>
      <c r="AJ193" s="16" t="str">
        <f aca="false">IF(O193&lt;&gt;"","",IF(ISNUMBER(D193),IF(D193&gt;=$C$3,"High price","Lower price"),"Unpriced")&amp;" · "&amp;IF(M193&gt;=$E$3,"high volume","lower volume"))</f>
        <v>Lower price · high volume</v>
      </c>
      <c r="AK193" s="15" t="str">
        <f aca="false">IF(O193&lt;&gt;"",IF(O193="Price ≤ $5","Excluded – price ≤ $5","Excluded – IV only"),IF(ISNUMBER(D193),IF(AND(D193&gt;=$C$3,L193&gt;=$H$3),"Priority 1",IF(OR(D193&gt;=$C$3,L193&gt;=$H$3),"Priority 2","Priority 3")),IF(L193&gt;=$H$3,"Priority 2","Priority 3")))</f>
        <v>Priority 2</v>
      </c>
      <c r="AL193" s="16" t="str">
        <f aca="false">IF(O193&lt;&gt;"","",IF(ISNUMBER(D193),IF(D193&gt;=$C$3,"High price","Lower price"),"Unpriced")&amp;" · "&amp;IF(L193&gt;=$H$3,"high volume","lower volume"))</f>
        <v>Lower price · high volume</v>
      </c>
      <c r="AM193" s="14" t="n">
        <f aca="false">IF(O193&lt;&gt;"","",COUNTIFS($A$29:$A$361,A193,$O$29:$O$361,"",$AQ$29:$AQ$361,"&gt;"&amp;AQ193)+COUNTIFS($A$29:A193,A193,$O$29:O193,"",$AQ$29:AQ193,AQ193))</f>
        <v>8</v>
      </c>
      <c r="AN193" s="19" t="n">
        <f aca="false">IF(AND(O193="",ISNUMBER(D193)),D193,"")</f>
        <v>5.6</v>
      </c>
      <c r="AO193" s="20" t="n">
        <f aca="false">IF(O193="",M193,"")</f>
        <v>3110</v>
      </c>
      <c r="AP193" s="20" t="n">
        <f aca="false">IF(O193="",L193,"")</f>
        <v>3110</v>
      </c>
      <c r="AQ193" s="33" t="n">
        <f aca="false">IF(O193&lt;&gt;"","",(4-VALUE(RIGHT(AK193,1)))*10^7+N(N193))</f>
        <v>20093119.22</v>
      </c>
      <c r="AR193" s="33" t="n">
        <f aca="false">INDEX($O$7:$O$25,MATCH(A193,$I$7:$I$25,0))</f>
        <v>1</v>
      </c>
      <c r="AS193" s="33" t="n">
        <f aca="false">IF(AE193="No","",AR193*1000+IF(AM193="",900+COUNTIFS($A$29:A193,A193,$O$29:O193,"Price ≤ $5"),AM193))</f>
        <v>1008</v>
      </c>
    </row>
    <row r="194" customFormat="false" ht="41.75" hidden="false" customHeight="false" outlineLevel="0" collapsed="false">
      <c r="A194" s="15" t="s">
        <v>21</v>
      </c>
      <c r="B194" s="15" t="s">
        <v>937</v>
      </c>
      <c r="C194" s="16" t="s">
        <v>938</v>
      </c>
      <c r="D194" s="17" t="n">
        <f aca="false">IF(W194&gt;0,ROUND(AVERAGEIFS('Shortlisted Drugs X Company (7)'!$N$3:$N$698,'Shortlisted Drugs X Company (7)'!$C$3:$C$698,$B194,'Shortlisted Drugs X Company (7)'!$E$3:$E$698,$S194,'Shortlisted Drugs X Company (7)'!$N$3:$N$698,"&gt;5"),2),"")</f>
        <v>39.05</v>
      </c>
      <c r="E194" s="15" t="str">
        <f aca="false">IF(COUNTIFS('Shortlisted Drugs X Company (7)'!$C$3:$C$698,$B194,'Shortlisted Drugs X Company (7)'!$E$3:$E$698,$S194,'Shortlisted Drugs X Company (7)'!$P$3:$P$698,"Exact")&gt;0,"Exact",IF(COUNTIFS('Shortlisted Drugs X Company (7)'!$C$3:$C$698,$B194,'Shortlisted Drugs X Company (7)'!$E$3:$E$698,$S194,'Shortlisted Drugs X Company (7)'!$P$3:$P$698,"Same-market proxy")&gt;0,"Same-market proxy",IF(COUNTIFS('Shortlisted Drugs X Company (7)'!$C$3:$C$698,$B194,'Shortlisted Drugs X Company (7)'!$E$3:$E$698,$S194,'Shortlisted Drugs X Company (7)'!$P$3:$P$698,"Cross-market proxy")&gt;0,"Cross-market proxy",IF(COUNTIFS('Shortlisted Drugs X Company (7)'!$C$3:$C$698,$B194,'Shortlisted Drugs X Company (7)'!$E$3:$E$698,$S194,'Shortlisted Drugs X Company (7)'!$P$3:$P$698,"Source not found")&gt;0,"Source not found","Not priced"))))</f>
        <v>Exact</v>
      </c>
      <c r="F194" s="18" t="n">
        <f aca="false">IFERROR(ROUND(INDEX('Injectable Value'!$AA$28:$AA$178,MATCH(B194,'Injectable Value'!$A$28:$A$178,0)),1),"")</f>
        <v>2508.1</v>
      </c>
      <c r="G194" s="16" t="s">
        <v>939</v>
      </c>
      <c r="H194" s="14" t="n">
        <v>15</v>
      </c>
      <c r="I194" s="15" t="s">
        <v>248</v>
      </c>
      <c r="J194" s="15" t="s">
        <v>249</v>
      </c>
      <c r="K194" s="16" t="str">
        <f aca="false">""&amp;IF(V194=0,"Unpriced","")&amp;IF(AND(V194&gt;0,W194=0,X194=0),"Low price from another market – confirm with company","")</f>
        <v/>
      </c>
      <c r="L194" s="18" t="n">
        <f aca="false">IFERROR(INDEX('Shortlisted Drugs X Company (7)'!$K$3:$K$698,MATCH(B194,'Shortlisted Drugs X Company (7)'!$C$3:$C$698,0)),"")</f>
        <v>117</v>
      </c>
      <c r="M194" s="18" t="n">
        <f aca="false">IFERROR(ROUND(L194*INDEX('Injectable Value'!$Z$28:$Z$178,MATCH(B194,'Injectable Value'!$A$28:$A$178,0)),0),"")</f>
        <v>117</v>
      </c>
      <c r="N194" s="18" t="n">
        <f aca="false">IFERROR(INDEX('Shortlisted Drugs X Company (7)'!$L$3:$L$698,MATCH(B194,'Shortlisted Drugs X Company (7)'!$C$3:$C$698,0)),"")</f>
        <v>2508.09</v>
      </c>
      <c r="O194" s="15" t="str">
        <f aca="false">IF(AE194="No","IV only (not ID/IM/SC)",IF(AND(V194&gt;0,W194=0),"Price ≤ $5",""))</f>
        <v>IV only (not ID/IM/SC)</v>
      </c>
      <c r="P194" s="14" t="str">
        <f aca="false">IF(O194&lt;&gt;"","",COUNTIFS($A$29:$A$361,A194,$O$29:$O$361,"",$AC$29:$AC$361,"&gt;"&amp;AC194)+COUNTIFS($A$29:A194,A194,$O$29:O194,"",$AC$29:AC194,AC194))</f>
        <v/>
      </c>
      <c r="Q194" s="15" t="str">
        <f aca="false">IF(O194&lt;&gt;"",IF(O194="Price ≤ $5","Excluded – price ≤ $5","Excluded – IV only"),IF(ISNUMBER(D194),IF(AND(D194&gt;=$C$3,M194&gt;=$E$3),"Priority 1",IF(OR(D194&gt;=$C$3,M194&gt;=$E$3),"Priority 2","Priority 3")),IF(M194&gt;=$E$3,"Priority 2","Priority 3")))</f>
        <v>Excluded – IV only</v>
      </c>
      <c r="R194" s="16" t="s">
        <v>250</v>
      </c>
      <c r="S194" s="15" t="s">
        <v>894</v>
      </c>
      <c r="T194" s="32" t="s">
        <v>940</v>
      </c>
      <c r="U194" s="33" t="str">
        <f aca="false">B194&amp;"|"&amp;S194</f>
        <v>Cisatracurium|Intas Pharmaceuticals</v>
      </c>
      <c r="V194" s="34" t="n">
        <f aca="false">COUNTIFS('Shortlisted Drugs X Company (7)'!$C$3:$C$698,$B194,'Shortlisted Drugs X Company (7)'!$E$3:$E$698,$S194,'Shortlisted Drugs X Company (7)'!$N$3:$N$698,"&gt;=0")</f>
        <v>1</v>
      </c>
      <c r="W194" s="34" t="n">
        <f aca="false">COUNTIFS('Shortlisted Drugs X Company (7)'!$C$3:$C$698,$B194,'Shortlisted Drugs X Company (7)'!$E$3:$E$698,$S194,'Shortlisted Drugs X Company (7)'!$N$3:$N$698,"&gt;5")</f>
        <v>1</v>
      </c>
      <c r="X194" s="34" t="n">
        <f aca="false">COUNTIFS('Shortlisted Drugs X Company (7)'!$C$3:$C$698,$B194,'Shortlisted Drugs X Company (7)'!$E$3:$E$698,$S194,'Shortlisted Drugs X Company (7)'!$P$3:$P$698,"Exact")+COUNTIFS('Shortlisted Drugs X Company (7)'!$C$3:$C$698,$B194,'Shortlisted Drugs X Company (7)'!$E$3:$E$698,$S194,'Shortlisted Drugs X Company (7)'!$P$3:$P$698,"Same-market proxy")</f>
        <v>1</v>
      </c>
      <c r="Y194" s="33" t="str">
        <f aca="false">A194&amp;"|"&amp;P194</f>
        <v>Intas|</v>
      </c>
      <c r="Z194" s="16" t="s">
        <v>941</v>
      </c>
      <c r="AA194" s="33" t="n">
        <f aca="false">INDEX($G$7:$G$25,MATCH(A194,$A$7:$A$25,0))</f>
        <v>1</v>
      </c>
      <c r="AB194" s="33" t="str">
        <f aca="false">IF(AE194="No","",AA194*1000+IF(P194="",900+COUNTIFS($A$29:A194,A194,$O$29:O194,"Price ≤ $5"),P194))</f>
        <v/>
      </c>
      <c r="AC194" s="33" t="str">
        <f aca="false">IF(O194&lt;&gt;"","",(4-VALUE(RIGHT(Q194,1)))*10^7+N(F194))</f>
        <v/>
      </c>
      <c r="AD194" s="15" t="str">
        <f aca="false">IFERROR(INDEX('Route of Administration'!$C$5:$C$155,MATCH(B194,'Route of Administration'!$A$5:$A$155,0)),"")</f>
        <v>IV</v>
      </c>
      <c r="AE194" s="14" t="str">
        <f aca="false">IFERROR(INDEX('Route of Administration'!$D$5:$D$155,MATCH(B194,'Route of Administration'!$A$5:$A$155,0)),"")</f>
        <v>No</v>
      </c>
      <c r="AF194" s="19" t="n">
        <f aca="false">IF(V194&gt;0,ROUND(AVERAGEIFS('Shortlisted Drugs X Company (7)'!$N$3:$N$698,'Shortlisted Drugs X Company (7)'!$C$3:$C$698,$B194,'Shortlisted Drugs X Company (7)'!$E$3:$E$698,$S194,'Shortlisted Drugs X Company (7)'!$N$3:$N$698,"&gt;=0"),2),"")</f>
        <v>39.05</v>
      </c>
      <c r="AG194" s="16" t="s">
        <v>942</v>
      </c>
      <c r="AH194" s="16" t="s">
        <v>943</v>
      </c>
      <c r="AI194" s="16" t="s">
        <v>944</v>
      </c>
      <c r="AJ194" s="16" t="str">
        <f aca="false">IF(O194&lt;&gt;"","",IF(ISNUMBER(D194),IF(D194&gt;=$C$3,"High price","Lower price"),"Unpriced")&amp;" · "&amp;IF(M194&gt;=$E$3,"high volume","lower volume"))</f>
        <v/>
      </c>
      <c r="AK194" s="15" t="str">
        <f aca="false">IF(O194&lt;&gt;"",IF(O194="Price ≤ $5","Excluded – price ≤ $5","Excluded – IV only"),IF(ISNUMBER(D194),IF(AND(D194&gt;=$C$3,L194&gt;=$H$3),"Priority 1",IF(OR(D194&gt;=$C$3,L194&gt;=$H$3),"Priority 2","Priority 3")),IF(L194&gt;=$H$3,"Priority 2","Priority 3")))</f>
        <v>Excluded – IV only</v>
      </c>
      <c r="AL194" s="16" t="str">
        <f aca="false">IF(O194&lt;&gt;"","",IF(ISNUMBER(D194),IF(D194&gt;=$C$3,"High price","Lower price"),"Unpriced")&amp;" · "&amp;IF(L194&gt;=$H$3,"high volume","lower volume"))</f>
        <v/>
      </c>
      <c r="AM194" s="14" t="str">
        <f aca="false">IF(O194&lt;&gt;"","",COUNTIFS($A$29:$A$361,A194,$O$29:$O$361,"",$AQ$29:$AQ$361,"&gt;"&amp;AQ194)+COUNTIFS($A$29:A194,A194,$O$29:O194,"",$AQ$29:AQ194,AQ194))</f>
        <v/>
      </c>
      <c r="AN194" s="33" t="str">
        <f aca="false">IF(AND(O194="",ISNUMBER(D194)),D194,"")</f>
        <v/>
      </c>
      <c r="AO194" s="33" t="str">
        <f aca="false">IF(O194="",M194,"")</f>
        <v/>
      </c>
      <c r="AP194" s="33" t="str">
        <f aca="false">IF(O194="",L194,"")</f>
        <v/>
      </c>
      <c r="AQ194" s="33" t="str">
        <f aca="false">IF(O194&lt;&gt;"","",(4-VALUE(RIGHT(AK194,1)))*10^7+N(N194))</f>
        <v/>
      </c>
      <c r="AR194" s="33" t="n">
        <f aca="false">INDEX($O$7:$O$25,MATCH(A194,$I$7:$I$25,0))</f>
        <v>1</v>
      </c>
      <c r="AS194" s="33" t="str">
        <f aca="false">IF(AE194="No","",AR194*1000+IF(AM194="",900+COUNTIFS($A$29:A194,A194,$O$29:O194,"Price ≤ $5"),AM194))</f>
        <v/>
      </c>
    </row>
    <row r="195" customFormat="false" ht="55.2" hidden="false" customHeight="false" outlineLevel="0" collapsed="false">
      <c r="A195" s="15" t="s">
        <v>21</v>
      </c>
      <c r="B195" s="15" t="s">
        <v>760</v>
      </c>
      <c r="C195" s="16" t="s">
        <v>761</v>
      </c>
      <c r="D195" s="17" t="n">
        <f aca="false">IF(W195&gt;0,ROUND(AVERAGEIFS('Shortlisted Drugs X Company (7)'!$N$3:$N$698,'Shortlisted Drugs X Company (7)'!$C$3:$C$698,$B195,'Shortlisted Drugs X Company (7)'!$E$3:$E$698,$S195,'Shortlisted Drugs X Company (7)'!$N$3:$N$698,"&gt;5"),2),"")</f>
        <v>9.75</v>
      </c>
      <c r="E195" s="15" t="str">
        <f aca="false">IF(COUNTIFS('Shortlisted Drugs X Company (7)'!$C$3:$C$698,$B195,'Shortlisted Drugs X Company (7)'!$E$3:$E$698,$S195,'Shortlisted Drugs X Company (7)'!$P$3:$P$698,"Exact")&gt;0,"Exact",IF(COUNTIFS('Shortlisted Drugs X Company (7)'!$C$3:$C$698,$B195,'Shortlisted Drugs X Company (7)'!$E$3:$E$698,$S195,'Shortlisted Drugs X Company (7)'!$P$3:$P$698,"Same-market proxy")&gt;0,"Same-market proxy",IF(COUNTIFS('Shortlisted Drugs X Company (7)'!$C$3:$C$698,$B195,'Shortlisted Drugs X Company (7)'!$E$3:$E$698,$S195,'Shortlisted Drugs X Company (7)'!$P$3:$P$698,"Cross-market proxy")&gt;0,"Cross-market proxy",IF(COUNTIFS('Shortlisted Drugs X Company (7)'!$C$3:$C$698,$B195,'Shortlisted Drugs X Company (7)'!$E$3:$E$698,$S195,'Shortlisted Drugs X Company (7)'!$P$3:$P$698,"Source not found")&gt;0,"Source not found","Not priced"))))</f>
        <v>Exact</v>
      </c>
      <c r="F195" s="18" t="n">
        <f aca="false">IFERROR(ROUND(INDEX('Injectable Value'!$AA$28:$AA$178,MATCH(B195,'Injectable Value'!$A$28:$A$178,0)),1),"")</f>
        <v>2033.7</v>
      </c>
      <c r="G195" s="16" t="s">
        <v>945</v>
      </c>
      <c r="H195" s="14" t="n">
        <v>22</v>
      </c>
      <c r="I195" s="15" t="s">
        <v>248</v>
      </c>
      <c r="J195" s="15" t="s">
        <v>299</v>
      </c>
      <c r="K195" s="16" t="str">
        <f aca="false">"Reconstitution"&amp;IF(V195=0,"; Unpriced","")&amp;IF(AND(V195&gt;0,W195=0,X195=0),"; Low price from another market – confirm with company","")</f>
        <v>Reconstitution</v>
      </c>
      <c r="L195" s="18" t="n">
        <f aca="false">IFERROR(INDEX('Shortlisted Drugs X Company (7)'!$K$3:$K$698,MATCH(B195,'Shortlisted Drugs X Company (7)'!$C$3:$C$698,0)),"")</f>
        <v>123</v>
      </c>
      <c r="M195" s="18" t="n">
        <f aca="false">IFERROR(ROUND(L195*INDEX('Injectable Value'!$Z$28:$Z$178,MATCH(B195,'Injectable Value'!$A$28:$A$178,0)),0),"")</f>
        <v>83</v>
      </c>
      <c r="N195" s="18" t="n">
        <f aca="false">IFERROR(INDEX('Shortlisted Drugs X Company (7)'!$L$3:$L$698,MATCH(B195,'Shortlisted Drugs X Company (7)'!$C$3:$C$698,0)),"")</f>
        <v>3010.2</v>
      </c>
      <c r="O195" s="15" t="str">
        <f aca="false">IF(AE195="No","IV only (not ID/IM/SC)",IF(AND(V195&gt;0,W195=0),"Price ≤ $5",""))</f>
        <v/>
      </c>
      <c r="P195" s="14" t="n">
        <f aca="false">IF(O195&lt;&gt;"","",COUNTIFS($A$29:$A$361,A195,$O$29:$O$361,"",$AC$29:$AC$361,"&gt;"&amp;AC195)+COUNTIFS($A$29:A195,A195,$O$29:O195,"",$AC$29:AC195,AC195))</f>
        <v>24</v>
      </c>
      <c r="Q195" s="15" t="str">
        <f aca="false">IF(O195&lt;&gt;"",IF(O195="Price ≤ $5","Excluded – price ≤ $5","Excluded – IV only"),IF(ISNUMBER(D195),IF(AND(D195&gt;=$C$3,M195&gt;=$E$3),"Priority 1",IF(OR(D195&gt;=$C$3,M195&gt;=$E$3),"Priority 2","Priority 3")),IF(M195&gt;=$E$3,"Priority 2","Priority 3")))</f>
        <v>Priority 3</v>
      </c>
      <c r="R195" s="16" t="s">
        <v>285</v>
      </c>
      <c r="S195" s="15" t="s">
        <v>894</v>
      </c>
      <c r="T195" s="32" t="s">
        <v>762</v>
      </c>
      <c r="U195" s="33" t="str">
        <f aca="false">B195&amp;"|"&amp;S195</f>
        <v>Colistimethate Sodium|Intas Pharmaceuticals</v>
      </c>
      <c r="V195" s="34" t="n">
        <f aca="false">COUNTIFS('Shortlisted Drugs X Company (7)'!$C$3:$C$698,$B195,'Shortlisted Drugs X Company (7)'!$E$3:$E$698,$S195,'Shortlisted Drugs X Company (7)'!$N$3:$N$698,"&gt;=0")</f>
        <v>2</v>
      </c>
      <c r="W195" s="34" t="n">
        <f aca="false">COUNTIFS('Shortlisted Drugs X Company (7)'!$C$3:$C$698,$B195,'Shortlisted Drugs X Company (7)'!$E$3:$E$698,$S195,'Shortlisted Drugs X Company (7)'!$N$3:$N$698,"&gt;5")</f>
        <v>2</v>
      </c>
      <c r="X195" s="34" t="n">
        <f aca="false">COUNTIFS('Shortlisted Drugs X Company (7)'!$C$3:$C$698,$B195,'Shortlisted Drugs X Company (7)'!$E$3:$E$698,$S195,'Shortlisted Drugs X Company (7)'!$P$3:$P$698,"Exact")+COUNTIFS('Shortlisted Drugs X Company (7)'!$C$3:$C$698,$B195,'Shortlisted Drugs X Company (7)'!$E$3:$E$698,$S195,'Shortlisted Drugs X Company (7)'!$P$3:$P$698,"Same-market proxy")</f>
        <v>2</v>
      </c>
      <c r="Y195" s="33" t="str">
        <f aca="false">A195&amp;"|"&amp;P195</f>
        <v>Intas|24</v>
      </c>
      <c r="Z195" s="16" t="s">
        <v>946</v>
      </c>
      <c r="AA195" s="33" t="n">
        <f aca="false">INDEX($G$7:$G$25,MATCH(A195,$A$7:$A$25,0))</f>
        <v>1</v>
      </c>
      <c r="AB195" s="33" t="n">
        <f aca="false">IF(AE195="No","",AA195*1000+IF(P195="",900+COUNTIFS($A$29:A195,A195,$O$29:O195,"Price ≤ $5"),P195))</f>
        <v>1024</v>
      </c>
      <c r="AC195" s="33" t="n">
        <f aca="false">IF(O195&lt;&gt;"","",(4-VALUE(RIGHT(Q195,1)))*10^7+N(F195))</f>
        <v>10002033.7</v>
      </c>
      <c r="AD195" s="15" t="str">
        <f aca="false">IFERROR(INDEX('Route of Administration'!$C$5:$C$155,MATCH(B195,'Route of Administration'!$A$5:$A$155,0)),"")</f>
        <v>IV, IM</v>
      </c>
      <c r="AE195" s="14" t="str">
        <f aca="false">IFERROR(INDEX('Route of Administration'!$D$5:$D$155,MATCH(B195,'Route of Administration'!$A$5:$A$155,0)),"")</f>
        <v>Yes</v>
      </c>
      <c r="AF195" s="19" t="n">
        <f aca="false">IF(V195&gt;0,ROUND(AVERAGEIFS('Shortlisted Drugs X Company (7)'!$N$3:$N$698,'Shortlisted Drugs X Company (7)'!$C$3:$C$698,$B195,'Shortlisted Drugs X Company (7)'!$E$3:$E$698,$S195,'Shortlisted Drugs X Company (7)'!$N$3:$N$698,"&gt;=0"),2),"")</f>
        <v>9.75</v>
      </c>
      <c r="AG195" s="16" t="s">
        <v>947</v>
      </c>
      <c r="AH195" s="16" t="s">
        <v>948</v>
      </c>
      <c r="AI195" s="16" t="s">
        <v>949</v>
      </c>
      <c r="AJ195" s="16" t="str">
        <f aca="false">IF(O195&lt;&gt;"","",IF(ISNUMBER(D195),IF(D195&gt;=$C$3,"High price","Lower price"),"Unpriced")&amp;" · "&amp;IF(M195&gt;=$E$3,"high volume","lower volume"))</f>
        <v>Lower price · lower volume</v>
      </c>
      <c r="AK195" s="15" t="str">
        <f aca="false">IF(O195&lt;&gt;"",IF(O195="Price ≤ $5","Excluded – price ≤ $5","Excluded – IV only"),IF(ISNUMBER(D195),IF(AND(D195&gt;=$C$3,L195&gt;=$H$3),"Priority 1",IF(OR(D195&gt;=$C$3,L195&gt;=$H$3),"Priority 2","Priority 3")),IF(L195&gt;=$H$3,"Priority 2","Priority 3")))</f>
        <v>Priority 3</v>
      </c>
      <c r="AL195" s="16" t="str">
        <f aca="false">IF(O195&lt;&gt;"","",IF(ISNUMBER(D195),IF(D195&gt;=$C$3,"High price","Lower price"),"Unpriced")&amp;" · "&amp;IF(L195&gt;=$H$3,"high volume","lower volume"))</f>
        <v>Lower price · lower volume</v>
      </c>
      <c r="AM195" s="14" t="n">
        <f aca="false">IF(O195&lt;&gt;"","",COUNTIFS($A$29:$A$361,A195,$O$29:$O$361,"",$AQ$29:$AQ$361,"&gt;"&amp;AQ195)+COUNTIFS($A$29:A195,A195,$O$29:O195,"",$AQ$29:AQ195,AQ195))</f>
        <v>25</v>
      </c>
      <c r="AN195" s="19" t="n">
        <f aca="false">IF(AND(O195="",ISNUMBER(D195)),D195,"")</f>
        <v>9.75</v>
      </c>
      <c r="AO195" s="20" t="n">
        <f aca="false">IF(O195="",M195,"")</f>
        <v>83</v>
      </c>
      <c r="AP195" s="20" t="n">
        <f aca="false">IF(O195="",L195,"")</f>
        <v>123</v>
      </c>
      <c r="AQ195" s="33" t="n">
        <f aca="false">IF(O195&lt;&gt;"","",(4-VALUE(RIGHT(AK195,1)))*10^7+N(N195))</f>
        <v>10003010.2</v>
      </c>
      <c r="AR195" s="33" t="n">
        <f aca="false">INDEX($O$7:$O$25,MATCH(A195,$I$7:$I$25,0))</f>
        <v>1</v>
      </c>
      <c r="AS195" s="33" t="n">
        <f aca="false">IF(AE195="No","",AR195*1000+IF(AM195="",900+COUNTIFS($A$29:A195,A195,$O$29:O195,"Price ≤ $5"),AM195))</f>
        <v>1025</v>
      </c>
    </row>
    <row r="196" customFormat="false" ht="68.65" hidden="false" customHeight="false" outlineLevel="0" collapsed="false">
      <c r="A196" s="15" t="s">
        <v>21</v>
      </c>
      <c r="B196" s="15" t="s">
        <v>348</v>
      </c>
      <c r="C196" s="16" t="s">
        <v>349</v>
      </c>
      <c r="D196" s="17" t="n">
        <f aca="false">IF(W196&gt;0,ROUND(AVERAGEIFS('Shortlisted Drugs X Company (7)'!$N$3:$N$698,'Shortlisted Drugs X Company (7)'!$C$3:$C$698,$B196,'Shortlisted Drugs X Company (7)'!$E$3:$E$698,$S196,'Shortlisted Drugs X Company (7)'!$N$3:$N$698,"&gt;5"),2),"")</f>
        <v>56.21</v>
      </c>
      <c r="E196" s="15" t="str">
        <f aca="false">IF(COUNTIFS('Shortlisted Drugs X Company (7)'!$C$3:$C$698,$B196,'Shortlisted Drugs X Company (7)'!$E$3:$E$698,$S196,'Shortlisted Drugs X Company (7)'!$P$3:$P$698,"Exact")&gt;0,"Exact",IF(COUNTIFS('Shortlisted Drugs X Company (7)'!$C$3:$C$698,$B196,'Shortlisted Drugs X Company (7)'!$E$3:$E$698,$S196,'Shortlisted Drugs X Company (7)'!$P$3:$P$698,"Same-market proxy")&gt;0,"Same-market proxy",IF(COUNTIFS('Shortlisted Drugs X Company (7)'!$C$3:$C$698,$B196,'Shortlisted Drugs X Company (7)'!$E$3:$E$698,$S196,'Shortlisted Drugs X Company (7)'!$P$3:$P$698,"Cross-market proxy")&gt;0,"Cross-market proxy",IF(COUNTIFS('Shortlisted Drugs X Company (7)'!$C$3:$C$698,$B196,'Shortlisted Drugs X Company (7)'!$E$3:$E$698,$S196,'Shortlisted Drugs X Company (7)'!$P$3:$P$698,"Source not found")&gt;0,"Source not found","Not priced"))))</f>
        <v>Same-market proxy</v>
      </c>
      <c r="F196" s="18" t="n">
        <f aca="false">IFERROR(ROUND(INDEX('Injectable Value'!$AA$28:$AA$178,MATCH(B196,'Injectable Value'!$A$28:$A$178,0)),1),"")</f>
        <v>3871.2</v>
      </c>
      <c r="G196" s="16" t="s">
        <v>298</v>
      </c>
      <c r="H196" s="14" t="n">
        <v>23</v>
      </c>
      <c r="I196" s="15" t="s">
        <v>248</v>
      </c>
      <c r="J196" s="15" t="s">
        <v>299</v>
      </c>
      <c r="K196" s="16" t="str">
        <f aca="false">"Cancer drug (cytotoxic) – less relevant; Reconstitution"&amp;IF(V196=0,"; Unpriced","")&amp;IF(AND(V196&gt;0,W196=0,X196=0),"; Low price from another market – confirm with company","")</f>
        <v>Cancer drug (cytotoxic) – less relevant; Reconstitution</v>
      </c>
      <c r="L196" s="18" t="n">
        <f aca="false">IFERROR(INDEX('Shortlisted Drugs X Company (7)'!$K$3:$K$698,MATCH(B196,'Shortlisted Drugs X Company (7)'!$C$3:$C$698,0)),"")</f>
        <v>843</v>
      </c>
      <c r="M196" s="18" t="n">
        <f aca="false">IFERROR(ROUND(L196*INDEX('Injectable Value'!$Z$28:$Z$178,MATCH(B196,'Injectable Value'!$A$28:$A$178,0)),0),"")</f>
        <v>724</v>
      </c>
      <c r="N196" s="18" t="n">
        <f aca="false">IFERROR(INDEX('Shortlisted Drugs X Company (7)'!$L$3:$L$698,MATCH(B196,'Shortlisted Drugs X Company (7)'!$C$3:$C$698,0)),"")</f>
        <v>4508</v>
      </c>
      <c r="O196" s="15" t="str">
        <f aca="false">IF(AE196="No","IV only (not ID/IM/SC)",IF(AND(V196&gt;0,W196=0),"Price ≤ $5",""))</f>
        <v>IV only (not ID/IM/SC)</v>
      </c>
      <c r="P196" s="14" t="str">
        <f aca="false">IF(O196&lt;&gt;"","",COUNTIFS($A$29:$A$361,A196,$O$29:$O$361,"",$AC$29:$AC$361,"&gt;"&amp;AC196)+COUNTIFS($A$29:A196,A196,$O$29:O196,"",$AC$29:AC196,AC196))</f>
        <v/>
      </c>
      <c r="Q196" s="15" t="str">
        <f aca="false">IF(O196&lt;&gt;"",IF(O196="Price ≤ $5","Excluded – price ≤ $5","Excluded – IV only"),IF(ISNUMBER(D196),IF(AND(D196&gt;=$C$3,M196&gt;=$E$3),"Priority 1",IF(OR(D196&gt;=$C$3,M196&gt;=$E$3),"Priority 2","Priority 3")),IF(M196&gt;=$E$3,"Priority 2","Priority 3")))</f>
        <v>Excluded – IV only</v>
      </c>
      <c r="R196" s="16" t="s">
        <v>250</v>
      </c>
      <c r="S196" s="15" t="s">
        <v>894</v>
      </c>
      <c r="T196" s="32" t="s">
        <v>350</v>
      </c>
      <c r="U196" s="33" t="str">
        <f aca="false">B196&amp;"|"&amp;S196</f>
        <v>Cyclophosphamide|Intas Pharmaceuticals</v>
      </c>
      <c r="V196" s="34" t="n">
        <f aca="false">COUNTIFS('Shortlisted Drugs X Company (7)'!$C$3:$C$698,$B196,'Shortlisted Drugs X Company (7)'!$E$3:$E$698,$S196,'Shortlisted Drugs X Company (7)'!$N$3:$N$698,"&gt;=0")</f>
        <v>1</v>
      </c>
      <c r="W196" s="34" t="n">
        <f aca="false">COUNTIFS('Shortlisted Drugs X Company (7)'!$C$3:$C$698,$B196,'Shortlisted Drugs X Company (7)'!$E$3:$E$698,$S196,'Shortlisted Drugs X Company (7)'!$N$3:$N$698,"&gt;5")</f>
        <v>1</v>
      </c>
      <c r="X196" s="34" t="n">
        <f aca="false">COUNTIFS('Shortlisted Drugs X Company (7)'!$C$3:$C$698,$B196,'Shortlisted Drugs X Company (7)'!$E$3:$E$698,$S196,'Shortlisted Drugs X Company (7)'!$P$3:$P$698,"Exact")+COUNTIFS('Shortlisted Drugs X Company (7)'!$C$3:$C$698,$B196,'Shortlisted Drugs X Company (7)'!$E$3:$E$698,$S196,'Shortlisted Drugs X Company (7)'!$P$3:$P$698,"Same-market proxy")</f>
        <v>1</v>
      </c>
      <c r="Y196" s="33" t="str">
        <f aca="false">A196&amp;"|"&amp;P196</f>
        <v>Intas|</v>
      </c>
      <c r="Z196" s="16" t="s">
        <v>950</v>
      </c>
      <c r="AA196" s="33" t="n">
        <f aca="false">INDEX($G$7:$G$25,MATCH(A196,$A$7:$A$25,0))</f>
        <v>1</v>
      </c>
      <c r="AB196" s="33" t="str">
        <f aca="false">IF(AE196="No","",AA196*1000+IF(P196="",900+COUNTIFS($A$29:A196,A196,$O$29:O196,"Price ≤ $5"),P196))</f>
        <v/>
      </c>
      <c r="AC196" s="33" t="str">
        <f aca="false">IF(O196&lt;&gt;"","",(4-VALUE(RIGHT(Q196,1)))*10^7+N(F196))</f>
        <v/>
      </c>
      <c r="AD196" s="15" t="str">
        <f aca="false">IFERROR(INDEX('Route of Administration'!$C$5:$C$155,MATCH(B196,'Route of Administration'!$A$5:$A$155,0)),"")</f>
        <v>IV</v>
      </c>
      <c r="AE196" s="14" t="str">
        <f aca="false">IFERROR(INDEX('Route of Administration'!$D$5:$D$155,MATCH(B196,'Route of Administration'!$A$5:$A$155,0)),"")</f>
        <v>No</v>
      </c>
      <c r="AF196" s="19" t="n">
        <f aca="false">IF(V196&gt;0,ROUND(AVERAGEIFS('Shortlisted Drugs X Company (7)'!$N$3:$N$698,'Shortlisted Drugs X Company (7)'!$C$3:$C$698,$B196,'Shortlisted Drugs X Company (7)'!$E$3:$E$698,$S196,'Shortlisted Drugs X Company (7)'!$N$3:$N$698,"&gt;=0"),2),"")</f>
        <v>56.21</v>
      </c>
      <c r="AG196" s="16" t="s">
        <v>951</v>
      </c>
      <c r="AH196" s="16" t="s">
        <v>952</v>
      </c>
      <c r="AI196" s="16" t="s">
        <v>953</v>
      </c>
      <c r="AJ196" s="16" t="str">
        <f aca="false">IF(O196&lt;&gt;"","",IF(ISNUMBER(D196),IF(D196&gt;=$C$3,"High price","Lower price"),"Unpriced")&amp;" · "&amp;IF(M196&gt;=$E$3,"high volume","lower volume"))</f>
        <v/>
      </c>
      <c r="AK196" s="15" t="str">
        <f aca="false">IF(O196&lt;&gt;"",IF(O196="Price ≤ $5","Excluded – price ≤ $5","Excluded – IV only"),IF(ISNUMBER(D196),IF(AND(D196&gt;=$C$3,L196&gt;=$H$3),"Priority 1",IF(OR(D196&gt;=$C$3,L196&gt;=$H$3),"Priority 2","Priority 3")),IF(L196&gt;=$H$3,"Priority 2","Priority 3")))</f>
        <v>Excluded – IV only</v>
      </c>
      <c r="AL196" s="16" t="str">
        <f aca="false">IF(O196&lt;&gt;"","",IF(ISNUMBER(D196),IF(D196&gt;=$C$3,"High price","Lower price"),"Unpriced")&amp;" · "&amp;IF(L196&gt;=$H$3,"high volume","lower volume"))</f>
        <v/>
      </c>
      <c r="AM196" s="14" t="str">
        <f aca="false">IF(O196&lt;&gt;"","",COUNTIFS($A$29:$A$361,A196,$O$29:$O$361,"",$AQ$29:$AQ$361,"&gt;"&amp;AQ196)+COUNTIFS($A$29:A196,A196,$O$29:O196,"",$AQ$29:AQ196,AQ196))</f>
        <v/>
      </c>
      <c r="AN196" s="33" t="str">
        <f aca="false">IF(AND(O196="",ISNUMBER(D196)),D196,"")</f>
        <v/>
      </c>
      <c r="AO196" s="33" t="str">
        <f aca="false">IF(O196="",M196,"")</f>
        <v/>
      </c>
      <c r="AP196" s="33" t="str">
        <f aca="false">IF(O196="",L196,"")</f>
        <v/>
      </c>
      <c r="AQ196" s="33" t="str">
        <f aca="false">IF(O196&lt;&gt;"","",(4-VALUE(RIGHT(AK196,1)))*10^7+N(N196))</f>
        <v/>
      </c>
      <c r="AR196" s="33" t="n">
        <f aca="false">INDEX($O$7:$O$25,MATCH(A196,$I$7:$I$25,0))</f>
        <v>1</v>
      </c>
      <c r="AS196" s="33" t="str">
        <f aca="false">IF(AE196="No","",AR196*1000+IF(AM196="",900+COUNTIFS($A$29:A196,A196,$O$29:O196,"Price ≤ $5"),AM196))</f>
        <v/>
      </c>
    </row>
    <row r="197" customFormat="false" ht="68.65" hidden="false" customHeight="false" outlineLevel="0" collapsed="false">
      <c r="A197" s="15" t="s">
        <v>21</v>
      </c>
      <c r="B197" s="15" t="s">
        <v>954</v>
      </c>
      <c r="C197" s="16" t="s">
        <v>955</v>
      </c>
      <c r="D197" s="17" t="n">
        <f aca="false">IF(W197&gt;0,ROUND(AVERAGEIFS('Shortlisted Drugs X Company (7)'!$N$3:$N$698,'Shortlisted Drugs X Company (7)'!$C$3:$C$698,$B197,'Shortlisted Drugs X Company (7)'!$E$3:$E$698,$S197,'Shortlisted Drugs X Company (7)'!$N$3:$N$698,"&gt;5"),2),"")</f>
        <v>6.7</v>
      </c>
      <c r="E197" s="15" t="str">
        <f aca="false">IF(COUNTIFS('Shortlisted Drugs X Company (7)'!$C$3:$C$698,$B197,'Shortlisted Drugs X Company (7)'!$E$3:$E$698,$S197,'Shortlisted Drugs X Company (7)'!$P$3:$P$698,"Exact")&gt;0,"Exact",IF(COUNTIFS('Shortlisted Drugs X Company (7)'!$C$3:$C$698,$B197,'Shortlisted Drugs X Company (7)'!$E$3:$E$698,$S197,'Shortlisted Drugs X Company (7)'!$P$3:$P$698,"Same-market proxy")&gt;0,"Same-market proxy",IF(COUNTIFS('Shortlisted Drugs X Company (7)'!$C$3:$C$698,$B197,'Shortlisted Drugs X Company (7)'!$E$3:$E$698,$S197,'Shortlisted Drugs X Company (7)'!$P$3:$P$698,"Cross-market proxy")&gt;0,"Cross-market proxy",IF(COUNTIFS('Shortlisted Drugs X Company (7)'!$C$3:$C$698,$B197,'Shortlisted Drugs X Company (7)'!$E$3:$E$698,$S197,'Shortlisted Drugs X Company (7)'!$P$3:$P$698,"Source not found")&gt;0,"Source not found","Not priced"))))</f>
        <v>Exact</v>
      </c>
      <c r="F197" s="18" t="n">
        <f aca="false">IFERROR(ROUND(INDEX('Injectable Value'!$AA$28:$AA$178,MATCH(B197,'Injectable Value'!$A$28:$A$178,0)),1),"")</f>
        <v>7739</v>
      </c>
      <c r="G197" s="16" t="s">
        <v>298</v>
      </c>
      <c r="H197" s="14" t="n">
        <v>28</v>
      </c>
      <c r="I197" s="15" t="s">
        <v>248</v>
      </c>
      <c r="J197" s="15" t="s">
        <v>249</v>
      </c>
      <c r="K197" s="16" t="str">
        <f aca="false">"Cancer drug (cytotoxic) – less relevant"&amp;IF(V197=0,"; Unpriced","")&amp;IF(AND(V197&gt;0,W197=0,X197=0),"; Low price from another market – confirm with company","")</f>
        <v>Cancer drug (cytotoxic) – less relevant</v>
      </c>
      <c r="L197" s="18" t="n">
        <f aca="false">IFERROR(INDEX('Shortlisted Drugs X Company (7)'!$K$3:$K$698,MATCH(B197,'Shortlisted Drugs X Company (7)'!$C$3:$C$698,0)),"")</f>
        <v>799</v>
      </c>
      <c r="M197" s="18" t="n">
        <f aca="false">IFERROR(ROUND(L197*INDEX('Injectable Value'!$Z$28:$Z$178,MATCH(B197,'Injectable Value'!$A$28:$A$178,0)),0),"")</f>
        <v>799</v>
      </c>
      <c r="N197" s="18" t="n">
        <f aca="false">IFERROR(INDEX('Shortlisted Drugs X Company (7)'!$L$3:$L$698,MATCH(B197,'Shortlisted Drugs X Company (7)'!$C$3:$C$698,0)),"")</f>
        <v>7738.99</v>
      </c>
      <c r="O197" s="15" t="str">
        <f aca="false">IF(AE197="No","IV only (not ID/IM/SC)",IF(AND(V197&gt;0,W197=0),"Price ≤ $5",""))</f>
        <v/>
      </c>
      <c r="P197" s="14" t="n">
        <f aca="false">IF(O197&lt;&gt;"","",COUNTIFS($A$29:$A$361,A197,$O$29:$O$361,"",$AC$29:$AC$361,"&gt;"&amp;AC197)+COUNTIFS($A$29:A197,A197,$O$29:O197,"",$AC$29:AC197,AC197))</f>
        <v>13</v>
      </c>
      <c r="Q197" s="15" t="str">
        <f aca="false">IF(O197&lt;&gt;"",IF(O197="Price ≤ $5","Excluded – price ≤ $5","Excluded – IV only"),IF(ISNUMBER(D197),IF(AND(D197&gt;=$C$3,M197&gt;=$E$3),"Priority 1",IF(OR(D197&gt;=$C$3,M197&gt;=$E$3),"Priority 2","Priority 3")),IF(M197&gt;=$E$3,"Priority 2","Priority 3")))</f>
        <v>Priority 2</v>
      </c>
      <c r="R197" s="16" t="s">
        <v>285</v>
      </c>
      <c r="S197" s="15" t="s">
        <v>894</v>
      </c>
      <c r="T197" s="32" t="s">
        <v>956</v>
      </c>
      <c r="U197" s="33" t="str">
        <f aca="false">B197&amp;"|"&amp;S197</f>
        <v>Cytarabine|Intas Pharmaceuticals</v>
      </c>
      <c r="V197" s="34" t="n">
        <f aca="false">COUNTIFS('Shortlisted Drugs X Company (7)'!$C$3:$C$698,$B197,'Shortlisted Drugs X Company (7)'!$E$3:$E$698,$S197,'Shortlisted Drugs X Company (7)'!$N$3:$N$698,"&gt;=0")</f>
        <v>2</v>
      </c>
      <c r="W197" s="34" t="n">
        <f aca="false">COUNTIFS('Shortlisted Drugs X Company (7)'!$C$3:$C$698,$B197,'Shortlisted Drugs X Company (7)'!$E$3:$E$698,$S197,'Shortlisted Drugs X Company (7)'!$N$3:$N$698,"&gt;5")</f>
        <v>2</v>
      </c>
      <c r="X197" s="34" t="n">
        <f aca="false">COUNTIFS('Shortlisted Drugs X Company (7)'!$C$3:$C$698,$B197,'Shortlisted Drugs X Company (7)'!$E$3:$E$698,$S197,'Shortlisted Drugs X Company (7)'!$P$3:$P$698,"Exact")+COUNTIFS('Shortlisted Drugs X Company (7)'!$C$3:$C$698,$B197,'Shortlisted Drugs X Company (7)'!$E$3:$E$698,$S197,'Shortlisted Drugs X Company (7)'!$P$3:$P$698,"Same-market proxy")</f>
        <v>2</v>
      </c>
      <c r="Y197" s="33" t="str">
        <f aca="false">A197&amp;"|"&amp;P197</f>
        <v>Intas|13</v>
      </c>
      <c r="Z197" s="16" t="s">
        <v>957</v>
      </c>
      <c r="AA197" s="33" t="n">
        <f aca="false">INDEX($G$7:$G$25,MATCH(A197,$A$7:$A$25,0))</f>
        <v>1</v>
      </c>
      <c r="AB197" s="33" t="n">
        <f aca="false">IF(AE197="No","",AA197*1000+IF(P197="",900+COUNTIFS($A$29:A197,A197,$O$29:O197,"Price ≤ $5"),P197))</f>
        <v>1013</v>
      </c>
      <c r="AC197" s="33" t="n">
        <f aca="false">IF(O197&lt;&gt;"","",(4-VALUE(RIGHT(Q197,1)))*10^7+N(F197))</f>
        <v>20007739</v>
      </c>
      <c r="AD197" s="15" t="str">
        <f aca="false">IFERROR(INDEX('Route of Administration'!$C$5:$C$155,MATCH(B197,'Route of Administration'!$A$5:$A$155,0)),"")</f>
        <v>IV, SC</v>
      </c>
      <c r="AE197" s="14" t="str">
        <f aca="false">IFERROR(INDEX('Route of Administration'!$D$5:$D$155,MATCH(B197,'Route of Administration'!$A$5:$A$155,0)),"")</f>
        <v>Yes</v>
      </c>
      <c r="AF197" s="19" t="n">
        <f aca="false">IF(V197&gt;0,ROUND(AVERAGEIFS('Shortlisted Drugs X Company (7)'!$N$3:$N$698,'Shortlisted Drugs X Company (7)'!$C$3:$C$698,$B197,'Shortlisted Drugs X Company (7)'!$E$3:$E$698,$S197,'Shortlisted Drugs X Company (7)'!$N$3:$N$698,"&gt;=0"),2),"")</f>
        <v>6.7</v>
      </c>
      <c r="AG197" s="16" t="s">
        <v>958</v>
      </c>
      <c r="AH197" s="16" t="s">
        <v>959</v>
      </c>
      <c r="AI197" s="16" t="s">
        <v>960</v>
      </c>
      <c r="AJ197" s="16" t="str">
        <f aca="false">IF(O197&lt;&gt;"","",IF(ISNUMBER(D197),IF(D197&gt;=$C$3,"High price","Lower price"),"Unpriced")&amp;" · "&amp;IF(M197&gt;=$E$3,"high volume","lower volume"))</f>
        <v>Lower price · high volume</v>
      </c>
      <c r="AK197" s="15" t="str">
        <f aca="false">IF(O197&lt;&gt;"",IF(O197="Price ≤ $5","Excluded – price ≤ $5","Excluded – IV only"),IF(ISNUMBER(D197),IF(AND(D197&gt;=$C$3,L197&gt;=$H$3),"Priority 1",IF(OR(D197&gt;=$C$3,L197&gt;=$H$3),"Priority 2","Priority 3")),IF(L197&gt;=$H$3,"Priority 2","Priority 3")))</f>
        <v>Priority 2</v>
      </c>
      <c r="AL197" s="16" t="str">
        <f aca="false">IF(O197&lt;&gt;"","",IF(ISNUMBER(D197),IF(D197&gt;=$C$3,"High price","Lower price"),"Unpriced")&amp;" · "&amp;IF(L197&gt;=$H$3,"high volume","lower volume"))</f>
        <v>Lower price · high volume</v>
      </c>
      <c r="AM197" s="14" t="n">
        <f aca="false">IF(O197&lt;&gt;"","",COUNTIFS($A$29:$A$361,A197,$O$29:$O$361,"",$AQ$29:$AQ$361,"&gt;"&amp;AQ197)+COUNTIFS($A$29:A197,A197,$O$29:O197,"",$AQ$29:AQ197,AQ197))</f>
        <v>16</v>
      </c>
      <c r="AN197" s="19" t="n">
        <f aca="false">IF(AND(O197="",ISNUMBER(D197)),D197,"")</f>
        <v>6.7</v>
      </c>
      <c r="AO197" s="20" t="n">
        <f aca="false">IF(O197="",M197,"")</f>
        <v>799</v>
      </c>
      <c r="AP197" s="20" t="n">
        <f aca="false">IF(O197="",L197,"")</f>
        <v>799</v>
      </c>
      <c r="AQ197" s="33" t="n">
        <f aca="false">IF(O197&lt;&gt;"","",(4-VALUE(RIGHT(AK197,1)))*10^7+N(N197))</f>
        <v>20007738.99</v>
      </c>
      <c r="AR197" s="33" t="n">
        <f aca="false">INDEX($O$7:$O$25,MATCH(A197,$I$7:$I$25,0))</f>
        <v>1</v>
      </c>
      <c r="AS197" s="33" t="n">
        <f aca="false">IF(AE197="No","",AR197*1000+IF(AM197="",900+COUNTIFS($A$29:A197,A197,$O$29:O197,"Price ≤ $5"),AM197))</f>
        <v>1016</v>
      </c>
    </row>
    <row r="198" customFormat="false" ht="55.2" hidden="false" customHeight="false" outlineLevel="0" collapsed="false">
      <c r="A198" s="15" t="s">
        <v>21</v>
      </c>
      <c r="B198" s="15" t="s">
        <v>356</v>
      </c>
      <c r="C198" s="16" t="s">
        <v>357</v>
      </c>
      <c r="D198" s="17" t="n">
        <f aca="false">IF(W198&gt;0,ROUND(AVERAGEIFS('Shortlisted Drugs X Company (7)'!$N$3:$N$698,'Shortlisted Drugs X Company (7)'!$C$3:$C$698,$B198,'Shortlisted Drugs X Company (7)'!$E$3:$E$698,$S198,'Shortlisted Drugs X Company (7)'!$N$3:$N$698,"&gt;5"),2),"")</f>
        <v>66.76</v>
      </c>
      <c r="E198" s="15" t="str">
        <f aca="false">IF(COUNTIFS('Shortlisted Drugs X Company (7)'!$C$3:$C$698,$B198,'Shortlisted Drugs X Company (7)'!$E$3:$E$698,$S198,'Shortlisted Drugs X Company (7)'!$P$3:$P$698,"Exact")&gt;0,"Exact",IF(COUNTIFS('Shortlisted Drugs X Company (7)'!$C$3:$C$698,$B198,'Shortlisted Drugs X Company (7)'!$E$3:$E$698,$S198,'Shortlisted Drugs X Company (7)'!$P$3:$P$698,"Same-market proxy")&gt;0,"Same-market proxy",IF(COUNTIFS('Shortlisted Drugs X Company (7)'!$C$3:$C$698,$B198,'Shortlisted Drugs X Company (7)'!$E$3:$E$698,$S198,'Shortlisted Drugs X Company (7)'!$P$3:$P$698,"Cross-market proxy")&gt;0,"Cross-market proxy",IF(COUNTIFS('Shortlisted Drugs X Company (7)'!$C$3:$C$698,$B198,'Shortlisted Drugs X Company (7)'!$E$3:$E$698,$S198,'Shortlisted Drugs X Company (7)'!$P$3:$P$698,"Source not found")&gt;0,"Source not found","Not priced"))))</f>
        <v>Exact</v>
      </c>
      <c r="F198" s="18" t="n">
        <f aca="false">IFERROR(ROUND(INDEX('Injectable Value'!$AA$28:$AA$178,MATCH(B198,'Injectable Value'!$A$28:$A$178,0)),1),"")</f>
        <v>59827.2</v>
      </c>
      <c r="G198" s="16" t="s">
        <v>754</v>
      </c>
      <c r="H198" s="14" t="n">
        <v>21</v>
      </c>
      <c r="I198" s="15" t="s">
        <v>248</v>
      </c>
      <c r="J198" s="15" t="s">
        <v>324</v>
      </c>
      <c r="K198" s="16" t="str">
        <f aca="false">"Reconstitution"&amp;IF(V198=0,"; Unpriced","")&amp;IF(AND(V198&gt;0,W198=0,X198=0),"; Low price from another market – confirm with company","")</f>
        <v>Reconstitution</v>
      </c>
      <c r="L198" s="18" t="n">
        <f aca="false">IFERROR(INDEX('Shortlisted Drugs X Company (7)'!$K$3:$K$698,MATCH(B198,'Shortlisted Drugs X Company (7)'!$C$3:$C$698,0)),"")</f>
        <v>312</v>
      </c>
      <c r="M198" s="18" t="n">
        <f aca="false">IFERROR(ROUND(L198*INDEX('Injectable Value'!$Z$28:$Z$178,MATCH(B198,'Injectable Value'!$A$28:$A$178,0)),0),"")</f>
        <v>312</v>
      </c>
      <c r="N198" s="18" t="n">
        <f aca="false">IFERROR(INDEX('Shortlisted Drugs X Company (7)'!$L$3:$L$698,MATCH(B198,'Shortlisted Drugs X Company (7)'!$C$3:$C$698,0)),"")</f>
        <v>59827.18</v>
      </c>
      <c r="O198" s="15" t="str">
        <f aca="false">IF(AE198="No","IV only (not ID/IM/SC)",IF(AND(V198&gt;0,W198=0),"Price ≤ $5",""))</f>
        <v>IV only (not ID/IM/SC)</v>
      </c>
      <c r="P198" s="14" t="str">
        <f aca="false">IF(O198&lt;&gt;"","",COUNTIFS($A$29:$A$361,A198,$O$29:$O$361,"",$AC$29:$AC$361,"&gt;"&amp;AC198)+COUNTIFS($A$29:A198,A198,$O$29:O198,"",$AC$29:AC198,AC198))</f>
        <v/>
      </c>
      <c r="Q198" s="15" t="str">
        <f aca="false">IF(O198&lt;&gt;"",IF(O198="Price ≤ $5","Excluded – price ≤ $5","Excluded – IV only"),IF(ISNUMBER(D198),IF(AND(D198&gt;=$C$3,M198&gt;=$E$3),"Priority 1",IF(OR(D198&gt;=$C$3,M198&gt;=$E$3),"Priority 2","Priority 3")),IF(M198&gt;=$E$3,"Priority 2","Priority 3")))</f>
        <v>Excluded – IV only</v>
      </c>
      <c r="R198" s="16" t="s">
        <v>250</v>
      </c>
      <c r="S198" s="15" t="s">
        <v>894</v>
      </c>
      <c r="T198" s="32" t="s">
        <v>358</v>
      </c>
      <c r="U198" s="33" t="str">
        <f aca="false">B198&amp;"|"&amp;S198</f>
        <v>Daptomycin|Intas Pharmaceuticals</v>
      </c>
      <c r="V198" s="34" t="n">
        <f aca="false">COUNTIFS('Shortlisted Drugs X Company (7)'!$C$3:$C$698,$B198,'Shortlisted Drugs X Company (7)'!$E$3:$E$698,$S198,'Shortlisted Drugs X Company (7)'!$N$3:$N$698,"&gt;=0")</f>
        <v>3</v>
      </c>
      <c r="W198" s="34" t="n">
        <f aca="false">COUNTIFS('Shortlisted Drugs X Company (7)'!$C$3:$C$698,$B198,'Shortlisted Drugs X Company (7)'!$E$3:$E$698,$S198,'Shortlisted Drugs X Company (7)'!$N$3:$N$698,"&gt;5")</f>
        <v>3</v>
      </c>
      <c r="X198" s="34" t="n">
        <f aca="false">COUNTIFS('Shortlisted Drugs X Company (7)'!$C$3:$C$698,$B198,'Shortlisted Drugs X Company (7)'!$E$3:$E$698,$S198,'Shortlisted Drugs X Company (7)'!$P$3:$P$698,"Exact")+COUNTIFS('Shortlisted Drugs X Company (7)'!$C$3:$C$698,$B198,'Shortlisted Drugs X Company (7)'!$E$3:$E$698,$S198,'Shortlisted Drugs X Company (7)'!$P$3:$P$698,"Same-market proxy")</f>
        <v>3</v>
      </c>
      <c r="Y198" s="33" t="str">
        <f aca="false">A198&amp;"|"&amp;P198</f>
        <v>Intas|</v>
      </c>
      <c r="Z198" s="16" t="s">
        <v>961</v>
      </c>
      <c r="AA198" s="33" t="n">
        <f aca="false">INDEX($G$7:$G$25,MATCH(A198,$A$7:$A$25,0))</f>
        <v>1</v>
      </c>
      <c r="AB198" s="33" t="str">
        <f aca="false">IF(AE198="No","",AA198*1000+IF(P198="",900+COUNTIFS($A$29:A198,A198,$O$29:O198,"Price ≤ $5"),P198))</f>
        <v/>
      </c>
      <c r="AC198" s="33" t="str">
        <f aca="false">IF(O198&lt;&gt;"","",(4-VALUE(RIGHT(Q198,1)))*10^7+N(F198))</f>
        <v/>
      </c>
      <c r="AD198" s="15" t="str">
        <f aca="false">IFERROR(INDEX('Route of Administration'!$C$5:$C$155,MATCH(B198,'Route of Administration'!$A$5:$A$155,0)),"")</f>
        <v>IV</v>
      </c>
      <c r="AE198" s="14" t="str">
        <f aca="false">IFERROR(INDEX('Route of Administration'!$D$5:$D$155,MATCH(B198,'Route of Administration'!$A$5:$A$155,0)),"")</f>
        <v>No</v>
      </c>
      <c r="AF198" s="19" t="n">
        <f aca="false">IF(V198&gt;0,ROUND(AVERAGEIFS('Shortlisted Drugs X Company (7)'!$N$3:$N$698,'Shortlisted Drugs X Company (7)'!$C$3:$C$698,$B198,'Shortlisted Drugs X Company (7)'!$E$3:$E$698,$S198,'Shortlisted Drugs X Company (7)'!$N$3:$N$698,"&gt;=0"),2),"")</f>
        <v>66.76</v>
      </c>
      <c r="AG198" s="16" t="s">
        <v>962</v>
      </c>
      <c r="AH198" s="16" t="s">
        <v>963</v>
      </c>
      <c r="AI198" s="16" t="s">
        <v>964</v>
      </c>
      <c r="AJ198" s="16" t="str">
        <f aca="false">IF(O198&lt;&gt;"","",IF(ISNUMBER(D198),IF(D198&gt;=$C$3,"High price","Lower price"),"Unpriced")&amp;" · "&amp;IF(M198&gt;=$E$3,"high volume","lower volume"))</f>
        <v/>
      </c>
      <c r="AK198" s="15" t="str">
        <f aca="false">IF(O198&lt;&gt;"",IF(O198="Price ≤ $5","Excluded – price ≤ $5","Excluded – IV only"),IF(ISNUMBER(D198),IF(AND(D198&gt;=$C$3,L198&gt;=$H$3),"Priority 1",IF(OR(D198&gt;=$C$3,L198&gt;=$H$3),"Priority 2","Priority 3")),IF(L198&gt;=$H$3,"Priority 2","Priority 3")))</f>
        <v>Excluded – IV only</v>
      </c>
      <c r="AL198" s="16" t="str">
        <f aca="false">IF(O198&lt;&gt;"","",IF(ISNUMBER(D198),IF(D198&gt;=$C$3,"High price","Lower price"),"Unpriced")&amp;" · "&amp;IF(L198&gt;=$H$3,"high volume","lower volume"))</f>
        <v/>
      </c>
      <c r="AM198" s="14" t="str">
        <f aca="false">IF(O198&lt;&gt;"","",COUNTIFS($A$29:$A$361,A198,$O$29:$O$361,"",$AQ$29:$AQ$361,"&gt;"&amp;AQ198)+COUNTIFS($A$29:A198,A198,$O$29:O198,"",$AQ$29:AQ198,AQ198))</f>
        <v/>
      </c>
      <c r="AN198" s="33" t="str">
        <f aca="false">IF(AND(O198="",ISNUMBER(D198)),D198,"")</f>
        <v/>
      </c>
      <c r="AO198" s="33" t="str">
        <f aca="false">IF(O198="",M198,"")</f>
        <v/>
      </c>
      <c r="AP198" s="33" t="str">
        <f aca="false">IF(O198="",L198,"")</f>
        <v/>
      </c>
      <c r="AQ198" s="33" t="str">
        <f aca="false">IF(O198&lt;&gt;"","",(4-VALUE(RIGHT(AK198,1)))*10^7+N(N198))</f>
        <v/>
      </c>
      <c r="AR198" s="33" t="n">
        <f aca="false">INDEX($O$7:$O$25,MATCH(A198,$I$7:$I$25,0))</f>
        <v>1</v>
      </c>
      <c r="AS198" s="33" t="str">
        <f aca="false">IF(AE198="No","",AR198*1000+IF(AM198="",900+COUNTIFS($A$29:A198,A198,$O$29:O198,"Price ≤ $5"),AM198))</f>
        <v/>
      </c>
    </row>
    <row r="199" customFormat="false" ht="82.05" hidden="false" customHeight="false" outlineLevel="0" collapsed="false">
      <c r="A199" s="15" t="s">
        <v>21</v>
      </c>
      <c r="B199" s="15" t="s">
        <v>965</v>
      </c>
      <c r="C199" s="16" t="s">
        <v>966</v>
      </c>
      <c r="D199" s="17" t="n">
        <f aca="false">IF(W199&gt;0,ROUND(AVERAGEIFS('Shortlisted Drugs X Company (7)'!$N$3:$N$698,'Shortlisted Drugs X Company (7)'!$C$3:$C$698,$B199,'Shortlisted Drugs X Company (7)'!$E$3:$E$698,$S199,'Shortlisted Drugs X Company (7)'!$N$3:$N$698,"&gt;5"),2),"")</f>
        <v>92.62</v>
      </c>
      <c r="E199" s="15" t="str">
        <f aca="false">IF(COUNTIFS('Shortlisted Drugs X Company (7)'!$C$3:$C$698,$B199,'Shortlisted Drugs X Company (7)'!$E$3:$E$698,$S199,'Shortlisted Drugs X Company (7)'!$P$3:$P$698,"Exact")&gt;0,"Exact",IF(COUNTIFS('Shortlisted Drugs X Company (7)'!$C$3:$C$698,$B199,'Shortlisted Drugs X Company (7)'!$E$3:$E$698,$S199,'Shortlisted Drugs X Company (7)'!$P$3:$P$698,"Same-market proxy")&gt;0,"Same-market proxy",IF(COUNTIFS('Shortlisted Drugs X Company (7)'!$C$3:$C$698,$B199,'Shortlisted Drugs X Company (7)'!$E$3:$E$698,$S199,'Shortlisted Drugs X Company (7)'!$P$3:$P$698,"Cross-market proxy")&gt;0,"Cross-market proxy",IF(COUNTIFS('Shortlisted Drugs X Company (7)'!$C$3:$C$698,$B199,'Shortlisted Drugs X Company (7)'!$E$3:$E$698,$S199,'Shortlisted Drugs X Company (7)'!$P$3:$P$698,"Source not found")&gt;0,"Source not found","Not priced"))))</f>
        <v>Exact</v>
      </c>
      <c r="F199" s="18" t="n">
        <f aca="false">IFERROR(ROUND(INDEX('Injectable Value'!$AA$28:$AA$178,MATCH(B199,'Injectable Value'!$A$28:$A$178,0)),1),"")</f>
        <v>140.9</v>
      </c>
      <c r="G199" s="16" t="s">
        <v>423</v>
      </c>
      <c r="H199" s="14" t="n">
        <v>31</v>
      </c>
      <c r="I199" s="15" t="s">
        <v>248</v>
      </c>
      <c r="J199" s="15" t="s">
        <v>249</v>
      </c>
      <c r="K199" s="16" t="str">
        <f aca="false">"Reconstitution"&amp;IF(V199=0,"; Unpriced","")&amp;IF(AND(V199&gt;0,W199=0,X199=0),"; Low price from another market – confirm with company","")</f>
        <v>Reconstitution</v>
      </c>
      <c r="L199" s="18" t="n">
        <f aca="false">IFERROR(INDEX('Shortlisted Drugs X Company (7)'!$K$3:$K$698,MATCH(B199,'Shortlisted Drugs X Company (7)'!$C$3:$C$698,0)),"")</f>
        <v>26</v>
      </c>
      <c r="M199" s="18" t="n">
        <f aca="false">IFERROR(ROUND(L199*INDEX('Injectable Value'!$Z$28:$Z$178,MATCH(B199,'Injectable Value'!$A$28:$A$178,0)),0),"")</f>
        <v>26</v>
      </c>
      <c r="N199" s="18" t="n">
        <f aca="false">IFERROR(INDEX('Shortlisted Drugs X Company (7)'!$L$3:$L$698,MATCH(B199,'Shortlisted Drugs X Company (7)'!$C$3:$C$698,0)),"")</f>
        <v>140.86</v>
      </c>
      <c r="O199" s="15" t="str">
        <f aca="false">IF(AE199="No","IV only (not ID/IM/SC)",IF(AND(V199&gt;0,W199=0),"Price ≤ $5",""))</f>
        <v/>
      </c>
      <c r="P199" s="14" t="n">
        <f aca="false">IF(O199&lt;&gt;"","",COUNTIFS($A$29:$A$361,A199,$O$29:$O$361,"",$AC$29:$AC$361,"&gt;"&amp;AC199)+COUNTIFS($A$29:A199,A199,$O$29:O199,"",$AC$29:AC199,AC199))</f>
        <v>21</v>
      </c>
      <c r="Q199" s="15" t="str">
        <f aca="false">IF(O199&lt;&gt;"",IF(O199="Price ≤ $5","Excluded – price ≤ $5","Excluded – IV only"),IF(ISNUMBER(D199),IF(AND(D199&gt;=$C$3,M199&gt;=$E$3),"Priority 1",IF(OR(D199&gt;=$C$3,M199&gt;=$E$3),"Priority 2","Priority 3")),IF(M199&gt;=$E$3,"Priority 2","Priority 3")))</f>
        <v>Priority 2</v>
      </c>
      <c r="R199" s="16" t="s">
        <v>285</v>
      </c>
      <c r="S199" s="15" t="s">
        <v>894</v>
      </c>
      <c r="T199" s="32" t="s">
        <v>967</v>
      </c>
      <c r="U199" s="33" t="str">
        <f aca="false">B199&amp;"|"&amp;S199</f>
        <v>Degarelix|Intas Pharmaceuticals</v>
      </c>
      <c r="V199" s="34" t="n">
        <f aca="false">COUNTIFS('Shortlisted Drugs X Company (7)'!$C$3:$C$698,$B199,'Shortlisted Drugs X Company (7)'!$E$3:$E$698,$S199,'Shortlisted Drugs X Company (7)'!$N$3:$N$698,"&gt;=0")</f>
        <v>2</v>
      </c>
      <c r="W199" s="34" t="n">
        <f aca="false">COUNTIFS('Shortlisted Drugs X Company (7)'!$C$3:$C$698,$B199,'Shortlisted Drugs X Company (7)'!$E$3:$E$698,$S199,'Shortlisted Drugs X Company (7)'!$N$3:$N$698,"&gt;5")</f>
        <v>2</v>
      </c>
      <c r="X199" s="34" t="n">
        <f aca="false">COUNTIFS('Shortlisted Drugs X Company (7)'!$C$3:$C$698,$B199,'Shortlisted Drugs X Company (7)'!$E$3:$E$698,$S199,'Shortlisted Drugs X Company (7)'!$P$3:$P$698,"Exact")+COUNTIFS('Shortlisted Drugs X Company (7)'!$C$3:$C$698,$B199,'Shortlisted Drugs X Company (7)'!$E$3:$E$698,$S199,'Shortlisted Drugs X Company (7)'!$P$3:$P$698,"Same-market proxy")</f>
        <v>2</v>
      </c>
      <c r="Y199" s="33" t="str">
        <f aca="false">A199&amp;"|"&amp;P199</f>
        <v>Intas|21</v>
      </c>
      <c r="Z199" s="16" t="s">
        <v>968</v>
      </c>
      <c r="AA199" s="33" t="n">
        <f aca="false">INDEX($G$7:$G$25,MATCH(A199,$A$7:$A$25,0))</f>
        <v>1</v>
      </c>
      <c r="AB199" s="33" t="n">
        <f aca="false">IF(AE199="No","",AA199*1000+IF(P199="",900+COUNTIFS($A$29:A199,A199,$O$29:O199,"Price ≤ $5"),P199))</f>
        <v>1021</v>
      </c>
      <c r="AC199" s="33" t="n">
        <f aca="false">IF(O199&lt;&gt;"","",(4-VALUE(RIGHT(Q199,1)))*10^7+N(F199))</f>
        <v>20000140.9</v>
      </c>
      <c r="AD199" s="15" t="str">
        <f aca="false">IFERROR(INDEX('Route of Administration'!$C$5:$C$155,MATCH(B199,'Route of Administration'!$A$5:$A$155,0)),"")</f>
        <v>SC</v>
      </c>
      <c r="AE199" s="14" t="str">
        <f aca="false">IFERROR(INDEX('Route of Administration'!$D$5:$D$155,MATCH(B199,'Route of Administration'!$A$5:$A$155,0)),"")</f>
        <v>Yes</v>
      </c>
      <c r="AF199" s="19" t="n">
        <f aca="false">IF(V199&gt;0,ROUND(AVERAGEIFS('Shortlisted Drugs X Company (7)'!$N$3:$N$698,'Shortlisted Drugs X Company (7)'!$C$3:$C$698,$B199,'Shortlisted Drugs X Company (7)'!$E$3:$E$698,$S199,'Shortlisted Drugs X Company (7)'!$N$3:$N$698,"&gt;=0"),2),"")</f>
        <v>92.62</v>
      </c>
      <c r="AG199" s="16" t="s">
        <v>969</v>
      </c>
      <c r="AH199" s="16" t="s">
        <v>970</v>
      </c>
      <c r="AI199" s="16" t="s">
        <v>971</v>
      </c>
      <c r="AJ199" s="16" t="str">
        <f aca="false">IF(O199&lt;&gt;"","",IF(ISNUMBER(D199),IF(D199&gt;=$C$3,"High price","Lower price"),"Unpriced")&amp;" · "&amp;IF(M199&gt;=$E$3,"high volume","lower volume"))</f>
        <v>High price · lower volume</v>
      </c>
      <c r="AK199" s="15" t="str">
        <f aca="false">IF(O199&lt;&gt;"",IF(O199="Price ≤ $5","Excluded – price ≤ $5","Excluded – IV only"),IF(ISNUMBER(D199),IF(AND(D199&gt;=$C$3,L199&gt;=$H$3),"Priority 1",IF(OR(D199&gt;=$C$3,L199&gt;=$H$3),"Priority 2","Priority 3")),IF(L199&gt;=$H$3,"Priority 2","Priority 3")))</f>
        <v>Priority 2</v>
      </c>
      <c r="AL199" s="16" t="str">
        <f aca="false">IF(O199&lt;&gt;"","",IF(ISNUMBER(D199),IF(D199&gt;=$C$3,"High price","Lower price"),"Unpriced")&amp;" · "&amp;IF(L199&gt;=$H$3,"high volume","lower volume"))</f>
        <v>High price · lower volume</v>
      </c>
      <c r="AM199" s="14" t="n">
        <f aca="false">IF(O199&lt;&gt;"","",COUNTIFS($A$29:$A$361,A199,$O$29:$O$361,"",$AQ$29:$AQ$361,"&gt;"&amp;AQ199)+COUNTIFS($A$29:A199,A199,$O$29:O199,"",$AQ$29:AQ199,AQ199))</f>
        <v>23</v>
      </c>
      <c r="AN199" s="19" t="n">
        <f aca="false">IF(AND(O199="",ISNUMBER(D199)),D199,"")</f>
        <v>92.62</v>
      </c>
      <c r="AO199" s="20" t="n">
        <f aca="false">IF(O199="",M199,"")</f>
        <v>26</v>
      </c>
      <c r="AP199" s="20" t="n">
        <f aca="false">IF(O199="",L199,"")</f>
        <v>26</v>
      </c>
      <c r="AQ199" s="33" t="n">
        <f aca="false">IF(O199&lt;&gt;"","",(4-VALUE(RIGHT(AK199,1)))*10^7+N(N199))</f>
        <v>20000140.86</v>
      </c>
      <c r="AR199" s="33" t="n">
        <f aca="false">INDEX($O$7:$O$25,MATCH(A199,$I$7:$I$25,0))</f>
        <v>1</v>
      </c>
      <c r="AS199" s="33" t="n">
        <f aca="false">IF(AE199="No","",AR199*1000+IF(AM199="",900+COUNTIFS($A$29:A199,A199,$O$29:O199,"Price ≤ $5"),AM199))</f>
        <v>1023</v>
      </c>
    </row>
    <row r="200" customFormat="false" ht="82.05" hidden="false" customHeight="false" outlineLevel="0" collapsed="false">
      <c r="A200" s="15" t="s">
        <v>21</v>
      </c>
      <c r="B200" s="15" t="s">
        <v>972</v>
      </c>
      <c r="C200" s="16" t="s">
        <v>973</v>
      </c>
      <c r="D200" s="17" t="n">
        <f aca="false">IF(W200&gt;0,ROUND(AVERAGEIFS('Shortlisted Drugs X Company (7)'!$N$3:$N$698,'Shortlisted Drugs X Company (7)'!$C$3:$C$698,$B200,'Shortlisted Drugs X Company (7)'!$E$3:$E$698,$S200,'Shortlisted Drugs X Company (7)'!$N$3:$N$698,"&gt;5"),2),"")</f>
        <v>162.77</v>
      </c>
      <c r="E200" s="15" t="str">
        <f aca="false">IF(COUNTIFS('Shortlisted Drugs X Company (7)'!$C$3:$C$698,$B200,'Shortlisted Drugs X Company (7)'!$E$3:$E$698,$S200,'Shortlisted Drugs X Company (7)'!$P$3:$P$698,"Exact")&gt;0,"Exact",IF(COUNTIFS('Shortlisted Drugs X Company (7)'!$C$3:$C$698,$B200,'Shortlisted Drugs X Company (7)'!$E$3:$E$698,$S200,'Shortlisted Drugs X Company (7)'!$P$3:$P$698,"Same-market proxy")&gt;0,"Same-market proxy",IF(COUNTIFS('Shortlisted Drugs X Company (7)'!$C$3:$C$698,$B200,'Shortlisted Drugs X Company (7)'!$E$3:$E$698,$S200,'Shortlisted Drugs X Company (7)'!$P$3:$P$698,"Cross-market proxy")&gt;0,"Cross-market proxy",IF(COUNTIFS('Shortlisted Drugs X Company (7)'!$C$3:$C$698,$B200,'Shortlisted Drugs X Company (7)'!$E$3:$E$698,$S200,'Shortlisted Drugs X Company (7)'!$P$3:$P$698,"Source not found")&gt;0,"Source not found","Not priced"))))</f>
        <v>Exact</v>
      </c>
      <c r="F200" s="18" t="n">
        <f aca="false">IFERROR(ROUND(INDEX('Injectable Value'!$AA$28:$AA$178,MATCH(B200,'Injectable Value'!$A$28:$A$178,0)),1),"")</f>
        <v>3429.5</v>
      </c>
      <c r="G200" s="16" t="s">
        <v>423</v>
      </c>
      <c r="H200" s="14" t="n">
        <v>32</v>
      </c>
      <c r="I200" s="15" t="s">
        <v>248</v>
      </c>
      <c r="J200" s="15" t="s">
        <v>249</v>
      </c>
      <c r="K200" s="16" t="str">
        <f aca="false">""&amp;IF(V200=0,"Unpriced","")&amp;IF(AND(V200&gt;0,W200=0,X200=0),"Low price from another market – confirm with company","")</f>
        <v/>
      </c>
      <c r="L200" s="18" t="n">
        <f aca="false">IFERROR(INDEX('Shortlisted Drugs X Company (7)'!$K$3:$K$698,MATCH(B200,'Shortlisted Drugs X Company (7)'!$C$3:$C$698,0)),"")</f>
        <v>314</v>
      </c>
      <c r="M200" s="18" t="n">
        <f aca="false">IFERROR(ROUND(L200*INDEX('Injectable Value'!$Z$28:$Z$178,MATCH(B200,'Injectable Value'!$A$28:$A$178,0)),0),"")</f>
        <v>314</v>
      </c>
      <c r="N200" s="18" t="n">
        <f aca="false">IFERROR(INDEX('Shortlisted Drugs X Company (7)'!$L$3:$L$698,MATCH(B200,'Shortlisted Drugs X Company (7)'!$C$3:$C$698,0)),"")</f>
        <v>3429.51</v>
      </c>
      <c r="O200" s="15" t="str">
        <f aca="false">IF(AE200="No","IV only (not ID/IM/SC)",IF(AND(V200&gt;0,W200=0),"Price ≤ $5",""))</f>
        <v/>
      </c>
      <c r="P200" s="14" t="n">
        <f aca="false">IF(O200&lt;&gt;"","",COUNTIFS($A$29:$A$361,A200,$O$29:$O$361,"",$AC$29:$AC$361,"&gt;"&amp;AC200)+COUNTIFS($A$29:A200,A200,$O$29:O200,"",$AC$29:AC200,AC200))</f>
        <v>9</v>
      </c>
      <c r="Q200" s="15" t="str">
        <f aca="false">IF(O200&lt;&gt;"",IF(O200="Price ≤ $5","Excluded – price ≤ $5","Excluded – IV only"),IF(ISNUMBER(D200),IF(AND(D200&gt;=$C$3,M200&gt;=$E$3),"Priority 1",IF(OR(D200&gt;=$C$3,M200&gt;=$E$3),"Priority 2","Priority 3")),IF(M200&gt;=$E$3,"Priority 2","Priority 3")))</f>
        <v>Priority 1</v>
      </c>
      <c r="R200" s="16" t="s">
        <v>285</v>
      </c>
      <c r="S200" s="15" t="s">
        <v>894</v>
      </c>
      <c r="T200" s="32" t="s">
        <v>974</v>
      </c>
      <c r="U200" s="33" t="str">
        <f aca="false">B200&amp;"|"&amp;S200</f>
        <v>Denosumab|Intas Pharmaceuticals</v>
      </c>
      <c r="V200" s="34" t="n">
        <f aca="false">COUNTIFS('Shortlisted Drugs X Company (7)'!$C$3:$C$698,$B200,'Shortlisted Drugs X Company (7)'!$E$3:$E$698,$S200,'Shortlisted Drugs X Company (7)'!$N$3:$N$698,"&gt;=0")</f>
        <v>2</v>
      </c>
      <c r="W200" s="34" t="n">
        <f aca="false">COUNTIFS('Shortlisted Drugs X Company (7)'!$C$3:$C$698,$B200,'Shortlisted Drugs X Company (7)'!$E$3:$E$698,$S200,'Shortlisted Drugs X Company (7)'!$N$3:$N$698,"&gt;5")</f>
        <v>2</v>
      </c>
      <c r="X200" s="34" t="n">
        <f aca="false">COUNTIFS('Shortlisted Drugs X Company (7)'!$C$3:$C$698,$B200,'Shortlisted Drugs X Company (7)'!$E$3:$E$698,$S200,'Shortlisted Drugs X Company (7)'!$P$3:$P$698,"Exact")+COUNTIFS('Shortlisted Drugs X Company (7)'!$C$3:$C$698,$B200,'Shortlisted Drugs X Company (7)'!$E$3:$E$698,$S200,'Shortlisted Drugs X Company (7)'!$P$3:$P$698,"Same-market proxy")</f>
        <v>2</v>
      </c>
      <c r="Y200" s="33" t="str">
        <f aca="false">A200&amp;"|"&amp;P200</f>
        <v>Intas|9</v>
      </c>
      <c r="Z200" s="16" t="s">
        <v>975</v>
      </c>
      <c r="AA200" s="33" t="n">
        <f aca="false">INDEX($G$7:$G$25,MATCH(A200,$A$7:$A$25,0))</f>
        <v>1</v>
      </c>
      <c r="AB200" s="33" t="n">
        <f aca="false">IF(AE200="No","",AA200*1000+IF(P200="",900+COUNTIFS($A$29:A200,A200,$O$29:O200,"Price ≤ $5"),P200))</f>
        <v>1009</v>
      </c>
      <c r="AC200" s="33" t="n">
        <f aca="false">IF(O200&lt;&gt;"","",(4-VALUE(RIGHT(Q200,1)))*10^7+N(F200))</f>
        <v>30003429.5</v>
      </c>
      <c r="AD200" s="15" t="str">
        <f aca="false">IFERROR(INDEX('Route of Administration'!$C$5:$C$155,MATCH(B200,'Route of Administration'!$A$5:$A$155,0)),"")</f>
        <v>SC</v>
      </c>
      <c r="AE200" s="14" t="str">
        <f aca="false">IFERROR(INDEX('Route of Administration'!$D$5:$D$155,MATCH(B200,'Route of Administration'!$A$5:$A$155,0)),"")</f>
        <v>Yes</v>
      </c>
      <c r="AF200" s="19" t="n">
        <f aca="false">IF(V200&gt;0,ROUND(AVERAGEIFS('Shortlisted Drugs X Company (7)'!$N$3:$N$698,'Shortlisted Drugs X Company (7)'!$C$3:$C$698,$B200,'Shortlisted Drugs X Company (7)'!$E$3:$E$698,$S200,'Shortlisted Drugs X Company (7)'!$N$3:$N$698,"&gt;=0"),2),"")</f>
        <v>162.77</v>
      </c>
      <c r="AG200" s="16" t="s">
        <v>976</v>
      </c>
      <c r="AH200" s="16" t="s">
        <v>919</v>
      </c>
      <c r="AI200" s="16" t="s">
        <v>920</v>
      </c>
      <c r="AJ200" s="16" t="str">
        <f aca="false">IF(O200&lt;&gt;"","",IF(ISNUMBER(D200),IF(D200&gt;=$C$3,"High price","Lower price"),"Unpriced")&amp;" · "&amp;IF(M200&gt;=$E$3,"high volume","lower volume"))</f>
        <v>High price · high volume</v>
      </c>
      <c r="AK200" s="15" t="str">
        <f aca="false">IF(O200&lt;&gt;"",IF(O200="Price ≤ $5","Excluded – price ≤ $5","Excluded – IV only"),IF(ISNUMBER(D200),IF(AND(D200&gt;=$C$3,L200&gt;=$H$3),"Priority 1",IF(OR(D200&gt;=$C$3,L200&gt;=$H$3),"Priority 2","Priority 3")),IF(L200&gt;=$H$3,"Priority 2","Priority 3")))</f>
        <v>Priority 1</v>
      </c>
      <c r="AL200" s="16" t="str">
        <f aca="false">IF(O200&lt;&gt;"","",IF(ISNUMBER(D200),IF(D200&gt;=$C$3,"High price","Lower price"),"Unpriced")&amp;" · "&amp;IF(L200&gt;=$H$3,"high volume","lower volume"))</f>
        <v>High price · high volume</v>
      </c>
      <c r="AM200" s="14" t="n">
        <f aca="false">IF(O200&lt;&gt;"","",COUNTIFS($A$29:$A$361,A200,$O$29:$O$361,"",$AQ$29:$AQ$361,"&gt;"&amp;AQ200)+COUNTIFS($A$29:A200,A200,$O$29:O200,"",$AQ$29:AQ200,AQ200))</f>
        <v>7</v>
      </c>
      <c r="AN200" s="19" t="n">
        <f aca="false">IF(AND(O200="",ISNUMBER(D200)),D200,"")</f>
        <v>162.77</v>
      </c>
      <c r="AO200" s="20" t="n">
        <f aca="false">IF(O200="",M200,"")</f>
        <v>314</v>
      </c>
      <c r="AP200" s="20" t="n">
        <f aca="false">IF(O200="",L200,"")</f>
        <v>314</v>
      </c>
      <c r="AQ200" s="33" t="n">
        <f aca="false">IF(O200&lt;&gt;"","",(4-VALUE(RIGHT(AK200,1)))*10^7+N(N200))</f>
        <v>30003429.51</v>
      </c>
      <c r="AR200" s="33" t="n">
        <f aca="false">INDEX($O$7:$O$25,MATCH(A200,$I$7:$I$25,0))</f>
        <v>1</v>
      </c>
      <c r="AS200" s="33" t="n">
        <f aca="false">IF(AE200="No","",AR200*1000+IF(AM200="",900+COUNTIFS($A$29:A200,A200,$O$29:O200,"Price ≤ $5"),AM200))</f>
        <v>1007</v>
      </c>
    </row>
    <row r="201" customFormat="false" ht="95.5" hidden="false" customHeight="false" outlineLevel="0" collapsed="false">
      <c r="A201" s="15" t="s">
        <v>21</v>
      </c>
      <c r="B201" s="15" t="s">
        <v>362</v>
      </c>
      <c r="C201" s="16" t="s">
        <v>363</v>
      </c>
      <c r="D201" s="17" t="n">
        <f aca="false">IF(W201&gt;0,ROUND(AVERAGEIFS('Shortlisted Drugs X Company (7)'!$N$3:$N$698,'Shortlisted Drugs X Company (7)'!$C$3:$C$698,$B201,'Shortlisted Drugs X Company (7)'!$E$3:$E$698,$S201,'Shortlisted Drugs X Company (7)'!$N$3:$N$698,"&gt;5"),2),"")</f>
        <v>41.32</v>
      </c>
      <c r="E201" s="15" t="str">
        <f aca="false">IF(COUNTIFS('Shortlisted Drugs X Company (7)'!$C$3:$C$698,$B201,'Shortlisted Drugs X Company (7)'!$E$3:$E$698,$S201,'Shortlisted Drugs X Company (7)'!$P$3:$P$698,"Exact")&gt;0,"Exact",IF(COUNTIFS('Shortlisted Drugs X Company (7)'!$C$3:$C$698,$B201,'Shortlisted Drugs X Company (7)'!$E$3:$E$698,$S201,'Shortlisted Drugs X Company (7)'!$P$3:$P$698,"Same-market proxy")&gt;0,"Same-market proxy",IF(COUNTIFS('Shortlisted Drugs X Company (7)'!$C$3:$C$698,$B201,'Shortlisted Drugs X Company (7)'!$E$3:$E$698,$S201,'Shortlisted Drugs X Company (7)'!$P$3:$P$698,"Cross-market proxy")&gt;0,"Cross-market proxy",IF(COUNTIFS('Shortlisted Drugs X Company (7)'!$C$3:$C$698,$B201,'Shortlisted Drugs X Company (7)'!$E$3:$E$698,$S201,'Shortlisted Drugs X Company (7)'!$P$3:$P$698,"Source not found")&gt;0,"Source not found","Not priced"))))</f>
        <v>Exact</v>
      </c>
      <c r="F201" s="18" t="n">
        <f aca="false">IFERROR(ROUND(INDEX('Injectable Value'!$AA$28:$AA$178,MATCH(B201,'Injectable Value'!$A$28:$A$178,0)),1),"")</f>
        <v>41503.2</v>
      </c>
      <c r="G201" s="16" t="s">
        <v>977</v>
      </c>
      <c r="H201" s="14" t="n">
        <v>34</v>
      </c>
      <c r="I201" s="15" t="s">
        <v>248</v>
      </c>
      <c r="J201" s="15" t="s">
        <v>249</v>
      </c>
      <c r="K201" s="16" t="str">
        <f aca="false">"Cancer drug (cytotoxic) – less relevant"&amp;IF(V201=0,"; Unpriced","")&amp;IF(AND(V201&gt;0,W201=0,X201=0),"; Low price from another market – confirm with company","")</f>
        <v>Cancer drug (cytotoxic) – less relevant</v>
      </c>
      <c r="L201" s="18" t="n">
        <f aca="false">IFERROR(INDEX('Shortlisted Drugs X Company (7)'!$K$3:$K$698,MATCH(B201,'Shortlisted Drugs X Company (7)'!$C$3:$C$698,0)),"")</f>
        <v>1644</v>
      </c>
      <c r="M201" s="18" t="n">
        <f aca="false">IFERROR(ROUND(L201*INDEX('Injectable Value'!$Z$28:$Z$178,MATCH(B201,'Injectable Value'!$A$28:$A$178,0)),0),"")</f>
        <v>1629</v>
      </c>
      <c r="N201" s="18" t="n">
        <f aca="false">IFERROR(INDEX('Shortlisted Drugs X Company (7)'!$L$3:$L$698,MATCH(B201,'Shortlisted Drugs X Company (7)'!$C$3:$C$698,0)),"")</f>
        <v>41889.23</v>
      </c>
      <c r="O201" s="15" t="str">
        <f aca="false">IF(AE201="No","IV only (not ID/IM/SC)",IF(AND(V201&gt;0,W201=0),"Price ≤ $5",""))</f>
        <v>IV only (not ID/IM/SC)</v>
      </c>
      <c r="P201" s="14" t="str">
        <f aca="false">IF(O201&lt;&gt;"","",COUNTIFS($A$29:$A$361,A201,$O$29:$O$361,"",$AC$29:$AC$361,"&gt;"&amp;AC201)+COUNTIFS($A$29:A201,A201,$O$29:O201,"",$AC$29:AC201,AC201))</f>
        <v/>
      </c>
      <c r="Q201" s="15" t="str">
        <f aca="false">IF(O201&lt;&gt;"",IF(O201="Price ≤ $5","Excluded – price ≤ $5","Excluded – IV only"),IF(ISNUMBER(D201),IF(AND(D201&gt;=$C$3,M201&gt;=$E$3),"Priority 1",IF(OR(D201&gt;=$C$3,M201&gt;=$E$3),"Priority 2","Priority 3")),IF(M201&gt;=$E$3,"Priority 2","Priority 3")))</f>
        <v>Excluded – IV only</v>
      </c>
      <c r="R201" s="16" t="s">
        <v>250</v>
      </c>
      <c r="S201" s="15" t="s">
        <v>894</v>
      </c>
      <c r="T201" s="32" t="s">
        <v>365</v>
      </c>
      <c r="U201" s="33" t="str">
        <f aca="false">B201&amp;"|"&amp;S201</f>
        <v>Doxorubicin|Intas Pharmaceuticals</v>
      </c>
      <c r="V201" s="34" t="n">
        <f aca="false">COUNTIFS('Shortlisted Drugs X Company (7)'!$C$3:$C$698,$B201,'Shortlisted Drugs X Company (7)'!$E$3:$E$698,$S201,'Shortlisted Drugs X Company (7)'!$N$3:$N$698,"&gt;=0")</f>
        <v>6</v>
      </c>
      <c r="W201" s="34" t="n">
        <f aca="false">COUNTIFS('Shortlisted Drugs X Company (7)'!$C$3:$C$698,$B201,'Shortlisted Drugs X Company (7)'!$E$3:$E$698,$S201,'Shortlisted Drugs X Company (7)'!$N$3:$N$698,"&gt;5")</f>
        <v>6</v>
      </c>
      <c r="X201" s="34" t="n">
        <f aca="false">COUNTIFS('Shortlisted Drugs X Company (7)'!$C$3:$C$698,$B201,'Shortlisted Drugs X Company (7)'!$E$3:$E$698,$S201,'Shortlisted Drugs X Company (7)'!$P$3:$P$698,"Exact")+COUNTIFS('Shortlisted Drugs X Company (7)'!$C$3:$C$698,$B201,'Shortlisted Drugs X Company (7)'!$E$3:$E$698,$S201,'Shortlisted Drugs X Company (7)'!$P$3:$P$698,"Same-market proxy")</f>
        <v>6</v>
      </c>
      <c r="Y201" s="33" t="str">
        <f aca="false">A201&amp;"|"&amp;P201</f>
        <v>Intas|</v>
      </c>
      <c r="Z201" s="16" t="s">
        <v>978</v>
      </c>
      <c r="AA201" s="33" t="n">
        <f aca="false">INDEX($G$7:$G$25,MATCH(A201,$A$7:$A$25,0))</f>
        <v>1</v>
      </c>
      <c r="AB201" s="33" t="str">
        <f aca="false">IF(AE201="No","",AA201*1000+IF(P201="",900+COUNTIFS($A$29:A201,A201,$O$29:O201,"Price ≤ $5"),P201))</f>
        <v/>
      </c>
      <c r="AC201" s="33" t="str">
        <f aca="false">IF(O201&lt;&gt;"","",(4-VALUE(RIGHT(Q201,1)))*10^7+N(F201))</f>
        <v/>
      </c>
      <c r="AD201" s="15" t="str">
        <f aca="false">IFERROR(INDEX('Route of Administration'!$C$5:$C$155,MATCH(B201,'Route of Administration'!$A$5:$A$155,0)),"")</f>
        <v>IV</v>
      </c>
      <c r="AE201" s="14" t="str">
        <f aca="false">IFERROR(INDEX('Route of Administration'!$D$5:$D$155,MATCH(B201,'Route of Administration'!$A$5:$A$155,0)),"")</f>
        <v>No</v>
      </c>
      <c r="AF201" s="19" t="n">
        <f aca="false">IF(V201&gt;0,ROUND(AVERAGEIFS('Shortlisted Drugs X Company (7)'!$N$3:$N$698,'Shortlisted Drugs X Company (7)'!$C$3:$C$698,$B201,'Shortlisted Drugs X Company (7)'!$E$3:$E$698,$S201,'Shortlisted Drugs X Company (7)'!$N$3:$N$698,"&gt;=0"),2),"")</f>
        <v>41.32</v>
      </c>
      <c r="AG201" s="16" t="s">
        <v>979</v>
      </c>
      <c r="AH201" s="16" t="s">
        <v>980</v>
      </c>
      <c r="AI201" s="16" t="s">
        <v>981</v>
      </c>
      <c r="AJ201" s="16" t="str">
        <f aca="false">IF(O201&lt;&gt;"","",IF(ISNUMBER(D201),IF(D201&gt;=$C$3,"High price","Lower price"),"Unpriced")&amp;" · "&amp;IF(M201&gt;=$E$3,"high volume","lower volume"))</f>
        <v/>
      </c>
      <c r="AK201" s="15" t="str">
        <f aca="false">IF(O201&lt;&gt;"",IF(O201="Price ≤ $5","Excluded – price ≤ $5","Excluded – IV only"),IF(ISNUMBER(D201),IF(AND(D201&gt;=$C$3,L201&gt;=$H$3),"Priority 1",IF(OR(D201&gt;=$C$3,L201&gt;=$H$3),"Priority 2","Priority 3")),IF(L201&gt;=$H$3,"Priority 2","Priority 3")))</f>
        <v>Excluded – IV only</v>
      </c>
      <c r="AL201" s="16" t="str">
        <f aca="false">IF(O201&lt;&gt;"","",IF(ISNUMBER(D201),IF(D201&gt;=$C$3,"High price","Lower price"),"Unpriced")&amp;" · "&amp;IF(L201&gt;=$H$3,"high volume","lower volume"))</f>
        <v/>
      </c>
      <c r="AM201" s="14" t="str">
        <f aca="false">IF(O201&lt;&gt;"","",COUNTIFS($A$29:$A$361,A201,$O$29:$O$361,"",$AQ$29:$AQ$361,"&gt;"&amp;AQ201)+COUNTIFS($A$29:A201,A201,$O$29:O201,"",$AQ$29:AQ201,AQ201))</f>
        <v/>
      </c>
      <c r="AN201" s="33" t="str">
        <f aca="false">IF(AND(O201="",ISNUMBER(D201)),D201,"")</f>
        <v/>
      </c>
      <c r="AO201" s="33" t="str">
        <f aca="false">IF(O201="",M201,"")</f>
        <v/>
      </c>
      <c r="AP201" s="33" t="str">
        <f aca="false">IF(O201="",L201,"")</f>
        <v/>
      </c>
      <c r="AQ201" s="33" t="str">
        <f aca="false">IF(O201&lt;&gt;"","",(4-VALUE(RIGHT(AK201,1)))*10^7+N(N201))</f>
        <v/>
      </c>
      <c r="AR201" s="33" t="n">
        <f aca="false">INDEX($O$7:$O$25,MATCH(A201,$I$7:$I$25,0))</f>
        <v>1</v>
      </c>
      <c r="AS201" s="33" t="str">
        <f aca="false">IF(AE201="No","",AR201*1000+IF(AM201="",900+COUNTIFS($A$29:A201,A201,$O$29:O201,"Price ≤ $5"),AM201))</f>
        <v/>
      </c>
    </row>
    <row r="202" customFormat="false" ht="28.35" hidden="false" customHeight="false" outlineLevel="0" collapsed="false">
      <c r="A202" s="15" t="s">
        <v>21</v>
      </c>
      <c r="B202" s="15" t="s">
        <v>982</v>
      </c>
      <c r="C202" s="16" t="s">
        <v>983</v>
      </c>
      <c r="D202" s="17" t="n">
        <f aca="false">IF(W202&gt;0,ROUND(AVERAGEIFS('Shortlisted Drugs X Company (7)'!$N$3:$N$698,'Shortlisted Drugs X Company (7)'!$C$3:$C$698,$B202,'Shortlisted Drugs X Company (7)'!$E$3:$E$698,$S202,'Shortlisted Drugs X Company (7)'!$N$3:$N$698,"&gt;5"),2),"")</f>
        <v>28.67</v>
      </c>
      <c r="E202" s="15" t="str">
        <f aca="false">IF(COUNTIFS('Shortlisted Drugs X Company (7)'!$C$3:$C$698,$B202,'Shortlisted Drugs X Company (7)'!$E$3:$E$698,$S202,'Shortlisted Drugs X Company (7)'!$P$3:$P$698,"Exact")&gt;0,"Exact",IF(COUNTIFS('Shortlisted Drugs X Company (7)'!$C$3:$C$698,$B202,'Shortlisted Drugs X Company (7)'!$E$3:$E$698,$S202,'Shortlisted Drugs X Company (7)'!$P$3:$P$698,"Same-market proxy")&gt;0,"Same-market proxy",IF(COUNTIFS('Shortlisted Drugs X Company (7)'!$C$3:$C$698,$B202,'Shortlisted Drugs X Company (7)'!$E$3:$E$698,$S202,'Shortlisted Drugs X Company (7)'!$P$3:$P$698,"Cross-market proxy")&gt;0,"Cross-market proxy",IF(COUNTIFS('Shortlisted Drugs X Company (7)'!$C$3:$C$698,$B202,'Shortlisted Drugs X Company (7)'!$E$3:$E$698,$S202,'Shortlisted Drugs X Company (7)'!$P$3:$P$698,"Source not found")&gt;0,"Source not found","Not priced"))))</f>
        <v>Cross-market proxy</v>
      </c>
      <c r="F202" s="18" t="n">
        <f aca="false">IFERROR(ROUND(INDEX('Injectable Value'!$AA$28:$AA$178,MATCH(B202,'Injectable Value'!$A$28:$A$178,0)),1),"")</f>
        <v>4049.5</v>
      </c>
      <c r="G202" s="16" t="s">
        <v>769</v>
      </c>
      <c r="H202" s="14" t="n">
        <v>3</v>
      </c>
      <c r="I202" s="15" t="s">
        <v>258</v>
      </c>
      <c r="J202" s="15" t="s">
        <v>249</v>
      </c>
      <c r="K202" s="16" t="str">
        <f aca="false">"Prefilled only"&amp;IF(V202=0,"; Unpriced","")&amp;IF(AND(V202&gt;0,W202=0,X202=0),"; Low price from another market – confirm with company","")</f>
        <v>Prefilled only</v>
      </c>
      <c r="L202" s="18" t="n">
        <f aca="false">IFERROR(INDEX('Shortlisted Drugs X Company (7)'!$K$3:$K$698,MATCH(B202,'Shortlisted Drugs X Company (7)'!$C$3:$C$698,0)),"")</f>
        <v>912</v>
      </c>
      <c r="M202" s="18" t="n">
        <f aca="false">IFERROR(ROUND(L202*INDEX('Injectable Value'!$Z$28:$Z$178,MATCH(B202,'Injectable Value'!$A$28:$A$178,0)),0),"")</f>
        <v>799</v>
      </c>
      <c r="N202" s="18" t="n">
        <f aca="false">IFERROR(INDEX('Shortlisted Drugs X Company (7)'!$L$3:$L$698,MATCH(B202,'Shortlisted Drugs X Company (7)'!$C$3:$C$698,0)),"")</f>
        <v>4620.39</v>
      </c>
      <c r="O202" s="15" t="str">
        <f aca="false">IF(AE202="No","IV only (not ID/IM/SC)",IF(AND(V202&gt;0,W202=0),"Price ≤ $5",""))</f>
        <v/>
      </c>
      <c r="P202" s="14" t="n">
        <f aca="false">IF(O202&lt;&gt;"","",COUNTIFS($A$29:$A$361,A202,$O$29:$O$361,"",$AC$29:$AC$361,"&gt;"&amp;AC202)+COUNTIFS($A$29:A202,A202,$O$29:O202,"",$AC$29:AC202,AC202))</f>
        <v>7</v>
      </c>
      <c r="Q202" s="15" t="str">
        <f aca="false">IF(O202&lt;&gt;"",IF(O202="Price ≤ $5","Excluded – price ≤ $5","Excluded – IV only"),IF(ISNUMBER(D202),IF(AND(D202&gt;=$C$3,M202&gt;=$E$3),"Priority 1",IF(OR(D202&gt;=$C$3,M202&gt;=$E$3),"Priority 2","Priority 3")),IF(M202&gt;=$E$3,"Priority 2","Priority 3")))</f>
        <v>Priority 1</v>
      </c>
      <c r="R202" s="16" t="s">
        <v>259</v>
      </c>
      <c r="S202" s="15" t="s">
        <v>894</v>
      </c>
      <c r="T202" s="32" t="s">
        <v>984</v>
      </c>
      <c r="U202" s="33" t="str">
        <f aca="false">B202&amp;"|"&amp;S202</f>
        <v>Epinephrine (Adrenaline)|Intas Pharmaceuticals</v>
      </c>
      <c r="V202" s="34" t="n">
        <f aca="false">COUNTIFS('Shortlisted Drugs X Company (7)'!$C$3:$C$698,$B202,'Shortlisted Drugs X Company (7)'!$E$3:$E$698,$S202,'Shortlisted Drugs X Company (7)'!$N$3:$N$698,"&gt;=0")</f>
        <v>1</v>
      </c>
      <c r="W202" s="34" t="n">
        <f aca="false">COUNTIFS('Shortlisted Drugs X Company (7)'!$C$3:$C$698,$B202,'Shortlisted Drugs X Company (7)'!$E$3:$E$698,$S202,'Shortlisted Drugs X Company (7)'!$N$3:$N$698,"&gt;5")</f>
        <v>1</v>
      </c>
      <c r="X202" s="34" t="n">
        <f aca="false">COUNTIFS('Shortlisted Drugs X Company (7)'!$C$3:$C$698,$B202,'Shortlisted Drugs X Company (7)'!$E$3:$E$698,$S202,'Shortlisted Drugs X Company (7)'!$P$3:$P$698,"Exact")+COUNTIFS('Shortlisted Drugs X Company (7)'!$C$3:$C$698,$B202,'Shortlisted Drugs X Company (7)'!$E$3:$E$698,$S202,'Shortlisted Drugs X Company (7)'!$P$3:$P$698,"Same-market proxy")</f>
        <v>0</v>
      </c>
      <c r="Y202" s="33" t="str">
        <f aca="false">A202&amp;"|"&amp;P202</f>
        <v>Intas|7</v>
      </c>
      <c r="Z202" s="16" t="s">
        <v>985</v>
      </c>
      <c r="AA202" s="33" t="n">
        <f aca="false">INDEX($G$7:$G$25,MATCH(A202,$A$7:$A$25,0))</f>
        <v>1</v>
      </c>
      <c r="AB202" s="33" t="n">
        <f aca="false">IF(AE202="No","",AA202*1000+IF(P202="",900+COUNTIFS($A$29:A202,A202,$O$29:O202,"Price ≤ $5"),P202))</f>
        <v>1007</v>
      </c>
      <c r="AC202" s="33" t="n">
        <f aca="false">IF(O202&lt;&gt;"","",(4-VALUE(RIGHT(Q202,1)))*10^7+N(F202))</f>
        <v>30004049.5</v>
      </c>
      <c r="AD202" s="15" t="str">
        <f aca="false">IFERROR(INDEX('Route of Administration'!$C$5:$C$155,MATCH(B202,'Route of Administration'!$A$5:$A$155,0)),"")</f>
        <v>IV, IM, SC</v>
      </c>
      <c r="AE202" s="14" t="str">
        <f aca="false">IFERROR(INDEX('Route of Administration'!$D$5:$D$155,MATCH(B202,'Route of Administration'!$A$5:$A$155,0)),"")</f>
        <v>Yes</v>
      </c>
      <c r="AF202" s="19" t="n">
        <f aca="false">IF(V202&gt;0,ROUND(AVERAGEIFS('Shortlisted Drugs X Company (7)'!$N$3:$N$698,'Shortlisted Drugs X Company (7)'!$C$3:$C$698,$B202,'Shortlisted Drugs X Company (7)'!$E$3:$E$698,$S202,'Shortlisted Drugs X Company (7)'!$N$3:$N$698,"&gt;=0"),2),"")</f>
        <v>28.67</v>
      </c>
      <c r="AG202" s="16" t="s">
        <v>986</v>
      </c>
      <c r="AH202" s="16" t="s">
        <v>987</v>
      </c>
      <c r="AI202" s="16" t="s">
        <v>987</v>
      </c>
      <c r="AJ202" s="16" t="str">
        <f aca="false">IF(O202&lt;&gt;"","",IF(ISNUMBER(D202),IF(D202&gt;=$C$3,"High price","Lower price"),"Unpriced")&amp;" · "&amp;IF(M202&gt;=$E$3,"high volume","lower volume"))</f>
        <v>High price · high volume</v>
      </c>
      <c r="AK202" s="15" t="str">
        <f aca="false">IF(O202&lt;&gt;"",IF(O202="Price ≤ $5","Excluded – price ≤ $5","Excluded – IV only"),IF(ISNUMBER(D202),IF(AND(D202&gt;=$C$3,L202&gt;=$H$3),"Priority 1",IF(OR(D202&gt;=$C$3,L202&gt;=$H$3),"Priority 2","Priority 3")),IF(L202&gt;=$H$3,"Priority 2","Priority 3")))</f>
        <v>Priority 1</v>
      </c>
      <c r="AL202" s="16" t="str">
        <f aca="false">IF(O202&lt;&gt;"","",IF(ISNUMBER(D202),IF(D202&gt;=$C$3,"High price","Lower price"),"Unpriced")&amp;" · "&amp;IF(L202&gt;=$H$3,"high volume","lower volume"))</f>
        <v>High price · high volume</v>
      </c>
      <c r="AM202" s="14" t="n">
        <f aca="false">IF(O202&lt;&gt;"","",COUNTIFS($A$29:$A$361,A202,$O$29:$O$361,"",$AQ$29:$AQ$361,"&gt;"&amp;AQ202)+COUNTIFS($A$29:A202,A202,$O$29:O202,"",$AQ$29:AQ202,AQ202))</f>
        <v>5</v>
      </c>
      <c r="AN202" s="19" t="n">
        <f aca="false">IF(AND(O202="",ISNUMBER(D202)),D202,"")</f>
        <v>28.67</v>
      </c>
      <c r="AO202" s="20" t="n">
        <f aca="false">IF(O202="",M202,"")</f>
        <v>799</v>
      </c>
      <c r="AP202" s="20" t="n">
        <f aca="false">IF(O202="",L202,"")</f>
        <v>912</v>
      </c>
      <c r="AQ202" s="33" t="n">
        <f aca="false">IF(O202&lt;&gt;"","",(4-VALUE(RIGHT(AK202,1)))*10^7+N(N202))</f>
        <v>30004620.39</v>
      </c>
      <c r="AR202" s="33" t="n">
        <f aca="false">INDEX($O$7:$O$25,MATCH(A202,$I$7:$I$25,0))</f>
        <v>1</v>
      </c>
      <c r="AS202" s="33" t="n">
        <f aca="false">IF(AE202="No","",AR202*1000+IF(AM202="",900+COUNTIFS($A$29:A202,A202,$O$29:O202,"Price ≤ $5"),AM202))</f>
        <v>1005</v>
      </c>
    </row>
    <row r="203" customFormat="false" ht="55.2" hidden="false" customHeight="false" outlineLevel="0" collapsed="false">
      <c r="A203" s="15" t="s">
        <v>21</v>
      </c>
      <c r="B203" s="15" t="s">
        <v>376</v>
      </c>
      <c r="C203" s="16" t="s">
        <v>377</v>
      </c>
      <c r="D203" s="17" t="n">
        <f aca="false">IF(W203&gt;0,ROUND(AVERAGEIFS('Shortlisted Drugs X Company (7)'!$N$3:$N$698,'Shortlisted Drugs X Company (7)'!$C$3:$C$698,$B203,'Shortlisted Drugs X Company (7)'!$E$3:$E$698,$S203,'Shortlisted Drugs X Company (7)'!$N$3:$N$698,"&gt;5"),2),"")</f>
        <v>25.16</v>
      </c>
      <c r="E203" s="15" t="str">
        <f aca="false">IF(COUNTIFS('Shortlisted Drugs X Company (7)'!$C$3:$C$698,$B203,'Shortlisted Drugs X Company (7)'!$E$3:$E$698,$S203,'Shortlisted Drugs X Company (7)'!$P$3:$P$698,"Exact")&gt;0,"Exact",IF(COUNTIFS('Shortlisted Drugs X Company (7)'!$C$3:$C$698,$B203,'Shortlisted Drugs X Company (7)'!$E$3:$E$698,$S203,'Shortlisted Drugs X Company (7)'!$P$3:$P$698,"Same-market proxy")&gt;0,"Same-market proxy",IF(COUNTIFS('Shortlisted Drugs X Company (7)'!$C$3:$C$698,$B203,'Shortlisted Drugs X Company (7)'!$E$3:$E$698,$S203,'Shortlisted Drugs X Company (7)'!$P$3:$P$698,"Cross-market proxy")&gt;0,"Cross-market proxy",IF(COUNTIFS('Shortlisted Drugs X Company (7)'!$C$3:$C$698,$B203,'Shortlisted Drugs X Company (7)'!$E$3:$E$698,$S203,'Shortlisted Drugs X Company (7)'!$P$3:$P$698,"Source not found")&gt;0,"Source not found","Not priced"))))</f>
        <v>Exact</v>
      </c>
      <c r="F203" s="18" t="n">
        <f aca="false">IFERROR(ROUND(INDEX('Injectable Value'!$AA$28:$AA$178,MATCH(B203,'Injectable Value'!$A$28:$A$178,0)),1),"")</f>
        <v>2770.2</v>
      </c>
      <c r="G203" s="16" t="s">
        <v>945</v>
      </c>
      <c r="H203" s="14" t="n">
        <v>24</v>
      </c>
      <c r="I203" s="15" t="s">
        <v>248</v>
      </c>
      <c r="J203" s="15" t="s">
        <v>249</v>
      </c>
      <c r="K203" s="16" t="str">
        <f aca="false">"Cancer drug (cytotoxic) – less relevant"&amp;IF(V203=0,"; Unpriced","")&amp;IF(AND(V203&gt;0,W203=0,X203=0),"; Low price from another market – confirm with company","")</f>
        <v>Cancer drug (cytotoxic) – less relevant</v>
      </c>
      <c r="L203" s="18" t="n">
        <f aca="false">IFERROR(INDEX('Shortlisted Drugs X Company (7)'!$K$3:$K$698,MATCH(B203,'Shortlisted Drugs X Company (7)'!$C$3:$C$698,0)),"")</f>
        <v>345</v>
      </c>
      <c r="M203" s="18" t="n">
        <f aca="false">IFERROR(ROUND(L203*INDEX('Injectable Value'!$Z$28:$Z$178,MATCH(B203,'Injectable Value'!$A$28:$A$178,0)),0),"")</f>
        <v>343</v>
      </c>
      <c r="N203" s="18" t="n">
        <f aca="false">IFERROR(INDEX('Shortlisted Drugs X Company (7)'!$L$3:$L$698,MATCH(B203,'Shortlisted Drugs X Company (7)'!$C$3:$C$698,0)),"")</f>
        <v>2783.28</v>
      </c>
      <c r="O203" s="15" t="str">
        <f aca="false">IF(AE203="No","IV only (not ID/IM/SC)",IF(AND(V203&gt;0,W203=0),"Price ≤ $5",""))</f>
        <v>IV only (not ID/IM/SC)</v>
      </c>
      <c r="P203" s="14" t="str">
        <f aca="false">IF(O203&lt;&gt;"","",COUNTIFS($A$29:$A$361,A203,$O$29:$O$361,"",$AC$29:$AC$361,"&gt;"&amp;AC203)+COUNTIFS($A$29:A203,A203,$O$29:O203,"",$AC$29:AC203,AC203))</f>
        <v/>
      </c>
      <c r="Q203" s="15" t="str">
        <f aca="false">IF(O203&lt;&gt;"",IF(O203="Price ≤ $5","Excluded – price ≤ $5","Excluded – IV only"),IF(ISNUMBER(D203),IF(AND(D203&gt;=$C$3,M203&gt;=$E$3),"Priority 1",IF(OR(D203&gt;=$C$3,M203&gt;=$E$3),"Priority 2","Priority 3")),IF(M203&gt;=$E$3,"Priority 2","Priority 3")))</f>
        <v>Excluded – IV only</v>
      </c>
      <c r="R203" s="16" t="s">
        <v>285</v>
      </c>
      <c r="S203" s="15" t="s">
        <v>894</v>
      </c>
      <c r="T203" s="32" t="s">
        <v>379</v>
      </c>
      <c r="U203" s="33" t="str">
        <f aca="false">B203&amp;"|"&amp;S203</f>
        <v>Epirubicin|Intas Pharmaceuticals</v>
      </c>
      <c r="V203" s="34" t="n">
        <f aca="false">COUNTIFS('Shortlisted Drugs X Company (7)'!$C$3:$C$698,$B203,'Shortlisted Drugs X Company (7)'!$E$3:$E$698,$S203,'Shortlisted Drugs X Company (7)'!$N$3:$N$698,"&gt;=0")</f>
        <v>9</v>
      </c>
      <c r="W203" s="34" t="n">
        <f aca="false">COUNTIFS('Shortlisted Drugs X Company (7)'!$C$3:$C$698,$B203,'Shortlisted Drugs X Company (7)'!$E$3:$E$698,$S203,'Shortlisted Drugs X Company (7)'!$N$3:$N$698,"&gt;5")</f>
        <v>9</v>
      </c>
      <c r="X203" s="34" t="n">
        <f aca="false">COUNTIFS('Shortlisted Drugs X Company (7)'!$C$3:$C$698,$B203,'Shortlisted Drugs X Company (7)'!$E$3:$E$698,$S203,'Shortlisted Drugs X Company (7)'!$P$3:$P$698,"Exact")+COUNTIFS('Shortlisted Drugs X Company (7)'!$C$3:$C$698,$B203,'Shortlisted Drugs X Company (7)'!$E$3:$E$698,$S203,'Shortlisted Drugs X Company (7)'!$P$3:$P$698,"Same-market proxy")</f>
        <v>9</v>
      </c>
      <c r="Y203" s="33" t="str">
        <f aca="false">A203&amp;"|"&amp;P203</f>
        <v>Intas|</v>
      </c>
      <c r="Z203" s="16" t="s">
        <v>988</v>
      </c>
      <c r="AA203" s="33" t="n">
        <f aca="false">INDEX($G$7:$G$25,MATCH(A203,$A$7:$A$25,0))</f>
        <v>1</v>
      </c>
      <c r="AB203" s="33" t="str">
        <f aca="false">IF(AE203="No","",AA203*1000+IF(P203="",900+COUNTIFS($A$29:A203,A203,$O$29:O203,"Price ≤ $5"),P203))</f>
        <v/>
      </c>
      <c r="AC203" s="33" t="str">
        <f aca="false">IF(O203&lt;&gt;"","",(4-VALUE(RIGHT(Q203,1)))*10^7+N(F203))</f>
        <v/>
      </c>
      <c r="AD203" s="15" t="str">
        <f aca="false">IFERROR(INDEX('Route of Administration'!$C$5:$C$155,MATCH(B203,'Route of Administration'!$A$5:$A$155,0)),"")</f>
        <v>IV</v>
      </c>
      <c r="AE203" s="14" t="str">
        <f aca="false">IFERROR(INDEX('Route of Administration'!$D$5:$D$155,MATCH(B203,'Route of Administration'!$A$5:$A$155,0)),"")</f>
        <v>No</v>
      </c>
      <c r="AF203" s="19" t="n">
        <f aca="false">IF(V203&gt;0,ROUND(AVERAGEIFS('Shortlisted Drugs X Company (7)'!$N$3:$N$698,'Shortlisted Drugs X Company (7)'!$C$3:$C$698,$B203,'Shortlisted Drugs X Company (7)'!$E$3:$E$698,$S203,'Shortlisted Drugs X Company (7)'!$N$3:$N$698,"&gt;=0"),2),"")</f>
        <v>25.16</v>
      </c>
      <c r="AG203" s="16" t="s">
        <v>989</v>
      </c>
      <c r="AH203" s="16" t="s">
        <v>990</v>
      </c>
      <c r="AI203" s="16" t="s">
        <v>991</v>
      </c>
      <c r="AJ203" s="16" t="str">
        <f aca="false">IF(O203&lt;&gt;"","",IF(ISNUMBER(D203),IF(D203&gt;=$C$3,"High price","Lower price"),"Unpriced")&amp;" · "&amp;IF(M203&gt;=$E$3,"high volume","lower volume"))</f>
        <v/>
      </c>
      <c r="AK203" s="15" t="str">
        <f aca="false">IF(O203&lt;&gt;"",IF(O203="Price ≤ $5","Excluded – price ≤ $5","Excluded – IV only"),IF(ISNUMBER(D203),IF(AND(D203&gt;=$C$3,L203&gt;=$H$3),"Priority 1",IF(OR(D203&gt;=$C$3,L203&gt;=$H$3),"Priority 2","Priority 3")),IF(L203&gt;=$H$3,"Priority 2","Priority 3")))</f>
        <v>Excluded – IV only</v>
      </c>
      <c r="AL203" s="16" t="str">
        <f aca="false">IF(O203&lt;&gt;"","",IF(ISNUMBER(D203),IF(D203&gt;=$C$3,"High price","Lower price"),"Unpriced")&amp;" · "&amp;IF(L203&gt;=$H$3,"high volume","lower volume"))</f>
        <v/>
      </c>
      <c r="AM203" s="14" t="str">
        <f aca="false">IF(O203&lt;&gt;"","",COUNTIFS($A$29:$A$361,A203,$O$29:$O$361,"",$AQ$29:$AQ$361,"&gt;"&amp;AQ203)+COUNTIFS($A$29:A203,A203,$O$29:O203,"",$AQ$29:AQ203,AQ203))</f>
        <v/>
      </c>
      <c r="AN203" s="33" t="str">
        <f aca="false">IF(AND(O203="",ISNUMBER(D203)),D203,"")</f>
        <v/>
      </c>
      <c r="AO203" s="33" t="str">
        <f aca="false">IF(O203="",M203,"")</f>
        <v/>
      </c>
      <c r="AP203" s="33" t="str">
        <f aca="false">IF(O203="",L203,"")</f>
        <v/>
      </c>
      <c r="AQ203" s="33" t="str">
        <f aca="false">IF(O203&lt;&gt;"","",(4-VALUE(RIGHT(AK203,1)))*10^7+N(N203))</f>
        <v/>
      </c>
      <c r="AR203" s="33" t="n">
        <f aca="false">INDEX($O$7:$O$25,MATCH(A203,$I$7:$I$25,0))</f>
        <v>1</v>
      </c>
      <c r="AS203" s="33" t="str">
        <f aca="false">IF(AE203="No","",AR203*1000+IF(AM203="",900+COUNTIFS($A$29:A203,A203,$O$29:O203,"Price ≤ $5"),AM203))</f>
        <v/>
      </c>
    </row>
    <row r="204" customFormat="false" ht="82.05" hidden="false" customHeight="false" outlineLevel="0" collapsed="false">
      <c r="A204" s="15" t="s">
        <v>21</v>
      </c>
      <c r="B204" s="15" t="s">
        <v>383</v>
      </c>
      <c r="C204" s="16" t="s">
        <v>384</v>
      </c>
      <c r="D204" s="17" t="n">
        <f aca="false">IF(W204&gt;0,ROUND(AVERAGEIFS('Shortlisted Drugs X Company (7)'!$N$3:$N$698,'Shortlisted Drugs X Company (7)'!$C$3:$C$698,$B204,'Shortlisted Drugs X Company (7)'!$E$3:$E$698,$S204,'Shortlisted Drugs X Company (7)'!$N$3:$N$698,"&gt;5"),2),"")</f>
        <v>62.03</v>
      </c>
      <c r="E204" s="15" t="str">
        <f aca="false">IF(COUNTIFS('Shortlisted Drugs X Company (7)'!$C$3:$C$698,$B204,'Shortlisted Drugs X Company (7)'!$E$3:$E$698,$S204,'Shortlisted Drugs X Company (7)'!$P$3:$P$698,"Exact")&gt;0,"Exact",IF(COUNTIFS('Shortlisted Drugs X Company (7)'!$C$3:$C$698,$B204,'Shortlisted Drugs X Company (7)'!$E$3:$E$698,$S204,'Shortlisted Drugs X Company (7)'!$P$3:$P$698,"Same-market proxy")&gt;0,"Same-market proxy",IF(COUNTIFS('Shortlisted Drugs X Company (7)'!$C$3:$C$698,$B204,'Shortlisted Drugs X Company (7)'!$E$3:$E$698,$S204,'Shortlisted Drugs X Company (7)'!$P$3:$P$698,"Cross-market proxy")&gt;0,"Cross-market proxy",IF(COUNTIFS('Shortlisted Drugs X Company (7)'!$C$3:$C$698,$B204,'Shortlisted Drugs X Company (7)'!$E$3:$E$698,$S204,'Shortlisted Drugs X Company (7)'!$P$3:$P$698,"Source not found")&gt;0,"Source not found","Not priced"))))</f>
        <v>Exact</v>
      </c>
      <c r="F204" s="18" t="n">
        <f aca="false">IFERROR(ROUND(INDEX('Injectable Value'!$AA$28:$AA$178,MATCH(B204,'Injectable Value'!$A$28:$A$178,0)),1),"")</f>
        <v>5178.3</v>
      </c>
      <c r="G204" s="16" t="s">
        <v>992</v>
      </c>
      <c r="H204" s="14" t="n">
        <v>30</v>
      </c>
      <c r="I204" s="15" t="s">
        <v>248</v>
      </c>
      <c r="J204" s="15" t="s">
        <v>249</v>
      </c>
      <c r="K204" s="16" t="str">
        <f aca="false">""&amp;IF(V204=0,"Unpriced","")&amp;IF(AND(V204&gt;0,W204=0,X204=0),"Low price from another market – confirm with company","")</f>
        <v/>
      </c>
      <c r="L204" s="18" t="n">
        <f aca="false">IFERROR(INDEX('Shortlisted Drugs X Company (7)'!$K$3:$K$698,MATCH(B204,'Shortlisted Drugs X Company (7)'!$C$3:$C$698,0)),"")</f>
        <v>149</v>
      </c>
      <c r="M204" s="18" t="n">
        <f aca="false">IFERROR(ROUND(L204*INDEX('Injectable Value'!$Z$28:$Z$178,MATCH(B204,'Injectable Value'!$A$28:$A$178,0)),0),"")</f>
        <v>147</v>
      </c>
      <c r="N204" s="18" t="n">
        <f aca="false">IFERROR(INDEX('Shortlisted Drugs X Company (7)'!$L$3:$L$698,MATCH(B204,'Shortlisted Drugs X Company (7)'!$C$3:$C$698,0)),"")</f>
        <v>5255.61</v>
      </c>
      <c r="O204" s="15" t="str">
        <f aca="false">IF(AE204="No","IV only (not ID/IM/SC)",IF(AND(V204&gt;0,W204=0),"Price ≤ $5",""))</f>
        <v>IV only (not ID/IM/SC)</v>
      </c>
      <c r="P204" s="14" t="str">
        <f aca="false">IF(O204&lt;&gt;"","",COUNTIFS($A$29:$A$361,A204,$O$29:$O$361,"",$AC$29:$AC$361,"&gt;"&amp;AC204)+COUNTIFS($A$29:A204,A204,$O$29:O204,"",$AC$29:AC204,AC204))</f>
        <v/>
      </c>
      <c r="Q204" s="15" t="str">
        <f aca="false">IF(O204&lt;&gt;"",IF(O204="Price ≤ $5","Excluded – price ≤ $5","Excluded – IV only"),IF(ISNUMBER(D204),IF(AND(D204&gt;=$C$3,M204&gt;=$E$3),"Priority 1",IF(OR(D204&gt;=$C$3,M204&gt;=$E$3),"Priority 2","Priority 3")),IF(M204&gt;=$E$3,"Priority 2","Priority 3")))</f>
        <v>Excluded – IV only</v>
      </c>
      <c r="R204" s="16" t="s">
        <v>285</v>
      </c>
      <c r="S204" s="15" t="s">
        <v>894</v>
      </c>
      <c r="T204" s="32" t="s">
        <v>385</v>
      </c>
      <c r="U204" s="33" t="str">
        <f aca="false">B204&amp;"|"&amp;S204</f>
        <v>Eptifibatide|Intas Pharmaceuticals</v>
      </c>
      <c r="V204" s="34" t="n">
        <f aca="false">COUNTIFS('Shortlisted Drugs X Company (7)'!$C$3:$C$698,$B204,'Shortlisted Drugs X Company (7)'!$E$3:$E$698,$S204,'Shortlisted Drugs X Company (7)'!$N$3:$N$698,"&gt;=0")</f>
        <v>1</v>
      </c>
      <c r="W204" s="34" t="n">
        <f aca="false">COUNTIFS('Shortlisted Drugs X Company (7)'!$C$3:$C$698,$B204,'Shortlisted Drugs X Company (7)'!$E$3:$E$698,$S204,'Shortlisted Drugs X Company (7)'!$N$3:$N$698,"&gt;5")</f>
        <v>1</v>
      </c>
      <c r="X204" s="34" t="n">
        <f aca="false">COUNTIFS('Shortlisted Drugs X Company (7)'!$C$3:$C$698,$B204,'Shortlisted Drugs X Company (7)'!$E$3:$E$698,$S204,'Shortlisted Drugs X Company (7)'!$P$3:$P$698,"Exact")+COUNTIFS('Shortlisted Drugs X Company (7)'!$C$3:$C$698,$B204,'Shortlisted Drugs X Company (7)'!$E$3:$E$698,$S204,'Shortlisted Drugs X Company (7)'!$P$3:$P$698,"Same-market proxy")</f>
        <v>1</v>
      </c>
      <c r="Y204" s="33" t="str">
        <f aca="false">A204&amp;"|"&amp;P204</f>
        <v>Intas|</v>
      </c>
      <c r="Z204" s="16" t="s">
        <v>386</v>
      </c>
      <c r="AA204" s="33" t="n">
        <f aca="false">INDEX($G$7:$G$25,MATCH(A204,$A$7:$A$25,0))</f>
        <v>1</v>
      </c>
      <c r="AB204" s="33" t="str">
        <f aca="false">IF(AE204="No","",AA204*1000+IF(P204="",900+COUNTIFS($A$29:A204,A204,$O$29:O204,"Price ≤ $5"),P204))</f>
        <v/>
      </c>
      <c r="AC204" s="33" t="str">
        <f aca="false">IF(O204&lt;&gt;"","",(4-VALUE(RIGHT(Q204,1)))*10^7+N(F204))</f>
        <v/>
      </c>
      <c r="AD204" s="15" t="str">
        <f aca="false">IFERROR(INDEX('Route of Administration'!$C$5:$C$155,MATCH(B204,'Route of Administration'!$A$5:$A$155,0)),"")</f>
        <v>IV</v>
      </c>
      <c r="AE204" s="14" t="str">
        <f aca="false">IFERROR(INDEX('Route of Administration'!$D$5:$D$155,MATCH(B204,'Route of Administration'!$A$5:$A$155,0)),"")</f>
        <v>No</v>
      </c>
      <c r="AF204" s="19" t="n">
        <f aca="false">IF(V204&gt;0,ROUND(AVERAGEIFS('Shortlisted Drugs X Company (7)'!$N$3:$N$698,'Shortlisted Drugs X Company (7)'!$C$3:$C$698,$B204,'Shortlisted Drugs X Company (7)'!$E$3:$E$698,$S204,'Shortlisted Drugs X Company (7)'!$N$3:$N$698,"&gt;=0"),2),"")</f>
        <v>62.03</v>
      </c>
      <c r="AG204" s="16" t="s">
        <v>993</v>
      </c>
      <c r="AH204" s="16" t="s">
        <v>994</v>
      </c>
      <c r="AI204" s="16" t="s">
        <v>995</v>
      </c>
      <c r="AJ204" s="16" t="str">
        <f aca="false">IF(O204&lt;&gt;"","",IF(ISNUMBER(D204),IF(D204&gt;=$C$3,"High price","Lower price"),"Unpriced")&amp;" · "&amp;IF(M204&gt;=$E$3,"high volume","lower volume"))</f>
        <v/>
      </c>
      <c r="AK204" s="15" t="str">
        <f aca="false">IF(O204&lt;&gt;"",IF(O204="Price ≤ $5","Excluded – price ≤ $5","Excluded – IV only"),IF(ISNUMBER(D204),IF(AND(D204&gt;=$C$3,L204&gt;=$H$3),"Priority 1",IF(OR(D204&gt;=$C$3,L204&gt;=$H$3),"Priority 2","Priority 3")),IF(L204&gt;=$H$3,"Priority 2","Priority 3")))</f>
        <v>Excluded – IV only</v>
      </c>
      <c r="AL204" s="16" t="str">
        <f aca="false">IF(O204&lt;&gt;"","",IF(ISNUMBER(D204),IF(D204&gt;=$C$3,"High price","Lower price"),"Unpriced")&amp;" · "&amp;IF(L204&gt;=$H$3,"high volume","lower volume"))</f>
        <v/>
      </c>
      <c r="AM204" s="14" t="str">
        <f aca="false">IF(O204&lt;&gt;"","",COUNTIFS($A$29:$A$361,A204,$O$29:$O$361,"",$AQ$29:$AQ$361,"&gt;"&amp;AQ204)+COUNTIFS($A$29:A204,A204,$O$29:O204,"",$AQ$29:AQ204,AQ204))</f>
        <v/>
      </c>
      <c r="AN204" s="33" t="str">
        <f aca="false">IF(AND(O204="",ISNUMBER(D204)),D204,"")</f>
        <v/>
      </c>
      <c r="AO204" s="33" t="str">
        <f aca="false">IF(O204="",M204,"")</f>
        <v/>
      </c>
      <c r="AP204" s="33" t="str">
        <f aca="false">IF(O204="",L204,"")</f>
        <v/>
      </c>
      <c r="AQ204" s="33" t="str">
        <f aca="false">IF(O204&lt;&gt;"","",(4-VALUE(RIGHT(AK204,1)))*10^7+N(N204))</f>
        <v/>
      </c>
      <c r="AR204" s="33" t="n">
        <f aca="false">INDEX($O$7:$O$25,MATCH(A204,$I$7:$I$25,0))</f>
        <v>1</v>
      </c>
      <c r="AS204" s="33" t="str">
        <f aca="false">IF(AE204="No","",AR204*1000+IF(AM204="",900+COUNTIFS($A$29:A204,A204,$O$29:O204,"Price ≤ $5"),AM204))</f>
        <v/>
      </c>
    </row>
    <row r="205" customFormat="false" ht="28.35" hidden="false" customHeight="false" outlineLevel="0" collapsed="false">
      <c r="A205" s="15" t="s">
        <v>21</v>
      </c>
      <c r="B205" s="15" t="s">
        <v>694</v>
      </c>
      <c r="C205" s="16" t="s">
        <v>695</v>
      </c>
      <c r="D205" s="17" t="n">
        <f aca="false">IF(W205&gt;0,ROUND(AVERAGEIFS('Shortlisted Drugs X Company (7)'!$N$3:$N$698,'Shortlisted Drugs X Company (7)'!$C$3:$C$698,$B205,'Shortlisted Drugs X Company (7)'!$E$3:$E$698,$S205,'Shortlisted Drugs X Company (7)'!$N$3:$N$698,"&gt;5"),2),"")</f>
        <v>471.27</v>
      </c>
      <c r="E205" s="15" t="str">
        <f aca="false">IF(COUNTIFS('Shortlisted Drugs X Company (7)'!$C$3:$C$698,$B205,'Shortlisted Drugs X Company (7)'!$E$3:$E$698,$S205,'Shortlisted Drugs X Company (7)'!$P$3:$P$698,"Exact")&gt;0,"Exact",IF(COUNTIFS('Shortlisted Drugs X Company (7)'!$C$3:$C$698,$B205,'Shortlisted Drugs X Company (7)'!$E$3:$E$698,$S205,'Shortlisted Drugs X Company (7)'!$P$3:$P$698,"Same-market proxy")&gt;0,"Same-market proxy",IF(COUNTIFS('Shortlisted Drugs X Company (7)'!$C$3:$C$698,$B205,'Shortlisted Drugs X Company (7)'!$E$3:$E$698,$S205,'Shortlisted Drugs X Company (7)'!$P$3:$P$698,"Cross-market proxy")&gt;0,"Cross-market proxy",IF(COUNTIFS('Shortlisted Drugs X Company (7)'!$C$3:$C$698,$B205,'Shortlisted Drugs X Company (7)'!$E$3:$E$698,$S205,'Shortlisted Drugs X Company (7)'!$P$3:$P$698,"Source not found")&gt;0,"Source not found","Not priced"))))</f>
        <v>Cross-market proxy</v>
      </c>
      <c r="F205" s="18" t="n">
        <f aca="false">IFERROR(ROUND(INDEX('Injectable Value'!$AA$28:$AA$178,MATCH(B205,'Injectable Value'!$A$28:$A$178,0)),1),"")</f>
        <v>1874.6</v>
      </c>
      <c r="G205" s="16" t="s">
        <v>331</v>
      </c>
      <c r="H205" s="14" t="n">
        <v>9</v>
      </c>
      <c r="I205" s="15" t="s">
        <v>248</v>
      </c>
      <c r="J205" s="15" t="s">
        <v>249</v>
      </c>
      <c r="K205" s="16" t="str">
        <f aca="false">"Cancer drug (cytotoxic) – less relevant"&amp;IF(V205=0,"; Unpriced","")&amp;IF(AND(V205&gt;0,W205=0,X205=0),"; Low price from another market – confirm with company","")</f>
        <v>Cancer drug (cytotoxic) – less relevant</v>
      </c>
      <c r="L205" s="18" t="n">
        <f aca="false">IFERROR(INDEX('Shortlisted Drugs X Company (7)'!$K$3:$K$698,MATCH(B205,'Shortlisted Drugs X Company (7)'!$C$3:$C$698,0)),"")</f>
        <v>42</v>
      </c>
      <c r="M205" s="18" t="n">
        <f aca="false">IFERROR(ROUND(L205*INDEX('Injectable Value'!$Z$28:$Z$178,MATCH(B205,'Injectable Value'!$A$28:$A$178,0)),0),"")</f>
        <v>42</v>
      </c>
      <c r="N205" s="18" t="n">
        <f aca="false">IFERROR(INDEX('Shortlisted Drugs X Company (7)'!$L$3:$L$698,MATCH(B205,'Shortlisted Drugs X Company (7)'!$C$3:$C$698,0)),"")</f>
        <v>1874.63</v>
      </c>
      <c r="O205" s="15" t="str">
        <f aca="false">IF(AE205="No","IV only (not ID/IM/SC)",IF(AND(V205&gt;0,W205=0),"Price ≤ $5",""))</f>
        <v>IV only (not ID/IM/SC)</v>
      </c>
      <c r="P205" s="14" t="str">
        <f aca="false">IF(O205&lt;&gt;"","",COUNTIFS($A$29:$A$361,A205,$O$29:$O$361,"",$AC$29:$AC$361,"&gt;"&amp;AC205)+COUNTIFS($A$29:A205,A205,$O$29:O205,"",$AC$29:AC205,AC205))</f>
        <v/>
      </c>
      <c r="Q205" s="15" t="str">
        <f aca="false">IF(O205&lt;&gt;"",IF(O205="Price ≤ $5","Excluded – price ≤ $5","Excluded – IV only"),IF(ISNUMBER(D205),IF(AND(D205&gt;=$C$3,M205&gt;=$E$3),"Priority 1",IF(OR(D205&gt;=$C$3,M205&gt;=$E$3),"Priority 2","Priority 3")),IF(M205&gt;=$E$3,"Priority 2","Priority 3")))</f>
        <v>Excluded – IV only</v>
      </c>
      <c r="R205" s="16" t="s">
        <v>250</v>
      </c>
      <c r="S205" s="15" t="s">
        <v>894</v>
      </c>
      <c r="T205" s="32" t="s">
        <v>697</v>
      </c>
      <c r="U205" s="33" t="str">
        <f aca="false">B205&amp;"|"&amp;S205</f>
        <v>Eribulin|Intas Pharmaceuticals</v>
      </c>
      <c r="V205" s="34" t="n">
        <f aca="false">COUNTIFS('Shortlisted Drugs X Company (7)'!$C$3:$C$698,$B205,'Shortlisted Drugs X Company (7)'!$E$3:$E$698,$S205,'Shortlisted Drugs X Company (7)'!$N$3:$N$698,"&gt;=0")</f>
        <v>1</v>
      </c>
      <c r="W205" s="34" t="n">
        <f aca="false">COUNTIFS('Shortlisted Drugs X Company (7)'!$C$3:$C$698,$B205,'Shortlisted Drugs X Company (7)'!$E$3:$E$698,$S205,'Shortlisted Drugs X Company (7)'!$N$3:$N$698,"&gt;5")</f>
        <v>1</v>
      </c>
      <c r="X205" s="34" t="n">
        <f aca="false">COUNTIFS('Shortlisted Drugs X Company (7)'!$C$3:$C$698,$B205,'Shortlisted Drugs X Company (7)'!$E$3:$E$698,$S205,'Shortlisted Drugs X Company (7)'!$P$3:$P$698,"Exact")+COUNTIFS('Shortlisted Drugs X Company (7)'!$C$3:$C$698,$B205,'Shortlisted Drugs X Company (7)'!$E$3:$E$698,$S205,'Shortlisted Drugs X Company (7)'!$P$3:$P$698,"Same-market proxy")</f>
        <v>0</v>
      </c>
      <c r="Y205" s="33" t="str">
        <f aca="false">A205&amp;"|"&amp;P205</f>
        <v>Intas|</v>
      </c>
      <c r="Z205" s="16" t="s">
        <v>996</v>
      </c>
      <c r="AA205" s="33" t="n">
        <f aca="false">INDEX($G$7:$G$25,MATCH(A205,$A$7:$A$25,0))</f>
        <v>1</v>
      </c>
      <c r="AB205" s="33" t="str">
        <f aca="false">IF(AE205="No","",AA205*1000+IF(P205="",900+COUNTIFS($A$29:A205,A205,$O$29:O205,"Price ≤ $5"),P205))</f>
        <v/>
      </c>
      <c r="AC205" s="33" t="str">
        <f aca="false">IF(O205&lt;&gt;"","",(4-VALUE(RIGHT(Q205,1)))*10^7+N(F205))</f>
        <v/>
      </c>
      <c r="AD205" s="15" t="str">
        <f aca="false">IFERROR(INDEX('Route of Administration'!$C$5:$C$155,MATCH(B205,'Route of Administration'!$A$5:$A$155,0)),"")</f>
        <v>IV</v>
      </c>
      <c r="AE205" s="14" t="str">
        <f aca="false">IFERROR(INDEX('Route of Administration'!$D$5:$D$155,MATCH(B205,'Route of Administration'!$A$5:$A$155,0)),"")</f>
        <v>No</v>
      </c>
      <c r="AF205" s="19" t="n">
        <f aca="false">IF(V205&gt;0,ROUND(AVERAGEIFS('Shortlisted Drugs X Company (7)'!$N$3:$N$698,'Shortlisted Drugs X Company (7)'!$C$3:$C$698,$B205,'Shortlisted Drugs X Company (7)'!$E$3:$E$698,$S205,'Shortlisted Drugs X Company (7)'!$N$3:$N$698,"&gt;=0"),2),"")</f>
        <v>471.27</v>
      </c>
      <c r="AG205" s="16" t="s">
        <v>997</v>
      </c>
      <c r="AH205" s="16" t="s">
        <v>998</v>
      </c>
      <c r="AI205" s="16" t="s">
        <v>999</v>
      </c>
      <c r="AJ205" s="16" t="str">
        <f aca="false">IF(O205&lt;&gt;"","",IF(ISNUMBER(D205),IF(D205&gt;=$C$3,"High price","Lower price"),"Unpriced")&amp;" · "&amp;IF(M205&gt;=$E$3,"high volume","lower volume"))</f>
        <v/>
      </c>
      <c r="AK205" s="15" t="str">
        <f aca="false">IF(O205&lt;&gt;"",IF(O205="Price ≤ $5","Excluded – price ≤ $5","Excluded – IV only"),IF(ISNUMBER(D205),IF(AND(D205&gt;=$C$3,L205&gt;=$H$3),"Priority 1",IF(OR(D205&gt;=$C$3,L205&gt;=$H$3),"Priority 2","Priority 3")),IF(L205&gt;=$H$3,"Priority 2","Priority 3")))</f>
        <v>Excluded – IV only</v>
      </c>
      <c r="AL205" s="16" t="str">
        <f aca="false">IF(O205&lt;&gt;"","",IF(ISNUMBER(D205),IF(D205&gt;=$C$3,"High price","Lower price"),"Unpriced")&amp;" · "&amp;IF(L205&gt;=$H$3,"high volume","lower volume"))</f>
        <v/>
      </c>
      <c r="AM205" s="14" t="str">
        <f aca="false">IF(O205&lt;&gt;"","",COUNTIFS($A$29:$A$361,A205,$O$29:$O$361,"",$AQ$29:$AQ$361,"&gt;"&amp;AQ205)+COUNTIFS($A$29:A205,A205,$O$29:O205,"",$AQ$29:AQ205,AQ205))</f>
        <v/>
      </c>
      <c r="AN205" s="33" t="str">
        <f aca="false">IF(AND(O205="",ISNUMBER(D205)),D205,"")</f>
        <v/>
      </c>
      <c r="AO205" s="33" t="str">
        <f aca="false">IF(O205="",M205,"")</f>
        <v/>
      </c>
      <c r="AP205" s="33" t="str">
        <f aca="false">IF(O205="",L205,"")</f>
        <v/>
      </c>
      <c r="AQ205" s="33" t="str">
        <f aca="false">IF(O205&lt;&gt;"","",(4-VALUE(RIGHT(AK205,1)))*10^7+N(N205))</f>
        <v/>
      </c>
      <c r="AR205" s="33" t="n">
        <f aca="false">INDEX($O$7:$O$25,MATCH(A205,$I$7:$I$25,0))</f>
        <v>1</v>
      </c>
      <c r="AS205" s="33" t="str">
        <f aca="false">IF(AE205="No","",AR205*1000+IF(AM205="",900+COUNTIFS($A$29:A205,A205,$O$29:O205,"Price ≤ $5"),AM205))</f>
        <v/>
      </c>
    </row>
    <row r="206" customFormat="false" ht="28.35" hidden="false" customHeight="false" outlineLevel="0" collapsed="false">
      <c r="A206" s="15" t="s">
        <v>21</v>
      </c>
      <c r="B206" s="15" t="s">
        <v>774</v>
      </c>
      <c r="C206" s="16" t="s">
        <v>775</v>
      </c>
      <c r="D206" s="17" t="n">
        <f aca="false">IF(W206&gt;0,ROUND(AVERAGEIFS('Shortlisted Drugs X Company (7)'!$N$3:$N$698,'Shortlisted Drugs X Company (7)'!$C$3:$C$698,$B206,'Shortlisted Drugs X Company (7)'!$E$3:$E$698,$S206,'Shortlisted Drugs X Company (7)'!$N$3:$N$698,"&gt;5"),2),"")</f>
        <v>6.44</v>
      </c>
      <c r="E206" s="15" t="str">
        <f aca="false">IF(COUNTIFS('Shortlisted Drugs X Company (7)'!$C$3:$C$698,$B206,'Shortlisted Drugs X Company (7)'!$E$3:$E$698,$S206,'Shortlisted Drugs X Company (7)'!$P$3:$P$698,"Exact")&gt;0,"Exact",IF(COUNTIFS('Shortlisted Drugs X Company (7)'!$C$3:$C$698,$B206,'Shortlisted Drugs X Company (7)'!$E$3:$E$698,$S206,'Shortlisted Drugs X Company (7)'!$P$3:$P$698,"Same-market proxy")&gt;0,"Same-market proxy",IF(COUNTIFS('Shortlisted Drugs X Company (7)'!$C$3:$C$698,$B206,'Shortlisted Drugs X Company (7)'!$E$3:$E$698,$S206,'Shortlisted Drugs X Company (7)'!$P$3:$P$698,"Cross-market proxy")&gt;0,"Cross-market proxy",IF(COUNTIFS('Shortlisted Drugs X Company (7)'!$C$3:$C$698,$B206,'Shortlisted Drugs X Company (7)'!$E$3:$E$698,$S206,'Shortlisted Drugs X Company (7)'!$P$3:$P$698,"Source not found")&gt;0,"Source not found","Not priced"))))</f>
        <v>Same-market proxy</v>
      </c>
      <c r="F206" s="18" t="n">
        <f aca="false">IFERROR(ROUND(INDEX('Injectable Value'!$AA$28:$AA$178,MATCH(B206,'Injectable Value'!$A$28:$A$178,0)),1),"")</f>
        <v>13516.1</v>
      </c>
      <c r="G206" s="16" t="s">
        <v>1000</v>
      </c>
      <c r="H206" s="14" t="n">
        <v>6</v>
      </c>
      <c r="I206" s="15" t="s">
        <v>248</v>
      </c>
      <c r="J206" s="15" t="s">
        <v>299</v>
      </c>
      <c r="K206" s="16" t="str">
        <f aca="false">"Reconstitution"&amp;IF(V206=0,"; Unpriced","")&amp;IF(AND(V206&gt;0,W206=0,X206=0),"; Low price from another market – confirm with company","")</f>
        <v>Reconstitution</v>
      </c>
      <c r="L206" s="18" t="n">
        <f aca="false">IFERROR(INDEX('Shortlisted Drugs X Company (7)'!$K$3:$K$698,MATCH(B206,'Shortlisted Drugs X Company (7)'!$C$3:$C$698,0)),"")</f>
        <v>3168</v>
      </c>
      <c r="M206" s="18" t="n">
        <f aca="false">IFERROR(ROUND(L206*INDEX('Injectable Value'!$Z$28:$Z$178,MATCH(B206,'Injectable Value'!$A$28:$A$178,0)),0),"")</f>
        <v>328</v>
      </c>
      <c r="N206" s="18" t="n">
        <f aca="false">IFERROR(INDEX('Shortlisted Drugs X Company (7)'!$L$3:$L$698,MATCH(B206,'Shortlisted Drugs X Company (7)'!$C$3:$C$698,0)),"")</f>
        <v>130453.11</v>
      </c>
      <c r="O206" s="15" t="str">
        <f aca="false">IF(AE206="No","IV only (not ID/IM/SC)",IF(AND(V206&gt;0,W206=0),"Price ≤ $5",""))</f>
        <v>IV only (not ID/IM/SC)</v>
      </c>
      <c r="P206" s="14" t="str">
        <f aca="false">IF(O206&lt;&gt;"","",COUNTIFS($A$29:$A$361,A206,$O$29:$O$361,"",$AC$29:$AC$361,"&gt;"&amp;AC206)+COUNTIFS($A$29:A206,A206,$O$29:O206,"",$AC$29:AC206,AC206))</f>
        <v/>
      </c>
      <c r="Q206" s="15" t="str">
        <f aca="false">IF(O206&lt;&gt;"",IF(O206="Price ≤ $5","Excluded – price ≤ $5","Excluded – IV only"),IF(ISNUMBER(D206),IF(AND(D206&gt;=$C$3,M206&gt;=$E$3),"Priority 1",IF(OR(D206&gt;=$C$3,M206&gt;=$E$3),"Priority 2","Priority 3")),IF(M206&gt;=$E$3,"Priority 2","Priority 3")))</f>
        <v>Excluded – IV only</v>
      </c>
      <c r="R206" s="16" t="s">
        <v>250</v>
      </c>
      <c r="S206" s="15" t="s">
        <v>894</v>
      </c>
      <c r="T206" s="32" t="s">
        <v>777</v>
      </c>
      <c r="U206" s="33" t="str">
        <f aca="false">B206&amp;"|"&amp;S206</f>
        <v>Esomeprazole|Intas Pharmaceuticals</v>
      </c>
      <c r="V206" s="34" t="n">
        <f aca="false">COUNTIFS('Shortlisted Drugs X Company (7)'!$C$3:$C$698,$B206,'Shortlisted Drugs X Company (7)'!$E$3:$E$698,$S206,'Shortlisted Drugs X Company (7)'!$N$3:$N$698,"&gt;=0")</f>
        <v>2</v>
      </c>
      <c r="W206" s="34" t="n">
        <f aca="false">COUNTIFS('Shortlisted Drugs X Company (7)'!$C$3:$C$698,$B206,'Shortlisted Drugs X Company (7)'!$E$3:$E$698,$S206,'Shortlisted Drugs X Company (7)'!$N$3:$N$698,"&gt;5")</f>
        <v>2</v>
      </c>
      <c r="X206" s="34" t="n">
        <f aca="false">COUNTIFS('Shortlisted Drugs X Company (7)'!$C$3:$C$698,$B206,'Shortlisted Drugs X Company (7)'!$E$3:$E$698,$S206,'Shortlisted Drugs X Company (7)'!$P$3:$P$698,"Exact")+COUNTIFS('Shortlisted Drugs X Company (7)'!$C$3:$C$698,$B206,'Shortlisted Drugs X Company (7)'!$E$3:$E$698,$S206,'Shortlisted Drugs X Company (7)'!$P$3:$P$698,"Same-market proxy")</f>
        <v>2</v>
      </c>
      <c r="Y206" s="33" t="str">
        <f aca="false">A206&amp;"|"&amp;P206</f>
        <v>Intas|</v>
      </c>
      <c r="Z206" s="16" t="s">
        <v>778</v>
      </c>
      <c r="AA206" s="33" t="n">
        <f aca="false">INDEX($G$7:$G$25,MATCH(A206,$A$7:$A$25,0))</f>
        <v>1</v>
      </c>
      <c r="AB206" s="33" t="str">
        <f aca="false">IF(AE206="No","",AA206*1000+IF(P206="",900+COUNTIFS($A$29:A206,A206,$O$29:O206,"Price ≤ $5"),P206))</f>
        <v/>
      </c>
      <c r="AC206" s="33" t="str">
        <f aca="false">IF(O206&lt;&gt;"","",(4-VALUE(RIGHT(Q206,1)))*10^7+N(F206))</f>
        <v/>
      </c>
      <c r="AD206" s="15" t="str">
        <f aca="false">IFERROR(INDEX('Route of Administration'!$C$5:$C$155,MATCH(B206,'Route of Administration'!$A$5:$A$155,0)),"")</f>
        <v>IV</v>
      </c>
      <c r="AE206" s="14" t="str">
        <f aca="false">IFERROR(INDEX('Route of Administration'!$D$5:$D$155,MATCH(B206,'Route of Administration'!$A$5:$A$155,0)),"")</f>
        <v>No</v>
      </c>
      <c r="AF206" s="19" t="n">
        <f aca="false">IF(V206&gt;0,ROUND(AVERAGEIFS('Shortlisted Drugs X Company (7)'!$N$3:$N$698,'Shortlisted Drugs X Company (7)'!$C$3:$C$698,$B206,'Shortlisted Drugs X Company (7)'!$E$3:$E$698,$S206,'Shortlisted Drugs X Company (7)'!$N$3:$N$698,"&gt;=0"),2),"")</f>
        <v>6.44</v>
      </c>
      <c r="AG206" s="16" t="s">
        <v>1001</v>
      </c>
      <c r="AH206" s="16" t="s">
        <v>1002</v>
      </c>
      <c r="AI206" s="16" t="s">
        <v>1002</v>
      </c>
      <c r="AJ206" s="16" t="str">
        <f aca="false">IF(O206&lt;&gt;"","",IF(ISNUMBER(D206),IF(D206&gt;=$C$3,"High price","Lower price"),"Unpriced")&amp;" · "&amp;IF(M206&gt;=$E$3,"high volume","lower volume"))</f>
        <v/>
      </c>
      <c r="AK206" s="15" t="str">
        <f aca="false">IF(O206&lt;&gt;"",IF(O206="Price ≤ $5","Excluded – price ≤ $5","Excluded – IV only"),IF(ISNUMBER(D206),IF(AND(D206&gt;=$C$3,L206&gt;=$H$3),"Priority 1",IF(OR(D206&gt;=$C$3,L206&gt;=$H$3),"Priority 2","Priority 3")),IF(L206&gt;=$H$3,"Priority 2","Priority 3")))</f>
        <v>Excluded – IV only</v>
      </c>
      <c r="AL206" s="16" t="str">
        <f aca="false">IF(O206&lt;&gt;"","",IF(ISNUMBER(D206),IF(D206&gt;=$C$3,"High price","Lower price"),"Unpriced")&amp;" · "&amp;IF(L206&gt;=$H$3,"high volume","lower volume"))</f>
        <v/>
      </c>
      <c r="AM206" s="14" t="str">
        <f aca="false">IF(O206&lt;&gt;"","",COUNTIFS($A$29:$A$361,A206,$O$29:$O$361,"",$AQ$29:$AQ$361,"&gt;"&amp;AQ206)+COUNTIFS($A$29:A206,A206,$O$29:O206,"",$AQ$29:AQ206,AQ206))</f>
        <v/>
      </c>
      <c r="AN206" s="33" t="str">
        <f aca="false">IF(AND(O206="",ISNUMBER(D206)),D206,"")</f>
        <v/>
      </c>
      <c r="AO206" s="33" t="str">
        <f aca="false">IF(O206="",M206,"")</f>
        <v/>
      </c>
      <c r="AP206" s="33" t="str">
        <f aca="false">IF(O206="",L206,"")</f>
        <v/>
      </c>
      <c r="AQ206" s="33" t="str">
        <f aca="false">IF(O206&lt;&gt;"","",(4-VALUE(RIGHT(AK206,1)))*10^7+N(N206))</f>
        <v/>
      </c>
      <c r="AR206" s="33" t="n">
        <f aca="false">INDEX($O$7:$O$25,MATCH(A206,$I$7:$I$25,0))</f>
        <v>1</v>
      </c>
      <c r="AS206" s="33" t="str">
        <f aca="false">IF(AE206="No","",AR206*1000+IF(AM206="",900+COUNTIFS($A$29:A206,A206,$O$29:O206,"Price ≤ $5"),AM206))</f>
        <v/>
      </c>
    </row>
    <row r="207" customFormat="false" ht="28.35" hidden="false" customHeight="false" outlineLevel="0" collapsed="false">
      <c r="A207" s="15" t="s">
        <v>21</v>
      </c>
      <c r="B207" s="15" t="s">
        <v>401</v>
      </c>
      <c r="C207" s="16" t="s">
        <v>402</v>
      </c>
      <c r="D207" s="17" t="n">
        <f aca="false">IF(W207&gt;0,ROUND(AVERAGEIFS('Shortlisted Drugs X Company (7)'!$N$3:$N$698,'Shortlisted Drugs X Company (7)'!$C$3:$C$698,$B207,'Shortlisted Drugs X Company (7)'!$E$3:$E$698,$S207,'Shortlisted Drugs X Company (7)'!$N$3:$N$698,"&gt;5"),2),"")</f>
        <v>6.07</v>
      </c>
      <c r="E207" s="15" t="str">
        <f aca="false">IF(COUNTIFS('Shortlisted Drugs X Company (7)'!$C$3:$C$698,$B207,'Shortlisted Drugs X Company (7)'!$E$3:$E$698,$S207,'Shortlisted Drugs X Company (7)'!$P$3:$P$698,"Exact")&gt;0,"Exact",IF(COUNTIFS('Shortlisted Drugs X Company (7)'!$C$3:$C$698,$B207,'Shortlisted Drugs X Company (7)'!$E$3:$E$698,$S207,'Shortlisted Drugs X Company (7)'!$P$3:$P$698,"Same-market proxy")&gt;0,"Same-market proxy",IF(COUNTIFS('Shortlisted Drugs X Company (7)'!$C$3:$C$698,$B207,'Shortlisted Drugs X Company (7)'!$E$3:$E$698,$S207,'Shortlisted Drugs X Company (7)'!$P$3:$P$698,"Cross-market proxy")&gt;0,"Cross-market proxy",IF(COUNTIFS('Shortlisted Drugs X Company (7)'!$C$3:$C$698,$B207,'Shortlisted Drugs X Company (7)'!$E$3:$E$698,$S207,'Shortlisted Drugs X Company (7)'!$P$3:$P$698,"Source not found")&gt;0,"Source not found","Not priced"))))</f>
        <v>Cross-market proxy</v>
      </c>
      <c r="F207" s="18" t="n">
        <f aca="false">IFERROR(ROUND(INDEX('Injectable Value'!$AA$28:$AA$178,MATCH(B207,'Injectable Value'!$A$28:$A$178,0)),1),"")</f>
        <v>6287.6</v>
      </c>
      <c r="G207" s="16" t="s">
        <v>881</v>
      </c>
      <c r="H207" s="14" t="n">
        <v>1</v>
      </c>
      <c r="I207" s="15" t="s">
        <v>248</v>
      </c>
      <c r="J207" s="15" t="s">
        <v>299</v>
      </c>
      <c r="K207" s="16" t="str">
        <f aca="false">"Reconstitution"&amp;IF(V207=0,"; Unpriced","")&amp;IF(AND(V207&gt;0,W207=0,X207=0),"; Low price from another market – confirm with company","")</f>
        <v>Reconstitution</v>
      </c>
      <c r="L207" s="18" t="n">
        <f aca="false">IFERROR(INDEX('Shortlisted Drugs X Company (7)'!$K$3:$K$698,MATCH(B207,'Shortlisted Drugs X Company (7)'!$C$3:$C$698,0)),"")</f>
        <v>347</v>
      </c>
      <c r="M207" s="18" t="n">
        <f aca="false">IFERROR(ROUND(L207*INDEX('Injectable Value'!$Z$28:$Z$178,MATCH(B207,'Injectable Value'!$A$28:$A$178,0)),0),"")</f>
        <v>116</v>
      </c>
      <c r="N207" s="18" t="n">
        <f aca="false">IFERROR(INDEX('Shortlisted Drugs X Company (7)'!$L$3:$L$698,MATCH(B207,'Shortlisted Drugs X Company (7)'!$C$3:$C$698,0)),"")</f>
        <v>18803.98</v>
      </c>
      <c r="O207" s="15" t="str">
        <f aca="false">IF(AE207="No","IV only (not ID/IM/SC)",IF(AND(V207&gt;0,W207=0),"Price ≤ $5",""))</f>
        <v/>
      </c>
      <c r="P207" s="14" t="n">
        <f aca="false">IF(O207&lt;&gt;"","",COUNTIFS($A$29:$A$361,A207,$O$29:$O$361,"",$AC$29:$AC$361,"&gt;"&amp;AC207)+COUNTIFS($A$29:A207,A207,$O$29:O207,"",$AC$29:AC207,AC207))</f>
        <v>22</v>
      </c>
      <c r="Q207" s="15" t="str">
        <f aca="false">IF(O207&lt;&gt;"",IF(O207="Price ≤ $5","Excluded – price ≤ $5","Excluded – IV only"),IF(ISNUMBER(D207),IF(AND(D207&gt;=$C$3,M207&gt;=$E$3),"Priority 1",IF(OR(D207&gt;=$C$3,M207&gt;=$E$3),"Priority 2","Priority 3")),IF(M207&gt;=$E$3,"Priority 2","Priority 3")))</f>
        <v>Priority 3</v>
      </c>
      <c r="R207" s="16" t="s">
        <v>285</v>
      </c>
      <c r="S207" s="15" t="s">
        <v>894</v>
      </c>
      <c r="T207" s="32" t="s">
        <v>404</v>
      </c>
      <c r="U207" s="33" t="str">
        <f aca="false">B207&amp;"|"&amp;S207</f>
        <v>Flucloxacillin|Intas Pharmaceuticals</v>
      </c>
      <c r="V207" s="34" t="n">
        <f aca="false">COUNTIFS('Shortlisted Drugs X Company (7)'!$C$3:$C$698,$B207,'Shortlisted Drugs X Company (7)'!$E$3:$E$698,$S207,'Shortlisted Drugs X Company (7)'!$N$3:$N$698,"&gt;=0")</f>
        <v>1</v>
      </c>
      <c r="W207" s="34" t="n">
        <f aca="false">COUNTIFS('Shortlisted Drugs X Company (7)'!$C$3:$C$698,$B207,'Shortlisted Drugs X Company (7)'!$E$3:$E$698,$S207,'Shortlisted Drugs X Company (7)'!$N$3:$N$698,"&gt;5")</f>
        <v>1</v>
      </c>
      <c r="X207" s="34" t="n">
        <f aca="false">COUNTIFS('Shortlisted Drugs X Company (7)'!$C$3:$C$698,$B207,'Shortlisted Drugs X Company (7)'!$E$3:$E$698,$S207,'Shortlisted Drugs X Company (7)'!$P$3:$P$698,"Exact")+COUNTIFS('Shortlisted Drugs X Company (7)'!$C$3:$C$698,$B207,'Shortlisted Drugs X Company (7)'!$E$3:$E$698,$S207,'Shortlisted Drugs X Company (7)'!$P$3:$P$698,"Same-market proxy")</f>
        <v>0</v>
      </c>
      <c r="Y207" s="33" t="str">
        <f aca="false">A207&amp;"|"&amp;P207</f>
        <v>Intas|22</v>
      </c>
      <c r="Z207" s="16" t="s">
        <v>743</v>
      </c>
      <c r="AA207" s="33" t="n">
        <f aca="false">INDEX($G$7:$G$25,MATCH(A207,$A$7:$A$25,0))</f>
        <v>1</v>
      </c>
      <c r="AB207" s="33" t="n">
        <f aca="false">IF(AE207="No","",AA207*1000+IF(P207="",900+COUNTIFS($A$29:A207,A207,$O$29:O207,"Price ≤ $5"),P207))</f>
        <v>1022</v>
      </c>
      <c r="AC207" s="33" t="n">
        <f aca="false">IF(O207&lt;&gt;"","",(4-VALUE(RIGHT(Q207,1)))*10^7+N(F207))</f>
        <v>10006287.6</v>
      </c>
      <c r="AD207" s="15" t="str">
        <f aca="false">IFERROR(INDEX('Route of Administration'!$C$5:$C$155,MATCH(B207,'Route of Administration'!$A$5:$A$155,0)),"")</f>
        <v>IV, IM (also intra-articular, intrapleural)</v>
      </c>
      <c r="AE207" s="14" t="str">
        <f aca="false">IFERROR(INDEX('Route of Administration'!$D$5:$D$155,MATCH(B207,'Route of Administration'!$A$5:$A$155,0)),"")</f>
        <v>Yes</v>
      </c>
      <c r="AF207" s="19" t="n">
        <f aca="false">IF(V207&gt;0,ROUND(AVERAGEIFS('Shortlisted Drugs X Company (7)'!$N$3:$N$698,'Shortlisted Drugs X Company (7)'!$C$3:$C$698,$B207,'Shortlisted Drugs X Company (7)'!$E$3:$E$698,$S207,'Shortlisted Drugs X Company (7)'!$N$3:$N$698,"&gt;=0"),2),"")</f>
        <v>6.07</v>
      </c>
      <c r="AG207" s="16" t="s">
        <v>1003</v>
      </c>
      <c r="AH207" s="16" t="s">
        <v>881</v>
      </c>
      <c r="AI207" s="16" t="s">
        <v>881</v>
      </c>
      <c r="AJ207" s="16" t="str">
        <f aca="false">IF(O207&lt;&gt;"","",IF(ISNUMBER(D207),IF(D207&gt;=$C$3,"High price","Lower price"),"Unpriced")&amp;" · "&amp;IF(M207&gt;=$E$3,"high volume","lower volume"))</f>
        <v>Lower price · lower volume</v>
      </c>
      <c r="AK207" s="15" t="str">
        <f aca="false">IF(O207&lt;&gt;"",IF(O207="Price ≤ $5","Excluded – price ≤ $5","Excluded – IV only"),IF(ISNUMBER(D207),IF(AND(D207&gt;=$C$3,L207&gt;=$H$3),"Priority 1",IF(OR(D207&gt;=$C$3,L207&gt;=$H$3),"Priority 2","Priority 3")),IF(L207&gt;=$H$3,"Priority 2","Priority 3")))</f>
        <v>Priority 2</v>
      </c>
      <c r="AL207" s="16" t="str">
        <f aca="false">IF(O207&lt;&gt;"","",IF(ISNUMBER(D207),IF(D207&gt;=$C$3,"High price","Lower price"),"Unpriced")&amp;" · "&amp;IF(L207&gt;=$H$3,"high volume","lower volume"))</f>
        <v>Lower price · high volume</v>
      </c>
      <c r="AM207" s="14" t="n">
        <f aca="false">IF(O207&lt;&gt;"","",COUNTIFS($A$29:$A$361,A207,$O$29:$O$361,"",$AQ$29:$AQ$361,"&gt;"&amp;AQ207)+COUNTIFS($A$29:A207,A207,$O$29:O207,"",$AQ$29:AQ207,AQ207))</f>
        <v>12</v>
      </c>
      <c r="AN207" s="19" t="n">
        <f aca="false">IF(AND(O207="",ISNUMBER(D207)),D207,"")</f>
        <v>6.07</v>
      </c>
      <c r="AO207" s="20" t="n">
        <f aca="false">IF(O207="",M207,"")</f>
        <v>116</v>
      </c>
      <c r="AP207" s="20" t="n">
        <f aca="false">IF(O207="",L207,"")</f>
        <v>347</v>
      </c>
      <c r="AQ207" s="33" t="n">
        <f aca="false">IF(O207&lt;&gt;"","",(4-VALUE(RIGHT(AK207,1)))*10^7+N(N207))</f>
        <v>20018803.98</v>
      </c>
      <c r="AR207" s="33" t="n">
        <f aca="false">INDEX($O$7:$O$25,MATCH(A207,$I$7:$I$25,0))</f>
        <v>1</v>
      </c>
      <c r="AS207" s="33" t="n">
        <f aca="false">IF(AE207="No","",AR207*1000+IF(AM207="",900+COUNTIFS($A$29:A207,A207,$O$29:O207,"Price ≤ $5"),AM207))</f>
        <v>1012</v>
      </c>
    </row>
    <row r="208" customFormat="false" ht="68.65" hidden="false" customHeight="false" outlineLevel="0" collapsed="false">
      <c r="A208" s="15" t="s">
        <v>21</v>
      </c>
      <c r="B208" s="15" t="s">
        <v>1004</v>
      </c>
      <c r="C208" s="16" t="s">
        <v>1005</v>
      </c>
      <c r="D208" s="17" t="n">
        <f aca="false">IF(W208&gt;0,ROUND(AVERAGEIFS('Shortlisted Drugs X Company (7)'!$N$3:$N$698,'Shortlisted Drugs X Company (7)'!$C$3:$C$698,$B208,'Shortlisted Drugs X Company (7)'!$E$3:$E$698,$S208,'Shortlisted Drugs X Company (7)'!$N$3:$N$698,"&gt;5"),2),"")</f>
        <v>167.03</v>
      </c>
      <c r="E208" s="15" t="str">
        <f aca="false">IF(COUNTIFS('Shortlisted Drugs X Company (7)'!$C$3:$C$698,$B208,'Shortlisted Drugs X Company (7)'!$E$3:$E$698,$S208,'Shortlisted Drugs X Company (7)'!$P$3:$P$698,"Exact")&gt;0,"Exact",IF(COUNTIFS('Shortlisted Drugs X Company (7)'!$C$3:$C$698,$B208,'Shortlisted Drugs X Company (7)'!$E$3:$E$698,$S208,'Shortlisted Drugs X Company (7)'!$P$3:$P$698,"Same-market proxy")&gt;0,"Same-market proxy",IF(COUNTIFS('Shortlisted Drugs X Company (7)'!$C$3:$C$698,$B208,'Shortlisted Drugs X Company (7)'!$E$3:$E$698,$S208,'Shortlisted Drugs X Company (7)'!$P$3:$P$698,"Cross-market proxy")&gt;0,"Cross-market proxy",IF(COUNTIFS('Shortlisted Drugs X Company (7)'!$C$3:$C$698,$B208,'Shortlisted Drugs X Company (7)'!$E$3:$E$698,$S208,'Shortlisted Drugs X Company (7)'!$P$3:$P$698,"Source not found")&gt;0,"Source not found","Not priced"))))</f>
        <v>Exact</v>
      </c>
      <c r="F208" s="18" t="n">
        <f aca="false">IFERROR(ROUND(INDEX('Injectable Value'!$AA$28:$AA$178,MATCH(B208,'Injectable Value'!$A$28:$A$178,0)),1),"")</f>
        <v>4362.1</v>
      </c>
      <c r="G208" s="16" t="s">
        <v>298</v>
      </c>
      <c r="H208" s="14" t="n">
        <v>23</v>
      </c>
      <c r="I208" s="15" t="s">
        <v>248</v>
      </c>
      <c r="J208" s="15" t="s">
        <v>249</v>
      </c>
      <c r="K208" s="16" t="str">
        <f aca="false">"Cancer drug (cytotoxic) – less relevant"&amp;IF(V208=0,"; Unpriced","")&amp;IF(AND(V208&gt;0,W208=0,X208=0),"; Low price from another market – confirm with company","")</f>
        <v>Cancer drug (cytotoxic) – less relevant</v>
      </c>
      <c r="L208" s="18" t="n">
        <f aca="false">IFERROR(INDEX('Shortlisted Drugs X Company (7)'!$K$3:$K$698,MATCH(B208,'Shortlisted Drugs X Company (7)'!$C$3:$C$698,0)),"")</f>
        <v>120</v>
      </c>
      <c r="M208" s="18" t="n">
        <f aca="false">IFERROR(ROUND(L208*INDEX('Injectable Value'!$Z$28:$Z$178,MATCH(B208,'Injectable Value'!$A$28:$A$178,0)),0),"")</f>
        <v>100</v>
      </c>
      <c r="N208" s="18" t="n">
        <f aca="false">IFERROR(INDEX('Shortlisted Drugs X Company (7)'!$L$3:$L$698,MATCH(B208,'Shortlisted Drugs X Company (7)'!$C$3:$C$698,0)),"")</f>
        <v>5234.47</v>
      </c>
      <c r="O208" s="15" t="str">
        <f aca="false">IF(AE208="No","IV only (not ID/IM/SC)",IF(AND(V208&gt;0,W208=0),"Price ≤ $5",""))</f>
        <v>IV only (not ID/IM/SC)</v>
      </c>
      <c r="P208" s="14" t="str">
        <f aca="false">IF(O208&lt;&gt;"","",COUNTIFS($A$29:$A$361,A208,$O$29:$O$361,"",$AC$29:$AC$361,"&gt;"&amp;AC208)+COUNTIFS($A$29:A208,A208,$O$29:O208,"",$AC$29:AC208,AC208))</f>
        <v/>
      </c>
      <c r="Q208" s="15" t="str">
        <f aca="false">IF(O208&lt;&gt;"",IF(O208="Price ≤ $5","Excluded – price ≤ $5","Excluded – IV only"),IF(ISNUMBER(D208),IF(AND(D208&gt;=$C$3,M208&gt;=$E$3),"Priority 1",IF(OR(D208&gt;=$C$3,M208&gt;=$E$3),"Priority 2","Priority 3")),IF(M208&gt;=$E$3,"Priority 2","Priority 3")))</f>
        <v>Excluded – IV only</v>
      </c>
      <c r="R208" s="16" t="s">
        <v>285</v>
      </c>
      <c r="S208" s="15" t="s">
        <v>894</v>
      </c>
      <c r="T208" s="32" t="s">
        <v>1006</v>
      </c>
      <c r="U208" s="33" t="str">
        <f aca="false">B208&amp;"|"&amp;S208</f>
        <v>Fludarabine Phosphate|Intas Pharmaceuticals</v>
      </c>
      <c r="V208" s="34" t="n">
        <f aca="false">COUNTIFS('Shortlisted Drugs X Company (7)'!$C$3:$C$698,$B208,'Shortlisted Drugs X Company (7)'!$E$3:$E$698,$S208,'Shortlisted Drugs X Company (7)'!$N$3:$N$698,"&gt;=0")</f>
        <v>2</v>
      </c>
      <c r="W208" s="34" t="n">
        <f aca="false">COUNTIFS('Shortlisted Drugs X Company (7)'!$C$3:$C$698,$B208,'Shortlisted Drugs X Company (7)'!$E$3:$E$698,$S208,'Shortlisted Drugs X Company (7)'!$N$3:$N$698,"&gt;5")</f>
        <v>2</v>
      </c>
      <c r="X208" s="34" t="n">
        <f aca="false">COUNTIFS('Shortlisted Drugs X Company (7)'!$C$3:$C$698,$B208,'Shortlisted Drugs X Company (7)'!$E$3:$E$698,$S208,'Shortlisted Drugs X Company (7)'!$P$3:$P$698,"Exact")+COUNTIFS('Shortlisted Drugs X Company (7)'!$C$3:$C$698,$B208,'Shortlisted Drugs X Company (7)'!$E$3:$E$698,$S208,'Shortlisted Drugs X Company (7)'!$P$3:$P$698,"Same-market proxy")</f>
        <v>2</v>
      </c>
      <c r="Y208" s="33" t="str">
        <f aca="false">A208&amp;"|"&amp;P208</f>
        <v>Intas|</v>
      </c>
      <c r="Z208" s="16" t="s">
        <v>1007</v>
      </c>
      <c r="AA208" s="33" t="n">
        <f aca="false">INDEX($G$7:$G$25,MATCH(A208,$A$7:$A$25,0))</f>
        <v>1</v>
      </c>
      <c r="AB208" s="33" t="str">
        <f aca="false">IF(AE208="No","",AA208*1000+IF(P208="",900+COUNTIFS($A$29:A208,A208,$O$29:O208,"Price ≤ $5"),P208))</f>
        <v/>
      </c>
      <c r="AC208" s="33" t="str">
        <f aca="false">IF(O208&lt;&gt;"","",(4-VALUE(RIGHT(Q208,1)))*10^7+N(F208))</f>
        <v/>
      </c>
      <c r="AD208" s="15" t="str">
        <f aca="false">IFERROR(INDEX('Route of Administration'!$C$5:$C$155,MATCH(B208,'Route of Administration'!$A$5:$A$155,0)),"")</f>
        <v>IV</v>
      </c>
      <c r="AE208" s="14" t="str">
        <f aca="false">IFERROR(INDEX('Route of Administration'!$D$5:$D$155,MATCH(B208,'Route of Administration'!$A$5:$A$155,0)),"")</f>
        <v>No</v>
      </c>
      <c r="AF208" s="19" t="n">
        <f aca="false">IF(V208&gt;0,ROUND(AVERAGEIFS('Shortlisted Drugs X Company (7)'!$N$3:$N$698,'Shortlisted Drugs X Company (7)'!$C$3:$C$698,$B208,'Shortlisted Drugs X Company (7)'!$E$3:$E$698,$S208,'Shortlisted Drugs X Company (7)'!$N$3:$N$698,"&gt;=0"),2),"")</f>
        <v>167.03</v>
      </c>
      <c r="AG208" s="16" t="s">
        <v>1008</v>
      </c>
      <c r="AH208" s="16" t="s">
        <v>1009</v>
      </c>
      <c r="AI208" s="16" t="s">
        <v>1010</v>
      </c>
      <c r="AJ208" s="16" t="str">
        <f aca="false">IF(O208&lt;&gt;"","",IF(ISNUMBER(D208),IF(D208&gt;=$C$3,"High price","Lower price"),"Unpriced")&amp;" · "&amp;IF(M208&gt;=$E$3,"high volume","lower volume"))</f>
        <v/>
      </c>
      <c r="AK208" s="15" t="str">
        <f aca="false">IF(O208&lt;&gt;"",IF(O208="Price ≤ $5","Excluded – price ≤ $5","Excluded – IV only"),IF(ISNUMBER(D208),IF(AND(D208&gt;=$C$3,L208&gt;=$H$3),"Priority 1",IF(OR(D208&gt;=$C$3,L208&gt;=$H$3),"Priority 2","Priority 3")),IF(L208&gt;=$H$3,"Priority 2","Priority 3")))</f>
        <v>Excluded – IV only</v>
      </c>
      <c r="AL208" s="16" t="str">
        <f aca="false">IF(O208&lt;&gt;"","",IF(ISNUMBER(D208),IF(D208&gt;=$C$3,"High price","Lower price"),"Unpriced")&amp;" · "&amp;IF(L208&gt;=$H$3,"high volume","lower volume"))</f>
        <v/>
      </c>
      <c r="AM208" s="14" t="str">
        <f aca="false">IF(O208&lt;&gt;"","",COUNTIFS($A$29:$A$361,A208,$O$29:$O$361,"",$AQ$29:$AQ$361,"&gt;"&amp;AQ208)+COUNTIFS($A$29:A208,A208,$O$29:O208,"",$AQ$29:AQ208,AQ208))</f>
        <v/>
      </c>
      <c r="AN208" s="33" t="str">
        <f aca="false">IF(AND(O208="",ISNUMBER(D208)),D208,"")</f>
        <v/>
      </c>
      <c r="AO208" s="33" t="str">
        <f aca="false">IF(O208="",M208,"")</f>
        <v/>
      </c>
      <c r="AP208" s="33" t="str">
        <f aca="false">IF(O208="",L208,"")</f>
        <v/>
      </c>
      <c r="AQ208" s="33" t="str">
        <f aca="false">IF(O208&lt;&gt;"","",(4-VALUE(RIGHT(AK208,1)))*10^7+N(N208))</f>
        <v/>
      </c>
      <c r="AR208" s="33" t="n">
        <f aca="false">INDEX($O$7:$O$25,MATCH(A208,$I$7:$I$25,0))</f>
        <v>1</v>
      </c>
      <c r="AS208" s="33" t="str">
        <f aca="false">IF(AE208="No","",AR208*1000+IF(AM208="",900+COUNTIFS($A$29:A208,A208,$O$29:O208,"Price ≤ $5"),AM208))</f>
        <v/>
      </c>
    </row>
    <row r="209" customFormat="false" ht="82.05" hidden="false" customHeight="false" outlineLevel="0" collapsed="false">
      <c r="A209" s="15" t="s">
        <v>21</v>
      </c>
      <c r="B209" s="15" t="s">
        <v>408</v>
      </c>
      <c r="C209" s="16" t="s">
        <v>409</v>
      </c>
      <c r="D209" s="17" t="n">
        <f aca="false">IF(W209&gt;0,ROUND(AVERAGEIFS('Shortlisted Drugs X Company (7)'!$N$3:$N$698,'Shortlisted Drugs X Company (7)'!$C$3:$C$698,$B209,'Shortlisted Drugs X Company (7)'!$E$3:$E$698,$S209,'Shortlisted Drugs X Company (7)'!$N$3:$N$698,"&gt;5"),2),"")</f>
        <v>60.55</v>
      </c>
      <c r="E209" s="15" t="str">
        <f aca="false">IF(COUNTIFS('Shortlisted Drugs X Company (7)'!$C$3:$C$698,$B209,'Shortlisted Drugs X Company (7)'!$E$3:$E$698,$S209,'Shortlisted Drugs X Company (7)'!$P$3:$P$698,"Exact")&gt;0,"Exact",IF(COUNTIFS('Shortlisted Drugs X Company (7)'!$C$3:$C$698,$B209,'Shortlisted Drugs X Company (7)'!$E$3:$E$698,$S209,'Shortlisted Drugs X Company (7)'!$P$3:$P$698,"Same-market proxy")&gt;0,"Same-market proxy",IF(COUNTIFS('Shortlisted Drugs X Company (7)'!$C$3:$C$698,$B209,'Shortlisted Drugs X Company (7)'!$E$3:$E$698,$S209,'Shortlisted Drugs X Company (7)'!$P$3:$P$698,"Cross-market proxy")&gt;0,"Cross-market proxy",IF(COUNTIFS('Shortlisted Drugs X Company (7)'!$C$3:$C$698,$B209,'Shortlisted Drugs X Company (7)'!$E$3:$E$698,$S209,'Shortlisted Drugs X Company (7)'!$P$3:$P$698,"Source not found")&gt;0,"Source not found","Not priced"))))</f>
        <v>Exact</v>
      </c>
      <c r="F209" s="18" t="n">
        <f aca="false">IFERROR(ROUND(INDEX('Injectable Value'!$AA$28:$AA$178,MATCH(B209,'Injectable Value'!$A$28:$A$178,0)),1),"")</f>
        <v>4878</v>
      </c>
      <c r="G209" s="16" t="s">
        <v>505</v>
      </c>
      <c r="H209" s="14" t="n">
        <v>30</v>
      </c>
      <c r="I209" s="15" t="s">
        <v>248</v>
      </c>
      <c r="J209" s="15" t="s">
        <v>249</v>
      </c>
      <c r="K209" s="16" t="str">
        <f aca="false">"Cancer drug (cytotoxic) – less relevant"&amp;IF(V209=0,"; Unpriced","")&amp;IF(AND(V209&gt;0,W209=0,X209=0),"; Low price from another market – confirm with company","")</f>
        <v>Cancer drug (cytotoxic) – less relevant</v>
      </c>
      <c r="L209" s="18" t="n">
        <f aca="false">IFERROR(INDEX('Shortlisted Drugs X Company (7)'!$K$3:$K$698,MATCH(B209,'Shortlisted Drugs X Company (7)'!$C$3:$C$698,0)),"")</f>
        <v>727</v>
      </c>
      <c r="M209" s="18" t="n">
        <f aca="false">IFERROR(ROUND(L209*INDEX('Injectable Value'!$Z$28:$Z$178,MATCH(B209,'Injectable Value'!$A$28:$A$178,0)),0),"")</f>
        <v>473</v>
      </c>
      <c r="N209" s="18" t="n">
        <f aca="false">IFERROR(INDEX('Shortlisted Drugs X Company (7)'!$L$3:$L$698,MATCH(B209,'Shortlisted Drugs X Company (7)'!$C$3:$C$698,0)),"")</f>
        <v>7496</v>
      </c>
      <c r="O209" s="15" t="str">
        <f aca="false">IF(AE209="No","IV only (not ID/IM/SC)",IF(AND(V209&gt;0,W209=0),"Price ≤ $5",""))</f>
        <v>IV only (not ID/IM/SC)</v>
      </c>
      <c r="P209" s="14" t="str">
        <f aca="false">IF(O209&lt;&gt;"","",COUNTIFS($A$29:$A$361,A209,$O$29:$O$361,"",$AC$29:$AC$361,"&gt;"&amp;AC209)+COUNTIFS($A$29:A209,A209,$O$29:O209,"",$AC$29:AC209,AC209))</f>
        <v/>
      </c>
      <c r="Q209" s="15" t="str">
        <f aca="false">IF(O209&lt;&gt;"",IF(O209="Price ≤ $5","Excluded – price ≤ $5","Excluded – IV only"),IF(ISNUMBER(D209),IF(AND(D209&gt;=$C$3,M209&gt;=$E$3),"Priority 1",IF(OR(D209&gt;=$C$3,M209&gt;=$E$3),"Priority 2","Priority 3")),IF(M209&gt;=$E$3,"Priority 2","Priority 3")))</f>
        <v>Excluded – IV only</v>
      </c>
      <c r="R209" s="16" t="s">
        <v>285</v>
      </c>
      <c r="S209" s="15" t="s">
        <v>894</v>
      </c>
      <c r="T209" s="32" t="s">
        <v>410</v>
      </c>
      <c r="U209" s="33" t="str">
        <f aca="false">B209&amp;"|"&amp;S209</f>
        <v>Fluorouracil|Intas Pharmaceuticals</v>
      </c>
      <c r="V209" s="34" t="n">
        <f aca="false">COUNTIFS('Shortlisted Drugs X Company (7)'!$C$3:$C$698,$B209,'Shortlisted Drugs X Company (7)'!$E$3:$E$698,$S209,'Shortlisted Drugs X Company (7)'!$N$3:$N$698,"&gt;=0")</f>
        <v>2</v>
      </c>
      <c r="W209" s="34" t="n">
        <f aca="false">COUNTIFS('Shortlisted Drugs X Company (7)'!$C$3:$C$698,$B209,'Shortlisted Drugs X Company (7)'!$E$3:$E$698,$S209,'Shortlisted Drugs X Company (7)'!$N$3:$N$698,"&gt;5")</f>
        <v>2</v>
      </c>
      <c r="X209" s="34" t="n">
        <f aca="false">COUNTIFS('Shortlisted Drugs X Company (7)'!$C$3:$C$698,$B209,'Shortlisted Drugs X Company (7)'!$E$3:$E$698,$S209,'Shortlisted Drugs X Company (7)'!$P$3:$P$698,"Exact")+COUNTIFS('Shortlisted Drugs X Company (7)'!$C$3:$C$698,$B209,'Shortlisted Drugs X Company (7)'!$E$3:$E$698,$S209,'Shortlisted Drugs X Company (7)'!$P$3:$P$698,"Same-market proxy")</f>
        <v>2</v>
      </c>
      <c r="Y209" s="33" t="str">
        <f aca="false">A209&amp;"|"&amp;P209</f>
        <v>Intas|</v>
      </c>
      <c r="Z209" s="16" t="s">
        <v>1011</v>
      </c>
      <c r="AA209" s="33" t="n">
        <f aca="false">INDEX($G$7:$G$25,MATCH(A209,$A$7:$A$25,0))</f>
        <v>1</v>
      </c>
      <c r="AB209" s="33" t="str">
        <f aca="false">IF(AE209="No","",AA209*1000+IF(P209="",900+COUNTIFS($A$29:A209,A209,$O$29:O209,"Price ≤ $5"),P209))</f>
        <v/>
      </c>
      <c r="AC209" s="33" t="str">
        <f aca="false">IF(O209&lt;&gt;"","",(4-VALUE(RIGHT(Q209,1)))*10^7+N(F209))</f>
        <v/>
      </c>
      <c r="AD209" s="15" t="str">
        <f aca="false">IFERROR(INDEX('Route of Administration'!$C$5:$C$155,MATCH(B209,'Route of Administration'!$A$5:$A$155,0)),"")</f>
        <v>IV</v>
      </c>
      <c r="AE209" s="14" t="str">
        <f aca="false">IFERROR(INDEX('Route of Administration'!$D$5:$D$155,MATCH(B209,'Route of Administration'!$A$5:$A$155,0)),"")</f>
        <v>No</v>
      </c>
      <c r="AF209" s="19" t="n">
        <f aca="false">IF(V209&gt;0,ROUND(AVERAGEIFS('Shortlisted Drugs X Company (7)'!$N$3:$N$698,'Shortlisted Drugs X Company (7)'!$C$3:$C$698,$B209,'Shortlisted Drugs X Company (7)'!$E$3:$E$698,$S209,'Shortlisted Drugs X Company (7)'!$N$3:$N$698,"&gt;=0"),2),"")</f>
        <v>60.55</v>
      </c>
      <c r="AG209" s="16" t="s">
        <v>408</v>
      </c>
      <c r="AH209" s="16" t="s">
        <v>1012</v>
      </c>
      <c r="AI209" s="16" t="s">
        <v>1013</v>
      </c>
      <c r="AJ209" s="16" t="str">
        <f aca="false">IF(O209&lt;&gt;"","",IF(ISNUMBER(D209),IF(D209&gt;=$C$3,"High price","Lower price"),"Unpriced")&amp;" · "&amp;IF(M209&gt;=$E$3,"high volume","lower volume"))</f>
        <v/>
      </c>
      <c r="AK209" s="15" t="str">
        <f aca="false">IF(O209&lt;&gt;"",IF(O209="Price ≤ $5","Excluded – price ≤ $5","Excluded – IV only"),IF(ISNUMBER(D209),IF(AND(D209&gt;=$C$3,L209&gt;=$H$3),"Priority 1",IF(OR(D209&gt;=$C$3,L209&gt;=$H$3),"Priority 2","Priority 3")),IF(L209&gt;=$H$3,"Priority 2","Priority 3")))</f>
        <v>Excluded – IV only</v>
      </c>
      <c r="AL209" s="16" t="str">
        <f aca="false">IF(O209&lt;&gt;"","",IF(ISNUMBER(D209),IF(D209&gt;=$C$3,"High price","Lower price"),"Unpriced")&amp;" · "&amp;IF(L209&gt;=$H$3,"high volume","lower volume"))</f>
        <v/>
      </c>
      <c r="AM209" s="14" t="str">
        <f aca="false">IF(O209&lt;&gt;"","",COUNTIFS($A$29:$A$361,A209,$O$29:$O$361,"",$AQ$29:$AQ$361,"&gt;"&amp;AQ209)+COUNTIFS($A$29:A209,A209,$O$29:O209,"",$AQ$29:AQ209,AQ209))</f>
        <v/>
      </c>
      <c r="AN209" s="33" t="str">
        <f aca="false">IF(AND(O209="",ISNUMBER(D209)),D209,"")</f>
        <v/>
      </c>
      <c r="AO209" s="33" t="str">
        <f aca="false">IF(O209="",M209,"")</f>
        <v/>
      </c>
      <c r="AP209" s="33" t="str">
        <f aca="false">IF(O209="",L209,"")</f>
        <v/>
      </c>
      <c r="AQ209" s="33" t="str">
        <f aca="false">IF(O209&lt;&gt;"","",(4-VALUE(RIGHT(AK209,1)))*10^7+N(N209))</f>
        <v/>
      </c>
      <c r="AR209" s="33" t="n">
        <f aca="false">INDEX($O$7:$O$25,MATCH(A209,$I$7:$I$25,0))</f>
        <v>1</v>
      </c>
      <c r="AS209" s="33" t="str">
        <f aca="false">IF(AE209="No","",AR209*1000+IF(AM209="",900+COUNTIFS($A$29:A209,A209,$O$29:O209,"Price ≤ $5"),AM209))</f>
        <v/>
      </c>
    </row>
    <row r="210" customFormat="false" ht="82.05" hidden="false" customHeight="false" outlineLevel="0" collapsed="false">
      <c r="A210" s="15" t="s">
        <v>21</v>
      </c>
      <c r="B210" s="15" t="s">
        <v>262</v>
      </c>
      <c r="C210" s="16" t="s">
        <v>263</v>
      </c>
      <c r="D210" s="17" t="n">
        <f aca="false">IF(W210&gt;0,ROUND(AVERAGEIFS('Shortlisted Drugs X Company (7)'!$N$3:$N$698,'Shortlisted Drugs X Company (7)'!$C$3:$C$698,$B210,'Shortlisted Drugs X Company (7)'!$E$3:$E$698,$S210,'Shortlisted Drugs X Company (7)'!$N$3:$N$698,"&gt;5"),2),"")</f>
        <v>246.46</v>
      </c>
      <c r="E210" s="15" t="str">
        <f aca="false">IF(COUNTIFS('Shortlisted Drugs X Company (7)'!$C$3:$C$698,$B210,'Shortlisted Drugs X Company (7)'!$E$3:$E$698,$S210,'Shortlisted Drugs X Company (7)'!$P$3:$P$698,"Exact")&gt;0,"Exact",IF(COUNTIFS('Shortlisted Drugs X Company (7)'!$C$3:$C$698,$B210,'Shortlisted Drugs X Company (7)'!$E$3:$E$698,$S210,'Shortlisted Drugs X Company (7)'!$P$3:$P$698,"Same-market proxy")&gt;0,"Same-market proxy",IF(COUNTIFS('Shortlisted Drugs X Company (7)'!$C$3:$C$698,$B210,'Shortlisted Drugs X Company (7)'!$E$3:$E$698,$S210,'Shortlisted Drugs X Company (7)'!$P$3:$P$698,"Cross-market proxy")&gt;0,"Cross-market proxy",IF(COUNTIFS('Shortlisted Drugs X Company (7)'!$C$3:$C$698,$B210,'Shortlisted Drugs X Company (7)'!$E$3:$E$698,$S210,'Shortlisted Drugs X Company (7)'!$P$3:$P$698,"Source not found")&gt;0,"Source not found","Not priced"))))</f>
        <v>Exact</v>
      </c>
      <c r="F210" s="18" t="n">
        <f aca="false">IFERROR(ROUND(INDEX('Injectable Value'!$AA$28:$AA$178,MATCH(B210,'Injectable Value'!$A$28:$A$178,0)),1),"")</f>
        <v>11366.1</v>
      </c>
      <c r="G210" s="16" t="s">
        <v>307</v>
      </c>
      <c r="H210" s="14" t="n">
        <v>30</v>
      </c>
      <c r="I210" s="15" t="s">
        <v>258</v>
      </c>
      <c r="J210" s="15" t="s">
        <v>249</v>
      </c>
      <c r="K210" s="16" t="str">
        <f aca="false">"Prefilled only"&amp;IF(V210=0,"; Unpriced","")&amp;IF(AND(V210&gt;0,W210=0,X210=0),"; Low price from another market – confirm with company","")</f>
        <v>Prefilled only</v>
      </c>
      <c r="L210" s="18" t="n">
        <f aca="false">IFERROR(INDEX('Shortlisted Drugs X Company (7)'!$K$3:$K$698,MATCH(B210,'Shortlisted Drugs X Company (7)'!$C$3:$C$698,0)),"")</f>
        <v>146</v>
      </c>
      <c r="M210" s="18" t="n">
        <f aca="false">IFERROR(ROUND(L210*INDEX('Injectable Value'!$Z$28:$Z$178,MATCH(B210,'Injectable Value'!$A$28:$A$178,0)),0),"")</f>
        <v>146</v>
      </c>
      <c r="N210" s="18" t="n">
        <f aca="false">IFERROR(INDEX('Shortlisted Drugs X Company (7)'!$L$3:$L$698,MATCH(B210,'Shortlisted Drugs X Company (7)'!$C$3:$C$698,0)),"")</f>
        <v>11366.06</v>
      </c>
      <c r="O210" s="15" t="str">
        <f aca="false">IF(AE210="No","IV only (not ID/IM/SC)",IF(AND(V210&gt;0,W210=0),"Price ≤ $5",""))</f>
        <v/>
      </c>
      <c r="P210" s="14" t="n">
        <f aca="false">IF(O210&lt;&gt;"","",COUNTIFS($A$29:$A$361,A210,$O$29:$O$361,"",$AC$29:$AC$361,"&gt;"&amp;AC210)+COUNTIFS($A$29:A210,A210,$O$29:O210,"",$AC$29:AC210,AC210))</f>
        <v>5</v>
      </c>
      <c r="Q210" s="15" t="str">
        <f aca="false">IF(O210&lt;&gt;"",IF(O210="Price ≤ $5","Excluded – price ≤ $5","Excluded – IV only"),IF(ISNUMBER(D210),IF(AND(D210&gt;=$C$3,M210&gt;=$E$3),"Priority 1",IF(OR(D210&gt;=$C$3,M210&gt;=$E$3),"Priority 2","Priority 3")),IF(M210&gt;=$E$3,"Priority 2","Priority 3")))</f>
        <v>Priority 1</v>
      </c>
      <c r="R210" s="16" t="s">
        <v>259</v>
      </c>
      <c r="S210" s="15" t="s">
        <v>894</v>
      </c>
      <c r="T210" s="32" t="s">
        <v>264</v>
      </c>
      <c r="U210" s="33" t="str">
        <f aca="false">B210&amp;"|"&amp;S210</f>
        <v>Fulvestrant|Intas Pharmaceuticals</v>
      </c>
      <c r="V210" s="34" t="n">
        <f aca="false">COUNTIFS('Shortlisted Drugs X Company (7)'!$C$3:$C$698,$B210,'Shortlisted Drugs X Company (7)'!$E$3:$E$698,$S210,'Shortlisted Drugs X Company (7)'!$N$3:$N$698,"&gt;=0")</f>
        <v>4</v>
      </c>
      <c r="W210" s="34" t="n">
        <f aca="false">COUNTIFS('Shortlisted Drugs X Company (7)'!$C$3:$C$698,$B210,'Shortlisted Drugs X Company (7)'!$E$3:$E$698,$S210,'Shortlisted Drugs X Company (7)'!$N$3:$N$698,"&gt;5")</f>
        <v>4</v>
      </c>
      <c r="X210" s="34" t="n">
        <f aca="false">COUNTIFS('Shortlisted Drugs X Company (7)'!$C$3:$C$698,$B210,'Shortlisted Drugs X Company (7)'!$E$3:$E$698,$S210,'Shortlisted Drugs X Company (7)'!$P$3:$P$698,"Exact")+COUNTIFS('Shortlisted Drugs X Company (7)'!$C$3:$C$698,$B210,'Shortlisted Drugs X Company (7)'!$E$3:$E$698,$S210,'Shortlisted Drugs X Company (7)'!$P$3:$P$698,"Same-market proxy")</f>
        <v>4</v>
      </c>
      <c r="Y210" s="33" t="str">
        <f aca="false">A210&amp;"|"&amp;P210</f>
        <v>Intas|5</v>
      </c>
      <c r="Z210" s="16" t="s">
        <v>265</v>
      </c>
      <c r="AA210" s="33" t="n">
        <f aca="false">INDEX($G$7:$G$25,MATCH(A210,$A$7:$A$25,0))</f>
        <v>1</v>
      </c>
      <c r="AB210" s="33" t="n">
        <f aca="false">IF(AE210="No","",AA210*1000+IF(P210="",900+COUNTIFS($A$29:A210,A210,$O$29:O210,"Price ≤ $5"),P210))</f>
        <v>1005</v>
      </c>
      <c r="AC210" s="33" t="n">
        <f aca="false">IF(O210&lt;&gt;"","",(4-VALUE(RIGHT(Q210,1)))*10^7+N(F210))</f>
        <v>30011366.1</v>
      </c>
      <c r="AD210" s="15" t="str">
        <f aca="false">IFERROR(INDEX('Route of Administration'!$C$5:$C$155,MATCH(B210,'Route of Administration'!$A$5:$A$155,0)),"")</f>
        <v>IM</v>
      </c>
      <c r="AE210" s="14" t="str">
        <f aca="false">IFERROR(INDEX('Route of Administration'!$D$5:$D$155,MATCH(B210,'Route of Administration'!$A$5:$A$155,0)),"")</f>
        <v>Yes</v>
      </c>
      <c r="AF210" s="19" t="n">
        <f aca="false">IF(V210&gt;0,ROUND(AVERAGEIFS('Shortlisted Drugs X Company (7)'!$N$3:$N$698,'Shortlisted Drugs X Company (7)'!$C$3:$C$698,$B210,'Shortlisted Drugs X Company (7)'!$E$3:$E$698,$S210,'Shortlisted Drugs X Company (7)'!$N$3:$N$698,"&gt;=0"),2),"")</f>
        <v>246.46</v>
      </c>
      <c r="AG210" s="16" t="s">
        <v>1014</v>
      </c>
      <c r="AH210" s="16" t="s">
        <v>1015</v>
      </c>
      <c r="AI210" s="16" t="s">
        <v>1016</v>
      </c>
      <c r="AJ210" s="16" t="str">
        <f aca="false">IF(O210&lt;&gt;"","",IF(ISNUMBER(D210),IF(D210&gt;=$C$3,"High price","Lower price"),"Unpriced")&amp;" · "&amp;IF(M210&gt;=$E$3,"high volume","lower volume"))</f>
        <v>High price · high volume</v>
      </c>
      <c r="AK210" s="15" t="str">
        <f aca="false">IF(O210&lt;&gt;"",IF(O210="Price ≤ $5","Excluded – price ≤ $5","Excluded – IV only"),IF(ISNUMBER(D210),IF(AND(D210&gt;=$C$3,L210&gt;=$H$3),"Priority 1",IF(OR(D210&gt;=$C$3,L210&gt;=$H$3),"Priority 2","Priority 3")),IF(L210&gt;=$H$3,"Priority 2","Priority 3")))</f>
        <v>Priority 2</v>
      </c>
      <c r="AL210" s="16" t="str">
        <f aca="false">IF(O210&lt;&gt;"","",IF(ISNUMBER(D210),IF(D210&gt;=$C$3,"High price","Lower price"),"Unpriced")&amp;" · "&amp;IF(L210&gt;=$H$3,"high volume","lower volume"))</f>
        <v>High price · lower volume</v>
      </c>
      <c r="AM210" s="14" t="n">
        <f aca="false">IF(O210&lt;&gt;"","",COUNTIFS($A$29:$A$361,A210,$O$29:$O$361,"",$AQ$29:$AQ$361,"&gt;"&amp;AQ210)+COUNTIFS($A$29:A210,A210,$O$29:O210,"",$AQ$29:AQ210,AQ210))</f>
        <v>13</v>
      </c>
      <c r="AN210" s="19" t="n">
        <f aca="false">IF(AND(O210="",ISNUMBER(D210)),D210,"")</f>
        <v>246.46</v>
      </c>
      <c r="AO210" s="20" t="n">
        <f aca="false">IF(O210="",M210,"")</f>
        <v>146</v>
      </c>
      <c r="AP210" s="20" t="n">
        <f aca="false">IF(O210="",L210,"")</f>
        <v>146</v>
      </c>
      <c r="AQ210" s="33" t="n">
        <f aca="false">IF(O210&lt;&gt;"","",(4-VALUE(RIGHT(AK210,1)))*10^7+N(N210))</f>
        <v>20011366.06</v>
      </c>
      <c r="AR210" s="33" t="n">
        <f aca="false">INDEX($O$7:$O$25,MATCH(A210,$I$7:$I$25,0))</f>
        <v>1</v>
      </c>
      <c r="AS210" s="33" t="n">
        <f aca="false">IF(AE210="No","",AR210*1000+IF(AM210="",900+COUNTIFS($A$29:A210,A210,$O$29:O210,"Price ≤ $5"),AM210))</f>
        <v>1013</v>
      </c>
    </row>
    <row r="211" customFormat="false" ht="28.35" hidden="false" customHeight="false" outlineLevel="0" collapsed="false">
      <c r="A211" s="15" t="s">
        <v>21</v>
      </c>
      <c r="B211" s="15" t="s">
        <v>858</v>
      </c>
      <c r="C211" s="16" t="s">
        <v>859</v>
      </c>
      <c r="D211" s="17" t="str">
        <f aca="false">IF(W211&gt;0,ROUND(AVERAGEIFS('Shortlisted Drugs X Company (7)'!$N$3:$N$698,'Shortlisted Drugs X Company (7)'!$C$3:$C$698,$B211,'Shortlisted Drugs X Company (7)'!$E$3:$E$698,$S211,'Shortlisted Drugs X Company (7)'!$N$3:$N$698,"&gt;5"),2),"")</f>
        <v/>
      </c>
      <c r="E211" s="15" t="str">
        <f aca="false">IF(COUNTIFS('Shortlisted Drugs X Company (7)'!$C$3:$C$698,$B211,'Shortlisted Drugs X Company (7)'!$E$3:$E$698,$S211,'Shortlisted Drugs X Company (7)'!$P$3:$P$698,"Exact")&gt;0,"Exact",IF(COUNTIFS('Shortlisted Drugs X Company (7)'!$C$3:$C$698,$B211,'Shortlisted Drugs X Company (7)'!$E$3:$E$698,$S211,'Shortlisted Drugs X Company (7)'!$P$3:$P$698,"Same-market proxy")&gt;0,"Same-market proxy",IF(COUNTIFS('Shortlisted Drugs X Company (7)'!$C$3:$C$698,$B211,'Shortlisted Drugs X Company (7)'!$E$3:$E$698,$S211,'Shortlisted Drugs X Company (7)'!$P$3:$P$698,"Cross-market proxy")&gt;0,"Cross-market proxy",IF(COUNTIFS('Shortlisted Drugs X Company (7)'!$C$3:$C$698,$B211,'Shortlisted Drugs X Company (7)'!$E$3:$E$698,$S211,'Shortlisted Drugs X Company (7)'!$P$3:$P$698,"Source not found")&gt;0,"Source not found","Not priced"))))</f>
        <v>Same-market proxy</v>
      </c>
      <c r="F211" s="18" t="n">
        <f aca="false">IFERROR(ROUND(INDEX('Injectable Value'!$AA$28:$AA$178,MATCH(B211,'Injectable Value'!$A$28:$A$178,0)),1),"")</f>
        <v>1332.4</v>
      </c>
      <c r="G211" s="16" t="s">
        <v>1017</v>
      </c>
      <c r="H211" s="14" t="n">
        <v>8</v>
      </c>
      <c r="I211" s="15" t="s">
        <v>316</v>
      </c>
      <c r="J211" s="15" t="s">
        <v>249</v>
      </c>
      <c r="K211" s="16" t="str">
        <f aca="false">""&amp;IF(V211=0,"Unpriced","")&amp;IF(AND(V211&gt;0,W211=0,X211=0),"Low price from another market – confirm with company","")</f>
        <v/>
      </c>
      <c r="L211" s="18" t="n">
        <f aca="false">IFERROR(INDEX('Shortlisted Drugs X Company (7)'!$K$3:$K$698,MATCH(B211,'Shortlisted Drugs X Company (7)'!$C$3:$C$698,0)),"")</f>
        <v>286</v>
      </c>
      <c r="M211" s="18" t="n">
        <f aca="false">IFERROR(ROUND(L211*INDEX('Injectable Value'!$Z$28:$Z$178,MATCH(B211,'Injectable Value'!$A$28:$A$178,0)),0),"")</f>
        <v>119</v>
      </c>
      <c r="N211" s="18" t="n">
        <f aca="false">IFERROR(INDEX('Shortlisted Drugs X Company (7)'!$L$3:$L$698,MATCH(B211,'Shortlisted Drugs X Company (7)'!$C$3:$C$698,0)),"")</f>
        <v>3193.58</v>
      </c>
      <c r="O211" s="15" t="str">
        <f aca="false">IF(AE211="No","IV only (not ID/IM/SC)",IF(AND(V211&gt;0,W211=0),"Price ≤ $5",""))</f>
        <v>Price ≤ $5</v>
      </c>
      <c r="P211" s="14" t="str">
        <f aca="false">IF(O211&lt;&gt;"","",COUNTIFS($A$29:$A$361,A211,$O$29:$O$361,"",$AC$29:$AC$361,"&gt;"&amp;AC211)+COUNTIFS($A$29:A211,A211,$O$29:O211,"",$AC$29:AC211,AC211))</f>
        <v/>
      </c>
      <c r="Q211" s="15" t="str">
        <f aca="false">IF(O211&lt;&gt;"",IF(O211="Price ≤ $5","Excluded – price ≤ $5","Excluded – IV only"),IF(ISNUMBER(D211),IF(AND(D211&gt;=$C$3,M211&gt;=$E$3),"Priority 1",IF(OR(D211&gt;=$C$3,M211&gt;=$E$3),"Priority 2","Priority 3")),IF(M211&gt;=$E$3,"Priority 2","Priority 3")))</f>
        <v>Excluded – price ≤ $5</v>
      </c>
      <c r="R211" s="16" t="s">
        <v>285</v>
      </c>
      <c r="S211" s="15" t="s">
        <v>894</v>
      </c>
      <c r="T211" s="32" t="s">
        <v>860</v>
      </c>
      <c r="U211" s="33" t="str">
        <f aca="false">B211&amp;"|"&amp;S211</f>
        <v>Glycopyrrolate|Intas Pharmaceuticals</v>
      </c>
      <c r="V211" s="34" t="n">
        <f aca="false">COUNTIFS('Shortlisted Drugs X Company (7)'!$C$3:$C$698,$B211,'Shortlisted Drugs X Company (7)'!$E$3:$E$698,$S211,'Shortlisted Drugs X Company (7)'!$N$3:$N$698,"&gt;=0")</f>
        <v>1</v>
      </c>
      <c r="W211" s="34" t="n">
        <f aca="false">COUNTIFS('Shortlisted Drugs X Company (7)'!$C$3:$C$698,$B211,'Shortlisted Drugs X Company (7)'!$E$3:$E$698,$S211,'Shortlisted Drugs X Company (7)'!$N$3:$N$698,"&gt;5")</f>
        <v>0</v>
      </c>
      <c r="X211" s="34" t="n">
        <f aca="false">COUNTIFS('Shortlisted Drugs X Company (7)'!$C$3:$C$698,$B211,'Shortlisted Drugs X Company (7)'!$E$3:$E$698,$S211,'Shortlisted Drugs X Company (7)'!$P$3:$P$698,"Exact")+COUNTIFS('Shortlisted Drugs X Company (7)'!$C$3:$C$698,$B211,'Shortlisted Drugs X Company (7)'!$E$3:$E$698,$S211,'Shortlisted Drugs X Company (7)'!$P$3:$P$698,"Same-market proxy")</f>
        <v>1</v>
      </c>
      <c r="Y211" s="33" t="str">
        <f aca="false">A211&amp;"|"&amp;P211</f>
        <v>Intas|</v>
      </c>
      <c r="Z211" s="16" t="s">
        <v>1018</v>
      </c>
      <c r="AA211" s="33" t="n">
        <f aca="false">INDEX($G$7:$G$25,MATCH(A211,$A$7:$A$25,0))</f>
        <v>1</v>
      </c>
      <c r="AB211" s="33" t="n">
        <f aca="false">IF(AE211="No","",AA211*1000+IF(P211="",900+COUNTIFS($A$29:A211,A211,$O$29:O211,"Price ≤ $5"),P211))</f>
        <v>1902</v>
      </c>
      <c r="AC211" s="33" t="str">
        <f aca="false">IF(O211&lt;&gt;"","",(4-VALUE(RIGHT(Q211,1)))*10^7+N(F211))</f>
        <v/>
      </c>
      <c r="AD211" s="15" t="str">
        <f aca="false">IFERROR(INDEX('Route of Administration'!$C$5:$C$155,MATCH(B211,'Route of Administration'!$A$5:$A$155,0)),"")</f>
        <v>IV, IM</v>
      </c>
      <c r="AE211" s="14" t="str">
        <f aca="false">IFERROR(INDEX('Route of Administration'!$D$5:$D$155,MATCH(B211,'Route of Administration'!$A$5:$A$155,0)),"")</f>
        <v>Yes</v>
      </c>
      <c r="AF211" s="19" t="n">
        <f aca="false">IF(V211&gt;0,ROUND(AVERAGEIFS('Shortlisted Drugs X Company (7)'!$N$3:$N$698,'Shortlisted Drugs X Company (7)'!$C$3:$C$698,$B211,'Shortlisted Drugs X Company (7)'!$E$3:$E$698,$S211,'Shortlisted Drugs X Company (7)'!$N$3:$N$698,"&gt;=0"),2),"")</f>
        <v>3</v>
      </c>
      <c r="AG211" s="16" t="s">
        <v>1019</v>
      </c>
      <c r="AH211" s="16" t="s">
        <v>1020</v>
      </c>
      <c r="AI211" s="16" t="s">
        <v>1020</v>
      </c>
      <c r="AJ211" s="16" t="str">
        <f aca="false">IF(O211&lt;&gt;"","",IF(ISNUMBER(D211),IF(D211&gt;=$C$3,"High price","Lower price"),"Unpriced")&amp;" · "&amp;IF(M211&gt;=$E$3,"high volume","lower volume"))</f>
        <v/>
      </c>
      <c r="AK211" s="15" t="str">
        <f aca="false">IF(O211&lt;&gt;"",IF(O211="Price ≤ $5","Excluded – price ≤ $5","Excluded – IV only"),IF(ISNUMBER(D211),IF(AND(D211&gt;=$C$3,L211&gt;=$H$3),"Priority 1",IF(OR(D211&gt;=$C$3,L211&gt;=$H$3),"Priority 2","Priority 3")),IF(L211&gt;=$H$3,"Priority 2","Priority 3")))</f>
        <v>Excluded – price ≤ $5</v>
      </c>
      <c r="AL211" s="16" t="str">
        <f aca="false">IF(O211&lt;&gt;"","",IF(ISNUMBER(D211),IF(D211&gt;=$C$3,"High price","Lower price"),"Unpriced")&amp;" · "&amp;IF(L211&gt;=$H$3,"high volume","lower volume"))</f>
        <v/>
      </c>
      <c r="AM211" s="14" t="str">
        <f aca="false">IF(O211&lt;&gt;"","",COUNTIFS($A$29:$A$361,A211,$O$29:$O$361,"",$AQ$29:$AQ$361,"&gt;"&amp;AQ211)+COUNTIFS($A$29:A211,A211,$O$29:O211,"",$AQ$29:AQ211,AQ211))</f>
        <v/>
      </c>
      <c r="AN211" s="33" t="str">
        <f aca="false">IF(AND(O211="",ISNUMBER(D211)),D211,"")</f>
        <v/>
      </c>
      <c r="AO211" s="33" t="str">
        <f aca="false">IF(O211="",M211,"")</f>
        <v/>
      </c>
      <c r="AP211" s="33" t="str">
        <f aca="false">IF(O211="",L211,"")</f>
        <v/>
      </c>
      <c r="AQ211" s="33" t="str">
        <f aca="false">IF(O211&lt;&gt;"","",(4-VALUE(RIGHT(AK211,1)))*10^7+N(N211))</f>
        <v/>
      </c>
      <c r="AR211" s="33" t="n">
        <f aca="false">INDEX($O$7:$O$25,MATCH(A211,$I$7:$I$25,0))</f>
        <v>1</v>
      </c>
      <c r="AS211" s="33" t="n">
        <f aca="false">IF(AE211="No","",AR211*1000+IF(AM211="",900+COUNTIFS($A$29:A211,A211,$O$29:O211,"Price ≤ $5"),AM211))</f>
        <v>1902</v>
      </c>
    </row>
    <row r="212" customFormat="false" ht="28.35" hidden="false" customHeight="false" outlineLevel="0" collapsed="false">
      <c r="A212" s="15" t="s">
        <v>21</v>
      </c>
      <c r="B212" s="15" t="s">
        <v>1021</v>
      </c>
      <c r="C212" s="16" t="s">
        <v>1022</v>
      </c>
      <c r="D212" s="17" t="n">
        <f aca="false">IF(W212&gt;0,ROUND(AVERAGEIFS('Shortlisted Drugs X Company (7)'!$N$3:$N$698,'Shortlisted Drugs X Company (7)'!$C$3:$C$698,$B212,'Shortlisted Drugs X Company (7)'!$E$3:$E$698,$S212,'Shortlisted Drugs X Company (7)'!$N$3:$N$698,"&gt;5"),2),"")</f>
        <v>9.83</v>
      </c>
      <c r="E212" s="15" t="str">
        <f aca="false">IF(COUNTIFS('Shortlisted Drugs X Company (7)'!$C$3:$C$698,$B212,'Shortlisted Drugs X Company (7)'!$E$3:$E$698,$S212,'Shortlisted Drugs X Company (7)'!$P$3:$P$698,"Exact")&gt;0,"Exact",IF(COUNTIFS('Shortlisted Drugs X Company (7)'!$C$3:$C$698,$B212,'Shortlisted Drugs X Company (7)'!$E$3:$E$698,$S212,'Shortlisted Drugs X Company (7)'!$P$3:$P$698,"Same-market proxy")&gt;0,"Same-market proxy",IF(COUNTIFS('Shortlisted Drugs X Company (7)'!$C$3:$C$698,$B212,'Shortlisted Drugs X Company (7)'!$E$3:$E$698,$S212,'Shortlisted Drugs X Company (7)'!$P$3:$P$698,"Cross-market proxy")&gt;0,"Cross-market proxy",IF(COUNTIFS('Shortlisted Drugs X Company (7)'!$C$3:$C$698,$B212,'Shortlisted Drugs X Company (7)'!$E$3:$E$698,$S212,'Shortlisted Drugs X Company (7)'!$P$3:$P$698,"Source not found")&gt;0,"Source not found","Not priced"))))</f>
        <v>Cross-market proxy</v>
      </c>
      <c r="F212" s="18" t="n">
        <f aca="false">IFERROR(ROUND(INDEX('Injectable Value'!$AA$28:$AA$178,MATCH(B212,'Injectable Value'!$A$28:$A$178,0)),1),"")</f>
        <v>315.7</v>
      </c>
      <c r="G212" s="16" t="s">
        <v>881</v>
      </c>
      <c r="H212" s="14" t="n">
        <v>1</v>
      </c>
      <c r="I212" s="15" t="s">
        <v>277</v>
      </c>
      <c r="J212" s="15" t="s">
        <v>249</v>
      </c>
      <c r="K212" s="16" t="str">
        <f aca="false">""&amp;IF(V212=0,"Unpriced","")&amp;IF(AND(V212&gt;0,W212=0,X212=0),"Low price from another market – confirm with company","")</f>
        <v/>
      </c>
      <c r="L212" s="18" t="n">
        <f aca="false">IFERROR(INDEX('Shortlisted Drugs X Company (7)'!$K$3:$K$698,MATCH(B212,'Shortlisted Drugs X Company (7)'!$C$3:$C$698,0)),"")</f>
        <v>32</v>
      </c>
      <c r="M212" s="18" t="n">
        <f aca="false">IFERROR(ROUND(L212*INDEX('Injectable Value'!$Z$28:$Z$178,MATCH(B212,'Injectable Value'!$A$28:$A$178,0)),0),"")</f>
        <v>22</v>
      </c>
      <c r="N212" s="18" t="n">
        <f aca="false">IFERROR(INDEX('Shortlisted Drugs X Company (7)'!$L$3:$L$698,MATCH(B212,'Shortlisted Drugs X Company (7)'!$C$3:$C$698,0)),"")</f>
        <v>457.96</v>
      </c>
      <c r="O212" s="15" t="str">
        <f aca="false">IF(AE212="No","IV only (not ID/IM/SC)",IF(AND(V212&gt;0,W212=0),"Price ≤ $5",""))</f>
        <v/>
      </c>
      <c r="P212" s="14" t="n">
        <f aca="false">IF(O212&lt;&gt;"","",COUNTIFS($A$29:$A$361,A212,$O$29:$O$361,"",$AC$29:$AC$361,"&gt;"&amp;AC212)+COUNTIFS($A$29:A212,A212,$O$29:O212,"",$AC$29:AC212,AC212))</f>
        <v>26</v>
      </c>
      <c r="Q212" s="15" t="str">
        <f aca="false">IF(O212&lt;&gt;"",IF(O212="Price ≤ $5","Excluded – price ≤ $5","Excluded – IV only"),IF(ISNUMBER(D212),IF(AND(D212&gt;=$C$3,M212&gt;=$E$3),"Priority 1",IF(OR(D212&gt;=$C$3,M212&gt;=$E$3),"Priority 2","Priority 3")),IF(M212&gt;=$E$3,"Priority 2","Priority 3")))</f>
        <v>Priority 3</v>
      </c>
      <c r="R212" s="16" t="s">
        <v>278</v>
      </c>
      <c r="S212" s="15" t="s">
        <v>894</v>
      </c>
      <c r="T212" s="32" t="s">
        <v>1023</v>
      </c>
      <c r="U212" s="33" t="str">
        <f aca="false">B212&amp;"|"&amp;S212</f>
        <v>Hydroxocobalamin|Intas Pharmaceuticals</v>
      </c>
      <c r="V212" s="34" t="n">
        <f aca="false">COUNTIFS('Shortlisted Drugs X Company (7)'!$C$3:$C$698,$B212,'Shortlisted Drugs X Company (7)'!$E$3:$E$698,$S212,'Shortlisted Drugs X Company (7)'!$N$3:$N$698,"&gt;=0")</f>
        <v>1</v>
      </c>
      <c r="W212" s="34" t="n">
        <f aca="false">COUNTIFS('Shortlisted Drugs X Company (7)'!$C$3:$C$698,$B212,'Shortlisted Drugs X Company (7)'!$E$3:$E$698,$S212,'Shortlisted Drugs X Company (7)'!$N$3:$N$698,"&gt;5")</f>
        <v>1</v>
      </c>
      <c r="X212" s="34" t="n">
        <f aca="false">COUNTIFS('Shortlisted Drugs X Company (7)'!$C$3:$C$698,$B212,'Shortlisted Drugs X Company (7)'!$E$3:$E$698,$S212,'Shortlisted Drugs X Company (7)'!$P$3:$P$698,"Exact")+COUNTIFS('Shortlisted Drugs X Company (7)'!$C$3:$C$698,$B212,'Shortlisted Drugs X Company (7)'!$E$3:$E$698,$S212,'Shortlisted Drugs X Company (7)'!$P$3:$P$698,"Same-market proxy")</f>
        <v>0</v>
      </c>
      <c r="Y212" s="33" t="str">
        <f aca="false">A212&amp;"|"&amp;P212</f>
        <v>Intas|26</v>
      </c>
      <c r="Z212" s="16" t="s">
        <v>854</v>
      </c>
      <c r="AA212" s="33" t="n">
        <f aca="false">INDEX($G$7:$G$25,MATCH(A212,$A$7:$A$25,0))</f>
        <v>1</v>
      </c>
      <c r="AB212" s="33" t="n">
        <f aca="false">IF(AE212="No","",AA212*1000+IF(P212="",900+COUNTIFS($A$29:A212,A212,$O$29:O212,"Price ≤ $5"),P212))</f>
        <v>1026</v>
      </c>
      <c r="AC212" s="33" t="n">
        <f aca="false">IF(O212&lt;&gt;"","",(4-VALUE(RIGHT(Q212,1)))*10^7+N(F212))</f>
        <v>10000315.7</v>
      </c>
      <c r="AD212" s="15" t="str">
        <f aca="false">IFERROR(INDEX('Route of Administration'!$C$5:$C$155,MATCH(B212,'Route of Administration'!$A$5:$A$155,0)),"")</f>
        <v>IV, IM, SC</v>
      </c>
      <c r="AE212" s="14" t="str">
        <f aca="false">IFERROR(INDEX('Route of Administration'!$D$5:$D$155,MATCH(B212,'Route of Administration'!$A$5:$A$155,0)),"")</f>
        <v>Yes</v>
      </c>
      <c r="AF212" s="19" t="n">
        <f aca="false">IF(V212&gt;0,ROUND(AVERAGEIFS('Shortlisted Drugs X Company (7)'!$N$3:$N$698,'Shortlisted Drugs X Company (7)'!$C$3:$C$698,$B212,'Shortlisted Drugs X Company (7)'!$E$3:$E$698,$S212,'Shortlisted Drugs X Company (7)'!$N$3:$N$698,"&gt;=0"),2),"")</f>
        <v>9.83</v>
      </c>
      <c r="AG212" s="16" t="s">
        <v>1024</v>
      </c>
      <c r="AH212" s="16" t="s">
        <v>881</v>
      </c>
      <c r="AI212" s="16" t="s">
        <v>881</v>
      </c>
      <c r="AJ212" s="16" t="str">
        <f aca="false">IF(O212&lt;&gt;"","",IF(ISNUMBER(D212),IF(D212&gt;=$C$3,"High price","Lower price"),"Unpriced")&amp;" · "&amp;IF(M212&gt;=$E$3,"high volume","lower volume"))</f>
        <v>Lower price · lower volume</v>
      </c>
      <c r="AK212" s="15" t="str">
        <f aca="false">IF(O212&lt;&gt;"",IF(O212="Price ≤ $5","Excluded – price ≤ $5","Excluded – IV only"),IF(ISNUMBER(D212),IF(AND(D212&gt;=$C$3,L212&gt;=$H$3),"Priority 1",IF(OR(D212&gt;=$C$3,L212&gt;=$H$3),"Priority 2","Priority 3")),IF(L212&gt;=$H$3,"Priority 2","Priority 3")))</f>
        <v>Priority 3</v>
      </c>
      <c r="AL212" s="16" t="str">
        <f aca="false">IF(O212&lt;&gt;"","",IF(ISNUMBER(D212),IF(D212&gt;=$C$3,"High price","Lower price"),"Unpriced")&amp;" · "&amp;IF(L212&gt;=$H$3,"high volume","lower volume"))</f>
        <v>Lower price · lower volume</v>
      </c>
      <c r="AM212" s="14" t="n">
        <f aca="false">IF(O212&lt;&gt;"","",COUNTIFS($A$29:$A$361,A212,$O$29:$O$361,"",$AQ$29:$AQ$361,"&gt;"&amp;AQ212)+COUNTIFS($A$29:A212,A212,$O$29:O212,"",$AQ$29:AQ212,AQ212))</f>
        <v>26</v>
      </c>
      <c r="AN212" s="19" t="n">
        <f aca="false">IF(AND(O212="",ISNUMBER(D212)),D212,"")</f>
        <v>9.83</v>
      </c>
      <c r="AO212" s="20" t="n">
        <f aca="false">IF(O212="",M212,"")</f>
        <v>22</v>
      </c>
      <c r="AP212" s="20" t="n">
        <f aca="false">IF(O212="",L212,"")</f>
        <v>32</v>
      </c>
      <c r="AQ212" s="33" t="n">
        <f aca="false">IF(O212&lt;&gt;"","",(4-VALUE(RIGHT(AK212,1)))*10^7+N(N212))</f>
        <v>10000457.96</v>
      </c>
      <c r="AR212" s="33" t="n">
        <f aca="false">INDEX($O$7:$O$25,MATCH(A212,$I$7:$I$25,0))</f>
        <v>1</v>
      </c>
      <c r="AS212" s="33" t="n">
        <f aca="false">IF(AE212="No","",AR212*1000+IF(AM212="",900+COUNTIFS($A$29:A212,A212,$O$29:O212,"Price ≤ $5"),AM212))</f>
        <v>1026</v>
      </c>
    </row>
    <row r="213" customFormat="false" ht="82.05" hidden="false" customHeight="false" outlineLevel="0" collapsed="false">
      <c r="A213" s="15" t="s">
        <v>21</v>
      </c>
      <c r="B213" s="15" t="s">
        <v>434</v>
      </c>
      <c r="C213" s="16" t="s">
        <v>435</v>
      </c>
      <c r="D213" s="17" t="n">
        <f aca="false">IF(W213&gt;0,ROUND(AVERAGEIFS('Shortlisted Drugs X Company (7)'!$N$3:$N$698,'Shortlisted Drugs X Company (7)'!$C$3:$C$698,$B213,'Shortlisted Drugs X Company (7)'!$E$3:$E$698,$S213,'Shortlisted Drugs X Company (7)'!$N$3:$N$698,"&gt;5"),2),"")</f>
        <v>101.76</v>
      </c>
      <c r="E213" s="15" t="str">
        <f aca="false">IF(COUNTIFS('Shortlisted Drugs X Company (7)'!$C$3:$C$698,$B213,'Shortlisted Drugs X Company (7)'!$E$3:$E$698,$S213,'Shortlisted Drugs X Company (7)'!$P$3:$P$698,"Exact")&gt;0,"Exact",IF(COUNTIFS('Shortlisted Drugs X Company (7)'!$C$3:$C$698,$B213,'Shortlisted Drugs X Company (7)'!$E$3:$E$698,$S213,'Shortlisted Drugs X Company (7)'!$P$3:$P$698,"Same-market proxy")&gt;0,"Same-market proxy",IF(COUNTIFS('Shortlisted Drugs X Company (7)'!$C$3:$C$698,$B213,'Shortlisted Drugs X Company (7)'!$E$3:$E$698,$S213,'Shortlisted Drugs X Company (7)'!$P$3:$P$698,"Cross-market proxy")&gt;0,"Cross-market proxy",IF(COUNTIFS('Shortlisted Drugs X Company (7)'!$C$3:$C$698,$B213,'Shortlisted Drugs X Company (7)'!$E$3:$E$698,$S213,'Shortlisted Drugs X Company (7)'!$P$3:$P$698,"Source not found")&gt;0,"Source not found","Not priced"))))</f>
        <v>Exact</v>
      </c>
      <c r="F213" s="18" t="n">
        <f aca="false">IFERROR(ROUND(INDEX('Injectable Value'!$AA$28:$AA$178,MATCH(B213,'Injectable Value'!$A$28:$A$178,0)),1),"")</f>
        <v>517.1</v>
      </c>
      <c r="G213" s="16" t="s">
        <v>1025</v>
      </c>
      <c r="H213" s="14" t="n">
        <v>32</v>
      </c>
      <c r="I213" s="15" t="s">
        <v>258</v>
      </c>
      <c r="J213" s="15" t="s">
        <v>249</v>
      </c>
      <c r="K213" s="16" t="str">
        <f aca="false">"Prefilled only"&amp;IF(V213=0,"; Unpriced","")&amp;IF(AND(V213&gt;0,W213=0,X213=0),"; Low price from another market – confirm with company","")</f>
        <v>Prefilled only</v>
      </c>
      <c r="L213" s="18" t="n">
        <f aca="false">IFERROR(INDEX('Shortlisted Drugs X Company (7)'!$K$3:$K$698,MATCH(B213,'Shortlisted Drugs X Company (7)'!$C$3:$C$698,0)),"")</f>
        <v>116</v>
      </c>
      <c r="M213" s="18" t="n">
        <f aca="false">IFERROR(ROUND(L213*INDEX('Injectable Value'!$Z$28:$Z$178,MATCH(B213,'Injectable Value'!$A$28:$A$178,0)),0),"")</f>
        <v>52</v>
      </c>
      <c r="N213" s="18" t="n">
        <f aca="false">IFERROR(INDEX('Shortlisted Drugs X Company (7)'!$L$3:$L$698,MATCH(B213,'Shortlisted Drugs X Company (7)'!$C$3:$C$698,0)),"")</f>
        <v>1162.12</v>
      </c>
      <c r="O213" s="15" t="str">
        <f aca="false">IF(AE213="No","IV only (not ID/IM/SC)",IF(AND(V213&gt;0,W213=0),"Price ≤ $5",""))</f>
        <v>IV only (not ID/IM/SC)</v>
      </c>
      <c r="P213" s="14" t="str">
        <f aca="false">IF(O213&lt;&gt;"","",COUNTIFS($A$29:$A$361,A213,$O$29:$O$361,"",$AC$29:$AC$361,"&gt;"&amp;AC213)+COUNTIFS($A$29:A213,A213,$O$29:O213,"",$AC$29:AC213,AC213))</f>
        <v/>
      </c>
      <c r="Q213" s="15" t="str">
        <f aca="false">IF(O213&lt;&gt;"",IF(O213="Price ≤ $5","Excluded – price ≤ $5","Excluded – IV only"),IF(ISNUMBER(D213),IF(AND(D213&gt;=$C$3,M213&gt;=$E$3),"Priority 1",IF(OR(D213&gt;=$C$3,M213&gt;=$E$3),"Priority 2","Priority 3")),IF(M213&gt;=$E$3,"Priority 2","Priority 3")))</f>
        <v>Excluded – IV only</v>
      </c>
      <c r="R213" s="16" t="s">
        <v>259</v>
      </c>
      <c r="S213" s="15" t="s">
        <v>894</v>
      </c>
      <c r="T213" s="32" t="s">
        <v>436</v>
      </c>
      <c r="U213" s="33" t="str">
        <f aca="false">B213&amp;"|"&amp;S213</f>
        <v>Ibandronic Acid|Intas Pharmaceuticals</v>
      </c>
      <c r="V213" s="34" t="n">
        <f aca="false">COUNTIFS('Shortlisted Drugs X Company (7)'!$C$3:$C$698,$B213,'Shortlisted Drugs X Company (7)'!$E$3:$E$698,$S213,'Shortlisted Drugs X Company (7)'!$N$3:$N$698,"&gt;=0")</f>
        <v>3</v>
      </c>
      <c r="W213" s="34" t="n">
        <f aca="false">COUNTIFS('Shortlisted Drugs X Company (7)'!$C$3:$C$698,$B213,'Shortlisted Drugs X Company (7)'!$E$3:$E$698,$S213,'Shortlisted Drugs X Company (7)'!$N$3:$N$698,"&gt;5")</f>
        <v>3</v>
      </c>
      <c r="X213" s="34" t="n">
        <f aca="false">COUNTIFS('Shortlisted Drugs X Company (7)'!$C$3:$C$698,$B213,'Shortlisted Drugs X Company (7)'!$E$3:$E$698,$S213,'Shortlisted Drugs X Company (7)'!$P$3:$P$698,"Exact")+COUNTIFS('Shortlisted Drugs X Company (7)'!$C$3:$C$698,$B213,'Shortlisted Drugs X Company (7)'!$E$3:$E$698,$S213,'Shortlisted Drugs X Company (7)'!$P$3:$P$698,"Same-market proxy")</f>
        <v>3</v>
      </c>
      <c r="Y213" s="33" t="str">
        <f aca="false">A213&amp;"|"&amp;P213</f>
        <v>Intas|</v>
      </c>
      <c r="Z213" s="16" t="s">
        <v>437</v>
      </c>
      <c r="AA213" s="33" t="n">
        <f aca="false">INDEX($G$7:$G$25,MATCH(A213,$A$7:$A$25,0))</f>
        <v>1</v>
      </c>
      <c r="AB213" s="33" t="str">
        <f aca="false">IF(AE213="No","",AA213*1000+IF(P213="",900+COUNTIFS($A$29:A213,A213,$O$29:O213,"Price ≤ $5"),P213))</f>
        <v/>
      </c>
      <c r="AC213" s="33" t="str">
        <f aca="false">IF(O213&lt;&gt;"","",(4-VALUE(RIGHT(Q213,1)))*10^7+N(F213))</f>
        <v/>
      </c>
      <c r="AD213" s="15" t="str">
        <f aca="false">IFERROR(INDEX('Route of Administration'!$C$5:$C$155,MATCH(B213,'Route of Administration'!$A$5:$A$155,0)),"")</f>
        <v>IV</v>
      </c>
      <c r="AE213" s="14" t="str">
        <f aca="false">IFERROR(INDEX('Route of Administration'!$D$5:$D$155,MATCH(B213,'Route of Administration'!$A$5:$A$155,0)),"")</f>
        <v>No</v>
      </c>
      <c r="AF213" s="19" t="n">
        <f aca="false">IF(V213&gt;0,ROUND(AVERAGEIFS('Shortlisted Drugs X Company (7)'!$N$3:$N$698,'Shortlisted Drugs X Company (7)'!$C$3:$C$698,$B213,'Shortlisted Drugs X Company (7)'!$E$3:$E$698,$S213,'Shortlisted Drugs X Company (7)'!$N$3:$N$698,"&gt;=0"),2),"")</f>
        <v>101.76</v>
      </c>
      <c r="AG213" s="16" t="s">
        <v>1026</v>
      </c>
      <c r="AH213" s="16" t="s">
        <v>1027</v>
      </c>
      <c r="AI213" s="16" t="s">
        <v>1028</v>
      </c>
      <c r="AJ213" s="16" t="str">
        <f aca="false">IF(O213&lt;&gt;"","",IF(ISNUMBER(D213),IF(D213&gt;=$C$3,"High price","Lower price"),"Unpriced")&amp;" · "&amp;IF(M213&gt;=$E$3,"high volume","lower volume"))</f>
        <v/>
      </c>
      <c r="AK213" s="15" t="str">
        <f aca="false">IF(O213&lt;&gt;"",IF(O213="Price ≤ $5","Excluded – price ≤ $5","Excluded – IV only"),IF(ISNUMBER(D213),IF(AND(D213&gt;=$C$3,L213&gt;=$H$3),"Priority 1",IF(OR(D213&gt;=$C$3,L213&gt;=$H$3),"Priority 2","Priority 3")),IF(L213&gt;=$H$3,"Priority 2","Priority 3")))</f>
        <v>Excluded – IV only</v>
      </c>
      <c r="AL213" s="16" t="str">
        <f aca="false">IF(O213&lt;&gt;"","",IF(ISNUMBER(D213),IF(D213&gt;=$C$3,"High price","Lower price"),"Unpriced")&amp;" · "&amp;IF(L213&gt;=$H$3,"high volume","lower volume"))</f>
        <v/>
      </c>
      <c r="AM213" s="14" t="str">
        <f aca="false">IF(O213&lt;&gt;"","",COUNTIFS($A$29:$A$361,A213,$O$29:$O$361,"",$AQ$29:$AQ$361,"&gt;"&amp;AQ213)+COUNTIFS($A$29:A213,A213,$O$29:O213,"",$AQ$29:AQ213,AQ213))</f>
        <v/>
      </c>
      <c r="AN213" s="33" t="str">
        <f aca="false">IF(AND(O213="",ISNUMBER(D213)),D213,"")</f>
        <v/>
      </c>
      <c r="AO213" s="33" t="str">
        <f aca="false">IF(O213="",M213,"")</f>
        <v/>
      </c>
      <c r="AP213" s="33" t="str">
        <f aca="false">IF(O213="",L213,"")</f>
        <v/>
      </c>
      <c r="AQ213" s="33" t="str">
        <f aca="false">IF(O213&lt;&gt;"","",(4-VALUE(RIGHT(AK213,1)))*10^7+N(N213))</f>
        <v/>
      </c>
      <c r="AR213" s="33" t="n">
        <f aca="false">INDEX($O$7:$O$25,MATCH(A213,$I$7:$I$25,0))</f>
        <v>1</v>
      </c>
      <c r="AS213" s="33" t="str">
        <f aca="false">IF(AE213="No","",AR213*1000+IF(AM213="",900+COUNTIFS($A$29:A213,A213,$O$29:O213,"Price ≤ $5"),AM213))</f>
        <v/>
      </c>
    </row>
    <row r="214" customFormat="false" ht="28.35" hidden="false" customHeight="false" outlineLevel="0" collapsed="false">
      <c r="A214" s="15" t="s">
        <v>21</v>
      </c>
      <c r="B214" s="15" t="s">
        <v>1029</v>
      </c>
      <c r="C214" s="16" t="s">
        <v>1030</v>
      </c>
      <c r="D214" s="17" t="n">
        <f aca="false">IF(W214&gt;0,ROUND(AVERAGEIFS('Shortlisted Drugs X Company (7)'!$N$3:$N$698,'Shortlisted Drugs X Company (7)'!$C$3:$C$698,$B214,'Shortlisted Drugs X Company (7)'!$E$3:$E$698,$S214,'Shortlisted Drugs X Company (7)'!$N$3:$N$698,"&gt;5"),2),"")</f>
        <v>149.04</v>
      </c>
      <c r="E214" s="15" t="str">
        <f aca="false">IF(COUNTIFS('Shortlisted Drugs X Company (7)'!$C$3:$C$698,$B214,'Shortlisted Drugs X Company (7)'!$E$3:$E$698,$S214,'Shortlisted Drugs X Company (7)'!$P$3:$P$698,"Exact")&gt;0,"Exact",IF(COUNTIFS('Shortlisted Drugs X Company (7)'!$C$3:$C$698,$B214,'Shortlisted Drugs X Company (7)'!$E$3:$E$698,$S214,'Shortlisted Drugs X Company (7)'!$P$3:$P$698,"Same-market proxy")&gt;0,"Same-market proxy",IF(COUNTIFS('Shortlisted Drugs X Company (7)'!$C$3:$C$698,$B214,'Shortlisted Drugs X Company (7)'!$E$3:$E$698,$S214,'Shortlisted Drugs X Company (7)'!$P$3:$P$698,"Cross-market proxy")&gt;0,"Cross-market proxy",IF(COUNTIFS('Shortlisted Drugs X Company (7)'!$C$3:$C$698,$B214,'Shortlisted Drugs X Company (7)'!$E$3:$E$698,$S214,'Shortlisted Drugs X Company (7)'!$P$3:$P$698,"Source not found")&gt;0,"Source not found","Not priced"))))</f>
        <v>Cross-market proxy</v>
      </c>
      <c r="F214" s="18" t="n">
        <f aca="false">IFERROR(ROUND(INDEX('Injectable Value'!$AA$28:$AA$178,MATCH(B214,'Injectable Value'!$A$28:$A$178,0)),1),"")</f>
        <v>1860.1</v>
      </c>
      <c r="G214" s="16" t="s">
        <v>1031</v>
      </c>
      <c r="H214" s="14" t="n">
        <v>5</v>
      </c>
      <c r="I214" s="15" t="s">
        <v>248</v>
      </c>
      <c r="J214" s="15" t="s">
        <v>249</v>
      </c>
      <c r="K214" s="16" t="str">
        <f aca="false">"Cancer drug (cytotoxic) – less relevant"&amp;IF(V214=0,"; Unpriced","")&amp;IF(AND(V214&gt;0,W214=0,X214=0),"; Low price from another market – confirm with company","")</f>
        <v>Cancer drug (cytotoxic) – less relevant</v>
      </c>
      <c r="L214" s="18" t="n">
        <f aca="false">IFERROR(INDEX('Shortlisted Drugs X Company (7)'!$K$3:$K$698,MATCH(B214,'Shortlisted Drugs X Company (7)'!$C$3:$C$698,0)),"")</f>
        <v>40</v>
      </c>
      <c r="M214" s="18" t="n">
        <f aca="false">IFERROR(ROUND(L214*INDEX('Injectable Value'!$Z$28:$Z$178,MATCH(B214,'Injectable Value'!$A$28:$A$178,0)),0),"")</f>
        <v>37</v>
      </c>
      <c r="N214" s="18" t="n">
        <f aca="false">IFERROR(INDEX('Shortlisted Drugs X Company (7)'!$L$3:$L$698,MATCH(B214,'Shortlisted Drugs X Company (7)'!$C$3:$C$698,0)),"")</f>
        <v>2015.78</v>
      </c>
      <c r="O214" s="15" t="str">
        <f aca="false">IF(AE214="No","IV only (not ID/IM/SC)",IF(AND(V214&gt;0,W214=0),"Price ≤ $5",""))</f>
        <v>IV only (not ID/IM/SC)</v>
      </c>
      <c r="P214" s="14" t="str">
        <f aca="false">IF(O214&lt;&gt;"","",COUNTIFS($A$29:$A$361,A214,$O$29:$O$361,"",$AC$29:$AC$361,"&gt;"&amp;AC214)+COUNTIFS($A$29:A214,A214,$O$29:O214,"",$AC$29:AC214,AC214))</f>
        <v/>
      </c>
      <c r="Q214" s="15" t="str">
        <f aca="false">IF(O214&lt;&gt;"",IF(O214="Price ≤ $5","Excluded – price ≤ $5","Excluded – IV only"),IF(ISNUMBER(D214),IF(AND(D214&gt;=$C$3,M214&gt;=$E$3),"Priority 1",IF(OR(D214&gt;=$C$3,M214&gt;=$E$3),"Priority 2","Priority 3")),IF(M214&gt;=$E$3,"Priority 2","Priority 3")))</f>
        <v>Excluded – IV only</v>
      </c>
      <c r="R214" s="16" t="s">
        <v>285</v>
      </c>
      <c r="S214" s="15" t="s">
        <v>894</v>
      </c>
      <c r="T214" s="32" t="s">
        <v>1032</v>
      </c>
      <c r="U214" s="33" t="str">
        <f aca="false">B214&amp;"|"&amp;S214</f>
        <v>Idarubicin|Intas Pharmaceuticals</v>
      </c>
      <c r="V214" s="34" t="n">
        <f aca="false">COUNTIFS('Shortlisted Drugs X Company (7)'!$C$3:$C$698,$B214,'Shortlisted Drugs X Company (7)'!$E$3:$E$698,$S214,'Shortlisted Drugs X Company (7)'!$N$3:$N$698,"&gt;=0")</f>
        <v>1</v>
      </c>
      <c r="W214" s="34" t="n">
        <f aca="false">COUNTIFS('Shortlisted Drugs X Company (7)'!$C$3:$C$698,$B214,'Shortlisted Drugs X Company (7)'!$E$3:$E$698,$S214,'Shortlisted Drugs X Company (7)'!$N$3:$N$698,"&gt;5")</f>
        <v>1</v>
      </c>
      <c r="X214" s="34" t="n">
        <f aca="false">COUNTIFS('Shortlisted Drugs X Company (7)'!$C$3:$C$698,$B214,'Shortlisted Drugs X Company (7)'!$E$3:$E$698,$S214,'Shortlisted Drugs X Company (7)'!$P$3:$P$698,"Exact")+COUNTIFS('Shortlisted Drugs X Company (7)'!$C$3:$C$698,$B214,'Shortlisted Drugs X Company (7)'!$E$3:$E$698,$S214,'Shortlisted Drugs X Company (7)'!$P$3:$P$698,"Same-market proxy")</f>
        <v>0</v>
      </c>
      <c r="Y214" s="33" t="str">
        <f aca="false">A214&amp;"|"&amp;P214</f>
        <v>Intas|</v>
      </c>
      <c r="Z214" s="16" t="s">
        <v>861</v>
      </c>
      <c r="AA214" s="33" t="n">
        <f aca="false">INDEX($G$7:$G$25,MATCH(A214,$A$7:$A$25,0))</f>
        <v>1</v>
      </c>
      <c r="AB214" s="33" t="str">
        <f aca="false">IF(AE214="No","",AA214*1000+IF(P214="",900+COUNTIFS($A$29:A214,A214,$O$29:O214,"Price ≤ $5"),P214))</f>
        <v/>
      </c>
      <c r="AC214" s="33" t="str">
        <f aca="false">IF(O214&lt;&gt;"","",(4-VALUE(RIGHT(Q214,1)))*10^7+N(F214))</f>
        <v/>
      </c>
      <c r="AD214" s="15" t="str">
        <f aca="false">IFERROR(INDEX('Route of Administration'!$C$5:$C$155,MATCH(B214,'Route of Administration'!$A$5:$A$155,0)),"")</f>
        <v>IV</v>
      </c>
      <c r="AE214" s="14" t="str">
        <f aca="false">IFERROR(INDEX('Route of Administration'!$D$5:$D$155,MATCH(B214,'Route of Administration'!$A$5:$A$155,0)),"")</f>
        <v>No</v>
      </c>
      <c r="AF214" s="19" t="n">
        <f aca="false">IF(V214&gt;0,ROUND(AVERAGEIFS('Shortlisted Drugs X Company (7)'!$N$3:$N$698,'Shortlisted Drugs X Company (7)'!$C$3:$C$698,$B214,'Shortlisted Drugs X Company (7)'!$E$3:$E$698,$S214,'Shortlisted Drugs X Company (7)'!$N$3:$N$698,"&gt;=0"),2),"")</f>
        <v>149.04</v>
      </c>
      <c r="AG214" s="16" t="s">
        <v>1033</v>
      </c>
      <c r="AH214" s="16" t="s">
        <v>1034</v>
      </c>
      <c r="AI214" s="16" t="s">
        <v>1034</v>
      </c>
      <c r="AJ214" s="16" t="str">
        <f aca="false">IF(O214&lt;&gt;"","",IF(ISNUMBER(D214),IF(D214&gt;=$C$3,"High price","Lower price"),"Unpriced")&amp;" · "&amp;IF(M214&gt;=$E$3,"high volume","lower volume"))</f>
        <v/>
      </c>
      <c r="AK214" s="15" t="str">
        <f aca="false">IF(O214&lt;&gt;"",IF(O214="Price ≤ $5","Excluded – price ≤ $5","Excluded – IV only"),IF(ISNUMBER(D214),IF(AND(D214&gt;=$C$3,L214&gt;=$H$3),"Priority 1",IF(OR(D214&gt;=$C$3,L214&gt;=$H$3),"Priority 2","Priority 3")),IF(L214&gt;=$H$3,"Priority 2","Priority 3")))</f>
        <v>Excluded – IV only</v>
      </c>
      <c r="AL214" s="16" t="str">
        <f aca="false">IF(O214&lt;&gt;"","",IF(ISNUMBER(D214),IF(D214&gt;=$C$3,"High price","Lower price"),"Unpriced")&amp;" · "&amp;IF(L214&gt;=$H$3,"high volume","lower volume"))</f>
        <v/>
      </c>
      <c r="AM214" s="14" t="str">
        <f aca="false">IF(O214&lt;&gt;"","",COUNTIFS($A$29:$A$361,A214,$O$29:$O$361,"",$AQ$29:$AQ$361,"&gt;"&amp;AQ214)+COUNTIFS($A$29:A214,A214,$O$29:O214,"",$AQ$29:AQ214,AQ214))</f>
        <v/>
      </c>
      <c r="AN214" s="33" t="str">
        <f aca="false">IF(AND(O214="",ISNUMBER(D214)),D214,"")</f>
        <v/>
      </c>
      <c r="AO214" s="33" t="str">
        <f aca="false">IF(O214="",M214,"")</f>
        <v/>
      </c>
      <c r="AP214" s="33" t="str">
        <f aca="false">IF(O214="",L214,"")</f>
        <v/>
      </c>
      <c r="AQ214" s="33" t="str">
        <f aca="false">IF(O214&lt;&gt;"","",(4-VALUE(RIGHT(AK214,1)))*10^7+N(N214))</f>
        <v/>
      </c>
      <c r="AR214" s="33" t="n">
        <f aca="false">INDEX($O$7:$O$25,MATCH(A214,$I$7:$I$25,0))</f>
        <v>1</v>
      </c>
      <c r="AS214" s="33" t="str">
        <f aca="false">IF(AE214="No","",AR214*1000+IF(AM214="",900+COUNTIFS($A$29:A214,A214,$O$29:O214,"Price ≤ $5"),AM214))</f>
        <v/>
      </c>
    </row>
    <row r="215" customFormat="false" ht="82.05" hidden="false" customHeight="false" outlineLevel="0" collapsed="false">
      <c r="A215" s="15" t="s">
        <v>21</v>
      </c>
      <c r="B215" s="15" t="s">
        <v>1035</v>
      </c>
      <c r="C215" s="16" t="s">
        <v>966</v>
      </c>
      <c r="D215" s="17" t="n">
        <f aca="false">IF(W215&gt;0,ROUND(AVERAGEIFS('Shortlisted Drugs X Company (7)'!$N$3:$N$698,'Shortlisted Drugs X Company (7)'!$C$3:$C$698,$B215,'Shortlisted Drugs X Company (7)'!$E$3:$E$698,$S215,'Shortlisted Drugs X Company (7)'!$N$3:$N$698,"&gt;5"),2),"")</f>
        <v>433.94</v>
      </c>
      <c r="E215" s="15" t="str">
        <f aca="false">IF(COUNTIFS('Shortlisted Drugs X Company (7)'!$C$3:$C$698,$B215,'Shortlisted Drugs X Company (7)'!$E$3:$E$698,$S215,'Shortlisted Drugs X Company (7)'!$P$3:$P$698,"Exact")&gt;0,"Exact",IF(COUNTIFS('Shortlisted Drugs X Company (7)'!$C$3:$C$698,$B215,'Shortlisted Drugs X Company (7)'!$E$3:$E$698,$S215,'Shortlisted Drugs X Company (7)'!$P$3:$P$698,"Same-market proxy")&gt;0,"Same-market proxy",IF(COUNTIFS('Shortlisted Drugs X Company (7)'!$C$3:$C$698,$B215,'Shortlisted Drugs X Company (7)'!$E$3:$E$698,$S215,'Shortlisted Drugs X Company (7)'!$P$3:$P$698,"Cross-market proxy")&gt;0,"Cross-market proxy",IF(COUNTIFS('Shortlisted Drugs X Company (7)'!$C$3:$C$698,$B215,'Shortlisted Drugs X Company (7)'!$E$3:$E$698,$S215,'Shortlisted Drugs X Company (7)'!$P$3:$P$698,"Source not found")&gt;0,"Source not found","Not priced"))))</f>
        <v>Exact</v>
      </c>
      <c r="F215" s="18" t="n">
        <f aca="false">IFERROR(ROUND(INDEX('Injectable Value'!$AA$28:$AA$178,MATCH(B215,'Injectable Value'!$A$28:$A$178,0)),1),"")</f>
        <v>2489.4</v>
      </c>
      <c r="G215" s="16" t="s">
        <v>423</v>
      </c>
      <c r="H215" s="14" t="n">
        <v>31</v>
      </c>
      <c r="I215" s="15" t="s">
        <v>258</v>
      </c>
      <c r="J215" s="15" t="s">
        <v>249</v>
      </c>
      <c r="K215" s="16" t="str">
        <f aca="false">"Prefilled only"&amp;IF(V215=0,"; Unpriced","")&amp;IF(AND(V215&gt;0,W215=0,X215=0),"; Low price from another market – confirm with company","")</f>
        <v>Prefilled only</v>
      </c>
      <c r="L215" s="18" t="n">
        <f aca="false">IFERROR(INDEX('Shortlisted Drugs X Company (7)'!$K$3:$K$698,MATCH(B215,'Shortlisted Drugs X Company (7)'!$C$3:$C$698,0)),"")</f>
        <v>121</v>
      </c>
      <c r="M215" s="18" t="n">
        <f aca="false">IFERROR(ROUND(L215*INDEX('Injectable Value'!$Z$28:$Z$178,MATCH(B215,'Injectable Value'!$A$28:$A$178,0)),0),"")</f>
        <v>111</v>
      </c>
      <c r="N215" s="18" t="n">
        <f aca="false">IFERROR(INDEX('Shortlisted Drugs X Company (7)'!$L$3:$L$698,MATCH(B215,'Shortlisted Drugs X Company (7)'!$C$3:$C$698,0)),"")</f>
        <v>2714.83</v>
      </c>
      <c r="O215" s="15" t="str">
        <f aca="false">IF(AE215="No","IV only (not ID/IM/SC)",IF(AND(V215&gt;0,W215=0),"Price ≤ $5",""))</f>
        <v/>
      </c>
      <c r="P215" s="14" t="n">
        <f aca="false">IF(O215&lt;&gt;"","",COUNTIFS($A$29:$A$361,A215,$O$29:$O$361,"",$AC$29:$AC$361,"&gt;"&amp;AC215)+COUNTIFS($A$29:A215,A215,$O$29:O215,"",$AC$29:AC215,AC215))</f>
        <v>19</v>
      </c>
      <c r="Q215" s="15" t="str">
        <f aca="false">IF(O215&lt;&gt;"",IF(O215="Price ≤ $5","Excluded – price ≤ $5","Excluded – IV only"),IF(ISNUMBER(D215),IF(AND(D215&gt;=$C$3,M215&gt;=$E$3),"Priority 1",IF(OR(D215&gt;=$C$3,M215&gt;=$E$3),"Priority 2","Priority 3")),IF(M215&gt;=$E$3,"Priority 2","Priority 3")))</f>
        <v>Priority 2</v>
      </c>
      <c r="R215" s="16" t="s">
        <v>259</v>
      </c>
      <c r="S215" s="15" t="s">
        <v>894</v>
      </c>
      <c r="T215" s="32" t="s">
        <v>1036</v>
      </c>
      <c r="U215" s="33" t="str">
        <f aca="false">B215&amp;"|"&amp;S215</f>
        <v>Leuprorelin|Intas Pharmaceuticals</v>
      </c>
      <c r="V215" s="34" t="n">
        <f aca="false">COUNTIFS('Shortlisted Drugs X Company (7)'!$C$3:$C$698,$B215,'Shortlisted Drugs X Company (7)'!$E$3:$E$698,$S215,'Shortlisted Drugs X Company (7)'!$N$3:$N$698,"&gt;=0")</f>
        <v>1</v>
      </c>
      <c r="W215" s="34" t="n">
        <f aca="false">COUNTIFS('Shortlisted Drugs X Company (7)'!$C$3:$C$698,$B215,'Shortlisted Drugs X Company (7)'!$E$3:$E$698,$S215,'Shortlisted Drugs X Company (7)'!$N$3:$N$698,"&gt;5")</f>
        <v>1</v>
      </c>
      <c r="X215" s="34" t="n">
        <f aca="false">COUNTIFS('Shortlisted Drugs X Company (7)'!$C$3:$C$698,$B215,'Shortlisted Drugs X Company (7)'!$E$3:$E$698,$S215,'Shortlisted Drugs X Company (7)'!$P$3:$P$698,"Exact")+COUNTIFS('Shortlisted Drugs X Company (7)'!$C$3:$C$698,$B215,'Shortlisted Drugs X Company (7)'!$E$3:$E$698,$S215,'Shortlisted Drugs X Company (7)'!$P$3:$P$698,"Same-market proxy")</f>
        <v>1</v>
      </c>
      <c r="Y215" s="33" t="str">
        <f aca="false">A215&amp;"|"&amp;P215</f>
        <v>Intas|19</v>
      </c>
      <c r="Z215" s="16" t="s">
        <v>1037</v>
      </c>
      <c r="AA215" s="33" t="n">
        <f aca="false">INDEX($G$7:$G$25,MATCH(A215,$A$7:$A$25,0))</f>
        <v>1</v>
      </c>
      <c r="AB215" s="33" t="n">
        <f aca="false">IF(AE215="No","",AA215*1000+IF(P215="",900+COUNTIFS($A$29:A215,A215,$O$29:O215,"Price ≤ $5"),P215))</f>
        <v>1019</v>
      </c>
      <c r="AC215" s="33" t="n">
        <f aca="false">IF(O215&lt;&gt;"","",(4-VALUE(RIGHT(Q215,1)))*10^7+N(F215))</f>
        <v>20002489.4</v>
      </c>
      <c r="AD215" s="15" t="str">
        <f aca="false">IFERROR(INDEX('Route of Administration'!$C$5:$C$155,MATCH(B215,'Route of Administration'!$A$5:$A$155,0)),"")</f>
        <v>SC (some depots IM)</v>
      </c>
      <c r="AE215" s="14" t="str">
        <f aca="false">IFERROR(INDEX('Route of Administration'!$D$5:$D$155,MATCH(B215,'Route of Administration'!$A$5:$A$155,0)),"")</f>
        <v>Yes</v>
      </c>
      <c r="AF215" s="19" t="n">
        <f aca="false">IF(V215&gt;0,ROUND(AVERAGEIFS('Shortlisted Drugs X Company (7)'!$N$3:$N$698,'Shortlisted Drugs X Company (7)'!$C$3:$C$698,$B215,'Shortlisted Drugs X Company (7)'!$E$3:$E$698,$S215,'Shortlisted Drugs X Company (7)'!$N$3:$N$698,"&gt;=0"),2),"")</f>
        <v>433.94</v>
      </c>
      <c r="AG215" s="16" t="s">
        <v>1038</v>
      </c>
      <c r="AH215" s="16" t="s">
        <v>970</v>
      </c>
      <c r="AI215" s="16" t="s">
        <v>971</v>
      </c>
      <c r="AJ215" s="16" t="str">
        <f aca="false">IF(O215&lt;&gt;"","",IF(ISNUMBER(D215),IF(D215&gt;=$C$3,"High price","Lower price"),"Unpriced")&amp;" · "&amp;IF(M215&gt;=$E$3,"high volume","lower volume"))</f>
        <v>High price · lower volume</v>
      </c>
      <c r="AK215" s="15" t="str">
        <f aca="false">IF(O215&lt;&gt;"",IF(O215="Price ≤ $5","Excluded – price ≤ $5","Excluded – IV only"),IF(ISNUMBER(D215),IF(AND(D215&gt;=$C$3,L215&gt;=$H$3),"Priority 1",IF(OR(D215&gt;=$C$3,L215&gt;=$H$3),"Priority 2","Priority 3")),IF(L215&gt;=$H$3,"Priority 2","Priority 3")))</f>
        <v>Priority 2</v>
      </c>
      <c r="AL215" s="16" t="str">
        <f aca="false">IF(O215&lt;&gt;"","",IF(ISNUMBER(D215),IF(D215&gt;=$C$3,"High price","Lower price"),"Unpriced")&amp;" · "&amp;IF(L215&gt;=$H$3,"high volume","lower volume"))</f>
        <v>High price · lower volume</v>
      </c>
      <c r="AM215" s="14" t="n">
        <f aca="false">IF(O215&lt;&gt;"","",COUNTIFS($A$29:$A$361,A215,$O$29:$O$361,"",$AQ$29:$AQ$361,"&gt;"&amp;AQ215)+COUNTIFS($A$29:A215,A215,$O$29:O215,"",$AQ$29:AQ215,AQ215))</f>
        <v>21</v>
      </c>
      <c r="AN215" s="19" t="n">
        <f aca="false">IF(AND(O215="",ISNUMBER(D215)),D215,"")</f>
        <v>433.94</v>
      </c>
      <c r="AO215" s="20" t="n">
        <f aca="false">IF(O215="",M215,"")</f>
        <v>111</v>
      </c>
      <c r="AP215" s="20" t="n">
        <f aca="false">IF(O215="",L215,"")</f>
        <v>121</v>
      </c>
      <c r="AQ215" s="33" t="n">
        <f aca="false">IF(O215&lt;&gt;"","",(4-VALUE(RIGHT(AK215,1)))*10^7+N(N215))</f>
        <v>20002714.83</v>
      </c>
      <c r="AR215" s="33" t="n">
        <f aca="false">INDEX($O$7:$O$25,MATCH(A215,$I$7:$I$25,0))</f>
        <v>1</v>
      </c>
      <c r="AS215" s="33" t="n">
        <f aca="false">IF(AE215="No","",AR215*1000+IF(AM215="",900+COUNTIFS($A$29:A215,A215,$O$29:O215,"Price ≤ $5"),AM215))</f>
        <v>1021</v>
      </c>
    </row>
    <row r="216" customFormat="false" ht="28.35" hidden="false" customHeight="false" outlineLevel="0" collapsed="false">
      <c r="A216" s="15" t="s">
        <v>21</v>
      </c>
      <c r="B216" s="15" t="s">
        <v>864</v>
      </c>
      <c r="C216" s="16" t="s">
        <v>865</v>
      </c>
      <c r="D216" s="17" t="str">
        <f aca="false">IF(W216&gt;0,ROUND(AVERAGEIFS('Shortlisted Drugs X Company (7)'!$N$3:$N$698,'Shortlisted Drugs X Company (7)'!$C$3:$C$698,$B216,'Shortlisted Drugs X Company (7)'!$E$3:$E$698,$S216,'Shortlisted Drugs X Company (7)'!$N$3:$N$698,"&gt;5"),2),"")</f>
        <v/>
      </c>
      <c r="E216" s="15" t="str">
        <f aca="false">IF(COUNTIFS('Shortlisted Drugs X Company (7)'!$C$3:$C$698,$B216,'Shortlisted Drugs X Company (7)'!$E$3:$E$698,$S216,'Shortlisted Drugs X Company (7)'!$P$3:$P$698,"Exact")&gt;0,"Exact",IF(COUNTIFS('Shortlisted Drugs X Company (7)'!$C$3:$C$698,$B216,'Shortlisted Drugs X Company (7)'!$E$3:$E$698,$S216,'Shortlisted Drugs X Company (7)'!$P$3:$P$698,"Same-market proxy")&gt;0,"Same-market proxy",IF(COUNTIFS('Shortlisted Drugs X Company (7)'!$C$3:$C$698,$B216,'Shortlisted Drugs X Company (7)'!$E$3:$E$698,$S216,'Shortlisted Drugs X Company (7)'!$P$3:$P$698,"Cross-market proxy")&gt;0,"Cross-market proxy",IF(COUNTIFS('Shortlisted Drugs X Company (7)'!$C$3:$C$698,$B216,'Shortlisted Drugs X Company (7)'!$E$3:$E$698,$S216,'Shortlisted Drugs X Company (7)'!$P$3:$P$698,"Source not found")&gt;0,"Source not found","Not priced"))))</f>
        <v>Same-market proxy</v>
      </c>
      <c r="F216" s="18" t="n">
        <f aca="false">IFERROR(ROUND(INDEX('Injectable Value'!$AA$28:$AA$178,MATCH(B216,'Injectable Value'!$A$28:$A$178,0)),1),"")</f>
        <v>18611.6</v>
      </c>
      <c r="G216" s="16" t="s">
        <v>881</v>
      </c>
      <c r="H216" s="14" t="n">
        <v>9</v>
      </c>
      <c r="I216" s="15" t="s">
        <v>339</v>
      </c>
      <c r="J216" s="15" t="s">
        <v>249</v>
      </c>
      <c r="K216" s="16" t="str">
        <f aca="false">""&amp;IF(V216=0,"Unpriced","")&amp;IF(AND(V216&gt;0,W216=0,X216=0),"Low price from another market – confirm with company","")</f>
        <v/>
      </c>
      <c r="L216" s="18" t="n">
        <f aca="false">IFERROR(INDEX('Shortlisted Drugs X Company (7)'!$K$3:$K$698,MATCH(B216,'Shortlisted Drugs X Company (7)'!$C$3:$C$698,0)),"")</f>
        <v>1683</v>
      </c>
      <c r="M216" s="18" t="n">
        <f aca="false">IFERROR(ROUND(L216*INDEX('Injectable Value'!$Z$28:$Z$178,MATCH(B216,'Injectable Value'!$A$28:$A$178,0)),0),"")</f>
        <v>670</v>
      </c>
      <c r="N216" s="18" t="n">
        <f aca="false">IFERROR(INDEX('Shortlisted Drugs X Company (7)'!$L$3:$L$698,MATCH(B216,'Shortlisted Drugs X Company (7)'!$C$3:$C$698,0)),"")</f>
        <v>46739.27</v>
      </c>
      <c r="O216" s="15" t="str">
        <f aca="false">IF(AE216="No","IV only (not ID/IM/SC)",IF(AND(V216&gt;0,W216=0),"Price ≤ $5",""))</f>
        <v>Price ≤ $5</v>
      </c>
      <c r="P216" s="14" t="str">
        <f aca="false">IF(O216&lt;&gt;"","",COUNTIFS($A$29:$A$361,A216,$O$29:$O$361,"",$AC$29:$AC$361,"&gt;"&amp;AC216)+COUNTIFS($A$29:A216,A216,$O$29:O216,"",$AC$29:AC216,AC216))</f>
        <v/>
      </c>
      <c r="Q216" s="15" t="str">
        <f aca="false">IF(O216&lt;&gt;"",IF(O216="Price ≤ $5","Excluded – price ≤ $5","Excluded – IV only"),IF(ISNUMBER(D216),IF(AND(D216&gt;=$C$3,M216&gt;=$E$3),"Priority 1",IF(OR(D216&gt;=$C$3,M216&gt;=$E$3),"Priority 2","Priority 3")),IF(M216&gt;=$E$3,"Priority 2","Priority 3")))</f>
        <v>Excluded – price ≤ $5</v>
      </c>
      <c r="R216" s="16" t="s">
        <v>285</v>
      </c>
      <c r="S216" s="15" t="s">
        <v>894</v>
      </c>
      <c r="T216" s="32" t="s">
        <v>866</v>
      </c>
      <c r="U216" s="33" t="str">
        <f aca="false">B216&amp;"|"&amp;S216</f>
        <v>Lidocaine|Intas Pharmaceuticals</v>
      </c>
      <c r="V216" s="34" t="n">
        <f aca="false">COUNTIFS('Shortlisted Drugs X Company (7)'!$C$3:$C$698,$B216,'Shortlisted Drugs X Company (7)'!$E$3:$E$698,$S216,'Shortlisted Drugs X Company (7)'!$N$3:$N$698,"&gt;=0")</f>
        <v>4</v>
      </c>
      <c r="W216" s="34" t="n">
        <f aca="false">COUNTIFS('Shortlisted Drugs X Company (7)'!$C$3:$C$698,$B216,'Shortlisted Drugs X Company (7)'!$E$3:$E$698,$S216,'Shortlisted Drugs X Company (7)'!$N$3:$N$698,"&gt;5")</f>
        <v>0</v>
      </c>
      <c r="X216" s="34" t="n">
        <f aca="false">COUNTIFS('Shortlisted Drugs X Company (7)'!$C$3:$C$698,$B216,'Shortlisted Drugs X Company (7)'!$E$3:$E$698,$S216,'Shortlisted Drugs X Company (7)'!$P$3:$P$698,"Exact")+COUNTIFS('Shortlisted Drugs X Company (7)'!$C$3:$C$698,$B216,'Shortlisted Drugs X Company (7)'!$E$3:$E$698,$S216,'Shortlisted Drugs X Company (7)'!$P$3:$P$698,"Same-market proxy")</f>
        <v>4</v>
      </c>
      <c r="Y216" s="33" t="str">
        <f aca="false">A216&amp;"|"&amp;P216</f>
        <v>Intas|</v>
      </c>
      <c r="Z216" s="16" t="s">
        <v>1039</v>
      </c>
      <c r="AA216" s="33" t="n">
        <f aca="false">INDEX($G$7:$G$25,MATCH(A216,$A$7:$A$25,0))</f>
        <v>1</v>
      </c>
      <c r="AB216" s="33" t="n">
        <f aca="false">IF(AE216="No","",AA216*1000+IF(P216="",900+COUNTIFS($A$29:A216,A216,$O$29:O216,"Price ≤ $5"),P216))</f>
        <v>1903</v>
      </c>
      <c r="AC216" s="33" t="str">
        <f aca="false">IF(O216&lt;&gt;"","",(4-VALUE(RIGHT(Q216,1)))*10^7+N(F216))</f>
        <v/>
      </c>
      <c r="AD216" s="15" t="str">
        <f aca="false">IFERROR(INDEX('Route of Administration'!$C$5:$C$155,MATCH(B216,'Route of Administration'!$A$5:$A$155,0)),"")</f>
        <v>IV, infiltration (ID, SC), perineural</v>
      </c>
      <c r="AE216" s="14" t="str">
        <f aca="false">IFERROR(INDEX('Route of Administration'!$D$5:$D$155,MATCH(B216,'Route of Administration'!$A$5:$A$155,0)),"")</f>
        <v>Yes</v>
      </c>
      <c r="AF216" s="19" t="n">
        <f aca="false">IF(V216&gt;0,ROUND(AVERAGEIFS('Shortlisted Drugs X Company (7)'!$N$3:$N$698,'Shortlisted Drugs X Company (7)'!$C$3:$C$698,$B216,'Shortlisted Drugs X Company (7)'!$E$3:$E$698,$S216,'Shortlisted Drugs X Company (7)'!$N$3:$N$698,"&gt;=0"),2),"")</f>
        <v>1.42</v>
      </c>
      <c r="AG216" s="16" t="s">
        <v>1040</v>
      </c>
      <c r="AH216" s="16" t="s">
        <v>1041</v>
      </c>
      <c r="AI216" s="16" t="s">
        <v>1042</v>
      </c>
      <c r="AJ216" s="16" t="str">
        <f aca="false">IF(O216&lt;&gt;"","",IF(ISNUMBER(D216),IF(D216&gt;=$C$3,"High price","Lower price"),"Unpriced")&amp;" · "&amp;IF(M216&gt;=$E$3,"high volume","lower volume"))</f>
        <v/>
      </c>
      <c r="AK216" s="15" t="str">
        <f aca="false">IF(O216&lt;&gt;"",IF(O216="Price ≤ $5","Excluded – price ≤ $5","Excluded – IV only"),IF(ISNUMBER(D216),IF(AND(D216&gt;=$C$3,L216&gt;=$H$3),"Priority 1",IF(OR(D216&gt;=$C$3,L216&gt;=$H$3),"Priority 2","Priority 3")),IF(L216&gt;=$H$3,"Priority 2","Priority 3")))</f>
        <v>Excluded – price ≤ $5</v>
      </c>
      <c r="AL216" s="16" t="str">
        <f aca="false">IF(O216&lt;&gt;"","",IF(ISNUMBER(D216),IF(D216&gt;=$C$3,"High price","Lower price"),"Unpriced")&amp;" · "&amp;IF(L216&gt;=$H$3,"high volume","lower volume"))</f>
        <v/>
      </c>
      <c r="AM216" s="14" t="str">
        <f aca="false">IF(O216&lt;&gt;"","",COUNTIFS($A$29:$A$361,A216,$O$29:$O$361,"",$AQ$29:$AQ$361,"&gt;"&amp;AQ216)+COUNTIFS($A$29:A216,A216,$O$29:O216,"",$AQ$29:AQ216,AQ216))</f>
        <v/>
      </c>
      <c r="AN216" s="33" t="str">
        <f aca="false">IF(AND(O216="",ISNUMBER(D216)),D216,"")</f>
        <v/>
      </c>
      <c r="AO216" s="33" t="str">
        <f aca="false">IF(O216="",M216,"")</f>
        <v/>
      </c>
      <c r="AP216" s="33" t="str">
        <f aca="false">IF(O216="",L216,"")</f>
        <v/>
      </c>
      <c r="AQ216" s="33" t="str">
        <f aca="false">IF(O216&lt;&gt;"","",(4-VALUE(RIGHT(AK216,1)))*10^7+N(N216))</f>
        <v/>
      </c>
      <c r="AR216" s="33" t="n">
        <f aca="false">INDEX($O$7:$O$25,MATCH(A216,$I$7:$I$25,0))</f>
        <v>1</v>
      </c>
      <c r="AS216" s="33" t="n">
        <f aca="false">IF(AE216="No","",AR216*1000+IF(AM216="",900+COUNTIFS($A$29:A216,A216,$O$29:O216,"Price ≤ $5"),AM216))</f>
        <v>1903</v>
      </c>
    </row>
    <row r="217" customFormat="false" ht="28.35" hidden="false" customHeight="false" outlineLevel="0" collapsed="false">
      <c r="A217" s="15" t="s">
        <v>21</v>
      </c>
      <c r="B217" s="15" t="s">
        <v>444</v>
      </c>
      <c r="C217" s="16" t="s">
        <v>445</v>
      </c>
      <c r="D217" s="17" t="n">
        <f aca="false">IF(W217&gt;0,ROUND(AVERAGEIFS('Shortlisted Drugs X Company (7)'!$N$3:$N$698,'Shortlisted Drugs X Company (7)'!$C$3:$C$698,$B217,'Shortlisted Drugs X Company (7)'!$E$3:$E$698,$S217,'Shortlisted Drugs X Company (7)'!$N$3:$N$698,"&gt;5"),2),"")</f>
        <v>147.8</v>
      </c>
      <c r="E217" s="15" t="str">
        <f aca="false">IF(COUNTIFS('Shortlisted Drugs X Company (7)'!$C$3:$C$698,$B217,'Shortlisted Drugs X Company (7)'!$E$3:$E$698,$S217,'Shortlisted Drugs X Company (7)'!$P$3:$P$698,"Exact")&gt;0,"Exact",IF(COUNTIFS('Shortlisted Drugs X Company (7)'!$C$3:$C$698,$B217,'Shortlisted Drugs X Company (7)'!$E$3:$E$698,$S217,'Shortlisted Drugs X Company (7)'!$P$3:$P$698,"Same-market proxy")&gt;0,"Same-market proxy",IF(COUNTIFS('Shortlisted Drugs X Company (7)'!$C$3:$C$698,$B217,'Shortlisted Drugs X Company (7)'!$E$3:$E$698,$S217,'Shortlisted Drugs X Company (7)'!$P$3:$P$698,"Cross-market proxy")&gt;0,"Cross-market proxy",IF(COUNTIFS('Shortlisted Drugs X Company (7)'!$C$3:$C$698,$B217,'Shortlisted Drugs X Company (7)'!$E$3:$E$698,$S217,'Shortlisted Drugs X Company (7)'!$P$3:$P$698,"Source not found")&gt;0,"Source not found","Not priced"))))</f>
        <v>Cross-market proxy</v>
      </c>
      <c r="F217" s="18" t="n">
        <f aca="false">IFERROR(ROUND(INDEX('Injectable Value'!$AA$28:$AA$178,MATCH(B217,'Injectable Value'!$A$28:$A$178,0)),1),"")</f>
        <v>2886</v>
      </c>
      <c r="G217" s="16" t="s">
        <v>740</v>
      </c>
      <c r="H217" s="14" t="n">
        <v>2</v>
      </c>
      <c r="I217" s="15" t="s">
        <v>248</v>
      </c>
      <c r="J217" s="15" t="s">
        <v>249</v>
      </c>
      <c r="K217" s="16" t="str">
        <f aca="false">"Cancer drug (cytotoxic) – less relevant; Reconstitution"&amp;IF(V217=0,"; Unpriced","")&amp;IF(AND(V217&gt;0,W217=0,X217=0),"; Low price from another market – confirm with company","")</f>
        <v>Cancer drug (cytotoxic) – less relevant; Reconstitution</v>
      </c>
      <c r="L217" s="18" t="n">
        <f aca="false">IFERROR(INDEX('Shortlisted Drugs X Company (7)'!$K$3:$K$698,MATCH(B217,'Shortlisted Drugs X Company (7)'!$C$3:$C$698,0)),"")</f>
        <v>257</v>
      </c>
      <c r="M217" s="18" t="n">
        <f aca="false">IFERROR(ROUND(L217*INDEX('Injectable Value'!$Z$28:$Z$178,MATCH(B217,'Injectable Value'!$A$28:$A$178,0)),0),"")</f>
        <v>177</v>
      </c>
      <c r="N217" s="18" t="n">
        <f aca="false">IFERROR(INDEX('Shortlisted Drugs X Company (7)'!$L$3:$L$698,MATCH(B217,'Shortlisted Drugs X Company (7)'!$C$3:$C$698,0)),"")</f>
        <v>4183.29</v>
      </c>
      <c r="O217" s="15" t="str">
        <f aca="false">IF(AE217="No","IV only (not ID/IM/SC)",IF(AND(V217&gt;0,W217=0),"Price ≤ $5",""))</f>
        <v>IV only (not ID/IM/SC)</v>
      </c>
      <c r="P217" s="14" t="str">
        <f aca="false">IF(O217&lt;&gt;"","",COUNTIFS($A$29:$A$361,A217,$O$29:$O$361,"",$AC$29:$AC$361,"&gt;"&amp;AC217)+COUNTIFS($A$29:A217,A217,$O$29:O217,"",$AC$29:AC217,AC217))</f>
        <v/>
      </c>
      <c r="Q217" s="15" t="str">
        <f aca="false">IF(O217&lt;&gt;"",IF(O217="Price ≤ $5","Excluded – price ≤ $5","Excluded – IV only"),IF(ISNUMBER(D217),IF(AND(D217&gt;=$C$3,M217&gt;=$E$3),"Priority 1",IF(OR(D217&gt;=$C$3,M217&gt;=$E$3),"Priority 2","Priority 3")),IF(M217&gt;=$E$3,"Priority 2","Priority 3")))</f>
        <v>Excluded – IV only</v>
      </c>
      <c r="R217" s="16" t="s">
        <v>250</v>
      </c>
      <c r="S217" s="15" t="s">
        <v>894</v>
      </c>
      <c r="T217" s="32" t="s">
        <v>447</v>
      </c>
      <c r="U217" s="33" t="str">
        <f aca="false">B217&amp;"|"&amp;S217</f>
        <v>Melphalan|Intas Pharmaceuticals</v>
      </c>
      <c r="V217" s="34" t="n">
        <f aca="false">COUNTIFS('Shortlisted Drugs X Company (7)'!$C$3:$C$698,$B217,'Shortlisted Drugs X Company (7)'!$E$3:$E$698,$S217,'Shortlisted Drugs X Company (7)'!$N$3:$N$698,"&gt;=0")</f>
        <v>1</v>
      </c>
      <c r="W217" s="34" t="n">
        <f aca="false">COUNTIFS('Shortlisted Drugs X Company (7)'!$C$3:$C$698,$B217,'Shortlisted Drugs X Company (7)'!$E$3:$E$698,$S217,'Shortlisted Drugs X Company (7)'!$N$3:$N$698,"&gt;5")</f>
        <v>1</v>
      </c>
      <c r="X217" s="34" t="n">
        <f aca="false">COUNTIFS('Shortlisted Drugs X Company (7)'!$C$3:$C$698,$B217,'Shortlisted Drugs X Company (7)'!$E$3:$E$698,$S217,'Shortlisted Drugs X Company (7)'!$P$3:$P$698,"Exact")+COUNTIFS('Shortlisted Drugs X Company (7)'!$C$3:$C$698,$B217,'Shortlisted Drugs X Company (7)'!$E$3:$E$698,$S217,'Shortlisted Drugs X Company (7)'!$P$3:$P$698,"Same-market proxy")</f>
        <v>0</v>
      </c>
      <c r="Y217" s="33" t="str">
        <f aca="false">A217&amp;"|"&amp;P217</f>
        <v>Intas|</v>
      </c>
      <c r="Z217" s="16" t="s">
        <v>1043</v>
      </c>
      <c r="AA217" s="33" t="n">
        <f aca="false">INDEX($G$7:$G$25,MATCH(A217,$A$7:$A$25,0))</f>
        <v>1</v>
      </c>
      <c r="AB217" s="33" t="str">
        <f aca="false">IF(AE217="No","",AA217*1000+IF(P217="",900+COUNTIFS($A$29:A217,A217,$O$29:O217,"Price ≤ $5"),P217))</f>
        <v/>
      </c>
      <c r="AC217" s="33" t="str">
        <f aca="false">IF(O217&lt;&gt;"","",(4-VALUE(RIGHT(Q217,1)))*10^7+N(F217))</f>
        <v/>
      </c>
      <c r="AD217" s="15" t="str">
        <f aca="false">IFERROR(INDEX('Route of Administration'!$C$5:$C$155,MATCH(B217,'Route of Administration'!$A$5:$A$155,0)),"")</f>
        <v>IV</v>
      </c>
      <c r="AE217" s="14" t="str">
        <f aca="false">IFERROR(INDEX('Route of Administration'!$D$5:$D$155,MATCH(B217,'Route of Administration'!$A$5:$A$155,0)),"")</f>
        <v>No</v>
      </c>
      <c r="AF217" s="19" t="n">
        <f aca="false">IF(V217&gt;0,ROUND(AVERAGEIFS('Shortlisted Drugs X Company (7)'!$N$3:$N$698,'Shortlisted Drugs X Company (7)'!$C$3:$C$698,$B217,'Shortlisted Drugs X Company (7)'!$E$3:$E$698,$S217,'Shortlisted Drugs X Company (7)'!$N$3:$N$698,"&gt;=0"),2),"")</f>
        <v>147.8</v>
      </c>
      <c r="AG217" s="16" t="s">
        <v>1044</v>
      </c>
      <c r="AH217" s="16" t="s">
        <v>740</v>
      </c>
      <c r="AI217" s="16" t="s">
        <v>740</v>
      </c>
      <c r="AJ217" s="16" t="str">
        <f aca="false">IF(O217&lt;&gt;"","",IF(ISNUMBER(D217),IF(D217&gt;=$C$3,"High price","Lower price"),"Unpriced")&amp;" · "&amp;IF(M217&gt;=$E$3,"high volume","lower volume"))</f>
        <v/>
      </c>
      <c r="AK217" s="15" t="str">
        <f aca="false">IF(O217&lt;&gt;"",IF(O217="Price ≤ $5","Excluded – price ≤ $5","Excluded – IV only"),IF(ISNUMBER(D217),IF(AND(D217&gt;=$C$3,L217&gt;=$H$3),"Priority 1",IF(OR(D217&gt;=$C$3,L217&gt;=$H$3),"Priority 2","Priority 3")),IF(L217&gt;=$H$3,"Priority 2","Priority 3")))</f>
        <v>Excluded – IV only</v>
      </c>
      <c r="AL217" s="16" t="str">
        <f aca="false">IF(O217&lt;&gt;"","",IF(ISNUMBER(D217),IF(D217&gt;=$C$3,"High price","Lower price"),"Unpriced")&amp;" · "&amp;IF(L217&gt;=$H$3,"high volume","lower volume"))</f>
        <v/>
      </c>
      <c r="AM217" s="14" t="str">
        <f aca="false">IF(O217&lt;&gt;"","",COUNTIFS($A$29:$A$361,A217,$O$29:$O$361,"",$AQ$29:$AQ$361,"&gt;"&amp;AQ217)+COUNTIFS($A$29:A217,A217,$O$29:O217,"",$AQ$29:AQ217,AQ217))</f>
        <v/>
      </c>
      <c r="AN217" s="33" t="str">
        <f aca="false">IF(AND(O217="",ISNUMBER(D217)),D217,"")</f>
        <v/>
      </c>
      <c r="AO217" s="33" t="str">
        <f aca="false">IF(O217="",M217,"")</f>
        <v/>
      </c>
      <c r="AP217" s="33" t="str">
        <f aca="false">IF(O217="",L217,"")</f>
        <v/>
      </c>
      <c r="AQ217" s="33" t="str">
        <f aca="false">IF(O217&lt;&gt;"","",(4-VALUE(RIGHT(AK217,1)))*10^7+N(N217))</f>
        <v/>
      </c>
      <c r="AR217" s="33" t="n">
        <f aca="false">INDEX($O$7:$O$25,MATCH(A217,$I$7:$I$25,0))</f>
        <v>1</v>
      </c>
      <c r="AS217" s="33" t="str">
        <f aca="false">IF(AE217="No","",AR217*1000+IF(AM217="",900+COUNTIFS($A$29:A217,A217,$O$29:O217,"Price ≤ $5"),AM217))</f>
        <v/>
      </c>
    </row>
    <row r="218" customFormat="false" ht="68.65" hidden="false" customHeight="false" outlineLevel="0" collapsed="false">
      <c r="A218" s="15" t="s">
        <v>21</v>
      </c>
      <c r="B218" s="15" t="s">
        <v>266</v>
      </c>
      <c r="C218" s="16" t="s">
        <v>267</v>
      </c>
      <c r="D218" s="17" t="n">
        <f aca="false">IF(W218&gt;0,ROUND(AVERAGEIFS('Shortlisted Drugs X Company (7)'!$N$3:$N$698,'Shortlisted Drugs X Company (7)'!$C$3:$C$698,$B218,'Shortlisted Drugs X Company (7)'!$E$3:$E$698,$S218,'Shortlisted Drugs X Company (7)'!$N$3:$N$698,"&gt;5"),2),"")</f>
        <v>50.77</v>
      </c>
      <c r="E218" s="15" t="str">
        <f aca="false">IF(COUNTIFS('Shortlisted Drugs X Company (7)'!$C$3:$C$698,$B218,'Shortlisted Drugs X Company (7)'!$E$3:$E$698,$S218,'Shortlisted Drugs X Company (7)'!$P$3:$P$698,"Exact")&gt;0,"Exact",IF(COUNTIFS('Shortlisted Drugs X Company (7)'!$C$3:$C$698,$B218,'Shortlisted Drugs X Company (7)'!$E$3:$E$698,$S218,'Shortlisted Drugs X Company (7)'!$P$3:$P$698,"Same-market proxy")&gt;0,"Same-market proxy",IF(COUNTIFS('Shortlisted Drugs X Company (7)'!$C$3:$C$698,$B218,'Shortlisted Drugs X Company (7)'!$E$3:$E$698,$S218,'Shortlisted Drugs X Company (7)'!$P$3:$P$698,"Cross-market proxy")&gt;0,"Cross-market proxy",IF(COUNTIFS('Shortlisted Drugs X Company (7)'!$C$3:$C$698,$B218,'Shortlisted Drugs X Company (7)'!$E$3:$E$698,$S218,'Shortlisted Drugs X Company (7)'!$P$3:$P$698,"Source not found")&gt;0,"Source not found","Not priced"))))</f>
        <v>Exact</v>
      </c>
      <c r="F218" s="18" t="n">
        <f aca="false">IFERROR(ROUND(INDEX('Injectable Value'!$AA$28:$AA$178,MATCH(B218,'Injectable Value'!$A$28:$A$178,0)),1),"")</f>
        <v>13045.6</v>
      </c>
      <c r="G218" s="16" t="s">
        <v>505</v>
      </c>
      <c r="H218" s="14" t="n">
        <v>29</v>
      </c>
      <c r="I218" s="15" t="s">
        <v>441</v>
      </c>
      <c r="J218" s="15" t="s">
        <v>249</v>
      </c>
      <c r="K218" s="16" t="str">
        <f aca="false">"Cancer drug (cytotoxic) – less relevant"&amp;IF(V218=0,"; Unpriced","")&amp;IF(AND(V218&gt;0,W218=0,X218=0),"; Low price from another market – confirm with company","")</f>
        <v>Cancer drug (cytotoxic) – less relevant</v>
      </c>
      <c r="L218" s="18" t="n">
        <f aca="false">IFERROR(INDEX('Shortlisted Drugs X Company (7)'!$K$3:$K$698,MATCH(B218,'Shortlisted Drugs X Company (7)'!$C$3:$C$698,0)),"")</f>
        <v>1282</v>
      </c>
      <c r="M218" s="18" t="n">
        <f aca="false">IFERROR(ROUND(L218*INDEX('Injectable Value'!$Z$28:$Z$178,MATCH(B218,'Injectable Value'!$A$28:$A$178,0)),0),"")</f>
        <v>996</v>
      </c>
      <c r="N218" s="18" t="n">
        <f aca="false">IFERROR(INDEX('Shortlisted Drugs X Company (7)'!$L$3:$L$698,MATCH(B218,'Shortlisted Drugs X Company (7)'!$C$3:$C$698,0)),"")</f>
        <v>16792.84</v>
      </c>
      <c r="O218" s="15" t="str">
        <f aca="false">IF(AE218="No","IV only (not ID/IM/SC)",IF(AND(V218&gt;0,W218=0),"Price ≤ $5",""))</f>
        <v/>
      </c>
      <c r="P218" s="14" t="n">
        <f aca="false">IF(O218&lt;&gt;"","",COUNTIFS($A$29:$A$361,A218,$O$29:$O$361,"",$AC$29:$AC$361,"&gt;"&amp;AC218)+COUNTIFS($A$29:A218,A218,$O$29:O218,"",$AC$29:AC218,AC218))</f>
        <v>4</v>
      </c>
      <c r="Q218" s="15" t="str">
        <f aca="false">IF(O218&lt;&gt;"",IF(O218="Price ≤ $5","Excluded – price ≤ $5","Excluded – IV only"),IF(ISNUMBER(D218),IF(AND(D218&gt;=$C$3,M218&gt;=$E$3),"Priority 1",IF(OR(D218&gt;=$C$3,M218&gt;=$E$3),"Priority 2","Priority 3")),IF(M218&gt;=$E$3,"Priority 2","Priority 3")))</f>
        <v>Priority 1</v>
      </c>
      <c r="R218" s="16" t="s">
        <v>250</v>
      </c>
      <c r="S218" s="15" t="s">
        <v>894</v>
      </c>
      <c r="T218" s="32" t="s">
        <v>268</v>
      </c>
      <c r="U218" s="33" t="str">
        <f aca="false">B218&amp;"|"&amp;S218</f>
        <v>Methotrexate|Intas Pharmaceuticals</v>
      </c>
      <c r="V218" s="34" t="n">
        <f aca="false">COUNTIFS('Shortlisted Drugs X Company (7)'!$C$3:$C$698,$B218,'Shortlisted Drugs X Company (7)'!$E$3:$E$698,$S218,'Shortlisted Drugs X Company (7)'!$N$3:$N$698,"&gt;=0")</f>
        <v>8</v>
      </c>
      <c r="W218" s="34" t="n">
        <f aca="false">COUNTIFS('Shortlisted Drugs X Company (7)'!$C$3:$C$698,$B218,'Shortlisted Drugs X Company (7)'!$E$3:$E$698,$S218,'Shortlisted Drugs X Company (7)'!$N$3:$N$698,"&gt;5")</f>
        <v>8</v>
      </c>
      <c r="X218" s="34" t="n">
        <f aca="false">COUNTIFS('Shortlisted Drugs X Company (7)'!$C$3:$C$698,$B218,'Shortlisted Drugs X Company (7)'!$E$3:$E$698,$S218,'Shortlisted Drugs X Company (7)'!$P$3:$P$698,"Exact")+COUNTIFS('Shortlisted Drugs X Company (7)'!$C$3:$C$698,$B218,'Shortlisted Drugs X Company (7)'!$E$3:$E$698,$S218,'Shortlisted Drugs X Company (7)'!$P$3:$P$698,"Same-market proxy")</f>
        <v>8</v>
      </c>
      <c r="Y218" s="33" t="str">
        <f aca="false">A218&amp;"|"&amp;P218</f>
        <v>Intas|4</v>
      </c>
      <c r="Z218" s="16" t="s">
        <v>1045</v>
      </c>
      <c r="AA218" s="33" t="n">
        <f aca="false">INDEX($G$7:$G$25,MATCH(A218,$A$7:$A$25,0))</f>
        <v>1</v>
      </c>
      <c r="AB218" s="33" t="n">
        <f aca="false">IF(AE218="No","",AA218*1000+IF(P218="",900+COUNTIFS($A$29:A218,A218,$O$29:O218,"Price ≤ $5"),P218))</f>
        <v>1004</v>
      </c>
      <c r="AC218" s="33" t="n">
        <f aca="false">IF(O218&lt;&gt;"","",(4-VALUE(RIGHT(Q218,1)))*10^7+N(F218))</f>
        <v>30013045.6</v>
      </c>
      <c r="AD218" s="15" t="str">
        <f aca="false">IFERROR(INDEX('Route of Administration'!$C$5:$C$155,MATCH(B218,'Route of Administration'!$A$5:$A$155,0)),"")</f>
        <v>IV, IM, SC</v>
      </c>
      <c r="AE218" s="14" t="str">
        <f aca="false">IFERROR(INDEX('Route of Administration'!$D$5:$D$155,MATCH(B218,'Route of Administration'!$A$5:$A$155,0)),"")</f>
        <v>Yes</v>
      </c>
      <c r="AF218" s="19" t="n">
        <f aca="false">IF(V218&gt;0,ROUND(AVERAGEIFS('Shortlisted Drugs X Company (7)'!$N$3:$N$698,'Shortlisted Drugs X Company (7)'!$C$3:$C$698,$B218,'Shortlisted Drugs X Company (7)'!$E$3:$E$698,$S218,'Shortlisted Drugs X Company (7)'!$N$3:$N$698,"&gt;=0"),2),"")</f>
        <v>50.77</v>
      </c>
      <c r="AG218" s="16" t="s">
        <v>1046</v>
      </c>
      <c r="AH218" s="16" t="s">
        <v>1047</v>
      </c>
      <c r="AI218" s="16" t="s">
        <v>1048</v>
      </c>
      <c r="AJ218" s="16" t="str">
        <f aca="false">IF(O218&lt;&gt;"","",IF(ISNUMBER(D218),IF(D218&gt;=$C$3,"High price","Lower price"),"Unpriced")&amp;" · "&amp;IF(M218&gt;=$E$3,"high volume","lower volume"))</f>
        <v>High price · high volume</v>
      </c>
      <c r="AK218" s="15" t="str">
        <f aca="false">IF(O218&lt;&gt;"",IF(O218="Price ≤ $5","Excluded – price ≤ $5","Excluded – IV only"),IF(ISNUMBER(D218),IF(AND(D218&gt;=$C$3,L218&gt;=$H$3),"Priority 1",IF(OR(D218&gt;=$C$3,L218&gt;=$H$3),"Priority 2","Priority 3")),IF(L218&gt;=$H$3,"Priority 2","Priority 3")))</f>
        <v>Priority 1</v>
      </c>
      <c r="AL218" s="16" t="str">
        <f aca="false">IF(O218&lt;&gt;"","",IF(ISNUMBER(D218),IF(D218&gt;=$C$3,"High price","Lower price"),"Unpriced")&amp;" · "&amp;IF(L218&gt;=$H$3,"high volume","lower volume"))</f>
        <v>High price · high volume</v>
      </c>
      <c r="AM218" s="14" t="n">
        <f aca="false">IF(O218&lt;&gt;"","",COUNTIFS($A$29:$A$361,A218,$O$29:$O$361,"",$AQ$29:$AQ$361,"&gt;"&amp;AQ218)+COUNTIFS($A$29:A218,A218,$O$29:O218,"",$AQ$29:AQ218,AQ218))</f>
        <v>4</v>
      </c>
      <c r="AN218" s="19" t="n">
        <f aca="false">IF(AND(O218="",ISNUMBER(D218)),D218,"")</f>
        <v>50.77</v>
      </c>
      <c r="AO218" s="20" t="n">
        <f aca="false">IF(O218="",M218,"")</f>
        <v>996</v>
      </c>
      <c r="AP218" s="20" t="n">
        <f aca="false">IF(O218="",L218,"")</f>
        <v>1282</v>
      </c>
      <c r="AQ218" s="33" t="n">
        <f aca="false">IF(O218&lt;&gt;"","",(4-VALUE(RIGHT(AK218,1)))*10^7+N(N218))</f>
        <v>30016792.84</v>
      </c>
      <c r="AR218" s="33" t="n">
        <f aca="false">INDEX($O$7:$O$25,MATCH(A218,$I$7:$I$25,0))</f>
        <v>1</v>
      </c>
      <c r="AS218" s="33" t="n">
        <f aca="false">IF(AE218="No","",AR218*1000+IF(AM218="",900+COUNTIFS($A$29:A218,A218,$O$29:O218,"Price ≤ $5"),AM218))</f>
        <v>1004</v>
      </c>
    </row>
    <row r="219" customFormat="false" ht="68.65" hidden="false" customHeight="false" outlineLevel="0" collapsed="false">
      <c r="A219" s="15" t="s">
        <v>21</v>
      </c>
      <c r="B219" s="15" t="s">
        <v>1049</v>
      </c>
      <c r="C219" s="16" t="s">
        <v>1050</v>
      </c>
      <c r="D219" s="17" t="n">
        <f aca="false">IF(W219&gt;0,ROUND(AVERAGEIFS('Shortlisted Drugs X Company (7)'!$N$3:$N$698,'Shortlisted Drugs X Company (7)'!$C$3:$C$698,$B219,'Shortlisted Drugs X Company (7)'!$E$3:$E$698,$S219,'Shortlisted Drugs X Company (7)'!$N$3:$N$698,"&gt;5"),2),"")</f>
        <v>11.33</v>
      </c>
      <c r="E219" s="15" t="str">
        <f aca="false">IF(COUNTIFS('Shortlisted Drugs X Company (7)'!$C$3:$C$698,$B219,'Shortlisted Drugs X Company (7)'!$E$3:$E$698,$S219,'Shortlisted Drugs X Company (7)'!$P$3:$P$698,"Exact")&gt;0,"Exact",IF(COUNTIFS('Shortlisted Drugs X Company (7)'!$C$3:$C$698,$B219,'Shortlisted Drugs X Company (7)'!$E$3:$E$698,$S219,'Shortlisted Drugs X Company (7)'!$P$3:$P$698,"Same-market proxy")&gt;0,"Same-market proxy",IF(COUNTIFS('Shortlisted Drugs X Company (7)'!$C$3:$C$698,$B219,'Shortlisted Drugs X Company (7)'!$E$3:$E$698,$S219,'Shortlisted Drugs X Company (7)'!$P$3:$P$698,"Cross-market proxy")&gt;0,"Cross-market proxy",IF(COUNTIFS('Shortlisted Drugs X Company (7)'!$C$3:$C$698,$B219,'Shortlisted Drugs X Company (7)'!$E$3:$E$698,$S219,'Shortlisted Drugs X Company (7)'!$P$3:$P$698,"Source not found")&gt;0,"Source not found","Not priced"))))</f>
        <v>Same-market proxy</v>
      </c>
      <c r="F219" s="18" t="n">
        <f aca="false">IFERROR(ROUND(INDEX('Injectable Value'!$AA$28:$AA$178,MATCH(B219,'Injectable Value'!$A$28:$A$178,0)),1),"")</f>
        <v>4675.1</v>
      </c>
      <c r="G219" s="16" t="s">
        <v>403</v>
      </c>
      <c r="H219" s="14" t="n">
        <v>24</v>
      </c>
      <c r="I219" s="15" t="s">
        <v>1051</v>
      </c>
      <c r="J219" s="15" t="s">
        <v>249</v>
      </c>
      <c r="K219" s="16" t="str">
        <f aca="false">""&amp;IF(V219=0,"Unpriced","")&amp;IF(AND(V219&gt;0,W219=0,X219=0),"Low price from another market – confirm with company","")</f>
        <v/>
      </c>
      <c r="L219" s="18" t="n">
        <f aca="false">IFERROR(INDEX('Shortlisted Drugs X Company (7)'!$K$3:$K$698,MATCH(B219,'Shortlisted Drugs X Company (7)'!$C$3:$C$698,0)),"")</f>
        <v>221</v>
      </c>
      <c r="M219" s="18" t="n">
        <f aca="false">IFERROR(ROUND(L219*INDEX('Injectable Value'!$Z$28:$Z$178,MATCH(B219,'Injectable Value'!$A$28:$A$178,0)),0),"")</f>
        <v>177</v>
      </c>
      <c r="N219" s="18" t="n">
        <f aca="false">IFERROR(INDEX('Shortlisted Drugs X Company (7)'!$L$3:$L$698,MATCH(B219,'Shortlisted Drugs X Company (7)'!$C$3:$C$698,0)),"")</f>
        <v>5838.25</v>
      </c>
      <c r="O219" s="15" t="str">
        <f aca="false">IF(AE219="No","IV only (not ID/IM/SC)",IF(AND(V219&gt;0,W219=0),"Price ≤ $5",""))</f>
        <v/>
      </c>
      <c r="P219" s="14" t="n">
        <f aca="false">IF(O219&lt;&gt;"","",COUNTIFS($A$29:$A$361,A219,$O$29:$O$361,"",$AC$29:$AC$361,"&gt;"&amp;AC219)+COUNTIFS($A$29:A219,A219,$O$29:O219,"",$AC$29:AC219,AC219))</f>
        <v>17</v>
      </c>
      <c r="Q219" s="15" t="str">
        <f aca="false">IF(O219&lt;&gt;"",IF(O219="Price ≤ $5","Excluded – price ≤ $5","Excluded – IV only"),IF(ISNUMBER(D219),IF(AND(D219&gt;=$C$3,M219&gt;=$E$3),"Priority 1",IF(OR(D219&gt;=$C$3,M219&gt;=$E$3),"Priority 2","Priority 3")),IF(M219&gt;=$E$3,"Priority 2","Priority 3")))</f>
        <v>Priority 2</v>
      </c>
      <c r="R219" s="16" t="s">
        <v>285</v>
      </c>
      <c r="S219" s="15" t="s">
        <v>894</v>
      </c>
      <c r="T219" s="32" t="s">
        <v>1052</v>
      </c>
      <c r="U219" s="33" t="str">
        <f aca="false">B219&amp;"|"&amp;S219</f>
        <v>Midazolam|Intas Pharmaceuticals</v>
      </c>
      <c r="V219" s="34" t="n">
        <f aca="false">COUNTIFS('Shortlisted Drugs X Company (7)'!$C$3:$C$698,$B219,'Shortlisted Drugs X Company (7)'!$E$3:$E$698,$S219,'Shortlisted Drugs X Company (7)'!$N$3:$N$698,"&gt;=0")</f>
        <v>2</v>
      </c>
      <c r="W219" s="34" t="n">
        <f aca="false">COUNTIFS('Shortlisted Drugs X Company (7)'!$C$3:$C$698,$B219,'Shortlisted Drugs X Company (7)'!$E$3:$E$698,$S219,'Shortlisted Drugs X Company (7)'!$N$3:$N$698,"&gt;5")</f>
        <v>2</v>
      </c>
      <c r="X219" s="34" t="n">
        <f aca="false">COUNTIFS('Shortlisted Drugs X Company (7)'!$C$3:$C$698,$B219,'Shortlisted Drugs X Company (7)'!$E$3:$E$698,$S219,'Shortlisted Drugs X Company (7)'!$P$3:$P$698,"Exact")+COUNTIFS('Shortlisted Drugs X Company (7)'!$C$3:$C$698,$B219,'Shortlisted Drugs X Company (7)'!$E$3:$E$698,$S219,'Shortlisted Drugs X Company (7)'!$P$3:$P$698,"Same-market proxy")</f>
        <v>2</v>
      </c>
      <c r="Y219" s="33" t="str">
        <f aca="false">A219&amp;"|"&amp;P219</f>
        <v>Intas|17</v>
      </c>
      <c r="Z219" s="16" t="s">
        <v>1053</v>
      </c>
      <c r="AA219" s="33" t="n">
        <f aca="false">INDEX($G$7:$G$25,MATCH(A219,$A$7:$A$25,0))</f>
        <v>1</v>
      </c>
      <c r="AB219" s="33" t="n">
        <f aca="false">IF(AE219="No","",AA219*1000+IF(P219="",900+COUNTIFS($A$29:A219,A219,$O$29:O219,"Price ≤ $5"),P219))</f>
        <v>1017</v>
      </c>
      <c r="AC219" s="33" t="n">
        <f aca="false">IF(O219&lt;&gt;"","",(4-VALUE(RIGHT(Q219,1)))*10^7+N(F219))</f>
        <v>20004675.1</v>
      </c>
      <c r="AD219" s="15" t="str">
        <f aca="false">IFERROR(INDEX('Route of Administration'!$C$5:$C$155,MATCH(B219,'Route of Administration'!$A$5:$A$155,0)),"")</f>
        <v>IV, IM</v>
      </c>
      <c r="AE219" s="14" t="str">
        <f aca="false">IFERROR(INDEX('Route of Administration'!$D$5:$D$155,MATCH(B219,'Route of Administration'!$A$5:$A$155,0)),"")</f>
        <v>Yes</v>
      </c>
      <c r="AF219" s="19" t="n">
        <f aca="false">IF(V219&gt;0,ROUND(AVERAGEIFS('Shortlisted Drugs X Company (7)'!$N$3:$N$698,'Shortlisted Drugs X Company (7)'!$C$3:$C$698,$B219,'Shortlisted Drugs X Company (7)'!$E$3:$E$698,$S219,'Shortlisted Drugs X Company (7)'!$N$3:$N$698,"&gt;=0"),2),"")</f>
        <v>11.33</v>
      </c>
      <c r="AG219" s="16" t="s">
        <v>1054</v>
      </c>
      <c r="AH219" s="16" t="s">
        <v>1055</v>
      </c>
      <c r="AI219" s="16" t="s">
        <v>1056</v>
      </c>
      <c r="AJ219" s="16" t="str">
        <f aca="false">IF(O219&lt;&gt;"","",IF(ISNUMBER(D219),IF(D219&gt;=$C$3,"High price","Lower price"),"Unpriced")&amp;" · "&amp;IF(M219&gt;=$E$3,"high volume","lower volume"))</f>
        <v>Lower price · high volume</v>
      </c>
      <c r="AK219" s="15" t="str">
        <f aca="false">IF(O219&lt;&gt;"",IF(O219="Price ≤ $5","Excluded – price ≤ $5","Excluded – IV only"),IF(ISNUMBER(D219),IF(AND(D219&gt;=$C$3,L219&gt;=$H$3),"Priority 1",IF(OR(D219&gt;=$C$3,L219&gt;=$H$3),"Priority 2","Priority 3")),IF(L219&gt;=$H$3,"Priority 2","Priority 3")))</f>
        <v>Priority 3</v>
      </c>
      <c r="AL219" s="16" t="str">
        <f aca="false">IF(O219&lt;&gt;"","",IF(ISNUMBER(D219),IF(D219&gt;=$C$3,"High price","Lower price"),"Unpriced")&amp;" · "&amp;IF(L219&gt;=$H$3,"high volume","lower volume"))</f>
        <v>Lower price · lower volume</v>
      </c>
      <c r="AM219" s="14" t="n">
        <f aca="false">IF(O219&lt;&gt;"","",COUNTIFS($A$29:$A$361,A219,$O$29:$O$361,"",$AQ$29:$AQ$361,"&gt;"&amp;AQ219)+COUNTIFS($A$29:A219,A219,$O$29:O219,"",$AQ$29:AQ219,AQ219))</f>
        <v>24</v>
      </c>
      <c r="AN219" s="19" t="n">
        <f aca="false">IF(AND(O219="",ISNUMBER(D219)),D219,"")</f>
        <v>11.33</v>
      </c>
      <c r="AO219" s="20" t="n">
        <f aca="false">IF(O219="",M219,"")</f>
        <v>177</v>
      </c>
      <c r="AP219" s="20" t="n">
        <f aca="false">IF(O219="",L219,"")</f>
        <v>221</v>
      </c>
      <c r="AQ219" s="33" t="n">
        <f aca="false">IF(O219&lt;&gt;"","",(4-VALUE(RIGHT(AK219,1)))*10^7+N(N219))</f>
        <v>10005838.25</v>
      </c>
      <c r="AR219" s="33" t="n">
        <f aca="false">INDEX($O$7:$O$25,MATCH(A219,$I$7:$I$25,0))</f>
        <v>1</v>
      </c>
      <c r="AS219" s="33" t="n">
        <f aca="false">IF(AE219="No","",AR219*1000+IF(AM219="",900+COUNTIFS($A$29:A219,A219,$O$29:O219,"Price ≤ $5"),AM219))</f>
        <v>1024</v>
      </c>
    </row>
    <row r="220" customFormat="false" ht="55.2" hidden="false" customHeight="false" outlineLevel="0" collapsed="false">
      <c r="A220" s="15" t="s">
        <v>21</v>
      </c>
      <c r="B220" s="15" t="s">
        <v>469</v>
      </c>
      <c r="C220" s="16" t="s">
        <v>470</v>
      </c>
      <c r="D220" s="17" t="n">
        <f aca="false">IF(W220&gt;0,ROUND(AVERAGEIFS('Shortlisted Drugs X Company (7)'!$N$3:$N$698,'Shortlisted Drugs X Company (7)'!$C$3:$C$698,$B220,'Shortlisted Drugs X Company (7)'!$E$3:$E$698,$S220,'Shortlisted Drugs X Company (7)'!$N$3:$N$698,"&gt;5"),2),"")</f>
        <v>130.77</v>
      </c>
      <c r="E220" s="15" t="str">
        <f aca="false">IF(COUNTIFS('Shortlisted Drugs X Company (7)'!$C$3:$C$698,$B220,'Shortlisted Drugs X Company (7)'!$E$3:$E$698,$S220,'Shortlisted Drugs X Company (7)'!$P$3:$P$698,"Exact")&gt;0,"Exact",IF(COUNTIFS('Shortlisted Drugs X Company (7)'!$C$3:$C$698,$B220,'Shortlisted Drugs X Company (7)'!$E$3:$E$698,$S220,'Shortlisted Drugs X Company (7)'!$P$3:$P$698,"Same-market proxy")&gt;0,"Same-market proxy",IF(COUNTIFS('Shortlisted Drugs X Company (7)'!$C$3:$C$698,$B220,'Shortlisted Drugs X Company (7)'!$E$3:$E$698,$S220,'Shortlisted Drugs X Company (7)'!$P$3:$P$698,"Cross-market proxy")&gt;0,"Cross-market proxy",IF(COUNTIFS('Shortlisted Drugs X Company (7)'!$C$3:$C$698,$B220,'Shortlisted Drugs X Company (7)'!$E$3:$E$698,$S220,'Shortlisted Drugs X Company (7)'!$P$3:$P$698,"Source not found")&gt;0,"Source not found","Not priced"))))</f>
        <v>Exact</v>
      </c>
      <c r="F220" s="18" t="n">
        <f aca="false">IFERROR(ROUND(INDEX('Injectable Value'!$AA$28:$AA$178,MATCH(B220,'Injectable Value'!$A$28:$A$178,0)),1),"")</f>
        <v>6754.2</v>
      </c>
      <c r="G220" s="16" t="s">
        <v>505</v>
      </c>
      <c r="H220" s="14" t="n">
        <v>19</v>
      </c>
      <c r="I220" s="15" t="s">
        <v>248</v>
      </c>
      <c r="J220" s="15" t="s">
        <v>299</v>
      </c>
      <c r="K220" s="16" t="str">
        <f aca="false">"Cancer drug (cytotoxic) – less relevant; Reconstitution"&amp;IF(V220=0,"; Unpriced","")&amp;IF(AND(V220&gt;0,W220=0,X220=0),"; Low price from another market – confirm with company","")</f>
        <v>Cancer drug (cytotoxic) – less relevant; Reconstitution</v>
      </c>
      <c r="L220" s="18" t="n">
        <f aca="false">IFERROR(INDEX('Shortlisted Drugs X Company (7)'!$K$3:$K$698,MATCH(B220,'Shortlisted Drugs X Company (7)'!$C$3:$C$698,0)),"")</f>
        <v>544</v>
      </c>
      <c r="M220" s="18" t="n">
        <f aca="false">IFERROR(ROUND(L220*INDEX('Injectable Value'!$Z$28:$Z$178,MATCH(B220,'Injectable Value'!$A$28:$A$178,0)),0),"")</f>
        <v>480</v>
      </c>
      <c r="N220" s="18" t="n">
        <f aca="false">IFERROR(INDEX('Shortlisted Drugs X Company (7)'!$L$3:$L$698,MATCH(B220,'Shortlisted Drugs X Company (7)'!$C$3:$C$698,0)),"")</f>
        <v>7654.85</v>
      </c>
      <c r="O220" s="15" t="str">
        <f aca="false">IF(AE220="No","IV only (not ID/IM/SC)",IF(AND(V220&gt;0,W220=0),"Price ≤ $5",""))</f>
        <v>IV only (not ID/IM/SC)</v>
      </c>
      <c r="P220" s="14" t="str">
        <f aca="false">IF(O220&lt;&gt;"","",COUNTIFS($A$29:$A$361,A220,$O$29:$O$361,"",$AC$29:$AC$361,"&gt;"&amp;AC220)+COUNTIFS($A$29:A220,A220,$O$29:O220,"",$AC$29:AC220,AC220))</f>
        <v/>
      </c>
      <c r="Q220" s="15" t="str">
        <f aca="false">IF(O220&lt;&gt;"",IF(O220="Price ≤ $5","Excluded – price ≤ $5","Excluded – IV only"),IF(ISNUMBER(D220),IF(AND(D220&gt;=$C$3,M220&gt;=$E$3),"Priority 1",IF(OR(D220&gt;=$C$3,M220&gt;=$E$3),"Priority 2","Priority 3")),IF(M220&gt;=$E$3,"Priority 2","Priority 3")))</f>
        <v>Excluded – IV only</v>
      </c>
      <c r="R220" s="16" t="s">
        <v>285</v>
      </c>
      <c r="S220" s="15" t="s">
        <v>894</v>
      </c>
      <c r="T220" s="32" t="s">
        <v>471</v>
      </c>
      <c r="U220" s="33" t="str">
        <f aca="false">B220&amp;"|"&amp;S220</f>
        <v>Mitomycin|Intas Pharmaceuticals</v>
      </c>
      <c r="V220" s="34" t="n">
        <f aca="false">COUNTIFS('Shortlisted Drugs X Company (7)'!$C$3:$C$698,$B220,'Shortlisted Drugs X Company (7)'!$E$3:$E$698,$S220,'Shortlisted Drugs X Company (7)'!$N$3:$N$698,"&gt;=0")</f>
        <v>3</v>
      </c>
      <c r="W220" s="34" t="n">
        <f aca="false">COUNTIFS('Shortlisted Drugs X Company (7)'!$C$3:$C$698,$B220,'Shortlisted Drugs X Company (7)'!$E$3:$E$698,$S220,'Shortlisted Drugs X Company (7)'!$N$3:$N$698,"&gt;5")</f>
        <v>3</v>
      </c>
      <c r="X220" s="34" t="n">
        <f aca="false">COUNTIFS('Shortlisted Drugs X Company (7)'!$C$3:$C$698,$B220,'Shortlisted Drugs X Company (7)'!$E$3:$E$698,$S220,'Shortlisted Drugs X Company (7)'!$P$3:$P$698,"Exact")+COUNTIFS('Shortlisted Drugs X Company (7)'!$C$3:$C$698,$B220,'Shortlisted Drugs X Company (7)'!$E$3:$E$698,$S220,'Shortlisted Drugs X Company (7)'!$P$3:$P$698,"Same-market proxy")</f>
        <v>3</v>
      </c>
      <c r="Y220" s="33" t="str">
        <f aca="false">A220&amp;"|"&amp;P220</f>
        <v>Intas|</v>
      </c>
      <c r="Z220" s="16" t="s">
        <v>1057</v>
      </c>
      <c r="AA220" s="33" t="n">
        <f aca="false">INDEX($G$7:$G$25,MATCH(A220,$A$7:$A$25,0))</f>
        <v>1</v>
      </c>
      <c r="AB220" s="33" t="str">
        <f aca="false">IF(AE220="No","",AA220*1000+IF(P220="",900+COUNTIFS($A$29:A220,A220,$O$29:O220,"Price ≤ $5"),P220))</f>
        <v/>
      </c>
      <c r="AC220" s="33" t="str">
        <f aca="false">IF(O220&lt;&gt;"","",(4-VALUE(RIGHT(Q220,1)))*10^7+N(F220))</f>
        <v/>
      </c>
      <c r="AD220" s="15" t="str">
        <f aca="false">IFERROR(INDEX('Route of Administration'!$C$5:$C$155,MATCH(B220,'Route of Administration'!$A$5:$A$155,0)),"")</f>
        <v>IV</v>
      </c>
      <c r="AE220" s="14" t="str">
        <f aca="false">IFERROR(INDEX('Route of Administration'!$D$5:$D$155,MATCH(B220,'Route of Administration'!$A$5:$A$155,0)),"")</f>
        <v>No</v>
      </c>
      <c r="AF220" s="19" t="n">
        <f aca="false">IF(V220&gt;0,ROUND(AVERAGEIFS('Shortlisted Drugs X Company (7)'!$N$3:$N$698,'Shortlisted Drugs X Company (7)'!$C$3:$C$698,$B220,'Shortlisted Drugs X Company (7)'!$E$3:$E$698,$S220,'Shortlisted Drugs X Company (7)'!$N$3:$N$698,"&gt;=0"),2),"")</f>
        <v>130.77</v>
      </c>
      <c r="AG220" s="16" t="s">
        <v>1058</v>
      </c>
      <c r="AH220" s="16" t="s">
        <v>1059</v>
      </c>
      <c r="AI220" s="16" t="s">
        <v>1060</v>
      </c>
      <c r="AJ220" s="16" t="str">
        <f aca="false">IF(O220&lt;&gt;"","",IF(ISNUMBER(D220),IF(D220&gt;=$C$3,"High price","Lower price"),"Unpriced")&amp;" · "&amp;IF(M220&gt;=$E$3,"high volume","lower volume"))</f>
        <v/>
      </c>
      <c r="AK220" s="15" t="str">
        <f aca="false">IF(O220&lt;&gt;"",IF(O220="Price ≤ $5","Excluded – price ≤ $5","Excluded – IV only"),IF(ISNUMBER(D220),IF(AND(D220&gt;=$C$3,L220&gt;=$H$3),"Priority 1",IF(OR(D220&gt;=$C$3,L220&gt;=$H$3),"Priority 2","Priority 3")),IF(L220&gt;=$H$3,"Priority 2","Priority 3")))</f>
        <v>Excluded – IV only</v>
      </c>
      <c r="AL220" s="16" t="str">
        <f aca="false">IF(O220&lt;&gt;"","",IF(ISNUMBER(D220),IF(D220&gt;=$C$3,"High price","Lower price"),"Unpriced")&amp;" · "&amp;IF(L220&gt;=$H$3,"high volume","lower volume"))</f>
        <v/>
      </c>
      <c r="AM220" s="14" t="str">
        <f aca="false">IF(O220&lt;&gt;"","",COUNTIFS($A$29:$A$361,A220,$O$29:$O$361,"",$AQ$29:$AQ$361,"&gt;"&amp;AQ220)+COUNTIFS($A$29:A220,A220,$O$29:O220,"",$AQ$29:AQ220,AQ220))</f>
        <v/>
      </c>
      <c r="AN220" s="33" t="str">
        <f aca="false">IF(AND(O220="",ISNUMBER(D220)),D220,"")</f>
        <v/>
      </c>
      <c r="AO220" s="33" t="str">
        <f aca="false">IF(O220="",M220,"")</f>
        <v/>
      </c>
      <c r="AP220" s="33" t="str">
        <f aca="false">IF(O220="",L220,"")</f>
        <v/>
      </c>
      <c r="AQ220" s="33" t="str">
        <f aca="false">IF(O220&lt;&gt;"","",(4-VALUE(RIGHT(AK220,1)))*10^7+N(N220))</f>
        <v/>
      </c>
      <c r="AR220" s="33" t="n">
        <f aca="false">INDEX($O$7:$O$25,MATCH(A220,$I$7:$I$25,0))</f>
        <v>1</v>
      </c>
      <c r="AS220" s="33" t="str">
        <f aca="false">IF(AE220="No","",AR220*1000+IF(AM220="",900+COUNTIFS($A$29:A220,A220,$O$29:O220,"Price ≤ $5"),AM220))</f>
        <v/>
      </c>
    </row>
    <row r="221" customFormat="false" ht="41.75" hidden="false" customHeight="false" outlineLevel="0" collapsed="false">
      <c r="A221" s="15" t="s">
        <v>21</v>
      </c>
      <c r="B221" s="15" t="s">
        <v>1061</v>
      </c>
      <c r="C221" s="16" t="s">
        <v>1062</v>
      </c>
      <c r="D221" s="17" t="n">
        <f aca="false">IF(W221&gt;0,ROUND(AVERAGEIFS('Shortlisted Drugs X Company (7)'!$N$3:$N$698,'Shortlisted Drugs X Company (7)'!$C$3:$C$698,$B221,'Shortlisted Drugs X Company (7)'!$E$3:$E$698,$S221,'Shortlisted Drugs X Company (7)'!$N$3:$N$698,"&gt;5"),2),"")</f>
        <v>122.21</v>
      </c>
      <c r="E221" s="15" t="str">
        <f aca="false">IF(COUNTIFS('Shortlisted Drugs X Company (7)'!$C$3:$C$698,$B221,'Shortlisted Drugs X Company (7)'!$E$3:$E$698,$S221,'Shortlisted Drugs X Company (7)'!$P$3:$P$698,"Exact")&gt;0,"Exact",IF(COUNTIFS('Shortlisted Drugs X Company (7)'!$C$3:$C$698,$B221,'Shortlisted Drugs X Company (7)'!$E$3:$E$698,$S221,'Shortlisted Drugs X Company (7)'!$P$3:$P$698,"Same-market proxy")&gt;0,"Same-market proxy",IF(COUNTIFS('Shortlisted Drugs X Company (7)'!$C$3:$C$698,$B221,'Shortlisted Drugs X Company (7)'!$E$3:$E$698,$S221,'Shortlisted Drugs X Company (7)'!$P$3:$P$698,"Cross-market proxy")&gt;0,"Cross-market proxy",IF(COUNTIFS('Shortlisted Drugs X Company (7)'!$C$3:$C$698,$B221,'Shortlisted Drugs X Company (7)'!$E$3:$E$698,$S221,'Shortlisted Drugs X Company (7)'!$P$3:$P$698,"Source not found")&gt;0,"Source not found","Not priced"))))</f>
        <v>Cross-market proxy</v>
      </c>
      <c r="F221" s="18" t="n">
        <f aca="false">IFERROR(ROUND(INDEX('Injectable Value'!$AA$28:$AA$178,MATCH(B221,'Injectable Value'!$A$28:$A$178,0)),1),"")</f>
        <v>578.1</v>
      </c>
      <c r="G221" s="16" t="s">
        <v>1063</v>
      </c>
      <c r="H221" s="14" t="n">
        <v>4</v>
      </c>
      <c r="I221" s="15" t="s">
        <v>248</v>
      </c>
      <c r="J221" s="15" t="s">
        <v>249</v>
      </c>
      <c r="K221" s="16" t="str">
        <f aca="false">"Cancer drug (cytotoxic) – less relevant"&amp;IF(V221=0,"; Unpriced","")&amp;IF(AND(V221&gt;0,W221=0,X221=0),"; Low price from another market – confirm with company","")</f>
        <v>Cancer drug (cytotoxic) – less relevant</v>
      </c>
      <c r="L221" s="18" t="n">
        <f aca="false">IFERROR(INDEX('Shortlisted Drugs X Company (7)'!$K$3:$K$698,MATCH(B221,'Shortlisted Drugs X Company (7)'!$C$3:$C$698,0)),"")</f>
        <v>43</v>
      </c>
      <c r="M221" s="18" t="n">
        <f aca="false">IFERROR(ROUND(L221*INDEX('Injectable Value'!$Z$28:$Z$178,MATCH(B221,'Injectable Value'!$A$28:$A$178,0)),0),"")</f>
        <v>36</v>
      </c>
      <c r="N221" s="18" t="n">
        <f aca="false">IFERROR(INDEX('Shortlisted Drugs X Company (7)'!$L$3:$L$698,MATCH(B221,'Shortlisted Drugs X Company (7)'!$C$3:$C$698,0)),"")</f>
        <v>693.76</v>
      </c>
      <c r="O221" s="15" t="str">
        <f aca="false">IF(AE221="No","IV only (not ID/IM/SC)",IF(AND(V221&gt;0,W221=0),"Price ≤ $5",""))</f>
        <v>IV only (not ID/IM/SC)</v>
      </c>
      <c r="P221" s="14" t="str">
        <f aca="false">IF(O221&lt;&gt;"","",COUNTIFS($A$29:$A$361,A221,$O$29:$O$361,"",$AC$29:$AC$361,"&gt;"&amp;AC221)+COUNTIFS($A$29:A221,A221,$O$29:O221,"",$AC$29:AC221,AC221))</f>
        <v/>
      </c>
      <c r="Q221" s="15" t="str">
        <f aca="false">IF(O221&lt;&gt;"",IF(O221="Price ≤ $5","Excluded – price ≤ $5","Excluded – IV only"),IF(ISNUMBER(D221),IF(AND(D221&gt;=$C$3,M221&gt;=$E$3),"Priority 1",IF(OR(D221&gt;=$C$3,M221&gt;=$E$3),"Priority 2","Priority 3")),IF(M221&gt;=$E$3,"Priority 2","Priority 3")))</f>
        <v>Excluded – IV only</v>
      </c>
      <c r="R221" s="16" t="s">
        <v>285</v>
      </c>
      <c r="S221" s="15" t="s">
        <v>894</v>
      </c>
      <c r="T221" s="32" t="s">
        <v>1064</v>
      </c>
      <c r="U221" s="33" t="str">
        <f aca="false">B221&amp;"|"&amp;S221</f>
        <v>Mitoxantrone|Intas Pharmaceuticals</v>
      </c>
      <c r="V221" s="34" t="n">
        <f aca="false">COUNTIFS('Shortlisted Drugs X Company (7)'!$C$3:$C$698,$B221,'Shortlisted Drugs X Company (7)'!$E$3:$E$698,$S221,'Shortlisted Drugs X Company (7)'!$N$3:$N$698,"&gt;=0")</f>
        <v>1</v>
      </c>
      <c r="W221" s="34" t="n">
        <f aca="false">COUNTIFS('Shortlisted Drugs X Company (7)'!$C$3:$C$698,$B221,'Shortlisted Drugs X Company (7)'!$E$3:$E$698,$S221,'Shortlisted Drugs X Company (7)'!$N$3:$N$698,"&gt;5")</f>
        <v>1</v>
      </c>
      <c r="X221" s="34" t="n">
        <f aca="false">COUNTIFS('Shortlisted Drugs X Company (7)'!$C$3:$C$698,$B221,'Shortlisted Drugs X Company (7)'!$E$3:$E$698,$S221,'Shortlisted Drugs X Company (7)'!$P$3:$P$698,"Exact")+COUNTIFS('Shortlisted Drugs X Company (7)'!$C$3:$C$698,$B221,'Shortlisted Drugs X Company (7)'!$E$3:$E$698,$S221,'Shortlisted Drugs X Company (7)'!$P$3:$P$698,"Same-market proxy")</f>
        <v>0</v>
      </c>
      <c r="Y221" s="33" t="str">
        <f aca="false">A221&amp;"|"&amp;P221</f>
        <v>Intas|</v>
      </c>
      <c r="Z221" s="16" t="s">
        <v>366</v>
      </c>
      <c r="AA221" s="33" t="n">
        <f aca="false">INDEX($G$7:$G$25,MATCH(A221,$A$7:$A$25,0))</f>
        <v>1</v>
      </c>
      <c r="AB221" s="33" t="str">
        <f aca="false">IF(AE221="No","",AA221*1000+IF(P221="",900+COUNTIFS($A$29:A221,A221,$O$29:O221,"Price ≤ $5"),P221))</f>
        <v/>
      </c>
      <c r="AC221" s="33" t="str">
        <f aca="false">IF(O221&lt;&gt;"","",(4-VALUE(RIGHT(Q221,1)))*10^7+N(F221))</f>
        <v/>
      </c>
      <c r="AD221" s="15" t="str">
        <f aca="false">IFERROR(INDEX('Route of Administration'!$C$5:$C$155,MATCH(B221,'Route of Administration'!$A$5:$A$155,0)),"")</f>
        <v>IV</v>
      </c>
      <c r="AE221" s="14" t="str">
        <f aca="false">IFERROR(INDEX('Route of Administration'!$D$5:$D$155,MATCH(B221,'Route of Administration'!$A$5:$A$155,0)),"")</f>
        <v>No</v>
      </c>
      <c r="AF221" s="19" t="n">
        <f aca="false">IF(V221&gt;0,ROUND(AVERAGEIFS('Shortlisted Drugs X Company (7)'!$N$3:$N$698,'Shortlisted Drugs X Company (7)'!$C$3:$C$698,$B221,'Shortlisted Drugs X Company (7)'!$E$3:$E$698,$S221,'Shortlisted Drugs X Company (7)'!$N$3:$N$698,"&gt;=0"),2),"")</f>
        <v>122.21</v>
      </c>
      <c r="AG221" s="16" t="s">
        <v>1065</v>
      </c>
      <c r="AH221" s="16" t="s">
        <v>1066</v>
      </c>
      <c r="AI221" s="16" t="s">
        <v>1066</v>
      </c>
      <c r="AJ221" s="16" t="str">
        <f aca="false">IF(O221&lt;&gt;"","",IF(ISNUMBER(D221),IF(D221&gt;=$C$3,"High price","Lower price"),"Unpriced")&amp;" · "&amp;IF(M221&gt;=$E$3,"high volume","lower volume"))</f>
        <v/>
      </c>
      <c r="AK221" s="15" t="str">
        <f aca="false">IF(O221&lt;&gt;"",IF(O221="Price ≤ $5","Excluded – price ≤ $5","Excluded – IV only"),IF(ISNUMBER(D221),IF(AND(D221&gt;=$C$3,L221&gt;=$H$3),"Priority 1",IF(OR(D221&gt;=$C$3,L221&gt;=$H$3),"Priority 2","Priority 3")),IF(L221&gt;=$H$3,"Priority 2","Priority 3")))</f>
        <v>Excluded – IV only</v>
      </c>
      <c r="AL221" s="16" t="str">
        <f aca="false">IF(O221&lt;&gt;"","",IF(ISNUMBER(D221),IF(D221&gt;=$C$3,"High price","Lower price"),"Unpriced")&amp;" · "&amp;IF(L221&gt;=$H$3,"high volume","lower volume"))</f>
        <v/>
      </c>
      <c r="AM221" s="14" t="str">
        <f aca="false">IF(O221&lt;&gt;"","",COUNTIFS($A$29:$A$361,A221,$O$29:$O$361,"",$AQ$29:$AQ$361,"&gt;"&amp;AQ221)+COUNTIFS($A$29:A221,A221,$O$29:O221,"",$AQ$29:AQ221,AQ221))</f>
        <v/>
      </c>
      <c r="AN221" s="33" t="str">
        <f aca="false">IF(AND(O221="",ISNUMBER(D221)),D221,"")</f>
        <v/>
      </c>
      <c r="AO221" s="33" t="str">
        <f aca="false">IF(O221="",M221,"")</f>
        <v/>
      </c>
      <c r="AP221" s="33" t="str">
        <f aca="false">IF(O221="",L221,"")</f>
        <v/>
      </c>
      <c r="AQ221" s="33" t="str">
        <f aca="false">IF(O221&lt;&gt;"","",(4-VALUE(RIGHT(AK221,1)))*10^7+N(N221))</f>
        <v/>
      </c>
      <c r="AR221" s="33" t="n">
        <f aca="false">INDEX($O$7:$O$25,MATCH(A221,$I$7:$I$25,0))</f>
        <v>1</v>
      </c>
      <c r="AS221" s="33" t="str">
        <f aca="false">IF(AE221="No","",AR221*1000+IF(AM221="",900+COUNTIFS($A$29:A221,A221,$O$29:O221,"Price ≤ $5"),AM221))</f>
        <v/>
      </c>
    </row>
    <row r="222" customFormat="false" ht="41.75" hidden="false" customHeight="false" outlineLevel="0" collapsed="false">
      <c r="A222" s="15" t="s">
        <v>21</v>
      </c>
      <c r="B222" s="15" t="s">
        <v>480</v>
      </c>
      <c r="C222" s="16" t="s">
        <v>481</v>
      </c>
      <c r="D222" s="17" t="n">
        <f aca="false">IF(W222&gt;0,ROUND(AVERAGEIFS('Shortlisted Drugs X Company (7)'!$N$3:$N$698,'Shortlisted Drugs X Company (7)'!$C$3:$C$698,$B222,'Shortlisted Drugs X Company (7)'!$E$3:$E$698,$S222,'Shortlisted Drugs X Company (7)'!$N$3:$N$698,"&gt;5"),2),"")</f>
        <v>5.42</v>
      </c>
      <c r="E222" s="15" t="str">
        <f aca="false">IF(COUNTIFS('Shortlisted Drugs X Company (7)'!$C$3:$C$698,$B222,'Shortlisted Drugs X Company (7)'!$E$3:$E$698,$S222,'Shortlisted Drugs X Company (7)'!$P$3:$P$698,"Exact")&gt;0,"Exact",IF(COUNTIFS('Shortlisted Drugs X Company (7)'!$C$3:$C$698,$B222,'Shortlisted Drugs X Company (7)'!$E$3:$E$698,$S222,'Shortlisted Drugs X Company (7)'!$P$3:$P$698,"Same-market proxy")&gt;0,"Same-market proxy",IF(COUNTIFS('Shortlisted Drugs X Company (7)'!$C$3:$C$698,$B222,'Shortlisted Drugs X Company (7)'!$E$3:$E$698,$S222,'Shortlisted Drugs X Company (7)'!$P$3:$P$698,"Cross-market proxy")&gt;0,"Cross-market proxy",IF(COUNTIFS('Shortlisted Drugs X Company (7)'!$C$3:$C$698,$B222,'Shortlisted Drugs X Company (7)'!$E$3:$E$698,$S222,'Shortlisted Drugs X Company (7)'!$P$3:$P$698,"Source not found")&gt;0,"Source not found","Not priced"))))</f>
        <v>Same-market proxy</v>
      </c>
      <c r="F222" s="18" t="n">
        <f aca="false">IFERROR(ROUND(INDEX('Injectable Value'!$AA$28:$AA$178,MATCH(B222,'Injectable Value'!$A$28:$A$178,0)),1),"")</f>
        <v>1437.9</v>
      </c>
      <c r="G222" s="16" t="s">
        <v>729</v>
      </c>
      <c r="H222" s="14" t="n">
        <v>15</v>
      </c>
      <c r="I222" s="15" t="s">
        <v>258</v>
      </c>
      <c r="J222" s="15" t="s">
        <v>277</v>
      </c>
      <c r="K222" s="16" t="str">
        <f aca="false">"Prefilled only"&amp;IF(V222=0,"; Unpriced","")&amp;IF(AND(V222&gt;0,W222=0,X222=0),"; Low price from another market – confirm with company","")</f>
        <v>Prefilled only</v>
      </c>
      <c r="L222" s="18" t="n">
        <f aca="false">IFERROR(INDEX('Shortlisted Drugs X Company (7)'!$K$3:$K$698,MATCH(B222,'Shortlisted Drugs X Company (7)'!$C$3:$C$698,0)),"")</f>
        <v>365</v>
      </c>
      <c r="M222" s="18" t="n">
        <f aca="false">IFERROR(ROUND(L222*INDEX('Injectable Value'!$Z$28:$Z$178,MATCH(B222,'Injectable Value'!$A$28:$A$178,0)),0),"")</f>
        <v>88</v>
      </c>
      <c r="N222" s="18" t="n">
        <f aca="false">IFERROR(INDEX('Shortlisted Drugs X Company (7)'!$L$3:$L$698,MATCH(B222,'Shortlisted Drugs X Company (7)'!$C$3:$C$698,0)),"")</f>
        <v>5976.94</v>
      </c>
      <c r="O222" s="15" t="str">
        <f aca="false">IF(AE222="No","IV only (not ID/IM/SC)",IF(AND(V222&gt;0,W222=0),"Price ≤ $5",""))</f>
        <v/>
      </c>
      <c r="P222" s="14" t="n">
        <f aca="false">IF(O222&lt;&gt;"","",COUNTIFS($A$29:$A$361,A222,$O$29:$O$361,"",$AC$29:$AC$361,"&gt;"&amp;AC222)+COUNTIFS($A$29:A222,A222,$O$29:O222,"",$AC$29:AC222,AC222))</f>
        <v>25</v>
      </c>
      <c r="Q222" s="15" t="str">
        <f aca="false">IF(O222&lt;&gt;"",IF(O222="Price ≤ $5","Excluded – price ≤ $5","Excluded – IV only"),IF(ISNUMBER(D222),IF(AND(D222&gt;=$C$3,M222&gt;=$E$3),"Priority 1",IF(OR(D222&gt;=$C$3,M222&gt;=$E$3),"Priority 2","Priority 3")),IF(M222&gt;=$E$3,"Priority 2","Priority 3")))</f>
        <v>Priority 3</v>
      </c>
      <c r="R222" s="16" t="s">
        <v>259</v>
      </c>
      <c r="S222" s="15" t="s">
        <v>894</v>
      </c>
      <c r="T222" s="32" t="s">
        <v>483</v>
      </c>
      <c r="U222" s="33" t="str">
        <f aca="false">B222&amp;"|"&amp;S222</f>
        <v>Naloxone|Intas Pharmaceuticals</v>
      </c>
      <c r="V222" s="34" t="n">
        <f aca="false">COUNTIFS('Shortlisted Drugs X Company (7)'!$C$3:$C$698,$B222,'Shortlisted Drugs X Company (7)'!$E$3:$E$698,$S222,'Shortlisted Drugs X Company (7)'!$N$3:$N$698,"&gt;=0")</f>
        <v>1</v>
      </c>
      <c r="W222" s="34" t="n">
        <f aca="false">COUNTIFS('Shortlisted Drugs X Company (7)'!$C$3:$C$698,$B222,'Shortlisted Drugs X Company (7)'!$E$3:$E$698,$S222,'Shortlisted Drugs X Company (7)'!$N$3:$N$698,"&gt;5")</f>
        <v>1</v>
      </c>
      <c r="X222" s="34" t="n">
        <f aca="false">COUNTIFS('Shortlisted Drugs X Company (7)'!$C$3:$C$698,$B222,'Shortlisted Drugs X Company (7)'!$E$3:$E$698,$S222,'Shortlisted Drugs X Company (7)'!$P$3:$P$698,"Exact")+COUNTIFS('Shortlisted Drugs X Company (7)'!$C$3:$C$698,$B222,'Shortlisted Drugs X Company (7)'!$E$3:$E$698,$S222,'Shortlisted Drugs X Company (7)'!$P$3:$P$698,"Same-market proxy")</f>
        <v>1</v>
      </c>
      <c r="Y222" s="33" t="str">
        <f aca="false">A222&amp;"|"&amp;P222</f>
        <v>Intas|25</v>
      </c>
      <c r="Z222" s="16" t="s">
        <v>1067</v>
      </c>
      <c r="AA222" s="33" t="n">
        <f aca="false">INDEX($G$7:$G$25,MATCH(A222,$A$7:$A$25,0))</f>
        <v>1</v>
      </c>
      <c r="AB222" s="33" t="n">
        <f aca="false">IF(AE222="No","",AA222*1000+IF(P222="",900+COUNTIFS($A$29:A222,A222,$O$29:O222,"Price ≤ $5"),P222))</f>
        <v>1025</v>
      </c>
      <c r="AC222" s="33" t="n">
        <f aca="false">IF(O222&lt;&gt;"","",(4-VALUE(RIGHT(Q222,1)))*10^7+N(F222))</f>
        <v>10001437.9</v>
      </c>
      <c r="AD222" s="15" t="str">
        <f aca="false">IFERROR(INDEX('Route of Administration'!$C$5:$C$155,MATCH(B222,'Route of Administration'!$A$5:$A$155,0)),"")</f>
        <v>IV, IM, SC</v>
      </c>
      <c r="AE222" s="14" t="str">
        <f aca="false">IFERROR(INDEX('Route of Administration'!$D$5:$D$155,MATCH(B222,'Route of Administration'!$A$5:$A$155,0)),"")</f>
        <v>Yes</v>
      </c>
      <c r="AF222" s="19" t="n">
        <f aca="false">IF(V222&gt;0,ROUND(AVERAGEIFS('Shortlisted Drugs X Company (7)'!$N$3:$N$698,'Shortlisted Drugs X Company (7)'!$C$3:$C$698,$B222,'Shortlisted Drugs X Company (7)'!$E$3:$E$698,$S222,'Shortlisted Drugs X Company (7)'!$N$3:$N$698,"&gt;=0"),2),"")</f>
        <v>5.42</v>
      </c>
      <c r="AG222" s="16" t="s">
        <v>1068</v>
      </c>
      <c r="AH222" s="16" t="s">
        <v>1069</v>
      </c>
      <c r="AI222" s="16" t="s">
        <v>1070</v>
      </c>
      <c r="AJ222" s="16" t="str">
        <f aca="false">IF(O222&lt;&gt;"","",IF(ISNUMBER(D222),IF(D222&gt;=$C$3,"High price","Lower price"),"Unpriced")&amp;" · "&amp;IF(M222&gt;=$E$3,"high volume","lower volume"))</f>
        <v>Lower price · lower volume</v>
      </c>
      <c r="AK222" s="15" t="str">
        <f aca="false">IF(O222&lt;&gt;"",IF(O222="Price ≤ $5","Excluded – price ≤ $5","Excluded – IV only"),IF(ISNUMBER(D222),IF(AND(D222&gt;=$C$3,L222&gt;=$H$3),"Priority 1",IF(OR(D222&gt;=$C$3,L222&gt;=$H$3),"Priority 2","Priority 3")),IF(L222&gt;=$H$3,"Priority 2","Priority 3")))</f>
        <v>Priority 2</v>
      </c>
      <c r="AL222" s="16" t="str">
        <f aca="false">IF(O222&lt;&gt;"","",IF(ISNUMBER(D222),IF(D222&gt;=$C$3,"High price","Lower price"),"Unpriced")&amp;" · "&amp;IF(L222&gt;=$H$3,"high volume","lower volume"))</f>
        <v>Lower price · high volume</v>
      </c>
      <c r="AM222" s="14" t="n">
        <f aca="false">IF(O222&lt;&gt;"","",COUNTIFS($A$29:$A$361,A222,$O$29:$O$361,"",$AQ$29:$AQ$361,"&gt;"&amp;AQ222)+COUNTIFS($A$29:A222,A222,$O$29:O222,"",$AQ$29:AQ222,AQ222))</f>
        <v>19</v>
      </c>
      <c r="AN222" s="19" t="n">
        <f aca="false">IF(AND(O222="",ISNUMBER(D222)),D222,"")</f>
        <v>5.42</v>
      </c>
      <c r="AO222" s="20" t="n">
        <f aca="false">IF(O222="",M222,"")</f>
        <v>88</v>
      </c>
      <c r="AP222" s="20" t="n">
        <f aca="false">IF(O222="",L222,"")</f>
        <v>365</v>
      </c>
      <c r="AQ222" s="33" t="n">
        <f aca="false">IF(O222&lt;&gt;"","",(4-VALUE(RIGHT(AK222,1)))*10^7+N(N222))</f>
        <v>20005976.94</v>
      </c>
      <c r="AR222" s="33" t="n">
        <f aca="false">INDEX($O$7:$O$25,MATCH(A222,$I$7:$I$25,0))</f>
        <v>1</v>
      </c>
      <c r="AS222" s="33" t="n">
        <f aca="false">IF(AE222="No","",AR222*1000+IF(AM222="",900+COUNTIFS($A$29:A222,A222,$O$29:O222,"Price ≤ $5"),AM222))</f>
        <v>1019</v>
      </c>
    </row>
    <row r="223" customFormat="false" ht="68.65" hidden="false" customHeight="false" outlineLevel="0" collapsed="false">
      <c r="A223" s="15" t="s">
        <v>21</v>
      </c>
      <c r="B223" s="15" t="s">
        <v>487</v>
      </c>
      <c r="C223" s="16" t="s">
        <v>488</v>
      </c>
      <c r="D223" s="17" t="n">
        <f aca="false">IF(W223&gt;0,ROUND(AVERAGEIFS('Shortlisted Drugs X Company (7)'!$N$3:$N$698,'Shortlisted Drugs X Company (7)'!$C$3:$C$698,$B223,'Shortlisted Drugs X Company (7)'!$E$3:$E$698,$S223,'Shortlisted Drugs X Company (7)'!$N$3:$N$698,"&gt;5"),2),"")</f>
        <v>24.05</v>
      </c>
      <c r="E223" s="15" t="str">
        <f aca="false">IF(COUNTIFS('Shortlisted Drugs X Company (7)'!$C$3:$C$698,$B223,'Shortlisted Drugs X Company (7)'!$E$3:$E$698,$S223,'Shortlisted Drugs X Company (7)'!$P$3:$P$698,"Exact")&gt;0,"Exact",IF(COUNTIFS('Shortlisted Drugs X Company (7)'!$C$3:$C$698,$B223,'Shortlisted Drugs X Company (7)'!$E$3:$E$698,$S223,'Shortlisted Drugs X Company (7)'!$P$3:$P$698,"Same-market proxy")&gt;0,"Same-market proxy",IF(COUNTIFS('Shortlisted Drugs X Company (7)'!$C$3:$C$698,$B223,'Shortlisted Drugs X Company (7)'!$E$3:$E$698,$S223,'Shortlisted Drugs X Company (7)'!$P$3:$P$698,"Cross-market proxy")&gt;0,"Cross-market proxy",IF(COUNTIFS('Shortlisted Drugs X Company (7)'!$C$3:$C$698,$B223,'Shortlisted Drugs X Company (7)'!$E$3:$E$698,$S223,'Shortlisted Drugs X Company (7)'!$P$3:$P$698,"Source not found")&gt;0,"Source not found","Not priced"))))</f>
        <v>Exact</v>
      </c>
      <c r="F223" s="18" t="n">
        <f aca="false">IFERROR(ROUND(INDEX('Injectable Value'!$AA$28:$AA$178,MATCH(B223,'Injectable Value'!$A$28:$A$178,0)),1),"")</f>
        <v>17590.5</v>
      </c>
      <c r="G223" s="16" t="s">
        <v>307</v>
      </c>
      <c r="H223" s="14" t="n">
        <v>27</v>
      </c>
      <c r="I223" s="15" t="s">
        <v>1071</v>
      </c>
      <c r="J223" s="15" t="s">
        <v>249</v>
      </c>
      <c r="K223" s="16" t="str">
        <f aca="false">""&amp;IF(V223=0,"Unpriced","")&amp;IF(AND(V223&gt;0,W223=0,X223=0),"Low price from another market – confirm with company","")</f>
        <v/>
      </c>
      <c r="L223" s="18" t="n">
        <f aca="false">IFERROR(INDEX('Shortlisted Drugs X Company (7)'!$K$3:$K$698,MATCH(B223,'Shortlisted Drugs X Company (7)'!$C$3:$C$698,0)),"")</f>
        <v>2546</v>
      </c>
      <c r="M223" s="18" t="n">
        <f aca="false">IFERROR(ROUND(L223*INDEX('Injectable Value'!$Z$28:$Z$178,MATCH(B223,'Injectable Value'!$A$28:$A$178,0)),0),"")</f>
        <v>963</v>
      </c>
      <c r="N223" s="18" t="n">
        <f aca="false">IFERROR(INDEX('Shortlisted Drugs X Company (7)'!$L$3:$L$698,MATCH(B223,'Shortlisted Drugs X Company (7)'!$C$3:$C$698,0)),"")</f>
        <v>46507.62</v>
      </c>
      <c r="O223" s="15" t="str">
        <f aca="false">IF(AE223="No","IV only (not ID/IM/SC)",IF(AND(V223&gt;0,W223=0),"Price ≤ $5",""))</f>
        <v/>
      </c>
      <c r="P223" s="14" t="n">
        <f aca="false">IF(O223&lt;&gt;"","",COUNTIFS($A$29:$A$361,A223,$O$29:$O$361,"",$AC$29:$AC$361,"&gt;"&amp;AC223)+COUNTIFS($A$29:A223,A223,$O$29:O223,"",$AC$29:AC223,AC223))</f>
        <v>11</v>
      </c>
      <c r="Q223" s="15" t="str">
        <f aca="false">IF(O223&lt;&gt;"",IF(O223="Price ≤ $5","Excluded – price ≤ $5","Excluded – IV only"),IF(ISNUMBER(D223),IF(AND(D223&gt;=$C$3,M223&gt;=$E$3),"Priority 1",IF(OR(D223&gt;=$C$3,M223&gt;=$E$3),"Priority 2","Priority 3")),IF(M223&gt;=$E$3,"Priority 2","Priority 3")))</f>
        <v>Priority 2</v>
      </c>
      <c r="R223" s="16" t="s">
        <v>250</v>
      </c>
      <c r="S223" s="15" t="s">
        <v>894</v>
      </c>
      <c r="T223" s="32" t="s">
        <v>490</v>
      </c>
      <c r="U223" s="33" t="str">
        <f aca="false">B223&amp;"|"&amp;S223</f>
        <v>Ondansetron|Intas Pharmaceuticals</v>
      </c>
      <c r="V223" s="34" t="n">
        <f aca="false">COUNTIFS('Shortlisted Drugs X Company (7)'!$C$3:$C$698,$B223,'Shortlisted Drugs X Company (7)'!$E$3:$E$698,$S223,'Shortlisted Drugs X Company (7)'!$N$3:$N$698,"&gt;=0")</f>
        <v>4</v>
      </c>
      <c r="W223" s="34" t="n">
        <f aca="false">COUNTIFS('Shortlisted Drugs X Company (7)'!$C$3:$C$698,$B223,'Shortlisted Drugs X Company (7)'!$E$3:$E$698,$S223,'Shortlisted Drugs X Company (7)'!$N$3:$N$698,"&gt;5")</f>
        <v>4</v>
      </c>
      <c r="X223" s="34" t="n">
        <f aca="false">COUNTIFS('Shortlisted Drugs X Company (7)'!$C$3:$C$698,$B223,'Shortlisted Drugs X Company (7)'!$E$3:$E$698,$S223,'Shortlisted Drugs X Company (7)'!$P$3:$P$698,"Exact")+COUNTIFS('Shortlisted Drugs X Company (7)'!$C$3:$C$698,$B223,'Shortlisted Drugs X Company (7)'!$E$3:$E$698,$S223,'Shortlisted Drugs X Company (7)'!$P$3:$P$698,"Same-market proxy")</f>
        <v>4</v>
      </c>
      <c r="Y223" s="33" t="str">
        <f aca="false">A223&amp;"|"&amp;P223</f>
        <v>Intas|11</v>
      </c>
      <c r="Z223" s="16" t="s">
        <v>1072</v>
      </c>
      <c r="AA223" s="33" t="n">
        <f aca="false">INDEX($G$7:$G$25,MATCH(A223,$A$7:$A$25,0))</f>
        <v>1</v>
      </c>
      <c r="AB223" s="33" t="n">
        <f aca="false">IF(AE223="No","",AA223*1000+IF(P223="",900+COUNTIFS($A$29:A223,A223,$O$29:O223,"Price ≤ $5"),P223))</f>
        <v>1011</v>
      </c>
      <c r="AC223" s="33" t="n">
        <f aca="false">IF(O223&lt;&gt;"","",(4-VALUE(RIGHT(Q223,1)))*10^7+N(F223))</f>
        <v>20017590.5</v>
      </c>
      <c r="AD223" s="15" t="str">
        <f aca="false">IFERROR(INDEX('Route of Administration'!$C$5:$C$155,MATCH(B223,'Route of Administration'!$A$5:$A$155,0)),"")</f>
        <v>IV, IM</v>
      </c>
      <c r="AE223" s="14" t="str">
        <f aca="false">IFERROR(INDEX('Route of Administration'!$D$5:$D$155,MATCH(B223,'Route of Administration'!$A$5:$A$155,0)),"")</f>
        <v>Yes</v>
      </c>
      <c r="AF223" s="19" t="n">
        <f aca="false">IF(V223&gt;0,ROUND(AVERAGEIFS('Shortlisted Drugs X Company (7)'!$N$3:$N$698,'Shortlisted Drugs X Company (7)'!$C$3:$C$698,$B223,'Shortlisted Drugs X Company (7)'!$E$3:$E$698,$S223,'Shortlisted Drugs X Company (7)'!$N$3:$N$698,"&gt;=0"),2),"")</f>
        <v>24.05</v>
      </c>
      <c r="AG223" s="16" t="s">
        <v>1073</v>
      </c>
      <c r="AH223" s="16" t="s">
        <v>1074</v>
      </c>
      <c r="AI223" s="16" t="s">
        <v>1075</v>
      </c>
      <c r="AJ223" s="16" t="str">
        <f aca="false">IF(O223&lt;&gt;"","",IF(ISNUMBER(D223),IF(D223&gt;=$C$3,"High price","Lower price"),"Unpriced")&amp;" · "&amp;IF(M223&gt;=$E$3,"high volume","lower volume"))</f>
        <v>Lower price · high volume</v>
      </c>
      <c r="AK223" s="15" t="str">
        <f aca="false">IF(O223&lt;&gt;"",IF(O223="Price ≤ $5","Excluded – price ≤ $5","Excluded – IV only"),IF(ISNUMBER(D223),IF(AND(D223&gt;=$C$3,L223&gt;=$H$3),"Priority 1",IF(OR(D223&gt;=$C$3,L223&gt;=$H$3),"Priority 2","Priority 3")),IF(L223&gt;=$H$3,"Priority 2","Priority 3")))</f>
        <v>Priority 2</v>
      </c>
      <c r="AL223" s="16" t="str">
        <f aca="false">IF(O223&lt;&gt;"","",IF(ISNUMBER(D223),IF(D223&gt;=$C$3,"High price","Lower price"),"Unpriced")&amp;" · "&amp;IF(L223&gt;=$H$3,"high volume","lower volume"))</f>
        <v>Lower price · high volume</v>
      </c>
      <c r="AM223" s="14" t="n">
        <f aca="false">IF(O223&lt;&gt;"","",COUNTIFS($A$29:$A$361,A223,$O$29:$O$361,"",$AQ$29:$AQ$361,"&gt;"&amp;AQ223)+COUNTIFS($A$29:A223,A223,$O$29:O223,"",$AQ$29:AQ223,AQ223))</f>
        <v>9</v>
      </c>
      <c r="AN223" s="19" t="n">
        <f aca="false">IF(AND(O223="",ISNUMBER(D223)),D223,"")</f>
        <v>24.05</v>
      </c>
      <c r="AO223" s="20" t="n">
        <f aca="false">IF(O223="",M223,"")</f>
        <v>963</v>
      </c>
      <c r="AP223" s="20" t="n">
        <f aca="false">IF(O223="",L223,"")</f>
        <v>2546</v>
      </c>
      <c r="AQ223" s="33" t="n">
        <f aca="false">IF(O223&lt;&gt;"","",(4-VALUE(RIGHT(AK223,1)))*10^7+N(N223))</f>
        <v>20046507.62</v>
      </c>
      <c r="AR223" s="33" t="n">
        <f aca="false">INDEX($O$7:$O$25,MATCH(A223,$I$7:$I$25,0))</f>
        <v>1</v>
      </c>
      <c r="AS223" s="33" t="n">
        <f aca="false">IF(AE223="No","",AR223*1000+IF(AM223="",900+COUNTIFS($A$29:A223,A223,$O$29:O223,"Price ≤ $5"),AM223))</f>
        <v>1009</v>
      </c>
    </row>
    <row r="224" customFormat="false" ht="82.05" hidden="false" customHeight="false" outlineLevel="0" collapsed="false">
      <c r="A224" s="15" t="s">
        <v>21</v>
      </c>
      <c r="B224" s="15" t="s">
        <v>1076</v>
      </c>
      <c r="C224" s="16" t="s">
        <v>1077</v>
      </c>
      <c r="D224" s="17" t="n">
        <f aca="false">IF(W224&gt;0,ROUND(AVERAGEIFS('Shortlisted Drugs X Company (7)'!$N$3:$N$698,'Shortlisted Drugs X Company (7)'!$C$3:$C$698,$B224,'Shortlisted Drugs X Company (7)'!$E$3:$E$698,$S224,'Shortlisted Drugs X Company (7)'!$N$3:$N$698,"&gt;5"),2),"")</f>
        <v>261.8</v>
      </c>
      <c r="E224" s="15" t="str">
        <f aca="false">IF(COUNTIFS('Shortlisted Drugs X Company (7)'!$C$3:$C$698,$B224,'Shortlisted Drugs X Company (7)'!$E$3:$E$698,$S224,'Shortlisted Drugs X Company (7)'!$P$3:$P$698,"Exact")&gt;0,"Exact",IF(COUNTIFS('Shortlisted Drugs X Company (7)'!$C$3:$C$698,$B224,'Shortlisted Drugs X Company (7)'!$E$3:$E$698,$S224,'Shortlisted Drugs X Company (7)'!$P$3:$P$698,"Same-market proxy")&gt;0,"Same-market proxy",IF(COUNTIFS('Shortlisted Drugs X Company (7)'!$C$3:$C$698,$B224,'Shortlisted Drugs X Company (7)'!$E$3:$E$698,$S224,'Shortlisted Drugs X Company (7)'!$P$3:$P$698,"Cross-market proxy")&gt;0,"Cross-market proxy",IF(COUNTIFS('Shortlisted Drugs X Company (7)'!$C$3:$C$698,$B224,'Shortlisted Drugs X Company (7)'!$E$3:$E$698,$S224,'Shortlisted Drugs X Company (7)'!$P$3:$P$698,"Source not found")&gt;0,"Source not found","Not priced"))))</f>
        <v>Same-market proxy</v>
      </c>
      <c r="F224" s="18" t="n">
        <f aca="false">IFERROR(ROUND(INDEX('Injectable Value'!$AA$28:$AA$178,MATCH(B224,'Injectable Value'!$A$28:$A$178,0)),1),"")</f>
        <v>26948.8</v>
      </c>
      <c r="G224" s="16" t="s">
        <v>977</v>
      </c>
      <c r="H224" s="14" t="n">
        <v>32</v>
      </c>
      <c r="I224" s="15" t="s">
        <v>248</v>
      </c>
      <c r="J224" s="15" t="s">
        <v>249</v>
      </c>
      <c r="K224" s="16" t="str">
        <f aca="false">"Cancer drug (cytotoxic) – less relevant"&amp;IF(V224=0,"; Unpriced","")&amp;IF(AND(V224&gt;0,W224=0,X224=0),"; Low price from another market – confirm with company","")</f>
        <v>Cancer drug (cytotoxic) – less relevant</v>
      </c>
      <c r="L224" s="18" t="n">
        <f aca="false">IFERROR(INDEX('Shortlisted Drugs X Company (7)'!$K$3:$K$698,MATCH(B224,'Shortlisted Drugs X Company (7)'!$C$3:$C$698,0)),"")</f>
        <v>1289</v>
      </c>
      <c r="M224" s="18" t="n">
        <f aca="false">IFERROR(ROUND(L224*INDEX('Injectable Value'!$Z$28:$Z$178,MATCH(B224,'Injectable Value'!$A$28:$A$178,0)),0),"")</f>
        <v>1162</v>
      </c>
      <c r="N224" s="18" t="n">
        <f aca="false">IFERROR(INDEX('Shortlisted Drugs X Company (7)'!$L$3:$L$698,MATCH(B224,'Shortlisted Drugs X Company (7)'!$C$3:$C$698,0)),"")</f>
        <v>29883.81</v>
      </c>
      <c r="O224" s="15" t="str">
        <f aca="false">IF(AE224="No","IV only (not ID/IM/SC)",IF(AND(V224&gt;0,W224=0),"Price ≤ $5",""))</f>
        <v>IV only (not ID/IM/SC)</v>
      </c>
      <c r="P224" s="14" t="str">
        <f aca="false">IF(O224&lt;&gt;"","",COUNTIFS($A$29:$A$361,A224,$O$29:$O$361,"",$AC$29:$AC$361,"&gt;"&amp;AC224)+COUNTIFS($A$29:A224,A224,$O$29:O224,"",$AC$29:AC224,AC224))</f>
        <v/>
      </c>
      <c r="Q224" s="15" t="str">
        <f aca="false">IF(O224&lt;&gt;"",IF(O224="Price ≤ $5","Excluded – price ≤ $5","Excluded – IV only"),IF(ISNUMBER(D224),IF(AND(D224&gt;=$C$3,M224&gt;=$E$3),"Priority 1",IF(OR(D224&gt;=$C$3,M224&gt;=$E$3),"Priority 2","Priority 3")),IF(M224&gt;=$E$3,"Priority 2","Priority 3")))</f>
        <v>Excluded – IV only</v>
      </c>
      <c r="R224" s="16" t="s">
        <v>285</v>
      </c>
      <c r="S224" s="15" t="s">
        <v>894</v>
      </c>
      <c r="T224" s="32" t="s">
        <v>1078</v>
      </c>
      <c r="U224" s="33" t="str">
        <f aca="false">B224&amp;"|"&amp;S224</f>
        <v>Paclitaxel|Intas Pharmaceuticals</v>
      </c>
      <c r="V224" s="34" t="n">
        <f aca="false">COUNTIFS('Shortlisted Drugs X Company (7)'!$C$3:$C$698,$B224,'Shortlisted Drugs X Company (7)'!$E$3:$E$698,$S224,'Shortlisted Drugs X Company (7)'!$N$3:$N$698,"&gt;=0")</f>
        <v>1</v>
      </c>
      <c r="W224" s="34" t="n">
        <f aca="false">COUNTIFS('Shortlisted Drugs X Company (7)'!$C$3:$C$698,$B224,'Shortlisted Drugs X Company (7)'!$E$3:$E$698,$S224,'Shortlisted Drugs X Company (7)'!$N$3:$N$698,"&gt;5")</f>
        <v>1</v>
      </c>
      <c r="X224" s="34" t="n">
        <f aca="false">COUNTIFS('Shortlisted Drugs X Company (7)'!$C$3:$C$698,$B224,'Shortlisted Drugs X Company (7)'!$E$3:$E$698,$S224,'Shortlisted Drugs X Company (7)'!$P$3:$P$698,"Exact")+COUNTIFS('Shortlisted Drugs X Company (7)'!$C$3:$C$698,$B224,'Shortlisted Drugs X Company (7)'!$E$3:$E$698,$S224,'Shortlisted Drugs X Company (7)'!$P$3:$P$698,"Same-market proxy")</f>
        <v>1</v>
      </c>
      <c r="Y224" s="33" t="str">
        <f aca="false">A224&amp;"|"&amp;P224</f>
        <v>Intas|</v>
      </c>
      <c r="Z224" s="16" t="s">
        <v>1079</v>
      </c>
      <c r="AA224" s="33" t="n">
        <f aca="false">INDEX($G$7:$G$25,MATCH(A224,$A$7:$A$25,0))</f>
        <v>1</v>
      </c>
      <c r="AB224" s="33" t="str">
        <f aca="false">IF(AE224="No","",AA224*1000+IF(P224="",900+COUNTIFS($A$29:A224,A224,$O$29:O224,"Price ≤ $5"),P224))</f>
        <v/>
      </c>
      <c r="AC224" s="33" t="str">
        <f aca="false">IF(O224&lt;&gt;"","",(4-VALUE(RIGHT(Q224,1)))*10^7+N(F224))</f>
        <v/>
      </c>
      <c r="AD224" s="15" t="str">
        <f aca="false">IFERROR(INDEX('Route of Administration'!$C$5:$C$155,MATCH(B224,'Route of Administration'!$A$5:$A$155,0)),"")</f>
        <v>IV</v>
      </c>
      <c r="AE224" s="14" t="str">
        <f aca="false">IFERROR(INDEX('Route of Administration'!$D$5:$D$155,MATCH(B224,'Route of Administration'!$A$5:$A$155,0)),"")</f>
        <v>No</v>
      </c>
      <c r="AF224" s="19" t="n">
        <f aca="false">IF(V224&gt;0,ROUND(AVERAGEIFS('Shortlisted Drugs X Company (7)'!$N$3:$N$698,'Shortlisted Drugs X Company (7)'!$C$3:$C$698,$B224,'Shortlisted Drugs X Company (7)'!$E$3:$E$698,$S224,'Shortlisted Drugs X Company (7)'!$N$3:$N$698,"&gt;=0"),2),"")</f>
        <v>261.8</v>
      </c>
      <c r="AG224" s="16" t="s">
        <v>1076</v>
      </c>
      <c r="AH224" s="16" t="s">
        <v>1080</v>
      </c>
      <c r="AI224" s="16" t="s">
        <v>1081</v>
      </c>
      <c r="AJ224" s="16" t="str">
        <f aca="false">IF(O224&lt;&gt;"","",IF(ISNUMBER(D224),IF(D224&gt;=$C$3,"High price","Lower price"),"Unpriced")&amp;" · "&amp;IF(M224&gt;=$E$3,"high volume","lower volume"))</f>
        <v/>
      </c>
      <c r="AK224" s="15" t="str">
        <f aca="false">IF(O224&lt;&gt;"",IF(O224="Price ≤ $5","Excluded – price ≤ $5","Excluded – IV only"),IF(ISNUMBER(D224),IF(AND(D224&gt;=$C$3,L224&gt;=$H$3),"Priority 1",IF(OR(D224&gt;=$C$3,L224&gt;=$H$3),"Priority 2","Priority 3")),IF(L224&gt;=$H$3,"Priority 2","Priority 3")))</f>
        <v>Excluded – IV only</v>
      </c>
      <c r="AL224" s="16" t="str">
        <f aca="false">IF(O224&lt;&gt;"","",IF(ISNUMBER(D224),IF(D224&gt;=$C$3,"High price","Lower price"),"Unpriced")&amp;" · "&amp;IF(L224&gt;=$H$3,"high volume","lower volume"))</f>
        <v/>
      </c>
      <c r="AM224" s="14" t="str">
        <f aca="false">IF(O224&lt;&gt;"","",COUNTIFS($A$29:$A$361,A224,$O$29:$O$361,"",$AQ$29:$AQ$361,"&gt;"&amp;AQ224)+COUNTIFS($A$29:A224,A224,$O$29:O224,"",$AQ$29:AQ224,AQ224))</f>
        <v/>
      </c>
      <c r="AN224" s="33" t="str">
        <f aca="false">IF(AND(O224="",ISNUMBER(D224)),D224,"")</f>
        <v/>
      </c>
      <c r="AO224" s="33" t="str">
        <f aca="false">IF(O224="",M224,"")</f>
        <v/>
      </c>
      <c r="AP224" s="33" t="str">
        <f aca="false">IF(O224="",L224,"")</f>
        <v/>
      </c>
      <c r="AQ224" s="33" t="str">
        <f aca="false">IF(O224&lt;&gt;"","",(4-VALUE(RIGHT(AK224,1)))*10^7+N(N224))</f>
        <v/>
      </c>
      <c r="AR224" s="33" t="n">
        <f aca="false">INDEX($O$7:$O$25,MATCH(A224,$I$7:$I$25,0))</f>
        <v>1</v>
      </c>
      <c r="AS224" s="33" t="str">
        <f aca="false">IF(AE224="No","",AR224*1000+IF(AM224="",900+COUNTIFS($A$29:A224,A224,$O$29:O224,"Price ≤ $5"),AM224))</f>
        <v/>
      </c>
    </row>
    <row r="225" customFormat="false" ht="82.05" hidden="false" customHeight="false" outlineLevel="0" collapsed="false">
      <c r="A225" s="15" t="s">
        <v>21</v>
      </c>
      <c r="B225" s="15" t="s">
        <v>498</v>
      </c>
      <c r="C225" s="16" t="s">
        <v>499</v>
      </c>
      <c r="D225" s="17" t="n">
        <f aca="false">IF(W225&gt;0,ROUND(AVERAGEIFS('Shortlisted Drugs X Company (7)'!$N$3:$N$698,'Shortlisted Drugs X Company (7)'!$C$3:$C$698,$B225,'Shortlisted Drugs X Company (7)'!$E$3:$E$698,$S225,'Shortlisted Drugs X Company (7)'!$N$3:$N$698,"&gt;5"),2),"")</f>
        <v>60.84</v>
      </c>
      <c r="E225" s="15" t="str">
        <f aca="false">IF(COUNTIFS('Shortlisted Drugs X Company (7)'!$C$3:$C$698,$B225,'Shortlisted Drugs X Company (7)'!$E$3:$E$698,$S225,'Shortlisted Drugs X Company (7)'!$P$3:$P$698,"Exact")&gt;0,"Exact",IF(COUNTIFS('Shortlisted Drugs X Company (7)'!$C$3:$C$698,$B225,'Shortlisted Drugs X Company (7)'!$E$3:$E$698,$S225,'Shortlisted Drugs X Company (7)'!$P$3:$P$698,"Same-market proxy")&gt;0,"Same-market proxy",IF(COUNTIFS('Shortlisted Drugs X Company (7)'!$C$3:$C$698,$B225,'Shortlisted Drugs X Company (7)'!$E$3:$E$698,$S225,'Shortlisted Drugs X Company (7)'!$P$3:$P$698,"Cross-market proxy")&gt;0,"Cross-market proxy",IF(COUNTIFS('Shortlisted Drugs X Company (7)'!$C$3:$C$698,$B225,'Shortlisted Drugs X Company (7)'!$E$3:$E$698,$S225,'Shortlisted Drugs X Company (7)'!$P$3:$P$698,"Source not found")&gt;0,"Source not found","Not priced"))))</f>
        <v>Exact</v>
      </c>
      <c r="F225" s="18" t="n">
        <f aca="false">IFERROR(ROUND(INDEX('Injectable Value'!$AA$28:$AA$178,MATCH(B225,'Injectable Value'!$A$28:$A$178,0)),1),"")</f>
        <v>2802.1</v>
      </c>
      <c r="G225" s="16" t="s">
        <v>423</v>
      </c>
      <c r="H225" s="14" t="n">
        <v>32</v>
      </c>
      <c r="I225" s="15" t="s">
        <v>248</v>
      </c>
      <c r="J225" s="15" t="s">
        <v>249</v>
      </c>
      <c r="K225" s="16" t="str">
        <f aca="false">""&amp;IF(V225=0,"Unpriced","")&amp;IF(AND(V225&gt;0,W225=0,X225=0),"Low price from another market – confirm with company","")</f>
        <v/>
      </c>
      <c r="L225" s="18" t="n">
        <f aca="false">IFERROR(INDEX('Shortlisted Drugs X Company (7)'!$K$3:$K$698,MATCH(B225,'Shortlisted Drugs X Company (7)'!$C$3:$C$698,0)),"")</f>
        <v>119</v>
      </c>
      <c r="M225" s="18" t="n">
        <f aca="false">IFERROR(ROUND(L225*INDEX('Injectable Value'!$Z$28:$Z$178,MATCH(B225,'Injectable Value'!$A$28:$A$178,0)),0),"")</f>
        <v>107</v>
      </c>
      <c r="N225" s="18" t="n">
        <f aca="false">IFERROR(INDEX('Shortlisted Drugs X Company (7)'!$L$3:$L$698,MATCH(B225,'Shortlisted Drugs X Company (7)'!$C$3:$C$698,0)),"")</f>
        <v>3113.83</v>
      </c>
      <c r="O225" s="15" t="str">
        <f aca="false">IF(AE225="No","IV only (not ID/IM/SC)",IF(AND(V225&gt;0,W225=0),"Price ≤ $5",""))</f>
        <v>IV only (not ID/IM/SC)</v>
      </c>
      <c r="P225" s="14" t="str">
        <f aca="false">IF(O225&lt;&gt;"","",COUNTIFS($A$29:$A$361,A225,$O$29:$O$361,"",$AC$29:$AC$361,"&gt;"&amp;AC225)+COUNTIFS($A$29:A225,A225,$O$29:O225,"",$AC$29:AC225,AC225))</f>
        <v/>
      </c>
      <c r="Q225" s="15" t="str">
        <f aca="false">IF(O225&lt;&gt;"",IF(O225="Price ≤ $5","Excluded – price ≤ $5","Excluded – IV only"),IF(ISNUMBER(D225),IF(AND(D225&gt;=$C$3,M225&gt;=$E$3),"Priority 1",IF(OR(D225&gt;=$C$3,M225&gt;=$E$3),"Priority 2","Priority 3")),IF(M225&gt;=$E$3,"Priority 2","Priority 3")))</f>
        <v>Excluded – IV only</v>
      </c>
      <c r="R225" s="16" t="s">
        <v>250</v>
      </c>
      <c r="S225" s="15" t="s">
        <v>894</v>
      </c>
      <c r="T225" s="32" t="s">
        <v>500</v>
      </c>
      <c r="U225" s="33" t="str">
        <f aca="false">B225&amp;"|"&amp;S225</f>
        <v>Palonosetron|Intas Pharmaceuticals</v>
      </c>
      <c r="V225" s="34" t="n">
        <f aca="false">COUNTIFS('Shortlisted Drugs X Company (7)'!$C$3:$C$698,$B225,'Shortlisted Drugs X Company (7)'!$E$3:$E$698,$S225,'Shortlisted Drugs X Company (7)'!$N$3:$N$698,"&gt;=0")</f>
        <v>3</v>
      </c>
      <c r="W225" s="34" t="n">
        <f aca="false">COUNTIFS('Shortlisted Drugs X Company (7)'!$C$3:$C$698,$B225,'Shortlisted Drugs X Company (7)'!$E$3:$E$698,$S225,'Shortlisted Drugs X Company (7)'!$N$3:$N$698,"&gt;5")</f>
        <v>3</v>
      </c>
      <c r="X225" s="34" t="n">
        <f aca="false">COUNTIFS('Shortlisted Drugs X Company (7)'!$C$3:$C$698,$B225,'Shortlisted Drugs X Company (7)'!$E$3:$E$698,$S225,'Shortlisted Drugs X Company (7)'!$P$3:$P$698,"Exact")+COUNTIFS('Shortlisted Drugs X Company (7)'!$C$3:$C$698,$B225,'Shortlisted Drugs X Company (7)'!$E$3:$E$698,$S225,'Shortlisted Drugs X Company (7)'!$P$3:$P$698,"Same-market proxy")</f>
        <v>3</v>
      </c>
      <c r="Y225" s="33" t="str">
        <f aca="false">A225&amp;"|"&amp;P225</f>
        <v>Intas|</v>
      </c>
      <c r="Z225" s="16" t="s">
        <v>1082</v>
      </c>
      <c r="AA225" s="33" t="n">
        <f aca="false">INDEX($G$7:$G$25,MATCH(A225,$A$7:$A$25,0))</f>
        <v>1</v>
      </c>
      <c r="AB225" s="33" t="str">
        <f aca="false">IF(AE225="No","",AA225*1000+IF(P225="",900+COUNTIFS($A$29:A225,A225,$O$29:O225,"Price ≤ $5"),P225))</f>
        <v/>
      </c>
      <c r="AC225" s="33" t="str">
        <f aca="false">IF(O225&lt;&gt;"","",(4-VALUE(RIGHT(Q225,1)))*10^7+N(F225))</f>
        <v/>
      </c>
      <c r="AD225" s="15" t="str">
        <f aca="false">IFERROR(INDEX('Route of Administration'!$C$5:$C$155,MATCH(B225,'Route of Administration'!$A$5:$A$155,0)),"")</f>
        <v>IV</v>
      </c>
      <c r="AE225" s="14" t="str">
        <f aca="false">IFERROR(INDEX('Route of Administration'!$D$5:$D$155,MATCH(B225,'Route of Administration'!$A$5:$A$155,0)),"")</f>
        <v>No</v>
      </c>
      <c r="AF225" s="19" t="n">
        <f aca="false">IF(V225&gt;0,ROUND(AVERAGEIFS('Shortlisted Drugs X Company (7)'!$N$3:$N$698,'Shortlisted Drugs X Company (7)'!$C$3:$C$698,$B225,'Shortlisted Drugs X Company (7)'!$E$3:$E$698,$S225,'Shortlisted Drugs X Company (7)'!$N$3:$N$698,"&gt;=0"),2),"")</f>
        <v>60.84</v>
      </c>
      <c r="AG225" s="16" t="s">
        <v>1083</v>
      </c>
      <c r="AH225" s="16" t="s">
        <v>1084</v>
      </c>
      <c r="AI225" s="16" t="s">
        <v>1085</v>
      </c>
      <c r="AJ225" s="16" t="str">
        <f aca="false">IF(O225&lt;&gt;"","",IF(ISNUMBER(D225),IF(D225&gt;=$C$3,"High price","Lower price"),"Unpriced")&amp;" · "&amp;IF(M225&gt;=$E$3,"high volume","lower volume"))</f>
        <v/>
      </c>
      <c r="AK225" s="15" t="str">
        <f aca="false">IF(O225&lt;&gt;"",IF(O225="Price ≤ $5","Excluded – price ≤ $5","Excluded – IV only"),IF(ISNUMBER(D225),IF(AND(D225&gt;=$C$3,L225&gt;=$H$3),"Priority 1",IF(OR(D225&gt;=$C$3,L225&gt;=$H$3),"Priority 2","Priority 3")),IF(L225&gt;=$H$3,"Priority 2","Priority 3")))</f>
        <v>Excluded – IV only</v>
      </c>
      <c r="AL225" s="16" t="str">
        <f aca="false">IF(O225&lt;&gt;"","",IF(ISNUMBER(D225),IF(D225&gt;=$C$3,"High price","Lower price"),"Unpriced")&amp;" · "&amp;IF(L225&gt;=$H$3,"high volume","lower volume"))</f>
        <v/>
      </c>
      <c r="AM225" s="14" t="str">
        <f aca="false">IF(O225&lt;&gt;"","",COUNTIFS($A$29:$A$361,A225,$O$29:$O$361,"",$AQ$29:$AQ$361,"&gt;"&amp;AQ225)+COUNTIFS($A$29:A225,A225,$O$29:O225,"",$AQ$29:AQ225,AQ225))</f>
        <v/>
      </c>
      <c r="AN225" s="33" t="str">
        <f aca="false">IF(AND(O225="",ISNUMBER(D225)),D225,"")</f>
        <v/>
      </c>
      <c r="AO225" s="33" t="str">
        <f aca="false">IF(O225="",M225,"")</f>
        <v/>
      </c>
      <c r="AP225" s="33" t="str">
        <f aca="false">IF(O225="",L225,"")</f>
        <v/>
      </c>
      <c r="AQ225" s="33" t="str">
        <f aca="false">IF(O225&lt;&gt;"","",(4-VALUE(RIGHT(AK225,1)))*10^7+N(N225))</f>
        <v/>
      </c>
      <c r="AR225" s="33" t="n">
        <f aca="false">INDEX($O$7:$O$25,MATCH(A225,$I$7:$I$25,0))</f>
        <v>1</v>
      </c>
      <c r="AS225" s="33" t="str">
        <f aca="false">IF(AE225="No","",AR225*1000+IF(AM225="",900+COUNTIFS($A$29:A225,A225,$O$29:O225,"Price ≤ $5"),AM225))</f>
        <v/>
      </c>
    </row>
    <row r="226" customFormat="false" ht="41.75" hidden="false" customHeight="false" outlineLevel="0" collapsed="false">
      <c r="A226" s="15" t="s">
        <v>21</v>
      </c>
      <c r="B226" s="15" t="s">
        <v>503</v>
      </c>
      <c r="C226" s="16" t="s">
        <v>504</v>
      </c>
      <c r="D226" s="17" t="n">
        <f aca="false">IF(W226&gt;0,ROUND(AVERAGEIFS('Shortlisted Drugs X Company (7)'!$N$3:$N$698,'Shortlisted Drugs X Company (7)'!$C$3:$C$698,$B226,'Shortlisted Drugs X Company (7)'!$E$3:$E$698,$S226,'Shortlisted Drugs X Company (7)'!$N$3:$N$698,"&gt;5"),2),"")</f>
        <v>6.08</v>
      </c>
      <c r="E226" s="15" t="str">
        <f aca="false">IF(COUNTIFS('Shortlisted Drugs X Company (7)'!$C$3:$C$698,$B226,'Shortlisted Drugs X Company (7)'!$E$3:$E$698,$S226,'Shortlisted Drugs X Company (7)'!$P$3:$P$698,"Exact")&gt;0,"Exact",IF(COUNTIFS('Shortlisted Drugs X Company (7)'!$C$3:$C$698,$B226,'Shortlisted Drugs X Company (7)'!$E$3:$E$698,$S226,'Shortlisted Drugs X Company (7)'!$P$3:$P$698,"Same-market proxy")&gt;0,"Same-market proxy",IF(COUNTIFS('Shortlisted Drugs X Company (7)'!$C$3:$C$698,$B226,'Shortlisted Drugs X Company (7)'!$E$3:$E$698,$S226,'Shortlisted Drugs X Company (7)'!$P$3:$P$698,"Cross-market proxy")&gt;0,"Cross-market proxy",IF(COUNTIFS('Shortlisted Drugs X Company (7)'!$C$3:$C$698,$B226,'Shortlisted Drugs X Company (7)'!$E$3:$E$698,$S226,'Shortlisted Drugs X Company (7)'!$P$3:$P$698,"Source not found")&gt;0,"Source not found","Not priced"))))</f>
        <v>Same-market proxy</v>
      </c>
      <c r="F226" s="18" t="n">
        <f aca="false">IFERROR(ROUND(INDEX('Injectable Value'!$AA$28:$AA$178,MATCH(B226,'Injectable Value'!$A$28:$A$178,0)),1),"")</f>
        <v>35276.7</v>
      </c>
      <c r="G226" s="16" t="s">
        <v>1086</v>
      </c>
      <c r="H226" s="14" t="n">
        <v>14</v>
      </c>
      <c r="I226" s="15" t="s">
        <v>248</v>
      </c>
      <c r="J226" s="15" t="s">
        <v>299</v>
      </c>
      <c r="K226" s="16" t="str">
        <f aca="false">"Reconstitution"&amp;IF(V226=0,"; Unpriced","")&amp;IF(AND(V226&gt;0,W226=0,X226=0),"; Low price from another market – confirm with company","")</f>
        <v>Reconstitution</v>
      </c>
      <c r="L226" s="18" t="n">
        <f aca="false">IFERROR(INDEX('Shortlisted Drugs X Company (7)'!$K$3:$K$698,MATCH(B226,'Shortlisted Drugs X Company (7)'!$C$3:$C$698,0)),"")</f>
        <v>3515</v>
      </c>
      <c r="M226" s="18" t="n">
        <f aca="false">IFERROR(ROUND(L226*INDEX('Injectable Value'!$Z$28:$Z$178,MATCH(B226,'Injectable Value'!$A$28:$A$178,0)),0),"")</f>
        <v>885</v>
      </c>
      <c r="N226" s="18" t="n">
        <f aca="false">IFERROR(INDEX('Shortlisted Drugs X Company (7)'!$L$3:$L$698,MATCH(B226,'Shortlisted Drugs X Company (7)'!$C$3:$C$698,0)),"")</f>
        <v>140084.73</v>
      </c>
      <c r="O226" s="15" t="str">
        <f aca="false">IF(AE226="No","IV only (not ID/IM/SC)",IF(AND(V226&gt;0,W226=0),"Price ≤ $5",""))</f>
        <v>IV only (not ID/IM/SC)</v>
      </c>
      <c r="P226" s="14" t="str">
        <f aca="false">IF(O226&lt;&gt;"","",COUNTIFS($A$29:$A$361,A226,$O$29:$O$361,"",$AC$29:$AC$361,"&gt;"&amp;AC226)+COUNTIFS($A$29:A226,A226,$O$29:O226,"",$AC$29:AC226,AC226))</f>
        <v/>
      </c>
      <c r="Q226" s="15" t="str">
        <f aca="false">IF(O226&lt;&gt;"",IF(O226="Price ≤ $5","Excluded – price ≤ $5","Excluded – IV only"),IF(ISNUMBER(D226),IF(AND(D226&gt;=$C$3,M226&gt;=$E$3),"Priority 1",IF(OR(D226&gt;=$C$3,M226&gt;=$E$3),"Priority 2","Priority 3")),IF(M226&gt;=$E$3,"Priority 2","Priority 3")))</f>
        <v>Excluded – IV only</v>
      </c>
      <c r="R226" s="16" t="s">
        <v>250</v>
      </c>
      <c r="S226" s="15" t="s">
        <v>894</v>
      </c>
      <c r="T226" s="32" t="s">
        <v>506</v>
      </c>
      <c r="U226" s="33" t="str">
        <f aca="false">B226&amp;"|"&amp;S226</f>
        <v>Pantoprazole|Intas Pharmaceuticals</v>
      </c>
      <c r="V226" s="34" t="n">
        <f aca="false">COUNTIFS('Shortlisted Drugs X Company (7)'!$C$3:$C$698,$B226,'Shortlisted Drugs X Company (7)'!$E$3:$E$698,$S226,'Shortlisted Drugs X Company (7)'!$N$3:$N$698,"&gt;=0")</f>
        <v>2</v>
      </c>
      <c r="W226" s="34" t="n">
        <f aca="false">COUNTIFS('Shortlisted Drugs X Company (7)'!$C$3:$C$698,$B226,'Shortlisted Drugs X Company (7)'!$E$3:$E$698,$S226,'Shortlisted Drugs X Company (7)'!$N$3:$N$698,"&gt;5")</f>
        <v>2</v>
      </c>
      <c r="X226" s="34" t="n">
        <f aca="false">COUNTIFS('Shortlisted Drugs X Company (7)'!$C$3:$C$698,$B226,'Shortlisted Drugs X Company (7)'!$E$3:$E$698,$S226,'Shortlisted Drugs X Company (7)'!$P$3:$P$698,"Exact")+COUNTIFS('Shortlisted Drugs X Company (7)'!$C$3:$C$698,$B226,'Shortlisted Drugs X Company (7)'!$E$3:$E$698,$S226,'Shortlisted Drugs X Company (7)'!$P$3:$P$698,"Same-market proxy")</f>
        <v>1</v>
      </c>
      <c r="Y226" s="33" t="str">
        <f aca="false">A226&amp;"|"&amp;P226</f>
        <v>Intas|</v>
      </c>
      <c r="Z226" s="16" t="s">
        <v>778</v>
      </c>
      <c r="AA226" s="33" t="n">
        <f aca="false">INDEX($G$7:$G$25,MATCH(A226,$A$7:$A$25,0))</f>
        <v>1</v>
      </c>
      <c r="AB226" s="33" t="str">
        <f aca="false">IF(AE226="No","",AA226*1000+IF(P226="",900+COUNTIFS($A$29:A226,A226,$O$29:O226,"Price ≤ $5"),P226))</f>
        <v/>
      </c>
      <c r="AC226" s="33" t="str">
        <f aca="false">IF(O226&lt;&gt;"","",(4-VALUE(RIGHT(Q226,1)))*10^7+N(F226))</f>
        <v/>
      </c>
      <c r="AD226" s="15" t="str">
        <f aca="false">IFERROR(INDEX('Route of Administration'!$C$5:$C$155,MATCH(B226,'Route of Administration'!$A$5:$A$155,0)),"")</f>
        <v>IV</v>
      </c>
      <c r="AE226" s="14" t="str">
        <f aca="false">IFERROR(INDEX('Route of Administration'!$D$5:$D$155,MATCH(B226,'Route of Administration'!$A$5:$A$155,0)),"")</f>
        <v>No</v>
      </c>
      <c r="AF226" s="19" t="n">
        <f aca="false">IF(V226&gt;0,ROUND(AVERAGEIFS('Shortlisted Drugs X Company (7)'!$N$3:$N$698,'Shortlisted Drugs X Company (7)'!$C$3:$C$698,$B226,'Shortlisted Drugs X Company (7)'!$E$3:$E$698,$S226,'Shortlisted Drugs X Company (7)'!$N$3:$N$698,"&gt;=0"),2),"")</f>
        <v>6.08</v>
      </c>
      <c r="AG226" s="16" t="s">
        <v>1087</v>
      </c>
      <c r="AH226" s="16" t="s">
        <v>1088</v>
      </c>
      <c r="AI226" s="16" t="s">
        <v>1089</v>
      </c>
      <c r="AJ226" s="16" t="str">
        <f aca="false">IF(O226&lt;&gt;"","",IF(ISNUMBER(D226),IF(D226&gt;=$C$3,"High price","Lower price"),"Unpriced")&amp;" · "&amp;IF(M226&gt;=$E$3,"high volume","lower volume"))</f>
        <v/>
      </c>
      <c r="AK226" s="15" t="str">
        <f aca="false">IF(O226&lt;&gt;"",IF(O226="Price ≤ $5","Excluded – price ≤ $5","Excluded – IV only"),IF(ISNUMBER(D226),IF(AND(D226&gt;=$C$3,L226&gt;=$H$3),"Priority 1",IF(OR(D226&gt;=$C$3,L226&gt;=$H$3),"Priority 2","Priority 3")),IF(L226&gt;=$H$3,"Priority 2","Priority 3")))</f>
        <v>Excluded – IV only</v>
      </c>
      <c r="AL226" s="16" t="str">
        <f aca="false">IF(O226&lt;&gt;"","",IF(ISNUMBER(D226),IF(D226&gt;=$C$3,"High price","Lower price"),"Unpriced")&amp;" · "&amp;IF(L226&gt;=$H$3,"high volume","lower volume"))</f>
        <v/>
      </c>
      <c r="AM226" s="14" t="str">
        <f aca="false">IF(O226&lt;&gt;"","",COUNTIFS($A$29:$A$361,A226,$O$29:$O$361,"",$AQ$29:$AQ$361,"&gt;"&amp;AQ226)+COUNTIFS($A$29:A226,A226,$O$29:O226,"",$AQ$29:AQ226,AQ226))</f>
        <v/>
      </c>
      <c r="AN226" s="33" t="str">
        <f aca="false">IF(AND(O226="",ISNUMBER(D226)),D226,"")</f>
        <v/>
      </c>
      <c r="AO226" s="33" t="str">
        <f aca="false">IF(O226="",M226,"")</f>
        <v/>
      </c>
      <c r="AP226" s="33" t="str">
        <f aca="false">IF(O226="",L226,"")</f>
        <v/>
      </c>
      <c r="AQ226" s="33" t="str">
        <f aca="false">IF(O226&lt;&gt;"","",(4-VALUE(RIGHT(AK226,1)))*10^7+N(N226))</f>
        <v/>
      </c>
      <c r="AR226" s="33" t="n">
        <f aca="false">INDEX($O$7:$O$25,MATCH(A226,$I$7:$I$25,0))</f>
        <v>1</v>
      </c>
      <c r="AS226" s="33" t="str">
        <f aca="false">IF(AE226="No","",AR226*1000+IF(AM226="",900+COUNTIFS($A$29:A226,A226,$O$29:O226,"Price ≤ $5"),AM226))</f>
        <v/>
      </c>
    </row>
    <row r="227" customFormat="false" ht="41.75" hidden="false" customHeight="false" outlineLevel="0" collapsed="false">
      <c r="A227" s="15" t="s">
        <v>21</v>
      </c>
      <c r="B227" s="15" t="s">
        <v>1090</v>
      </c>
      <c r="C227" s="16" t="s">
        <v>1091</v>
      </c>
      <c r="D227" s="17" t="n">
        <f aca="false">IF(W227&gt;0,ROUND(AVERAGEIFS('Shortlisted Drugs X Company (7)'!$N$3:$N$698,'Shortlisted Drugs X Company (7)'!$C$3:$C$698,$B227,'Shortlisted Drugs X Company (7)'!$E$3:$E$698,$S227,'Shortlisted Drugs X Company (7)'!$N$3:$N$698,"&gt;5"),2),"")</f>
        <v>13.54</v>
      </c>
      <c r="E227" s="15" t="str">
        <f aca="false">IF(COUNTIFS('Shortlisted Drugs X Company (7)'!$C$3:$C$698,$B227,'Shortlisted Drugs X Company (7)'!$E$3:$E$698,$S227,'Shortlisted Drugs X Company (7)'!$P$3:$P$698,"Exact")&gt;0,"Exact",IF(COUNTIFS('Shortlisted Drugs X Company (7)'!$C$3:$C$698,$B227,'Shortlisted Drugs X Company (7)'!$E$3:$E$698,$S227,'Shortlisted Drugs X Company (7)'!$P$3:$P$698,"Same-market proxy")&gt;0,"Same-market proxy",IF(COUNTIFS('Shortlisted Drugs X Company (7)'!$C$3:$C$698,$B227,'Shortlisted Drugs X Company (7)'!$E$3:$E$698,$S227,'Shortlisted Drugs X Company (7)'!$P$3:$P$698,"Cross-market proxy")&gt;0,"Cross-market proxy",IF(COUNTIFS('Shortlisted Drugs X Company (7)'!$C$3:$C$698,$B227,'Shortlisted Drugs X Company (7)'!$E$3:$E$698,$S227,'Shortlisted Drugs X Company (7)'!$P$3:$P$698,"Source not found")&gt;0,"Source not found","Not priced"))))</f>
        <v>Same-market proxy</v>
      </c>
      <c r="F227" s="18" t="n">
        <f aca="false">IFERROR(ROUND(INDEX('Injectable Value'!$AA$28:$AA$178,MATCH(B227,'Injectable Value'!$A$28:$A$178,0)),1),"")</f>
        <v>2902.1</v>
      </c>
      <c r="G227" s="16" t="s">
        <v>1092</v>
      </c>
      <c r="H227" s="14" t="n">
        <v>6</v>
      </c>
      <c r="I227" s="15" t="s">
        <v>248</v>
      </c>
      <c r="J227" s="15" t="s">
        <v>249</v>
      </c>
      <c r="K227" s="16" t="str">
        <f aca="false">""&amp;IF(V227=0,"Unpriced","")&amp;IF(AND(V227&gt;0,W227=0,X227=0),"Low price from another market – confirm with company","")</f>
        <v/>
      </c>
      <c r="L227" s="18" t="n">
        <f aca="false">IFERROR(INDEX('Shortlisted Drugs X Company (7)'!$K$3:$K$698,MATCH(B227,'Shortlisted Drugs X Company (7)'!$C$3:$C$698,0)),"")</f>
        <v>55</v>
      </c>
      <c r="M227" s="18" t="n">
        <f aca="false">IFERROR(ROUND(L227*INDEX('Injectable Value'!$Z$28:$Z$178,MATCH(B227,'Injectable Value'!$A$28:$A$178,0)),0),"")</f>
        <v>25</v>
      </c>
      <c r="N227" s="18" t="n">
        <f aca="false">IFERROR(INDEX('Shortlisted Drugs X Company (7)'!$L$3:$L$698,MATCH(B227,'Shortlisted Drugs X Company (7)'!$C$3:$C$698,0)),"")</f>
        <v>6450.54</v>
      </c>
      <c r="O227" s="15" t="str">
        <f aca="false">IF(AE227="No","IV only (not ID/IM/SC)",IF(AND(V227&gt;0,W227=0),"Price ≤ $5",""))</f>
        <v>IV only (not ID/IM/SC)</v>
      </c>
      <c r="P227" s="14" t="str">
        <f aca="false">IF(O227&lt;&gt;"","",COUNTIFS($A$29:$A$361,A227,$O$29:$O$361,"",$AC$29:$AC$361,"&gt;"&amp;AC227)+COUNTIFS($A$29:A227,A227,$O$29:O227,"",$AC$29:AC227,AC227))</f>
        <v/>
      </c>
      <c r="Q227" s="15" t="str">
        <f aca="false">IF(O227&lt;&gt;"",IF(O227="Price ≤ $5","Excluded – price ≤ $5","Excluded – IV only"),IF(ISNUMBER(D227),IF(AND(D227&gt;=$C$3,M227&gt;=$E$3),"Priority 1",IF(OR(D227&gt;=$C$3,M227&gt;=$E$3),"Priority 2","Priority 3")),IF(M227&gt;=$E$3,"Priority 2","Priority 3")))</f>
        <v>Excluded – IV only</v>
      </c>
      <c r="R227" s="16" t="s">
        <v>285</v>
      </c>
      <c r="S227" s="15" t="s">
        <v>894</v>
      </c>
      <c r="T227" s="32" t="s">
        <v>1093</v>
      </c>
      <c r="U227" s="33" t="str">
        <f aca="false">B227&amp;"|"&amp;S227</f>
        <v>Paricalcitol|Intas Pharmaceuticals</v>
      </c>
      <c r="V227" s="34" t="n">
        <f aca="false">COUNTIFS('Shortlisted Drugs X Company (7)'!$C$3:$C$698,$B227,'Shortlisted Drugs X Company (7)'!$E$3:$E$698,$S227,'Shortlisted Drugs X Company (7)'!$N$3:$N$698,"&gt;=0")</f>
        <v>2</v>
      </c>
      <c r="W227" s="34" t="n">
        <f aca="false">COUNTIFS('Shortlisted Drugs X Company (7)'!$C$3:$C$698,$B227,'Shortlisted Drugs X Company (7)'!$E$3:$E$698,$S227,'Shortlisted Drugs X Company (7)'!$N$3:$N$698,"&gt;5")</f>
        <v>2</v>
      </c>
      <c r="X227" s="34" t="n">
        <f aca="false">COUNTIFS('Shortlisted Drugs X Company (7)'!$C$3:$C$698,$B227,'Shortlisted Drugs X Company (7)'!$E$3:$E$698,$S227,'Shortlisted Drugs X Company (7)'!$P$3:$P$698,"Exact")+COUNTIFS('Shortlisted Drugs X Company (7)'!$C$3:$C$698,$B227,'Shortlisted Drugs X Company (7)'!$E$3:$E$698,$S227,'Shortlisted Drugs X Company (7)'!$P$3:$P$698,"Same-market proxy")</f>
        <v>2</v>
      </c>
      <c r="Y227" s="33" t="str">
        <f aca="false">A227&amp;"|"&amp;P227</f>
        <v>Intas|</v>
      </c>
      <c r="Z227" s="16" t="s">
        <v>1094</v>
      </c>
      <c r="AA227" s="33" t="n">
        <f aca="false">INDEX($G$7:$G$25,MATCH(A227,$A$7:$A$25,0))</f>
        <v>1</v>
      </c>
      <c r="AB227" s="33" t="str">
        <f aca="false">IF(AE227="No","",AA227*1000+IF(P227="",900+COUNTIFS($A$29:A227,A227,$O$29:O227,"Price ≤ $5"),P227))</f>
        <v/>
      </c>
      <c r="AC227" s="33" t="str">
        <f aca="false">IF(O227&lt;&gt;"","",(4-VALUE(RIGHT(Q227,1)))*10^7+N(F227))</f>
        <v/>
      </c>
      <c r="AD227" s="15" t="str">
        <f aca="false">IFERROR(INDEX('Route of Administration'!$C$5:$C$155,MATCH(B227,'Route of Administration'!$A$5:$A$155,0)),"")</f>
        <v>IV</v>
      </c>
      <c r="AE227" s="14" t="str">
        <f aca="false">IFERROR(INDEX('Route of Administration'!$D$5:$D$155,MATCH(B227,'Route of Administration'!$A$5:$A$155,0)),"")</f>
        <v>No</v>
      </c>
      <c r="AF227" s="19" t="n">
        <f aca="false">IF(V227&gt;0,ROUND(AVERAGEIFS('Shortlisted Drugs X Company (7)'!$N$3:$N$698,'Shortlisted Drugs X Company (7)'!$C$3:$C$698,$B227,'Shortlisted Drugs X Company (7)'!$E$3:$E$698,$S227,'Shortlisted Drugs X Company (7)'!$N$3:$N$698,"&gt;=0"),2),"")</f>
        <v>13.54</v>
      </c>
      <c r="AG227" s="16" t="s">
        <v>1090</v>
      </c>
      <c r="AH227" s="16" t="s">
        <v>1095</v>
      </c>
      <c r="AI227" s="16" t="s">
        <v>1095</v>
      </c>
      <c r="AJ227" s="16" t="str">
        <f aca="false">IF(O227&lt;&gt;"","",IF(ISNUMBER(D227),IF(D227&gt;=$C$3,"High price","Lower price"),"Unpriced")&amp;" · "&amp;IF(M227&gt;=$E$3,"high volume","lower volume"))</f>
        <v/>
      </c>
      <c r="AK227" s="15" t="str">
        <f aca="false">IF(O227&lt;&gt;"",IF(O227="Price ≤ $5","Excluded – price ≤ $5","Excluded – IV only"),IF(ISNUMBER(D227),IF(AND(D227&gt;=$C$3,L227&gt;=$H$3),"Priority 1",IF(OR(D227&gt;=$C$3,L227&gt;=$H$3),"Priority 2","Priority 3")),IF(L227&gt;=$H$3,"Priority 2","Priority 3")))</f>
        <v>Excluded – IV only</v>
      </c>
      <c r="AL227" s="16" t="str">
        <f aca="false">IF(O227&lt;&gt;"","",IF(ISNUMBER(D227),IF(D227&gt;=$C$3,"High price","Lower price"),"Unpriced")&amp;" · "&amp;IF(L227&gt;=$H$3,"high volume","lower volume"))</f>
        <v/>
      </c>
      <c r="AM227" s="14" t="str">
        <f aca="false">IF(O227&lt;&gt;"","",COUNTIFS($A$29:$A$361,A227,$O$29:$O$361,"",$AQ$29:$AQ$361,"&gt;"&amp;AQ227)+COUNTIFS($A$29:A227,A227,$O$29:O227,"",$AQ$29:AQ227,AQ227))</f>
        <v/>
      </c>
      <c r="AN227" s="33" t="str">
        <f aca="false">IF(AND(O227="",ISNUMBER(D227)),D227,"")</f>
        <v/>
      </c>
      <c r="AO227" s="33" t="str">
        <f aca="false">IF(O227="",M227,"")</f>
        <v/>
      </c>
      <c r="AP227" s="33" t="str">
        <f aca="false">IF(O227="",L227,"")</f>
        <v/>
      </c>
      <c r="AQ227" s="33" t="str">
        <f aca="false">IF(O227&lt;&gt;"","",(4-VALUE(RIGHT(AK227,1)))*10^7+N(N227))</f>
        <v/>
      </c>
      <c r="AR227" s="33" t="n">
        <f aca="false">INDEX($O$7:$O$25,MATCH(A227,$I$7:$I$25,0))</f>
        <v>1</v>
      </c>
      <c r="AS227" s="33" t="str">
        <f aca="false">IF(AE227="No","",AR227*1000+IF(AM227="",900+COUNTIFS($A$29:A227,A227,$O$29:O227,"Price ≤ $5"),AM227))</f>
        <v/>
      </c>
    </row>
    <row r="228" customFormat="false" ht="82.05" hidden="false" customHeight="false" outlineLevel="0" collapsed="false">
      <c r="A228" s="15" t="s">
        <v>21</v>
      </c>
      <c r="B228" s="15" t="s">
        <v>1096</v>
      </c>
      <c r="C228" s="16" t="s">
        <v>1097</v>
      </c>
      <c r="D228" s="17" t="n">
        <f aca="false">IF(W228&gt;0,ROUND(AVERAGEIFS('Shortlisted Drugs X Company (7)'!$N$3:$N$698,'Shortlisted Drugs X Company (7)'!$C$3:$C$698,$B228,'Shortlisted Drugs X Company (7)'!$E$3:$E$698,$S228,'Shortlisted Drugs X Company (7)'!$N$3:$N$698,"&gt;5"),2),"")</f>
        <v>907.38</v>
      </c>
      <c r="E228" s="15" t="str">
        <f aca="false">IF(COUNTIFS('Shortlisted Drugs X Company (7)'!$C$3:$C$698,$B228,'Shortlisted Drugs X Company (7)'!$E$3:$E$698,$S228,'Shortlisted Drugs X Company (7)'!$P$3:$P$698,"Exact")&gt;0,"Exact",IF(COUNTIFS('Shortlisted Drugs X Company (7)'!$C$3:$C$698,$B228,'Shortlisted Drugs X Company (7)'!$E$3:$E$698,$S228,'Shortlisted Drugs X Company (7)'!$P$3:$P$698,"Same-market proxy")&gt;0,"Same-market proxy",IF(COUNTIFS('Shortlisted Drugs X Company (7)'!$C$3:$C$698,$B228,'Shortlisted Drugs X Company (7)'!$E$3:$E$698,$S228,'Shortlisted Drugs X Company (7)'!$P$3:$P$698,"Cross-market proxy")&gt;0,"Cross-market proxy",IF(COUNTIFS('Shortlisted Drugs X Company (7)'!$C$3:$C$698,$B228,'Shortlisted Drugs X Company (7)'!$E$3:$E$698,$S228,'Shortlisted Drugs X Company (7)'!$P$3:$P$698,"Source not found")&gt;0,"Source not found","Not priced"))))</f>
        <v>Exact</v>
      </c>
      <c r="F228" s="18" t="n">
        <f aca="false">IFERROR(ROUND(INDEX('Injectable Value'!$AA$28:$AA$178,MATCH(B228,'Injectable Value'!$A$28:$A$178,0)),1),"")</f>
        <v>22036.1</v>
      </c>
      <c r="G228" s="16" t="s">
        <v>423</v>
      </c>
      <c r="H228" s="14" t="n">
        <v>31</v>
      </c>
      <c r="I228" s="15" t="s">
        <v>258</v>
      </c>
      <c r="J228" s="15" t="s">
        <v>249</v>
      </c>
      <c r="K228" s="16" t="str">
        <f aca="false">"Prefilled only"&amp;IF(V228=0,"; Unpriced","")&amp;IF(AND(V228&gt;0,W228=0,X228=0),"; Low price from another market – confirm with company","")</f>
        <v>Prefilled only</v>
      </c>
      <c r="L228" s="18" t="n">
        <f aca="false">IFERROR(INDEX('Shortlisted Drugs X Company (7)'!$K$3:$K$698,MATCH(B228,'Shortlisted Drugs X Company (7)'!$C$3:$C$698,0)),"")</f>
        <v>157</v>
      </c>
      <c r="M228" s="18" t="n">
        <f aca="false">IFERROR(ROUND(L228*INDEX('Injectable Value'!$Z$28:$Z$178,MATCH(B228,'Injectable Value'!$A$28:$A$178,0)),0),"")</f>
        <v>155</v>
      </c>
      <c r="N228" s="18" t="n">
        <f aca="false">IFERROR(INDEX('Shortlisted Drugs X Company (7)'!$L$3:$L$698,MATCH(B228,'Shortlisted Drugs X Company (7)'!$C$3:$C$698,0)),"")</f>
        <v>22355.46</v>
      </c>
      <c r="O228" s="15" t="str">
        <f aca="false">IF(AE228="No","IV only (not ID/IM/SC)",IF(AND(V228&gt;0,W228=0),"Price ≤ $5",""))</f>
        <v/>
      </c>
      <c r="P228" s="14" t="n">
        <f aca="false">IF(O228&lt;&gt;"","",COUNTIFS($A$29:$A$361,A228,$O$29:$O$361,"",$AC$29:$AC$361,"&gt;"&amp;AC228)+COUNTIFS($A$29:A228,A228,$O$29:O228,"",$AC$29:AC228,AC228))</f>
        <v>3</v>
      </c>
      <c r="Q228" s="15" t="str">
        <f aca="false">IF(O228&lt;&gt;"",IF(O228="Price ≤ $5","Excluded – price ≤ $5","Excluded – IV only"),IF(ISNUMBER(D228),IF(AND(D228&gt;=$C$3,M228&gt;=$E$3),"Priority 1",IF(OR(D228&gt;=$C$3,M228&gt;=$E$3),"Priority 2","Priority 3")),IF(M228&gt;=$E$3,"Priority 2","Priority 3")))</f>
        <v>Priority 1</v>
      </c>
      <c r="R228" s="16" t="s">
        <v>259</v>
      </c>
      <c r="S228" s="15" t="s">
        <v>894</v>
      </c>
      <c r="T228" s="32" t="s">
        <v>1098</v>
      </c>
      <c r="U228" s="33" t="str">
        <f aca="false">B228&amp;"|"&amp;S228</f>
        <v>Pegfilgrastim|Intas Pharmaceuticals</v>
      </c>
      <c r="V228" s="34" t="n">
        <f aca="false">COUNTIFS('Shortlisted Drugs X Company (7)'!$C$3:$C$698,$B228,'Shortlisted Drugs X Company (7)'!$E$3:$E$698,$S228,'Shortlisted Drugs X Company (7)'!$N$3:$N$698,"&gt;=0")</f>
        <v>1</v>
      </c>
      <c r="W228" s="34" t="n">
        <f aca="false">COUNTIFS('Shortlisted Drugs X Company (7)'!$C$3:$C$698,$B228,'Shortlisted Drugs X Company (7)'!$E$3:$E$698,$S228,'Shortlisted Drugs X Company (7)'!$N$3:$N$698,"&gt;5")</f>
        <v>1</v>
      </c>
      <c r="X228" s="34" t="n">
        <f aca="false">COUNTIFS('Shortlisted Drugs X Company (7)'!$C$3:$C$698,$B228,'Shortlisted Drugs X Company (7)'!$E$3:$E$698,$S228,'Shortlisted Drugs X Company (7)'!$P$3:$P$698,"Exact")+COUNTIFS('Shortlisted Drugs X Company (7)'!$C$3:$C$698,$B228,'Shortlisted Drugs X Company (7)'!$E$3:$E$698,$S228,'Shortlisted Drugs X Company (7)'!$P$3:$P$698,"Same-market proxy")</f>
        <v>1</v>
      </c>
      <c r="Y228" s="33" t="str">
        <f aca="false">A228&amp;"|"&amp;P228</f>
        <v>Intas|3</v>
      </c>
      <c r="Z228" s="16" t="s">
        <v>1099</v>
      </c>
      <c r="AA228" s="33" t="n">
        <f aca="false">INDEX($G$7:$G$25,MATCH(A228,$A$7:$A$25,0))</f>
        <v>1</v>
      </c>
      <c r="AB228" s="33" t="n">
        <f aca="false">IF(AE228="No","",AA228*1000+IF(P228="",900+COUNTIFS($A$29:A228,A228,$O$29:O228,"Price ≤ $5"),P228))</f>
        <v>1003</v>
      </c>
      <c r="AC228" s="33" t="n">
        <f aca="false">IF(O228&lt;&gt;"","",(4-VALUE(RIGHT(Q228,1)))*10^7+N(F228))</f>
        <v>30022036.1</v>
      </c>
      <c r="AD228" s="15" t="str">
        <f aca="false">IFERROR(INDEX('Route of Administration'!$C$5:$C$155,MATCH(B228,'Route of Administration'!$A$5:$A$155,0)),"")</f>
        <v>SC</v>
      </c>
      <c r="AE228" s="14" t="str">
        <f aca="false">IFERROR(INDEX('Route of Administration'!$D$5:$D$155,MATCH(B228,'Route of Administration'!$A$5:$A$155,0)),"")</f>
        <v>Yes</v>
      </c>
      <c r="AF228" s="19" t="n">
        <f aca="false">IF(V228&gt;0,ROUND(AVERAGEIFS('Shortlisted Drugs X Company (7)'!$N$3:$N$698,'Shortlisted Drugs X Company (7)'!$C$3:$C$698,$B228,'Shortlisted Drugs X Company (7)'!$E$3:$E$698,$S228,'Shortlisted Drugs X Company (7)'!$N$3:$N$698,"&gt;=0"),2),"")</f>
        <v>907.38</v>
      </c>
      <c r="AG228" s="16" t="s">
        <v>1100</v>
      </c>
      <c r="AH228" s="16" t="s">
        <v>970</v>
      </c>
      <c r="AI228" s="16" t="s">
        <v>971</v>
      </c>
      <c r="AJ228" s="16" t="str">
        <f aca="false">IF(O228&lt;&gt;"","",IF(ISNUMBER(D228),IF(D228&gt;=$C$3,"High price","Lower price"),"Unpriced")&amp;" · "&amp;IF(M228&gt;=$E$3,"high volume","lower volume"))</f>
        <v>High price · high volume</v>
      </c>
      <c r="AK228" s="15" t="str">
        <f aca="false">IF(O228&lt;&gt;"",IF(O228="Price ≤ $5","Excluded – price ≤ $5","Excluded – IV only"),IF(ISNUMBER(D228),IF(AND(D228&gt;=$C$3,L228&gt;=$H$3),"Priority 1",IF(OR(D228&gt;=$C$3,L228&gt;=$H$3),"Priority 2","Priority 3")),IF(L228&gt;=$H$3,"Priority 2","Priority 3")))</f>
        <v>Priority 2</v>
      </c>
      <c r="AL228" s="16" t="str">
        <f aca="false">IF(O228&lt;&gt;"","",IF(ISNUMBER(D228),IF(D228&gt;=$C$3,"High price","Lower price"),"Unpriced")&amp;" · "&amp;IF(L228&gt;=$H$3,"high volume","lower volume"))</f>
        <v>High price · lower volume</v>
      </c>
      <c r="AM228" s="14" t="n">
        <f aca="false">IF(O228&lt;&gt;"","",COUNTIFS($A$29:$A$361,A228,$O$29:$O$361,"",$AQ$29:$AQ$361,"&gt;"&amp;AQ228)+COUNTIFS($A$29:A228,A228,$O$29:O228,"",$AQ$29:AQ228,AQ228))</f>
        <v>10</v>
      </c>
      <c r="AN228" s="19" t="n">
        <f aca="false">IF(AND(O228="",ISNUMBER(D228)),D228,"")</f>
        <v>907.38</v>
      </c>
      <c r="AO228" s="20" t="n">
        <f aca="false">IF(O228="",M228,"")</f>
        <v>155</v>
      </c>
      <c r="AP228" s="20" t="n">
        <f aca="false">IF(O228="",L228,"")</f>
        <v>157</v>
      </c>
      <c r="AQ228" s="33" t="n">
        <f aca="false">IF(O228&lt;&gt;"","",(4-VALUE(RIGHT(AK228,1)))*10^7+N(N228))</f>
        <v>20022355.46</v>
      </c>
      <c r="AR228" s="33" t="n">
        <f aca="false">INDEX($O$7:$O$25,MATCH(A228,$I$7:$I$25,0))</f>
        <v>1</v>
      </c>
      <c r="AS228" s="33" t="n">
        <f aca="false">IF(AE228="No","",AR228*1000+IF(AM228="",900+COUNTIFS($A$29:A228,A228,$O$29:O228,"Price ≤ $5"),AM228))</f>
        <v>1010</v>
      </c>
    </row>
    <row r="229" customFormat="false" ht="28.35" hidden="false" customHeight="false" outlineLevel="0" collapsed="false">
      <c r="A229" s="15" t="s">
        <v>21</v>
      </c>
      <c r="B229" s="15" t="s">
        <v>625</v>
      </c>
      <c r="C229" s="16" t="s">
        <v>626</v>
      </c>
      <c r="D229" s="17" t="n">
        <f aca="false">IF(W229&gt;0,ROUND(AVERAGEIFS('Shortlisted Drugs X Company (7)'!$N$3:$N$698,'Shortlisted Drugs X Company (7)'!$C$3:$C$698,$B229,'Shortlisted Drugs X Company (7)'!$E$3:$E$698,$S229,'Shortlisted Drugs X Company (7)'!$N$3:$N$698,"&gt;5"),2),"")</f>
        <v>32.6</v>
      </c>
      <c r="E229" s="15" t="str">
        <f aca="false">IF(COUNTIFS('Shortlisted Drugs X Company (7)'!$C$3:$C$698,$B229,'Shortlisted Drugs X Company (7)'!$E$3:$E$698,$S229,'Shortlisted Drugs X Company (7)'!$P$3:$P$698,"Exact")&gt;0,"Exact",IF(COUNTIFS('Shortlisted Drugs X Company (7)'!$C$3:$C$698,$B229,'Shortlisted Drugs X Company (7)'!$E$3:$E$698,$S229,'Shortlisted Drugs X Company (7)'!$P$3:$P$698,"Same-market proxy")&gt;0,"Same-market proxy",IF(COUNTIFS('Shortlisted Drugs X Company (7)'!$C$3:$C$698,$B229,'Shortlisted Drugs X Company (7)'!$E$3:$E$698,$S229,'Shortlisted Drugs X Company (7)'!$P$3:$P$698,"Cross-market proxy")&gt;0,"Cross-market proxy",IF(COUNTIFS('Shortlisted Drugs X Company (7)'!$C$3:$C$698,$B229,'Shortlisted Drugs X Company (7)'!$E$3:$E$698,$S229,'Shortlisted Drugs X Company (7)'!$P$3:$P$698,"Source not found")&gt;0,"Source not found","Not priced"))))</f>
        <v>Exact</v>
      </c>
      <c r="F229" s="18" t="n">
        <f aca="false">IFERROR(ROUND(INDEX('Injectable Value'!$AA$28:$AA$178,MATCH(B229,'Injectable Value'!$A$28:$A$178,0)),1),"")</f>
        <v>5695.2</v>
      </c>
      <c r="G229" s="16" t="s">
        <v>70</v>
      </c>
      <c r="H229" s="14" t="n">
        <v>2</v>
      </c>
      <c r="I229" s="15" t="s">
        <v>248</v>
      </c>
      <c r="J229" s="15" t="s">
        <v>249</v>
      </c>
      <c r="K229" s="16" t="str">
        <f aca="false">""&amp;IF(V229=0,"Unpriced","")&amp;IF(AND(V229&gt;0,W229=0,X229=0),"Low price from another market – confirm with company","")</f>
        <v/>
      </c>
      <c r="L229" s="18" t="n">
        <f aca="false">IFERROR(INDEX('Shortlisted Drugs X Company (7)'!$K$3:$K$698,MATCH(B229,'Shortlisted Drugs X Company (7)'!$C$3:$C$698,0)),"")</f>
        <v>1963</v>
      </c>
      <c r="M229" s="18" t="n">
        <f aca="false">IFERROR(ROUND(L229*INDEX('Injectable Value'!$Z$28:$Z$178,MATCH(B229,'Injectable Value'!$A$28:$A$178,0)),0),"")</f>
        <v>226</v>
      </c>
      <c r="N229" s="18" t="n">
        <f aca="false">IFERROR(INDEX('Shortlisted Drugs X Company (7)'!$L$3:$L$698,MATCH(B229,'Shortlisted Drugs X Company (7)'!$C$3:$C$698,0)),"")</f>
        <v>49365.77</v>
      </c>
      <c r="O229" s="15" t="str">
        <f aca="false">IF(AE229="No","IV only (not ID/IM/SC)",IF(AND(V229&gt;0,W229=0),"Price ≤ $5",""))</f>
        <v/>
      </c>
      <c r="P229" s="14" t="n">
        <f aca="false">IF(O229&lt;&gt;"","",COUNTIFS($A$29:$A$361,A229,$O$29:$O$361,"",$AC$29:$AC$361,"&gt;"&amp;AC229)+COUNTIFS($A$29:A229,A229,$O$29:O229,"",$AC$29:AC229,AC229))</f>
        <v>6</v>
      </c>
      <c r="Q229" s="15" t="str">
        <f aca="false">IF(O229&lt;&gt;"",IF(O229="Price ≤ $5","Excluded – price ≤ $5","Excluded – IV only"),IF(ISNUMBER(D229),IF(AND(D229&gt;=$C$3,M229&gt;=$E$3),"Priority 1",IF(OR(D229&gt;=$C$3,M229&gt;=$E$3),"Priority 2","Priority 3")),IF(M229&gt;=$E$3,"Priority 2","Priority 3")))</f>
        <v>Priority 1</v>
      </c>
      <c r="R229" s="16" t="s">
        <v>285</v>
      </c>
      <c r="S229" s="15" t="s">
        <v>894</v>
      </c>
      <c r="T229" s="32" t="s">
        <v>627</v>
      </c>
      <c r="U229" s="33" t="str">
        <f aca="false">B229&amp;"|"&amp;S229</f>
        <v>Phenylephrine|Intas Pharmaceuticals</v>
      </c>
      <c r="V229" s="34" t="n">
        <f aca="false">COUNTIFS('Shortlisted Drugs X Company (7)'!$C$3:$C$698,$B229,'Shortlisted Drugs X Company (7)'!$E$3:$E$698,$S229,'Shortlisted Drugs X Company (7)'!$N$3:$N$698,"&gt;=0")</f>
        <v>1</v>
      </c>
      <c r="W229" s="34" t="n">
        <f aca="false">COUNTIFS('Shortlisted Drugs X Company (7)'!$C$3:$C$698,$B229,'Shortlisted Drugs X Company (7)'!$E$3:$E$698,$S229,'Shortlisted Drugs X Company (7)'!$N$3:$N$698,"&gt;5")</f>
        <v>1</v>
      </c>
      <c r="X229" s="34" t="n">
        <f aca="false">COUNTIFS('Shortlisted Drugs X Company (7)'!$C$3:$C$698,$B229,'Shortlisted Drugs X Company (7)'!$E$3:$E$698,$S229,'Shortlisted Drugs X Company (7)'!$P$3:$P$698,"Exact")+COUNTIFS('Shortlisted Drugs X Company (7)'!$C$3:$C$698,$B229,'Shortlisted Drugs X Company (7)'!$E$3:$E$698,$S229,'Shortlisted Drugs X Company (7)'!$P$3:$P$698,"Same-market proxy")</f>
        <v>1</v>
      </c>
      <c r="Y229" s="33" t="str">
        <f aca="false">A229&amp;"|"&amp;P229</f>
        <v>Intas|6</v>
      </c>
      <c r="Z229" s="16" t="s">
        <v>1101</v>
      </c>
      <c r="AA229" s="33" t="n">
        <f aca="false">INDEX($G$7:$G$25,MATCH(A229,$A$7:$A$25,0))</f>
        <v>1</v>
      </c>
      <c r="AB229" s="33" t="n">
        <f aca="false">IF(AE229="No","",AA229*1000+IF(P229="",900+COUNTIFS($A$29:A229,A229,$O$29:O229,"Price ≤ $5"),P229))</f>
        <v>1006</v>
      </c>
      <c r="AC229" s="33" t="n">
        <f aca="false">IF(O229&lt;&gt;"","",(4-VALUE(RIGHT(Q229,1)))*10^7+N(F229))</f>
        <v>30005695.2</v>
      </c>
      <c r="AD229" s="15" t="str">
        <f aca="false">IFERROR(INDEX('Route of Administration'!$C$5:$C$155,MATCH(B229,'Route of Administration'!$A$5:$A$155,0)),"")</f>
        <v>IV, IM, SC</v>
      </c>
      <c r="AE229" s="14" t="str">
        <f aca="false">IFERROR(INDEX('Route of Administration'!$D$5:$D$155,MATCH(B229,'Route of Administration'!$A$5:$A$155,0)),"")</f>
        <v>Yes</v>
      </c>
      <c r="AF229" s="19" t="n">
        <f aca="false">IF(V229&gt;0,ROUND(AVERAGEIFS('Shortlisted Drugs X Company (7)'!$N$3:$N$698,'Shortlisted Drugs X Company (7)'!$C$3:$C$698,$B229,'Shortlisted Drugs X Company (7)'!$E$3:$E$698,$S229,'Shortlisted Drugs X Company (7)'!$N$3:$N$698,"&gt;=0"),2),"")</f>
        <v>32.6</v>
      </c>
      <c r="AG229" s="16" t="s">
        <v>1102</v>
      </c>
      <c r="AH229" s="16" t="s">
        <v>589</v>
      </c>
      <c r="AI229" s="16" t="s">
        <v>589</v>
      </c>
      <c r="AJ229" s="16" t="str">
        <f aca="false">IF(O229&lt;&gt;"","",IF(ISNUMBER(D229),IF(D229&gt;=$C$3,"High price","Lower price"),"Unpriced")&amp;" · "&amp;IF(M229&gt;=$E$3,"high volume","lower volume"))</f>
        <v>High price · high volume</v>
      </c>
      <c r="AK229" s="15" t="str">
        <f aca="false">IF(O229&lt;&gt;"",IF(O229="Price ≤ $5","Excluded – price ≤ $5","Excluded – IV only"),IF(ISNUMBER(D229),IF(AND(D229&gt;=$C$3,L229&gt;=$H$3),"Priority 1",IF(OR(D229&gt;=$C$3,L229&gt;=$H$3),"Priority 2","Priority 3")),IF(L229&gt;=$H$3,"Priority 2","Priority 3")))</f>
        <v>Priority 1</v>
      </c>
      <c r="AL229" s="16" t="str">
        <f aca="false">IF(O229&lt;&gt;"","",IF(ISNUMBER(D229),IF(D229&gt;=$C$3,"High price","Lower price"),"Unpriced")&amp;" · "&amp;IF(L229&gt;=$H$3,"high volume","lower volume"))</f>
        <v>High price · high volume</v>
      </c>
      <c r="AM229" s="14" t="n">
        <f aca="false">IF(O229&lt;&gt;"","",COUNTIFS($A$29:$A$361,A229,$O$29:$O$361,"",$AQ$29:$AQ$361,"&gt;"&amp;AQ229)+COUNTIFS($A$29:A229,A229,$O$29:O229,"",$AQ$29:AQ229,AQ229))</f>
        <v>2</v>
      </c>
      <c r="AN229" s="19" t="n">
        <f aca="false">IF(AND(O229="",ISNUMBER(D229)),D229,"")</f>
        <v>32.6</v>
      </c>
      <c r="AO229" s="20" t="n">
        <f aca="false">IF(O229="",M229,"")</f>
        <v>226</v>
      </c>
      <c r="AP229" s="20" t="n">
        <f aca="false">IF(O229="",L229,"")</f>
        <v>1963</v>
      </c>
      <c r="AQ229" s="33" t="n">
        <f aca="false">IF(O229&lt;&gt;"","",(4-VALUE(RIGHT(AK229,1)))*10^7+N(N229))</f>
        <v>30049365.77</v>
      </c>
      <c r="AR229" s="33" t="n">
        <f aca="false">INDEX($O$7:$O$25,MATCH(A229,$I$7:$I$25,0))</f>
        <v>1</v>
      </c>
      <c r="AS229" s="33" t="n">
        <f aca="false">IF(AE229="No","",AR229*1000+IF(AM229="",900+COUNTIFS($A$29:A229,A229,$O$29:O229,"Price ≤ $5"),AM229))</f>
        <v>1002</v>
      </c>
    </row>
    <row r="230" customFormat="false" ht="28.35" hidden="false" customHeight="false" outlineLevel="0" collapsed="false">
      <c r="A230" s="15" t="s">
        <v>21</v>
      </c>
      <c r="B230" s="15" t="s">
        <v>1103</v>
      </c>
      <c r="C230" s="16" t="s">
        <v>1104</v>
      </c>
      <c r="D230" s="17" t="str">
        <f aca="false">IF(W230&gt;0,ROUND(AVERAGEIFS('Shortlisted Drugs X Company (7)'!$N$3:$N$698,'Shortlisted Drugs X Company (7)'!$C$3:$C$698,$B230,'Shortlisted Drugs X Company (7)'!$E$3:$E$698,$S230,'Shortlisted Drugs X Company (7)'!$N$3:$N$698,"&gt;5"),2),"")</f>
        <v/>
      </c>
      <c r="E230" s="15" t="str">
        <f aca="false">IF(COUNTIFS('Shortlisted Drugs X Company (7)'!$C$3:$C$698,$B230,'Shortlisted Drugs X Company (7)'!$E$3:$E$698,$S230,'Shortlisted Drugs X Company (7)'!$P$3:$P$698,"Exact")&gt;0,"Exact",IF(COUNTIFS('Shortlisted Drugs X Company (7)'!$C$3:$C$698,$B230,'Shortlisted Drugs X Company (7)'!$E$3:$E$698,$S230,'Shortlisted Drugs X Company (7)'!$P$3:$P$698,"Same-market proxy")&gt;0,"Same-market proxy",IF(COUNTIFS('Shortlisted Drugs X Company (7)'!$C$3:$C$698,$B230,'Shortlisted Drugs X Company (7)'!$E$3:$E$698,$S230,'Shortlisted Drugs X Company (7)'!$P$3:$P$698,"Cross-market proxy")&gt;0,"Cross-market proxy",IF(COUNTIFS('Shortlisted Drugs X Company (7)'!$C$3:$C$698,$B230,'Shortlisted Drugs X Company (7)'!$E$3:$E$698,$S230,'Shortlisted Drugs X Company (7)'!$P$3:$P$698,"Source not found")&gt;0,"Source not found","Not priced"))))</f>
        <v>Same-market proxy</v>
      </c>
      <c r="F230" s="18" t="n">
        <f aca="false">IFERROR(ROUND(INDEX('Injectable Value'!$AA$28:$AA$178,MATCH(B230,'Injectable Value'!$A$28:$A$178,0)),1),"")</f>
        <v>2009.5</v>
      </c>
      <c r="G230" s="16" t="s">
        <v>881</v>
      </c>
      <c r="H230" s="14" t="n">
        <v>2</v>
      </c>
      <c r="I230" s="15" t="s">
        <v>277</v>
      </c>
      <c r="J230" s="15" t="s">
        <v>249</v>
      </c>
      <c r="K230" s="16" t="str">
        <f aca="false">""&amp;IF(V230=0,"Unpriced","")&amp;IF(AND(V230&gt;0,W230=0,X230=0),"Low price from another market – confirm with company","")</f>
        <v/>
      </c>
      <c r="L230" s="18" t="n">
        <f aca="false">IFERROR(INDEX('Shortlisted Drugs X Company (7)'!$K$3:$K$698,MATCH(B230,'Shortlisted Drugs X Company (7)'!$C$3:$C$698,0)),"")</f>
        <v>627</v>
      </c>
      <c r="M230" s="18" t="n">
        <f aca="false">IFERROR(ROUND(L230*INDEX('Injectable Value'!$Z$28:$Z$178,MATCH(B230,'Injectable Value'!$A$28:$A$178,0)),0),"")</f>
        <v>208</v>
      </c>
      <c r="N230" s="18" t="n">
        <f aca="false">IFERROR(INDEX('Shortlisted Drugs X Company (7)'!$L$3:$L$698,MATCH(B230,'Shortlisted Drugs X Company (7)'!$C$3:$C$698,0)),"")</f>
        <v>6050.02</v>
      </c>
      <c r="O230" s="15" t="str">
        <f aca="false">IF(AE230="No","IV only (not ID/IM/SC)",IF(AND(V230&gt;0,W230=0),"Price ≤ $5",""))</f>
        <v>Price ≤ $5</v>
      </c>
      <c r="P230" s="14" t="str">
        <f aca="false">IF(O230&lt;&gt;"","",COUNTIFS($A$29:$A$361,A230,$O$29:$O$361,"",$AC$29:$AC$361,"&gt;"&amp;AC230)+COUNTIFS($A$29:A230,A230,$O$29:O230,"",$AC$29:AC230,AC230))</f>
        <v/>
      </c>
      <c r="Q230" s="15" t="str">
        <f aca="false">IF(O230&lt;&gt;"",IF(O230="Price ≤ $5","Excluded – price ≤ $5","Excluded – IV only"),IF(ISNUMBER(D230),IF(AND(D230&gt;=$C$3,M230&gt;=$E$3),"Priority 1",IF(OR(D230&gt;=$C$3,M230&gt;=$E$3),"Priority 2","Priority 3")),IF(M230&gt;=$E$3,"Priority 2","Priority 3")))</f>
        <v>Excluded – price ≤ $5</v>
      </c>
      <c r="R230" s="16" t="s">
        <v>278</v>
      </c>
      <c r="S230" s="15" t="s">
        <v>894</v>
      </c>
      <c r="T230" s="32" t="s">
        <v>1105</v>
      </c>
      <c r="U230" s="33" t="str">
        <f aca="false">B230&amp;"|"&amp;S230</f>
        <v>Phenytoin|Intas Pharmaceuticals</v>
      </c>
      <c r="V230" s="34" t="n">
        <f aca="false">COUNTIFS('Shortlisted Drugs X Company (7)'!$C$3:$C$698,$B230,'Shortlisted Drugs X Company (7)'!$E$3:$E$698,$S230,'Shortlisted Drugs X Company (7)'!$N$3:$N$698,"&gt;=0")</f>
        <v>1</v>
      </c>
      <c r="W230" s="34" t="n">
        <f aca="false">COUNTIFS('Shortlisted Drugs X Company (7)'!$C$3:$C$698,$B230,'Shortlisted Drugs X Company (7)'!$E$3:$E$698,$S230,'Shortlisted Drugs X Company (7)'!$N$3:$N$698,"&gt;5")</f>
        <v>0</v>
      </c>
      <c r="X230" s="34" t="n">
        <f aca="false">COUNTIFS('Shortlisted Drugs X Company (7)'!$C$3:$C$698,$B230,'Shortlisted Drugs X Company (7)'!$E$3:$E$698,$S230,'Shortlisted Drugs X Company (7)'!$P$3:$P$698,"Exact")+COUNTIFS('Shortlisted Drugs X Company (7)'!$C$3:$C$698,$B230,'Shortlisted Drugs X Company (7)'!$E$3:$E$698,$S230,'Shortlisted Drugs X Company (7)'!$P$3:$P$698,"Same-market proxy")</f>
        <v>1</v>
      </c>
      <c r="Y230" s="33" t="str">
        <f aca="false">A230&amp;"|"&amp;P230</f>
        <v>Intas|</v>
      </c>
      <c r="Z230" s="16" t="s">
        <v>1106</v>
      </c>
      <c r="AA230" s="33" t="n">
        <f aca="false">INDEX($G$7:$G$25,MATCH(A230,$A$7:$A$25,0))</f>
        <v>1</v>
      </c>
      <c r="AB230" s="33" t="n">
        <f aca="false">IF(AE230="No","",AA230*1000+IF(P230="",900+COUNTIFS($A$29:A230,A230,$O$29:O230,"Price ≤ $5"),P230))</f>
        <v>1904</v>
      </c>
      <c r="AC230" s="33" t="str">
        <f aca="false">IF(O230&lt;&gt;"","",(4-VALUE(RIGHT(Q230,1)))*10^7+N(F230))</f>
        <v/>
      </c>
      <c r="AD230" s="15" t="str">
        <f aca="false">IFERROR(INDEX('Route of Administration'!$C$5:$C$155,MATCH(B230,'Route of Administration'!$A$5:$A$155,0)),"")</f>
        <v>IV, IM</v>
      </c>
      <c r="AE230" s="14" t="str">
        <f aca="false">IFERROR(INDEX('Route of Administration'!$D$5:$D$155,MATCH(B230,'Route of Administration'!$A$5:$A$155,0)),"")</f>
        <v>Yes</v>
      </c>
      <c r="AF230" s="19" t="n">
        <f aca="false">IF(V230&gt;0,ROUND(AVERAGEIFS('Shortlisted Drugs X Company (7)'!$N$3:$N$698,'Shortlisted Drugs X Company (7)'!$C$3:$C$698,$B230,'Shortlisted Drugs X Company (7)'!$E$3:$E$698,$S230,'Shortlisted Drugs X Company (7)'!$N$3:$N$698,"&gt;=0"),2),"")</f>
        <v>4.49</v>
      </c>
      <c r="AG230" s="16" t="s">
        <v>1107</v>
      </c>
      <c r="AH230" s="16" t="s">
        <v>904</v>
      </c>
      <c r="AI230" s="16" t="s">
        <v>904</v>
      </c>
      <c r="AJ230" s="16" t="str">
        <f aca="false">IF(O230&lt;&gt;"","",IF(ISNUMBER(D230),IF(D230&gt;=$C$3,"High price","Lower price"),"Unpriced")&amp;" · "&amp;IF(M230&gt;=$E$3,"high volume","lower volume"))</f>
        <v/>
      </c>
      <c r="AK230" s="15" t="str">
        <f aca="false">IF(O230&lt;&gt;"",IF(O230="Price ≤ $5","Excluded – price ≤ $5","Excluded – IV only"),IF(ISNUMBER(D230),IF(AND(D230&gt;=$C$3,L230&gt;=$H$3),"Priority 1",IF(OR(D230&gt;=$C$3,L230&gt;=$H$3),"Priority 2","Priority 3")),IF(L230&gt;=$H$3,"Priority 2","Priority 3")))</f>
        <v>Excluded – price ≤ $5</v>
      </c>
      <c r="AL230" s="16" t="str">
        <f aca="false">IF(O230&lt;&gt;"","",IF(ISNUMBER(D230),IF(D230&gt;=$C$3,"High price","Lower price"),"Unpriced")&amp;" · "&amp;IF(L230&gt;=$H$3,"high volume","lower volume"))</f>
        <v/>
      </c>
      <c r="AM230" s="14" t="str">
        <f aca="false">IF(O230&lt;&gt;"","",COUNTIFS($A$29:$A$361,A230,$O$29:$O$361,"",$AQ$29:$AQ$361,"&gt;"&amp;AQ230)+COUNTIFS($A$29:A230,A230,$O$29:O230,"",$AQ$29:AQ230,AQ230))</f>
        <v/>
      </c>
      <c r="AN230" s="33" t="str">
        <f aca="false">IF(AND(O230="",ISNUMBER(D230)),D230,"")</f>
        <v/>
      </c>
      <c r="AO230" s="33" t="str">
        <f aca="false">IF(O230="",M230,"")</f>
        <v/>
      </c>
      <c r="AP230" s="33" t="str">
        <f aca="false">IF(O230="",L230,"")</f>
        <v/>
      </c>
      <c r="AQ230" s="33" t="str">
        <f aca="false">IF(O230&lt;&gt;"","",(4-VALUE(RIGHT(AK230,1)))*10^7+N(N230))</f>
        <v/>
      </c>
      <c r="AR230" s="33" t="n">
        <f aca="false">INDEX($O$7:$O$25,MATCH(A230,$I$7:$I$25,0))</f>
        <v>1</v>
      </c>
      <c r="AS230" s="33" t="n">
        <f aca="false">IF(AE230="No","",AR230*1000+IF(AM230="",900+COUNTIFS($A$29:A230,A230,$O$29:O230,"Price ≤ $5"),AM230))</f>
        <v>1904</v>
      </c>
    </row>
    <row r="231" customFormat="false" ht="82.05" hidden="false" customHeight="false" outlineLevel="0" collapsed="false">
      <c r="A231" s="15" t="s">
        <v>21</v>
      </c>
      <c r="B231" s="15" t="s">
        <v>510</v>
      </c>
      <c r="C231" s="16" t="s">
        <v>511</v>
      </c>
      <c r="D231" s="17" t="n">
        <f aca="false">IF(W231&gt;0,ROUND(AVERAGEIFS('Shortlisted Drugs X Company (7)'!$N$3:$N$698,'Shortlisted Drugs X Company (7)'!$C$3:$C$698,$B231,'Shortlisted Drugs X Company (7)'!$E$3:$E$698,$S231,'Shortlisted Drugs X Company (7)'!$N$3:$N$698,"&gt;5"),2),"")</f>
        <v>4779</v>
      </c>
      <c r="E231" s="15" t="str">
        <f aca="false">IF(COUNTIFS('Shortlisted Drugs X Company (7)'!$C$3:$C$698,$B231,'Shortlisted Drugs X Company (7)'!$E$3:$E$698,$S231,'Shortlisted Drugs X Company (7)'!$P$3:$P$698,"Exact")&gt;0,"Exact",IF(COUNTIFS('Shortlisted Drugs X Company (7)'!$C$3:$C$698,$B231,'Shortlisted Drugs X Company (7)'!$E$3:$E$698,$S231,'Shortlisted Drugs X Company (7)'!$P$3:$P$698,"Same-market proxy")&gt;0,"Same-market proxy",IF(COUNTIFS('Shortlisted Drugs X Company (7)'!$C$3:$C$698,$B231,'Shortlisted Drugs X Company (7)'!$E$3:$E$698,$S231,'Shortlisted Drugs X Company (7)'!$P$3:$P$698,"Cross-market proxy")&gt;0,"Cross-market proxy",IF(COUNTIFS('Shortlisted Drugs X Company (7)'!$C$3:$C$698,$B231,'Shortlisted Drugs X Company (7)'!$E$3:$E$698,$S231,'Shortlisted Drugs X Company (7)'!$P$3:$P$698,"Source not found")&gt;0,"Source not found","Not priced"))))</f>
        <v>Exact</v>
      </c>
      <c r="F231" s="18" t="n">
        <f aca="false">IFERROR(ROUND(INDEX('Injectable Value'!$AA$28:$AA$178,MATCH(B231,'Injectable Value'!$A$28:$A$178,0)),1),"")</f>
        <v>7904.7</v>
      </c>
      <c r="G231" s="16" t="s">
        <v>423</v>
      </c>
      <c r="H231" s="14" t="n">
        <v>32</v>
      </c>
      <c r="I231" s="15" t="s">
        <v>248</v>
      </c>
      <c r="J231" s="15" t="s">
        <v>249</v>
      </c>
      <c r="K231" s="16" t="str">
        <f aca="false">""&amp;IF(V231=0,"Unpriced","")&amp;IF(AND(V231&gt;0,W231=0,X231=0),"Low price from another market – confirm with company","")</f>
        <v/>
      </c>
      <c r="L231" s="18" t="n">
        <f aca="false">IFERROR(INDEX('Shortlisted Drugs X Company (7)'!$K$3:$K$698,MATCH(B231,'Shortlisted Drugs X Company (7)'!$C$3:$C$698,0)),"")</f>
        <v>47</v>
      </c>
      <c r="M231" s="18" t="n">
        <f aca="false">IFERROR(ROUND(L231*INDEX('Injectable Value'!$Z$28:$Z$178,MATCH(B231,'Injectable Value'!$A$28:$A$178,0)),0),"")</f>
        <v>47</v>
      </c>
      <c r="N231" s="18" t="n">
        <f aca="false">IFERROR(INDEX('Shortlisted Drugs X Company (7)'!$L$3:$L$698,MATCH(B231,'Shortlisted Drugs X Company (7)'!$C$3:$C$698,0)),"")</f>
        <v>7904.67</v>
      </c>
      <c r="O231" s="15" t="str">
        <f aca="false">IF(AE231="No","IV only (not ID/IM/SC)",IF(AND(V231&gt;0,W231=0),"Price ≤ $5",""))</f>
        <v/>
      </c>
      <c r="P231" s="14" t="n">
        <f aca="false">IF(O231&lt;&gt;"","",COUNTIFS($A$29:$A$361,A231,$O$29:$O$361,"",$AC$29:$AC$361,"&gt;"&amp;AC231)+COUNTIFS($A$29:A231,A231,$O$29:O231,"",$AC$29:AC231,AC231))</f>
        <v>12</v>
      </c>
      <c r="Q231" s="15" t="str">
        <f aca="false">IF(O231&lt;&gt;"",IF(O231="Price ≤ $5","Excluded – price ≤ $5","Excluded – IV only"),IF(ISNUMBER(D231),IF(AND(D231&gt;=$C$3,M231&gt;=$E$3),"Priority 1",IF(OR(D231&gt;=$C$3,M231&gt;=$E$3),"Priority 2","Priority 3")),IF(M231&gt;=$E$3,"Priority 2","Priority 3")))</f>
        <v>Priority 2</v>
      </c>
      <c r="R231" s="16" t="s">
        <v>250</v>
      </c>
      <c r="S231" s="15" t="s">
        <v>894</v>
      </c>
      <c r="T231" s="32" t="s">
        <v>513</v>
      </c>
      <c r="U231" s="33" t="str">
        <f aca="false">B231&amp;"|"&amp;S231</f>
        <v>Plerixafor|Intas Pharmaceuticals</v>
      </c>
      <c r="V231" s="34" t="n">
        <f aca="false">COUNTIFS('Shortlisted Drugs X Company (7)'!$C$3:$C$698,$B231,'Shortlisted Drugs X Company (7)'!$E$3:$E$698,$S231,'Shortlisted Drugs X Company (7)'!$N$3:$N$698,"&gt;=0")</f>
        <v>3</v>
      </c>
      <c r="W231" s="34" t="n">
        <f aca="false">COUNTIFS('Shortlisted Drugs X Company (7)'!$C$3:$C$698,$B231,'Shortlisted Drugs X Company (7)'!$E$3:$E$698,$S231,'Shortlisted Drugs X Company (7)'!$N$3:$N$698,"&gt;5")</f>
        <v>3</v>
      </c>
      <c r="X231" s="34" t="n">
        <f aca="false">COUNTIFS('Shortlisted Drugs X Company (7)'!$C$3:$C$698,$B231,'Shortlisted Drugs X Company (7)'!$E$3:$E$698,$S231,'Shortlisted Drugs X Company (7)'!$P$3:$P$698,"Exact")+COUNTIFS('Shortlisted Drugs X Company (7)'!$C$3:$C$698,$B231,'Shortlisted Drugs X Company (7)'!$E$3:$E$698,$S231,'Shortlisted Drugs X Company (7)'!$P$3:$P$698,"Same-market proxy")</f>
        <v>3</v>
      </c>
      <c r="Y231" s="33" t="str">
        <f aca="false">A231&amp;"|"&amp;P231</f>
        <v>Intas|12</v>
      </c>
      <c r="Z231" s="16" t="s">
        <v>514</v>
      </c>
      <c r="AA231" s="33" t="n">
        <f aca="false">INDEX($G$7:$G$25,MATCH(A231,$A$7:$A$25,0))</f>
        <v>1</v>
      </c>
      <c r="AB231" s="33" t="n">
        <f aca="false">IF(AE231="No","",AA231*1000+IF(P231="",900+COUNTIFS($A$29:A231,A231,$O$29:O231,"Price ≤ $5"),P231))</f>
        <v>1012</v>
      </c>
      <c r="AC231" s="33" t="n">
        <f aca="false">IF(O231&lt;&gt;"","",(4-VALUE(RIGHT(Q231,1)))*10^7+N(F231))</f>
        <v>20007904.7</v>
      </c>
      <c r="AD231" s="15" t="str">
        <f aca="false">IFERROR(INDEX('Route of Administration'!$C$5:$C$155,MATCH(B231,'Route of Administration'!$A$5:$A$155,0)),"")</f>
        <v>SC</v>
      </c>
      <c r="AE231" s="14" t="str">
        <f aca="false">IFERROR(INDEX('Route of Administration'!$D$5:$D$155,MATCH(B231,'Route of Administration'!$A$5:$A$155,0)),"")</f>
        <v>Yes</v>
      </c>
      <c r="AF231" s="19" t="n">
        <f aca="false">IF(V231&gt;0,ROUND(AVERAGEIFS('Shortlisted Drugs X Company (7)'!$N$3:$N$698,'Shortlisted Drugs X Company (7)'!$C$3:$C$698,$B231,'Shortlisted Drugs X Company (7)'!$E$3:$E$698,$S231,'Shortlisted Drugs X Company (7)'!$N$3:$N$698,"&gt;=0"),2),"")</f>
        <v>4779</v>
      </c>
      <c r="AG231" s="16" t="s">
        <v>1108</v>
      </c>
      <c r="AH231" s="16" t="s">
        <v>919</v>
      </c>
      <c r="AI231" s="16" t="s">
        <v>920</v>
      </c>
      <c r="AJ231" s="16" t="str">
        <f aca="false">IF(O231&lt;&gt;"","",IF(ISNUMBER(D231),IF(D231&gt;=$C$3,"High price","Lower price"),"Unpriced")&amp;" · "&amp;IF(M231&gt;=$E$3,"high volume","lower volume"))</f>
        <v>High price · lower volume</v>
      </c>
      <c r="AK231" s="15" t="str">
        <f aca="false">IF(O231&lt;&gt;"",IF(O231="Price ≤ $5","Excluded – price ≤ $5","Excluded – IV only"),IF(ISNUMBER(D231),IF(AND(D231&gt;=$C$3,L231&gt;=$H$3),"Priority 1",IF(OR(D231&gt;=$C$3,L231&gt;=$H$3),"Priority 2","Priority 3")),IF(L231&gt;=$H$3,"Priority 2","Priority 3")))</f>
        <v>Priority 2</v>
      </c>
      <c r="AL231" s="16" t="str">
        <f aca="false">IF(O231&lt;&gt;"","",IF(ISNUMBER(D231),IF(D231&gt;=$C$3,"High price","Lower price"),"Unpriced")&amp;" · "&amp;IF(L231&gt;=$H$3,"high volume","lower volume"))</f>
        <v>High price · lower volume</v>
      </c>
      <c r="AM231" s="14" t="n">
        <f aca="false">IF(O231&lt;&gt;"","",COUNTIFS($A$29:$A$361,A231,$O$29:$O$361,"",$AQ$29:$AQ$361,"&gt;"&amp;AQ231)+COUNTIFS($A$29:A231,A231,$O$29:O231,"",$AQ$29:AQ231,AQ231))</f>
        <v>15</v>
      </c>
      <c r="AN231" s="19" t="n">
        <f aca="false">IF(AND(O231="",ISNUMBER(D231)),D231,"")</f>
        <v>4779</v>
      </c>
      <c r="AO231" s="20" t="n">
        <f aca="false">IF(O231="",M231,"")</f>
        <v>47</v>
      </c>
      <c r="AP231" s="20" t="n">
        <f aca="false">IF(O231="",L231,"")</f>
        <v>47</v>
      </c>
      <c r="AQ231" s="33" t="n">
        <f aca="false">IF(O231&lt;&gt;"","",(4-VALUE(RIGHT(AK231,1)))*10^7+N(N231))</f>
        <v>20007904.67</v>
      </c>
      <c r="AR231" s="33" t="n">
        <f aca="false">INDEX($O$7:$O$25,MATCH(A231,$I$7:$I$25,0))</f>
        <v>1</v>
      </c>
      <c r="AS231" s="33" t="n">
        <f aca="false">IF(AE231="No","",AR231*1000+IF(AM231="",900+COUNTIFS($A$29:A231,A231,$O$29:O231,"Price ≤ $5"),AM231))</f>
        <v>1015</v>
      </c>
    </row>
    <row r="232" customFormat="false" ht="41.75" hidden="false" customHeight="false" outlineLevel="0" collapsed="false">
      <c r="A232" s="15" t="s">
        <v>21</v>
      </c>
      <c r="B232" s="15" t="s">
        <v>517</v>
      </c>
      <c r="C232" s="16" t="s">
        <v>518</v>
      </c>
      <c r="D232" s="17" t="n">
        <f aca="false">IF(W232&gt;0,ROUND(AVERAGEIFS('Shortlisted Drugs X Company (7)'!$N$3:$N$698,'Shortlisted Drugs X Company (7)'!$C$3:$C$698,$B232,'Shortlisted Drugs X Company (7)'!$E$3:$E$698,$S232,'Shortlisted Drugs X Company (7)'!$N$3:$N$698,"&gt;5"),2),"")</f>
        <v>6.23</v>
      </c>
      <c r="E232" s="15" t="str">
        <f aca="false">IF(COUNTIFS('Shortlisted Drugs X Company (7)'!$C$3:$C$698,$B232,'Shortlisted Drugs X Company (7)'!$E$3:$E$698,$S232,'Shortlisted Drugs X Company (7)'!$P$3:$P$698,"Exact")&gt;0,"Exact",IF(COUNTIFS('Shortlisted Drugs X Company (7)'!$C$3:$C$698,$B232,'Shortlisted Drugs X Company (7)'!$E$3:$E$698,$S232,'Shortlisted Drugs X Company (7)'!$P$3:$P$698,"Same-market proxy")&gt;0,"Same-market proxy",IF(COUNTIFS('Shortlisted Drugs X Company (7)'!$C$3:$C$698,$B232,'Shortlisted Drugs X Company (7)'!$E$3:$E$698,$S232,'Shortlisted Drugs X Company (7)'!$P$3:$P$698,"Cross-market proxy")&gt;0,"Cross-market proxy",IF(COUNTIFS('Shortlisted Drugs X Company (7)'!$C$3:$C$698,$B232,'Shortlisted Drugs X Company (7)'!$E$3:$E$698,$S232,'Shortlisted Drugs X Company (7)'!$P$3:$P$698,"Source not found")&gt;0,"Source not found","Not priced"))))</f>
        <v>Same-market proxy</v>
      </c>
      <c r="F232" s="18" t="n">
        <f aca="false">IFERROR(ROUND(INDEX('Injectable Value'!$AA$28:$AA$178,MATCH(B232,'Injectable Value'!$A$28:$A$178,0)),1),"")</f>
        <v>2646.6</v>
      </c>
      <c r="G232" s="16" t="s">
        <v>247</v>
      </c>
      <c r="H232" s="14" t="n">
        <v>1</v>
      </c>
      <c r="I232" s="15" t="s">
        <v>277</v>
      </c>
      <c r="J232" s="15" t="s">
        <v>277</v>
      </c>
      <c r="K232" s="16" t="str">
        <f aca="false">""&amp;IF(V232=0,"Unpriced","")&amp;IF(AND(V232&gt;0,W232=0,X232=0),"Low price from another market – confirm with company","")</f>
        <v/>
      </c>
      <c r="L232" s="18" t="n">
        <f aca="false">IFERROR(INDEX('Shortlisted Drugs X Company (7)'!$K$3:$K$698,MATCH(B232,'Shortlisted Drugs X Company (7)'!$C$3:$C$698,0)),"")</f>
        <v>736</v>
      </c>
      <c r="M232" s="18" t="n">
        <f aca="false">IFERROR(ROUND(L232*INDEX('Injectable Value'!$Z$28:$Z$178,MATCH(B232,'Injectable Value'!$A$28:$A$178,0)),0),"")</f>
        <v>88</v>
      </c>
      <c r="N232" s="18" t="n">
        <f aca="false">IFERROR(INDEX('Shortlisted Drugs X Company (7)'!$L$3:$L$698,MATCH(B232,'Shortlisted Drugs X Company (7)'!$C$3:$C$698,0)),"")</f>
        <v>22018.81</v>
      </c>
      <c r="O232" s="15" t="str">
        <f aca="false">IF(AE232="No","IV only (not ID/IM/SC)",IF(AND(V232&gt;0,W232=0),"Price ≤ $5",""))</f>
        <v/>
      </c>
      <c r="P232" s="14" t="n">
        <f aca="false">IF(O232&lt;&gt;"","",COUNTIFS($A$29:$A$361,A232,$O$29:$O$361,"",$AC$29:$AC$361,"&gt;"&amp;AC232)+COUNTIFS($A$29:A232,A232,$O$29:O232,"",$AC$29:AC232,AC232))</f>
        <v>23</v>
      </c>
      <c r="Q232" s="15" t="str">
        <f aca="false">IF(O232&lt;&gt;"",IF(O232="Price ≤ $5","Excluded – price ≤ $5","Excluded – IV only"),IF(ISNUMBER(D232),IF(AND(D232&gt;=$C$3,M232&gt;=$E$3),"Priority 1",IF(OR(D232&gt;=$C$3,M232&gt;=$E$3),"Priority 2","Priority 3")),IF(M232&gt;=$E$3,"Priority 2","Priority 3")))</f>
        <v>Priority 3</v>
      </c>
      <c r="R232" s="16" t="s">
        <v>278</v>
      </c>
      <c r="S232" s="15" t="s">
        <v>894</v>
      </c>
      <c r="T232" s="32" t="s">
        <v>519</v>
      </c>
      <c r="U232" s="33" t="str">
        <f aca="false">B232&amp;"|"&amp;S232</f>
        <v>Progesterone|Intas Pharmaceuticals</v>
      </c>
      <c r="V232" s="34" t="n">
        <f aca="false">COUNTIFS('Shortlisted Drugs X Company (7)'!$C$3:$C$698,$B232,'Shortlisted Drugs X Company (7)'!$E$3:$E$698,$S232,'Shortlisted Drugs X Company (7)'!$N$3:$N$698,"&gt;=0")</f>
        <v>1</v>
      </c>
      <c r="W232" s="34" t="n">
        <f aca="false">COUNTIFS('Shortlisted Drugs X Company (7)'!$C$3:$C$698,$B232,'Shortlisted Drugs X Company (7)'!$E$3:$E$698,$S232,'Shortlisted Drugs X Company (7)'!$N$3:$N$698,"&gt;5")</f>
        <v>1</v>
      </c>
      <c r="X232" s="34" t="n">
        <f aca="false">COUNTIFS('Shortlisted Drugs X Company (7)'!$C$3:$C$698,$B232,'Shortlisted Drugs X Company (7)'!$E$3:$E$698,$S232,'Shortlisted Drugs X Company (7)'!$P$3:$P$698,"Exact")+COUNTIFS('Shortlisted Drugs X Company (7)'!$C$3:$C$698,$B232,'Shortlisted Drugs X Company (7)'!$E$3:$E$698,$S232,'Shortlisted Drugs X Company (7)'!$P$3:$P$698,"Same-market proxy")</f>
        <v>1</v>
      </c>
      <c r="Y232" s="33" t="str">
        <f aca="false">A232&amp;"|"&amp;P232</f>
        <v>Intas|23</v>
      </c>
      <c r="Z232" s="16" t="s">
        <v>1109</v>
      </c>
      <c r="AA232" s="33" t="n">
        <f aca="false">INDEX($G$7:$G$25,MATCH(A232,$A$7:$A$25,0))</f>
        <v>1</v>
      </c>
      <c r="AB232" s="33" t="n">
        <f aca="false">IF(AE232="No","",AA232*1000+IF(P232="",900+COUNTIFS($A$29:A232,A232,$O$29:O232,"Price ≤ $5"),P232))</f>
        <v>1023</v>
      </c>
      <c r="AC232" s="33" t="n">
        <f aca="false">IF(O232&lt;&gt;"","",(4-VALUE(RIGHT(Q232,1)))*10^7+N(F232))</f>
        <v>10002646.6</v>
      </c>
      <c r="AD232" s="15" t="str">
        <f aca="false">IFERROR(INDEX('Route of Administration'!$C$5:$C$155,MATCH(B232,'Route of Administration'!$A$5:$A$155,0)),"")</f>
        <v>IM</v>
      </c>
      <c r="AE232" s="14" t="str">
        <f aca="false">IFERROR(INDEX('Route of Administration'!$D$5:$D$155,MATCH(B232,'Route of Administration'!$A$5:$A$155,0)),"")</f>
        <v>Yes</v>
      </c>
      <c r="AF232" s="19" t="n">
        <f aca="false">IF(V232&gt;0,ROUND(AVERAGEIFS('Shortlisted Drugs X Company (7)'!$N$3:$N$698,'Shortlisted Drugs X Company (7)'!$C$3:$C$698,$B232,'Shortlisted Drugs X Company (7)'!$E$3:$E$698,$S232,'Shortlisted Drugs X Company (7)'!$N$3:$N$698,"&gt;=0"),2),"")</f>
        <v>6.23</v>
      </c>
      <c r="AG232" s="16" t="s">
        <v>517</v>
      </c>
      <c r="AH232" s="16" t="s">
        <v>247</v>
      </c>
      <c r="AI232" s="16" t="s">
        <v>247</v>
      </c>
      <c r="AJ232" s="16" t="str">
        <f aca="false">IF(O232&lt;&gt;"","",IF(ISNUMBER(D232),IF(D232&gt;=$C$3,"High price","Lower price"),"Unpriced")&amp;" · "&amp;IF(M232&gt;=$E$3,"high volume","lower volume"))</f>
        <v>Lower price · lower volume</v>
      </c>
      <c r="AK232" s="15" t="str">
        <f aca="false">IF(O232&lt;&gt;"",IF(O232="Price ≤ $5","Excluded – price ≤ $5","Excluded – IV only"),IF(ISNUMBER(D232),IF(AND(D232&gt;=$C$3,L232&gt;=$H$3),"Priority 1",IF(OR(D232&gt;=$C$3,L232&gt;=$H$3),"Priority 2","Priority 3")),IF(L232&gt;=$H$3,"Priority 2","Priority 3")))</f>
        <v>Priority 2</v>
      </c>
      <c r="AL232" s="16" t="str">
        <f aca="false">IF(O232&lt;&gt;"","",IF(ISNUMBER(D232),IF(D232&gt;=$C$3,"High price","Lower price"),"Unpriced")&amp;" · "&amp;IF(L232&gt;=$H$3,"high volume","lower volume"))</f>
        <v>Lower price · high volume</v>
      </c>
      <c r="AM232" s="14" t="n">
        <f aca="false">IF(O232&lt;&gt;"","",COUNTIFS($A$29:$A$361,A232,$O$29:$O$361,"",$AQ$29:$AQ$361,"&gt;"&amp;AQ232)+COUNTIFS($A$29:A232,A232,$O$29:O232,"",$AQ$29:AQ232,AQ232))</f>
        <v>11</v>
      </c>
      <c r="AN232" s="19" t="n">
        <f aca="false">IF(AND(O232="",ISNUMBER(D232)),D232,"")</f>
        <v>6.23</v>
      </c>
      <c r="AO232" s="20" t="n">
        <f aca="false">IF(O232="",M232,"")</f>
        <v>88</v>
      </c>
      <c r="AP232" s="20" t="n">
        <f aca="false">IF(O232="",L232,"")</f>
        <v>736</v>
      </c>
      <c r="AQ232" s="33" t="n">
        <f aca="false">IF(O232&lt;&gt;"","",(4-VALUE(RIGHT(AK232,1)))*10^7+N(N232))</f>
        <v>20022018.81</v>
      </c>
      <c r="AR232" s="33" t="n">
        <f aca="false">INDEX($O$7:$O$25,MATCH(A232,$I$7:$I$25,0))</f>
        <v>1</v>
      </c>
      <c r="AS232" s="33" t="n">
        <f aca="false">IF(AE232="No","",AR232*1000+IF(AM232="",900+COUNTIFS($A$29:A232,A232,$O$29:O232,"Price ≤ $5"),AM232))</f>
        <v>1011</v>
      </c>
    </row>
    <row r="233" customFormat="false" ht="41.75" hidden="false" customHeight="false" outlineLevel="0" collapsed="false">
      <c r="A233" s="15" t="s">
        <v>21</v>
      </c>
      <c r="B233" s="15" t="s">
        <v>1110</v>
      </c>
      <c r="C233" s="16" t="s">
        <v>1111</v>
      </c>
      <c r="D233" s="17" t="n">
        <f aca="false">IF(W233&gt;0,ROUND(AVERAGEIFS('Shortlisted Drugs X Company (7)'!$N$3:$N$698,'Shortlisted Drugs X Company (7)'!$C$3:$C$698,$B233,'Shortlisted Drugs X Company (7)'!$E$3:$E$698,$S233,'Shortlisted Drugs X Company (7)'!$N$3:$N$698,"&gt;5"),2),"")</f>
        <v>655.58</v>
      </c>
      <c r="E233" s="15" t="str">
        <f aca="false">IF(COUNTIFS('Shortlisted Drugs X Company (7)'!$C$3:$C$698,$B233,'Shortlisted Drugs X Company (7)'!$E$3:$E$698,$S233,'Shortlisted Drugs X Company (7)'!$P$3:$P$698,"Exact")&gt;0,"Exact",IF(COUNTIFS('Shortlisted Drugs X Company (7)'!$C$3:$C$698,$B233,'Shortlisted Drugs X Company (7)'!$E$3:$E$698,$S233,'Shortlisted Drugs X Company (7)'!$P$3:$P$698,"Same-market proxy")&gt;0,"Same-market proxy",IF(COUNTIFS('Shortlisted Drugs X Company (7)'!$C$3:$C$698,$B233,'Shortlisted Drugs X Company (7)'!$E$3:$E$698,$S233,'Shortlisted Drugs X Company (7)'!$P$3:$P$698,"Cross-market proxy")&gt;0,"Cross-market proxy",IF(COUNTIFS('Shortlisted Drugs X Company (7)'!$C$3:$C$698,$B233,'Shortlisted Drugs X Company (7)'!$E$3:$E$698,$S233,'Shortlisted Drugs X Company (7)'!$P$3:$P$698,"Source not found")&gt;0,"Source not found","Not priced"))))</f>
        <v>Source not found</v>
      </c>
      <c r="F233" s="18" t="n">
        <f aca="false">IFERROR(ROUND(INDEX('Injectable Value'!$AA$28:$AA$178,MATCH(B233,'Injectable Value'!$A$28:$A$178,0)),1),"")</f>
        <v>843.5</v>
      </c>
      <c r="G233" s="16" t="s">
        <v>1112</v>
      </c>
      <c r="H233" s="14" t="n">
        <v>1</v>
      </c>
      <c r="I233" s="15" t="s">
        <v>248</v>
      </c>
      <c r="J233" s="15" t="s">
        <v>249</v>
      </c>
      <c r="K233" s="16" t="str">
        <f aca="false">""&amp;IF(V233=0,"Unpriced","")&amp;IF(AND(V233&gt;0,W233=0,X233=0),"Low price from another market – confirm with company","")</f>
        <v/>
      </c>
      <c r="L233" s="18" t="n">
        <f aca="false">IFERROR(INDEX('Shortlisted Drugs X Company (7)'!$K$3:$K$698,MATCH(B233,'Shortlisted Drugs X Company (7)'!$C$3:$C$698,0)),"")</f>
        <v>64</v>
      </c>
      <c r="M233" s="18" t="n">
        <f aca="false">IFERROR(ROUND(L233*INDEX('Injectable Value'!$Z$28:$Z$178,MATCH(B233,'Injectable Value'!$A$28:$A$178,0)),0),"")</f>
        <v>64</v>
      </c>
      <c r="N233" s="18" t="n">
        <f aca="false">IFERROR(INDEX('Shortlisted Drugs X Company (7)'!$L$3:$L$698,MATCH(B233,'Shortlisted Drugs X Company (7)'!$C$3:$C$698,0)),"")</f>
        <v>843.51</v>
      </c>
      <c r="O233" s="15" t="str">
        <f aca="false">IF(AE233="No","IV only (not ID/IM/SC)",IF(AND(V233&gt;0,W233=0),"Price ≤ $5",""))</f>
        <v>IV only (not ID/IM/SC)</v>
      </c>
      <c r="P233" s="14" t="str">
        <f aca="false">IF(O233&lt;&gt;"","",COUNTIFS($A$29:$A$361,A233,$O$29:$O$361,"",$AC$29:$AC$361,"&gt;"&amp;AC233)+COUNTIFS($A$29:A233,A233,$O$29:O233,"",$AC$29:AC233,AC233))</f>
        <v/>
      </c>
      <c r="Q233" s="15" t="str">
        <f aca="false">IF(O233&lt;&gt;"",IF(O233="Price ≤ $5","Excluded – price ≤ $5","Excluded – IV only"),IF(ISNUMBER(D233),IF(AND(D233&gt;=$C$3,M233&gt;=$E$3),"Priority 1",IF(OR(D233&gt;=$C$3,M233&gt;=$E$3),"Priority 2","Priority 3")),IF(M233&gt;=$E$3,"Priority 2","Priority 3")))</f>
        <v>Excluded – IV only</v>
      </c>
      <c r="R233" s="16" t="s">
        <v>285</v>
      </c>
      <c r="S233" s="15" t="s">
        <v>894</v>
      </c>
      <c r="T233" s="32" t="s">
        <v>1113</v>
      </c>
      <c r="U233" s="33" t="str">
        <f aca="false">B233&amp;"|"&amp;S233</f>
        <v>Ranibizumab|Intas Pharmaceuticals</v>
      </c>
      <c r="V233" s="34" t="n">
        <f aca="false">COUNTIFS('Shortlisted Drugs X Company (7)'!$C$3:$C$698,$B233,'Shortlisted Drugs X Company (7)'!$E$3:$E$698,$S233,'Shortlisted Drugs X Company (7)'!$N$3:$N$698,"&gt;=0")</f>
        <v>1</v>
      </c>
      <c r="W233" s="34" t="n">
        <f aca="false">COUNTIFS('Shortlisted Drugs X Company (7)'!$C$3:$C$698,$B233,'Shortlisted Drugs X Company (7)'!$E$3:$E$698,$S233,'Shortlisted Drugs X Company (7)'!$N$3:$N$698,"&gt;5")</f>
        <v>1</v>
      </c>
      <c r="X233" s="34" t="n">
        <f aca="false">COUNTIFS('Shortlisted Drugs X Company (7)'!$C$3:$C$698,$B233,'Shortlisted Drugs X Company (7)'!$E$3:$E$698,$S233,'Shortlisted Drugs X Company (7)'!$P$3:$P$698,"Exact")+COUNTIFS('Shortlisted Drugs X Company (7)'!$C$3:$C$698,$B233,'Shortlisted Drugs X Company (7)'!$E$3:$E$698,$S233,'Shortlisted Drugs X Company (7)'!$P$3:$P$698,"Same-market proxy")</f>
        <v>0</v>
      </c>
      <c r="Y233" s="33" t="str">
        <f aca="false">A233&amp;"|"&amp;P233</f>
        <v>Intas|</v>
      </c>
      <c r="Z233" s="16" t="s">
        <v>1114</v>
      </c>
      <c r="AA233" s="33" t="n">
        <f aca="false">INDEX($G$7:$G$25,MATCH(A233,$A$7:$A$25,0))</f>
        <v>1</v>
      </c>
      <c r="AB233" s="33" t="str">
        <f aca="false">IF(AE233="No","",AA233*1000+IF(P233="",900+COUNTIFS($A$29:A233,A233,$O$29:O233,"Price ≤ $5"),P233))</f>
        <v/>
      </c>
      <c r="AC233" s="33" t="str">
        <f aca="false">IF(O233&lt;&gt;"","",(4-VALUE(RIGHT(Q233,1)))*10^7+N(F233))</f>
        <v/>
      </c>
      <c r="AD233" s="15" t="str">
        <f aca="false">IFERROR(INDEX('Route of Administration'!$C$5:$C$155,MATCH(B233,'Route of Administration'!$A$5:$A$155,0)),"")</f>
        <v>Intravitreal</v>
      </c>
      <c r="AE233" s="14" t="str">
        <f aca="false">IFERROR(INDEX('Route of Administration'!$D$5:$D$155,MATCH(B233,'Route of Administration'!$A$5:$A$155,0)),"")</f>
        <v>No</v>
      </c>
      <c r="AF233" s="19" t="n">
        <f aca="false">IF(V233&gt;0,ROUND(AVERAGEIFS('Shortlisted Drugs X Company (7)'!$N$3:$N$698,'Shortlisted Drugs X Company (7)'!$C$3:$C$698,$B233,'Shortlisted Drugs X Company (7)'!$E$3:$E$698,$S233,'Shortlisted Drugs X Company (7)'!$N$3:$N$698,"&gt;=0"),2),"")</f>
        <v>655.58</v>
      </c>
      <c r="AG233" s="16" t="s">
        <v>1115</v>
      </c>
      <c r="AH233" s="16" t="s">
        <v>1112</v>
      </c>
      <c r="AI233" s="16" t="s">
        <v>1112</v>
      </c>
      <c r="AJ233" s="16" t="str">
        <f aca="false">IF(O233&lt;&gt;"","",IF(ISNUMBER(D233),IF(D233&gt;=$C$3,"High price","Lower price"),"Unpriced")&amp;" · "&amp;IF(M233&gt;=$E$3,"high volume","lower volume"))</f>
        <v/>
      </c>
      <c r="AK233" s="15" t="str">
        <f aca="false">IF(O233&lt;&gt;"",IF(O233="Price ≤ $5","Excluded – price ≤ $5","Excluded – IV only"),IF(ISNUMBER(D233),IF(AND(D233&gt;=$C$3,L233&gt;=$H$3),"Priority 1",IF(OR(D233&gt;=$C$3,L233&gt;=$H$3),"Priority 2","Priority 3")),IF(L233&gt;=$H$3,"Priority 2","Priority 3")))</f>
        <v>Excluded – IV only</v>
      </c>
      <c r="AL233" s="16" t="str">
        <f aca="false">IF(O233&lt;&gt;"","",IF(ISNUMBER(D233),IF(D233&gt;=$C$3,"High price","Lower price"),"Unpriced")&amp;" · "&amp;IF(L233&gt;=$H$3,"high volume","lower volume"))</f>
        <v/>
      </c>
      <c r="AM233" s="14" t="str">
        <f aca="false">IF(O233&lt;&gt;"","",COUNTIFS($A$29:$A$361,A233,$O$29:$O$361,"",$AQ$29:$AQ$361,"&gt;"&amp;AQ233)+COUNTIFS($A$29:A233,A233,$O$29:O233,"",$AQ$29:AQ233,AQ233))</f>
        <v/>
      </c>
      <c r="AN233" s="33" t="str">
        <f aca="false">IF(AND(O233="",ISNUMBER(D233)),D233,"")</f>
        <v/>
      </c>
      <c r="AO233" s="33" t="str">
        <f aca="false">IF(O233="",M233,"")</f>
        <v/>
      </c>
      <c r="AP233" s="33" t="str">
        <f aca="false">IF(O233="",L233,"")</f>
        <v/>
      </c>
      <c r="AQ233" s="33" t="str">
        <f aca="false">IF(O233&lt;&gt;"","",(4-VALUE(RIGHT(AK233,1)))*10^7+N(N233))</f>
        <v/>
      </c>
      <c r="AR233" s="33" t="n">
        <f aca="false">INDEX($O$7:$O$25,MATCH(A233,$I$7:$I$25,0))</f>
        <v>1</v>
      </c>
      <c r="AS233" s="33" t="str">
        <f aca="false">IF(AE233="No","",AR233*1000+IF(AM233="",900+COUNTIFS($A$29:A233,A233,$O$29:O233,"Price ≤ $5"),AM233))</f>
        <v/>
      </c>
    </row>
    <row r="234" customFormat="false" ht="28.35" hidden="false" customHeight="false" outlineLevel="0" collapsed="false">
      <c r="A234" s="15" t="s">
        <v>21</v>
      </c>
      <c r="B234" s="15" t="s">
        <v>521</v>
      </c>
      <c r="C234" s="16" t="s">
        <v>522</v>
      </c>
      <c r="D234" s="17" t="n">
        <f aca="false">IF(W234&gt;0,ROUND(AVERAGEIFS('Shortlisted Drugs X Company (7)'!$N$3:$N$698,'Shortlisted Drugs X Company (7)'!$C$3:$C$698,$B234,'Shortlisted Drugs X Company (7)'!$E$3:$E$698,$S234,'Shortlisted Drugs X Company (7)'!$N$3:$N$698,"&gt;5"),2),"")</f>
        <v>10.03</v>
      </c>
      <c r="E234" s="15" t="str">
        <f aca="false">IF(COUNTIFS('Shortlisted Drugs X Company (7)'!$C$3:$C$698,$B234,'Shortlisted Drugs X Company (7)'!$E$3:$E$698,$S234,'Shortlisted Drugs X Company (7)'!$P$3:$P$698,"Exact")&gt;0,"Exact",IF(COUNTIFS('Shortlisted Drugs X Company (7)'!$C$3:$C$698,$B234,'Shortlisted Drugs X Company (7)'!$E$3:$E$698,$S234,'Shortlisted Drugs X Company (7)'!$P$3:$P$698,"Same-market proxy")&gt;0,"Same-market proxy",IF(COUNTIFS('Shortlisted Drugs X Company (7)'!$C$3:$C$698,$B234,'Shortlisted Drugs X Company (7)'!$E$3:$E$698,$S234,'Shortlisted Drugs X Company (7)'!$P$3:$P$698,"Cross-market proxy")&gt;0,"Cross-market proxy",IF(COUNTIFS('Shortlisted Drugs X Company (7)'!$C$3:$C$698,$B234,'Shortlisted Drugs X Company (7)'!$E$3:$E$698,$S234,'Shortlisted Drugs X Company (7)'!$P$3:$P$698,"Source not found")&gt;0,"Source not found","Not priced"))))</f>
        <v>Same-market proxy</v>
      </c>
      <c r="F234" s="18" t="n">
        <f aca="false">IFERROR(ROUND(INDEX('Injectable Value'!$AA$28:$AA$178,MATCH(B234,'Injectable Value'!$A$28:$A$178,0)),1),"")</f>
        <v>1127.6</v>
      </c>
      <c r="G234" s="16" t="s">
        <v>247</v>
      </c>
      <c r="H234" s="14" t="n">
        <v>1</v>
      </c>
      <c r="I234" s="15" t="s">
        <v>258</v>
      </c>
      <c r="J234" s="15" t="s">
        <v>249</v>
      </c>
      <c r="K234" s="16" t="str">
        <f aca="false">"Prefilled only"&amp;IF(V234=0,"; Unpriced","")&amp;IF(AND(V234&gt;0,W234=0,X234=0),"; Low price from another market – confirm with company","")</f>
        <v>Prefilled only</v>
      </c>
      <c r="L234" s="18" t="n">
        <f aca="false">IFERROR(INDEX('Shortlisted Drugs X Company (7)'!$K$3:$K$698,MATCH(B234,'Shortlisted Drugs X Company (7)'!$C$3:$C$698,0)),"")</f>
        <v>9</v>
      </c>
      <c r="M234" s="18" t="n">
        <f aca="false">IFERROR(ROUND(L234*INDEX('Injectable Value'!$Z$28:$Z$178,MATCH(B234,'Injectable Value'!$A$28:$A$178,0)),0),"")</f>
        <v>9</v>
      </c>
      <c r="N234" s="18" t="n">
        <f aca="false">IFERROR(INDEX('Shortlisted Drugs X Company (7)'!$L$3:$L$698,MATCH(B234,'Shortlisted Drugs X Company (7)'!$C$3:$C$698,0)),"")</f>
        <v>1127.64</v>
      </c>
      <c r="O234" s="15" t="str">
        <f aca="false">IF(AE234="No","IV only (not ID/IM/SC)",IF(AND(V234&gt;0,W234=0),"Price ≤ $5",""))</f>
        <v>IV only (not ID/IM/SC)</v>
      </c>
      <c r="P234" s="14" t="str">
        <f aca="false">IF(O234&lt;&gt;"","",COUNTIFS($A$29:$A$361,A234,$O$29:$O$361,"",$AC$29:$AC$361,"&gt;"&amp;AC234)+COUNTIFS($A$29:A234,A234,$O$29:O234,"",$AC$29:AC234,AC234))</f>
        <v/>
      </c>
      <c r="Q234" s="15" t="str">
        <f aca="false">IF(O234&lt;&gt;"",IF(O234="Price ≤ $5","Excluded – price ≤ $5","Excluded – IV only"),IF(ISNUMBER(D234),IF(AND(D234&gt;=$C$3,M234&gt;=$E$3),"Priority 1",IF(OR(D234&gt;=$C$3,M234&gt;=$E$3),"Priority 2","Priority 3")),IF(M234&gt;=$E$3,"Priority 2","Priority 3")))</f>
        <v>Excluded – IV only</v>
      </c>
      <c r="R234" s="16" t="s">
        <v>259</v>
      </c>
      <c r="S234" s="15" t="s">
        <v>894</v>
      </c>
      <c r="T234" s="32" t="s">
        <v>523</v>
      </c>
      <c r="U234" s="33" t="str">
        <f aca="false">B234&amp;"|"&amp;S234</f>
        <v>Regadenoson|Intas Pharmaceuticals</v>
      </c>
      <c r="V234" s="34" t="n">
        <f aca="false">COUNTIFS('Shortlisted Drugs X Company (7)'!$C$3:$C$698,$B234,'Shortlisted Drugs X Company (7)'!$E$3:$E$698,$S234,'Shortlisted Drugs X Company (7)'!$N$3:$N$698,"&gt;=0")</f>
        <v>1</v>
      </c>
      <c r="W234" s="34" t="n">
        <f aca="false">COUNTIFS('Shortlisted Drugs X Company (7)'!$C$3:$C$698,$B234,'Shortlisted Drugs X Company (7)'!$E$3:$E$698,$S234,'Shortlisted Drugs X Company (7)'!$N$3:$N$698,"&gt;5")</f>
        <v>1</v>
      </c>
      <c r="X234" s="34" t="n">
        <f aca="false">COUNTIFS('Shortlisted Drugs X Company (7)'!$C$3:$C$698,$B234,'Shortlisted Drugs X Company (7)'!$E$3:$E$698,$S234,'Shortlisted Drugs X Company (7)'!$P$3:$P$698,"Exact")+COUNTIFS('Shortlisted Drugs X Company (7)'!$C$3:$C$698,$B234,'Shortlisted Drugs X Company (7)'!$E$3:$E$698,$S234,'Shortlisted Drugs X Company (7)'!$P$3:$P$698,"Same-market proxy")</f>
        <v>1</v>
      </c>
      <c r="Y234" s="33" t="str">
        <f aca="false">A234&amp;"|"&amp;P234</f>
        <v>Intas|</v>
      </c>
      <c r="Z234" s="16" t="s">
        <v>524</v>
      </c>
      <c r="AA234" s="33" t="n">
        <f aca="false">INDEX($G$7:$G$25,MATCH(A234,$A$7:$A$25,0))</f>
        <v>1</v>
      </c>
      <c r="AB234" s="33" t="str">
        <f aca="false">IF(AE234="No","",AA234*1000+IF(P234="",900+COUNTIFS($A$29:A234,A234,$O$29:O234,"Price ≤ $5"),P234))</f>
        <v/>
      </c>
      <c r="AC234" s="33" t="str">
        <f aca="false">IF(O234&lt;&gt;"","",(4-VALUE(RIGHT(Q234,1)))*10^7+N(F234))</f>
        <v/>
      </c>
      <c r="AD234" s="15" t="str">
        <f aca="false">IFERROR(INDEX('Route of Administration'!$C$5:$C$155,MATCH(B234,'Route of Administration'!$A$5:$A$155,0)),"")</f>
        <v>IV</v>
      </c>
      <c r="AE234" s="14" t="str">
        <f aca="false">IFERROR(INDEX('Route of Administration'!$D$5:$D$155,MATCH(B234,'Route of Administration'!$A$5:$A$155,0)),"")</f>
        <v>No</v>
      </c>
      <c r="AF234" s="19" t="n">
        <f aca="false">IF(V234&gt;0,ROUND(AVERAGEIFS('Shortlisted Drugs X Company (7)'!$N$3:$N$698,'Shortlisted Drugs X Company (7)'!$C$3:$C$698,$B234,'Shortlisted Drugs X Company (7)'!$E$3:$E$698,$S234,'Shortlisted Drugs X Company (7)'!$N$3:$N$698,"&gt;=0"),2),"")</f>
        <v>10.03</v>
      </c>
      <c r="AG234" s="16" t="s">
        <v>521</v>
      </c>
      <c r="AH234" s="16" t="s">
        <v>247</v>
      </c>
      <c r="AI234" s="16" t="s">
        <v>247</v>
      </c>
      <c r="AJ234" s="16" t="str">
        <f aca="false">IF(O234&lt;&gt;"","",IF(ISNUMBER(D234),IF(D234&gt;=$C$3,"High price","Lower price"),"Unpriced")&amp;" · "&amp;IF(M234&gt;=$E$3,"high volume","lower volume"))</f>
        <v/>
      </c>
      <c r="AK234" s="15" t="str">
        <f aca="false">IF(O234&lt;&gt;"",IF(O234="Price ≤ $5","Excluded – price ≤ $5","Excluded – IV only"),IF(ISNUMBER(D234),IF(AND(D234&gt;=$C$3,L234&gt;=$H$3),"Priority 1",IF(OR(D234&gt;=$C$3,L234&gt;=$H$3),"Priority 2","Priority 3")),IF(L234&gt;=$H$3,"Priority 2","Priority 3")))</f>
        <v>Excluded – IV only</v>
      </c>
      <c r="AL234" s="16" t="str">
        <f aca="false">IF(O234&lt;&gt;"","",IF(ISNUMBER(D234),IF(D234&gt;=$C$3,"High price","Lower price"),"Unpriced")&amp;" · "&amp;IF(L234&gt;=$H$3,"high volume","lower volume"))</f>
        <v/>
      </c>
      <c r="AM234" s="14" t="str">
        <f aca="false">IF(O234&lt;&gt;"","",COUNTIFS($A$29:$A$361,A234,$O$29:$O$361,"",$AQ$29:$AQ$361,"&gt;"&amp;AQ234)+COUNTIFS($A$29:A234,A234,$O$29:O234,"",$AQ$29:AQ234,AQ234))</f>
        <v/>
      </c>
      <c r="AN234" s="33" t="str">
        <f aca="false">IF(AND(O234="",ISNUMBER(D234)),D234,"")</f>
        <v/>
      </c>
      <c r="AO234" s="33" t="str">
        <f aca="false">IF(O234="",M234,"")</f>
        <v/>
      </c>
      <c r="AP234" s="33" t="str">
        <f aca="false">IF(O234="",L234,"")</f>
        <v/>
      </c>
      <c r="AQ234" s="33" t="str">
        <f aca="false">IF(O234&lt;&gt;"","",(4-VALUE(RIGHT(AK234,1)))*10^7+N(N234))</f>
        <v/>
      </c>
      <c r="AR234" s="33" t="n">
        <f aca="false">INDEX($O$7:$O$25,MATCH(A234,$I$7:$I$25,0))</f>
        <v>1</v>
      </c>
      <c r="AS234" s="33" t="str">
        <f aca="false">IF(AE234="No","",AR234*1000+IF(AM234="",900+COUNTIFS($A$29:A234,A234,$O$29:O234,"Price ≤ $5"),AM234))</f>
        <v/>
      </c>
    </row>
    <row r="235" customFormat="false" ht="41.75" hidden="false" customHeight="false" outlineLevel="0" collapsed="false">
      <c r="A235" s="15" t="s">
        <v>21</v>
      </c>
      <c r="B235" s="15" t="s">
        <v>880</v>
      </c>
      <c r="C235" s="16" t="s">
        <v>564</v>
      </c>
      <c r="D235" s="17" t="n">
        <f aca="false">IF(W235&gt;0,ROUND(AVERAGEIFS('Shortlisted Drugs X Company (7)'!$N$3:$N$698,'Shortlisted Drugs X Company (7)'!$C$3:$C$698,$B235,'Shortlisted Drugs X Company (7)'!$E$3:$E$698,$S235,'Shortlisted Drugs X Company (7)'!$N$3:$N$698,"&gt;5"),2),"")</f>
        <v>5.1</v>
      </c>
      <c r="E235" s="15" t="str">
        <f aca="false">IF(COUNTIFS('Shortlisted Drugs X Company (7)'!$C$3:$C$698,$B235,'Shortlisted Drugs X Company (7)'!$E$3:$E$698,$S235,'Shortlisted Drugs X Company (7)'!$P$3:$P$698,"Exact")&gt;0,"Exact",IF(COUNTIFS('Shortlisted Drugs X Company (7)'!$C$3:$C$698,$B235,'Shortlisted Drugs X Company (7)'!$E$3:$E$698,$S235,'Shortlisted Drugs X Company (7)'!$P$3:$P$698,"Same-market proxy")&gt;0,"Same-market proxy",IF(COUNTIFS('Shortlisted Drugs X Company (7)'!$C$3:$C$698,$B235,'Shortlisted Drugs X Company (7)'!$E$3:$E$698,$S235,'Shortlisted Drugs X Company (7)'!$P$3:$P$698,"Cross-market proxy")&gt;0,"Cross-market proxy",IF(COUNTIFS('Shortlisted Drugs X Company (7)'!$C$3:$C$698,$B235,'Shortlisted Drugs X Company (7)'!$E$3:$E$698,$S235,'Shortlisted Drugs X Company (7)'!$P$3:$P$698,"Source not found")&gt;0,"Source not found","Not priced"))))</f>
        <v>Same-market proxy</v>
      </c>
      <c r="F235" s="18" t="n">
        <f aca="false">IFERROR(ROUND(INDEX('Injectable Value'!$AA$28:$AA$178,MATCH(B235,'Injectable Value'!$A$28:$A$178,0)),1),"")</f>
        <v>20184.3</v>
      </c>
      <c r="G235" s="16" t="s">
        <v>315</v>
      </c>
      <c r="H235" s="14" t="n">
        <v>12</v>
      </c>
      <c r="I235" s="15" t="s">
        <v>316</v>
      </c>
      <c r="J235" s="15" t="s">
        <v>249</v>
      </c>
      <c r="K235" s="16" t="str">
        <f aca="false">""&amp;IF(V235=0,"Unpriced","")&amp;IF(AND(V235&gt;0,W235=0,X235=0),"Low price from another market – confirm with company","")</f>
        <v/>
      </c>
      <c r="L235" s="18" t="n">
        <f aca="false">IFERROR(INDEX('Shortlisted Drugs X Company (7)'!$K$3:$K$698,MATCH(B235,'Shortlisted Drugs X Company (7)'!$C$3:$C$698,0)),"")</f>
        <v>264</v>
      </c>
      <c r="M235" s="18" t="n">
        <f aca="false">IFERROR(ROUND(L235*INDEX('Injectable Value'!$Z$28:$Z$178,MATCH(B235,'Injectable Value'!$A$28:$A$178,0)),0),"")</f>
        <v>261</v>
      </c>
      <c r="N235" s="18" t="n">
        <f aca="false">IFERROR(INDEX('Shortlisted Drugs X Company (7)'!$L$3:$L$698,MATCH(B235,'Shortlisted Drugs X Company (7)'!$C$3:$C$698,0)),"")</f>
        <v>20408.58</v>
      </c>
      <c r="O235" s="15" t="str">
        <f aca="false">IF(AE235="No","IV only (not ID/IM/SC)",IF(AND(V235&gt;0,W235=0),"Price ≤ $5",""))</f>
        <v>IV only (not ID/IM/SC)</v>
      </c>
      <c r="P235" s="14" t="str">
        <f aca="false">IF(O235&lt;&gt;"","",COUNTIFS($A$29:$A$361,A235,$O$29:$O$361,"",$AC$29:$AC$361,"&gt;"&amp;AC235)+COUNTIFS($A$29:A235,A235,$O$29:O235,"",$AC$29:AC235,AC235))</f>
        <v/>
      </c>
      <c r="Q235" s="15" t="str">
        <f aca="false">IF(O235&lt;&gt;"",IF(O235="Price ≤ $5","Excluded – price ≤ $5","Excluded – IV only"),IF(ISNUMBER(D235),IF(AND(D235&gt;=$C$3,M235&gt;=$E$3),"Priority 1",IF(OR(D235&gt;=$C$3,M235&gt;=$E$3),"Priority 2","Priority 3")),IF(M235&gt;=$E$3,"Priority 2","Priority 3")))</f>
        <v>Excluded – IV only</v>
      </c>
      <c r="R235" s="16" t="s">
        <v>250</v>
      </c>
      <c r="S235" s="15" t="s">
        <v>894</v>
      </c>
      <c r="T235" s="32" t="s">
        <v>882</v>
      </c>
      <c r="U235" s="33" t="str">
        <f aca="false">B235&amp;"|"&amp;S235</f>
        <v>Rocuronium|Intas Pharmaceuticals</v>
      </c>
      <c r="V235" s="34" t="n">
        <f aca="false">COUNTIFS('Shortlisted Drugs X Company (7)'!$C$3:$C$698,$B235,'Shortlisted Drugs X Company (7)'!$E$3:$E$698,$S235,'Shortlisted Drugs X Company (7)'!$N$3:$N$698,"&gt;=0")</f>
        <v>1</v>
      </c>
      <c r="W235" s="34" t="n">
        <f aca="false">COUNTIFS('Shortlisted Drugs X Company (7)'!$C$3:$C$698,$B235,'Shortlisted Drugs X Company (7)'!$E$3:$E$698,$S235,'Shortlisted Drugs X Company (7)'!$N$3:$N$698,"&gt;5")</f>
        <v>1</v>
      </c>
      <c r="X235" s="34" t="n">
        <f aca="false">COUNTIFS('Shortlisted Drugs X Company (7)'!$C$3:$C$698,$B235,'Shortlisted Drugs X Company (7)'!$E$3:$E$698,$S235,'Shortlisted Drugs X Company (7)'!$P$3:$P$698,"Exact")+COUNTIFS('Shortlisted Drugs X Company (7)'!$C$3:$C$698,$B235,'Shortlisted Drugs X Company (7)'!$E$3:$E$698,$S235,'Shortlisted Drugs X Company (7)'!$P$3:$P$698,"Same-market proxy")</f>
        <v>1</v>
      </c>
      <c r="Y235" s="33" t="str">
        <f aca="false">A235&amp;"|"&amp;P235</f>
        <v>Intas|</v>
      </c>
      <c r="Z235" s="16" t="s">
        <v>1116</v>
      </c>
      <c r="AA235" s="33" t="n">
        <f aca="false">INDEX($G$7:$G$25,MATCH(A235,$A$7:$A$25,0))</f>
        <v>1</v>
      </c>
      <c r="AB235" s="33" t="str">
        <f aca="false">IF(AE235="No","",AA235*1000+IF(P235="",900+COUNTIFS($A$29:A235,A235,$O$29:O235,"Price ≤ $5"),P235))</f>
        <v/>
      </c>
      <c r="AC235" s="33" t="str">
        <f aca="false">IF(O235&lt;&gt;"","",(4-VALUE(RIGHT(Q235,1)))*10^7+N(F235))</f>
        <v/>
      </c>
      <c r="AD235" s="15" t="str">
        <f aca="false">IFERROR(INDEX('Route of Administration'!$C$5:$C$155,MATCH(B235,'Route of Administration'!$A$5:$A$155,0)),"")</f>
        <v>IV</v>
      </c>
      <c r="AE235" s="14" t="str">
        <f aca="false">IFERROR(INDEX('Route of Administration'!$D$5:$D$155,MATCH(B235,'Route of Administration'!$A$5:$A$155,0)),"")</f>
        <v>No</v>
      </c>
      <c r="AF235" s="19" t="n">
        <f aca="false">IF(V235&gt;0,ROUND(AVERAGEIFS('Shortlisted Drugs X Company (7)'!$N$3:$N$698,'Shortlisted Drugs X Company (7)'!$C$3:$C$698,$B235,'Shortlisted Drugs X Company (7)'!$E$3:$E$698,$S235,'Shortlisted Drugs X Company (7)'!$N$3:$N$698,"&gt;=0"),2),"")</f>
        <v>5.1</v>
      </c>
      <c r="AG235" s="16" t="s">
        <v>1117</v>
      </c>
      <c r="AH235" s="16" t="s">
        <v>1118</v>
      </c>
      <c r="AI235" s="16" t="s">
        <v>1119</v>
      </c>
      <c r="AJ235" s="16" t="str">
        <f aca="false">IF(O235&lt;&gt;"","",IF(ISNUMBER(D235),IF(D235&gt;=$C$3,"High price","Lower price"),"Unpriced")&amp;" · "&amp;IF(M235&gt;=$E$3,"high volume","lower volume"))</f>
        <v/>
      </c>
      <c r="AK235" s="15" t="str">
        <f aca="false">IF(O235&lt;&gt;"",IF(O235="Price ≤ $5","Excluded – price ≤ $5","Excluded – IV only"),IF(ISNUMBER(D235),IF(AND(D235&gt;=$C$3,L235&gt;=$H$3),"Priority 1",IF(OR(D235&gt;=$C$3,L235&gt;=$H$3),"Priority 2","Priority 3")),IF(L235&gt;=$H$3,"Priority 2","Priority 3")))</f>
        <v>Excluded – IV only</v>
      </c>
      <c r="AL235" s="16" t="str">
        <f aca="false">IF(O235&lt;&gt;"","",IF(ISNUMBER(D235),IF(D235&gt;=$C$3,"High price","Lower price"),"Unpriced")&amp;" · "&amp;IF(L235&gt;=$H$3,"high volume","lower volume"))</f>
        <v/>
      </c>
      <c r="AM235" s="14" t="str">
        <f aca="false">IF(O235&lt;&gt;"","",COUNTIFS($A$29:$A$361,A235,$O$29:$O$361,"",$AQ$29:$AQ$361,"&gt;"&amp;AQ235)+COUNTIFS($A$29:A235,A235,$O$29:O235,"",$AQ$29:AQ235,AQ235))</f>
        <v/>
      </c>
      <c r="AN235" s="33" t="str">
        <f aca="false">IF(AND(O235="",ISNUMBER(D235)),D235,"")</f>
        <v/>
      </c>
      <c r="AO235" s="33" t="str">
        <f aca="false">IF(O235="",M235,"")</f>
        <v/>
      </c>
      <c r="AP235" s="33" t="str">
        <f aca="false">IF(O235="",L235,"")</f>
        <v/>
      </c>
      <c r="AQ235" s="33" t="str">
        <f aca="false">IF(O235&lt;&gt;"","",(4-VALUE(RIGHT(AK235,1)))*10^7+N(N235))</f>
        <v/>
      </c>
      <c r="AR235" s="33" t="n">
        <f aca="false">INDEX($O$7:$O$25,MATCH(A235,$I$7:$I$25,0))</f>
        <v>1</v>
      </c>
      <c r="AS235" s="33" t="str">
        <f aca="false">IF(AE235="No","",AR235*1000+IF(AM235="",900+COUNTIFS($A$29:A235,A235,$O$29:O235,"Price ≤ $5"),AM235))</f>
        <v/>
      </c>
    </row>
    <row r="236" customFormat="false" ht="28.35" hidden="false" customHeight="false" outlineLevel="0" collapsed="false">
      <c r="A236" s="15" t="s">
        <v>21</v>
      </c>
      <c r="B236" s="15" t="s">
        <v>724</v>
      </c>
      <c r="C236" s="16" t="s">
        <v>725</v>
      </c>
      <c r="D236" s="17" t="n">
        <f aca="false">IF(W236&gt;0,ROUND(AVERAGEIFS('Shortlisted Drugs X Company (7)'!$N$3:$N$698,'Shortlisted Drugs X Company (7)'!$C$3:$C$698,$B236,'Shortlisted Drugs X Company (7)'!$E$3:$E$698,$S236,'Shortlisted Drugs X Company (7)'!$N$3:$N$698,"&gt;5"),2),"")</f>
        <v>5.12</v>
      </c>
      <c r="E236" s="15" t="str">
        <f aca="false">IF(COUNTIFS('Shortlisted Drugs X Company (7)'!$C$3:$C$698,$B236,'Shortlisted Drugs X Company (7)'!$E$3:$E$698,$S236,'Shortlisted Drugs X Company (7)'!$P$3:$P$698,"Exact")&gt;0,"Exact",IF(COUNTIFS('Shortlisted Drugs X Company (7)'!$C$3:$C$698,$B236,'Shortlisted Drugs X Company (7)'!$E$3:$E$698,$S236,'Shortlisted Drugs X Company (7)'!$P$3:$P$698,"Same-market proxy")&gt;0,"Same-market proxy",IF(COUNTIFS('Shortlisted Drugs X Company (7)'!$C$3:$C$698,$B236,'Shortlisted Drugs X Company (7)'!$E$3:$E$698,$S236,'Shortlisted Drugs X Company (7)'!$P$3:$P$698,"Cross-market proxy")&gt;0,"Cross-market proxy",IF(COUNTIFS('Shortlisted Drugs X Company (7)'!$C$3:$C$698,$B236,'Shortlisted Drugs X Company (7)'!$E$3:$E$698,$S236,'Shortlisted Drugs X Company (7)'!$P$3:$P$698,"Source not found")&gt;0,"Source not found","Not priced"))))</f>
        <v>Cross-market proxy</v>
      </c>
      <c r="F236" s="18" t="n">
        <f aca="false">IFERROR(ROUND(INDEX('Injectable Value'!$AA$28:$AA$178,MATCH(B236,'Injectable Value'!$A$28:$A$178,0)),1),"")</f>
        <v>3067.4</v>
      </c>
      <c r="G236" s="16" t="s">
        <v>70</v>
      </c>
      <c r="H236" s="14" t="n">
        <v>1</v>
      </c>
      <c r="I236" s="15" t="s">
        <v>258</v>
      </c>
      <c r="J236" s="15" t="s">
        <v>249</v>
      </c>
      <c r="K236" s="16" t="str">
        <f aca="false">"Prefilled only"&amp;IF(V236=0,"; Unpriced","")&amp;IF(AND(V236&gt;0,W236=0,X236=0),"; Low price from another market – confirm with company","")</f>
        <v>Prefilled only</v>
      </c>
      <c r="L236" s="18" t="n">
        <f aca="false">IFERROR(INDEX('Shortlisted Drugs X Company (7)'!$K$3:$K$698,MATCH(B236,'Shortlisted Drugs X Company (7)'!$C$3:$C$698,0)),"")</f>
        <v>286</v>
      </c>
      <c r="M236" s="18" t="n">
        <f aca="false">IFERROR(ROUND(L236*INDEX('Injectable Value'!$Z$28:$Z$178,MATCH(B236,'Injectable Value'!$A$28:$A$178,0)),0),"")</f>
        <v>286</v>
      </c>
      <c r="N236" s="18" t="n">
        <f aca="false">IFERROR(INDEX('Shortlisted Drugs X Company (7)'!$L$3:$L$698,MATCH(B236,'Shortlisted Drugs X Company (7)'!$C$3:$C$698,0)),"")</f>
        <v>3067.39</v>
      </c>
      <c r="O236" s="15" t="str">
        <f aca="false">IF(AE236="No","IV only (not ID/IM/SC)",IF(AND(V236&gt;0,W236=0),"Price ≤ $5",""))</f>
        <v/>
      </c>
      <c r="P236" s="14" t="n">
        <f aca="false">IF(O236&lt;&gt;"","",COUNTIFS($A$29:$A$361,A236,$O$29:$O$361,"",$AC$29:$AC$361,"&gt;"&amp;AC236)+COUNTIFS($A$29:A236,A236,$O$29:O236,"",$AC$29:AC236,AC236))</f>
        <v>18</v>
      </c>
      <c r="Q236" s="15" t="str">
        <f aca="false">IF(O236&lt;&gt;"",IF(O236="Price ≤ $5","Excluded – price ≤ $5","Excluded – IV only"),IF(ISNUMBER(D236),IF(AND(D236&gt;=$C$3,M236&gt;=$E$3),"Priority 1",IF(OR(D236&gt;=$C$3,M236&gt;=$E$3),"Priority 2","Priority 3")),IF(M236&gt;=$E$3,"Priority 2","Priority 3")))</f>
        <v>Priority 2</v>
      </c>
      <c r="R236" s="16" t="s">
        <v>259</v>
      </c>
      <c r="S236" s="15" t="s">
        <v>894</v>
      </c>
      <c r="T236" s="32" t="s">
        <v>726</v>
      </c>
      <c r="U236" s="33" t="str">
        <f aca="false">B236&amp;"|"&amp;S236</f>
        <v>Succinylcholine (Suxamethonium)|Intas Pharmaceuticals</v>
      </c>
      <c r="V236" s="34" t="n">
        <f aca="false">COUNTIFS('Shortlisted Drugs X Company (7)'!$C$3:$C$698,$B236,'Shortlisted Drugs X Company (7)'!$E$3:$E$698,$S236,'Shortlisted Drugs X Company (7)'!$N$3:$N$698,"&gt;=0")</f>
        <v>1</v>
      </c>
      <c r="W236" s="34" t="n">
        <f aca="false">COUNTIFS('Shortlisted Drugs X Company (7)'!$C$3:$C$698,$B236,'Shortlisted Drugs X Company (7)'!$E$3:$E$698,$S236,'Shortlisted Drugs X Company (7)'!$N$3:$N$698,"&gt;5")</f>
        <v>1</v>
      </c>
      <c r="X236" s="34" t="n">
        <f aca="false">COUNTIFS('Shortlisted Drugs X Company (7)'!$C$3:$C$698,$B236,'Shortlisted Drugs X Company (7)'!$E$3:$E$698,$S236,'Shortlisted Drugs X Company (7)'!$P$3:$P$698,"Exact")+COUNTIFS('Shortlisted Drugs X Company (7)'!$C$3:$C$698,$B236,'Shortlisted Drugs X Company (7)'!$E$3:$E$698,$S236,'Shortlisted Drugs X Company (7)'!$P$3:$P$698,"Same-market proxy")</f>
        <v>0</v>
      </c>
      <c r="Y236" s="33" t="str">
        <f aca="false">A236&amp;"|"&amp;P236</f>
        <v>Intas|18</v>
      </c>
      <c r="Z236" s="16" t="s">
        <v>1120</v>
      </c>
      <c r="AA236" s="33" t="n">
        <f aca="false">INDEX($G$7:$G$25,MATCH(A236,$A$7:$A$25,0))</f>
        <v>1</v>
      </c>
      <c r="AB236" s="33" t="n">
        <f aca="false">IF(AE236="No","",AA236*1000+IF(P236="",900+COUNTIFS($A$29:A236,A236,$O$29:O236,"Price ≤ $5"),P236))</f>
        <v>1018</v>
      </c>
      <c r="AC236" s="33" t="n">
        <f aca="false">IF(O236&lt;&gt;"","",(4-VALUE(RIGHT(Q236,1)))*10^7+N(F236))</f>
        <v>20003067.4</v>
      </c>
      <c r="AD236" s="15" t="str">
        <f aca="false">IFERROR(INDEX('Route of Administration'!$C$5:$C$155,MATCH(B236,'Route of Administration'!$A$5:$A$155,0)),"")</f>
        <v>IV, IM</v>
      </c>
      <c r="AE236" s="14" t="str">
        <f aca="false">IFERROR(INDEX('Route of Administration'!$D$5:$D$155,MATCH(B236,'Route of Administration'!$A$5:$A$155,0)),"")</f>
        <v>Yes</v>
      </c>
      <c r="AF236" s="19" t="n">
        <f aca="false">IF(V236&gt;0,ROUND(AVERAGEIFS('Shortlisted Drugs X Company (7)'!$N$3:$N$698,'Shortlisted Drugs X Company (7)'!$C$3:$C$698,$B236,'Shortlisted Drugs X Company (7)'!$E$3:$E$698,$S236,'Shortlisted Drugs X Company (7)'!$N$3:$N$698,"&gt;=0"),2),"")</f>
        <v>5.12</v>
      </c>
      <c r="AG236" s="16" t="s">
        <v>1121</v>
      </c>
      <c r="AH236" s="16" t="s">
        <v>583</v>
      </c>
      <c r="AI236" s="16" t="s">
        <v>583</v>
      </c>
      <c r="AJ236" s="16" t="str">
        <f aca="false">IF(O236&lt;&gt;"","",IF(ISNUMBER(D236),IF(D236&gt;=$C$3,"High price","Lower price"),"Unpriced")&amp;" · "&amp;IF(M236&gt;=$E$3,"high volume","lower volume"))</f>
        <v>Lower price · high volume</v>
      </c>
      <c r="AK236" s="15" t="str">
        <f aca="false">IF(O236&lt;&gt;"",IF(O236="Price ≤ $5","Excluded – price ≤ $5","Excluded – IV only"),IF(ISNUMBER(D236),IF(AND(D236&gt;=$C$3,L236&gt;=$H$3),"Priority 1",IF(OR(D236&gt;=$C$3,L236&gt;=$H$3),"Priority 2","Priority 3")),IF(L236&gt;=$H$3,"Priority 2","Priority 3")))</f>
        <v>Priority 2</v>
      </c>
      <c r="AL236" s="16" t="str">
        <f aca="false">IF(O236&lt;&gt;"","",IF(ISNUMBER(D236),IF(D236&gt;=$C$3,"High price","Lower price"),"Unpriced")&amp;" · "&amp;IF(L236&gt;=$H$3,"high volume","lower volume"))</f>
        <v>Lower price · high volume</v>
      </c>
      <c r="AM236" s="14" t="n">
        <f aca="false">IF(O236&lt;&gt;"","",COUNTIFS($A$29:$A$361,A236,$O$29:$O$361,"",$AQ$29:$AQ$361,"&gt;"&amp;AQ236)+COUNTIFS($A$29:A236,A236,$O$29:O236,"",$AQ$29:AQ236,AQ236))</f>
        <v>20</v>
      </c>
      <c r="AN236" s="19" t="n">
        <f aca="false">IF(AND(O236="",ISNUMBER(D236)),D236,"")</f>
        <v>5.12</v>
      </c>
      <c r="AO236" s="20" t="n">
        <f aca="false">IF(O236="",M236,"")</f>
        <v>286</v>
      </c>
      <c r="AP236" s="20" t="n">
        <f aca="false">IF(O236="",L236,"")</f>
        <v>286</v>
      </c>
      <c r="AQ236" s="33" t="n">
        <f aca="false">IF(O236&lt;&gt;"","",(4-VALUE(RIGHT(AK236,1)))*10^7+N(N236))</f>
        <v>20003067.39</v>
      </c>
      <c r="AR236" s="33" t="n">
        <f aca="false">INDEX($O$7:$O$25,MATCH(A236,$I$7:$I$25,0))</f>
        <v>1</v>
      </c>
      <c r="AS236" s="33" t="n">
        <f aca="false">IF(AE236="No","",AR236*1000+IF(AM236="",900+COUNTIFS($A$29:A236,A236,$O$29:O236,"Price ≤ $5"),AM236))</f>
        <v>1020</v>
      </c>
    </row>
    <row r="237" customFormat="false" ht="55.2" hidden="false" customHeight="false" outlineLevel="0" collapsed="false">
      <c r="A237" s="15" t="s">
        <v>21</v>
      </c>
      <c r="B237" s="15" t="s">
        <v>635</v>
      </c>
      <c r="C237" s="16" t="s">
        <v>636</v>
      </c>
      <c r="D237" s="17" t="n">
        <f aca="false">IF(W237&gt;0,ROUND(AVERAGEIFS('Shortlisted Drugs X Company (7)'!$N$3:$N$698,'Shortlisted Drugs X Company (7)'!$C$3:$C$698,$B237,'Shortlisted Drugs X Company (7)'!$E$3:$E$698,$S237,'Shortlisted Drugs X Company (7)'!$N$3:$N$698,"&gt;5"),2),"")</f>
        <v>79.53</v>
      </c>
      <c r="E237" s="15" t="str">
        <f aca="false">IF(COUNTIFS('Shortlisted Drugs X Company (7)'!$C$3:$C$698,$B237,'Shortlisted Drugs X Company (7)'!$E$3:$E$698,$S237,'Shortlisted Drugs X Company (7)'!$P$3:$P$698,"Exact")&gt;0,"Exact",IF(COUNTIFS('Shortlisted Drugs X Company (7)'!$C$3:$C$698,$B237,'Shortlisted Drugs X Company (7)'!$E$3:$E$698,$S237,'Shortlisted Drugs X Company (7)'!$P$3:$P$698,"Same-market proxy")&gt;0,"Same-market proxy",IF(COUNTIFS('Shortlisted Drugs X Company (7)'!$C$3:$C$698,$B237,'Shortlisted Drugs X Company (7)'!$E$3:$E$698,$S237,'Shortlisted Drugs X Company (7)'!$P$3:$P$698,"Cross-market proxy")&gt;0,"Cross-market proxy",IF(COUNTIFS('Shortlisted Drugs X Company (7)'!$C$3:$C$698,$B237,'Shortlisted Drugs X Company (7)'!$E$3:$E$698,$S237,'Shortlisted Drugs X Company (7)'!$P$3:$P$698,"Source not found")&gt;0,"Source not found","Not priced"))))</f>
        <v>Exact</v>
      </c>
      <c r="F237" s="18" t="n">
        <f aca="false">IFERROR(ROUND(INDEX('Injectable Value'!$AA$28:$AA$178,MATCH(B237,'Injectable Value'!$A$28:$A$178,0)),1),"")</f>
        <v>32830.2</v>
      </c>
      <c r="G237" s="16" t="s">
        <v>939</v>
      </c>
      <c r="H237" s="14" t="n">
        <v>21</v>
      </c>
      <c r="I237" s="15" t="s">
        <v>248</v>
      </c>
      <c r="J237" s="15" t="s">
        <v>249</v>
      </c>
      <c r="K237" s="16" t="str">
        <f aca="false">""&amp;IF(V237=0,"Unpriced","")&amp;IF(AND(V237&gt;0,W237=0,X237=0),"Low price from another market – confirm with company","")</f>
        <v/>
      </c>
      <c r="L237" s="18" t="n">
        <f aca="false">IFERROR(INDEX('Shortlisted Drugs X Company (7)'!$K$3:$K$698,MATCH(B237,'Shortlisted Drugs X Company (7)'!$C$3:$C$698,0)),"")</f>
        <v>346</v>
      </c>
      <c r="M237" s="18" t="n">
        <f aca="false">IFERROR(ROUND(L237*INDEX('Injectable Value'!$Z$28:$Z$178,MATCH(B237,'Injectable Value'!$A$28:$A$178,0)),0),"")</f>
        <v>346</v>
      </c>
      <c r="N237" s="18" t="n">
        <f aca="false">IFERROR(INDEX('Shortlisted Drugs X Company (7)'!$L$3:$L$698,MATCH(B237,'Shortlisted Drugs X Company (7)'!$C$3:$C$698,0)),"")</f>
        <v>32830.17</v>
      </c>
      <c r="O237" s="15" t="str">
        <f aca="false">IF(AE237="No","IV only (not ID/IM/SC)",IF(AND(V237&gt;0,W237=0),"Price ≤ $5",""))</f>
        <v>IV only (not ID/IM/SC)</v>
      </c>
      <c r="P237" s="14" t="str">
        <f aca="false">IF(O237&lt;&gt;"","",COUNTIFS($A$29:$A$361,A237,$O$29:$O$361,"",$AC$29:$AC$361,"&gt;"&amp;AC237)+COUNTIFS($A$29:A237,A237,$O$29:O237,"",$AC$29:AC237,AC237))</f>
        <v/>
      </c>
      <c r="Q237" s="15" t="str">
        <f aca="false">IF(O237&lt;&gt;"",IF(O237="Price ≤ $5","Excluded – price ≤ $5","Excluded – IV only"),IF(ISNUMBER(D237),IF(AND(D237&gt;=$C$3,M237&gt;=$E$3),"Priority 1",IF(OR(D237&gt;=$C$3,M237&gt;=$E$3),"Priority 2","Priority 3")),IF(M237&gt;=$E$3,"Priority 2","Priority 3")))</f>
        <v>Excluded – IV only</v>
      </c>
      <c r="R237" s="16" t="s">
        <v>250</v>
      </c>
      <c r="S237" s="15" t="s">
        <v>894</v>
      </c>
      <c r="T237" s="32" t="s">
        <v>637</v>
      </c>
      <c r="U237" s="33" t="str">
        <f aca="false">B237&amp;"|"&amp;S237</f>
        <v>Sugammadex|Intas Pharmaceuticals</v>
      </c>
      <c r="V237" s="34" t="n">
        <f aca="false">COUNTIFS('Shortlisted Drugs X Company (7)'!$C$3:$C$698,$B237,'Shortlisted Drugs X Company (7)'!$E$3:$E$698,$S237,'Shortlisted Drugs X Company (7)'!$N$3:$N$698,"&gt;=0")</f>
        <v>2</v>
      </c>
      <c r="W237" s="34" t="n">
        <f aca="false">COUNTIFS('Shortlisted Drugs X Company (7)'!$C$3:$C$698,$B237,'Shortlisted Drugs X Company (7)'!$E$3:$E$698,$S237,'Shortlisted Drugs X Company (7)'!$N$3:$N$698,"&gt;5")</f>
        <v>2</v>
      </c>
      <c r="X237" s="34" t="n">
        <f aca="false">COUNTIFS('Shortlisted Drugs X Company (7)'!$C$3:$C$698,$B237,'Shortlisted Drugs X Company (7)'!$E$3:$E$698,$S237,'Shortlisted Drugs X Company (7)'!$P$3:$P$698,"Exact")+COUNTIFS('Shortlisted Drugs X Company (7)'!$C$3:$C$698,$B237,'Shortlisted Drugs X Company (7)'!$E$3:$E$698,$S237,'Shortlisted Drugs X Company (7)'!$P$3:$P$698,"Same-market proxy")</f>
        <v>2</v>
      </c>
      <c r="Y237" s="33" t="str">
        <f aca="false">A237&amp;"|"&amp;P237</f>
        <v>Intas|</v>
      </c>
      <c r="Z237" s="16" t="s">
        <v>1122</v>
      </c>
      <c r="AA237" s="33" t="n">
        <f aca="false">INDEX($G$7:$G$25,MATCH(A237,$A$7:$A$25,0))</f>
        <v>1</v>
      </c>
      <c r="AB237" s="33" t="str">
        <f aca="false">IF(AE237="No","",AA237*1000+IF(P237="",900+COUNTIFS($A$29:A237,A237,$O$29:O237,"Price ≤ $5"),P237))</f>
        <v/>
      </c>
      <c r="AC237" s="33" t="str">
        <f aca="false">IF(O237&lt;&gt;"","",(4-VALUE(RIGHT(Q237,1)))*10^7+N(F237))</f>
        <v/>
      </c>
      <c r="AD237" s="15" t="str">
        <f aca="false">IFERROR(INDEX('Route of Administration'!$C$5:$C$155,MATCH(B237,'Route of Administration'!$A$5:$A$155,0)),"")</f>
        <v>IV</v>
      </c>
      <c r="AE237" s="14" t="str">
        <f aca="false">IFERROR(INDEX('Route of Administration'!$D$5:$D$155,MATCH(B237,'Route of Administration'!$A$5:$A$155,0)),"")</f>
        <v>No</v>
      </c>
      <c r="AF237" s="19" t="n">
        <f aca="false">IF(V237&gt;0,ROUND(AVERAGEIFS('Shortlisted Drugs X Company (7)'!$N$3:$N$698,'Shortlisted Drugs X Company (7)'!$C$3:$C$698,$B237,'Shortlisted Drugs X Company (7)'!$E$3:$E$698,$S237,'Shortlisted Drugs X Company (7)'!$N$3:$N$698,"&gt;=0"),2),"")</f>
        <v>79.53</v>
      </c>
      <c r="AG237" s="16" t="s">
        <v>1123</v>
      </c>
      <c r="AH237" s="16" t="s">
        <v>1124</v>
      </c>
      <c r="AI237" s="16" t="s">
        <v>1125</v>
      </c>
      <c r="AJ237" s="16" t="str">
        <f aca="false">IF(O237&lt;&gt;"","",IF(ISNUMBER(D237),IF(D237&gt;=$C$3,"High price","Lower price"),"Unpriced")&amp;" · "&amp;IF(M237&gt;=$E$3,"high volume","lower volume"))</f>
        <v/>
      </c>
      <c r="AK237" s="15" t="str">
        <f aca="false">IF(O237&lt;&gt;"",IF(O237="Price ≤ $5","Excluded – price ≤ $5","Excluded – IV only"),IF(ISNUMBER(D237),IF(AND(D237&gt;=$C$3,L237&gt;=$H$3),"Priority 1",IF(OR(D237&gt;=$C$3,L237&gt;=$H$3),"Priority 2","Priority 3")),IF(L237&gt;=$H$3,"Priority 2","Priority 3")))</f>
        <v>Excluded – IV only</v>
      </c>
      <c r="AL237" s="16" t="str">
        <f aca="false">IF(O237&lt;&gt;"","",IF(ISNUMBER(D237),IF(D237&gt;=$C$3,"High price","Lower price"),"Unpriced")&amp;" · "&amp;IF(L237&gt;=$H$3,"high volume","lower volume"))</f>
        <v/>
      </c>
      <c r="AM237" s="14" t="str">
        <f aca="false">IF(O237&lt;&gt;"","",COUNTIFS($A$29:$A$361,A237,$O$29:$O$361,"",$AQ$29:$AQ$361,"&gt;"&amp;AQ237)+COUNTIFS($A$29:A237,A237,$O$29:O237,"",$AQ$29:AQ237,AQ237))</f>
        <v/>
      </c>
      <c r="AN237" s="33" t="str">
        <f aca="false">IF(AND(O237="",ISNUMBER(D237)),D237,"")</f>
        <v/>
      </c>
      <c r="AO237" s="33" t="str">
        <f aca="false">IF(O237="",M237,"")</f>
        <v/>
      </c>
      <c r="AP237" s="33" t="str">
        <f aca="false">IF(O237="",L237,"")</f>
        <v/>
      </c>
      <c r="AQ237" s="33" t="str">
        <f aca="false">IF(O237&lt;&gt;"","",(4-VALUE(RIGHT(AK237,1)))*10^7+N(N237))</f>
        <v/>
      </c>
      <c r="AR237" s="33" t="n">
        <f aca="false">INDEX($O$7:$O$25,MATCH(A237,$I$7:$I$25,0))</f>
        <v>1</v>
      </c>
      <c r="AS237" s="33" t="str">
        <f aca="false">IF(AE237="No","",AR237*1000+IF(AM237="",900+COUNTIFS($A$29:A237,A237,$O$29:O237,"Price ≤ $5"),AM237))</f>
        <v/>
      </c>
    </row>
    <row r="238" customFormat="false" ht="28.35" hidden="false" customHeight="false" outlineLevel="0" collapsed="false">
      <c r="A238" s="15" t="s">
        <v>21</v>
      </c>
      <c r="B238" s="15" t="s">
        <v>641</v>
      </c>
      <c r="C238" s="16" t="s">
        <v>642</v>
      </c>
      <c r="D238" s="17" t="n">
        <f aca="false">IF(W238&gt;0,ROUND(AVERAGEIFS('Shortlisted Drugs X Company (7)'!$N$3:$N$698,'Shortlisted Drugs X Company (7)'!$C$3:$C$698,$B238,'Shortlisted Drugs X Company (7)'!$E$3:$E$698,$S238,'Shortlisted Drugs X Company (7)'!$N$3:$N$698,"&gt;5"),2),"")</f>
        <v>35.27</v>
      </c>
      <c r="E238" s="15" t="str">
        <f aca="false">IF(COUNTIFS('Shortlisted Drugs X Company (7)'!$C$3:$C$698,$B238,'Shortlisted Drugs X Company (7)'!$E$3:$E$698,$S238,'Shortlisted Drugs X Company (7)'!$P$3:$P$698,"Exact")&gt;0,"Exact",IF(COUNTIFS('Shortlisted Drugs X Company (7)'!$C$3:$C$698,$B238,'Shortlisted Drugs X Company (7)'!$E$3:$E$698,$S238,'Shortlisted Drugs X Company (7)'!$P$3:$P$698,"Same-market proxy")&gt;0,"Same-market proxy",IF(COUNTIFS('Shortlisted Drugs X Company (7)'!$C$3:$C$698,$B238,'Shortlisted Drugs X Company (7)'!$E$3:$E$698,$S238,'Shortlisted Drugs X Company (7)'!$P$3:$P$698,"Cross-market proxy")&gt;0,"Cross-market proxy",IF(COUNTIFS('Shortlisted Drugs X Company (7)'!$C$3:$C$698,$B238,'Shortlisted Drugs X Company (7)'!$E$3:$E$698,$S238,'Shortlisted Drugs X Company (7)'!$P$3:$P$698,"Source not found")&gt;0,"Source not found","Not priced"))))</f>
        <v>Cross-market proxy</v>
      </c>
      <c r="F238" s="18" t="n">
        <f aca="false">IFERROR(ROUND(INDEX('Injectable Value'!$AA$28:$AA$178,MATCH(B238,'Injectable Value'!$A$28:$A$178,0)),1),"")</f>
        <v>6632.6</v>
      </c>
      <c r="G238" s="16" t="s">
        <v>70</v>
      </c>
      <c r="H238" s="14" t="n">
        <v>3</v>
      </c>
      <c r="I238" s="15" t="s">
        <v>248</v>
      </c>
      <c r="J238" s="15" t="s">
        <v>299</v>
      </c>
      <c r="K238" s="16" t="str">
        <f aca="false">"Reconstitution"&amp;IF(V238=0,"; Unpriced","")&amp;IF(AND(V238&gt;0,W238=0,X238=0),"; Low price from another market – confirm with company","")</f>
        <v>Reconstitution</v>
      </c>
      <c r="L238" s="18" t="n">
        <f aca="false">IFERROR(INDEX('Shortlisted Drugs X Company (7)'!$K$3:$K$698,MATCH(B238,'Shortlisted Drugs X Company (7)'!$C$3:$C$698,0)),"")</f>
        <v>106</v>
      </c>
      <c r="M238" s="18" t="n">
        <f aca="false">IFERROR(ROUND(L238*INDEX('Injectable Value'!$Z$28:$Z$178,MATCH(B238,'Injectable Value'!$A$28:$A$178,0)),0),"")</f>
        <v>99</v>
      </c>
      <c r="N238" s="18" t="n">
        <f aca="false">IFERROR(INDEX('Shortlisted Drugs X Company (7)'!$L$3:$L$698,MATCH(B238,'Shortlisted Drugs X Company (7)'!$C$3:$C$698,0)),"")</f>
        <v>7074.72</v>
      </c>
      <c r="O238" s="15" t="str">
        <f aca="false">IF(AE238="No","IV only (not ID/IM/SC)",IF(AND(V238&gt;0,W238=0),"Price ≤ $5",""))</f>
        <v/>
      </c>
      <c r="P238" s="14" t="n">
        <f aca="false">IF(O238&lt;&gt;"","",COUNTIFS($A$29:$A$361,A238,$O$29:$O$361,"",$AC$29:$AC$361,"&gt;"&amp;AC238)+COUNTIFS($A$29:A238,A238,$O$29:O238,"",$AC$29:AC238,AC238))</f>
        <v>15</v>
      </c>
      <c r="Q238" s="15" t="str">
        <f aca="false">IF(O238&lt;&gt;"",IF(O238="Price ≤ $5","Excluded – price ≤ $5","Excluded – IV only"),IF(ISNUMBER(D238),IF(AND(D238&gt;=$C$3,M238&gt;=$E$3),"Priority 1",IF(OR(D238&gt;=$C$3,M238&gt;=$E$3),"Priority 2","Priority 3")),IF(M238&gt;=$E$3,"Priority 2","Priority 3")))</f>
        <v>Priority 2</v>
      </c>
      <c r="R238" s="16" t="s">
        <v>250</v>
      </c>
      <c r="S238" s="15" t="s">
        <v>894</v>
      </c>
      <c r="T238" s="32" t="s">
        <v>643</v>
      </c>
      <c r="U238" s="33" t="str">
        <f aca="false">B238&amp;"|"&amp;S238</f>
        <v>Teicoplanin|Intas Pharmaceuticals</v>
      </c>
      <c r="V238" s="34" t="n">
        <f aca="false">COUNTIFS('Shortlisted Drugs X Company (7)'!$C$3:$C$698,$B238,'Shortlisted Drugs X Company (7)'!$E$3:$E$698,$S238,'Shortlisted Drugs X Company (7)'!$N$3:$N$698,"&gt;=0")</f>
        <v>1</v>
      </c>
      <c r="W238" s="34" t="n">
        <f aca="false">COUNTIFS('Shortlisted Drugs X Company (7)'!$C$3:$C$698,$B238,'Shortlisted Drugs X Company (7)'!$E$3:$E$698,$S238,'Shortlisted Drugs X Company (7)'!$N$3:$N$698,"&gt;5")</f>
        <v>1</v>
      </c>
      <c r="X238" s="34" t="n">
        <f aca="false">COUNTIFS('Shortlisted Drugs X Company (7)'!$C$3:$C$698,$B238,'Shortlisted Drugs X Company (7)'!$E$3:$E$698,$S238,'Shortlisted Drugs X Company (7)'!$P$3:$P$698,"Exact")+COUNTIFS('Shortlisted Drugs X Company (7)'!$C$3:$C$698,$B238,'Shortlisted Drugs X Company (7)'!$E$3:$E$698,$S238,'Shortlisted Drugs X Company (7)'!$P$3:$P$698,"Same-market proxy")</f>
        <v>0</v>
      </c>
      <c r="Y238" s="33" t="str">
        <f aca="false">A238&amp;"|"&amp;P238</f>
        <v>Intas|15</v>
      </c>
      <c r="Z238" s="16" t="s">
        <v>1126</v>
      </c>
      <c r="AA238" s="33" t="n">
        <f aca="false">INDEX($G$7:$G$25,MATCH(A238,$A$7:$A$25,0))</f>
        <v>1</v>
      </c>
      <c r="AB238" s="33" t="n">
        <f aca="false">IF(AE238="No","",AA238*1000+IF(P238="",900+COUNTIFS($A$29:A238,A238,$O$29:O238,"Price ≤ $5"),P238))</f>
        <v>1015</v>
      </c>
      <c r="AC238" s="33" t="n">
        <f aca="false">IF(O238&lt;&gt;"","",(4-VALUE(RIGHT(Q238,1)))*10^7+N(F238))</f>
        <v>20006632.6</v>
      </c>
      <c r="AD238" s="15" t="str">
        <f aca="false">IFERROR(INDEX('Route of Administration'!$C$5:$C$155,MATCH(B238,'Route of Administration'!$A$5:$A$155,0)),"")</f>
        <v>IV, IM</v>
      </c>
      <c r="AE238" s="14" t="str">
        <f aca="false">IFERROR(INDEX('Route of Administration'!$D$5:$D$155,MATCH(B238,'Route of Administration'!$A$5:$A$155,0)),"")</f>
        <v>Yes</v>
      </c>
      <c r="AF238" s="19" t="n">
        <f aca="false">IF(V238&gt;0,ROUND(AVERAGEIFS('Shortlisted Drugs X Company (7)'!$N$3:$N$698,'Shortlisted Drugs X Company (7)'!$C$3:$C$698,$B238,'Shortlisted Drugs X Company (7)'!$E$3:$E$698,$S238,'Shortlisted Drugs X Company (7)'!$N$3:$N$698,"&gt;=0"),2),"")</f>
        <v>35.27</v>
      </c>
      <c r="AG238" s="16" t="s">
        <v>1127</v>
      </c>
      <c r="AH238" s="16" t="s">
        <v>1128</v>
      </c>
      <c r="AI238" s="16" t="s">
        <v>1128</v>
      </c>
      <c r="AJ238" s="16" t="str">
        <f aca="false">IF(O238&lt;&gt;"","",IF(ISNUMBER(D238),IF(D238&gt;=$C$3,"High price","Lower price"),"Unpriced")&amp;" · "&amp;IF(M238&gt;=$E$3,"high volume","lower volume"))</f>
        <v>High price · lower volume</v>
      </c>
      <c r="AK238" s="15" t="str">
        <f aca="false">IF(O238&lt;&gt;"",IF(O238="Price ≤ $5","Excluded – price ≤ $5","Excluded – IV only"),IF(ISNUMBER(D238),IF(AND(D238&gt;=$C$3,L238&gt;=$H$3),"Priority 1",IF(OR(D238&gt;=$C$3,L238&gt;=$H$3),"Priority 2","Priority 3")),IF(L238&gt;=$H$3,"Priority 2","Priority 3")))</f>
        <v>Priority 2</v>
      </c>
      <c r="AL238" s="16" t="str">
        <f aca="false">IF(O238&lt;&gt;"","",IF(ISNUMBER(D238),IF(D238&gt;=$C$3,"High price","Lower price"),"Unpriced")&amp;" · "&amp;IF(L238&gt;=$H$3,"high volume","lower volume"))</f>
        <v>High price · lower volume</v>
      </c>
      <c r="AM238" s="14" t="n">
        <f aca="false">IF(O238&lt;&gt;"","",COUNTIFS($A$29:$A$361,A238,$O$29:$O$361,"",$AQ$29:$AQ$361,"&gt;"&amp;AQ238)+COUNTIFS($A$29:A238,A238,$O$29:O238,"",$AQ$29:AQ238,AQ238))</f>
        <v>17</v>
      </c>
      <c r="AN238" s="19" t="n">
        <f aca="false">IF(AND(O238="",ISNUMBER(D238)),D238,"")</f>
        <v>35.27</v>
      </c>
      <c r="AO238" s="20" t="n">
        <f aca="false">IF(O238="",M238,"")</f>
        <v>99</v>
      </c>
      <c r="AP238" s="20" t="n">
        <f aca="false">IF(O238="",L238,"")</f>
        <v>106</v>
      </c>
      <c r="AQ238" s="33" t="n">
        <f aca="false">IF(O238&lt;&gt;"","",(4-VALUE(RIGHT(AK238,1)))*10^7+N(N238))</f>
        <v>20007074.72</v>
      </c>
      <c r="AR238" s="33" t="n">
        <f aca="false">INDEX($O$7:$O$25,MATCH(A238,$I$7:$I$25,0))</f>
        <v>1</v>
      </c>
      <c r="AS238" s="33" t="n">
        <f aca="false">IF(AE238="No","",AR238*1000+IF(AM238="",900+COUNTIFS($A$29:A238,A238,$O$29:O238,"Price ≤ $5"),AM238))</f>
        <v>1017</v>
      </c>
    </row>
    <row r="239" customFormat="false" ht="82.05" hidden="false" customHeight="false" outlineLevel="0" collapsed="false">
      <c r="A239" s="15" t="s">
        <v>21</v>
      </c>
      <c r="B239" s="15" t="s">
        <v>1129</v>
      </c>
      <c r="C239" s="16" t="s">
        <v>1130</v>
      </c>
      <c r="D239" s="17" t="n">
        <f aca="false">IF(W239&gt;0,ROUND(AVERAGEIFS('Shortlisted Drugs X Company (7)'!$N$3:$N$698,'Shortlisted Drugs X Company (7)'!$C$3:$C$698,$B239,'Shortlisted Drugs X Company (7)'!$E$3:$E$698,$S239,'Shortlisted Drugs X Company (7)'!$N$3:$N$698,"&gt;5"),2),"")</f>
        <v>23.95</v>
      </c>
      <c r="E239" s="15" t="str">
        <f aca="false">IF(COUNTIFS('Shortlisted Drugs X Company (7)'!$C$3:$C$698,$B239,'Shortlisted Drugs X Company (7)'!$E$3:$E$698,$S239,'Shortlisted Drugs X Company (7)'!$P$3:$P$698,"Exact")&gt;0,"Exact",IF(COUNTIFS('Shortlisted Drugs X Company (7)'!$C$3:$C$698,$B239,'Shortlisted Drugs X Company (7)'!$E$3:$E$698,$S239,'Shortlisted Drugs X Company (7)'!$P$3:$P$698,"Same-market proxy")&gt;0,"Same-market proxy",IF(COUNTIFS('Shortlisted Drugs X Company (7)'!$C$3:$C$698,$B239,'Shortlisted Drugs X Company (7)'!$E$3:$E$698,$S239,'Shortlisted Drugs X Company (7)'!$P$3:$P$698,"Cross-market proxy")&gt;0,"Cross-market proxy",IF(COUNTIFS('Shortlisted Drugs X Company (7)'!$C$3:$C$698,$B239,'Shortlisted Drugs X Company (7)'!$E$3:$E$698,$S239,'Shortlisted Drugs X Company (7)'!$P$3:$P$698,"Source not found")&gt;0,"Source not found","Not priced"))))</f>
        <v>Cross-market proxy</v>
      </c>
      <c r="F239" s="18" t="n">
        <f aca="false">IFERROR(ROUND(INDEX('Injectable Value'!$AA$28:$AA$178,MATCH(B239,'Injectable Value'!$A$28:$A$178,0)),1),"")</f>
        <v>6618.8</v>
      </c>
      <c r="G239" s="16" t="s">
        <v>992</v>
      </c>
      <c r="H239" s="14" t="n">
        <v>31</v>
      </c>
      <c r="I239" s="15" t="s">
        <v>248</v>
      </c>
      <c r="J239" s="15" t="s">
        <v>299</v>
      </c>
      <c r="K239" s="16" t="str">
        <f aca="false">"Reconstitution"&amp;IF(V239=0,"; Unpriced","")&amp;IF(AND(V239&gt;0,W239=0,X239=0),"; Low price from another market – confirm with company","")</f>
        <v>Reconstitution</v>
      </c>
      <c r="L239" s="18" t="n">
        <f aca="false">IFERROR(INDEX('Shortlisted Drugs X Company (7)'!$K$3:$K$698,MATCH(B239,'Shortlisted Drugs X Company (7)'!$C$3:$C$698,0)),"")</f>
        <v>136</v>
      </c>
      <c r="M239" s="18" t="n">
        <f aca="false">IFERROR(ROUND(L239*INDEX('Injectable Value'!$Z$28:$Z$178,MATCH(B239,'Injectable Value'!$A$28:$A$178,0)),0),"")</f>
        <v>136</v>
      </c>
      <c r="N239" s="18" t="n">
        <f aca="false">IFERROR(INDEX('Shortlisted Drugs X Company (7)'!$L$3:$L$698,MATCH(B239,'Shortlisted Drugs X Company (7)'!$C$3:$C$698,0)),"")</f>
        <v>6629.25</v>
      </c>
      <c r="O239" s="15" t="str">
        <f aca="false">IF(AE239="No","IV only (not ID/IM/SC)",IF(AND(V239&gt;0,W239=0),"Price ≤ $5",""))</f>
        <v>IV only (not ID/IM/SC)</v>
      </c>
      <c r="P239" s="14" t="str">
        <f aca="false">IF(O239&lt;&gt;"","",COUNTIFS($A$29:$A$361,A239,$O$29:$O$361,"",$AC$29:$AC$361,"&gt;"&amp;AC239)+COUNTIFS($A$29:A239,A239,$O$29:O239,"",$AC$29:AC239,AC239))</f>
        <v/>
      </c>
      <c r="Q239" s="15" t="str">
        <f aca="false">IF(O239&lt;&gt;"",IF(O239="Price ≤ $5","Excluded – price ≤ $5","Excluded – IV only"),IF(ISNUMBER(D239),IF(AND(D239&gt;=$C$3,M239&gt;=$E$3),"Priority 1",IF(OR(D239&gt;=$C$3,M239&gt;=$E$3),"Priority 2","Priority 3")),IF(M239&gt;=$E$3,"Priority 2","Priority 3")))</f>
        <v>Excluded – IV only</v>
      </c>
      <c r="R239" s="16" t="s">
        <v>285</v>
      </c>
      <c r="S239" s="15" t="s">
        <v>894</v>
      </c>
      <c r="T239" s="32" t="s">
        <v>1131</v>
      </c>
      <c r="U239" s="33" t="str">
        <f aca="false">B239&amp;"|"&amp;S239</f>
        <v>Tigecycline|Intas Pharmaceuticals</v>
      </c>
      <c r="V239" s="34" t="n">
        <f aca="false">COUNTIFS('Shortlisted Drugs X Company (7)'!$C$3:$C$698,$B239,'Shortlisted Drugs X Company (7)'!$E$3:$E$698,$S239,'Shortlisted Drugs X Company (7)'!$N$3:$N$698,"&gt;=0")</f>
        <v>1</v>
      </c>
      <c r="W239" s="34" t="n">
        <f aca="false">COUNTIFS('Shortlisted Drugs X Company (7)'!$C$3:$C$698,$B239,'Shortlisted Drugs X Company (7)'!$E$3:$E$698,$S239,'Shortlisted Drugs X Company (7)'!$N$3:$N$698,"&gt;5")</f>
        <v>1</v>
      </c>
      <c r="X239" s="34" t="n">
        <f aca="false">COUNTIFS('Shortlisted Drugs X Company (7)'!$C$3:$C$698,$B239,'Shortlisted Drugs X Company (7)'!$E$3:$E$698,$S239,'Shortlisted Drugs X Company (7)'!$P$3:$P$698,"Exact")+COUNTIFS('Shortlisted Drugs X Company (7)'!$C$3:$C$698,$B239,'Shortlisted Drugs X Company (7)'!$E$3:$E$698,$S239,'Shortlisted Drugs X Company (7)'!$P$3:$P$698,"Same-market proxy")</f>
        <v>0</v>
      </c>
      <c r="Y239" s="33" t="str">
        <f aca="false">A239&amp;"|"&amp;P239</f>
        <v>Intas|</v>
      </c>
      <c r="Z239" s="16" t="s">
        <v>448</v>
      </c>
      <c r="AA239" s="33" t="n">
        <f aca="false">INDEX($G$7:$G$25,MATCH(A239,$A$7:$A$25,0))</f>
        <v>1</v>
      </c>
      <c r="AB239" s="33" t="str">
        <f aca="false">IF(AE239="No","",AA239*1000+IF(P239="",900+COUNTIFS($A$29:A239,A239,$O$29:O239,"Price ≤ $5"),P239))</f>
        <v/>
      </c>
      <c r="AC239" s="33" t="str">
        <f aca="false">IF(O239&lt;&gt;"","",(4-VALUE(RIGHT(Q239,1)))*10^7+N(F239))</f>
        <v/>
      </c>
      <c r="AD239" s="15" t="str">
        <f aca="false">IFERROR(INDEX('Route of Administration'!$C$5:$C$155,MATCH(B239,'Route of Administration'!$A$5:$A$155,0)),"")</f>
        <v>IV</v>
      </c>
      <c r="AE239" s="14" t="str">
        <f aca="false">IFERROR(INDEX('Route of Administration'!$D$5:$D$155,MATCH(B239,'Route of Administration'!$A$5:$A$155,0)),"")</f>
        <v>No</v>
      </c>
      <c r="AF239" s="19" t="n">
        <f aca="false">IF(V239&gt;0,ROUND(AVERAGEIFS('Shortlisted Drugs X Company (7)'!$N$3:$N$698,'Shortlisted Drugs X Company (7)'!$C$3:$C$698,$B239,'Shortlisted Drugs X Company (7)'!$E$3:$E$698,$S239,'Shortlisted Drugs X Company (7)'!$N$3:$N$698,"&gt;=0"),2),"")</f>
        <v>23.95</v>
      </c>
      <c r="AG239" s="16" t="s">
        <v>1132</v>
      </c>
      <c r="AH239" s="16" t="s">
        <v>1133</v>
      </c>
      <c r="AI239" s="16" t="s">
        <v>1134</v>
      </c>
      <c r="AJ239" s="16" t="str">
        <f aca="false">IF(O239&lt;&gt;"","",IF(ISNUMBER(D239),IF(D239&gt;=$C$3,"High price","Lower price"),"Unpriced")&amp;" · "&amp;IF(M239&gt;=$E$3,"high volume","lower volume"))</f>
        <v/>
      </c>
      <c r="AK239" s="15" t="str">
        <f aca="false">IF(O239&lt;&gt;"",IF(O239="Price ≤ $5","Excluded – price ≤ $5","Excluded – IV only"),IF(ISNUMBER(D239),IF(AND(D239&gt;=$C$3,L239&gt;=$H$3),"Priority 1",IF(OR(D239&gt;=$C$3,L239&gt;=$H$3),"Priority 2","Priority 3")),IF(L239&gt;=$H$3,"Priority 2","Priority 3")))</f>
        <v>Excluded – IV only</v>
      </c>
      <c r="AL239" s="16" t="str">
        <f aca="false">IF(O239&lt;&gt;"","",IF(ISNUMBER(D239),IF(D239&gt;=$C$3,"High price","Lower price"),"Unpriced")&amp;" · "&amp;IF(L239&gt;=$H$3,"high volume","lower volume"))</f>
        <v/>
      </c>
      <c r="AM239" s="14" t="str">
        <f aca="false">IF(O239&lt;&gt;"","",COUNTIFS($A$29:$A$361,A239,$O$29:$O$361,"",$AQ$29:$AQ$361,"&gt;"&amp;AQ239)+COUNTIFS($A$29:A239,A239,$O$29:O239,"",$AQ$29:AQ239,AQ239))</f>
        <v/>
      </c>
      <c r="AN239" s="33" t="str">
        <f aca="false">IF(AND(O239="",ISNUMBER(D239)),D239,"")</f>
        <v/>
      </c>
      <c r="AO239" s="33" t="str">
        <f aca="false">IF(O239="",M239,"")</f>
        <v/>
      </c>
      <c r="AP239" s="33" t="str">
        <f aca="false">IF(O239="",L239,"")</f>
        <v/>
      </c>
      <c r="AQ239" s="33" t="str">
        <f aca="false">IF(O239&lt;&gt;"","",(4-VALUE(RIGHT(AK239,1)))*10^7+N(N239))</f>
        <v/>
      </c>
      <c r="AR239" s="33" t="n">
        <f aca="false">INDEX($O$7:$O$25,MATCH(A239,$I$7:$I$25,0))</f>
        <v>1</v>
      </c>
      <c r="AS239" s="33" t="str">
        <f aca="false">IF(AE239="No","",AR239*1000+IF(AM239="",900+COUNTIFS($A$29:A239,A239,$O$29:O239,"Price ≤ $5"),AM239))</f>
        <v/>
      </c>
    </row>
    <row r="240" customFormat="false" ht="82.05" hidden="false" customHeight="false" outlineLevel="0" collapsed="false">
      <c r="A240" s="15" t="s">
        <v>21</v>
      </c>
      <c r="B240" s="15" t="s">
        <v>1135</v>
      </c>
      <c r="C240" s="16" t="s">
        <v>1136</v>
      </c>
      <c r="D240" s="17" t="n">
        <f aca="false">IF(W240&gt;0,ROUND(AVERAGEIFS('Shortlisted Drugs X Company (7)'!$N$3:$N$698,'Shortlisted Drugs X Company (7)'!$C$3:$C$698,$B240,'Shortlisted Drugs X Company (7)'!$E$3:$E$698,$S240,'Shortlisted Drugs X Company (7)'!$N$3:$N$698,"&gt;5"),2),"")</f>
        <v>2838.33</v>
      </c>
      <c r="E240" s="15" t="str">
        <f aca="false">IF(COUNTIFS('Shortlisted Drugs X Company (7)'!$C$3:$C$698,$B240,'Shortlisted Drugs X Company (7)'!$E$3:$E$698,$S240,'Shortlisted Drugs X Company (7)'!$P$3:$P$698,"Exact")&gt;0,"Exact",IF(COUNTIFS('Shortlisted Drugs X Company (7)'!$C$3:$C$698,$B240,'Shortlisted Drugs X Company (7)'!$E$3:$E$698,$S240,'Shortlisted Drugs X Company (7)'!$P$3:$P$698,"Same-market proxy")&gt;0,"Same-market proxy",IF(COUNTIFS('Shortlisted Drugs X Company (7)'!$C$3:$C$698,$B240,'Shortlisted Drugs X Company (7)'!$E$3:$E$698,$S240,'Shortlisted Drugs X Company (7)'!$P$3:$P$698,"Cross-market proxy")&gt;0,"Cross-market proxy",IF(COUNTIFS('Shortlisted Drugs X Company (7)'!$C$3:$C$698,$B240,'Shortlisted Drugs X Company (7)'!$E$3:$E$698,$S240,'Shortlisted Drugs X Company (7)'!$P$3:$P$698,"Source not found")&gt;0,"Source not found","Not priced"))))</f>
        <v>Exact</v>
      </c>
      <c r="F240" s="18" t="n">
        <f aca="false">IFERROR(ROUND(INDEX('Injectable Value'!$AA$28:$AA$178,MATCH(B240,'Injectable Value'!$A$28:$A$178,0)),1),"")</f>
        <v>2485.9</v>
      </c>
      <c r="G240" s="16" t="s">
        <v>298</v>
      </c>
      <c r="H240" s="14" t="n">
        <v>32</v>
      </c>
      <c r="I240" s="15" t="s">
        <v>258</v>
      </c>
      <c r="J240" s="15" t="s">
        <v>249</v>
      </c>
      <c r="K240" s="16" t="str">
        <f aca="false">"Prefilled only"&amp;IF(V240=0,"; Unpriced","")&amp;IF(AND(V240&gt;0,W240=0,X240=0),"; Low price from another market – confirm with company","")</f>
        <v>Prefilled only</v>
      </c>
      <c r="L240" s="18" t="n">
        <f aca="false">IFERROR(INDEX('Shortlisted Drugs X Company (7)'!$K$3:$K$698,MATCH(B240,'Shortlisted Drugs X Company (7)'!$C$3:$C$698,0)),"")</f>
        <v>125</v>
      </c>
      <c r="M240" s="18" t="n">
        <f aca="false">IFERROR(ROUND(L240*INDEX('Injectable Value'!$Z$28:$Z$178,MATCH(B240,'Injectable Value'!$A$28:$A$178,0)),0),"")</f>
        <v>125</v>
      </c>
      <c r="N240" s="18" t="n">
        <f aca="false">IFERROR(INDEX('Shortlisted Drugs X Company (7)'!$L$3:$L$698,MATCH(B240,'Shortlisted Drugs X Company (7)'!$C$3:$C$698,0)),"")</f>
        <v>2485.93</v>
      </c>
      <c r="O240" s="15" t="str">
        <f aca="false">IF(AE240="No","IV only (not ID/IM/SC)",IF(AND(V240&gt;0,W240=0),"Price ≤ $5",""))</f>
        <v/>
      </c>
      <c r="P240" s="14" t="n">
        <f aca="false">IF(O240&lt;&gt;"","",COUNTIFS($A$29:$A$361,A240,$O$29:$O$361,"",$AC$29:$AC$361,"&gt;"&amp;AC240)+COUNTIFS($A$29:A240,A240,$O$29:O240,"",$AC$29:AC240,AC240))</f>
        <v>20</v>
      </c>
      <c r="Q240" s="15" t="str">
        <f aca="false">IF(O240&lt;&gt;"",IF(O240="Price ≤ $5","Excluded – price ≤ $5","Excluded – IV only"),IF(ISNUMBER(D240),IF(AND(D240&gt;=$C$3,M240&gt;=$E$3),"Priority 1",IF(OR(D240&gt;=$C$3,M240&gt;=$E$3),"Priority 2","Priority 3")),IF(M240&gt;=$E$3,"Priority 2","Priority 3")))</f>
        <v>Priority 2</v>
      </c>
      <c r="R240" s="16" t="s">
        <v>259</v>
      </c>
      <c r="S240" s="15" t="s">
        <v>894</v>
      </c>
      <c r="T240" s="32" t="s">
        <v>1137</v>
      </c>
      <c r="U240" s="33" t="str">
        <f aca="false">B240&amp;"|"&amp;S240</f>
        <v>Ustekinumab|Intas Pharmaceuticals</v>
      </c>
      <c r="V240" s="34" t="n">
        <f aca="false">COUNTIFS('Shortlisted Drugs X Company (7)'!$C$3:$C$698,$B240,'Shortlisted Drugs X Company (7)'!$E$3:$E$698,$S240,'Shortlisted Drugs X Company (7)'!$N$3:$N$698,"&gt;=0")</f>
        <v>1</v>
      </c>
      <c r="W240" s="34" t="n">
        <f aca="false">COUNTIFS('Shortlisted Drugs X Company (7)'!$C$3:$C$698,$B240,'Shortlisted Drugs X Company (7)'!$E$3:$E$698,$S240,'Shortlisted Drugs X Company (7)'!$N$3:$N$698,"&gt;5")</f>
        <v>1</v>
      </c>
      <c r="X240" s="34" t="n">
        <f aca="false">COUNTIFS('Shortlisted Drugs X Company (7)'!$C$3:$C$698,$B240,'Shortlisted Drugs X Company (7)'!$E$3:$E$698,$S240,'Shortlisted Drugs X Company (7)'!$P$3:$P$698,"Exact")+COUNTIFS('Shortlisted Drugs X Company (7)'!$C$3:$C$698,$B240,'Shortlisted Drugs X Company (7)'!$E$3:$E$698,$S240,'Shortlisted Drugs X Company (7)'!$P$3:$P$698,"Same-market proxy")</f>
        <v>1</v>
      </c>
      <c r="Y240" s="33" t="str">
        <f aca="false">A240&amp;"|"&amp;P240</f>
        <v>Intas|20</v>
      </c>
      <c r="Z240" s="16" t="s">
        <v>1138</v>
      </c>
      <c r="AA240" s="33" t="n">
        <f aca="false">INDEX($G$7:$G$25,MATCH(A240,$A$7:$A$25,0))</f>
        <v>1</v>
      </c>
      <c r="AB240" s="33" t="n">
        <f aca="false">IF(AE240="No","",AA240*1000+IF(P240="",900+COUNTIFS($A$29:A240,A240,$O$29:O240,"Price ≤ $5"),P240))</f>
        <v>1020</v>
      </c>
      <c r="AC240" s="33" t="n">
        <f aca="false">IF(O240&lt;&gt;"","",(4-VALUE(RIGHT(Q240,1)))*10^7+N(F240))</f>
        <v>20002485.9</v>
      </c>
      <c r="AD240" s="15" t="str">
        <f aca="false">IFERROR(INDEX('Route of Administration'!$C$5:$C$155,MATCH(B240,'Route of Administration'!$A$5:$A$155,0)),"")</f>
        <v>IV, SC</v>
      </c>
      <c r="AE240" s="14" t="str">
        <f aca="false">IFERROR(INDEX('Route of Administration'!$D$5:$D$155,MATCH(B240,'Route of Administration'!$A$5:$A$155,0)),"")</f>
        <v>Yes</v>
      </c>
      <c r="AF240" s="19" t="n">
        <f aca="false">IF(V240&gt;0,ROUND(AVERAGEIFS('Shortlisted Drugs X Company (7)'!$N$3:$N$698,'Shortlisted Drugs X Company (7)'!$C$3:$C$698,$B240,'Shortlisted Drugs X Company (7)'!$E$3:$E$698,$S240,'Shortlisted Drugs X Company (7)'!$N$3:$N$698,"&gt;=0"),2),"")</f>
        <v>2838.33</v>
      </c>
      <c r="AG240" s="16" t="s">
        <v>1139</v>
      </c>
      <c r="AH240" s="16" t="s">
        <v>1140</v>
      </c>
      <c r="AI240" s="16" t="s">
        <v>1141</v>
      </c>
      <c r="AJ240" s="16" t="str">
        <f aca="false">IF(O240&lt;&gt;"","",IF(ISNUMBER(D240),IF(D240&gt;=$C$3,"High price","Lower price"),"Unpriced")&amp;" · "&amp;IF(M240&gt;=$E$3,"high volume","lower volume"))</f>
        <v>High price · lower volume</v>
      </c>
      <c r="AK240" s="15" t="str">
        <f aca="false">IF(O240&lt;&gt;"",IF(O240="Price ≤ $5","Excluded – price ≤ $5","Excluded – IV only"),IF(ISNUMBER(D240),IF(AND(D240&gt;=$C$3,L240&gt;=$H$3),"Priority 1",IF(OR(D240&gt;=$C$3,L240&gt;=$H$3),"Priority 2","Priority 3")),IF(L240&gt;=$H$3,"Priority 2","Priority 3")))</f>
        <v>Priority 2</v>
      </c>
      <c r="AL240" s="16" t="str">
        <f aca="false">IF(O240&lt;&gt;"","",IF(ISNUMBER(D240),IF(D240&gt;=$C$3,"High price","Lower price"),"Unpriced")&amp;" · "&amp;IF(L240&gt;=$H$3,"high volume","lower volume"))</f>
        <v>High price · lower volume</v>
      </c>
      <c r="AM240" s="14" t="n">
        <f aca="false">IF(O240&lt;&gt;"","",COUNTIFS($A$29:$A$361,A240,$O$29:$O$361,"",$AQ$29:$AQ$361,"&gt;"&amp;AQ240)+COUNTIFS($A$29:A240,A240,$O$29:O240,"",$AQ$29:AQ240,AQ240))</f>
        <v>22</v>
      </c>
      <c r="AN240" s="19" t="n">
        <f aca="false">IF(AND(O240="",ISNUMBER(D240)),D240,"")</f>
        <v>2838.33</v>
      </c>
      <c r="AO240" s="20" t="n">
        <f aca="false">IF(O240="",M240,"")</f>
        <v>125</v>
      </c>
      <c r="AP240" s="20" t="n">
        <f aca="false">IF(O240="",L240,"")</f>
        <v>125</v>
      </c>
      <c r="AQ240" s="33" t="n">
        <f aca="false">IF(O240&lt;&gt;"","",(4-VALUE(RIGHT(AK240,1)))*10^7+N(N240))</f>
        <v>20002485.93</v>
      </c>
      <c r="AR240" s="33" t="n">
        <f aca="false">INDEX($O$7:$O$25,MATCH(A240,$I$7:$I$25,0))</f>
        <v>1</v>
      </c>
      <c r="AS240" s="33" t="n">
        <f aca="false">IF(AE240="No","",AR240*1000+IF(AM240="",900+COUNTIFS($A$29:A240,A240,$O$29:O240,"Price ≤ $5"),AM240))</f>
        <v>1022</v>
      </c>
    </row>
    <row r="241" customFormat="false" ht="41.75" hidden="false" customHeight="false" outlineLevel="0" collapsed="false">
      <c r="A241" s="15" t="s">
        <v>21</v>
      </c>
      <c r="B241" s="15" t="s">
        <v>1142</v>
      </c>
      <c r="C241" s="16" t="s">
        <v>1143</v>
      </c>
      <c r="D241" s="17" t="n">
        <f aca="false">IF(W241&gt;0,ROUND(AVERAGEIFS('Shortlisted Drugs X Company (7)'!$N$3:$N$698,'Shortlisted Drugs X Company (7)'!$C$3:$C$698,$B241,'Shortlisted Drugs X Company (7)'!$E$3:$E$698,$S241,'Shortlisted Drugs X Company (7)'!$N$3:$N$698,"&gt;5"),2),"")</f>
        <v>9.93</v>
      </c>
      <c r="E241" s="15" t="str">
        <f aca="false">IF(COUNTIFS('Shortlisted Drugs X Company (7)'!$C$3:$C$698,$B241,'Shortlisted Drugs X Company (7)'!$E$3:$E$698,$S241,'Shortlisted Drugs X Company (7)'!$P$3:$P$698,"Exact")&gt;0,"Exact",IF(COUNTIFS('Shortlisted Drugs X Company (7)'!$C$3:$C$698,$B241,'Shortlisted Drugs X Company (7)'!$E$3:$E$698,$S241,'Shortlisted Drugs X Company (7)'!$P$3:$P$698,"Same-market proxy")&gt;0,"Same-market proxy",IF(COUNTIFS('Shortlisted Drugs X Company (7)'!$C$3:$C$698,$B241,'Shortlisted Drugs X Company (7)'!$E$3:$E$698,$S241,'Shortlisted Drugs X Company (7)'!$P$3:$P$698,"Cross-market proxy")&gt;0,"Cross-market proxy",IF(COUNTIFS('Shortlisted Drugs X Company (7)'!$C$3:$C$698,$B241,'Shortlisted Drugs X Company (7)'!$E$3:$E$698,$S241,'Shortlisted Drugs X Company (7)'!$P$3:$P$698,"Source not found")&gt;0,"Source not found","Not priced"))))</f>
        <v>Exact</v>
      </c>
      <c r="F241" s="18" t="n">
        <f aca="false">IFERROR(ROUND(INDEX('Injectable Value'!$AA$28:$AA$178,MATCH(B241,'Injectable Value'!$A$28:$A$178,0)),1),"")</f>
        <v>1228.5</v>
      </c>
      <c r="G241" s="16" t="s">
        <v>70</v>
      </c>
      <c r="H241" s="14" t="n">
        <v>1</v>
      </c>
      <c r="I241" s="15" t="s">
        <v>248</v>
      </c>
      <c r="J241" s="15" t="s">
        <v>249</v>
      </c>
      <c r="K241" s="16" t="str">
        <f aca="false">"Cancer drug (cytotoxic) – less relevant"&amp;IF(V241=0,"; Unpriced","")&amp;IF(AND(V241&gt;0,W241=0,X241=0),"; Low price from another market – confirm with company","")</f>
        <v>Cancer drug (cytotoxic) – less relevant</v>
      </c>
      <c r="L241" s="18" t="n">
        <f aca="false">IFERROR(INDEX('Shortlisted Drugs X Company (7)'!$K$3:$K$698,MATCH(B241,'Shortlisted Drugs X Company (7)'!$C$3:$C$698,0)),"")</f>
        <v>484</v>
      </c>
      <c r="M241" s="18" t="n">
        <f aca="false">IFERROR(ROUND(L241*INDEX('Injectable Value'!$Z$28:$Z$178,MATCH(B241,'Injectable Value'!$A$28:$A$178,0)),0),"")</f>
        <v>448</v>
      </c>
      <c r="N241" s="18" t="n">
        <f aca="false">IFERROR(INDEX('Shortlisted Drugs X Company (7)'!$L$3:$L$698,MATCH(B241,'Shortlisted Drugs X Company (7)'!$C$3:$C$698,0)),"")</f>
        <v>1326.8</v>
      </c>
      <c r="O241" s="15" t="str">
        <f aca="false">IF(AE241="No","IV only (not ID/IM/SC)",IF(AND(V241&gt;0,W241=0),"Price ≤ $5",""))</f>
        <v>IV only (not ID/IM/SC)</v>
      </c>
      <c r="P241" s="14" t="str">
        <f aca="false">IF(O241&lt;&gt;"","",COUNTIFS($A$29:$A$361,A241,$O$29:$O$361,"",$AC$29:$AC$361,"&gt;"&amp;AC241)+COUNTIFS($A$29:A241,A241,$O$29:O241,"",$AC$29:AC241,AC241))</f>
        <v/>
      </c>
      <c r="Q241" s="15" t="str">
        <f aca="false">IF(O241&lt;&gt;"",IF(O241="Price ≤ $5","Excluded – price ≤ $5","Excluded – IV only"),IF(ISNUMBER(D241),IF(AND(D241&gt;=$C$3,M241&gt;=$E$3),"Priority 1",IF(OR(D241&gt;=$C$3,M241&gt;=$E$3),"Priority 2","Priority 3")),IF(M241&gt;=$E$3,"Priority 2","Priority 3")))</f>
        <v>Excluded – IV only</v>
      </c>
      <c r="R241" s="16" t="s">
        <v>285</v>
      </c>
      <c r="S241" s="15" t="s">
        <v>894</v>
      </c>
      <c r="T241" s="32" t="s">
        <v>1144</v>
      </c>
      <c r="U241" s="33" t="str">
        <f aca="false">B241&amp;"|"&amp;S241</f>
        <v>Vincristine|Intas Pharmaceuticals</v>
      </c>
      <c r="V241" s="34" t="n">
        <f aca="false">COUNTIFS('Shortlisted Drugs X Company (7)'!$C$3:$C$698,$B241,'Shortlisted Drugs X Company (7)'!$E$3:$E$698,$S241,'Shortlisted Drugs X Company (7)'!$N$3:$N$698,"&gt;=0")</f>
        <v>1</v>
      </c>
      <c r="W241" s="34" t="n">
        <f aca="false">COUNTIFS('Shortlisted Drugs X Company (7)'!$C$3:$C$698,$B241,'Shortlisted Drugs X Company (7)'!$E$3:$E$698,$S241,'Shortlisted Drugs X Company (7)'!$N$3:$N$698,"&gt;5")</f>
        <v>1</v>
      </c>
      <c r="X241" s="34" t="n">
        <f aca="false">COUNTIFS('Shortlisted Drugs X Company (7)'!$C$3:$C$698,$B241,'Shortlisted Drugs X Company (7)'!$E$3:$E$698,$S241,'Shortlisted Drugs X Company (7)'!$P$3:$P$698,"Exact")+COUNTIFS('Shortlisted Drugs X Company (7)'!$C$3:$C$698,$B241,'Shortlisted Drugs X Company (7)'!$E$3:$E$698,$S241,'Shortlisted Drugs X Company (7)'!$P$3:$P$698,"Same-market proxy")</f>
        <v>1</v>
      </c>
      <c r="Y241" s="33" t="str">
        <f aca="false">A241&amp;"|"&amp;P241</f>
        <v>Intas|</v>
      </c>
      <c r="Z241" s="16" t="s">
        <v>1145</v>
      </c>
      <c r="AA241" s="33" t="n">
        <f aca="false">INDEX($G$7:$G$25,MATCH(A241,$A$7:$A$25,0))</f>
        <v>1</v>
      </c>
      <c r="AB241" s="33" t="str">
        <f aca="false">IF(AE241="No","",AA241*1000+IF(P241="",900+COUNTIFS($A$29:A241,A241,$O$29:O241,"Price ≤ $5"),P241))</f>
        <v/>
      </c>
      <c r="AC241" s="33" t="str">
        <f aca="false">IF(O241&lt;&gt;"","",(4-VALUE(RIGHT(Q241,1)))*10^7+N(F241))</f>
        <v/>
      </c>
      <c r="AD241" s="15" t="str">
        <f aca="false">IFERROR(INDEX('Route of Administration'!$C$5:$C$155,MATCH(B241,'Route of Administration'!$A$5:$A$155,0)),"")</f>
        <v>IV</v>
      </c>
      <c r="AE241" s="14" t="str">
        <f aca="false">IFERROR(INDEX('Route of Administration'!$D$5:$D$155,MATCH(B241,'Route of Administration'!$A$5:$A$155,0)),"")</f>
        <v>No</v>
      </c>
      <c r="AF241" s="19" t="n">
        <f aca="false">IF(V241&gt;0,ROUND(AVERAGEIFS('Shortlisted Drugs X Company (7)'!$N$3:$N$698,'Shortlisted Drugs X Company (7)'!$C$3:$C$698,$B241,'Shortlisted Drugs X Company (7)'!$E$3:$E$698,$S241,'Shortlisted Drugs X Company (7)'!$N$3:$N$698,"&gt;=0"),2),"")</f>
        <v>9.93</v>
      </c>
      <c r="AG241" s="16" t="s">
        <v>1146</v>
      </c>
      <c r="AH241" s="16" t="s">
        <v>328</v>
      </c>
      <c r="AI241" s="16" t="s">
        <v>328</v>
      </c>
      <c r="AJ241" s="16" t="str">
        <f aca="false">IF(O241&lt;&gt;"","",IF(ISNUMBER(D241),IF(D241&gt;=$C$3,"High price","Lower price"),"Unpriced")&amp;" · "&amp;IF(M241&gt;=$E$3,"high volume","lower volume"))</f>
        <v/>
      </c>
      <c r="AK241" s="15" t="str">
        <f aca="false">IF(O241&lt;&gt;"",IF(O241="Price ≤ $5","Excluded – price ≤ $5","Excluded – IV only"),IF(ISNUMBER(D241),IF(AND(D241&gt;=$C$3,L241&gt;=$H$3),"Priority 1",IF(OR(D241&gt;=$C$3,L241&gt;=$H$3),"Priority 2","Priority 3")),IF(L241&gt;=$H$3,"Priority 2","Priority 3")))</f>
        <v>Excluded – IV only</v>
      </c>
      <c r="AL241" s="16" t="str">
        <f aca="false">IF(O241&lt;&gt;"","",IF(ISNUMBER(D241),IF(D241&gt;=$C$3,"High price","Lower price"),"Unpriced")&amp;" · "&amp;IF(L241&gt;=$H$3,"high volume","lower volume"))</f>
        <v/>
      </c>
      <c r="AM241" s="14" t="str">
        <f aca="false">IF(O241&lt;&gt;"","",COUNTIFS($A$29:$A$361,A241,$O$29:$O$361,"",$AQ$29:$AQ$361,"&gt;"&amp;AQ241)+COUNTIFS($A$29:A241,A241,$O$29:O241,"",$AQ$29:AQ241,AQ241))</f>
        <v/>
      </c>
      <c r="AN241" s="33" t="str">
        <f aca="false">IF(AND(O241="",ISNUMBER(D241)),D241,"")</f>
        <v/>
      </c>
      <c r="AO241" s="33" t="str">
        <f aca="false">IF(O241="",M241,"")</f>
        <v/>
      </c>
      <c r="AP241" s="33" t="str">
        <f aca="false">IF(O241="",L241,"")</f>
        <v/>
      </c>
      <c r="AQ241" s="33" t="str">
        <f aca="false">IF(O241&lt;&gt;"","",(4-VALUE(RIGHT(AK241,1)))*10^7+N(N241))</f>
        <v/>
      </c>
      <c r="AR241" s="33" t="n">
        <f aca="false">INDEX($O$7:$O$25,MATCH(A241,$I$7:$I$25,0))</f>
        <v>1</v>
      </c>
      <c r="AS241" s="33" t="str">
        <f aca="false">IF(AE241="No","",AR241*1000+IF(AM241="",900+COUNTIFS($A$29:A241,A241,$O$29:O241,"Price ≤ $5"),AM241))</f>
        <v/>
      </c>
    </row>
    <row r="242" customFormat="false" ht="55.2" hidden="false" customHeight="false" outlineLevel="0" collapsed="false">
      <c r="A242" s="15" t="s">
        <v>21</v>
      </c>
      <c r="B242" s="15" t="s">
        <v>573</v>
      </c>
      <c r="C242" s="16" t="s">
        <v>574</v>
      </c>
      <c r="D242" s="17" t="n">
        <f aca="false">IF(W242&gt;0,ROUND(AVERAGEIFS('Shortlisted Drugs X Company (7)'!$N$3:$N$698,'Shortlisted Drugs X Company (7)'!$C$3:$C$698,$B242,'Shortlisted Drugs X Company (7)'!$E$3:$E$698,$S242,'Shortlisted Drugs X Company (7)'!$N$3:$N$698,"&gt;5"),2),"")</f>
        <v>113.73</v>
      </c>
      <c r="E242" s="15" t="str">
        <f aca="false">IF(COUNTIFS('Shortlisted Drugs X Company (7)'!$C$3:$C$698,$B242,'Shortlisted Drugs X Company (7)'!$E$3:$E$698,$S242,'Shortlisted Drugs X Company (7)'!$P$3:$P$698,"Exact")&gt;0,"Exact",IF(COUNTIFS('Shortlisted Drugs X Company (7)'!$C$3:$C$698,$B242,'Shortlisted Drugs X Company (7)'!$E$3:$E$698,$S242,'Shortlisted Drugs X Company (7)'!$P$3:$P$698,"Same-market proxy")&gt;0,"Same-market proxy",IF(COUNTIFS('Shortlisted Drugs X Company (7)'!$C$3:$C$698,$B242,'Shortlisted Drugs X Company (7)'!$E$3:$E$698,$S242,'Shortlisted Drugs X Company (7)'!$P$3:$P$698,"Cross-market proxy")&gt;0,"Cross-market proxy",IF(COUNTIFS('Shortlisted Drugs X Company (7)'!$C$3:$C$698,$B242,'Shortlisted Drugs X Company (7)'!$E$3:$E$698,$S242,'Shortlisted Drugs X Company (7)'!$P$3:$P$698,"Source not found")&gt;0,"Source not found","Not priced"))))</f>
        <v>Exact</v>
      </c>
      <c r="F242" s="18" t="n">
        <f aca="false">IFERROR(ROUND(INDEX('Injectable Value'!$AA$28:$AA$178,MATCH(B242,'Injectable Value'!$A$28:$A$178,0)),1),"")</f>
        <v>301.7</v>
      </c>
      <c r="G242" s="16" t="s">
        <v>403</v>
      </c>
      <c r="H242" s="14" t="n">
        <v>22</v>
      </c>
      <c r="I242" s="15" t="s">
        <v>248</v>
      </c>
      <c r="J242" s="15" t="s">
        <v>249</v>
      </c>
      <c r="K242" s="16" t="str">
        <f aca="false">"Cancer drug (cytotoxic) – less relevant"&amp;IF(V242=0,"; Unpriced","")&amp;IF(AND(V242&gt;0,W242=0,X242=0),"; Low price from another market – confirm with company","")</f>
        <v>Cancer drug (cytotoxic) – less relevant</v>
      </c>
      <c r="L242" s="18" t="n">
        <f aca="false">IFERROR(INDEX('Shortlisted Drugs X Company (7)'!$K$3:$K$698,MATCH(B242,'Shortlisted Drugs X Company (7)'!$C$3:$C$698,0)),"")</f>
        <v>93</v>
      </c>
      <c r="M242" s="18" t="n">
        <f aca="false">IFERROR(ROUND(L242*INDEX('Injectable Value'!$Z$28:$Z$178,MATCH(B242,'Injectable Value'!$A$28:$A$178,0)),0),"")</f>
        <v>53</v>
      </c>
      <c r="N242" s="18" t="n">
        <f aca="false">IFERROR(INDEX('Shortlisted Drugs X Company (7)'!$L$3:$L$698,MATCH(B242,'Shortlisted Drugs X Company (7)'!$C$3:$C$698,0)),"")</f>
        <v>528.18</v>
      </c>
      <c r="O242" s="15" t="str">
        <f aca="false">IF(AE242="No","IV only (not ID/IM/SC)",IF(AND(V242&gt;0,W242=0),"Price ≤ $5",""))</f>
        <v>IV only (not ID/IM/SC)</v>
      </c>
      <c r="P242" s="14" t="str">
        <f aca="false">IF(O242&lt;&gt;"","",COUNTIFS($A$29:$A$361,A242,$O$29:$O$361,"",$AC$29:$AC$361,"&gt;"&amp;AC242)+COUNTIFS($A$29:A242,A242,$O$29:O242,"",$AC$29:AC242,AC242))</f>
        <v/>
      </c>
      <c r="Q242" s="15" t="str">
        <f aca="false">IF(O242&lt;&gt;"",IF(O242="Price ≤ $5","Excluded – price ≤ $5","Excluded – IV only"),IF(ISNUMBER(D242),IF(AND(D242&gt;=$C$3,M242&gt;=$E$3),"Priority 1",IF(OR(D242&gt;=$C$3,M242&gt;=$E$3),"Priority 2","Priority 3")),IF(M242&gt;=$E$3,"Priority 2","Priority 3")))</f>
        <v>Excluded – IV only</v>
      </c>
      <c r="R242" s="16" t="s">
        <v>250</v>
      </c>
      <c r="S242" s="15" t="s">
        <v>894</v>
      </c>
      <c r="T242" s="32" t="s">
        <v>576</v>
      </c>
      <c r="U242" s="33" t="str">
        <f aca="false">B242&amp;"|"&amp;S242</f>
        <v>Vinorelbine|Intas Pharmaceuticals</v>
      </c>
      <c r="V242" s="34" t="n">
        <f aca="false">COUNTIFS('Shortlisted Drugs X Company (7)'!$C$3:$C$698,$B242,'Shortlisted Drugs X Company (7)'!$E$3:$E$698,$S242,'Shortlisted Drugs X Company (7)'!$N$3:$N$698,"&gt;=0")</f>
        <v>2</v>
      </c>
      <c r="W242" s="34" t="n">
        <f aca="false">COUNTIFS('Shortlisted Drugs X Company (7)'!$C$3:$C$698,$B242,'Shortlisted Drugs X Company (7)'!$E$3:$E$698,$S242,'Shortlisted Drugs X Company (7)'!$N$3:$N$698,"&gt;5")</f>
        <v>2</v>
      </c>
      <c r="X242" s="34" t="n">
        <f aca="false">COUNTIFS('Shortlisted Drugs X Company (7)'!$C$3:$C$698,$B242,'Shortlisted Drugs X Company (7)'!$E$3:$E$698,$S242,'Shortlisted Drugs X Company (7)'!$P$3:$P$698,"Exact")+COUNTIFS('Shortlisted Drugs X Company (7)'!$C$3:$C$698,$B242,'Shortlisted Drugs X Company (7)'!$E$3:$E$698,$S242,'Shortlisted Drugs X Company (7)'!$P$3:$P$698,"Same-market proxy")</f>
        <v>2</v>
      </c>
      <c r="Y242" s="33" t="str">
        <f aca="false">A242&amp;"|"&amp;P242</f>
        <v>Intas|</v>
      </c>
      <c r="Z242" s="16" t="s">
        <v>847</v>
      </c>
      <c r="AA242" s="33" t="n">
        <f aca="false">INDEX($G$7:$G$25,MATCH(A242,$A$7:$A$25,0))</f>
        <v>1</v>
      </c>
      <c r="AB242" s="33" t="str">
        <f aca="false">IF(AE242="No","",AA242*1000+IF(P242="",900+COUNTIFS($A$29:A242,A242,$O$29:O242,"Price ≤ $5"),P242))</f>
        <v/>
      </c>
      <c r="AC242" s="33" t="str">
        <f aca="false">IF(O242&lt;&gt;"","",(4-VALUE(RIGHT(Q242,1)))*10^7+N(F242))</f>
        <v/>
      </c>
      <c r="AD242" s="15" t="str">
        <f aca="false">IFERROR(INDEX('Route of Administration'!$C$5:$C$155,MATCH(B242,'Route of Administration'!$A$5:$A$155,0)),"")</f>
        <v>IV</v>
      </c>
      <c r="AE242" s="14" t="str">
        <f aca="false">IFERROR(INDEX('Route of Administration'!$D$5:$D$155,MATCH(B242,'Route of Administration'!$A$5:$A$155,0)),"")</f>
        <v>No</v>
      </c>
      <c r="AF242" s="19" t="n">
        <f aca="false">IF(V242&gt;0,ROUND(AVERAGEIFS('Shortlisted Drugs X Company (7)'!$N$3:$N$698,'Shortlisted Drugs X Company (7)'!$C$3:$C$698,$B242,'Shortlisted Drugs X Company (7)'!$E$3:$E$698,$S242,'Shortlisted Drugs X Company (7)'!$N$3:$N$698,"&gt;=0"),2),"")</f>
        <v>113.73</v>
      </c>
      <c r="AG242" s="16" t="s">
        <v>1147</v>
      </c>
      <c r="AH242" s="16" t="s">
        <v>1148</v>
      </c>
      <c r="AI242" s="16" t="s">
        <v>1149</v>
      </c>
      <c r="AJ242" s="16" t="str">
        <f aca="false">IF(O242&lt;&gt;"","",IF(ISNUMBER(D242),IF(D242&gt;=$C$3,"High price","Lower price"),"Unpriced")&amp;" · "&amp;IF(M242&gt;=$E$3,"high volume","lower volume"))</f>
        <v/>
      </c>
      <c r="AK242" s="15" t="str">
        <f aca="false">IF(O242&lt;&gt;"",IF(O242="Price ≤ $5","Excluded – price ≤ $5","Excluded – IV only"),IF(ISNUMBER(D242),IF(AND(D242&gt;=$C$3,L242&gt;=$H$3),"Priority 1",IF(OR(D242&gt;=$C$3,L242&gt;=$H$3),"Priority 2","Priority 3")),IF(L242&gt;=$H$3,"Priority 2","Priority 3")))</f>
        <v>Excluded – IV only</v>
      </c>
      <c r="AL242" s="16" t="str">
        <f aca="false">IF(O242&lt;&gt;"","",IF(ISNUMBER(D242),IF(D242&gt;=$C$3,"High price","Lower price"),"Unpriced")&amp;" · "&amp;IF(L242&gt;=$H$3,"high volume","lower volume"))</f>
        <v/>
      </c>
      <c r="AM242" s="14" t="str">
        <f aca="false">IF(O242&lt;&gt;"","",COUNTIFS($A$29:$A$361,A242,$O$29:$O$361,"",$AQ$29:$AQ$361,"&gt;"&amp;AQ242)+COUNTIFS($A$29:A242,A242,$O$29:O242,"",$AQ$29:AQ242,AQ242))</f>
        <v/>
      </c>
      <c r="AN242" s="33" t="str">
        <f aca="false">IF(AND(O242="",ISNUMBER(D242)),D242,"")</f>
        <v/>
      </c>
      <c r="AO242" s="33" t="str">
        <f aca="false">IF(O242="",M242,"")</f>
        <v/>
      </c>
      <c r="AP242" s="33" t="str">
        <f aca="false">IF(O242="",L242,"")</f>
        <v/>
      </c>
      <c r="AQ242" s="33" t="str">
        <f aca="false">IF(O242&lt;&gt;"","",(4-VALUE(RIGHT(AK242,1)))*10^7+N(N242))</f>
        <v/>
      </c>
      <c r="AR242" s="33" t="n">
        <f aca="false">INDEX($O$7:$O$25,MATCH(A242,$I$7:$I$25,0))</f>
        <v>1</v>
      </c>
      <c r="AS242" s="33" t="str">
        <f aca="false">IF(AE242="No","",AR242*1000+IF(AM242="",900+COUNTIFS($A$29:A242,A242,$O$29:O242,"Price ≤ $5"),AM242))</f>
        <v/>
      </c>
    </row>
    <row r="243" customFormat="false" ht="28.35" hidden="false" customHeight="false" outlineLevel="0" collapsed="false">
      <c r="A243" s="15" t="s">
        <v>193</v>
      </c>
      <c r="B243" s="15" t="s">
        <v>1150</v>
      </c>
      <c r="C243" s="16" t="s">
        <v>1151</v>
      </c>
      <c r="D243" s="17" t="n">
        <f aca="false">IF(W243&gt;0,ROUND(AVERAGEIFS('Shortlisted Drugs X Company (7)'!$N$3:$N$698,'Shortlisted Drugs X Company (7)'!$C$3:$C$698,$B243,'Shortlisted Drugs X Company (7)'!$E$3:$E$698,$S243,'Shortlisted Drugs X Company (7)'!$N$3:$N$698,"&gt;5"),2),"")</f>
        <v>24.71</v>
      </c>
      <c r="E243" s="15" t="str">
        <f aca="false">IF(COUNTIFS('Shortlisted Drugs X Company (7)'!$C$3:$C$698,$B243,'Shortlisted Drugs X Company (7)'!$E$3:$E$698,$S243,'Shortlisted Drugs X Company (7)'!$P$3:$P$698,"Exact")&gt;0,"Exact",IF(COUNTIFS('Shortlisted Drugs X Company (7)'!$C$3:$C$698,$B243,'Shortlisted Drugs X Company (7)'!$E$3:$E$698,$S243,'Shortlisted Drugs X Company (7)'!$P$3:$P$698,"Same-market proxy")&gt;0,"Same-market proxy",IF(COUNTIFS('Shortlisted Drugs X Company (7)'!$C$3:$C$698,$B243,'Shortlisted Drugs X Company (7)'!$E$3:$E$698,$S243,'Shortlisted Drugs X Company (7)'!$P$3:$P$698,"Cross-market proxy")&gt;0,"Cross-market proxy",IF(COUNTIFS('Shortlisted Drugs X Company (7)'!$C$3:$C$698,$B243,'Shortlisted Drugs X Company (7)'!$E$3:$E$698,$S243,'Shortlisted Drugs X Company (7)'!$P$3:$P$698,"Source not found")&gt;0,"Source not found","Not priced"))))</f>
        <v>Same-market proxy</v>
      </c>
      <c r="F243" s="18" t="n">
        <f aca="false">IFERROR(ROUND(INDEX('Injectable Value'!$AA$28:$AA$178,MATCH(B243,'Injectable Value'!$A$28:$A$178,0)),1),"")</f>
        <v>14.3</v>
      </c>
      <c r="G243" s="16" t="s">
        <v>70</v>
      </c>
      <c r="H243" s="14" t="n">
        <v>1</v>
      </c>
      <c r="I243" s="15" t="s">
        <v>316</v>
      </c>
      <c r="J243" s="15" t="s">
        <v>249</v>
      </c>
      <c r="K243" s="16" t="str">
        <f aca="false">""&amp;IF(V243=0,"Unpriced","")&amp;IF(AND(V243&gt;0,W243=0,X243=0),"Low price from another market – confirm with company","")</f>
        <v/>
      </c>
      <c r="L243" s="18" t="n">
        <f aca="false">IFERROR(INDEX('Shortlisted Drugs X Company (7)'!$K$3:$K$698,MATCH(B243,'Shortlisted Drugs X Company (7)'!$C$3:$C$698,0)),"")</f>
        <v>1</v>
      </c>
      <c r="M243" s="18" t="n">
        <f aca="false">IFERROR(ROUND(L243*INDEX('Injectable Value'!$Z$28:$Z$178,MATCH(B243,'Injectable Value'!$A$28:$A$178,0)),0),"")</f>
        <v>1</v>
      </c>
      <c r="N243" s="18" t="n">
        <f aca="false">IFERROR(INDEX('Shortlisted Drugs X Company (7)'!$L$3:$L$698,MATCH(B243,'Shortlisted Drugs X Company (7)'!$C$3:$C$698,0)),"")</f>
        <v>15.02</v>
      </c>
      <c r="O243" s="15" t="str">
        <f aca="false">IF(AE243="No","IV only (not ID/IM/SC)",IF(AND(V243&gt;0,W243=0),"Price ≤ $5",""))</f>
        <v>IV only (not ID/IM/SC)</v>
      </c>
      <c r="P243" s="14" t="str">
        <f aca="false">IF(O243&lt;&gt;"","",COUNTIFS($A$29:$A$361,A243,$O$29:$O$361,"",$AC$29:$AC$361,"&gt;"&amp;AC243)+COUNTIFS($A$29:A243,A243,$O$29:O243,"",$AC$29:AC243,AC243))</f>
        <v/>
      </c>
      <c r="Q243" s="15" t="str">
        <f aca="false">IF(O243&lt;&gt;"",IF(O243="Price ≤ $5","Excluded – price ≤ $5","Excluded – IV only"),IF(ISNUMBER(D243),IF(AND(D243&gt;=$C$3,M243&gt;=$E$3),"Priority 1",IF(OR(D243&gt;=$C$3,M243&gt;=$E$3),"Priority 2","Priority 3")),IF(M243&gt;=$E$3,"Priority 2","Priority 3")))</f>
        <v>Excluded – IV only</v>
      </c>
      <c r="R243" s="16" t="s">
        <v>285</v>
      </c>
      <c r="S243" s="15" t="s">
        <v>193</v>
      </c>
      <c r="T243" s="32" t="s">
        <v>1152</v>
      </c>
      <c r="U243" s="33" t="str">
        <f aca="false">B243&amp;"|"&amp;S243</f>
        <v>Alfentanil|Lupin</v>
      </c>
      <c r="V243" s="34" t="n">
        <f aca="false">COUNTIFS('Shortlisted Drugs X Company (7)'!$C$3:$C$698,$B243,'Shortlisted Drugs X Company (7)'!$E$3:$E$698,$S243,'Shortlisted Drugs X Company (7)'!$N$3:$N$698,"&gt;=0")</f>
        <v>1</v>
      </c>
      <c r="W243" s="34" t="n">
        <f aca="false">COUNTIFS('Shortlisted Drugs X Company (7)'!$C$3:$C$698,$B243,'Shortlisted Drugs X Company (7)'!$E$3:$E$698,$S243,'Shortlisted Drugs X Company (7)'!$N$3:$N$698,"&gt;5")</f>
        <v>1</v>
      </c>
      <c r="X243" s="34" t="n">
        <f aca="false">COUNTIFS('Shortlisted Drugs X Company (7)'!$C$3:$C$698,$B243,'Shortlisted Drugs X Company (7)'!$E$3:$E$698,$S243,'Shortlisted Drugs X Company (7)'!$P$3:$P$698,"Exact")+COUNTIFS('Shortlisted Drugs X Company (7)'!$C$3:$C$698,$B243,'Shortlisted Drugs X Company (7)'!$E$3:$E$698,$S243,'Shortlisted Drugs X Company (7)'!$P$3:$P$698,"Same-market proxy")</f>
        <v>1</v>
      </c>
      <c r="Y243" s="33" t="str">
        <f aca="false">A243&amp;"|"&amp;P243</f>
        <v>Lupin|</v>
      </c>
      <c r="Z243" s="16" t="s">
        <v>1153</v>
      </c>
      <c r="AA243" s="33" t="n">
        <f aca="false">INDEX($G$7:$G$25,MATCH(A243,$A$7:$A$25,0))</f>
        <v>15</v>
      </c>
      <c r="AB243" s="33" t="str">
        <f aca="false">IF(AE243="No","",AA243*1000+IF(P243="",900+COUNTIFS($A$29:A243,A243,$O$29:O243,"Price ≤ $5"),P243))</f>
        <v/>
      </c>
      <c r="AC243" s="33" t="str">
        <f aca="false">IF(O243&lt;&gt;"","",(4-VALUE(RIGHT(Q243,1)))*10^7+N(F243))</f>
        <v/>
      </c>
      <c r="AD243" s="15" t="str">
        <f aca="false">IFERROR(INDEX('Route of Administration'!$C$5:$C$155,MATCH(B243,'Route of Administration'!$A$5:$A$155,0)),"")</f>
        <v>IV</v>
      </c>
      <c r="AE243" s="14" t="str">
        <f aca="false">IFERROR(INDEX('Route of Administration'!$D$5:$D$155,MATCH(B243,'Route of Administration'!$A$5:$A$155,0)),"")</f>
        <v>No</v>
      </c>
      <c r="AF243" s="19" t="n">
        <f aca="false">IF(V243&gt;0,ROUND(AVERAGEIFS('Shortlisted Drugs X Company (7)'!$N$3:$N$698,'Shortlisted Drugs X Company (7)'!$C$3:$C$698,$B243,'Shortlisted Drugs X Company (7)'!$E$3:$E$698,$S243,'Shortlisted Drugs X Company (7)'!$N$3:$N$698,"&gt;=0"),2),"")</f>
        <v>24.71</v>
      </c>
      <c r="AG243" s="16" t="s">
        <v>1154</v>
      </c>
      <c r="AH243" s="16" t="s">
        <v>583</v>
      </c>
      <c r="AI243" s="16" t="s">
        <v>583</v>
      </c>
      <c r="AJ243" s="16" t="str">
        <f aca="false">IF(O243&lt;&gt;"","",IF(ISNUMBER(D243),IF(D243&gt;=$C$3,"High price","Lower price"),"Unpriced")&amp;" · "&amp;IF(M243&gt;=$E$3,"high volume","lower volume"))</f>
        <v/>
      </c>
      <c r="AK243" s="15" t="str">
        <f aca="false">IF(O243&lt;&gt;"",IF(O243="Price ≤ $5","Excluded – price ≤ $5","Excluded – IV only"),IF(ISNUMBER(D243),IF(AND(D243&gt;=$C$3,L243&gt;=$H$3),"Priority 1",IF(OR(D243&gt;=$C$3,L243&gt;=$H$3),"Priority 2","Priority 3")),IF(L243&gt;=$H$3,"Priority 2","Priority 3")))</f>
        <v>Excluded – IV only</v>
      </c>
      <c r="AL243" s="16" t="str">
        <f aca="false">IF(O243&lt;&gt;"","",IF(ISNUMBER(D243),IF(D243&gt;=$C$3,"High price","Lower price"),"Unpriced")&amp;" · "&amp;IF(L243&gt;=$H$3,"high volume","lower volume"))</f>
        <v/>
      </c>
      <c r="AM243" s="14" t="str">
        <f aca="false">IF(O243&lt;&gt;"","",COUNTIFS($A$29:$A$361,A243,$O$29:$O$361,"",$AQ$29:$AQ$361,"&gt;"&amp;AQ243)+COUNTIFS($A$29:A243,A243,$O$29:O243,"",$AQ$29:AQ243,AQ243))</f>
        <v/>
      </c>
      <c r="AN243" s="33" t="str">
        <f aca="false">IF(AND(O243="",ISNUMBER(D243)),D243,"")</f>
        <v/>
      </c>
      <c r="AO243" s="33" t="str">
        <f aca="false">IF(O243="",M243,"")</f>
        <v/>
      </c>
      <c r="AP243" s="33" t="str">
        <f aca="false">IF(O243="",L243,"")</f>
        <v/>
      </c>
      <c r="AQ243" s="33" t="str">
        <f aca="false">IF(O243&lt;&gt;"","",(4-VALUE(RIGHT(AK243,1)))*10^7+N(N243))</f>
        <v/>
      </c>
      <c r="AR243" s="33" t="n">
        <f aca="false">INDEX($O$7:$O$25,MATCH(A243,$I$7:$I$25,0))</f>
        <v>13</v>
      </c>
      <c r="AS243" s="33" t="str">
        <f aca="false">IF(AE243="No","",AR243*1000+IF(AM243="",900+COUNTIFS($A$29:A243,A243,$O$29:O243,"Price ≤ $5"),AM243))</f>
        <v/>
      </c>
    </row>
    <row r="244" customFormat="false" ht="41.75" hidden="false" customHeight="false" outlineLevel="0" collapsed="false">
      <c r="A244" s="15" t="s">
        <v>193</v>
      </c>
      <c r="B244" s="15" t="s">
        <v>1155</v>
      </c>
      <c r="C244" s="16" t="s">
        <v>1156</v>
      </c>
      <c r="D244" s="17" t="str">
        <f aca="false">IF(W244&gt;0,ROUND(AVERAGEIFS('Shortlisted Drugs X Company (7)'!$N$3:$N$698,'Shortlisted Drugs X Company (7)'!$C$3:$C$698,$B244,'Shortlisted Drugs X Company (7)'!$E$3:$E$698,$S244,'Shortlisted Drugs X Company (7)'!$N$3:$N$698,"&gt;5"),2),"")</f>
        <v/>
      </c>
      <c r="E244" s="15" t="str">
        <f aca="false">IF(COUNTIFS('Shortlisted Drugs X Company (7)'!$C$3:$C$698,$B244,'Shortlisted Drugs X Company (7)'!$E$3:$E$698,$S244,'Shortlisted Drugs X Company (7)'!$P$3:$P$698,"Exact")&gt;0,"Exact",IF(COUNTIFS('Shortlisted Drugs X Company (7)'!$C$3:$C$698,$B244,'Shortlisted Drugs X Company (7)'!$E$3:$E$698,$S244,'Shortlisted Drugs X Company (7)'!$P$3:$P$698,"Same-market proxy")&gt;0,"Same-market proxy",IF(COUNTIFS('Shortlisted Drugs X Company (7)'!$C$3:$C$698,$B244,'Shortlisted Drugs X Company (7)'!$E$3:$E$698,$S244,'Shortlisted Drugs X Company (7)'!$P$3:$P$698,"Cross-market proxy")&gt;0,"Cross-market proxy",IF(COUNTIFS('Shortlisted Drugs X Company (7)'!$C$3:$C$698,$B244,'Shortlisted Drugs X Company (7)'!$E$3:$E$698,$S244,'Shortlisted Drugs X Company (7)'!$P$3:$P$698,"Source not found")&gt;0,"Source not found","Not priced"))))</f>
        <v>Same-market proxy</v>
      </c>
      <c r="F244" s="18" t="n">
        <f aca="false">IFERROR(ROUND(INDEX('Injectable Value'!$AA$28:$AA$178,MATCH(B244,'Injectable Value'!$A$28:$A$178,0)),1),"")</f>
        <v>1930</v>
      </c>
      <c r="G244" s="16" t="s">
        <v>70</v>
      </c>
      <c r="H244" s="14" t="n">
        <v>1</v>
      </c>
      <c r="I244" s="15" t="s">
        <v>248</v>
      </c>
      <c r="J244" s="15" t="s">
        <v>299</v>
      </c>
      <c r="K244" s="16" t="str">
        <f aca="false">"Reconstitution"&amp;IF(V244=0,"; Unpriced","")&amp;IF(AND(V244&gt;0,W244=0,X244=0),"; Low price from another market – confirm with company","")</f>
        <v>Reconstitution</v>
      </c>
      <c r="L244" s="18" t="n">
        <f aca="false">IFERROR(INDEX('Shortlisted Drugs X Company (7)'!$K$3:$K$698,MATCH(B244,'Shortlisted Drugs X Company (7)'!$C$3:$C$698,0)),"")</f>
        <v>93</v>
      </c>
      <c r="M244" s="18" t="n">
        <f aca="false">IFERROR(ROUND(L244*INDEX('Injectable Value'!$Z$28:$Z$178,MATCH(B244,'Injectable Value'!$A$28:$A$178,0)),0),"")</f>
        <v>93</v>
      </c>
      <c r="N244" s="18" t="n">
        <f aca="false">IFERROR(INDEX('Shortlisted Drugs X Company (7)'!$L$3:$L$698,MATCH(B244,'Shortlisted Drugs X Company (7)'!$C$3:$C$698,0)),"")</f>
        <v>1929.98</v>
      </c>
      <c r="O244" s="15" t="str">
        <f aca="false">IF(AE244="No","IV only (not ID/IM/SC)",IF(AND(V244&gt;0,W244=0),"Price ≤ $5",""))</f>
        <v>Price ≤ $5</v>
      </c>
      <c r="P244" s="14" t="str">
        <f aca="false">IF(O244&lt;&gt;"","",COUNTIFS($A$29:$A$361,A244,$O$29:$O$361,"",$AC$29:$AC$361,"&gt;"&amp;AC244)+COUNTIFS($A$29:A244,A244,$O$29:O244,"",$AC$29:AC244,AC244))</f>
        <v/>
      </c>
      <c r="Q244" s="15" t="str">
        <f aca="false">IF(O244&lt;&gt;"",IF(O244="Price ≤ $5","Excluded – price ≤ $5","Excluded – IV only"),IF(ISNUMBER(D244),IF(AND(D244&gt;=$C$3,M244&gt;=$E$3),"Priority 1",IF(OR(D244&gt;=$C$3,M244&gt;=$E$3),"Priority 2","Priority 3")),IF(M244&gt;=$E$3,"Priority 2","Priority 3")))</f>
        <v>Excluded – price ≤ $5</v>
      </c>
      <c r="R244" s="16" t="s">
        <v>285</v>
      </c>
      <c r="S244" s="15" t="s">
        <v>193</v>
      </c>
      <c r="T244" s="32" t="s">
        <v>1157</v>
      </c>
      <c r="U244" s="33" t="str">
        <f aca="false">B244&amp;"|"&amp;S244</f>
        <v>Cefazolin|Lupin</v>
      </c>
      <c r="V244" s="34" t="n">
        <f aca="false">COUNTIFS('Shortlisted Drugs X Company (7)'!$C$3:$C$698,$B244,'Shortlisted Drugs X Company (7)'!$E$3:$E$698,$S244,'Shortlisted Drugs X Company (7)'!$N$3:$N$698,"&gt;=0")</f>
        <v>1</v>
      </c>
      <c r="W244" s="34" t="n">
        <f aca="false">COUNTIFS('Shortlisted Drugs X Company (7)'!$C$3:$C$698,$B244,'Shortlisted Drugs X Company (7)'!$E$3:$E$698,$S244,'Shortlisted Drugs X Company (7)'!$N$3:$N$698,"&gt;5")</f>
        <v>0</v>
      </c>
      <c r="X244" s="34" t="n">
        <f aca="false">COUNTIFS('Shortlisted Drugs X Company (7)'!$C$3:$C$698,$B244,'Shortlisted Drugs X Company (7)'!$E$3:$E$698,$S244,'Shortlisted Drugs X Company (7)'!$P$3:$P$698,"Exact")+COUNTIFS('Shortlisted Drugs X Company (7)'!$C$3:$C$698,$B244,'Shortlisted Drugs X Company (7)'!$E$3:$E$698,$S244,'Shortlisted Drugs X Company (7)'!$P$3:$P$698,"Same-market proxy")</f>
        <v>1</v>
      </c>
      <c r="Y244" s="33" t="str">
        <f aca="false">A244&amp;"|"&amp;P244</f>
        <v>Lupin|</v>
      </c>
      <c r="Z244" s="16" t="s">
        <v>1158</v>
      </c>
      <c r="AA244" s="33" t="n">
        <f aca="false">INDEX($G$7:$G$25,MATCH(A244,$A$7:$A$25,0))</f>
        <v>15</v>
      </c>
      <c r="AB244" s="33" t="n">
        <f aca="false">IF(AE244="No","",AA244*1000+IF(P244="",900+COUNTIFS($A$29:A244,A244,$O$29:O244,"Price ≤ $5"),P244))</f>
        <v>15901</v>
      </c>
      <c r="AC244" s="33" t="str">
        <f aca="false">IF(O244&lt;&gt;"","",(4-VALUE(RIGHT(Q244,1)))*10^7+N(F244))</f>
        <v/>
      </c>
      <c r="AD244" s="15" t="str">
        <f aca="false">IFERROR(INDEX('Route of Administration'!$C$5:$C$155,MATCH(B244,'Route of Administration'!$A$5:$A$155,0)),"")</f>
        <v>IV, IM</v>
      </c>
      <c r="AE244" s="14" t="str">
        <f aca="false">IFERROR(INDEX('Route of Administration'!$D$5:$D$155,MATCH(B244,'Route of Administration'!$A$5:$A$155,0)),"")</f>
        <v>Yes</v>
      </c>
      <c r="AF244" s="19" t="n">
        <f aca="false">IF(V244&gt;0,ROUND(AVERAGEIFS('Shortlisted Drugs X Company (7)'!$N$3:$N$698,'Shortlisted Drugs X Company (7)'!$C$3:$C$698,$B244,'Shortlisted Drugs X Company (7)'!$E$3:$E$698,$S244,'Shortlisted Drugs X Company (7)'!$N$3:$N$698,"&gt;=0"),2),"")</f>
        <v>0.57</v>
      </c>
      <c r="AG244" s="16" t="s">
        <v>1159</v>
      </c>
      <c r="AH244" s="16" t="s">
        <v>583</v>
      </c>
      <c r="AI244" s="16" t="s">
        <v>583</v>
      </c>
      <c r="AJ244" s="16" t="str">
        <f aca="false">IF(O244&lt;&gt;"","",IF(ISNUMBER(D244),IF(D244&gt;=$C$3,"High price","Lower price"),"Unpriced")&amp;" · "&amp;IF(M244&gt;=$E$3,"high volume","lower volume"))</f>
        <v/>
      </c>
      <c r="AK244" s="15" t="str">
        <f aca="false">IF(O244&lt;&gt;"",IF(O244="Price ≤ $5","Excluded – price ≤ $5","Excluded – IV only"),IF(ISNUMBER(D244),IF(AND(D244&gt;=$C$3,L244&gt;=$H$3),"Priority 1",IF(OR(D244&gt;=$C$3,L244&gt;=$H$3),"Priority 2","Priority 3")),IF(L244&gt;=$H$3,"Priority 2","Priority 3")))</f>
        <v>Excluded – price ≤ $5</v>
      </c>
      <c r="AL244" s="16" t="str">
        <f aca="false">IF(O244&lt;&gt;"","",IF(ISNUMBER(D244),IF(D244&gt;=$C$3,"High price","Lower price"),"Unpriced")&amp;" · "&amp;IF(L244&gt;=$H$3,"high volume","lower volume"))</f>
        <v/>
      </c>
      <c r="AM244" s="14" t="str">
        <f aca="false">IF(O244&lt;&gt;"","",COUNTIFS($A$29:$A$361,A244,$O$29:$O$361,"",$AQ$29:$AQ$361,"&gt;"&amp;AQ244)+COUNTIFS($A$29:A244,A244,$O$29:O244,"",$AQ$29:AQ244,AQ244))</f>
        <v/>
      </c>
      <c r="AN244" s="33" t="str">
        <f aca="false">IF(AND(O244="",ISNUMBER(D244)),D244,"")</f>
        <v/>
      </c>
      <c r="AO244" s="33" t="str">
        <f aca="false">IF(O244="",M244,"")</f>
        <v/>
      </c>
      <c r="AP244" s="33" t="str">
        <f aca="false">IF(O244="",L244,"")</f>
        <v/>
      </c>
      <c r="AQ244" s="33" t="str">
        <f aca="false">IF(O244&lt;&gt;"","",(4-VALUE(RIGHT(AK244,1)))*10^7+N(N244))</f>
        <v/>
      </c>
      <c r="AR244" s="33" t="n">
        <f aca="false">INDEX($O$7:$O$25,MATCH(A244,$I$7:$I$25,0))</f>
        <v>13</v>
      </c>
      <c r="AS244" s="33" t="n">
        <f aca="false">IF(AE244="No","",AR244*1000+IF(AM244="",900+COUNTIFS($A$29:A244,A244,$O$29:O244,"Price ≤ $5"),AM244))</f>
        <v>13901</v>
      </c>
    </row>
    <row r="245" customFormat="false" ht="28.35" hidden="false" customHeight="false" outlineLevel="0" collapsed="false">
      <c r="A245" s="15" t="s">
        <v>193</v>
      </c>
      <c r="B245" s="15" t="s">
        <v>937</v>
      </c>
      <c r="C245" s="16" t="s">
        <v>938</v>
      </c>
      <c r="D245" s="17" t="n">
        <f aca="false">IF(W245&gt;0,ROUND(AVERAGEIFS('Shortlisted Drugs X Company (7)'!$N$3:$N$698,'Shortlisted Drugs X Company (7)'!$C$3:$C$698,$B245,'Shortlisted Drugs X Company (7)'!$E$3:$E$698,$S245,'Shortlisted Drugs X Company (7)'!$N$3:$N$698,"&gt;5"),2),"")</f>
        <v>32.88</v>
      </c>
      <c r="E245" s="15" t="str">
        <f aca="false">IF(COUNTIFS('Shortlisted Drugs X Company (7)'!$C$3:$C$698,$B245,'Shortlisted Drugs X Company (7)'!$E$3:$E$698,$S245,'Shortlisted Drugs X Company (7)'!$P$3:$P$698,"Exact")&gt;0,"Exact",IF(COUNTIFS('Shortlisted Drugs X Company (7)'!$C$3:$C$698,$B245,'Shortlisted Drugs X Company (7)'!$E$3:$E$698,$S245,'Shortlisted Drugs X Company (7)'!$P$3:$P$698,"Same-market proxy")&gt;0,"Same-market proxy",IF(COUNTIFS('Shortlisted Drugs X Company (7)'!$C$3:$C$698,$B245,'Shortlisted Drugs X Company (7)'!$E$3:$E$698,$S245,'Shortlisted Drugs X Company (7)'!$P$3:$P$698,"Cross-market proxy")&gt;0,"Cross-market proxy",IF(COUNTIFS('Shortlisted Drugs X Company (7)'!$C$3:$C$698,$B245,'Shortlisted Drugs X Company (7)'!$E$3:$E$698,$S245,'Shortlisted Drugs X Company (7)'!$P$3:$P$698,"Source not found")&gt;0,"Source not found","Not priced"))))</f>
        <v>Cross-market proxy</v>
      </c>
      <c r="F245" s="18" t="n">
        <f aca="false">IFERROR(ROUND(INDEX('Injectable Value'!$AA$28:$AA$178,MATCH(B245,'Injectable Value'!$A$28:$A$178,0)),1),"")</f>
        <v>2508.1</v>
      </c>
      <c r="G245" s="16" t="s">
        <v>70</v>
      </c>
      <c r="H245" s="14" t="n">
        <v>1</v>
      </c>
      <c r="I245" s="15" t="s">
        <v>248</v>
      </c>
      <c r="J245" s="15" t="s">
        <v>249</v>
      </c>
      <c r="K245" s="16" t="str">
        <f aca="false">""&amp;IF(V245=0,"Unpriced","")&amp;IF(AND(V245&gt;0,W245=0,X245=0),"Low price from another market – confirm with company","")</f>
        <v/>
      </c>
      <c r="L245" s="18" t="n">
        <f aca="false">IFERROR(INDEX('Shortlisted Drugs X Company (7)'!$K$3:$K$698,MATCH(B245,'Shortlisted Drugs X Company (7)'!$C$3:$C$698,0)),"")</f>
        <v>117</v>
      </c>
      <c r="M245" s="18" t="n">
        <f aca="false">IFERROR(ROUND(L245*INDEX('Injectable Value'!$Z$28:$Z$178,MATCH(B245,'Injectable Value'!$A$28:$A$178,0)),0),"")</f>
        <v>117</v>
      </c>
      <c r="N245" s="18" t="n">
        <f aca="false">IFERROR(INDEX('Shortlisted Drugs X Company (7)'!$L$3:$L$698,MATCH(B245,'Shortlisted Drugs X Company (7)'!$C$3:$C$698,0)),"")</f>
        <v>2508.09</v>
      </c>
      <c r="O245" s="15" t="str">
        <f aca="false">IF(AE245="No","IV only (not ID/IM/SC)",IF(AND(V245&gt;0,W245=0),"Price ≤ $5",""))</f>
        <v>IV only (not ID/IM/SC)</v>
      </c>
      <c r="P245" s="14" t="str">
        <f aca="false">IF(O245&lt;&gt;"","",COUNTIFS($A$29:$A$361,A245,$O$29:$O$361,"",$AC$29:$AC$361,"&gt;"&amp;AC245)+COUNTIFS($A$29:A245,A245,$O$29:O245,"",$AC$29:AC245,AC245))</f>
        <v/>
      </c>
      <c r="Q245" s="15" t="str">
        <f aca="false">IF(O245&lt;&gt;"",IF(O245="Price ≤ $5","Excluded – price ≤ $5","Excluded – IV only"),IF(ISNUMBER(D245),IF(AND(D245&gt;=$C$3,M245&gt;=$E$3),"Priority 1",IF(OR(D245&gt;=$C$3,M245&gt;=$E$3),"Priority 2","Priority 3")),IF(M245&gt;=$E$3,"Priority 2","Priority 3")))</f>
        <v>Excluded – IV only</v>
      </c>
      <c r="R245" s="16" t="s">
        <v>250</v>
      </c>
      <c r="S245" s="15" t="s">
        <v>193</v>
      </c>
      <c r="T245" s="32" t="s">
        <v>940</v>
      </c>
      <c r="U245" s="33" t="str">
        <f aca="false">B245&amp;"|"&amp;S245</f>
        <v>Cisatracurium|Lupin</v>
      </c>
      <c r="V245" s="34" t="n">
        <f aca="false">COUNTIFS('Shortlisted Drugs X Company (7)'!$C$3:$C$698,$B245,'Shortlisted Drugs X Company (7)'!$E$3:$E$698,$S245,'Shortlisted Drugs X Company (7)'!$N$3:$N$698,"&gt;=0")</f>
        <v>2</v>
      </c>
      <c r="W245" s="34" t="n">
        <f aca="false">COUNTIFS('Shortlisted Drugs X Company (7)'!$C$3:$C$698,$B245,'Shortlisted Drugs X Company (7)'!$E$3:$E$698,$S245,'Shortlisted Drugs X Company (7)'!$N$3:$N$698,"&gt;5")</f>
        <v>2</v>
      </c>
      <c r="X245" s="34" t="n">
        <f aca="false">COUNTIFS('Shortlisted Drugs X Company (7)'!$C$3:$C$698,$B245,'Shortlisted Drugs X Company (7)'!$E$3:$E$698,$S245,'Shortlisted Drugs X Company (7)'!$P$3:$P$698,"Exact")+COUNTIFS('Shortlisted Drugs X Company (7)'!$C$3:$C$698,$B245,'Shortlisted Drugs X Company (7)'!$E$3:$E$698,$S245,'Shortlisted Drugs X Company (7)'!$P$3:$P$698,"Same-market proxy")</f>
        <v>0</v>
      </c>
      <c r="Y245" s="33" t="str">
        <f aca="false">A245&amp;"|"&amp;P245</f>
        <v>Lupin|</v>
      </c>
      <c r="Z245" s="16" t="s">
        <v>1160</v>
      </c>
      <c r="AA245" s="33" t="n">
        <f aca="false">INDEX($G$7:$G$25,MATCH(A245,$A$7:$A$25,0))</f>
        <v>15</v>
      </c>
      <c r="AB245" s="33" t="str">
        <f aca="false">IF(AE245="No","",AA245*1000+IF(P245="",900+COUNTIFS($A$29:A245,A245,$O$29:O245,"Price ≤ $5"),P245))</f>
        <v/>
      </c>
      <c r="AC245" s="33" t="str">
        <f aca="false">IF(O245&lt;&gt;"","",(4-VALUE(RIGHT(Q245,1)))*10^7+N(F245))</f>
        <v/>
      </c>
      <c r="AD245" s="15" t="str">
        <f aca="false">IFERROR(INDEX('Route of Administration'!$C$5:$C$155,MATCH(B245,'Route of Administration'!$A$5:$A$155,0)),"")</f>
        <v>IV</v>
      </c>
      <c r="AE245" s="14" t="str">
        <f aca="false">IFERROR(INDEX('Route of Administration'!$D$5:$D$155,MATCH(B245,'Route of Administration'!$A$5:$A$155,0)),"")</f>
        <v>No</v>
      </c>
      <c r="AF245" s="19" t="n">
        <f aca="false">IF(V245&gt;0,ROUND(AVERAGEIFS('Shortlisted Drugs X Company (7)'!$N$3:$N$698,'Shortlisted Drugs X Company (7)'!$C$3:$C$698,$B245,'Shortlisted Drugs X Company (7)'!$E$3:$E$698,$S245,'Shortlisted Drugs X Company (7)'!$N$3:$N$698,"&gt;=0"),2),"")</f>
        <v>32.88</v>
      </c>
      <c r="AG245" s="16" t="s">
        <v>1161</v>
      </c>
      <c r="AH245" s="16" t="s">
        <v>583</v>
      </c>
      <c r="AI245" s="16" t="s">
        <v>583</v>
      </c>
      <c r="AJ245" s="16" t="str">
        <f aca="false">IF(O245&lt;&gt;"","",IF(ISNUMBER(D245),IF(D245&gt;=$C$3,"High price","Lower price"),"Unpriced")&amp;" · "&amp;IF(M245&gt;=$E$3,"high volume","lower volume"))</f>
        <v/>
      </c>
      <c r="AK245" s="15" t="str">
        <f aca="false">IF(O245&lt;&gt;"",IF(O245="Price ≤ $5","Excluded – price ≤ $5","Excluded – IV only"),IF(ISNUMBER(D245),IF(AND(D245&gt;=$C$3,L245&gt;=$H$3),"Priority 1",IF(OR(D245&gt;=$C$3,L245&gt;=$H$3),"Priority 2","Priority 3")),IF(L245&gt;=$H$3,"Priority 2","Priority 3")))</f>
        <v>Excluded – IV only</v>
      </c>
      <c r="AL245" s="16" t="str">
        <f aca="false">IF(O245&lt;&gt;"","",IF(ISNUMBER(D245),IF(D245&gt;=$C$3,"High price","Lower price"),"Unpriced")&amp;" · "&amp;IF(L245&gt;=$H$3,"high volume","lower volume"))</f>
        <v/>
      </c>
      <c r="AM245" s="14" t="str">
        <f aca="false">IF(O245&lt;&gt;"","",COUNTIFS($A$29:$A$361,A245,$O$29:$O$361,"",$AQ$29:$AQ$361,"&gt;"&amp;AQ245)+COUNTIFS($A$29:A245,A245,$O$29:O245,"",$AQ$29:AQ245,AQ245))</f>
        <v/>
      </c>
      <c r="AN245" s="33" t="str">
        <f aca="false">IF(AND(O245="",ISNUMBER(D245)),D245,"")</f>
        <v/>
      </c>
      <c r="AO245" s="33" t="str">
        <f aca="false">IF(O245="",M245,"")</f>
        <v/>
      </c>
      <c r="AP245" s="33" t="str">
        <f aca="false">IF(O245="",L245,"")</f>
        <v/>
      </c>
      <c r="AQ245" s="33" t="str">
        <f aca="false">IF(O245&lt;&gt;"","",(4-VALUE(RIGHT(AK245,1)))*10^7+N(N245))</f>
        <v/>
      </c>
      <c r="AR245" s="33" t="n">
        <f aca="false">INDEX($O$7:$O$25,MATCH(A245,$I$7:$I$25,0))</f>
        <v>13</v>
      </c>
      <c r="AS245" s="33" t="str">
        <f aca="false">IF(AE245="No","",AR245*1000+IF(AM245="",900+COUNTIFS($A$29:A245,A245,$O$29:O245,"Price ≤ $5"),AM245))</f>
        <v/>
      </c>
    </row>
    <row r="246" customFormat="false" ht="41.75" hidden="false" customHeight="false" outlineLevel="0" collapsed="false">
      <c r="A246" s="15" t="s">
        <v>193</v>
      </c>
      <c r="B246" s="15" t="s">
        <v>356</v>
      </c>
      <c r="C246" s="16" t="s">
        <v>357</v>
      </c>
      <c r="D246" s="17" t="n">
        <f aca="false">IF(W246&gt;0,ROUND(AVERAGEIFS('Shortlisted Drugs X Company (7)'!$N$3:$N$698,'Shortlisted Drugs X Company (7)'!$C$3:$C$698,$B246,'Shortlisted Drugs X Company (7)'!$E$3:$E$698,$S246,'Shortlisted Drugs X Company (7)'!$N$3:$N$698,"&gt;5"),2),"")</f>
        <v>11.48</v>
      </c>
      <c r="E246" s="15" t="str">
        <f aca="false">IF(COUNTIFS('Shortlisted Drugs X Company (7)'!$C$3:$C$698,$B246,'Shortlisted Drugs X Company (7)'!$E$3:$E$698,$S246,'Shortlisted Drugs X Company (7)'!$P$3:$P$698,"Exact")&gt;0,"Exact",IF(COUNTIFS('Shortlisted Drugs X Company (7)'!$C$3:$C$698,$B246,'Shortlisted Drugs X Company (7)'!$E$3:$E$698,$S246,'Shortlisted Drugs X Company (7)'!$P$3:$P$698,"Same-market proxy")&gt;0,"Same-market proxy",IF(COUNTIFS('Shortlisted Drugs X Company (7)'!$C$3:$C$698,$B246,'Shortlisted Drugs X Company (7)'!$E$3:$E$698,$S246,'Shortlisted Drugs X Company (7)'!$P$3:$P$698,"Cross-market proxy")&gt;0,"Cross-market proxy",IF(COUNTIFS('Shortlisted Drugs X Company (7)'!$C$3:$C$698,$B246,'Shortlisted Drugs X Company (7)'!$E$3:$E$698,$S246,'Shortlisted Drugs X Company (7)'!$P$3:$P$698,"Source not found")&gt;0,"Source not found","Not priced"))))</f>
        <v>Cross-market proxy</v>
      </c>
      <c r="F246" s="18" t="n">
        <f aca="false">IFERROR(ROUND(INDEX('Injectable Value'!$AA$28:$AA$178,MATCH(B246,'Injectable Value'!$A$28:$A$178,0)),1),"")</f>
        <v>59827.2</v>
      </c>
      <c r="G246" s="16" t="s">
        <v>70</v>
      </c>
      <c r="H246" s="14" t="n">
        <v>1</v>
      </c>
      <c r="I246" s="15" t="s">
        <v>248</v>
      </c>
      <c r="J246" s="15" t="s">
        <v>299</v>
      </c>
      <c r="K246" s="16" t="str">
        <f aca="false">"Reconstitution"&amp;IF(V246=0,"; Unpriced","")&amp;IF(AND(V246&gt;0,W246=0,X246=0),"; Low price from another market – confirm with company","")</f>
        <v>Reconstitution</v>
      </c>
      <c r="L246" s="18" t="n">
        <f aca="false">IFERROR(INDEX('Shortlisted Drugs X Company (7)'!$K$3:$K$698,MATCH(B246,'Shortlisted Drugs X Company (7)'!$C$3:$C$698,0)),"")</f>
        <v>312</v>
      </c>
      <c r="M246" s="18" t="n">
        <f aca="false">IFERROR(ROUND(L246*INDEX('Injectable Value'!$Z$28:$Z$178,MATCH(B246,'Injectable Value'!$A$28:$A$178,0)),0),"")</f>
        <v>312</v>
      </c>
      <c r="N246" s="18" t="n">
        <f aca="false">IFERROR(INDEX('Shortlisted Drugs X Company (7)'!$L$3:$L$698,MATCH(B246,'Shortlisted Drugs X Company (7)'!$C$3:$C$698,0)),"")</f>
        <v>59827.18</v>
      </c>
      <c r="O246" s="15" t="str">
        <f aca="false">IF(AE246="No","IV only (not ID/IM/SC)",IF(AND(V246&gt;0,W246=0),"Price ≤ $5",""))</f>
        <v>IV only (not ID/IM/SC)</v>
      </c>
      <c r="P246" s="14" t="str">
        <f aca="false">IF(O246&lt;&gt;"","",COUNTIFS($A$29:$A$361,A246,$O$29:$O$361,"",$AC$29:$AC$361,"&gt;"&amp;AC246)+COUNTIFS($A$29:A246,A246,$O$29:O246,"",$AC$29:AC246,AC246))</f>
        <v/>
      </c>
      <c r="Q246" s="15" t="str">
        <f aca="false">IF(O246&lt;&gt;"",IF(O246="Price ≤ $5","Excluded – price ≤ $5","Excluded – IV only"),IF(ISNUMBER(D246),IF(AND(D246&gt;=$C$3,M246&gt;=$E$3),"Priority 1",IF(OR(D246&gt;=$C$3,M246&gt;=$E$3),"Priority 2","Priority 3")),IF(M246&gt;=$E$3,"Priority 2","Priority 3")))</f>
        <v>Excluded – IV only</v>
      </c>
      <c r="R246" s="16" t="s">
        <v>250</v>
      </c>
      <c r="S246" s="15" t="s">
        <v>193</v>
      </c>
      <c r="T246" s="32" t="s">
        <v>358</v>
      </c>
      <c r="U246" s="33" t="str">
        <f aca="false">B246&amp;"|"&amp;S246</f>
        <v>Daptomycin|Lupin</v>
      </c>
      <c r="V246" s="34" t="n">
        <f aca="false">COUNTIFS('Shortlisted Drugs X Company (7)'!$C$3:$C$698,$B246,'Shortlisted Drugs X Company (7)'!$E$3:$E$698,$S246,'Shortlisted Drugs X Company (7)'!$N$3:$N$698,"&gt;=0")</f>
        <v>2</v>
      </c>
      <c r="W246" s="34" t="n">
        <f aca="false">COUNTIFS('Shortlisted Drugs X Company (7)'!$C$3:$C$698,$B246,'Shortlisted Drugs X Company (7)'!$E$3:$E$698,$S246,'Shortlisted Drugs X Company (7)'!$N$3:$N$698,"&gt;5")</f>
        <v>2</v>
      </c>
      <c r="X246" s="34" t="n">
        <f aca="false">COUNTIFS('Shortlisted Drugs X Company (7)'!$C$3:$C$698,$B246,'Shortlisted Drugs X Company (7)'!$E$3:$E$698,$S246,'Shortlisted Drugs X Company (7)'!$P$3:$P$698,"Exact")+COUNTIFS('Shortlisted Drugs X Company (7)'!$C$3:$C$698,$B246,'Shortlisted Drugs X Company (7)'!$E$3:$E$698,$S246,'Shortlisted Drugs X Company (7)'!$P$3:$P$698,"Same-market proxy")</f>
        <v>0</v>
      </c>
      <c r="Y246" s="33" t="str">
        <f aca="false">A246&amp;"|"&amp;P246</f>
        <v>Lupin|</v>
      </c>
      <c r="Z246" s="16" t="s">
        <v>685</v>
      </c>
      <c r="AA246" s="33" t="n">
        <f aca="false">INDEX($G$7:$G$25,MATCH(A246,$A$7:$A$25,0))</f>
        <v>15</v>
      </c>
      <c r="AB246" s="33" t="str">
        <f aca="false">IF(AE246="No","",AA246*1000+IF(P246="",900+COUNTIFS($A$29:A246,A246,$O$29:O246,"Price ≤ $5"),P246))</f>
        <v/>
      </c>
      <c r="AC246" s="33" t="str">
        <f aca="false">IF(O246&lt;&gt;"","",(4-VALUE(RIGHT(Q246,1)))*10^7+N(F246))</f>
        <v/>
      </c>
      <c r="AD246" s="15" t="str">
        <f aca="false">IFERROR(INDEX('Route of Administration'!$C$5:$C$155,MATCH(B246,'Route of Administration'!$A$5:$A$155,0)),"")</f>
        <v>IV</v>
      </c>
      <c r="AE246" s="14" t="str">
        <f aca="false">IFERROR(INDEX('Route of Administration'!$D$5:$D$155,MATCH(B246,'Route of Administration'!$A$5:$A$155,0)),"")</f>
        <v>No</v>
      </c>
      <c r="AF246" s="19" t="n">
        <f aca="false">IF(V246&gt;0,ROUND(AVERAGEIFS('Shortlisted Drugs X Company (7)'!$N$3:$N$698,'Shortlisted Drugs X Company (7)'!$C$3:$C$698,$B246,'Shortlisted Drugs X Company (7)'!$E$3:$E$698,$S246,'Shortlisted Drugs X Company (7)'!$N$3:$N$698,"&gt;=0"),2),"")</f>
        <v>11.48</v>
      </c>
      <c r="AG246" s="16" t="s">
        <v>1162</v>
      </c>
      <c r="AH246" s="16" t="s">
        <v>583</v>
      </c>
      <c r="AI246" s="16" t="s">
        <v>583</v>
      </c>
      <c r="AJ246" s="16" t="str">
        <f aca="false">IF(O246&lt;&gt;"","",IF(ISNUMBER(D246),IF(D246&gt;=$C$3,"High price","Lower price"),"Unpriced")&amp;" · "&amp;IF(M246&gt;=$E$3,"high volume","lower volume"))</f>
        <v/>
      </c>
      <c r="AK246" s="15" t="str">
        <f aca="false">IF(O246&lt;&gt;"",IF(O246="Price ≤ $5","Excluded – price ≤ $5","Excluded – IV only"),IF(ISNUMBER(D246),IF(AND(D246&gt;=$C$3,L246&gt;=$H$3),"Priority 1",IF(OR(D246&gt;=$C$3,L246&gt;=$H$3),"Priority 2","Priority 3")),IF(L246&gt;=$H$3,"Priority 2","Priority 3")))</f>
        <v>Excluded – IV only</v>
      </c>
      <c r="AL246" s="16" t="str">
        <f aca="false">IF(O246&lt;&gt;"","",IF(ISNUMBER(D246),IF(D246&gt;=$C$3,"High price","Lower price"),"Unpriced")&amp;" · "&amp;IF(L246&gt;=$H$3,"high volume","lower volume"))</f>
        <v/>
      </c>
      <c r="AM246" s="14" t="str">
        <f aca="false">IF(O246&lt;&gt;"","",COUNTIFS($A$29:$A$361,A246,$O$29:$O$361,"",$AQ$29:$AQ$361,"&gt;"&amp;AQ246)+COUNTIFS($A$29:A246,A246,$O$29:O246,"",$AQ$29:AQ246,AQ246))</f>
        <v/>
      </c>
      <c r="AN246" s="33" t="str">
        <f aca="false">IF(AND(O246="",ISNUMBER(D246)),D246,"")</f>
        <v/>
      </c>
      <c r="AO246" s="33" t="str">
        <f aca="false">IF(O246="",M246,"")</f>
        <v/>
      </c>
      <c r="AP246" s="33" t="str">
        <f aca="false">IF(O246="",L246,"")</f>
        <v/>
      </c>
      <c r="AQ246" s="33" t="str">
        <f aca="false">IF(O246&lt;&gt;"","",(4-VALUE(RIGHT(AK246,1)))*10^7+N(N246))</f>
        <v/>
      </c>
      <c r="AR246" s="33" t="n">
        <f aca="false">INDEX($O$7:$O$25,MATCH(A246,$I$7:$I$25,0))</f>
        <v>13</v>
      </c>
      <c r="AS246" s="33" t="str">
        <f aca="false">IF(AE246="No","",AR246*1000+IF(AM246="",900+COUNTIFS($A$29:A246,A246,$O$29:O246,"Price ≤ $5"),AM246))</f>
        <v/>
      </c>
    </row>
    <row r="247" customFormat="false" ht="41.75" hidden="false" customHeight="false" outlineLevel="0" collapsed="false">
      <c r="A247" s="15" t="s">
        <v>193</v>
      </c>
      <c r="B247" s="15" t="s">
        <v>256</v>
      </c>
      <c r="C247" s="16" t="s">
        <v>257</v>
      </c>
      <c r="D247" s="17" t="n">
        <f aca="false">IF(W247&gt;0,ROUND(AVERAGEIFS('Shortlisted Drugs X Company (7)'!$N$3:$N$698,'Shortlisted Drugs X Company (7)'!$C$3:$C$698,$B247,'Shortlisted Drugs X Company (7)'!$E$3:$E$698,$S247,'Shortlisted Drugs X Company (7)'!$N$3:$N$698,"&gt;5"),2),"")</f>
        <v>10.14</v>
      </c>
      <c r="E247" s="15" t="str">
        <f aca="false">IF(COUNTIFS('Shortlisted Drugs X Company (7)'!$C$3:$C$698,$B247,'Shortlisted Drugs X Company (7)'!$E$3:$E$698,$S247,'Shortlisted Drugs X Company (7)'!$P$3:$P$698,"Exact")&gt;0,"Exact",IF(COUNTIFS('Shortlisted Drugs X Company (7)'!$C$3:$C$698,$B247,'Shortlisted Drugs X Company (7)'!$E$3:$E$698,$S247,'Shortlisted Drugs X Company (7)'!$P$3:$P$698,"Same-market proxy")&gt;0,"Same-market proxy",IF(COUNTIFS('Shortlisted Drugs X Company (7)'!$C$3:$C$698,$B247,'Shortlisted Drugs X Company (7)'!$E$3:$E$698,$S247,'Shortlisted Drugs X Company (7)'!$P$3:$P$698,"Cross-market proxy")&gt;0,"Cross-market proxy",IF(COUNTIFS('Shortlisted Drugs X Company (7)'!$C$3:$C$698,$B247,'Shortlisted Drugs X Company (7)'!$E$3:$E$698,$S247,'Shortlisted Drugs X Company (7)'!$P$3:$P$698,"Source not found")&gt;0,"Source not found","Not priced"))))</f>
        <v>Same-market proxy</v>
      </c>
      <c r="F247" s="18" t="n">
        <f aca="false">IFERROR(ROUND(INDEX('Injectable Value'!$AA$28:$AA$178,MATCH(B247,'Injectable Value'!$A$28:$A$178,0)),1),"")</f>
        <v>1053.6</v>
      </c>
      <c r="G247" s="16" t="s">
        <v>247</v>
      </c>
      <c r="H247" s="14" t="n">
        <v>1</v>
      </c>
      <c r="I247" s="15" t="s">
        <v>277</v>
      </c>
      <c r="J247" s="15" t="s">
        <v>249</v>
      </c>
      <c r="K247" s="16" t="str">
        <f aca="false">""&amp;IF(V247=0,"Unpriced","")&amp;IF(AND(V247&gt;0,W247=0,X247=0),"Low price from another market – confirm with company","")</f>
        <v/>
      </c>
      <c r="L247" s="18" t="n">
        <f aca="false">IFERROR(INDEX('Shortlisted Drugs X Company (7)'!$K$3:$K$698,MATCH(B247,'Shortlisted Drugs X Company (7)'!$C$3:$C$698,0)),"")</f>
        <v>180</v>
      </c>
      <c r="M247" s="18" t="n">
        <f aca="false">IFERROR(ROUND(L247*INDEX('Injectable Value'!$Z$28:$Z$178,MATCH(B247,'Injectable Value'!$A$28:$A$178,0)),0),"")</f>
        <v>35</v>
      </c>
      <c r="N247" s="18" t="n">
        <f aca="false">IFERROR(INDEX('Shortlisted Drugs X Company (7)'!$L$3:$L$698,MATCH(B247,'Shortlisted Drugs X Company (7)'!$C$3:$C$698,0)),"")</f>
        <v>5403.25</v>
      </c>
      <c r="O247" s="15" t="str">
        <f aca="false">IF(AE247="No","IV only (not ID/IM/SC)",IF(AND(V247&gt;0,W247=0),"Price ≤ $5",""))</f>
        <v/>
      </c>
      <c r="P247" s="14" t="n">
        <f aca="false">IF(O247&lt;&gt;"","",COUNTIFS($A$29:$A$361,A247,$O$29:$O$361,"",$AC$29:$AC$361,"&gt;"&amp;AC247)+COUNTIFS($A$29:A247,A247,$O$29:O247,"",$AC$29:AC247,AC247))</f>
        <v>6</v>
      </c>
      <c r="Q247" s="15" t="str">
        <f aca="false">IF(O247&lt;&gt;"",IF(O247="Price ≤ $5","Excluded – price ≤ $5","Excluded – IV only"),IF(ISNUMBER(D247),IF(AND(D247&gt;=$C$3,M247&gt;=$E$3),"Priority 1",IF(OR(D247&gt;=$C$3,M247&gt;=$E$3),"Priority 2","Priority 3")),IF(M247&gt;=$E$3,"Priority 2","Priority 3")))</f>
        <v>Priority 3</v>
      </c>
      <c r="R247" s="16" t="s">
        <v>278</v>
      </c>
      <c r="S247" s="15" t="s">
        <v>193</v>
      </c>
      <c r="T247" s="32" t="s">
        <v>260</v>
      </c>
      <c r="U247" s="33" t="str">
        <f aca="false">B247&amp;"|"&amp;S247</f>
        <v>Diazepam|Lupin</v>
      </c>
      <c r="V247" s="34" t="n">
        <f aca="false">COUNTIFS('Shortlisted Drugs X Company (7)'!$C$3:$C$698,$B247,'Shortlisted Drugs X Company (7)'!$E$3:$E$698,$S247,'Shortlisted Drugs X Company (7)'!$N$3:$N$698,"&gt;=0")</f>
        <v>1</v>
      </c>
      <c r="W247" s="34" t="n">
        <f aca="false">COUNTIFS('Shortlisted Drugs X Company (7)'!$C$3:$C$698,$B247,'Shortlisted Drugs X Company (7)'!$E$3:$E$698,$S247,'Shortlisted Drugs X Company (7)'!$N$3:$N$698,"&gt;5")</f>
        <v>1</v>
      </c>
      <c r="X247" s="34" t="n">
        <f aca="false">COUNTIFS('Shortlisted Drugs X Company (7)'!$C$3:$C$698,$B247,'Shortlisted Drugs X Company (7)'!$E$3:$E$698,$S247,'Shortlisted Drugs X Company (7)'!$P$3:$P$698,"Exact")+COUNTIFS('Shortlisted Drugs X Company (7)'!$C$3:$C$698,$B247,'Shortlisted Drugs X Company (7)'!$E$3:$E$698,$S247,'Shortlisted Drugs X Company (7)'!$P$3:$P$698,"Same-market proxy")</f>
        <v>1</v>
      </c>
      <c r="Y247" s="33" t="str">
        <f aca="false">A247&amp;"|"&amp;P247</f>
        <v>Lupin|6</v>
      </c>
      <c r="Z247" s="16" t="s">
        <v>1163</v>
      </c>
      <c r="AA247" s="33" t="n">
        <f aca="false">INDEX($G$7:$G$25,MATCH(A247,$A$7:$A$25,0))</f>
        <v>15</v>
      </c>
      <c r="AB247" s="33" t="n">
        <f aca="false">IF(AE247="No","",AA247*1000+IF(P247="",900+COUNTIFS($A$29:A247,A247,$O$29:O247,"Price ≤ $5"),P247))</f>
        <v>15006</v>
      </c>
      <c r="AC247" s="33" t="n">
        <f aca="false">IF(O247&lt;&gt;"","",(4-VALUE(RIGHT(Q247,1)))*10^7+N(F247))</f>
        <v>10001053.6</v>
      </c>
      <c r="AD247" s="15" t="str">
        <f aca="false">IFERROR(INDEX('Route of Administration'!$C$5:$C$155,MATCH(B247,'Route of Administration'!$A$5:$A$155,0)),"")</f>
        <v>IV, IM</v>
      </c>
      <c r="AE247" s="14" t="str">
        <f aca="false">IFERROR(INDEX('Route of Administration'!$D$5:$D$155,MATCH(B247,'Route of Administration'!$A$5:$A$155,0)),"")</f>
        <v>Yes</v>
      </c>
      <c r="AF247" s="19" t="n">
        <f aca="false">IF(V247&gt;0,ROUND(AVERAGEIFS('Shortlisted Drugs X Company (7)'!$N$3:$N$698,'Shortlisted Drugs X Company (7)'!$C$3:$C$698,$B247,'Shortlisted Drugs X Company (7)'!$E$3:$E$698,$S247,'Shortlisted Drugs X Company (7)'!$N$3:$N$698,"&gt;=0"),2),"")</f>
        <v>10.14</v>
      </c>
      <c r="AG247" s="16" t="s">
        <v>256</v>
      </c>
      <c r="AH247" s="16" t="s">
        <v>247</v>
      </c>
      <c r="AI247" s="16" t="s">
        <v>247</v>
      </c>
      <c r="AJ247" s="16" t="str">
        <f aca="false">IF(O247&lt;&gt;"","",IF(ISNUMBER(D247),IF(D247&gt;=$C$3,"High price","Lower price"),"Unpriced")&amp;" · "&amp;IF(M247&gt;=$E$3,"high volume","lower volume"))</f>
        <v>Lower price · lower volume</v>
      </c>
      <c r="AK247" s="15" t="str">
        <f aca="false">IF(O247&lt;&gt;"",IF(O247="Price ≤ $5","Excluded – price ≤ $5","Excluded – IV only"),IF(ISNUMBER(D247),IF(AND(D247&gt;=$C$3,L247&gt;=$H$3),"Priority 1",IF(OR(D247&gt;=$C$3,L247&gt;=$H$3),"Priority 2","Priority 3")),IF(L247&gt;=$H$3,"Priority 2","Priority 3")))</f>
        <v>Priority 3</v>
      </c>
      <c r="AL247" s="16" t="str">
        <f aca="false">IF(O247&lt;&gt;"","",IF(ISNUMBER(D247),IF(D247&gt;=$C$3,"High price","Lower price"),"Unpriced")&amp;" · "&amp;IF(L247&gt;=$H$3,"high volume","lower volume"))</f>
        <v>Lower price · lower volume</v>
      </c>
      <c r="AM247" s="14" t="n">
        <f aca="false">IF(O247&lt;&gt;"","",COUNTIFS($A$29:$A$361,A247,$O$29:$O$361,"",$AQ$29:$AQ$361,"&gt;"&amp;AQ247)+COUNTIFS($A$29:A247,A247,$O$29:O247,"",$AQ$29:AQ247,AQ247))</f>
        <v>6</v>
      </c>
      <c r="AN247" s="19" t="n">
        <f aca="false">IF(AND(O247="",ISNUMBER(D247)),D247,"")</f>
        <v>10.14</v>
      </c>
      <c r="AO247" s="20" t="n">
        <f aca="false">IF(O247="",M247,"")</f>
        <v>35</v>
      </c>
      <c r="AP247" s="20" t="n">
        <f aca="false">IF(O247="",L247,"")</f>
        <v>180</v>
      </c>
      <c r="AQ247" s="33" t="n">
        <f aca="false">IF(O247&lt;&gt;"","",(4-VALUE(RIGHT(AK247,1)))*10^7+N(N247))</f>
        <v>10005403.25</v>
      </c>
      <c r="AR247" s="33" t="n">
        <f aca="false">INDEX($O$7:$O$25,MATCH(A247,$I$7:$I$25,0))</f>
        <v>13</v>
      </c>
      <c r="AS247" s="33" t="n">
        <f aca="false">IF(AE247="No","",AR247*1000+IF(AM247="",900+COUNTIFS($A$29:A247,A247,$O$29:O247,"Price ≤ $5"),AM247))</f>
        <v>13006</v>
      </c>
    </row>
    <row r="248" customFormat="false" ht="28.35" hidden="false" customHeight="false" outlineLevel="0" collapsed="false">
      <c r="A248" s="15" t="s">
        <v>193</v>
      </c>
      <c r="B248" s="15" t="s">
        <v>1164</v>
      </c>
      <c r="C248" s="16" t="s">
        <v>1165</v>
      </c>
      <c r="D248" s="17" t="n">
        <f aca="false">IF(W248&gt;0,ROUND(AVERAGEIFS('Shortlisted Drugs X Company (7)'!$N$3:$N$698,'Shortlisted Drugs X Company (7)'!$C$3:$C$698,$B248,'Shortlisted Drugs X Company (7)'!$E$3:$E$698,$S248,'Shortlisted Drugs X Company (7)'!$N$3:$N$698,"&gt;5"),2),"")</f>
        <v>5.35</v>
      </c>
      <c r="E248" s="15" t="str">
        <f aca="false">IF(COUNTIFS('Shortlisted Drugs X Company (7)'!$C$3:$C$698,$B248,'Shortlisted Drugs X Company (7)'!$E$3:$E$698,$S248,'Shortlisted Drugs X Company (7)'!$P$3:$P$698,"Exact")&gt;0,"Exact",IF(COUNTIFS('Shortlisted Drugs X Company (7)'!$C$3:$C$698,$B248,'Shortlisted Drugs X Company (7)'!$E$3:$E$698,$S248,'Shortlisted Drugs X Company (7)'!$P$3:$P$698,"Same-market proxy")&gt;0,"Same-market proxy",IF(COUNTIFS('Shortlisted Drugs X Company (7)'!$C$3:$C$698,$B248,'Shortlisted Drugs X Company (7)'!$E$3:$E$698,$S248,'Shortlisted Drugs X Company (7)'!$P$3:$P$698,"Cross-market proxy")&gt;0,"Cross-market proxy",IF(COUNTIFS('Shortlisted Drugs X Company (7)'!$C$3:$C$698,$B248,'Shortlisted Drugs X Company (7)'!$E$3:$E$698,$S248,'Shortlisted Drugs X Company (7)'!$P$3:$P$698,"Source not found")&gt;0,"Source not found","Not priced"))))</f>
        <v>Cross-market proxy</v>
      </c>
      <c r="F248" s="18" t="n">
        <f aca="false">IFERROR(ROUND(INDEX('Injectable Value'!$AA$28:$AA$178,MATCH(B248,'Injectable Value'!$A$28:$A$178,0)),1),"")</f>
        <v>170.5</v>
      </c>
      <c r="G248" s="16" t="s">
        <v>70</v>
      </c>
      <c r="H248" s="14" t="n">
        <v>1</v>
      </c>
      <c r="I248" s="15" t="s">
        <v>316</v>
      </c>
      <c r="J248" s="15" t="s">
        <v>249</v>
      </c>
      <c r="K248" s="16" t="str">
        <f aca="false">""&amp;IF(V248=0,"Unpriced","")&amp;IF(AND(V248&gt;0,W248=0,X248=0),"Low price from another market – confirm with company","")</f>
        <v/>
      </c>
      <c r="L248" s="18" t="n">
        <f aca="false">IFERROR(INDEX('Shortlisted Drugs X Company (7)'!$K$3:$K$698,MATCH(B248,'Shortlisted Drugs X Company (7)'!$C$3:$C$698,0)),"")</f>
        <v>17</v>
      </c>
      <c r="M248" s="18" t="n">
        <f aca="false">IFERROR(ROUND(L248*INDEX('Injectable Value'!$Z$28:$Z$178,MATCH(B248,'Injectable Value'!$A$28:$A$178,0)),0),"")</f>
        <v>17</v>
      </c>
      <c r="N248" s="18" t="n">
        <f aca="false">IFERROR(INDEX('Shortlisted Drugs X Company (7)'!$L$3:$L$698,MATCH(B248,'Shortlisted Drugs X Company (7)'!$C$3:$C$698,0)),"")</f>
        <v>170.54</v>
      </c>
      <c r="O248" s="15" t="str">
        <f aca="false">IF(AE248="No","IV only (not ID/IM/SC)",IF(AND(V248&gt;0,W248=0),"Price ≤ $5",""))</f>
        <v/>
      </c>
      <c r="P248" s="14" t="n">
        <f aca="false">IF(O248&lt;&gt;"","",COUNTIFS($A$29:$A$361,A248,$O$29:$O$361,"",$AC$29:$AC$361,"&gt;"&amp;AC248)+COUNTIFS($A$29:A248,A248,$O$29:O248,"",$AC$29:AC248,AC248))</f>
        <v>8</v>
      </c>
      <c r="Q248" s="15" t="str">
        <f aca="false">IF(O248&lt;&gt;"",IF(O248="Price ≤ $5","Excluded – price ≤ $5","Excluded – IV only"),IF(ISNUMBER(D248),IF(AND(D248&gt;=$C$3,M248&gt;=$E$3),"Priority 1",IF(OR(D248&gt;=$C$3,M248&gt;=$E$3),"Priority 2","Priority 3")),IF(M248&gt;=$E$3,"Priority 2","Priority 3")))</f>
        <v>Priority 3</v>
      </c>
      <c r="R248" s="16" t="s">
        <v>285</v>
      </c>
      <c r="S248" s="15" t="s">
        <v>193</v>
      </c>
      <c r="T248" s="32" t="s">
        <v>1166</v>
      </c>
      <c r="U248" s="33" t="str">
        <f aca="false">B248&amp;"|"&amp;S248</f>
        <v>Droperidol|Lupin</v>
      </c>
      <c r="V248" s="34" t="n">
        <f aca="false">COUNTIFS('Shortlisted Drugs X Company (7)'!$C$3:$C$698,$B248,'Shortlisted Drugs X Company (7)'!$E$3:$E$698,$S248,'Shortlisted Drugs X Company (7)'!$N$3:$N$698,"&gt;=0")</f>
        <v>2</v>
      </c>
      <c r="W248" s="34" t="n">
        <f aca="false">COUNTIFS('Shortlisted Drugs X Company (7)'!$C$3:$C$698,$B248,'Shortlisted Drugs X Company (7)'!$E$3:$E$698,$S248,'Shortlisted Drugs X Company (7)'!$N$3:$N$698,"&gt;5")</f>
        <v>2</v>
      </c>
      <c r="X248" s="34" t="n">
        <f aca="false">COUNTIFS('Shortlisted Drugs X Company (7)'!$C$3:$C$698,$B248,'Shortlisted Drugs X Company (7)'!$E$3:$E$698,$S248,'Shortlisted Drugs X Company (7)'!$P$3:$P$698,"Exact")+COUNTIFS('Shortlisted Drugs X Company (7)'!$C$3:$C$698,$B248,'Shortlisted Drugs X Company (7)'!$E$3:$E$698,$S248,'Shortlisted Drugs X Company (7)'!$P$3:$P$698,"Same-market proxy")</f>
        <v>0</v>
      </c>
      <c r="Y248" s="33" t="str">
        <f aca="false">A248&amp;"|"&amp;P248</f>
        <v>Lupin|8</v>
      </c>
      <c r="Z248" s="16" t="s">
        <v>1167</v>
      </c>
      <c r="AA248" s="33" t="n">
        <f aca="false">INDEX($G$7:$G$25,MATCH(A248,$A$7:$A$25,0))</f>
        <v>15</v>
      </c>
      <c r="AB248" s="33" t="n">
        <f aca="false">IF(AE248="No","",AA248*1000+IF(P248="",900+COUNTIFS($A$29:A248,A248,$O$29:O248,"Price ≤ $5"),P248))</f>
        <v>15008</v>
      </c>
      <c r="AC248" s="33" t="n">
        <f aca="false">IF(O248&lt;&gt;"","",(4-VALUE(RIGHT(Q248,1)))*10^7+N(F248))</f>
        <v>10000170.5</v>
      </c>
      <c r="AD248" s="15" t="str">
        <f aca="false">IFERROR(INDEX('Route of Administration'!$C$5:$C$155,MATCH(B248,'Route of Administration'!$A$5:$A$155,0)),"")</f>
        <v>IV, IM</v>
      </c>
      <c r="AE248" s="14" t="str">
        <f aca="false">IFERROR(INDEX('Route of Administration'!$D$5:$D$155,MATCH(B248,'Route of Administration'!$A$5:$A$155,0)),"")</f>
        <v>Yes</v>
      </c>
      <c r="AF248" s="19" t="n">
        <f aca="false">IF(V248&gt;0,ROUND(AVERAGEIFS('Shortlisted Drugs X Company (7)'!$N$3:$N$698,'Shortlisted Drugs X Company (7)'!$C$3:$C$698,$B248,'Shortlisted Drugs X Company (7)'!$E$3:$E$698,$S248,'Shortlisted Drugs X Company (7)'!$N$3:$N$698,"&gt;=0"),2),"")</f>
        <v>5.35</v>
      </c>
      <c r="AG248" s="16" t="s">
        <v>1168</v>
      </c>
      <c r="AH248" s="16" t="s">
        <v>583</v>
      </c>
      <c r="AI248" s="16" t="s">
        <v>583</v>
      </c>
      <c r="AJ248" s="16" t="str">
        <f aca="false">IF(O248&lt;&gt;"","",IF(ISNUMBER(D248),IF(D248&gt;=$C$3,"High price","Lower price"),"Unpriced")&amp;" · "&amp;IF(M248&gt;=$E$3,"high volume","lower volume"))</f>
        <v>Lower price · lower volume</v>
      </c>
      <c r="AK248" s="15" t="str">
        <f aca="false">IF(O248&lt;&gt;"",IF(O248="Price ≤ $5","Excluded – price ≤ $5","Excluded – IV only"),IF(ISNUMBER(D248),IF(AND(D248&gt;=$C$3,L248&gt;=$H$3),"Priority 1",IF(OR(D248&gt;=$C$3,L248&gt;=$H$3),"Priority 2","Priority 3")),IF(L248&gt;=$H$3,"Priority 2","Priority 3")))</f>
        <v>Priority 3</v>
      </c>
      <c r="AL248" s="16" t="str">
        <f aca="false">IF(O248&lt;&gt;"","",IF(ISNUMBER(D248),IF(D248&gt;=$C$3,"High price","Lower price"),"Unpriced")&amp;" · "&amp;IF(L248&gt;=$H$3,"high volume","lower volume"))</f>
        <v>Lower price · lower volume</v>
      </c>
      <c r="AM248" s="14" t="n">
        <f aca="false">IF(O248&lt;&gt;"","",COUNTIFS($A$29:$A$361,A248,$O$29:$O$361,"",$AQ$29:$AQ$361,"&gt;"&amp;AQ248)+COUNTIFS($A$29:A248,A248,$O$29:O248,"",$AQ$29:AQ248,AQ248))</f>
        <v>8</v>
      </c>
      <c r="AN248" s="19" t="n">
        <f aca="false">IF(AND(O248="",ISNUMBER(D248)),D248,"")</f>
        <v>5.35</v>
      </c>
      <c r="AO248" s="20" t="n">
        <f aca="false">IF(O248="",M248,"")</f>
        <v>17</v>
      </c>
      <c r="AP248" s="20" t="n">
        <f aca="false">IF(O248="",L248,"")</f>
        <v>17</v>
      </c>
      <c r="AQ248" s="33" t="n">
        <f aca="false">IF(O248&lt;&gt;"","",(4-VALUE(RIGHT(AK248,1)))*10^7+N(N248))</f>
        <v>10000170.54</v>
      </c>
      <c r="AR248" s="33" t="n">
        <f aca="false">INDEX($O$7:$O$25,MATCH(A248,$I$7:$I$25,0))</f>
        <v>13</v>
      </c>
      <c r="AS248" s="33" t="n">
        <f aca="false">IF(AE248="No","",AR248*1000+IF(AM248="",900+COUNTIFS($A$29:A248,A248,$O$29:O248,"Price ≤ $5"),AM248))</f>
        <v>13008</v>
      </c>
    </row>
    <row r="249" customFormat="false" ht="28.35" hidden="false" customHeight="false" outlineLevel="0" collapsed="false">
      <c r="A249" s="15" t="s">
        <v>193</v>
      </c>
      <c r="B249" s="15" t="s">
        <v>1169</v>
      </c>
      <c r="C249" s="16" t="s">
        <v>1170</v>
      </c>
      <c r="D249" s="17" t="n">
        <f aca="false">IF(W249&gt;0,ROUND(AVERAGEIFS('Shortlisted Drugs X Company (7)'!$N$3:$N$698,'Shortlisted Drugs X Company (7)'!$C$3:$C$698,$B249,'Shortlisted Drugs X Company (7)'!$E$3:$E$698,$S249,'Shortlisted Drugs X Company (7)'!$N$3:$N$698,"&gt;5"),2),"")</f>
        <v>7.55</v>
      </c>
      <c r="E249" s="15" t="str">
        <f aca="false">IF(COUNTIFS('Shortlisted Drugs X Company (7)'!$C$3:$C$698,$B249,'Shortlisted Drugs X Company (7)'!$E$3:$E$698,$S249,'Shortlisted Drugs X Company (7)'!$P$3:$P$698,"Exact")&gt;0,"Exact",IF(COUNTIFS('Shortlisted Drugs X Company (7)'!$C$3:$C$698,$B249,'Shortlisted Drugs X Company (7)'!$E$3:$E$698,$S249,'Shortlisted Drugs X Company (7)'!$P$3:$P$698,"Same-market proxy")&gt;0,"Same-market proxy",IF(COUNTIFS('Shortlisted Drugs X Company (7)'!$C$3:$C$698,$B249,'Shortlisted Drugs X Company (7)'!$E$3:$E$698,$S249,'Shortlisted Drugs X Company (7)'!$P$3:$P$698,"Cross-market proxy")&gt;0,"Cross-market proxy",IF(COUNTIFS('Shortlisted Drugs X Company (7)'!$C$3:$C$698,$B249,'Shortlisted Drugs X Company (7)'!$E$3:$E$698,$S249,'Shortlisted Drugs X Company (7)'!$P$3:$P$698,"Source not found")&gt;0,"Source not found","Not priced"))))</f>
        <v>Exact</v>
      </c>
      <c r="F249" s="18" t="n">
        <f aca="false">IFERROR(ROUND(INDEX('Injectable Value'!$AA$28:$AA$178,MATCH(B249,'Injectable Value'!$A$28:$A$178,0)),1),"")</f>
        <v>4930.6</v>
      </c>
      <c r="G249" s="16" t="s">
        <v>70</v>
      </c>
      <c r="H249" s="14" t="n">
        <v>1</v>
      </c>
      <c r="I249" s="15" t="s">
        <v>248</v>
      </c>
      <c r="J249" s="15" t="s">
        <v>249</v>
      </c>
      <c r="K249" s="16" t="str">
        <f aca="false">""&amp;IF(V249=0,"Unpriced","")&amp;IF(AND(V249&gt;0,W249=0,X249=0),"Low price from another market – confirm with company","")</f>
        <v/>
      </c>
      <c r="L249" s="18" t="n">
        <f aca="false">IFERROR(INDEX('Shortlisted Drugs X Company (7)'!$K$3:$K$698,MATCH(B249,'Shortlisted Drugs X Company (7)'!$C$3:$C$698,0)),"")</f>
        <v>176</v>
      </c>
      <c r="M249" s="18" t="n">
        <f aca="false">IFERROR(ROUND(L249*INDEX('Injectable Value'!$Z$28:$Z$178,MATCH(B249,'Injectable Value'!$A$28:$A$178,0)),0),"")</f>
        <v>167</v>
      </c>
      <c r="N249" s="18" t="n">
        <f aca="false">IFERROR(INDEX('Shortlisted Drugs X Company (7)'!$L$3:$L$698,MATCH(B249,'Shortlisted Drugs X Company (7)'!$C$3:$C$698,0)),"")</f>
        <v>5190.07</v>
      </c>
      <c r="O249" s="15" t="str">
        <f aca="false">IF(AE249="No","IV only (not ID/IM/SC)",IF(AND(V249&gt;0,W249=0),"Price ≤ $5",""))</f>
        <v>IV only (not ID/IM/SC)</v>
      </c>
      <c r="P249" s="14" t="str">
        <f aca="false">IF(O249&lt;&gt;"","",COUNTIFS($A$29:$A$361,A249,$O$29:$O$361,"",$AC$29:$AC$361,"&gt;"&amp;AC249)+COUNTIFS($A$29:A249,A249,$O$29:O249,"",$AC$29:AC249,AC249))</f>
        <v/>
      </c>
      <c r="Q249" s="15" t="str">
        <f aca="false">IF(O249&lt;&gt;"",IF(O249="Price ≤ $5","Excluded – price ≤ $5","Excluded – IV only"),IF(ISNUMBER(D249),IF(AND(D249&gt;=$C$3,M249&gt;=$E$3),"Priority 1",IF(OR(D249&gt;=$C$3,M249&gt;=$E$3),"Priority 2","Priority 3")),IF(M249&gt;=$E$3,"Priority 2","Priority 3")))</f>
        <v>Excluded – IV only</v>
      </c>
      <c r="R249" s="16" t="s">
        <v>285</v>
      </c>
      <c r="S249" s="15" t="s">
        <v>193</v>
      </c>
      <c r="T249" s="32" t="s">
        <v>1171</v>
      </c>
      <c r="U249" s="33" t="str">
        <f aca="false">B249&amp;"|"&amp;S249</f>
        <v>Elemental Iron|Lupin</v>
      </c>
      <c r="V249" s="34" t="n">
        <f aca="false">COUNTIFS('Shortlisted Drugs X Company (7)'!$C$3:$C$698,$B249,'Shortlisted Drugs X Company (7)'!$E$3:$E$698,$S249,'Shortlisted Drugs X Company (7)'!$N$3:$N$698,"&gt;=0")</f>
        <v>1</v>
      </c>
      <c r="W249" s="34" t="n">
        <f aca="false">COUNTIFS('Shortlisted Drugs X Company (7)'!$C$3:$C$698,$B249,'Shortlisted Drugs X Company (7)'!$E$3:$E$698,$S249,'Shortlisted Drugs X Company (7)'!$N$3:$N$698,"&gt;5")</f>
        <v>1</v>
      </c>
      <c r="X249" s="34" t="n">
        <f aca="false">COUNTIFS('Shortlisted Drugs X Company (7)'!$C$3:$C$698,$B249,'Shortlisted Drugs X Company (7)'!$E$3:$E$698,$S249,'Shortlisted Drugs X Company (7)'!$P$3:$P$698,"Exact")+COUNTIFS('Shortlisted Drugs X Company (7)'!$C$3:$C$698,$B249,'Shortlisted Drugs X Company (7)'!$E$3:$E$698,$S249,'Shortlisted Drugs X Company (7)'!$P$3:$P$698,"Same-market proxy")</f>
        <v>1</v>
      </c>
      <c r="Y249" s="33" t="str">
        <f aca="false">A249&amp;"|"&amp;P249</f>
        <v>Lupin|</v>
      </c>
      <c r="Z249" s="16" t="s">
        <v>1172</v>
      </c>
      <c r="AA249" s="33" t="n">
        <f aca="false">INDEX($G$7:$G$25,MATCH(A249,$A$7:$A$25,0))</f>
        <v>15</v>
      </c>
      <c r="AB249" s="33" t="str">
        <f aca="false">IF(AE249="No","",AA249*1000+IF(P249="",900+COUNTIFS($A$29:A249,A249,$O$29:O249,"Price ≤ $5"),P249))</f>
        <v/>
      </c>
      <c r="AC249" s="33" t="str">
        <f aca="false">IF(O249&lt;&gt;"","",(4-VALUE(RIGHT(Q249,1)))*10^7+N(F249))</f>
        <v/>
      </c>
      <c r="AD249" s="15" t="str">
        <f aca="false">IFERROR(INDEX('Route of Administration'!$C$5:$C$155,MATCH(B249,'Route of Administration'!$A$5:$A$155,0)),"")</f>
        <v>IV</v>
      </c>
      <c r="AE249" s="14" t="str">
        <f aca="false">IFERROR(INDEX('Route of Administration'!$D$5:$D$155,MATCH(B249,'Route of Administration'!$A$5:$A$155,0)),"")</f>
        <v>No</v>
      </c>
      <c r="AF249" s="19" t="n">
        <f aca="false">IF(V249&gt;0,ROUND(AVERAGEIFS('Shortlisted Drugs X Company (7)'!$N$3:$N$698,'Shortlisted Drugs X Company (7)'!$C$3:$C$698,$B249,'Shortlisted Drugs X Company (7)'!$E$3:$E$698,$S249,'Shortlisted Drugs X Company (7)'!$N$3:$N$698,"&gt;=0"),2),"")</f>
        <v>7.55</v>
      </c>
      <c r="AG249" s="16" t="s">
        <v>1173</v>
      </c>
      <c r="AH249" s="16" t="s">
        <v>328</v>
      </c>
      <c r="AI249" s="16" t="s">
        <v>328</v>
      </c>
      <c r="AJ249" s="16" t="str">
        <f aca="false">IF(O249&lt;&gt;"","",IF(ISNUMBER(D249),IF(D249&gt;=$C$3,"High price","Lower price"),"Unpriced")&amp;" · "&amp;IF(M249&gt;=$E$3,"high volume","lower volume"))</f>
        <v/>
      </c>
      <c r="AK249" s="15" t="str">
        <f aca="false">IF(O249&lt;&gt;"",IF(O249="Price ≤ $5","Excluded – price ≤ $5","Excluded – IV only"),IF(ISNUMBER(D249),IF(AND(D249&gt;=$C$3,L249&gt;=$H$3),"Priority 1",IF(OR(D249&gt;=$C$3,L249&gt;=$H$3),"Priority 2","Priority 3")),IF(L249&gt;=$H$3,"Priority 2","Priority 3")))</f>
        <v>Excluded – IV only</v>
      </c>
      <c r="AL249" s="16" t="str">
        <f aca="false">IF(O249&lt;&gt;"","",IF(ISNUMBER(D249),IF(D249&gt;=$C$3,"High price","Lower price"),"Unpriced")&amp;" · "&amp;IF(L249&gt;=$H$3,"high volume","lower volume"))</f>
        <v/>
      </c>
      <c r="AM249" s="14" t="str">
        <f aca="false">IF(O249&lt;&gt;"","",COUNTIFS($A$29:$A$361,A249,$O$29:$O$361,"",$AQ$29:$AQ$361,"&gt;"&amp;AQ249)+COUNTIFS($A$29:A249,A249,$O$29:O249,"",$AQ$29:AQ249,AQ249))</f>
        <v/>
      </c>
      <c r="AN249" s="33" t="str">
        <f aca="false">IF(AND(O249="",ISNUMBER(D249)),D249,"")</f>
        <v/>
      </c>
      <c r="AO249" s="33" t="str">
        <f aca="false">IF(O249="",M249,"")</f>
        <v/>
      </c>
      <c r="AP249" s="33" t="str">
        <f aca="false">IF(O249="",L249,"")</f>
        <v/>
      </c>
      <c r="AQ249" s="33" t="str">
        <f aca="false">IF(O249&lt;&gt;"","",(4-VALUE(RIGHT(AK249,1)))*10^7+N(N249))</f>
        <v/>
      </c>
      <c r="AR249" s="33" t="n">
        <f aca="false">INDEX($O$7:$O$25,MATCH(A249,$I$7:$I$25,0))</f>
        <v>13</v>
      </c>
      <c r="AS249" s="33" t="str">
        <f aca="false">IF(AE249="No","",AR249*1000+IF(AM249="",900+COUNTIFS($A$29:A249,A249,$O$29:O249,"Price ≤ $5"),AM249))</f>
        <v/>
      </c>
    </row>
    <row r="250" customFormat="false" ht="41.75" hidden="false" customHeight="false" outlineLevel="0" collapsed="false">
      <c r="A250" s="15" t="s">
        <v>193</v>
      </c>
      <c r="B250" s="15" t="s">
        <v>369</v>
      </c>
      <c r="C250" s="16" t="s">
        <v>370</v>
      </c>
      <c r="D250" s="17" t="str">
        <f aca="false">IF(W250&gt;0,ROUND(AVERAGEIFS('Shortlisted Drugs X Company (7)'!$N$3:$N$698,'Shortlisted Drugs X Company (7)'!$C$3:$C$698,$B250,'Shortlisted Drugs X Company (7)'!$E$3:$E$698,$S250,'Shortlisted Drugs X Company (7)'!$N$3:$N$698,"&gt;5"),2),"")</f>
        <v/>
      </c>
      <c r="E250" s="15" t="str">
        <f aca="false">IF(COUNTIFS('Shortlisted Drugs X Company (7)'!$C$3:$C$698,$B250,'Shortlisted Drugs X Company (7)'!$E$3:$E$698,$S250,'Shortlisted Drugs X Company (7)'!$P$3:$P$698,"Exact")&gt;0,"Exact",IF(COUNTIFS('Shortlisted Drugs X Company (7)'!$C$3:$C$698,$B250,'Shortlisted Drugs X Company (7)'!$E$3:$E$698,$S250,'Shortlisted Drugs X Company (7)'!$P$3:$P$698,"Same-market proxy")&gt;0,"Same-market proxy",IF(COUNTIFS('Shortlisted Drugs X Company (7)'!$C$3:$C$698,$B250,'Shortlisted Drugs X Company (7)'!$E$3:$E$698,$S250,'Shortlisted Drugs X Company (7)'!$P$3:$P$698,"Cross-market proxy")&gt;0,"Cross-market proxy",IF(COUNTIFS('Shortlisted Drugs X Company (7)'!$C$3:$C$698,$B250,'Shortlisted Drugs X Company (7)'!$E$3:$E$698,$S250,'Shortlisted Drugs X Company (7)'!$P$3:$P$698,"Source not found")&gt;0,"Source not found","Not priced"))))</f>
        <v>Cross-market proxy</v>
      </c>
      <c r="F250" s="18" t="n">
        <f aca="false">IFERROR(ROUND(INDEX('Injectable Value'!$AA$28:$AA$178,MATCH(B250,'Injectable Value'!$A$28:$A$178,0)),1),"")</f>
        <v>2937.3</v>
      </c>
      <c r="G250" s="16" t="s">
        <v>70</v>
      </c>
      <c r="H250" s="14" t="n">
        <v>1</v>
      </c>
      <c r="I250" s="15" t="s">
        <v>316</v>
      </c>
      <c r="J250" s="15" t="s">
        <v>277</v>
      </c>
      <c r="K250" s="16" t="str">
        <f aca="false">""&amp;IF(V250=0,"Unpriced","")&amp;IF(AND(V250&gt;0,W250=0,X250=0),"Low price from another market – confirm with company","")</f>
        <v>Low price from another market – confirm with company</v>
      </c>
      <c r="L250" s="18" t="n">
        <f aca="false">IFERROR(INDEX('Shortlisted Drugs X Company (7)'!$K$3:$K$698,MATCH(B250,'Shortlisted Drugs X Company (7)'!$C$3:$C$698,0)),"")</f>
        <v>78</v>
      </c>
      <c r="M250" s="18" t="n">
        <f aca="false">IFERROR(ROUND(L250*INDEX('Injectable Value'!$Z$28:$Z$178,MATCH(B250,'Injectable Value'!$A$28:$A$178,0)),0),"")</f>
        <v>49</v>
      </c>
      <c r="N250" s="18" t="n">
        <f aca="false">IFERROR(INDEX('Shortlisted Drugs X Company (7)'!$L$3:$L$698,MATCH(B250,'Shortlisted Drugs X Company (7)'!$C$3:$C$698,0)),"")</f>
        <v>4714.67</v>
      </c>
      <c r="O250" s="15" t="str">
        <f aca="false">IF(AE250="No","IV only (not ID/IM/SC)",IF(AND(V250&gt;0,W250=0),"Price ≤ $5",""))</f>
        <v>Price ≤ $5</v>
      </c>
      <c r="P250" s="14" t="str">
        <f aca="false">IF(O250&lt;&gt;"","",COUNTIFS($A$29:$A$361,A250,$O$29:$O$361,"",$AC$29:$AC$361,"&gt;"&amp;AC250)+COUNTIFS($A$29:A250,A250,$O$29:O250,"",$AC$29:AC250,AC250))</f>
        <v/>
      </c>
      <c r="Q250" s="15" t="str">
        <f aca="false">IF(O250&lt;&gt;"",IF(O250="Price ≤ $5","Excluded – price ≤ $5","Excluded – IV only"),IF(ISNUMBER(D250),IF(AND(D250&gt;=$C$3,M250&gt;=$E$3),"Priority 1",IF(OR(D250&gt;=$C$3,M250&gt;=$E$3),"Priority 2","Priority 3")),IF(M250&gt;=$E$3,"Priority 2","Priority 3")))</f>
        <v>Excluded – price ≤ $5</v>
      </c>
      <c r="R250" s="16" t="s">
        <v>250</v>
      </c>
      <c r="S250" s="15" t="s">
        <v>193</v>
      </c>
      <c r="T250" s="32" t="s">
        <v>372</v>
      </c>
      <c r="U250" s="33" t="str">
        <f aca="false">B250&amp;"|"&amp;S250</f>
        <v>Ephedrine|Lupin</v>
      </c>
      <c r="V250" s="34" t="n">
        <f aca="false">COUNTIFS('Shortlisted Drugs X Company (7)'!$C$3:$C$698,$B250,'Shortlisted Drugs X Company (7)'!$E$3:$E$698,$S250,'Shortlisted Drugs X Company (7)'!$N$3:$N$698,"&gt;=0")</f>
        <v>1</v>
      </c>
      <c r="W250" s="34" t="n">
        <f aca="false">COUNTIFS('Shortlisted Drugs X Company (7)'!$C$3:$C$698,$B250,'Shortlisted Drugs X Company (7)'!$E$3:$E$698,$S250,'Shortlisted Drugs X Company (7)'!$N$3:$N$698,"&gt;5")</f>
        <v>0</v>
      </c>
      <c r="X250" s="34" t="n">
        <f aca="false">COUNTIFS('Shortlisted Drugs X Company (7)'!$C$3:$C$698,$B250,'Shortlisted Drugs X Company (7)'!$E$3:$E$698,$S250,'Shortlisted Drugs X Company (7)'!$P$3:$P$698,"Exact")+COUNTIFS('Shortlisted Drugs X Company (7)'!$C$3:$C$698,$B250,'Shortlisted Drugs X Company (7)'!$E$3:$E$698,$S250,'Shortlisted Drugs X Company (7)'!$P$3:$P$698,"Same-market proxy")</f>
        <v>0</v>
      </c>
      <c r="Y250" s="33" t="str">
        <f aca="false">A250&amp;"|"&amp;P250</f>
        <v>Lupin|</v>
      </c>
      <c r="Z250" s="16" t="s">
        <v>1174</v>
      </c>
      <c r="AA250" s="33" t="n">
        <f aca="false">INDEX($G$7:$G$25,MATCH(A250,$A$7:$A$25,0))</f>
        <v>15</v>
      </c>
      <c r="AB250" s="33" t="n">
        <f aca="false">IF(AE250="No","",AA250*1000+IF(P250="",900+COUNTIFS($A$29:A250,A250,$O$29:O250,"Price ≤ $5"),P250))</f>
        <v>15902</v>
      </c>
      <c r="AC250" s="33" t="str">
        <f aca="false">IF(O250&lt;&gt;"","",(4-VALUE(RIGHT(Q250,1)))*10^7+N(F250))</f>
        <v/>
      </c>
      <c r="AD250" s="15" t="str">
        <f aca="false">IFERROR(INDEX('Route of Administration'!$C$5:$C$155,MATCH(B250,'Route of Administration'!$A$5:$A$155,0)),"")</f>
        <v>IV, IM, SC</v>
      </c>
      <c r="AE250" s="14" t="str">
        <f aca="false">IFERROR(INDEX('Route of Administration'!$D$5:$D$155,MATCH(B250,'Route of Administration'!$A$5:$A$155,0)),"")</f>
        <v>Yes</v>
      </c>
      <c r="AF250" s="19" t="n">
        <f aca="false">IF(V250&gt;0,ROUND(AVERAGEIFS('Shortlisted Drugs X Company (7)'!$N$3:$N$698,'Shortlisted Drugs X Company (7)'!$C$3:$C$698,$B250,'Shortlisted Drugs X Company (7)'!$E$3:$E$698,$S250,'Shortlisted Drugs X Company (7)'!$N$3:$N$698,"&gt;=0"),2),"")</f>
        <v>3.53</v>
      </c>
      <c r="AG250" s="16" t="s">
        <v>1175</v>
      </c>
      <c r="AH250" s="16" t="s">
        <v>583</v>
      </c>
      <c r="AI250" s="16" t="s">
        <v>583</v>
      </c>
      <c r="AJ250" s="16" t="str">
        <f aca="false">IF(O250&lt;&gt;"","",IF(ISNUMBER(D250),IF(D250&gt;=$C$3,"High price","Lower price"),"Unpriced")&amp;" · "&amp;IF(M250&gt;=$E$3,"high volume","lower volume"))</f>
        <v/>
      </c>
      <c r="AK250" s="15" t="str">
        <f aca="false">IF(O250&lt;&gt;"",IF(O250="Price ≤ $5","Excluded – price ≤ $5","Excluded – IV only"),IF(ISNUMBER(D250),IF(AND(D250&gt;=$C$3,L250&gt;=$H$3),"Priority 1",IF(OR(D250&gt;=$C$3,L250&gt;=$H$3),"Priority 2","Priority 3")),IF(L250&gt;=$H$3,"Priority 2","Priority 3")))</f>
        <v>Excluded – price ≤ $5</v>
      </c>
      <c r="AL250" s="16" t="str">
        <f aca="false">IF(O250&lt;&gt;"","",IF(ISNUMBER(D250),IF(D250&gt;=$C$3,"High price","Lower price"),"Unpriced")&amp;" · "&amp;IF(L250&gt;=$H$3,"high volume","lower volume"))</f>
        <v/>
      </c>
      <c r="AM250" s="14" t="str">
        <f aca="false">IF(O250&lt;&gt;"","",COUNTIFS($A$29:$A$361,A250,$O$29:$O$361,"",$AQ$29:$AQ$361,"&gt;"&amp;AQ250)+COUNTIFS($A$29:A250,A250,$O$29:O250,"",$AQ$29:AQ250,AQ250))</f>
        <v/>
      </c>
      <c r="AN250" s="33" t="str">
        <f aca="false">IF(AND(O250="",ISNUMBER(D250)),D250,"")</f>
        <v/>
      </c>
      <c r="AO250" s="33" t="str">
        <f aca="false">IF(O250="",M250,"")</f>
        <v/>
      </c>
      <c r="AP250" s="33" t="str">
        <f aca="false">IF(O250="",L250,"")</f>
        <v/>
      </c>
      <c r="AQ250" s="33" t="str">
        <f aca="false">IF(O250&lt;&gt;"","",(4-VALUE(RIGHT(AK250,1)))*10^7+N(N250))</f>
        <v/>
      </c>
      <c r="AR250" s="33" t="n">
        <f aca="false">INDEX($O$7:$O$25,MATCH(A250,$I$7:$I$25,0))</f>
        <v>13</v>
      </c>
      <c r="AS250" s="33" t="n">
        <f aca="false">IF(AE250="No","",AR250*1000+IF(AM250="",900+COUNTIFS($A$29:A250,A250,$O$29:O250,"Price ≤ $5"),AM250))</f>
        <v>13902</v>
      </c>
    </row>
    <row r="251" customFormat="false" ht="28.35" hidden="false" customHeight="false" outlineLevel="0" collapsed="false">
      <c r="A251" s="15" t="s">
        <v>193</v>
      </c>
      <c r="B251" s="15" t="s">
        <v>387</v>
      </c>
      <c r="C251" s="16" t="s">
        <v>388</v>
      </c>
      <c r="D251" s="17" t="n">
        <f aca="false">IF(W251&gt;0,ROUND(AVERAGEIFS('Shortlisted Drugs X Company (7)'!$N$3:$N$698,'Shortlisted Drugs X Company (7)'!$C$3:$C$698,$B251,'Shortlisted Drugs X Company (7)'!$E$3:$E$698,$S251,'Shortlisted Drugs X Company (7)'!$N$3:$N$698,"&gt;5"),2),"")</f>
        <v>21.3</v>
      </c>
      <c r="E251" s="15" t="str">
        <f aca="false">IF(COUNTIFS('Shortlisted Drugs X Company (7)'!$C$3:$C$698,$B251,'Shortlisted Drugs X Company (7)'!$E$3:$E$698,$S251,'Shortlisted Drugs X Company (7)'!$P$3:$P$698,"Exact")&gt;0,"Exact",IF(COUNTIFS('Shortlisted Drugs X Company (7)'!$C$3:$C$698,$B251,'Shortlisted Drugs X Company (7)'!$E$3:$E$698,$S251,'Shortlisted Drugs X Company (7)'!$P$3:$P$698,"Same-market proxy")&gt;0,"Same-market proxy",IF(COUNTIFS('Shortlisted Drugs X Company (7)'!$C$3:$C$698,$B251,'Shortlisted Drugs X Company (7)'!$E$3:$E$698,$S251,'Shortlisted Drugs X Company (7)'!$P$3:$P$698,"Cross-market proxy")&gt;0,"Cross-market proxy",IF(COUNTIFS('Shortlisted Drugs X Company (7)'!$C$3:$C$698,$B251,'Shortlisted Drugs X Company (7)'!$E$3:$E$698,$S251,'Shortlisted Drugs X Company (7)'!$P$3:$P$698,"Source not found")&gt;0,"Source not found","Not priced"))))</f>
        <v>Exact</v>
      </c>
      <c r="F251" s="18" t="n">
        <f aca="false">IFERROR(ROUND(INDEX('Injectable Value'!$AA$28:$AA$178,MATCH(B251,'Injectable Value'!$A$28:$A$178,0)),1),"")</f>
        <v>53539.9</v>
      </c>
      <c r="G251" s="16" t="s">
        <v>70</v>
      </c>
      <c r="H251" s="14" t="n">
        <v>1</v>
      </c>
      <c r="I251" s="15" t="s">
        <v>248</v>
      </c>
      <c r="J251" s="15" t="s">
        <v>324</v>
      </c>
      <c r="K251" s="16" t="str">
        <f aca="false">"Reconstitution"&amp;IF(V251=0,"; Unpriced","")&amp;IF(AND(V251&gt;0,W251=0,X251=0),"; Low price from another market – confirm with company","")</f>
        <v>Reconstitution</v>
      </c>
      <c r="L251" s="18" t="n">
        <f aca="false">IFERROR(INDEX('Shortlisted Drugs X Company (7)'!$K$3:$K$698,MATCH(B251,'Shortlisted Drugs X Company (7)'!$C$3:$C$698,0)),"")</f>
        <v>223</v>
      </c>
      <c r="M251" s="18" t="n">
        <f aca="false">IFERROR(ROUND(L251*INDEX('Injectable Value'!$Z$28:$Z$178,MATCH(B251,'Injectable Value'!$A$28:$A$178,0)),0),"")</f>
        <v>223</v>
      </c>
      <c r="N251" s="18" t="n">
        <f aca="false">IFERROR(INDEX('Shortlisted Drugs X Company (7)'!$L$3:$L$698,MATCH(B251,'Shortlisted Drugs X Company (7)'!$C$3:$C$698,0)),"")</f>
        <v>53539.87</v>
      </c>
      <c r="O251" s="15" t="str">
        <f aca="false">IF(AE251="No","IV only (not ID/IM/SC)",IF(AND(V251&gt;0,W251=0),"Price ≤ $5",""))</f>
        <v/>
      </c>
      <c r="P251" s="14" t="n">
        <f aca="false">IF(O251&lt;&gt;"","",COUNTIFS($A$29:$A$361,A251,$O$29:$O$361,"",$AC$29:$AC$361,"&gt;"&amp;AC251)+COUNTIFS($A$29:A251,A251,$O$29:O251,"",$AC$29:AC251,AC251))</f>
        <v>1</v>
      </c>
      <c r="Q251" s="15" t="str">
        <f aca="false">IF(O251&lt;&gt;"",IF(O251="Price ≤ $5","Excluded – price ≤ $5","Excluded – IV only"),IF(ISNUMBER(D251),IF(AND(D251&gt;=$C$3,M251&gt;=$E$3),"Priority 1",IF(OR(D251&gt;=$C$3,M251&gt;=$E$3),"Priority 2","Priority 3")),IF(M251&gt;=$E$3,"Priority 2","Priority 3")))</f>
        <v>Priority 2</v>
      </c>
      <c r="R251" s="16" t="s">
        <v>250</v>
      </c>
      <c r="S251" s="15" t="s">
        <v>193</v>
      </c>
      <c r="T251" s="32" t="s">
        <v>390</v>
      </c>
      <c r="U251" s="33" t="str">
        <f aca="false">B251&amp;"|"&amp;S251</f>
        <v>Ertapenem|Lupin</v>
      </c>
      <c r="V251" s="34" t="n">
        <f aca="false">COUNTIFS('Shortlisted Drugs X Company (7)'!$C$3:$C$698,$B251,'Shortlisted Drugs X Company (7)'!$E$3:$E$698,$S251,'Shortlisted Drugs X Company (7)'!$N$3:$N$698,"&gt;=0")</f>
        <v>1</v>
      </c>
      <c r="W251" s="34" t="n">
        <f aca="false">COUNTIFS('Shortlisted Drugs X Company (7)'!$C$3:$C$698,$B251,'Shortlisted Drugs X Company (7)'!$E$3:$E$698,$S251,'Shortlisted Drugs X Company (7)'!$N$3:$N$698,"&gt;5")</f>
        <v>1</v>
      </c>
      <c r="X251" s="34" t="n">
        <f aca="false">COUNTIFS('Shortlisted Drugs X Company (7)'!$C$3:$C$698,$B251,'Shortlisted Drugs X Company (7)'!$E$3:$E$698,$S251,'Shortlisted Drugs X Company (7)'!$P$3:$P$698,"Exact")+COUNTIFS('Shortlisted Drugs X Company (7)'!$C$3:$C$698,$B251,'Shortlisted Drugs X Company (7)'!$E$3:$E$698,$S251,'Shortlisted Drugs X Company (7)'!$P$3:$P$698,"Same-market proxy")</f>
        <v>1</v>
      </c>
      <c r="Y251" s="33" t="str">
        <f aca="false">A251&amp;"|"&amp;P251</f>
        <v>Lupin|1</v>
      </c>
      <c r="Z251" s="16" t="s">
        <v>1176</v>
      </c>
      <c r="AA251" s="33" t="n">
        <f aca="false">INDEX($G$7:$G$25,MATCH(A251,$A$7:$A$25,0))</f>
        <v>15</v>
      </c>
      <c r="AB251" s="33" t="n">
        <f aca="false">IF(AE251="No","",AA251*1000+IF(P251="",900+COUNTIFS($A$29:A251,A251,$O$29:O251,"Price ≤ $5"),P251))</f>
        <v>15001</v>
      </c>
      <c r="AC251" s="33" t="n">
        <f aca="false">IF(O251&lt;&gt;"","",(4-VALUE(RIGHT(Q251,1)))*10^7+N(F251))</f>
        <v>20053539.9</v>
      </c>
      <c r="AD251" s="15" t="str">
        <f aca="false">IFERROR(INDEX('Route of Administration'!$C$5:$C$155,MATCH(B251,'Route of Administration'!$A$5:$A$155,0)),"")</f>
        <v>IV, IM</v>
      </c>
      <c r="AE251" s="14" t="str">
        <f aca="false">IFERROR(INDEX('Route of Administration'!$D$5:$D$155,MATCH(B251,'Route of Administration'!$A$5:$A$155,0)),"")</f>
        <v>Yes</v>
      </c>
      <c r="AF251" s="19" t="n">
        <f aca="false">IF(V251&gt;0,ROUND(AVERAGEIFS('Shortlisted Drugs X Company (7)'!$N$3:$N$698,'Shortlisted Drugs X Company (7)'!$C$3:$C$698,$B251,'Shortlisted Drugs X Company (7)'!$E$3:$E$698,$S251,'Shortlisted Drugs X Company (7)'!$N$3:$N$698,"&gt;=0"),2),"")</f>
        <v>21.3</v>
      </c>
      <c r="AG251" s="16" t="s">
        <v>1177</v>
      </c>
      <c r="AH251" s="16" t="s">
        <v>328</v>
      </c>
      <c r="AI251" s="16" t="s">
        <v>328</v>
      </c>
      <c r="AJ251" s="16" t="str">
        <f aca="false">IF(O251&lt;&gt;"","",IF(ISNUMBER(D251),IF(D251&gt;=$C$3,"High price","Lower price"),"Unpriced")&amp;" · "&amp;IF(M251&gt;=$E$3,"high volume","lower volume"))</f>
        <v>Lower price · high volume</v>
      </c>
      <c r="AK251" s="15" t="str">
        <f aca="false">IF(O251&lt;&gt;"",IF(O251="Price ≤ $5","Excluded – price ≤ $5","Excluded – IV only"),IF(ISNUMBER(D251),IF(AND(D251&gt;=$C$3,L251&gt;=$H$3),"Priority 1",IF(OR(D251&gt;=$C$3,L251&gt;=$H$3),"Priority 2","Priority 3")),IF(L251&gt;=$H$3,"Priority 2","Priority 3")))</f>
        <v>Priority 3</v>
      </c>
      <c r="AL251" s="16" t="str">
        <f aca="false">IF(O251&lt;&gt;"","",IF(ISNUMBER(D251),IF(D251&gt;=$C$3,"High price","Lower price"),"Unpriced")&amp;" · "&amp;IF(L251&gt;=$H$3,"high volume","lower volume"))</f>
        <v>Lower price · lower volume</v>
      </c>
      <c r="AM251" s="14" t="n">
        <f aca="false">IF(O251&lt;&gt;"","",COUNTIFS($A$29:$A$361,A251,$O$29:$O$361,"",$AQ$29:$AQ$361,"&gt;"&amp;AQ251)+COUNTIFS($A$29:A251,A251,$O$29:O251,"",$AQ$29:AQ251,AQ251))</f>
        <v>5</v>
      </c>
      <c r="AN251" s="19" t="n">
        <f aca="false">IF(AND(O251="",ISNUMBER(D251)),D251,"")</f>
        <v>21.3</v>
      </c>
      <c r="AO251" s="20" t="n">
        <f aca="false">IF(O251="",M251,"")</f>
        <v>223</v>
      </c>
      <c r="AP251" s="20" t="n">
        <f aca="false">IF(O251="",L251,"")</f>
        <v>223</v>
      </c>
      <c r="AQ251" s="33" t="n">
        <f aca="false">IF(O251&lt;&gt;"","",(4-VALUE(RIGHT(AK251,1)))*10^7+N(N251))</f>
        <v>10053539.87</v>
      </c>
      <c r="AR251" s="33" t="n">
        <f aca="false">INDEX($O$7:$O$25,MATCH(A251,$I$7:$I$25,0))</f>
        <v>13</v>
      </c>
      <c r="AS251" s="33" t="n">
        <f aca="false">IF(AE251="No","",AR251*1000+IF(AM251="",900+COUNTIFS($A$29:A251,A251,$O$29:O251,"Price ≤ $5"),AM251))</f>
        <v>13005</v>
      </c>
    </row>
    <row r="252" customFormat="false" ht="28.35" hidden="false" customHeight="false" outlineLevel="0" collapsed="false">
      <c r="A252" s="15" t="s">
        <v>193</v>
      </c>
      <c r="B252" s="15" t="s">
        <v>1178</v>
      </c>
      <c r="C252" s="16" t="s">
        <v>1179</v>
      </c>
      <c r="D252" s="17" t="str">
        <f aca="false">IF(W252&gt;0,ROUND(AVERAGEIFS('Shortlisted Drugs X Company (7)'!$N$3:$N$698,'Shortlisted Drugs X Company (7)'!$C$3:$C$698,$B252,'Shortlisted Drugs X Company (7)'!$E$3:$E$698,$S252,'Shortlisted Drugs X Company (7)'!$N$3:$N$698,"&gt;5"),2),"")</f>
        <v/>
      </c>
      <c r="E252" s="15" t="str">
        <f aca="false">IF(COUNTIFS('Shortlisted Drugs X Company (7)'!$C$3:$C$698,$B252,'Shortlisted Drugs X Company (7)'!$E$3:$E$698,$S252,'Shortlisted Drugs X Company (7)'!$P$3:$P$698,"Exact")&gt;0,"Exact",IF(COUNTIFS('Shortlisted Drugs X Company (7)'!$C$3:$C$698,$B252,'Shortlisted Drugs X Company (7)'!$E$3:$E$698,$S252,'Shortlisted Drugs X Company (7)'!$P$3:$P$698,"Same-market proxy")&gt;0,"Same-market proxy",IF(COUNTIFS('Shortlisted Drugs X Company (7)'!$C$3:$C$698,$B252,'Shortlisted Drugs X Company (7)'!$E$3:$E$698,$S252,'Shortlisted Drugs X Company (7)'!$P$3:$P$698,"Cross-market proxy")&gt;0,"Cross-market proxy",IF(COUNTIFS('Shortlisted Drugs X Company (7)'!$C$3:$C$698,$B252,'Shortlisted Drugs X Company (7)'!$E$3:$E$698,$S252,'Shortlisted Drugs X Company (7)'!$P$3:$P$698,"Source not found")&gt;0,"Source not found","Not priced"))))</f>
        <v>Same-market proxy</v>
      </c>
      <c r="F252" s="18" t="n">
        <f aca="false">IFERROR(ROUND(INDEX('Injectable Value'!$AA$28:$AA$178,MATCH(B252,'Injectable Value'!$A$28:$A$178,0)),1),"")</f>
        <v>1578.9</v>
      </c>
      <c r="G252" s="16" t="s">
        <v>247</v>
      </c>
      <c r="H252" s="14" t="n">
        <v>1</v>
      </c>
      <c r="I252" s="15" t="s">
        <v>277</v>
      </c>
      <c r="J252" s="15" t="s">
        <v>277</v>
      </c>
      <c r="K252" s="16" t="str">
        <f aca="false">""&amp;IF(V252=0,"Unpriced","")&amp;IF(AND(V252&gt;0,W252=0,X252=0),"Low price from another market – confirm with company","")</f>
        <v/>
      </c>
      <c r="L252" s="18" t="n">
        <f aca="false">IFERROR(INDEX('Shortlisted Drugs X Company (7)'!$K$3:$K$698,MATCH(B252,'Shortlisted Drugs X Company (7)'!$C$3:$C$698,0)),"")</f>
        <v>706</v>
      </c>
      <c r="M252" s="18" t="n">
        <f aca="false">IFERROR(ROUND(L252*INDEX('Injectable Value'!$Z$28:$Z$178,MATCH(B252,'Injectable Value'!$A$28:$A$178,0)),0),"")</f>
        <v>33</v>
      </c>
      <c r="N252" s="18" t="n">
        <f aca="false">IFERROR(INDEX('Shortlisted Drugs X Company (7)'!$L$3:$L$698,MATCH(B252,'Shortlisted Drugs X Company (7)'!$C$3:$C$698,0)),"")</f>
        <v>34008.96</v>
      </c>
      <c r="O252" s="15" t="str">
        <f aca="false">IF(AE252="No","IV only (not ID/IM/SC)",IF(AND(V252&gt;0,W252=0),"Price ≤ $5",""))</f>
        <v>IV only (not ID/IM/SC)</v>
      </c>
      <c r="P252" s="14" t="str">
        <f aca="false">IF(O252&lt;&gt;"","",COUNTIFS($A$29:$A$361,A252,$O$29:$O$361,"",$AC$29:$AC$361,"&gt;"&amp;AC252)+COUNTIFS($A$29:A252,A252,$O$29:O252,"",$AC$29:AC252,AC252))</f>
        <v/>
      </c>
      <c r="Q252" s="15" t="str">
        <f aca="false">IF(O252&lt;&gt;"",IF(O252="Price ≤ $5","Excluded – price ≤ $5","Excluded – IV only"),IF(ISNUMBER(D252),IF(AND(D252&gt;=$C$3,M252&gt;=$E$3),"Priority 1",IF(OR(D252&gt;=$C$3,M252&gt;=$E$3),"Priority 2","Priority 3")),IF(M252&gt;=$E$3,"Priority 2","Priority 3")))</f>
        <v>Excluded – IV only</v>
      </c>
      <c r="R252" s="16" t="s">
        <v>278</v>
      </c>
      <c r="S252" s="15" t="s">
        <v>193</v>
      </c>
      <c r="T252" s="32" t="s">
        <v>1180</v>
      </c>
      <c r="U252" s="33" t="str">
        <f aca="false">B252&amp;"|"&amp;S252</f>
        <v>Famotidine|Lupin</v>
      </c>
      <c r="V252" s="34" t="n">
        <f aca="false">COUNTIFS('Shortlisted Drugs X Company (7)'!$C$3:$C$698,$B252,'Shortlisted Drugs X Company (7)'!$E$3:$E$698,$S252,'Shortlisted Drugs X Company (7)'!$N$3:$N$698,"&gt;=0")</f>
        <v>1</v>
      </c>
      <c r="W252" s="34" t="n">
        <f aca="false">COUNTIFS('Shortlisted Drugs X Company (7)'!$C$3:$C$698,$B252,'Shortlisted Drugs X Company (7)'!$E$3:$E$698,$S252,'Shortlisted Drugs X Company (7)'!$N$3:$N$698,"&gt;5")</f>
        <v>0</v>
      </c>
      <c r="X252" s="34" t="n">
        <f aca="false">COUNTIFS('Shortlisted Drugs X Company (7)'!$C$3:$C$698,$B252,'Shortlisted Drugs X Company (7)'!$E$3:$E$698,$S252,'Shortlisted Drugs X Company (7)'!$P$3:$P$698,"Exact")+COUNTIFS('Shortlisted Drugs X Company (7)'!$C$3:$C$698,$B252,'Shortlisted Drugs X Company (7)'!$E$3:$E$698,$S252,'Shortlisted Drugs X Company (7)'!$P$3:$P$698,"Same-market proxy")</f>
        <v>1</v>
      </c>
      <c r="Y252" s="33" t="str">
        <f aca="false">A252&amp;"|"&amp;P252</f>
        <v>Lupin|</v>
      </c>
      <c r="Z252" s="16" t="s">
        <v>879</v>
      </c>
      <c r="AA252" s="33" t="n">
        <f aca="false">INDEX($G$7:$G$25,MATCH(A252,$A$7:$A$25,0))</f>
        <v>15</v>
      </c>
      <c r="AB252" s="33" t="str">
        <f aca="false">IF(AE252="No","",AA252*1000+IF(P252="",900+COUNTIFS($A$29:A252,A252,$O$29:O252,"Price ≤ $5"),P252))</f>
        <v/>
      </c>
      <c r="AC252" s="33" t="str">
        <f aca="false">IF(O252&lt;&gt;"","",(4-VALUE(RIGHT(Q252,1)))*10^7+N(F252))</f>
        <v/>
      </c>
      <c r="AD252" s="15" t="str">
        <f aca="false">IFERROR(INDEX('Route of Administration'!$C$5:$C$155,MATCH(B252,'Route of Administration'!$A$5:$A$155,0)),"")</f>
        <v>IV</v>
      </c>
      <c r="AE252" s="14" t="str">
        <f aca="false">IFERROR(INDEX('Route of Administration'!$D$5:$D$155,MATCH(B252,'Route of Administration'!$A$5:$A$155,0)),"")</f>
        <v>No</v>
      </c>
      <c r="AF252" s="19" t="n">
        <f aca="false">IF(V252&gt;0,ROUND(AVERAGEIFS('Shortlisted Drugs X Company (7)'!$N$3:$N$698,'Shortlisted Drugs X Company (7)'!$C$3:$C$698,$B252,'Shortlisted Drugs X Company (7)'!$E$3:$E$698,$S252,'Shortlisted Drugs X Company (7)'!$N$3:$N$698,"&gt;=0"),2),"")</f>
        <v>0.72</v>
      </c>
      <c r="AG252" s="16" t="s">
        <v>1178</v>
      </c>
      <c r="AH252" s="16" t="s">
        <v>247</v>
      </c>
      <c r="AI252" s="16" t="s">
        <v>247</v>
      </c>
      <c r="AJ252" s="16" t="str">
        <f aca="false">IF(O252&lt;&gt;"","",IF(ISNUMBER(D252),IF(D252&gt;=$C$3,"High price","Lower price"),"Unpriced")&amp;" · "&amp;IF(M252&gt;=$E$3,"high volume","lower volume"))</f>
        <v/>
      </c>
      <c r="AK252" s="15" t="str">
        <f aca="false">IF(O252&lt;&gt;"",IF(O252="Price ≤ $5","Excluded – price ≤ $5","Excluded – IV only"),IF(ISNUMBER(D252),IF(AND(D252&gt;=$C$3,L252&gt;=$H$3),"Priority 1",IF(OR(D252&gt;=$C$3,L252&gt;=$H$3),"Priority 2","Priority 3")),IF(L252&gt;=$H$3,"Priority 2","Priority 3")))</f>
        <v>Excluded – IV only</v>
      </c>
      <c r="AL252" s="16" t="str">
        <f aca="false">IF(O252&lt;&gt;"","",IF(ISNUMBER(D252),IF(D252&gt;=$C$3,"High price","Lower price"),"Unpriced")&amp;" · "&amp;IF(L252&gt;=$H$3,"high volume","lower volume"))</f>
        <v/>
      </c>
      <c r="AM252" s="14" t="str">
        <f aca="false">IF(O252&lt;&gt;"","",COUNTIFS($A$29:$A$361,A252,$O$29:$O$361,"",$AQ$29:$AQ$361,"&gt;"&amp;AQ252)+COUNTIFS($A$29:A252,A252,$O$29:O252,"",$AQ$29:AQ252,AQ252))</f>
        <v/>
      </c>
      <c r="AN252" s="33" t="str">
        <f aca="false">IF(AND(O252="",ISNUMBER(D252)),D252,"")</f>
        <v/>
      </c>
      <c r="AO252" s="33" t="str">
        <f aca="false">IF(O252="",M252,"")</f>
        <v/>
      </c>
      <c r="AP252" s="33" t="str">
        <f aca="false">IF(O252="",L252,"")</f>
        <v/>
      </c>
      <c r="AQ252" s="33" t="str">
        <f aca="false">IF(O252&lt;&gt;"","",(4-VALUE(RIGHT(AK252,1)))*10^7+N(N252))</f>
        <v/>
      </c>
      <c r="AR252" s="33" t="n">
        <f aca="false">INDEX($O$7:$O$25,MATCH(A252,$I$7:$I$25,0))</f>
        <v>13</v>
      </c>
      <c r="AS252" s="33" t="str">
        <f aca="false">IF(AE252="No","",AR252*1000+IF(AM252="",900+COUNTIFS($A$29:A252,A252,$O$29:O252,"Price ≤ $5"),AM252))</f>
        <v/>
      </c>
    </row>
    <row r="253" customFormat="false" ht="28.35" hidden="false" customHeight="false" outlineLevel="0" collapsed="false">
      <c r="A253" s="15" t="s">
        <v>193</v>
      </c>
      <c r="B253" s="15" t="s">
        <v>1181</v>
      </c>
      <c r="C253" s="16" t="s">
        <v>1182</v>
      </c>
      <c r="D253" s="17" t="n">
        <f aca="false">IF(W253&gt;0,ROUND(AVERAGEIFS('Shortlisted Drugs X Company (7)'!$N$3:$N$698,'Shortlisted Drugs X Company (7)'!$C$3:$C$698,$B253,'Shortlisted Drugs X Company (7)'!$E$3:$E$698,$S253,'Shortlisted Drugs X Company (7)'!$N$3:$N$698,"&gt;5"),2),"")</f>
        <v>6.81</v>
      </c>
      <c r="E253" s="15" t="str">
        <f aca="false">IF(COUNTIFS('Shortlisted Drugs X Company (7)'!$C$3:$C$698,$B253,'Shortlisted Drugs X Company (7)'!$E$3:$E$698,$S253,'Shortlisted Drugs X Company (7)'!$P$3:$P$698,"Exact")&gt;0,"Exact",IF(COUNTIFS('Shortlisted Drugs X Company (7)'!$C$3:$C$698,$B253,'Shortlisted Drugs X Company (7)'!$E$3:$E$698,$S253,'Shortlisted Drugs X Company (7)'!$P$3:$P$698,"Same-market proxy")&gt;0,"Same-market proxy",IF(COUNTIFS('Shortlisted Drugs X Company (7)'!$C$3:$C$698,$B253,'Shortlisted Drugs X Company (7)'!$E$3:$E$698,$S253,'Shortlisted Drugs X Company (7)'!$P$3:$P$698,"Cross-market proxy")&gt;0,"Cross-market proxy",IF(COUNTIFS('Shortlisted Drugs X Company (7)'!$C$3:$C$698,$B253,'Shortlisted Drugs X Company (7)'!$E$3:$E$698,$S253,'Shortlisted Drugs X Company (7)'!$P$3:$P$698,"Source not found")&gt;0,"Source not found","Not priced"))))</f>
        <v>Cross-market proxy</v>
      </c>
      <c r="F253" s="18" t="n">
        <f aca="false">IFERROR(ROUND(INDEX('Injectable Value'!$AA$28:$AA$178,MATCH(B253,'Injectable Value'!$A$28:$A$178,0)),1),"")</f>
        <v>287.5</v>
      </c>
      <c r="G253" s="16" t="s">
        <v>70</v>
      </c>
      <c r="H253" s="14" t="n">
        <v>1</v>
      </c>
      <c r="I253" s="15" t="s">
        <v>316</v>
      </c>
      <c r="J253" s="15" t="s">
        <v>249</v>
      </c>
      <c r="K253" s="16" t="str">
        <f aca="false">""&amp;IF(V253=0,"Unpriced","")&amp;IF(AND(V253&gt;0,W253=0,X253=0),"Low price from another market – confirm with company","")</f>
        <v/>
      </c>
      <c r="L253" s="18" t="n">
        <f aca="false">IFERROR(INDEX('Shortlisted Drugs X Company (7)'!$K$3:$K$698,MATCH(B253,'Shortlisted Drugs X Company (7)'!$C$3:$C$698,0)),"")</f>
        <v>58</v>
      </c>
      <c r="M253" s="18" t="n">
        <f aca="false">IFERROR(ROUND(L253*INDEX('Injectable Value'!$Z$28:$Z$178,MATCH(B253,'Injectable Value'!$A$28:$A$178,0)),0),"")</f>
        <v>15</v>
      </c>
      <c r="N253" s="18" t="n">
        <f aca="false">IFERROR(INDEX('Shortlisted Drugs X Company (7)'!$L$3:$L$698,MATCH(B253,'Shortlisted Drugs X Company (7)'!$C$3:$C$698,0)),"")</f>
        <v>1115.28</v>
      </c>
      <c r="O253" s="15" t="str">
        <f aca="false">IF(AE253="No","IV only (not ID/IM/SC)",IF(AND(V253&gt;0,W253=0),"Price ≤ $5",""))</f>
        <v/>
      </c>
      <c r="P253" s="14" t="n">
        <f aca="false">IF(O253&lt;&gt;"","",COUNTIFS($A$29:$A$361,A253,$O$29:$O$361,"",$AC$29:$AC$361,"&gt;"&amp;AC253)+COUNTIFS($A$29:A253,A253,$O$29:O253,"",$AC$29:AC253,AC253))</f>
        <v>7</v>
      </c>
      <c r="Q253" s="15" t="str">
        <f aca="false">IF(O253&lt;&gt;"",IF(O253="Price ≤ $5","Excluded – price ≤ $5","Excluded – IV only"),IF(ISNUMBER(D253),IF(AND(D253&gt;=$C$3,M253&gt;=$E$3),"Priority 1",IF(OR(D253&gt;=$C$3,M253&gt;=$E$3),"Priority 2","Priority 3")),IF(M253&gt;=$E$3,"Priority 2","Priority 3")))</f>
        <v>Priority 3</v>
      </c>
      <c r="R253" s="16" t="s">
        <v>285</v>
      </c>
      <c r="S253" s="15" t="s">
        <v>193</v>
      </c>
      <c r="T253" s="32" t="s">
        <v>1183</v>
      </c>
      <c r="U253" s="33" t="str">
        <f aca="false">B253&amp;"|"&amp;S253</f>
        <v>Fentanyl|Lupin</v>
      </c>
      <c r="V253" s="34" t="n">
        <f aca="false">COUNTIFS('Shortlisted Drugs X Company (7)'!$C$3:$C$698,$B253,'Shortlisted Drugs X Company (7)'!$E$3:$E$698,$S253,'Shortlisted Drugs X Company (7)'!$N$3:$N$698,"&gt;=0")</f>
        <v>2</v>
      </c>
      <c r="W253" s="34" t="n">
        <f aca="false">COUNTIFS('Shortlisted Drugs X Company (7)'!$C$3:$C$698,$B253,'Shortlisted Drugs X Company (7)'!$E$3:$E$698,$S253,'Shortlisted Drugs X Company (7)'!$N$3:$N$698,"&gt;5")</f>
        <v>1</v>
      </c>
      <c r="X253" s="34" t="n">
        <f aca="false">COUNTIFS('Shortlisted Drugs X Company (7)'!$C$3:$C$698,$B253,'Shortlisted Drugs X Company (7)'!$E$3:$E$698,$S253,'Shortlisted Drugs X Company (7)'!$P$3:$P$698,"Exact")+COUNTIFS('Shortlisted Drugs X Company (7)'!$C$3:$C$698,$B253,'Shortlisted Drugs X Company (7)'!$E$3:$E$698,$S253,'Shortlisted Drugs X Company (7)'!$P$3:$P$698,"Same-market proxy")</f>
        <v>0</v>
      </c>
      <c r="Y253" s="33" t="str">
        <f aca="false">A253&amp;"|"&amp;P253</f>
        <v>Lupin|7</v>
      </c>
      <c r="Z253" s="16" t="s">
        <v>1184</v>
      </c>
      <c r="AA253" s="33" t="n">
        <f aca="false">INDEX($G$7:$G$25,MATCH(A253,$A$7:$A$25,0))</f>
        <v>15</v>
      </c>
      <c r="AB253" s="33" t="n">
        <f aca="false">IF(AE253="No","",AA253*1000+IF(P253="",900+COUNTIFS($A$29:A253,A253,$O$29:O253,"Price ≤ $5"),P253))</f>
        <v>15007</v>
      </c>
      <c r="AC253" s="33" t="n">
        <f aca="false">IF(O253&lt;&gt;"","",(4-VALUE(RIGHT(Q253,1)))*10^7+N(F253))</f>
        <v>10000287.5</v>
      </c>
      <c r="AD253" s="15" t="str">
        <f aca="false">IFERROR(INDEX('Route of Administration'!$C$5:$C$155,MATCH(B253,'Route of Administration'!$A$5:$A$155,0)),"")</f>
        <v>IV, IM</v>
      </c>
      <c r="AE253" s="14" t="str">
        <f aca="false">IFERROR(INDEX('Route of Administration'!$D$5:$D$155,MATCH(B253,'Route of Administration'!$A$5:$A$155,0)),"")</f>
        <v>Yes</v>
      </c>
      <c r="AF253" s="19" t="n">
        <f aca="false">IF(V253&gt;0,ROUND(AVERAGEIFS('Shortlisted Drugs X Company (7)'!$N$3:$N$698,'Shortlisted Drugs X Company (7)'!$C$3:$C$698,$B253,'Shortlisted Drugs X Company (7)'!$E$3:$E$698,$S253,'Shortlisted Drugs X Company (7)'!$N$3:$N$698,"&gt;=0"),2),"")</f>
        <v>4.09</v>
      </c>
      <c r="AG253" s="16" t="s">
        <v>1185</v>
      </c>
      <c r="AH253" s="16" t="s">
        <v>583</v>
      </c>
      <c r="AI253" s="16" t="s">
        <v>583</v>
      </c>
      <c r="AJ253" s="16" t="str">
        <f aca="false">IF(O253&lt;&gt;"","",IF(ISNUMBER(D253),IF(D253&gt;=$C$3,"High price","Lower price"),"Unpriced")&amp;" · "&amp;IF(M253&gt;=$E$3,"high volume","lower volume"))</f>
        <v>Lower price · lower volume</v>
      </c>
      <c r="AK253" s="15" t="str">
        <f aca="false">IF(O253&lt;&gt;"",IF(O253="Price ≤ $5","Excluded – price ≤ $5","Excluded – IV only"),IF(ISNUMBER(D253),IF(AND(D253&gt;=$C$3,L253&gt;=$H$3),"Priority 1",IF(OR(D253&gt;=$C$3,L253&gt;=$H$3),"Priority 2","Priority 3")),IF(L253&gt;=$H$3,"Priority 2","Priority 3")))</f>
        <v>Priority 3</v>
      </c>
      <c r="AL253" s="16" t="str">
        <f aca="false">IF(O253&lt;&gt;"","",IF(ISNUMBER(D253),IF(D253&gt;=$C$3,"High price","Lower price"),"Unpriced")&amp;" · "&amp;IF(L253&gt;=$H$3,"high volume","lower volume"))</f>
        <v>Lower price · lower volume</v>
      </c>
      <c r="AM253" s="14" t="n">
        <f aca="false">IF(O253&lt;&gt;"","",COUNTIFS($A$29:$A$361,A253,$O$29:$O$361,"",$AQ$29:$AQ$361,"&gt;"&amp;AQ253)+COUNTIFS($A$29:A253,A253,$O$29:O253,"",$AQ$29:AQ253,AQ253))</f>
        <v>7</v>
      </c>
      <c r="AN253" s="19" t="n">
        <f aca="false">IF(AND(O253="",ISNUMBER(D253)),D253,"")</f>
        <v>6.81</v>
      </c>
      <c r="AO253" s="20" t="n">
        <f aca="false">IF(O253="",M253,"")</f>
        <v>15</v>
      </c>
      <c r="AP253" s="20" t="n">
        <f aca="false">IF(O253="",L253,"")</f>
        <v>58</v>
      </c>
      <c r="AQ253" s="33" t="n">
        <f aca="false">IF(O253&lt;&gt;"","",(4-VALUE(RIGHT(AK253,1)))*10^7+N(N253))</f>
        <v>10001115.28</v>
      </c>
      <c r="AR253" s="33" t="n">
        <f aca="false">INDEX($O$7:$O$25,MATCH(A253,$I$7:$I$25,0))</f>
        <v>13</v>
      </c>
      <c r="AS253" s="33" t="n">
        <f aca="false">IF(AE253="No","",AR253*1000+IF(AM253="",900+COUNTIFS($A$29:A253,A253,$O$29:O253,"Price ≤ $5"),AM253))</f>
        <v>13007</v>
      </c>
    </row>
    <row r="254" customFormat="false" ht="28.35" hidden="false" customHeight="false" outlineLevel="0" collapsed="false">
      <c r="A254" s="15" t="s">
        <v>193</v>
      </c>
      <c r="B254" s="15" t="s">
        <v>451</v>
      </c>
      <c r="C254" s="16" t="s">
        <v>452</v>
      </c>
      <c r="D254" s="17" t="n">
        <f aca="false">IF(W254&gt;0,ROUND(AVERAGEIFS('Shortlisted Drugs X Company (7)'!$N$3:$N$698,'Shortlisted Drugs X Company (7)'!$C$3:$C$698,$B254,'Shortlisted Drugs X Company (7)'!$E$3:$E$698,$S254,'Shortlisted Drugs X Company (7)'!$N$3:$N$698,"&gt;5"),2),"")</f>
        <v>11.1</v>
      </c>
      <c r="E254" s="15" t="str">
        <f aca="false">IF(COUNTIFS('Shortlisted Drugs X Company (7)'!$C$3:$C$698,$B254,'Shortlisted Drugs X Company (7)'!$E$3:$E$698,$S254,'Shortlisted Drugs X Company (7)'!$P$3:$P$698,"Exact")&gt;0,"Exact",IF(COUNTIFS('Shortlisted Drugs X Company (7)'!$C$3:$C$698,$B254,'Shortlisted Drugs X Company (7)'!$E$3:$E$698,$S254,'Shortlisted Drugs X Company (7)'!$P$3:$P$698,"Same-market proxy")&gt;0,"Same-market proxy",IF(COUNTIFS('Shortlisted Drugs X Company (7)'!$C$3:$C$698,$B254,'Shortlisted Drugs X Company (7)'!$E$3:$E$698,$S254,'Shortlisted Drugs X Company (7)'!$P$3:$P$698,"Cross-market proxy")&gt;0,"Cross-market proxy",IF(COUNTIFS('Shortlisted Drugs X Company (7)'!$C$3:$C$698,$B254,'Shortlisted Drugs X Company (7)'!$E$3:$E$698,$S254,'Shortlisted Drugs X Company (7)'!$P$3:$P$698,"Source not found")&gt;0,"Source not found","Not priced"))))</f>
        <v>Exact</v>
      </c>
      <c r="F254" s="18" t="n">
        <f aca="false">IFERROR(ROUND(INDEX('Injectable Value'!$AA$28:$AA$178,MATCH(B254,'Injectable Value'!$A$28:$A$178,0)),1),"")</f>
        <v>58920.4</v>
      </c>
      <c r="G254" s="16" t="s">
        <v>70</v>
      </c>
      <c r="H254" s="14" t="n">
        <v>2</v>
      </c>
      <c r="I254" s="15" t="s">
        <v>248</v>
      </c>
      <c r="J254" s="15" t="s">
        <v>324</v>
      </c>
      <c r="K254" s="16" t="str">
        <f aca="false">"Reconstitution"&amp;IF(V254=0,"; Unpriced","")&amp;IF(AND(V254&gt;0,W254=0,X254=0),"; Low price from another market – confirm with company","")</f>
        <v>Reconstitution</v>
      </c>
      <c r="L254" s="18" t="n">
        <f aca="false">IFERROR(INDEX('Shortlisted Drugs X Company (7)'!$K$3:$K$698,MATCH(B254,'Shortlisted Drugs X Company (7)'!$C$3:$C$698,0)),"")</f>
        <v>1185</v>
      </c>
      <c r="M254" s="18" t="n">
        <f aca="false">IFERROR(ROUND(L254*INDEX('Injectable Value'!$Z$28:$Z$178,MATCH(B254,'Injectable Value'!$A$28:$A$178,0)),0),"")</f>
        <v>1175</v>
      </c>
      <c r="N254" s="18" t="n">
        <f aca="false">IFERROR(INDEX('Shortlisted Drugs X Company (7)'!$L$3:$L$698,MATCH(B254,'Shortlisted Drugs X Company (7)'!$C$3:$C$698,0)),"")</f>
        <v>59407.06</v>
      </c>
      <c r="O254" s="15" t="str">
        <f aca="false">IF(AE254="No","IV only (not ID/IM/SC)",IF(AND(V254&gt;0,W254=0),"Price ≤ $5",""))</f>
        <v>IV only (not ID/IM/SC)</v>
      </c>
      <c r="P254" s="14" t="str">
        <f aca="false">IF(O254&lt;&gt;"","",COUNTIFS($A$29:$A$361,A254,$O$29:$O$361,"",$AC$29:$AC$361,"&gt;"&amp;AC254)+COUNTIFS($A$29:A254,A254,$O$29:O254,"",$AC$29:AC254,AC254))</f>
        <v/>
      </c>
      <c r="Q254" s="15" t="str">
        <f aca="false">IF(O254&lt;&gt;"",IF(O254="Price ≤ $5","Excluded – price ≤ $5","Excluded – IV only"),IF(ISNUMBER(D254),IF(AND(D254&gt;=$C$3,M254&gt;=$E$3),"Priority 1",IF(OR(D254&gt;=$C$3,M254&gt;=$E$3),"Priority 2","Priority 3")),IF(M254&gt;=$E$3,"Priority 2","Priority 3")))</f>
        <v>Excluded – IV only</v>
      </c>
      <c r="R254" s="16" t="s">
        <v>250</v>
      </c>
      <c r="S254" s="15" t="s">
        <v>193</v>
      </c>
      <c r="T254" s="32" t="s">
        <v>454</v>
      </c>
      <c r="U254" s="33" t="str">
        <f aca="false">B254&amp;"|"&amp;S254</f>
        <v>Meropenem|Lupin</v>
      </c>
      <c r="V254" s="34" t="n">
        <f aca="false">COUNTIFS('Shortlisted Drugs X Company (7)'!$C$3:$C$698,$B254,'Shortlisted Drugs X Company (7)'!$E$3:$E$698,$S254,'Shortlisted Drugs X Company (7)'!$N$3:$N$698,"&gt;=0")</f>
        <v>4</v>
      </c>
      <c r="W254" s="34" t="n">
        <f aca="false">COUNTIFS('Shortlisted Drugs X Company (7)'!$C$3:$C$698,$B254,'Shortlisted Drugs X Company (7)'!$E$3:$E$698,$S254,'Shortlisted Drugs X Company (7)'!$N$3:$N$698,"&gt;5")</f>
        <v>4</v>
      </c>
      <c r="X254" s="34" t="n">
        <f aca="false">COUNTIFS('Shortlisted Drugs X Company (7)'!$C$3:$C$698,$B254,'Shortlisted Drugs X Company (7)'!$E$3:$E$698,$S254,'Shortlisted Drugs X Company (7)'!$P$3:$P$698,"Exact")+COUNTIFS('Shortlisted Drugs X Company (7)'!$C$3:$C$698,$B254,'Shortlisted Drugs X Company (7)'!$E$3:$E$698,$S254,'Shortlisted Drugs X Company (7)'!$P$3:$P$698,"Same-market proxy")</f>
        <v>4</v>
      </c>
      <c r="Y254" s="33" t="str">
        <f aca="false">A254&amp;"|"&amp;P254</f>
        <v>Lupin|</v>
      </c>
      <c r="Z254" s="16" t="s">
        <v>1186</v>
      </c>
      <c r="AA254" s="33" t="n">
        <f aca="false">INDEX($G$7:$G$25,MATCH(A254,$A$7:$A$25,0))</f>
        <v>15</v>
      </c>
      <c r="AB254" s="33" t="str">
        <f aca="false">IF(AE254="No","",AA254*1000+IF(P254="",900+COUNTIFS($A$29:A254,A254,$O$29:O254,"Price ≤ $5"),P254))</f>
        <v/>
      </c>
      <c r="AC254" s="33" t="str">
        <f aca="false">IF(O254&lt;&gt;"","",(4-VALUE(RIGHT(Q254,1)))*10^7+N(F254))</f>
        <v/>
      </c>
      <c r="AD254" s="15" t="str">
        <f aca="false">IFERROR(INDEX('Route of Administration'!$C$5:$C$155,MATCH(B254,'Route of Administration'!$A$5:$A$155,0)),"")</f>
        <v>IV</v>
      </c>
      <c r="AE254" s="14" t="str">
        <f aca="false">IFERROR(INDEX('Route of Administration'!$D$5:$D$155,MATCH(B254,'Route of Administration'!$A$5:$A$155,0)),"")</f>
        <v>No</v>
      </c>
      <c r="AF254" s="19" t="n">
        <f aca="false">IF(V254&gt;0,ROUND(AVERAGEIFS('Shortlisted Drugs X Company (7)'!$N$3:$N$698,'Shortlisted Drugs X Company (7)'!$C$3:$C$698,$B254,'Shortlisted Drugs X Company (7)'!$E$3:$E$698,$S254,'Shortlisted Drugs X Company (7)'!$N$3:$N$698,"&gt;=0"),2),"")</f>
        <v>11.1</v>
      </c>
      <c r="AG254" s="16" t="s">
        <v>1187</v>
      </c>
      <c r="AH254" s="16" t="s">
        <v>589</v>
      </c>
      <c r="AI254" s="16" t="s">
        <v>589</v>
      </c>
      <c r="AJ254" s="16" t="str">
        <f aca="false">IF(O254&lt;&gt;"","",IF(ISNUMBER(D254),IF(D254&gt;=$C$3,"High price","Lower price"),"Unpriced")&amp;" · "&amp;IF(M254&gt;=$E$3,"high volume","lower volume"))</f>
        <v/>
      </c>
      <c r="AK254" s="15" t="str">
        <f aca="false">IF(O254&lt;&gt;"",IF(O254="Price ≤ $5","Excluded – price ≤ $5","Excluded – IV only"),IF(ISNUMBER(D254),IF(AND(D254&gt;=$C$3,L254&gt;=$H$3),"Priority 1",IF(OR(D254&gt;=$C$3,L254&gt;=$H$3),"Priority 2","Priority 3")),IF(L254&gt;=$H$3,"Priority 2","Priority 3")))</f>
        <v>Excluded – IV only</v>
      </c>
      <c r="AL254" s="16" t="str">
        <f aca="false">IF(O254&lt;&gt;"","",IF(ISNUMBER(D254),IF(D254&gt;=$C$3,"High price","Lower price"),"Unpriced")&amp;" · "&amp;IF(L254&gt;=$H$3,"high volume","lower volume"))</f>
        <v/>
      </c>
      <c r="AM254" s="14" t="str">
        <f aca="false">IF(O254&lt;&gt;"","",COUNTIFS($A$29:$A$361,A254,$O$29:$O$361,"",$AQ$29:$AQ$361,"&gt;"&amp;AQ254)+COUNTIFS($A$29:A254,A254,$O$29:O254,"",$AQ$29:AQ254,AQ254))</f>
        <v/>
      </c>
      <c r="AN254" s="33" t="str">
        <f aca="false">IF(AND(O254="",ISNUMBER(D254)),D254,"")</f>
        <v/>
      </c>
      <c r="AO254" s="33" t="str">
        <f aca="false">IF(O254="",M254,"")</f>
        <v/>
      </c>
      <c r="AP254" s="33" t="str">
        <f aca="false">IF(O254="",L254,"")</f>
        <v/>
      </c>
      <c r="AQ254" s="33" t="str">
        <f aca="false">IF(O254&lt;&gt;"","",(4-VALUE(RIGHT(AK254,1)))*10^7+N(N254))</f>
        <v/>
      </c>
      <c r="AR254" s="33" t="n">
        <f aca="false">INDEX($O$7:$O$25,MATCH(A254,$I$7:$I$25,0))</f>
        <v>13</v>
      </c>
      <c r="AS254" s="33" t="str">
        <f aca="false">IF(AE254="No","",AR254*1000+IF(AM254="",900+COUNTIFS($A$29:A254,A254,$O$29:O254,"Price ≤ $5"),AM254))</f>
        <v/>
      </c>
    </row>
    <row r="255" customFormat="false" ht="28.35" hidden="false" customHeight="false" outlineLevel="0" collapsed="false">
      <c r="A255" s="15" t="s">
        <v>193</v>
      </c>
      <c r="B255" s="15" t="s">
        <v>789</v>
      </c>
      <c r="C255" s="16" t="s">
        <v>790</v>
      </c>
      <c r="D255" s="17" t="str">
        <f aca="false">IF(W255&gt;0,ROUND(AVERAGEIFS('Shortlisted Drugs X Company (7)'!$N$3:$N$698,'Shortlisted Drugs X Company (7)'!$C$3:$C$698,$B255,'Shortlisted Drugs X Company (7)'!$E$3:$E$698,$S255,'Shortlisted Drugs X Company (7)'!$N$3:$N$698,"&gt;5"),2),"")</f>
        <v/>
      </c>
      <c r="E255" s="15" t="str">
        <f aca="false">IF(COUNTIFS('Shortlisted Drugs X Company (7)'!$C$3:$C$698,$B255,'Shortlisted Drugs X Company (7)'!$E$3:$E$698,$S255,'Shortlisted Drugs X Company (7)'!$P$3:$P$698,"Exact")&gt;0,"Exact",IF(COUNTIFS('Shortlisted Drugs X Company (7)'!$C$3:$C$698,$B255,'Shortlisted Drugs X Company (7)'!$E$3:$E$698,$S255,'Shortlisted Drugs X Company (7)'!$P$3:$P$698,"Same-market proxy")&gt;0,"Same-market proxy",IF(COUNTIFS('Shortlisted Drugs X Company (7)'!$C$3:$C$698,$B255,'Shortlisted Drugs X Company (7)'!$E$3:$E$698,$S255,'Shortlisted Drugs X Company (7)'!$P$3:$P$698,"Cross-market proxy")&gt;0,"Cross-market proxy",IF(COUNTIFS('Shortlisted Drugs X Company (7)'!$C$3:$C$698,$B255,'Shortlisted Drugs X Company (7)'!$E$3:$E$698,$S255,'Shortlisted Drugs X Company (7)'!$P$3:$P$698,"Source not found")&gt;0,"Source not found","Not priced"))))</f>
        <v>Cross-market proxy</v>
      </c>
      <c r="F255" s="18" t="n">
        <f aca="false">IFERROR(ROUND(INDEX('Injectable Value'!$AA$28:$AA$178,MATCH(B255,'Injectable Value'!$A$28:$A$178,0)),1),"")</f>
        <v>4036.6</v>
      </c>
      <c r="G255" s="16" t="s">
        <v>70</v>
      </c>
      <c r="H255" s="14" t="n">
        <v>1</v>
      </c>
      <c r="I255" s="15" t="s">
        <v>316</v>
      </c>
      <c r="J255" s="15" t="s">
        <v>249</v>
      </c>
      <c r="K255" s="16" t="str">
        <f aca="false">""&amp;IF(V255=0,"Unpriced","")&amp;IF(AND(V255&gt;0,W255=0,X255=0),"Low price from another market – confirm with company","")</f>
        <v>Low price from another market – confirm with company</v>
      </c>
      <c r="L255" s="18" t="n">
        <f aca="false">IFERROR(INDEX('Shortlisted Drugs X Company (7)'!$K$3:$K$698,MATCH(B255,'Shortlisted Drugs X Company (7)'!$C$3:$C$698,0)),"")</f>
        <v>133</v>
      </c>
      <c r="M255" s="18" t="n">
        <f aca="false">IFERROR(ROUND(L255*INDEX('Injectable Value'!$Z$28:$Z$178,MATCH(B255,'Injectable Value'!$A$28:$A$178,0)),0),"")</f>
        <v>133</v>
      </c>
      <c r="N255" s="18" t="n">
        <f aca="false">IFERROR(INDEX('Shortlisted Drugs X Company (7)'!$L$3:$L$698,MATCH(B255,'Shortlisted Drugs X Company (7)'!$C$3:$C$698,0)),"")</f>
        <v>4036.55</v>
      </c>
      <c r="O255" s="15" t="str">
        <f aca="false">IF(AE255="No","IV only (not ID/IM/SC)",IF(AND(V255&gt;0,W255=0),"Price ≤ $5",""))</f>
        <v>IV only (not ID/IM/SC)</v>
      </c>
      <c r="P255" s="14" t="str">
        <f aca="false">IF(O255&lt;&gt;"","",COUNTIFS($A$29:$A$361,A255,$O$29:$O$361,"",$AC$29:$AC$361,"&gt;"&amp;AC255)+COUNTIFS($A$29:A255,A255,$O$29:O255,"",$AC$29:AC255,AC255))</f>
        <v/>
      </c>
      <c r="Q255" s="15" t="str">
        <f aca="false">IF(O255&lt;&gt;"",IF(O255="Price ≤ $5","Excluded – price ≤ $5","Excluded – IV only"),IF(ISNUMBER(D255),IF(AND(D255&gt;=$C$3,M255&gt;=$E$3),"Priority 1",IF(OR(D255&gt;=$C$3,M255&gt;=$E$3),"Priority 2","Priority 3")),IF(M255&gt;=$E$3,"Priority 2","Priority 3")))</f>
        <v>Excluded – IV only</v>
      </c>
      <c r="R255" s="16" t="s">
        <v>250</v>
      </c>
      <c r="S255" s="15" t="s">
        <v>193</v>
      </c>
      <c r="T255" s="32" t="s">
        <v>791</v>
      </c>
      <c r="U255" s="33" t="str">
        <f aca="false">B255&amp;"|"&amp;S255</f>
        <v>Milrinone|Lupin</v>
      </c>
      <c r="V255" s="34" t="n">
        <f aca="false">COUNTIFS('Shortlisted Drugs X Company (7)'!$C$3:$C$698,$B255,'Shortlisted Drugs X Company (7)'!$E$3:$E$698,$S255,'Shortlisted Drugs X Company (7)'!$N$3:$N$698,"&gt;=0")</f>
        <v>1</v>
      </c>
      <c r="W255" s="34" t="n">
        <f aca="false">COUNTIFS('Shortlisted Drugs X Company (7)'!$C$3:$C$698,$B255,'Shortlisted Drugs X Company (7)'!$E$3:$E$698,$S255,'Shortlisted Drugs X Company (7)'!$N$3:$N$698,"&gt;5")</f>
        <v>0</v>
      </c>
      <c r="X255" s="34" t="n">
        <f aca="false">COUNTIFS('Shortlisted Drugs X Company (7)'!$C$3:$C$698,$B255,'Shortlisted Drugs X Company (7)'!$E$3:$E$698,$S255,'Shortlisted Drugs X Company (7)'!$P$3:$P$698,"Exact")+COUNTIFS('Shortlisted Drugs X Company (7)'!$C$3:$C$698,$B255,'Shortlisted Drugs X Company (7)'!$E$3:$E$698,$S255,'Shortlisted Drugs X Company (7)'!$P$3:$P$698,"Same-market proxy")</f>
        <v>0</v>
      </c>
      <c r="Y255" s="33" t="str">
        <f aca="false">A255&amp;"|"&amp;P255</f>
        <v>Lupin|</v>
      </c>
      <c r="Z255" s="16" t="s">
        <v>1188</v>
      </c>
      <c r="AA255" s="33" t="n">
        <f aca="false">INDEX($G$7:$G$25,MATCH(A255,$A$7:$A$25,0))</f>
        <v>15</v>
      </c>
      <c r="AB255" s="33" t="str">
        <f aca="false">IF(AE255="No","",AA255*1000+IF(P255="",900+COUNTIFS($A$29:A255,A255,$O$29:O255,"Price ≤ $5"),P255))</f>
        <v/>
      </c>
      <c r="AC255" s="33" t="str">
        <f aca="false">IF(O255&lt;&gt;"","",(4-VALUE(RIGHT(Q255,1)))*10^7+N(F255))</f>
        <v/>
      </c>
      <c r="AD255" s="15" t="str">
        <f aca="false">IFERROR(INDEX('Route of Administration'!$C$5:$C$155,MATCH(B255,'Route of Administration'!$A$5:$A$155,0)),"")</f>
        <v>IV</v>
      </c>
      <c r="AE255" s="14" t="str">
        <f aca="false">IFERROR(INDEX('Route of Administration'!$D$5:$D$155,MATCH(B255,'Route of Administration'!$A$5:$A$155,0)),"")</f>
        <v>No</v>
      </c>
      <c r="AF255" s="19" t="n">
        <f aca="false">IF(V255&gt;0,ROUND(AVERAGEIFS('Shortlisted Drugs X Company (7)'!$N$3:$N$698,'Shortlisted Drugs X Company (7)'!$C$3:$C$698,$B255,'Shortlisted Drugs X Company (7)'!$E$3:$E$698,$S255,'Shortlisted Drugs X Company (7)'!$N$3:$N$698,"&gt;=0"),2),"")</f>
        <v>2.29</v>
      </c>
      <c r="AG255" s="16" t="s">
        <v>1189</v>
      </c>
      <c r="AH255" s="16" t="s">
        <v>583</v>
      </c>
      <c r="AI255" s="16" t="s">
        <v>583</v>
      </c>
      <c r="AJ255" s="16" t="str">
        <f aca="false">IF(O255&lt;&gt;"","",IF(ISNUMBER(D255),IF(D255&gt;=$C$3,"High price","Lower price"),"Unpriced")&amp;" · "&amp;IF(M255&gt;=$E$3,"high volume","lower volume"))</f>
        <v/>
      </c>
      <c r="AK255" s="15" t="str">
        <f aca="false">IF(O255&lt;&gt;"",IF(O255="Price ≤ $5","Excluded – price ≤ $5","Excluded – IV only"),IF(ISNUMBER(D255),IF(AND(D255&gt;=$C$3,L255&gt;=$H$3),"Priority 1",IF(OR(D255&gt;=$C$3,L255&gt;=$H$3),"Priority 2","Priority 3")),IF(L255&gt;=$H$3,"Priority 2","Priority 3")))</f>
        <v>Excluded – IV only</v>
      </c>
      <c r="AL255" s="16" t="str">
        <f aca="false">IF(O255&lt;&gt;"","",IF(ISNUMBER(D255),IF(D255&gt;=$C$3,"High price","Lower price"),"Unpriced")&amp;" · "&amp;IF(L255&gt;=$H$3,"high volume","lower volume"))</f>
        <v/>
      </c>
      <c r="AM255" s="14" t="str">
        <f aca="false">IF(O255&lt;&gt;"","",COUNTIFS($A$29:$A$361,A255,$O$29:$O$361,"",$AQ$29:$AQ$361,"&gt;"&amp;AQ255)+COUNTIFS($A$29:A255,A255,$O$29:O255,"",$AQ$29:AQ255,AQ255))</f>
        <v/>
      </c>
      <c r="AN255" s="33" t="str">
        <f aca="false">IF(AND(O255="",ISNUMBER(D255)),D255,"")</f>
        <v/>
      </c>
      <c r="AO255" s="33" t="str">
        <f aca="false">IF(O255="",M255,"")</f>
        <v/>
      </c>
      <c r="AP255" s="33" t="str">
        <f aca="false">IF(O255="",L255,"")</f>
        <v/>
      </c>
      <c r="AQ255" s="33" t="str">
        <f aca="false">IF(O255&lt;&gt;"","",(4-VALUE(RIGHT(AK255,1)))*10^7+N(N255))</f>
        <v/>
      </c>
      <c r="AR255" s="33" t="n">
        <f aca="false">INDEX($O$7:$O$25,MATCH(A255,$I$7:$I$25,0))</f>
        <v>13</v>
      </c>
      <c r="AS255" s="33" t="str">
        <f aca="false">IF(AE255="No","",AR255*1000+IF(AM255="",900+COUNTIFS($A$29:A255,A255,$O$29:O255,"Price ≤ $5"),AM255))</f>
        <v/>
      </c>
    </row>
    <row r="256" customFormat="false" ht="28.35" hidden="false" customHeight="false" outlineLevel="0" collapsed="false">
      <c r="A256" s="15" t="s">
        <v>193</v>
      </c>
      <c r="B256" s="15" t="s">
        <v>1190</v>
      </c>
      <c r="C256" s="16" t="s">
        <v>1191</v>
      </c>
      <c r="D256" s="17" t="n">
        <f aca="false">IF(W256&gt;0,ROUND(AVERAGEIFS('Shortlisted Drugs X Company (7)'!$N$3:$N$698,'Shortlisted Drugs X Company (7)'!$C$3:$C$698,$B256,'Shortlisted Drugs X Company (7)'!$E$3:$E$698,$S256,'Shortlisted Drugs X Company (7)'!$N$3:$N$698,"&gt;5"),2),"")</f>
        <v>18.28</v>
      </c>
      <c r="E256" s="15" t="str">
        <f aca="false">IF(COUNTIFS('Shortlisted Drugs X Company (7)'!$C$3:$C$698,$B256,'Shortlisted Drugs X Company (7)'!$E$3:$E$698,$S256,'Shortlisted Drugs X Company (7)'!$P$3:$P$698,"Exact")&gt;0,"Exact",IF(COUNTIFS('Shortlisted Drugs X Company (7)'!$C$3:$C$698,$B256,'Shortlisted Drugs X Company (7)'!$E$3:$E$698,$S256,'Shortlisted Drugs X Company (7)'!$P$3:$P$698,"Same-market proxy")&gt;0,"Same-market proxy",IF(COUNTIFS('Shortlisted Drugs X Company (7)'!$C$3:$C$698,$B256,'Shortlisted Drugs X Company (7)'!$E$3:$E$698,$S256,'Shortlisted Drugs X Company (7)'!$P$3:$P$698,"Cross-market proxy")&gt;0,"Cross-market proxy",IF(COUNTIFS('Shortlisted Drugs X Company (7)'!$C$3:$C$698,$B256,'Shortlisted Drugs X Company (7)'!$E$3:$E$698,$S256,'Shortlisted Drugs X Company (7)'!$P$3:$P$698,"Source not found")&gt;0,"Source not found","Not priced"))))</f>
        <v>Same-market proxy</v>
      </c>
      <c r="F256" s="18" t="n">
        <f aca="false">IFERROR(ROUND(INDEX('Injectable Value'!$AA$28:$AA$178,MATCH(B256,'Injectable Value'!$A$28:$A$178,0)),1),"")</f>
        <v>1223.2</v>
      </c>
      <c r="G256" s="16" t="s">
        <v>70</v>
      </c>
      <c r="H256" s="14" t="n">
        <v>1</v>
      </c>
      <c r="I256" s="15" t="s">
        <v>248</v>
      </c>
      <c r="J256" s="15" t="s">
        <v>299</v>
      </c>
      <c r="K256" s="16" t="str">
        <f aca="false">"Reconstitution"&amp;IF(V256=0,"; Unpriced","")&amp;IF(AND(V256&gt;0,W256=0,X256=0),"; Low price from another market – confirm with company","")</f>
        <v>Reconstitution</v>
      </c>
      <c r="L256" s="18" t="n">
        <f aca="false">IFERROR(INDEX('Shortlisted Drugs X Company (7)'!$K$3:$K$698,MATCH(B256,'Shortlisted Drugs X Company (7)'!$C$3:$C$698,0)),"")</f>
        <v>2061</v>
      </c>
      <c r="M256" s="18" t="n">
        <f aca="false">IFERROR(ROUND(L256*INDEX('Injectable Value'!$Z$28:$Z$178,MATCH(B256,'Injectable Value'!$A$28:$A$178,0)),0),"")</f>
        <v>65</v>
      </c>
      <c r="N256" s="18" t="n">
        <f aca="false">IFERROR(INDEX('Shortlisted Drugs X Company (7)'!$L$3:$L$698,MATCH(B256,'Shortlisted Drugs X Company (7)'!$C$3:$C$698,0)),"")</f>
        <v>38680.23</v>
      </c>
      <c r="O256" s="15" t="str">
        <f aca="false">IF(AE256="No","IV only (not ID/IM/SC)",IF(AND(V256&gt;0,W256=0),"Price ≤ $5",""))</f>
        <v/>
      </c>
      <c r="P256" s="14" t="n">
        <f aca="false">IF(O256&lt;&gt;"","",COUNTIFS($A$29:$A$361,A256,$O$29:$O$361,"",$AC$29:$AC$361,"&gt;"&amp;AC256)+COUNTIFS($A$29:A256,A256,$O$29:O256,"",$AC$29:AC256,AC256))</f>
        <v>5</v>
      </c>
      <c r="Q256" s="15" t="str">
        <f aca="false">IF(O256&lt;&gt;"",IF(O256="Price ≤ $5","Excluded – price ≤ $5","Excluded – IV only"),IF(ISNUMBER(D256),IF(AND(D256&gt;=$C$3,M256&gt;=$E$3),"Priority 1",IF(OR(D256&gt;=$C$3,M256&gt;=$E$3),"Priority 2","Priority 3")),IF(M256&gt;=$E$3,"Priority 2","Priority 3")))</f>
        <v>Priority 3</v>
      </c>
      <c r="R256" s="16" t="s">
        <v>285</v>
      </c>
      <c r="S256" s="15" t="s">
        <v>193</v>
      </c>
      <c r="T256" s="32" t="s">
        <v>1192</v>
      </c>
      <c r="U256" s="33" t="str">
        <f aca="false">B256&amp;"|"&amp;S256</f>
        <v>Olanzapine|Lupin</v>
      </c>
      <c r="V256" s="34" t="n">
        <f aca="false">COUNTIFS('Shortlisted Drugs X Company (7)'!$C$3:$C$698,$B256,'Shortlisted Drugs X Company (7)'!$E$3:$E$698,$S256,'Shortlisted Drugs X Company (7)'!$N$3:$N$698,"&gt;=0")</f>
        <v>1</v>
      </c>
      <c r="W256" s="34" t="n">
        <f aca="false">COUNTIFS('Shortlisted Drugs X Company (7)'!$C$3:$C$698,$B256,'Shortlisted Drugs X Company (7)'!$E$3:$E$698,$S256,'Shortlisted Drugs X Company (7)'!$N$3:$N$698,"&gt;5")</f>
        <v>1</v>
      </c>
      <c r="X256" s="34" t="n">
        <f aca="false">COUNTIFS('Shortlisted Drugs X Company (7)'!$C$3:$C$698,$B256,'Shortlisted Drugs X Company (7)'!$E$3:$E$698,$S256,'Shortlisted Drugs X Company (7)'!$P$3:$P$698,"Exact")+COUNTIFS('Shortlisted Drugs X Company (7)'!$C$3:$C$698,$B256,'Shortlisted Drugs X Company (7)'!$E$3:$E$698,$S256,'Shortlisted Drugs X Company (7)'!$P$3:$P$698,"Same-market proxy")</f>
        <v>1</v>
      </c>
      <c r="Y256" s="33" t="str">
        <f aca="false">A256&amp;"|"&amp;P256</f>
        <v>Lupin|5</v>
      </c>
      <c r="Z256" s="16" t="s">
        <v>1193</v>
      </c>
      <c r="AA256" s="33" t="n">
        <f aca="false">INDEX($G$7:$G$25,MATCH(A256,$A$7:$A$25,0))</f>
        <v>15</v>
      </c>
      <c r="AB256" s="33" t="n">
        <f aca="false">IF(AE256="No","",AA256*1000+IF(P256="",900+COUNTIFS($A$29:A256,A256,$O$29:O256,"Price ≤ $5"),P256))</f>
        <v>15005</v>
      </c>
      <c r="AC256" s="33" t="n">
        <f aca="false">IF(O256&lt;&gt;"","",(4-VALUE(RIGHT(Q256,1)))*10^7+N(F256))</f>
        <v>10001223.2</v>
      </c>
      <c r="AD256" s="15" t="str">
        <f aca="false">IFERROR(INDEX('Route of Administration'!$C$5:$C$155,MATCH(B256,'Route of Administration'!$A$5:$A$155,0)),"")</f>
        <v>IM</v>
      </c>
      <c r="AE256" s="14" t="str">
        <f aca="false">IFERROR(INDEX('Route of Administration'!$D$5:$D$155,MATCH(B256,'Route of Administration'!$A$5:$A$155,0)),"")</f>
        <v>Yes</v>
      </c>
      <c r="AF256" s="19" t="n">
        <f aca="false">IF(V256&gt;0,ROUND(AVERAGEIFS('Shortlisted Drugs X Company (7)'!$N$3:$N$698,'Shortlisted Drugs X Company (7)'!$C$3:$C$698,$B256,'Shortlisted Drugs X Company (7)'!$E$3:$E$698,$S256,'Shortlisted Drugs X Company (7)'!$N$3:$N$698,"&gt;=0"),2),"")</f>
        <v>18.28</v>
      </c>
      <c r="AG256" s="16" t="s">
        <v>1194</v>
      </c>
      <c r="AH256" s="16" t="s">
        <v>583</v>
      </c>
      <c r="AI256" s="16" t="s">
        <v>583</v>
      </c>
      <c r="AJ256" s="16" t="str">
        <f aca="false">IF(O256&lt;&gt;"","",IF(ISNUMBER(D256),IF(D256&gt;=$C$3,"High price","Lower price"),"Unpriced")&amp;" · "&amp;IF(M256&gt;=$E$3,"high volume","lower volume"))</f>
        <v>Lower price · lower volume</v>
      </c>
      <c r="AK256" s="15" t="str">
        <f aca="false">IF(O256&lt;&gt;"",IF(O256="Price ≤ $5","Excluded – price ≤ $5","Excluded – IV only"),IF(ISNUMBER(D256),IF(AND(D256&gt;=$C$3,L256&gt;=$H$3),"Priority 1",IF(OR(D256&gt;=$C$3,L256&gt;=$H$3),"Priority 2","Priority 3")),IF(L256&gt;=$H$3,"Priority 2","Priority 3")))</f>
        <v>Priority 2</v>
      </c>
      <c r="AL256" s="16" t="str">
        <f aca="false">IF(O256&lt;&gt;"","",IF(ISNUMBER(D256),IF(D256&gt;=$C$3,"High price","Lower price"),"Unpriced")&amp;" · "&amp;IF(L256&gt;=$H$3,"high volume","lower volume"))</f>
        <v>Lower price · high volume</v>
      </c>
      <c r="AM256" s="14" t="n">
        <f aca="false">IF(O256&lt;&gt;"","",COUNTIFS($A$29:$A$361,A256,$O$29:$O$361,"",$AQ$29:$AQ$361,"&gt;"&amp;AQ256)+COUNTIFS($A$29:A256,A256,$O$29:O256,"",$AQ$29:AQ256,AQ256))</f>
        <v>1</v>
      </c>
      <c r="AN256" s="19" t="n">
        <f aca="false">IF(AND(O256="",ISNUMBER(D256)),D256,"")</f>
        <v>18.28</v>
      </c>
      <c r="AO256" s="20" t="n">
        <f aca="false">IF(O256="",M256,"")</f>
        <v>65</v>
      </c>
      <c r="AP256" s="20" t="n">
        <f aca="false">IF(O256="",L256,"")</f>
        <v>2061</v>
      </c>
      <c r="AQ256" s="33" t="n">
        <f aca="false">IF(O256&lt;&gt;"","",(4-VALUE(RIGHT(AK256,1)))*10^7+N(N256))</f>
        <v>20038680.23</v>
      </c>
      <c r="AR256" s="33" t="n">
        <f aca="false">INDEX($O$7:$O$25,MATCH(A256,$I$7:$I$25,0))</f>
        <v>13</v>
      </c>
      <c r="AS256" s="33" t="n">
        <f aca="false">IF(AE256="No","",AR256*1000+IF(AM256="",900+COUNTIFS($A$29:A256,A256,$O$29:O256,"Price ≤ $5"),AM256))</f>
        <v>13001</v>
      </c>
    </row>
    <row r="257" customFormat="false" ht="28.35" hidden="false" customHeight="false" outlineLevel="0" collapsed="false">
      <c r="A257" s="15" t="s">
        <v>193</v>
      </c>
      <c r="B257" s="15" t="s">
        <v>1195</v>
      </c>
      <c r="C257" s="16" t="s">
        <v>1196</v>
      </c>
      <c r="D257" s="17" t="n">
        <f aca="false">IF(W257&gt;0,ROUND(AVERAGEIFS('Shortlisted Drugs X Company (7)'!$N$3:$N$698,'Shortlisted Drugs X Company (7)'!$C$3:$C$698,$B257,'Shortlisted Drugs X Company (7)'!$E$3:$E$698,$S257,'Shortlisted Drugs X Company (7)'!$N$3:$N$698,"&gt;5"),2),"")</f>
        <v>8.11</v>
      </c>
      <c r="E257" s="15" t="str">
        <f aca="false">IF(COUNTIFS('Shortlisted Drugs X Company (7)'!$C$3:$C$698,$B257,'Shortlisted Drugs X Company (7)'!$E$3:$E$698,$S257,'Shortlisted Drugs X Company (7)'!$P$3:$P$698,"Exact")&gt;0,"Exact",IF(COUNTIFS('Shortlisted Drugs X Company (7)'!$C$3:$C$698,$B257,'Shortlisted Drugs X Company (7)'!$E$3:$E$698,$S257,'Shortlisted Drugs X Company (7)'!$P$3:$P$698,"Same-market proxy")&gt;0,"Same-market proxy",IF(COUNTIFS('Shortlisted Drugs X Company (7)'!$C$3:$C$698,$B257,'Shortlisted Drugs X Company (7)'!$E$3:$E$698,$S257,'Shortlisted Drugs X Company (7)'!$P$3:$P$698,"Cross-market proxy")&gt;0,"Cross-market proxy",IF(COUNTIFS('Shortlisted Drugs X Company (7)'!$C$3:$C$698,$B257,'Shortlisted Drugs X Company (7)'!$E$3:$E$698,$S257,'Shortlisted Drugs X Company (7)'!$P$3:$P$698,"Source not found")&gt;0,"Source not found","Not priced"))))</f>
        <v>Same-market proxy</v>
      </c>
      <c r="F257" s="18" t="n">
        <f aca="false">IFERROR(ROUND(INDEX('Injectable Value'!$AA$28:$AA$178,MATCH(B257,'Injectable Value'!$A$28:$A$178,0)),1),"")</f>
        <v>8224.2</v>
      </c>
      <c r="G257" s="16" t="s">
        <v>70</v>
      </c>
      <c r="H257" s="14" t="n">
        <v>1</v>
      </c>
      <c r="I257" s="15" t="s">
        <v>316</v>
      </c>
      <c r="J257" s="15" t="s">
        <v>249</v>
      </c>
      <c r="K257" s="16" t="str">
        <f aca="false">""&amp;IF(V257=0,"Unpriced","")&amp;IF(AND(V257&gt;0,W257=0,X257=0),"Low price from another market – confirm with company","")</f>
        <v/>
      </c>
      <c r="L257" s="18" t="n">
        <f aca="false">IFERROR(INDEX('Shortlisted Drugs X Company (7)'!$K$3:$K$698,MATCH(B257,'Shortlisted Drugs X Company (7)'!$C$3:$C$698,0)),"")</f>
        <v>309</v>
      </c>
      <c r="M257" s="18" t="n">
        <f aca="false">IFERROR(ROUND(L257*INDEX('Injectable Value'!$Z$28:$Z$178,MATCH(B257,'Injectable Value'!$A$28:$A$178,0)),0),"")</f>
        <v>304</v>
      </c>
      <c r="N257" s="18" t="n">
        <f aca="false">IFERROR(INDEX('Shortlisted Drugs X Company (7)'!$L$3:$L$698,MATCH(B257,'Shortlisted Drugs X Company (7)'!$C$3:$C$698,0)),"")</f>
        <v>8362.23</v>
      </c>
      <c r="O257" s="15" t="str">
        <f aca="false">IF(AE257="No","IV only (not ID/IM/SC)",IF(AND(V257&gt;0,W257=0),"Price ≤ $5",""))</f>
        <v/>
      </c>
      <c r="P257" s="14" t="n">
        <f aca="false">IF(O257&lt;&gt;"","",COUNTIFS($A$29:$A$361,A257,$O$29:$O$361,"",$AC$29:$AC$361,"&gt;"&amp;AC257)+COUNTIFS($A$29:A257,A257,$O$29:O257,"",$AC$29:AC257,AC257))</f>
        <v>2</v>
      </c>
      <c r="Q257" s="15" t="str">
        <f aca="false">IF(O257&lt;&gt;"",IF(O257="Price ≤ $5","Excluded – price ≤ $5","Excluded – IV only"),IF(ISNUMBER(D257),IF(AND(D257&gt;=$C$3,M257&gt;=$E$3),"Priority 1",IF(OR(D257&gt;=$C$3,M257&gt;=$E$3),"Priority 2","Priority 3")),IF(M257&gt;=$E$3,"Priority 2","Priority 3")))</f>
        <v>Priority 2</v>
      </c>
      <c r="R257" s="16" t="s">
        <v>285</v>
      </c>
      <c r="S257" s="15" t="s">
        <v>193</v>
      </c>
      <c r="T257" s="32" t="s">
        <v>1197</v>
      </c>
      <c r="U257" s="33" t="str">
        <f aca="false">B257&amp;"|"&amp;S257</f>
        <v>Oxytocin|Lupin</v>
      </c>
      <c r="V257" s="34" t="n">
        <f aca="false">COUNTIFS('Shortlisted Drugs X Company (7)'!$C$3:$C$698,$B257,'Shortlisted Drugs X Company (7)'!$E$3:$E$698,$S257,'Shortlisted Drugs X Company (7)'!$N$3:$N$698,"&gt;=0")</f>
        <v>1</v>
      </c>
      <c r="W257" s="34" t="n">
        <f aca="false">COUNTIFS('Shortlisted Drugs X Company (7)'!$C$3:$C$698,$B257,'Shortlisted Drugs X Company (7)'!$E$3:$E$698,$S257,'Shortlisted Drugs X Company (7)'!$N$3:$N$698,"&gt;5")</f>
        <v>1</v>
      </c>
      <c r="X257" s="34" t="n">
        <f aca="false">COUNTIFS('Shortlisted Drugs X Company (7)'!$C$3:$C$698,$B257,'Shortlisted Drugs X Company (7)'!$E$3:$E$698,$S257,'Shortlisted Drugs X Company (7)'!$P$3:$P$698,"Exact")+COUNTIFS('Shortlisted Drugs X Company (7)'!$C$3:$C$698,$B257,'Shortlisted Drugs X Company (7)'!$E$3:$E$698,$S257,'Shortlisted Drugs X Company (7)'!$P$3:$P$698,"Same-market proxy")</f>
        <v>1</v>
      </c>
      <c r="Y257" s="33" t="str">
        <f aca="false">A257&amp;"|"&amp;P257</f>
        <v>Lupin|2</v>
      </c>
      <c r="Z257" s="16" t="s">
        <v>1198</v>
      </c>
      <c r="AA257" s="33" t="n">
        <f aca="false">INDEX($G$7:$G$25,MATCH(A257,$A$7:$A$25,0))</f>
        <v>15</v>
      </c>
      <c r="AB257" s="33" t="n">
        <f aca="false">IF(AE257="No","",AA257*1000+IF(P257="",900+COUNTIFS($A$29:A257,A257,$O$29:O257,"Price ≤ $5"),P257))</f>
        <v>15002</v>
      </c>
      <c r="AC257" s="33" t="n">
        <f aca="false">IF(O257&lt;&gt;"","",(4-VALUE(RIGHT(Q257,1)))*10^7+N(F257))</f>
        <v>20008224.2</v>
      </c>
      <c r="AD257" s="15" t="str">
        <f aca="false">IFERROR(INDEX('Route of Administration'!$C$5:$C$155,MATCH(B257,'Route of Administration'!$A$5:$A$155,0)),"")</f>
        <v>IV, IM</v>
      </c>
      <c r="AE257" s="14" t="str">
        <f aca="false">IFERROR(INDEX('Route of Administration'!$D$5:$D$155,MATCH(B257,'Route of Administration'!$A$5:$A$155,0)),"")</f>
        <v>Yes</v>
      </c>
      <c r="AF257" s="19" t="n">
        <f aca="false">IF(V257&gt;0,ROUND(AVERAGEIFS('Shortlisted Drugs X Company (7)'!$N$3:$N$698,'Shortlisted Drugs X Company (7)'!$C$3:$C$698,$B257,'Shortlisted Drugs X Company (7)'!$E$3:$E$698,$S257,'Shortlisted Drugs X Company (7)'!$N$3:$N$698,"&gt;=0"),2),"")</f>
        <v>8.11</v>
      </c>
      <c r="AG257" s="16" t="s">
        <v>1199</v>
      </c>
      <c r="AH257" s="16" t="s">
        <v>583</v>
      </c>
      <c r="AI257" s="16" t="s">
        <v>583</v>
      </c>
      <c r="AJ257" s="16" t="str">
        <f aca="false">IF(O257&lt;&gt;"","",IF(ISNUMBER(D257),IF(D257&gt;=$C$3,"High price","Lower price"),"Unpriced")&amp;" · "&amp;IF(M257&gt;=$E$3,"high volume","lower volume"))</f>
        <v>Lower price · high volume</v>
      </c>
      <c r="AK257" s="15" t="str">
        <f aca="false">IF(O257&lt;&gt;"",IF(O257="Price ≤ $5","Excluded – price ≤ $5","Excluded – IV only"),IF(ISNUMBER(D257),IF(AND(D257&gt;=$C$3,L257&gt;=$H$3),"Priority 1",IF(OR(D257&gt;=$C$3,L257&gt;=$H$3),"Priority 2","Priority 3")),IF(L257&gt;=$H$3,"Priority 2","Priority 3")))</f>
        <v>Priority 2</v>
      </c>
      <c r="AL257" s="16" t="str">
        <f aca="false">IF(O257&lt;&gt;"","",IF(ISNUMBER(D257),IF(D257&gt;=$C$3,"High price","Lower price"),"Unpriced")&amp;" · "&amp;IF(L257&gt;=$H$3,"high volume","lower volume"))</f>
        <v>Lower price · high volume</v>
      </c>
      <c r="AM257" s="14" t="n">
        <f aca="false">IF(O257&lt;&gt;"","",COUNTIFS($A$29:$A$361,A257,$O$29:$O$361,"",$AQ$29:$AQ$361,"&gt;"&amp;AQ257)+COUNTIFS($A$29:A257,A257,$O$29:O257,"",$AQ$29:AQ257,AQ257))</f>
        <v>2</v>
      </c>
      <c r="AN257" s="19" t="n">
        <f aca="false">IF(AND(O257="",ISNUMBER(D257)),D257,"")</f>
        <v>8.11</v>
      </c>
      <c r="AO257" s="20" t="n">
        <f aca="false">IF(O257="",M257,"")</f>
        <v>304</v>
      </c>
      <c r="AP257" s="20" t="n">
        <f aca="false">IF(O257="",L257,"")</f>
        <v>309</v>
      </c>
      <c r="AQ257" s="33" t="n">
        <f aca="false">IF(O257&lt;&gt;"","",(4-VALUE(RIGHT(AK257,1)))*10^7+N(N257))</f>
        <v>20008362.23</v>
      </c>
      <c r="AR257" s="33" t="n">
        <f aca="false">INDEX($O$7:$O$25,MATCH(A257,$I$7:$I$25,0))</f>
        <v>13</v>
      </c>
      <c r="AS257" s="33" t="n">
        <f aca="false">IF(AE257="No","",AR257*1000+IF(AM257="",900+COUNTIFS($A$29:A257,A257,$O$29:O257,"Price ≤ $5"),AM257))</f>
        <v>13002</v>
      </c>
    </row>
    <row r="258" customFormat="false" ht="28.35" hidden="false" customHeight="false" outlineLevel="0" collapsed="false">
      <c r="A258" s="15" t="s">
        <v>193</v>
      </c>
      <c r="B258" s="15" t="s">
        <v>525</v>
      </c>
      <c r="C258" s="16" t="s">
        <v>526</v>
      </c>
      <c r="D258" s="17" t="n">
        <f aca="false">IF(W258&gt;0,ROUND(AVERAGEIFS('Shortlisted Drugs X Company (7)'!$N$3:$N$698,'Shortlisted Drugs X Company (7)'!$C$3:$C$698,$B258,'Shortlisted Drugs X Company (7)'!$E$3:$E$698,$S258,'Shortlisted Drugs X Company (7)'!$N$3:$N$698,"&gt;5"),2),"")</f>
        <v>13.94</v>
      </c>
      <c r="E258" s="15" t="str">
        <f aca="false">IF(COUNTIFS('Shortlisted Drugs X Company (7)'!$C$3:$C$698,$B258,'Shortlisted Drugs X Company (7)'!$E$3:$E$698,$S258,'Shortlisted Drugs X Company (7)'!$P$3:$P$698,"Exact")&gt;0,"Exact",IF(COUNTIFS('Shortlisted Drugs X Company (7)'!$C$3:$C$698,$B258,'Shortlisted Drugs X Company (7)'!$E$3:$E$698,$S258,'Shortlisted Drugs X Company (7)'!$P$3:$P$698,"Same-market proxy")&gt;0,"Same-market proxy",IF(COUNTIFS('Shortlisted Drugs X Company (7)'!$C$3:$C$698,$B258,'Shortlisted Drugs X Company (7)'!$E$3:$E$698,$S258,'Shortlisted Drugs X Company (7)'!$P$3:$P$698,"Cross-market proxy")&gt;0,"Cross-market proxy",IF(COUNTIFS('Shortlisted Drugs X Company (7)'!$C$3:$C$698,$B258,'Shortlisted Drugs X Company (7)'!$E$3:$E$698,$S258,'Shortlisted Drugs X Company (7)'!$P$3:$P$698,"Source not found")&gt;0,"Source not found","Not priced"))))</f>
        <v>Exact</v>
      </c>
      <c r="F258" s="18" t="n">
        <f aca="false">IFERROR(ROUND(INDEX('Injectable Value'!$AA$28:$AA$178,MATCH(B258,'Injectable Value'!$A$28:$A$178,0)),1),"")</f>
        <v>71.4</v>
      </c>
      <c r="G258" s="16" t="s">
        <v>70</v>
      </c>
      <c r="H258" s="14" t="n">
        <v>1</v>
      </c>
      <c r="I258" s="15" t="s">
        <v>248</v>
      </c>
      <c r="J258" s="15" t="s">
        <v>249</v>
      </c>
      <c r="K258" s="16" t="str">
        <f aca="false">"Reconstitution"&amp;IF(V258=0,"; Unpriced","")&amp;IF(AND(V258&gt;0,W258=0,X258=0),"; Low price from another market – confirm with company","")</f>
        <v>Reconstitution</v>
      </c>
      <c r="L258" s="18" t="n">
        <f aca="false">IFERROR(INDEX('Shortlisted Drugs X Company (7)'!$K$3:$K$698,MATCH(B258,'Shortlisted Drugs X Company (7)'!$C$3:$C$698,0)),"")</f>
        <v>2</v>
      </c>
      <c r="M258" s="18" t="n">
        <f aca="false">IFERROR(ROUND(L258*INDEX('Injectable Value'!$Z$28:$Z$178,MATCH(B258,'Injectable Value'!$A$28:$A$178,0)),0),"")</f>
        <v>2</v>
      </c>
      <c r="N258" s="18" t="n">
        <f aca="false">IFERROR(INDEX('Shortlisted Drugs X Company (7)'!$L$3:$L$698,MATCH(B258,'Shortlisted Drugs X Company (7)'!$C$3:$C$698,0)),"")</f>
        <v>71.73</v>
      </c>
      <c r="O258" s="15" t="str">
        <f aca="false">IF(AE258="No","IV only (not ID/IM/SC)",IF(AND(V258&gt;0,W258=0),"Price ≤ $5",""))</f>
        <v>IV only (not ID/IM/SC)</v>
      </c>
      <c r="P258" s="14" t="str">
        <f aca="false">IF(O258&lt;&gt;"","",COUNTIFS($A$29:$A$361,A258,$O$29:$O$361,"",$AC$29:$AC$361,"&gt;"&amp;AC258)+COUNTIFS($A$29:A258,A258,$O$29:O258,"",$AC$29:AC258,AC258))</f>
        <v/>
      </c>
      <c r="Q258" s="15" t="str">
        <f aca="false">IF(O258&lt;&gt;"",IF(O258="Price ≤ $5","Excluded – price ≤ $5","Excluded – IV only"),IF(ISNUMBER(D258),IF(AND(D258&gt;=$C$3,M258&gt;=$E$3),"Priority 1",IF(OR(D258&gt;=$C$3,M258&gt;=$E$3),"Priority 2","Priority 3")),IF(M258&gt;=$E$3,"Priority 2","Priority 3")))</f>
        <v>Excluded – IV only</v>
      </c>
      <c r="R258" s="16" t="s">
        <v>250</v>
      </c>
      <c r="S258" s="15" t="s">
        <v>193</v>
      </c>
      <c r="T258" s="32" t="s">
        <v>528</v>
      </c>
      <c r="U258" s="33" t="str">
        <f aca="false">B258&amp;"|"&amp;S258</f>
        <v>Remifentanil|Lupin</v>
      </c>
      <c r="V258" s="34" t="n">
        <f aca="false">COUNTIFS('Shortlisted Drugs X Company (7)'!$C$3:$C$698,$B258,'Shortlisted Drugs X Company (7)'!$E$3:$E$698,$S258,'Shortlisted Drugs X Company (7)'!$N$3:$N$698,"&gt;=0")</f>
        <v>2</v>
      </c>
      <c r="W258" s="34" t="n">
        <f aca="false">COUNTIFS('Shortlisted Drugs X Company (7)'!$C$3:$C$698,$B258,'Shortlisted Drugs X Company (7)'!$E$3:$E$698,$S258,'Shortlisted Drugs X Company (7)'!$N$3:$N$698,"&gt;5")</f>
        <v>2</v>
      </c>
      <c r="X258" s="34" t="n">
        <f aca="false">COUNTIFS('Shortlisted Drugs X Company (7)'!$C$3:$C$698,$B258,'Shortlisted Drugs X Company (7)'!$E$3:$E$698,$S258,'Shortlisted Drugs X Company (7)'!$P$3:$P$698,"Exact")+COUNTIFS('Shortlisted Drugs X Company (7)'!$C$3:$C$698,$B258,'Shortlisted Drugs X Company (7)'!$E$3:$E$698,$S258,'Shortlisted Drugs X Company (7)'!$P$3:$P$698,"Same-market proxy")</f>
        <v>2</v>
      </c>
      <c r="Y258" s="33" t="str">
        <f aca="false">A258&amp;"|"&amp;P258</f>
        <v>Lupin|</v>
      </c>
      <c r="Z258" s="16" t="s">
        <v>1200</v>
      </c>
      <c r="AA258" s="33" t="n">
        <f aca="false">INDEX($G$7:$G$25,MATCH(A258,$A$7:$A$25,0))</f>
        <v>15</v>
      </c>
      <c r="AB258" s="33" t="str">
        <f aca="false">IF(AE258="No","",AA258*1000+IF(P258="",900+COUNTIFS($A$29:A258,A258,$O$29:O258,"Price ≤ $5"),P258))</f>
        <v/>
      </c>
      <c r="AC258" s="33" t="str">
        <f aca="false">IF(O258&lt;&gt;"","",(4-VALUE(RIGHT(Q258,1)))*10^7+N(F258))</f>
        <v/>
      </c>
      <c r="AD258" s="15" t="str">
        <f aca="false">IFERROR(INDEX('Route of Administration'!$C$5:$C$155,MATCH(B258,'Route of Administration'!$A$5:$A$155,0)),"")</f>
        <v>IV</v>
      </c>
      <c r="AE258" s="14" t="str">
        <f aca="false">IFERROR(INDEX('Route of Administration'!$D$5:$D$155,MATCH(B258,'Route of Administration'!$A$5:$A$155,0)),"")</f>
        <v>No</v>
      </c>
      <c r="AF258" s="19" t="n">
        <f aca="false">IF(V258&gt;0,ROUND(AVERAGEIFS('Shortlisted Drugs X Company (7)'!$N$3:$N$698,'Shortlisted Drugs X Company (7)'!$C$3:$C$698,$B258,'Shortlisted Drugs X Company (7)'!$E$3:$E$698,$S258,'Shortlisted Drugs X Company (7)'!$N$3:$N$698,"&gt;=0"),2),"")</f>
        <v>13.94</v>
      </c>
      <c r="AG258" s="16" t="s">
        <v>1201</v>
      </c>
      <c r="AH258" s="16" t="s">
        <v>328</v>
      </c>
      <c r="AI258" s="16" t="s">
        <v>328</v>
      </c>
      <c r="AJ258" s="16" t="str">
        <f aca="false">IF(O258&lt;&gt;"","",IF(ISNUMBER(D258),IF(D258&gt;=$C$3,"High price","Lower price"),"Unpriced")&amp;" · "&amp;IF(M258&gt;=$E$3,"high volume","lower volume"))</f>
        <v/>
      </c>
      <c r="AK258" s="15" t="str">
        <f aca="false">IF(O258&lt;&gt;"",IF(O258="Price ≤ $5","Excluded – price ≤ $5","Excluded – IV only"),IF(ISNUMBER(D258),IF(AND(D258&gt;=$C$3,L258&gt;=$H$3),"Priority 1",IF(OR(D258&gt;=$C$3,L258&gt;=$H$3),"Priority 2","Priority 3")),IF(L258&gt;=$H$3,"Priority 2","Priority 3")))</f>
        <v>Excluded – IV only</v>
      </c>
      <c r="AL258" s="16" t="str">
        <f aca="false">IF(O258&lt;&gt;"","",IF(ISNUMBER(D258),IF(D258&gt;=$C$3,"High price","Lower price"),"Unpriced")&amp;" · "&amp;IF(L258&gt;=$H$3,"high volume","lower volume"))</f>
        <v/>
      </c>
      <c r="AM258" s="14" t="str">
        <f aca="false">IF(O258&lt;&gt;"","",COUNTIFS($A$29:$A$361,A258,$O$29:$O$361,"",$AQ$29:$AQ$361,"&gt;"&amp;AQ258)+COUNTIFS($A$29:A258,A258,$O$29:O258,"",$AQ$29:AQ258,AQ258))</f>
        <v/>
      </c>
      <c r="AN258" s="33" t="str">
        <f aca="false">IF(AND(O258="",ISNUMBER(D258)),D258,"")</f>
        <v/>
      </c>
      <c r="AO258" s="33" t="str">
        <f aca="false">IF(O258="",M258,"")</f>
        <v/>
      </c>
      <c r="AP258" s="33" t="str">
        <f aca="false">IF(O258="",L258,"")</f>
        <v/>
      </c>
      <c r="AQ258" s="33" t="str">
        <f aca="false">IF(O258&lt;&gt;"","",(4-VALUE(RIGHT(AK258,1)))*10^7+N(N258))</f>
        <v/>
      </c>
      <c r="AR258" s="33" t="n">
        <f aca="false">INDEX($O$7:$O$25,MATCH(A258,$I$7:$I$25,0))</f>
        <v>13</v>
      </c>
      <c r="AS258" s="33" t="str">
        <f aca="false">IF(AE258="No","",AR258*1000+IF(AM258="",900+COUNTIFS($A$29:A258,A258,$O$29:O258,"Price ≤ $5"),AM258))</f>
        <v/>
      </c>
    </row>
    <row r="259" customFormat="false" ht="41.75" hidden="false" customHeight="false" outlineLevel="0" collapsed="false">
      <c r="A259" s="15" t="s">
        <v>193</v>
      </c>
      <c r="B259" s="15" t="s">
        <v>635</v>
      </c>
      <c r="C259" s="16" t="s">
        <v>636</v>
      </c>
      <c r="D259" s="17" t="n">
        <f aca="false">IF(W259&gt;0,ROUND(AVERAGEIFS('Shortlisted Drugs X Company (7)'!$N$3:$N$698,'Shortlisted Drugs X Company (7)'!$C$3:$C$698,$B259,'Shortlisted Drugs X Company (7)'!$E$3:$E$698,$S259,'Shortlisted Drugs X Company (7)'!$N$3:$N$698,"&gt;5"),2),"")</f>
        <v>35.03</v>
      </c>
      <c r="E259" s="15" t="str">
        <f aca="false">IF(COUNTIFS('Shortlisted Drugs X Company (7)'!$C$3:$C$698,$B259,'Shortlisted Drugs X Company (7)'!$E$3:$E$698,$S259,'Shortlisted Drugs X Company (7)'!$P$3:$P$698,"Exact")&gt;0,"Exact",IF(COUNTIFS('Shortlisted Drugs X Company (7)'!$C$3:$C$698,$B259,'Shortlisted Drugs X Company (7)'!$E$3:$E$698,$S259,'Shortlisted Drugs X Company (7)'!$P$3:$P$698,"Same-market proxy")&gt;0,"Same-market proxy",IF(COUNTIFS('Shortlisted Drugs X Company (7)'!$C$3:$C$698,$B259,'Shortlisted Drugs X Company (7)'!$E$3:$E$698,$S259,'Shortlisted Drugs X Company (7)'!$P$3:$P$698,"Cross-market proxy")&gt;0,"Cross-market proxy",IF(COUNTIFS('Shortlisted Drugs X Company (7)'!$C$3:$C$698,$B259,'Shortlisted Drugs X Company (7)'!$E$3:$E$698,$S259,'Shortlisted Drugs X Company (7)'!$P$3:$P$698,"Source not found")&gt;0,"Source not found","Not priced"))))</f>
        <v>Same-market proxy</v>
      </c>
      <c r="F259" s="18" t="n">
        <f aca="false">IFERROR(ROUND(INDEX('Injectable Value'!$AA$28:$AA$178,MATCH(B259,'Injectable Value'!$A$28:$A$178,0)),1),"")</f>
        <v>32830.2</v>
      </c>
      <c r="G259" s="16" t="s">
        <v>247</v>
      </c>
      <c r="H259" s="14" t="n">
        <v>2</v>
      </c>
      <c r="I259" s="15" t="s">
        <v>248</v>
      </c>
      <c r="J259" s="15" t="s">
        <v>249</v>
      </c>
      <c r="K259" s="16" t="str">
        <f aca="false">""&amp;IF(V259=0,"Unpriced","")&amp;IF(AND(V259&gt;0,W259=0,X259=0),"Low price from another market – confirm with company","")</f>
        <v/>
      </c>
      <c r="L259" s="18" t="n">
        <f aca="false">IFERROR(INDEX('Shortlisted Drugs X Company (7)'!$K$3:$K$698,MATCH(B259,'Shortlisted Drugs X Company (7)'!$C$3:$C$698,0)),"")</f>
        <v>346</v>
      </c>
      <c r="M259" s="18" t="n">
        <f aca="false">IFERROR(ROUND(L259*INDEX('Injectable Value'!$Z$28:$Z$178,MATCH(B259,'Injectable Value'!$A$28:$A$178,0)),0),"")</f>
        <v>346</v>
      </c>
      <c r="N259" s="18" t="n">
        <f aca="false">IFERROR(INDEX('Shortlisted Drugs X Company (7)'!$L$3:$L$698,MATCH(B259,'Shortlisted Drugs X Company (7)'!$C$3:$C$698,0)),"")</f>
        <v>32830.17</v>
      </c>
      <c r="O259" s="15" t="str">
        <f aca="false">IF(AE259="No","IV only (not ID/IM/SC)",IF(AND(V259&gt;0,W259=0),"Price ≤ $5",""))</f>
        <v>IV only (not ID/IM/SC)</v>
      </c>
      <c r="P259" s="14" t="str">
        <f aca="false">IF(O259&lt;&gt;"","",COUNTIFS($A$29:$A$361,A259,$O$29:$O$361,"",$AC$29:$AC$361,"&gt;"&amp;AC259)+COUNTIFS($A$29:A259,A259,$O$29:O259,"",$AC$29:AC259,AC259))</f>
        <v/>
      </c>
      <c r="Q259" s="15" t="str">
        <f aca="false">IF(O259&lt;&gt;"",IF(O259="Price ≤ $5","Excluded – price ≤ $5","Excluded – IV only"),IF(ISNUMBER(D259),IF(AND(D259&gt;=$C$3,M259&gt;=$E$3),"Priority 1",IF(OR(D259&gt;=$C$3,M259&gt;=$E$3),"Priority 2","Priority 3")),IF(M259&gt;=$E$3,"Priority 2","Priority 3")))</f>
        <v>Excluded – IV only</v>
      </c>
      <c r="R259" s="16" t="s">
        <v>250</v>
      </c>
      <c r="S259" s="15" t="s">
        <v>193</v>
      </c>
      <c r="T259" s="32" t="s">
        <v>637</v>
      </c>
      <c r="U259" s="33" t="str">
        <f aca="false">B259&amp;"|"&amp;S259</f>
        <v>Sugammadex|Lupin</v>
      </c>
      <c r="V259" s="34" t="n">
        <f aca="false">COUNTIFS('Shortlisted Drugs X Company (7)'!$C$3:$C$698,$B259,'Shortlisted Drugs X Company (7)'!$E$3:$E$698,$S259,'Shortlisted Drugs X Company (7)'!$N$3:$N$698,"&gt;=0")</f>
        <v>2</v>
      </c>
      <c r="W259" s="34" t="n">
        <f aca="false">COUNTIFS('Shortlisted Drugs X Company (7)'!$C$3:$C$698,$B259,'Shortlisted Drugs X Company (7)'!$E$3:$E$698,$S259,'Shortlisted Drugs X Company (7)'!$N$3:$N$698,"&gt;5")</f>
        <v>2</v>
      </c>
      <c r="X259" s="34" t="n">
        <f aca="false">COUNTIFS('Shortlisted Drugs X Company (7)'!$C$3:$C$698,$B259,'Shortlisted Drugs X Company (7)'!$E$3:$E$698,$S259,'Shortlisted Drugs X Company (7)'!$P$3:$P$698,"Exact")+COUNTIFS('Shortlisted Drugs X Company (7)'!$C$3:$C$698,$B259,'Shortlisted Drugs X Company (7)'!$E$3:$E$698,$S259,'Shortlisted Drugs X Company (7)'!$P$3:$P$698,"Same-market proxy")</f>
        <v>2</v>
      </c>
      <c r="Y259" s="33" t="str">
        <f aca="false">A259&amp;"|"&amp;P259</f>
        <v>Lupin|</v>
      </c>
      <c r="Z259" s="16" t="s">
        <v>638</v>
      </c>
      <c r="AA259" s="33" t="n">
        <f aca="false">INDEX($G$7:$G$25,MATCH(A259,$A$7:$A$25,0))</f>
        <v>15</v>
      </c>
      <c r="AB259" s="33" t="str">
        <f aca="false">IF(AE259="No","",AA259*1000+IF(P259="",900+COUNTIFS($A$29:A259,A259,$O$29:O259,"Price ≤ $5"),P259))</f>
        <v/>
      </c>
      <c r="AC259" s="33" t="str">
        <f aca="false">IF(O259&lt;&gt;"","",(4-VALUE(RIGHT(Q259,1)))*10^7+N(F259))</f>
        <v/>
      </c>
      <c r="AD259" s="15" t="str">
        <f aca="false">IFERROR(INDEX('Route of Administration'!$C$5:$C$155,MATCH(B259,'Route of Administration'!$A$5:$A$155,0)),"")</f>
        <v>IV</v>
      </c>
      <c r="AE259" s="14" t="str">
        <f aca="false">IFERROR(INDEX('Route of Administration'!$D$5:$D$155,MATCH(B259,'Route of Administration'!$A$5:$A$155,0)),"")</f>
        <v>No</v>
      </c>
      <c r="AF259" s="19" t="n">
        <f aca="false">IF(V259&gt;0,ROUND(AVERAGEIFS('Shortlisted Drugs X Company (7)'!$N$3:$N$698,'Shortlisted Drugs X Company (7)'!$C$3:$C$698,$B259,'Shortlisted Drugs X Company (7)'!$E$3:$E$698,$S259,'Shortlisted Drugs X Company (7)'!$N$3:$N$698,"&gt;=0"),2),"")</f>
        <v>35.03</v>
      </c>
      <c r="AG259" s="16" t="s">
        <v>1202</v>
      </c>
      <c r="AH259" s="16" t="s">
        <v>605</v>
      </c>
      <c r="AI259" s="16" t="s">
        <v>605</v>
      </c>
      <c r="AJ259" s="16" t="str">
        <f aca="false">IF(O259&lt;&gt;"","",IF(ISNUMBER(D259),IF(D259&gt;=$C$3,"High price","Lower price"),"Unpriced")&amp;" · "&amp;IF(M259&gt;=$E$3,"high volume","lower volume"))</f>
        <v/>
      </c>
      <c r="AK259" s="15" t="str">
        <f aca="false">IF(O259&lt;&gt;"",IF(O259="Price ≤ $5","Excluded – price ≤ $5","Excluded – IV only"),IF(ISNUMBER(D259),IF(AND(D259&gt;=$C$3,L259&gt;=$H$3),"Priority 1",IF(OR(D259&gt;=$C$3,L259&gt;=$H$3),"Priority 2","Priority 3")),IF(L259&gt;=$H$3,"Priority 2","Priority 3")))</f>
        <v>Excluded – IV only</v>
      </c>
      <c r="AL259" s="16" t="str">
        <f aca="false">IF(O259&lt;&gt;"","",IF(ISNUMBER(D259),IF(D259&gt;=$C$3,"High price","Lower price"),"Unpriced")&amp;" · "&amp;IF(L259&gt;=$H$3,"high volume","lower volume"))</f>
        <v/>
      </c>
      <c r="AM259" s="14" t="str">
        <f aca="false">IF(O259&lt;&gt;"","",COUNTIFS($A$29:$A$361,A259,$O$29:$O$361,"",$AQ$29:$AQ$361,"&gt;"&amp;AQ259)+COUNTIFS($A$29:A259,A259,$O$29:O259,"",$AQ$29:AQ259,AQ259))</f>
        <v/>
      </c>
      <c r="AN259" s="33" t="str">
        <f aca="false">IF(AND(O259="",ISNUMBER(D259)),D259,"")</f>
        <v/>
      </c>
      <c r="AO259" s="33" t="str">
        <f aca="false">IF(O259="",M259,"")</f>
        <v/>
      </c>
      <c r="AP259" s="33" t="str">
        <f aca="false">IF(O259="",L259,"")</f>
        <v/>
      </c>
      <c r="AQ259" s="33" t="str">
        <f aca="false">IF(O259&lt;&gt;"","",(4-VALUE(RIGHT(AK259,1)))*10^7+N(N259))</f>
        <v/>
      </c>
      <c r="AR259" s="33" t="n">
        <f aca="false">INDEX($O$7:$O$25,MATCH(A259,$I$7:$I$25,0))</f>
        <v>13</v>
      </c>
      <c r="AS259" s="33" t="str">
        <f aca="false">IF(AE259="No","",AR259*1000+IF(AM259="",900+COUNTIFS($A$29:A259,A259,$O$29:O259,"Price ≤ $5"),AM259))</f>
        <v/>
      </c>
    </row>
    <row r="260" customFormat="false" ht="28.35" hidden="false" customHeight="false" outlineLevel="0" collapsed="false">
      <c r="A260" s="15" t="s">
        <v>193</v>
      </c>
      <c r="B260" s="15" t="s">
        <v>641</v>
      </c>
      <c r="C260" s="16" t="s">
        <v>642</v>
      </c>
      <c r="D260" s="17" t="n">
        <f aca="false">IF(W260&gt;0,ROUND(AVERAGEIFS('Shortlisted Drugs X Company (7)'!$N$3:$N$698,'Shortlisted Drugs X Company (7)'!$C$3:$C$698,$B260,'Shortlisted Drugs X Company (7)'!$E$3:$E$698,$S260,'Shortlisted Drugs X Company (7)'!$N$3:$N$698,"&gt;5"),2),"")</f>
        <v>32.43</v>
      </c>
      <c r="E260" s="15" t="str">
        <f aca="false">IF(COUNTIFS('Shortlisted Drugs X Company (7)'!$C$3:$C$698,$B260,'Shortlisted Drugs X Company (7)'!$E$3:$E$698,$S260,'Shortlisted Drugs X Company (7)'!$P$3:$P$698,"Exact")&gt;0,"Exact",IF(COUNTIFS('Shortlisted Drugs X Company (7)'!$C$3:$C$698,$B260,'Shortlisted Drugs X Company (7)'!$E$3:$E$698,$S260,'Shortlisted Drugs X Company (7)'!$P$3:$P$698,"Same-market proxy")&gt;0,"Same-market proxy",IF(COUNTIFS('Shortlisted Drugs X Company (7)'!$C$3:$C$698,$B260,'Shortlisted Drugs X Company (7)'!$E$3:$E$698,$S260,'Shortlisted Drugs X Company (7)'!$P$3:$P$698,"Cross-market proxy")&gt;0,"Cross-market proxy",IF(COUNTIFS('Shortlisted Drugs X Company (7)'!$C$3:$C$698,$B260,'Shortlisted Drugs X Company (7)'!$E$3:$E$698,$S260,'Shortlisted Drugs X Company (7)'!$P$3:$P$698,"Source not found")&gt;0,"Source not found","Not priced"))))</f>
        <v>Exact</v>
      </c>
      <c r="F260" s="18" t="n">
        <f aca="false">IFERROR(ROUND(INDEX('Injectable Value'!$AA$28:$AA$178,MATCH(B260,'Injectable Value'!$A$28:$A$178,0)),1),"")</f>
        <v>6632.6</v>
      </c>
      <c r="G260" s="16" t="s">
        <v>70</v>
      </c>
      <c r="H260" s="14" t="n">
        <v>2</v>
      </c>
      <c r="I260" s="15" t="s">
        <v>248</v>
      </c>
      <c r="J260" s="15" t="s">
        <v>249</v>
      </c>
      <c r="K260" s="16" t="str">
        <f aca="false">"Reconstitution"&amp;IF(V260=0,"; Unpriced","")&amp;IF(AND(V260&gt;0,W260=0,X260=0),"; Low price from another market – confirm with company","")</f>
        <v>Reconstitution</v>
      </c>
      <c r="L260" s="18" t="n">
        <f aca="false">IFERROR(INDEX('Shortlisted Drugs X Company (7)'!$K$3:$K$698,MATCH(B260,'Shortlisted Drugs X Company (7)'!$C$3:$C$698,0)),"")</f>
        <v>106</v>
      </c>
      <c r="M260" s="18" t="n">
        <f aca="false">IFERROR(ROUND(L260*INDEX('Injectable Value'!$Z$28:$Z$178,MATCH(B260,'Injectable Value'!$A$28:$A$178,0)),0),"")</f>
        <v>99</v>
      </c>
      <c r="N260" s="18" t="n">
        <f aca="false">IFERROR(INDEX('Shortlisted Drugs X Company (7)'!$L$3:$L$698,MATCH(B260,'Shortlisted Drugs X Company (7)'!$C$3:$C$698,0)),"")</f>
        <v>7074.72</v>
      </c>
      <c r="O260" s="15" t="str">
        <f aca="false">IF(AE260="No","IV only (not ID/IM/SC)",IF(AND(V260&gt;0,W260=0),"Price ≤ $5",""))</f>
        <v/>
      </c>
      <c r="P260" s="14" t="n">
        <f aca="false">IF(O260&lt;&gt;"","",COUNTIFS($A$29:$A$361,A260,$O$29:$O$361,"",$AC$29:$AC$361,"&gt;"&amp;AC260)+COUNTIFS($A$29:A260,A260,$O$29:O260,"",$AC$29:AC260,AC260))</f>
        <v>3</v>
      </c>
      <c r="Q260" s="15" t="str">
        <f aca="false">IF(O260&lt;&gt;"",IF(O260="Price ≤ $5","Excluded – price ≤ $5","Excluded – IV only"),IF(ISNUMBER(D260),IF(AND(D260&gt;=$C$3,M260&gt;=$E$3),"Priority 1",IF(OR(D260&gt;=$C$3,M260&gt;=$E$3),"Priority 2","Priority 3")),IF(M260&gt;=$E$3,"Priority 2","Priority 3")))</f>
        <v>Priority 2</v>
      </c>
      <c r="R260" s="16" t="s">
        <v>250</v>
      </c>
      <c r="S260" s="15" t="s">
        <v>193</v>
      </c>
      <c r="T260" s="32" t="s">
        <v>643</v>
      </c>
      <c r="U260" s="33" t="str">
        <f aca="false">B260&amp;"|"&amp;S260</f>
        <v>Teicoplanin|Lupin</v>
      </c>
      <c r="V260" s="34" t="n">
        <f aca="false">COUNTIFS('Shortlisted Drugs X Company (7)'!$C$3:$C$698,$B260,'Shortlisted Drugs X Company (7)'!$E$3:$E$698,$S260,'Shortlisted Drugs X Company (7)'!$N$3:$N$698,"&gt;=0")</f>
        <v>3</v>
      </c>
      <c r="W260" s="34" t="n">
        <f aca="false">COUNTIFS('Shortlisted Drugs X Company (7)'!$C$3:$C$698,$B260,'Shortlisted Drugs X Company (7)'!$E$3:$E$698,$S260,'Shortlisted Drugs X Company (7)'!$N$3:$N$698,"&gt;5")</f>
        <v>3</v>
      </c>
      <c r="X260" s="34" t="n">
        <f aca="false">COUNTIFS('Shortlisted Drugs X Company (7)'!$C$3:$C$698,$B260,'Shortlisted Drugs X Company (7)'!$E$3:$E$698,$S260,'Shortlisted Drugs X Company (7)'!$P$3:$P$698,"Exact")+COUNTIFS('Shortlisted Drugs X Company (7)'!$C$3:$C$698,$B260,'Shortlisted Drugs X Company (7)'!$E$3:$E$698,$S260,'Shortlisted Drugs X Company (7)'!$P$3:$P$698,"Same-market proxy")</f>
        <v>3</v>
      </c>
      <c r="Y260" s="33" t="str">
        <f aca="false">A260&amp;"|"&amp;P260</f>
        <v>Lupin|3</v>
      </c>
      <c r="Z260" s="16" t="s">
        <v>1203</v>
      </c>
      <c r="AA260" s="33" t="n">
        <f aca="false">INDEX($G$7:$G$25,MATCH(A260,$A$7:$A$25,0))</f>
        <v>15</v>
      </c>
      <c r="AB260" s="33" t="n">
        <f aca="false">IF(AE260="No","",AA260*1000+IF(P260="",900+COUNTIFS($A$29:A260,A260,$O$29:O260,"Price ≤ $5"),P260))</f>
        <v>15003</v>
      </c>
      <c r="AC260" s="33" t="n">
        <f aca="false">IF(O260&lt;&gt;"","",(4-VALUE(RIGHT(Q260,1)))*10^7+N(F260))</f>
        <v>20006632.6</v>
      </c>
      <c r="AD260" s="15" t="str">
        <f aca="false">IFERROR(INDEX('Route of Administration'!$C$5:$C$155,MATCH(B260,'Route of Administration'!$A$5:$A$155,0)),"")</f>
        <v>IV, IM</v>
      </c>
      <c r="AE260" s="14" t="str">
        <f aca="false">IFERROR(INDEX('Route of Administration'!$D$5:$D$155,MATCH(B260,'Route of Administration'!$A$5:$A$155,0)),"")</f>
        <v>Yes</v>
      </c>
      <c r="AF260" s="19" t="n">
        <f aca="false">IF(V260&gt;0,ROUND(AVERAGEIFS('Shortlisted Drugs X Company (7)'!$N$3:$N$698,'Shortlisted Drugs X Company (7)'!$C$3:$C$698,$B260,'Shortlisted Drugs X Company (7)'!$E$3:$E$698,$S260,'Shortlisted Drugs X Company (7)'!$N$3:$N$698,"&gt;=0"),2),"")</f>
        <v>32.43</v>
      </c>
      <c r="AG260" s="16" t="s">
        <v>1204</v>
      </c>
      <c r="AH260" s="16" t="s">
        <v>589</v>
      </c>
      <c r="AI260" s="16" t="s">
        <v>589</v>
      </c>
      <c r="AJ260" s="16" t="str">
        <f aca="false">IF(O260&lt;&gt;"","",IF(ISNUMBER(D260),IF(D260&gt;=$C$3,"High price","Lower price"),"Unpriced")&amp;" · "&amp;IF(M260&gt;=$E$3,"high volume","lower volume"))</f>
        <v>High price · lower volume</v>
      </c>
      <c r="AK260" s="15" t="str">
        <f aca="false">IF(O260&lt;&gt;"",IF(O260="Price ≤ $5","Excluded – price ≤ $5","Excluded – IV only"),IF(ISNUMBER(D260),IF(AND(D260&gt;=$C$3,L260&gt;=$H$3),"Priority 1",IF(OR(D260&gt;=$C$3,L260&gt;=$H$3),"Priority 2","Priority 3")),IF(L260&gt;=$H$3,"Priority 2","Priority 3")))</f>
        <v>Priority 2</v>
      </c>
      <c r="AL260" s="16" t="str">
        <f aca="false">IF(O260&lt;&gt;"","",IF(ISNUMBER(D260),IF(D260&gt;=$C$3,"High price","Lower price"),"Unpriced")&amp;" · "&amp;IF(L260&gt;=$H$3,"high volume","lower volume"))</f>
        <v>High price · lower volume</v>
      </c>
      <c r="AM260" s="14" t="n">
        <f aca="false">IF(O260&lt;&gt;"","",COUNTIFS($A$29:$A$361,A260,$O$29:$O$361,"",$AQ$29:$AQ$361,"&gt;"&amp;AQ260)+COUNTIFS($A$29:A260,A260,$O$29:O260,"",$AQ$29:AQ260,AQ260))</f>
        <v>3</v>
      </c>
      <c r="AN260" s="19" t="n">
        <f aca="false">IF(AND(O260="",ISNUMBER(D260)),D260,"")</f>
        <v>32.43</v>
      </c>
      <c r="AO260" s="20" t="n">
        <f aca="false">IF(O260="",M260,"")</f>
        <v>99</v>
      </c>
      <c r="AP260" s="20" t="n">
        <f aca="false">IF(O260="",L260,"")</f>
        <v>106</v>
      </c>
      <c r="AQ260" s="33" t="n">
        <f aca="false">IF(O260&lt;&gt;"","",(4-VALUE(RIGHT(AK260,1)))*10^7+N(N260))</f>
        <v>20007074.72</v>
      </c>
      <c r="AR260" s="33" t="n">
        <f aca="false">INDEX($O$7:$O$25,MATCH(A260,$I$7:$I$25,0))</f>
        <v>13</v>
      </c>
      <c r="AS260" s="33" t="n">
        <f aca="false">IF(AE260="No","",AR260*1000+IF(AM260="",900+COUNTIFS($A$29:A260,A260,$O$29:O260,"Price ≤ $5"),AM260))</f>
        <v>13003</v>
      </c>
    </row>
    <row r="261" customFormat="false" ht="41.75" hidden="false" customHeight="false" outlineLevel="0" collapsed="false">
      <c r="A261" s="15" t="s">
        <v>193</v>
      </c>
      <c r="B261" s="15" t="s">
        <v>646</v>
      </c>
      <c r="C261" s="16" t="s">
        <v>647</v>
      </c>
      <c r="D261" s="17" t="n">
        <f aca="false">IF(W261&gt;0,ROUND(AVERAGEIFS('Shortlisted Drugs X Company (7)'!$N$3:$N$698,'Shortlisted Drugs X Company (7)'!$C$3:$C$698,$B261,'Shortlisted Drugs X Company (7)'!$E$3:$E$698,$S261,'Shortlisted Drugs X Company (7)'!$N$3:$N$698,"&gt;5"),2),"")</f>
        <v>125.38</v>
      </c>
      <c r="E261" s="15" t="str">
        <f aca="false">IF(COUNTIFS('Shortlisted Drugs X Company (7)'!$C$3:$C$698,$B261,'Shortlisted Drugs X Company (7)'!$E$3:$E$698,$S261,'Shortlisted Drugs X Company (7)'!$P$3:$P$698,"Exact")&gt;0,"Exact",IF(COUNTIFS('Shortlisted Drugs X Company (7)'!$C$3:$C$698,$B261,'Shortlisted Drugs X Company (7)'!$E$3:$E$698,$S261,'Shortlisted Drugs X Company (7)'!$P$3:$P$698,"Same-market proxy")&gt;0,"Same-market proxy",IF(COUNTIFS('Shortlisted Drugs X Company (7)'!$C$3:$C$698,$B261,'Shortlisted Drugs X Company (7)'!$E$3:$E$698,$S261,'Shortlisted Drugs X Company (7)'!$P$3:$P$698,"Cross-market proxy")&gt;0,"Cross-market proxy",IF(COUNTIFS('Shortlisted Drugs X Company (7)'!$C$3:$C$698,$B261,'Shortlisted Drugs X Company (7)'!$E$3:$E$698,$S261,'Shortlisted Drugs X Company (7)'!$P$3:$P$698,"Source not found")&gt;0,"Source not found","Not priced"))))</f>
        <v>Exact</v>
      </c>
      <c r="F261" s="18" t="n">
        <f aca="false">IFERROR(ROUND(INDEX('Injectable Value'!$AA$28:$AA$178,MATCH(B261,'Injectable Value'!$A$28:$A$178,0)),1),"")</f>
        <v>184.9</v>
      </c>
      <c r="G261" s="16" t="s">
        <v>70</v>
      </c>
      <c r="H261" s="14" t="n">
        <v>1</v>
      </c>
      <c r="I261" s="15" t="s">
        <v>248</v>
      </c>
      <c r="J261" s="15" t="s">
        <v>249</v>
      </c>
      <c r="K261" s="16" t="str">
        <f aca="false">""&amp;IF(V261=0,"Unpriced","")&amp;IF(AND(V261&gt;0,W261=0,X261=0),"Low price from another market – confirm with company","")</f>
        <v/>
      </c>
      <c r="L261" s="18" t="n">
        <f aca="false">IFERROR(INDEX('Shortlisted Drugs X Company (7)'!$K$3:$K$698,MATCH(B261,'Shortlisted Drugs X Company (7)'!$C$3:$C$698,0)),"")</f>
        <v>188</v>
      </c>
      <c r="M261" s="18" t="n">
        <f aca="false">IFERROR(ROUND(L261*INDEX('Injectable Value'!$Z$28:$Z$178,MATCH(B261,'Injectable Value'!$A$28:$A$178,0)),0),"")</f>
        <v>132</v>
      </c>
      <c r="N261" s="18" t="n">
        <f aca="false">IFERROR(INDEX('Shortlisted Drugs X Company (7)'!$L$3:$L$698,MATCH(B261,'Shortlisted Drugs X Company (7)'!$C$3:$C$698,0)),"")</f>
        <v>262.84</v>
      </c>
      <c r="O261" s="15" t="str">
        <f aca="false">IF(AE261="No","IV only (not ID/IM/SC)",IF(AND(V261&gt;0,W261=0),"Price ≤ $5",""))</f>
        <v/>
      </c>
      <c r="P261" s="14" t="n">
        <f aca="false">IF(O261&lt;&gt;"","",COUNTIFS($A$29:$A$361,A261,$O$29:$O$361,"",$AC$29:$AC$361,"&gt;"&amp;AC261)+COUNTIFS($A$29:A261,A261,$O$29:O261,"",$AC$29:AC261,AC261))</f>
        <v>4</v>
      </c>
      <c r="Q261" s="15" t="str">
        <f aca="false">IF(O261&lt;&gt;"",IF(O261="Price ≤ $5","Excluded – price ≤ $5","Excluded – IV only"),IF(ISNUMBER(D261),IF(AND(D261&gt;=$C$3,M261&gt;=$E$3),"Priority 1",IF(OR(D261&gt;=$C$3,M261&gt;=$E$3),"Priority 2","Priority 3")),IF(M261&gt;=$E$3,"Priority 2","Priority 3")))</f>
        <v>Priority 2</v>
      </c>
      <c r="R261" s="16" t="s">
        <v>250</v>
      </c>
      <c r="S261" s="15" t="s">
        <v>193</v>
      </c>
      <c r="T261" s="32" t="s">
        <v>648</v>
      </c>
      <c r="U261" s="33" t="str">
        <f aca="false">B261&amp;"|"&amp;S261</f>
        <v>Testosterone Undecanoate|Lupin</v>
      </c>
      <c r="V261" s="34" t="n">
        <f aca="false">COUNTIFS('Shortlisted Drugs X Company (7)'!$C$3:$C$698,$B261,'Shortlisted Drugs X Company (7)'!$E$3:$E$698,$S261,'Shortlisted Drugs X Company (7)'!$N$3:$N$698,"&gt;=0")</f>
        <v>1</v>
      </c>
      <c r="W261" s="34" t="n">
        <f aca="false">COUNTIFS('Shortlisted Drugs X Company (7)'!$C$3:$C$698,$B261,'Shortlisted Drugs X Company (7)'!$E$3:$E$698,$S261,'Shortlisted Drugs X Company (7)'!$N$3:$N$698,"&gt;5")</f>
        <v>1</v>
      </c>
      <c r="X261" s="34" t="n">
        <f aca="false">COUNTIFS('Shortlisted Drugs X Company (7)'!$C$3:$C$698,$B261,'Shortlisted Drugs X Company (7)'!$E$3:$E$698,$S261,'Shortlisted Drugs X Company (7)'!$P$3:$P$698,"Exact")+COUNTIFS('Shortlisted Drugs X Company (7)'!$C$3:$C$698,$B261,'Shortlisted Drugs X Company (7)'!$E$3:$E$698,$S261,'Shortlisted Drugs X Company (7)'!$P$3:$P$698,"Same-market proxy")</f>
        <v>1</v>
      </c>
      <c r="Y261" s="33" t="str">
        <f aca="false">A261&amp;"|"&amp;P261</f>
        <v>Lupin|4</v>
      </c>
      <c r="Z261" s="16" t="s">
        <v>649</v>
      </c>
      <c r="AA261" s="33" t="n">
        <f aca="false">INDEX($G$7:$G$25,MATCH(A261,$A$7:$A$25,0))</f>
        <v>15</v>
      </c>
      <c r="AB261" s="33" t="n">
        <f aca="false">IF(AE261="No","",AA261*1000+IF(P261="",900+COUNTIFS($A$29:A261,A261,$O$29:O261,"Price ≤ $5"),P261))</f>
        <v>15004</v>
      </c>
      <c r="AC261" s="33" t="n">
        <f aca="false">IF(O261&lt;&gt;"","",(4-VALUE(RIGHT(Q261,1)))*10^7+N(F261))</f>
        <v>20000184.9</v>
      </c>
      <c r="AD261" s="15" t="str">
        <f aca="false">IFERROR(INDEX('Route of Administration'!$C$5:$C$155,MATCH(B261,'Route of Administration'!$A$5:$A$155,0)),"")</f>
        <v>IM</v>
      </c>
      <c r="AE261" s="14" t="str">
        <f aca="false">IFERROR(INDEX('Route of Administration'!$D$5:$D$155,MATCH(B261,'Route of Administration'!$A$5:$A$155,0)),"")</f>
        <v>Yes</v>
      </c>
      <c r="AF261" s="19" t="n">
        <f aca="false">IF(V261&gt;0,ROUND(AVERAGEIFS('Shortlisted Drugs X Company (7)'!$N$3:$N$698,'Shortlisted Drugs X Company (7)'!$C$3:$C$698,$B261,'Shortlisted Drugs X Company (7)'!$E$3:$E$698,$S261,'Shortlisted Drugs X Company (7)'!$N$3:$N$698,"&gt;=0"),2),"")</f>
        <v>125.38</v>
      </c>
      <c r="AG261" s="16" t="s">
        <v>1205</v>
      </c>
      <c r="AH261" s="16" t="s">
        <v>328</v>
      </c>
      <c r="AI261" s="16" t="s">
        <v>328</v>
      </c>
      <c r="AJ261" s="16" t="str">
        <f aca="false">IF(O261&lt;&gt;"","",IF(ISNUMBER(D261),IF(D261&gt;=$C$3,"High price","Lower price"),"Unpriced")&amp;" · "&amp;IF(M261&gt;=$E$3,"high volume","lower volume"))</f>
        <v>High price · lower volume</v>
      </c>
      <c r="AK261" s="15" t="str">
        <f aca="false">IF(O261&lt;&gt;"",IF(O261="Price ≤ $5","Excluded – price ≤ $5","Excluded – IV only"),IF(ISNUMBER(D261),IF(AND(D261&gt;=$C$3,L261&gt;=$H$3),"Priority 1",IF(OR(D261&gt;=$C$3,L261&gt;=$H$3),"Priority 2","Priority 3")),IF(L261&gt;=$H$3,"Priority 2","Priority 3")))</f>
        <v>Priority 2</v>
      </c>
      <c r="AL261" s="16" t="str">
        <f aca="false">IF(O261&lt;&gt;"","",IF(ISNUMBER(D261),IF(D261&gt;=$C$3,"High price","Lower price"),"Unpriced")&amp;" · "&amp;IF(L261&gt;=$H$3,"high volume","lower volume"))</f>
        <v>High price · lower volume</v>
      </c>
      <c r="AM261" s="14" t="n">
        <f aca="false">IF(O261&lt;&gt;"","",COUNTIFS($A$29:$A$361,A261,$O$29:$O$361,"",$AQ$29:$AQ$361,"&gt;"&amp;AQ261)+COUNTIFS($A$29:A261,A261,$O$29:O261,"",$AQ$29:AQ261,AQ261))</f>
        <v>4</v>
      </c>
      <c r="AN261" s="19" t="n">
        <f aca="false">IF(AND(O261="",ISNUMBER(D261)),D261,"")</f>
        <v>125.38</v>
      </c>
      <c r="AO261" s="20" t="n">
        <f aca="false">IF(O261="",M261,"")</f>
        <v>132</v>
      </c>
      <c r="AP261" s="20" t="n">
        <f aca="false">IF(O261="",L261,"")</f>
        <v>188</v>
      </c>
      <c r="AQ261" s="33" t="n">
        <f aca="false">IF(O261&lt;&gt;"","",(4-VALUE(RIGHT(AK261,1)))*10^7+N(N261))</f>
        <v>20000262.84</v>
      </c>
      <c r="AR261" s="33" t="n">
        <f aca="false">INDEX($O$7:$O$25,MATCH(A261,$I$7:$I$25,0))</f>
        <v>13</v>
      </c>
      <c r="AS261" s="33" t="n">
        <f aca="false">IF(AE261="No","",AR261*1000+IF(AM261="",900+COUNTIFS($A$29:A261,A261,$O$29:O261,"Price ≤ $5"),AM261))</f>
        <v>13004</v>
      </c>
    </row>
    <row r="262" customFormat="false" ht="41.75" hidden="false" customHeight="false" outlineLevel="0" collapsed="false">
      <c r="A262" s="15" t="s">
        <v>194</v>
      </c>
      <c r="B262" s="15" t="s">
        <v>305</v>
      </c>
      <c r="C262" s="16" t="s">
        <v>306</v>
      </c>
      <c r="D262" s="17" t="n">
        <f aca="false">IF(W262&gt;0,ROUND(AVERAGEIFS('Shortlisted Drugs X Company (7)'!$N$3:$N$698,'Shortlisted Drugs X Company (7)'!$C$3:$C$698,$B262,'Shortlisted Drugs X Company (7)'!$E$3:$E$698,$S262,'Shortlisted Drugs X Company (7)'!$N$3:$N$698,"&gt;5"),2),"")</f>
        <v>360.02</v>
      </c>
      <c r="E262" s="15" t="str">
        <f aca="false">IF(COUNTIFS('Shortlisted Drugs X Company (7)'!$C$3:$C$698,$B262,'Shortlisted Drugs X Company (7)'!$E$3:$E$698,$S262,'Shortlisted Drugs X Company (7)'!$P$3:$P$698,"Exact")&gt;0,"Exact",IF(COUNTIFS('Shortlisted Drugs X Company (7)'!$C$3:$C$698,$B262,'Shortlisted Drugs X Company (7)'!$E$3:$E$698,$S262,'Shortlisted Drugs X Company (7)'!$P$3:$P$698,"Same-market proxy")&gt;0,"Same-market proxy",IF(COUNTIFS('Shortlisted Drugs X Company (7)'!$C$3:$C$698,$B262,'Shortlisted Drugs X Company (7)'!$E$3:$E$698,$S262,'Shortlisted Drugs X Company (7)'!$P$3:$P$698,"Cross-market proxy")&gt;0,"Cross-market proxy",IF(COUNTIFS('Shortlisted Drugs X Company (7)'!$C$3:$C$698,$B262,'Shortlisted Drugs X Company (7)'!$E$3:$E$698,$S262,'Shortlisted Drugs X Company (7)'!$P$3:$P$698,"Source not found")&gt;0,"Source not found","Not priced"))))</f>
        <v>Exact</v>
      </c>
      <c r="F262" s="18" t="n">
        <f aca="false">IFERROR(ROUND(INDEX('Injectable Value'!$AA$28:$AA$178,MATCH(B262,'Injectable Value'!$A$28:$A$178,0)),1),"")</f>
        <v>28093.4</v>
      </c>
      <c r="G262" s="16" t="s">
        <v>823</v>
      </c>
      <c r="H262" s="14" t="n">
        <v>5</v>
      </c>
      <c r="I262" s="15" t="s">
        <v>248</v>
      </c>
      <c r="J262" s="15" t="s">
        <v>299</v>
      </c>
      <c r="K262" s="16" t="str">
        <f aca="false">"Cancer drug (cytotoxic) – less relevant; Reconstitution"&amp;IF(V262=0,"; Unpriced","")&amp;IF(AND(V262&gt;0,W262=0,X262=0),"; Low price from another market – confirm with company","")</f>
        <v>Cancer drug (cytotoxic) – less relevant; Reconstitution</v>
      </c>
      <c r="L262" s="18" t="n">
        <f aca="false">IFERROR(INDEX('Shortlisted Drugs X Company (7)'!$K$3:$K$698,MATCH(B262,'Shortlisted Drugs X Company (7)'!$C$3:$C$698,0)),"")</f>
        <v>905</v>
      </c>
      <c r="M262" s="18" t="n">
        <f aca="false">IFERROR(ROUND(L262*INDEX('Injectable Value'!$Z$28:$Z$178,MATCH(B262,'Injectable Value'!$A$28:$A$178,0)),0),"")</f>
        <v>905</v>
      </c>
      <c r="N262" s="18" t="n">
        <f aca="false">IFERROR(INDEX('Shortlisted Drugs X Company (7)'!$L$3:$L$698,MATCH(B262,'Shortlisted Drugs X Company (7)'!$C$3:$C$698,0)),"")</f>
        <v>28093.38</v>
      </c>
      <c r="O262" s="15" t="str">
        <f aca="false">IF(AE262="No","IV only (not ID/IM/SC)",IF(AND(V262&gt;0,W262=0),"Price ≤ $5",""))</f>
        <v/>
      </c>
      <c r="P262" s="14" t="n">
        <f aca="false">IF(O262&lt;&gt;"","",COUNTIFS($A$29:$A$361,A262,$O$29:$O$361,"",$AC$29:$AC$361,"&gt;"&amp;AC262)+COUNTIFS($A$29:A262,A262,$O$29:O262,"",$AC$29:AC262,AC262))</f>
        <v>1</v>
      </c>
      <c r="Q262" s="15" t="str">
        <f aca="false">IF(O262&lt;&gt;"",IF(O262="Price ≤ $5","Excluded – price ≤ $5","Excluded – IV only"),IF(ISNUMBER(D262),IF(AND(D262&gt;=$C$3,M262&gt;=$E$3),"Priority 1",IF(OR(D262&gt;=$C$3,M262&gt;=$E$3),"Priority 2","Priority 3")),IF(M262&gt;=$E$3,"Priority 2","Priority 3")))</f>
        <v>Priority 1</v>
      </c>
      <c r="R262" s="16" t="s">
        <v>250</v>
      </c>
      <c r="S262" s="15" t="s">
        <v>1206</v>
      </c>
      <c r="T262" s="32" t="s">
        <v>308</v>
      </c>
      <c r="U262" s="33" t="str">
        <f aca="false">B262&amp;"|"&amp;S262</f>
        <v>Bortezomib|MSN Laboratories</v>
      </c>
      <c r="V262" s="34" t="n">
        <f aca="false">COUNTIFS('Shortlisted Drugs X Company (7)'!$C$3:$C$698,$B262,'Shortlisted Drugs X Company (7)'!$E$3:$E$698,$S262,'Shortlisted Drugs X Company (7)'!$N$3:$N$698,"&gt;=0")</f>
        <v>4</v>
      </c>
      <c r="W262" s="34" t="n">
        <f aca="false">COUNTIFS('Shortlisted Drugs X Company (7)'!$C$3:$C$698,$B262,'Shortlisted Drugs X Company (7)'!$E$3:$E$698,$S262,'Shortlisted Drugs X Company (7)'!$N$3:$N$698,"&gt;5")</f>
        <v>4</v>
      </c>
      <c r="X262" s="34" t="n">
        <f aca="false">COUNTIFS('Shortlisted Drugs X Company (7)'!$C$3:$C$698,$B262,'Shortlisted Drugs X Company (7)'!$E$3:$E$698,$S262,'Shortlisted Drugs X Company (7)'!$P$3:$P$698,"Exact")+COUNTIFS('Shortlisted Drugs X Company (7)'!$C$3:$C$698,$B262,'Shortlisted Drugs X Company (7)'!$E$3:$E$698,$S262,'Shortlisted Drugs X Company (7)'!$P$3:$P$698,"Same-market proxy")</f>
        <v>4</v>
      </c>
      <c r="Y262" s="33" t="str">
        <f aca="false">A262&amp;"|"&amp;P262</f>
        <v>MSN|1</v>
      </c>
      <c r="Z262" s="16" t="s">
        <v>309</v>
      </c>
      <c r="AA262" s="33" t="n">
        <f aca="false">INDEX($G$7:$G$25,MATCH(A262,$A$7:$A$25,0))</f>
        <v>11</v>
      </c>
      <c r="AB262" s="33" t="n">
        <f aca="false">IF(AE262="No","",AA262*1000+IF(P262="",900+COUNTIFS($A$29:A262,A262,$O$29:O262,"Price ≤ $5"),P262))</f>
        <v>11001</v>
      </c>
      <c r="AC262" s="33" t="n">
        <f aca="false">IF(O262&lt;&gt;"","",(4-VALUE(RIGHT(Q262,1)))*10^7+N(F262))</f>
        <v>30028093.4</v>
      </c>
      <c r="AD262" s="15" t="str">
        <f aca="false">IFERROR(INDEX('Route of Administration'!$C$5:$C$155,MATCH(B262,'Route of Administration'!$A$5:$A$155,0)),"")</f>
        <v>IV, SC</v>
      </c>
      <c r="AE262" s="14" t="str">
        <f aca="false">IFERROR(INDEX('Route of Administration'!$D$5:$D$155,MATCH(B262,'Route of Administration'!$A$5:$A$155,0)),"")</f>
        <v>Yes</v>
      </c>
      <c r="AF262" s="19" t="n">
        <f aca="false">IF(V262&gt;0,ROUND(AVERAGEIFS('Shortlisted Drugs X Company (7)'!$N$3:$N$698,'Shortlisted Drugs X Company (7)'!$C$3:$C$698,$B262,'Shortlisted Drugs X Company (7)'!$E$3:$E$698,$S262,'Shortlisted Drugs X Company (7)'!$N$3:$N$698,"&gt;=0"),2),"")</f>
        <v>360.02</v>
      </c>
      <c r="AG262" s="16" t="s">
        <v>1207</v>
      </c>
      <c r="AH262" s="16" t="s">
        <v>1208</v>
      </c>
      <c r="AI262" s="16" t="s">
        <v>1208</v>
      </c>
      <c r="AJ262" s="16" t="str">
        <f aca="false">IF(O262&lt;&gt;"","",IF(ISNUMBER(D262),IF(D262&gt;=$C$3,"High price","Lower price"),"Unpriced")&amp;" · "&amp;IF(M262&gt;=$E$3,"high volume","lower volume"))</f>
        <v>High price · high volume</v>
      </c>
      <c r="AK262" s="15" t="str">
        <f aca="false">IF(O262&lt;&gt;"",IF(O262="Price ≤ $5","Excluded – price ≤ $5","Excluded – IV only"),IF(ISNUMBER(D262),IF(AND(D262&gt;=$C$3,L262&gt;=$H$3),"Priority 1",IF(OR(D262&gt;=$C$3,L262&gt;=$H$3),"Priority 2","Priority 3")),IF(L262&gt;=$H$3,"Priority 2","Priority 3")))</f>
        <v>Priority 1</v>
      </c>
      <c r="AL262" s="16" t="str">
        <f aca="false">IF(O262&lt;&gt;"","",IF(ISNUMBER(D262),IF(D262&gt;=$C$3,"High price","Lower price"),"Unpriced")&amp;" · "&amp;IF(L262&gt;=$H$3,"high volume","lower volume"))</f>
        <v>High price · high volume</v>
      </c>
      <c r="AM262" s="14" t="n">
        <f aca="false">IF(O262&lt;&gt;"","",COUNTIFS($A$29:$A$361,A262,$O$29:$O$361,"",$AQ$29:$AQ$361,"&gt;"&amp;AQ262)+COUNTIFS($A$29:A262,A262,$O$29:O262,"",$AQ$29:AQ262,AQ262))</f>
        <v>1</v>
      </c>
      <c r="AN262" s="19" t="n">
        <f aca="false">IF(AND(O262="",ISNUMBER(D262)),D262,"")</f>
        <v>360.02</v>
      </c>
      <c r="AO262" s="20" t="n">
        <f aca="false">IF(O262="",M262,"")</f>
        <v>905</v>
      </c>
      <c r="AP262" s="20" t="n">
        <f aca="false">IF(O262="",L262,"")</f>
        <v>905</v>
      </c>
      <c r="AQ262" s="33" t="n">
        <f aca="false">IF(O262&lt;&gt;"","",(4-VALUE(RIGHT(AK262,1)))*10^7+N(N262))</f>
        <v>30028093.38</v>
      </c>
      <c r="AR262" s="33" t="n">
        <f aca="false">INDEX($O$7:$O$25,MATCH(A262,$I$7:$I$25,0))</f>
        <v>11</v>
      </c>
      <c r="AS262" s="33" t="n">
        <f aca="false">IF(AE262="No","",AR262*1000+IF(AM262="",900+COUNTIFS($A$29:A262,A262,$O$29:O262,"Price ≤ $5"),AM262))</f>
        <v>11001</v>
      </c>
    </row>
    <row r="263" customFormat="false" ht="28.35" hidden="false" customHeight="false" outlineLevel="0" collapsed="false">
      <c r="A263" s="15" t="s">
        <v>194</v>
      </c>
      <c r="B263" s="15" t="s">
        <v>844</v>
      </c>
      <c r="C263" s="16" t="s">
        <v>845</v>
      </c>
      <c r="D263" s="17" t="n">
        <f aca="false">IF(W263&gt;0,ROUND(AVERAGEIFS('Shortlisted Drugs X Company (7)'!$N$3:$N$698,'Shortlisted Drugs X Company (7)'!$C$3:$C$698,$B263,'Shortlisted Drugs X Company (7)'!$E$3:$E$698,$S263,'Shortlisted Drugs X Company (7)'!$N$3:$N$698,"&gt;5"),2),"")</f>
        <v>51.79</v>
      </c>
      <c r="E263" s="15" t="str">
        <f aca="false">IF(COUNTIFS('Shortlisted Drugs X Company (7)'!$C$3:$C$698,$B263,'Shortlisted Drugs X Company (7)'!$E$3:$E$698,$S263,'Shortlisted Drugs X Company (7)'!$P$3:$P$698,"Exact")&gt;0,"Exact",IF(COUNTIFS('Shortlisted Drugs X Company (7)'!$C$3:$C$698,$B263,'Shortlisted Drugs X Company (7)'!$E$3:$E$698,$S263,'Shortlisted Drugs X Company (7)'!$P$3:$P$698,"Same-market proxy")&gt;0,"Same-market proxy",IF(COUNTIFS('Shortlisted Drugs X Company (7)'!$C$3:$C$698,$B263,'Shortlisted Drugs X Company (7)'!$E$3:$E$698,$S263,'Shortlisted Drugs X Company (7)'!$P$3:$P$698,"Cross-market proxy")&gt;0,"Cross-market proxy",IF(COUNTIFS('Shortlisted Drugs X Company (7)'!$C$3:$C$698,$B263,'Shortlisted Drugs X Company (7)'!$E$3:$E$698,$S263,'Shortlisted Drugs X Company (7)'!$P$3:$P$698,"Source not found")&gt;0,"Source not found","Not priced"))))</f>
        <v>Same-market proxy</v>
      </c>
      <c r="F263" s="18" t="n">
        <f aca="false">IFERROR(ROUND(INDEX('Injectable Value'!$AA$28:$AA$178,MATCH(B263,'Injectable Value'!$A$28:$A$178,0)),1),"")</f>
        <v>21.8</v>
      </c>
      <c r="G263" s="16" t="s">
        <v>247</v>
      </c>
      <c r="H263" s="14" t="n">
        <v>1</v>
      </c>
      <c r="I263" s="15" t="s">
        <v>248</v>
      </c>
      <c r="J263" s="15" t="s">
        <v>249</v>
      </c>
      <c r="K263" s="16" t="str">
        <f aca="false">""&amp;IF(V263=0,"Unpriced","")&amp;IF(AND(V263&gt;0,W263=0,X263=0),"Low price from another market – confirm with company","")</f>
        <v/>
      </c>
      <c r="L263" s="18" t="n">
        <f aca="false">IFERROR(INDEX('Shortlisted Drugs X Company (7)'!$K$3:$K$698,MATCH(B263,'Shortlisted Drugs X Company (7)'!$C$3:$C$698,0)),"")</f>
        <v>45</v>
      </c>
      <c r="M263" s="18" t="n">
        <f aca="false">IFERROR(ROUND(L263*INDEX('Injectable Value'!$Z$28:$Z$178,MATCH(B263,'Injectable Value'!$A$28:$A$178,0)),0),"")</f>
        <v>4</v>
      </c>
      <c r="N263" s="18" t="n">
        <f aca="false">IFERROR(INDEX('Shortlisted Drugs X Company (7)'!$L$3:$L$698,MATCH(B263,'Shortlisted Drugs X Company (7)'!$C$3:$C$698,0)),"")</f>
        <v>263.65</v>
      </c>
      <c r="O263" s="15" t="str">
        <f aca="false">IF(AE263="No","IV only (not ID/IM/SC)",IF(AND(V263&gt;0,W263=0),"Price ≤ $5",""))</f>
        <v>IV only (not ID/IM/SC)</v>
      </c>
      <c r="P263" s="14" t="str">
        <f aca="false">IF(O263&lt;&gt;"","",COUNTIFS($A$29:$A$361,A263,$O$29:$O$361,"",$AC$29:$AC$361,"&gt;"&amp;AC263)+COUNTIFS($A$29:A263,A263,$O$29:O263,"",$AC$29:AC263,AC263))</f>
        <v/>
      </c>
      <c r="Q263" s="15" t="str">
        <f aca="false">IF(O263&lt;&gt;"",IF(O263="Price ≤ $5","Excluded – price ≤ $5","Excluded – IV only"),IF(ISNUMBER(D263),IF(AND(D263&gt;=$C$3,M263&gt;=$E$3),"Priority 1",IF(OR(D263&gt;=$C$3,M263&gt;=$E$3),"Priority 2","Priority 3")),IF(M263&gt;=$E$3,"Priority 2","Priority 3")))</f>
        <v>Excluded – IV only</v>
      </c>
      <c r="R263" s="16" t="s">
        <v>250</v>
      </c>
      <c r="S263" s="15" t="s">
        <v>1206</v>
      </c>
      <c r="T263" s="32" t="s">
        <v>846</v>
      </c>
      <c r="U263" s="33" t="str">
        <f aca="false">B263&amp;"|"&amp;S263</f>
        <v>Brivaracetam|MSN Laboratories</v>
      </c>
      <c r="V263" s="34" t="n">
        <f aca="false">COUNTIFS('Shortlisted Drugs X Company (7)'!$C$3:$C$698,$B263,'Shortlisted Drugs X Company (7)'!$E$3:$E$698,$S263,'Shortlisted Drugs X Company (7)'!$N$3:$N$698,"&gt;=0")</f>
        <v>1</v>
      </c>
      <c r="W263" s="34" t="n">
        <f aca="false">COUNTIFS('Shortlisted Drugs X Company (7)'!$C$3:$C$698,$B263,'Shortlisted Drugs X Company (7)'!$E$3:$E$698,$S263,'Shortlisted Drugs X Company (7)'!$N$3:$N$698,"&gt;5")</f>
        <v>1</v>
      </c>
      <c r="X263" s="34" t="n">
        <f aca="false">COUNTIFS('Shortlisted Drugs X Company (7)'!$C$3:$C$698,$B263,'Shortlisted Drugs X Company (7)'!$E$3:$E$698,$S263,'Shortlisted Drugs X Company (7)'!$P$3:$P$698,"Exact")+COUNTIFS('Shortlisted Drugs X Company (7)'!$C$3:$C$698,$B263,'Shortlisted Drugs X Company (7)'!$E$3:$E$698,$S263,'Shortlisted Drugs X Company (7)'!$P$3:$P$698,"Same-market proxy")</f>
        <v>1</v>
      </c>
      <c r="Y263" s="33" t="str">
        <f aca="false">A263&amp;"|"&amp;P263</f>
        <v>MSN|</v>
      </c>
      <c r="Z263" s="16" t="s">
        <v>847</v>
      </c>
      <c r="AA263" s="33" t="n">
        <f aca="false">INDEX($G$7:$G$25,MATCH(A263,$A$7:$A$25,0))</f>
        <v>11</v>
      </c>
      <c r="AB263" s="33" t="str">
        <f aca="false">IF(AE263="No","",AA263*1000+IF(P263="",900+COUNTIFS($A$29:A263,A263,$O$29:O263,"Price ≤ $5"),P263))</f>
        <v/>
      </c>
      <c r="AC263" s="33" t="str">
        <f aca="false">IF(O263&lt;&gt;"","",(4-VALUE(RIGHT(Q263,1)))*10^7+N(F263))</f>
        <v/>
      </c>
      <c r="AD263" s="15" t="str">
        <f aca="false">IFERROR(INDEX('Route of Administration'!$C$5:$C$155,MATCH(B263,'Route of Administration'!$A$5:$A$155,0)),"")</f>
        <v>IV</v>
      </c>
      <c r="AE263" s="14" t="str">
        <f aca="false">IFERROR(INDEX('Route of Administration'!$D$5:$D$155,MATCH(B263,'Route of Administration'!$A$5:$A$155,0)),"")</f>
        <v>No</v>
      </c>
      <c r="AF263" s="19" t="n">
        <f aca="false">IF(V263&gt;0,ROUND(AVERAGEIFS('Shortlisted Drugs X Company (7)'!$N$3:$N$698,'Shortlisted Drugs X Company (7)'!$C$3:$C$698,$B263,'Shortlisted Drugs X Company (7)'!$E$3:$E$698,$S263,'Shortlisted Drugs X Company (7)'!$N$3:$N$698,"&gt;=0"),2),"")</f>
        <v>51.79</v>
      </c>
      <c r="AG263" s="16" t="s">
        <v>844</v>
      </c>
      <c r="AH263" s="16" t="s">
        <v>247</v>
      </c>
      <c r="AI263" s="16" t="s">
        <v>247</v>
      </c>
      <c r="AJ263" s="16" t="str">
        <f aca="false">IF(O263&lt;&gt;"","",IF(ISNUMBER(D263),IF(D263&gt;=$C$3,"High price","Lower price"),"Unpriced")&amp;" · "&amp;IF(M263&gt;=$E$3,"high volume","lower volume"))</f>
        <v/>
      </c>
      <c r="AK263" s="15" t="str">
        <f aca="false">IF(O263&lt;&gt;"",IF(O263="Price ≤ $5","Excluded – price ≤ $5","Excluded – IV only"),IF(ISNUMBER(D263),IF(AND(D263&gt;=$C$3,L263&gt;=$H$3),"Priority 1",IF(OR(D263&gt;=$C$3,L263&gt;=$H$3),"Priority 2","Priority 3")),IF(L263&gt;=$H$3,"Priority 2","Priority 3")))</f>
        <v>Excluded – IV only</v>
      </c>
      <c r="AL263" s="16" t="str">
        <f aca="false">IF(O263&lt;&gt;"","",IF(ISNUMBER(D263),IF(D263&gt;=$C$3,"High price","Lower price"),"Unpriced")&amp;" · "&amp;IF(L263&gt;=$H$3,"high volume","lower volume"))</f>
        <v/>
      </c>
      <c r="AM263" s="14" t="str">
        <f aca="false">IF(O263&lt;&gt;"","",COUNTIFS($A$29:$A$361,A263,$O$29:$O$361,"",$AQ$29:$AQ$361,"&gt;"&amp;AQ263)+COUNTIFS($A$29:A263,A263,$O$29:O263,"",$AQ$29:AQ263,AQ263))</f>
        <v/>
      </c>
      <c r="AN263" s="33" t="str">
        <f aca="false">IF(AND(O263="",ISNUMBER(D263)),D263,"")</f>
        <v/>
      </c>
      <c r="AO263" s="33" t="str">
        <f aca="false">IF(O263="",M263,"")</f>
        <v/>
      </c>
      <c r="AP263" s="33" t="str">
        <f aca="false">IF(O263="",L263,"")</f>
        <v/>
      </c>
      <c r="AQ263" s="33" t="str">
        <f aca="false">IF(O263&lt;&gt;"","",(4-VALUE(RIGHT(AK263,1)))*10^7+N(N263))</f>
        <v/>
      </c>
      <c r="AR263" s="33" t="n">
        <f aca="false">INDEX($O$7:$O$25,MATCH(A263,$I$7:$I$25,0))</f>
        <v>11</v>
      </c>
      <c r="AS263" s="33" t="str">
        <f aca="false">IF(AE263="No","",AR263*1000+IF(AM263="",900+COUNTIFS($A$29:A263,A263,$O$29:O263,"Price ≤ $5"),AM263))</f>
        <v/>
      </c>
    </row>
    <row r="264" customFormat="false" ht="41.75" hidden="false" customHeight="false" outlineLevel="0" collapsed="false">
      <c r="A264" s="15" t="s">
        <v>194</v>
      </c>
      <c r="B264" s="15" t="s">
        <v>343</v>
      </c>
      <c r="C264" s="16" t="s">
        <v>344</v>
      </c>
      <c r="D264" s="17" t="n">
        <f aca="false">IF(W264&gt;0,ROUND(AVERAGEIFS('Shortlisted Drugs X Company (7)'!$N$3:$N$698,'Shortlisted Drugs X Company (7)'!$C$3:$C$698,$B264,'Shortlisted Drugs X Company (7)'!$E$3:$E$698,$S264,'Shortlisted Drugs X Company (7)'!$N$3:$N$698,"&gt;5"),2),"")</f>
        <v>14.96</v>
      </c>
      <c r="E264" s="15" t="str">
        <f aca="false">IF(COUNTIFS('Shortlisted Drugs X Company (7)'!$C$3:$C$698,$B264,'Shortlisted Drugs X Company (7)'!$E$3:$E$698,$S264,'Shortlisted Drugs X Company (7)'!$P$3:$P$698,"Exact")&gt;0,"Exact",IF(COUNTIFS('Shortlisted Drugs X Company (7)'!$C$3:$C$698,$B264,'Shortlisted Drugs X Company (7)'!$E$3:$E$698,$S264,'Shortlisted Drugs X Company (7)'!$P$3:$P$698,"Same-market proxy")&gt;0,"Same-market proxy",IF(COUNTIFS('Shortlisted Drugs X Company (7)'!$C$3:$C$698,$B264,'Shortlisted Drugs X Company (7)'!$E$3:$E$698,$S264,'Shortlisted Drugs X Company (7)'!$P$3:$P$698,"Cross-market proxy")&gt;0,"Cross-market proxy",IF(COUNTIFS('Shortlisted Drugs X Company (7)'!$C$3:$C$698,$B264,'Shortlisted Drugs X Company (7)'!$E$3:$E$698,$S264,'Shortlisted Drugs X Company (7)'!$P$3:$P$698,"Source not found")&gt;0,"Source not found","Not priced"))))</f>
        <v>Same-market proxy</v>
      </c>
      <c r="F264" s="18" t="n">
        <f aca="false">IFERROR(ROUND(INDEX('Injectable Value'!$AA$28:$AA$178,MATCH(B264,'Injectable Value'!$A$28:$A$178,0)),1),"")</f>
        <v>1358.2</v>
      </c>
      <c r="G264" s="16" t="s">
        <v>247</v>
      </c>
      <c r="H264" s="14" t="n">
        <v>1</v>
      </c>
      <c r="I264" s="15" t="s">
        <v>248</v>
      </c>
      <c r="J264" s="15" t="s">
        <v>249</v>
      </c>
      <c r="K264" s="16" t="str">
        <f aca="false">""&amp;IF(V264=0,"Unpriced","")&amp;IF(AND(V264&gt;0,W264=0,X264=0),"Low price from another market – confirm with company","")</f>
        <v/>
      </c>
      <c r="L264" s="18" t="n">
        <f aca="false">IFERROR(INDEX('Shortlisted Drugs X Company (7)'!$K$3:$K$698,MATCH(B264,'Shortlisted Drugs X Company (7)'!$C$3:$C$698,0)),"")</f>
        <v>472</v>
      </c>
      <c r="M264" s="18" t="n">
        <f aca="false">IFERROR(ROUND(L264*INDEX('Injectable Value'!$Z$28:$Z$178,MATCH(B264,'Injectable Value'!$A$28:$A$178,0)),0),"")</f>
        <v>82</v>
      </c>
      <c r="N264" s="18" t="n">
        <f aca="false">IFERROR(INDEX('Shortlisted Drugs X Company (7)'!$L$3:$L$698,MATCH(B264,'Shortlisted Drugs X Company (7)'!$C$3:$C$698,0)),"")</f>
        <v>7831.08</v>
      </c>
      <c r="O264" s="15" t="str">
        <f aca="false">IF(AE264="No","IV only (not ID/IM/SC)",IF(AND(V264&gt;0,W264=0),"Price ≤ $5",""))</f>
        <v/>
      </c>
      <c r="P264" s="14" t="n">
        <f aca="false">IF(O264&lt;&gt;"","",COUNTIFS($A$29:$A$361,A264,$O$29:$O$361,"",$AC$29:$AC$361,"&gt;"&amp;AC264)+COUNTIFS($A$29:A264,A264,$O$29:O264,"",$AC$29:AC264,AC264))</f>
        <v>4</v>
      </c>
      <c r="Q264" s="15" t="str">
        <f aca="false">IF(O264&lt;&gt;"",IF(O264="Price ≤ $5","Excluded – price ≤ $5","Excluded – IV only"),IF(ISNUMBER(D264),IF(AND(D264&gt;=$C$3,M264&gt;=$E$3),"Priority 1",IF(OR(D264&gt;=$C$3,M264&gt;=$E$3),"Priority 2","Priority 3")),IF(M264&gt;=$E$3,"Priority 2","Priority 3")))</f>
        <v>Priority 3</v>
      </c>
      <c r="R264" s="16" t="s">
        <v>250</v>
      </c>
      <c r="S264" s="15" t="s">
        <v>1206</v>
      </c>
      <c r="T264" s="32" t="s">
        <v>345</v>
      </c>
      <c r="U264" s="33" t="str">
        <f aca="false">B264&amp;"|"&amp;S264</f>
        <v>Chlorpromazine|MSN Laboratories</v>
      </c>
      <c r="V264" s="34" t="n">
        <f aca="false">COUNTIFS('Shortlisted Drugs X Company (7)'!$C$3:$C$698,$B264,'Shortlisted Drugs X Company (7)'!$E$3:$E$698,$S264,'Shortlisted Drugs X Company (7)'!$N$3:$N$698,"&gt;=0")</f>
        <v>1</v>
      </c>
      <c r="W264" s="34" t="n">
        <f aca="false">COUNTIFS('Shortlisted Drugs X Company (7)'!$C$3:$C$698,$B264,'Shortlisted Drugs X Company (7)'!$E$3:$E$698,$S264,'Shortlisted Drugs X Company (7)'!$N$3:$N$698,"&gt;5")</f>
        <v>1</v>
      </c>
      <c r="X264" s="34" t="n">
        <f aca="false">COUNTIFS('Shortlisted Drugs X Company (7)'!$C$3:$C$698,$B264,'Shortlisted Drugs X Company (7)'!$E$3:$E$698,$S264,'Shortlisted Drugs X Company (7)'!$P$3:$P$698,"Exact")+COUNTIFS('Shortlisted Drugs X Company (7)'!$C$3:$C$698,$B264,'Shortlisted Drugs X Company (7)'!$E$3:$E$698,$S264,'Shortlisted Drugs X Company (7)'!$P$3:$P$698,"Same-market proxy")</f>
        <v>1</v>
      </c>
      <c r="Y264" s="33" t="str">
        <f aca="false">A264&amp;"|"&amp;P264</f>
        <v>MSN|4</v>
      </c>
      <c r="Z264" s="16" t="s">
        <v>850</v>
      </c>
      <c r="AA264" s="33" t="n">
        <f aca="false">INDEX($G$7:$G$25,MATCH(A264,$A$7:$A$25,0))</f>
        <v>11</v>
      </c>
      <c r="AB264" s="33" t="n">
        <f aca="false">IF(AE264="No","",AA264*1000+IF(P264="",900+COUNTIFS($A$29:A264,A264,$O$29:O264,"Price ≤ $5"),P264))</f>
        <v>11004</v>
      </c>
      <c r="AC264" s="33" t="n">
        <f aca="false">IF(O264&lt;&gt;"","",(4-VALUE(RIGHT(Q264,1)))*10^7+N(F264))</f>
        <v>10001358.2</v>
      </c>
      <c r="AD264" s="15" t="str">
        <f aca="false">IFERROR(INDEX('Route of Administration'!$C$5:$C$155,MATCH(B264,'Route of Administration'!$A$5:$A$155,0)),"")</f>
        <v>IM</v>
      </c>
      <c r="AE264" s="14" t="str">
        <f aca="false">IFERROR(INDEX('Route of Administration'!$D$5:$D$155,MATCH(B264,'Route of Administration'!$A$5:$A$155,0)),"")</f>
        <v>Yes</v>
      </c>
      <c r="AF264" s="19" t="n">
        <f aca="false">IF(V264&gt;0,ROUND(AVERAGEIFS('Shortlisted Drugs X Company (7)'!$N$3:$N$698,'Shortlisted Drugs X Company (7)'!$C$3:$C$698,$B264,'Shortlisted Drugs X Company (7)'!$E$3:$E$698,$S264,'Shortlisted Drugs X Company (7)'!$N$3:$N$698,"&gt;=0"),2),"")</f>
        <v>14.96</v>
      </c>
      <c r="AG264" s="16" t="s">
        <v>347</v>
      </c>
      <c r="AH264" s="16" t="s">
        <v>247</v>
      </c>
      <c r="AI264" s="16" t="s">
        <v>247</v>
      </c>
      <c r="AJ264" s="16" t="str">
        <f aca="false">IF(O264&lt;&gt;"","",IF(ISNUMBER(D264),IF(D264&gt;=$C$3,"High price","Lower price"),"Unpriced")&amp;" · "&amp;IF(M264&gt;=$E$3,"high volume","lower volume"))</f>
        <v>Lower price · lower volume</v>
      </c>
      <c r="AK264" s="15" t="str">
        <f aca="false">IF(O264&lt;&gt;"",IF(O264="Price ≤ $5","Excluded – price ≤ $5","Excluded – IV only"),IF(ISNUMBER(D264),IF(AND(D264&gt;=$C$3,L264&gt;=$H$3),"Priority 1",IF(OR(D264&gt;=$C$3,L264&gt;=$H$3),"Priority 2","Priority 3")),IF(L264&gt;=$H$3,"Priority 2","Priority 3")))</f>
        <v>Priority 2</v>
      </c>
      <c r="AL264" s="16" t="str">
        <f aca="false">IF(O264&lt;&gt;"","",IF(ISNUMBER(D264),IF(D264&gt;=$C$3,"High price","Lower price"),"Unpriced")&amp;" · "&amp;IF(L264&gt;=$H$3,"high volume","lower volume"))</f>
        <v>Lower price · high volume</v>
      </c>
      <c r="AM264" s="14" t="n">
        <f aca="false">IF(O264&lt;&gt;"","",COUNTIFS($A$29:$A$361,A264,$O$29:$O$361,"",$AQ$29:$AQ$361,"&gt;"&amp;AQ264)+COUNTIFS($A$29:A264,A264,$O$29:O264,"",$AQ$29:AQ264,AQ264))</f>
        <v>3</v>
      </c>
      <c r="AN264" s="19" t="n">
        <f aca="false">IF(AND(O264="",ISNUMBER(D264)),D264,"")</f>
        <v>14.96</v>
      </c>
      <c r="AO264" s="20" t="n">
        <f aca="false">IF(O264="",M264,"")</f>
        <v>82</v>
      </c>
      <c r="AP264" s="20" t="n">
        <f aca="false">IF(O264="",L264,"")</f>
        <v>472</v>
      </c>
      <c r="AQ264" s="33" t="n">
        <f aca="false">IF(O264&lt;&gt;"","",(4-VALUE(RIGHT(AK264,1)))*10^7+N(N264))</f>
        <v>20007831.08</v>
      </c>
      <c r="AR264" s="33" t="n">
        <f aca="false">INDEX($O$7:$O$25,MATCH(A264,$I$7:$I$25,0))</f>
        <v>11</v>
      </c>
      <c r="AS264" s="33" t="n">
        <f aca="false">IF(AE264="No","",AR264*1000+IF(AM264="",900+COUNTIFS($A$29:A264,A264,$O$29:O264,"Price ≤ $5"),AM264))</f>
        <v>11003</v>
      </c>
    </row>
    <row r="265" customFormat="false" ht="41.75" hidden="false" customHeight="false" outlineLevel="0" collapsed="false">
      <c r="A265" s="15" t="s">
        <v>194</v>
      </c>
      <c r="B265" s="15" t="s">
        <v>412</v>
      </c>
      <c r="C265" s="16" t="s">
        <v>413</v>
      </c>
      <c r="D265" s="17" t="n">
        <f aca="false">IF(W265&gt;0,ROUND(AVERAGEIFS('Shortlisted Drugs X Company (7)'!$N$3:$N$698,'Shortlisted Drugs X Company (7)'!$C$3:$C$698,$B265,'Shortlisted Drugs X Company (7)'!$E$3:$E$698,$S265,'Shortlisted Drugs X Company (7)'!$N$3:$N$698,"&gt;5"),2),"")</f>
        <v>54.55</v>
      </c>
      <c r="E265" s="15" t="str">
        <f aca="false">IF(COUNTIFS('Shortlisted Drugs X Company (7)'!$C$3:$C$698,$B265,'Shortlisted Drugs X Company (7)'!$E$3:$E$698,$S265,'Shortlisted Drugs X Company (7)'!$P$3:$P$698,"Exact")&gt;0,"Exact",IF(COUNTIFS('Shortlisted Drugs X Company (7)'!$C$3:$C$698,$B265,'Shortlisted Drugs X Company (7)'!$E$3:$E$698,$S265,'Shortlisted Drugs X Company (7)'!$P$3:$P$698,"Same-market proxy")&gt;0,"Same-market proxy",IF(COUNTIFS('Shortlisted Drugs X Company (7)'!$C$3:$C$698,$B265,'Shortlisted Drugs X Company (7)'!$E$3:$E$698,$S265,'Shortlisted Drugs X Company (7)'!$P$3:$P$698,"Cross-market proxy")&gt;0,"Cross-market proxy",IF(COUNTIFS('Shortlisted Drugs X Company (7)'!$C$3:$C$698,$B265,'Shortlisted Drugs X Company (7)'!$E$3:$E$698,$S265,'Shortlisted Drugs X Company (7)'!$P$3:$P$698,"Source not found")&gt;0,"Source not found","Not priced"))))</f>
        <v>Same-market proxy</v>
      </c>
      <c r="F265" s="18" t="n">
        <f aca="false">IFERROR(ROUND(INDEX('Injectable Value'!$AA$28:$AA$178,MATCH(B265,'Injectable Value'!$A$28:$A$178,0)),1),"")</f>
        <v>3407.5</v>
      </c>
      <c r="G265" s="16" t="s">
        <v>247</v>
      </c>
      <c r="H265" s="14" t="n">
        <v>1</v>
      </c>
      <c r="I265" s="15" t="s">
        <v>248</v>
      </c>
      <c r="J265" s="15" t="s">
        <v>249</v>
      </c>
      <c r="K265" s="16" t="str">
        <f aca="false">""&amp;IF(V265=0,"Unpriced","")&amp;IF(AND(V265&gt;0,W265=0,X265=0),"Low price from another market – confirm with company","")</f>
        <v/>
      </c>
      <c r="L265" s="18" t="n">
        <f aca="false">IFERROR(INDEX('Shortlisted Drugs X Company (7)'!$K$3:$K$698,MATCH(B265,'Shortlisted Drugs X Company (7)'!$C$3:$C$698,0)),"")</f>
        <v>126</v>
      </c>
      <c r="M265" s="18" t="n">
        <f aca="false">IFERROR(ROUND(L265*INDEX('Injectable Value'!$Z$28:$Z$178,MATCH(B265,'Injectable Value'!$A$28:$A$178,0)),0),"")</f>
        <v>126</v>
      </c>
      <c r="N265" s="18" t="n">
        <f aca="false">IFERROR(INDEX('Shortlisted Drugs X Company (7)'!$L$3:$L$698,MATCH(B265,'Shortlisted Drugs X Company (7)'!$C$3:$C$698,0)),"")</f>
        <v>3407.51</v>
      </c>
      <c r="O265" s="15" t="str">
        <f aca="false">IF(AE265="No","IV only (not ID/IM/SC)",IF(AND(V265&gt;0,W265=0),"Price ≤ $5",""))</f>
        <v/>
      </c>
      <c r="P265" s="14" t="n">
        <f aca="false">IF(O265&lt;&gt;"","",COUNTIFS($A$29:$A$361,A265,$O$29:$O$361,"",$AC$29:$AC$361,"&gt;"&amp;AC265)+COUNTIFS($A$29:A265,A265,$O$29:O265,"",$AC$29:AC265,AC265))</f>
        <v>3</v>
      </c>
      <c r="Q265" s="15" t="str">
        <f aca="false">IF(O265&lt;&gt;"",IF(O265="Price ≤ $5","Excluded – price ≤ $5","Excluded – IV only"),IF(ISNUMBER(D265),IF(AND(D265&gt;=$C$3,M265&gt;=$E$3),"Priority 1",IF(OR(D265&gt;=$C$3,M265&gt;=$E$3),"Priority 2","Priority 3")),IF(M265&gt;=$E$3,"Priority 2","Priority 3")))</f>
        <v>Priority 2</v>
      </c>
      <c r="R265" s="16" t="s">
        <v>285</v>
      </c>
      <c r="S265" s="15" t="s">
        <v>1206</v>
      </c>
      <c r="T265" s="32" t="s">
        <v>414</v>
      </c>
      <c r="U265" s="33" t="str">
        <f aca="false">B265&amp;"|"&amp;S265</f>
        <v>Fluphenazine Decanoate|MSN Laboratories</v>
      </c>
      <c r="V265" s="34" t="n">
        <f aca="false">COUNTIFS('Shortlisted Drugs X Company (7)'!$C$3:$C$698,$B265,'Shortlisted Drugs X Company (7)'!$E$3:$E$698,$S265,'Shortlisted Drugs X Company (7)'!$N$3:$N$698,"&gt;=0")</f>
        <v>1</v>
      </c>
      <c r="W265" s="34" t="n">
        <f aca="false">COUNTIFS('Shortlisted Drugs X Company (7)'!$C$3:$C$698,$B265,'Shortlisted Drugs X Company (7)'!$E$3:$E$698,$S265,'Shortlisted Drugs X Company (7)'!$N$3:$N$698,"&gt;5")</f>
        <v>1</v>
      </c>
      <c r="X265" s="34" t="n">
        <f aca="false">COUNTIFS('Shortlisted Drugs X Company (7)'!$C$3:$C$698,$B265,'Shortlisted Drugs X Company (7)'!$E$3:$E$698,$S265,'Shortlisted Drugs X Company (7)'!$P$3:$P$698,"Exact")+COUNTIFS('Shortlisted Drugs X Company (7)'!$C$3:$C$698,$B265,'Shortlisted Drugs X Company (7)'!$E$3:$E$698,$S265,'Shortlisted Drugs X Company (7)'!$P$3:$P$698,"Same-market proxy")</f>
        <v>1</v>
      </c>
      <c r="Y265" s="33" t="str">
        <f aca="false">A265&amp;"|"&amp;P265</f>
        <v>MSN|3</v>
      </c>
      <c r="Z265" s="16" t="s">
        <v>415</v>
      </c>
      <c r="AA265" s="33" t="n">
        <f aca="false">INDEX($G$7:$G$25,MATCH(A265,$A$7:$A$25,0))</f>
        <v>11</v>
      </c>
      <c r="AB265" s="33" t="n">
        <f aca="false">IF(AE265="No","",AA265*1000+IF(P265="",900+COUNTIFS($A$29:A265,A265,$O$29:O265,"Price ≤ $5"),P265))</f>
        <v>11003</v>
      </c>
      <c r="AC265" s="33" t="n">
        <f aca="false">IF(O265&lt;&gt;"","",(4-VALUE(RIGHT(Q265,1)))*10^7+N(F265))</f>
        <v>20003407.5</v>
      </c>
      <c r="AD265" s="15" t="str">
        <f aca="false">IFERROR(INDEX('Route of Administration'!$C$5:$C$155,MATCH(B265,'Route of Administration'!$A$5:$A$155,0)),"")</f>
        <v>IM, SC</v>
      </c>
      <c r="AE265" s="14" t="str">
        <f aca="false">IFERROR(INDEX('Route of Administration'!$D$5:$D$155,MATCH(B265,'Route of Administration'!$A$5:$A$155,0)),"")</f>
        <v>Yes</v>
      </c>
      <c r="AF265" s="19" t="n">
        <f aca="false">IF(V265&gt;0,ROUND(AVERAGEIFS('Shortlisted Drugs X Company (7)'!$N$3:$N$698,'Shortlisted Drugs X Company (7)'!$C$3:$C$698,$B265,'Shortlisted Drugs X Company (7)'!$E$3:$E$698,$S265,'Shortlisted Drugs X Company (7)'!$N$3:$N$698,"&gt;=0"),2),"")</f>
        <v>54.55</v>
      </c>
      <c r="AG265" s="16" t="s">
        <v>412</v>
      </c>
      <c r="AH265" s="16" t="s">
        <v>247</v>
      </c>
      <c r="AI265" s="16" t="s">
        <v>247</v>
      </c>
      <c r="AJ265" s="16" t="str">
        <f aca="false">IF(O265&lt;&gt;"","",IF(ISNUMBER(D265),IF(D265&gt;=$C$3,"High price","Lower price"),"Unpriced")&amp;" · "&amp;IF(M265&gt;=$E$3,"high volume","lower volume"))</f>
        <v>High price · lower volume</v>
      </c>
      <c r="AK265" s="15" t="str">
        <f aca="false">IF(O265&lt;&gt;"",IF(O265="Price ≤ $5","Excluded – price ≤ $5","Excluded – IV only"),IF(ISNUMBER(D265),IF(AND(D265&gt;=$C$3,L265&gt;=$H$3),"Priority 1",IF(OR(D265&gt;=$C$3,L265&gt;=$H$3),"Priority 2","Priority 3")),IF(L265&gt;=$H$3,"Priority 2","Priority 3")))</f>
        <v>Priority 2</v>
      </c>
      <c r="AL265" s="16" t="str">
        <f aca="false">IF(O265&lt;&gt;"","",IF(ISNUMBER(D265),IF(D265&gt;=$C$3,"High price","Lower price"),"Unpriced")&amp;" · "&amp;IF(L265&gt;=$H$3,"high volume","lower volume"))</f>
        <v>High price · lower volume</v>
      </c>
      <c r="AM265" s="14" t="n">
        <f aca="false">IF(O265&lt;&gt;"","",COUNTIFS($A$29:$A$361,A265,$O$29:$O$361,"",$AQ$29:$AQ$361,"&gt;"&amp;AQ265)+COUNTIFS($A$29:A265,A265,$O$29:O265,"",$AQ$29:AQ265,AQ265))</f>
        <v>4</v>
      </c>
      <c r="AN265" s="19" t="n">
        <f aca="false">IF(AND(O265="",ISNUMBER(D265)),D265,"")</f>
        <v>54.55</v>
      </c>
      <c r="AO265" s="20" t="n">
        <f aca="false">IF(O265="",M265,"")</f>
        <v>126</v>
      </c>
      <c r="AP265" s="20" t="n">
        <f aca="false">IF(O265="",L265,"")</f>
        <v>126</v>
      </c>
      <c r="AQ265" s="33" t="n">
        <f aca="false">IF(O265&lt;&gt;"","",(4-VALUE(RIGHT(AK265,1)))*10^7+N(N265))</f>
        <v>20003407.51</v>
      </c>
      <c r="AR265" s="33" t="n">
        <f aca="false">INDEX($O$7:$O$25,MATCH(A265,$I$7:$I$25,0))</f>
        <v>11</v>
      </c>
      <c r="AS265" s="33" t="n">
        <f aca="false">IF(AE265="No","",AR265*1000+IF(AM265="",900+COUNTIFS($A$29:A265,A265,$O$29:O265,"Price ≤ $5"),AM265))</f>
        <v>11004</v>
      </c>
    </row>
    <row r="266" customFormat="false" ht="28.35" hidden="false" customHeight="false" outlineLevel="0" collapsed="false">
      <c r="A266" s="15" t="s">
        <v>194</v>
      </c>
      <c r="B266" s="15" t="s">
        <v>1209</v>
      </c>
      <c r="C266" s="16" t="s">
        <v>1210</v>
      </c>
      <c r="D266" s="17" t="n">
        <f aca="false">IF(W266&gt;0,ROUND(AVERAGEIFS('Shortlisted Drugs X Company (7)'!$N$3:$N$698,'Shortlisted Drugs X Company (7)'!$C$3:$C$698,$B266,'Shortlisted Drugs X Company (7)'!$E$3:$E$698,$S266,'Shortlisted Drugs X Company (7)'!$N$3:$N$698,"&gt;5"),2),"")</f>
        <v>66.93</v>
      </c>
      <c r="E266" s="15" t="str">
        <f aca="false">IF(COUNTIFS('Shortlisted Drugs X Company (7)'!$C$3:$C$698,$B266,'Shortlisted Drugs X Company (7)'!$E$3:$E$698,$S266,'Shortlisted Drugs X Company (7)'!$P$3:$P$698,"Exact")&gt;0,"Exact",IF(COUNTIFS('Shortlisted Drugs X Company (7)'!$C$3:$C$698,$B266,'Shortlisted Drugs X Company (7)'!$E$3:$E$698,$S266,'Shortlisted Drugs X Company (7)'!$P$3:$P$698,"Same-market proxy")&gt;0,"Same-market proxy",IF(COUNTIFS('Shortlisted Drugs X Company (7)'!$C$3:$C$698,$B266,'Shortlisted Drugs X Company (7)'!$E$3:$E$698,$S266,'Shortlisted Drugs X Company (7)'!$P$3:$P$698,"Cross-market proxy")&gt;0,"Cross-market proxy",IF(COUNTIFS('Shortlisted Drugs X Company (7)'!$C$3:$C$698,$B266,'Shortlisted Drugs X Company (7)'!$E$3:$E$698,$S266,'Shortlisted Drugs X Company (7)'!$P$3:$P$698,"Source not found")&gt;0,"Source not found","Not priced"))))</f>
        <v>Same-market proxy</v>
      </c>
      <c r="F266" s="18" t="n">
        <f aca="false">IFERROR(ROUND(INDEX('Injectable Value'!$AA$28:$AA$178,MATCH(B266,'Injectable Value'!$A$28:$A$178,0)),1),"")</f>
        <v>135.1</v>
      </c>
      <c r="G266" s="16" t="s">
        <v>740</v>
      </c>
      <c r="H266" s="14" t="n">
        <v>2</v>
      </c>
      <c r="I266" s="15" t="s">
        <v>248</v>
      </c>
      <c r="J266" s="15" t="s">
        <v>249</v>
      </c>
      <c r="K266" s="16" t="str">
        <f aca="false">""&amp;IF(V266=0,"Unpriced","")&amp;IF(AND(V266&gt;0,W266=0,X266=0),"Low price from another market – confirm with company","")</f>
        <v/>
      </c>
      <c r="L266" s="18" t="n">
        <f aca="false">IFERROR(INDEX('Shortlisted Drugs X Company (7)'!$K$3:$K$698,MATCH(B266,'Shortlisted Drugs X Company (7)'!$C$3:$C$698,0)),"")</f>
        <v>5</v>
      </c>
      <c r="M266" s="18" t="n">
        <f aca="false">IFERROR(ROUND(L266*INDEX('Injectable Value'!$Z$28:$Z$178,MATCH(B266,'Injectable Value'!$A$28:$A$178,0)),0),"")</f>
        <v>5</v>
      </c>
      <c r="N266" s="18" t="n">
        <f aca="false">IFERROR(INDEX('Shortlisted Drugs X Company (7)'!$L$3:$L$698,MATCH(B266,'Shortlisted Drugs X Company (7)'!$C$3:$C$698,0)),"")</f>
        <v>135.07</v>
      </c>
      <c r="O266" s="15" t="str">
        <f aca="false">IF(AE266="No","IV only (not ID/IM/SC)",IF(AND(V266&gt;0,W266=0),"Price ≤ $5",""))</f>
        <v>IV only (not ID/IM/SC)</v>
      </c>
      <c r="P266" s="14" t="str">
        <f aca="false">IF(O266&lt;&gt;"","",COUNTIFS($A$29:$A$361,A266,$O$29:$O$361,"",$AC$29:$AC$361,"&gt;"&amp;AC266)+COUNTIFS($A$29:A266,A266,$O$29:O266,"",$AC$29:AC266,AC266))</f>
        <v/>
      </c>
      <c r="Q266" s="15" t="str">
        <f aca="false">IF(O266&lt;&gt;"",IF(O266="Price ≤ $5","Excluded – price ≤ $5","Excluded – IV only"),IF(ISNUMBER(D266),IF(AND(D266&gt;=$C$3,M266&gt;=$E$3),"Priority 1",IF(OR(D266&gt;=$C$3,M266&gt;=$E$3),"Priority 2","Priority 3")),IF(M266&gt;=$E$3,"Priority 2","Priority 3")))</f>
        <v>Excluded – IV only</v>
      </c>
      <c r="R266" s="16" t="s">
        <v>285</v>
      </c>
      <c r="S266" s="15" t="s">
        <v>1206</v>
      </c>
      <c r="T266" s="32" t="s">
        <v>1211</v>
      </c>
      <c r="U266" s="33" t="str">
        <f aca="false">B266&amp;"|"&amp;S266</f>
        <v>Gadobutrol|MSN Laboratories</v>
      </c>
      <c r="V266" s="34" t="n">
        <f aca="false">COUNTIFS('Shortlisted Drugs X Company (7)'!$C$3:$C$698,$B266,'Shortlisted Drugs X Company (7)'!$E$3:$E$698,$S266,'Shortlisted Drugs X Company (7)'!$N$3:$N$698,"&gt;=0")</f>
        <v>1</v>
      </c>
      <c r="W266" s="34" t="n">
        <f aca="false">COUNTIFS('Shortlisted Drugs X Company (7)'!$C$3:$C$698,$B266,'Shortlisted Drugs X Company (7)'!$E$3:$E$698,$S266,'Shortlisted Drugs X Company (7)'!$N$3:$N$698,"&gt;5")</f>
        <v>1</v>
      </c>
      <c r="X266" s="34" t="n">
        <f aca="false">COUNTIFS('Shortlisted Drugs X Company (7)'!$C$3:$C$698,$B266,'Shortlisted Drugs X Company (7)'!$E$3:$E$698,$S266,'Shortlisted Drugs X Company (7)'!$P$3:$P$698,"Exact")+COUNTIFS('Shortlisted Drugs X Company (7)'!$C$3:$C$698,$B266,'Shortlisted Drugs X Company (7)'!$E$3:$E$698,$S266,'Shortlisted Drugs X Company (7)'!$P$3:$P$698,"Same-market proxy")</f>
        <v>1</v>
      </c>
      <c r="Y266" s="33" t="str">
        <f aca="false">A266&amp;"|"&amp;P266</f>
        <v>MSN|</v>
      </c>
      <c r="Z266" s="16" t="s">
        <v>1212</v>
      </c>
      <c r="AA266" s="33" t="n">
        <f aca="false">INDEX($G$7:$G$25,MATCH(A266,$A$7:$A$25,0))</f>
        <v>11</v>
      </c>
      <c r="AB266" s="33" t="str">
        <f aca="false">IF(AE266="No","",AA266*1000+IF(P266="",900+COUNTIFS($A$29:A266,A266,$O$29:O266,"Price ≤ $5"),P266))</f>
        <v/>
      </c>
      <c r="AC266" s="33" t="str">
        <f aca="false">IF(O266&lt;&gt;"","",(4-VALUE(RIGHT(Q266,1)))*10^7+N(F266))</f>
        <v/>
      </c>
      <c r="AD266" s="15" t="str">
        <f aca="false">IFERROR(INDEX('Route of Administration'!$C$5:$C$155,MATCH(B266,'Route of Administration'!$A$5:$A$155,0)),"")</f>
        <v>IV</v>
      </c>
      <c r="AE266" s="14" t="str">
        <f aca="false">IFERROR(INDEX('Route of Administration'!$D$5:$D$155,MATCH(B266,'Route of Administration'!$A$5:$A$155,0)),"")</f>
        <v>No</v>
      </c>
      <c r="AF266" s="19" t="n">
        <f aca="false">IF(V266&gt;0,ROUND(AVERAGEIFS('Shortlisted Drugs X Company (7)'!$N$3:$N$698,'Shortlisted Drugs X Company (7)'!$C$3:$C$698,$B266,'Shortlisted Drugs X Company (7)'!$E$3:$E$698,$S266,'Shortlisted Drugs X Company (7)'!$N$3:$N$698,"&gt;=0"),2),"")</f>
        <v>66.93</v>
      </c>
      <c r="AG266" s="16" t="s">
        <v>1213</v>
      </c>
      <c r="AH266" s="16" t="s">
        <v>740</v>
      </c>
      <c r="AI266" s="16" t="s">
        <v>740</v>
      </c>
      <c r="AJ266" s="16" t="str">
        <f aca="false">IF(O266&lt;&gt;"","",IF(ISNUMBER(D266),IF(D266&gt;=$C$3,"High price","Lower price"),"Unpriced")&amp;" · "&amp;IF(M266&gt;=$E$3,"high volume","lower volume"))</f>
        <v/>
      </c>
      <c r="AK266" s="15" t="str">
        <f aca="false">IF(O266&lt;&gt;"",IF(O266="Price ≤ $5","Excluded – price ≤ $5","Excluded – IV only"),IF(ISNUMBER(D266),IF(AND(D266&gt;=$C$3,L266&gt;=$H$3),"Priority 1",IF(OR(D266&gt;=$C$3,L266&gt;=$H$3),"Priority 2","Priority 3")),IF(L266&gt;=$H$3,"Priority 2","Priority 3")))</f>
        <v>Excluded – IV only</v>
      </c>
      <c r="AL266" s="16" t="str">
        <f aca="false">IF(O266&lt;&gt;"","",IF(ISNUMBER(D266),IF(D266&gt;=$C$3,"High price","Lower price"),"Unpriced")&amp;" · "&amp;IF(L266&gt;=$H$3,"high volume","lower volume"))</f>
        <v/>
      </c>
      <c r="AM266" s="14" t="str">
        <f aca="false">IF(O266&lt;&gt;"","",COUNTIFS($A$29:$A$361,A266,$O$29:$O$361,"",$AQ$29:$AQ$361,"&gt;"&amp;AQ266)+COUNTIFS($A$29:A266,A266,$O$29:O266,"",$AQ$29:AQ266,AQ266))</f>
        <v/>
      </c>
      <c r="AN266" s="33" t="str">
        <f aca="false">IF(AND(O266="",ISNUMBER(D266)),D266,"")</f>
        <v/>
      </c>
      <c r="AO266" s="33" t="str">
        <f aca="false">IF(O266="",M266,"")</f>
        <v/>
      </c>
      <c r="AP266" s="33" t="str">
        <f aca="false">IF(O266="",L266,"")</f>
        <v/>
      </c>
      <c r="AQ266" s="33" t="str">
        <f aca="false">IF(O266&lt;&gt;"","",(4-VALUE(RIGHT(AK266,1)))*10^7+N(N266))</f>
        <v/>
      </c>
      <c r="AR266" s="33" t="n">
        <f aca="false">INDEX($O$7:$O$25,MATCH(A266,$I$7:$I$25,0))</f>
        <v>11</v>
      </c>
      <c r="AS266" s="33" t="str">
        <f aca="false">IF(AE266="No","",AR266*1000+IF(AM266="",900+COUNTIFS($A$29:A266,A266,$O$29:O266,"Price ≤ $5"),AM266))</f>
        <v/>
      </c>
    </row>
    <row r="267" customFormat="false" ht="41.75" hidden="false" customHeight="false" outlineLevel="0" collapsed="false">
      <c r="A267" s="15" t="s">
        <v>194</v>
      </c>
      <c r="B267" s="15" t="s">
        <v>510</v>
      </c>
      <c r="C267" s="16" t="s">
        <v>511</v>
      </c>
      <c r="D267" s="17" t="n">
        <f aca="false">IF(W267&gt;0,ROUND(AVERAGEIFS('Shortlisted Drugs X Company (7)'!$N$3:$N$698,'Shortlisted Drugs X Company (7)'!$C$3:$C$698,$B267,'Shortlisted Drugs X Company (7)'!$E$3:$E$698,$S267,'Shortlisted Drugs X Company (7)'!$N$3:$N$698,"&gt;5"),2),"")</f>
        <v>343.8</v>
      </c>
      <c r="E267" s="15" t="str">
        <f aca="false">IF(COUNTIFS('Shortlisted Drugs X Company (7)'!$C$3:$C$698,$B267,'Shortlisted Drugs X Company (7)'!$E$3:$E$698,$S267,'Shortlisted Drugs X Company (7)'!$P$3:$P$698,"Exact")&gt;0,"Exact",IF(COUNTIFS('Shortlisted Drugs X Company (7)'!$C$3:$C$698,$B267,'Shortlisted Drugs X Company (7)'!$E$3:$E$698,$S267,'Shortlisted Drugs X Company (7)'!$P$3:$P$698,"Same-market proxy")&gt;0,"Same-market proxy",IF(COUNTIFS('Shortlisted Drugs X Company (7)'!$C$3:$C$698,$B267,'Shortlisted Drugs X Company (7)'!$E$3:$E$698,$S267,'Shortlisted Drugs X Company (7)'!$P$3:$P$698,"Cross-market proxy")&gt;0,"Cross-market proxy",IF(COUNTIFS('Shortlisted Drugs X Company (7)'!$C$3:$C$698,$B267,'Shortlisted Drugs X Company (7)'!$E$3:$E$698,$S267,'Shortlisted Drugs X Company (7)'!$P$3:$P$698,"Source not found")&gt;0,"Source not found","Not priced"))))</f>
        <v>Same-market proxy</v>
      </c>
      <c r="F267" s="18" t="n">
        <f aca="false">IFERROR(ROUND(INDEX('Injectable Value'!$AA$28:$AA$178,MATCH(B267,'Injectable Value'!$A$28:$A$178,0)),1),"")</f>
        <v>7904.7</v>
      </c>
      <c r="G267" s="16" t="s">
        <v>247</v>
      </c>
      <c r="H267" s="14" t="n">
        <v>9</v>
      </c>
      <c r="I267" s="15" t="s">
        <v>248</v>
      </c>
      <c r="J267" s="15" t="s">
        <v>249</v>
      </c>
      <c r="K267" s="16" t="str">
        <f aca="false">""&amp;IF(V267=0,"Unpriced","")&amp;IF(AND(V267&gt;0,W267=0,X267=0),"Low price from another market – confirm with company","")</f>
        <v/>
      </c>
      <c r="L267" s="18" t="n">
        <f aca="false">IFERROR(INDEX('Shortlisted Drugs X Company (7)'!$K$3:$K$698,MATCH(B267,'Shortlisted Drugs X Company (7)'!$C$3:$C$698,0)),"")</f>
        <v>47</v>
      </c>
      <c r="M267" s="18" t="n">
        <f aca="false">IFERROR(ROUND(L267*INDEX('Injectable Value'!$Z$28:$Z$178,MATCH(B267,'Injectable Value'!$A$28:$A$178,0)),0),"")</f>
        <v>47</v>
      </c>
      <c r="N267" s="18" t="n">
        <f aca="false">IFERROR(INDEX('Shortlisted Drugs X Company (7)'!$L$3:$L$698,MATCH(B267,'Shortlisted Drugs X Company (7)'!$C$3:$C$698,0)),"")</f>
        <v>7904.67</v>
      </c>
      <c r="O267" s="15" t="str">
        <f aca="false">IF(AE267="No","IV only (not ID/IM/SC)",IF(AND(V267&gt;0,W267=0),"Price ≤ $5",""))</f>
        <v/>
      </c>
      <c r="P267" s="14" t="n">
        <f aca="false">IF(O267&lt;&gt;"","",COUNTIFS($A$29:$A$361,A267,$O$29:$O$361,"",$AC$29:$AC$361,"&gt;"&amp;AC267)+COUNTIFS($A$29:A267,A267,$O$29:O267,"",$AC$29:AC267,AC267))</f>
        <v>2</v>
      </c>
      <c r="Q267" s="15" t="str">
        <f aca="false">IF(O267&lt;&gt;"",IF(O267="Price ≤ $5","Excluded – price ≤ $5","Excluded – IV only"),IF(ISNUMBER(D267),IF(AND(D267&gt;=$C$3,M267&gt;=$E$3),"Priority 1",IF(OR(D267&gt;=$C$3,M267&gt;=$E$3),"Priority 2","Priority 3")),IF(M267&gt;=$E$3,"Priority 2","Priority 3")))</f>
        <v>Priority 2</v>
      </c>
      <c r="R267" s="16" t="s">
        <v>250</v>
      </c>
      <c r="S267" s="15" t="s">
        <v>1206</v>
      </c>
      <c r="T267" s="32" t="s">
        <v>513</v>
      </c>
      <c r="U267" s="33" t="str">
        <f aca="false">B267&amp;"|"&amp;S267</f>
        <v>Plerixafor|MSN Laboratories</v>
      </c>
      <c r="V267" s="34" t="n">
        <f aca="false">COUNTIFS('Shortlisted Drugs X Company (7)'!$C$3:$C$698,$B267,'Shortlisted Drugs X Company (7)'!$E$3:$E$698,$S267,'Shortlisted Drugs X Company (7)'!$N$3:$N$698,"&gt;=0")</f>
        <v>1</v>
      </c>
      <c r="W267" s="34" t="n">
        <f aca="false">COUNTIFS('Shortlisted Drugs X Company (7)'!$C$3:$C$698,$B267,'Shortlisted Drugs X Company (7)'!$E$3:$E$698,$S267,'Shortlisted Drugs X Company (7)'!$N$3:$N$698,"&gt;5")</f>
        <v>1</v>
      </c>
      <c r="X267" s="34" t="n">
        <f aca="false">COUNTIFS('Shortlisted Drugs X Company (7)'!$C$3:$C$698,$B267,'Shortlisted Drugs X Company (7)'!$E$3:$E$698,$S267,'Shortlisted Drugs X Company (7)'!$P$3:$P$698,"Exact")+COUNTIFS('Shortlisted Drugs X Company (7)'!$C$3:$C$698,$B267,'Shortlisted Drugs X Company (7)'!$E$3:$E$698,$S267,'Shortlisted Drugs X Company (7)'!$P$3:$P$698,"Same-market proxy")</f>
        <v>1</v>
      </c>
      <c r="Y267" s="33" t="str">
        <f aca="false">A267&amp;"|"&amp;P267</f>
        <v>MSN|2</v>
      </c>
      <c r="Z267" s="16" t="s">
        <v>514</v>
      </c>
      <c r="AA267" s="33" t="n">
        <f aca="false">INDEX($G$7:$G$25,MATCH(A267,$A$7:$A$25,0))</f>
        <v>11</v>
      </c>
      <c r="AB267" s="33" t="n">
        <f aca="false">IF(AE267="No","",AA267*1000+IF(P267="",900+COUNTIFS($A$29:A267,A267,$O$29:O267,"Price ≤ $5"),P267))</f>
        <v>11002</v>
      </c>
      <c r="AC267" s="33" t="n">
        <f aca="false">IF(O267&lt;&gt;"","",(4-VALUE(RIGHT(Q267,1)))*10^7+N(F267))</f>
        <v>20007904.7</v>
      </c>
      <c r="AD267" s="15" t="str">
        <f aca="false">IFERROR(INDEX('Route of Administration'!$C$5:$C$155,MATCH(B267,'Route of Administration'!$A$5:$A$155,0)),"")</f>
        <v>SC</v>
      </c>
      <c r="AE267" s="14" t="str">
        <f aca="false">IFERROR(INDEX('Route of Administration'!$D$5:$D$155,MATCH(B267,'Route of Administration'!$A$5:$A$155,0)),"")</f>
        <v>Yes</v>
      </c>
      <c r="AF267" s="19" t="n">
        <f aca="false">IF(V267&gt;0,ROUND(AVERAGEIFS('Shortlisted Drugs X Company (7)'!$N$3:$N$698,'Shortlisted Drugs X Company (7)'!$C$3:$C$698,$B267,'Shortlisted Drugs X Company (7)'!$E$3:$E$698,$S267,'Shortlisted Drugs X Company (7)'!$N$3:$N$698,"&gt;=0"),2),"")</f>
        <v>343.8</v>
      </c>
      <c r="AG267" s="16" t="s">
        <v>510</v>
      </c>
      <c r="AH267" s="16" t="s">
        <v>1214</v>
      </c>
      <c r="AI267" s="16" t="s">
        <v>1215</v>
      </c>
      <c r="AJ267" s="16" t="str">
        <f aca="false">IF(O267&lt;&gt;"","",IF(ISNUMBER(D267),IF(D267&gt;=$C$3,"High price","Lower price"),"Unpriced")&amp;" · "&amp;IF(M267&gt;=$E$3,"high volume","lower volume"))</f>
        <v>High price · lower volume</v>
      </c>
      <c r="AK267" s="15" t="str">
        <f aca="false">IF(O267&lt;&gt;"",IF(O267="Price ≤ $5","Excluded – price ≤ $5","Excluded – IV only"),IF(ISNUMBER(D267),IF(AND(D267&gt;=$C$3,L267&gt;=$H$3),"Priority 1",IF(OR(D267&gt;=$C$3,L267&gt;=$H$3),"Priority 2","Priority 3")),IF(L267&gt;=$H$3,"Priority 2","Priority 3")))</f>
        <v>Priority 2</v>
      </c>
      <c r="AL267" s="16" t="str">
        <f aca="false">IF(O267&lt;&gt;"","",IF(ISNUMBER(D267),IF(D267&gt;=$C$3,"High price","Lower price"),"Unpriced")&amp;" · "&amp;IF(L267&gt;=$H$3,"high volume","lower volume"))</f>
        <v>High price · lower volume</v>
      </c>
      <c r="AM267" s="14" t="n">
        <f aca="false">IF(O267&lt;&gt;"","",COUNTIFS($A$29:$A$361,A267,$O$29:$O$361,"",$AQ$29:$AQ$361,"&gt;"&amp;AQ267)+COUNTIFS($A$29:A267,A267,$O$29:O267,"",$AQ$29:AQ267,AQ267))</f>
        <v>2</v>
      </c>
      <c r="AN267" s="19" t="n">
        <f aca="false">IF(AND(O267="",ISNUMBER(D267)),D267,"")</f>
        <v>343.8</v>
      </c>
      <c r="AO267" s="20" t="n">
        <f aca="false">IF(O267="",M267,"")</f>
        <v>47</v>
      </c>
      <c r="AP267" s="20" t="n">
        <f aca="false">IF(O267="",L267,"")</f>
        <v>47</v>
      </c>
      <c r="AQ267" s="33" t="n">
        <f aca="false">IF(O267&lt;&gt;"","",(4-VALUE(RIGHT(AK267,1)))*10^7+N(N267))</f>
        <v>20007904.67</v>
      </c>
      <c r="AR267" s="33" t="n">
        <f aca="false">INDEX($O$7:$O$25,MATCH(A267,$I$7:$I$25,0))</f>
        <v>11</v>
      </c>
      <c r="AS267" s="33" t="n">
        <f aca="false">IF(AE267="No","",AR267*1000+IF(AM267="",900+COUNTIFS($A$29:A267,A267,$O$29:O267,"Price ≤ $5"),AM267))</f>
        <v>11002</v>
      </c>
    </row>
    <row r="268" customFormat="false" ht="28.35" hidden="false" customHeight="false" outlineLevel="0" collapsed="false">
      <c r="A268" s="15" t="s">
        <v>194</v>
      </c>
      <c r="B268" s="15" t="s">
        <v>635</v>
      </c>
      <c r="C268" s="16" t="s">
        <v>636</v>
      </c>
      <c r="D268" s="17" t="n">
        <f aca="false">IF(W268&gt;0,ROUND(AVERAGEIFS('Shortlisted Drugs X Company (7)'!$N$3:$N$698,'Shortlisted Drugs X Company (7)'!$C$3:$C$698,$B268,'Shortlisted Drugs X Company (7)'!$E$3:$E$698,$S268,'Shortlisted Drugs X Company (7)'!$N$3:$N$698,"&gt;5"),2),"")</f>
        <v>41.77</v>
      </c>
      <c r="E268" s="15" t="str">
        <f aca="false">IF(COUNTIFS('Shortlisted Drugs X Company (7)'!$C$3:$C$698,$B268,'Shortlisted Drugs X Company (7)'!$E$3:$E$698,$S268,'Shortlisted Drugs X Company (7)'!$P$3:$P$698,"Exact")&gt;0,"Exact",IF(COUNTIFS('Shortlisted Drugs X Company (7)'!$C$3:$C$698,$B268,'Shortlisted Drugs X Company (7)'!$E$3:$E$698,$S268,'Shortlisted Drugs X Company (7)'!$P$3:$P$698,"Same-market proxy")&gt;0,"Same-market proxy",IF(COUNTIFS('Shortlisted Drugs X Company (7)'!$C$3:$C$698,$B268,'Shortlisted Drugs X Company (7)'!$E$3:$E$698,$S268,'Shortlisted Drugs X Company (7)'!$P$3:$P$698,"Cross-market proxy")&gt;0,"Cross-market proxy",IF(COUNTIFS('Shortlisted Drugs X Company (7)'!$C$3:$C$698,$B268,'Shortlisted Drugs X Company (7)'!$E$3:$E$698,$S268,'Shortlisted Drugs X Company (7)'!$P$3:$P$698,"Source not found")&gt;0,"Source not found","Not priced"))))</f>
        <v>Exact</v>
      </c>
      <c r="F268" s="18" t="n">
        <f aca="false">IFERROR(ROUND(INDEX('Injectable Value'!$AA$28:$AA$178,MATCH(B268,'Injectable Value'!$A$28:$A$178,0)),1),"")</f>
        <v>32830.2</v>
      </c>
      <c r="G268" s="16" t="s">
        <v>1216</v>
      </c>
      <c r="H268" s="14" t="n">
        <v>11</v>
      </c>
      <c r="I268" s="15" t="s">
        <v>248</v>
      </c>
      <c r="J268" s="15" t="s">
        <v>249</v>
      </c>
      <c r="K268" s="16" t="str">
        <f aca="false">""&amp;IF(V268=0,"Unpriced","")&amp;IF(AND(V268&gt;0,W268=0,X268=0),"Low price from another market – confirm with company","")</f>
        <v/>
      </c>
      <c r="L268" s="18" t="n">
        <f aca="false">IFERROR(INDEX('Shortlisted Drugs X Company (7)'!$K$3:$K$698,MATCH(B268,'Shortlisted Drugs X Company (7)'!$C$3:$C$698,0)),"")</f>
        <v>346</v>
      </c>
      <c r="M268" s="18" t="n">
        <f aca="false">IFERROR(ROUND(L268*INDEX('Injectable Value'!$Z$28:$Z$178,MATCH(B268,'Injectable Value'!$A$28:$A$178,0)),0),"")</f>
        <v>346</v>
      </c>
      <c r="N268" s="18" t="n">
        <f aca="false">IFERROR(INDEX('Shortlisted Drugs X Company (7)'!$L$3:$L$698,MATCH(B268,'Shortlisted Drugs X Company (7)'!$C$3:$C$698,0)),"")</f>
        <v>32830.17</v>
      </c>
      <c r="O268" s="15" t="str">
        <f aca="false">IF(AE268="No","IV only (not ID/IM/SC)",IF(AND(V268&gt;0,W268=0),"Price ≤ $5",""))</f>
        <v>IV only (not ID/IM/SC)</v>
      </c>
      <c r="P268" s="14" t="str">
        <f aca="false">IF(O268&lt;&gt;"","",COUNTIFS($A$29:$A$361,A268,$O$29:$O$361,"",$AC$29:$AC$361,"&gt;"&amp;AC268)+COUNTIFS($A$29:A268,A268,$O$29:O268,"",$AC$29:AC268,AC268))</f>
        <v/>
      </c>
      <c r="Q268" s="15" t="str">
        <f aca="false">IF(O268&lt;&gt;"",IF(O268="Price ≤ $5","Excluded – price ≤ $5","Excluded – IV only"),IF(ISNUMBER(D268),IF(AND(D268&gt;=$C$3,M268&gt;=$E$3),"Priority 1",IF(OR(D268&gt;=$C$3,M268&gt;=$E$3),"Priority 2","Priority 3")),IF(M268&gt;=$E$3,"Priority 2","Priority 3")))</f>
        <v>Excluded – IV only</v>
      </c>
      <c r="R268" s="16" t="s">
        <v>250</v>
      </c>
      <c r="S268" s="15" t="s">
        <v>1206</v>
      </c>
      <c r="T268" s="32" t="s">
        <v>637</v>
      </c>
      <c r="U268" s="33" t="str">
        <f aca="false">B268&amp;"|"&amp;S268</f>
        <v>Sugammadex|MSN Laboratories</v>
      </c>
      <c r="V268" s="34" t="n">
        <f aca="false">COUNTIFS('Shortlisted Drugs X Company (7)'!$C$3:$C$698,$B268,'Shortlisted Drugs X Company (7)'!$E$3:$E$698,$S268,'Shortlisted Drugs X Company (7)'!$N$3:$N$698,"&gt;=0")</f>
        <v>3</v>
      </c>
      <c r="W268" s="34" t="n">
        <f aca="false">COUNTIFS('Shortlisted Drugs X Company (7)'!$C$3:$C$698,$B268,'Shortlisted Drugs X Company (7)'!$E$3:$E$698,$S268,'Shortlisted Drugs X Company (7)'!$N$3:$N$698,"&gt;5")</f>
        <v>3</v>
      </c>
      <c r="X268" s="34" t="n">
        <f aca="false">COUNTIFS('Shortlisted Drugs X Company (7)'!$C$3:$C$698,$B268,'Shortlisted Drugs X Company (7)'!$E$3:$E$698,$S268,'Shortlisted Drugs X Company (7)'!$P$3:$P$698,"Exact")+COUNTIFS('Shortlisted Drugs X Company (7)'!$C$3:$C$698,$B268,'Shortlisted Drugs X Company (7)'!$E$3:$E$698,$S268,'Shortlisted Drugs X Company (7)'!$P$3:$P$698,"Same-market proxy")</f>
        <v>3</v>
      </c>
      <c r="Y268" s="33" t="str">
        <f aca="false">A268&amp;"|"&amp;P268</f>
        <v>MSN|</v>
      </c>
      <c r="Z268" s="16" t="s">
        <v>638</v>
      </c>
      <c r="AA268" s="33" t="n">
        <f aca="false">INDEX($G$7:$G$25,MATCH(A268,$A$7:$A$25,0))</f>
        <v>11</v>
      </c>
      <c r="AB268" s="33" t="str">
        <f aca="false">IF(AE268="No","",AA268*1000+IF(P268="",900+COUNTIFS($A$29:A268,A268,$O$29:O268,"Price ≤ $5"),P268))</f>
        <v/>
      </c>
      <c r="AC268" s="33" t="str">
        <f aca="false">IF(O268&lt;&gt;"","",(4-VALUE(RIGHT(Q268,1)))*10^7+N(F268))</f>
        <v/>
      </c>
      <c r="AD268" s="15" t="str">
        <f aca="false">IFERROR(INDEX('Route of Administration'!$C$5:$C$155,MATCH(B268,'Route of Administration'!$A$5:$A$155,0)),"")</f>
        <v>IV</v>
      </c>
      <c r="AE268" s="14" t="str">
        <f aca="false">IFERROR(INDEX('Route of Administration'!$D$5:$D$155,MATCH(B268,'Route of Administration'!$A$5:$A$155,0)),"")</f>
        <v>No</v>
      </c>
      <c r="AF268" s="19" t="n">
        <f aca="false">IF(V268&gt;0,ROUND(AVERAGEIFS('Shortlisted Drugs X Company (7)'!$N$3:$N$698,'Shortlisted Drugs X Company (7)'!$C$3:$C$698,$B268,'Shortlisted Drugs X Company (7)'!$E$3:$E$698,$S268,'Shortlisted Drugs X Company (7)'!$N$3:$N$698,"&gt;=0"),2),"")</f>
        <v>41.77</v>
      </c>
      <c r="AG268" s="16" t="s">
        <v>1217</v>
      </c>
      <c r="AH268" s="16" t="s">
        <v>1218</v>
      </c>
      <c r="AI268" s="16" t="s">
        <v>1219</v>
      </c>
      <c r="AJ268" s="16" t="str">
        <f aca="false">IF(O268&lt;&gt;"","",IF(ISNUMBER(D268),IF(D268&gt;=$C$3,"High price","Lower price"),"Unpriced")&amp;" · "&amp;IF(M268&gt;=$E$3,"high volume","lower volume"))</f>
        <v/>
      </c>
      <c r="AK268" s="15" t="str">
        <f aca="false">IF(O268&lt;&gt;"",IF(O268="Price ≤ $5","Excluded – price ≤ $5","Excluded – IV only"),IF(ISNUMBER(D268),IF(AND(D268&gt;=$C$3,L268&gt;=$H$3),"Priority 1",IF(OR(D268&gt;=$C$3,L268&gt;=$H$3),"Priority 2","Priority 3")),IF(L268&gt;=$H$3,"Priority 2","Priority 3")))</f>
        <v>Excluded – IV only</v>
      </c>
      <c r="AL268" s="16" t="str">
        <f aca="false">IF(O268&lt;&gt;"","",IF(ISNUMBER(D268),IF(D268&gt;=$C$3,"High price","Lower price"),"Unpriced")&amp;" · "&amp;IF(L268&gt;=$H$3,"high volume","lower volume"))</f>
        <v/>
      </c>
      <c r="AM268" s="14" t="str">
        <f aca="false">IF(O268&lt;&gt;"","",COUNTIFS($A$29:$A$361,A268,$O$29:$O$361,"",$AQ$29:$AQ$361,"&gt;"&amp;AQ268)+COUNTIFS($A$29:A268,A268,$O$29:O268,"",$AQ$29:AQ268,AQ268))</f>
        <v/>
      </c>
      <c r="AN268" s="33" t="str">
        <f aca="false">IF(AND(O268="",ISNUMBER(D268)),D268,"")</f>
        <v/>
      </c>
      <c r="AO268" s="33" t="str">
        <f aca="false">IF(O268="",M268,"")</f>
        <v/>
      </c>
      <c r="AP268" s="33" t="str">
        <f aca="false">IF(O268="",L268,"")</f>
        <v/>
      </c>
      <c r="AQ268" s="33" t="str">
        <f aca="false">IF(O268&lt;&gt;"","",(4-VALUE(RIGHT(AK268,1)))*10^7+N(N268))</f>
        <v/>
      </c>
      <c r="AR268" s="33" t="n">
        <f aca="false">INDEX($O$7:$O$25,MATCH(A268,$I$7:$I$25,0))</f>
        <v>11</v>
      </c>
      <c r="AS268" s="33" t="str">
        <f aca="false">IF(AE268="No","",AR268*1000+IF(AM268="",900+COUNTIFS($A$29:A268,A268,$O$29:O268,"Price ≤ $5"),AM268))</f>
        <v/>
      </c>
    </row>
    <row r="269" customFormat="false" ht="28.35" hidden="false" customHeight="false" outlineLevel="0" collapsed="false">
      <c r="A269" s="15" t="s">
        <v>195</v>
      </c>
      <c r="B269" s="15" t="s">
        <v>844</v>
      </c>
      <c r="C269" s="16" t="s">
        <v>845</v>
      </c>
      <c r="D269" s="17" t="n">
        <f aca="false">IF(W269&gt;0,ROUND(AVERAGEIFS('Shortlisted Drugs X Company (7)'!$N$3:$N$698,'Shortlisted Drugs X Company (7)'!$C$3:$C$698,$B269,'Shortlisted Drugs X Company (7)'!$E$3:$E$698,$S269,'Shortlisted Drugs X Company (7)'!$N$3:$N$698,"&gt;5"),2),"")</f>
        <v>51.79</v>
      </c>
      <c r="E269" s="15" t="str">
        <f aca="false">IF(COUNTIFS('Shortlisted Drugs X Company (7)'!$C$3:$C$698,$B269,'Shortlisted Drugs X Company (7)'!$E$3:$E$698,$S269,'Shortlisted Drugs X Company (7)'!$P$3:$P$698,"Exact")&gt;0,"Exact",IF(COUNTIFS('Shortlisted Drugs X Company (7)'!$C$3:$C$698,$B269,'Shortlisted Drugs X Company (7)'!$E$3:$E$698,$S269,'Shortlisted Drugs X Company (7)'!$P$3:$P$698,"Same-market proxy")&gt;0,"Same-market proxy",IF(COUNTIFS('Shortlisted Drugs X Company (7)'!$C$3:$C$698,$B269,'Shortlisted Drugs X Company (7)'!$E$3:$E$698,$S269,'Shortlisted Drugs X Company (7)'!$P$3:$P$698,"Cross-market proxy")&gt;0,"Cross-market proxy",IF(COUNTIFS('Shortlisted Drugs X Company (7)'!$C$3:$C$698,$B269,'Shortlisted Drugs X Company (7)'!$E$3:$E$698,$S269,'Shortlisted Drugs X Company (7)'!$P$3:$P$698,"Source not found")&gt;0,"Source not found","Not priced"))))</f>
        <v>Same-market proxy</v>
      </c>
      <c r="F269" s="18" t="n">
        <f aca="false">IFERROR(ROUND(INDEX('Injectable Value'!$AA$28:$AA$178,MATCH(B269,'Injectable Value'!$A$28:$A$178,0)),1),"")</f>
        <v>21.8</v>
      </c>
      <c r="G269" s="16" t="s">
        <v>247</v>
      </c>
      <c r="H269" s="14" t="n">
        <v>1</v>
      </c>
      <c r="I269" s="15" t="s">
        <v>248</v>
      </c>
      <c r="J269" s="15" t="s">
        <v>249</v>
      </c>
      <c r="K269" s="16" t="str">
        <f aca="false">""&amp;IF(V269=0,"Unpriced","")&amp;IF(AND(V269&gt;0,W269=0,X269=0),"Low price from another market – confirm with company","")</f>
        <v/>
      </c>
      <c r="L269" s="18" t="n">
        <f aca="false">IFERROR(INDEX('Shortlisted Drugs X Company (7)'!$K$3:$K$698,MATCH(B269,'Shortlisted Drugs X Company (7)'!$C$3:$C$698,0)),"")</f>
        <v>45</v>
      </c>
      <c r="M269" s="18" t="n">
        <f aca="false">IFERROR(ROUND(L269*INDEX('Injectable Value'!$Z$28:$Z$178,MATCH(B269,'Injectable Value'!$A$28:$A$178,0)),0),"")</f>
        <v>4</v>
      </c>
      <c r="N269" s="18" t="n">
        <f aca="false">IFERROR(INDEX('Shortlisted Drugs X Company (7)'!$L$3:$L$698,MATCH(B269,'Shortlisted Drugs X Company (7)'!$C$3:$C$698,0)),"")</f>
        <v>263.65</v>
      </c>
      <c r="O269" s="15" t="str">
        <f aca="false">IF(AE269="No","IV only (not ID/IM/SC)",IF(AND(V269&gt;0,W269=0),"Price ≤ $5",""))</f>
        <v>IV only (not ID/IM/SC)</v>
      </c>
      <c r="P269" s="14" t="str">
        <f aca="false">IF(O269&lt;&gt;"","",COUNTIFS($A$29:$A$361,A269,$O$29:$O$361,"",$AC$29:$AC$361,"&gt;"&amp;AC269)+COUNTIFS($A$29:A269,A269,$O$29:O269,"",$AC$29:AC269,AC269))</f>
        <v/>
      </c>
      <c r="Q269" s="15" t="str">
        <f aca="false">IF(O269&lt;&gt;"",IF(O269="Price ≤ $5","Excluded – price ≤ $5","Excluded – IV only"),IF(ISNUMBER(D269),IF(AND(D269&gt;=$C$3,M269&gt;=$E$3),"Priority 1",IF(OR(D269&gt;=$C$3,M269&gt;=$E$3),"Priority 2","Priority 3")),IF(M269&gt;=$E$3,"Priority 2","Priority 3")))</f>
        <v>Excluded – IV only</v>
      </c>
      <c r="R269" s="16" t="s">
        <v>250</v>
      </c>
      <c r="S269" s="15" t="s">
        <v>195</v>
      </c>
      <c r="T269" s="32" t="s">
        <v>846</v>
      </c>
      <c r="U269" s="33" t="str">
        <f aca="false">B269&amp;"|"&amp;S269</f>
        <v>Brivaracetam|Micro Labs</v>
      </c>
      <c r="V269" s="34" t="n">
        <f aca="false">COUNTIFS('Shortlisted Drugs X Company (7)'!$C$3:$C$698,$B269,'Shortlisted Drugs X Company (7)'!$E$3:$E$698,$S269,'Shortlisted Drugs X Company (7)'!$N$3:$N$698,"&gt;=0")</f>
        <v>1</v>
      </c>
      <c r="W269" s="34" t="n">
        <f aca="false">COUNTIFS('Shortlisted Drugs X Company (7)'!$C$3:$C$698,$B269,'Shortlisted Drugs X Company (7)'!$E$3:$E$698,$S269,'Shortlisted Drugs X Company (7)'!$N$3:$N$698,"&gt;5")</f>
        <v>1</v>
      </c>
      <c r="X269" s="34" t="n">
        <f aca="false">COUNTIFS('Shortlisted Drugs X Company (7)'!$C$3:$C$698,$B269,'Shortlisted Drugs X Company (7)'!$E$3:$E$698,$S269,'Shortlisted Drugs X Company (7)'!$P$3:$P$698,"Exact")+COUNTIFS('Shortlisted Drugs X Company (7)'!$C$3:$C$698,$B269,'Shortlisted Drugs X Company (7)'!$E$3:$E$698,$S269,'Shortlisted Drugs X Company (7)'!$P$3:$P$698,"Same-market proxy")</f>
        <v>1</v>
      </c>
      <c r="Y269" s="33" t="str">
        <f aca="false">A269&amp;"|"&amp;P269</f>
        <v>Micro Labs|</v>
      </c>
      <c r="Z269" s="16" t="s">
        <v>847</v>
      </c>
      <c r="AA269" s="33" t="n">
        <f aca="false">INDEX($G$7:$G$25,MATCH(A269,$A$7:$A$25,0))</f>
        <v>18</v>
      </c>
      <c r="AB269" s="33" t="str">
        <f aca="false">IF(AE269="No","",AA269*1000+IF(P269="",900+COUNTIFS($A$29:A269,A269,$O$29:O269,"Price ≤ $5"),P269))</f>
        <v/>
      </c>
      <c r="AC269" s="33" t="str">
        <f aca="false">IF(O269&lt;&gt;"","",(4-VALUE(RIGHT(Q269,1)))*10^7+N(F269))</f>
        <v/>
      </c>
      <c r="AD269" s="15" t="str">
        <f aca="false">IFERROR(INDEX('Route of Administration'!$C$5:$C$155,MATCH(B269,'Route of Administration'!$A$5:$A$155,0)),"")</f>
        <v>IV</v>
      </c>
      <c r="AE269" s="14" t="str">
        <f aca="false">IFERROR(INDEX('Route of Administration'!$D$5:$D$155,MATCH(B269,'Route of Administration'!$A$5:$A$155,0)),"")</f>
        <v>No</v>
      </c>
      <c r="AF269" s="19" t="n">
        <f aca="false">IF(V269&gt;0,ROUND(AVERAGEIFS('Shortlisted Drugs X Company (7)'!$N$3:$N$698,'Shortlisted Drugs X Company (7)'!$C$3:$C$698,$B269,'Shortlisted Drugs X Company (7)'!$E$3:$E$698,$S269,'Shortlisted Drugs X Company (7)'!$N$3:$N$698,"&gt;=0"),2),"")</f>
        <v>51.79</v>
      </c>
      <c r="AG269" s="16" t="s">
        <v>844</v>
      </c>
      <c r="AH269" s="16" t="s">
        <v>247</v>
      </c>
      <c r="AI269" s="16" t="s">
        <v>247</v>
      </c>
      <c r="AJ269" s="16" t="str">
        <f aca="false">IF(O269&lt;&gt;"","",IF(ISNUMBER(D269),IF(D269&gt;=$C$3,"High price","Lower price"),"Unpriced")&amp;" · "&amp;IF(M269&gt;=$E$3,"high volume","lower volume"))</f>
        <v/>
      </c>
      <c r="AK269" s="15" t="str">
        <f aca="false">IF(O269&lt;&gt;"",IF(O269="Price ≤ $5","Excluded – price ≤ $5","Excluded – IV only"),IF(ISNUMBER(D269),IF(AND(D269&gt;=$C$3,L269&gt;=$H$3),"Priority 1",IF(OR(D269&gt;=$C$3,L269&gt;=$H$3),"Priority 2","Priority 3")),IF(L269&gt;=$H$3,"Priority 2","Priority 3")))</f>
        <v>Excluded – IV only</v>
      </c>
      <c r="AL269" s="16" t="str">
        <f aca="false">IF(O269&lt;&gt;"","",IF(ISNUMBER(D269),IF(D269&gt;=$C$3,"High price","Lower price"),"Unpriced")&amp;" · "&amp;IF(L269&gt;=$H$3,"high volume","lower volume"))</f>
        <v/>
      </c>
      <c r="AM269" s="14" t="str">
        <f aca="false">IF(O269&lt;&gt;"","",COUNTIFS($A$29:$A$361,A269,$O$29:$O$361,"",$AQ$29:$AQ$361,"&gt;"&amp;AQ269)+COUNTIFS($A$29:A269,A269,$O$29:O269,"",$AQ$29:AQ269,AQ269))</f>
        <v/>
      </c>
      <c r="AN269" s="33" t="str">
        <f aca="false">IF(AND(O269="",ISNUMBER(D269)),D269,"")</f>
        <v/>
      </c>
      <c r="AO269" s="33" t="str">
        <f aca="false">IF(O269="",M269,"")</f>
        <v/>
      </c>
      <c r="AP269" s="33" t="str">
        <f aca="false">IF(O269="",L269,"")</f>
        <v/>
      </c>
      <c r="AQ269" s="33" t="str">
        <f aca="false">IF(O269&lt;&gt;"","",(4-VALUE(RIGHT(AK269,1)))*10^7+N(N269))</f>
        <v/>
      </c>
      <c r="AR269" s="33" t="n">
        <f aca="false">INDEX($O$7:$O$25,MATCH(A269,$I$7:$I$25,0))</f>
        <v>15</v>
      </c>
      <c r="AS269" s="33" t="str">
        <f aca="false">IF(AE269="No","",AR269*1000+IF(AM269="",900+COUNTIFS($A$29:A269,A269,$O$29:O269,"Price ≤ $5"),AM269))</f>
        <v/>
      </c>
    </row>
    <row r="270" customFormat="false" ht="28.35" hidden="false" customHeight="false" outlineLevel="0" collapsed="false">
      <c r="A270" s="15" t="s">
        <v>195</v>
      </c>
      <c r="B270" s="15" t="s">
        <v>1220</v>
      </c>
      <c r="C270" s="16" t="s">
        <v>1221</v>
      </c>
      <c r="D270" s="17" t="n">
        <f aca="false">IF(W270&gt;0,ROUND(AVERAGEIFS('Shortlisted Drugs X Company (7)'!$N$3:$N$698,'Shortlisted Drugs X Company (7)'!$C$3:$C$698,$B270,'Shortlisted Drugs X Company (7)'!$E$3:$E$698,$S270,'Shortlisted Drugs X Company (7)'!$N$3:$N$698,"&gt;5"),2),"")</f>
        <v>69.37</v>
      </c>
      <c r="E270" s="15" t="str">
        <f aca="false">IF(COUNTIFS('Shortlisted Drugs X Company (7)'!$C$3:$C$698,$B270,'Shortlisted Drugs X Company (7)'!$E$3:$E$698,$S270,'Shortlisted Drugs X Company (7)'!$P$3:$P$698,"Exact")&gt;0,"Exact",IF(COUNTIFS('Shortlisted Drugs X Company (7)'!$C$3:$C$698,$B270,'Shortlisted Drugs X Company (7)'!$E$3:$E$698,$S270,'Shortlisted Drugs X Company (7)'!$P$3:$P$698,"Same-market proxy")&gt;0,"Same-market proxy",IF(COUNTIFS('Shortlisted Drugs X Company (7)'!$C$3:$C$698,$B270,'Shortlisted Drugs X Company (7)'!$E$3:$E$698,$S270,'Shortlisted Drugs X Company (7)'!$P$3:$P$698,"Cross-market proxy")&gt;0,"Cross-market proxy",IF(COUNTIFS('Shortlisted Drugs X Company (7)'!$C$3:$C$698,$B270,'Shortlisted Drugs X Company (7)'!$E$3:$E$698,$S270,'Shortlisted Drugs X Company (7)'!$P$3:$P$698,"Source not found")&gt;0,"Source not found","Not priced"))))</f>
        <v>Cross-market proxy</v>
      </c>
      <c r="F270" s="18" t="n">
        <f aca="false">IFERROR(ROUND(INDEX('Injectable Value'!$AA$28:$AA$178,MATCH(B270,'Injectable Value'!$A$28:$A$178,0)),1),"")</f>
        <v>2622.7</v>
      </c>
      <c r="G270" s="16" t="s">
        <v>881</v>
      </c>
      <c r="H270" s="14" t="n">
        <v>1</v>
      </c>
      <c r="I270" s="15" t="s">
        <v>248</v>
      </c>
      <c r="J270" s="15" t="s">
        <v>249</v>
      </c>
      <c r="K270" s="16" t="str">
        <f aca="false">""&amp;IF(V270=0,"Unpriced","")&amp;IF(AND(V270&gt;0,W270=0,X270=0),"Low price from another market – confirm with company","")</f>
        <v/>
      </c>
      <c r="L270" s="18" t="n">
        <f aca="false">IFERROR(INDEX('Shortlisted Drugs X Company (7)'!$K$3:$K$698,MATCH(B270,'Shortlisted Drugs X Company (7)'!$C$3:$C$698,0)),"")</f>
        <v>2221</v>
      </c>
      <c r="M270" s="18" t="n">
        <f aca="false">IFERROR(ROUND(L270*INDEX('Injectable Value'!$Z$28:$Z$178,MATCH(B270,'Injectable Value'!$A$28:$A$178,0)),0),"")</f>
        <v>117</v>
      </c>
      <c r="N270" s="18" t="n">
        <f aca="false">IFERROR(INDEX('Shortlisted Drugs X Company (7)'!$L$3:$L$698,MATCH(B270,'Shortlisted Drugs X Company (7)'!$C$3:$C$698,0)),"")</f>
        <v>49989.33</v>
      </c>
      <c r="O270" s="15" t="str">
        <f aca="false">IF(AE270="No","IV only (not ID/IM/SC)",IF(AND(V270&gt;0,W270=0),"Price ≤ $5",""))</f>
        <v>IV only (not ID/IM/SC)</v>
      </c>
      <c r="P270" s="14" t="str">
        <f aca="false">IF(O270&lt;&gt;"","",COUNTIFS($A$29:$A$361,A270,$O$29:$O$361,"",$AC$29:$AC$361,"&gt;"&amp;AC270)+COUNTIFS($A$29:A270,A270,$O$29:O270,"",$AC$29:AC270,AC270))</f>
        <v/>
      </c>
      <c r="Q270" s="15" t="str">
        <f aca="false">IF(O270&lt;&gt;"",IF(O270="Price ≤ $5","Excluded – price ≤ $5","Excluded – IV only"),IF(ISNUMBER(D270),IF(AND(D270&gt;=$C$3,M270&gt;=$E$3),"Priority 1",IF(OR(D270&gt;=$C$3,M270&gt;=$E$3),"Priority 2","Priority 3")),IF(M270&gt;=$E$3,"Priority 2","Priority 3")))</f>
        <v>Excluded – IV only</v>
      </c>
      <c r="R270" s="16" t="s">
        <v>285</v>
      </c>
      <c r="S270" s="15" t="s">
        <v>195</v>
      </c>
      <c r="T270" s="32" t="s">
        <v>1222</v>
      </c>
      <c r="U270" s="33" t="str">
        <f aca="false">B270&amp;"|"&amp;S270</f>
        <v>Caffeine|Micro Labs</v>
      </c>
      <c r="V270" s="34" t="n">
        <f aca="false">COUNTIFS('Shortlisted Drugs X Company (7)'!$C$3:$C$698,$B270,'Shortlisted Drugs X Company (7)'!$E$3:$E$698,$S270,'Shortlisted Drugs X Company (7)'!$N$3:$N$698,"&gt;=0")</f>
        <v>2</v>
      </c>
      <c r="W270" s="34" t="n">
        <f aca="false">COUNTIFS('Shortlisted Drugs X Company (7)'!$C$3:$C$698,$B270,'Shortlisted Drugs X Company (7)'!$E$3:$E$698,$S270,'Shortlisted Drugs X Company (7)'!$N$3:$N$698,"&gt;5")</f>
        <v>2</v>
      </c>
      <c r="X270" s="34" t="n">
        <f aca="false">COUNTIFS('Shortlisted Drugs X Company (7)'!$C$3:$C$698,$B270,'Shortlisted Drugs X Company (7)'!$E$3:$E$698,$S270,'Shortlisted Drugs X Company (7)'!$P$3:$P$698,"Exact")+COUNTIFS('Shortlisted Drugs X Company (7)'!$C$3:$C$698,$B270,'Shortlisted Drugs X Company (7)'!$E$3:$E$698,$S270,'Shortlisted Drugs X Company (7)'!$P$3:$P$698,"Same-market proxy")</f>
        <v>0</v>
      </c>
      <c r="Y270" s="33" t="str">
        <f aca="false">A270&amp;"|"&amp;P270</f>
        <v>Micro Labs|</v>
      </c>
      <c r="Z270" s="16" t="s">
        <v>1223</v>
      </c>
      <c r="AA270" s="33" t="n">
        <f aca="false">INDEX($G$7:$G$25,MATCH(A270,$A$7:$A$25,0))</f>
        <v>18</v>
      </c>
      <c r="AB270" s="33" t="str">
        <f aca="false">IF(AE270="No","",AA270*1000+IF(P270="",900+COUNTIFS($A$29:A270,A270,$O$29:O270,"Price ≤ $5"),P270))</f>
        <v/>
      </c>
      <c r="AC270" s="33" t="str">
        <f aca="false">IF(O270&lt;&gt;"","",(4-VALUE(RIGHT(Q270,1)))*10^7+N(F270))</f>
        <v/>
      </c>
      <c r="AD270" s="15" t="str">
        <f aca="false">IFERROR(INDEX('Route of Administration'!$C$5:$C$155,MATCH(B270,'Route of Administration'!$A$5:$A$155,0)),"")</f>
        <v>IV</v>
      </c>
      <c r="AE270" s="14" t="str">
        <f aca="false">IFERROR(INDEX('Route of Administration'!$D$5:$D$155,MATCH(B270,'Route of Administration'!$A$5:$A$155,0)),"")</f>
        <v>No</v>
      </c>
      <c r="AF270" s="19" t="n">
        <f aca="false">IF(V270&gt;0,ROUND(AVERAGEIFS('Shortlisted Drugs X Company (7)'!$N$3:$N$698,'Shortlisted Drugs X Company (7)'!$C$3:$C$698,$B270,'Shortlisted Drugs X Company (7)'!$E$3:$E$698,$S270,'Shortlisted Drugs X Company (7)'!$N$3:$N$698,"&gt;=0"),2),"")</f>
        <v>69.37</v>
      </c>
      <c r="AG270" s="16" t="s">
        <v>1224</v>
      </c>
      <c r="AH270" s="16" t="s">
        <v>881</v>
      </c>
      <c r="AI270" s="16" t="s">
        <v>881</v>
      </c>
      <c r="AJ270" s="16" t="str">
        <f aca="false">IF(O270&lt;&gt;"","",IF(ISNUMBER(D270),IF(D270&gt;=$C$3,"High price","Lower price"),"Unpriced")&amp;" · "&amp;IF(M270&gt;=$E$3,"high volume","lower volume"))</f>
        <v/>
      </c>
      <c r="AK270" s="15" t="str">
        <f aca="false">IF(O270&lt;&gt;"",IF(O270="Price ≤ $5","Excluded – price ≤ $5","Excluded – IV only"),IF(ISNUMBER(D270),IF(AND(D270&gt;=$C$3,L270&gt;=$H$3),"Priority 1",IF(OR(D270&gt;=$C$3,L270&gt;=$H$3),"Priority 2","Priority 3")),IF(L270&gt;=$H$3,"Priority 2","Priority 3")))</f>
        <v>Excluded – IV only</v>
      </c>
      <c r="AL270" s="16" t="str">
        <f aca="false">IF(O270&lt;&gt;"","",IF(ISNUMBER(D270),IF(D270&gt;=$C$3,"High price","Lower price"),"Unpriced")&amp;" · "&amp;IF(L270&gt;=$H$3,"high volume","lower volume"))</f>
        <v/>
      </c>
      <c r="AM270" s="14" t="str">
        <f aca="false">IF(O270&lt;&gt;"","",COUNTIFS($A$29:$A$361,A270,$O$29:$O$361,"",$AQ$29:$AQ$361,"&gt;"&amp;AQ270)+COUNTIFS($A$29:A270,A270,$O$29:O270,"",$AQ$29:AQ270,AQ270))</f>
        <v/>
      </c>
      <c r="AN270" s="33" t="str">
        <f aca="false">IF(AND(O270="",ISNUMBER(D270)),D270,"")</f>
        <v/>
      </c>
      <c r="AO270" s="33" t="str">
        <f aca="false">IF(O270="",M270,"")</f>
        <v/>
      </c>
      <c r="AP270" s="33" t="str">
        <f aca="false">IF(O270="",L270,"")</f>
        <v/>
      </c>
      <c r="AQ270" s="33" t="str">
        <f aca="false">IF(O270&lt;&gt;"","",(4-VALUE(RIGHT(AK270,1)))*10^7+N(N270))</f>
        <v/>
      </c>
      <c r="AR270" s="33" t="n">
        <f aca="false">INDEX($O$7:$O$25,MATCH(A270,$I$7:$I$25,0))</f>
        <v>15</v>
      </c>
      <c r="AS270" s="33" t="str">
        <f aca="false">IF(AE270="No","",AR270*1000+IF(AM270="",900+COUNTIFS($A$29:A270,A270,$O$29:O270,"Price ≤ $5"),AM270))</f>
        <v/>
      </c>
    </row>
    <row r="271" customFormat="false" ht="41.75" hidden="false" customHeight="false" outlineLevel="0" collapsed="false">
      <c r="A271" s="15" t="s">
        <v>195</v>
      </c>
      <c r="B271" s="15" t="s">
        <v>245</v>
      </c>
      <c r="C271" s="16" t="s">
        <v>246</v>
      </c>
      <c r="D271" s="17" t="n">
        <f aca="false">IF(W271&gt;0,ROUND(AVERAGEIFS('Shortlisted Drugs X Company (7)'!$N$3:$N$698,'Shortlisted Drugs X Company (7)'!$C$3:$C$698,$B271,'Shortlisted Drugs X Company (7)'!$E$3:$E$698,$S271,'Shortlisted Drugs X Company (7)'!$N$3:$N$698,"&gt;5"),2),"")</f>
        <v>30.01</v>
      </c>
      <c r="E271" s="15" t="str">
        <f aca="false">IF(COUNTIFS('Shortlisted Drugs X Company (7)'!$C$3:$C$698,$B271,'Shortlisted Drugs X Company (7)'!$E$3:$E$698,$S271,'Shortlisted Drugs X Company (7)'!$P$3:$P$698,"Exact")&gt;0,"Exact",IF(COUNTIFS('Shortlisted Drugs X Company (7)'!$C$3:$C$698,$B271,'Shortlisted Drugs X Company (7)'!$E$3:$E$698,$S271,'Shortlisted Drugs X Company (7)'!$P$3:$P$698,"Same-market proxy")&gt;0,"Same-market proxy",IF(COUNTIFS('Shortlisted Drugs X Company (7)'!$C$3:$C$698,$B271,'Shortlisted Drugs X Company (7)'!$E$3:$E$698,$S271,'Shortlisted Drugs X Company (7)'!$P$3:$P$698,"Cross-market proxy")&gt;0,"Cross-market proxy",IF(COUNTIFS('Shortlisted Drugs X Company (7)'!$C$3:$C$698,$B271,'Shortlisted Drugs X Company (7)'!$E$3:$E$698,$S271,'Shortlisted Drugs X Company (7)'!$P$3:$P$698,"Source not found")&gt;0,"Source not found","Not priced"))))</f>
        <v>Same-market proxy</v>
      </c>
      <c r="F271" s="18" t="n">
        <f aca="false">IFERROR(ROUND(INDEX('Injectable Value'!$AA$28:$AA$178,MATCH(B271,'Injectable Value'!$A$28:$A$178,0)),1),"")</f>
        <v>3625.3</v>
      </c>
      <c r="G271" s="16" t="s">
        <v>247</v>
      </c>
      <c r="H271" s="14" t="n">
        <v>1</v>
      </c>
      <c r="I271" s="15" t="s">
        <v>248</v>
      </c>
      <c r="J271" s="15" t="s">
        <v>249</v>
      </c>
      <c r="K271" s="16" t="str">
        <f aca="false">""&amp;IF(V271=0,"Unpriced","")&amp;IF(AND(V271&gt;0,W271=0,X271=0),"Low price from another market – confirm with company","")</f>
        <v/>
      </c>
      <c r="L271" s="18" t="n">
        <f aca="false">IFERROR(INDEX('Shortlisted Drugs X Company (7)'!$K$3:$K$698,MATCH(B271,'Shortlisted Drugs X Company (7)'!$C$3:$C$698,0)),"")</f>
        <v>156</v>
      </c>
      <c r="M271" s="18" t="n">
        <f aca="false">IFERROR(ROUND(L271*INDEX('Injectable Value'!$Z$28:$Z$178,MATCH(B271,'Injectable Value'!$A$28:$A$178,0)),0),"")</f>
        <v>143</v>
      </c>
      <c r="N271" s="18" t="n">
        <f aca="false">IFERROR(INDEX('Shortlisted Drugs X Company (7)'!$L$3:$L$698,MATCH(B271,'Shortlisted Drugs X Company (7)'!$C$3:$C$698,0)),"")</f>
        <v>3954.83</v>
      </c>
      <c r="O271" s="15" t="str">
        <f aca="false">IF(AE271="No","IV only (not ID/IM/SC)",IF(AND(V271&gt;0,W271=0),"Price ≤ $5",""))</f>
        <v/>
      </c>
      <c r="P271" s="14" t="n">
        <f aca="false">IF(O271&lt;&gt;"","",COUNTIFS($A$29:$A$361,A271,$O$29:$O$361,"",$AC$29:$AC$361,"&gt;"&amp;AC271)+COUNTIFS($A$29:A271,A271,$O$29:O271,"",$AC$29:AC271,AC271))</f>
        <v>1</v>
      </c>
      <c r="Q271" s="15" t="str">
        <f aca="false">IF(O271&lt;&gt;"",IF(O271="Price ≤ $5","Excluded – price ≤ $5","Excluded – IV only"),IF(ISNUMBER(D271),IF(AND(D271&gt;=$C$3,M271&gt;=$E$3),"Priority 1",IF(OR(D271&gt;=$C$3,M271&gt;=$E$3),"Priority 2","Priority 3")),IF(M271&gt;=$E$3,"Priority 2","Priority 3")))</f>
        <v>Priority 2</v>
      </c>
      <c r="R271" s="16" t="s">
        <v>250</v>
      </c>
      <c r="S271" s="15" t="s">
        <v>195</v>
      </c>
      <c r="T271" s="32" t="s">
        <v>252</v>
      </c>
      <c r="U271" s="33" t="str">
        <f aca="false">B271&amp;"|"&amp;S271</f>
        <v>Carboprost|Micro Labs</v>
      </c>
      <c r="V271" s="34" t="n">
        <f aca="false">COUNTIFS('Shortlisted Drugs X Company (7)'!$C$3:$C$698,$B271,'Shortlisted Drugs X Company (7)'!$E$3:$E$698,$S271,'Shortlisted Drugs X Company (7)'!$N$3:$N$698,"&gt;=0")</f>
        <v>1</v>
      </c>
      <c r="W271" s="34" t="n">
        <f aca="false">COUNTIFS('Shortlisted Drugs X Company (7)'!$C$3:$C$698,$B271,'Shortlisted Drugs X Company (7)'!$E$3:$E$698,$S271,'Shortlisted Drugs X Company (7)'!$N$3:$N$698,"&gt;5")</f>
        <v>1</v>
      </c>
      <c r="X271" s="34" t="n">
        <f aca="false">COUNTIFS('Shortlisted Drugs X Company (7)'!$C$3:$C$698,$B271,'Shortlisted Drugs X Company (7)'!$E$3:$E$698,$S271,'Shortlisted Drugs X Company (7)'!$P$3:$P$698,"Exact")+COUNTIFS('Shortlisted Drugs X Company (7)'!$C$3:$C$698,$B271,'Shortlisted Drugs X Company (7)'!$E$3:$E$698,$S271,'Shortlisted Drugs X Company (7)'!$P$3:$P$698,"Same-market proxy")</f>
        <v>1</v>
      </c>
      <c r="Y271" s="33" t="str">
        <f aca="false">A271&amp;"|"&amp;P271</f>
        <v>Micro Labs|1</v>
      </c>
      <c r="Z271" s="16" t="s">
        <v>253</v>
      </c>
      <c r="AA271" s="33" t="n">
        <f aca="false">INDEX($G$7:$G$25,MATCH(A271,$A$7:$A$25,0))</f>
        <v>18</v>
      </c>
      <c r="AB271" s="33" t="n">
        <f aca="false">IF(AE271="No","",AA271*1000+IF(P271="",900+COUNTIFS($A$29:A271,A271,$O$29:O271,"Price ≤ $5"),P271))</f>
        <v>18001</v>
      </c>
      <c r="AC271" s="33" t="n">
        <f aca="false">IF(O271&lt;&gt;"","",(4-VALUE(RIGHT(Q271,1)))*10^7+N(F271))</f>
        <v>20003625.3</v>
      </c>
      <c r="AD271" s="15" t="str">
        <f aca="false">IFERROR(INDEX('Route of Administration'!$C$5:$C$155,MATCH(B271,'Route of Administration'!$A$5:$A$155,0)),"")</f>
        <v>IM</v>
      </c>
      <c r="AE271" s="14" t="str">
        <f aca="false">IFERROR(INDEX('Route of Administration'!$D$5:$D$155,MATCH(B271,'Route of Administration'!$A$5:$A$155,0)),"")</f>
        <v>Yes</v>
      </c>
      <c r="AF271" s="19" t="n">
        <f aca="false">IF(V271&gt;0,ROUND(AVERAGEIFS('Shortlisted Drugs X Company (7)'!$N$3:$N$698,'Shortlisted Drugs X Company (7)'!$C$3:$C$698,$B271,'Shortlisted Drugs X Company (7)'!$E$3:$E$698,$S271,'Shortlisted Drugs X Company (7)'!$N$3:$N$698,"&gt;=0"),2),"")</f>
        <v>30.01</v>
      </c>
      <c r="AG271" s="16" t="s">
        <v>321</v>
      </c>
      <c r="AH271" s="16" t="s">
        <v>247</v>
      </c>
      <c r="AI271" s="16" t="s">
        <v>247</v>
      </c>
      <c r="AJ271" s="16" t="str">
        <f aca="false">IF(O271&lt;&gt;"","",IF(ISNUMBER(D271),IF(D271&gt;=$C$3,"High price","Lower price"),"Unpriced")&amp;" · "&amp;IF(M271&gt;=$E$3,"high volume","lower volume"))</f>
        <v>High price · lower volume</v>
      </c>
      <c r="AK271" s="15" t="str">
        <f aca="false">IF(O271&lt;&gt;"",IF(O271="Price ≤ $5","Excluded – price ≤ $5","Excluded – IV only"),IF(ISNUMBER(D271),IF(AND(D271&gt;=$C$3,L271&gt;=$H$3),"Priority 1",IF(OR(D271&gt;=$C$3,L271&gt;=$H$3),"Priority 2","Priority 3")),IF(L271&gt;=$H$3,"Priority 2","Priority 3")))</f>
        <v>Priority 2</v>
      </c>
      <c r="AL271" s="16" t="str">
        <f aca="false">IF(O271&lt;&gt;"","",IF(ISNUMBER(D271),IF(D271&gt;=$C$3,"High price","Lower price"),"Unpriced")&amp;" · "&amp;IF(L271&gt;=$H$3,"high volume","lower volume"))</f>
        <v>High price · lower volume</v>
      </c>
      <c r="AM271" s="14" t="n">
        <f aca="false">IF(O271&lt;&gt;"","",COUNTIFS($A$29:$A$361,A271,$O$29:$O$361,"",$AQ$29:$AQ$361,"&gt;"&amp;AQ271)+COUNTIFS($A$29:A271,A271,$O$29:O271,"",$AQ$29:AQ271,AQ271))</f>
        <v>2</v>
      </c>
      <c r="AN271" s="19" t="n">
        <f aca="false">IF(AND(O271="",ISNUMBER(D271)),D271,"")</f>
        <v>30.01</v>
      </c>
      <c r="AO271" s="20" t="n">
        <f aca="false">IF(O271="",M271,"")</f>
        <v>143</v>
      </c>
      <c r="AP271" s="20" t="n">
        <f aca="false">IF(O271="",L271,"")</f>
        <v>156</v>
      </c>
      <c r="AQ271" s="33" t="n">
        <f aca="false">IF(O271&lt;&gt;"","",(4-VALUE(RIGHT(AK271,1)))*10^7+N(N271))</f>
        <v>20003954.83</v>
      </c>
      <c r="AR271" s="33" t="n">
        <f aca="false">INDEX($O$7:$O$25,MATCH(A271,$I$7:$I$25,0))</f>
        <v>15</v>
      </c>
      <c r="AS271" s="33" t="n">
        <f aca="false">IF(AE271="No","",AR271*1000+IF(AM271="",900+COUNTIFS($A$29:A271,A271,$O$29:O271,"Price ≤ $5"),AM271))</f>
        <v>15002</v>
      </c>
    </row>
    <row r="272" customFormat="false" ht="41.75" hidden="false" customHeight="false" outlineLevel="0" collapsed="false">
      <c r="A272" s="15" t="s">
        <v>195</v>
      </c>
      <c r="B272" s="15" t="s">
        <v>1225</v>
      </c>
      <c r="C272" s="16" t="s">
        <v>1226</v>
      </c>
      <c r="D272" s="17" t="n">
        <f aca="false">IF(W272&gt;0,ROUND(AVERAGEIFS('Shortlisted Drugs X Company (7)'!$N$3:$N$698,'Shortlisted Drugs X Company (7)'!$C$3:$C$698,$B272,'Shortlisted Drugs X Company (7)'!$E$3:$E$698,$S272,'Shortlisted Drugs X Company (7)'!$N$3:$N$698,"&gt;5"),2),"")</f>
        <v>30.35</v>
      </c>
      <c r="E272" s="15" t="str">
        <f aca="false">IF(COUNTIFS('Shortlisted Drugs X Company (7)'!$C$3:$C$698,$B272,'Shortlisted Drugs X Company (7)'!$E$3:$E$698,$S272,'Shortlisted Drugs X Company (7)'!$P$3:$P$698,"Exact")&gt;0,"Exact",IF(COUNTIFS('Shortlisted Drugs X Company (7)'!$C$3:$C$698,$B272,'Shortlisted Drugs X Company (7)'!$E$3:$E$698,$S272,'Shortlisted Drugs X Company (7)'!$P$3:$P$698,"Same-market proxy")&gt;0,"Same-market proxy",IF(COUNTIFS('Shortlisted Drugs X Company (7)'!$C$3:$C$698,$B272,'Shortlisted Drugs X Company (7)'!$E$3:$E$698,$S272,'Shortlisted Drugs X Company (7)'!$P$3:$P$698,"Cross-market proxy")&gt;0,"Cross-market proxy",IF(COUNTIFS('Shortlisted Drugs X Company (7)'!$C$3:$C$698,$B272,'Shortlisted Drugs X Company (7)'!$E$3:$E$698,$S272,'Shortlisted Drugs X Company (7)'!$P$3:$P$698,"Source not found")&gt;0,"Source not found","Not priced"))))</f>
        <v>Same-market proxy</v>
      </c>
      <c r="F272" s="18" t="n">
        <f aca="false">IFERROR(ROUND(INDEX('Injectable Value'!$AA$28:$AA$178,MATCH(B272,'Injectable Value'!$A$28:$A$178,0)),1),"")</f>
        <v>1296.8</v>
      </c>
      <c r="G272" s="16" t="s">
        <v>881</v>
      </c>
      <c r="H272" s="14" t="n">
        <v>2</v>
      </c>
      <c r="I272" s="15" t="s">
        <v>316</v>
      </c>
      <c r="J272" s="15" t="s">
        <v>249</v>
      </c>
      <c r="K272" s="16" t="str">
        <f aca="false">""&amp;IF(V272=0,"Unpriced","")&amp;IF(AND(V272&gt;0,W272=0,X272=0),"Low price from another market – confirm with company","")</f>
        <v/>
      </c>
      <c r="L272" s="18" t="n">
        <f aca="false">IFERROR(INDEX('Shortlisted Drugs X Company (7)'!$K$3:$K$698,MATCH(B272,'Shortlisted Drugs X Company (7)'!$C$3:$C$698,0)),"")</f>
        <v>44</v>
      </c>
      <c r="M272" s="18" t="n">
        <f aca="false">IFERROR(ROUND(L272*INDEX('Injectable Value'!$Z$28:$Z$178,MATCH(B272,'Injectable Value'!$A$28:$A$178,0)),0),"")</f>
        <v>24</v>
      </c>
      <c r="N272" s="18" t="n">
        <f aca="false">IFERROR(INDEX('Shortlisted Drugs X Company (7)'!$L$3:$L$698,MATCH(B272,'Shortlisted Drugs X Company (7)'!$C$3:$C$698,0)),"")</f>
        <v>2375.17</v>
      </c>
      <c r="O272" s="15" t="str">
        <f aca="false">IF(AE272="No","IV only (not ID/IM/SC)",IF(AND(V272&gt;0,W272=0),"Price ≤ $5",""))</f>
        <v/>
      </c>
      <c r="P272" s="14" t="n">
        <f aca="false">IF(O272&lt;&gt;"","",COUNTIFS($A$29:$A$361,A272,$O$29:$O$361,"",$AC$29:$AC$361,"&gt;"&amp;AC272)+COUNTIFS($A$29:A272,A272,$O$29:O272,"",$AC$29:AC272,AC272))</f>
        <v>4</v>
      </c>
      <c r="Q272" s="15" t="str">
        <f aca="false">IF(O272&lt;&gt;"",IF(O272="Price ≤ $5","Excluded – price ≤ $5","Excluded – IV only"),IF(ISNUMBER(D272),IF(AND(D272&gt;=$C$3,M272&gt;=$E$3),"Priority 1",IF(OR(D272&gt;=$C$3,M272&gt;=$E$3),"Priority 2","Priority 3")),IF(M272&gt;=$E$3,"Priority 2","Priority 3")))</f>
        <v>Priority 2</v>
      </c>
      <c r="R272" s="16" t="s">
        <v>285</v>
      </c>
      <c r="S272" s="15" t="s">
        <v>195</v>
      </c>
      <c r="T272" s="32" t="s">
        <v>1227</v>
      </c>
      <c r="U272" s="33" t="str">
        <f aca="false">B272&amp;"|"&amp;S272</f>
        <v>Cyclizine|Micro Labs</v>
      </c>
      <c r="V272" s="34" t="n">
        <f aca="false">COUNTIFS('Shortlisted Drugs X Company (7)'!$C$3:$C$698,$B272,'Shortlisted Drugs X Company (7)'!$E$3:$E$698,$S272,'Shortlisted Drugs X Company (7)'!$N$3:$N$698,"&gt;=0")</f>
        <v>1</v>
      </c>
      <c r="W272" s="34" t="n">
        <f aca="false">COUNTIFS('Shortlisted Drugs X Company (7)'!$C$3:$C$698,$B272,'Shortlisted Drugs X Company (7)'!$E$3:$E$698,$S272,'Shortlisted Drugs X Company (7)'!$N$3:$N$698,"&gt;5")</f>
        <v>1</v>
      </c>
      <c r="X272" s="34" t="n">
        <f aca="false">COUNTIFS('Shortlisted Drugs X Company (7)'!$C$3:$C$698,$B272,'Shortlisted Drugs X Company (7)'!$E$3:$E$698,$S272,'Shortlisted Drugs X Company (7)'!$P$3:$P$698,"Exact")+COUNTIFS('Shortlisted Drugs X Company (7)'!$C$3:$C$698,$B272,'Shortlisted Drugs X Company (7)'!$E$3:$E$698,$S272,'Shortlisted Drugs X Company (7)'!$P$3:$P$698,"Same-market proxy")</f>
        <v>1</v>
      </c>
      <c r="Y272" s="33" t="str">
        <f aca="false">A272&amp;"|"&amp;P272</f>
        <v>Micro Labs|4</v>
      </c>
      <c r="Z272" s="16" t="s">
        <v>1228</v>
      </c>
      <c r="AA272" s="33" t="n">
        <f aca="false">INDEX($G$7:$G$25,MATCH(A272,$A$7:$A$25,0))</f>
        <v>18</v>
      </c>
      <c r="AB272" s="33" t="n">
        <f aca="false">IF(AE272="No","",AA272*1000+IF(P272="",900+COUNTIFS($A$29:A272,A272,$O$29:O272,"Price ≤ $5"),P272))</f>
        <v>18004</v>
      </c>
      <c r="AC272" s="33" t="n">
        <f aca="false">IF(O272&lt;&gt;"","",(4-VALUE(RIGHT(Q272,1)))*10^7+N(F272))</f>
        <v>20001296.8</v>
      </c>
      <c r="AD272" s="15" t="str">
        <f aca="false">IFERROR(INDEX('Route of Administration'!$C$5:$C$155,MATCH(B272,'Route of Administration'!$A$5:$A$155,0)),"")</f>
        <v>IV, IM</v>
      </c>
      <c r="AE272" s="14" t="str">
        <f aca="false">IFERROR(INDEX('Route of Administration'!$D$5:$D$155,MATCH(B272,'Route of Administration'!$A$5:$A$155,0)),"")</f>
        <v>Yes</v>
      </c>
      <c r="AF272" s="19" t="n">
        <f aca="false">IF(V272&gt;0,ROUND(AVERAGEIFS('Shortlisted Drugs X Company (7)'!$N$3:$N$698,'Shortlisted Drugs X Company (7)'!$C$3:$C$698,$B272,'Shortlisted Drugs X Company (7)'!$E$3:$E$698,$S272,'Shortlisted Drugs X Company (7)'!$N$3:$N$698,"&gt;=0"),2),"")</f>
        <v>30.35</v>
      </c>
      <c r="AG272" s="16" t="s">
        <v>1229</v>
      </c>
      <c r="AH272" s="16" t="s">
        <v>1230</v>
      </c>
      <c r="AI272" s="16" t="s">
        <v>1230</v>
      </c>
      <c r="AJ272" s="16" t="str">
        <f aca="false">IF(O272&lt;&gt;"","",IF(ISNUMBER(D272),IF(D272&gt;=$C$3,"High price","Lower price"),"Unpriced")&amp;" · "&amp;IF(M272&gt;=$E$3,"high volume","lower volume"))</f>
        <v>High price · lower volume</v>
      </c>
      <c r="AK272" s="15" t="str">
        <f aca="false">IF(O272&lt;&gt;"",IF(O272="Price ≤ $5","Excluded – price ≤ $5","Excluded – IV only"),IF(ISNUMBER(D272),IF(AND(D272&gt;=$C$3,L272&gt;=$H$3),"Priority 1",IF(OR(D272&gt;=$C$3,L272&gt;=$H$3),"Priority 2","Priority 3")),IF(L272&gt;=$H$3,"Priority 2","Priority 3")))</f>
        <v>Priority 2</v>
      </c>
      <c r="AL272" s="16" t="str">
        <f aca="false">IF(O272&lt;&gt;"","",IF(ISNUMBER(D272),IF(D272&gt;=$C$3,"High price","Lower price"),"Unpriced")&amp;" · "&amp;IF(L272&gt;=$H$3,"high volume","lower volume"))</f>
        <v>High price · lower volume</v>
      </c>
      <c r="AM272" s="14" t="n">
        <f aca="false">IF(O272&lt;&gt;"","",COUNTIFS($A$29:$A$361,A272,$O$29:$O$361,"",$AQ$29:$AQ$361,"&gt;"&amp;AQ272)+COUNTIFS($A$29:A272,A272,$O$29:O272,"",$AQ$29:AQ272,AQ272))</f>
        <v>5</v>
      </c>
      <c r="AN272" s="19" t="n">
        <f aca="false">IF(AND(O272="",ISNUMBER(D272)),D272,"")</f>
        <v>30.35</v>
      </c>
      <c r="AO272" s="20" t="n">
        <f aca="false">IF(O272="",M272,"")</f>
        <v>24</v>
      </c>
      <c r="AP272" s="20" t="n">
        <f aca="false">IF(O272="",L272,"")</f>
        <v>44</v>
      </c>
      <c r="AQ272" s="33" t="n">
        <f aca="false">IF(O272&lt;&gt;"","",(4-VALUE(RIGHT(AK272,1)))*10^7+N(N272))</f>
        <v>20002375.17</v>
      </c>
      <c r="AR272" s="33" t="n">
        <f aca="false">INDEX($O$7:$O$25,MATCH(A272,$I$7:$I$25,0))</f>
        <v>15</v>
      </c>
      <c r="AS272" s="33" t="n">
        <f aca="false">IF(AE272="No","",AR272*1000+IF(AM272="",900+COUNTIFS($A$29:A272,A272,$O$29:O272,"Price ≤ $5"),AM272))</f>
        <v>15005</v>
      </c>
    </row>
    <row r="273" customFormat="false" ht="28.35" hidden="false" customHeight="false" outlineLevel="0" collapsed="false">
      <c r="A273" s="15" t="s">
        <v>195</v>
      </c>
      <c r="B273" s="15" t="s">
        <v>1231</v>
      </c>
      <c r="C273" s="16" t="s">
        <v>1232</v>
      </c>
      <c r="D273" s="17" t="n">
        <f aca="false">IF(W273&gt;0,ROUND(AVERAGEIFS('Shortlisted Drugs X Company (7)'!$N$3:$N$698,'Shortlisted Drugs X Company (7)'!$C$3:$C$698,$B273,'Shortlisted Drugs X Company (7)'!$E$3:$E$698,$S273,'Shortlisted Drugs X Company (7)'!$N$3:$N$698,"&gt;5"),2),"")</f>
        <v>18</v>
      </c>
      <c r="E273" s="15" t="str">
        <f aca="false">IF(COUNTIFS('Shortlisted Drugs X Company (7)'!$C$3:$C$698,$B273,'Shortlisted Drugs X Company (7)'!$E$3:$E$698,$S273,'Shortlisted Drugs X Company (7)'!$P$3:$P$698,"Exact")&gt;0,"Exact",IF(COUNTIFS('Shortlisted Drugs X Company (7)'!$C$3:$C$698,$B273,'Shortlisted Drugs X Company (7)'!$E$3:$E$698,$S273,'Shortlisted Drugs X Company (7)'!$P$3:$P$698,"Same-market proxy")&gt;0,"Same-market proxy",IF(COUNTIFS('Shortlisted Drugs X Company (7)'!$C$3:$C$698,$B273,'Shortlisted Drugs X Company (7)'!$E$3:$E$698,$S273,'Shortlisted Drugs X Company (7)'!$P$3:$P$698,"Cross-market proxy")&gt;0,"Cross-market proxy",IF(COUNTIFS('Shortlisted Drugs X Company (7)'!$C$3:$C$698,$B273,'Shortlisted Drugs X Company (7)'!$E$3:$E$698,$S273,'Shortlisted Drugs X Company (7)'!$P$3:$P$698,"Source not found")&gt;0,"Source not found","Not priced"))))</f>
        <v>Same-market proxy</v>
      </c>
      <c r="F273" s="18" t="n">
        <f aca="false">IFERROR(ROUND(INDEX('Injectable Value'!$AA$28:$AA$178,MATCH(B273,'Injectable Value'!$A$28:$A$178,0)),1),"")</f>
        <v>513.2</v>
      </c>
      <c r="G273" s="16" t="s">
        <v>247</v>
      </c>
      <c r="H273" s="14" t="n">
        <v>1</v>
      </c>
      <c r="I273" s="15" t="s">
        <v>248</v>
      </c>
      <c r="J273" s="15" t="s">
        <v>249</v>
      </c>
      <c r="K273" s="16" t="str">
        <f aca="false">""&amp;IF(V273=0,"Unpriced","")&amp;IF(AND(V273&gt;0,W273=0,X273=0),"Low price from another market – confirm with company","")</f>
        <v/>
      </c>
      <c r="L273" s="18" t="n">
        <f aca="false">IFERROR(INDEX('Shortlisted Drugs X Company (7)'!$K$3:$K$698,MATCH(B273,'Shortlisted Drugs X Company (7)'!$C$3:$C$698,0)),"")</f>
        <v>582</v>
      </c>
      <c r="M273" s="18" t="n">
        <f aca="false">IFERROR(ROUND(L273*INDEX('Injectable Value'!$Z$28:$Z$178,MATCH(B273,'Injectable Value'!$A$28:$A$178,0)),0),"")</f>
        <v>14</v>
      </c>
      <c r="N273" s="18" t="n">
        <f aca="false">IFERROR(INDEX('Shortlisted Drugs X Company (7)'!$L$3:$L$698,MATCH(B273,'Shortlisted Drugs X Company (7)'!$C$3:$C$698,0)),"")</f>
        <v>21989.37</v>
      </c>
      <c r="O273" s="15" t="str">
        <f aca="false">IF(AE273="No","IV only (not ID/IM/SC)",IF(AND(V273&gt;0,W273=0),"Price ≤ $5",""))</f>
        <v/>
      </c>
      <c r="P273" s="14" t="n">
        <f aca="false">IF(O273&lt;&gt;"","",COUNTIFS($A$29:$A$361,A273,$O$29:$O$361,"",$AC$29:$AC$361,"&gt;"&amp;AC273)+COUNTIFS($A$29:A273,A273,$O$29:O273,"",$AC$29:AC273,AC273))</f>
        <v>6</v>
      </c>
      <c r="Q273" s="15" t="str">
        <f aca="false">IF(O273&lt;&gt;"",IF(O273="Price ≤ $5","Excluded – price ≤ $5","Excluded – IV only"),IF(ISNUMBER(D273),IF(AND(D273&gt;=$C$3,M273&gt;=$E$3),"Priority 1",IF(OR(D273&gt;=$C$3,M273&gt;=$E$3),"Priority 2","Priority 3")),IF(M273&gt;=$E$3,"Priority 2","Priority 3")))</f>
        <v>Priority 3</v>
      </c>
      <c r="R273" s="16" t="s">
        <v>285</v>
      </c>
      <c r="S273" s="15" t="s">
        <v>195</v>
      </c>
      <c r="T273" s="32" t="s">
        <v>1233</v>
      </c>
      <c r="U273" s="33" t="str">
        <f aca="false">B273&amp;"|"&amp;S273</f>
        <v>Diphenhydramine|Micro Labs</v>
      </c>
      <c r="V273" s="34" t="n">
        <f aca="false">COUNTIFS('Shortlisted Drugs X Company (7)'!$C$3:$C$698,$B273,'Shortlisted Drugs X Company (7)'!$E$3:$E$698,$S273,'Shortlisted Drugs X Company (7)'!$N$3:$N$698,"&gt;=0")</f>
        <v>1</v>
      </c>
      <c r="W273" s="34" t="n">
        <f aca="false">COUNTIFS('Shortlisted Drugs X Company (7)'!$C$3:$C$698,$B273,'Shortlisted Drugs X Company (7)'!$E$3:$E$698,$S273,'Shortlisted Drugs X Company (7)'!$N$3:$N$698,"&gt;5")</f>
        <v>1</v>
      </c>
      <c r="X273" s="34" t="n">
        <f aca="false">COUNTIFS('Shortlisted Drugs X Company (7)'!$C$3:$C$698,$B273,'Shortlisted Drugs X Company (7)'!$E$3:$E$698,$S273,'Shortlisted Drugs X Company (7)'!$P$3:$P$698,"Exact")+COUNTIFS('Shortlisted Drugs X Company (7)'!$C$3:$C$698,$B273,'Shortlisted Drugs X Company (7)'!$E$3:$E$698,$S273,'Shortlisted Drugs X Company (7)'!$P$3:$P$698,"Same-market proxy")</f>
        <v>1</v>
      </c>
      <c r="Y273" s="33" t="str">
        <f aca="false">A273&amp;"|"&amp;P273</f>
        <v>Micro Labs|6</v>
      </c>
      <c r="Z273" s="16" t="s">
        <v>520</v>
      </c>
      <c r="AA273" s="33" t="n">
        <f aca="false">INDEX($G$7:$G$25,MATCH(A273,$A$7:$A$25,0))</f>
        <v>18</v>
      </c>
      <c r="AB273" s="33" t="n">
        <f aca="false">IF(AE273="No","",AA273*1000+IF(P273="",900+COUNTIFS($A$29:A273,A273,$O$29:O273,"Price ≤ $5"),P273))</f>
        <v>18006</v>
      </c>
      <c r="AC273" s="33" t="n">
        <f aca="false">IF(O273&lt;&gt;"","",(4-VALUE(RIGHT(Q273,1)))*10^7+N(F273))</f>
        <v>10000513.2</v>
      </c>
      <c r="AD273" s="15" t="str">
        <f aca="false">IFERROR(INDEX('Route of Administration'!$C$5:$C$155,MATCH(B273,'Route of Administration'!$A$5:$A$155,0)),"")</f>
        <v>IV, IM</v>
      </c>
      <c r="AE273" s="14" t="str">
        <f aca="false">IFERROR(INDEX('Route of Administration'!$D$5:$D$155,MATCH(B273,'Route of Administration'!$A$5:$A$155,0)),"")</f>
        <v>Yes</v>
      </c>
      <c r="AF273" s="19" t="n">
        <f aca="false">IF(V273&gt;0,ROUND(AVERAGEIFS('Shortlisted Drugs X Company (7)'!$N$3:$N$698,'Shortlisted Drugs X Company (7)'!$C$3:$C$698,$B273,'Shortlisted Drugs X Company (7)'!$E$3:$E$698,$S273,'Shortlisted Drugs X Company (7)'!$N$3:$N$698,"&gt;=0"),2),"")</f>
        <v>18</v>
      </c>
      <c r="AG273" s="16" t="s">
        <v>1234</v>
      </c>
      <c r="AH273" s="16" t="s">
        <v>247</v>
      </c>
      <c r="AI273" s="16" t="s">
        <v>247</v>
      </c>
      <c r="AJ273" s="16" t="str">
        <f aca="false">IF(O273&lt;&gt;"","",IF(ISNUMBER(D273),IF(D273&gt;=$C$3,"High price","Lower price"),"Unpriced")&amp;" · "&amp;IF(M273&gt;=$E$3,"high volume","lower volume"))</f>
        <v>Lower price · lower volume</v>
      </c>
      <c r="AK273" s="15" t="str">
        <f aca="false">IF(O273&lt;&gt;"",IF(O273="Price ≤ $5","Excluded – price ≤ $5","Excluded – IV only"),IF(ISNUMBER(D273),IF(AND(D273&gt;=$C$3,L273&gt;=$H$3),"Priority 1",IF(OR(D273&gt;=$C$3,L273&gt;=$H$3),"Priority 2","Priority 3")),IF(L273&gt;=$H$3,"Priority 2","Priority 3")))</f>
        <v>Priority 2</v>
      </c>
      <c r="AL273" s="16" t="str">
        <f aca="false">IF(O273&lt;&gt;"","",IF(ISNUMBER(D273),IF(D273&gt;=$C$3,"High price","Lower price"),"Unpriced")&amp;" · "&amp;IF(L273&gt;=$H$3,"high volume","lower volume"))</f>
        <v>Lower price · high volume</v>
      </c>
      <c r="AM273" s="14" t="n">
        <f aca="false">IF(O273&lt;&gt;"","",COUNTIFS($A$29:$A$361,A273,$O$29:$O$361,"",$AQ$29:$AQ$361,"&gt;"&amp;AQ273)+COUNTIFS($A$29:A273,A273,$O$29:O273,"",$AQ$29:AQ273,AQ273))</f>
        <v>1</v>
      </c>
      <c r="AN273" s="19" t="n">
        <f aca="false">IF(AND(O273="",ISNUMBER(D273)),D273,"")</f>
        <v>18</v>
      </c>
      <c r="AO273" s="20" t="n">
        <f aca="false">IF(O273="",M273,"")</f>
        <v>14</v>
      </c>
      <c r="AP273" s="20" t="n">
        <f aca="false">IF(O273="",L273,"")</f>
        <v>582</v>
      </c>
      <c r="AQ273" s="33" t="n">
        <f aca="false">IF(O273&lt;&gt;"","",(4-VALUE(RIGHT(AK273,1)))*10^7+N(N273))</f>
        <v>20021989.37</v>
      </c>
      <c r="AR273" s="33" t="n">
        <f aca="false">INDEX($O$7:$O$25,MATCH(A273,$I$7:$I$25,0))</f>
        <v>15</v>
      </c>
      <c r="AS273" s="33" t="n">
        <f aca="false">IF(AE273="No","",AR273*1000+IF(AM273="",900+COUNTIFS($A$29:A273,A273,$O$29:O273,"Price ≤ $5"),AM273))</f>
        <v>15001</v>
      </c>
    </row>
    <row r="274" customFormat="false" ht="28.35" hidden="false" customHeight="false" outlineLevel="0" collapsed="false">
      <c r="A274" s="15" t="s">
        <v>195</v>
      </c>
      <c r="B274" s="15" t="s">
        <v>606</v>
      </c>
      <c r="C274" s="16" t="s">
        <v>607</v>
      </c>
      <c r="D274" s="17" t="n">
        <f aca="false">IF(W274&gt;0,ROUND(AVERAGEIFS('Shortlisted Drugs X Company (7)'!$N$3:$N$698,'Shortlisted Drugs X Company (7)'!$C$3:$C$698,$B274,'Shortlisted Drugs X Company (7)'!$E$3:$E$698,$S274,'Shortlisted Drugs X Company (7)'!$N$3:$N$698,"&gt;5"),2),"")</f>
        <v>51.18</v>
      </c>
      <c r="E274" s="15" t="str">
        <f aca="false">IF(COUNTIFS('Shortlisted Drugs X Company (7)'!$C$3:$C$698,$B274,'Shortlisted Drugs X Company (7)'!$E$3:$E$698,$S274,'Shortlisted Drugs X Company (7)'!$P$3:$P$698,"Exact")&gt;0,"Exact",IF(COUNTIFS('Shortlisted Drugs X Company (7)'!$C$3:$C$698,$B274,'Shortlisted Drugs X Company (7)'!$E$3:$E$698,$S274,'Shortlisted Drugs X Company (7)'!$P$3:$P$698,"Same-market proxy")&gt;0,"Same-market proxy",IF(COUNTIFS('Shortlisted Drugs X Company (7)'!$C$3:$C$698,$B274,'Shortlisted Drugs X Company (7)'!$E$3:$E$698,$S274,'Shortlisted Drugs X Company (7)'!$P$3:$P$698,"Cross-market proxy")&gt;0,"Cross-market proxy",IF(COUNTIFS('Shortlisted Drugs X Company (7)'!$C$3:$C$698,$B274,'Shortlisted Drugs X Company (7)'!$E$3:$E$698,$S274,'Shortlisted Drugs X Company (7)'!$P$3:$P$698,"Source not found")&gt;0,"Source not found","Not priced"))))</f>
        <v>Same-market proxy</v>
      </c>
      <c r="F274" s="18" t="n">
        <f aca="false">IFERROR(ROUND(INDEX('Injectable Value'!$AA$28:$AA$178,MATCH(B274,'Injectable Value'!$A$28:$A$178,0)),1),"")</f>
        <v>2931.4</v>
      </c>
      <c r="G274" s="16" t="s">
        <v>247</v>
      </c>
      <c r="H274" s="14" t="n">
        <v>2</v>
      </c>
      <c r="I274" s="15" t="s">
        <v>316</v>
      </c>
      <c r="J274" s="15" t="s">
        <v>249</v>
      </c>
      <c r="K274" s="16" t="str">
        <f aca="false">""&amp;IF(V274=0,"Unpriced","")&amp;IF(AND(V274&gt;0,W274=0,X274=0),"Low price from another market – confirm with company","")</f>
        <v/>
      </c>
      <c r="L274" s="18" t="n">
        <f aca="false">IFERROR(INDEX('Shortlisted Drugs X Company (7)'!$K$3:$K$698,MATCH(B274,'Shortlisted Drugs X Company (7)'!$C$3:$C$698,0)),"")</f>
        <v>87</v>
      </c>
      <c r="M274" s="18" t="n">
        <f aca="false">IFERROR(ROUND(L274*INDEX('Injectable Value'!$Z$28:$Z$178,MATCH(B274,'Injectable Value'!$A$28:$A$178,0)),0),"")</f>
        <v>87</v>
      </c>
      <c r="N274" s="18" t="n">
        <f aca="false">IFERROR(INDEX('Shortlisted Drugs X Company (7)'!$L$3:$L$698,MATCH(B274,'Shortlisted Drugs X Company (7)'!$C$3:$C$698,0)),"")</f>
        <v>2931.42</v>
      </c>
      <c r="O274" s="15" t="str">
        <f aca="false">IF(AE274="No","IV only (not ID/IM/SC)",IF(AND(V274&gt;0,W274=0),"Price ≤ $5",""))</f>
        <v/>
      </c>
      <c r="P274" s="14" t="n">
        <f aca="false">IF(O274&lt;&gt;"","",COUNTIFS($A$29:$A$361,A274,$O$29:$O$361,"",$AC$29:$AC$361,"&gt;"&amp;AC274)+COUNTIFS($A$29:A274,A274,$O$29:O274,"",$AC$29:AC274,AC274))</f>
        <v>3</v>
      </c>
      <c r="Q274" s="15" t="str">
        <f aca="false">IF(O274&lt;&gt;"",IF(O274="Price ≤ $5","Excluded – price ≤ $5","Excluded – IV only"),IF(ISNUMBER(D274),IF(AND(D274&gt;=$C$3,M274&gt;=$E$3),"Priority 1",IF(OR(D274&gt;=$C$3,M274&gt;=$E$3),"Priority 2","Priority 3")),IF(M274&gt;=$E$3,"Priority 2","Priority 3")))</f>
        <v>Priority 2</v>
      </c>
      <c r="R274" s="16" t="s">
        <v>250</v>
      </c>
      <c r="S274" s="15" t="s">
        <v>195</v>
      </c>
      <c r="T274" s="32" t="s">
        <v>608</v>
      </c>
      <c r="U274" s="33" t="str">
        <f aca="false">B274&amp;"|"&amp;S274</f>
        <v>Isoprenaline (Isoproterenol)|Micro Labs</v>
      </c>
      <c r="V274" s="34" t="n">
        <f aca="false">COUNTIFS('Shortlisted Drugs X Company (7)'!$C$3:$C$698,$B274,'Shortlisted Drugs X Company (7)'!$E$3:$E$698,$S274,'Shortlisted Drugs X Company (7)'!$N$3:$N$698,"&gt;=0")</f>
        <v>1</v>
      </c>
      <c r="W274" s="34" t="n">
        <f aca="false">COUNTIFS('Shortlisted Drugs X Company (7)'!$C$3:$C$698,$B274,'Shortlisted Drugs X Company (7)'!$E$3:$E$698,$S274,'Shortlisted Drugs X Company (7)'!$N$3:$N$698,"&gt;5")</f>
        <v>1</v>
      </c>
      <c r="X274" s="34" t="n">
        <f aca="false">COUNTIFS('Shortlisted Drugs X Company (7)'!$C$3:$C$698,$B274,'Shortlisted Drugs X Company (7)'!$E$3:$E$698,$S274,'Shortlisted Drugs X Company (7)'!$P$3:$P$698,"Exact")+COUNTIFS('Shortlisted Drugs X Company (7)'!$C$3:$C$698,$B274,'Shortlisted Drugs X Company (7)'!$E$3:$E$698,$S274,'Shortlisted Drugs X Company (7)'!$P$3:$P$698,"Same-market proxy")</f>
        <v>1</v>
      </c>
      <c r="Y274" s="33" t="str">
        <f aca="false">A274&amp;"|"&amp;P274</f>
        <v>Micro Labs|3</v>
      </c>
      <c r="Z274" s="16" t="s">
        <v>609</v>
      </c>
      <c r="AA274" s="33" t="n">
        <f aca="false">INDEX($G$7:$G$25,MATCH(A274,$A$7:$A$25,0))</f>
        <v>18</v>
      </c>
      <c r="AB274" s="33" t="n">
        <f aca="false">IF(AE274="No","",AA274*1000+IF(P274="",900+COUNTIFS($A$29:A274,A274,$O$29:O274,"Price ≤ $5"),P274))</f>
        <v>18003</v>
      </c>
      <c r="AC274" s="33" t="n">
        <f aca="false">IF(O274&lt;&gt;"","",(4-VALUE(RIGHT(Q274,1)))*10^7+N(F274))</f>
        <v>20002931.4</v>
      </c>
      <c r="AD274" s="15" t="str">
        <f aca="false">IFERROR(INDEX('Route of Administration'!$C$5:$C$155,MATCH(B274,'Route of Administration'!$A$5:$A$155,0)),"")</f>
        <v>IV, IM, SC</v>
      </c>
      <c r="AE274" s="14" t="str">
        <f aca="false">IFERROR(INDEX('Route of Administration'!$D$5:$D$155,MATCH(B274,'Route of Administration'!$A$5:$A$155,0)),"")</f>
        <v>Yes</v>
      </c>
      <c r="AF274" s="19" t="n">
        <f aca="false">IF(V274&gt;0,ROUND(AVERAGEIFS('Shortlisted Drugs X Company (7)'!$N$3:$N$698,'Shortlisted Drugs X Company (7)'!$C$3:$C$698,$B274,'Shortlisted Drugs X Company (7)'!$E$3:$E$698,$S274,'Shortlisted Drugs X Company (7)'!$N$3:$N$698,"&gt;=0"),2),"")</f>
        <v>51.18</v>
      </c>
      <c r="AG274" s="16" t="s">
        <v>1235</v>
      </c>
      <c r="AH274" s="16" t="s">
        <v>605</v>
      </c>
      <c r="AI274" s="16" t="s">
        <v>605</v>
      </c>
      <c r="AJ274" s="16" t="str">
        <f aca="false">IF(O274&lt;&gt;"","",IF(ISNUMBER(D274),IF(D274&gt;=$C$3,"High price","Lower price"),"Unpriced")&amp;" · "&amp;IF(M274&gt;=$E$3,"high volume","lower volume"))</f>
        <v>High price · lower volume</v>
      </c>
      <c r="AK274" s="15" t="str">
        <f aca="false">IF(O274&lt;&gt;"",IF(O274="Price ≤ $5","Excluded – price ≤ $5","Excluded – IV only"),IF(ISNUMBER(D274),IF(AND(D274&gt;=$C$3,L274&gt;=$H$3),"Priority 1",IF(OR(D274&gt;=$C$3,L274&gt;=$H$3),"Priority 2","Priority 3")),IF(L274&gt;=$H$3,"Priority 2","Priority 3")))</f>
        <v>Priority 2</v>
      </c>
      <c r="AL274" s="16" t="str">
        <f aca="false">IF(O274&lt;&gt;"","",IF(ISNUMBER(D274),IF(D274&gt;=$C$3,"High price","Lower price"),"Unpriced")&amp;" · "&amp;IF(L274&gt;=$H$3,"high volume","lower volume"))</f>
        <v>High price · lower volume</v>
      </c>
      <c r="AM274" s="14" t="n">
        <f aca="false">IF(O274&lt;&gt;"","",COUNTIFS($A$29:$A$361,A274,$O$29:$O$361,"",$AQ$29:$AQ$361,"&gt;"&amp;AQ274)+COUNTIFS($A$29:A274,A274,$O$29:O274,"",$AQ$29:AQ274,AQ274))</f>
        <v>4</v>
      </c>
      <c r="AN274" s="19" t="n">
        <f aca="false">IF(AND(O274="",ISNUMBER(D274)),D274,"")</f>
        <v>51.18</v>
      </c>
      <c r="AO274" s="20" t="n">
        <f aca="false">IF(O274="",M274,"")</f>
        <v>87</v>
      </c>
      <c r="AP274" s="20" t="n">
        <f aca="false">IF(O274="",L274,"")</f>
        <v>87</v>
      </c>
      <c r="AQ274" s="33" t="n">
        <f aca="false">IF(O274&lt;&gt;"","",(4-VALUE(RIGHT(AK274,1)))*10^7+N(N274))</f>
        <v>20002931.42</v>
      </c>
      <c r="AR274" s="33" t="n">
        <f aca="false">INDEX($O$7:$O$25,MATCH(A274,$I$7:$I$25,0))</f>
        <v>15</v>
      </c>
      <c r="AS274" s="33" t="n">
        <f aca="false">IF(AE274="No","",AR274*1000+IF(AM274="",900+COUNTIFS($A$29:A274,A274,$O$29:O274,"Price ≤ $5"),AM274))</f>
        <v>15004</v>
      </c>
    </row>
    <row r="275" customFormat="false" ht="41.75" hidden="false" customHeight="false" outlineLevel="0" collapsed="false">
      <c r="A275" s="15" t="s">
        <v>195</v>
      </c>
      <c r="B275" s="15" t="s">
        <v>1236</v>
      </c>
      <c r="C275" s="16" t="s">
        <v>1237</v>
      </c>
      <c r="D275" s="17" t="n">
        <f aca="false">IF(W275&gt;0,ROUND(AVERAGEIFS('Shortlisted Drugs X Company (7)'!$N$3:$N$698,'Shortlisted Drugs X Company (7)'!$C$3:$C$698,$B275,'Shortlisted Drugs X Company (7)'!$E$3:$E$698,$S275,'Shortlisted Drugs X Company (7)'!$N$3:$N$698,"&gt;5"),2),"")</f>
        <v>90.21</v>
      </c>
      <c r="E275" s="15" t="str">
        <f aca="false">IF(COUNTIFS('Shortlisted Drugs X Company (7)'!$C$3:$C$698,$B275,'Shortlisted Drugs X Company (7)'!$E$3:$E$698,$S275,'Shortlisted Drugs X Company (7)'!$P$3:$P$698,"Exact")&gt;0,"Exact",IF(COUNTIFS('Shortlisted Drugs X Company (7)'!$C$3:$C$698,$B275,'Shortlisted Drugs X Company (7)'!$E$3:$E$698,$S275,'Shortlisted Drugs X Company (7)'!$P$3:$P$698,"Same-market proxy")&gt;0,"Same-market proxy",IF(COUNTIFS('Shortlisted Drugs X Company (7)'!$C$3:$C$698,$B275,'Shortlisted Drugs X Company (7)'!$E$3:$E$698,$S275,'Shortlisted Drugs X Company (7)'!$P$3:$P$698,"Cross-market proxy")&gt;0,"Cross-market proxy",IF(COUNTIFS('Shortlisted Drugs X Company (7)'!$C$3:$C$698,$B275,'Shortlisted Drugs X Company (7)'!$E$3:$E$698,$S275,'Shortlisted Drugs X Company (7)'!$P$3:$P$698,"Source not found")&gt;0,"Source not found","Not priced"))))</f>
        <v>Same-market proxy</v>
      </c>
      <c r="F275" s="18" t="n">
        <f aca="false">IFERROR(ROUND(INDEX('Injectable Value'!$AA$28:$AA$178,MATCH(B275,'Injectable Value'!$A$28:$A$178,0)),1),"")</f>
        <v>18568.8</v>
      </c>
      <c r="G275" s="16" t="s">
        <v>418</v>
      </c>
      <c r="H275" s="14" t="n">
        <v>3</v>
      </c>
      <c r="I275" s="15" t="s">
        <v>248</v>
      </c>
      <c r="J275" s="15" t="s">
        <v>249</v>
      </c>
      <c r="K275" s="16" t="str">
        <f aca="false">""&amp;IF(V275=0,"Unpriced","")&amp;IF(AND(V275&gt;0,W275=0,X275=0),"Low price from another market – confirm with company","")</f>
        <v/>
      </c>
      <c r="L275" s="18" t="n">
        <f aca="false">IFERROR(INDEX('Shortlisted Drugs X Company (7)'!$K$3:$K$698,MATCH(B275,'Shortlisted Drugs X Company (7)'!$C$3:$C$698,0)),"")</f>
        <v>2286</v>
      </c>
      <c r="M275" s="18" t="n">
        <f aca="false">IFERROR(ROUND(L275*INDEX('Injectable Value'!$Z$28:$Z$178,MATCH(B275,'Injectable Value'!$A$28:$A$178,0)),0),"")</f>
        <v>399</v>
      </c>
      <c r="N275" s="18" t="n">
        <f aca="false">IFERROR(INDEX('Shortlisted Drugs X Company (7)'!$L$3:$L$698,MATCH(B275,'Shortlisted Drugs X Company (7)'!$C$3:$C$698,0)),"")</f>
        <v>106496.78</v>
      </c>
      <c r="O275" s="15" t="str">
        <f aca="false">IF(AE275="No","IV only (not ID/IM/SC)",IF(AND(V275&gt;0,W275=0),"Price ≤ $5",""))</f>
        <v>IV only (not ID/IM/SC)</v>
      </c>
      <c r="P275" s="14" t="str">
        <f aca="false">IF(O275&lt;&gt;"","",COUNTIFS($A$29:$A$361,A275,$O$29:$O$361,"",$AC$29:$AC$361,"&gt;"&amp;AC275)+COUNTIFS($A$29:A275,A275,$O$29:O275,"",$AC$29:AC275,AC275))</f>
        <v/>
      </c>
      <c r="Q275" s="15" t="str">
        <f aca="false">IF(O275&lt;&gt;"",IF(O275="Price ≤ $5","Excluded – price ≤ $5","Excluded – IV only"),IF(ISNUMBER(D275),IF(AND(D275&gt;=$C$3,M275&gt;=$E$3),"Priority 1",IF(OR(D275&gt;=$C$3,M275&gt;=$E$3),"Priority 2","Priority 3")),IF(M275&gt;=$E$3,"Priority 2","Priority 3")))</f>
        <v>Excluded – IV only</v>
      </c>
      <c r="R275" s="16" t="s">
        <v>285</v>
      </c>
      <c r="S275" s="15" t="s">
        <v>195</v>
      </c>
      <c r="T275" s="32" t="s">
        <v>1238</v>
      </c>
      <c r="U275" s="33" t="str">
        <f aca="false">B275&amp;"|"&amp;S275</f>
        <v>Levetiracetam|Micro Labs</v>
      </c>
      <c r="V275" s="34" t="n">
        <f aca="false">COUNTIFS('Shortlisted Drugs X Company (7)'!$C$3:$C$698,$B275,'Shortlisted Drugs X Company (7)'!$E$3:$E$698,$S275,'Shortlisted Drugs X Company (7)'!$N$3:$N$698,"&gt;=0")</f>
        <v>1</v>
      </c>
      <c r="W275" s="34" t="n">
        <f aca="false">COUNTIFS('Shortlisted Drugs X Company (7)'!$C$3:$C$698,$B275,'Shortlisted Drugs X Company (7)'!$E$3:$E$698,$S275,'Shortlisted Drugs X Company (7)'!$N$3:$N$698,"&gt;5")</f>
        <v>1</v>
      </c>
      <c r="X275" s="34" t="n">
        <f aca="false">COUNTIFS('Shortlisted Drugs X Company (7)'!$C$3:$C$698,$B275,'Shortlisted Drugs X Company (7)'!$E$3:$E$698,$S275,'Shortlisted Drugs X Company (7)'!$P$3:$P$698,"Exact")+COUNTIFS('Shortlisted Drugs X Company (7)'!$C$3:$C$698,$B275,'Shortlisted Drugs X Company (7)'!$E$3:$E$698,$S275,'Shortlisted Drugs X Company (7)'!$P$3:$P$698,"Same-market proxy")</f>
        <v>1</v>
      </c>
      <c r="Y275" s="33" t="str">
        <f aca="false">A275&amp;"|"&amp;P275</f>
        <v>Micro Labs|</v>
      </c>
      <c r="Z275" s="16" t="s">
        <v>1239</v>
      </c>
      <c r="AA275" s="33" t="n">
        <f aca="false">INDEX($G$7:$G$25,MATCH(A275,$A$7:$A$25,0))</f>
        <v>18</v>
      </c>
      <c r="AB275" s="33" t="str">
        <f aca="false">IF(AE275="No","",AA275*1000+IF(P275="",900+COUNTIFS($A$29:A275,A275,$O$29:O275,"Price ≤ $5"),P275))</f>
        <v/>
      </c>
      <c r="AC275" s="33" t="str">
        <f aca="false">IF(O275&lt;&gt;"","",(4-VALUE(RIGHT(Q275,1)))*10^7+N(F275))</f>
        <v/>
      </c>
      <c r="AD275" s="15" t="str">
        <f aca="false">IFERROR(INDEX('Route of Administration'!$C$5:$C$155,MATCH(B275,'Route of Administration'!$A$5:$A$155,0)),"")</f>
        <v>IV</v>
      </c>
      <c r="AE275" s="14" t="str">
        <f aca="false">IFERROR(INDEX('Route of Administration'!$D$5:$D$155,MATCH(B275,'Route of Administration'!$A$5:$A$155,0)),"")</f>
        <v>No</v>
      </c>
      <c r="AF275" s="19" t="n">
        <f aca="false">IF(V275&gt;0,ROUND(AVERAGEIFS('Shortlisted Drugs X Company (7)'!$N$3:$N$698,'Shortlisted Drugs X Company (7)'!$C$3:$C$698,$B275,'Shortlisted Drugs X Company (7)'!$E$3:$E$698,$S275,'Shortlisted Drugs X Company (7)'!$N$3:$N$698,"&gt;=0"),2),"")</f>
        <v>90.21</v>
      </c>
      <c r="AG275" s="16" t="s">
        <v>1240</v>
      </c>
      <c r="AH275" s="16" t="s">
        <v>1241</v>
      </c>
      <c r="AI275" s="16" t="s">
        <v>1241</v>
      </c>
      <c r="AJ275" s="16" t="str">
        <f aca="false">IF(O275&lt;&gt;"","",IF(ISNUMBER(D275),IF(D275&gt;=$C$3,"High price","Lower price"),"Unpriced")&amp;" · "&amp;IF(M275&gt;=$E$3,"high volume","lower volume"))</f>
        <v/>
      </c>
      <c r="AK275" s="15" t="str">
        <f aca="false">IF(O275&lt;&gt;"",IF(O275="Price ≤ $5","Excluded – price ≤ $5","Excluded – IV only"),IF(ISNUMBER(D275),IF(AND(D275&gt;=$C$3,L275&gt;=$H$3),"Priority 1",IF(OR(D275&gt;=$C$3,L275&gt;=$H$3),"Priority 2","Priority 3")),IF(L275&gt;=$H$3,"Priority 2","Priority 3")))</f>
        <v>Excluded – IV only</v>
      </c>
      <c r="AL275" s="16" t="str">
        <f aca="false">IF(O275&lt;&gt;"","",IF(ISNUMBER(D275),IF(D275&gt;=$C$3,"High price","Lower price"),"Unpriced")&amp;" · "&amp;IF(L275&gt;=$H$3,"high volume","lower volume"))</f>
        <v/>
      </c>
      <c r="AM275" s="14" t="str">
        <f aca="false">IF(O275&lt;&gt;"","",COUNTIFS($A$29:$A$361,A275,$O$29:$O$361,"",$AQ$29:$AQ$361,"&gt;"&amp;AQ275)+COUNTIFS($A$29:A275,A275,$O$29:O275,"",$AQ$29:AQ275,AQ275))</f>
        <v/>
      </c>
      <c r="AN275" s="33" t="str">
        <f aca="false">IF(AND(O275="",ISNUMBER(D275)),D275,"")</f>
        <v/>
      </c>
      <c r="AO275" s="33" t="str">
        <f aca="false">IF(O275="",M275,"")</f>
        <v/>
      </c>
      <c r="AP275" s="33" t="str">
        <f aca="false">IF(O275="",L275,"")</f>
        <v/>
      </c>
      <c r="AQ275" s="33" t="str">
        <f aca="false">IF(O275&lt;&gt;"","",(4-VALUE(RIGHT(AK275,1)))*10^7+N(N275))</f>
        <v/>
      </c>
      <c r="AR275" s="33" t="n">
        <f aca="false">INDEX($O$7:$O$25,MATCH(A275,$I$7:$I$25,0))</f>
        <v>15</v>
      </c>
      <c r="AS275" s="33" t="str">
        <f aca="false">IF(AE275="No","",AR275*1000+IF(AM275="",900+COUNTIFS($A$29:A275,A275,$O$29:O275,"Price ≤ $5"),AM275))</f>
        <v/>
      </c>
    </row>
    <row r="276" customFormat="false" ht="41.75" hidden="false" customHeight="false" outlineLevel="0" collapsed="false">
      <c r="A276" s="15" t="s">
        <v>195</v>
      </c>
      <c r="B276" s="15" t="s">
        <v>1242</v>
      </c>
      <c r="C276" s="16" t="s">
        <v>1243</v>
      </c>
      <c r="D276" s="17" t="n">
        <f aca="false">IF(W276&gt;0,ROUND(AVERAGEIFS('Shortlisted Drugs X Company (7)'!$N$3:$N$698,'Shortlisted Drugs X Company (7)'!$C$3:$C$698,$B276,'Shortlisted Drugs X Company (7)'!$E$3:$E$698,$S276,'Shortlisted Drugs X Company (7)'!$N$3:$N$698,"&gt;5"),2),"")</f>
        <v>22.55</v>
      </c>
      <c r="E276" s="15" t="str">
        <f aca="false">IF(COUNTIFS('Shortlisted Drugs X Company (7)'!$C$3:$C$698,$B276,'Shortlisted Drugs X Company (7)'!$E$3:$E$698,$S276,'Shortlisted Drugs X Company (7)'!$P$3:$P$698,"Exact")&gt;0,"Exact",IF(COUNTIFS('Shortlisted Drugs X Company (7)'!$C$3:$C$698,$B276,'Shortlisted Drugs X Company (7)'!$E$3:$E$698,$S276,'Shortlisted Drugs X Company (7)'!$P$3:$P$698,"Same-market proxy")&gt;0,"Same-market proxy",IF(COUNTIFS('Shortlisted Drugs X Company (7)'!$C$3:$C$698,$B276,'Shortlisted Drugs X Company (7)'!$E$3:$E$698,$S276,'Shortlisted Drugs X Company (7)'!$P$3:$P$698,"Cross-market proxy")&gt;0,"Cross-market proxy",IF(COUNTIFS('Shortlisted Drugs X Company (7)'!$C$3:$C$698,$B276,'Shortlisted Drugs X Company (7)'!$E$3:$E$698,$S276,'Shortlisted Drugs X Company (7)'!$P$3:$P$698,"Source not found")&gt;0,"Source not found","Not priced"))))</f>
        <v>Same-market proxy</v>
      </c>
      <c r="F276" s="18" t="n">
        <f aca="false">IFERROR(ROUND(INDEX('Injectable Value'!$AA$28:$AA$178,MATCH(B276,'Injectable Value'!$A$28:$A$178,0)),1),"")</f>
        <v>1076.1</v>
      </c>
      <c r="G276" s="16" t="s">
        <v>247</v>
      </c>
      <c r="H276" s="14" t="n">
        <v>1</v>
      </c>
      <c r="I276" s="15" t="s">
        <v>248</v>
      </c>
      <c r="J276" s="15" t="s">
        <v>249</v>
      </c>
      <c r="K276" s="16" t="str">
        <f aca="false">""&amp;IF(V276=0,"Unpriced","")&amp;IF(AND(V276&gt;0,W276=0,X276=0),"Low price from another market – confirm with company","")</f>
        <v/>
      </c>
      <c r="L276" s="18" t="n">
        <f aca="false">IFERROR(INDEX('Shortlisted Drugs X Company (7)'!$K$3:$K$698,MATCH(B276,'Shortlisted Drugs X Company (7)'!$C$3:$C$698,0)),"")</f>
        <v>61</v>
      </c>
      <c r="M276" s="18" t="n">
        <f aca="false">IFERROR(ROUND(L276*INDEX('Injectable Value'!$Z$28:$Z$178,MATCH(B276,'Injectable Value'!$A$28:$A$178,0)),0),"")</f>
        <v>54</v>
      </c>
      <c r="N276" s="18" t="n">
        <f aca="false">IFERROR(INDEX('Shortlisted Drugs X Company (7)'!$L$3:$L$698,MATCH(B276,'Shortlisted Drugs X Company (7)'!$C$3:$C$698,0)),"")</f>
        <v>1210.6</v>
      </c>
      <c r="O276" s="15" t="str">
        <f aca="false">IF(AE276="No","IV only (not ID/IM/SC)",IF(AND(V276&gt;0,W276=0),"Price ≤ $5",""))</f>
        <v/>
      </c>
      <c r="P276" s="14" t="n">
        <f aca="false">IF(O276&lt;&gt;"","",COUNTIFS($A$29:$A$361,A276,$O$29:$O$361,"",$AC$29:$AC$361,"&gt;"&amp;AC276)+COUNTIFS($A$29:A276,A276,$O$29:O276,"",$AC$29:AC276,AC276))</f>
        <v>5</v>
      </c>
      <c r="Q276" s="15" t="str">
        <f aca="false">IF(O276&lt;&gt;"",IF(O276="Price ≤ $5","Excluded – price ≤ $5","Excluded – IV only"),IF(ISNUMBER(D276),IF(AND(D276&gt;=$C$3,M276&gt;=$E$3),"Priority 1",IF(OR(D276&gt;=$C$3,M276&gt;=$E$3),"Priority 2","Priority 3")),IF(M276&gt;=$E$3,"Priority 2","Priority 3")))</f>
        <v>Priority 3</v>
      </c>
      <c r="R276" s="16" t="s">
        <v>285</v>
      </c>
      <c r="S276" s="15" t="s">
        <v>195</v>
      </c>
      <c r="T276" s="32" t="s">
        <v>1244</v>
      </c>
      <c r="U276" s="33" t="str">
        <f aca="false">B276&amp;"|"&amp;S276</f>
        <v>Lincomycin|Micro Labs</v>
      </c>
      <c r="V276" s="34" t="n">
        <f aca="false">COUNTIFS('Shortlisted Drugs X Company (7)'!$C$3:$C$698,$B276,'Shortlisted Drugs X Company (7)'!$E$3:$E$698,$S276,'Shortlisted Drugs X Company (7)'!$N$3:$N$698,"&gt;=0")</f>
        <v>1</v>
      </c>
      <c r="W276" s="34" t="n">
        <f aca="false">COUNTIFS('Shortlisted Drugs X Company (7)'!$C$3:$C$698,$B276,'Shortlisted Drugs X Company (7)'!$E$3:$E$698,$S276,'Shortlisted Drugs X Company (7)'!$N$3:$N$698,"&gt;5")</f>
        <v>1</v>
      </c>
      <c r="X276" s="34" t="n">
        <f aca="false">COUNTIFS('Shortlisted Drugs X Company (7)'!$C$3:$C$698,$B276,'Shortlisted Drugs X Company (7)'!$E$3:$E$698,$S276,'Shortlisted Drugs X Company (7)'!$P$3:$P$698,"Exact")+COUNTIFS('Shortlisted Drugs X Company (7)'!$C$3:$C$698,$B276,'Shortlisted Drugs X Company (7)'!$E$3:$E$698,$S276,'Shortlisted Drugs X Company (7)'!$P$3:$P$698,"Same-market proxy")</f>
        <v>1</v>
      </c>
      <c r="Y276" s="33" t="str">
        <f aca="false">A276&amp;"|"&amp;P276</f>
        <v>Micro Labs|5</v>
      </c>
      <c r="Z276" s="16" t="s">
        <v>1245</v>
      </c>
      <c r="AA276" s="33" t="n">
        <f aca="false">INDEX($G$7:$G$25,MATCH(A276,$A$7:$A$25,0))</f>
        <v>18</v>
      </c>
      <c r="AB276" s="33" t="n">
        <f aca="false">IF(AE276="No","",AA276*1000+IF(P276="",900+COUNTIFS($A$29:A276,A276,$O$29:O276,"Price ≤ $5"),P276))</f>
        <v>18005</v>
      </c>
      <c r="AC276" s="33" t="n">
        <f aca="false">IF(O276&lt;&gt;"","",(4-VALUE(RIGHT(Q276,1)))*10^7+N(F276))</f>
        <v>10001076.1</v>
      </c>
      <c r="AD276" s="15" t="str">
        <f aca="false">IFERROR(INDEX('Route of Administration'!$C$5:$C$155,MATCH(B276,'Route of Administration'!$A$5:$A$155,0)),"")</f>
        <v>IV, IM</v>
      </c>
      <c r="AE276" s="14" t="str">
        <f aca="false">IFERROR(INDEX('Route of Administration'!$D$5:$D$155,MATCH(B276,'Route of Administration'!$A$5:$A$155,0)),"")</f>
        <v>Yes</v>
      </c>
      <c r="AF276" s="19" t="n">
        <f aca="false">IF(V276&gt;0,ROUND(AVERAGEIFS('Shortlisted Drugs X Company (7)'!$N$3:$N$698,'Shortlisted Drugs X Company (7)'!$C$3:$C$698,$B276,'Shortlisted Drugs X Company (7)'!$E$3:$E$698,$S276,'Shortlisted Drugs X Company (7)'!$N$3:$N$698,"&gt;=0"),2),"")</f>
        <v>22.55</v>
      </c>
      <c r="AG276" s="16" t="s">
        <v>1246</v>
      </c>
      <c r="AH276" s="16" t="s">
        <v>247</v>
      </c>
      <c r="AI276" s="16" t="s">
        <v>247</v>
      </c>
      <c r="AJ276" s="16" t="str">
        <f aca="false">IF(O276&lt;&gt;"","",IF(ISNUMBER(D276),IF(D276&gt;=$C$3,"High price","Lower price"),"Unpriced")&amp;" · "&amp;IF(M276&gt;=$E$3,"high volume","lower volume"))</f>
        <v>Lower price · lower volume</v>
      </c>
      <c r="AK276" s="15" t="str">
        <f aca="false">IF(O276&lt;&gt;"",IF(O276="Price ≤ $5","Excluded – price ≤ $5","Excluded – IV only"),IF(ISNUMBER(D276),IF(AND(D276&gt;=$C$3,L276&gt;=$H$3),"Priority 1",IF(OR(D276&gt;=$C$3,L276&gt;=$H$3),"Priority 2","Priority 3")),IF(L276&gt;=$H$3,"Priority 2","Priority 3")))</f>
        <v>Priority 3</v>
      </c>
      <c r="AL276" s="16" t="str">
        <f aca="false">IF(O276&lt;&gt;"","",IF(ISNUMBER(D276),IF(D276&gt;=$C$3,"High price","Lower price"),"Unpriced")&amp;" · "&amp;IF(L276&gt;=$H$3,"high volume","lower volume"))</f>
        <v>Lower price · lower volume</v>
      </c>
      <c r="AM276" s="14" t="n">
        <f aca="false">IF(O276&lt;&gt;"","",COUNTIFS($A$29:$A$361,A276,$O$29:$O$361,"",$AQ$29:$AQ$361,"&gt;"&amp;AQ276)+COUNTIFS($A$29:A276,A276,$O$29:O276,"",$AQ$29:AQ276,AQ276))</f>
        <v>6</v>
      </c>
      <c r="AN276" s="19" t="n">
        <f aca="false">IF(AND(O276="",ISNUMBER(D276)),D276,"")</f>
        <v>22.55</v>
      </c>
      <c r="AO276" s="20" t="n">
        <f aca="false">IF(O276="",M276,"")</f>
        <v>54</v>
      </c>
      <c r="AP276" s="20" t="n">
        <f aca="false">IF(O276="",L276,"")</f>
        <v>61</v>
      </c>
      <c r="AQ276" s="33" t="n">
        <f aca="false">IF(O276&lt;&gt;"","",(4-VALUE(RIGHT(AK276,1)))*10^7+N(N276))</f>
        <v>10001210.6</v>
      </c>
      <c r="AR276" s="33" t="n">
        <f aca="false">INDEX($O$7:$O$25,MATCH(A276,$I$7:$I$25,0))</f>
        <v>15</v>
      </c>
      <c r="AS276" s="33" t="n">
        <f aca="false">IF(AE276="No","",AR276*1000+IF(AM276="",900+COUNTIFS($A$29:A276,A276,$O$29:O276,"Price ≤ $5"),AM276))</f>
        <v>15006</v>
      </c>
    </row>
    <row r="277" customFormat="false" ht="28.35" hidden="false" customHeight="false" outlineLevel="0" collapsed="false">
      <c r="A277" s="15" t="s">
        <v>195</v>
      </c>
      <c r="B277" s="15" t="s">
        <v>724</v>
      </c>
      <c r="C277" s="16" t="s">
        <v>725</v>
      </c>
      <c r="D277" s="17" t="n">
        <f aca="false">IF(W277&gt;0,ROUND(AVERAGEIFS('Shortlisted Drugs X Company (7)'!$N$3:$N$698,'Shortlisted Drugs X Company (7)'!$C$3:$C$698,$B277,'Shortlisted Drugs X Company (7)'!$E$3:$E$698,$S277,'Shortlisted Drugs X Company (7)'!$N$3:$N$698,"&gt;5"),2),"")</f>
        <v>5.03</v>
      </c>
      <c r="E277" s="15" t="str">
        <f aca="false">IF(COUNTIFS('Shortlisted Drugs X Company (7)'!$C$3:$C$698,$B277,'Shortlisted Drugs X Company (7)'!$E$3:$E$698,$S277,'Shortlisted Drugs X Company (7)'!$P$3:$P$698,"Exact")&gt;0,"Exact",IF(COUNTIFS('Shortlisted Drugs X Company (7)'!$C$3:$C$698,$B277,'Shortlisted Drugs X Company (7)'!$E$3:$E$698,$S277,'Shortlisted Drugs X Company (7)'!$P$3:$P$698,"Same-market proxy")&gt;0,"Same-market proxy",IF(COUNTIFS('Shortlisted Drugs X Company (7)'!$C$3:$C$698,$B277,'Shortlisted Drugs X Company (7)'!$E$3:$E$698,$S277,'Shortlisted Drugs X Company (7)'!$P$3:$P$698,"Cross-market proxy")&gt;0,"Cross-market proxy",IF(COUNTIFS('Shortlisted Drugs X Company (7)'!$C$3:$C$698,$B277,'Shortlisted Drugs X Company (7)'!$E$3:$E$698,$S277,'Shortlisted Drugs X Company (7)'!$P$3:$P$698,"Source not found")&gt;0,"Source not found","Not priced"))))</f>
        <v>Same-market proxy</v>
      </c>
      <c r="F277" s="18" t="n">
        <f aca="false">IFERROR(ROUND(INDEX('Injectable Value'!$AA$28:$AA$178,MATCH(B277,'Injectable Value'!$A$28:$A$178,0)),1),"")</f>
        <v>3067.4</v>
      </c>
      <c r="G277" s="16" t="s">
        <v>247</v>
      </c>
      <c r="H277" s="14" t="n">
        <v>1</v>
      </c>
      <c r="I277" s="15" t="s">
        <v>248</v>
      </c>
      <c r="J277" s="15" t="s">
        <v>249</v>
      </c>
      <c r="K277" s="16" t="str">
        <f aca="false">""&amp;IF(V277=0,"Unpriced","")&amp;IF(AND(V277&gt;0,W277=0,X277=0),"Low price from another market – confirm with company","")</f>
        <v/>
      </c>
      <c r="L277" s="18" t="n">
        <f aca="false">IFERROR(INDEX('Shortlisted Drugs X Company (7)'!$K$3:$K$698,MATCH(B277,'Shortlisted Drugs X Company (7)'!$C$3:$C$698,0)),"")</f>
        <v>286</v>
      </c>
      <c r="M277" s="18" t="n">
        <f aca="false">IFERROR(ROUND(L277*INDEX('Injectable Value'!$Z$28:$Z$178,MATCH(B277,'Injectable Value'!$A$28:$A$178,0)),0),"")</f>
        <v>286</v>
      </c>
      <c r="N277" s="18" t="n">
        <f aca="false">IFERROR(INDEX('Shortlisted Drugs X Company (7)'!$L$3:$L$698,MATCH(B277,'Shortlisted Drugs X Company (7)'!$C$3:$C$698,0)),"")</f>
        <v>3067.39</v>
      </c>
      <c r="O277" s="15" t="str">
        <f aca="false">IF(AE277="No","IV only (not ID/IM/SC)",IF(AND(V277&gt;0,W277=0),"Price ≤ $5",""))</f>
        <v/>
      </c>
      <c r="P277" s="14" t="n">
        <f aca="false">IF(O277&lt;&gt;"","",COUNTIFS($A$29:$A$361,A277,$O$29:$O$361,"",$AC$29:$AC$361,"&gt;"&amp;AC277)+COUNTIFS($A$29:A277,A277,$O$29:O277,"",$AC$29:AC277,AC277))</f>
        <v>2</v>
      </c>
      <c r="Q277" s="15" t="str">
        <f aca="false">IF(O277&lt;&gt;"",IF(O277="Price ≤ $5","Excluded – price ≤ $5","Excluded – IV only"),IF(ISNUMBER(D277),IF(AND(D277&gt;=$C$3,M277&gt;=$E$3),"Priority 1",IF(OR(D277&gt;=$C$3,M277&gt;=$E$3),"Priority 2","Priority 3")),IF(M277&gt;=$E$3,"Priority 2","Priority 3")))</f>
        <v>Priority 2</v>
      </c>
      <c r="R277" s="16" t="s">
        <v>250</v>
      </c>
      <c r="S277" s="15" t="s">
        <v>195</v>
      </c>
      <c r="T277" s="32" t="s">
        <v>726</v>
      </c>
      <c r="U277" s="33" t="str">
        <f aca="false">B277&amp;"|"&amp;S277</f>
        <v>Succinylcholine (Suxamethonium)|Micro Labs</v>
      </c>
      <c r="V277" s="34" t="n">
        <f aca="false">COUNTIFS('Shortlisted Drugs X Company (7)'!$C$3:$C$698,$B277,'Shortlisted Drugs X Company (7)'!$E$3:$E$698,$S277,'Shortlisted Drugs X Company (7)'!$N$3:$N$698,"&gt;=0")</f>
        <v>1</v>
      </c>
      <c r="W277" s="34" t="n">
        <f aca="false">COUNTIFS('Shortlisted Drugs X Company (7)'!$C$3:$C$698,$B277,'Shortlisted Drugs X Company (7)'!$E$3:$E$698,$S277,'Shortlisted Drugs X Company (7)'!$N$3:$N$698,"&gt;5")</f>
        <v>1</v>
      </c>
      <c r="X277" s="34" t="n">
        <f aca="false">COUNTIFS('Shortlisted Drugs X Company (7)'!$C$3:$C$698,$B277,'Shortlisted Drugs X Company (7)'!$E$3:$E$698,$S277,'Shortlisted Drugs X Company (7)'!$P$3:$P$698,"Exact")+COUNTIFS('Shortlisted Drugs X Company (7)'!$C$3:$C$698,$B277,'Shortlisted Drugs X Company (7)'!$E$3:$E$698,$S277,'Shortlisted Drugs X Company (7)'!$P$3:$P$698,"Same-market proxy")</f>
        <v>1</v>
      </c>
      <c r="Y277" s="33" t="str">
        <f aca="false">A277&amp;"|"&amp;P277</f>
        <v>Micro Labs|2</v>
      </c>
      <c r="Z277" s="16" t="s">
        <v>727</v>
      </c>
      <c r="AA277" s="33" t="n">
        <f aca="false">INDEX($G$7:$G$25,MATCH(A277,$A$7:$A$25,0))</f>
        <v>18</v>
      </c>
      <c r="AB277" s="33" t="n">
        <f aca="false">IF(AE277="No","",AA277*1000+IF(P277="",900+COUNTIFS($A$29:A277,A277,$O$29:O277,"Price ≤ $5"),P277))</f>
        <v>18002</v>
      </c>
      <c r="AC277" s="33" t="n">
        <f aca="false">IF(O277&lt;&gt;"","",(4-VALUE(RIGHT(Q277,1)))*10^7+N(F277))</f>
        <v>20003067.4</v>
      </c>
      <c r="AD277" s="15" t="str">
        <f aca="false">IFERROR(INDEX('Route of Administration'!$C$5:$C$155,MATCH(B277,'Route of Administration'!$A$5:$A$155,0)),"")</f>
        <v>IV, IM</v>
      </c>
      <c r="AE277" s="14" t="str">
        <f aca="false">IFERROR(INDEX('Route of Administration'!$D$5:$D$155,MATCH(B277,'Route of Administration'!$A$5:$A$155,0)),"")</f>
        <v>Yes</v>
      </c>
      <c r="AF277" s="19" t="n">
        <f aca="false">IF(V277&gt;0,ROUND(AVERAGEIFS('Shortlisted Drugs X Company (7)'!$N$3:$N$698,'Shortlisted Drugs X Company (7)'!$C$3:$C$698,$B277,'Shortlisted Drugs X Company (7)'!$E$3:$E$698,$S277,'Shortlisted Drugs X Company (7)'!$N$3:$N$698,"&gt;=0"),2),"")</f>
        <v>5.03</v>
      </c>
      <c r="AG277" s="16" t="s">
        <v>728</v>
      </c>
      <c r="AH277" s="16" t="s">
        <v>247</v>
      </c>
      <c r="AI277" s="16" t="s">
        <v>247</v>
      </c>
      <c r="AJ277" s="16" t="str">
        <f aca="false">IF(O277&lt;&gt;"","",IF(ISNUMBER(D277),IF(D277&gt;=$C$3,"High price","Lower price"),"Unpriced")&amp;" · "&amp;IF(M277&gt;=$E$3,"high volume","lower volume"))</f>
        <v>Lower price · high volume</v>
      </c>
      <c r="AK277" s="15" t="str">
        <f aca="false">IF(O277&lt;&gt;"",IF(O277="Price ≤ $5","Excluded – price ≤ $5","Excluded – IV only"),IF(ISNUMBER(D277),IF(AND(D277&gt;=$C$3,L277&gt;=$H$3),"Priority 1",IF(OR(D277&gt;=$C$3,L277&gt;=$H$3),"Priority 2","Priority 3")),IF(L277&gt;=$H$3,"Priority 2","Priority 3")))</f>
        <v>Priority 2</v>
      </c>
      <c r="AL277" s="16" t="str">
        <f aca="false">IF(O277&lt;&gt;"","",IF(ISNUMBER(D277),IF(D277&gt;=$C$3,"High price","Lower price"),"Unpriced")&amp;" · "&amp;IF(L277&gt;=$H$3,"high volume","lower volume"))</f>
        <v>Lower price · high volume</v>
      </c>
      <c r="AM277" s="14" t="n">
        <f aca="false">IF(O277&lt;&gt;"","",COUNTIFS($A$29:$A$361,A277,$O$29:$O$361,"",$AQ$29:$AQ$361,"&gt;"&amp;AQ277)+COUNTIFS($A$29:A277,A277,$O$29:O277,"",$AQ$29:AQ277,AQ277))</f>
        <v>3</v>
      </c>
      <c r="AN277" s="19" t="n">
        <f aca="false">IF(AND(O277="",ISNUMBER(D277)),D277,"")</f>
        <v>5.03</v>
      </c>
      <c r="AO277" s="20" t="n">
        <f aca="false">IF(O277="",M277,"")</f>
        <v>286</v>
      </c>
      <c r="AP277" s="20" t="n">
        <f aca="false">IF(O277="",L277,"")</f>
        <v>286</v>
      </c>
      <c r="AQ277" s="33" t="n">
        <f aca="false">IF(O277&lt;&gt;"","",(4-VALUE(RIGHT(AK277,1)))*10^7+N(N277))</f>
        <v>20003067.39</v>
      </c>
      <c r="AR277" s="33" t="n">
        <f aca="false">INDEX($O$7:$O$25,MATCH(A277,$I$7:$I$25,0))</f>
        <v>15</v>
      </c>
      <c r="AS277" s="33" t="n">
        <f aca="false">IF(AE277="No","",AR277*1000+IF(AM277="",900+COUNTIFS($A$29:A277,A277,$O$29:O277,"Price ≤ $5"),AM277))</f>
        <v>15003</v>
      </c>
    </row>
    <row r="278" customFormat="false" ht="41.75" hidden="false" customHeight="false" outlineLevel="0" collapsed="false">
      <c r="A278" s="15" t="s">
        <v>195</v>
      </c>
      <c r="B278" s="15" t="s">
        <v>568</v>
      </c>
      <c r="C278" s="16" t="s">
        <v>569</v>
      </c>
      <c r="D278" s="17" t="n">
        <f aca="false">IF(W278&gt;0,ROUND(AVERAGEIFS('Shortlisted Drugs X Company (7)'!$N$3:$N$698,'Shortlisted Drugs X Company (7)'!$C$3:$C$698,$B278,'Shortlisted Drugs X Company (7)'!$E$3:$E$698,$S278,'Shortlisted Drugs X Company (7)'!$N$3:$N$698,"&gt;5"),2),"")</f>
        <v>10.13</v>
      </c>
      <c r="E278" s="15" t="str">
        <f aca="false">IF(COUNTIFS('Shortlisted Drugs X Company (7)'!$C$3:$C$698,$B278,'Shortlisted Drugs X Company (7)'!$E$3:$E$698,$S278,'Shortlisted Drugs X Company (7)'!$P$3:$P$698,"Exact")&gt;0,"Exact",IF(COUNTIFS('Shortlisted Drugs X Company (7)'!$C$3:$C$698,$B278,'Shortlisted Drugs X Company (7)'!$E$3:$E$698,$S278,'Shortlisted Drugs X Company (7)'!$P$3:$P$698,"Same-market proxy")&gt;0,"Same-market proxy",IF(COUNTIFS('Shortlisted Drugs X Company (7)'!$C$3:$C$698,$B278,'Shortlisted Drugs X Company (7)'!$E$3:$E$698,$S278,'Shortlisted Drugs X Company (7)'!$P$3:$P$698,"Cross-market proxy")&gt;0,"Cross-market proxy",IF(COUNTIFS('Shortlisted Drugs X Company (7)'!$C$3:$C$698,$B278,'Shortlisted Drugs X Company (7)'!$E$3:$E$698,$S278,'Shortlisted Drugs X Company (7)'!$P$3:$P$698,"Source not found")&gt;0,"Source not found","Not priced"))))</f>
        <v>Same-market proxy</v>
      </c>
      <c r="F278" s="18" t="n">
        <f aca="false">IFERROR(ROUND(INDEX('Injectable Value'!$AA$28:$AA$178,MATCH(B278,'Injectable Value'!$A$28:$A$178,0)),1),"")</f>
        <v>2476.9</v>
      </c>
      <c r="G278" s="16" t="s">
        <v>247</v>
      </c>
      <c r="H278" s="14" t="n">
        <v>1</v>
      </c>
      <c r="I278" s="15" t="s">
        <v>248</v>
      </c>
      <c r="J278" s="15" t="s">
        <v>249</v>
      </c>
      <c r="K278" s="16" t="str">
        <f aca="false">""&amp;IF(V278=0,"Unpriced","")&amp;IF(AND(V278&gt;0,W278=0,X278=0),"Low price from another market – confirm with company","")</f>
        <v/>
      </c>
      <c r="L278" s="18" t="n">
        <f aca="false">IFERROR(INDEX('Shortlisted Drugs X Company (7)'!$K$3:$K$698,MATCH(B278,'Shortlisted Drugs X Company (7)'!$C$3:$C$698,0)),"")</f>
        <v>374</v>
      </c>
      <c r="M278" s="18" t="n">
        <f aca="false">IFERROR(ROUND(L278*INDEX('Injectable Value'!$Z$28:$Z$178,MATCH(B278,'Injectable Value'!$A$28:$A$178,0)),0),"")</f>
        <v>68</v>
      </c>
      <c r="N278" s="18" t="n">
        <f aca="false">IFERROR(INDEX('Shortlisted Drugs X Company (7)'!$L$3:$L$698,MATCH(B278,'Shortlisted Drugs X Company (7)'!$C$3:$C$698,0)),"")</f>
        <v>13615.47</v>
      </c>
      <c r="O278" s="15" t="str">
        <f aca="false">IF(AE278="No","IV only (not ID/IM/SC)",IF(AND(V278&gt;0,W278=0),"Price ≤ $5",""))</f>
        <v>IV only (not ID/IM/SC)</v>
      </c>
      <c r="P278" s="14" t="str">
        <f aca="false">IF(O278&lt;&gt;"","",COUNTIFS($A$29:$A$361,A278,$O$29:$O$361,"",$AC$29:$AC$361,"&gt;"&amp;AC278)+COUNTIFS($A$29:A278,A278,$O$29:O278,"",$AC$29:AC278,AC278))</f>
        <v/>
      </c>
      <c r="Q278" s="15" t="str">
        <f aca="false">IF(O278&lt;&gt;"",IF(O278="Price ≤ $5","Excluded – price ≤ $5","Excluded – IV only"),IF(ISNUMBER(D278),IF(AND(D278&gt;=$C$3,M278&gt;=$E$3),"Priority 1",IF(OR(D278&gt;=$C$3,M278&gt;=$E$3),"Priority 2","Priority 3")),IF(M278&gt;=$E$3,"Priority 2","Priority 3")))</f>
        <v>Excluded – IV only</v>
      </c>
      <c r="R278" s="16" t="s">
        <v>250</v>
      </c>
      <c r="S278" s="15" t="s">
        <v>195</v>
      </c>
      <c r="T278" s="32" t="s">
        <v>570</v>
      </c>
      <c r="U278" s="33" t="str">
        <f aca="false">B278&amp;"|"&amp;S278</f>
        <v>Verapamil|Micro Labs</v>
      </c>
      <c r="V278" s="34" t="n">
        <f aca="false">COUNTIFS('Shortlisted Drugs X Company (7)'!$C$3:$C$698,$B278,'Shortlisted Drugs X Company (7)'!$E$3:$E$698,$S278,'Shortlisted Drugs X Company (7)'!$N$3:$N$698,"&gt;=0")</f>
        <v>2</v>
      </c>
      <c r="W278" s="34" t="n">
        <f aca="false">COUNTIFS('Shortlisted Drugs X Company (7)'!$C$3:$C$698,$B278,'Shortlisted Drugs X Company (7)'!$E$3:$E$698,$S278,'Shortlisted Drugs X Company (7)'!$N$3:$N$698,"&gt;5")</f>
        <v>2</v>
      </c>
      <c r="X278" s="34" t="n">
        <f aca="false">COUNTIFS('Shortlisted Drugs X Company (7)'!$C$3:$C$698,$B278,'Shortlisted Drugs X Company (7)'!$E$3:$E$698,$S278,'Shortlisted Drugs X Company (7)'!$P$3:$P$698,"Exact")+COUNTIFS('Shortlisted Drugs X Company (7)'!$C$3:$C$698,$B278,'Shortlisted Drugs X Company (7)'!$E$3:$E$698,$S278,'Shortlisted Drugs X Company (7)'!$P$3:$P$698,"Same-market proxy")</f>
        <v>2</v>
      </c>
      <c r="Y278" s="33" t="str">
        <f aca="false">A278&amp;"|"&amp;P278</f>
        <v>Micro Labs|</v>
      </c>
      <c r="Z278" s="16" t="s">
        <v>1247</v>
      </c>
      <c r="AA278" s="33" t="n">
        <f aca="false">INDEX($G$7:$G$25,MATCH(A278,$A$7:$A$25,0))</f>
        <v>18</v>
      </c>
      <c r="AB278" s="33" t="str">
        <f aca="false">IF(AE278="No","",AA278*1000+IF(P278="",900+COUNTIFS($A$29:A278,A278,$O$29:O278,"Price ≤ $5"),P278))</f>
        <v/>
      </c>
      <c r="AC278" s="33" t="str">
        <f aca="false">IF(O278&lt;&gt;"","",(4-VALUE(RIGHT(Q278,1)))*10^7+N(F278))</f>
        <v/>
      </c>
      <c r="AD278" s="15" t="str">
        <f aca="false">IFERROR(INDEX('Route of Administration'!$C$5:$C$155,MATCH(B278,'Route of Administration'!$A$5:$A$155,0)),"")</f>
        <v>IV</v>
      </c>
      <c r="AE278" s="14" t="str">
        <f aca="false">IFERROR(INDEX('Route of Administration'!$D$5:$D$155,MATCH(B278,'Route of Administration'!$A$5:$A$155,0)),"")</f>
        <v>No</v>
      </c>
      <c r="AF278" s="19" t="n">
        <f aca="false">IF(V278&gt;0,ROUND(AVERAGEIFS('Shortlisted Drugs X Company (7)'!$N$3:$N$698,'Shortlisted Drugs X Company (7)'!$C$3:$C$698,$B278,'Shortlisted Drugs X Company (7)'!$E$3:$E$698,$S278,'Shortlisted Drugs X Company (7)'!$N$3:$N$698,"&gt;=0"),2),"")</f>
        <v>10.13</v>
      </c>
      <c r="AG278" s="16" t="s">
        <v>572</v>
      </c>
      <c r="AH278" s="16" t="s">
        <v>247</v>
      </c>
      <c r="AI278" s="16" t="s">
        <v>247</v>
      </c>
      <c r="AJ278" s="16" t="str">
        <f aca="false">IF(O278&lt;&gt;"","",IF(ISNUMBER(D278),IF(D278&gt;=$C$3,"High price","Lower price"),"Unpriced")&amp;" · "&amp;IF(M278&gt;=$E$3,"high volume","lower volume"))</f>
        <v/>
      </c>
      <c r="AK278" s="15" t="str">
        <f aca="false">IF(O278&lt;&gt;"",IF(O278="Price ≤ $5","Excluded – price ≤ $5","Excluded – IV only"),IF(ISNUMBER(D278),IF(AND(D278&gt;=$C$3,L278&gt;=$H$3),"Priority 1",IF(OR(D278&gt;=$C$3,L278&gt;=$H$3),"Priority 2","Priority 3")),IF(L278&gt;=$H$3,"Priority 2","Priority 3")))</f>
        <v>Excluded – IV only</v>
      </c>
      <c r="AL278" s="16" t="str">
        <f aca="false">IF(O278&lt;&gt;"","",IF(ISNUMBER(D278),IF(D278&gt;=$C$3,"High price","Lower price"),"Unpriced")&amp;" · "&amp;IF(L278&gt;=$H$3,"high volume","lower volume"))</f>
        <v/>
      </c>
      <c r="AM278" s="14" t="str">
        <f aca="false">IF(O278&lt;&gt;"","",COUNTIFS($A$29:$A$361,A278,$O$29:$O$361,"",$AQ$29:$AQ$361,"&gt;"&amp;AQ278)+COUNTIFS($A$29:A278,A278,$O$29:O278,"",$AQ$29:AQ278,AQ278))</f>
        <v/>
      </c>
      <c r="AN278" s="33" t="str">
        <f aca="false">IF(AND(O278="",ISNUMBER(D278)),D278,"")</f>
        <v/>
      </c>
      <c r="AO278" s="33" t="str">
        <f aca="false">IF(O278="",M278,"")</f>
        <v/>
      </c>
      <c r="AP278" s="33" t="str">
        <f aca="false">IF(O278="",L278,"")</f>
        <v/>
      </c>
      <c r="AQ278" s="33" t="str">
        <f aca="false">IF(O278&lt;&gt;"","",(4-VALUE(RIGHT(AK278,1)))*10^7+N(N278))</f>
        <v/>
      </c>
      <c r="AR278" s="33" t="n">
        <f aca="false">INDEX($O$7:$O$25,MATCH(A278,$I$7:$I$25,0))</f>
        <v>15</v>
      </c>
      <c r="AS278" s="33" t="str">
        <f aca="false">IF(AE278="No","",AR278*1000+IF(AM278="",900+COUNTIFS($A$29:A278,A278,$O$29:O278,"Price ≤ $5"),AM278))</f>
        <v/>
      </c>
    </row>
    <row r="279" customFormat="false" ht="41.75" hidden="false" customHeight="false" outlineLevel="0" collapsed="false">
      <c r="A279" s="15" t="s">
        <v>196</v>
      </c>
      <c r="B279" s="15" t="s">
        <v>313</v>
      </c>
      <c r="C279" s="16" t="s">
        <v>314</v>
      </c>
      <c r="D279" s="17" t="n">
        <f aca="false">IF(W279&gt;0,ROUND(AVERAGEIFS('Shortlisted Drugs X Company (7)'!$N$3:$N$698,'Shortlisted Drugs X Company (7)'!$C$3:$C$698,$B279,'Shortlisted Drugs X Company (7)'!$E$3:$E$698,$S279,'Shortlisted Drugs X Company (7)'!$N$3:$N$698,"&gt;5"),2),"")</f>
        <v>6.38</v>
      </c>
      <c r="E279" s="15" t="str">
        <f aca="false">IF(COUNTIFS('Shortlisted Drugs X Company (7)'!$C$3:$C$698,$B279,'Shortlisted Drugs X Company (7)'!$E$3:$E$698,$S279,'Shortlisted Drugs X Company (7)'!$P$3:$P$698,"Exact")&gt;0,"Exact",IF(COUNTIFS('Shortlisted Drugs X Company (7)'!$C$3:$C$698,$B279,'Shortlisted Drugs X Company (7)'!$E$3:$E$698,$S279,'Shortlisted Drugs X Company (7)'!$P$3:$P$698,"Same-market proxy")&gt;0,"Same-market proxy",IF(COUNTIFS('Shortlisted Drugs X Company (7)'!$C$3:$C$698,$B279,'Shortlisted Drugs X Company (7)'!$E$3:$E$698,$S279,'Shortlisted Drugs X Company (7)'!$P$3:$P$698,"Cross-market proxy")&gt;0,"Cross-market proxy",IF(COUNTIFS('Shortlisted Drugs X Company (7)'!$C$3:$C$698,$B279,'Shortlisted Drugs X Company (7)'!$E$3:$E$698,$S279,'Shortlisted Drugs X Company (7)'!$P$3:$P$698,"Source not found")&gt;0,"Source not found","Not priced"))))</f>
        <v>Same-market proxy</v>
      </c>
      <c r="F279" s="18" t="n">
        <f aca="false">IFERROR(ROUND(INDEX('Injectable Value'!$AA$28:$AA$178,MATCH(B279,'Injectable Value'!$A$28:$A$178,0)),1),"")</f>
        <v>16359.3</v>
      </c>
      <c r="G279" s="16" t="s">
        <v>247</v>
      </c>
      <c r="H279" s="14" t="n">
        <v>1</v>
      </c>
      <c r="I279" s="15" t="s">
        <v>248</v>
      </c>
      <c r="J279" s="15" t="s">
        <v>249</v>
      </c>
      <c r="K279" s="16" t="str">
        <f aca="false">""&amp;IF(V279=0,"Unpriced","")&amp;IF(AND(V279&gt;0,W279=0,X279=0),"Low price from another market – confirm with company","")</f>
        <v/>
      </c>
      <c r="L279" s="18" t="n">
        <f aca="false">IFERROR(INDEX('Shortlisted Drugs X Company (7)'!$K$3:$K$698,MATCH(B279,'Shortlisted Drugs X Company (7)'!$C$3:$C$698,0)),"")</f>
        <v>598</v>
      </c>
      <c r="M279" s="18" t="n">
        <f aca="false">IFERROR(ROUND(L279*INDEX('Injectable Value'!$Z$28:$Z$178,MATCH(B279,'Injectable Value'!$A$28:$A$178,0)),0),"")</f>
        <v>581</v>
      </c>
      <c r="N279" s="18" t="n">
        <f aca="false">IFERROR(INDEX('Shortlisted Drugs X Company (7)'!$L$3:$L$698,MATCH(B279,'Shortlisted Drugs X Company (7)'!$C$3:$C$698,0)),"")</f>
        <v>16840.43</v>
      </c>
      <c r="O279" s="15" t="str">
        <f aca="false">IF(AE279="No","IV only (not ID/IM/SC)",IF(AND(V279&gt;0,W279=0),"Price ≤ $5",""))</f>
        <v/>
      </c>
      <c r="P279" s="14" t="n">
        <f aca="false">IF(O279&lt;&gt;"","",COUNTIFS($A$29:$A$361,A279,$O$29:$O$361,"",$AC$29:$AC$361,"&gt;"&amp;AC279)+COUNTIFS($A$29:A279,A279,$O$29:O279,"",$AC$29:AC279,AC279))</f>
        <v>1</v>
      </c>
      <c r="Q279" s="15" t="str">
        <f aca="false">IF(O279&lt;&gt;"",IF(O279="Price ≤ $5","Excluded – price ≤ $5","Excluded – IV only"),IF(ISNUMBER(D279),IF(AND(D279&gt;=$C$3,M279&gt;=$E$3),"Priority 1",IF(OR(D279&gt;=$C$3,M279&gt;=$E$3),"Priority 2","Priority 3")),IF(M279&gt;=$E$3,"Priority 2","Priority 3")))</f>
        <v>Priority 2</v>
      </c>
      <c r="R279" s="16" t="s">
        <v>285</v>
      </c>
      <c r="S279" s="15" t="s">
        <v>1248</v>
      </c>
      <c r="T279" s="32" t="s">
        <v>317</v>
      </c>
      <c r="U279" s="33" t="str">
        <f aca="false">B279&amp;"|"&amp;S279</f>
        <v>Bupivacaine|OneSource Specialty Pharma</v>
      </c>
      <c r="V279" s="34" t="n">
        <f aca="false">COUNTIFS('Shortlisted Drugs X Company (7)'!$C$3:$C$698,$B279,'Shortlisted Drugs X Company (7)'!$E$3:$E$698,$S279,'Shortlisted Drugs X Company (7)'!$N$3:$N$698,"&gt;=0")</f>
        <v>2</v>
      </c>
      <c r="W279" s="34" t="n">
        <f aca="false">COUNTIFS('Shortlisted Drugs X Company (7)'!$C$3:$C$698,$B279,'Shortlisted Drugs X Company (7)'!$E$3:$E$698,$S279,'Shortlisted Drugs X Company (7)'!$N$3:$N$698,"&gt;5")</f>
        <v>2</v>
      </c>
      <c r="X279" s="34" t="n">
        <f aca="false">COUNTIFS('Shortlisted Drugs X Company (7)'!$C$3:$C$698,$B279,'Shortlisted Drugs X Company (7)'!$E$3:$E$698,$S279,'Shortlisted Drugs X Company (7)'!$P$3:$P$698,"Exact")+COUNTIFS('Shortlisted Drugs X Company (7)'!$C$3:$C$698,$B279,'Shortlisted Drugs X Company (7)'!$E$3:$E$698,$S279,'Shortlisted Drugs X Company (7)'!$P$3:$P$698,"Same-market proxy")</f>
        <v>2</v>
      </c>
      <c r="Y279" s="33" t="str">
        <f aca="false">A279&amp;"|"&amp;P279</f>
        <v>OneSource|1</v>
      </c>
      <c r="Z279" s="16" t="s">
        <v>1249</v>
      </c>
      <c r="AA279" s="33" t="n">
        <f aca="false">INDEX($G$7:$G$25,MATCH(A279,$A$7:$A$25,0))</f>
        <v>16</v>
      </c>
      <c r="AB279" s="33" t="n">
        <f aca="false">IF(AE279="No","",AA279*1000+IF(P279="",900+COUNTIFS($A$29:A279,A279,$O$29:O279,"Price ≤ $5"),P279))</f>
        <v>16001</v>
      </c>
      <c r="AC279" s="33" t="n">
        <f aca="false">IF(O279&lt;&gt;"","",(4-VALUE(RIGHT(Q279,1)))*10^7+N(F279))</f>
        <v>20016359.3</v>
      </c>
      <c r="AD279" s="15" t="str">
        <f aca="false">IFERROR(INDEX('Route of Administration'!$C$5:$C$155,MATCH(B279,'Route of Administration'!$A$5:$A$155,0)),"")</f>
        <v>Epidural, intra-articular, SC, perineural</v>
      </c>
      <c r="AE279" s="14" t="str">
        <f aca="false">IFERROR(INDEX('Route of Administration'!$D$5:$D$155,MATCH(B279,'Route of Administration'!$A$5:$A$155,0)),"")</f>
        <v>Yes</v>
      </c>
      <c r="AF279" s="19" t="n">
        <f aca="false">IF(V279&gt;0,ROUND(AVERAGEIFS('Shortlisted Drugs X Company (7)'!$N$3:$N$698,'Shortlisted Drugs X Company (7)'!$C$3:$C$698,$B279,'Shortlisted Drugs X Company (7)'!$E$3:$E$698,$S279,'Shortlisted Drugs X Company (7)'!$N$3:$N$698,"&gt;=0"),2),"")</f>
        <v>6.38</v>
      </c>
      <c r="AG279" s="16" t="s">
        <v>1250</v>
      </c>
      <c r="AH279" s="16" t="s">
        <v>247</v>
      </c>
      <c r="AI279" s="16" t="s">
        <v>247</v>
      </c>
      <c r="AJ279" s="16" t="str">
        <f aca="false">IF(O279&lt;&gt;"","",IF(ISNUMBER(D279),IF(D279&gt;=$C$3,"High price","Lower price"),"Unpriced")&amp;" · "&amp;IF(M279&gt;=$E$3,"high volume","lower volume"))</f>
        <v>Lower price · high volume</v>
      </c>
      <c r="AK279" s="15" t="str">
        <f aca="false">IF(O279&lt;&gt;"",IF(O279="Price ≤ $5","Excluded – price ≤ $5","Excluded – IV only"),IF(ISNUMBER(D279),IF(AND(D279&gt;=$C$3,L279&gt;=$H$3),"Priority 1",IF(OR(D279&gt;=$C$3,L279&gt;=$H$3),"Priority 2","Priority 3")),IF(L279&gt;=$H$3,"Priority 2","Priority 3")))</f>
        <v>Priority 2</v>
      </c>
      <c r="AL279" s="16" t="str">
        <f aca="false">IF(O279&lt;&gt;"","",IF(ISNUMBER(D279),IF(D279&gt;=$C$3,"High price","Lower price"),"Unpriced")&amp;" · "&amp;IF(L279&gt;=$H$3,"high volume","lower volume"))</f>
        <v>Lower price · high volume</v>
      </c>
      <c r="AM279" s="14" t="n">
        <f aca="false">IF(O279&lt;&gt;"","",COUNTIFS($A$29:$A$361,A279,$O$29:$O$361,"",$AQ$29:$AQ$361,"&gt;"&amp;AQ279)+COUNTIFS($A$29:A279,A279,$O$29:O279,"",$AQ$29:AQ279,AQ279))</f>
        <v>1</v>
      </c>
      <c r="AN279" s="19" t="n">
        <f aca="false">IF(AND(O279="",ISNUMBER(D279)),D279,"")</f>
        <v>6.38</v>
      </c>
      <c r="AO279" s="20" t="n">
        <f aca="false">IF(O279="",M279,"")</f>
        <v>581</v>
      </c>
      <c r="AP279" s="20" t="n">
        <f aca="false">IF(O279="",L279,"")</f>
        <v>598</v>
      </c>
      <c r="AQ279" s="33" t="n">
        <f aca="false">IF(O279&lt;&gt;"","",(4-VALUE(RIGHT(AK279,1)))*10^7+N(N279))</f>
        <v>20016840.43</v>
      </c>
      <c r="AR279" s="33" t="n">
        <f aca="false">INDEX($O$7:$O$25,MATCH(A279,$I$7:$I$25,0))</f>
        <v>17</v>
      </c>
      <c r="AS279" s="33" t="n">
        <f aca="false">IF(AE279="No","",AR279*1000+IF(AM279="",900+COUNTIFS($A$29:A279,A279,$O$29:O279,"Price ≤ $5"),AM279))</f>
        <v>17001</v>
      </c>
    </row>
    <row r="280" customFormat="false" ht="41.75" hidden="false" customHeight="false" outlineLevel="0" collapsed="false">
      <c r="A280" s="15" t="s">
        <v>196</v>
      </c>
      <c r="B280" s="15" t="s">
        <v>245</v>
      </c>
      <c r="C280" s="16" t="s">
        <v>246</v>
      </c>
      <c r="D280" s="17" t="n">
        <f aca="false">IF(W280&gt;0,ROUND(AVERAGEIFS('Shortlisted Drugs X Company (7)'!$N$3:$N$698,'Shortlisted Drugs X Company (7)'!$C$3:$C$698,$B280,'Shortlisted Drugs X Company (7)'!$E$3:$E$698,$S280,'Shortlisted Drugs X Company (7)'!$N$3:$N$698,"&gt;5"),2),"")</f>
        <v>30.01</v>
      </c>
      <c r="E280" s="15" t="str">
        <f aca="false">IF(COUNTIFS('Shortlisted Drugs X Company (7)'!$C$3:$C$698,$B280,'Shortlisted Drugs X Company (7)'!$E$3:$E$698,$S280,'Shortlisted Drugs X Company (7)'!$P$3:$P$698,"Exact")&gt;0,"Exact",IF(COUNTIFS('Shortlisted Drugs X Company (7)'!$C$3:$C$698,$B280,'Shortlisted Drugs X Company (7)'!$E$3:$E$698,$S280,'Shortlisted Drugs X Company (7)'!$P$3:$P$698,"Same-market proxy")&gt;0,"Same-market proxy",IF(COUNTIFS('Shortlisted Drugs X Company (7)'!$C$3:$C$698,$B280,'Shortlisted Drugs X Company (7)'!$E$3:$E$698,$S280,'Shortlisted Drugs X Company (7)'!$P$3:$P$698,"Cross-market proxy")&gt;0,"Cross-market proxy",IF(COUNTIFS('Shortlisted Drugs X Company (7)'!$C$3:$C$698,$B280,'Shortlisted Drugs X Company (7)'!$E$3:$E$698,$S280,'Shortlisted Drugs X Company (7)'!$P$3:$P$698,"Source not found")&gt;0,"Source not found","Not priced"))))</f>
        <v>Same-market proxy</v>
      </c>
      <c r="F280" s="18" t="n">
        <f aca="false">IFERROR(ROUND(INDEX('Injectable Value'!$AA$28:$AA$178,MATCH(B280,'Injectable Value'!$A$28:$A$178,0)),1),"")</f>
        <v>3625.3</v>
      </c>
      <c r="G280" s="16" t="s">
        <v>247</v>
      </c>
      <c r="H280" s="14" t="n">
        <v>1</v>
      </c>
      <c r="I280" s="15" t="s">
        <v>248</v>
      </c>
      <c r="J280" s="15" t="s">
        <v>249</v>
      </c>
      <c r="K280" s="16" t="str">
        <f aca="false">""&amp;IF(V280=0,"Unpriced","")&amp;IF(AND(V280&gt;0,W280=0,X280=0),"Low price from another market – confirm with company","")</f>
        <v/>
      </c>
      <c r="L280" s="18" t="n">
        <f aca="false">IFERROR(INDEX('Shortlisted Drugs X Company (7)'!$K$3:$K$698,MATCH(B280,'Shortlisted Drugs X Company (7)'!$C$3:$C$698,0)),"")</f>
        <v>156</v>
      </c>
      <c r="M280" s="18" t="n">
        <f aca="false">IFERROR(ROUND(L280*INDEX('Injectable Value'!$Z$28:$Z$178,MATCH(B280,'Injectable Value'!$A$28:$A$178,0)),0),"")</f>
        <v>143</v>
      </c>
      <c r="N280" s="18" t="n">
        <f aca="false">IFERROR(INDEX('Shortlisted Drugs X Company (7)'!$L$3:$L$698,MATCH(B280,'Shortlisted Drugs X Company (7)'!$C$3:$C$698,0)),"")</f>
        <v>3954.83</v>
      </c>
      <c r="O280" s="15" t="str">
        <f aca="false">IF(AE280="No","IV only (not ID/IM/SC)",IF(AND(V280&gt;0,W280=0),"Price ≤ $5",""))</f>
        <v/>
      </c>
      <c r="P280" s="14" t="n">
        <f aca="false">IF(O280&lt;&gt;"","",COUNTIFS($A$29:$A$361,A280,$O$29:$O$361,"",$AC$29:$AC$361,"&gt;"&amp;AC280)+COUNTIFS($A$29:A280,A280,$O$29:O280,"",$AC$29:AC280,AC280))</f>
        <v>2</v>
      </c>
      <c r="Q280" s="15" t="str">
        <f aca="false">IF(O280&lt;&gt;"",IF(O280="Price ≤ $5","Excluded – price ≤ $5","Excluded – IV only"),IF(ISNUMBER(D280),IF(AND(D280&gt;=$C$3,M280&gt;=$E$3),"Priority 1",IF(OR(D280&gt;=$C$3,M280&gt;=$E$3),"Priority 2","Priority 3")),IF(M280&gt;=$E$3,"Priority 2","Priority 3")))</f>
        <v>Priority 2</v>
      </c>
      <c r="R280" s="16" t="s">
        <v>250</v>
      </c>
      <c r="S280" s="15" t="s">
        <v>1248</v>
      </c>
      <c r="T280" s="32" t="s">
        <v>252</v>
      </c>
      <c r="U280" s="33" t="str">
        <f aca="false">B280&amp;"|"&amp;S280</f>
        <v>Carboprost|OneSource Specialty Pharma</v>
      </c>
      <c r="V280" s="34" t="n">
        <f aca="false">COUNTIFS('Shortlisted Drugs X Company (7)'!$C$3:$C$698,$B280,'Shortlisted Drugs X Company (7)'!$E$3:$E$698,$S280,'Shortlisted Drugs X Company (7)'!$N$3:$N$698,"&gt;=0")</f>
        <v>1</v>
      </c>
      <c r="W280" s="34" t="n">
        <f aca="false">COUNTIFS('Shortlisted Drugs X Company (7)'!$C$3:$C$698,$B280,'Shortlisted Drugs X Company (7)'!$E$3:$E$698,$S280,'Shortlisted Drugs X Company (7)'!$N$3:$N$698,"&gt;5")</f>
        <v>1</v>
      </c>
      <c r="X280" s="34" t="n">
        <f aca="false">COUNTIFS('Shortlisted Drugs X Company (7)'!$C$3:$C$698,$B280,'Shortlisted Drugs X Company (7)'!$E$3:$E$698,$S280,'Shortlisted Drugs X Company (7)'!$P$3:$P$698,"Exact")+COUNTIFS('Shortlisted Drugs X Company (7)'!$C$3:$C$698,$B280,'Shortlisted Drugs X Company (7)'!$E$3:$E$698,$S280,'Shortlisted Drugs X Company (7)'!$P$3:$P$698,"Same-market proxy")</f>
        <v>1</v>
      </c>
      <c r="Y280" s="33" t="str">
        <f aca="false">A280&amp;"|"&amp;P280</f>
        <v>OneSource|2</v>
      </c>
      <c r="Z280" s="16" t="s">
        <v>253</v>
      </c>
      <c r="AA280" s="33" t="n">
        <f aca="false">INDEX($G$7:$G$25,MATCH(A280,$A$7:$A$25,0))</f>
        <v>16</v>
      </c>
      <c r="AB280" s="33" t="n">
        <f aca="false">IF(AE280="No","",AA280*1000+IF(P280="",900+COUNTIFS($A$29:A280,A280,$O$29:O280,"Price ≤ $5"),P280))</f>
        <v>16002</v>
      </c>
      <c r="AC280" s="33" t="n">
        <f aca="false">IF(O280&lt;&gt;"","",(4-VALUE(RIGHT(Q280,1)))*10^7+N(F280))</f>
        <v>20003625.3</v>
      </c>
      <c r="AD280" s="15" t="str">
        <f aca="false">IFERROR(INDEX('Route of Administration'!$C$5:$C$155,MATCH(B280,'Route of Administration'!$A$5:$A$155,0)),"")</f>
        <v>IM</v>
      </c>
      <c r="AE280" s="14" t="str">
        <f aca="false">IFERROR(INDEX('Route of Administration'!$D$5:$D$155,MATCH(B280,'Route of Administration'!$A$5:$A$155,0)),"")</f>
        <v>Yes</v>
      </c>
      <c r="AF280" s="19" t="n">
        <f aca="false">IF(V280&gt;0,ROUND(AVERAGEIFS('Shortlisted Drugs X Company (7)'!$N$3:$N$698,'Shortlisted Drugs X Company (7)'!$C$3:$C$698,$B280,'Shortlisted Drugs X Company (7)'!$E$3:$E$698,$S280,'Shortlisted Drugs X Company (7)'!$N$3:$N$698,"&gt;=0"),2),"")</f>
        <v>30.01</v>
      </c>
      <c r="AG280" s="16" t="s">
        <v>321</v>
      </c>
      <c r="AH280" s="16" t="s">
        <v>247</v>
      </c>
      <c r="AI280" s="16" t="s">
        <v>247</v>
      </c>
      <c r="AJ280" s="16" t="str">
        <f aca="false">IF(O280&lt;&gt;"","",IF(ISNUMBER(D280),IF(D280&gt;=$C$3,"High price","Lower price"),"Unpriced")&amp;" · "&amp;IF(M280&gt;=$E$3,"high volume","lower volume"))</f>
        <v>High price · lower volume</v>
      </c>
      <c r="AK280" s="15" t="str">
        <f aca="false">IF(O280&lt;&gt;"",IF(O280="Price ≤ $5","Excluded – price ≤ $5","Excluded – IV only"),IF(ISNUMBER(D280),IF(AND(D280&gt;=$C$3,L280&gt;=$H$3),"Priority 1",IF(OR(D280&gt;=$C$3,L280&gt;=$H$3),"Priority 2","Priority 3")),IF(L280&gt;=$H$3,"Priority 2","Priority 3")))</f>
        <v>Priority 2</v>
      </c>
      <c r="AL280" s="16" t="str">
        <f aca="false">IF(O280&lt;&gt;"","",IF(ISNUMBER(D280),IF(D280&gt;=$C$3,"High price","Lower price"),"Unpriced")&amp;" · "&amp;IF(L280&gt;=$H$3,"high volume","lower volume"))</f>
        <v>High price · lower volume</v>
      </c>
      <c r="AM280" s="14" t="n">
        <f aca="false">IF(O280&lt;&gt;"","",COUNTIFS($A$29:$A$361,A280,$O$29:$O$361,"",$AQ$29:$AQ$361,"&gt;"&amp;AQ280)+COUNTIFS($A$29:A280,A280,$O$29:O280,"",$AQ$29:AQ280,AQ280))</f>
        <v>2</v>
      </c>
      <c r="AN280" s="19" t="n">
        <f aca="false">IF(AND(O280="",ISNUMBER(D280)),D280,"")</f>
        <v>30.01</v>
      </c>
      <c r="AO280" s="20" t="n">
        <f aca="false">IF(O280="",M280,"")</f>
        <v>143</v>
      </c>
      <c r="AP280" s="20" t="n">
        <f aca="false">IF(O280="",L280,"")</f>
        <v>156</v>
      </c>
      <c r="AQ280" s="33" t="n">
        <f aca="false">IF(O280&lt;&gt;"","",(4-VALUE(RIGHT(AK280,1)))*10^7+N(N280))</f>
        <v>20003954.83</v>
      </c>
      <c r="AR280" s="33" t="n">
        <f aca="false">INDEX($O$7:$O$25,MATCH(A280,$I$7:$I$25,0))</f>
        <v>17</v>
      </c>
      <c r="AS280" s="33" t="n">
        <f aca="false">IF(AE280="No","",AR280*1000+IF(AM280="",900+COUNTIFS($A$29:A280,A280,$O$29:O280,"Price ≤ $5"),AM280))</f>
        <v>17002</v>
      </c>
    </row>
    <row r="281" customFormat="false" ht="68.65" hidden="false" customHeight="false" outlineLevel="0" collapsed="false">
      <c r="A281" s="15" t="s">
        <v>196</v>
      </c>
      <c r="B281" s="15" t="s">
        <v>451</v>
      </c>
      <c r="C281" s="16" t="s">
        <v>452</v>
      </c>
      <c r="D281" s="17" t="n">
        <f aca="false">IF(W281&gt;0,ROUND(AVERAGEIFS('Shortlisted Drugs X Company (7)'!$N$3:$N$698,'Shortlisted Drugs X Company (7)'!$C$3:$C$698,$B281,'Shortlisted Drugs X Company (7)'!$E$3:$E$698,$S281,'Shortlisted Drugs X Company (7)'!$N$3:$N$698,"&gt;5"),2),"")</f>
        <v>24.1</v>
      </c>
      <c r="E281" s="15" t="str">
        <f aca="false">IF(COUNTIFS('Shortlisted Drugs X Company (7)'!$C$3:$C$698,$B281,'Shortlisted Drugs X Company (7)'!$E$3:$E$698,$S281,'Shortlisted Drugs X Company (7)'!$P$3:$P$698,"Exact")&gt;0,"Exact",IF(COUNTIFS('Shortlisted Drugs X Company (7)'!$C$3:$C$698,$B281,'Shortlisted Drugs X Company (7)'!$E$3:$E$698,$S281,'Shortlisted Drugs X Company (7)'!$P$3:$P$698,"Same-market proxy")&gt;0,"Same-market proxy",IF(COUNTIFS('Shortlisted Drugs X Company (7)'!$C$3:$C$698,$B281,'Shortlisted Drugs X Company (7)'!$E$3:$E$698,$S281,'Shortlisted Drugs X Company (7)'!$P$3:$P$698,"Cross-market proxy")&gt;0,"Cross-market proxy",IF(COUNTIFS('Shortlisted Drugs X Company (7)'!$C$3:$C$698,$B281,'Shortlisted Drugs X Company (7)'!$E$3:$E$698,$S281,'Shortlisted Drugs X Company (7)'!$P$3:$P$698,"Source not found")&gt;0,"Source not found","Not priced"))))</f>
        <v>Same-market proxy</v>
      </c>
      <c r="F281" s="18" t="n">
        <f aca="false">IFERROR(ROUND(INDEX('Injectable Value'!$AA$28:$AA$178,MATCH(B281,'Injectable Value'!$A$28:$A$178,0)),1),"")</f>
        <v>58920.4</v>
      </c>
      <c r="G281" s="16" t="s">
        <v>992</v>
      </c>
      <c r="H281" s="14" t="n">
        <v>23</v>
      </c>
      <c r="I281" s="15" t="s">
        <v>248</v>
      </c>
      <c r="J281" s="15" t="s">
        <v>299</v>
      </c>
      <c r="K281" s="16" t="str">
        <f aca="false">"Reconstitution"&amp;IF(V281=0,"; Unpriced","")&amp;IF(AND(V281&gt;0,W281=0,X281=0),"; Low price from another market – confirm with company","")</f>
        <v>Reconstitution</v>
      </c>
      <c r="L281" s="18" t="n">
        <f aca="false">IFERROR(INDEX('Shortlisted Drugs X Company (7)'!$K$3:$K$698,MATCH(B281,'Shortlisted Drugs X Company (7)'!$C$3:$C$698,0)),"")</f>
        <v>1185</v>
      </c>
      <c r="M281" s="18" t="n">
        <f aca="false">IFERROR(ROUND(L281*INDEX('Injectable Value'!$Z$28:$Z$178,MATCH(B281,'Injectable Value'!$A$28:$A$178,0)),0),"")</f>
        <v>1175</v>
      </c>
      <c r="N281" s="18" t="n">
        <f aca="false">IFERROR(INDEX('Shortlisted Drugs X Company (7)'!$L$3:$L$698,MATCH(B281,'Shortlisted Drugs X Company (7)'!$C$3:$C$698,0)),"")</f>
        <v>59407.06</v>
      </c>
      <c r="O281" s="15" t="str">
        <f aca="false">IF(AE281="No","IV only (not ID/IM/SC)",IF(AND(V281&gt;0,W281=0),"Price ≤ $5",""))</f>
        <v>IV only (not ID/IM/SC)</v>
      </c>
      <c r="P281" s="14" t="str">
        <f aca="false">IF(O281&lt;&gt;"","",COUNTIFS($A$29:$A$361,A281,$O$29:$O$361,"",$AC$29:$AC$361,"&gt;"&amp;AC281)+COUNTIFS($A$29:A281,A281,$O$29:O281,"",$AC$29:AC281,AC281))</f>
        <v/>
      </c>
      <c r="Q281" s="15" t="str">
        <f aca="false">IF(O281&lt;&gt;"",IF(O281="Price ≤ $5","Excluded – price ≤ $5","Excluded – IV only"),IF(ISNUMBER(D281),IF(AND(D281&gt;=$C$3,M281&gt;=$E$3),"Priority 1",IF(OR(D281&gt;=$C$3,M281&gt;=$E$3),"Priority 2","Priority 3")),IF(M281&gt;=$E$3,"Priority 2","Priority 3")))</f>
        <v>Excluded – IV only</v>
      </c>
      <c r="R281" s="16" t="s">
        <v>250</v>
      </c>
      <c r="S281" s="15" t="s">
        <v>1248</v>
      </c>
      <c r="T281" s="32" t="s">
        <v>454</v>
      </c>
      <c r="U281" s="33" t="str">
        <f aca="false">B281&amp;"|"&amp;S281</f>
        <v>Meropenem|OneSource Specialty Pharma</v>
      </c>
      <c r="V281" s="34" t="n">
        <f aca="false">COUNTIFS('Shortlisted Drugs X Company (7)'!$C$3:$C$698,$B281,'Shortlisted Drugs X Company (7)'!$E$3:$E$698,$S281,'Shortlisted Drugs X Company (7)'!$N$3:$N$698,"&gt;=0")</f>
        <v>3</v>
      </c>
      <c r="W281" s="34" t="n">
        <f aca="false">COUNTIFS('Shortlisted Drugs X Company (7)'!$C$3:$C$698,$B281,'Shortlisted Drugs X Company (7)'!$E$3:$E$698,$S281,'Shortlisted Drugs X Company (7)'!$N$3:$N$698,"&gt;5")</f>
        <v>3</v>
      </c>
      <c r="X281" s="34" t="n">
        <f aca="false">COUNTIFS('Shortlisted Drugs X Company (7)'!$C$3:$C$698,$B281,'Shortlisted Drugs X Company (7)'!$E$3:$E$698,$S281,'Shortlisted Drugs X Company (7)'!$P$3:$P$698,"Exact")+COUNTIFS('Shortlisted Drugs X Company (7)'!$C$3:$C$698,$B281,'Shortlisted Drugs X Company (7)'!$E$3:$E$698,$S281,'Shortlisted Drugs X Company (7)'!$P$3:$P$698,"Same-market proxy")</f>
        <v>3</v>
      </c>
      <c r="Y281" s="33" t="str">
        <f aca="false">A281&amp;"|"&amp;P281</f>
        <v>OneSource|</v>
      </c>
      <c r="Z281" s="16" t="s">
        <v>1251</v>
      </c>
      <c r="AA281" s="33" t="n">
        <f aca="false">INDEX($G$7:$G$25,MATCH(A281,$A$7:$A$25,0))</f>
        <v>16</v>
      </c>
      <c r="AB281" s="33" t="str">
        <f aca="false">IF(AE281="No","",AA281*1000+IF(P281="",900+COUNTIFS($A$29:A281,A281,$O$29:O281,"Price ≤ $5"),P281))</f>
        <v/>
      </c>
      <c r="AC281" s="33" t="str">
        <f aca="false">IF(O281&lt;&gt;"","",(4-VALUE(RIGHT(Q281,1)))*10^7+N(F281))</f>
        <v/>
      </c>
      <c r="AD281" s="15" t="str">
        <f aca="false">IFERROR(INDEX('Route of Administration'!$C$5:$C$155,MATCH(B281,'Route of Administration'!$A$5:$A$155,0)),"")</f>
        <v>IV</v>
      </c>
      <c r="AE281" s="14" t="str">
        <f aca="false">IFERROR(INDEX('Route of Administration'!$D$5:$D$155,MATCH(B281,'Route of Administration'!$A$5:$A$155,0)),"")</f>
        <v>No</v>
      </c>
      <c r="AF281" s="19" t="n">
        <f aca="false">IF(V281&gt;0,ROUND(AVERAGEIFS('Shortlisted Drugs X Company (7)'!$N$3:$N$698,'Shortlisted Drugs X Company (7)'!$C$3:$C$698,$B281,'Shortlisted Drugs X Company (7)'!$E$3:$E$698,$S281,'Shortlisted Drugs X Company (7)'!$N$3:$N$698,"&gt;=0"),2),"")</f>
        <v>24.1</v>
      </c>
      <c r="AG281" s="16" t="s">
        <v>1252</v>
      </c>
      <c r="AH281" s="16" t="s">
        <v>1253</v>
      </c>
      <c r="AI281" s="16" t="s">
        <v>1254</v>
      </c>
      <c r="AJ281" s="16" t="str">
        <f aca="false">IF(O281&lt;&gt;"","",IF(ISNUMBER(D281),IF(D281&gt;=$C$3,"High price","Lower price"),"Unpriced")&amp;" · "&amp;IF(M281&gt;=$E$3,"high volume","lower volume"))</f>
        <v/>
      </c>
      <c r="AK281" s="15" t="str">
        <f aca="false">IF(O281&lt;&gt;"",IF(O281="Price ≤ $5","Excluded – price ≤ $5","Excluded – IV only"),IF(ISNUMBER(D281),IF(AND(D281&gt;=$C$3,L281&gt;=$H$3),"Priority 1",IF(OR(D281&gt;=$C$3,L281&gt;=$H$3),"Priority 2","Priority 3")),IF(L281&gt;=$H$3,"Priority 2","Priority 3")))</f>
        <v>Excluded – IV only</v>
      </c>
      <c r="AL281" s="16" t="str">
        <f aca="false">IF(O281&lt;&gt;"","",IF(ISNUMBER(D281),IF(D281&gt;=$C$3,"High price","Lower price"),"Unpriced")&amp;" · "&amp;IF(L281&gt;=$H$3,"high volume","lower volume"))</f>
        <v/>
      </c>
      <c r="AM281" s="14" t="str">
        <f aca="false">IF(O281&lt;&gt;"","",COUNTIFS($A$29:$A$361,A281,$O$29:$O$361,"",$AQ$29:$AQ$361,"&gt;"&amp;AQ281)+COUNTIFS($A$29:A281,A281,$O$29:O281,"",$AQ$29:AQ281,AQ281))</f>
        <v/>
      </c>
      <c r="AN281" s="33" t="str">
        <f aca="false">IF(AND(O281="",ISNUMBER(D281)),D281,"")</f>
        <v/>
      </c>
      <c r="AO281" s="33" t="str">
        <f aca="false">IF(O281="",M281,"")</f>
        <v/>
      </c>
      <c r="AP281" s="33" t="str">
        <f aca="false">IF(O281="",L281,"")</f>
        <v/>
      </c>
      <c r="AQ281" s="33" t="str">
        <f aca="false">IF(O281&lt;&gt;"","",(4-VALUE(RIGHT(AK281,1)))*10^7+N(N281))</f>
        <v/>
      </c>
      <c r="AR281" s="33" t="n">
        <f aca="false">INDEX($O$7:$O$25,MATCH(A281,$I$7:$I$25,0))</f>
        <v>17</v>
      </c>
      <c r="AS281" s="33" t="str">
        <f aca="false">IF(AE281="No","",AR281*1000+IF(AM281="",900+COUNTIFS($A$29:A281,A281,$O$29:O281,"Price ≤ $5"),AM281))</f>
        <v/>
      </c>
    </row>
    <row r="282" customFormat="false" ht="28.35" hidden="false" customHeight="false" outlineLevel="0" collapsed="false">
      <c r="A282" s="15" t="s">
        <v>196</v>
      </c>
      <c r="B282" s="15" t="s">
        <v>1255</v>
      </c>
      <c r="C282" s="16" t="s">
        <v>1256</v>
      </c>
      <c r="D282" s="17" t="n">
        <f aca="false">IF(W282&gt;0,ROUND(AVERAGEIFS('Shortlisted Drugs X Company (7)'!$N$3:$N$698,'Shortlisted Drugs X Company (7)'!$C$3:$C$698,$B282,'Shortlisted Drugs X Company (7)'!$E$3:$E$698,$S282,'Shortlisted Drugs X Company (7)'!$N$3:$N$698,"&gt;5"),2),"")</f>
        <v>54.62</v>
      </c>
      <c r="E282" s="15" t="str">
        <f aca="false">IF(COUNTIFS('Shortlisted Drugs X Company (7)'!$C$3:$C$698,$B282,'Shortlisted Drugs X Company (7)'!$E$3:$E$698,$S282,'Shortlisted Drugs X Company (7)'!$P$3:$P$698,"Exact")&gt;0,"Exact",IF(COUNTIFS('Shortlisted Drugs X Company (7)'!$C$3:$C$698,$B282,'Shortlisted Drugs X Company (7)'!$E$3:$E$698,$S282,'Shortlisted Drugs X Company (7)'!$P$3:$P$698,"Same-market proxy")&gt;0,"Same-market proxy",IF(COUNTIFS('Shortlisted Drugs X Company (7)'!$C$3:$C$698,$B282,'Shortlisted Drugs X Company (7)'!$E$3:$E$698,$S282,'Shortlisted Drugs X Company (7)'!$P$3:$P$698,"Cross-market proxy")&gt;0,"Cross-market proxy",IF(COUNTIFS('Shortlisted Drugs X Company (7)'!$C$3:$C$698,$B282,'Shortlisted Drugs X Company (7)'!$E$3:$E$698,$S282,'Shortlisted Drugs X Company (7)'!$P$3:$P$698,"Source not found")&gt;0,"Source not found","Not priced"))))</f>
        <v>Same-market proxy</v>
      </c>
      <c r="F282" s="18" t="n">
        <f aca="false">IFERROR(ROUND(INDEX('Injectable Value'!$AA$28:$AA$178,MATCH(B282,'Injectable Value'!$A$28:$A$178,0)),1),"")</f>
        <v>117.1</v>
      </c>
      <c r="G282" s="16" t="s">
        <v>247</v>
      </c>
      <c r="H282" s="14" t="n">
        <v>1</v>
      </c>
      <c r="I282" s="15" t="s">
        <v>248</v>
      </c>
      <c r="J282" s="15" t="s">
        <v>277</v>
      </c>
      <c r="K282" s="16" t="str">
        <f aca="false">""&amp;IF(V282=0,"Unpriced","")&amp;IF(AND(V282&gt;0,W282=0,X282=0),"Low price from another market – confirm with company","")</f>
        <v/>
      </c>
      <c r="L282" s="18" t="n">
        <f aca="false">IFERROR(INDEX('Shortlisted Drugs X Company (7)'!$K$3:$K$698,MATCH(B282,'Shortlisted Drugs X Company (7)'!$C$3:$C$698,0)),"")</f>
        <v>2</v>
      </c>
      <c r="M282" s="18" t="n">
        <f aca="false">IFERROR(ROUND(L282*INDEX('Injectable Value'!$Z$28:$Z$178,MATCH(B282,'Injectable Value'!$A$28:$A$178,0)),0),"")</f>
        <v>2</v>
      </c>
      <c r="N282" s="18" t="n">
        <f aca="false">IFERROR(INDEX('Shortlisted Drugs X Company (7)'!$L$3:$L$698,MATCH(B282,'Shortlisted Drugs X Company (7)'!$C$3:$C$698,0)),"")</f>
        <v>117.07</v>
      </c>
      <c r="O282" s="15" t="str">
        <f aca="false">IF(AE282="No","IV only (not ID/IM/SC)",IF(AND(V282&gt;0,W282=0),"Price ≤ $5",""))</f>
        <v/>
      </c>
      <c r="P282" s="14" t="n">
        <f aca="false">IF(O282&lt;&gt;"","",COUNTIFS($A$29:$A$361,A282,$O$29:$O$361,"",$AC$29:$AC$361,"&gt;"&amp;AC282)+COUNTIFS($A$29:A282,A282,$O$29:O282,"",$AC$29:AC282,AC282))</f>
        <v>3</v>
      </c>
      <c r="Q282" s="15" t="str">
        <f aca="false">IF(O282&lt;&gt;"",IF(O282="Price ≤ $5","Excluded – price ≤ $5","Excluded – IV only"),IF(ISNUMBER(D282),IF(AND(D282&gt;=$C$3,M282&gt;=$E$3),"Priority 1",IF(OR(D282&gt;=$C$3,M282&gt;=$E$3),"Priority 2","Priority 3")),IF(M282&gt;=$E$3,"Priority 2","Priority 3")))</f>
        <v>Priority 2</v>
      </c>
      <c r="R282" s="16" t="s">
        <v>285</v>
      </c>
      <c r="S282" s="15" t="s">
        <v>1248</v>
      </c>
      <c r="T282" s="32" t="s">
        <v>1257</v>
      </c>
      <c r="U282" s="33" t="str">
        <f aca="false">B282&amp;"|"&amp;S282</f>
        <v>Methohexital|OneSource Specialty Pharma</v>
      </c>
      <c r="V282" s="34" t="n">
        <f aca="false">COUNTIFS('Shortlisted Drugs X Company (7)'!$C$3:$C$698,$B282,'Shortlisted Drugs X Company (7)'!$E$3:$E$698,$S282,'Shortlisted Drugs X Company (7)'!$N$3:$N$698,"&gt;=0")</f>
        <v>1</v>
      </c>
      <c r="W282" s="34" t="n">
        <f aca="false">COUNTIFS('Shortlisted Drugs X Company (7)'!$C$3:$C$698,$B282,'Shortlisted Drugs X Company (7)'!$E$3:$E$698,$S282,'Shortlisted Drugs X Company (7)'!$N$3:$N$698,"&gt;5")</f>
        <v>1</v>
      </c>
      <c r="X282" s="34" t="n">
        <f aca="false">COUNTIFS('Shortlisted Drugs X Company (7)'!$C$3:$C$698,$B282,'Shortlisted Drugs X Company (7)'!$E$3:$E$698,$S282,'Shortlisted Drugs X Company (7)'!$P$3:$P$698,"Exact")+COUNTIFS('Shortlisted Drugs X Company (7)'!$C$3:$C$698,$B282,'Shortlisted Drugs X Company (7)'!$E$3:$E$698,$S282,'Shortlisted Drugs X Company (7)'!$P$3:$P$698,"Same-market proxy")</f>
        <v>1</v>
      </c>
      <c r="Y282" s="33" t="str">
        <f aca="false">A282&amp;"|"&amp;P282</f>
        <v>OneSource|3</v>
      </c>
      <c r="Z282" s="16" t="s">
        <v>1258</v>
      </c>
      <c r="AA282" s="33" t="n">
        <f aca="false">INDEX($G$7:$G$25,MATCH(A282,$A$7:$A$25,0))</f>
        <v>16</v>
      </c>
      <c r="AB282" s="33" t="n">
        <f aca="false">IF(AE282="No","",AA282*1000+IF(P282="",900+COUNTIFS($A$29:A282,A282,$O$29:O282,"Price ≤ $5"),P282))</f>
        <v>16003</v>
      </c>
      <c r="AC282" s="33" t="n">
        <f aca="false">IF(O282&lt;&gt;"","",(4-VALUE(RIGHT(Q282,1)))*10^7+N(F282))</f>
        <v>20000117.1</v>
      </c>
      <c r="AD282" s="15" t="str">
        <f aca="false">IFERROR(INDEX('Route of Administration'!$C$5:$C$155,MATCH(B282,'Route of Administration'!$A$5:$A$155,0)),"")</f>
        <v>IV, IM</v>
      </c>
      <c r="AE282" s="14" t="str">
        <f aca="false">IFERROR(INDEX('Route of Administration'!$D$5:$D$155,MATCH(B282,'Route of Administration'!$A$5:$A$155,0)),"")</f>
        <v>Yes</v>
      </c>
      <c r="AF282" s="19" t="n">
        <f aca="false">IF(V282&gt;0,ROUND(AVERAGEIFS('Shortlisted Drugs X Company (7)'!$N$3:$N$698,'Shortlisted Drugs X Company (7)'!$C$3:$C$698,$B282,'Shortlisted Drugs X Company (7)'!$E$3:$E$698,$S282,'Shortlisted Drugs X Company (7)'!$N$3:$N$698,"&gt;=0"),2),"")</f>
        <v>54.62</v>
      </c>
      <c r="AG282" s="16" t="s">
        <v>1259</v>
      </c>
      <c r="AH282" s="16" t="s">
        <v>247</v>
      </c>
      <c r="AI282" s="16" t="s">
        <v>247</v>
      </c>
      <c r="AJ282" s="16" t="str">
        <f aca="false">IF(O282&lt;&gt;"","",IF(ISNUMBER(D282),IF(D282&gt;=$C$3,"High price","Lower price"),"Unpriced")&amp;" · "&amp;IF(M282&gt;=$E$3,"high volume","lower volume"))</f>
        <v>High price · lower volume</v>
      </c>
      <c r="AK282" s="15" t="str">
        <f aca="false">IF(O282&lt;&gt;"",IF(O282="Price ≤ $5","Excluded – price ≤ $5","Excluded – IV only"),IF(ISNUMBER(D282),IF(AND(D282&gt;=$C$3,L282&gt;=$H$3),"Priority 1",IF(OR(D282&gt;=$C$3,L282&gt;=$H$3),"Priority 2","Priority 3")),IF(L282&gt;=$H$3,"Priority 2","Priority 3")))</f>
        <v>Priority 2</v>
      </c>
      <c r="AL282" s="16" t="str">
        <f aca="false">IF(O282&lt;&gt;"","",IF(ISNUMBER(D282),IF(D282&gt;=$C$3,"High price","Lower price"),"Unpriced")&amp;" · "&amp;IF(L282&gt;=$H$3,"high volume","lower volume"))</f>
        <v>High price · lower volume</v>
      </c>
      <c r="AM282" s="14" t="n">
        <f aca="false">IF(O282&lt;&gt;"","",COUNTIFS($A$29:$A$361,A282,$O$29:$O$361,"",$AQ$29:$AQ$361,"&gt;"&amp;AQ282)+COUNTIFS($A$29:A282,A282,$O$29:O282,"",$AQ$29:AQ282,AQ282))</f>
        <v>3</v>
      </c>
      <c r="AN282" s="19" t="n">
        <f aca="false">IF(AND(O282="",ISNUMBER(D282)),D282,"")</f>
        <v>54.62</v>
      </c>
      <c r="AO282" s="20" t="n">
        <f aca="false">IF(O282="",M282,"")</f>
        <v>2</v>
      </c>
      <c r="AP282" s="20" t="n">
        <f aca="false">IF(O282="",L282,"")</f>
        <v>2</v>
      </c>
      <c r="AQ282" s="33" t="n">
        <f aca="false">IF(O282&lt;&gt;"","",(4-VALUE(RIGHT(AK282,1)))*10^7+N(N282))</f>
        <v>20000117.07</v>
      </c>
      <c r="AR282" s="33" t="n">
        <f aca="false">INDEX($O$7:$O$25,MATCH(A282,$I$7:$I$25,0))</f>
        <v>17</v>
      </c>
      <c r="AS282" s="33" t="n">
        <f aca="false">IF(AE282="No","",AR282*1000+IF(AM282="",900+COUNTIFS($A$29:A282,A282,$O$29:O282,"Price ≤ $5"),AM282))</f>
        <v>17003</v>
      </c>
    </row>
    <row r="283" customFormat="false" ht="28.35" hidden="false" customHeight="false" outlineLevel="0" collapsed="false">
      <c r="A283" s="15" t="s">
        <v>196</v>
      </c>
      <c r="B283" s="15" t="s">
        <v>475</v>
      </c>
      <c r="C283" s="16" t="s">
        <v>476</v>
      </c>
      <c r="D283" s="17" t="n">
        <f aca="false">IF(W283&gt;0,ROUND(AVERAGEIFS('Shortlisted Drugs X Company (7)'!$N$3:$N$698,'Shortlisted Drugs X Company (7)'!$C$3:$C$698,$B283,'Shortlisted Drugs X Company (7)'!$E$3:$E$698,$S283,'Shortlisted Drugs X Company (7)'!$N$3:$N$698,"&gt;5"),2),"")</f>
        <v>7.41</v>
      </c>
      <c r="E283" s="15" t="str">
        <f aca="false">IF(COUNTIFS('Shortlisted Drugs X Company (7)'!$C$3:$C$698,$B283,'Shortlisted Drugs X Company (7)'!$E$3:$E$698,$S283,'Shortlisted Drugs X Company (7)'!$P$3:$P$698,"Exact")&gt;0,"Exact",IF(COUNTIFS('Shortlisted Drugs X Company (7)'!$C$3:$C$698,$B283,'Shortlisted Drugs X Company (7)'!$E$3:$E$698,$S283,'Shortlisted Drugs X Company (7)'!$P$3:$P$698,"Same-market proxy")&gt;0,"Same-market proxy",IF(COUNTIFS('Shortlisted Drugs X Company (7)'!$C$3:$C$698,$B283,'Shortlisted Drugs X Company (7)'!$E$3:$E$698,$S283,'Shortlisted Drugs X Company (7)'!$P$3:$P$698,"Cross-market proxy")&gt;0,"Cross-market proxy",IF(COUNTIFS('Shortlisted Drugs X Company (7)'!$C$3:$C$698,$B283,'Shortlisted Drugs X Company (7)'!$E$3:$E$698,$S283,'Shortlisted Drugs X Company (7)'!$P$3:$P$698,"Source not found")&gt;0,"Source not found","Not priced"))))</f>
        <v>Same-market proxy</v>
      </c>
      <c r="F283" s="18" t="n">
        <f aca="false">IFERROR(ROUND(INDEX('Injectable Value'!$AA$28:$AA$178,MATCH(B283,'Injectable Value'!$A$28:$A$178,0)),1),"")</f>
        <v>570.1</v>
      </c>
      <c r="G283" s="16" t="s">
        <v>247</v>
      </c>
      <c r="H283" s="14" t="n">
        <v>1</v>
      </c>
      <c r="I283" s="15" t="s">
        <v>248</v>
      </c>
      <c r="J283" s="15" t="s">
        <v>299</v>
      </c>
      <c r="K283" s="16" t="str">
        <f aca="false">"Reconstitution"&amp;IF(V283=0,"; Unpriced","")&amp;IF(AND(V283&gt;0,W283=0,X283=0),"; Low price from another market – confirm with company","")</f>
        <v>Reconstitution</v>
      </c>
      <c r="L283" s="18" t="n">
        <f aca="false">IFERROR(INDEX('Shortlisted Drugs X Company (7)'!$K$3:$K$698,MATCH(B283,'Shortlisted Drugs X Company (7)'!$C$3:$C$698,0)),"")</f>
        <v>4</v>
      </c>
      <c r="M283" s="18" t="n">
        <f aca="false">IFERROR(ROUND(L283*INDEX('Injectable Value'!$Z$28:$Z$178,MATCH(B283,'Injectable Value'!$A$28:$A$178,0)),0),"")</f>
        <v>4</v>
      </c>
      <c r="N283" s="18" t="n">
        <f aca="false">IFERROR(INDEX('Shortlisted Drugs X Company (7)'!$L$3:$L$698,MATCH(B283,'Shortlisted Drugs X Company (7)'!$C$3:$C$698,0)),"")</f>
        <v>570.1</v>
      </c>
      <c r="O283" s="15" t="str">
        <f aca="false">IF(AE283="No","IV only (not ID/IM/SC)",IF(AND(V283&gt;0,W283=0),"Price ≤ $5",""))</f>
        <v/>
      </c>
      <c r="P283" s="14" t="n">
        <f aca="false">IF(O283&lt;&gt;"","",COUNTIFS($A$29:$A$361,A283,$O$29:$O$361,"",$AC$29:$AC$361,"&gt;"&amp;AC283)+COUNTIFS($A$29:A283,A283,$O$29:O283,"",$AC$29:AC283,AC283))</f>
        <v>4</v>
      </c>
      <c r="Q283" s="15" t="str">
        <f aca="false">IF(O283&lt;&gt;"",IF(O283="Price ≤ $5","Excluded – price ≤ $5","Excluded – IV only"),IF(ISNUMBER(D283),IF(AND(D283&gt;=$C$3,M283&gt;=$E$3),"Priority 1",IF(OR(D283&gt;=$C$3,M283&gt;=$E$3),"Priority 2","Priority 3")),IF(M283&gt;=$E$3,"Priority 2","Priority 3")))</f>
        <v>Priority 3</v>
      </c>
      <c r="R283" s="16" t="s">
        <v>285</v>
      </c>
      <c r="S283" s="15" t="s">
        <v>1248</v>
      </c>
      <c r="T283" s="32" t="s">
        <v>477</v>
      </c>
      <c r="U283" s="33" t="str">
        <f aca="false">B283&amp;"|"&amp;S283</f>
        <v>Nafcillin|OneSource Specialty Pharma</v>
      </c>
      <c r="V283" s="34" t="n">
        <f aca="false">COUNTIFS('Shortlisted Drugs X Company (7)'!$C$3:$C$698,$B283,'Shortlisted Drugs X Company (7)'!$E$3:$E$698,$S283,'Shortlisted Drugs X Company (7)'!$N$3:$N$698,"&gt;=0")</f>
        <v>2</v>
      </c>
      <c r="W283" s="34" t="n">
        <f aca="false">COUNTIFS('Shortlisted Drugs X Company (7)'!$C$3:$C$698,$B283,'Shortlisted Drugs X Company (7)'!$E$3:$E$698,$S283,'Shortlisted Drugs X Company (7)'!$N$3:$N$698,"&gt;5")</f>
        <v>2</v>
      </c>
      <c r="X283" s="34" t="n">
        <f aca="false">COUNTIFS('Shortlisted Drugs X Company (7)'!$C$3:$C$698,$B283,'Shortlisted Drugs X Company (7)'!$E$3:$E$698,$S283,'Shortlisted Drugs X Company (7)'!$P$3:$P$698,"Exact")+COUNTIFS('Shortlisted Drugs X Company (7)'!$C$3:$C$698,$B283,'Shortlisted Drugs X Company (7)'!$E$3:$E$698,$S283,'Shortlisted Drugs X Company (7)'!$P$3:$P$698,"Same-market proxy")</f>
        <v>2</v>
      </c>
      <c r="Y283" s="33" t="str">
        <f aca="false">A283&amp;"|"&amp;P283</f>
        <v>OneSource|4</v>
      </c>
      <c r="Z283" s="16" t="s">
        <v>478</v>
      </c>
      <c r="AA283" s="33" t="n">
        <f aca="false">INDEX($G$7:$G$25,MATCH(A283,$A$7:$A$25,0))</f>
        <v>16</v>
      </c>
      <c r="AB283" s="33" t="n">
        <f aca="false">IF(AE283="No","",AA283*1000+IF(P283="",900+COUNTIFS($A$29:A283,A283,$O$29:O283,"Price ≤ $5"),P283))</f>
        <v>16004</v>
      </c>
      <c r="AC283" s="33" t="n">
        <f aca="false">IF(O283&lt;&gt;"","",(4-VALUE(RIGHT(Q283,1)))*10^7+N(F283))</f>
        <v>10000570.1</v>
      </c>
      <c r="AD283" s="15" t="str">
        <f aca="false">IFERROR(INDEX('Route of Administration'!$C$5:$C$155,MATCH(B283,'Route of Administration'!$A$5:$A$155,0)),"")</f>
        <v>IV, IM</v>
      </c>
      <c r="AE283" s="14" t="str">
        <f aca="false">IFERROR(INDEX('Route of Administration'!$D$5:$D$155,MATCH(B283,'Route of Administration'!$A$5:$A$155,0)),"")</f>
        <v>Yes</v>
      </c>
      <c r="AF283" s="19" t="n">
        <f aca="false">IF(V283&gt;0,ROUND(AVERAGEIFS('Shortlisted Drugs X Company (7)'!$N$3:$N$698,'Shortlisted Drugs X Company (7)'!$C$3:$C$698,$B283,'Shortlisted Drugs X Company (7)'!$E$3:$E$698,$S283,'Shortlisted Drugs X Company (7)'!$N$3:$N$698,"&gt;=0"),2),"")</f>
        <v>7.41</v>
      </c>
      <c r="AG283" s="16" t="s">
        <v>479</v>
      </c>
      <c r="AH283" s="16" t="s">
        <v>247</v>
      </c>
      <c r="AI283" s="16" t="s">
        <v>247</v>
      </c>
      <c r="AJ283" s="16" t="str">
        <f aca="false">IF(O283&lt;&gt;"","",IF(ISNUMBER(D283),IF(D283&gt;=$C$3,"High price","Lower price"),"Unpriced")&amp;" · "&amp;IF(M283&gt;=$E$3,"high volume","lower volume"))</f>
        <v>Lower price · lower volume</v>
      </c>
      <c r="AK283" s="15" t="str">
        <f aca="false">IF(O283&lt;&gt;"",IF(O283="Price ≤ $5","Excluded – price ≤ $5","Excluded – IV only"),IF(ISNUMBER(D283),IF(AND(D283&gt;=$C$3,L283&gt;=$H$3),"Priority 1",IF(OR(D283&gt;=$C$3,L283&gt;=$H$3),"Priority 2","Priority 3")),IF(L283&gt;=$H$3,"Priority 2","Priority 3")))</f>
        <v>Priority 3</v>
      </c>
      <c r="AL283" s="16" t="str">
        <f aca="false">IF(O283&lt;&gt;"","",IF(ISNUMBER(D283),IF(D283&gt;=$C$3,"High price","Lower price"),"Unpriced")&amp;" · "&amp;IF(L283&gt;=$H$3,"high volume","lower volume"))</f>
        <v>Lower price · lower volume</v>
      </c>
      <c r="AM283" s="14" t="n">
        <f aca="false">IF(O283&lt;&gt;"","",COUNTIFS($A$29:$A$361,A283,$O$29:$O$361,"",$AQ$29:$AQ$361,"&gt;"&amp;AQ283)+COUNTIFS($A$29:A283,A283,$O$29:O283,"",$AQ$29:AQ283,AQ283))</f>
        <v>4</v>
      </c>
      <c r="AN283" s="19" t="n">
        <f aca="false">IF(AND(O283="",ISNUMBER(D283)),D283,"")</f>
        <v>7.41</v>
      </c>
      <c r="AO283" s="20" t="n">
        <f aca="false">IF(O283="",M283,"")</f>
        <v>4</v>
      </c>
      <c r="AP283" s="20" t="n">
        <f aca="false">IF(O283="",L283,"")</f>
        <v>4</v>
      </c>
      <c r="AQ283" s="33" t="n">
        <f aca="false">IF(O283&lt;&gt;"","",(4-VALUE(RIGHT(AK283,1)))*10^7+N(N283))</f>
        <v>10000570.1</v>
      </c>
      <c r="AR283" s="33" t="n">
        <f aca="false">INDEX($O$7:$O$25,MATCH(A283,$I$7:$I$25,0))</f>
        <v>17</v>
      </c>
      <c r="AS283" s="33" t="n">
        <f aca="false">IF(AE283="No","",AR283*1000+IF(AM283="",900+COUNTIFS($A$29:A283,A283,$O$29:O283,"Price ≤ $5"),AM283))</f>
        <v>17004</v>
      </c>
    </row>
    <row r="284" customFormat="false" ht="55.2" hidden="false" customHeight="false" outlineLevel="0" collapsed="false">
      <c r="A284" s="15" t="s">
        <v>197</v>
      </c>
      <c r="B284" s="15" t="s">
        <v>1150</v>
      </c>
      <c r="C284" s="16" t="s">
        <v>1151</v>
      </c>
      <c r="D284" s="17" t="n">
        <f aca="false">IF(W284&gt;0,ROUND(AVERAGEIFS('Shortlisted Drugs X Company (7)'!$N$3:$N$698,'Shortlisted Drugs X Company (7)'!$C$3:$C$698,$B284,'Shortlisted Drugs X Company (7)'!$E$3:$E$698,$S284,'Shortlisted Drugs X Company (7)'!$N$3:$N$698,"&gt;5"),2),"")</f>
        <v>163.51</v>
      </c>
      <c r="E284" s="15" t="str">
        <f aca="false">IF(COUNTIFS('Shortlisted Drugs X Company (7)'!$C$3:$C$698,$B284,'Shortlisted Drugs X Company (7)'!$E$3:$E$698,$S284,'Shortlisted Drugs X Company (7)'!$P$3:$P$698,"Exact")&gt;0,"Exact",IF(COUNTIFS('Shortlisted Drugs X Company (7)'!$C$3:$C$698,$B284,'Shortlisted Drugs X Company (7)'!$E$3:$E$698,$S284,'Shortlisted Drugs X Company (7)'!$P$3:$P$698,"Same-market proxy")&gt;0,"Same-market proxy",IF(COUNTIFS('Shortlisted Drugs X Company (7)'!$C$3:$C$698,$B284,'Shortlisted Drugs X Company (7)'!$E$3:$E$698,$S284,'Shortlisted Drugs X Company (7)'!$P$3:$P$698,"Cross-market proxy")&gt;0,"Cross-market proxy",IF(COUNTIFS('Shortlisted Drugs X Company (7)'!$C$3:$C$698,$B284,'Shortlisted Drugs X Company (7)'!$E$3:$E$698,$S284,'Shortlisted Drugs X Company (7)'!$P$3:$P$698,"Source not found")&gt;0,"Source not found","Not priced"))))</f>
        <v>Exact</v>
      </c>
      <c r="F284" s="18" t="n">
        <f aca="false">IFERROR(ROUND(INDEX('Injectable Value'!$AA$28:$AA$178,MATCH(B284,'Injectable Value'!$A$28:$A$178,0)),1),"")</f>
        <v>14.3</v>
      </c>
      <c r="G284" s="16" t="s">
        <v>298</v>
      </c>
      <c r="H284" s="14" t="n">
        <v>19</v>
      </c>
      <c r="I284" s="15" t="s">
        <v>316</v>
      </c>
      <c r="J284" s="15" t="s">
        <v>249</v>
      </c>
      <c r="K284" s="16" t="str">
        <f aca="false">""&amp;IF(V284=0,"Unpriced","")&amp;IF(AND(V284&gt;0,W284=0,X284=0),"Low price from another market – confirm with company","")</f>
        <v/>
      </c>
      <c r="L284" s="18" t="n">
        <f aca="false">IFERROR(INDEX('Shortlisted Drugs X Company (7)'!$K$3:$K$698,MATCH(B284,'Shortlisted Drugs X Company (7)'!$C$3:$C$698,0)),"")</f>
        <v>1</v>
      </c>
      <c r="M284" s="18" t="n">
        <f aca="false">IFERROR(ROUND(L284*INDEX('Injectable Value'!$Z$28:$Z$178,MATCH(B284,'Injectable Value'!$A$28:$A$178,0)),0),"")</f>
        <v>1</v>
      </c>
      <c r="N284" s="18" t="n">
        <f aca="false">IFERROR(INDEX('Shortlisted Drugs X Company (7)'!$L$3:$L$698,MATCH(B284,'Shortlisted Drugs X Company (7)'!$C$3:$C$698,0)),"")</f>
        <v>15.02</v>
      </c>
      <c r="O284" s="15" t="str">
        <f aca="false">IF(AE284="No","IV only (not ID/IM/SC)",IF(AND(V284&gt;0,W284=0),"Price ≤ $5",""))</f>
        <v>IV only (not ID/IM/SC)</v>
      </c>
      <c r="P284" s="14" t="str">
        <f aca="false">IF(O284&lt;&gt;"","",COUNTIFS($A$29:$A$361,A284,$O$29:$O$361,"",$AC$29:$AC$361,"&gt;"&amp;AC284)+COUNTIFS($A$29:A284,A284,$O$29:O284,"",$AC$29:AC284,AC284))</f>
        <v/>
      </c>
      <c r="Q284" s="15" t="str">
        <f aca="false">IF(O284&lt;&gt;"",IF(O284="Price ≤ $5","Excluded – price ≤ $5","Excluded – IV only"),IF(ISNUMBER(D284),IF(AND(D284&gt;=$C$3,M284&gt;=$E$3),"Priority 1",IF(OR(D284&gt;=$C$3,M284&gt;=$E$3),"Priority 2","Priority 3")),IF(M284&gt;=$E$3,"Priority 2","Priority 3")))</f>
        <v>Excluded – IV only</v>
      </c>
      <c r="R284" s="16" t="s">
        <v>285</v>
      </c>
      <c r="S284" s="15" t="s">
        <v>1260</v>
      </c>
      <c r="T284" s="32" t="s">
        <v>1152</v>
      </c>
      <c r="U284" s="33" t="str">
        <f aca="false">B284&amp;"|"&amp;S284</f>
        <v>Alfentanil|Piramal Pharma</v>
      </c>
      <c r="V284" s="34" t="n">
        <f aca="false">COUNTIFS('Shortlisted Drugs X Company (7)'!$C$3:$C$698,$B284,'Shortlisted Drugs X Company (7)'!$E$3:$E$698,$S284,'Shortlisted Drugs X Company (7)'!$N$3:$N$698,"&gt;=0")</f>
        <v>4</v>
      </c>
      <c r="W284" s="34" t="n">
        <f aca="false">COUNTIFS('Shortlisted Drugs X Company (7)'!$C$3:$C$698,$B284,'Shortlisted Drugs X Company (7)'!$E$3:$E$698,$S284,'Shortlisted Drugs X Company (7)'!$N$3:$N$698,"&gt;5")</f>
        <v>4</v>
      </c>
      <c r="X284" s="34" t="n">
        <f aca="false">COUNTIFS('Shortlisted Drugs X Company (7)'!$C$3:$C$698,$B284,'Shortlisted Drugs X Company (7)'!$E$3:$E$698,$S284,'Shortlisted Drugs X Company (7)'!$P$3:$P$698,"Exact")+COUNTIFS('Shortlisted Drugs X Company (7)'!$C$3:$C$698,$B284,'Shortlisted Drugs X Company (7)'!$E$3:$E$698,$S284,'Shortlisted Drugs X Company (7)'!$P$3:$P$698,"Same-market proxy")</f>
        <v>4</v>
      </c>
      <c r="Y284" s="33" t="str">
        <f aca="false">A284&amp;"|"&amp;P284</f>
        <v>Piramal|</v>
      </c>
      <c r="Z284" s="16" t="s">
        <v>1261</v>
      </c>
      <c r="AA284" s="33" t="n">
        <f aca="false">INDEX($G$7:$G$25,MATCH(A284,$A$7:$A$25,0))</f>
        <v>19</v>
      </c>
      <c r="AB284" s="33" t="str">
        <f aca="false">IF(AE284="No","",AA284*1000+IF(P284="",900+COUNTIFS($A$29:A284,A284,$O$29:O284,"Price ≤ $5"),P284))</f>
        <v/>
      </c>
      <c r="AC284" s="33" t="str">
        <f aca="false">IF(O284&lt;&gt;"","",(4-VALUE(RIGHT(Q284,1)))*10^7+N(F284))</f>
        <v/>
      </c>
      <c r="AD284" s="15" t="str">
        <f aca="false">IFERROR(INDEX('Route of Administration'!$C$5:$C$155,MATCH(B284,'Route of Administration'!$A$5:$A$155,0)),"")</f>
        <v>IV</v>
      </c>
      <c r="AE284" s="14" t="str">
        <f aca="false">IFERROR(INDEX('Route of Administration'!$D$5:$D$155,MATCH(B284,'Route of Administration'!$A$5:$A$155,0)),"")</f>
        <v>No</v>
      </c>
      <c r="AF284" s="19" t="n">
        <f aca="false">IF(V284&gt;0,ROUND(AVERAGEIFS('Shortlisted Drugs X Company (7)'!$N$3:$N$698,'Shortlisted Drugs X Company (7)'!$C$3:$C$698,$B284,'Shortlisted Drugs X Company (7)'!$E$3:$E$698,$S284,'Shortlisted Drugs X Company (7)'!$N$3:$N$698,"&gt;=0"),2),"")</f>
        <v>163.51</v>
      </c>
      <c r="AG284" s="16" t="s">
        <v>1262</v>
      </c>
      <c r="AH284" s="16" t="s">
        <v>1263</v>
      </c>
      <c r="AI284" s="16" t="s">
        <v>1264</v>
      </c>
      <c r="AJ284" s="16" t="str">
        <f aca="false">IF(O284&lt;&gt;"","",IF(ISNUMBER(D284),IF(D284&gt;=$C$3,"High price","Lower price"),"Unpriced")&amp;" · "&amp;IF(M284&gt;=$E$3,"high volume","lower volume"))</f>
        <v/>
      </c>
      <c r="AK284" s="15" t="str">
        <f aca="false">IF(O284&lt;&gt;"",IF(O284="Price ≤ $5","Excluded – price ≤ $5","Excluded – IV only"),IF(ISNUMBER(D284),IF(AND(D284&gt;=$C$3,L284&gt;=$H$3),"Priority 1",IF(OR(D284&gt;=$C$3,L284&gt;=$H$3),"Priority 2","Priority 3")),IF(L284&gt;=$H$3,"Priority 2","Priority 3")))</f>
        <v>Excluded – IV only</v>
      </c>
      <c r="AL284" s="16" t="str">
        <f aca="false">IF(O284&lt;&gt;"","",IF(ISNUMBER(D284),IF(D284&gt;=$C$3,"High price","Lower price"),"Unpriced")&amp;" · "&amp;IF(L284&gt;=$H$3,"high volume","lower volume"))</f>
        <v/>
      </c>
      <c r="AM284" s="14" t="str">
        <f aca="false">IF(O284&lt;&gt;"","",COUNTIFS($A$29:$A$361,A284,$O$29:$O$361,"",$AQ$29:$AQ$361,"&gt;"&amp;AQ284)+COUNTIFS($A$29:A284,A284,$O$29:O284,"",$AQ$29:AQ284,AQ284))</f>
        <v/>
      </c>
      <c r="AN284" s="33" t="str">
        <f aca="false">IF(AND(O284="",ISNUMBER(D284)),D284,"")</f>
        <v/>
      </c>
      <c r="AO284" s="33" t="str">
        <f aca="false">IF(O284="",M284,"")</f>
        <v/>
      </c>
      <c r="AP284" s="33" t="str">
        <f aca="false">IF(O284="",L284,"")</f>
        <v/>
      </c>
      <c r="AQ284" s="33" t="str">
        <f aca="false">IF(O284&lt;&gt;"","",(4-VALUE(RIGHT(AK284,1)))*10^7+N(N284))</f>
        <v/>
      </c>
      <c r="AR284" s="33" t="n">
        <f aca="false">INDEX($O$7:$O$25,MATCH(A284,$I$7:$I$25,0))</f>
        <v>19</v>
      </c>
      <c r="AS284" s="33" t="str">
        <f aca="false">IF(AE284="No","",AR284*1000+IF(AM284="",900+COUNTIFS($A$29:A284,A284,$O$29:O284,"Price ≤ $5"),AM284))</f>
        <v/>
      </c>
    </row>
    <row r="285" customFormat="false" ht="28.35" hidden="false" customHeight="false" outlineLevel="0" collapsed="false">
      <c r="A285" s="15" t="s">
        <v>197</v>
      </c>
      <c r="B285" s="15" t="s">
        <v>1265</v>
      </c>
      <c r="C285" s="16" t="s">
        <v>1266</v>
      </c>
      <c r="D285" s="17" t="n">
        <f aca="false">IF(W285&gt;0,ROUND(AVERAGEIFS('Shortlisted Drugs X Company (7)'!$N$3:$N$698,'Shortlisted Drugs X Company (7)'!$C$3:$C$698,$B285,'Shortlisted Drugs X Company (7)'!$E$3:$E$698,$S285,'Shortlisted Drugs X Company (7)'!$N$3:$N$698,"&gt;5"),2),"")</f>
        <v>59.3</v>
      </c>
      <c r="E285" s="15" t="str">
        <f aca="false">IF(COUNTIFS('Shortlisted Drugs X Company (7)'!$C$3:$C$698,$B285,'Shortlisted Drugs X Company (7)'!$E$3:$E$698,$S285,'Shortlisted Drugs X Company (7)'!$P$3:$P$698,"Exact")&gt;0,"Exact",IF(COUNTIFS('Shortlisted Drugs X Company (7)'!$C$3:$C$698,$B285,'Shortlisted Drugs X Company (7)'!$E$3:$E$698,$S285,'Shortlisted Drugs X Company (7)'!$P$3:$P$698,"Same-market proxy")&gt;0,"Same-market proxy",IF(COUNTIFS('Shortlisted Drugs X Company (7)'!$C$3:$C$698,$B285,'Shortlisted Drugs X Company (7)'!$E$3:$E$698,$S285,'Shortlisted Drugs X Company (7)'!$P$3:$P$698,"Cross-market proxy")&gt;0,"Cross-market proxy",IF(COUNTIFS('Shortlisted Drugs X Company (7)'!$C$3:$C$698,$B285,'Shortlisted Drugs X Company (7)'!$E$3:$E$698,$S285,'Shortlisted Drugs X Company (7)'!$P$3:$P$698,"Source not found")&gt;0,"Source not found","Not priced"))))</f>
        <v>Exact</v>
      </c>
      <c r="F285" s="18" t="n">
        <f aca="false">IFERROR(ROUND(INDEX('Injectable Value'!$AA$28:$AA$178,MATCH(B285,'Injectable Value'!$A$28:$A$178,0)),1),"")</f>
        <v>5118.1</v>
      </c>
      <c r="G285" s="16" t="s">
        <v>307</v>
      </c>
      <c r="H285" s="14" t="n">
        <v>9</v>
      </c>
      <c r="I285" s="15" t="s">
        <v>258</v>
      </c>
      <c r="J285" s="15" t="s">
        <v>249</v>
      </c>
      <c r="K285" s="16" t="str">
        <f aca="false">"Prefilled only"&amp;IF(V285=0,"; Unpriced","")&amp;IF(AND(V285&gt;0,W285=0,X285=0),"; Low price from another market – confirm with company","")</f>
        <v>Prefilled only</v>
      </c>
      <c r="L285" s="18" t="n">
        <f aca="false">IFERROR(INDEX('Shortlisted Drugs X Company (7)'!$K$3:$K$698,MATCH(B285,'Shortlisted Drugs X Company (7)'!$C$3:$C$698,0)),"")</f>
        <v>858</v>
      </c>
      <c r="M285" s="18" t="n">
        <f aca="false">IFERROR(ROUND(L285*INDEX('Injectable Value'!$Z$28:$Z$178,MATCH(B285,'Injectable Value'!$A$28:$A$178,0)),0),"")</f>
        <v>320</v>
      </c>
      <c r="N285" s="18" t="n">
        <f aca="false">IFERROR(INDEX('Shortlisted Drugs X Company (7)'!$L$3:$L$698,MATCH(B285,'Shortlisted Drugs X Company (7)'!$C$3:$C$698,0)),"")</f>
        <v>13738.53</v>
      </c>
      <c r="O285" s="15" t="str">
        <f aca="false">IF(AE285="No","IV only (not ID/IM/SC)",IF(AND(V285&gt;0,W285=0),"Price ≤ $5",""))</f>
        <v>IV only (not ID/IM/SC)</v>
      </c>
      <c r="P285" s="14" t="str">
        <f aca="false">IF(O285&lt;&gt;"","",COUNTIFS($A$29:$A$361,A285,$O$29:$O$361,"",$AC$29:$AC$361,"&gt;"&amp;AC285)+COUNTIFS($A$29:A285,A285,$O$29:O285,"",$AC$29:AC285,AC285))</f>
        <v/>
      </c>
      <c r="Q285" s="15" t="str">
        <f aca="false">IF(O285&lt;&gt;"",IF(O285="Price ≤ $5","Excluded – price ≤ $5","Excluded – IV only"),IF(ISNUMBER(D285),IF(AND(D285&gt;=$C$3,M285&gt;=$E$3),"Priority 1",IF(OR(D285&gt;=$C$3,M285&gt;=$E$3),"Priority 2","Priority 3")),IF(M285&gt;=$E$3,"Priority 2","Priority 3")))</f>
        <v>Excluded – IV only</v>
      </c>
      <c r="R285" s="16" t="s">
        <v>259</v>
      </c>
      <c r="S285" s="15" t="s">
        <v>1260</v>
      </c>
      <c r="T285" s="32" t="s">
        <v>1267</v>
      </c>
      <c r="U285" s="33" t="str">
        <f aca="false">B285&amp;"|"&amp;S285</f>
        <v>Baclofen|Piramal Pharma</v>
      </c>
      <c r="V285" s="34" t="n">
        <f aca="false">COUNTIFS('Shortlisted Drugs X Company (7)'!$C$3:$C$698,$B285,'Shortlisted Drugs X Company (7)'!$E$3:$E$698,$S285,'Shortlisted Drugs X Company (7)'!$N$3:$N$698,"&gt;=0")</f>
        <v>1</v>
      </c>
      <c r="W285" s="34" t="n">
        <f aca="false">COUNTIFS('Shortlisted Drugs X Company (7)'!$C$3:$C$698,$B285,'Shortlisted Drugs X Company (7)'!$E$3:$E$698,$S285,'Shortlisted Drugs X Company (7)'!$N$3:$N$698,"&gt;5")</f>
        <v>1</v>
      </c>
      <c r="X285" s="34" t="n">
        <f aca="false">COUNTIFS('Shortlisted Drugs X Company (7)'!$C$3:$C$698,$B285,'Shortlisted Drugs X Company (7)'!$E$3:$E$698,$S285,'Shortlisted Drugs X Company (7)'!$P$3:$P$698,"Exact")+COUNTIFS('Shortlisted Drugs X Company (7)'!$C$3:$C$698,$B285,'Shortlisted Drugs X Company (7)'!$E$3:$E$698,$S285,'Shortlisted Drugs X Company (7)'!$P$3:$P$698,"Same-market proxy")</f>
        <v>1</v>
      </c>
      <c r="Y285" s="33" t="str">
        <f aca="false">A285&amp;"|"&amp;P285</f>
        <v>Piramal|</v>
      </c>
      <c r="Z285" s="16" t="s">
        <v>1268</v>
      </c>
      <c r="AA285" s="33" t="n">
        <f aca="false">INDEX($G$7:$G$25,MATCH(A285,$A$7:$A$25,0))</f>
        <v>19</v>
      </c>
      <c r="AB285" s="33" t="str">
        <f aca="false">IF(AE285="No","",AA285*1000+IF(P285="",900+COUNTIFS($A$29:A285,A285,$O$29:O285,"Price ≤ $5"),P285))</f>
        <v/>
      </c>
      <c r="AC285" s="33" t="str">
        <f aca="false">IF(O285&lt;&gt;"","",(4-VALUE(RIGHT(Q285,1)))*10^7+N(F285))</f>
        <v/>
      </c>
      <c r="AD285" s="15" t="str">
        <f aca="false">IFERROR(INDEX('Route of Administration'!$C$5:$C$155,MATCH(B285,'Route of Administration'!$A$5:$A$155,0)),"")</f>
        <v>Intrathecal</v>
      </c>
      <c r="AE285" s="14" t="str">
        <f aca="false">IFERROR(INDEX('Route of Administration'!$D$5:$D$155,MATCH(B285,'Route of Administration'!$A$5:$A$155,0)),"")</f>
        <v>No</v>
      </c>
      <c r="AF285" s="19" t="n">
        <f aca="false">IF(V285&gt;0,ROUND(AVERAGEIFS('Shortlisted Drugs X Company (7)'!$N$3:$N$698,'Shortlisted Drugs X Company (7)'!$C$3:$C$698,$B285,'Shortlisted Drugs X Company (7)'!$E$3:$E$698,$S285,'Shortlisted Drugs X Company (7)'!$N$3:$N$698,"&gt;=0"),2),"")</f>
        <v>59.3</v>
      </c>
      <c r="AG285" s="16" t="s">
        <v>1269</v>
      </c>
      <c r="AH285" s="16" t="s">
        <v>1270</v>
      </c>
      <c r="AI285" s="16" t="s">
        <v>1270</v>
      </c>
      <c r="AJ285" s="16" t="str">
        <f aca="false">IF(O285&lt;&gt;"","",IF(ISNUMBER(D285),IF(D285&gt;=$C$3,"High price","Lower price"),"Unpriced")&amp;" · "&amp;IF(M285&gt;=$E$3,"high volume","lower volume"))</f>
        <v/>
      </c>
      <c r="AK285" s="15" t="str">
        <f aca="false">IF(O285&lt;&gt;"",IF(O285="Price ≤ $5","Excluded – price ≤ $5","Excluded – IV only"),IF(ISNUMBER(D285),IF(AND(D285&gt;=$C$3,L285&gt;=$H$3),"Priority 1",IF(OR(D285&gt;=$C$3,L285&gt;=$H$3),"Priority 2","Priority 3")),IF(L285&gt;=$H$3,"Priority 2","Priority 3")))</f>
        <v>Excluded – IV only</v>
      </c>
      <c r="AL285" s="16" t="str">
        <f aca="false">IF(O285&lt;&gt;"","",IF(ISNUMBER(D285),IF(D285&gt;=$C$3,"High price","Lower price"),"Unpriced")&amp;" · "&amp;IF(L285&gt;=$H$3,"high volume","lower volume"))</f>
        <v/>
      </c>
      <c r="AM285" s="14" t="str">
        <f aca="false">IF(O285&lt;&gt;"","",COUNTIFS($A$29:$A$361,A285,$O$29:$O$361,"",$AQ$29:$AQ$361,"&gt;"&amp;AQ285)+COUNTIFS($A$29:A285,A285,$O$29:O285,"",$AQ$29:AQ285,AQ285))</f>
        <v/>
      </c>
      <c r="AN285" s="33" t="str">
        <f aca="false">IF(AND(O285="",ISNUMBER(D285)),D285,"")</f>
        <v/>
      </c>
      <c r="AO285" s="33" t="str">
        <f aca="false">IF(O285="",M285,"")</f>
        <v/>
      </c>
      <c r="AP285" s="33" t="str">
        <f aca="false">IF(O285="",L285,"")</f>
        <v/>
      </c>
      <c r="AQ285" s="33" t="str">
        <f aca="false">IF(O285&lt;&gt;"","",(4-VALUE(RIGHT(AK285,1)))*10^7+N(N285))</f>
        <v/>
      </c>
      <c r="AR285" s="33" t="n">
        <f aca="false">INDEX($O$7:$O$25,MATCH(A285,$I$7:$I$25,0))</f>
        <v>19</v>
      </c>
      <c r="AS285" s="33" t="str">
        <f aca="false">IF(AE285="No","",AR285*1000+IF(AM285="",900+COUNTIFS($A$29:A285,A285,$O$29:O285,"Price ≤ $5"),AM285))</f>
        <v/>
      </c>
    </row>
    <row r="286" customFormat="false" ht="28.35" hidden="false" customHeight="false" outlineLevel="0" collapsed="false">
      <c r="A286" s="15" t="s">
        <v>197</v>
      </c>
      <c r="B286" s="15" t="s">
        <v>937</v>
      </c>
      <c r="C286" s="16" t="s">
        <v>938</v>
      </c>
      <c r="D286" s="17" t="n">
        <f aca="false">IF(W286&gt;0,ROUND(AVERAGEIFS('Shortlisted Drugs X Company (7)'!$N$3:$N$698,'Shortlisted Drugs X Company (7)'!$C$3:$C$698,$B286,'Shortlisted Drugs X Company (7)'!$E$3:$E$698,$S286,'Shortlisted Drugs X Company (7)'!$N$3:$N$698,"&gt;5"),2),"")</f>
        <v>22.39</v>
      </c>
      <c r="E286" s="15" t="str">
        <f aca="false">IF(COUNTIFS('Shortlisted Drugs X Company (7)'!$C$3:$C$698,$B286,'Shortlisted Drugs X Company (7)'!$E$3:$E$698,$S286,'Shortlisted Drugs X Company (7)'!$P$3:$P$698,"Exact")&gt;0,"Exact",IF(COUNTIFS('Shortlisted Drugs X Company (7)'!$C$3:$C$698,$B286,'Shortlisted Drugs X Company (7)'!$E$3:$E$698,$S286,'Shortlisted Drugs X Company (7)'!$P$3:$P$698,"Same-market proxy")&gt;0,"Same-market proxy",IF(COUNTIFS('Shortlisted Drugs X Company (7)'!$C$3:$C$698,$B286,'Shortlisted Drugs X Company (7)'!$E$3:$E$698,$S286,'Shortlisted Drugs X Company (7)'!$P$3:$P$698,"Cross-market proxy")&gt;0,"Cross-market proxy",IF(COUNTIFS('Shortlisted Drugs X Company (7)'!$C$3:$C$698,$B286,'Shortlisted Drugs X Company (7)'!$E$3:$E$698,$S286,'Shortlisted Drugs X Company (7)'!$P$3:$P$698,"Source not found")&gt;0,"Source not found","Not priced"))))</f>
        <v>Same-market proxy</v>
      </c>
      <c r="F286" s="18" t="n">
        <f aca="false">IFERROR(ROUND(INDEX('Injectable Value'!$AA$28:$AA$178,MATCH(B286,'Injectable Value'!$A$28:$A$178,0)),1),"")</f>
        <v>2508.1</v>
      </c>
      <c r="G286" s="16" t="s">
        <v>247</v>
      </c>
      <c r="H286" s="14" t="n">
        <v>1</v>
      </c>
      <c r="I286" s="15" t="s">
        <v>248</v>
      </c>
      <c r="J286" s="15" t="s">
        <v>249</v>
      </c>
      <c r="K286" s="16" t="str">
        <f aca="false">""&amp;IF(V286=0,"Unpriced","")&amp;IF(AND(V286&gt;0,W286=0,X286=0),"Low price from another market – confirm with company","")</f>
        <v/>
      </c>
      <c r="L286" s="18" t="n">
        <f aca="false">IFERROR(INDEX('Shortlisted Drugs X Company (7)'!$K$3:$K$698,MATCH(B286,'Shortlisted Drugs X Company (7)'!$C$3:$C$698,0)),"")</f>
        <v>117</v>
      </c>
      <c r="M286" s="18" t="n">
        <f aca="false">IFERROR(ROUND(L286*INDEX('Injectable Value'!$Z$28:$Z$178,MATCH(B286,'Injectable Value'!$A$28:$A$178,0)),0),"")</f>
        <v>117</v>
      </c>
      <c r="N286" s="18" t="n">
        <f aca="false">IFERROR(INDEX('Shortlisted Drugs X Company (7)'!$L$3:$L$698,MATCH(B286,'Shortlisted Drugs X Company (7)'!$C$3:$C$698,0)),"")</f>
        <v>2508.09</v>
      </c>
      <c r="O286" s="15" t="str">
        <f aca="false">IF(AE286="No","IV only (not ID/IM/SC)",IF(AND(V286&gt;0,W286=0),"Price ≤ $5",""))</f>
        <v>IV only (not ID/IM/SC)</v>
      </c>
      <c r="P286" s="14" t="str">
        <f aca="false">IF(O286&lt;&gt;"","",COUNTIFS($A$29:$A$361,A286,$O$29:$O$361,"",$AC$29:$AC$361,"&gt;"&amp;AC286)+COUNTIFS($A$29:A286,A286,$O$29:O286,"",$AC$29:AC286,AC286))</f>
        <v/>
      </c>
      <c r="Q286" s="15" t="str">
        <f aca="false">IF(O286&lt;&gt;"",IF(O286="Price ≤ $5","Excluded – price ≤ $5","Excluded – IV only"),IF(ISNUMBER(D286),IF(AND(D286&gt;=$C$3,M286&gt;=$E$3),"Priority 1",IF(OR(D286&gt;=$C$3,M286&gt;=$E$3),"Priority 2","Priority 3")),IF(M286&gt;=$E$3,"Priority 2","Priority 3")))</f>
        <v>Excluded – IV only</v>
      </c>
      <c r="R286" s="16" t="s">
        <v>250</v>
      </c>
      <c r="S286" s="15" t="s">
        <v>1260</v>
      </c>
      <c r="T286" s="32" t="s">
        <v>940</v>
      </c>
      <c r="U286" s="33" t="str">
        <f aca="false">B286&amp;"|"&amp;S286</f>
        <v>Cisatracurium|Piramal Pharma</v>
      </c>
      <c r="V286" s="34" t="n">
        <f aca="false">COUNTIFS('Shortlisted Drugs X Company (7)'!$C$3:$C$698,$B286,'Shortlisted Drugs X Company (7)'!$E$3:$E$698,$S286,'Shortlisted Drugs X Company (7)'!$N$3:$N$698,"&gt;=0")</f>
        <v>2</v>
      </c>
      <c r="W286" s="34" t="n">
        <f aca="false">COUNTIFS('Shortlisted Drugs X Company (7)'!$C$3:$C$698,$B286,'Shortlisted Drugs X Company (7)'!$E$3:$E$698,$S286,'Shortlisted Drugs X Company (7)'!$N$3:$N$698,"&gt;5")</f>
        <v>2</v>
      </c>
      <c r="X286" s="34" t="n">
        <f aca="false">COUNTIFS('Shortlisted Drugs X Company (7)'!$C$3:$C$698,$B286,'Shortlisted Drugs X Company (7)'!$E$3:$E$698,$S286,'Shortlisted Drugs X Company (7)'!$P$3:$P$698,"Exact")+COUNTIFS('Shortlisted Drugs X Company (7)'!$C$3:$C$698,$B286,'Shortlisted Drugs X Company (7)'!$E$3:$E$698,$S286,'Shortlisted Drugs X Company (7)'!$P$3:$P$698,"Same-market proxy")</f>
        <v>2</v>
      </c>
      <c r="Y286" s="33" t="str">
        <f aca="false">A286&amp;"|"&amp;P286</f>
        <v>Piramal|</v>
      </c>
      <c r="Z286" s="16" t="s">
        <v>1271</v>
      </c>
      <c r="AA286" s="33" t="n">
        <f aca="false">INDEX($G$7:$G$25,MATCH(A286,$A$7:$A$25,0))</f>
        <v>19</v>
      </c>
      <c r="AB286" s="33" t="str">
        <f aca="false">IF(AE286="No","",AA286*1000+IF(P286="",900+COUNTIFS($A$29:A286,A286,$O$29:O286,"Price ≤ $5"),P286))</f>
        <v/>
      </c>
      <c r="AC286" s="33" t="str">
        <f aca="false">IF(O286&lt;&gt;"","",(4-VALUE(RIGHT(Q286,1)))*10^7+N(F286))</f>
        <v/>
      </c>
      <c r="AD286" s="15" t="str">
        <f aca="false">IFERROR(INDEX('Route of Administration'!$C$5:$C$155,MATCH(B286,'Route of Administration'!$A$5:$A$155,0)),"")</f>
        <v>IV</v>
      </c>
      <c r="AE286" s="14" t="str">
        <f aca="false">IFERROR(INDEX('Route of Administration'!$D$5:$D$155,MATCH(B286,'Route of Administration'!$A$5:$A$155,0)),"")</f>
        <v>No</v>
      </c>
      <c r="AF286" s="19" t="n">
        <f aca="false">IF(V286&gt;0,ROUND(AVERAGEIFS('Shortlisted Drugs X Company (7)'!$N$3:$N$698,'Shortlisted Drugs X Company (7)'!$C$3:$C$698,$B286,'Shortlisted Drugs X Company (7)'!$E$3:$E$698,$S286,'Shortlisted Drugs X Company (7)'!$N$3:$N$698,"&gt;=0"),2),"")</f>
        <v>22.39</v>
      </c>
      <c r="AG286" s="16" t="s">
        <v>1272</v>
      </c>
      <c r="AH286" s="16" t="s">
        <v>247</v>
      </c>
      <c r="AI286" s="16" t="s">
        <v>247</v>
      </c>
      <c r="AJ286" s="16" t="str">
        <f aca="false">IF(O286&lt;&gt;"","",IF(ISNUMBER(D286),IF(D286&gt;=$C$3,"High price","Lower price"),"Unpriced")&amp;" · "&amp;IF(M286&gt;=$E$3,"high volume","lower volume"))</f>
        <v/>
      </c>
      <c r="AK286" s="15" t="str">
        <f aca="false">IF(O286&lt;&gt;"",IF(O286="Price ≤ $5","Excluded – price ≤ $5","Excluded – IV only"),IF(ISNUMBER(D286),IF(AND(D286&gt;=$C$3,L286&gt;=$H$3),"Priority 1",IF(OR(D286&gt;=$C$3,L286&gt;=$H$3),"Priority 2","Priority 3")),IF(L286&gt;=$H$3,"Priority 2","Priority 3")))</f>
        <v>Excluded – IV only</v>
      </c>
      <c r="AL286" s="16" t="str">
        <f aca="false">IF(O286&lt;&gt;"","",IF(ISNUMBER(D286),IF(D286&gt;=$C$3,"High price","Lower price"),"Unpriced")&amp;" · "&amp;IF(L286&gt;=$H$3,"high volume","lower volume"))</f>
        <v/>
      </c>
      <c r="AM286" s="14" t="str">
        <f aca="false">IF(O286&lt;&gt;"","",COUNTIFS($A$29:$A$361,A286,$O$29:$O$361,"",$AQ$29:$AQ$361,"&gt;"&amp;AQ286)+COUNTIFS($A$29:A286,A286,$O$29:O286,"",$AQ$29:AQ286,AQ286))</f>
        <v/>
      </c>
      <c r="AN286" s="33" t="str">
        <f aca="false">IF(AND(O286="",ISNUMBER(D286)),D286,"")</f>
        <v/>
      </c>
      <c r="AO286" s="33" t="str">
        <f aca="false">IF(O286="",M286,"")</f>
        <v/>
      </c>
      <c r="AP286" s="33" t="str">
        <f aca="false">IF(O286="",L286,"")</f>
        <v/>
      </c>
      <c r="AQ286" s="33" t="str">
        <f aca="false">IF(O286&lt;&gt;"","",(4-VALUE(RIGHT(AK286,1)))*10^7+N(N286))</f>
        <v/>
      </c>
      <c r="AR286" s="33" t="n">
        <f aca="false">INDEX($O$7:$O$25,MATCH(A286,$I$7:$I$25,0))</f>
        <v>19</v>
      </c>
      <c r="AS286" s="33" t="str">
        <f aca="false">IF(AE286="No","",AR286*1000+IF(AM286="",900+COUNTIFS($A$29:A286,A286,$O$29:O286,"Price ≤ $5"),AM286))</f>
        <v/>
      </c>
    </row>
    <row r="287" customFormat="false" ht="41.75" hidden="false" customHeight="false" outlineLevel="0" collapsed="false">
      <c r="A287" s="15" t="s">
        <v>197</v>
      </c>
      <c r="B287" s="15" t="s">
        <v>1273</v>
      </c>
      <c r="C287" s="16" t="s">
        <v>1274</v>
      </c>
      <c r="D287" s="17" t="n">
        <f aca="false">IF(W287&gt;0,ROUND(AVERAGEIFS('Shortlisted Drugs X Company (7)'!$N$3:$N$698,'Shortlisted Drugs X Company (7)'!$C$3:$C$698,$B287,'Shortlisted Drugs X Company (7)'!$E$3:$E$698,$S287,'Shortlisted Drugs X Company (7)'!$N$3:$N$698,"&gt;5"),2),"")</f>
        <v>8.71</v>
      </c>
      <c r="E287" s="15" t="str">
        <f aca="false">IF(COUNTIFS('Shortlisted Drugs X Company (7)'!$C$3:$C$698,$B287,'Shortlisted Drugs X Company (7)'!$E$3:$E$698,$S287,'Shortlisted Drugs X Company (7)'!$P$3:$P$698,"Exact")&gt;0,"Exact",IF(COUNTIFS('Shortlisted Drugs X Company (7)'!$C$3:$C$698,$B287,'Shortlisted Drugs X Company (7)'!$E$3:$E$698,$S287,'Shortlisted Drugs X Company (7)'!$P$3:$P$698,"Same-market proxy")&gt;0,"Same-market proxy",IF(COUNTIFS('Shortlisted Drugs X Company (7)'!$C$3:$C$698,$B287,'Shortlisted Drugs X Company (7)'!$E$3:$E$698,$S287,'Shortlisted Drugs X Company (7)'!$P$3:$P$698,"Cross-market proxy")&gt;0,"Cross-market proxy",IF(COUNTIFS('Shortlisted Drugs X Company (7)'!$C$3:$C$698,$B287,'Shortlisted Drugs X Company (7)'!$E$3:$E$698,$S287,'Shortlisted Drugs X Company (7)'!$P$3:$P$698,"Source not found")&gt;0,"Source not found","Not priced"))))</f>
        <v>Exact</v>
      </c>
      <c r="F287" s="18" t="n">
        <f aca="false">IFERROR(ROUND(INDEX('Injectable Value'!$AA$28:$AA$178,MATCH(B287,'Injectable Value'!$A$28:$A$178,0)),1),"")</f>
        <v>1781.1</v>
      </c>
      <c r="G287" s="16" t="s">
        <v>403</v>
      </c>
      <c r="H287" s="14" t="n">
        <v>12</v>
      </c>
      <c r="I287" s="15" t="s">
        <v>316</v>
      </c>
      <c r="J287" s="15" t="s">
        <v>249</v>
      </c>
      <c r="K287" s="16" t="str">
        <f aca="false">""&amp;IF(V287=0,"Unpriced","")&amp;IF(AND(V287&gt;0,W287=0,X287=0),"Low price from another market – confirm with company","")</f>
        <v/>
      </c>
      <c r="L287" s="18" t="n">
        <f aca="false">IFERROR(INDEX('Shortlisted Drugs X Company (7)'!$K$3:$K$698,MATCH(B287,'Shortlisted Drugs X Company (7)'!$C$3:$C$698,0)),"")</f>
        <v>69</v>
      </c>
      <c r="M287" s="18" t="n">
        <f aca="false">IFERROR(ROUND(L287*INDEX('Injectable Value'!$Z$28:$Z$178,MATCH(B287,'Injectable Value'!$A$28:$A$178,0)),0),"")</f>
        <v>69</v>
      </c>
      <c r="N287" s="18" t="n">
        <f aca="false">IFERROR(INDEX('Shortlisted Drugs X Company (7)'!$L$3:$L$698,MATCH(B287,'Shortlisted Drugs X Company (7)'!$C$3:$C$698,0)),"")</f>
        <v>1781.11</v>
      </c>
      <c r="O287" s="15" t="str">
        <f aca="false">IF(AE287="No","IV only (not ID/IM/SC)",IF(AND(V287&gt;0,W287=0),"Price ≤ $5",""))</f>
        <v>IV only (not ID/IM/SC)</v>
      </c>
      <c r="P287" s="14" t="str">
        <f aca="false">IF(O287&lt;&gt;"","",COUNTIFS($A$29:$A$361,A287,$O$29:$O$361,"",$AC$29:$AC$361,"&gt;"&amp;AC287)+COUNTIFS($A$29:A287,A287,$O$29:O287,"",$AC$29:AC287,AC287))</f>
        <v/>
      </c>
      <c r="Q287" s="15" t="str">
        <f aca="false">IF(O287&lt;&gt;"",IF(O287="Price ≤ $5","Excluded – price ≤ $5","Excluded – IV only"),IF(ISNUMBER(D287),IF(AND(D287&gt;=$C$3,M287&gt;=$E$3),"Priority 1",IF(OR(D287&gt;=$C$3,M287&gt;=$E$3),"Priority 2","Priority 3")),IF(M287&gt;=$E$3,"Priority 2","Priority 3")))</f>
        <v>Excluded – IV only</v>
      </c>
      <c r="R287" s="16" t="s">
        <v>285</v>
      </c>
      <c r="S287" s="15" t="s">
        <v>1260</v>
      </c>
      <c r="T287" s="32" t="s">
        <v>1275</v>
      </c>
      <c r="U287" s="33" t="str">
        <f aca="false">B287&amp;"|"&amp;S287</f>
        <v>Etomidate|Piramal Pharma</v>
      </c>
      <c r="V287" s="34" t="n">
        <f aca="false">COUNTIFS('Shortlisted Drugs X Company (7)'!$C$3:$C$698,$B287,'Shortlisted Drugs X Company (7)'!$E$3:$E$698,$S287,'Shortlisted Drugs X Company (7)'!$N$3:$N$698,"&gt;=0")</f>
        <v>2</v>
      </c>
      <c r="W287" s="34" t="n">
        <f aca="false">COUNTIFS('Shortlisted Drugs X Company (7)'!$C$3:$C$698,$B287,'Shortlisted Drugs X Company (7)'!$E$3:$E$698,$S287,'Shortlisted Drugs X Company (7)'!$N$3:$N$698,"&gt;5")</f>
        <v>2</v>
      </c>
      <c r="X287" s="34" t="n">
        <f aca="false">COUNTIFS('Shortlisted Drugs X Company (7)'!$C$3:$C$698,$B287,'Shortlisted Drugs X Company (7)'!$E$3:$E$698,$S287,'Shortlisted Drugs X Company (7)'!$P$3:$P$698,"Exact")+COUNTIFS('Shortlisted Drugs X Company (7)'!$C$3:$C$698,$B287,'Shortlisted Drugs X Company (7)'!$E$3:$E$698,$S287,'Shortlisted Drugs X Company (7)'!$P$3:$P$698,"Same-market proxy")</f>
        <v>2</v>
      </c>
      <c r="Y287" s="33" t="str">
        <f aca="false">A287&amp;"|"&amp;P287</f>
        <v>Piramal|</v>
      </c>
      <c r="Z287" s="16" t="s">
        <v>1276</v>
      </c>
      <c r="AA287" s="33" t="n">
        <f aca="false">INDEX($G$7:$G$25,MATCH(A287,$A$7:$A$25,0))</f>
        <v>19</v>
      </c>
      <c r="AB287" s="33" t="str">
        <f aca="false">IF(AE287="No","",AA287*1000+IF(P287="",900+COUNTIFS($A$29:A287,A287,$O$29:O287,"Price ≤ $5"),P287))</f>
        <v/>
      </c>
      <c r="AC287" s="33" t="str">
        <f aca="false">IF(O287&lt;&gt;"","",(4-VALUE(RIGHT(Q287,1)))*10^7+N(F287))</f>
        <v/>
      </c>
      <c r="AD287" s="15" t="str">
        <f aca="false">IFERROR(INDEX('Route of Administration'!$C$5:$C$155,MATCH(B287,'Route of Administration'!$A$5:$A$155,0)),"")</f>
        <v>IV</v>
      </c>
      <c r="AE287" s="14" t="str">
        <f aca="false">IFERROR(INDEX('Route of Administration'!$D$5:$D$155,MATCH(B287,'Route of Administration'!$A$5:$A$155,0)),"")</f>
        <v>No</v>
      </c>
      <c r="AF287" s="19" t="n">
        <f aca="false">IF(V287&gt;0,ROUND(AVERAGEIFS('Shortlisted Drugs X Company (7)'!$N$3:$N$698,'Shortlisted Drugs X Company (7)'!$C$3:$C$698,$B287,'Shortlisted Drugs X Company (7)'!$E$3:$E$698,$S287,'Shortlisted Drugs X Company (7)'!$N$3:$N$698,"&gt;=0"),2),"")</f>
        <v>8.71</v>
      </c>
      <c r="AG287" s="16" t="s">
        <v>1277</v>
      </c>
      <c r="AH287" s="16" t="s">
        <v>1278</v>
      </c>
      <c r="AI287" s="16" t="s">
        <v>1279</v>
      </c>
      <c r="AJ287" s="16" t="str">
        <f aca="false">IF(O287&lt;&gt;"","",IF(ISNUMBER(D287),IF(D287&gt;=$C$3,"High price","Lower price"),"Unpriced")&amp;" · "&amp;IF(M287&gt;=$E$3,"high volume","lower volume"))</f>
        <v/>
      </c>
      <c r="AK287" s="15" t="str">
        <f aca="false">IF(O287&lt;&gt;"",IF(O287="Price ≤ $5","Excluded – price ≤ $5","Excluded – IV only"),IF(ISNUMBER(D287),IF(AND(D287&gt;=$C$3,L287&gt;=$H$3),"Priority 1",IF(OR(D287&gt;=$C$3,L287&gt;=$H$3),"Priority 2","Priority 3")),IF(L287&gt;=$H$3,"Priority 2","Priority 3")))</f>
        <v>Excluded – IV only</v>
      </c>
      <c r="AL287" s="16" t="str">
        <f aca="false">IF(O287&lt;&gt;"","",IF(ISNUMBER(D287),IF(D287&gt;=$C$3,"High price","Lower price"),"Unpriced")&amp;" · "&amp;IF(L287&gt;=$H$3,"high volume","lower volume"))</f>
        <v/>
      </c>
      <c r="AM287" s="14" t="str">
        <f aca="false">IF(O287&lt;&gt;"","",COUNTIFS($A$29:$A$361,A287,$O$29:$O$361,"",$AQ$29:$AQ$361,"&gt;"&amp;AQ287)+COUNTIFS($A$29:A287,A287,$O$29:O287,"",$AQ$29:AQ287,AQ287))</f>
        <v/>
      </c>
      <c r="AN287" s="33" t="str">
        <f aca="false">IF(AND(O287="",ISNUMBER(D287)),D287,"")</f>
        <v/>
      </c>
      <c r="AO287" s="33" t="str">
        <f aca="false">IF(O287="",M287,"")</f>
        <v/>
      </c>
      <c r="AP287" s="33" t="str">
        <f aca="false">IF(O287="",L287,"")</f>
        <v/>
      </c>
      <c r="AQ287" s="33" t="str">
        <f aca="false">IF(O287&lt;&gt;"","",(4-VALUE(RIGHT(AK287,1)))*10^7+N(N287))</f>
        <v/>
      </c>
      <c r="AR287" s="33" t="n">
        <f aca="false">INDEX($O$7:$O$25,MATCH(A287,$I$7:$I$25,0))</f>
        <v>19</v>
      </c>
      <c r="AS287" s="33" t="str">
        <f aca="false">IF(AE287="No","",AR287*1000+IF(AM287="",900+COUNTIFS($A$29:A287,A287,$O$29:O287,"Price ≤ $5"),AM287))</f>
        <v/>
      </c>
    </row>
    <row r="288" customFormat="false" ht="55.2" hidden="false" customHeight="false" outlineLevel="0" collapsed="false">
      <c r="A288" s="15" t="s">
        <v>197</v>
      </c>
      <c r="B288" s="15" t="s">
        <v>1181</v>
      </c>
      <c r="C288" s="16" t="s">
        <v>1182</v>
      </c>
      <c r="D288" s="17" t="n">
        <f aca="false">IF(W288&gt;0,ROUND(AVERAGEIFS('Shortlisted Drugs X Company (7)'!$N$3:$N$698,'Shortlisted Drugs X Company (7)'!$C$3:$C$698,$B288,'Shortlisted Drugs X Company (7)'!$E$3:$E$698,$S288,'Shortlisted Drugs X Company (7)'!$N$3:$N$698,"&gt;5"),2),"")</f>
        <v>15.8</v>
      </c>
      <c r="E288" s="15" t="str">
        <f aca="false">IF(COUNTIFS('Shortlisted Drugs X Company (7)'!$C$3:$C$698,$B288,'Shortlisted Drugs X Company (7)'!$E$3:$E$698,$S288,'Shortlisted Drugs X Company (7)'!$P$3:$P$698,"Exact")&gt;0,"Exact",IF(COUNTIFS('Shortlisted Drugs X Company (7)'!$C$3:$C$698,$B288,'Shortlisted Drugs X Company (7)'!$E$3:$E$698,$S288,'Shortlisted Drugs X Company (7)'!$P$3:$P$698,"Same-market proxy")&gt;0,"Same-market proxy",IF(COUNTIFS('Shortlisted Drugs X Company (7)'!$C$3:$C$698,$B288,'Shortlisted Drugs X Company (7)'!$E$3:$E$698,$S288,'Shortlisted Drugs X Company (7)'!$P$3:$P$698,"Cross-market proxy")&gt;0,"Cross-market proxy",IF(COUNTIFS('Shortlisted Drugs X Company (7)'!$C$3:$C$698,$B288,'Shortlisted Drugs X Company (7)'!$E$3:$E$698,$S288,'Shortlisted Drugs X Company (7)'!$P$3:$P$698,"Source not found")&gt;0,"Source not found","Not priced"))))</f>
        <v>Exact</v>
      </c>
      <c r="F288" s="18" t="n">
        <f aca="false">IFERROR(ROUND(INDEX('Injectable Value'!$AA$28:$AA$178,MATCH(B288,'Injectable Value'!$A$28:$A$178,0)),1),"")</f>
        <v>287.5</v>
      </c>
      <c r="G288" s="16" t="s">
        <v>403</v>
      </c>
      <c r="H288" s="14" t="n">
        <v>18</v>
      </c>
      <c r="I288" s="15" t="s">
        <v>316</v>
      </c>
      <c r="J288" s="15" t="s">
        <v>249</v>
      </c>
      <c r="K288" s="16" t="str">
        <f aca="false">""&amp;IF(V288=0,"Unpriced","")&amp;IF(AND(V288&gt;0,W288=0,X288=0),"Low price from another market – confirm with company","")</f>
        <v/>
      </c>
      <c r="L288" s="18" t="n">
        <f aca="false">IFERROR(INDEX('Shortlisted Drugs X Company (7)'!$K$3:$K$698,MATCH(B288,'Shortlisted Drugs X Company (7)'!$C$3:$C$698,0)),"")</f>
        <v>58</v>
      </c>
      <c r="M288" s="18" t="n">
        <f aca="false">IFERROR(ROUND(L288*INDEX('Injectable Value'!$Z$28:$Z$178,MATCH(B288,'Injectable Value'!$A$28:$A$178,0)),0),"")</f>
        <v>15</v>
      </c>
      <c r="N288" s="18" t="n">
        <f aca="false">IFERROR(INDEX('Shortlisted Drugs X Company (7)'!$L$3:$L$698,MATCH(B288,'Shortlisted Drugs X Company (7)'!$C$3:$C$698,0)),"")</f>
        <v>1115.28</v>
      </c>
      <c r="O288" s="15" t="str">
        <f aca="false">IF(AE288="No","IV only (not ID/IM/SC)",IF(AND(V288&gt;0,W288=0),"Price ≤ $5",""))</f>
        <v/>
      </c>
      <c r="P288" s="14" t="n">
        <f aca="false">IF(O288&lt;&gt;"","",COUNTIFS($A$29:$A$361,A288,$O$29:$O$361,"",$AC$29:$AC$361,"&gt;"&amp;AC288)+COUNTIFS($A$29:A288,A288,$O$29:O288,"",$AC$29:AC288,AC288))</f>
        <v>1</v>
      </c>
      <c r="Q288" s="15" t="str">
        <f aca="false">IF(O288&lt;&gt;"",IF(O288="Price ≤ $5","Excluded – price ≤ $5","Excluded – IV only"),IF(ISNUMBER(D288),IF(AND(D288&gt;=$C$3,M288&gt;=$E$3),"Priority 1",IF(OR(D288&gt;=$C$3,M288&gt;=$E$3),"Priority 2","Priority 3")),IF(M288&gt;=$E$3,"Priority 2","Priority 3")))</f>
        <v>Priority 3</v>
      </c>
      <c r="R288" s="16" t="s">
        <v>285</v>
      </c>
      <c r="S288" s="15" t="s">
        <v>1260</v>
      </c>
      <c r="T288" s="32" t="s">
        <v>1183</v>
      </c>
      <c r="U288" s="33" t="str">
        <f aca="false">B288&amp;"|"&amp;S288</f>
        <v>Fentanyl|Piramal Pharma</v>
      </c>
      <c r="V288" s="34" t="n">
        <f aca="false">COUNTIFS('Shortlisted Drugs X Company (7)'!$C$3:$C$698,$B288,'Shortlisted Drugs X Company (7)'!$E$3:$E$698,$S288,'Shortlisted Drugs X Company (7)'!$N$3:$N$698,"&gt;=0")</f>
        <v>2</v>
      </c>
      <c r="W288" s="34" t="n">
        <f aca="false">COUNTIFS('Shortlisted Drugs X Company (7)'!$C$3:$C$698,$B288,'Shortlisted Drugs X Company (7)'!$E$3:$E$698,$S288,'Shortlisted Drugs X Company (7)'!$N$3:$N$698,"&gt;5")</f>
        <v>2</v>
      </c>
      <c r="X288" s="34" t="n">
        <f aca="false">COUNTIFS('Shortlisted Drugs X Company (7)'!$C$3:$C$698,$B288,'Shortlisted Drugs X Company (7)'!$E$3:$E$698,$S288,'Shortlisted Drugs X Company (7)'!$P$3:$P$698,"Exact")+COUNTIFS('Shortlisted Drugs X Company (7)'!$C$3:$C$698,$B288,'Shortlisted Drugs X Company (7)'!$E$3:$E$698,$S288,'Shortlisted Drugs X Company (7)'!$P$3:$P$698,"Same-market proxy")</f>
        <v>2</v>
      </c>
      <c r="Y288" s="33" t="str">
        <f aca="false">A288&amp;"|"&amp;P288</f>
        <v>Piramal|1</v>
      </c>
      <c r="Z288" s="16" t="s">
        <v>1280</v>
      </c>
      <c r="AA288" s="33" t="n">
        <f aca="false">INDEX($G$7:$G$25,MATCH(A288,$A$7:$A$25,0))</f>
        <v>19</v>
      </c>
      <c r="AB288" s="33" t="n">
        <f aca="false">IF(AE288="No","",AA288*1000+IF(P288="",900+COUNTIFS($A$29:A288,A288,$O$29:O288,"Price ≤ $5"),P288))</f>
        <v>19001</v>
      </c>
      <c r="AC288" s="33" t="n">
        <f aca="false">IF(O288&lt;&gt;"","",(4-VALUE(RIGHT(Q288,1)))*10^7+N(F288))</f>
        <v>10000287.5</v>
      </c>
      <c r="AD288" s="15" t="str">
        <f aca="false">IFERROR(INDEX('Route of Administration'!$C$5:$C$155,MATCH(B288,'Route of Administration'!$A$5:$A$155,0)),"")</f>
        <v>IV, IM</v>
      </c>
      <c r="AE288" s="14" t="str">
        <f aca="false">IFERROR(INDEX('Route of Administration'!$D$5:$D$155,MATCH(B288,'Route of Administration'!$A$5:$A$155,0)),"")</f>
        <v>Yes</v>
      </c>
      <c r="AF288" s="19" t="n">
        <f aca="false">IF(V288&gt;0,ROUND(AVERAGEIFS('Shortlisted Drugs X Company (7)'!$N$3:$N$698,'Shortlisted Drugs X Company (7)'!$C$3:$C$698,$B288,'Shortlisted Drugs X Company (7)'!$E$3:$E$698,$S288,'Shortlisted Drugs X Company (7)'!$N$3:$N$698,"&gt;=0"),2),"")</f>
        <v>15.8</v>
      </c>
      <c r="AG288" s="16" t="s">
        <v>1281</v>
      </c>
      <c r="AH288" s="16" t="s">
        <v>1282</v>
      </c>
      <c r="AI288" s="16" t="s">
        <v>1283</v>
      </c>
      <c r="AJ288" s="16" t="str">
        <f aca="false">IF(O288&lt;&gt;"","",IF(ISNUMBER(D288),IF(D288&gt;=$C$3,"High price","Lower price"),"Unpriced")&amp;" · "&amp;IF(M288&gt;=$E$3,"high volume","lower volume"))</f>
        <v>Lower price · lower volume</v>
      </c>
      <c r="AK288" s="15" t="str">
        <f aca="false">IF(O288&lt;&gt;"",IF(O288="Price ≤ $5","Excluded – price ≤ $5","Excluded – IV only"),IF(ISNUMBER(D288),IF(AND(D288&gt;=$C$3,L288&gt;=$H$3),"Priority 1",IF(OR(D288&gt;=$C$3,L288&gt;=$H$3),"Priority 2","Priority 3")),IF(L288&gt;=$H$3,"Priority 2","Priority 3")))</f>
        <v>Priority 3</v>
      </c>
      <c r="AL288" s="16" t="str">
        <f aca="false">IF(O288&lt;&gt;"","",IF(ISNUMBER(D288),IF(D288&gt;=$C$3,"High price","Lower price"),"Unpriced")&amp;" · "&amp;IF(L288&gt;=$H$3,"high volume","lower volume"))</f>
        <v>Lower price · lower volume</v>
      </c>
      <c r="AM288" s="14" t="n">
        <f aca="false">IF(O288&lt;&gt;"","",COUNTIFS($A$29:$A$361,A288,$O$29:$O$361,"",$AQ$29:$AQ$361,"&gt;"&amp;AQ288)+COUNTIFS($A$29:A288,A288,$O$29:O288,"",$AQ$29:AQ288,AQ288))</f>
        <v>1</v>
      </c>
      <c r="AN288" s="19" t="n">
        <f aca="false">IF(AND(O288="",ISNUMBER(D288)),D288,"")</f>
        <v>15.8</v>
      </c>
      <c r="AO288" s="20" t="n">
        <f aca="false">IF(O288="",M288,"")</f>
        <v>15</v>
      </c>
      <c r="AP288" s="20" t="n">
        <f aca="false">IF(O288="",L288,"")</f>
        <v>58</v>
      </c>
      <c r="AQ288" s="33" t="n">
        <f aca="false">IF(O288&lt;&gt;"","",(4-VALUE(RIGHT(AK288,1)))*10^7+N(N288))</f>
        <v>10001115.28</v>
      </c>
      <c r="AR288" s="33" t="n">
        <f aca="false">INDEX($O$7:$O$25,MATCH(A288,$I$7:$I$25,0))</f>
        <v>19</v>
      </c>
      <c r="AS288" s="33" t="n">
        <f aca="false">IF(AE288="No","",AR288*1000+IF(AM288="",900+COUNTIFS($A$29:A288,A288,$O$29:O288,"Price ≤ $5"),AM288))</f>
        <v>19001</v>
      </c>
    </row>
    <row r="289" customFormat="false" ht="28.35" hidden="false" customHeight="false" outlineLevel="0" collapsed="false">
      <c r="A289" s="15" t="s">
        <v>197</v>
      </c>
      <c r="B289" s="15" t="s">
        <v>525</v>
      </c>
      <c r="C289" s="16" t="s">
        <v>526</v>
      </c>
      <c r="D289" s="17" t="n">
        <f aca="false">IF(W289&gt;0,ROUND(AVERAGEIFS('Shortlisted Drugs X Company (7)'!$N$3:$N$698,'Shortlisted Drugs X Company (7)'!$C$3:$C$698,$B289,'Shortlisted Drugs X Company (7)'!$E$3:$E$698,$S289,'Shortlisted Drugs X Company (7)'!$N$3:$N$698,"&gt;5"),2),"")</f>
        <v>42.21</v>
      </c>
      <c r="E289" s="15" t="str">
        <f aca="false">IF(COUNTIFS('Shortlisted Drugs X Company (7)'!$C$3:$C$698,$B289,'Shortlisted Drugs X Company (7)'!$E$3:$E$698,$S289,'Shortlisted Drugs X Company (7)'!$P$3:$P$698,"Exact")&gt;0,"Exact",IF(COUNTIFS('Shortlisted Drugs X Company (7)'!$C$3:$C$698,$B289,'Shortlisted Drugs X Company (7)'!$E$3:$E$698,$S289,'Shortlisted Drugs X Company (7)'!$P$3:$P$698,"Same-market proxy")&gt;0,"Same-market proxy",IF(COUNTIFS('Shortlisted Drugs X Company (7)'!$C$3:$C$698,$B289,'Shortlisted Drugs X Company (7)'!$E$3:$E$698,$S289,'Shortlisted Drugs X Company (7)'!$P$3:$P$698,"Cross-market proxy")&gt;0,"Cross-market proxy",IF(COUNTIFS('Shortlisted Drugs X Company (7)'!$C$3:$C$698,$B289,'Shortlisted Drugs X Company (7)'!$E$3:$E$698,$S289,'Shortlisted Drugs X Company (7)'!$P$3:$P$698,"Source not found")&gt;0,"Source not found","Not priced"))))</f>
        <v>Cross-market proxy</v>
      </c>
      <c r="F289" s="18" t="n">
        <f aca="false">IFERROR(ROUND(INDEX('Injectable Value'!$AA$28:$AA$178,MATCH(B289,'Injectable Value'!$A$28:$A$178,0)),1),"")</f>
        <v>71.4</v>
      </c>
      <c r="G289" s="16" t="s">
        <v>331</v>
      </c>
      <c r="H289" s="14" t="n">
        <v>1</v>
      </c>
      <c r="I289" s="15" t="s">
        <v>277</v>
      </c>
      <c r="J289" s="15" t="s">
        <v>277</v>
      </c>
      <c r="K289" s="16" t="str">
        <f aca="false">""&amp;IF(V289=0,"Unpriced","")&amp;IF(AND(V289&gt;0,W289=0,X289=0),"Low price from another market – confirm with company","")</f>
        <v/>
      </c>
      <c r="L289" s="18" t="n">
        <f aca="false">IFERROR(INDEX('Shortlisted Drugs X Company (7)'!$K$3:$K$698,MATCH(B289,'Shortlisted Drugs X Company (7)'!$C$3:$C$698,0)),"")</f>
        <v>2</v>
      </c>
      <c r="M289" s="18" t="n">
        <f aca="false">IFERROR(ROUND(L289*INDEX('Injectable Value'!$Z$28:$Z$178,MATCH(B289,'Injectable Value'!$A$28:$A$178,0)),0),"")</f>
        <v>2</v>
      </c>
      <c r="N289" s="18" t="n">
        <f aca="false">IFERROR(INDEX('Shortlisted Drugs X Company (7)'!$L$3:$L$698,MATCH(B289,'Shortlisted Drugs X Company (7)'!$C$3:$C$698,0)),"")</f>
        <v>71.73</v>
      </c>
      <c r="O289" s="15" t="str">
        <f aca="false">IF(AE289="No","IV only (not ID/IM/SC)",IF(AND(V289&gt;0,W289=0),"Price ≤ $5",""))</f>
        <v>IV only (not ID/IM/SC)</v>
      </c>
      <c r="P289" s="14" t="str">
        <f aca="false">IF(O289&lt;&gt;"","",COUNTIFS($A$29:$A$361,A289,$O$29:$O$361,"",$AC$29:$AC$361,"&gt;"&amp;AC289)+COUNTIFS($A$29:A289,A289,$O$29:O289,"",$AC$29:AC289,AC289))</f>
        <v/>
      </c>
      <c r="Q289" s="15" t="str">
        <f aca="false">IF(O289&lt;&gt;"",IF(O289="Price ≤ $5","Excluded – price ≤ $5","Excluded – IV only"),IF(ISNUMBER(D289),IF(AND(D289&gt;=$C$3,M289&gt;=$E$3),"Priority 1",IF(OR(D289&gt;=$C$3,M289&gt;=$E$3),"Priority 2","Priority 3")),IF(M289&gt;=$E$3,"Priority 2","Priority 3")))</f>
        <v>Excluded – IV only</v>
      </c>
      <c r="R289" s="16" t="s">
        <v>278</v>
      </c>
      <c r="S289" s="15" t="s">
        <v>1260</v>
      </c>
      <c r="T289" s="32" t="s">
        <v>528</v>
      </c>
      <c r="U289" s="33" t="str">
        <f aca="false">B289&amp;"|"&amp;S289</f>
        <v>Remifentanil|Piramal Pharma</v>
      </c>
      <c r="V289" s="34" t="n">
        <f aca="false">COUNTIFS('Shortlisted Drugs X Company (7)'!$C$3:$C$698,$B289,'Shortlisted Drugs X Company (7)'!$E$3:$E$698,$S289,'Shortlisted Drugs X Company (7)'!$N$3:$N$698,"&gt;=0")</f>
        <v>1</v>
      </c>
      <c r="W289" s="34" t="n">
        <f aca="false">COUNTIFS('Shortlisted Drugs X Company (7)'!$C$3:$C$698,$B289,'Shortlisted Drugs X Company (7)'!$E$3:$E$698,$S289,'Shortlisted Drugs X Company (7)'!$N$3:$N$698,"&gt;5")</f>
        <v>1</v>
      </c>
      <c r="X289" s="34" t="n">
        <f aca="false">COUNTIFS('Shortlisted Drugs X Company (7)'!$C$3:$C$698,$B289,'Shortlisted Drugs X Company (7)'!$E$3:$E$698,$S289,'Shortlisted Drugs X Company (7)'!$P$3:$P$698,"Exact")+COUNTIFS('Shortlisted Drugs X Company (7)'!$C$3:$C$698,$B289,'Shortlisted Drugs X Company (7)'!$E$3:$E$698,$S289,'Shortlisted Drugs X Company (7)'!$P$3:$P$698,"Same-market proxy")</f>
        <v>0</v>
      </c>
      <c r="Y289" s="33" t="str">
        <f aca="false">A289&amp;"|"&amp;P289</f>
        <v>Piramal|</v>
      </c>
      <c r="Z289" s="16" t="s">
        <v>1284</v>
      </c>
      <c r="AA289" s="33" t="n">
        <f aca="false">INDEX($G$7:$G$25,MATCH(A289,$A$7:$A$25,0))</f>
        <v>19</v>
      </c>
      <c r="AB289" s="33" t="str">
        <f aca="false">IF(AE289="No","",AA289*1000+IF(P289="",900+COUNTIFS($A$29:A289,A289,$O$29:O289,"Price ≤ $5"),P289))</f>
        <v/>
      </c>
      <c r="AC289" s="33" t="str">
        <f aca="false">IF(O289&lt;&gt;"","",(4-VALUE(RIGHT(Q289,1)))*10^7+N(F289))</f>
        <v/>
      </c>
      <c r="AD289" s="15" t="str">
        <f aca="false">IFERROR(INDEX('Route of Administration'!$C$5:$C$155,MATCH(B289,'Route of Administration'!$A$5:$A$155,0)),"")</f>
        <v>IV</v>
      </c>
      <c r="AE289" s="14" t="str">
        <f aca="false">IFERROR(INDEX('Route of Administration'!$D$5:$D$155,MATCH(B289,'Route of Administration'!$A$5:$A$155,0)),"")</f>
        <v>No</v>
      </c>
      <c r="AF289" s="19" t="n">
        <f aca="false">IF(V289&gt;0,ROUND(AVERAGEIFS('Shortlisted Drugs X Company (7)'!$N$3:$N$698,'Shortlisted Drugs X Company (7)'!$C$3:$C$698,$B289,'Shortlisted Drugs X Company (7)'!$E$3:$E$698,$S289,'Shortlisted Drugs X Company (7)'!$N$3:$N$698,"&gt;=0"),2),"")</f>
        <v>42.21</v>
      </c>
      <c r="AG289" s="16" t="s">
        <v>1285</v>
      </c>
      <c r="AH289" s="16" t="s">
        <v>335</v>
      </c>
      <c r="AI289" s="16" t="s">
        <v>335</v>
      </c>
      <c r="AJ289" s="16" t="str">
        <f aca="false">IF(O289&lt;&gt;"","",IF(ISNUMBER(D289),IF(D289&gt;=$C$3,"High price","Lower price"),"Unpriced")&amp;" · "&amp;IF(M289&gt;=$E$3,"high volume","lower volume"))</f>
        <v/>
      </c>
      <c r="AK289" s="15" t="str">
        <f aca="false">IF(O289&lt;&gt;"",IF(O289="Price ≤ $5","Excluded – price ≤ $5","Excluded – IV only"),IF(ISNUMBER(D289),IF(AND(D289&gt;=$C$3,L289&gt;=$H$3),"Priority 1",IF(OR(D289&gt;=$C$3,L289&gt;=$H$3),"Priority 2","Priority 3")),IF(L289&gt;=$H$3,"Priority 2","Priority 3")))</f>
        <v>Excluded – IV only</v>
      </c>
      <c r="AL289" s="16" t="str">
        <f aca="false">IF(O289&lt;&gt;"","",IF(ISNUMBER(D289),IF(D289&gt;=$C$3,"High price","Lower price"),"Unpriced")&amp;" · "&amp;IF(L289&gt;=$H$3,"high volume","lower volume"))</f>
        <v/>
      </c>
      <c r="AM289" s="14" t="str">
        <f aca="false">IF(O289&lt;&gt;"","",COUNTIFS($A$29:$A$361,A289,$O$29:$O$361,"",$AQ$29:$AQ$361,"&gt;"&amp;AQ289)+COUNTIFS($A$29:A289,A289,$O$29:O289,"",$AQ$29:AQ289,AQ289))</f>
        <v/>
      </c>
      <c r="AN289" s="33" t="str">
        <f aca="false">IF(AND(O289="",ISNUMBER(D289)),D289,"")</f>
        <v/>
      </c>
      <c r="AO289" s="33" t="str">
        <f aca="false">IF(O289="",M289,"")</f>
        <v/>
      </c>
      <c r="AP289" s="33" t="str">
        <f aca="false">IF(O289="",L289,"")</f>
        <v/>
      </c>
      <c r="AQ289" s="33" t="str">
        <f aca="false">IF(O289&lt;&gt;"","",(4-VALUE(RIGHT(AK289,1)))*10^7+N(N289))</f>
        <v/>
      </c>
      <c r="AR289" s="33" t="n">
        <f aca="false">INDEX($O$7:$O$25,MATCH(A289,$I$7:$I$25,0))</f>
        <v>19</v>
      </c>
      <c r="AS289" s="33" t="str">
        <f aca="false">IF(AE289="No","",AR289*1000+IF(AM289="",900+COUNTIFS($A$29:A289,A289,$O$29:O289,"Price ≤ $5"),AM289))</f>
        <v/>
      </c>
    </row>
    <row r="290" customFormat="false" ht="82.05" hidden="false" customHeight="false" outlineLevel="0" collapsed="false">
      <c r="A290" s="15" t="s">
        <v>197</v>
      </c>
      <c r="B290" s="15" t="s">
        <v>635</v>
      </c>
      <c r="C290" s="16" t="s">
        <v>636</v>
      </c>
      <c r="D290" s="17" t="n">
        <f aca="false">IF(W290&gt;0,ROUND(AVERAGEIFS('Shortlisted Drugs X Company (7)'!$N$3:$N$698,'Shortlisted Drugs X Company (7)'!$C$3:$C$698,$B290,'Shortlisted Drugs X Company (7)'!$E$3:$E$698,$S290,'Shortlisted Drugs X Company (7)'!$N$3:$N$698,"&gt;5"),2),"")</f>
        <v>79.53</v>
      </c>
      <c r="E290" s="15" t="str">
        <f aca="false">IF(COUNTIFS('Shortlisted Drugs X Company (7)'!$C$3:$C$698,$B290,'Shortlisted Drugs X Company (7)'!$E$3:$E$698,$S290,'Shortlisted Drugs X Company (7)'!$P$3:$P$698,"Exact")&gt;0,"Exact",IF(COUNTIFS('Shortlisted Drugs X Company (7)'!$C$3:$C$698,$B290,'Shortlisted Drugs X Company (7)'!$E$3:$E$698,$S290,'Shortlisted Drugs X Company (7)'!$P$3:$P$698,"Same-market proxy")&gt;0,"Same-market proxy",IF(COUNTIFS('Shortlisted Drugs X Company (7)'!$C$3:$C$698,$B290,'Shortlisted Drugs X Company (7)'!$E$3:$E$698,$S290,'Shortlisted Drugs X Company (7)'!$P$3:$P$698,"Cross-market proxy")&gt;0,"Cross-market proxy",IF(COUNTIFS('Shortlisted Drugs X Company (7)'!$C$3:$C$698,$B290,'Shortlisted Drugs X Company (7)'!$E$3:$E$698,$S290,'Shortlisted Drugs X Company (7)'!$P$3:$P$698,"Source not found")&gt;0,"Source not found","Not priced"))))</f>
        <v>Same-market proxy</v>
      </c>
      <c r="F290" s="18" t="n">
        <f aca="false">IFERROR(ROUND(INDEX('Injectable Value'!$AA$28:$AA$178,MATCH(B290,'Injectable Value'!$A$28:$A$178,0)),1),"")</f>
        <v>32830.2</v>
      </c>
      <c r="G290" s="16" t="s">
        <v>298</v>
      </c>
      <c r="H290" s="14" t="n">
        <v>32</v>
      </c>
      <c r="I290" s="15" t="s">
        <v>248</v>
      </c>
      <c r="J290" s="15" t="s">
        <v>249</v>
      </c>
      <c r="K290" s="16" t="str">
        <f aca="false">""&amp;IF(V290=0,"Unpriced","")&amp;IF(AND(V290&gt;0,W290=0,X290=0),"Low price from another market – confirm with company","")</f>
        <v/>
      </c>
      <c r="L290" s="18" t="n">
        <f aca="false">IFERROR(INDEX('Shortlisted Drugs X Company (7)'!$K$3:$K$698,MATCH(B290,'Shortlisted Drugs X Company (7)'!$C$3:$C$698,0)),"")</f>
        <v>346</v>
      </c>
      <c r="M290" s="18" t="n">
        <f aca="false">IFERROR(ROUND(L290*INDEX('Injectable Value'!$Z$28:$Z$178,MATCH(B290,'Injectable Value'!$A$28:$A$178,0)),0),"")</f>
        <v>346</v>
      </c>
      <c r="N290" s="18" t="n">
        <f aca="false">IFERROR(INDEX('Shortlisted Drugs X Company (7)'!$L$3:$L$698,MATCH(B290,'Shortlisted Drugs X Company (7)'!$C$3:$C$698,0)),"")</f>
        <v>32830.17</v>
      </c>
      <c r="O290" s="15" t="str">
        <f aca="false">IF(AE290="No","IV only (not ID/IM/SC)",IF(AND(V290&gt;0,W290=0),"Price ≤ $5",""))</f>
        <v>IV only (not ID/IM/SC)</v>
      </c>
      <c r="P290" s="14" t="str">
        <f aca="false">IF(O290&lt;&gt;"","",COUNTIFS($A$29:$A$361,A290,$O$29:$O$361,"",$AC$29:$AC$361,"&gt;"&amp;AC290)+COUNTIFS($A$29:A290,A290,$O$29:O290,"",$AC$29:AC290,AC290))</f>
        <v/>
      </c>
      <c r="Q290" s="15" t="str">
        <f aca="false">IF(O290&lt;&gt;"",IF(O290="Price ≤ $5","Excluded – price ≤ $5","Excluded – IV only"),IF(ISNUMBER(D290),IF(AND(D290&gt;=$C$3,M290&gt;=$E$3),"Priority 1",IF(OR(D290&gt;=$C$3,M290&gt;=$E$3),"Priority 2","Priority 3")),IF(M290&gt;=$E$3,"Priority 2","Priority 3")))</f>
        <v>Excluded – IV only</v>
      </c>
      <c r="R290" s="16" t="s">
        <v>250</v>
      </c>
      <c r="S290" s="15" t="s">
        <v>1260</v>
      </c>
      <c r="T290" s="32" t="s">
        <v>637</v>
      </c>
      <c r="U290" s="33" t="str">
        <f aca="false">B290&amp;"|"&amp;S290</f>
        <v>Sugammadex|Piramal Pharma</v>
      </c>
      <c r="V290" s="34" t="n">
        <f aca="false">COUNTIFS('Shortlisted Drugs X Company (7)'!$C$3:$C$698,$B290,'Shortlisted Drugs X Company (7)'!$E$3:$E$698,$S290,'Shortlisted Drugs X Company (7)'!$N$3:$N$698,"&gt;=0")</f>
        <v>2</v>
      </c>
      <c r="W290" s="34" t="n">
        <f aca="false">COUNTIFS('Shortlisted Drugs X Company (7)'!$C$3:$C$698,$B290,'Shortlisted Drugs X Company (7)'!$E$3:$E$698,$S290,'Shortlisted Drugs X Company (7)'!$N$3:$N$698,"&gt;5")</f>
        <v>2</v>
      </c>
      <c r="X290" s="34" t="n">
        <f aca="false">COUNTIFS('Shortlisted Drugs X Company (7)'!$C$3:$C$698,$B290,'Shortlisted Drugs X Company (7)'!$E$3:$E$698,$S290,'Shortlisted Drugs X Company (7)'!$P$3:$P$698,"Exact")+COUNTIFS('Shortlisted Drugs X Company (7)'!$C$3:$C$698,$B290,'Shortlisted Drugs X Company (7)'!$E$3:$E$698,$S290,'Shortlisted Drugs X Company (7)'!$P$3:$P$698,"Same-market proxy")</f>
        <v>2</v>
      </c>
      <c r="Y290" s="33" t="str">
        <f aca="false">A290&amp;"|"&amp;P290</f>
        <v>Piramal|</v>
      </c>
      <c r="Z290" s="16" t="s">
        <v>813</v>
      </c>
      <c r="AA290" s="33" t="n">
        <f aca="false">INDEX($G$7:$G$25,MATCH(A290,$A$7:$A$25,0))</f>
        <v>19</v>
      </c>
      <c r="AB290" s="33" t="str">
        <f aca="false">IF(AE290="No","",AA290*1000+IF(P290="",900+COUNTIFS($A$29:A290,A290,$O$29:O290,"Price ≤ $5"),P290))</f>
        <v/>
      </c>
      <c r="AC290" s="33" t="str">
        <f aca="false">IF(O290&lt;&gt;"","",(4-VALUE(RIGHT(Q290,1)))*10^7+N(F290))</f>
        <v/>
      </c>
      <c r="AD290" s="15" t="str">
        <f aca="false">IFERROR(INDEX('Route of Administration'!$C$5:$C$155,MATCH(B290,'Route of Administration'!$A$5:$A$155,0)),"")</f>
        <v>IV</v>
      </c>
      <c r="AE290" s="14" t="str">
        <f aca="false">IFERROR(INDEX('Route of Administration'!$D$5:$D$155,MATCH(B290,'Route of Administration'!$A$5:$A$155,0)),"")</f>
        <v>No</v>
      </c>
      <c r="AF290" s="19" t="n">
        <f aca="false">IF(V290&gt;0,ROUND(AVERAGEIFS('Shortlisted Drugs X Company (7)'!$N$3:$N$698,'Shortlisted Drugs X Company (7)'!$C$3:$C$698,$B290,'Shortlisted Drugs X Company (7)'!$E$3:$E$698,$S290,'Shortlisted Drugs X Company (7)'!$N$3:$N$698,"&gt;=0"),2),"")</f>
        <v>79.53</v>
      </c>
      <c r="AG290" s="16" t="s">
        <v>1286</v>
      </c>
      <c r="AH290" s="16" t="s">
        <v>1140</v>
      </c>
      <c r="AI290" s="16" t="s">
        <v>1141</v>
      </c>
      <c r="AJ290" s="16" t="str">
        <f aca="false">IF(O290&lt;&gt;"","",IF(ISNUMBER(D290),IF(D290&gt;=$C$3,"High price","Lower price"),"Unpriced")&amp;" · "&amp;IF(M290&gt;=$E$3,"high volume","lower volume"))</f>
        <v/>
      </c>
      <c r="AK290" s="15" t="str">
        <f aca="false">IF(O290&lt;&gt;"",IF(O290="Price ≤ $5","Excluded – price ≤ $5","Excluded – IV only"),IF(ISNUMBER(D290),IF(AND(D290&gt;=$C$3,L290&gt;=$H$3),"Priority 1",IF(OR(D290&gt;=$C$3,L290&gt;=$H$3),"Priority 2","Priority 3")),IF(L290&gt;=$H$3,"Priority 2","Priority 3")))</f>
        <v>Excluded – IV only</v>
      </c>
      <c r="AL290" s="16" t="str">
        <f aca="false">IF(O290&lt;&gt;"","",IF(ISNUMBER(D290),IF(D290&gt;=$C$3,"High price","Lower price"),"Unpriced")&amp;" · "&amp;IF(L290&gt;=$H$3,"high volume","lower volume"))</f>
        <v/>
      </c>
      <c r="AM290" s="14" t="str">
        <f aca="false">IF(O290&lt;&gt;"","",COUNTIFS($A$29:$A$361,A290,$O$29:$O$361,"",$AQ$29:$AQ$361,"&gt;"&amp;AQ290)+COUNTIFS($A$29:A290,A290,$O$29:O290,"",$AQ$29:AQ290,AQ290))</f>
        <v/>
      </c>
      <c r="AN290" s="33" t="str">
        <f aca="false">IF(AND(O290="",ISNUMBER(D290)),D290,"")</f>
        <v/>
      </c>
      <c r="AO290" s="33" t="str">
        <f aca="false">IF(O290="",M290,"")</f>
        <v/>
      </c>
      <c r="AP290" s="33" t="str">
        <f aca="false">IF(O290="",L290,"")</f>
        <v/>
      </c>
      <c r="AQ290" s="33" t="str">
        <f aca="false">IF(O290&lt;&gt;"","",(4-VALUE(RIGHT(AK290,1)))*10^7+N(N290))</f>
        <v/>
      </c>
      <c r="AR290" s="33" t="n">
        <f aca="false">INDEX($O$7:$O$25,MATCH(A290,$I$7:$I$25,0))</f>
        <v>19</v>
      </c>
      <c r="AS290" s="33" t="str">
        <f aca="false">IF(AE290="No","",AR290*1000+IF(AM290="",900+COUNTIFS($A$29:A290,A290,$O$29:O290,"Price ≤ $5"),AM290))</f>
        <v/>
      </c>
    </row>
    <row r="291" customFormat="false" ht="41.75" hidden="false" customHeight="false" outlineLevel="0" collapsed="false">
      <c r="A291" s="15" t="s">
        <v>198</v>
      </c>
      <c r="B291" s="15" t="s">
        <v>322</v>
      </c>
      <c r="C291" s="16" t="s">
        <v>323</v>
      </c>
      <c r="D291" s="17" t="n">
        <f aca="false">IF(W291&gt;0,ROUND(AVERAGEIFS('Shortlisted Drugs X Company (7)'!$N$3:$N$698,'Shortlisted Drugs X Company (7)'!$C$3:$C$698,$B291,'Shortlisted Drugs X Company (7)'!$E$3:$E$698,$S291,'Shortlisted Drugs X Company (7)'!$N$3:$N$698,"&gt;5"),2),"")</f>
        <v>13.03</v>
      </c>
      <c r="E291" s="15" t="str">
        <f aca="false">IF(COUNTIFS('Shortlisted Drugs X Company (7)'!$C$3:$C$698,$B291,'Shortlisted Drugs X Company (7)'!$E$3:$E$698,$S291,'Shortlisted Drugs X Company (7)'!$P$3:$P$698,"Exact")&gt;0,"Exact",IF(COUNTIFS('Shortlisted Drugs X Company (7)'!$C$3:$C$698,$B291,'Shortlisted Drugs X Company (7)'!$E$3:$E$698,$S291,'Shortlisted Drugs X Company (7)'!$P$3:$P$698,"Same-market proxy")&gt;0,"Same-market proxy",IF(COUNTIFS('Shortlisted Drugs X Company (7)'!$C$3:$C$698,$B291,'Shortlisted Drugs X Company (7)'!$E$3:$E$698,$S291,'Shortlisted Drugs X Company (7)'!$P$3:$P$698,"Cross-market proxy")&gt;0,"Cross-market proxy",IF(COUNTIFS('Shortlisted Drugs X Company (7)'!$C$3:$C$698,$B291,'Shortlisted Drugs X Company (7)'!$E$3:$E$698,$S291,'Shortlisted Drugs X Company (7)'!$P$3:$P$698,"Source not found")&gt;0,"Source not found","Not priced"))))</f>
        <v>Same-market proxy</v>
      </c>
      <c r="F291" s="18" t="n">
        <f aca="false">IFERROR(ROUND(INDEX('Injectable Value'!$AA$28:$AA$178,MATCH(B291,'Injectable Value'!$A$28:$A$178,0)),1),"")</f>
        <v>6294.9</v>
      </c>
      <c r="G291" s="16" t="s">
        <v>70</v>
      </c>
      <c r="H291" s="14" t="n">
        <v>1</v>
      </c>
      <c r="I291" s="15" t="s">
        <v>248</v>
      </c>
      <c r="J291" s="15" t="s">
        <v>299</v>
      </c>
      <c r="K291" s="16" t="str">
        <f aca="false">"Reconstitution"&amp;IF(V291=0,"; Unpriced","")&amp;IF(AND(V291&gt;0,W291=0,X291=0),"; Low price from another market – confirm with company","")</f>
        <v>Reconstitution</v>
      </c>
      <c r="L291" s="18" t="n">
        <f aca="false">IFERROR(INDEX('Shortlisted Drugs X Company (7)'!$K$3:$K$698,MATCH(B291,'Shortlisted Drugs X Company (7)'!$C$3:$C$698,0)),"")</f>
        <v>290</v>
      </c>
      <c r="M291" s="18" t="n">
        <f aca="false">IFERROR(ROUND(L291*INDEX('Injectable Value'!$Z$28:$Z$178,MATCH(B291,'Injectable Value'!$A$28:$A$178,0)),0),"")</f>
        <v>288</v>
      </c>
      <c r="N291" s="18" t="n">
        <f aca="false">IFERROR(INDEX('Shortlisted Drugs X Company (7)'!$L$3:$L$698,MATCH(B291,'Shortlisted Drugs X Company (7)'!$C$3:$C$698,0)),"")</f>
        <v>6348.25</v>
      </c>
      <c r="O291" s="15" t="str">
        <f aca="false">IF(AE291="No","IV only (not ID/IM/SC)",IF(AND(V291&gt;0,W291=0),"Price ≤ $5",""))</f>
        <v/>
      </c>
      <c r="P291" s="14" t="n">
        <f aca="false">IF(O291&lt;&gt;"","",COUNTIFS($A$29:$A$361,A291,$O$29:$O$361,"",$AC$29:$AC$361,"&gt;"&amp;AC291)+COUNTIFS($A$29:A291,A291,$O$29:O291,"",$AC$29:AC291,AC291))</f>
        <v>1</v>
      </c>
      <c r="Q291" s="15" t="str">
        <f aca="false">IF(O291&lt;&gt;"",IF(O291="Price ≤ $5","Excluded – price ≤ $5","Excluded – IV only"),IF(ISNUMBER(D291),IF(AND(D291&gt;=$C$3,M291&gt;=$E$3),"Priority 1",IF(OR(D291&gt;=$C$3,M291&gt;=$E$3),"Priority 2","Priority 3")),IF(M291&gt;=$E$3,"Priority 2","Priority 3")))</f>
        <v>Priority 2</v>
      </c>
      <c r="R291" s="16" t="s">
        <v>250</v>
      </c>
      <c r="S291" s="15" t="s">
        <v>1287</v>
      </c>
      <c r="T291" s="32" t="s">
        <v>325</v>
      </c>
      <c r="U291" s="33" t="str">
        <f aca="false">B291&amp;"|"&amp;S291</f>
        <v>Cefepime|Strides Pharma Science</v>
      </c>
      <c r="V291" s="34" t="n">
        <f aca="false">COUNTIFS('Shortlisted Drugs X Company (7)'!$C$3:$C$698,$B291,'Shortlisted Drugs X Company (7)'!$E$3:$E$698,$S291,'Shortlisted Drugs X Company (7)'!$N$3:$N$698,"&gt;=0")</f>
        <v>2</v>
      </c>
      <c r="W291" s="34" t="n">
        <f aca="false">COUNTIFS('Shortlisted Drugs X Company (7)'!$C$3:$C$698,$B291,'Shortlisted Drugs X Company (7)'!$E$3:$E$698,$S291,'Shortlisted Drugs X Company (7)'!$N$3:$N$698,"&gt;5")</f>
        <v>2</v>
      </c>
      <c r="X291" s="34" t="n">
        <f aca="false">COUNTIFS('Shortlisted Drugs X Company (7)'!$C$3:$C$698,$B291,'Shortlisted Drugs X Company (7)'!$E$3:$E$698,$S291,'Shortlisted Drugs X Company (7)'!$P$3:$P$698,"Exact")+COUNTIFS('Shortlisted Drugs X Company (7)'!$C$3:$C$698,$B291,'Shortlisted Drugs X Company (7)'!$E$3:$E$698,$S291,'Shortlisted Drugs X Company (7)'!$P$3:$P$698,"Same-market proxy")</f>
        <v>2</v>
      </c>
      <c r="Y291" s="33" t="str">
        <f aca="false">A291&amp;"|"&amp;P291</f>
        <v>Strides|1</v>
      </c>
      <c r="Z291" s="16" t="s">
        <v>478</v>
      </c>
      <c r="AA291" s="33" t="n">
        <f aca="false">INDEX($G$7:$G$25,MATCH(A291,$A$7:$A$25,0))</f>
        <v>17</v>
      </c>
      <c r="AB291" s="33" t="n">
        <f aca="false">IF(AE291="No","",AA291*1000+IF(P291="",900+COUNTIFS($A$29:A291,A291,$O$29:O291,"Price ≤ $5"),P291))</f>
        <v>17001</v>
      </c>
      <c r="AC291" s="33" t="n">
        <f aca="false">IF(O291&lt;&gt;"","",(4-VALUE(RIGHT(Q291,1)))*10^7+N(F291))</f>
        <v>20006294.9</v>
      </c>
      <c r="AD291" s="15" t="str">
        <f aca="false">IFERROR(INDEX('Route of Administration'!$C$5:$C$155,MATCH(B291,'Route of Administration'!$A$5:$A$155,0)),"")</f>
        <v>IV, IM</v>
      </c>
      <c r="AE291" s="14" t="str">
        <f aca="false">IFERROR(INDEX('Route of Administration'!$D$5:$D$155,MATCH(B291,'Route of Administration'!$A$5:$A$155,0)),"")</f>
        <v>Yes</v>
      </c>
      <c r="AF291" s="19" t="n">
        <f aca="false">IF(V291&gt;0,ROUND(AVERAGEIFS('Shortlisted Drugs X Company (7)'!$N$3:$N$698,'Shortlisted Drugs X Company (7)'!$C$3:$C$698,$B291,'Shortlisted Drugs X Company (7)'!$E$3:$E$698,$S291,'Shortlisted Drugs X Company (7)'!$N$3:$N$698,"&gt;=0"),2),"")</f>
        <v>13.03</v>
      </c>
      <c r="AG291" s="16" t="s">
        <v>1288</v>
      </c>
      <c r="AH291" s="16" t="s">
        <v>583</v>
      </c>
      <c r="AI291" s="16" t="s">
        <v>583</v>
      </c>
      <c r="AJ291" s="16" t="str">
        <f aca="false">IF(O291&lt;&gt;"","",IF(ISNUMBER(D291),IF(D291&gt;=$C$3,"High price","Lower price"),"Unpriced")&amp;" · "&amp;IF(M291&gt;=$E$3,"high volume","lower volume"))</f>
        <v>Lower price · high volume</v>
      </c>
      <c r="AK291" s="15" t="str">
        <f aca="false">IF(O291&lt;&gt;"",IF(O291="Price ≤ $5","Excluded – price ≤ $5","Excluded – IV only"),IF(ISNUMBER(D291),IF(AND(D291&gt;=$C$3,L291&gt;=$H$3),"Priority 1",IF(OR(D291&gt;=$C$3,L291&gt;=$H$3),"Priority 2","Priority 3")),IF(L291&gt;=$H$3,"Priority 2","Priority 3")))</f>
        <v>Priority 2</v>
      </c>
      <c r="AL291" s="16" t="str">
        <f aca="false">IF(O291&lt;&gt;"","",IF(ISNUMBER(D291),IF(D291&gt;=$C$3,"High price","Lower price"),"Unpriced")&amp;" · "&amp;IF(L291&gt;=$H$3,"high volume","lower volume"))</f>
        <v>Lower price · high volume</v>
      </c>
      <c r="AM291" s="14" t="n">
        <f aca="false">IF(O291&lt;&gt;"","",COUNTIFS($A$29:$A$361,A291,$O$29:$O$361,"",$AQ$29:$AQ$361,"&gt;"&amp;AQ291)+COUNTIFS($A$29:A291,A291,$O$29:O291,"",$AQ$29:AQ291,AQ291))</f>
        <v>2</v>
      </c>
      <c r="AN291" s="19" t="n">
        <f aca="false">IF(AND(O291="",ISNUMBER(D291)),D291,"")</f>
        <v>13.03</v>
      </c>
      <c r="AO291" s="20" t="n">
        <f aca="false">IF(O291="",M291,"")</f>
        <v>288</v>
      </c>
      <c r="AP291" s="20" t="n">
        <f aca="false">IF(O291="",L291,"")</f>
        <v>290</v>
      </c>
      <c r="AQ291" s="33" t="n">
        <f aca="false">IF(O291&lt;&gt;"","",(4-VALUE(RIGHT(AK291,1)))*10^7+N(N291))</f>
        <v>20006348.25</v>
      </c>
      <c r="AR291" s="33" t="n">
        <f aca="false">INDEX($O$7:$O$25,MATCH(A291,$I$7:$I$25,0))</f>
        <v>14</v>
      </c>
      <c r="AS291" s="33" t="n">
        <f aca="false">IF(AE291="No","",AR291*1000+IF(AM291="",900+COUNTIFS($A$29:A291,A291,$O$29:O291,"Price ≤ $5"),AM291))</f>
        <v>14002</v>
      </c>
    </row>
    <row r="292" customFormat="false" ht="41.75" hidden="false" customHeight="false" outlineLevel="0" collapsed="false">
      <c r="A292" s="15" t="s">
        <v>198</v>
      </c>
      <c r="B292" s="15" t="s">
        <v>329</v>
      </c>
      <c r="C292" s="16" t="s">
        <v>330</v>
      </c>
      <c r="D292" s="17" t="n">
        <f aca="false">IF(W292&gt;0,ROUND(AVERAGEIFS('Shortlisted Drugs X Company (7)'!$N$3:$N$698,'Shortlisted Drugs X Company (7)'!$C$3:$C$698,$B292,'Shortlisted Drugs X Company (7)'!$E$3:$E$698,$S292,'Shortlisted Drugs X Company (7)'!$N$3:$N$698,"&gt;5"),2),"")</f>
        <v>23.05</v>
      </c>
      <c r="E292" s="15" t="str">
        <f aca="false">IF(COUNTIFS('Shortlisted Drugs X Company (7)'!$C$3:$C$698,$B292,'Shortlisted Drugs X Company (7)'!$E$3:$E$698,$S292,'Shortlisted Drugs X Company (7)'!$P$3:$P$698,"Exact")&gt;0,"Exact",IF(COUNTIFS('Shortlisted Drugs X Company (7)'!$C$3:$C$698,$B292,'Shortlisted Drugs X Company (7)'!$E$3:$E$698,$S292,'Shortlisted Drugs X Company (7)'!$P$3:$P$698,"Same-market proxy")&gt;0,"Same-market proxy",IF(COUNTIFS('Shortlisted Drugs X Company (7)'!$C$3:$C$698,$B292,'Shortlisted Drugs X Company (7)'!$E$3:$E$698,$S292,'Shortlisted Drugs X Company (7)'!$P$3:$P$698,"Cross-market proxy")&gt;0,"Cross-market proxy",IF(COUNTIFS('Shortlisted Drugs X Company (7)'!$C$3:$C$698,$B292,'Shortlisted Drugs X Company (7)'!$E$3:$E$698,$S292,'Shortlisted Drugs X Company (7)'!$P$3:$P$698,"Source not found")&gt;0,"Source not found","Not priced"))))</f>
        <v>Same-market proxy</v>
      </c>
      <c r="F292" s="18" t="n">
        <f aca="false">IFERROR(ROUND(INDEX('Injectable Value'!$AA$28:$AA$178,MATCH(B292,'Injectable Value'!$A$28:$A$178,0)),1),"")</f>
        <v>5713.6</v>
      </c>
      <c r="G292" s="16" t="s">
        <v>70</v>
      </c>
      <c r="H292" s="14" t="n">
        <v>1</v>
      </c>
      <c r="I292" s="15" t="s">
        <v>248</v>
      </c>
      <c r="J292" s="15" t="s">
        <v>299</v>
      </c>
      <c r="K292" s="16" t="str">
        <f aca="false">"Reconstitution"&amp;IF(V292=0,"; Unpriced","")&amp;IF(AND(V292&gt;0,W292=0,X292=0),"; Low price from another market – confirm with company","")</f>
        <v>Reconstitution</v>
      </c>
      <c r="L292" s="18" t="n">
        <f aca="false">IFERROR(INDEX('Shortlisted Drugs X Company (7)'!$K$3:$K$698,MATCH(B292,'Shortlisted Drugs X Company (7)'!$C$3:$C$698,0)),"")</f>
        <v>335</v>
      </c>
      <c r="M292" s="18" t="n">
        <f aca="false">IFERROR(ROUND(L292*INDEX('Injectable Value'!$Z$28:$Z$178,MATCH(B292,'Injectable Value'!$A$28:$A$178,0)),0),"")</f>
        <v>335</v>
      </c>
      <c r="N292" s="18" t="n">
        <f aca="false">IFERROR(INDEX('Shortlisted Drugs X Company (7)'!$L$3:$L$698,MATCH(B292,'Shortlisted Drugs X Company (7)'!$C$3:$C$698,0)),"")</f>
        <v>5713.56</v>
      </c>
      <c r="O292" s="15" t="str">
        <f aca="false">IF(AE292="No","IV only (not ID/IM/SC)",IF(AND(V292&gt;0,W292=0),"Price ≤ $5",""))</f>
        <v/>
      </c>
      <c r="P292" s="14" t="n">
        <f aca="false">IF(O292&lt;&gt;"","",COUNTIFS($A$29:$A$361,A292,$O$29:$O$361,"",$AC$29:$AC$361,"&gt;"&amp;AC292)+COUNTIFS($A$29:A292,A292,$O$29:O292,"",$AC$29:AC292,AC292))</f>
        <v>2</v>
      </c>
      <c r="Q292" s="15" t="str">
        <f aca="false">IF(O292&lt;&gt;"",IF(O292="Price ≤ $5","Excluded – price ≤ $5","Excluded – IV only"),IF(ISNUMBER(D292),IF(AND(D292&gt;=$C$3,M292&gt;=$E$3),"Priority 1",IF(OR(D292&gt;=$C$3,M292&gt;=$E$3),"Priority 2","Priority 3")),IF(M292&gt;=$E$3,"Priority 2","Priority 3")))</f>
        <v>Priority 2</v>
      </c>
      <c r="R292" s="16" t="s">
        <v>250</v>
      </c>
      <c r="S292" s="15" t="s">
        <v>1287</v>
      </c>
      <c r="T292" s="32" t="s">
        <v>332</v>
      </c>
      <c r="U292" s="33" t="str">
        <f aca="false">B292&amp;"|"&amp;S292</f>
        <v>Ceftazidime|Strides Pharma Science</v>
      </c>
      <c r="V292" s="34" t="n">
        <f aca="false">COUNTIFS('Shortlisted Drugs X Company (7)'!$C$3:$C$698,$B292,'Shortlisted Drugs X Company (7)'!$E$3:$E$698,$S292,'Shortlisted Drugs X Company (7)'!$N$3:$N$698,"&gt;=0")</f>
        <v>2</v>
      </c>
      <c r="W292" s="34" t="n">
        <f aca="false">COUNTIFS('Shortlisted Drugs X Company (7)'!$C$3:$C$698,$B292,'Shortlisted Drugs X Company (7)'!$E$3:$E$698,$S292,'Shortlisted Drugs X Company (7)'!$N$3:$N$698,"&gt;5")</f>
        <v>2</v>
      </c>
      <c r="X292" s="34" t="n">
        <f aca="false">COUNTIFS('Shortlisted Drugs X Company (7)'!$C$3:$C$698,$B292,'Shortlisted Drugs X Company (7)'!$E$3:$E$698,$S292,'Shortlisted Drugs X Company (7)'!$P$3:$P$698,"Exact")+COUNTIFS('Shortlisted Drugs X Company (7)'!$C$3:$C$698,$B292,'Shortlisted Drugs X Company (7)'!$E$3:$E$698,$S292,'Shortlisted Drugs X Company (7)'!$P$3:$P$698,"Same-market proxy")</f>
        <v>2</v>
      </c>
      <c r="Y292" s="33" t="str">
        <f aca="false">A292&amp;"|"&amp;P292</f>
        <v>Strides|2</v>
      </c>
      <c r="Z292" s="16" t="s">
        <v>1289</v>
      </c>
      <c r="AA292" s="33" t="n">
        <f aca="false">INDEX($G$7:$G$25,MATCH(A292,$A$7:$A$25,0))</f>
        <v>17</v>
      </c>
      <c r="AB292" s="33" t="n">
        <f aca="false">IF(AE292="No","",AA292*1000+IF(P292="",900+COUNTIFS($A$29:A292,A292,$O$29:O292,"Price ≤ $5"),P292))</f>
        <v>17002</v>
      </c>
      <c r="AC292" s="33" t="n">
        <f aca="false">IF(O292&lt;&gt;"","",(4-VALUE(RIGHT(Q292,1)))*10^7+N(F292))</f>
        <v>20005713.6</v>
      </c>
      <c r="AD292" s="15" t="str">
        <f aca="false">IFERROR(INDEX('Route of Administration'!$C$5:$C$155,MATCH(B292,'Route of Administration'!$A$5:$A$155,0)),"")</f>
        <v>IV, IM</v>
      </c>
      <c r="AE292" s="14" t="str">
        <f aca="false">IFERROR(INDEX('Route of Administration'!$D$5:$D$155,MATCH(B292,'Route of Administration'!$A$5:$A$155,0)),"")</f>
        <v>Yes</v>
      </c>
      <c r="AF292" s="19" t="n">
        <f aca="false">IF(V292&gt;0,ROUND(AVERAGEIFS('Shortlisted Drugs X Company (7)'!$N$3:$N$698,'Shortlisted Drugs X Company (7)'!$C$3:$C$698,$B292,'Shortlisted Drugs X Company (7)'!$E$3:$E$698,$S292,'Shortlisted Drugs X Company (7)'!$N$3:$N$698,"&gt;=0"),2),"")</f>
        <v>23.05</v>
      </c>
      <c r="AG292" s="16" t="s">
        <v>1290</v>
      </c>
      <c r="AH292" s="16" t="s">
        <v>583</v>
      </c>
      <c r="AI292" s="16" t="s">
        <v>583</v>
      </c>
      <c r="AJ292" s="16" t="str">
        <f aca="false">IF(O292&lt;&gt;"","",IF(ISNUMBER(D292),IF(D292&gt;=$C$3,"High price","Lower price"),"Unpriced")&amp;" · "&amp;IF(M292&gt;=$E$3,"high volume","lower volume"))</f>
        <v>Lower price · high volume</v>
      </c>
      <c r="AK292" s="15" t="str">
        <f aca="false">IF(O292&lt;&gt;"",IF(O292="Price ≤ $5","Excluded – price ≤ $5","Excluded – IV only"),IF(ISNUMBER(D292),IF(AND(D292&gt;=$C$3,L292&gt;=$H$3),"Priority 1",IF(OR(D292&gt;=$C$3,L292&gt;=$H$3),"Priority 2","Priority 3")),IF(L292&gt;=$H$3,"Priority 2","Priority 3")))</f>
        <v>Priority 2</v>
      </c>
      <c r="AL292" s="16" t="str">
        <f aca="false">IF(O292&lt;&gt;"","",IF(ISNUMBER(D292),IF(D292&gt;=$C$3,"High price","Lower price"),"Unpriced")&amp;" · "&amp;IF(L292&gt;=$H$3,"high volume","lower volume"))</f>
        <v>Lower price · high volume</v>
      </c>
      <c r="AM292" s="14" t="n">
        <f aca="false">IF(O292&lt;&gt;"","",COUNTIFS($A$29:$A$361,A292,$O$29:$O$361,"",$AQ$29:$AQ$361,"&gt;"&amp;AQ292)+COUNTIFS($A$29:A292,A292,$O$29:O292,"",$AQ$29:AQ292,AQ292))</f>
        <v>3</v>
      </c>
      <c r="AN292" s="19" t="n">
        <f aca="false">IF(AND(O292="",ISNUMBER(D292)),D292,"")</f>
        <v>23.05</v>
      </c>
      <c r="AO292" s="20" t="n">
        <f aca="false">IF(O292="",M292,"")</f>
        <v>335</v>
      </c>
      <c r="AP292" s="20" t="n">
        <f aca="false">IF(O292="",L292,"")</f>
        <v>335</v>
      </c>
      <c r="AQ292" s="33" t="n">
        <f aca="false">IF(O292&lt;&gt;"","",(4-VALUE(RIGHT(AK292,1)))*10^7+N(N292))</f>
        <v>20005713.56</v>
      </c>
      <c r="AR292" s="33" t="n">
        <f aca="false">INDEX($O$7:$O$25,MATCH(A292,$I$7:$I$25,0))</f>
        <v>14</v>
      </c>
      <c r="AS292" s="33" t="n">
        <f aca="false">IF(AE292="No","",AR292*1000+IF(AM292="",900+COUNTIFS($A$29:A292,A292,$O$29:O292,"Price ≤ $5"),AM292))</f>
        <v>14003</v>
      </c>
    </row>
    <row r="293" customFormat="false" ht="41.75" hidden="false" customHeight="false" outlineLevel="0" collapsed="false">
      <c r="A293" s="15" t="s">
        <v>198</v>
      </c>
      <c r="B293" s="15" t="s">
        <v>601</v>
      </c>
      <c r="C293" s="16" t="s">
        <v>602</v>
      </c>
      <c r="D293" s="17" t="n">
        <f aca="false">IF(W293&gt;0,ROUND(AVERAGEIFS('Shortlisted Drugs X Company (7)'!$N$3:$N$698,'Shortlisted Drugs X Company (7)'!$C$3:$C$698,$B293,'Shortlisted Drugs X Company (7)'!$E$3:$E$698,$S293,'Shortlisted Drugs X Company (7)'!$N$3:$N$698,"&gt;5"),2),"")</f>
        <v>6.94</v>
      </c>
      <c r="E293" s="15" t="str">
        <f aca="false">IF(COUNTIFS('Shortlisted Drugs X Company (7)'!$C$3:$C$698,$B293,'Shortlisted Drugs X Company (7)'!$E$3:$E$698,$S293,'Shortlisted Drugs X Company (7)'!$P$3:$P$698,"Exact")&gt;0,"Exact",IF(COUNTIFS('Shortlisted Drugs X Company (7)'!$C$3:$C$698,$B293,'Shortlisted Drugs X Company (7)'!$E$3:$E$698,$S293,'Shortlisted Drugs X Company (7)'!$P$3:$P$698,"Same-market proxy")&gt;0,"Same-market proxy",IF(COUNTIFS('Shortlisted Drugs X Company (7)'!$C$3:$C$698,$B293,'Shortlisted Drugs X Company (7)'!$E$3:$E$698,$S293,'Shortlisted Drugs X Company (7)'!$P$3:$P$698,"Cross-market proxy")&gt;0,"Cross-market proxy",IF(COUNTIFS('Shortlisted Drugs X Company (7)'!$C$3:$C$698,$B293,'Shortlisted Drugs X Company (7)'!$E$3:$E$698,$S293,'Shortlisted Drugs X Company (7)'!$P$3:$P$698,"Source not found")&gt;0,"Source not found","Not priced"))))</f>
        <v>Exact</v>
      </c>
      <c r="F293" s="18" t="n">
        <f aca="false">IFERROR(ROUND(INDEX('Injectable Value'!$AA$28:$AA$178,MATCH(B293,'Injectable Value'!$A$28:$A$178,0)),1),"")</f>
        <v>4796.6</v>
      </c>
      <c r="G293" s="16" t="s">
        <v>70</v>
      </c>
      <c r="H293" s="14" t="n">
        <v>1</v>
      </c>
      <c r="I293" s="15" t="s">
        <v>248</v>
      </c>
      <c r="J293" s="15" t="s">
        <v>249</v>
      </c>
      <c r="K293" s="16" t="str">
        <f aca="false">""&amp;IF(V293=0,"Unpriced","")&amp;IF(AND(V293&gt;0,W293=0,X293=0),"Low price from another market – confirm with company","")</f>
        <v/>
      </c>
      <c r="L293" s="18" t="n">
        <f aca="false">IFERROR(INDEX('Shortlisted Drugs X Company (7)'!$K$3:$K$698,MATCH(B293,'Shortlisted Drugs X Company (7)'!$C$3:$C$698,0)),"")</f>
        <v>2582</v>
      </c>
      <c r="M293" s="18" t="n">
        <f aca="false">IFERROR(ROUND(L293*INDEX('Injectable Value'!$Z$28:$Z$178,MATCH(B293,'Injectable Value'!$A$28:$A$178,0)),0),"")</f>
        <v>325</v>
      </c>
      <c r="N293" s="18" t="n">
        <f aca="false">IFERROR(INDEX('Shortlisted Drugs X Company (7)'!$L$3:$L$698,MATCH(B293,'Shortlisted Drugs X Company (7)'!$C$3:$C$698,0)),"")</f>
        <v>38106.07</v>
      </c>
      <c r="O293" s="15" t="str">
        <f aca="false">IF(AE293="No","IV only (not ID/IM/SC)",IF(AND(V293&gt;0,W293=0),"Price ≤ $5",""))</f>
        <v/>
      </c>
      <c r="P293" s="14" t="n">
        <f aca="false">IF(O293&lt;&gt;"","",COUNTIFS($A$29:$A$361,A293,$O$29:$O$361,"",$AC$29:$AC$361,"&gt;"&amp;AC293)+COUNTIFS($A$29:A293,A293,$O$29:O293,"",$AC$29:AC293,AC293))</f>
        <v>3</v>
      </c>
      <c r="Q293" s="15" t="str">
        <f aca="false">IF(O293&lt;&gt;"",IF(O293="Price ≤ $5","Excluded – price ≤ $5","Excluded – IV only"),IF(ISNUMBER(D293),IF(AND(D293&gt;=$C$3,M293&gt;=$E$3),"Priority 1",IF(OR(D293&gt;=$C$3,M293&gt;=$E$3),"Priority 2","Priority 3")),IF(M293&gt;=$E$3,"Priority 2","Priority 3")))</f>
        <v>Priority 2</v>
      </c>
      <c r="R293" s="16" t="s">
        <v>250</v>
      </c>
      <c r="S293" s="15" t="s">
        <v>1287</v>
      </c>
      <c r="T293" s="32" t="s">
        <v>603</v>
      </c>
      <c r="U293" s="33" t="str">
        <f aca="false">B293&amp;"|"&amp;S293</f>
        <v>Hydrocortisone|Strides Pharma Science</v>
      </c>
      <c r="V293" s="34" t="n">
        <f aca="false">COUNTIFS('Shortlisted Drugs X Company (7)'!$C$3:$C$698,$B293,'Shortlisted Drugs X Company (7)'!$E$3:$E$698,$S293,'Shortlisted Drugs X Company (7)'!$N$3:$N$698,"&gt;=0")</f>
        <v>1</v>
      </c>
      <c r="W293" s="34" t="n">
        <f aca="false">COUNTIFS('Shortlisted Drugs X Company (7)'!$C$3:$C$698,$B293,'Shortlisted Drugs X Company (7)'!$E$3:$E$698,$S293,'Shortlisted Drugs X Company (7)'!$N$3:$N$698,"&gt;5")</f>
        <v>1</v>
      </c>
      <c r="X293" s="34" t="n">
        <f aca="false">COUNTIFS('Shortlisted Drugs X Company (7)'!$C$3:$C$698,$B293,'Shortlisted Drugs X Company (7)'!$E$3:$E$698,$S293,'Shortlisted Drugs X Company (7)'!$P$3:$P$698,"Exact")+COUNTIFS('Shortlisted Drugs X Company (7)'!$C$3:$C$698,$B293,'Shortlisted Drugs X Company (7)'!$E$3:$E$698,$S293,'Shortlisted Drugs X Company (7)'!$P$3:$P$698,"Same-market proxy")</f>
        <v>1</v>
      </c>
      <c r="Y293" s="33" t="str">
        <f aca="false">A293&amp;"|"&amp;P293</f>
        <v>Strides|3</v>
      </c>
      <c r="Z293" s="16" t="s">
        <v>1172</v>
      </c>
      <c r="AA293" s="33" t="n">
        <f aca="false">INDEX($G$7:$G$25,MATCH(A293,$A$7:$A$25,0))</f>
        <v>17</v>
      </c>
      <c r="AB293" s="33" t="n">
        <f aca="false">IF(AE293="No","",AA293*1000+IF(P293="",900+COUNTIFS($A$29:A293,A293,$O$29:O293,"Price ≤ $5"),P293))</f>
        <v>17003</v>
      </c>
      <c r="AC293" s="33" t="n">
        <f aca="false">IF(O293&lt;&gt;"","",(4-VALUE(RIGHT(Q293,1)))*10^7+N(F293))</f>
        <v>20004796.6</v>
      </c>
      <c r="AD293" s="15" t="str">
        <f aca="false">IFERROR(INDEX('Route of Administration'!$C$5:$C$155,MATCH(B293,'Route of Administration'!$A$5:$A$155,0)),"")</f>
        <v>IV, IM</v>
      </c>
      <c r="AE293" s="14" t="str">
        <f aca="false">IFERROR(INDEX('Route of Administration'!$D$5:$D$155,MATCH(B293,'Route of Administration'!$A$5:$A$155,0)),"")</f>
        <v>Yes</v>
      </c>
      <c r="AF293" s="19" t="n">
        <f aca="false">IF(V293&gt;0,ROUND(AVERAGEIFS('Shortlisted Drugs X Company (7)'!$N$3:$N$698,'Shortlisted Drugs X Company (7)'!$C$3:$C$698,$B293,'Shortlisted Drugs X Company (7)'!$E$3:$E$698,$S293,'Shortlisted Drugs X Company (7)'!$N$3:$N$698,"&gt;=0"),2),"")</f>
        <v>6.94</v>
      </c>
      <c r="AG293" s="16" t="s">
        <v>1291</v>
      </c>
      <c r="AH293" s="16" t="s">
        <v>328</v>
      </c>
      <c r="AI293" s="16" t="s">
        <v>328</v>
      </c>
      <c r="AJ293" s="16" t="str">
        <f aca="false">IF(O293&lt;&gt;"","",IF(ISNUMBER(D293),IF(D293&gt;=$C$3,"High price","Lower price"),"Unpriced")&amp;" · "&amp;IF(M293&gt;=$E$3,"high volume","lower volume"))</f>
        <v>Lower price · high volume</v>
      </c>
      <c r="AK293" s="15" t="str">
        <f aca="false">IF(O293&lt;&gt;"",IF(O293="Price ≤ $5","Excluded – price ≤ $5","Excluded – IV only"),IF(ISNUMBER(D293),IF(AND(D293&gt;=$C$3,L293&gt;=$H$3),"Priority 1",IF(OR(D293&gt;=$C$3,L293&gt;=$H$3),"Priority 2","Priority 3")),IF(L293&gt;=$H$3,"Priority 2","Priority 3")))</f>
        <v>Priority 2</v>
      </c>
      <c r="AL293" s="16" t="str">
        <f aca="false">IF(O293&lt;&gt;"","",IF(ISNUMBER(D293),IF(D293&gt;=$C$3,"High price","Lower price"),"Unpriced")&amp;" · "&amp;IF(L293&gt;=$H$3,"high volume","lower volume"))</f>
        <v>Lower price · high volume</v>
      </c>
      <c r="AM293" s="14" t="n">
        <f aca="false">IF(O293&lt;&gt;"","",COUNTIFS($A$29:$A$361,A293,$O$29:$O$361,"",$AQ$29:$AQ$361,"&gt;"&amp;AQ293)+COUNTIFS($A$29:A293,A293,$O$29:O293,"",$AQ$29:AQ293,AQ293))</f>
        <v>1</v>
      </c>
      <c r="AN293" s="19" t="n">
        <f aca="false">IF(AND(O293="",ISNUMBER(D293)),D293,"")</f>
        <v>6.94</v>
      </c>
      <c r="AO293" s="20" t="n">
        <f aca="false">IF(O293="",M293,"")</f>
        <v>325</v>
      </c>
      <c r="AP293" s="20" t="n">
        <f aca="false">IF(O293="",L293,"")</f>
        <v>2582</v>
      </c>
      <c r="AQ293" s="33" t="n">
        <f aca="false">IF(O293&lt;&gt;"","",(4-VALUE(RIGHT(AK293,1)))*10^7+N(N293))</f>
        <v>20038106.07</v>
      </c>
      <c r="AR293" s="33" t="n">
        <f aca="false">INDEX($O$7:$O$25,MATCH(A293,$I$7:$I$25,0))</f>
        <v>14</v>
      </c>
      <c r="AS293" s="33" t="n">
        <f aca="false">IF(AE293="No","",AR293*1000+IF(AM293="",900+COUNTIFS($A$29:A293,A293,$O$29:O293,"Price ≤ $5"),AM293))</f>
        <v>14001</v>
      </c>
    </row>
    <row r="294" customFormat="false" ht="28.35" hidden="false" customHeight="false" outlineLevel="0" collapsed="false">
      <c r="A294" s="15" t="s">
        <v>198</v>
      </c>
      <c r="B294" s="15" t="s">
        <v>451</v>
      </c>
      <c r="C294" s="16" t="s">
        <v>452</v>
      </c>
      <c r="D294" s="17" t="n">
        <f aca="false">IF(W294&gt;0,ROUND(AVERAGEIFS('Shortlisted Drugs X Company (7)'!$N$3:$N$698,'Shortlisted Drugs X Company (7)'!$C$3:$C$698,$B294,'Shortlisted Drugs X Company (7)'!$E$3:$E$698,$S294,'Shortlisted Drugs X Company (7)'!$N$3:$N$698,"&gt;5"),2),"")</f>
        <v>11.71</v>
      </c>
      <c r="E294" s="15" t="str">
        <f aca="false">IF(COUNTIFS('Shortlisted Drugs X Company (7)'!$C$3:$C$698,$B294,'Shortlisted Drugs X Company (7)'!$E$3:$E$698,$S294,'Shortlisted Drugs X Company (7)'!$P$3:$P$698,"Exact")&gt;0,"Exact",IF(COUNTIFS('Shortlisted Drugs X Company (7)'!$C$3:$C$698,$B294,'Shortlisted Drugs X Company (7)'!$E$3:$E$698,$S294,'Shortlisted Drugs X Company (7)'!$P$3:$P$698,"Same-market proxy")&gt;0,"Same-market proxy",IF(COUNTIFS('Shortlisted Drugs X Company (7)'!$C$3:$C$698,$B294,'Shortlisted Drugs X Company (7)'!$E$3:$E$698,$S294,'Shortlisted Drugs X Company (7)'!$P$3:$P$698,"Cross-market proxy")&gt;0,"Cross-market proxy",IF(COUNTIFS('Shortlisted Drugs X Company (7)'!$C$3:$C$698,$B294,'Shortlisted Drugs X Company (7)'!$E$3:$E$698,$S294,'Shortlisted Drugs X Company (7)'!$P$3:$P$698,"Source not found")&gt;0,"Source not found","Not priced"))))</f>
        <v>Same-market proxy</v>
      </c>
      <c r="F294" s="18" t="n">
        <f aca="false">IFERROR(ROUND(INDEX('Injectable Value'!$AA$28:$AA$178,MATCH(B294,'Injectable Value'!$A$28:$A$178,0)),1),"")</f>
        <v>58920.4</v>
      </c>
      <c r="G294" s="16" t="s">
        <v>740</v>
      </c>
      <c r="H294" s="14" t="n">
        <v>2</v>
      </c>
      <c r="I294" s="15" t="s">
        <v>248</v>
      </c>
      <c r="J294" s="15" t="s">
        <v>299</v>
      </c>
      <c r="K294" s="16" t="str">
        <f aca="false">"Reconstitution"&amp;IF(V294=0,"; Unpriced","")&amp;IF(AND(V294&gt;0,W294=0,X294=0),"; Low price from another market – confirm with company","")</f>
        <v>Reconstitution</v>
      </c>
      <c r="L294" s="18" t="n">
        <f aca="false">IFERROR(INDEX('Shortlisted Drugs X Company (7)'!$K$3:$K$698,MATCH(B294,'Shortlisted Drugs X Company (7)'!$C$3:$C$698,0)),"")</f>
        <v>1185</v>
      </c>
      <c r="M294" s="18" t="n">
        <f aca="false">IFERROR(ROUND(L294*INDEX('Injectable Value'!$Z$28:$Z$178,MATCH(B294,'Injectable Value'!$A$28:$A$178,0)),0),"")</f>
        <v>1175</v>
      </c>
      <c r="N294" s="18" t="n">
        <f aca="false">IFERROR(INDEX('Shortlisted Drugs X Company (7)'!$L$3:$L$698,MATCH(B294,'Shortlisted Drugs X Company (7)'!$C$3:$C$698,0)),"")</f>
        <v>59407.06</v>
      </c>
      <c r="O294" s="15" t="str">
        <f aca="false">IF(AE294="No","IV only (not ID/IM/SC)",IF(AND(V294&gt;0,W294=0),"Price ≤ $5",""))</f>
        <v>IV only (not ID/IM/SC)</v>
      </c>
      <c r="P294" s="14" t="str">
        <f aca="false">IF(O294&lt;&gt;"","",COUNTIFS($A$29:$A$361,A294,$O$29:$O$361,"",$AC$29:$AC$361,"&gt;"&amp;AC294)+COUNTIFS($A$29:A294,A294,$O$29:O294,"",$AC$29:AC294,AC294))</f>
        <v/>
      </c>
      <c r="Q294" s="15" t="str">
        <f aca="false">IF(O294&lt;&gt;"",IF(O294="Price ≤ $5","Excluded – price ≤ $5","Excluded – IV only"),IF(ISNUMBER(D294),IF(AND(D294&gt;=$C$3,M294&gt;=$E$3),"Priority 1",IF(OR(D294&gt;=$C$3,M294&gt;=$E$3),"Priority 2","Priority 3")),IF(M294&gt;=$E$3,"Priority 2","Priority 3")))</f>
        <v>Excluded – IV only</v>
      </c>
      <c r="R294" s="16" t="s">
        <v>250</v>
      </c>
      <c r="S294" s="15" t="s">
        <v>1287</v>
      </c>
      <c r="T294" s="32" t="s">
        <v>454</v>
      </c>
      <c r="U294" s="33" t="str">
        <f aca="false">B294&amp;"|"&amp;S294</f>
        <v>Meropenem|Strides Pharma Science</v>
      </c>
      <c r="V294" s="34" t="n">
        <f aca="false">COUNTIFS('Shortlisted Drugs X Company (7)'!$C$3:$C$698,$B294,'Shortlisted Drugs X Company (7)'!$E$3:$E$698,$S294,'Shortlisted Drugs X Company (7)'!$N$3:$N$698,"&gt;=0")</f>
        <v>3</v>
      </c>
      <c r="W294" s="34" t="n">
        <f aca="false">COUNTIFS('Shortlisted Drugs X Company (7)'!$C$3:$C$698,$B294,'Shortlisted Drugs X Company (7)'!$E$3:$E$698,$S294,'Shortlisted Drugs X Company (7)'!$N$3:$N$698,"&gt;5")</f>
        <v>3</v>
      </c>
      <c r="X294" s="34" t="n">
        <f aca="false">COUNTIFS('Shortlisted Drugs X Company (7)'!$C$3:$C$698,$B294,'Shortlisted Drugs X Company (7)'!$E$3:$E$698,$S294,'Shortlisted Drugs X Company (7)'!$P$3:$P$698,"Exact")+COUNTIFS('Shortlisted Drugs X Company (7)'!$C$3:$C$698,$B294,'Shortlisted Drugs X Company (7)'!$E$3:$E$698,$S294,'Shortlisted Drugs X Company (7)'!$P$3:$P$698,"Same-market proxy")</f>
        <v>1</v>
      </c>
      <c r="Y294" s="33" t="str">
        <f aca="false">A294&amp;"|"&amp;P294</f>
        <v>Strides|</v>
      </c>
      <c r="Z294" s="16" t="s">
        <v>743</v>
      </c>
      <c r="AA294" s="33" t="n">
        <f aca="false">INDEX($G$7:$G$25,MATCH(A294,$A$7:$A$25,0))</f>
        <v>17</v>
      </c>
      <c r="AB294" s="33" t="str">
        <f aca="false">IF(AE294="No","",AA294*1000+IF(P294="",900+COUNTIFS($A$29:A294,A294,$O$29:O294,"Price ≤ $5"),P294))</f>
        <v/>
      </c>
      <c r="AC294" s="33" t="str">
        <f aca="false">IF(O294&lt;&gt;"","",(4-VALUE(RIGHT(Q294,1)))*10^7+N(F294))</f>
        <v/>
      </c>
      <c r="AD294" s="15" t="str">
        <f aca="false">IFERROR(INDEX('Route of Administration'!$C$5:$C$155,MATCH(B294,'Route of Administration'!$A$5:$A$155,0)),"")</f>
        <v>IV</v>
      </c>
      <c r="AE294" s="14" t="str">
        <f aca="false">IFERROR(INDEX('Route of Administration'!$D$5:$D$155,MATCH(B294,'Route of Administration'!$A$5:$A$155,0)),"")</f>
        <v>No</v>
      </c>
      <c r="AF294" s="19" t="n">
        <f aca="false">IF(V294&gt;0,ROUND(AVERAGEIFS('Shortlisted Drugs X Company (7)'!$N$3:$N$698,'Shortlisted Drugs X Company (7)'!$C$3:$C$698,$B294,'Shortlisted Drugs X Company (7)'!$E$3:$E$698,$S294,'Shortlisted Drugs X Company (7)'!$N$3:$N$698,"&gt;=0"),2),"")</f>
        <v>11.71</v>
      </c>
      <c r="AG294" s="16" t="s">
        <v>1292</v>
      </c>
      <c r="AH294" s="16" t="s">
        <v>740</v>
      </c>
      <c r="AI294" s="16" t="s">
        <v>740</v>
      </c>
      <c r="AJ294" s="16" t="str">
        <f aca="false">IF(O294&lt;&gt;"","",IF(ISNUMBER(D294),IF(D294&gt;=$C$3,"High price","Lower price"),"Unpriced")&amp;" · "&amp;IF(M294&gt;=$E$3,"high volume","lower volume"))</f>
        <v/>
      </c>
      <c r="AK294" s="15" t="str">
        <f aca="false">IF(O294&lt;&gt;"",IF(O294="Price ≤ $5","Excluded – price ≤ $5","Excluded – IV only"),IF(ISNUMBER(D294),IF(AND(D294&gt;=$C$3,L294&gt;=$H$3),"Priority 1",IF(OR(D294&gt;=$C$3,L294&gt;=$H$3),"Priority 2","Priority 3")),IF(L294&gt;=$H$3,"Priority 2","Priority 3")))</f>
        <v>Excluded – IV only</v>
      </c>
      <c r="AL294" s="16" t="str">
        <f aca="false">IF(O294&lt;&gt;"","",IF(ISNUMBER(D294),IF(D294&gt;=$C$3,"High price","Lower price"),"Unpriced")&amp;" · "&amp;IF(L294&gt;=$H$3,"high volume","lower volume"))</f>
        <v/>
      </c>
      <c r="AM294" s="14" t="str">
        <f aca="false">IF(O294&lt;&gt;"","",COUNTIFS($A$29:$A$361,A294,$O$29:$O$361,"",$AQ$29:$AQ$361,"&gt;"&amp;AQ294)+COUNTIFS($A$29:A294,A294,$O$29:O294,"",$AQ$29:AQ294,AQ294))</f>
        <v/>
      </c>
      <c r="AN294" s="33" t="str">
        <f aca="false">IF(AND(O294="",ISNUMBER(D294)),D294,"")</f>
        <v/>
      </c>
      <c r="AO294" s="33" t="str">
        <f aca="false">IF(O294="",M294,"")</f>
        <v/>
      </c>
      <c r="AP294" s="33" t="str">
        <f aca="false">IF(O294="",L294,"")</f>
        <v/>
      </c>
      <c r="AQ294" s="33" t="str">
        <f aca="false">IF(O294&lt;&gt;"","",(4-VALUE(RIGHT(AK294,1)))*10^7+N(N294))</f>
        <v/>
      </c>
      <c r="AR294" s="33" t="n">
        <f aca="false">INDEX($O$7:$O$25,MATCH(A294,$I$7:$I$25,0))</f>
        <v>14</v>
      </c>
      <c r="AS294" s="33" t="str">
        <f aca="false">IF(AE294="No","",AR294*1000+IF(AM294="",900+COUNTIFS($A$29:A294,A294,$O$29:O294,"Price ≤ $5"),AM294))</f>
        <v/>
      </c>
    </row>
    <row r="295" customFormat="false" ht="41.75" hidden="false" customHeight="false" outlineLevel="0" collapsed="false">
      <c r="A295" s="15" t="s">
        <v>198</v>
      </c>
      <c r="B295" s="15" t="s">
        <v>1293</v>
      </c>
      <c r="C295" s="16" t="s">
        <v>1294</v>
      </c>
      <c r="D295" s="17" t="n">
        <f aca="false">IF(W295&gt;0,ROUND(AVERAGEIFS('Shortlisted Drugs X Company (7)'!$N$3:$N$698,'Shortlisted Drugs X Company (7)'!$C$3:$C$698,$B295,'Shortlisted Drugs X Company (7)'!$E$3:$E$698,$S295,'Shortlisted Drugs X Company (7)'!$N$3:$N$698,"&gt;5"),2),"")</f>
        <v>20.23</v>
      </c>
      <c r="E295" s="15" t="str">
        <f aca="false">IF(COUNTIFS('Shortlisted Drugs X Company (7)'!$C$3:$C$698,$B295,'Shortlisted Drugs X Company (7)'!$E$3:$E$698,$S295,'Shortlisted Drugs X Company (7)'!$P$3:$P$698,"Exact")&gt;0,"Exact",IF(COUNTIFS('Shortlisted Drugs X Company (7)'!$C$3:$C$698,$B295,'Shortlisted Drugs X Company (7)'!$E$3:$E$698,$S295,'Shortlisted Drugs X Company (7)'!$P$3:$P$698,"Same-market proxy")&gt;0,"Same-market proxy",IF(COUNTIFS('Shortlisted Drugs X Company (7)'!$C$3:$C$698,$B295,'Shortlisted Drugs X Company (7)'!$E$3:$E$698,$S295,'Shortlisted Drugs X Company (7)'!$P$3:$P$698,"Cross-market proxy")&gt;0,"Cross-market proxy",IF(COUNTIFS('Shortlisted Drugs X Company (7)'!$C$3:$C$698,$B295,'Shortlisted Drugs X Company (7)'!$E$3:$E$698,$S295,'Shortlisted Drugs X Company (7)'!$P$3:$P$698,"Source not found")&gt;0,"Source not found","Not priced"))))</f>
        <v>Same-market proxy</v>
      </c>
      <c r="F295" s="18" t="n">
        <f aca="false">IFERROR(ROUND(INDEX('Injectable Value'!$AA$28:$AA$178,MATCH(B295,'Injectable Value'!$A$28:$A$178,0)),1),"")</f>
        <v>32204.5</v>
      </c>
      <c r="G295" s="16" t="s">
        <v>70</v>
      </c>
      <c r="H295" s="14" t="n">
        <v>1</v>
      </c>
      <c r="I295" s="15" t="s">
        <v>248</v>
      </c>
      <c r="J295" s="15" t="s">
        <v>299</v>
      </c>
      <c r="K295" s="16" t="str">
        <f aca="false">"Reconstitution"&amp;IF(V295=0,"; Unpriced","")&amp;IF(AND(V295&gt;0,W295=0,X295=0),"; Low price from another market – confirm with company","")</f>
        <v>Reconstitution</v>
      </c>
      <c r="L295" s="18" t="n">
        <f aca="false">IFERROR(INDEX('Shortlisted Drugs X Company (7)'!$K$3:$K$698,MATCH(B295,'Shortlisted Drugs X Company (7)'!$C$3:$C$698,0)),"")</f>
        <v>766</v>
      </c>
      <c r="M295" s="18" t="n">
        <f aca="false">IFERROR(ROUND(L295*INDEX('Injectable Value'!$Z$28:$Z$178,MATCH(B295,'Injectable Value'!$A$28:$A$178,0)),0),"")</f>
        <v>766</v>
      </c>
      <c r="N295" s="18" t="n">
        <f aca="false">IFERROR(INDEX('Shortlisted Drugs X Company (7)'!$L$3:$L$698,MATCH(B295,'Shortlisted Drugs X Company (7)'!$C$3:$C$698,0)),"")</f>
        <v>32204.47</v>
      </c>
      <c r="O295" s="15" t="str">
        <f aca="false">IF(AE295="No","IV only (not ID/IM/SC)",IF(AND(V295&gt;0,W295=0),"Price ≤ $5",""))</f>
        <v>IV only (not ID/IM/SC)</v>
      </c>
      <c r="P295" s="14" t="str">
        <f aca="false">IF(O295&lt;&gt;"","",COUNTIFS($A$29:$A$361,A295,$O$29:$O$361,"",$AC$29:$AC$361,"&gt;"&amp;AC295)+COUNTIFS($A$29:A295,A295,$O$29:O295,"",$AC$29:AC295,AC295))</f>
        <v/>
      </c>
      <c r="Q295" s="15" t="str">
        <f aca="false">IF(O295&lt;&gt;"",IF(O295="Price ≤ $5","Excluded – price ≤ $5","Excluded – IV only"),IF(ISNUMBER(D295),IF(AND(D295&gt;=$C$3,M295&gt;=$E$3),"Priority 1",IF(OR(D295&gt;=$C$3,M295&gt;=$E$3),"Priority 2","Priority 3")),IF(M295&gt;=$E$3,"Priority 2","Priority 3")))</f>
        <v>Excluded – IV only</v>
      </c>
      <c r="R295" s="16" t="s">
        <v>285</v>
      </c>
      <c r="S295" s="15" t="s">
        <v>1287</v>
      </c>
      <c r="T295" s="32" t="s">
        <v>1295</v>
      </c>
      <c r="U295" s="33" t="str">
        <f aca="false">B295&amp;"|"&amp;S295</f>
        <v>Piperacillin + Tazobactam|Strides Pharma Science</v>
      </c>
      <c r="V295" s="34" t="n">
        <f aca="false">COUNTIFS('Shortlisted Drugs X Company (7)'!$C$3:$C$698,$B295,'Shortlisted Drugs X Company (7)'!$E$3:$E$698,$S295,'Shortlisted Drugs X Company (7)'!$N$3:$N$698,"&gt;=0")</f>
        <v>2</v>
      </c>
      <c r="W295" s="34" t="n">
        <f aca="false">COUNTIFS('Shortlisted Drugs X Company (7)'!$C$3:$C$698,$B295,'Shortlisted Drugs X Company (7)'!$E$3:$E$698,$S295,'Shortlisted Drugs X Company (7)'!$N$3:$N$698,"&gt;5")</f>
        <v>2</v>
      </c>
      <c r="X295" s="34" t="n">
        <f aca="false">COUNTIFS('Shortlisted Drugs X Company (7)'!$C$3:$C$698,$B295,'Shortlisted Drugs X Company (7)'!$E$3:$E$698,$S295,'Shortlisted Drugs X Company (7)'!$P$3:$P$698,"Exact")+COUNTIFS('Shortlisted Drugs X Company (7)'!$C$3:$C$698,$B295,'Shortlisted Drugs X Company (7)'!$E$3:$E$698,$S295,'Shortlisted Drugs X Company (7)'!$P$3:$P$698,"Same-market proxy")</f>
        <v>2</v>
      </c>
      <c r="Y295" s="33" t="str">
        <f aca="false">A295&amp;"|"&amp;P295</f>
        <v>Strides|</v>
      </c>
      <c r="Z295" s="16" t="s">
        <v>1296</v>
      </c>
      <c r="AA295" s="33" t="n">
        <f aca="false">INDEX($G$7:$G$25,MATCH(A295,$A$7:$A$25,0))</f>
        <v>17</v>
      </c>
      <c r="AB295" s="33" t="str">
        <f aca="false">IF(AE295="No","",AA295*1000+IF(P295="",900+COUNTIFS($A$29:A295,A295,$O$29:O295,"Price ≤ $5"),P295))</f>
        <v/>
      </c>
      <c r="AC295" s="33" t="str">
        <f aca="false">IF(O295&lt;&gt;"","",(4-VALUE(RIGHT(Q295,1)))*10^7+N(F295))</f>
        <v/>
      </c>
      <c r="AD295" s="15" t="str">
        <f aca="false">IFERROR(INDEX('Route of Administration'!$C$5:$C$155,MATCH(B295,'Route of Administration'!$A$5:$A$155,0)),"")</f>
        <v>IV</v>
      </c>
      <c r="AE295" s="14" t="str">
        <f aca="false">IFERROR(INDEX('Route of Administration'!$D$5:$D$155,MATCH(B295,'Route of Administration'!$A$5:$A$155,0)),"")</f>
        <v>No</v>
      </c>
      <c r="AF295" s="19" t="n">
        <f aca="false">IF(V295&gt;0,ROUND(AVERAGEIFS('Shortlisted Drugs X Company (7)'!$N$3:$N$698,'Shortlisted Drugs X Company (7)'!$C$3:$C$698,$B295,'Shortlisted Drugs X Company (7)'!$E$3:$E$698,$S295,'Shortlisted Drugs X Company (7)'!$N$3:$N$698,"&gt;=0"),2),"")</f>
        <v>20.23</v>
      </c>
      <c r="AG295" s="16" t="s">
        <v>1297</v>
      </c>
      <c r="AH295" s="16" t="s">
        <v>583</v>
      </c>
      <c r="AI295" s="16" t="s">
        <v>583</v>
      </c>
      <c r="AJ295" s="16" t="str">
        <f aca="false">IF(O295&lt;&gt;"","",IF(ISNUMBER(D295),IF(D295&gt;=$C$3,"High price","Lower price"),"Unpriced")&amp;" · "&amp;IF(M295&gt;=$E$3,"high volume","lower volume"))</f>
        <v/>
      </c>
      <c r="AK295" s="15" t="str">
        <f aca="false">IF(O295&lt;&gt;"",IF(O295="Price ≤ $5","Excluded – price ≤ $5","Excluded – IV only"),IF(ISNUMBER(D295),IF(AND(D295&gt;=$C$3,L295&gt;=$H$3),"Priority 1",IF(OR(D295&gt;=$C$3,L295&gt;=$H$3),"Priority 2","Priority 3")),IF(L295&gt;=$H$3,"Priority 2","Priority 3")))</f>
        <v>Excluded – IV only</v>
      </c>
      <c r="AL295" s="16" t="str">
        <f aca="false">IF(O295&lt;&gt;"","",IF(ISNUMBER(D295),IF(D295&gt;=$C$3,"High price","Lower price"),"Unpriced")&amp;" · "&amp;IF(L295&gt;=$H$3,"high volume","lower volume"))</f>
        <v/>
      </c>
      <c r="AM295" s="14" t="str">
        <f aca="false">IF(O295&lt;&gt;"","",COUNTIFS($A$29:$A$361,A295,$O$29:$O$361,"",$AQ$29:$AQ$361,"&gt;"&amp;AQ295)+COUNTIFS($A$29:A295,A295,$O$29:O295,"",$AQ$29:AQ295,AQ295))</f>
        <v/>
      </c>
      <c r="AN295" s="33" t="str">
        <f aca="false">IF(AND(O295="",ISNUMBER(D295)),D295,"")</f>
        <v/>
      </c>
      <c r="AO295" s="33" t="str">
        <f aca="false">IF(O295="",M295,"")</f>
        <v/>
      </c>
      <c r="AP295" s="33" t="str">
        <f aca="false">IF(O295="",L295,"")</f>
        <v/>
      </c>
      <c r="AQ295" s="33" t="str">
        <f aca="false">IF(O295&lt;&gt;"","",(4-VALUE(RIGHT(AK295,1)))*10^7+N(N295))</f>
        <v/>
      </c>
      <c r="AR295" s="33" t="n">
        <f aca="false">INDEX($O$7:$O$25,MATCH(A295,$I$7:$I$25,0))</f>
        <v>14</v>
      </c>
      <c r="AS295" s="33" t="str">
        <f aca="false">IF(AE295="No","",AR295*1000+IF(AM295="",900+COUNTIFS($A$29:A295,A295,$O$29:O295,"Price ≤ $5"),AM295))</f>
        <v/>
      </c>
    </row>
    <row r="296" customFormat="false" ht="41.75" hidden="false" customHeight="false" outlineLevel="0" collapsed="false">
      <c r="A296" s="15" t="s">
        <v>199</v>
      </c>
      <c r="B296" s="15" t="s">
        <v>1298</v>
      </c>
      <c r="C296" s="16" t="s">
        <v>1299</v>
      </c>
      <c r="D296" s="17" t="n">
        <f aca="false">IF(W296&gt;0,ROUND(AVERAGEIFS('Shortlisted Drugs X Company (7)'!$N$3:$N$698,'Shortlisted Drugs X Company (7)'!$C$3:$C$698,$B296,'Shortlisted Drugs X Company (7)'!$E$3:$E$698,$S296,'Shortlisted Drugs X Company (7)'!$N$3:$N$698,"&gt;5"),2),"")</f>
        <v>198.74</v>
      </c>
      <c r="E296" s="15" t="str">
        <f aca="false">IF(COUNTIFS('Shortlisted Drugs X Company (7)'!$C$3:$C$698,$B296,'Shortlisted Drugs X Company (7)'!$E$3:$E$698,$S296,'Shortlisted Drugs X Company (7)'!$P$3:$P$698,"Exact")&gt;0,"Exact",IF(COUNTIFS('Shortlisted Drugs X Company (7)'!$C$3:$C$698,$B296,'Shortlisted Drugs X Company (7)'!$E$3:$E$698,$S296,'Shortlisted Drugs X Company (7)'!$P$3:$P$698,"Same-market proxy")&gt;0,"Same-market proxy",IF(COUNTIFS('Shortlisted Drugs X Company (7)'!$C$3:$C$698,$B296,'Shortlisted Drugs X Company (7)'!$E$3:$E$698,$S296,'Shortlisted Drugs X Company (7)'!$P$3:$P$698,"Cross-market proxy")&gt;0,"Cross-market proxy",IF(COUNTIFS('Shortlisted Drugs X Company (7)'!$C$3:$C$698,$B296,'Shortlisted Drugs X Company (7)'!$E$3:$E$698,$S296,'Shortlisted Drugs X Company (7)'!$P$3:$P$698,"Source not found")&gt;0,"Source not found","Not priced"))))</f>
        <v>Exact</v>
      </c>
      <c r="F296" s="18" t="n">
        <f aca="false">IFERROR(ROUND(INDEX('Injectable Value'!$AA$28:$AA$178,MATCH(B296,'Injectable Value'!$A$28:$A$178,0)),1),"")</f>
        <v>1976.6</v>
      </c>
      <c r="G296" s="16" t="s">
        <v>1112</v>
      </c>
      <c r="H296" s="14" t="n">
        <v>2</v>
      </c>
      <c r="I296" s="15" t="s">
        <v>248</v>
      </c>
      <c r="J296" s="15" t="s">
        <v>249</v>
      </c>
      <c r="K296" s="16" t="str">
        <f aca="false">"Reconstitution"&amp;IF(V296=0,"; Unpriced","")&amp;IF(AND(V296&gt;0,W296=0,X296=0),"; Low price from another market – confirm with company","")</f>
        <v>Reconstitution</v>
      </c>
      <c r="L296" s="18" t="n">
        <f aca="false">IFERROR(INDEX('Shortlisted Drugs X Company (7)'!$K$3:$K$698,MATCH(B296,'Shortlisted Drugs X Company (7)'!$C$3:$C$698,0)),"")</f>
        <v>1331</v>
      </c>
      <c r="M296" s="18" t="n">
        <f aca="false">IFERROR(ROUND(L296*INDEX('Injectable Value'!$Z$28:$Z$178,MATCH(B296,'Injectable Value'!$A$28:$A$178,0)),0),"")</f>
        <v>113</v>
      </c>
      <c r="N296" s="18" t="n">
        <f aca="false">IFERROR(INDEX('Shortlisted Drugs X Company (7)'!$L$3:$L$698,MATCH(B296,'Shortlisted Drugs X Company (7)'!$C$3:$C$698,0)),"")</f>
        <v>23317.34</v>
      </c>
      <c r="O296" s="15" t="str">
        <f aca="false">IF(AE296="No","IV only (not ID/IM/SC)",IF(AND(V296&gt;0,W296=0),"Price ≤ $5",""))</f>
        <v/>
      </c>
      <c r="P296" s="14" t="n">
        <f aca="false">IF(O296&lt;&gt;"","",COUNTIFS($A$29:$A$361,A296,$O$29:$O$361,"",$AC$29:$AC$361,"&gt;"&amp;AC296)+COUNTIFS($A$29:A296,A296,$O$29:O296,"",$AC$29:AC296,AC296))</f>
        <v>6</v>
      </c>
      <c r="Q296" s="15" t="str">
        <f aca="false">IF(O296&lt;&gt;"",IF(O296="Price ≤ $5","Excluded – price ≤ $5","Excluded – IV only"),IF(ISNUMBER(D296),IF(AND(D296&gt;=$C$3,M296&gt;=$E$3),"Priority 1",IF(OR(D296&gt;=$C$3,M296&gt;=$E$3),"Priority 2","Priority 3")),IF(M296&gt;=$E$3,"Priority 2","Priority 3")))</f>
        <v>Priority 2</v>
      </c>
      <c r="R296" s="16" t="s">
        <v>285</v>
      </c>
      <c r="S296" s="15" t="s">
        <v>199</v>
      </c>
      <c r="T296" s="32" t="s">
        <v>1300</v>
      </c>
      <c r="U296" s="33" t="str">
        <f aca="false">B296&amp;"|"&amp;S296</f>
        <v>Aripiprazole|Sun Pharma</v>
      </c>
      <c r="V296" s="34" t="n">
        <f aca="false">COUNTIFS('Shortlisted Drugs X Company (7)'!$C$3:$C$698,$B296,'Shortlisted Drugs X Company (7)'!$E$3:$E$698,$S296,'Shortlisted Drugs X Company (7)'!$N$3:$N$698,"&gt;=0")</f>
        <v>2</v>
      </c>
      <c r="W296" s="34" t="n">
        <f aca="false">COUNTIFS('Shortlisted Drugs X Company (7)'!$C$3:$C$698,$B296,'Shortlisted Drugs X Company (7)'!$E$3:$E$698,$S296,'Shortlisted Drugs X Company (7)'!$N$3:$N$698,"&gt;5")</f>
        <v>2</v>
      </c>
      <c r="X296" s="34" t="n">
        <f aca="false">COUNTIFS('Shortlisted Drugs X Company (7)'!$C$3:$C$698,$B296,'Shortlisted Drugs X Company (7)'!$E$3:$E$698,$S296,'Shortlisted Drugs X Company (7)'!$P$3:$P$698,"Exact")+COUNTIFS('Shortlisted Drugs X Company (7)'!$C$3:$C$698,$B296,'Shortlisted Drugs X Company (7)'!$E$3:$E$698,$S296,'Shortlisted Drugs X Company (7)'!$P$3:$P$698,"Same-market proxy")</f>
        <v>2</v>
      </c>
      <c r="Y296" s="33" t="str">
        <f aca="false">A296&amp;"|"&amp;P296</f>
        <v>Sun Pharma|6</v>
      </c>
      <c r="Z296" s="16" t="s">
        <v>1301</v>
      </c>
      <c r="AA296" s="33" t="n">
        <f aca="false">INDEX($G$7:$G$25,MATCH(A296,$A$7:$A$25,0))</f>
        <v>10</v>
      </c>
      <c r="AB296" s="33" t="n">
        <f aca="false">IF(AE296="No","",AA296*1000+IF(P296="",900+COUNTIFS($A$29:A296,A296,$O$29:O296,"Price ≤ $5"),P296))</f>
        <v>10006</v>
      </c>
      <c r="AC296" s="33" t="n">
        <f aca="false">IF(O296&lt;&gt;"","",(4-VALUE(RIGHT(Q296,1)))*10^7+N(F296))</f>
        <v>20001976.6</v>
      </c>
      <c r="AD296" s="15" t="str">
        <f aca="false">IFERROR(INDEX('Route of Administration'!$C$5:$C$155,MATCH(B296,'Route of Administration'!$A$5:$A$155,0)),"")</f>
        <v>IM</v>
      </c>
      <c r="AE296" s="14" t="str">
        <f aca="false">IFERROR(INDEX('Route of Administration'!$D$5:$D$155,MATCH(B296,'Route of Administration'!$A$5:$A$155,0)),"")</f>
        <v>Yes</v>
      </c>
      <c r="AF296" s="19" t="n">
        <f aca="false">IF(V296&gt;0,ROUND(AVERAGEIFS('Shortlisted Drugs X Company (7)'!$N$3:$N$698,'Shortlisted Drugs X Company (7)'!$C$3:$C$698,$B296,'Shortlisted Drugs X Company (7)'!$E$3:$E$698,$S296,'Shortlisted Drugs X Company (7)'!$N$3:$N$698,"&gt;=0"),2),"")</f>
        <v>198.74</v>
      </c>
      <c r="AG296" s="16" t="s">
        <v>1302</v>
      </c>
      <c r="AH296" s="16" t="s">
        <v>1303</v>
      </c>
      <c r="AI296" s="16" t="s">
        <v>1303</v>
      </c>
      <c r="AJ296" s="16" t="str">
        <f aca="false">IF(O296&lt;&gt;"","",IF(ISNUMBER(D296),IF(D296&gt;=$C$3,"High price","Lower price"),"Unpriced")&amp;" · "&amp;IF(M296&gt;=$E$3,"high volume","lower volume"))</f>
        <v>High price · lower volume</v>
      </c>
      <c r="AK296" s="15" t="str">
        <f aca="false">IF(O296&lt;&gt;"",IF(O296="Price ≤ $5","Excluded – price ≤ $5","Excluded – IV only"),IF(ISNUMBER(D296),IF(AND(D296&gt;=$C$3,L296&gt;=$H$3),"Priority 1",IF(OR(D296&gt;=$C$3,L296&gt;=$H$3),"Priority 2","Priority 3")),IF(L296&gt;=$H$3,"Priority 2","Priority 3")))</f>
        <v>Priority 1</v>
      </c>
      <c r="AL296" s="16" t="str">
        <f aca="false">IF(O296&lt;&gt;"","",IF(ISNUMBER(D296),IF(D296&gt;=$C$3,"High price","Lower price"),"Unpriced")&amp;" · "&amp;IF(L296&gt;=$H$3,"high volume","lower volume"))</f>
        <v>High price · high volume</v>
      </c>
      <c r="AM296" s="14" t="n">
        <f aca="false">IF(O296&lt;&gt;"","",COUNTIFS($A$29:$A$361,A296,$O$29:$O$361,"",$AQ$29:$AQ$361,"&gt;"&amp;AQ296)+COUNTIFS($A$29:A296,A296,$O$29:O296,"",$AQ$29:AQ296,AQ296))</f>
        <v>2</v>
      </c>
      <c r="AN296" s="19" t="n">
        <f aca="false">IF(AND(O296="",ISNUMBER(D296)),D296,"")</f>
        <v>198.74</v>
      </c>
      <c r="AO296" s="20" t="n">
        <f aca="false">IF(O296="",M296,"")</f>
        <v>113</v>
      </c>
      <c r="AP296" s="20" t="n">
        <f aca="false">IF(O296="",L296,"")</f>
        <v>1331</v>
      </c>
      <c r="AQ296" s="33" t="n">
        <f aca="false">IF(O296&lt;&gt;"","",(4-VALUE(RIGHT(AK296,1)))*10^7+N(N296))</f>
        <v>30023317.34</v>
      </c>
      <c r="AR296" s="33" t="n">
        <f aca="false">INDEX($O$7:$O$25,MATCH(A296,$I$7:$I$25,0))</f>
        <v>10</v>
      </c>
      <c r="AS296" s="33" t="n">
        <f aca="false">IF(AE296="No","",AR296*1000+IF(AM296="",900+COUNTIFS($A$29:A296,A296,$O$29:O296,"Price ≤ $5"),AM296))</f>
        <v>10002</v>
      </c>
    </row>
    <row r="297" customFormat="false" ht="95.5" hidden="false" customHeight="false" outlineLevel="0" collapsed="false">
      <c r="A297" s="15" t="s">
        <v>199</v>
      </c>
      <c r="B297" s="15" t="s">
        <v>305</v>
      </c>
      <c r="C297" s="16" t="s">
        <v>306</v>
      </c>
      <c r="D297" s="17" t="n">
        <f aca="false">IF(W297&gt;0,ROUND(AVERAGEIFS('Shortlisted Drugs X Company (7)'!$N$3:$N$698,'Shortlisted Drugs X Company (7)'!$C$3:$C$698,$B297,'Shortlisted Drugs X Company (7)'!$E$3:$E$698,$S297,'Shortlisted Drugs X Company (7)'!$N$3:$N$698,"&gt;5"),2),"")</f>
        <v>887.33</v>
      </c>
      <c r="E297" s="15" t="str">
        <f aca="false">IF(COUNTIFS('Shortlisted Drugs X Company (7)'!$C$3:$C$698,$B297,'Shortlisted Drugs X Company (7)'!$E$3:$E$698,$S297,'Shortlisted Drugs X Company (7)'!$P$3:$P$698,"Exact")&gt;0,"Exact",IF(COUNTIFS('Shortlisted Drugs X Company (7)'!$C$3:$C$698,$B297,'Shortlisted Drugs X Company (7)'!$E$3:$E$698,$S297,'Shortlisted Drugs X Company (7)'!$P$3:$P$698,"Same-market proxy")&gt;0,"Same-market proxy",IF(COUNTIFS('Shortlisted Drugs X Company (7)'!$C$3:$C$698,$B297,'Shortlisted Drugs X Company (7)'!$E$3:$E$698,$S297,'Shortlisted Drugs X Company (7)'!$P$3:$P$698,"Cross-market proxy")&gt;0,"Cross-market proxy",IF(COUNTIFS('Shortlisted Drugs X Company (7)'!$C$3:$C$698,$B297,'Shortlisted Drugs X Company (7)'!$E$3:$E$698,$S297,'Shortlisted Drugs X Company (7)'!$P$3:$P$698,"Source not found")&gt;0,"Source not found","Not priced"))))</f>
        <v>Exact</v>
      </c>
      <c r="F297" s="18" t="n">
        <f aca="false">IFERROR(ROUND(INDEX('Injectable Value'!$AA$28:$AA$178,MATCH(B297,'Injectable Value'!$A$28:$A$178,0)),1),"")</f>
        <v>28093.4</v>
      </c>
      <c r="G297" s="16" t="s">
        <v>505</v>
      </c>
      <c r="H297" s="14" t="n">
        <v>34</v>
      </c>
      <c r="I297" s="15" t="s">
        <v>248</v>
      </c>
      <c r="J297" s="15" t="s">
        <v>249</v>
      </c>
      <c r="K297" s="16" t="str">
        <f aca="false">"Cancer drug (cytotoxic) – less relevant; Reconstitution"&amp;IF(V297=0,"; Unpriced","")&amp;IF(AND(V297&gt;0,W297=0,X297=0),"; Low price from another market – confirm with company","")</f>
        <v>Cancer drug (cytotoxic) – less relevant; Reconstitution</v>
      </c>
      <c r="L297" s="18" t="n">
        <f aca="false">IFERROR(INDEX('Shortlisted Drugs X Company (7)'!$K$3:$K$698,MATCH(B297,'Shortlisted Drugs X Company (7)'!$C$3:$C$698,0)),"")</f>
        <v>905</v>
      </c>
      <c r="M297" s="18" t="n">
        <f aca="false">IFERROR(ROUND(L297*INDEX('Injectable Value'!$Z$28:$Z$178,MATCH(B297,'Injectable Value'!$A$28:$A$178,0)),0),"")</f>
        <v>905</v>
      </c>
      <c r="N297" s="18" t="n">
        <f aca="false">IFERROR(INDEX('Shortlisted Drugs X Company (7)'!$L$3:$L$698,MATCH(B297,'Shortlisted Drugs X Company (7)'!$C$3:$C$698,0)),"")</f>
        <v>28093.38</v>
      </c>
      <c r="O297" s="15" t="str">
        <f aca="false">IF(AE297="No","IV only (not ID/IM/SC)",IF(AND(V297&gt;0,W297=0),"Price ≤ $5",""))</f>
        <v/>
      </c>
      <c r="P297" s="14" t="n">
        <f aca="false">IF(O297&lt;&gt;"","",COUNTIFS($A$29:$A$361,A297,$O$29:$O$361,"",$AC$29:$AC$361,"&gt;"&amp;AC297)+COUNTIFS($A$29:A297,A297,$O$29:O297,"",$AC$29:AC297,AC297))</f>
        <v>1</v>
      </c>
      <c r="Q297" s="15" t="str">
        <f aca="false">IF(O297&lt;&gt;"",IF(O297="Price ≤ $5","Excluded – price ≤ $5","Excluded – IV only"),IF(ISNUMBER(D297),IF(AND(D297&gt;=$C$3,M297&gt;=$E$3),"Priority 1",IF(OR(D297&gt;=$C$3,M297&gt;=$E$3),"Priority 2","Priority 3")),IF(M297&gt;=$E$3,"Priority 2","Priority 3")))</f>
        <v>Priority 1</v>
      </c>
      <c r="R297" s="16" t="s">
        <v>250</v>
      </c>
      <c r="S297" s="15" t="s">
        <v>199</v>
      </c>
      <c r="T297" s="32" t="s">
        <v>308</v>
      </c>
      <c r="U297" s="33" t="str">
        <f aca="false">B297&amp;"|"&amp;S297</f>
        <v>Bortezomib|Sun Pharma</v>
      </c>
      <c r="V297" s="34" t="n">
        <f aca="false">COUNTIFS('Shortlisted Drugs X Company (7)'!$C$3:$C$698,$B297,'Shortlisted Drugs X Company (7)'!$E$3:$E$698,$S297,'Shortlisted Drugs X Company (7)'!$N$3:$N$698,"&gt;=0")</f>
        <v>4</v>
      </c>
      <c r="W297" s="34" t="n">
        <f aca="false">COUNTIFS('Shortlisted Drugs X Company (7)'!$C$3:$C$698,$B297,'Shortlisted Drugs X Company (7)'!$E$3:$E$698,$S297,'Shortlisted Drugs X Company (7)'!$N$3:$N$698,"&gt;5")</f>
        <v>4</v>
      </c>
      <c r="X297" s="34" t="n">
        <f aca="false">COUNTIFS('Shortlisted Drugs X Company (7)'!$C$3:$C$698,$B297,'Shortlisted Drugs X Company (7)'!$E$3:$E$698,$S297,'Shortlisted Drugs X Company (7)'!$P$3:$P$698,"Exact")+COUNTIFS('Shortlisted Drugs X Company (7)'!$C$3:$C$698,$B297,'Shortlisted Drugs X Company (7)'!$E$3:$E$698,$S297,'Shortlisted Drugs X Company (7)'!$P$3:$P$698,"Same-market proxy")</f>
        <v>4</v>
      </c>
      <c r="Y297" s="33" t="str">
        <f aca="false">A297&amp;"|"&amp;P297</f>
        <v>Sun Pharma|1</v>
      </c>
      <c r="Z297" s="16" t="s">
        <v>1304</v>
      </c>
      <c r="AA297" s="33" t="n">
        <f aca="false">INDEX($G$7:$G$25,MATCH(A297,$A$7:$A$25,0))</f>
        <v>10</v>
      </c>
      <c r="AB297" s="33" t="n">
        <f aca="false">IF(AE297="No","",AA297*1000+IF(P297="",900+COUNTIFS($A$29:A297,A297,$O$29:O297,"Price ≤ $5"),P297))</f>
        <v>10001</v>
      </c>
      <c r="AC297" s="33" t="n">
        <f aca="false">IF(O297&lt;&gt;"","",(4-VALUE(RIGHT(Q297,1)))*10^7+N(F297))</f>
        <v>30028093.4</v>
      </c>
      <c r="AD297" s="15" t="str">
        <f aca="false">IFERROR(INDEX('Route of Administration'!$C$5:$C$155,MATCH(B297,'Route of Administration'!$A$5:$A$155,0)),"")</f>
        <v>IV, SC</v>
      </c>
      <c r="AE297" s="14" t="str">
        <f aca="false">IFERROR(INDEX('Route of Administration'!$D$5:$D$155,MATCH(B297,'Route of Administration'!$A$5:$A$155,0)),"")</f>
        <v>Yes</v>
      </c>
      <c r="AF297" s="19" t="n">
        <f aca="false">IF(V297&gt;0,ROUND(AVERAGEIFS('Shortlisted Drugs X Company (7)'!$N$3:$N$698,'Shortlisted Drugs X Company (7)'!$C$3:$C$698,$B297,'Shortlisted Drugs X Company (7)'!$E$3:$E$698,$S297,'Shortlisted Drugs X Company (7)'!$N$3:$N$698,"&gt;=0"),2),"")</f>
        <v>887.33</v>
      </c>
      <c r="AG297" s="16" t="s">
        <v>1305</v>
      </c>
      <c r="AH297" s="16" t="s">
        <v>1306</v>
      </c>
      <c r="AI297" s="16" t="s">
        <v>1307</v>
      </c>
      <c r="AJ297" s="16" t="str">
        <f aca="false">IF(O297&lt;&gt;"","",IF(ISNUMBER(D297),IF(D297&gt;=$C$3,"High price","Lower price"),"Unpriced")&amp;" · "&amp;IF(M297&gt;=$E$3,"high volume","lower volume"))</f>
        <v>High price · high volume</v>
      </c>
      <c r="AK297" s="15" t="str">
        <f aca="false">IF(O297&lt;&gt;"",IF(O297="Price ≤ $5","Excluded – price ≤ $5","Excluded – IV only"),IF(ISNUMBER(D297),IF(AND(D297&gt;=$C$3,L297&gt;=$H$3),"Priority 1",IF(OR(D297&gt;=$C$3,L297&gt;=$H$3),"Priority 2","Priority 3")),IF(L297&gt;=$H$3,"Priority 2","Priority 3")))</f>
        <v>Priority 1</v>
      </c>
      <c r="AL297" s="16" t="str">
        <f aca="false">IF(O297&lt;&gt;"","",IF(ISNUMBER(D297),IF(D297&gt;=$C$3,"High price","Lower price"),"Unpriced")&amp;" · "&amp;IF(L297&gt;=$H$3,"high volume","lower volume"))</f>
        <v>High price · high volume</v>
      </c>
      <c r="AM297" s="14" t="n">
        <f aca="false">IF(O297&lt;&gt;"","",COUNTIFS($A$29:$A$361,A297,$O$29:$O$361,"",$AQ$29:$AQ$361,"&gt;"&amp;AQ297)+COUNTIFS($A$29:A297,A297,$O$29:O297,"",$AQ$29:AQ297,AQ297))</f>
        <v>1</v>
      </c>
      <c r="AN297" s="19" t="n">
        <f aca="false">IF(AND(O297="",ISNUMBER(D297)),D297,"")</f>
        <v>887.33</v>
      </c>
      <c r="AO297" s="20" t="n">
        <f aca="false">IF(O297="",M297,"")</f>
        <v>905</v>
      </c>
      <c r="AP297" s="20" t="n">
        <f aca="false">IF(O297="",L297,"")</f>
        <v>905</v>
      </c>
      <c r="AQ297" s="33" t="n">
        <f aca="false">IF(O297&lt;&gt;"","",(4-VALUE(RIGHT(AK297,1)))*10^7+N(N297))</f>
        <v>30028093.38</v>
      </c>
      <c r="AR297" s="33" t="n">
        <f aca="false">INDEX($O$7:$O$25,MATCH(A297,$I$7:$I$25,0))</f>
        <v>10</v>
      </c>
      <c r="AS297" s="33" t="n">
        <f aca="false">IF(AE297="No","",AR297*1000+IF(AM297="",900+COUNTIFS($A$29:A297,A297,$O$29:O297,"Price ≤ $5"),AM297))</f>
        <v>10001</v>
      </c>
    </row>
    <row r="298" customFormat="false" ht="28.35" hidden="false" customHeight="false" outlineLevel="0" collapsed="false">
      <c r="A298" s="15" t="s">
        <v>199</v>
      </c>
      <c r="B298" s="15" t="s">
        <v>1308</v>
      </c>
      <c r="C298" s="16" t="s">
        <v>1309</v>
      </c>
      <c r="D298" s="17" t="n">
        <f aca="false">IF(W298&gt;0,ROUND(AVERAGEIFS('Shortlisted Drugs X Company (7)'!$N$3:$N$698,'Shortlisted Drugs X Company (7)'!$C$3:$C$698,$B298,'Shortlisted Drugs X Company (7)'!$E$3:$E$698,$S298,'Shortlisted Drugs X Company (7)'!$N$3:$N$698,"&gt;5"),2),"")</f>
        <v>29.39</v>
      </c>
      <c r="E298" s="15" t="str">
        <f aca="false">IF(COUNTIFS('Shortlisted Drugs X Company (7)'!$C$3:$C$698,$B298,'Shortlisted Drugs X Company (7)'!$E$3:$E$698,$S298,'Shortlisted Drugs X Company (7)'!$P$3:$P$698,"Exact")&gt;0,"Exact",IF(COUNTIFS('Shortlisted Drugs X Company (7)'!$C$3:$C$698,$B298,'Shortlisted Drugs X Company (7)'!$E$3:$E$698,$S298,'Shortlisted Drugs X Company (7)'!$P$3:$P$698,"Same-market proxy")&gt;0,"Same-market proxy",IF(COUNTIFS('Shortlisted Drugs X Company (7)'!$C$3:$C$698,$B298,'Shortlisted Drugs X Company (7)'!$E$3:$E$698,$S298,'Shortlisted Drugs X Company (7)'!$P$3:$P$698,"Cross-market proxy")&gt;0,"Cross-market proxy",IF(COUNTIFS('Shortlisted Drugs X Company (7)'!$C$3:$C$698,$B298,'Shortlisted Drugs X Company (7)'!$E$3:$E$698,$S298,'Shortlisted Drugs X Company (7)'!$P$3:$P$698,"Source not found")&gt;0,"Source not found","Not priced"))))</f>
        <v>Same-market proxy</v>
      </c>
      <c r="F298" s="18" t="n">
        <f aca="false">IFERROR(ROUND(INDEX('Injectable Value'!$AA$28:$AA$178,MATCH(B298,'Injectable Value'!$A$28:$A$178,0)),1),"")</f>
        <v>2991.3</v>
      </c>
      <c r="G298" s="16" t="s">
        <v>247</v>
      </c>
      <c r="H298" s="14" t="n">
        <v>1</v>
      </c>
      <c r="I298" s="15" t="s">
        <v>248</v>
      </c>
      <c r="J298" s="15" t="s">
        <v>324</v>
      </c>
      <c r="K298" s="16" t="str">
        <f aca="false">"Reconstitution"&amp;IF(V298=0,"; Unpriced","")&amp;IF(AND(V298&gt;0,W298=0,X298=0),"; Low price from another market – confirm with company","")</f>
        <v>Reconstitution</v>
      </c>
      <c r="L298" s="18" t="n">
        <f aca="false">IFERROR(INDEX('Shortlisted Drugs X Company (7)'!$K$3:$K$698,MATCH(B298,'Shortlisted Drugs X Company (7)'!$C$3:$C$698,0)),"")</f>
        <v>15</v>
      </c>
      <c r="M298" s="18" t="n">
        <f aca="false">IFERROR(ROUND(L298*INDEX('Injectable Value'!$Z$28:$Z$178,MATCH(B298,'Injectable Value'!$A$28:$A$178,0)),0),"")</f>
        <v>13</v>
      </c>
      <c r="N298" s="18" t="n">
        <f aca="false">IFERROR(INDEX('Shortlisted Drugs X Company (7)'!$L$3:$L$698,MATCH(B298,'Shortlisted Drugs X Company (7)'!$C$3:$C$698,0)),"")</f>
        <v>3589.61</v>
      </c>
      <c r="O298" s="15" t="str">
        <f aca="false">IF(AE298="No","IV only (not ID/IM/SC)",IF(AND(V298&gt;0,W298=0),"Price ≤ $5",""))</f>
        <v>IV only (not ID/IM/SC)</v>
      </c>
      <c r="P298" s="14" t="str">
        <f aca="false">IF(O298&lt;&gt;"","",COUNTIFS($A$29:$A$361,A298,$O$29:$O$361,"",$AC$29:$AC$361,"&gt;"&amp;AC298)+COUNTIFS($A$29:A298,A298,$O$29:O298,"",$AC$29:AC298,AC298))</f>
        <v/>
      </c>
      <c r="Q298" s="15" t="str">
        <f aca="false">IF(O298&lt;&gt;"",IF(O298="Price ≤ $5","Excluded – price ≤ $5","Excluded – IV only"),IF(ISNUMBER(D298),IF(AND(D298&gt;=$C$3,M298&gt;=$E$3),"Priority 1",IF(OR(D298&gt;=$C$3,M298&gt;=$E$3),"Priority 2","Priority 3")),IF(M298&gt;=$E$3,"Priority 2","Priority 3")))</f>
        <v>Excluded – IV only</v>
      </c>
      <c r="R298" s="16" t="s">
        <v>285</v>
      </c>
      <c r="S298" s="15" t="s">
        <v>199</v>
      </c>
      <c r="T298" s="32" t="s">
        <v>1310</v>
      </c>
      <c r="U298" s="33" t="str">
        <f aca="false">B298&amp;"|"&amp;S298</f>
        <v>Chlorothiazide|Sun Pharma</v>
      </c>
      <c r="V298" s="34" t="n">
        <f aca="false">COUNTIFS('Shortlisted Drugs X Company (7)'!$C$3:$C$698,$B298,'Shortlisted Drugs X Company (7)'!$E$3:$E$698,$S298,'Shortlisted Drugs X Company (7)'!$N$3:$N$698,"&gt;=0")</f>
        <v>1</v>
      </c>
      <c r="W298" s="34" t="n">
        <f aca="false">COUNTIFS('Shortlisted Drugs X Company (7)'!$C$3:$C$698,$B298,'Shortlisted Drugs X Company (7)'!$E$3:$E$698,$S298,'Shortlisted Drugs X Company (7)'!$N$3:$N$698,"&gt;5")</f>
        <v>1</v>
      </c>
      <c r="X298" s="34" t="n">
        <f aca="false">COUNTIFS('Shortlisted Drugs X Company (7)'!$C$3:$C$698,$B298,'Shortlisted Drugs X Company (7)'!$E$3:$E$698,$S298,'Shortlisted Drugs X Company (7)'!$P$3:$P$698,"Exact")+COUNTIFS('Shortlisted Drugs X Company (7)'!$C$3:$C$698,$B298,'Shortlisted Drugs X Company (7)'!$E$3:$E$698,$S298,'Shortlisted Drugs X Company (7)'!$P$3:$P$698,"Same-market proxy")</f>
        <v>1</v>
      </c>
      <c r="Y298" s="33" t="str">
        <f aca="false">A298&amp;"|"&amp;P298</f>
        <v>Sun Pharma|</v>
      </c>
      <c r="Z298" s="16" t="s">
        <v>1311</v>
      </c>
      <c r="AA298" s="33" t="n">
        <f aca="false">INDEX($G$7:$G$25,MATCH(A298,$A$7:$A$25,0))</f>
        <v>10</v>
      </c>
      <c r="AB298" s="33" t="str">
        <f aca="false">IF(AE298="No","",AA298*1000+IF(P298="",900+COUNTIFS($A$29:A298,A298,$O$29:O298,"Price ≤ $5"),P298))</f>
        <v/>
      </c>
      <c r="AC298" s="33" t="str">
        <f aca="false">IF(O298&lt;&gt;"","",(4-VALUE(RIGHT(Q298,1)))*10^7+N(F298))</f>
        <v/>
      </c>
      <c r="AD298" s="15" t="str">
        <f aca="false">IFERROR(INDEX('Route of Administration'!$C$5:$C$155,MATCH(B298,'Route of Administration'!$A$5:$A$155,0)),"")</f>
        <v>IV</v>
      </c>
      <c r="AE298" s="14" t="str">
        <f aca="false">IFERROR(INDEX('Route of Administration'!$D$5:$D$155,MATCH(B298,'Route of Administration'!$A$5:$A$155,0)),"")</f>
        <v>No</v>
      </c>
      <c r="AF298" s="19" t="n">
        <f aca="false">IF(V298&gt;0,ROUND(AVERAGEIFS('Shortlisted Drugs X Company (7)'!$N$3:$N$698,'Shortlisted Drugs X Company (7)'!$C$3:$C$698,$B298,'Shortlisted Drugs X Company (7)'!$E$3:$E$698,$S298,'Shortlisted Drugs X Company (7)'!$N$3:$N$698,"&gt;=0"),2),"")</f>
        <v>29.39</v>
      </c>
      <c r="AG298" s="16" t="s">
        <v>1312</v>
      </c>
      <c r="AH298" s="16" t="s">
        <v>247</v>
      </c>
      <c r="AI298" s="16" t="s">
        <v>247</v>
      </c>
      <c r="AJ298" s="16" t="str">
        <f aca="false">IF(O298&lt;&gt;"","",IF(ISNUMBER(D298),IF(D298&gt;=$C$3,"High price","Lower price"),"Unpriced")&amp;" · "&amp;IF(M298&gt;=$E$3,"high volume","lower volume"))</f>
        <v/>
      </c>
      <c r="AK298" s="15" t="str">
        <f aca="false">IF(O298&lt;&gt;"",IF(O298="Price ≤ $5","Excluded – price ≤ $5","Excluded – IV only"),IF(ISNUMBER(D298),IF(AND(D298&gt;=$C$3,L298&gt;=$H$3),"Priority 1",IF(OR(D298&gt;=$C$3,L298&gt;=$H$3),"Priority 2","Priority 3")),IF(L298&gt;=$H$3,"Priority 2","Priority 3")))</f>
        <v>Excluded – IV only</v>
      </c>
      <c r="AL298" s="16" t="str">
        <f aca="false">IF(O298&lt;&gt;"","",IF(ISNUMBER(D298),IF(D298&gt;=$C$3,"High price","Lower price"),"Unpriced")&amp;" · "&amp;IF(L298&gt;=$H$3,"high volume","lower volume"))</f>
        <v/>
      </c>
      <c r="AM298" s="14" t="str">
        <f aca="false">IF(O298&lt;&gt;"","",COUNTIFS($A$29:$A$361,A298,$O$29:$O$361,"",$AQ$29:$AQ$361,"&gt;"&amp;AQ298)+COUNTIFS($A$29:A298,A298,$O$29:O298,"",$AQ$29:AQ298,AQ298))</f>
        <v/>
      </c>
      <c r="AN298" s="33" t="str">
        <f aca="false">IF(AND(O298="",ISNUMBER(D298)),D298,"")</f>
        <v/>
      </c>
      <c r="AO298" s="33" t="str">
        <f aca="false">IF(O298="",M298,"")</f>
        <v/>
      </c>
      <c r="AP298" s="33" t="str">
        <f aca="false">IF(O298="",L298,"")</f>
        <v/>
      </c>
      <c r="AQ298" s="33" t="str">
        <f aca="false">IF(O298&lt;&gt;"","",(4-VALUE(RIGHT(AK298,1)))*10^7+N(N298))</f>
        <v/>
      </c>
      <c r="AR298" s="33" t="n">
        <f aca="false">INDEX($O$7:$O$25,MATCH(A298,$I$7:$I$25,0))</f>
        <v>10</v>
      </c>
      <c r="AS298" s="33" t="str">
        <f aca="false">IF(AE298="No","",AR298*1000+IF(AM298="",900+COUNTIFS($A$29:A298,A298,$O$29:O298,"Price ≤ $5"),AM298))</f>
        <v/>
      </c>
    </row>
    <row r="299" customFormat="false" ht="28.35" hidden="false" customHeight="false" outlineLevel="0" collapsed="false">
      <c r="A299" s="15" t="s">
        <v>199</v>
      </c>
      <c r="B299" s="15" t="s">
        <v>362</v>
      </c>
      <c r="C299" s="16" t="s">
        <v>363</v>
      </c>
      <c r="D299" s="17" t="n">
        <f aca="false">IF(W299&gt;0,ROUND(AVERAGEIFS('Shortlisted Drugs X Company (7)'!$N$3:$N$698,'Shortlisted Drugs X Company (7)'!$C$3:$C$698,$B299,'Shortlisted Drugs X Company (7)'!$E$3:$E$698,$S299,'Shortlisted Drugs X Company (7)'!$N$3:$N$698,"&gt;5"),2),"")</f>
        <v>15.95</v>
      </c>
      <c r="E299" s="15" t="str">
        <f aca="false">IF(COUNTIFS('Shortlisted Drugs X Company (7)'!$C$3:$C$698,$B299,'Shortlisted Drugs X Company (7)'!$E$3:$E$698,$S299,'Shortlisted Drugs X Company (7)'!$P$3:$P$698,"Exact")&gt;0,"Exact",IF(COUNTIFS('Shortlisted Drugs X Company (7)'!$C$3:$C$698,$B299,'Shortlisted Drugs X Company (7)'!$E$3:$E$698,$S299,'Shortlisted Drugs X Company (7)'!$P$3:$P$698,"Same-market proxy")&gt;0,"Same-market proxy",IF(COUNTIFS('Shortlisted Drugs X Company (7)'!$C$3:$C$698,$B299,'Shortlisted Drugs X Company (7)'!$E$3:$E$698,$S299,'Shortlisted Drugs X Company (7)'!$P$3:$P$698,"Cross-market proxy")&gt;0,"Cross-market proxy",IF(COUNTIFS('Shortlisted Drugs X Company (7)'!$C$3:$C$698,$B299,'Shortlisted Drugs X Company (7)'!$E$3:$E$698,$S299,'Shortlisted Drugs X Company (7)'!$P$3:$P$698,"Source not found")&gt;0,"Source not found","Not priced"))))</f>
        <v>Same-market proxy</v>
      </c>
      <c r="F299" s="18" t="n">
        <f aca="false">IFERROR(ROUND(INDEX('Injectable Value'!$AA$28:$AA$178,MATCH(B299,'Injectable Value'!$A$28:$A$178,0)),1),"")</f>
        <v>41503.2</v>
      </c>
      <c r="G299" s="16" t="s">
        <v>1313</v>
      </c>
      <c r="H299" s="14" t="n">
        <v>2</v>
      </c>
      <c r="I299" s="15" t="s">
        <v>248</v>
      </c>
      <c r="J299" s="15" t="s">
        <v>284</v>
      </c>
      <c r="K299" s="16" t="str">
        <f aca="false">"Cancer drug (cytotoxic) – less relevant"&amp;IF(V299=0,"; Unpriced","")&amp;IF(AND(V299&gt;0,W299=0,X299=0),"; Low price from another market – confirm with company","")</f>
        <v>Cancer drug (cytotoxic) – less relevant</v>
      </c>
      <c r="L299" s="18" t="n">
        <f aca="false">IFERROR(INDEX('Shortlisted Drugs X Company (7)'!$K$3:$K$698,MATCH(B299,'Shortlisted Drugs X Company (7)'!$C$3:$C$698,0)),"")</f>
        <v>1644</v>
      </c>
      <c r="M299" s="18" t="n">
        <f aca="false">IFERROR(ROUND(L299*INDEX('Injectable Value'!$Z$28:$Z$178,MATCH(B299,'Injectable Value'!$A$28:$A$178,0)),0),"")</f>
        <v>1629</v>
      </c>
      <c r="N299" s="18" t="n">
        <f aca="false">IFERROR(INDEX('Shortlisted Drugs X Company (7)'!$L$3:$L$698,MATCH(B299,'Shortlisted Drugs X Company (7)'!$C$3:$C$698,0)),"")</f>
        <v>41889.23</v>
      </c>
      <c r="O299" s="15" t="str">
        <f aca="false">IF(AE299="No","IV only (not ID/IM/SC)",IF(AND(V299&gt;0,W299=0),"Price ≤ $5",""))</f>
        <v>IV only (not ID/IM/SC)</v>
      </c>
      <c r="P299" s="14" t="str">
        <f aca="false">IF(O299&lt;&gt;"","",COUNTIFS($A$29:$A$361,A299,$O$29:$O$361,"",$AC$29:$AC$361,"&gt;"&amp;AC299)+COUNTIFS($A$29:A299,A299,$O$29:O299,"",$AC$29:AC299,AC299))</f>
        <v/>
      </c>
      <c r="Q299" s="15" t="str">
        <f aca="false">IF(O299&lt;&gt;"",IF(O299="Price ≤ $5","Excluded – price ≤ $5","Excluded – IV only"),IF(ISNUMBER(D299),IF(AND(D299&gt;=$C$3,M299&gt;=$E$3),"Priority 1",IF(OR(D299&gt;=$C$3,M299&gt;=$E$3),"Priority 2","Priority 3")),IF(M299&gt;=$E$3,"Priority 2","Priority 3")))</f>
        <v>Excluded – IV only</v>
      </c>
      <c r="R299" s="16" t="s">
        <v>250</v>
      </c>
      <c r="S299" s="15" t="s">
        <v>199</v>
      </c>
      <c r="T299" s="32" t="s">
        <v>365</v>
      </c>
      <c r="U299" s="33" t="str">
        <f aca="false">B299&amp;"|"&amp;S299</f>
        <v>Doxorubicin|Sun Pharma</v>
      </c>
      <c r="V299" s="34" t="n">
        <f aca="false">COUNTIFS('Shortlisted Drugs X Company (7)'!$C$3:$C$698,$B299,'Shortlisted Drugs X Company (7)'!$E$3:$E$698,$S299,'Shortlisted Drugs X Company (7)'!$N$3:$N$698,"&gt;=0")</f>
        <v>1</v>
      </c>
      <c r="W299" s="34" t="n">
        <f aca="false">COUNTIFS('Shortlisted Drugs X Company (7)'!$C$3:$C$698,$B299,'Shortlisted Drugs X Company (7)'!$E$3:$E$698,$S299,'Shortlisted Drugs X Company (7)'!$N$3:$N$698,"&gt;5")</f>
        <v>1</v>
      </c>
      <c r="X299" s="34" t="n">
        <f aca="false">COUNTIFS('Shortlisted Drugs X Company (7)'!$C$3:$C$698,$B299,'Shortlisted Drugs X Company (7)'!$E$3:$E$698,$S299,'Shortlisted Drugs X Company (7)'!$P$3:$P$698,"Exact")+COUNTIFS('Shortlisted Drugs X Company (7)'!$C$3:$C$698,$B299,'Shortlisted Drugs X Company (7)'!$E$3:$E$698,$S299,'Shortlisted Drugs X Company (7)'!$P$3:$P$698,"Same-market proxy")</f>
        <v>1</v>
      </c>
      <c r="Y299" s="33" t="str">
        <f aca="false">A299&amp;"|"&amp;P299</f>
        <v>Sun Pharma|</v>
      </c>
      <c r="Z299" s="16" t="s">
        <v>380</v>
      </c>
      <c r="AA299" s="33" t="n">
        <f aca="false">INDEX($G$7:$G$25,MATCH(A299,$A$7:$A$25,0))</f>
        <v>10</v>
      </c>
      <c r="AB299" s="33" t="str">
        <f aca="false">IF(AE299="No","",AA299*1000+IF(P299="",900+COUNTIFS($A$29:A299,A299,$O$29:O299,"Price ≤ $5"),P299))</f>
        <v/>
      </c>
      <c r="AC299" s="33" t="str">
        <f aca="false">IF(O299&lt;&gt;"","",(4-VALUE(RIGHT(Q299,1)))*10^7+N(F299))</f>
        <v/>
      </c>
      <c r="AD299" s="15" t="str">
        <f aca="false">IFERROR(INDEX('Route of Administration'!$C$5:$C$155,MATCH(B299,'Route of Administration'!$A$5:$A$155,0)),"")</f>
        <v>IV</v>
      </c>
      <c r="AE299" s="14" t="str">
        <f aca="false">IFERROR(INDEX('Route of Administration'!$D$5:$D$155,MATCH(B299,'Route of Administration'!$A$5:$A$155,0)),"")</f>
        <v>No</v>
      </c>
      <c r="AF299" s="19" t="n">
        <f aca="false">IF(V299&gt;0,ROUND(AVERAGEIFS('Shortlisted Drugs X Company (7)'!$N$3:$N$698,'Shortlisted Drugs X Company (7)'!$C$3:$C$698,$B299,'Shortlisted Drugs X Company (7)'!$E$3:$E$698,$S299,'Shortlisted Drugs X Company (7)'!$N$3:$N$698,"&gt;=0"),2),"")</f>
        <v>15.95</v>
      </c>
      <c r="AG299" s="16" t="s">
        <v>1314</v>
      </c>
      <c r="AH299" s="16" t="s">
        <v>1313</v>
      </c>
      <c r="AI299" s="16" t="s">
        <v>1313</v>
      </c>
      <c r="AJ299" s="16" t="str">
        <f aca="false">IF(O299&lt;&gt;"","",IF(ISNUMBER(D299),IF(D299&gt;=$C$3,"High price","Lower price"),"Unpriced")&amp;" · "&amp;IF(M299&gt;=$E$3,"high volume","lower volume"))</f>
        <v/>
      </c>
      <c r="AK299" s="15" t="str">
        <f aca="false">IF(O299&lt;&gt;"",IF(O299="Price ≤ $5","Excluded – price ≤ $5","Excluded – IV only"),IF(ISNUMBER(D299),IF(AND(D299&gt;=$C$3,L299&gt;=$H$3),"Priority 1",IF(OR(D299&gt;=$C$3,L299&gt;=$H$3),"Priority 2","Priority 3")),IF(L299&gt;=$H$3,"Priority 2","Priority 3")))</f>
        <v>Excluded – IV only</v>
      </c>
      <c r="AL299" s="16" t="str">
        <f aca="false">IF(O299&lt;&gt;"","",IF(ISNUMBER(D299),IF(D299&gt;=$C$3,"High price","Lower price"),"Unpriced")&amp;" · "&amp;IF(L299&gt;=$H$3,"high volume","lower volume"))</f>
        <v/>
      </c>
      <c r="AM299" s="14" t="str">
        <f aca="false">IF(O299&lt;&gt;"","",COUNTIFS($A$29:$A$361,A299,$O$29:$O$361,"",$AQ$29:$AQ$361,"&gt;"&amp;AQ299)+COUNTIFS($A$29:A299,A299,$O$29:O299,"",$AQ$29:AQ299,AQ299))</f>
        <v/>
      </c>
      <c r="AN299" s="33" t="str">
        <f aca="false">IF(AND(O299="",ISNUMBER(D299)),D299,"")</f>
        <v/>
      </c>
      <c r="AO299" s="33" t="str">
        <f aca="false">IF(O299="",M299,"")</f>
        <v/>
      </c>
      <c r="AP299" s="33" t="str">
        <f aca="false">IF(O299="",L299,"")</f>
        <v/>
      </c>
      <c r="AQ299" s="33" t="str">
        <f aca="false">IF(O299&lt;&gt;"","",(4-VALUE(RIGHT(AK299,1)))*10^7+N(N299))</f>
        <v/>
      </c>
      <c r="AR299" s="33" t="n">
        <f aca="false">INDEX($O$7:$O$25,MATCH(A299,$I$7:$I$25,0))</f>
        <v>10</v>
      </c>
      <c r="AS299" s="33" t="str">
        <f aca="false">IF(AE299="No","",AR299*1000+IF(AM299="",900+COUNTIFS($A$29:A299,A299,$O$29:O299,"Price ≤ $5"),AM299))</f>
        <v/>
      </c>
    </row>
    <row r="300" customFormat="false" ht="28.35" hidden="false" customHeight="false" outlineLevel="0" collapsed="false">
      <c r="A300" s="15" t="s">
        <v>199</v>
      </c>
      <c r="B300" s="15" t="s">
        <v>774</v>
      </c>
      <c r="C300" s="16" t="s">
        <v>775</v>
      </c>
      <c r="D300" s="17" t="n">
        <f aca="false">IF(W300&gt;0,ROUND(AVERAGEIFS('Shortlisted Drugs X Company (7)'!$N$3:$N$698,'Shortlisted Drugs X Company (7)'!$C$3:$C$698,$B300,'Shortlisted Drugs X Company (7)'!$E$3:$E$698,$S300,'Shortlisted Drugs X Company (7)'!$N$3:$N$698,"&gt;5"),2),"")</f>
        <v>7.27</v>
      </c>
      <c r="E300" s="15" t="str">
        <f aca="false">IF(COUNTIFS('Shortlisted Drugs X Company (7)'!$C$3:$C$698,$B300,'Shortlisted Drugs X Company (7)'!$E$3:$E$698,$S300,'Shortlisted Drugs X Company (7)'!$P$3:$P$698,"Exact")&gt;0,"Exact",IF(COUNTIFS('Shortlisted Drugs X Company (7)'!$C$3:$C$698,$B300,'Shortlisted Drugs X Company (7)'!$E$3:$E$698,$S300,'Shortlisted Drugs X Company (7)'!$P$3:$P$698,"Same-market proxy")&gt;0,"Same-market proxy",IF(COUNTIFS('Shortlisted Drugs X Company (7)'!$C$3:$C$698,$B300,'Shortlisted Drugs X Company (7)'!$E$3:$E$698,$S300,'Shortlisted Drugs X Company (7)'!$P$3:$P$698,"Cross-market proxy")&gt;0,"Cross-market proxy",IF(COUNTIFS('Shortlisted Drugs X Company (7)'!$C$3:$C$698,$B300,'Shortlisted Drugs X Company (7)'!$E$3:$E$698,$S300,'Shortlisted Drugs X Company (7)'!$P$3:$P$698,"Source not found")&gt;0,"Source not found","Not priced"))))</f>
        <v>Exact</v>
      </c>
      <c r="F300" s="18" t="n">
        <f aca="false">IFERROR(ROUND(INDEX('Injectable Value'!$AA$28:$AA$178,MATCH(B300,'Injectable Value'!$A$28:$A$178,0)),1),"")</f>
        <v>13516.1</v>
      </c>
      <c r="G300" s="16" t="s">
        <v>776</v>
      </c>
      <c r="H300" s="14" t="n">
        <v>10</v>
      </c>
      <c r="I300" s="15" t="s">
        <v>248</v>
      </c>
      <c r="J300" s="15" t="s">
        <v>299</v>
      </c>
      <c r="K300" s="16" t="str">
        <f aca="false">"Reconstitution"&amp;IF(V300=0,"; Unpriced","")&amp;IF(AND(V300&gt;0,W300=0,X300=0),"; Low price from another market – confirm with company","")</f>
        <v>Reconstitution</v>
      </c>
      <c r="L300" s="18" t="n">
        <f aca="false">IFERROR(INDEX('Shortlisted Drugs X Company (7)'!$K$3:$K$698,MATCH(B300,'Shortlisted Drugs X Company (7)'!$C$3:$C$698,0)),"")</f>
        <v>3168</v>
      </c>
      <c r="M300" s="18" t="n">
        <f aca="false">IFERROR(ROUND(L300*INDEX('Injectable Value'!$Z$28:$Z$178,MATCH(B300,'Injectable Value'!$A$28:$A$178,0)),0),"")</f>
        <v>328</v>
      </c>
      <c r="N300" s="18" t="n">
        <f aca="false">IFERROR(INDEX('Shortlisted Drugs X Company (7)'!$L$3:$L$698,MATCH(B300,'Shortlisted Drugs X Company (7)'!$C$3:$C$698,0)),"")</f>
        <v>130453.11</v>
      </c>
      <c r="O300" s="15" t="str">
        <f aca="false">IF(AE300="No","IV only (not ID/IM/SC)",IF(AND(V300&gt;0,W300=0),"Price ≤ $5",""))</f>
        <v>IV only (not ID/IM/SC)</v>
      </c>
      <c r="P300" s="14" t="str">
        <f aca="false">IF(O300&lt;&gt;"","",COUNTIFS($A$29:$A$361,A300,$O$29:$O$361,"",$AC$29:$AC$361,"&gt;"&amp;AC300)+COUNTIFS($A$29:A300,A300,$O$29:O300,"",$AC$29:AC300,AC300))</f>
        <v/>
      </c>
      <c r="Q300" s="15" t="str">
        <f aca="false">IF(O300&lt;&gt;"",IF(O300="Price ≤ $5","Excluded – price ≤ $5","Excluded – IV only"),IF(ISNUMBER(D300),IF(AND(D300&gt;=$C$3,M300&gt;=$E$3),"Priority 1",IF(OR(D300&gt;=$C$3,M300&gt;=$E$3),"Priority 2","Priority 3")),IF(M300&gt;=$E$3,"Priority 2","Priority 3")))</f>
        <v>Excluded – IV only</v>
      </c>
      <c r="R300" s="16" t="s">
        <v>250</v>
      </c>
      <c r="S300" s="15" t="s">
        <v>199</v>
      </c>
      <c r="T300" s="32" t="s">
        <v>777</v>
      </c>
      <c r="U300" s="33" t="str">
        <f aca="false">B300&amp;"|"&amp;S300</f>
        <v>Esomeprazole|Sun Pharma</v>
      </c>
      <c r="V300" s="34" t="n">
        <f aca="false">COUNTIFS('Shortlisted Drugs X Company (7)'!$C$3:$C$698,$B300,'Shortlisted Drugs X Company (7)'!$E$3:$E$698,$S300,'Shortlisted Drugs X Company (7)'!$N$3:$N$698,"&gt;=0")</f>
        <v>1</v>
      </c>
      <c r="W300" s="34" t="n">
        <f aca="false">COUNTIFS('Shortlisted Drugs X Company (7)'!$C$3:$C$698,$B300,'Shortlisted Drugs X Company (7)'!$E$3:$E$698,$S300,'Shortlisted Drugs X Company (7)'!$N$3:$N$698,"&gt;5")</f>
        <v>1</v>
      </c>
      <c r="X300" s="34" t="n">
        <f aca="false">COUNTIFS('Shortlisted Drugs X Company (7)'!$C$3:$C$698,$B300,'Shortlisted Drugs X Company (7)'!$E$3:$E$698,$S300,'Shortlisted Drugs X Company (7)'!$P$3:$P$698,"Exact")+COUNTIFS('Shortlisted Drugs X Company (7)'!$C$3:$C$698,$B300,'Shortlisted Drugs X Company (7)'!$E$3:$E$698,$S300,'Shortlisted Drugs X Company (7)'!$P$3:$P$698,"Same-market proxy")</f>
        <v>1</v>
      </c>
      <c r="Y300" s="33" t="str">
        <f aca="false">A300&amp;"|"&amp;P300</f>
        <v>Sun Pharma|</v>
      </c>
      <c r="Z300" s="16" t="s">
        <v>778</v>
      </c>
      <c r="AA300" s="33" t="n">
        <f aca="false">INDEX($G$7:$G$25,MATCH(A300,$A$7:$A$25,0))</f>
        <v>10</v>
      </c>
      <c r="AB300" s="33" t="str">
        <f aca="false">IF(AE300="No","",AA300*1000+IF(P300="",900+COUNTIFS($A$29:A300,A300,$O$29:O300,"Price ≤ $5"),P300))</f>
        <v/>
      </c>
      <c r="AC300" s="33" t="str">
        <f aca="false">IF(O300&lt;&gt;"","",(4-VALUE(RIGHT(Q300,1)))*10^7+N(F300))</f>
        <v/>
      </c>
      <c r="AD300" s="15" t="str">
        <f aca="false">IFERROR(INDEX('Route of Administration'!$C$5:$C$155,MATCH(B300,'Route of Administration'!$A$5:$A$155,0)),"")</f>
        <v>IV</v>
      </c>
      <c r="AE300" s="14" t="str">
        <f aca="false">IFERROR(INDEX('Route of Administration'!$D$5:$D$155,MATCH(B300,'Route of Administration'!$A$5:$A$155,0)),"")</f>
        <v>No</v>
      </c>
      <c r="AF300" s="19" t="n">
        <f aca="false">IF(V300&gt;0,ROUND(AVERAGEIFS('Shortlisted Drugs X Company (7)'!$N$3:$N$698,'Shortlisted Drugs X Company (7)'!$C$3:$C$698,$B300,'Shortlisted Drugs X Company (7)'!$E$3:$E$698,$S300,'Shortlisted Drugs X Company (7)'!$N$3:$N$698,"&gt;=0"),2),"")</f>
        <v>7.27</v>
      </c>
      <c r="AG300" s="16" t="s">
        <v>1315</v>
      </c>
      <c r="AH300" s="16" t="s">
        <v>1316</v>
      </c>
      <c r="AI300" s="16" t="s">
        <v>1317</v>
      </c>
      <c r="AJ300" s="16" t="str">
        <f aca="false">IF(O300&lt;&gt;"","",IF(ISNUMBER(D300),IF(D300&gt;=$C$3,"High price","Lower price"),"Unpriced")&amp;" · "&amp;IF(M300&gt;=$E$3,"high volume","lower volume"))</f>
        <v/>
      </c>
      <c r="AK300" s="15" t="str">
        <f aca="false">IF(O300&lt;&gt;"",IF(O300="Price ≤ $5","Excluded – price ≤ $5","Excluded – IV only"),IF(ISNUMBER(D300),IF(AND(D300&gt;=$C$3,L300&gt;=$H$3),"Priority 1",IF(OR(D300&gt;=$C$3,L300&gt;=$H$3),"Priority 2","Priority 3")),IF(L300&gt;=$H$3,"Priority 2","Priority 3")))</f>
        <v>Excluded – IV only</v>
      </c>
      <c r="AL300" s="16" t="str">
        <f aca="false">IF(O300&lt;&gt;"","",IF(ISNUMBER(D300),IF(D300&gt;=$C$3,"High price","Lower price"),"Unpriced")&amp;" · "&amp;IF(L300&gt;=$H$3,"high volume","lower volume"))</f>
        <v/>
      </c>
      <c r="AM300" s="14" t="str">
        <f aca="false">IF(O300&lt;&gt;"","",COUNTIFS($A$29:$A$361,A300,$O$29:$O$361,"",$AQ$29:$AQ$361,"&gt;"&amp;AQ300)+COUNTIFS($A$29:A300,A300,$O$29:O300,"",$AQ$29:AQ300,AQ300))</f>
        <v/>
      </c>
      <c r="AN300" s="33" t="str">
        <f aca="false">IF(AND(O300="",ISNUMBER(D300)),D300,"")</f>
        <v/>
      </c>
      <c r="AO300" s="33" t="str">
        <f aca="false">IF(O300="",M300,"")</f>
        <v/>
      </c>
      <c r="AP300" s="33" t="str">
        <f aca="false">IF(O300="",L300,"")</f>
        <v/>
      </c>
      <c r="AQ300" s="33" t="str">
        <f aca="false">IF(O300&lt;&gt;"","",(4-VALUE(RIGHT(AK300,1)))*10^7+N(N300))</f>
        <v/>
      </c>
      <c r="AR300" s="33" t="n">
        <f aca="false">INDEX($O$7:$O$25,MATCH(A300,$I$7:$I$25,0))</f>
        <v>10</v>
      </c>
      <c r="AS300" s="33" t="str">
        <f aca="false">IF(AE300="No","",AR300*1000+IF(AM300="",900+COUNTIFS($A$29:A300,A300,$O$29:O300,"Price ≤ $5"),AM300))</f>
        <v/>
      </c>
    </row>
    <row r="301" customFormat="false" ht="28.35" hidden="false" customHeight="false" outlineLevel="0" collapsed="false">
      <c r="A301" s="15" t="s">
        <v>199</v>
      </c>
      <c r="B301" s="15" t="s">
        <v>262</v>
      </c>
      <c r="C301" s="16" t="s">
        <v>263</v>
      </c>
      <c r="D301" s="17" t="n">
        <f aca="false">IF(W301&gt;0,ROUND(AVERAGEIFS('Shortlisted Drugs X Company (7)'!$N$3:$N$698,'Shortlisted Drugs X Company (7)'!$C$3:$C$698,$B301,'Shortlisted Drugs X Company (7)'!$E$3:$E$698,$S301,'Shortlisted Drugs X Company (7)'!$N$3:$N$698,"&gt;5"),2),"")</f>
        <v>438.59</v>
      </c>
      <c r="E301" s="15" t="str">
        <f aca="false">IF(COUNTIFS('Shortlisted Drugs X Company (7)'!$C$3:$C$698,$B301,'Shortlisted Drugs X Company (7)'!$E$3:$E$698,$S301,'Shortlisted Drugs X Company (7)'!$P$3:$P$698,"Exact")&gt;0,"Exact",IF(COUNTIFS('Shortlisted Drugs X Company (7)'!$C$3:$C$698,$B301,'Shortlisted Drugs X Company (7)'!$E$3:$E$698,$S301,'Shortlisted Drugs X Company (7)'!$P$3:$P$698,"Same-market proxy")&gt;0,"Same-market proxy",IF(COUNTIFS('Shortlisted Drugs X Company (7)'!$C$3:$C$698,$B301,'Shortlisted Drugs X Company (7)'!$E$3:$E$698,$S301,'Shortlisted Drugs X Company (7)'!$P$3:$P$698,"Cross-market proxy")&gt;0,"Cross-market proxy",IF(COUNTIFS('Shortlisted Drugs X Company (7)'!$C$3:$C$698,$B301,'Shortlisted Drugs X Company (7)'!$E$3:$E$698,$S301,'Shortlisted Drugs X Company (7)'!$P$3:$P$698,"Source not found")&gt;0,"Source not found","Not priced"))))</f>
        <v>Same-market proxy</v>
      </c>
      <c r="F301" s="18" t="n">
        <f aca="false">IFERROR(ROUND(INDEX('Injectable Value'!$AA$28:$AA$178,MATCH(B301,'Injectable Value'!$A$28:$A$178,0)),1),"")</f>
        <v>11366.1</v>
      </c>
      <c r="G301" s="16" t="s">
        <v>1000</v>
      </c>
      <c r="H301" s="14" t="n">
        <v>7</v>
      </c>
      <c r="I301" s="15" t="s">
        <v>258</v>
      </c>
      <c r="J301" s="15" t="s">
        <v>249</v>
      </c>
      <c r="K301" s="16" t="str">
        <f aca="false">"Prefilled only"&amp;IF(V301=0,"; Unpriced","")&amp;IF(AND(V301&gt;0,W301=0,X301=0),"; Low price from another market – confirm with company","")</f>
        <v>Prefilled only</v>
      </c>
      <c r="L301" s="18" t="n">
        <f aca="false">IFERROR(INDEX('Shortlisted Drugs X Company (7)'!$K$3:$K$698,MATCH(B301,'Shortlisted Drugs X Company (7)'!$C$3:$C$698,0)),"")</f>
        <v>146</v>
      </c>
      <c r="M301" s="18" t="n">
        <f aca="false">IFERROR(ROUND(L301*INDEX('Injectable Value'!$Z$28:$Z$178,MATCH(B301,'Injectable Value'!$A$28:$A$178,0)),0),"")</f>
        <v>146</v>
      </c>
      <c r="N301" s="18" t="n">
        <f aca="false">IFERROR(INDEX('Shortlisted Drugs X Company (7)'!$L$3:$L$698,MATCH(B301,'Shortlisted Drugs X Company (7)'!$C$3:$C$698,0)),"")</f>
        <v>11366.06</v>
      </c>
      <c r="O301" s="15" t="str">
        <f aca="false">IF(AE301="No","IV only (not ID/IM/SC)",IF(AND(V301&gt;0,W301=0),"Price ≤ $5",""))</f>
        <v/>
      </c>
      <c r="P301" s="14" t="n">
        <f aca="false">IF(O301&lt;&gt;"","",COUNTIFS($A$29:$A$361,A301,$O$29:$O$361,"",$AC$29:$AC$361,"&gt;"&amp;AC301)+COUNTIFS($A$29:A301,A301,$O$29:O301,"",$AC$29:AC301,AC301))</f>
        <v>2</v>
      </c>
      <c r="Q301" s="15" t="str">
        <f aca="false">IF(O301&lt;&gt;"",IF(O301="Price ≤ $5","Excluded – price ≤ $5","Excluded – IV only"),IF(ISNUMBER(D301),IF(AND(D301&gt;=$C$3,M301&gt;=$E$3),"Priority 1",IF(OR(D301&gt;=$C$3,M301&gt;=$E$3),"Priority 2","Priority 3")),IF(M301&gt;=$E$3,"Priority 2","Priority 3")))</f>
        <v>Priority 1</v>
      </c>
      <c r="R301" s="16" t="s">
        <v>259</v>
      </c>
      <c r="S301" s="15" t="s">
        <v>199</v>
      </c>
      <c r="T301" s="32" t="s">
        <v>264</v>
      </c>
      <c r="U301" s="33" t="str">
        <f aca="false">B301&amp;"|"&amp;S301</f>
        <v>Fulvestrant|Sun Pharma</v>
      </c>
      <c r="V301" s="34" t="n">
        <f aca="false">COUNTIFS('Shortlisted Drugs X Company (7)'!$C$3:$C$698,$B301,'Shortlisted Drugs X Company (7)'!$E$3:$E$698,$S301,'Shortlisted Drugs X Company (7)'!$N$3:$N$698,"&gt;=0")</f>
        <v>2</v>
      </c>
      <c r="W301" s="34" t="n">
        <f aca="false">COUNTIFS('Shortlisted Drugs X Company (7)'!$C$3:$C$698,$B301,'Shortlisted Drugs X Company (7)'!$E$3:$E$698,$S301,'Shortlisted Drugs X Company (7)'!$N$3:$N$698,"&gt;5")</f>
        <v>2</v>
      </c>
      <c r="X301" s="34" t="n">
        <f aca="false">COUNTIFS('Shortlisted Drugs X Company (7)'!$C$3:$C$698,$B301,'Shortlisted Drugs X Company (7)'!$E$3:$E$698,$S301,'Shortlisted Drugs X Company (7)'!$P$3:$P$698,"Exact")+COUNTIFS('Shortlisted Drugs X Company (7)'!$C$3:$C$698,$B301,'Shortlisted Drugs X Company (7)'!$E$3:$E$698,$S301,'Shortlisted Drugs X Company (7)'!$P$3:$P$698,"Same-market proxy")</f>
        <v>1</v>
      </c>
      <c r="Y301" s="33" t="str">
        <f aca="false">A301&amp;"|"&amp;P301</f>
        <v>Sun Pharma|2</v>
      </c>
      <c r="Z301" s="16" t="s">
        <v>265</v>
      </c>
      <c r="AA301" s="33" t="n">
        <f aca="false">INDEX($G$7:$G$25,MATCH(A301,$A$7:$A$25,0))</f>
        <v>10</v>
      </c>
      <c r="AB301" s="33" t="n">
        <f aca="false">IF(AE301="No","",AA301*1000+IF(P301="",900+COUNTIFS($A$29:A301,A301,$O$29:O301,"Price ≤ $5"),P301))</f>
        <v>10002</v>
      </c>
      <c r="AC301" s="33" t="n">
        <f aca="false">IF(O301&lt;&gt;"","",(4-VALUE(RIGHT(Q301,1)))*10^7+N(F301))</f>
        <v>30011366.1</v>
      </c>
      <c r="AD301" s="15" t="str">
        <f aca="false">IFERROR(INDEX('Route of Administration'!$C$5:$C$155,MATCH(B301,'Route of Administration'!$A$5:$A$155,0)),"")</f>
        <v>IM</v>
      </c>
      <c r="AE301" s="14" t="str">
        <f aca="false">IFERROR(INDEX('Route of Administration'!$D$5:$D$155,MATCH(B301,'Route of Administration'!$A$5:$A$155,0)),"")</f>
        <v>Yes</v>
      </c>
      <c r="AF301" s="19" t="n">
        <f aca="false">IF(V301&gt;0,ROUND(AVERAGEIFS('Shortlisted Drugs X Company (7)'!$N$3:$N$698,'Shortlisted Drugs X Company (7)'!$C$3:$C$698,$B301,'Shortlisted Drugs X Company (7)'!$E$3:$E$698,$S301,'Shortlisted Drugs X Company (7)'!$N$3:$N$698,"&gt;=0"),2),"")</f>
        <v>438.59</v>
      </c>
      <c r="AG301" s="16" t="s">
        <v>1318</v>
      </c>
      <c r="AH301" s="16" t="s">
        <v>1319</v>
      </c>
      <c r="AI301" s="16" t="s">
        <v>1319</v>
      </c>
      <c r="AJ301" s="16" t="str">
        <f aca="false">IF(O301&lt;&gt;"","",IF(ISNUMBER(D301),IF(D301&gt;=$C$3,"High price","Lower price"),"Unpriced")&amp;" · "&amp;IF(M301&gt;=$E$3,"high volume","lower volume"))</f>
        <v>High price · high volume</v>
      </c>
      <c r="AK301" s="15" t="str">
        <f aca="false">IF(O301&lt;&gt;"",IF(O301="Price ≤ $5","Excluded – price ≤ $5","Excluded – IV only"),IF(ISNUMBER(D301),IF(AND(D301&gt;=$C$3,L301&gt;=$H$3),"Priority 1",IF(OR(D301&gt;=$C$3,L301&gt;=$H$3),"Priority 2","Priority 3")),IF(L301&gt;=$H$3,"Priority 2","Priority 3")))</f>
        <v>Priority 2</v>
      </c>
      <c r="AL301" s="16" t="str">
        <f aca="false">IF(O301&lt;&gt;"","",IF(ISNUMBER(D301),IF(D301&gt;=$C$3,"High price","Lower price"),"Unpriced")&amp;" · "&amp;IF(L301&gt;=$H$3,"high volume","lower volume"))</f>
        <v>High price · lower volume</v>
      </c>
      <c r="AM301" s="14" t="n">
        <f aca="false">IF(O301&lt;&gt;"","",COUNTIFS($A$29:$A$361,A301,$O$29:$O$361,"",$AQ$29:$AQ$361,"&gt;"&amp;AQ301)+COUNTIFS($A$29:A301,A301,$O$29:O301,"",$AQ$29:AQ301,AQ301))</f>
        <v>3</v>
      </c>
      <c r="AN301" s="19" t="n">
        <f aca="false">IF(AND(O301="",ISNUMBER(D301)),D301,"")</f>
        <v>438.59</v>
      </c>
      <c r="AO301" s="20" t="n">
        <f aca="false">IF(O301="",M301,"")</f>
        <v>146</v>
      </c>
      <c r="AP301" s="20" t="n">
        <f aca="false">IF(O301="",L301,"")</f>
        <v>146</v>
      </c>
      <c r="AQ301" s="33" t="n">
        <f aca="false">IF(O301&lt;&gt;"","",(4-VALUE(RIGHT(AK301,1)))*10^7+N(N301))</f>
        <v>20011366.06</v>
      </c>
      <c r="AR301" s="33" t="n">
        <f aca="false">INDEX($O$7:$O$25,MATCH(A301,$I$7:$I$25,0))</f>
        <v>10</v>
      </c>
      <c r="AS301" s="33" t="n">
        <f aca="false">IF(AE301="No","",AR301*1000+IF(AM301="",900+COUNTIFS($A$29:A301,A301,$O$29:O301,"Price ≤ $5"),AM301))</f>
        <v>10003</v>
      </c>
    </row>
    <row r="302" customFormat="false" ht="28.35" hidden="false" customHeight="false" outlineLevel="0" collapsed="false">
      <c r="A302" s="15" t="s">
        <v>199</v>
      </c>
      <c r="B302" s="15" t="s">
        <v>444</v>
      </c>
      <c r="C302" s="16" t="s">
        <v>445</v>
      </c>
      <c r="D302" s="17" t="n">
        <f aca="false">IF(W302&gt;0,ROUND(AVERAGEIFS('Shortlisted Drugs X Company (7)'!$N$3:$N$698,'Shortlisted Drugs X Company (7)'!$C$3:$C$698,$B302,'Shortlisted Drugs X Company (7)'!$E$3:$E$698,$S302,'Shortlisted Drugs X Company (7)'!$N$3:$N$698,"&gt;5"),2),"")</f>
        <v>180.42</v>
      </c>
      <c r="E302" s="15" t="str">
        <f aca="false">IF(COUNTIFS('Shortlisted Drugs X Company (7)'!$C$3:$C$698,$B302,'Shortlisted Drugs X Company (7)'!$E$3:$E$698,$S302,'Shortlisted Drugs X Company (7)'!$P$3:$P$698,"Exact")&gt;0,"Exact",IF(COUNTIFS('Shortlisted Drugs X Company (7)'!$C$3:$C$698,$B302,'Shortlisted Drugs X Company (7)'!$E$3:$E$698,$S302,'Shortlisted Drugs X Company (7)'!$P$3:$P$698,"Same-market proxy")&gt;0,"Same-market proxy",IF(COUNTIFS('Shortlisted Drugs X Company (7)'!$C$3:$C$698,$B302,'Shortlisted Drugs X Company (7)'!$E$3:$E$698,$S302,'Shortlisted Drugs X Company (7)'!$P$3:$P$698,"Cross-market proxy")&gt;0,"Cross-market proxy",IF(COUNTIFS('Shortlisted Drugs X Company (7)'!$C$3:$C$698,$B302,'Shortlisted Drugs X Company (7)'!$E$3:$E$698,$S302,'Shortlisted Drugs X Company (7)'!$P$3:$P$698,"Source not found")&gt;0,"Source not found","Not priced"))))</f>
        <v>Exact</v>
      </c>
      <c r="F302" s="18" t="n">
        <f aca="false">IFERROR(ROUND(INDEX('Injectable Value'!$AA$28:$AA$178,MATCH(B302,'Injectable Value'!$A$28:$A$178,0)),1),"")</f>
        <v>2886</v>
      </c>
      <c r="G302" s="16" t="s">
        <v>1320</v>
      </c>
      <c r="H302" s="14" t="n">
        <v>9</v>
      </c>
      <c r="I302" s="15" t="s">
        <v>248</v>
      </c>
      <c r="J302" s="15" t="s">
        <v>249</v>
      </c>
      <c r="K302" s="16" t="str">
        <f aca="false">"Cancer drug (cytotoxic) – less relevant; Reconstitution"&amp;IF(V302=0,"; Unpriced","")&amp;IF(AND(V302&gt;0,W302=0,X302=0),"; Low price from another market – confirm with company","")</f>
        <v>Cancer drug (cytotoxic) – less relevant; Reconstitution</v>
      </c>
      <c r="L302" s="18" t="n">
        <f aca="false">IFERROR(INDEX('Shortlisted Drugs X Company (7)'!$K$3:$K$698,MATCH(B302,'Shortlisted Drugs X Company (7)'!$C$3:$C$698,0)),"")</f>
        <v>257</v>
      </c>
      <c r="M302" s="18" t="n">
        <f aca="false">IFERROR(ROUND(L302*INDEX('Injectable Value'!$Z$28:$Z$178,MATCH(B302,'Injectable Value'!$A$28:$A$178,0)),0),"")</f>
        <v>177</v>
      </c>
      <c r="N302" s="18" t="n">
        <f aca="false">IFERROR(INDEX('Shortlisted Drugs X Company (7)'!$L$3:$L$698,MATCH(B302,'Shortlisted Drugs X Company (7)'!$C$3:$C$698,0)),"")</f>
        <v>4183.29</v>
      </c>
      <c r="O302" s="15" t="str">
        <f aca="false">IF(AE302="No","IV only (not ID/IM/SC)",IF(AND(V302&gt;0,W302=0),"Price ≤ $5",""))</f>
        <v>IV only (not ID/IM/SC)</v>
      </c>
      <c r="P302" s="14" t="str">
        <f aca="false">IF(O302&lt;&gt;"","",COUNTIFS($A$29:$A$361,A302,$O$29:$O$361,"",$AC$29:$AC$361,"&gt;"&amp;AC302)+COUNTIFS($A$29:A302,A302,$O$29:O302,"",$AC$29:AC302,AC302))</f>
        <v/>
      </c>
      <c r="Q302" s="15" t="str">
        <f aca="false">IF(O302&lt;&gt;"",IF(O302="Price ≤ $5","Excluded – price ≤ $5","Excluded – IV only"),IF(ISNUMBER(D302),IF(AND(D302&gt;=$C$3,M302&gt;=$E$3),"Priority 1",IF(OR(D302&gt;=$C$3,M302&gt;=$E$3),"Priority 2","Priority 3")),IF(M302&gt;=$E$3,"Priority 2","Priority 3")))</f>
        <v>Excluded – IV only</v>
      </c>
      <c r="R302" s="16" t="s">
        <v>250</v>
      </c>
      <c r="S302" s="15" t="s">
        <v>199</v>
      </c>
      <c r="T302" s="32" t="s">
        <v>447</v>
      </c>
      <c r="U302" s="33" t="str">
        <f aca="false">B302&amp;"|"&amp;S302</f>
        <v>Melphalan|Sun Pharma</v>
      </c>
      <c r="V302" s="34" t="n">
        <f aca="false">COUNTIFS('Shortlisted Drugs X Company (7)'!$C$3:$C$698,$B302,'Shortlisted Drugs X Company (7)'!$E$3:$E$698,$S302,'Shortlisted Drugs X Company (7)'!$N$3:$N$698,"&gt;=0")</f>
        <v>2</v>
      </c>
      <c r="W302" s="34" t="n">
        <f aca="false">COUNTIFS('Shortlisted Drugs X Company (7)'!$C$3:$C$698,$B302,'Shortlisted Drugs X Company (7)'!$E$3:$E$698,$S302,'Shortlisted Drugs X Company (7)'!$N$3:$N$698,"&gt;5")</f>
        <v>2</v>
      </c>
      <c r="X302" s="34" t="n">
        <f aca="false">COUNTIFS('Shortlisted Drugs X Company (7)'!$C$3:$C$698,$B302,'Shortlisted Drugs X Company (7)'!$E$3:$E$698,$S302,'Shortlisted Drugs X Company (7)'!$P$3:$P$698,"Exact")+COUNTIFS('Shortlisted Drugs X Company (7)'!$C$3:$C$698,$B302,'Shortlisted Drugs X Company (7)'!$E$3:$E$698,$S302,'Shortlisted Drugs X Company (7)'!$P$3:$P$698,"Same-market proxy")</f>
        <v>2</v>
      </c>
      <c r="Y302" s="33" t="str">
        <f aca="false">A302&amp;"|"&amp;P302</f>
        <v>Sun Pharma|</v>
      </c>
      <c r="Z302" s="16" t="s">
        <v>448</v>
      </c>
      <c r="AA302" s="33" t="n">
        <f aca="false">INDEX($G$7:$G$25,MATCH(A302,$A$7:$A$25,0))</f>
        <v>10</v>
      </c>
      <c r="AB302" s="33" t="str">
        <f aca="false">IF(AE302="No","",AA302*1000+IF(P302="",900+COUNTIFS($A$29:A302,A302,$O$29:O302,"Price ≤ $5"),P302))</f>
        <v/>
      </c>
      <c r="AC302" s="33" t="str">
        <f aca="false">IF(O302&lt;&gt;"","",(4-VALUE(RIGHT(Q302,1)))*10^7+N(F302))</f>
        <v/>
      </c>
      <c r="AD302" s="15" t="str">
        <f aca="false">IFERROR(INDEX('Route of Administration'!$C$5:$C$155,MATCH(B302,'Route of Administration'!$A$5:$A$155,0)),"")</f>
        <v>IV</v>
      </c>
      <c r="AE302" s="14" t="str">
        <f aca="false">IFERROR(INDEX('Route of Administration'!$D$5:$D$155,MATCH(B302,'Route of Administration'!$A$5:$A$155,0)),"")</f>
        <v>No</v>
      </c>
      <c r="AF302" s="19" t="n">
        <f aca="false">IF(V302&gt;0,ROUND(AVERAGEIFS('Shortlisted Drugs X Company (7)'!$N$3:$N$698,'Shortlisted Drugs X Company (7)'!$C$3:$C$698,$B302,'Shortlisted Drugs X Company (7)'!$E$3:$E$698,$S302,'Shortlisted Drugs X Company (7)'!$N$3:$N$698,"&gt;=0"),2),"")</f>
        <v>180.42</v>
      </c>
      <c r="AG302" s="16" t="s">
        <v>1321</v>
      </c>
      <c r="AH302" s="16" t="s">
        <v>1322</v>
      </c>
      <c r="AI302" s="16" t="s">
        <v>1323</v>
      </c>
      <c r="AJ302" s="16" t="str">
        <f aca="false">IF(O302&lt;&gt;"","",IF(ISNUMBER(D302),IF(D302&gt;=$C$3,"High price","Lower price"),"Unpriced")&amp;" · "&amp;IF(M302&gt;=$E$3,"high volume","lower volume"))</f>
        <v/>
      </c>
      <c r="AK302" s="15" t="str">
        <f aca="false">IF(O302&lt;&gt;"",IF(O302="Price ≤ $5","Excluded – price ≤ $5","Excluded – IV only"),IF(ISNUMBER(D302),IF(AND(D302&gt;=$C$3,L302&gt;=$H$3),"Priority 1",IF(OR(D302&gt;=$C$3,L302&gt;=$H$3),"Priority 2","Priority 3")),IF(L302&gt;=$H$3,"Priority 2","Priority 3")))</f>
        <v>Excluded – IV only</v>
      </c>
      <c r="AL302" s="16" t="str">
        <f aca="false">IF(O302&lt;&gt;"","",IF(ISNUMBER(D302),IF(D302&gt;=$C$3,"High price","Lower price"),"Unpriced")&amp;" · "&amp;IF(L302&gt;=$H$3,"high volume","lower volume"))</f>
        <v/>
      </c>
      <c r="AM302" s="14" t="str">
        <f aca="false">IF(O302&lt;&gt;"","",COUNTIFS($A$29:$A$361,A302,$O$29:$O$361,"",$AQ$29:$AQ$361,"&gt;"&amp;AQ302)+COUNTIFS($A$29:A302,A302,$O$29:O302,"",$AQ$29:AQ302,AQ302))</f>
        <v/>
      </c>
      <c r="AN302" s="33" t="str">
        <f aca="false">IF(AND(O302="",ISNUMBER(D302)),D302,"")</f>
        <v/>
      </c>
      <c r="AO302" s="33" t="str">
        <f aca="false">IF(O302="",M302,"")</f>
        <v/>
      </c>
      <c r="AP302" s="33" t="str">
        <f aca="false">IF(O302="",L302,"")</f>
        <v/>
      </c>
      <c r="AQ302" s="33" t="str">
        <f aca="false">IF(O302&lt;&gt;"","",(4-VALUE(RIGHT(AK302,1)))*10^7+N(N302))</f>
        <v/>
      </c>
      <c r="AR302" s="33" t="n">
        <f aca="false">INDEX($O$7:$O$25,MATCH(A302,$I$7:$I$25,0))</f>
        <v>10</v>
      </c>
      <c r="AS302" s="33" t="str">
        <f aca="false">IF(AE302="No","",AR302*1000+IF(AM302="",900+COUNTIFS($A$29:A302,A302,$O$29:O302,"Price ≤ $5"),AM302))</f>
        <v/>
      </c>
    </row>
    <row r="303" customFormat="false" ht="55.2" hidden="false" customHeight="false" outlineLevel="0" collapsed="false">
      <c r="A303" s="15" t="s">
        <v>199</v>
      </c>
      <c r="B303" s="15" t="s">
        <v>451</v>
      </c>
      <c r="C303" s="16" t="s">
        <v>452</v>
      </c>
      <c r="D303" s="17" t="n">
        <f aca="false">IF(W303&gt;0,ROUND(AVERAGEIFS('Shortlisted Drugs X Company (7)'!$N$3:$N$698,'Shortlisted Drugs X Company (7)'!$C$3:$C$698,$B303,'Shortlisted Drugs X Company (7)'!$E$3:$E$698,$S303,'Shortlisted Drugs X Company (7)'!$N$3:$N$698,"&gt;5"),2),"")</f>
        <v>11.91</v>
      </c>
      <c r="E303" s="15" t="str">
        <f aca="false">IF(COUNTIFS('Shortlisted Drugs X Company (7)'!$C$3:$C$698,$B303,'Shortlisted Drugs X Company (7)'!$E$3:$E$698,$S303,'Shortlisted Drugs X Company (7)'!$P$3:$P$698,"Exact")&gt;0,"Exact",IF(COUNTIFS('Shortlisted Drugs X Company (7)'!$C$3:$C$698,$B303,'Shortlisted Drugs X Company (7)'!$E$3:$E$698,$S303,'Shortlisted Drugs X Company (7)'!$P$3:$P$698,"Same-market proxy")&gt;0,"Same-market proxy",IF(COUNTIFS('Shortlisted Drugs X Company (7)'!$C$3:$C$698,$B303,'Shortlisted Drugs X Company (7)'!$E$3:$E$698,$S303,'Shortlisted Drugs X Company (7)'!$P$3:$P$698,"Cross-market proxy")&gt;0,"Cross-market proxy",IF(COUNTIFS('Shortlisted Drugs X Company (7)'!$C$3:$C$698,$B303,'Shortlisted Drugs X Company (7)'!$E$3:$E$698,$S303,'Shortlisted Drugs X Company (7)'!$P$3:$P$698,"Source not found")&gt;0,"Source not found","Not priced"))))</f>
        <v>Exact</v>
      </c>
      <c r="F303" s="18" t="n">
        <f aca="false">IFERROR(ROUND(INDEX('Injectable Value'!$AA$28:$AA$178,MATCH(B303,'Injectable Value'!$A$28:$A$178,0)),1),"")</f>
        <v>58920.4</v>
      </c>
      <c r="G303" s="16" t="s">
        <v>1324</v>
      </c>
      <c r="H303" s="14" t="n">
        <v>18</v>
      </c>
      <c r="I303" s="15" t="s">
        <v>248</v>
      </c>
      <c r="J303" s="15" t="s">
        <v>324</v>
      </c>
      <c r="K303" s="16" t="str">
        <f aca="false">"Reconstitution"&amp;IF(V303=0,"; Unpriced","")&amp;IF(AND(V303&gt;0,W303=0,X303=0),"; Low price from another market – confirm with company","")</f>
        <v>Reconstitution</v>
      </c>
      <c r="L303" s="18" t="n">
        <f aca="false">IFERROR(INDEX('Shortlisted Drugs X Company (7)'!$K$3:$K$698,MATCH(B303,'Shortlisted Drugs X Company (7)'!$C$3:$C$698,0)),"")</f>
        <v>1185</v>
      </c>
      <c r="M303" s="18" t="n">
        <f aca="false">IFERROR(ROUND(L303*INDEX('Injectable Value'!$Z$28:$Z$178,MATCH(B303,'Injectable Value'!$A$28:$A$178,0)),0),"")</f>
        <v>1175</v>
      </c>
      <c r="N303" s="18" t="n">
        <f aca="false">IFERROR(INDEX('Shortlisted Drugs X Company (7)'!$L$3:$L$698,MATCH(B303,'Shortlisted Drugs X Company (7)'!$C$3:$C$698,0)),"")</f>
        <v>59407.06</v>
      </c>
      <c r="O303" s="15" t="str">
        <f aca="false">IF(AE303="No","IV only (not ID/IM/SC)",IF(AND(V303&gt;0,W303=0),"Price ≤ $5",""))</f>
        <v>IV only (not ID/IM/SC)</v>
      </c>
      <c r="P303" s="14" t="str">
        <f aca="false">IF(O303&lt;&gt;"","",COUNTIFS($A$29:$A$361,A303,$O$29:$O$361,"",$AC$29:$AC$361,"&gt;"&amp;AC303)+COUNTIFS($A$29:A303,A303,$O$29:O303,"",$AC$29:AC303,AC303))</f>
        <v/>
      </c>
      <c r="Q303" s="15" t="str">
        <f aca="false">IF(O303&lt;&gt;"",IF(O303="Price ≤ $5","Excluded – price ≤ $5","Excluded – IV only"),IF(ISNUMBER(D303),IF(AND(D303&gt;=$C$3,M303&gt;=$E$3),"Priority 1",IF(OR(D303&gt;=$C$3,M303&gt;=$E$3),"Priority 2","Priority 3")),IF(M303&gt;=$E$3,"Priority 2","Priority 3")))</f>
        <v>Excluded – IV only</v>
      </c>
      <c r="R303" s="16" t="s">
        <v>250</v>
      </c>
      <c r="S303" s="15" t="s">
        <v>199</v>
      </c>
      <c r="T303" s="32" t="s">
        <v>454</v>
      </c>
      <c r="U303" s="33" t="str">
        <f aca="false">B303&amp;"|"&amp;S303</f>
        <v>Meropenem|Sun Pharma</v>
      </c>
      <c r="V303" s="34" t="n">
        <f aca="false">COUNTIFS('Shortlisted Drugs X Company (7)'!$C$3:$C$698,$B303,'Shortlisted Drugs X Company (7)'!$E$3:$E$698,$S303,'Shortlisted Drugs X Company (7)'!$N$3:$N$698,"&gt;=0")</f>
        <v>8</v>
      </c>
      <c r="W303" s="34" t="n">
        <f aca="false">COUNTIFS('Shortlisted Drugs X Company (7)'!$C$3:$C$698,$B303,'Shortlisted Drugs X Company (7)'!$E$3:$E$698,$S303,'Shortlisted Drugs X Company (7)'!$N$3:$N$698,"&gt;5")</f>
        <v>8</v>
      </c>
      <c r="X303" s="34" t="n">
        <f aca="false">COUNTIFS('Shortlisted Drugs X Company (7)'!$C$3:$C$698,$B303,'Shortlisted Drugs X Company (7)'!$E$3:$E$698,$S303,'Shortlisted Drugs X Company (7)'!$P$3:$P$698,"Exact")+COUNTIFS('Shortlisted Drugs X Company (7)'!$C$3:$C$698,$B303,'Shortlisted Drugs X Company (7)'!$E$3:$E$698,$S303,'Shortlisted Drugs X Company (7)'!$P$3:$P$698,"Same-market proxy")</f>
        <v>6</v>
      </c>
      <c r="Y303" s="33" t="str">
        <f aca="false">A303&amp;"|"&amp;P303</f>
        <v>Sun Pharma|</v>
      </c>
      <c r="Z303" s="16" t="s">
        <v>1325</v>
      </c>
      <c r="AA303" s="33" t="n">
        <f aca="false">INDEX($G$7:$G$25,MATCH(A303,$A$7:$A$25,0))</f>
        <v>10</v>
      </c>
      <c r="AB303" s="33" t="str">
        <f aca="false">IF(AE303="No","",AA303*1000+IF(P303="",900+COUNTIFS($A$29:A303,A303,$O$29:O303,"Price ≤ $5"),P303))</f>
        <v/>
      </c>
      <c r="AC303" s="33" t="str">
        <f aca="false">IF(O303&lt;&gt;"","",(4-VALUE(RIGHT(Q303,1)))*10^7+N(F303))</f>
        <v/>
      </c>
      <c r="AD303" s="15" t="str">
        <f aca="false">IFERROR(INDEX('Route of Administration'!$C$5:$C$155,MATCH(B303,'Route of Administration'!$A$5:$A$155,0)),"")</f>
        <v>IV</v>
      </c>
      <c r="AE303" s="14" t="str">
        <f aca="false">IFERROR(INDEX('Route of Administration'!$D$5:$D$155,MATCH(B303,'Route of Administration'!$A$5:$A$155,0)),"")</f>
        <v>No</v>
      </c>
      <c r="AF303" s="19" t="n">
        <f aca="false">IF(V303&gt;0,ROUND(AVERAGEIFS('Shortlisted Drugs X Company (7)'!$N$3:$N$698,'Shortlisted Drugs X Company (7)'!$C$3:$C$698,$B303,'Shortlisted Drugs X Company (7)'!$E$3:$E$698,$S303,'Shortlisted Drugs X Company (7)'!$N$3:$N$698,"&gt;=0"),2),"")</f>
        <v>11.91</v>
      </c>
      <c r="AG303" s="16" t="s">
        <v>1326</v>
      </c>
      <c r="AH303" s="16" t="s">
        <v>1327</v>
      </c>
      <c r="AI303" s="16" t="s">
        <v>1328</v>
      </c>
      <c r="AJ303" s="16" t="str">
        <f aca="false">IF(O303&lt;&gt;"","",IF(ISNUMBER(D303),IF(D303&gt;=$C$3,"High price","Lower price"),"Unpriced")&amp;" · "&amp;IF(M303&gt;=$E$3,"high volume","lower volume"))</f>
        <v/>
      </c>
      <c r="AK303" s="15" t="str">
        <f aca="false">IF(O303&lt;&gt;"",IF(O303="Price ≤ $5","Excluded – price ≤ $5","Excluded – IV only"),IF(ISNUMBER(D303),IF(AND(D303&gt;=$C$3,L303&gt;=$H$3),"Priority 1",IF(OR(D303&gt;=$C$3,L303&gt;=$H$3),"Priority 2","Priority 3")),IF(L303&gt;=$H$3,"Priority 2","Priority 3")))</f>
        <v>Excluded – IV only</v>
      </c>
      <c r="AL303" s="16" t="str">
        <f aca="false">IF(O303&lt;&gt;"","",IF(ISNUMBER(D303),IF(D303&gt;=$C$3,"High price","Lower price"),"Unpriced")&amp;" · "&amp;IF(L303&gt;=$H$3,"high volume","lower volume"))</f>
        <v/>
      </c>
      <c r="AM303" s="14" t="str">
        <f aca="false">IF(O303&lt;&gt;"","",COUNTIFS($A$29:$A$361,A303,$O$29:$O$361,"",$AQ$29:$AQ$361,"&gt;"&amp;AQ303)+COUNTIFS($A$29:A303,A303,$O$29:O303,"",$AQ$29:AQ303,AQ303))</f>
        <v/>
      </c>
      <c r="AN303" s="33" t="str">
        <f aca="false">IF(AND(O303="",ISNUMBER(D303)),D303,"")</f>
        <v/>
      </c>
      <c r="AO303" s="33" t="str">
        <f aca="false">IF(O303="",M303,"")</f>
        <v/>
      </c>
      <c r="AP303" s="33" t="str">
        <f aca="false">IF(O303="",L303,"")</f>
        <v/>
      </c>
      <c r="AQ303" s="33" t="str">
        <f aca="false">IF(O303&lt;&gt;"","",(4-VALUE(RIGHT(AK303,1)))*10^7+N(N303))</f>
        <v/>
      </c>
      <c r="AR303" s="33" t="n">
        <f aca="false">INDEX($O$7:$O$25,MATCH(A303,$I$7:$I$25,0))</f>
        <v>10</v>
      </c>
      <c r="AS303" s="33" t="str">
        <f aca="false">IF(AE303="No","",AR303*1000+IF(AM303="",900+COUNTIFS($A$29:A303,A303,$O$29:O303,"Price ≤ $5"),AM303))</f>
        <v/>
      </c>
    </row>
    <row r="304" customFormat="false" ht="41.75" hidden="false" customHeight="false" outlineLevel="0" collapsed="false">
      <c r="A304" s="15" t="s">
        <v>199</v>
      </c>
      <c r="B304" s="15" t="s">
        <v>1329</v>
      </c>
      <c r="C304" s="16" t="s">
        <v>1330</v>
      </c>
      <c r="D304" s="17" t="n">
        <f aca="false">IF(W304&gt;0,ROUND(AVERAGEIFS('Shortlisted Drugs X Company (7)'!$N$3:$N$698,'Shortlisted Drugs X Company (7)'!$C$3:$C$698,$B304,'Shortlisted Drugs X Company (7)'!$E$3:$E$698,$S304,'Shortlisted Drugs X Company (7)'!$N$3:$N$698,"&gt;5"),2),"")</f>
        <v>14.55</v>
      </c>
      <c r="E304" s="15" t="str">
        <f aca="false">IF(COUNTIFS('Shortlisted Drugs X Company (7)'!$C$3:$C$698,$B304,'Shortlisted Drugs X Company (7)'!$E$3:$E$698,$S304,'Shortlisted Drugs X Company (7)'!$P$3:$P$698,"Exact")&gt;0,"Exact",IF(COUNTIFS('Shortlisted Drugs X Company (7)'!$C$3:$C$698,$B304,'Shortlisted Drugs X Company (7)'!$E$3:$E$698,$S304,'Shortlisted Drugs X Company (7)'!$P$3:$P$698,"Same-market proxy")&gt;0,"Same-market proxy",IF(COUNTIFS('Shortlisted Drugs X Company (7)'!$C$3:$C$698,$B304,'Shortlisted Drugs X Company (7)'!$E$3:$E$698,$S304,'Shortlisted Drugs X Company (7)'!$P$3:$P$698,"Cross-market proxy")&gt;0,"Cross-market proxy",IF(COUNTIFS('Shortlisted Drugs X Company (7)'!$C$3:$C$698,$B304,'Shortlisted Drugs X Company (7)'!$E$3:$E$698,$S304,'Shortlisted Drugs X Company (7)'!$P$3:$P$698,"Source not found")&gt;0,"Source not found","Not priced"))))</f>
        <v>Exact</v>
      </c>
      <c r="F304" s="18" t="n">
        <f aca="false">IFERROR(ROUND(INDEX('Injectable Value'!$AA$28:$AA$178,MATCH(B304,'Injectable Value'!$A$28:$A$178,0)),1),"")</f>
        <v>8594.3</v>
      </c>
      <c r="G304" s="16" t="s">
        <v>1017</v>
      </c>
      <c r="H304" s="14" t="n">
        <v>7</v>
      </c>
      <c r="I304" s="15" t="s">
        <v>316</v>
      </c>
      <c r="J304" s="15" t="s">
        <v>249</v>
      </c>
      <c r="K304" s="16" t="str">
        <f aca="false">""&amp;IF(V304=0,"Unpriced","")&amp;IF(AND(V304&gt;0,W304=0,X304=0),"Low price from another market – confirm with company","")</f>
        <v/>
      </c>
      <c r="L304" s="18" t="n">
        <f aca="false">IFERROR(INDEX('Shortlisted Drugs X Company (7)'!$K$3:$K$698,MATCH(B304,'Shortlisted Drugs X Company (7)'!$C$3:$C$698,0)),"")</f>
        <v>344</v>
      </c>
      <c r="M304" s="18" t="n">
        <f aca="false">IFERROR(ROUND(L304*INDEX('Injectable Value'!$Z$28:$Z$178,MATCH(B304,'Injectable Value'!$A$28:$A$178,0)),0),"")</f>
        <v>338</v>
      </c>
      <c r="N304" s="18" t="n">
        <f aca="false">IFERROR(INDEX('Shortlisted Drugs X Company (7)'!$L$3:$L$698,MATCH(B304,'Shortlisted Drugs X Company (7)'!$C$3:$C$698,0)),"")</f>
        <v>8758.04</v>
      </c>
      <c r="O304" s="15" t="str">
        <f aca="false">IF(AE304="No","IV only (not ID/IM/SC)",IF(AND(V304&gt;0,W304=0),"Price ≤ $5",""))</f>
        <v/>
      </c>
      <c r="P304" s="14" t="n">
        <f aca="false">IF(O304&lt;&gt;"","",COUNTIFS($A$29:$A$361,A304,$O$29:$O$361,"",$AC$29:$AC$361,"&gt;"&amp;AC304)+COUNTIFS($A$29:A304,A304,$O$29:O304,"",$AC$29:AC304,AC304))</f>
        <v>3</v>
      </c>
      <c r="Q304" s="15" t="str">
        <f aca="false">IF(O304&lt;&gt;"",IF(O304="Price ≤ $5","Excluded – price ≤ $5","Excluded – IV only"),IF(ISNUMBER(D304),IF(AND(D304&gt;=$C$3,M304&gt;=$E$3),"Priority 1",IF(OR(D304&gt;=$C$3,M304&gt;=$E$3),"Priority 2","Priority 3")),IF(M304&gt;=$E$3,"Priority 2","Priority 3")))</f>
        <v>Priority 2</v>
      </c>
      <c r="R304" s="16" t="s">
        <v>285</v>
      </c>
      <c r="S304" s="15" t="s">
        <v>199</v>
      </c>
      <c r="T304" s="32" t="s">
        <v>1331</v>
      </c>
      <c r="U304" s="33" t="str">
        <f aca="false">B304&amp;"|"&amp;S304</f>
        <v>Octreotide|Sun Pharma</v>
      </c>
      <c r="V304" s="34" t="n">
        <f aca="false">COUNTIFS('Shortlisted Drugs X Company (7)'!$C$3:$C$698,$B304,'Shortlisted Drugs X Company (7)'!$E$3:$E$698,$S304,'Shortlisted Drugs X Company (7)'!$N$3:$N$698,"&gt;=0")</f>
        <v>1</v>
      </c>
      <c r="W304" s="34" t="n">
        <f aca="false">COUNTIFS('Shortlisted Drugs X Company (7)'!$C$3:$C$698,$B304,'Shortlisted Drugs X Company (7)'!$E$3:$E$698,$S304,'Shortlisted Drugs X Company (7)'!$N$3:$N$698,"&gt;5")</f>
        <v>1</v>
      </c>
      <c r="X304" s="34" t="n">
        <f aca="false">COUNTIFS('Shortlisted Drugs X Company (7)'!$C$3:$C$698,$B304,'Shortlisted Drugs X Company (7)'!$E$3:$E$698,$S304,'Shortlisted Drugs X Company (7)'!$P$3:$P$698,"Exact")+COUNTIFS('Shortlisted Drugs X Company (7)'!$C$3:$C$698,$B304,'Shortlisted Drugs X Company (7)'!$E$3:$E$698,$S304,'Shortlisted Drugs X Company (7)'!$P$3:$P$698,"Same-market proxy")</f>
        <v>1</v>
      </c>
      <c r="Y304" s="33" t="str">
        <f aca="false">A304&amp;"|"&amp;P304</f>
        <v>Sun Pharma|3</v>
      </c>
      <c r="Z304" s="16" t="s">
        <v>1332</v>
      </c>
      <c r="AA304" s="33" t="n">
        <f aca="false">INDEX($G$7:$G$25,MATCH(A304,$A$7:$A$25,0))</f>
        <v>10</v>
      </c>
      <c r="AB304" s="33" t="n">
        <f aca="false">IF(AE304="No","",AA304*1000+IF(P304="",900+COUNTIFS($A$29:A304,A304,$O$29:O304,"Price ≤ $5"),P304))</f>
        <v>10003</v>
      </c>
      <c r="AC304" s="33" t="n">
        <f aca="false">IF(O304&lt;&gt;"","",(4-VALUE(RIGHT(Q304,1)))*10^7+N(F304))</f>
        <v>20008594.3</v>
      </c>
      <c r="AD304" s="15" t="str">
        <f aca="false">IFERROR(INDEX('Route of Administration'!$C$5:$C$155,MATCH(B304,'Route of Administration'!$A$5:$A$155,0)),"")</f>
        <v>IV, SC (IM for long-acting depot)</v>
      </c>
      <c r="AE304" s="14" t="str">
        <f aca="false">IFERROR(INDEX('Route of Administration'!$D$5:$D$155,MATCH(B304,'Route of Administration'!$A$5:$A$155,0)),"")</f>
        <v>Yes</v>
      </c>
      <c r="AF304" s="19" t="n">
        <f aca="false">IF(V304&gt;0,ROUND(AVERAGEIFS('Shortlisted Drugs X Company (7)'!$N$3:$N$698,'Shortlisted Drugs X Company (7)'!$C$3:$C$698,$B304,'Shortlisted Drugs X Company (7)'!$E$3:$E$698,$S304,'Shortlisted Drugs X Company (7)'!$N$3:$N$698,"&gt;=0"),2),"")</f>
        <v>14.55</v>
      </c>
      <c r="AG304" s="16" t="s">
        <v>1333</v>
      </c>
      <c r="AH304" s="16" t="s">
        <v>1334</v>
      </c>
      <c r="AI304" s="16" t="s">
        <v>1334</v>
      </c>
      <c r="AJ304" s="16" t="str">
        <f aca="false">IF(O304&lt;&gt;"","",IF(ISNUMBER(D304),IF(D304&gt;=$C$3,"High price","Lower price"),"Unpriced")&amp;" · "&amp;IF(M304&gt;=$E$3,"high volume","lower volume"))</f>
        <v>Lower price · high volume</v>
      </c>
      <c r="AK304" s="15" t="str">
        <f aca="false">IF(O304&lt;&gt;"",IF(O304="Price ≤ $5","Excluded – price ≤ $5","Excluded – IV only"),IF(ISNUMBER(D304),IF(AND(D304&gt;=$C$3,L304&gt;=$H$3),"Priority 1",IF(OR(D304&gt;=$C$3,L304&gt;=$H$3),"Priority 2","Priority 3")),IF(L304&gt;=$H$3,"Priority 2","Priority 3")))</f>
        <v>Priority 2</v>
      </c>
      <c r="AL304" s="16" t="str">
        <f aca="false">IF(O304&lt;&gt;"","",IF(ISNUMBER(D304),IF(D304&gt;=$C$3,"High price","Lower price"),"Unpriced")&amp;" · "&amp;IF(L304&gt;=$H$3,"high volume","lower volume"))</f>
        <v>Lower price · high volume</v>
      </c>
      <c r="AM304" s="14" t="n">
        <f aca="false">IF(O304&lt;&gt;"","",COUNTIFS($A$29:$A$361,A304,$O$29:$O$361,"",$AQ$29:$AQ$361,"&gt;"&amp;AQ304)+COUNTIFS($A$29:A304,A304,$O$29:O304,"",$AQ$29:AQ304,AQ304))</f>
        <v>4</v>
      </c>
      <c r="AN304" s="19" t="n">
        <f aca="false">IF(AND(O304="",ISNUMBER(D304)),D304,"")</f>
        <v>14.55</v>
      </c>
      <c r="AO304" s="20" t="n">
        <f aca="false">IF(O304="",M304,"")</f>
        <v>338</v>
      </c>
      <c r="AP304" s="20" t="n">
        <f aca="false">IF(O304="",L304,"")</f>
        <v>344</v>
      </c>
      <c r="AQ304" s="33" t="n">
        <f aca="false">IF(O304&lt;&gt;"","",(4-VALUE(RIGHT(AK304,1)))*10^7+N(N304))</f>
        <v>20008758.04</v>
      </c>
      <c r="AR304" s="33" t="n">
        <f aca="false">INDEX($O$7:$O$25,MATCH(A304,$I$7:$I$25,0))</f>
        <v>10</v>
      </c>
      <c r="AS304" s="33" t="n">
        <f aca="false">IF(AE304="No","",AR304*1000+IF(AM304="",900+COUNTIFS($A$29:A304,A304,$O$29:O304,"Price ≤ $5"),AM304))</f>
        <v>10004</v>
      </c>
    </row>
    <row r="305" customFormat="false" ht="41.75" hidden="false" customHeight="false" outlineLevel="0" collapsed="false">
      <c r="A305" s="15" t="s">
        <v>199</v>
      </c>
      <c r="B305" s="15" t="s">
        <v>503</v>
      </c>
      <c r="C305" s="16" t="s">
        <v>504</v>
      </c>
      <c r="D305" s="17" t="n">
        <f aca="false">IF(W305&gt;0,ROUND(AVERAGEIFS('Shortlisted Drugs X Company (7)'!$N$3:$N$698,'Shortlisted Drugs X Company (7)'!$C$3:$C$698,$B305,'Shortlisted Drugs X Company (7)'!$E$3:$E$698,$S305,'Shortlisted Drugs X Company (7)'!$N$3:$N$698,"&gt;5"),2),"")</f>
        <v>6.08</v>
      </c>
      <c r="E305" s="15" t="str">
        <f aca="false">IF(COUNTIFS('Shortlisted Drugs X Company (7)'!$C$3:$C$698,$B305,'Shortlisted Drugs X Company (7)'!$E$3:$E$698,$S305,'Shortlisted Drugs X Company (7)'!$P$3:$P$698,"Exact")&gt;0,"Exact",IF(COUNTIFS('Shortlisted Drugs X Company (7)'!$C$3:$C$698,$B305,'Shortlisted Drugs X Company (7)'!$E$3:$E$698,$S305,'Shortlisted Drugs X Company (7)'!$P$3:$P$698,"Same-market proxy")&gt;0,"Same-market proxy",IF(COUNTIFS('Shortlisted Drugs X Company (7)'!$C$3:$C$698,$B305,'Shortlisted Drugs X Company (7)'!$E$3:$E$698,$S305,'Shortlisted Drugs X Company (7)'!$P$3:$P$698,"Cross-market proxy")&gt;0,"Cross-market proxy",IF(COUNTIFS('Shortlisted Drugs X Company (7)'!$C$3:$C$698,$B305,'Shortlisted Drugs X Company (7)'!$E$3:$E$698,$S305,'Shortlisted Drugs X Company (7)'!$P$3:$P$698,"Source not found")&gt;0,"Source not found","Not priced"))))</f>
        <v>Exact</v>
      </c>
      <c r="F305" s="18" t="n">
        <f aca="false">IFERROR(ROUND(INDEX('Injectable Value'!$AA$28:$AA$178,MATCH(B305,'Injectable Value'!$A$28:$A$178,0)),1),"")</f>
        <v>35276.7</v>
      </c>
      <c r="G305" s="16" t="s">
        <v>298</v>
      </c>
      <c r="H305" s="14" t="n">
        <v>14</v>
      </c>
      <c r="I305" s="15" t="s">
        <v>248</v>
      </c>
      <c r="J305" s="15" t="s">
        <v>299</v>
      </c>
      <c r="K305" s="16" t="str">
        <f aca="false">"Reconstitution"&amp;IF(V305=0,"; Unpriced","")&amp;IF(AND(V305&gt;0,W305=0,X305=0),"; Low price from another market – confirm with company","")</f>
        <v>Reconstitution</v>
      </c>
      <c r="L305" s="18" t="n">
        <f aca="false">IFERROR(INDEX('Shortlisted Drugs X Company (7)'!$K$3:$K$698,MATCH(B305,'Shortlisted Drugs X Company (7)'!$C$3:$C$698,0)),"")</f>
        <v>3515</v>
      </c>
      <c r="M305" s="18" t="n">
        <f aca="false">IFERROR(ROUND(L305*INDEX('Injectable Value'!$Z$28:$Z$178,MATCH(B305,'Injectable Value'!$A$28:$A$178,0)),0),"")</f>
        <v>885</v>
      </c>
      <c r="N305" s="18" t="n">
        <f aca="false">IFERROR(INDEX('Shortlisted Drugs X Company (7)'!$L$3:$L$698,MATCH(B305,'Shortlisted Drugs X Company (7)'!$C$3:$C$698,0)),"")</f>
        <v>140084.73</v>
      </c>
      <c r="O305" s="15" t="str">
        <f aca="false">IF(AE305="No","IV only (not ID/IM/SC)",IF(AND(V305&gt;0,W305=0),"Price ≤ $5",""))</f>
        <v>IV only (not ID/IM/SC)</v>
      </c>
      <c r="P305" s="14" t="str">
        <f aca="false">IF(O305&lt;&gt;"","",COUNTIFS($A$29:$A$361,A305,$O$29:$O$361,"",$AC$29:$AC$361,"&gt;"&amp;AC305)+COUNTIFS($A$29:A305,A305,$O$29:O305,"",$AC$29:AC305,AC305))</f>
        <v/>
      </c>
      <c r="Q305" s="15" t="str">
        <f aca="false">IF(O305&lt;&gt;"",IF(O305="Price ≤ $5","Excluded – price ≤ $5","Excluded – IV only"),IF(ISNUMBER(D305),IF(AND(D305&gt;=$C$3,M305&gt;=$E$3),"Priority 1",IF(OR(D305&gt;=$C$3,M305&gt;=$E$3),"Priority 2","Priority 3")),IF(M305&gt;=$E$3,"Priority 2","Priority 3")))</f>
        <v>Excluded – IV only</v>
      </c>
      <c r="R305" s="16" t="s">
        <v>250</v>
      </c>
      <c r="S305" s="15" t="s">
        <v>199</v>
      </c>
      <c r="T305" s="32" t="s">
        <v>506</v>
      </c>
      <c r="U305" s="33" t="str">
        <f aca="false">B305&amp;"|"&amp;S305</f>
        <v>Pantoprazole|Sun Pharma</v>
      </c>
      <c r="V305" s="34" t="n">
        <f aca="false">COUNTIFS('Shortlisted Drugs X Company (7)'!$C$3:$C$698,$B305,'Shortlisted Drugs X Company (7)'!$E$3:$E$698,$S305,'Shortlisted Drugs X Company (7)'!$N$3:$N$698,"&gt;=0")</f>
        <v>2</v>
      </c>
      <c r="W305" s="34" t="n">
        <f aca="false">COUNTIFS('Shortlisted Drugs X Company (7)'!$C$3:$C$698,$B305,'Shortlisted Drugs X Company (7)'!$E$3:$E$698,$S305,'Shortlisted Drugs X Company (7)'!$N$3:$N$698,"&gt;5")</f>
        <v>2</v>
      </c>
      <c r="X305" s="34" t="n">
        <f aca="false">COUNTIFS('Shortlisted Drugs X Company (7)'!$C$3:$C$698,$B305,'Shortlisted Drugs X Company (7)'!$E$3:$E$698,$S305,'Shortlisted Drugs X Company (7)'!$P$3:$P$698,"Exact")+COUNTIFS('Shortlisted Drugs X Company (7)'!$C$3:$C$698,$B305,'Shortlisted Drugs X Company (7)'!$E$3:$E$698,$S305,'Shortlisted Drugs X Company (7)'!$P$3:$P$698,"Same-market proxy")</f>
        <v>2</v>
      </c>
      <c r="Y305" s="33" t="str">
        <f aca="false">A305&amp;"|"&amp;P305</f>
        <v>Sun Pharma|</v>
      </c>
      <c r="Z305" s="16" t="s">
        <v>778</v>
      </c>
      <c r="AA305" s="33" t="n">
        <f aca="false">INDEX($G$7:$G$25,MATCH(A305,$A$7:$A$25,0))</f>
        <v>10</v>
      </c>
      <c r="AB305" s="33" t="str">
        <f aca="false">IF(AE305="No","",AA305*1000+IF(P305="",900+COUNTIFS($A$29:A305,A305,$O$29:O305,"Price ≤ $5"),P305))</f>
        <v/>
      </c>
      <c r="AC305" s="33" t="str">
        <f aca="false">IF(O305&lt;&gt;"","",(4-VALUE(RIGHT(Q305,1)))*10^7+N(F305))</f>
        <v/>
      </c>
      <c r="AD305" s="15" t="str">
        <f aca="false">IFERROR(INDEX('Route of Administration'!$C$5:$C$155,MATCH(B305,'Route of Administration'!$A$5:$A$155,0)),"")</f>
        <v>IV</v>
      </c>
      <c r="AE305" s="14" t="str">
        <f aca="false">IFERROR(INDEX('Route of Administration'!$D$5:$D$155,MATCH(B305,'Route of Administration'!$A$5:$A$155,0)),"")</f>
        <v>No</v>
      </c>
      <c r="AF305" s="19" t="n">
        <f aca="false">IF(V305&gt;0,ROUND(AVERAGEIFS('Shortlisted Drugs X Company (7)'!$N$3:$N$698,'Shortlisted Drugs X Company (7)'!$C$3:$C$698,$B305,'Shortlisted Drugs X Company (7)'!$E$3:$E$698,$S305,'Shortlisted Drugs X Company (7)'!$N$3:$N$698,"&gt;=0"),2),"")</f>
        <v>6.08</v>
      </c>
      <c r="AG305" s="16" t="s">
        <v>1335</v>
      </c>
      <c r="AH305" s="16" t="s">
        <v>1336</v>
      </c>
      <c r="AI305" s="16" t="s">
        <v>1337</v>
      </c>
      <c r="AJ305" s="16" t="str">
        <f aca="false">IF(O305&lt;&gt;"","",IF(ISNUMBER(D305),IF(D305&gt;=$C$3,"High price","Lower price"),"Unpriced")&amp;" · "&amp;IF(M305&gt;=$E$3,"high volume","lower volume"))</f>
        <v/>
      </c>
      <c r="AK305" s="15" t="str">
        <f aca="false">IF(O305&lt;&gt;"",IF(O305="Price ≤ $5","Excluded – price ≤ $5","Excluded – IV only"),IF(ISNUMBER(D305),IF(AND(D305&gt;=$C$3,L305&gt;=$H$3),"Priority 1",IF(OR(D305&gt;=$C$3,L305&gt;=$H$3),"Priority 2","Priority 3")),IF(L305&gt;=$H$3,"Priority 2","Priority 3")))</f>
        <v>Excluded – IV only</v>
      </c>
      <c r="AL305" s="16" t="str">
        <f aca="false">IF(O305&lt;&gt;"","",IF(ISNUMBER(D305),IF(D305&gt;=$C$3,"High price","Lower price"),"Unpriced")&amp;" · "&amp;IF(L305&gt;=$H$3,"high volume","lower volume"))</f>
        <v/>
      </c>
      <c r="AM305" s="14" t="str">
        <f aca="false">IF(O305&lt;&gt;"","",COUNTIFS($A$29:$A$361,A305,$O$29:$O$361,"",$AQ$29:$AQ$361,"&gt;"&amp;AQ305)+COUNTIFS($A$29:A305,A305,$O$29:O305,"",$AQ$29:AQ305,AQ305))</f>
        <v/>
      </c>
      <c r="AN305" s="33" t="str">
        <f aca="false">IF(AND(O305="",ISNUMBER(D305)),D305,"")</f>
        <v/>
      </c>
      <c r="AO305" s="33" t="str">
        <f aca="false">IF(O305="",M305,"")</f>
        <v/>
      </c>
      <c r="AP305" s="33" t="str">
        <f aca="false">IF(O305="",L305,"")</f>
        <v/>
      </c>
      <c r="AQ305" s="33" t="str">
        <f aca="false">IF(O305&lt;&gt;"","",(4-VALUE(RIGHT(AK305,1)))*10^7+N(N305))</f>
        <v/>
      </c>
      <c r="AR305" s="33" t="n">
        <f aca="false">INDEX($O$7:$O$25,MATCH(A305,$I$7:$I$25,0))</f>
        <v>10</v>
      </c>
      <c r="AS305" s="33" t="str">
        <f aca="false">IF(AE305="No","",AR305*1000+IF(AM305="",900+COUNTIFS($A$29:A305,A305,$O$29:O305,"Price ≤ $5"),AM305))</f>
        <v/>
      </c>
    </row>
    <row r="306" customFormat="false" ht="41.75" hidden="false" customHeight="false" outlineLevel="0" collapsed="false">
      <c r="A306" s="15" t="s">
        <v>199</v>
      </c>
      <c r="B306" s="15" t="s">
        <v>1090</v>
      </c>
      <c r="C306" s="16" t="s">
        <v>1091</v>
      </c>
      <c r="D306" s="17" t="n">
        <f aca="false">IF(W306&gt;0,ROUND(AVERAGEIFS('Shortlisted Drugs X Company (7)'!$N$3:$N$698,'Shortlisted Drugs X Company (7)'!$C$3:$C$698,$B306,'Shortlisted Drugs X Company (7)'!$E$3:$E$698,$S306,'Shortlisted Drugs X Company (7)'!$N$3:$N$698,"&gt;5"),2),"")</f>
        <v>17.63</v>
      </c>
      <c r="E306" s="15" t="str">
        <f aca="false">IF(COUNTIFS('Shortlisted Drugs X Company (7)'!$C$3:$C$698,$B306,'Shortlisted Drugs X Company (7)'!$E$3:$E$698,$S306,'Shortlisted Drugs X Company (7)'!$P$3:$P$698,"Exact")&gt;0,"Exact",IF(COUNTIFS('Shortlisted Drugs X Company (7)'!$C$3:$C$698,$B306,'Shortlisted Drugs X Company (7)'!$E$3:$E$698,$S306,'Shortlisted Drugs X Company (7)'!$P$3:$P$698,"Same-market proxy")&gt;0,"Same-market proxy",IF(COUNTIFS('Shortlisted Drugs X Company (7)'!$C$3:$C$698,$B306,'Shortlisted Drugs X Company (7)'!$E$3:$E$698,$S306,'Shortlisted Drugs X Company (7)'!$P$3:$P$698,"Cross-market proxy")&gt;0,"Cross-market proxy",IF(COUNTIFS('Shortlisted Drugs X Company (7)'!$C$3:$C$698,$B306,'Shortlisted Drugs X Company (7)'!$E$3:$E$698,$S306,'Shortlisted Drugs X Company (7)'!$P$3:$P$698,"Source not found")&gt;0,"Source not found","Not priced"))))</f>
        <v>Same-market proxy</v>
      </c>
      <c r="F306" s="18" t="n">
        <f aca="false">IFERROR(ROUND(INDEX('Injectable Value'!$AA$28:$AA$178,MATCH(B306,'Injectable Value'!$A$28:$A$178,0)),1),"")</f>
        <v>2902.1</v>
      </c>
      <c r="G306" s="16" t="s">
        <v>418</v>
      </c>
      <c r="H306" s="14" t="n">
        <v>2</v>
      </c>
      <c r="I306" s="15" t="s">
        <v>248</v>
      </c>
      <c r="J306" s="15" t="s">
        <v>249</v>
      </c>
      <c r="K306" s="16" t="str">
        <f aca="false">""&amp;IF(V306=0,"Unpriced","")&amp;IF(AND(V306&gt;0,W306=0,X306=0),"Low price from another market – confirm with company","")</f>
        <v/>
      </c>
      <c r="L306" s="18" t="n">
        <f aca="false">IFERROR(INDEX('Shortlisted Drugs X Company (7)'!$K$3:$K$698,MATCH(B306,'Shortlisted Drugs X Company (7)'!$C$3:$C$698,0)),"")</f>
        <v>55</v>
      </c>
      <c r="M306" s="18" t="n">
        <f aca="false">IFERROR(ROUND(L306*INDEX('Injectable Value'!$Z$28:$Z$178,MATCH(B306,'Injectable Value'!$A$28:$A$178,0)),0),"")</f>
        <v>25</v>
      </c>
      <c r="N306" s="18" t="n">
        <f aca="false">IFERROR(INDEX('Shortlisted Drugs X Company (7)'!$L$3:$L$698,MATCH(B306,'Shortlisted Drugs X Company (7)'!$C$3:$C$698,0)),"")</f>
        <v>6450.54</v>
      </c>
      <c r="O306" s="15" t="str">
        <f aca="false">IF(AE306="No","IV only (not ID/IM/SC)",IF(AND(V306&gt;0,W306=0),"Price ≤ $5",""))</f>
        <v>IV only (not ID/IM/SC)</v>
      </c>
      <c r="P306" s="14" t="str">
        <f aca="false">IF(O306&lt;&gt;"","",COUNTIFS($A$29:$A$361,A306,$O$29:$O$361,"",$AC$29:$AC$361,"&gt;"&amp;AC306)+COUNTIFS($A$29:A306,A306,$O$29:O306,"",$AC$29:AC306,AC306))</f>
        <v/>
      </c>
      <c r="Q306" s="15" t="str">
        <f aca="false">IF(O306&lt;&gt;"",IF(O306="Price ≤ $5","Excluded – price ≤ $5","Excluded – IV only"),IF(ISNUMBER(D306),IF(AND(D306&gt;=$C$3,M306&gt;=$E$3),"Priority 1",IF(OR(D306&gt;=$C$3,M306&gt;=$E$3),"Priority 2","Priority 3")),IF(M306&gt;=$E$3,"Priority 2","Priority 3")))</f>
        <v>Excluded – IV only</v>
      </c>
      <c r="R306" s="16" t="s">
        <v>285</v>
      </c>
      <c r="S306" s="15" t="s">
        <v>199</v>
      </c>
      <c r="T306" s="32" t="s">
        <v>1093</v>
      </c>
      <c r="U306" s="33" t="str">
        <f aca="false">B306&amp;"|"&amp;S306</f>
        <v>Paricalcitol|Sun Pharma</v>
      </c>
      <c r="V306" s="34" t="n">
        <f aca="false">COUNTIFS('Shortlisted Drugs X Company (7)'!$C$3:$C$698,$B306,'Shortlisted Drugs X Company (7)'!$E$3:$E$698,$S306,'Shortlisted Drugs X Company (7)'!$N$3:$N$698,"&gt;=0")</f>
        <v>1</v>
      </c>
      <c r="W306" s="34" t="n">
        <f aca="false">COUNTIFS('Shortlisted Drugs X Company (7)'!$C$3:$C$698,$B306,'Shortlisted Drugs X Company (7)'!$E$3:$E$698,$S306,'Shortlisted Drugs X Company (7)'!$N$3:$N$698,"&gt;5")</f>
        <v>1</v>
      </c>
      <c r="X306" s="34" t="n">
        <f aca="false">COUNTIFS('Shortlisted Drugs X Company (7)'!$C$3:$C$698,$B306,'Shortlisted Drugs X Company (7)'!$E$3:$E$698,$S306,'Shortlisted Drugs X Company (7)'!$P$3:$P$698,"Exact")+COUNTIFS('Shortlisted Drugs X Company (7)'!$C$3:$C$698,$B306,'Shortlisted Drugs X Company (7)'!$E$3:$E$698,$S306,'Shortlisted Drugs X Company (7)'!$P$3:$P$698,"Same-market proxy")</f>
        <v>1</v>
      </c>
      <c r="Y306" s="33" t="str">
        <f aca="false">A306&amp;"|"&amp;P306</f>
        <v>Sun Pharma|</v>
      </c>
      <c r="Z306" s="16" t="s">
        <v>1338</v>
      </c>
      <c r="AA306" s="33" t="n">
        <f aca="false">INDEX($G$7:$G$25,MATCH(A306,$A$7:$A$25,0))</f>
        <v>10</v>
      </c>
      <c r="AB306" s="33" t="str">
        <f aca="false">IF(AE306="No","",AA306*1000+IF(P306="",900+COUNTIFS($A$29:A306,A306,$O$29:O306,"Price ≤ $5"),P306))</f>
        <v/>
      </c>
      <c r="AC306" s="33" t="str">
        <f aca="false">IF(O306&lt;&gt;"","",(4-VALUE(RIGHT(Q306,1)))*10^7+N(F306))</f>
        <v/>
      </c>
      <c r="AD306" s="15" t="str">
        <f aca="false">IFERROR(INDEX('Route of Administration'!$C$5:$C$155,MATCH(B306,'Route of Administration'!$A$5:$A$155,0)),"")</f>
        <v>IV</v>
      </c>
      <c r="AE306" s="14" t="str">
        <f aca="false">IFERROR(INDEX('Route of Administration'!$D$5:$D$155,MATCH(B306,'Route of Administration'!$A$5:$A$155,0)),"")</f>
        <v>No</v>
      </c>
      <c r="AF306" s="19" t="n">
        <f aca="false">IF(V306&gt;0,ROUND(AVERAGEIFS('Shortlisted Drugs X Company (7)'!$N$3:$N$698,'Shortlisted Drugs X Company (7)'!$C$3:$C$698,$B306,'Shortlisted Drugs X Company (7)'!$E$3:$E$698,$S306,'Shortlisted Drugs X Company (7)'!$N$3:$N$698,"&gt;=0"),2),"")</f>
        <v>17.63</v>
      </c>
      <c r="AG306" s="16" t="s">
        <v>1339</v>
      </c>
      <c r="AH306" s="16" t="s">
        <v>1340</v>
      </c>
      <c r="AI306" s="16" t="s">
        <v>1340</v>
      </c>
      <c r="AJ306" s="16" t="str">
        <f aca="false">IF(O306&lt;&gt;"","",IF(ISNUMBER(D306),IF(D306&gt;=$C$3,"High price","Lower price"),"Unpriced")&amp;" · "&amp;IF(M306&gt;=$E$3,"high volume","lower volume"))</f>
        <v/>
      </c>
      <c r="AK306" s="15" t="str">
        <f aca="false">IF(O306&lt;&gt;"",IF(O306="Price ≤ $5","Excluded – price ≤ $5","Excluded – IV only"),IF(ISNUMBER(D306),IF(AND(D306&gt;=$C$3,L306&gt;=$H$3),"Priority 1",IF(OR(D306&gt;=$C$3,L306&gt;=$H$3),"Priority 2","Priority 3")),IF(L306&gt;=$H$3,"Priority 2","Priority 3")))</f>
        <v>Excluded – IV only</v>
      </c>
      <c r="AL306" s="16" t="str">
        <f aca="false">IF(O306&lt;&gt;"","",IF(ISNUMBER(D306),IF(D306&gt;=$C$3,"High price","Lower price"),"Unpriced")&amp;" · "&amp;IF(L306&gt;=$H$3,"high volume","lower volume"))</f>
        <v/>
      </c>
      <c r="AM306" s="14" t="str">
        <f aca="false">IF(O306&lt;&gt;"","",COUNTIFS($A$29:$A$361,A306,$O$29:$O$361,"",$AQ$29:$AQ$361,"&gt;"&amp;AQ306)+COUNTIFS($A$29:A306,A306,$O$29:O306,"",$AQ$29:AQ306,AQ306))</f>
        <v/>
      </c>
      <c r="AN306" s="33" t="str">
        <f aca="false">IF(AND(O306="",ISNUMBER(D306)),D306,"")</f>
        <v/>
      </c>
      <c r="AO306" s="33" t="str">
        <f aca="false">IF(O306="",M306,"")</f>
        <v/>
      </c>
      <c r="AP306" s="33" t="str">
        <f aca="false">IF(O306="",L306,"")</f>
        <v/>
      </c>
      <c r="AQ306" s="33" t="str">
        <f aca="false">IF(O306&lt;&gt;"","",(4-VALUE(RIGHT(AK306,1)))*10^7+N(N306))</f>
        <v/>
      </c>
      <c r="AR306" s="33" t="n">
        <f aca="false">INDEX($O$7:$O$25,MATCH(A306,$I$7:$I$25,0))</f>
        <v>10</v>
      </c>
      <c r="AS306" s="33" t="str">
        <f aca="false">IF(AE306="No","",AR306*1000+IF(AM306="",900+COUNTIFS($A$29:A306,A306,$O$29:O306,"Price ≤ $5"),AM306))</f>
        <v/>
      </c>
    </row>
    <row r="307" customFormat="false" ht="28.35" hidden="false" customHeight="false" outlineLevel="0" collapsed="false">
      <c r="A307" s="15" t="s">
        <v>199</v>
      </c>
      <c r="B307" s="15" t="s">
        <v>635</v>
      </c>
      <c r="C307" s="16" t="s">
        <v>636</v>
      </c>
      <c r="D307" s="17" t="n">
        <f aca="false">IF(W307&gt;0,ROUND(AVERAGEIFS('Shortlisted Drugs X Company (7)'!$N$3:$N$698,'Shortlisted Drugs X Company (7)'!$C$3:$C$698,$B307,'Shortlisted Drugs X Company (7)'!$E$3:$E$698,$S307,'Shortlisted Drugs X Company (7)'!$N$3:$N$698,"&gt;5"),2),"")</f>
        <v>40.14</v>
      </c>
      <c r="E307" s="15" t="str">
        <f aca="false">IF(COUNTIFS('Shortlisted Drugs X Company (7)'!$C$3:$C$698,$B307,'Shortlisted Drugs X Company (7)'!$E$3:$E$698,$S307,'Shortlisted Drugs X Company (7)'!$P$3:$P$698,"Exact")&gt;0,"Exact",IF(COUNTIFS('Shortlisted Drugs X Company (7)'!$C$3:$C$698,$B307,'Shortlisted Drugs X Company (7)'!$E$3:$E$698,$S307,'Shortlisted Drugs X Company (7)'!$P$3:$P$698,"Same-market proxy")&gt;0,"Same-market proxy",IF(COUNTIFS('Shortlisted Drugs X Company (7)'!$C$3:$C$698,$B307,'Shortlisted Drugs X Company (7)'!$E$3:$E$698,$S307,'Shortlisted Drugs X Company (7)'!$P$3:$P$698,"Cross-market proxy")&gt;0,"Cross-market proxy",IF(COUNTIFS('Shortlisted Drugs X Company (7)'!$C$3:$C$698,$B307,'Shortlisted Drugs X Company (7)'!$E$3:$E$698,$S307,'Shortlisted Drugs X Company (7)'!$P$3:$P$698,"Source not found")&gt;0,"Source not found","Not priced"))))</f>
        <v>Exact</v>
      </c>
      <c r="F307" s="18" t="n">
        <f aca="false">IFERROR(ROUND(INDEX('Injectable Value'!$AA$28:$AA$178,MATCH(B307,'Injectable Value'!$A$28:$A$178,0)),1),"")</f>
        <v>32830.2</v>
      </c>
      <c r="G307" s="16" t="s">
        <v>1341</v>
      </c>
      <c r="H307" s="14" t="n">
        <v>7</v>
      </c>
      <c r="I307" s="15" t="s">
        <v>248</v>
      </c>
      <c r="J307" s="15" t="s">
        <v>249</v>
      </c>
      <c r="K307" s="16" t="str">
        <f aca="false">""&amp;IF(V307=0,"Unpriced","")&amp;IF(AND(V307&gt;0,W307=0,X307=0),"Low price from another market – confirm with company","")</f>
        <v/>
      </c>
      <c r="L307" s="18" t="n">
        <f aca="false">IFERROR(INDEX('Shortlisted Drugs X Company (7)'!$K$3:$K$698,MATCH(B307,'Shortlisted Drugs X Company (7)'!$C$3:$C$698,0)),"")</f>
        <v>346</v>
      </c>
      <c r="M307" s="18" t="n">
        <f aca="false">IFERROR(ROUND(L307*INDEX('Injectable Value'!$Z$28:$Z$178,MATCH(B307,'Injectable Value'!$A$28:$A$178,0)),0),"")</f>
        <v>346</v>
      </c>
      <c r="N307" s="18" t="n">
        <f aca="false">IFERROR(INDEX('Shortlisted Drugs X Company (7)'!$L$3:$L$698,MATCH(B307,'Shortlisted Drugs X Company (7)'!$C$3:$C$698,0)),"")</f>
        <v>32830.17</v>
      </c>
      <c r="O307" s="15" t="str">
        <f aca="false">IF(AE307="No","IV only (not ID/IM/SC)",IF(AND(V307&gt;0,W307=0),"Price ≤ $5",""))</f>
        <v>IV only (not ID/IM/SC)</v>
      </c>
      <c r="P307" s="14" t="str">
        <f aca="false">IF(O307&lt;&gt;"","",COUNTIFS($A$29:$A$361,A307,$O$29:$O$361,"",$AC$29:$AC$361,"&gt;"&amp;AC307)+COUNTIFS($A$29:A307,A307,$O$29:O307,"",$AC$29:AC307,AC307))</f>
        <v/>
      </c>
      <c r="Q307" s="15" t="str">
        <f aca="false">IF(O307&lt;&gt;"",IF(O307="Price ≤ $5","Excluded – price ≤ $5","Excluded – IV only"),IF(ISNUMBER(D307),IF(AND(D307&gt;=$C$3,M307&gt;=$E$3),"Priority 1",IF(OR(D307&gt;=$C$3,M307&gt;=$E$3),"Priority 2","Priority 3")),IF(M307&gt;=$E$3,"Priority 2","Priority 3")))</f>
        <v>Excluded – IV only</v>
      </c>
      <c r="R307" s="16" t="s">
        <v>250</v>
      </c>
      <c r="S307" s="15" t="s">
        <v>199</v>
      </c>
      <c r="T307" s="32" t="s">
        <v>637</v>
      </c>
      <c r="U307" s="33" t="str">
        <f aca="false">B307&amp;"|"&amp;S307</f>
        <v>Sugammadex|Sun Pharma</v>
      </c>
      <c r="V307" s="34" t="n">
        <f aca="false">COUNTIFS('Shortlisted Drugs X Company (7)'!$C$3:$C$698,$B307,'Shortlisted Drugs X Company (7)'!$E$3:$E$698,$S307,'Shortlisted Drugs X Company (7)'!$N$3:$N$698,"&gt;=0")</f>
        <v>4</v>
      </c>
      <c r="W307" s="34" t="n">
        <f aca="false">COUNTIFS('Shortlisted Drugs X Company (7)'!$C$3:$C$698,$B307,'Shortlisted Drugs X Company (7)'!$E$3:$E$698,$S307,'Shortlisted Drugs X Company (7)'!$N$3:$N$698,"&gt;5")</f>
        <v>4</v>
      </c>
      <c r="X307" s="34" t="n">
        <f aca="false">COUNTIFS('Shortlisted Drugs X Company (7)'!$C$3:$C$698,$B307,'Shortlisted Drugs X Company (7)'!$E$3:$E$698,$S307,'Shortlisted Drugs X Company (7)'!$P$3:$P$698,"Exact")+COUNTIFS('Shortlisted Drugs X Company (7)'!$C$3:$C$698,$B307,'Shortlisted Drugs X Company (7)'!$E$3:$E$698,$S307,'Shortlisted Drugs X Company (7)'!$P$3:$P$698,"Same-market proxy")</f>
        <v>4</v>
      </c>
      <c r="Y307" s="33" t="str">
        <f aca="false">A307&amp;"|"&amp;P307</f>
        <v>Sun Pharma|</v>
      </c>
      <c r="Z307" s="16" t="s">
        <v>638</v>
      </c>
      <c r="AA307" s="33" t="n">
        <f aca="false">INDEX($G$7:$G$25,MATCH(A307,$A$7:$A$25,0))</f>
        <v>10</v>
      </c>
      <c r="AB307" s="33" t="str">
        <f aca="false">IF(AE307="No","",AA307*1000+IF(P307="",900+COUNTIFS($A$29:A307,A307,$O$29:O307,"Price ≤ $5"),P307))</f>
        <v/>
      </c>
      <c r="AC307" s="33" t="str">
        <f aca="false">IF(O307&lt;&gt;"","",(4-VALUE(RIGHT(Q307,1)))*10^7+N(F307))</f>
        <v/>
      </c>
      <c r="AD307" s="15" t="str">
        <f aca="false">IFERROR(INDEX('Route of Administration'!$C$5:$C$155,MATCH(B307,'Route of Administration'!$A$5:$A$155,0)),"")</f>
        <v>IV</v>
      </c>
      <c r="AE307" s="14" t="str">
        <f aca="false">IFERROR(INDEX('Route of Administration'!$D$5:$D$155,MATCH(B307,'Route of Administration'!$A$5:$A$155,0)),"")</f>
        <v>No</v>
      </c>
      <c r="AF307" s="19" t="n">
        <f aca="false">IF(V307&gt;0,ROUND(AVERAGEIFS('Shortlisted Drugs X Company (7)'!$N$3:$N$698,'Shortlisted Drugs X Company (7)'!$C$3:$C$698,$B307,'Shortlisted Drugs X Company (7)'!$E$3:$E$698,$S307,'Shortlisted Drugs X Company (7)'!$N$3:$N$698,"&gt;=0"),2),"")</f>
        <v>40.14</v>
      </c>
      <c r="AG307" s="16" t="s">
        <v>1342</v>
      </c>
      <c r="AH307" s="16" t="s">
        <v>1343</v>
      </c>
      <c r="AI307" s="16" t="s">
        <v>1343</v>
      </c>
      <c r="AJ307" s="16" t="str">
        <f aca="false">IF(O307&lt;&gt;"","",IF(ISNUMBER(D307),IF(D307&gt;=$C$3,"High price","Lower price"),"Unpriced")&amp;" · "&amp;IF(M307&gt;=$E$3,"high volume","lower volume"))</f>
        <v/>
      </c>
      <c r="AK307" s="15" t="str">
        <f aca="false">IF(O307&lt;&gt;"",IF(O307="Price ≤ $5","Excluded – price ≤ $5","Excluded – IV only"),IF(ISNUMBER(D307),IF(AND(D307&gt;=$C$3,L307&gt;=$H$3),"Priority 1",IF(OR(D307&gt;=$C$3,L307&gt;=$H$3),"Priority 2","Priority 3")),IF(L307&gt;=$H$3,"Priority 2","Priority 3")))</f>
        <v>Excluded – IV only</v>
      </c>
      <c r="AL307" s="16" t="str">
        <f aca="false">IF(O307&lt;&gt;"","",IF(ISNUMBER(D307),IF(D307&gt;=$C$3,"High price","Lower price"),"Unpriced")&amp;" · "&amp;IF(L307&gt;=$H$3,"high volume","lower volume"))</f>
        <v/>
      </c>
      <c r="AM307" s="14" t="str">
        <f aca="false">IF(O307&lt;&gt;"","",COUNTIFS($A$29:$A$361,A307,$O$29:$O$361,"",$AQ$29:$AQ$361,"&gt;"&amp;AQ307)+COUNTIFS($A$29:A307,A307,$O$29:O307,"",$AQ$29:AQ307,AQ307))</f>
        <v/>
      </c>
      <c r="AN307" s="33" t="str">
        <f aca="false">IF(AND(O307="",ISNUMBER(D307)),D307,"")</f>
        <v/>
      </c>
      <c r="AO307" s="33" t="str">
        <f aca="false">IF(O307="",M307,"")</f>
        <v/>
      </c>
      <c r="AP307" s="33" t="str">
        <f aca="false">IF(O307="",L307,"")</f>
        <v/>
      </c>
      <c r="AQ307" s="33" t="str">
        <f aca="false">IF(O307&lt;&gt;"","",(4-VALUE(RIGHT(AK307,1)))*10^7+N(N307))</f>
        <v/>
      </c>
      <c r="AR307" s="33" t="n">
        <f aca="false">INDEX($O$7:$O$25,MATCH(A307,$I$7:$I$25,0))</f>
        <v>10</v>
      </c>
      <c r="AS307" s="33" t="str">
        <f aca="false">IF(AE307="No","",AR307*1000+IF(AM307="",900+COUNTIFS($A$29:A307,A307,$O$29:O307,"Price ≤ $5"),AM307))</f>
        <v/>
      </c>
    </row>
    <row r="308" customFormat="false" ht="28.35" hidden="false" customHeight="false" outlineLevel="0" collapsed="false">
      <c r="A308" s="15" t="s">
        <v>199</v>
      </c>
      <c r="B308" s="15" t="s">
        <v>641</v>
      </c>
      <c r="C308" s="16" t="s">
        <v>642</v>
      </c>
      <c r="D308" s="17" t="n">
        <f aca="false">IF(W308&gt;0,ROUND(AVERAGEIFS('Shortlisted Drugs X Company (7)'!$N$3:$N$698,'Shortlisted Drugs X Company (7)'!$C$3:$C$698,$B308,'Shortlisted Drugs X Company (7)'!$E$3:$E$698,$S308,'Shortlisted Drugs X Company (7)'!$N$3:$N$698,"&gt;5"),2),"")</f>
        <v>36.53</v>
      </c>
      <c r="E308" s="15" t="str">
        <f aca="false">IF(COUNTIFS('Shortlisted Drugs X Company (7)'!$C$3:$C$698,$B308,'Shortlisted Drugs X Company (7)'!$E$3:$E$698,$S308,'Shortlisted Drugs X Company (7)'!$P$3:$P$698,"Exact")&gt;0,"Exact",IF(COUNTIFS('Shortlisted Drugs X Company (7)'!$C$3:$C$698,$B308,'Shortlisted Drugs X Company (7)'!$E$3:$E$698,$S308,'Shortlisted Drugs X Company (7)'!$P$3:$P$698,"Same-market proxy")&gt;0,"Same-market proxy",IF(COUNTIFS('Shortlisted Drugs X Company (7)'!$C$3:$C$698,$B308,'Shortlisted Drugs X Company (7)'!$E$3:$E$698,$S308,'Shortlisted Drugs X Company (7)'!$P$3:$P$698,"Cross-market proxy")&gt;0,"Cross-market proxy",IF(COUNTIFS('Shortlisted Drugs X Company (7)'!$C$3:$C$698,$B308,'Shortlisted Drugs X Company (7)'!$E$3:$E$698,$S308,'Shortlisted Drugs X Company (7)'!$P$3:$P$698,"Source not found")&gt;0,"Source not found","Not priced"))))</f>
        <v>Same-market proxy</v>
      </c>
      <c r="F308" s="18" t="n">
        <f aca="false">IFERROR(ROUND(INDEX('Injectable Value'!$AA$28:$AA$178,MATCH(B308,'Injectable Value'!$A$28:$A$178,0)),1),"")</f>
        <v>6632.6</v>
      </c>
      <c r="G308" s="16" t="s">
        <v>1000</v>
      </c>
      <c r="H308" s="14" t="n">
        <v>4</v>
      </c>
      <c r="I308" s="15" t="s">
        <v>248</v>
      </c>
      <c r="J308" s="15" t="s">
        <v>249</v>
      </c>
      <c r="K308" s="16" t="str">
        <f aca="false">"Reconstitution"&amp;IF(V308=0,"; Unpriced","")&amp;IF(AND(V308&gt;0,W308=0,X308=0),"; Low price from another market – confirm with company","")</f>
        <v>Reconstitution</v>
      </c>
      <c r="L308" s="18" t="n">
        <f aca="false">IFERROR(INDEX('Shortlisted Drugs X Company (7)'!$K$3:$K$698,MATCH(B308,'Shortlisted Drugs X Company (7)'!$C$3:$C$698,0)),"")</f>
        <v>106</v>
      </c>
      <c r="M308" s="18" t="n">
        <f aca="false">IFERROR(ROUND(L308*INDEX('Injectable Value'!$Z$28:$Z$178,MATCH(B308,'Injectable Value'!$A$28:$A$178,0)),0),"")</f>
        <v>99</v>
      </c>
      <c r="N308" s="18" t="n">
        <f aca="false">IFERROR(INDEX('Shortlisted Drugs X Company (7)'!$L$3:$L$698,MATCH(B308,'Shortlisted Drugs X Company (7)'!$C$3:$C$698,0)),"")</f>
        <v>7074.72</v>
      </c>
      <c r="O308" s="15" t="str">
        <f aca="false">IF(AE308="No","IV only (not ID/IM/SC)",IF(AND(V308&gt;0,W308=0),"Price ≤ $5",""))</f>
        <v/>
      </c>
      <c r="P308" s="14" t="n">
        <f aca="false">IF(O308&lt;&gt;"","",COUNTIFS($A$29:$A$361,A308,$O$29:$O$361,"",$AC$29:$AC$361,"&gt;"&amp;AC308)+COUNTIFS($A$29:A308,A308,$O$29:O308,"",$AC$29:AC308,AC308))</f>
        <v>5</v>
      </c>
      <c r="Q308" s="15" t="str">
        <f aca="false">IF(O308&lt;&gt;"",IF(O308="Price ≤ $5","Excluded – price ≤ $5","Excluded – IV only"),IF(ISNUMBER(D308),IF(AND(D308&gt;=$C$3,M308&gt;=$E$3),"Priority 1",IF(OR(D308&gt;=$C$3,M308&gt;=$E$3),"Priority 2","Priority 3")),IF(M308&gt;=$E$3,"Priority 2","Priority 3")))</f>
        <v>Priority 2</v>
      </c>
      <c r="R308" s="16" t="s">
        <v>250</v>
      </c>
      <c r="S308" s="15" t="s">
        <v>199</v>
      </c>
      <c r="T308" s="32" t="s">
        <v>643</v>
      </c>
      <c r="U308" s="33" t="str">
        <f aca="false">B308&amp;"|"&amp;S308</f>
        <v>Teicoplanin|Sun Pharma</v>
      </c>
      <c r="V308" s="34" t="n">
        <f aca="false">COUNTIFS('Shortlisted Drugs X Company (7)'!$C$3:$C$698,$B308,'Shortlisted Drugs X Company (7)'!$E$3:$E$698,$S308,'Shortlisted Drugs X Company (7)'!$N$3:$N$698,"&gt;=0")</f>
        <v>2</v>
      </c>
      <c r="W308" s="34" t="n">
        <f aca="false">COUNTIFS('Shortlisted Drugs X Company (7)'!$C$3:$C$698,$B308,'Shortlisted Drugs X Company (7)'!$E$3:$E$698,$S308,'Shortlisted Drugs X Company (7)'!$N$3:$N$698,"&gt;5")</f>
        <v>2</v>
      </c>
      <c r="X308" s="34" t="n">
        <f aca="false">COUNTIFS('Shortlisted Drugs X Company (7)'!$C$3:$C$698,$B308,'Shortlisted Drugs X Company (7)'!$E$3:$E$698,$S308,'Shortlisted Drugs X Company (7)'!$P$3:$P$698,"Exact")+COUNTIFS('Shortlisted Drugs X Company (7)'!$C$3:$C$698,$B308,'Shortlisted Drugs X Company (7)'!$E$3:$E$698,$S308,'Shortlisted Drugs X Company (7)'!$P$3:$P$698,"Same-market proxy")</f>
        <v>2</v>
      </c>
      <c r="Y308" s="33" t="str">
        <f aca="false">A308&amp;"|"&amp;P308</f>
        <v>Sun Pharma|5</v>
      </c>
      <c r="Z308" s="16" t="s">
        <v>1344</v>
      </c>
      <c r="AA308" s="33" t="n">
        <f aca="false">INDEX($G$7:$G$25,MATCH(A308,$A$7:$A$25,0))</f>
        <v>10</v>
      </c>
      <c r="AB308" s="33" t="n">
        <f aca="false">IF(AE308="No","",AA308*1000+IF(P308="",900+COUNTIFS($A$29:A308,A308,$O$29:O308,"Price ≤ $5"),P308))</f>
        <v>10005</v>
      </c>
      <c r="AC308" s="33" t="n">
        <f aca="false">IF(O308&lt;&gt;"","",(4-VALUE(RIGHT(Q308,1)))*10^7+N(F308))</f>
        <v>20006632.6</v>
      </c>
      <c r="AD308" s="15" t="str">
        <f aca="false">IFERROR(INDEX('Route of Administration'!$C$5:$C$155,MATCH(B308,'Route of Administration'!$A$5:$A$155,0)),"")</f>
        <v>IV, IM</v>
      </c>
      <c r="AE308" s="14" t="str">
        <f aca="false">IFERROR(INDEX('Route of Administration'!$D$5:$D$155,MATCH(B308,'Route of Administration'!$A$5:$A$155,0)),"")</f>
        <v>Yes</v>
      </c>
      <c r="AF308" s="19" t="n">
        <f aca="false">IF(V308&gt;0,ROUND(AVERAGEIFS('Shortlisted Drugs X Company (7)'!$N$3:$N$698,'Shortlisted Drugs X Company (7)'!$C$3:$C$698,$B308,'Shortlisted Drugs X Company (7)'!$E$3:$E$698,$S308,'Shortlisted Drugs X Company (7)'!$N$3:$N$698,"&gt;=0"),2),"")</f>
        <v>36.53</v>
      </c>
      <c r="AG308" s="16" t="s">
        <v>1345</v>
      </c>
      <c r="AH308" s="16" t="s">
        <v>1346</v>
      </c>
      <c r="AI308" s="16" t="s">
        <v>1346</v>
      </c>
      <c r="AJ308" s="16" t="str">
        <f aca="false">IF(O308&lt;&gt;"","",IF(ISNUMBER(D308),IF(D308&gt;=$C$3,"High price","Lower price"),"Unpriced")&amp;" · "&amp;IF(M308&gt;=$E$3,"high volume","lower volume"))</f>
        <v>High price · lower volume</v>
      </c>
      <c r="AK308" s="15" t="str">
        <f aca="false">IF(O308&lt;&gt;"",IF(O308="Price ≤ $5","Excluded – price ≤ $5","Excluded – IV only"),IF(ISNUMBER(D308),IF(AND(D308&gt;=$C$3,L308&gt;=$H$3),"Priority 1",IF(OR(D308&gt;=$C$3,L308&gt;=$H$3),"Priority 2","Priority 3")),IF(L308&gt;=$H$3,"Priority 2","Priority 3")))</f>
        <v>Priority 2</v>
      </c>
      <c r="AL308" s="16" t="str">
        <f aca="false">IF(O308&lt;&gt;"","",IF(ISNUMBER(D308),IF(D308&gt;=$C$3,"High price","Lower price"),"Unpriced")&amp;" · "&amp;IF(L308&gt;=$H$3,"high volume","lower volume"))</f>
        <v>High price · lower volume</v>
      </c>
      <c r="AM308" s="14" t="n">
        <f aca="false">IF(O308&lt;&gt;"","",COUNTIFS($A$29:$A$361,A308,$O$29:$O$361,"",$AQ$29:$AQ$361,"&gt;"&amp;AQ308)+COUNTIFS($A$29:A308,A308,$O$29:O308,"",$AQ$29:AQ308,AQ308))</f>
        <v>6</v>
      </c>
      <c r="AN308" s="19" t="n">
        <f aca="false">IF(AND(O308="",ISNUMBER(D308)),D308,"")</f>
        <v>36.53</v>
      </c>
      <c r="AO308" s="20" t="n">
        <f aca="false">IF(O308="",M308,"")</f>
        <v>99</v>
      </c>
      <c r="AP308" s="20" t="n">
        <f aca="false">IF(O308="",L308,"")</f>
        <v>106</v>
      </c>
      <c r="AQ308" s="33" t="n">
        <f aca="false">IF(O308&lt;&gt;"","",(4-VALUE(RIGHT(AK308,1)))*10^7+N(N308))</f>
        <v>20007074.72</v>
      </c>
      <c r="AR308" s="33" t="n">
        <f aca="false">INDEX($O$7:$O$25,MATCH(A308,$I$7:$I$25,0))</f>
        <v>10</v>
      </c>
      <c r="AS308" s="33" t="n">
        <f aca="false">IF(AE308="No","",AR308*1000+IF(AM308="",900+COUNTIFS($A$29:A308,A308,$O$29:O308,"Price ≤ $5"),AM308))</f>
        <v>10006</v>
      </c>
    </row>
    <row r="309" customFormat="false" ht="28.35" hidden="false" customHeight="false" outlineLevel="0" collapsed="false">
      <c r="A309" s="15" t="s">
        <v>199</v>
      </c>
      <c r="B309" s="15" t="s">
        <v>1347</v>
      </c>
      <c r="C309" s="16" t="s">
        <v>1348</v>
      </c>
      <c r="D309" s="17" t="n">
        <f aca="false">IF(W309&gt;0,ROUND(AVERAGEIFS('Shortlisted Drugs X Company (7)'!$N$3:$N$698,'Shortlisted Drugs X Company (7)'!$C$3:$C$698,$B309,'Shortlisted Drugs X Company (7)'!$E$3:$E$698,$S309,'Shortlisted Drugs X Company (7)'!$N$3:$N$698,"&gt;5"),2),"")</f>
        <v>30.66</v>
      </c>
      <c r="E309" s="15" t="str">
        <f aca="false">IF(COUNTIFS('Shortlisted Drugs X Company (7)'!$C$3:$C$698,$B309,'Shortlisted Drugs X Company (7)'!$E$3:$E$698,$S309,'Shortlisted Drugs X Company (7)'!$P$3:$P$698,"Exact")&gt;0,"Exact",IF(COUNTIFS('Shortlisted Drugs X Company (7)'!$C$3:$C$698,$B309,'Shortlisted Drugs X Company (7)'!$E$3:$E$698,$S309,'Shortlisted Drugs X Company (7)'!$P$3:$P$698,"Same-market proxy")&gt;0,"Same-market proxy",IF(COUNTIFS('Shortlisted Drugs X Company (7)'!$C$3:$C$698,$B309,'Shortlisted Drugs X Company (7)'!$E$3:$E$698,$S309,'Shortlisted Drugs X Company (7)'!$P$3:$P$698,"Cross-market proxy")&gt;0,"Cross-market proxy",IF(COUNTIFS('Shortlisted Drugs X Company (7)'!$C$3:$C$698,$B309,'Shortlisted Drugs X Company (7)'!$E$3:$E$698,$S309,'Shortlisted Drugs X Company (7)'!$P$3:$P$698,"Source not found")&gt;0,"Source not found","Not priced"))))</f>
        <v>Exact</v>
      </c>
      <c r="F309" s="18" t="n">
        <f aca="false">IFERROR(ROUND(INDEX('Injectable Value'!$AA$28:$AA$178,MATCH(B309,'Injectable Value'!$A$28:$A$178,0)),1),"")</f>
        <v>77.4</v>
      </c>
      <c r="G309" s="16" t="s">
        <v>754</v>
      </c>
      <c r="H309" s="14" t="n">
        <v>11</v>
      </c>
      <c r="I309" s="15" t="s">
        <v>316</v>
      </c>
      <c r="J309" s="15" t="s">
        <v>249</v>
      </c>
      <c r="K309" s="16" t="str">
        <f aca="false">""&amp;IF(V309=0,"Unpriced","")&amp;IF(AND(V309&gt;0,W309=0,X309=0),"Low price from another market – confirm with company","")</f>
        <v/>
      </c>
      <c r="L309" s="18" t="n">
        <f aca="false">IFERROR(INDEX('Shortlisted Drugs X Company (7)'!$K$3:$K$698,MATCH(B309,'Shortlisted Drugs X Company (7)'!$C$3:$C$698,0)),"")</f>
        <v>18</v>
      </c>
      <c r="M309" s="18" t="n">
        <f aca="false">IFERROR(ROUND(L309*INDEX('Injectable Value'!$Z$28:$Z$178,MATCH(B309,'Injectable Value'!$A$28:$A$178,0)),0),"")</f>
        <v>18</v>
      </c>
      <c r="N309" s="18" t="n">
        <f aca="false">IFERROR(INDEX('Shortlisted Drugs X Company (7)'!$L$3:$L$698,MATCH(B309,'Shortlisted Drugs X Company (7)'!$C$3:$C$698,0)),"")</f>
        <v>77.4</v>
      </c>
      <c r="O309" s="15" t="str">
        <f aca="false">IF(AE309="No","IV only (not ID/IM/SC)",IF(AND(V309&gt;0,W309=0),"Price ≤ $5",""))</f>
        <v>IV only (not ID/IM/SC)</v>
      </c>
      <c r="P309" s="14" t="str">
        <f aca="false">IF(O309&lt;&gt;"","",COUNTIFS($A$29:$A$361,A309,$O$29:$O$361,"",$AC$29:$AC$361,"&gt;"&amp;AC309)+COUNTIFS($A$29:A309,A309,$O$29:O309,"",$AC$29:AC309,AC309))</f>
        <v/>
      </c>
      <c r="Q309" s="15" t="str">
        <f aca="false">IF(O309&lt;&gt;"",IF(O309="Price ≤ $5","Excluded – price ≤ $5","Excluded – IV only"),IF(ISNUMBER(D309),IF(AND(D309&gt;=$C$3,M309&gt;=$E$3),"Priority 1",IF(OR(D309&gt;=$C$3,M309&gt;=$E$3),"Priority 2","Priority 3")),IF(M309&gt;=$E$3,"Priority 2","Priority 3")))</f>
        <v>Excluded – IV only</v>
      </c>
      <c r="R309" s="16" t="s">
        <v>285</v>
      </c>
      <c r="S309" s="15" t="s">
        <v>199</v>
      </c>
      <c r="T309" s="32" t="s">
        <v>1349</v>
      </c>
      <c r="U309" s="33" t="str">
        <f aca="false">B309&amp;"|"&amp;S309</f>
        <v>Terlipressin|Sun Pharma</v>
      </c>
      <c r="V309" s="34" t="n">
        <f aca="false">COUNTIFS('Shortlisted Drugs X Company (7)'!$C$3:$C$698,$B309,'Shortlisted Drugs X Company (7)'!$E$3:$E$698,$S309,'Shortlisted Drugs X Company (7)'!$N$3:$N$698,"&gt;=0")</f>
        <v>2</v>
      </c>
      <c r="W309" s="34" t="n">
        <f aca="false">COUNTIFS('Shortlisted Drugs X Company (7)'!$C$3:$C$698,$B309,'Shortlisted Drugs X Company (7)'!$E$3:$E$698,$S309,'Shortlisted Drugs X Company (7)'!$N$3:$N$698,"&gt;5")</f>
        <v>2</v>
      </c>
      <c r="X309" s="34" t="n">
        <f aca="false">COUNTIFS('Shortlisted Drugs X Company (7)'!$C$3:$C$698,$B309,'Shortlisted Drugs X Company (7)'!$E$3:$E$698,$S309,'Shortlisted Drugs X Company (7)'!$P$3:$P$698,"Exact")+COUNTIFS('Shortlisted Drugs X Company (7)'!$C$3:$C$698,$B309,'Shortlisted Drugs X Company (7)'!$E$3:$E$698,$S309,'Shortlisted Drugs X Company (7)'!$P$3:$P$698,"Same-market proxy")</f>
        <v>2</v>
      </c>
      <c r="Y309" s="33" t="str">
        <f aca="false">A309&amp;"|"&amp;P309</f>
        <v>Sun Pharma|</v>
      </c>
      <c r="Z309" s="16" t="s">
        <v>1350</v>
      </c>
      <c r="AA309" s="33" t="n">
        <f aca="false">INDEX($G$7:$G$25,MATCH(A309,$A$7:$A$25,0))</f>
        <v>10</v>
      </c>
      <c r="AB309" s="33" t="str">
        <f aca="false">IF(AE309="No","",AA309*1000+IF(P309="",900+COUNTIFS($A$29:A309,A309,$O$29:O309,"Price ≤ $5"),P309))</f>
        <v/>
      </c>
      <c r="AC309" s="33" t="str">
        <f aca="false">IF(O309&lt;&gt;"","",(4-VALUE(RIGHT(Q309,1)))*10^7+N(F309))</f>
        <v/>
      </c>
      <c r="AD309" s="15" t="str">
        <f aca="false">IFERROR(INDEX('Route of Administration'!$C$5:$C$155,MATCH(B309,'Route of Administration'!$A$5:$A$155,0)),"")</f>
        <v>IV</v>
      </c>
      <c r="AE309" s="14" t="str">
        <f aca="false">IFERROR(INDEX('Route of Administration'!$D$5:$D$155,MATCH(B309,'Route of Administration'!$A$5:$A$155,0)),"")</f>
        <v>No</v>
      </c>
      <c r="AF309" s="19" t="n">
        <f aca="false">IF(V309&gt;0,ROUND(AVERAGEIFS('Shortlisted Drugs X Company (7)'!$N$3:$N$698,'Shortlisted Drugs X Company (7)'!$C$3:$C$698,$B309,'Shortlisted Drugs X Company (7)'!$E$3:$E$698,$S309,'Shortlisted Drugs X Company (7)'!$N$3:$N$698,"&gt;=0"),2),"")</f>
        <v>30.66</v>
      </c>
      <c r="AG309" s="16" t="s">
        <v>1351</v>
      </c>
      <c r="AH309" s="16" t="s">
        <v>1352</v>
      </c>
      <c r="AI309" s="16" t="s">
        <v>1353</v>
      </c>
      <c r="AJ309" s="16" t="str">
        <f aca="false">IF(O309&lt;&gt;"","",IF(ISNUMBER(D309),IF(D309&gt;=$C$3,"High price","Lower price"),"Unpriced")&amp;" · "&amp;IF(M309&gt;=$E$3,"high volume","lower volume"))</f>
        <v/>
      </c>
      <c r="AK309" s="15" t="str">
        <f aca="false">IF(O309&lt;&gt;"",IF(O309="Price ≤ $5","Excluded – price ≤ $5","Excluded – IV only"),IF(ISNUMBER(D309),IF(AND(D309&gt;=$C$3,L309&gt;=$H$3),"Priority 1",IF(OR(D309&gt;=$C$3,L309&gt;=$H$3),"Priority 2","Priority 3")),IF(L309&gt;=$H$3,"Priority 2","Priority 3")))</f>
        <v>Excluded – IV only</v>
      </c>
      <c r="AL309" s="16" t="str">
        <f aca="false">IF(O309&lt;&gt;"","",IF(ISNUMBER(D309),IF(D309&gt;=$C$3,"High price","Lower price"),"Unpriced")&amp;" · "&amp;IF(L309&gt;=$H$3,"high volume","lower volume"))</f>
        <v/>
      </c>
      <c r="AM309" s="14" t="str">
        <f aca="false">IF(O309&lt;&gt;"","",COUNTIFS($A$29:$A$361,A309,$O$29:$O$361,"",$AQ$29:$AQ$361,"&gt;"&amp;AQ309)+COUNTIFS($A$29:A309,A309,$O$29:O309,"",$AQ$29:AQ309,AQ309))</f>
        <v/>
      </c>
      <c r="AN309" s="33" t="str">
        <f aca="false">IF(AND(O309="",ISNUMBER(D309)),D309,"")</f>
        <v/>
      </c>
      <c r="AO309" s="33" t="str">
        <f aca="false">IF(O309="",M309,"")</f>
        <v/>
      </c>
      <c r="AP309" s="33" t="str">
        <f aca="false">IF(O309="",L309,"")</f>
        <v/>
      </c>
      <c r="AQ309" s="33" t="str">
        <f aca="false">IF(O309&lt;&gt;"","",(4-VALUE(RIGHT(AK309,1)))*10^7+N(N309))</f>
        <v/>
      </c>
      <c r="AR309" s="33" t="n">
        <f aca="false">INDEX($O$7:$O$25,MATCH(A309,$I$7:$I$25,0))</f>
        <v>10</v>
      </c>
      <c r="AS309" s="33" t="str">
        <f aca="false">IF(AE309="No","",AR309*1000+IF(AM309="",900+COUNTIFS($A$29:A309,A309,$O$29:O309,"Price ≤ $5"),AM309))</f>
        <v/>
      </c>
    </row>
    <row r="310" customFormat="false" ht="41.75" hidden="false" customHeight="false" outlineLevel="0" collapsed="false">
      <c r="A310" s="15" t="s">
        <v>199</v>
      </c>
      <c r="B310" s="15" t="s">
        <v>542</v>
      </c>
      <c r="C310" s="16" t="s">
        <v>543</v>
      </c>
      <c r="D310" s="17" t="n">
        <f aca="false">IF(W310&gt;0,ROUND(AVERAGEIFS('Shortlisted Drugs X Company (7)'!$N$3:$N$698,'Shortlisted Drugs X Company (7)'!$C$3:$C$698,$B310,'Shortlisted Drugs X Company (7)'!$E$3:$E$698,$S310,'Shortlisted Drugs X Company (7)'!$N$3:$N$698,"&gt;5"),2),"")</f>
        <v>24.41</v>
      </c>
      <c r="E310" s="15" t="str">
        <f aca="false">IF(COUNTIFS('Shortlisted Drugs X Company (7)'!$C$3:$C$698,$B310,'Shortlisted Drugs X Company (7)'!$E$3:$E$698,$S310,'Shortlisted Drugs X Company (7)'!$P$3:$P$698,"Exact")&gt;0,"Exact",IF(COUNTIFS('Shortlisted Drugs X Company (7)'!$C$3:$C$698,$B310,'Shortlisted Drugs X Company (7)'!$E$3:$E$698,$S310,'Shortlisted Drugs X Company (7)'!$P$3:$P$698,"Same-market proxy")&gt;0,"Same-market proxy",IF(COUNTIFS('Shortlisted Drugs X Company (7)'!$C$3:$C$698,$B310,'Shortlisted Drugs X Company (7)'!$E$3:$E$698,$S310,'Shortlisted Drugs X Company (7)'!$P$3:$P$698,"Cross-market proxy")&gt;0,"Cross-market proxy",IF(COUNTIFS('Shortlisted Drugs X Company (7)'!$C$3:$C$698,$B310,'Shortlisted Drugs X Company (7)'!$E$3:$E$698,$S310,'Shortlisted Drugs X Company (7)'!$P$3:$P$698,"Source not found")&gt;0,"Source not found","Not priced"))))</f>
        <v>Exact</v>
      </c>
      <c r="F310" s="18" t="n">
        <f aca="false">IFERROR(ROUND(INDEX('Injectable Value'!$AA$28:$AA$178,MATCH(B310,'Injectable Value'!$A$28:$A$178,0)),1),"")</f>
        <v>6893.7</v>
      </c>
      <c r="G310" s="16" t="s">
        <v>429</v>
      </c>
      <c r="H310" s="14" t="n">
        <v>1</v>
      </c>
      <c r="I310" s="15" t="s">
        <v>248</v>
      </c>
      <c r="J310" s="15" t="s">
        <v>249</v>
      </c>
      <c r="K310" s="16" t="str">
        <f aca="false">""&amp;IF(V310=0,"Unpriced","")&amp;IF(AND(V310&gt;0,W310=0,X310=0),"Low price from another market – confirm with company","")</f>
        <v/>
      </c>
      <c r="L310" s="18" t="n">
        <f aca="false">IFERROR(INDEX('Shortlisted Drugs X Company (7)'!$K$3:$K$698,MATCH(B310,'Shortlisted Drugs X Company (7)'!$C$3:$C$698,0)),"")</f>
        <v>307</v>
      </c>
      <c r="M310" s="18" t="n">
        <f aca="false">IFERROR(ROUND(L310*INDEX('Injectable Value'!$Z$28:$Z$178,MATCH(B310,'Injectable Value'!$A$28:$A$178,0)),0),"")</f>
        <v>291</v>
      </c>
      <c r="N310" s="18" t="n">
        <f aca="false">IFERROR(INDEX('Shortlisted Drugs X Company (7)'!$L$3:$L$698,MATCH(B310,'Shortlisted Drugs X Company (7)'!$C$3:$C$698,0)),"")</f>
        <v>7276.73</v>
      </c>
      <c r="O310" s="15" t="str">
        <f aca="false">IF(AE310="No","IV only (not ID/IM/SC)",IF(AND(V310&gt;0,W310=0),"Price ≤ $5",""))</f>
        <v/>
      </c>
      <c r="P310" s="14" t="n">
        <f aca="false">IF(O310&lt;&gt;"","",COUNTIFS($A$29:$A$361,A310,$O$29:$O$361,"",$AC$29:$AC$361,"&gt;"&amp;AC310)+COUNTIFS($A$29:A310,A310,$O$29:O310,"",$AC$29:AC310,AC310))</f>
        <v>4</v>
      </c>
      <c r="Q310" s="15" t="str">
        <f aca="false">IF(O310&lt;&gt;"",IF(O310="Price ≤ $5","Excluded – price ≤ $5","Excluded – IV only"),IF(ISNUMBER(D310),IF(AND(D310&gt;=$C$3,M310&gt;=$E$3),"Priority 1",IF(OR(D310&gt;=$C$3,M310&gt;=$E$3),"Priority 2","Priority 3")),IF(M310&gt;=$E$3,"Priority 2","Priority 3")))</f>
        <v>Priority 2</v>
      </c>
      <c r="R310" s="16" t="s">
        <v>250</v>
      </c>
      <c r="S310" s="15" t="s">
        <v>199</v>
      </c>
      <c r="T310" s="32" t="s">
        <v>544</v>
      </c>
      <c r="U310" s="33" t="str">
        <f aca="false">B310&amp;"|"&amp;S310</f>
        <v>Testosterone Cypionate|Sun Pharma</v>
      </c>
      <c r="V310" s="34" t="n">
        <f aca="false">COUNTIFS('Shortlisted Drugs X Company (7)'!$C$3:$C$698,$B310,'Shortlisted Drugs X Company (7)'!$E$3:$E$698,$S310,'Shortlisted Drugs X Company (7)'!$N$3:$N$698,"&gt;=0")</f>
        <v>1</v>
      </c>
      <c r="W310" s="34" t="n">
        <f aca="false">COUNTIFS('Shortlisted Drugs X Company (7)'!$C$3:$C$698,$B310,'Shortlisted Drugs X Company (7)'!$E$3:$E$698,$S310,'Shortlisted Drugs X Company (7)'!$N$3:$N$698,"&gt;5")</f>
        <v>1</v>
      </c>
      <c r="X310" s="34" t="n">
        <f aca="false">COUNTIFS('Shortlisted Drugs X Company (7)'!$C$3:$C$698,$B310,'Shortlisted Drugs X Company (7)'!$E$3:$E$698,$S310,'Shortlisted Drugs X Company (7)'!$P$3:$P$698,"Exact")+COUNTIFS('Shortlisted Drugs X Company (7)'!$C$3:$C$698,$B310,'Shortlisted Drugs X Company (7)'!$E$3:$E$698,$S310,'Shortlisted Drugs X Company (7)'!$P$3:$P$698,"Same-market proxy")</f>
        <v>1</v>
      </c>
      <c r="Y310" s="33" t="str">
        <f aca="false">A310&amp;"|"&amp;P310</f>
        <v>Sun Pharma|4</v>
      </c>
      <c r="Z310" s="16" t="s">
        <v>462</v>
      </c>
      <c r="AA310" s="33" t="n">
        <f aca="false">INDEX($G$7:$G$25,MATCH(A310,$A$7:$A$25,0))</f>
        <v>10</v>
      </c>
      <c r="AB310" s="33" t="n">
        <f aca="false">IF(AE310="No","",AA310*1000+IF(P310="",900+COUNTIFS($A$29:A310,A310,$O$29:O310,"Price ≤ $5"),P310))</f>
        <v>10004</v>
      </c>
      <c r="AC310" s="33" t="n">
        <f aca="false">IF(O310&lt;&gt;"","",(4-VALUE(RIGHT(Q310,1)))*10^7+N(F310))</f>
        <v>20006893.7</v>
      </c>
      <c r="AD310" s="15" t="str">
        <f aca="false">IFERROR(INDEX('Route of Administration'!$C$5:$C$155,MATCH(B310,'Route of Administration'!$A$5:$A$155,0)),"")</f>
        <v>IM</v>
      </c>
      <c r="AE310" s="14" t="str">
        <f aca="false">IFERROR(INDEX('Route of Administration'!$D$5:$D$155,MATCH(B310,'Route of Administration'!$A$5:$A$155,0)),"")</f>
        <v>Yes</v>
      </c>
      <c r="AF310" s="19" t="n">
        <f aca="false">IF(V310&gt;0,ROUND(AVERAGEIFS('Shortlisted Drugs X Company (7)'!$N$3:$N$698,'Shortlisted Drugs X Company (7)'!$C$3:$C$698,$B310,'Shortlisted Drugs X Company (7)'!$E$3:$E$698,$S310,'Shortlisted Drugs X Company (7)'!$N$3:$N$698,"&gt;=0"),2),"")</f>
        <v>24.41</v>
      </c>
      <c r="AG310" s="16" t="s">
        <v>1354</v>
      </c>
      <c r="AH310" s="16" t="s">
        <v>433</v>
      </c>
      <c r="AI310" s="16" t="s">
        <v>433</v>
      </c>
      <c r="AJ310" s="16" t="str">
        <f aca="false">IF(O310&lt;&gt;"","",IF(ISNUMBER(D310),IF(D310&gt;=$C$3,"High price","Lower price"),"Unpriced")&amp;" · "&amp;IF(M310&gt;=$E$3,"high volume","lower volume"))</f>
        <v>Lower price · high volume</v>
      </c>
      <c r="AK310" s="15" t="str">
        <f aca="false">IF(O310&lt;&gt;"",IF(O310="Price ≤ $5","Excluded – price ≤ $5","Excluded – IV only"),IF(ISNUMBER(D310),IF(AND(D310&gt;=$C$3,L310&gt;=$H$3),"Priority 1",IF(OR(D310&gt;=$C$3,L310&gt;=$H$3),"Priority 2","Priority 3")),IF(L310&gt;=$H$3,"Priority 2","Priority 3")))</f>
        <v>Priority 2</v>
      </c>
      <c r="AL310" s="16" t="str">
        <f aca="false">IF(O310&lt;&gt;"","",IF(ISNUMBER(D310),IF(D310&gt;=$C$3,"High price","Lower price"),"Unpriced")&amp;" · "&amp;IF(L310&gt;=$H$3,"high volume","lower volume"))</f>
        <v>Lower price · high volume</v>
      </c>
      <c r="AM310" s="14" t="n">
        <f aca="false">IF(O310&lt;&gt;"","",COUNTIFS($A$29:$A$361,A310,$O$29:$O$361,"",$AQ$29:$AQ$361,"&gt;"&amp;AQ310)+COUNTIFS($A$29:A310,A310,$O$29:O310,"",$AQ$29:AQ310,AQ310))</f>
        <v>5</v>
      </c>
      <c r="AN310" s="19" t="n">
        <f aca="false">IF(AND(O310="",ISNUMBER(D310)),D310,"")</f>
        <v>24.41</v>
      </c>
      <c r="AO310" s="20" t="n">
        <f aca="false">IF(O310="",M310,"")</f>
        <v>291</v>
      </c>
      <c r="AP310" s="20" t="n">
        <f aca="false">IF(O310="",L310,"")</f>
        <v>307</v>
      </c>
      <c r="AQ310" s="33" t="n">
        <f aca="false">IF(O310&lt;&gt;"","",(4-VALUE(RIGHT(AK310,1)))*10^7+N(N310))</f>
        <v>20007276.73</v>
      </c>
      <c r="AR310" s="33" t="n">
        <f aca="false">INDEX($O$7:$O$25,MATCH(A310,$I$7:$I$25,0))</f>
        <v>10</v>
      </c>
      <c r="AS310" s="33" t="n">
        <f aca="false">IF(AE310="No","",AR310*1000+IF(AM310="",900+COUNTIFS($A$29:A310,A310,$O$29:O310,"Price ≤ $5"),AM310))</f>
        <v>10005</v>
      </c>
    </row>
    <row r="311" customFormat="false" ht="41.75" hidden="false" customHeight="false" outlineLevel="0" collapsed="false">
      <c r="A311" s="15" t="s">
        <v>199</v>
      </c>
      <c r="B311" s="15" t="s">
        <v>646</v>
      </c>
      <c r="C311" s="16" t="s">
        <v>647</v>
      </c>
      <c r="D311" s="17" t="n">
        <f aca="false">IF(W311&gt;0,ROUND(AVERAGEIFS('Shortlisted Drugs X Company (7)'!$N$3:$N$698,'Shortlisted Drugs X Company (7)'!$C$3:$C$698,$B311,'Shortlisted Drugs X Company (7)'!$E$3:$E$698,$S311,'Shortlisted Drugs X Company (7)'!$N$3:$N$698,"&gt;5"),2),"")</f>
        <v>64.26</v>
      </c>
      <c r="E311" s="15" t="str">
        <f aca="false">IF(COUNTIFS('Shortlisted Drugs X Company (7)'!$C$3:$C$698,$B311,'Shortlisted Drugs X Company (7)'!$E$3:$E$698,$S311,'Shortlisted Drugs X Company (7)'!$P$3:$P$698,"Exact")&gt;0,"Exact",IF(COUNTIFS('Shortlisted Drugs X Company (7)'!$C$3:$C$698,$B311,'Shortlisted Drugs X Company (7)'!$E$3:$E$698,$S311,'Shortlisted Drugs X Company (7)'!$P$3:$P$698,"Same-market proxy")&gt;0,"Same-market proxy",IF(COUNTIFS('Shortlisted Drugs X Company (7)'!$C$3:$C$698,$B311,'Shortlisted Drugs X Company (7)'!$E$3:$E$698,$S311,'Shortlisted Drugs X Company (7)'!$P$3:$P$698,"Cross-market proxy")&gt;0,"Cross-market proxy",IF(COUNTIFS('Shortlisted Drugs X Company (7)'!$C$3:$C$698,$B311,'Shortlisted Drugs X Company (7)'!$E$3:$E$698,$S311,'Shortlisted Drugs X Company (7)'!$P$3:$P$698,"Source not found")&gt;0,"Source not found","Not priced"))))</f>
        <v>Exact</v>
      </c>
      <c r="F311" s="18" t="n">
        <f aca="false">IFERROR(ROUND(INDEX('Injectable Value'!$AA$28:$AA$178,MATCH(B311,'Injectable Value'!$A$28:$A$178,0)),1),"")</f>
        <v>184.9</v>
      </c>
      <c r="G311" s="16" t="s">
        <v>1355</v>
      </c>
      <c r="H311" s="14" t="n">
        <v>12</v>
      </c>
      <c r="I311" s="15" t="s">
        <v>248</v>
      </c>
      <c r="J311" s="15" t="s">
        <v>249</v>
      </c>
      <c r="K311" s="16" t="str">
        <f aca="false">""&amp;IF(V311=0,"Unpriced","")&amp;IF(AND(V311&gt;0,W311=0,X311=0),"Low price from another market – confirm with company","")</f>
        <v/>
      </c>
      <c r="L311" s="18" t="n">
        <f aca="false">IFERROR(INDEX('Shortlisted Drugs X Company (7)'!$K$3:$K$698,MATCH(B311,'Shortlisted Drugs X Company (7)'!$C$3:$C$698,0)),"")</f>
        <v>188</v>
      </c>
      <c r="M311" s="18" t="n">
        <f aca="false">IFERROR(ROUND(L311*INDEX('Injectable Value'!$Z$28:$Z$178,MATCH(B311,'Injectable Value'!$A$28:$A$178,0)),0),"")</f>
        <v>132</v>
      </c>
      <c r="N311" s="18" t="n">
        <f aca="false">IFERROR(INDEX('Shortlisted Drugs X Company (7)'!$L$3:$L$698,MATCH(B311,'Shortlisted Drugs X Company (7)'!$C$3:$C$698,0)),"")</f>
        <v>262.84</v>
      </c>
      <c r="O311" s="15" t="str">
        <f aca="false">IF(AE311="No","IV only (not ID/IM/SC)",IF(AND(V311&gt;0,W311=0),"Price ≤ $5",""))</f>
        <v/>
      </c>
      <c r="P311" s="14" t="n">
        <f aca="false">IF(O311&lt;&gt;"","",COUNTIFS($A$29:$A$361,A311,$O$29:$O$361,"",$AC$29:$AC$361,"&gt;"&amp;AC311)+COUNTIFS($A$29:A311,A311,$O$29:O311,"",$AC$29:AC311,AC311))</f>
        <v>7</v>
      </c>
      <c r="Q311" s="15" t="str">
        <f aca="false">IF(O311&lt;&gt;"",IF(O311="Price ≤ $5","Excluded – price ≤ $5","Excluded – IV only"),IF(ISNUMBER(D311),IF(AND(D311&gt;=$C$3,M311&gt;=$E$3),"Priority 1",IF(OR(D311&gt;=$C$3,M311&gt;=$E$3),"Priority 2","Priority 3")),IF(M311&gt;=$E$3,"Priority 2","Priority 3")))</f>
        <v>Priority 2</v>
      </c>
      <c r="R311" s="16" t="s">
        <v>250</v>
      </c>
      <c r="S311" s="15" t="s">
        <v>199</v>
      </c>
      <c r="T311" s="32" t="s">
        <v>648</v>
      </c>
      <c r="U311" s="33" t="str">
        <f aca="false">B311&amp;"|"&amp;S311</f>
        <v>Testosterone Undecanoate|Sun Pharma</v>
      </c>
      <c r="V311" s="34" t="n">
        <f aca="false">COUNTIFS('Shortlisted Drugs X Company (7)'!$C$3:$C$698,$B311,'Shortlisted Drugs X Company (7)'!$E$3:$E$698,$S311,'Shortlisted Drugs X Company (7)'!$N$3:$N$698,"&gt;=0")</f>
        <v>3</v>
      </c>
      <c r="W311" s="34" t="n">
        <f aca="false">COUNTIFS('Shortlisted Drugs X Company (7)'!$C$3:$C$698,$B311,'Shortlisted Drugs X Company (7)'!$E$3:$E$698,$S311,'Shortlisted Drugs X Company (7)'!$N$3:$N$698,"&gt;5")</f>
        <v>3</v>
      </c>
      <c r="X311" s="34" t="n">
        <f aca="false">COUNTIFS('Shortlisted Drugs X Company (7)'!$C$3:$C$698,$B311,'Shortlisted Drugs X Company (7)'!$E$3:$E$698,$S311,'Shortlisted Drugs X Company (7)'!$P$3:$P$698,"Exact")+COUNTIFS('Shortlisted Drugs X Company (7)'!$C$3:$C$698,$B311,'Shortlisted Drugs X Company (7)'!$E$3:$E$698,$S311,'Shortlisted Drugs X Company (7)'!$P$3:$P$698,"Same-market proxy")</f>
        <v>3</v>
      </c>
      <c r="Y311" s="33" t="str">
        <f aca="false">A311&amp;"|"&amp;P311</f>
        <v>Sun Pharma|7</v>
      </c>
      <c r="Z311" s="16" t="s">
        <v>649</v>
      </c>
      <c r="AA311" s="33" t="n">
        <f aca="false">INDEX($G$7:$G$25,MATCH(A311,$A$7:$A$25,0))</f>
        <v>10</v>
      </c>
      <c r="AB311" s="33" t="n">
        <f aca="false">IF(AE311="No","",AA311*1000+IF(P311="",900+COUNTIFS($A$29:A311,A311,$O$29:O311,"Price ≤ $5"),P311))</f>
        <v>10007</v>
      </c>
      <c r="AC311" s="33" t="n">
        <f aca="false">IF(O311&lt;&gt;"","",(4-VALUE(RIGHT(Q311,1)))*10^7+N(F311))</f>
        <v>20000184.9</v>
      </c>
      <c r="AD311" s="15" t="str">
        <f aca="false">IFERROR(INDEX('Route of Administration'!$C$5:$C$155,MATCH(B311,'Route of Administration'!$A$5:$A$155,0)),"")</f>
        <v>IM</v>
      </c>
      <c r="AE311" s="14" t="str">
        <f aca="false">IFERROR(INDEX('Route of Administration'!$D$5:$D$155,MATCH(B311,'Route of Administration'!$A$5:$A$155,0)),"")</f>
        <v>Yes</v>
      </c>
      <c r="AF311" s="19" t="n">
        <f aca="false">IF(V311&gt;0,ROUND(AVERAGEIFS('Shortlisted Drugs X Company (7)'!$N$3:$N$698,'Shortlisted Drugs X Company (7)'!$C$3:$C$698,$B311,'Shortlisted Drugs X Company (7)'!$E$3:$E$698,$S311,'Shortlisted Drugs X Company (7)'!$N$3:$N$698,"&gt;=0"),2),"")</f>
        <v>64.26</v>
      </c>
      <c r="AG311" s="16" t="s">
        <v>1356</v>
      </c>
      <c r="AH311" s="16" t="s">
        <v>1357</v>
      </c>
      <c r="AI311" s="16" t="s">
        <v>1358</v>
      </c>
      <c r="AJ311" s="16" t="str">
        <f aca="false">IF(O311&lt;&gt;"","",IF(ISNUMBER(D311),IF(D311&gt;=$C$3,"High price","Lower price"),"Unpriced")&amp;" · "&amp;IF(M311&gt;=$E$3,"high volume","lower volume"))</f>
        <v>High price · lower volume</v>
      </c>
      <c r="AK311" s="15" t="str">
        <f aca="false">IF(O311&lt;&gt;"",IF(O311="Price ≤ $5","Excluded – price ≤ $5","Excluded – IV only"),IF(ISNUMBER(D311),IF(AND(D311&gt;=$C$3,L311&gt;=$H$3),"Priority 1",IF(OR(D311&gt;=$C$3,L311&gt;=$H$3),"Priority 2","Priority 3")),IF(L311&gt;=$H$3,"Priority 2","Priority 3")))</f>
        <v>Priority 2</v>
      </c>
      <c r="AL311" s="16" t="str">
        <f aca="false">IF(O311&lt;&gt;"","",IF(ISNUMBER(D311),IF(D311&gt;=$C$3,"High price","Lower price"),"Unpriced")&amp;" · "&amp;IF(L311&gt;=$H$3,"high volume","lower volume"))</f>
        <v>High price · lower volume</v>
      </c>
      <c r="AM311" s="14" t="n">
        <f aca="false">IF(O311&lt;&gt;"","",COUNTIFS($A$29:$A$361,A311,$O$29:$O$361,"",$AQ$29:$AQ$361,"&gt;"&amp;AQ311)+COUNTIFS($A$29:A311,A311,$O$29:O311,"",$AQ$29:AQ311,AQ311))</f>
        <v>7</v>
      </c>
      <c r="AN311" s="19" t="n">
        <f aca="false">IF(AND(O311="",ISNUMBER(D311)),D311,"")</f>
        <v>64.26</v>
      </c>
      <c r="AO311" s="20" t="n">
        <f aca="false">IF(O311="",M311,"")</f>
        <v>132</v>
      </c>
      <c r="AP311" s="20" t="n">
        <f aca="false">IF(O311="",L311,"")</f>
        <v>188</v>
      </c>
      <c r="AQ311" s="33" t="n">
        <f aca="false">IF(O311&lt;&gt;"","",(4-VALUE(RIGHT(AK311,1)))*10^7+N(N311))</f>
        <v>20000262.84</v>
      </c>
      <c r="AR311" s="33" t="n">
        <f aca="false">INDEX($O$7:$O$25,MATCH(A311,$I$7:$I$25,0))</f>
        <v>10</v>
      </c>
      <c r="AS311" s="33" t="n">
        <f aca="false">IF(AE311="No","",AR311*1000+IF(AM311="",900+COUNTIFS($A$29:A311,A311,$O$29:O311,"Price ≤ $5"),AM311))</f>
        <v>10007</v>
      </c>
    </row>
    <row r="312" customFormat="false" ht="28.35" hidden="false" customHeight="false" outlineLevel="0" collapsed="false">
      <c r="A312" s="15" t="s">
        <v>199</v>
      </c>
      <c r="B312" s="15" t="s">
        <v>563</v>
      </c>
      <c r="C312" s="16" t="s">
        <v>564</v>
      </c>
      <c r="D312" s="17" t="n">
        <f aca="false">IF(W312&gt;0,ROUND(AVERAGEIFS('Shortlisted Drugs X Company (7)'!$N$3:$N$698,'Shortlisted Drugs X Company (7)'!$C$3:$C$698,$B312,'Shortlisted Drugs X Company (7)'!$E$3:$E$698,$S312,'Shortlisted Drugs X Company (7)'!$N$3:$N$698,"&gt;5"),2),"")</f>
        <v>9.75</v>
      </c>
      <c r="E312" s="15" t="str">
        <f aca="false">IF(COUNTIFS('Shortlisted Drugs X Company (7)'!$C$3:$C$698,$B312,'Shortlisted Drugs X Company (7)'!$E$3:$E$698,$S312,'Shortlisted Drugs X Company (7)'!$P$3:$P$698,"Exact")&gt;0,"Exact",IF(COUNTIFS('Shortlisted Drugs X Company (7)'!$C$3:$C$698,$B312,'Shortlisted Drugs X Company (7)'!$E$3:$E$698,$S312,'Shortlisted Drugs X Company (7)'!$P$3:$P$698,"Same-market proxy")&gt;0,"Same-market proxy",IF(COUNTIFS('Shortlisted Drugs X Company (7)'!$C$3:$C$698,$B312,'Shortlisted Drugs X Company (7)'!$E$3:$E$698,$S312,'Shortlisted Drugs X Company (7)'!$P$3:$P$698,"Cross-market proxy")&gt;0,"Cross-market proxy",IF(COUNTIFS('Shortlisted Drugs X Company (7)'!$C$3:$C$698,$B312,'Shortlisted Drugs X Company (7)'!$E$3:$E$698,$S312,'Shortlisted Drugs X Company (7)'!$P$3:$P$698,"Source not found")&gt;0,"Source not found","Not priced"))))</f>
        <v>Exact</v>
      </c>
      <c r="F312" s="18" t="n">
        <f aca="false">IFERROR(ROUND(INDEX('Injectable Value'!$AA$28:$AA$178,MATCH(B312,'Injectable Value'!$A$28:$A$178,0)),1),"")</f>
        <v>3923.6</v>
      </c>
      <c r="G312" s="16" t="s">
        <v>1000</v>
      </c>
      <c r="H312" s="14" t="n">
        <v>5</v>
      </c>
      <c r="I312" s="15" t="s">
        <v>248</v>
      </c>
      <c r="J312" s="15" t="s">
        <v>249</v>
      </c>
      <c r="K312" s="16" t="str">
        <f aca="false">"Reconstitution"&amp;IF(V312=0,"; Unpriced","")&amp;IF(AND(V312&gt;0,W312=0,X312=0),"; Low price from another market – confirm with company","")</f>
        <v>Reconstitution</v>
      </c>
      <c r="L312" s="18" t="n">
        <f aca="false">IFERROR(INDEX('Shortlisted Drugs X Company (7)'!$K$3:$K$698,MATCH(B312,'Shortlisted Drugs X Company (7)'!$C$3:$C$698,0)),"")</f>
        <v>208</v>
      </c>
      <c r="M312" s="18" t="n">
        <f aca="false">IFERROR(ROUND(L312*INDEX('Injectable Value'!$Z$28:$Z$178,MATCH(B312,'Injectable Value'!$A$28:$A$178,0)),0),"")</f>
        <v>208</v>
      </c>
      <c r="N312" s="18" t="n">
        <f aca="false">IFERROR(INDEX('Shortlisted Drugs X Company (7)'!$L$3:$L$698,MATCH(B312,'Shortlisted Drugs X Company (7)'!$C$3:$C$698,0)),"")</f>
        <v>3923.58</v>
      </c>
      <c r="O312" s="15" t="str">
        <f aca="false">IF(AE312="No","IV only (not ID/IM/SC)",IF(AND(V312&gt;0,W312=0),"Price ≤ $5",""))</f>
        <v>IV only (not ID/IM/SC)</v>
      </c>
      <c r="P312" s="14" t="str">
        <f aca="false">IF(O312&lt;&gt;"","",COUNTIFS($A$29:$A$361,A312,$O$29:$O$361,"",$AC$29:$AC$361,"&gt;"&amp;AC312)+COUNTIFS($A$29:A312,A312,$O$29:O312,"",$AC$29:AC312,AC312))</f>
        <v/>
      </c>
      <c r="Q312" s="15" t="str">
        <f aca="false">IF(O312&lt;&gt;"",IF(O312="Price ≤ $5","Excluded – price ≤ $5","Excluded – IV only"),IF(ISNUMBER(D312),IF(AND(D312&gt;=$C$3,M312&gt;=$E$3),"Priority 1",IF(OR(D312&gt;=$C$3,M312&gt;=$E$3),"Priority 2","Priority 3")),IF(M312&gt;=$E$3,"Priority 2","Priority 3")))</f>
        <v>Excluded – IV only</v>
      </c>
      <c r="R312" s="16" t="s">
        <v>285</v>
      </c>
      <c r="S312" s="15" t="s">
        <v>199</v>
      </c>
      <c r="T312" s="32" t="s">
        <v>565</v>
      </c>
      <c r="U312" s="33" t="str">
        <f aca="false">B312&amp;"|"&amp;S312</f>
        <v>Vecuronium|Sun Pharma</v>
      </c>
      <c r="V312" s="34" t="n">
        <f aca="false">COUNTIFS('Shortlisted Drugs X Company (7)'!$C$3:$C$698,$B312,'Shortlisted Drugs X Company (7)'!$E$3:$E$698,$S312,'Shortlisted Drugs X Company (7)'!$N$3:$N$698,"&gt;=0")</f>
        <v>4</v>
      </c>
      <c r="W312" s="34" t="n">
        <f aca="false">COUNTIFS('Shortlisted Drugs X Company (7)'!$C$3:$C$698,$B312,'Shortlisted Drugs X Company (7)'!$E$3:$E$698,$S312,'Shortlisted Drugs X Company (7)'!$N$3:$N$698,"&gt;5")</f>
        <v>4</v>
      </c>
      <c r="X312" s="34" t="n">
        <f aca="false">COUNTIFS('Shortlisted Drugs X Company (7)'!$C$3:$C$698,$B312,'Shortlisted Drugs X Company (7)'!$E$3:$E$698,$S312,'Shortlisted Drugs X Company (7)'!$P$3:$P$698,"Exact")+COUNTIFS('Shortlisted Drugs X Company (7)'!$C$3:$C$698,$B312,'Shortlisted Drugs X Company (7)'!$E$3:$E$698,$S312,'Shortlisted Drugs X Company (7)'!$P$3:$P$698,"Same-market proxy")</f>
        <v>3</v>
      </c>
      <c r="Y312" s="33" t="str">
        <f aca="false">A312&amp;"|"&amp;P312</f>
        <v>Sun Pharma|</v>
      </c>
      <c r="Z312" s="16" t="s">
        <v>1359</v>
      </c>
      <c r="AA312" s="33" t="n">
        <f aca="false">INDEX($G$7:$G$25,MATCH(A312,$A$7:$A$25,0))</f>
        <v>10</v>
      </c>
      <c r="AB312" s="33" t="str">
        <f aca="false">IF(AE312="No","",AA312*1000+IF(P312="",900+COUNTIFS($A$29:A312,A312,$O$29:O312,"Price ≤ $5"),P312))</f>
        <v/>
      </c>
      <c r="AC312" s="33" t="str">
        <f aca="false">IF(O312&lt;&gt;"","",(4-VALUE(RIGHT(Q312,1)))*10^7+N(F312))</f>
        <v/>
      </c>
      <c r="AD312" s="15" t="str">
        <f aca="false">IFERROR(INDEX('Route of Administration'!$C$5:$C$155,MATCH(B312,'Route of Administration'!$A$5:$A$155,0)),"")</f>
        <v>IV</v>
      </c>
      <c r="AE312" s="14" t="str">
        <f aca="false">IFERROR(INDEX('Route of Administration'!$D$5:$D$155,MATCH(B312,'Route of Administration'!$A$5:$A$155,0)),"")</f>
        <v>No</v>
      </c>
      <c r="AF312" s="19" t="n">
        <f aca="false">IF(V312&gt;0,ROUND(AVERAGEIFS('Shortlisted Drugs X Company (7)'!$N$3:$N$698,'Shortlisted Drugs X Company (7)'!$C$3:$C$698,$B312,'Shortlisted Drugs X Company (7)'!$E$3:$E$698,$S312,'Shortlisted Drugs X Company (7)'!$N$3:$N$698,"&gt;=0"),2),"")</f>
        <v>9.75</v>
      </c>
      <c r="AG312" s="16" t="s">
        <v>1360</v>
      </c>
      <c r="AH312" s="16" t="s">
        <v>1361</v>
      </c>
      <c r="AI312" s="16" t="s">
        <v>1361</v>
      </c>
      <c r="AJ312" s="16" t="str">
        <f aca="false">IF(O312&lt;&gt;"","",IF(ISNUMBER(D312),IF(D312&gt;=$C$3,"High price","Lower price"),"Unpriced")&amp;" · "&amp;IF(M312&gt;=$E$3,"high volume","lower volume"))</f>
        <v/>
      </c>
      <c r="AK312" s="15" t="str">
        <f aca="false">IF(O312&lt;&gt;"",IF(O312="Price ≤ $5","Excluded – price ≤ $5","Excluded – IV only"),IF(ISNUMBER(D312),IF(AND(D312&gt;=$C$3,L312&gt;=$H$3),"Priority 1",IF(OR(D312&gt;=$C$3,L312&gt;=$H$3),"Priority 2","Priority 3")),IF(L312&gt;=$H$3,"Priority 2","Priority 3")))</f>
        <v>Excluded – IV only</v>
      </c>
      <c r="AL312" s="16" t="str">
        <f aca="false">IF(O312&lt;&gt;"","",IF(ISNUMBER(D312),IF(D312&gt;=$C$3,"High price","Lower price"),"Unpriced")&amp;" · "&amp;IF(L312&gt;=$H$3,"high volume","lower volume"))</f>
        <v/>
      </c>
      <c r="AM312" s="14" t="str">
        <f aca="false">IF(O312&lt;&gt;"","",COUNTIFS($A$29:$A$361,A312,$O$29:$O$361,"",$AQ$29:$AQ$361,"&gt;"&amp;AQ312)+COUNTIFS($A$29:A312,A312,$O$29:O312,"",$AQ$29:AQ312,AQ312))</f>
        <v/>
      </c>
      <c r="AN312" s="33" t="str">
        <f aca="false">IF(AND(O312="",ISNUMBER(D312)),D312,"")</f>
        <v/>
      </c>
      <c r="AO312" s="33" t="str">
        <f aca="false">IF(O312="",M312,"")</f>
        <v/>
      </c>
      <c r="AP312" s="33" t="str">
        <f aca="false">IF(O312="",L312,"")</f>
        <v/>
      </c>
      <c r="AQ312" s="33" t="str">
        <f aca="false">IF(O312&lt;&gt;"","",(4-VALUE(RIGHT(AK312,1)))*10^7+N(N312))</f>
        <v/>
      </c>
      <c r="AR312" s="33" t="n">
        <f aca="false">INDEX($O$7:$O$25,MATCH(A312,$I$7:$I$25,0))</f>
        <v>10</v>
      </c>
      <c r="AS312" s="33" t="str">
        <f aca="false">IF(AE312="No","",AR312*1000+IF(AM312="",900+COUNTIFS($A$29:A312,A312,$O$29:O312,"Price ≤ $5"),AM312))</f>
        <v/>
      </c>
    </row>
    <row r="313" customFormat="false" ht="28.35" hidden="false" customHeight="false" outlineLevel="0" collapsed="false">
      <c r="A313" s="15" t="s">
        <v>200</v>
      </c>
      <c r="B313" s="15" t="s">
        <v>262</v>
      </c>
      <c r="C313" s="16" t="s">
        <v>263</v>
      </c>
      <c r="D313" s="17" t="n">
        <f aca="false">IF(W313&gt;0,ROUND(AVERAGEIFS('Shortlisted Drugs X Company (7)'!$N$3:$N$698,'Shortlisted Drugs X Company (7)'!$C$3:$C$698,$B313,'Shortlisted Drugs X Company (7)'!$E$3:$E$698,$S313,'Shortlisted Drugs X Company (7)'!$N$3:$N$698,"&gt;5"),2),"")</f>
        <v>531.87</v>
      </c>
      <c r="E313" s="15" t="str">
        <f aca="false">IF(COUNTIFS('Shortlisted Drugs X Company (7)'!$C$3:$C$698,$B313,'Shortlisted Drugs X Company (7)'!$E$3:$E$698,$S313,'Shortlisted Drugs X Company (7)'!$P$3:$P$698,"Exact")&gt;0,"Exact",IF(COUNTIFS('Shortlisted Drugs X Company (7)'!$C$3:$C$698,$B313,'Shortlisted Drugs X Company (7)'!$E$3:$E$698,$S313,'Shortlisted Drugs X Company (7)'!$P$3:$P$698,"Same-market proxy")&gt;0,"Same-market proxy",IF(COUNTIFS('Shortlisted Drugs X Company (7)'!$C$3:$C$698,$B313,'Shortlisted Drugs X Company (7)'!$E$3:$E$698,$S313,'Shortlisted Drugs X Company (7)'!$P$3:$P$698,"Cross-market proxy")&gt;0,"Cross-market proxy",IF(COUNTIFS('Shortlisted Drugs X Company (7)'!$C$3:$C$698,$B313,'Shortlisted Drugs X Company (7)'!$E$3:$E$698,$S313,'Shortlisted Drugs X Company (7)'!$P$3:$P$698,"Source not found")&gt;0,"Source not found","Not priced"))))</f>
        <v>Cross-market proxy</v>
      </c>
      <c r="F313" s="18" t="n">
        <f aca="false">IFERROR(ROUND(INDEX('Injectable Value'!$AA$28:$AA$178,MATCH(B313,'Injectable Value'!$A$28:$A$178,0)),1),"")</f>
        <v>11366.1</v>
      </c>
      <c r="G313" s="16" t="s">
        <v>418</v>
      </c>
      <c r="H313" s="14" t="n">
        <v>1</v>
      </c>
      <c r="I313" s="15" t="s">
        <v>258</v>
      </c>
      <c r="J313" s="15" t="s">
        <v>249</v>
      </c>
      <c r="K313" s="16" t="str">
        <f aca="false">"Prefilled only"&amp;IF(V313=0,"; Unpriced","")&amp;IF(AND(V313&gt;0,W313=0,X313=0),"; Low price from another market – confirm with company","")</f>
        <v>Prefilled only</v>
      </c>
      <c r="L313" s="18" t="n">
        <f aca="false">IFERROR(INDEX('Shortlisted Drugs X Company (7)'!$K$3:$K$698,MATCH(B313,'Shortlisted Drugs X Company (7)'!$C$3:$C$698,0)),"")</f>
        <v>146</v>
      </c>
      <c r="M313" s="18" t="n">
        <f aca="false">IFERROR(ROUND(L313*INDEX('Injectable Value'!$Z$28:$Z$178,MATCH(B313,'Injectable Value'!$A$28:$A$178,0)),0),"")</f>
        <v>146</v>
      </c>
      <c r="N313" s="18" t="n">
        <f aca="false">IFERROR(INDEX('Shortlisted Drugs X Company (7)'!$L$3:$L$698,MATCH(B313,'Shortlisted Drugs X Company (7)'!$C$3:$C$698,0)),"")</f>
        <v>11366.06</v>
      </c>
      <c r="O313" s="15" t="str">
        <f aca="false">IF(AE313="No","IV only (not ID/IM/SC)",IF(AND(V313&gt;0,W313=0),"Price ≤ $5",""))</f>
        <v/>
      </c>
      <c r="P313" s="14" t="n">
        <f aca="false">IF(O313&lt;&gt;"","",COUNTIFS($A$29:$A$361,A313,$O$29:$O$361,"",$AC$29:$AC$361,"&gt;"&amp;AC313)+COUNTIFS($A$29:A313,A313,$O$29:O313,"",$AC$29:AC313,AC313))</f>
        <v>1</v>
      </c>
      <c r="Q313" s="15" t="str">
        <f aca="false">IF(O313&lt;&gt;"",IF(O313="Price ≤ $5","Excluded – price ≤ $5","Excluded – IV only"),IF(ISNUMBER(D313),IF(AND(D313&gt;=$C$3,M313&gt;=$E$3),"Priority 1",IF(OR(D313&gt;=$C$3,M313&gt;=$E$3),"Priority 2","Priority 3")),IF(M313&gt;=$E$3,"Priority 2","Priority 3")))</f>
        <v>Priority 1</v>
      </c>
      <c r="R313" s="16" t="s">
        <v>259</v>
      </c>
      <c r="S313" s="15" t="s">
        <v>1362</v>
      </c>
      <c r="T313" s="32" t="s">
        <v>264</v>
      </c>
      <c r="U313" s="33" t="str">
        <f aca="false">B313&amp;"|"&amp;S313</f>
        <v>Fulvestrant|Torrent Pharmaceuticals</v>
      </c>
      <c r="V313" s="34" t="n">
        <f aca="false">COUNTIFS('Shortlisted Drugs X Company (7)'!$C$3:$C$698,$B313,'Shortlisted Drugs X Company (7)'!$E$3:$E$698,$S313,'Shortlisted Drugs X Company (7)'!$N$3:$N$698,"&gt;=0")</f>
        <v>1</v>
      </c>
      <c r="W313" s="34" t="n">
        <f aca="false">COUNTIFS('Shortlisted Drugs X Company (7)'!$C$3:$C$698,$B313,'Shortlisted Drugs X Company (7)'!$E$3:$E$698,$S313,'Shortlisted Drugs X Company (7)'!$N$3:$N$698,"&gt;5")</f>
        <v>1</v>
      </c>
      <c r="X313" s="34" t="n">
        <f aca="false">COUNTIFS('Shortlisted Drugs X Company (7)'!$C$3:$C$698,$B313,'Shortlisted Drugs X Company (7)'!$E$3:$E$698,$S313,'Shortlisted Drugs X Company (7)'!$P$3:$P$698,"Exact")+COUNTIFS('Shortlisted Drugs X Company (7)'!$C$3:$C$698,$B313,'Shortlisted Drugs X Company (7)'!$E$3:$E$698,$S313,'Shortlisted Drugs X Company (7)'!$P$3:$P$698,"Same-market proxy")</f>
        <v>0</v>
      </c>
      <c r="Y313" s="33" t="str">
        <f aca="false">A313&amp;"|"&amp;P313</f>
        <v>Torrent|1</v>
      </c>
      <c r="Z313" s="16" t="s">
        <v>265</v>
      </c>
      <c r="AA313" s="33" t="n">
        <f aca="false">INDEX($G$7:$G$25,MATCH(A313,$A$7:$A$25,0))</f>
        <v>13</v>
      </c>
      <c r="AB313" s="33" t="n">
        <f aca="false">IF(AE313="No","",AA313*1000+IF(P313="",900+COUNTIFS($A$29:A313,A313,$O$29:O313,"Price ≤ $5"),P313))</f>
        <v>13001</v>
      </c>
      <c r="AC313" s="33" t="n">
        <f aca="false">IF(O313&lt;&gt;"","",(4-VALUE(RIGHT(Q313,1)))*10^7+N(F313))</f>
        <v>30011366.1</v>
      </c>
      <c r="AD313" s="15" t="str">
        <f aca="false">IFERROR(INDEX('Route of Administration'!$C$5:$C$155,MATCH(B313,'Route of Administration'!$A$5:$A$155,0)),"")</f>
        <v>IM</v>
      </c>
      <c r="AE313" s="14" t="str">
        <f aca="false">IFERROR(INDEX('Route of Administration'!$D$5:$D$155,MATCH(B313,'Route of Administration'!$A$5:$A$155,0)),"")</f>
        <v>Yes</v>
      </c>
      <c r="AF313" s="19" t="n">
        <f aca="false">IF(V313&gt;0,ROUND(AVERAGEIFS('Shortlisted Drugs X Company (7)'!$N$3:$N$698,'Shortlisted Drugs X Company (7)'!$C$3:$C$698,$B313,'Shortlisted Drugs X Company (7)'!$E$3:$E$698,$S313,'Shortlisted Drugs X Company (7)'!$N$3:$N$698,"&gt;=0"),2),"")</f>
        <v>531.87</v>
      </c>
      <c r="AG313" s="16" t="s">
        <v>1363</v>
      </c>
      <c r="AH313" s="16" t="s">
        <v>422</v>
      </c>
      <c r="AI313" s="16" t="s">
        <v>422</v>
      </c>
      <c r="AJ313" s="16" t="str">
        <f aca="false">IF(O313&lt;&gt;"","",IF(ISNUMBER(D313),IF(D313&gt;=$C$3,"High price","Lower price"),"Unpriced")&amp;" · "&amp;IF(M313&gt;=$E$3,"high volume","lower volume"))</f>
        <v>High price · high volume</v>
      </c>
      <c r="AK313" s="15" t="str">
        <f aca="false">IF(O313&lt;&gt;"",IF(O313="Price ≤ $5","Excluded – price ≤ $5","Excluded – IV only"),IF(ISNUMBER(D313),IF(AND(D313&gt;=$C$3,L313&gt;=$H$3),"Priority 1",IF(OR(D313&gt;=$C$3,L313&gt;=$H$3),"Priority 2","Priority 3")),IF(L313&gt;=$H$3,"Priority 2","Priority 3")))</f>
        <v>Priority 2</v>
      </c>
      <c r="AL313" s="16" t="str">
        <f aca="false">IF(O313&lt;&gt;"","",IF(ISNUMBER(D313),IF(D313&gt;=$C$3,"High price","Lower price"),"Unpriced")&amp;" · "&amp;IF(L313&gt;=$H$3,"high volume","lower volume"))</f>
        <v>High price · lower volume</v>
      </c>
      <c r="AM313" s="14" t="n">
        <f aca="false">IF(O313&lt;&gt;"","",COUNTIFS($A$29:$A$361,A313,$O$29:$O$361,"",$AQ$29:$AQ$361,"&gt;"&amp;AQ313)+COUNTIFS($A$29:A313,A313,$O$29:O313,"",$AQ$29:AQ313,AQ313))</f>
        <v>1</v>
      </c>
      <c r="AN313" s="19" t="n">
        <f aca="false">IF(AND(O313="",ISNUMBER(D313)),D313,"")</f>
        <v>531.87</v>
      </c>
      <c r="AO313" s="20" t="n">
        <f aca="false">IF(O313="",M313,"")</f>
        <v>146</v>
      </c>
      <c r="AP313" s="20" t="n">
        <f aca="false">IF(O313="",L313,"")</f>
        <v>146</v>
      </c>
      <c r="AQ313" s="33" t="n">
        <f aca="false">IF(O313&lt;&gt;"","",(4-VALUE(RIGHT(AK313,1)))*10^7+N(N313))</f>
        <v>20011366.06</v>
      </c>
      <c r="AR313" s="33" t="n">
        <f aca="false">INDEX($O$7:$O$25,MATCH(A313,$I$7:$I$25,0))</f>
        <v>18</v>
      </c>
      <c r="AS313" s="33" t="n">
        <f aca="false">IF(AE313="No","",AR313*1000+IF(AM313="",900+COUNTIFS($A$29:A313,A313,$O$29:O313,"Price ≤ $5"),AM313))</f>
        <v>18001</v>
      </c>
    </row>
    <row r="314" customFormat="false" ht="41.75" hidden="false" customHeight="false" outlineLevel="0" collapsed="false">
      <c r="A314" s="15" t="s">
        <v>200</v>
      </c>
      <c r="B314" s="15" t="s">
        <v>1364</v>
      </c>
      <c r="C314" s="16" t="s">
        <v>488</v>
      </c>
      <c r="D314" s="17" t="n">
        <f aca="false">IF(W314&gt;0,ROUND(AVERAGEIFS('Shortlisted Drugs X Company (7)'!$N$3:$N$698,'Shortlisted Drugs X Company (7)'!$C$3:$C$698,$B314,'Shortlisted Drugs X Company (7)'!$E$3:$E$698,$S314,'Shortlisted Drugs X Company (7)'!$N$3:$N$698,"&gt;5"),2),"")</f>
        <v>12.21</v>
      </c>
      <c r="E314" s="15" t="str">
        <f aca="false">IF(COUNTIFS('Shortlisted Drugs X Company (7)'!$C$3:$C$698,$B314,'Shortlisted Drugs X Company (7)'!$E$3:$E$698,$S314,'Shortlisted Drugs X Company (7)'!$P$3:$P$698,"Exact")&gt;0,"Exact",IF(COUNTIFS('Shortlisted Drugs X Company (7)'!$C$3:$C$698,$B314,'Shortlisted Drugs X Company (7)'!$E$3:$E$698,$S314,'Shortlisted Drugs X Company (7)'!$P$3:$P$698,"Same-market proxy")&gt;0,"Same-market proxy",IF(COUNTIFS('Shortlisted Drugs X Company (7)'!$C$3:$C$698,$B314,'Shortlisted Drugs X Company (7)'!$E$3:$E$698,$S314,'Shortlisted Drugs X Company (7)'!$P$3:$P$698,"Cross-market proxy")&gt;0,"Cross-market proxy",IF(COUNTIFS('Shortlisted Drugs X Company (7)'!$C$3:$C$698,$B314,'Shortlisted Drugs X Company (7)'!$E$3:$E$698,$S314,'Shortlisted Drugs X Company (7)'!$P$3:$P$698,"Source not found")&gt;0,"Source not found","Not priced"))))</f>
        <v>Same-market proxy</v>
      </c>
      <c r="F314" s="18" t="n">
        <f aca="false">IFERROR(ROUND(INDEX('Injectable Value'!$AA$28:$AA$178,MATCH(B314,'Injectable Value'!$A$28:$A$178,0)),1),"")</f>
        <v>701.3</v>
      </c>
      <c r="G314" s="16" t="s">
        <v>740</v>
      </c>
      <c r="H314" s="14" t="n">
        <v>2</v>
      </c>
      <c r="I314" s="15" t="s">
        <v>316</v>
      </c>
      <c r="J314" s="15" t="s">
        <v>249</v>
      </c>
      <c r="K314" s="16" t="str">
        <f aca="false">""&amp;IF(V314=0,"Unpriced","")&amp;IF(AND(V314&gt;0,W314=0,X314=0),"Low price from another market – confirm with company","")</f>
        <v/>
      </c>
      <c r="L314" s="18" t="n">
        <f aca="false">IFERROR(INDEX('Shortlisted Drugs X Company (7)'!$K$3:$K$698,MATCH(B314,'Shortlisted Drugs X Company (7)'!$C$3:$C$698,0)),"")</f>
        <v>59</v>
      </c>
      <c r="M314" s="18" t="n">
        <f aca="false">IFERROR(ROUND(L314*INDEX('Injectable Value'!$Z$28:$Z$178,MATCH(B314,'Injectable Value'!$A$28:$A$178,0)),0),"")</f>
        <v>34</v>
      </c>
      <c r="N314" s="18" t="n">
        <f aca="false">IFERROR(INDEX('Shortlisted Drugs X Company (7)'!$L$3:$L$698,MATCH(B314,'Shortlisted Drugs X Company (7)'!$C$3:$C$698,0)),"")</f>
        <v>1206.55</v>
      </c>
      <c r="O314" s="15" t="str">
        <f aca="false">IF(AE314="No","IV only (not ID/IM/SC)",IF(AND(V314&gt;0,W314=0),"Price ≤ $5",""))</f>
        <v>IV only (not ID/IM/SC)</v>
      </c>
      <c r="P314" s="14" t="str">
        <f aca="false">IF(O314&lt;&gt;"","",COUNTIFS($A$29:$A$361,A314,$O$29:$O$361,"",$AC$29:$AC$361,"&gt;"&amp;AC314)+COUNTIFS($A$29:A314,A314,$O$29:O314,"",$AC$29:AC314,AC314))</f>
        <v/>
      </c>
      <c r="Q314" s="15" t="str">
        <f aca="false">IF(O314&lt;&gt;"",IF(O314="Price ≤ $5","Excluded – price ≤ $5","Excluded – IV only"),IF(ISNUMBER(D314),IF(AND(D314&gt;=$C$3,M314&gt;=$E$3),"Priority 1",IF(OR(D314&gt;=$C$3,M314&gt;=$E$3),"Priority 2","Priority 3")),IF(M314&gt;=$E$3,"Priority 2","Priority 3")))</f>
        <v>Excluded – IV only</v>
      </c>
      <c r="R314" s="16" t="s">
        <v>285</v>
      </c>
      <c r="S314" s="15" t="s">
        <v>1362</v>
      </c>
      <c r="T314" s="32" t="s">
        <v>1365</v>
      </c>
      <c r="U314" s="33" t="str">
        <f aca="false">B314&amp;"|"&amp;S314</f>
        <v>Granisetron|Torrent Pharmaceuticals</v>
      </c>
      <c r="V314" s="34" t="n">
        <f aca="false">COUNTIFS('Shortlisted Drugs X Company (7)'!$C$3:$C$698,$B314,'Shortlisted Drugs X Company (7)'!$E$3:$E$698,$S314,'Shortlisted Drugs X Company (7)'!$N$3:$N$698,"&gt;=0")</f>
        <v>2</v>
      </c>
      <c r="W314" s="34" t="n">
        <f aca="false">COUNTIFS('Shortlisted Drugs X Company (7)'!$C$3:$C$698,$B314,'Shortlisted Drugs X Company (7)'!$E$3:$E$698,$S314,'Shortlisted Drugs X Company (7)'!$N$3:$N$698,"&gt;5")</f>
        <v>2</v>
      </c>
      <c r="X314" s="34" t="n">
        <f aca="false">COUNTIFS('Shortlisted Drugs X Company (7)'!$C$3:$C$698,$B314,'Shortlisted Drugs X Company (7)'!$E$3:$E$698,$S314,'Shortlisted Drugs X Company (7)'!$P$3:$P$698,"Exact")+COUNTIFS('Shortlisted Drugs X Company (7)'!$C$3:$C$698,$B314,'Shortlisted Drugs X Company (7)'!$E$3:$E$698,$S314,'Shortlisted Drugs X Company (7)'!$P$3:$P$698,"Same-market proxy")</f>
        <v>1</v>
      </c>
      <c r="Y314" s="33" t="str">
        <f aca="false">A314&amp;"|"&amp;P314</f>
        <v>Torrent|</v>
      </c>
      <c r="Z314" s="16" t="s">
        <v>1366</v>
      </c>
      <c r="AA314" s="33" t="n">
        <f aca="false">INDEX($G$7:$G$25,MATCH(A314,$A$7:$A$25,0))</f>
        <v>13</v>
      </c>
      <c r="AB314" s="33" t="str">
        <f aca="false">IF(AE314="No","",AA314*1000+IF(P314="",900+COUNTIFS($A$29:A314,A314,$O$29:O314,"Price ≤ $5"),P314))</f>
        <v/>
      </c>
      <c r="AC314" s="33" t="str">
        <f aca="false">IF(O314&lt;&gt;"","",(4-VALUE(RIGHT(Q314,1)))*10^7+N(F314))</f>
        <v/>
      </c>
      <c r="AD314" s="15" t="str">
        <f aca="false">IFERROR(INDEX('Route of Administration'!$C$5:$C$155,MATCH(B314,'Route of Administration'!$A$5:$A$155,0)),"")</f>
        <v>IV</v>
      </c>
      <c r="AE314" s="14" t="str">
        <f aca="false">IFERROR(INDEX('Route of Administration'!$D$5:$D$155,MATCH(B314,'Route of Administration'!$A$5:$A$155,0)),"")</f>
        <v>No</v>
      </c>
      <c r="AF314" s="19" t="n">
        <f aca="false">IF(V314&gt;0,ROUND(AVERAGEIFS('Shortlisted Drugs X Company (7)'!$N$3:$N$698,'Shortlisted Drugs X Company (7)'!$C$3:$C$698,$B314,'Shortlisted Drugs X Company (7)'!$E$3:$E$698,$S314,'Shortlisted Drugs X Company (7)'!$N$3:$N$698,"&gt;=0"),2),"")</f>
        <v>12.21</v>
      </c>
      <c r="AG314" s="16" t="s">
        <v>1367</v>
      </c>
      <c r="AH314" s="16" t="s">
        <v>740</v>
      </c>
      <c r="AI314" s="16" t="s">
        <v>740</v>
      </c>
      <c r="AJ314" s="16" t="str">
        <f aca="false">IF(O314&lt;&gt;"","",IF(ISNUMBER(D314),IF(D314&gt;=$C$3,"High price","Lower price"),"Unpriced")&amp;" · "&amp;IF(M314&gt;=$E$3,"high volume","lower volume"))</f>
        <v/>
      </c>
      <c r="AK314" s="15" t="str">
        <f aca="false">IF(O314&lt;&gt;"",IF(O314="Price ≤ $5","Excluded – price ≤ $5","Excluded – IV only"),IF(ISNUMBER(D314),IF(AND(D314&gt;=$C$3,L314&gt;=$H$3),"Priority 1",IF(OR(D314&gt;=$C$3,L314&gt;=$H$3),"Priority 2","Priority 3")),IF(L314&gt;=$H$3,"Priority 2","Priority 3")))</f>
        <v>Excluded – IV only</v>
      </c>
      <c r="AL314" s="16" t="str">
        <f aca="false">IF(O314&lt;&gt;"","",IF(ISNUMBER(D314),IF(D314&gt;=$C$3,"High price","Lower price"),"Unpriced")&amp;" · "&amp;IF(L314&gt;=$H$3,"high volume","lower volume"))</f>
        <v/>
      </c>
      <c r="AM314" s="14" t="str">
        <f aca="false">IF(O314&lt;&gt;"","",COUNTIFS($A$29:$A$361,A314,$O$29:$O$361,"",$AQ$29:$AQ$361,"&gt;"&amp;AQ314)+COUNTIFS($A$29:A314,A314,$O$29:O314,"",$AQ$29:AQ314,AQ314))</f>
        <v/>
      </c>
      <c r="AN314" s="33" t="str">
        <f aca="false">IF(AND(O314="",ISNUMBER(D314)),D314,"")</f>
        <v/>
      </c>
      <c r="AO314" s="33" t="str">
        <f aca="false">IF(O314="",M314,"")</f>
        <v/>
      </c>
      <c r="AP314" s="33" t="str">
        <f aca="false">IF(O314="",L314,"")</f>
        <v/>
      </c>
      <c r="AQ314" s="33" t="str">
        <f aca="false">IF(O314&lt;&gt;"","",(4-VALUE(RIGHT(AK314,1)))*10^7+N(N314))</f>
        <v/>
      </c>
      <c r="AR314" s="33" t="n">
        <f aca="false">INDEX($O$7:$O$25,MATCH(A314,$I$7:$I$25,0))</f>
        <v>18</v>
      </c>
      <c r="AS314" s="33" t="str">
        <f aca="false">IF(AE314="No","",AR314*1000+IF(AM314="",900+COUNTIFS($A$29:A314,A314,$O$29:O314,"Price ≤ $5"),AM314))</f>
        <v/>
      </c>
    </row>
    <row r="315" customFormat="false" ht="41.75" hidden="false" customHeight="false" outlineLevel="0" collapsed="false">
      <c r="A315" s="15" t="s">
        <v>200</v>
      </c>
      <c r="B315" s="15" t="s">
        <v>1236</v>
      </c>
      <c r="C315" s="16" t="s">
        <v>1237</v>
      </c>
      <c r="D315" s="17" t="n">
        <f aca="false">IF(W315&gt;0,ROUND(AVERAGEIFS('Shortlisted Drugs X Company (7)'!$N$3:$N$698,'Shortlisted Drugs X Company (7)'!$C$3:$C$698,$B315,'Shortlisted Drugs X Company (7)'!$E$3:$E$698,$S315,'Shortlisted Drugs X Company (7)'!$N$3:$N$698,"&gt;5"),2),"")</f>
        <v>20.65</v>
      </c>
      <c r="E315" s="15" t="str">
        <f aca="false">IF(COUNTIFS('Shortlisted Drugs X Company (7)'!$C$3:$C$698,$B315,'Shortlisted Drugs X Company (7)'!$E$3:$E$698,$S315,'Shortlisted Drugs X Company (7)'!$P$3:$P$698,"Exact")&gt;0,"Exact",IF(COUNTIFS('Shortlisted Drugs X Company (7)'!$C$3:$C$698,$B315,'Shortlisted Drugs X Company (7)'!$E$3:$E$698,$S315,'Shortlisted Drugs X Company (7)'!$P$3:$P$698,"Same-market proxy")&gt;0,"Same-market proxy",IF(COUNTIFS('Shortlisted Drugs X Company (7)'!$C$3:$C$698,$B315,'Shortlisted Drugs X Company (7)'!$E$3:$E$698,$S315,'Shortlisted Drugs X Company (7)'!$P$3:$P$698,"Cross-market proxy")&gt;0,"Cross-market proxy",IF(COUNTIFS('Shortlisted Drugs X Company (7)'!$C$3:$C$698,$B315,'Shortlisted Drugs X Company (7)'!$E$3:$E$698,$S315,'Shortlisted Drugs X Company (7)'!$P$3:$P$698,"Source not found")&gt;0,"Source not found","Not priced"))))</f>
        <v>Same-market proxy</v>
      </c>
      <c r="F315" s="18" t="n">
        <f aca="false">IFERROR(ROUND(INDEX('Injectable Value'!$AA$28:$AA$178,MATCH(B315,'Injectable Value'!$A$28:$A$178,0)),1),"")</f>
        <v>18568.8</v>
      </c>
      <c r="G315" s="16" t="s">
        <v>418</v>
      </c>
      <c r="H315" s="14" t="n">
        <v>1</v>
      </c>
      <c r="I315" s="15" t="s">
        <v>277</v>
      </c>
      <c r="J315" s="15" t="s">
        <v>277</v>
      </c>
      <c r="K315" s="16" t="str">
        <f aca="false">""&amp;IF(V315=0,"Unpriced","")&amp;IF(AND(V315&gt;0,W315=0,X315=0),"Low price from another market – confirm with company","")</f>
        <v/>
      </c>
      <c r="L315" s="18" t="n">
        <f aca="false">IFERROR(INDEX('Shortlisted Drugs X Company (7)'!$K$3:$K$698,MATCH(B315,'Shortlisted Drugs X Company (7)'!$C$3:$C$698,0)),"")</f>
        <v>2286</v>
      </c>
      <c r="M315" s="18" t="n">
        <f aca="false">IFERROR(ROUND(L315*INDEX('Injectable Value'!$Z$28:$Z$178,MATCH(B315,'Injectable Value'!$A$28:$A$178,0)),0),"")</f>
        <v>399</v>
      </c>
      <c r="N315" s="18" t="n">
        <f aca="false">IFERROR(INDEX('Shortlisted Drugs X Company (7)'!$L$3:$L$698,MATCH(B315,'Shortlisted Drugs X Company (7)'!$C$3:$C$698,0)),"")</f>
        <v>106496.78</v>
      </c>
      <c r="O315" s="15" t="str">
        <f aca="false">IF(AE315="No","IV only (not ID/IM/SC)",IF(AND(V315&gt;0,W315=0),"Price ≤ $5",""))</f>
        <v>IV only (not ID/IM/SC)</v>
      </c>
      <c r="P315" s="14" t="str">
        <f aca="false">IF(O315&lt;&gt;"","",COUNTIFS($A$29:$A$361,A315,$O$29:$O$361,"",$AC$29:$AC$361,"&gt;"&amp;AC315)+COUNTIFS($A$29:A315,A315,$O$29:O315,"",$AC$29:AC315,AC315))</f>
        <v/>
      </c>
      <c r="Q315" s="15" t="str">
        <f aca="false">IF(O315&lt;&gt;"",IF(O315="Price ≤ $5","Excluded – price ≤ $5","Excluded – IV only"),IF(ISNUMBER(D315),IF(AND(D315&gt;=$C$3,M315&gt;=$E$3),"Priority 1",IF(OR(D315&gt;=$C$3,M315&gt;=$E$3),"Priority 2","Priority 3")),IF(M315&gt;=$E$3,"Priority 2","Priority 3")))</f>
        <v>Excluded – IV only</v>
      </c>
      <c r="R315" s="16" t="s">
        <v>278</v>
      </c>
      <c r="S315" s="15" t="s">
        <v>1362</v>
      </c>
      <c r="T315" s="32" t="s">
        <v>1238</v>
      </c>
      <c r="U315" s="33" t="str">
        <f aca="false">B315&amp;"|"&amp;S315</f>
        <v>Levetiracetam|Torrent Pharmaceuticals</v>
      </c>
      <c r="V315" s="34" t="n">
        <f aca="false">COUNTIFS('Shortlisted Drugs X Company (7)'!$C$3:$C$698,$B315,'Shortlisted Drugs X Company (7)'!$E$3:$E$698,$S315,'Shortlisted Drugs X Company (7)'!$N$3:$N$698,"&gt;=0")</f>
        <v>1</v>
      </c>
      <c r="W315" s="34" t="n">
        <f aca="false">COUNTIFS('Shortlisted Drugs X Company (7)'!$C$3:$C$698,$B315,'Shortlisted Drugs X Company (7)'!$E$3:$E$698,$S315,'Shortlisted Drugs X Company (7)'!$N$3:$N$698,"&gt;5")</f>
        <v>1</v>
      </c>
      <c r="X315" s="34" t="n">
        <f aca="false">COUNTIFS('Shortlisted Drugs X Company (7)'!$C$3:$C$698,$B315,'Shortlisted Drugs X Company (7)'!$E$3:$E$698,$S315,'Shortlisted Drugs X Company (7)'!$P$3:$P$698,"Exact")+COUNTIFS('Shortlisted Drugs X Company (7)'!$C$3:$C$698,$B315,'Shortlisted Drugs X Company (7)'!$E$3:$E$698,$S315,'Shortlisted Drugs X Company (7)'!$P$3:$P$698,"Same-market proxy")</f>
        <v>1</v>
      </c>
      <c r="Y315" s="33" t="str">
        <f aca="false">A315&amp;"|"&amp;P315</f>
        <v>Torrent|</v>
      </c>
      <c r="Z315" s="16" t="s">
        <v>277</v>
      </c>
      <c r="AA315" s="33" t="n">
        <f aca="false">INDEX($G$7:$G$25,MATCH(A315,$A$7:$A$25,0))</f>
        <v>13</v>
      </c>
      <c r="AB315" s="33" t="str">
        <f aca="false">IF(AE315="No","",AA315*1000+IF(P315="",900+COUNTIFS($A$29:A315,A315,$O$29:O315,"Price ≤ $5"),P315))</f>
        <v/>
      </c>
      <c r="AC315" s="33" t="str">
        <f aca="false">IF(O315&lt;&gt;"","",(4-VALUE(RIGHT(Q315,1)))*10^7+N(F315))</f>
        <v/>
      </c>
      <c r="AD315" s="15" t="str">
        <f aca="false">IFERROR(INDEX('Route of Administration'!$C$5:$C$155,MATCH(B315,'Route of Administration'!$A$5:$A$155,0)),"")</f>
        <v>IV</v>
      </c>
      <c r="AE315" s="14" t="str">
        <f aca="false">IFERROR(INDEX('Route of Administration'!$D$5:$D$155,MATCH(B315,'Route of Administration'!$A$5:$A$155,0)),"")</f>
        <v>No</v>
      </c>
      <c r="AF315" s="19" t="n">
        <f aca="false">IF(V315&gt;0,ROUND(AVERAGEIFS('Shortlisted Drugs X Company (7)'!$N$3:$N$698,'Shortlisted Drugs X Company (7)'!$C$3:$C$698,$B315,'Shortlisted Drugs X Company (7)'!$E$3:$E$698,$S315,'Shortlisted Drugs X Company (7)'!$N$3:$N$698,"&gt;=0"),2),"")</f>
        <v>20.65</v>
      </c>
      <c r="AG315" s="16" t="s">
        <v>1368</v>
      </c>
      <c r="AH315" s="16" t="s">
        <v>422</v>
      </c>
      <c r="AI315" s="16" t="s">
        <v>422</v>
      </c>
      <c r="AJ315" s="16" t="str">
        <f aca="false">IF(O315&lt;&gt;"","",IF(ISNUMBER(D315),IF(D315&gt;=$C$3,"High price","Lower price"),"Unpriced")&amp;" · "&amp;IF(M315&gt;=$E$3,"high volume","lower volume"))</f>
        <v/>
      </c>
      <c r="AK315" s="15" t="str">
        <f aca="false">IF(O315&lt;&gt;"",IF(O315="Price ≤ $5","Excluded – price ≤ $5","Excluded – IV only"),IF(ISNUMBER(D315),IF(AND(D315&gt;=$C$3,L315&gt;=$H$3),"Priority 1",IF(OR(D315&gt;=$C$3,L315&gt;=$H$3),"Priority 2","Priority 3")),IF(L315&gt;=$H$3,"Priority 2","Priority 3")))</f>
        <v>Excluded – IV only</v>
      </c>
      <c r="AL315" s="16" t="str">
        <f aca="false">IF(O315&lt;&gt;"","",IF(ISNUMBER(D315),IF(D315&gt;=$C$3,"High price","Lower price"),"Unpriced")&amp;" · "&amp;IF(L315&gt;=$H$3,"high volume","lower volume"))</f>
        <v/>
      </c>
      <c r="AM315" s="14" t="str">
        <f aca="false">IF(O315&lt;&gt;"","",COUNTIFS($A$29:$A$361,A315,$O$29:$O$361,"",$AQ$29:$AQ$361,"&gt;"&amp;AQ315)+COUNTIFS($A$29:A315,A315,$O$29:O315,"",$AQ$29:AQ315,AQ315))</f>
        <v/>
      </c>
      <c r="AN315" s="33" t="str">
        <f aca="false">IF(AND(O315="",ISNUMBER(D315)),D315,"")</f>
        <v/>
      </c>
      <c r="AO315" s="33" t="str">
        <f aca="false">IF(O315="",M315,"")</f>
        <v/>
      </c>
      <c r="AP315" s="33" t="str">
        <f aca="false">IF(O315="",L315,"")</f>
        <v/>
      </c>
      <c r="AQ315" s="33" t="str">
        <f aca="false">IF(O315&lt;&gt;"","",(4-VALUE(RIGHT(AK315,1)))*10^7+N(N315))</f>
        <v/>
      </c>
      <c r="AR315" s="33" t="n">
        <f aca="false">INDEX($O$7:$O$25,MATCH(A315,$I$7:$I$25,0))</f>
        <v>18</v>
      </c>
      <c r="AS315" s="33" t="str">
        <f aca="false">IF(AE315="No","",AR315*1000+IF(AM315="",900+COUNTIFS($A$29:A315,A315,$O$29:O315,"Price ≤ $5"),AM315))</f>
        <v/>
      </c>
    </row>
    <row r="316" customFormat="false" ht="28.35" hidden="false" customHeight="false" outlineLevel="0" collapsed="false">
      <c r="A316" s="15" t="s">
        <v>200</v>
      </c>
      <c r="B316" s="15" t="s">
        <v>451</v>
      </c>
      <c r="C316" s="16" t="s">
        <v>452</v>
      </c>
      <c r="D316" s="17" t="n">
        <f aca="false">IF(W316&gt;0,ROUND(AVERAGEIFS('Shortlisted Drugs X Company (7)'!$N$3:$N$698,'Shortlisted Drugs X Company (7)'!$C$3:$C$698,$B316,'Shortlisted Drugs X Company (7)'!$E$3:$E$698,$S316,'Shortlisted Drugs X Company (7)'!$N$3:$N$698,"&gt;5"),2),"")</f>
        <v>12.08</v>
      </c>
      <c r="E316" s="15" t="str">
        <f aca="false">IF(COUNTIFS('Shortlisted Drugs X Company (7)'!$C$3:$C$698,$B316,'Shortlisted Drugs X Company (7)'!$E$3:$E$698,$S316,'Shortlisted Drugs X Company (7)'!$P$3:$P$698,"Exact")&gt;0,"Exact",IF(COUNTIFS('Shortlisted Drugs X Company (7)'!$C$3:$C$698,$B316,'Shortlisted Drugs X Company (7)'!$E$3:$E$698,$S316,'Shortlisted Drugs X Company (7)'!$P$3:$P$698,"Same-market proxy")&gt;0,"Same-market proxy",IF(COUNTIFS('Shortlisted Drugs X Company (7)'!$C$3:$C$698,$B316,'Shortlisted Drugs X Company (7)'!$E$3:$E$698,$S316,'Shortlisted Drugs X Company (7)'!$P$3:$P$698,"Cross-market proxy")&gt;0,"Cross-market proxy",IF(COUNTIFS('Shortlisted Drugs X Company (7)'!$C$3:$C$698,$B316,'Shortlisted Drugs X Company (7)'!$E$3:$E$698,$S316,'Shortlisted Drugs X Company (7)'!$P$3:$P$698,"Source not found")&gt;0,"Source not found","Not priced"))))</f>
        <v>Cross-market proxy</v>
      </c>
      <c r="F316" s="18" t="n">
        <f aca="false">IFERROR(ROUND(INDEX('Injectable Value'!$AA$28:$AA$178,MATCH(B316,'Injectable Value'!$A$28:$A$178,0)),1),"")</f>
        <v>58920.4</v>
      </c>
      <c r="G316" s="16" t="s">
        <v>418</v>
      </c>
      <c r="H316" s="14" t="n">
        <v>1</v>
      </c>
      <c r="I316" s="15" t="s">
        <v>248</v>
      </c>
      <c r="J316" s="15" t="s">
        <v>299</v>
      </c>
      <c r="K316" s="16" t="str">
        <f aca="false">"Reconstitution"&amp;IF(V316=0,"; Unpriced","")&amp;IF(AND(V316&gt;0,W316=0,X316=0),"; Low price from another market – confirm with company","")</f>
        <v>Reconstitution</v>
      </c>
      <c r="L316" s="18" t="n">
        <f aca="false">IFERROR(INDEX('Shortlisted Drugs X Company (7)'!$K$3:$K$698,MATCH(B316,'Shortlisted Drugs X Company (7)'!$C$3:$C$698,0)),"")</f>
        <v>1185</v>
      </c>
      <c r="M316" s="18" t="n">
        <f aca="false">IFERROR(ROUND(L316*INDEX('Injectable Value'!$Z$28:$Z$178,MATCH(B316,'Injectable Value'!$A$28:$A$178,0)),0),"")</f>
        <v>1175</v>
      </c>
      <c r="N316" s="18" t="n">
        <f aca="false">IFERROR(INDEX('Shortlisted Drugs X Company (7)'!$L$3:$L$698,MATCH(B316,'Shortlisted Drugs X Company (7)'!$C$3:$C$698,0)),"")</f>
        <v>59407.06</v>
      </c>
      <c r="O316" s="15" t="str">
        <f aca="false">IF(AE316="No","IV only (not ID/IM/SC)",IF(AND(V316&gt;0,W316=0),"Price ≤ $5",""))</f>
        <v>IV only (not ID/IM/SC)</v>
      </c>
      <c r="P316" s="14" t="str">
        <f aca="false">IF(O316&lt;&gt;"","",COUNTIFS($A$29:$A$361,A316,$O$29:$O$361,"",$AC$29:$AC$361,"&gt;"&amp;AC316)+COUNTIFS($A$29:A316,A316,$O$29:O316,"",$AC$29:AC316,AC316))</f>
        <v/>
      </c>
      <c r="Q316" s="15" t="str">
        <f aca="false">IF(O316&lt;&gt;"",IF(O316="Price ≤ $5","Excluded – price ≤ $5","Excluded – IV only"),IF(ISNUMBER(D316),IF(AND(D316&gt;=$C$3,M316&gt;=$E$3),"Priority 1",IF(OR(D316&gt;=$C$3,M316&gt;=$E$3),"Priority 2","Priority 3")),IF(M316&gt;=$E$3,"Priority 2","Priority 3")))</f>
        <v>Excluded – IV only</v>
      </c>
      <c r="R316" s="16" t="s">
        <v>250</v>
      </c>
      <c r="S316" s="15" t="s">
        <v>1362</v>
      </c>
      <c r="T316" s="32" t="s">
        <v>454</v>
      </c>
      <c r="U316" s="33" t="str">
        <f aca="false">B316&amp;"|"&amp;S316</f>
        <v>Meropenem|Torrent Pharmaceuticals</v>
      </c>
      <c r="V316" s="34" t="n">
        <f aca="false">COUNTIFS('Shortlisted Drugs X Company (7)'!$C$3:$C$698,$B316,'Shortlisted Drugs X Company (7)'!$E$3:$E$698,$S316,'Shortlisted Drugs X Company (7)'!$N$3:$N$698,"&gt;=0")</f>
        <v>1</v>
      </c>
      <c r="W316" s="34" t="n">
        <f aca="false">COUNTIFS('Shortlisted Drugs X Company (7)'!$C$3:$C$698,$B316,'Shortlisted Drugs X Company (7)'!$E$3:$E$698,$S316,'Shortlisted Drugs X Company (7)'!$N$3:$N$698,"&gt;5")</f>
        <v>1</v>
      </c>
      <c r="X316" s="34" t="n">
        <f aca="false">COUNTIFS('Shortlisted Drugs X Company (7)'!$C$3:$C$698,$B316,'Shortlisted Drugs X Company (7)'!$E$3:$E$698,$S316,'Shortlisted Drugs X Company (7)'!$P$3:$P$698,"Exact")+COUNTIFS('Shortlisted Drugs X Company (7)'!$C$3:$C$698,$B316,'Shortlisted Drugs X Company (7)'!$E$3:$E$698,$S316,'Shortlisted Drugs X Company (7)'!$P$3:$P$698,"Same-market proxy")</f>
        <v>0</v>
      </c>
      <c r="Y316" s="33" t="str">
        <f aca="false">A316&amp;"|"&amp;P316</f>
        <v>Torrent|</v>
      </c>
      <c r="Z316" s="16" t="s">
        <v>743</v>
      </c>
      <c r="AA316" s="33" t="n">
        <f aca="false">INDEX($G$7:$G$25,MATCH(A316,$A$7:$A$25,0))</f>
        <v>13</v>
      </c>
      <c r="AB316" s="33" t="str">
        <f aca="false">IF(AE316="No","",AA316*1000+IF(P316="",900+COUNTIFS($A$29:A316,A316,$O$29:O316,"Price ≤ $5"),P316))</f>
        <v/>
      </c>
      <c r="AC316" s="33" t="str">
        <f aca="false">IF(O316&lt;&gt;"","",(4-VALUE(RIGHT(Q316,1)))*10^7+N(F316))</f>
        <v/>
      </c>
      <c r="AD316" s="15" t="str">
        <f aca="false">IFERROR(INDEX('Route of Administration'!$C$5:$C$155,MATCH(B316,'Route of Administration'!$A$5:$A$155,0)),"")</f>
        <v>IV</v>
      </c>
      <c r="AE316" s="14" t="str">
        <f aca="false">IFERROR(INDEX('Route of Administration'!$D$5:$D$155,MATCH(B316,'Route of Administration'!$A$5:$A$155,0)),"")</f>
        <v>No</v>
      </c>
      <c r="AF316" s="19" t="n">
        <f aca="false">IF(V316&gt;0,ROUND(AVERAGEIFS('Shortlisted Drugs X Company (7)'!$N$3:$N$698,'Shortlisted Drugs X Company (7)'!$C$3:$C$698,$B316,'Shortlisted Drugs X Company (7)'!$E$3:$E$698,$S316,'Shortlisted Drugs X Company (7)'!$N$3:$N$698,"&gt;=0"),2),"")</f>
        <v>12.08</v>
      </c>
      <c r="AG316" s="16" t="s">
        <v>1369</v>
      </c>
      <c r="AH316" s="16" t="s">
        <v>422</v>
      </c>
      <c r="AI316" s="16" t="s">
        <v>422</v>
      </c>
      <c r="AJ316" s="16" t="str">
        <f aca="false">IF(O316&lt;&gt;"","",IF(ISNUMBER(D316),IF(D316&gt;=$C$3,"High price","Lower price"),"Unpriced")&amp;" · "&amp;IF(M316&gt;=$E$3,"high volume","lower volume"))</f>
        <v/>
      </c>
      <c r="AK316" s="15" t="str">
        <f aca="false">IF(O316&lt;&gt;"",IF(O316="Price ≤ $5","Excluded – price ≤ $5","Excluded – IV only"),IF(ISNUMBER(D316),IF(AND(D316&gt;=$C$3,L316&gt;=$H$3),"Priority 1",IF(OR(D316&gt;=$C$3,L316&gt;=$H$3),"Priority 2","Priority 3")),IF(L316&gt;=$H$3,"Priority 2","Priority 3")))</f>
        <v>Excluded – IV only</v>
      </c>
      <c r="AL316" s="16" t="str">
        <f aca="false">IF(O316&lt;&gt;"","",IF(ISNUMBER(D316),IF(D316&gt;=$C$3,"High price","Lower price"),"Unpriced")&amp;" · "&amp;IF(L316&gt;=$H$3,"high volume","lower volume"))</f>
        <v/>
      </c>
      <c r="AM316" s="14" t="str">
        <f aca="false">IF(O316&lt;&gt;"","",COUNTIFS($A$29:$A$361,A316,$O$29:$O$361,"",$AQ$29:$AQ$361,"&gt;"&amp;AQ316)+COUNTIFS($A$29:A316,A316,$O$29:O316,"",$AQ$29:AQ316,AQ316))</f>
        <v/>
      </c>
      <c r="AN316" s="33" t="str">
        <f aca="false">IF(AND(O316="",ISNUMBER(D316)),D316,"")</f>
        <v/>
      </c>
      <c r="AO316" s="33" t="str">
        <f aca="false">IF(O316="",M316,"")</f>
        <v/>
      </c>
      <c r="AP316" s="33" t="str">
        <f aca="false">IF(O316="",L316,"")</f>
        <v/>
      </c>
      <c r="AQ316" s="33" t="str">
        <f aca="false">IF(O316&lt;&gt;"","",(4-VALUE(RIGHT(AK316,1)))*10^7+N(N316))</f>
        <v/>
      </c>
      <c r="AR316" s="33" t="n">
        <f aca="false">INDEX($O$7:$O$25,MATCH(A316,$I$7:$I$25,0))</f>
        <v>18</v>
      </c>
      <c r="AS316" s="33" t="str">
        <f aca="false">IF(AE316="No","",AR316*1000+IF(AM316="",900+COUNTIFS($A$29:A316,A316,$O$29:O316,"Price ≤ $5"),AM316))</f>
        <v/>
      </c>
    </row>
    <row r="317" customFormat="false" ht="28.35" hidden="false" customHeight="false" outlineLevel="0" collapsed="false">
      <c r="A317" s="15" t="s">
        <v>200</v>
      </c>
      <c r="B317" s="15" t="s">
        <v>1370</v>
      </c>
      <c r="C317" s="16" t="s">
        <v>1371</v>
      </c>
      <c r="D317" s="17" t="n">
        <f aca="false">IF(W317&gt;0,ROUND(AVERAGEIFS('Shortlisted Drugs X Company (7)'!$N$3:$N$698,'Shortlisted Drugs X Company (7)'!$C$3:$C$698,$B317,'Shortlisted Drugs X Company (7)'!$E$3:$E$698,$S317,'Shortlisted Drugs X Company (7)'!$N$3:$N$698,"&gt;5"),2),"")</f>
        <v>118.34</v>
      </c>
      <c r="E317" s="15" t="str">
        <f aca="false">IF(COUNTIFS('Shortlisted Drugs X Company (7)'!$C$3:$C$698,$B317,'Shortlisted Drugs X Company (7)'!$E$3:$E$698,$S317,'Shortlisted Drugs X Company (7)'!$P$3:$P$698,"Exact")&gt;0,"Exact",IF(COUNTIFS('Shortlisted Drugs X Company (7)'!$C$3:$C$698,$B317,'Shortlisted Drugs X Company (7)'!$E$3:$E$698,$S317,'Shortlisted Drugs X Company (7)'!$P$3:$P$698,"Same-market proxy")&gt;0,"Same-market proxy",IF(COUNTIFS('Shortlisted Drugs X Company (7)'!$C$3:$C$698,$B317,'Shortlisted Drugs X Company (7)'!$E$3:$E$698,$S317,'Shortlisted Drugs X Company (7)'!$P$3:$P$698,"Cross-market proxy")&gt;0,"Cross-market proxy",IF(COUNTIFS('Shortlisted Drugs X Company (7)'!$C$3:$C$698,$B317,'Shortlisted Drugs X Company (7)'!$E$3:$E$698,$S317,'Shortlisted Drugs X Company (7)'!$P$3:$P$698,"Source not found")&gt;0,"Source not found","Not priced"))))</f>
        <v>Cross-market proxy</v>
      </c>
      <c r="F317" s="18" t="n">
        <f aca="false">IFERROR(ROUND(INDEX('Injectable Value'!$AA$28:$AA$178,MATCH(B317,'Injectable Value'!$A$28:$A$178,0)),1),"")</f>
        <v>6183.2</v>
      </c>
      <c r="G317" s="16" t="s">
        <v>418</v>
      </c>
      <c r="H317" s="14" t="n">
        <v>2</v>
      </c>
      <c r="I317" s="15" t="s">
        <v>258</v>
      </c>
      <c r="J317" s="15" t="s">
        <v>249</v>
      </c>
      <c r="K317" s="16" t="str">
        <f aca="false">"Prefilled only"&amp;IF(V317=0,"; Unpriced","")&amp;IF(AND(V317&gt;0,W317=0,X317=0),"; Low price from another market – confirm with company","")</f>
        <v>Prefilled only</v>
      </c>
      <c r="L317" s="18" t="n">
        <f aca="false">IFERROR(INDEX('Shortlisted Drugs X Company (7)'!$K$3:$K$698,MATCH(B317,'Shortlisted Drugs X Company (7)'!$C$3:$C$698,0)),"")</f>
        <v>153</v>
      </c>
      <c r="M317" s="18" t="n">
        <f aca="false">IFERROR(ROUND(L317*INDEX('Injectable Value'!$Z$28:$Z$178,MATCH(B317,'Injectable Value'!$A$28:$A$178,0)),0),"")</f>
        <v>115</v>
      </c>
      <c r="N317" s="18" t="n">
        <f aca="false">IFERROR(INDEX('Shortlisted Drugs X Company (7)'!$L$3:$L$698,MATCH(B317,'Shortlisted Drugs X Company (7)'!$C$3:$C$698,0)),"")</f>
        <v>8244.44</v>
      </c>
      <c r="O317" s="15" t="str">
        <f aca="false">IF(AE317="No","IV only (not ID/IM/SC)",IF(AND(V317&gt;0,W317=0),"Price ≤ $5",""))</f>
        <v/>
      </c>
      <c r="P317" s="14" t="n">
        <f aca="false">IF(O317&lt;&gt;"","",COUNTIFS($A$29:$A$361,A317,$O$29:$O$361,"",$AC$29:$AC$361,"&gt;"&amp;AC317)+COUNTIFS($A$29:A317,A317,$O$29:O317,"",$AC$29:AC317,AC317))</f>
        <v>2</v>
      </c>
      <c r="Q317" s="15" t="str">
        <f aca="false">IF(O317&lt;&gt;"",IF(O317="Price ≤ $5","Excluded – price ≤ $5","Excluded – IV only"),IF(ISNUMBER(D317),IF(AND(D317&gt;=$C$3,M317&gt;=$E$3),"Priority 1",IF(OR(D317&gt;=$C$3,M317&gt;=$E$3),"Priority 2","Priority 3")),IF(M317&gt;=$E$3,"Priority 2","Priority 3")))</f>
        <v>Priority 2</v>
      </c>
      <c r="R317" s="16" t="s">
        <v>259</v>
      </c>
      <c r="S317" s="15" t="s">
        <v>1362</v>
      </c>
      <c r="T317" s="32" t="s">
        <v>1372</v>
      </c>
      <c r="U317" s="33" t="str">
        <f aca="false">B317&amp;"|"&amp;S317</f>
        <v>Paliperidone|Torrent Pharmaceuticals</v>
      </c>
      <c r="V317" s="34" t="n">
        <f aca="false">COUNTIFS('Shortlisted Drugs X Company (7)'!$C$3:$C$698,$B317,'Shortlisted Drugs X Company (7)'!$E$3:$E$698,$S317,'Shortlisted Drugs X Company (7)'!$N$3:$N$698,"&gt;=0")</f>
        <v>1</v>
      </c>
      <c r="W317" s="34" t="n">
        <f aca="false">COUNTIFS('Shortlisted Drugs X Company (7)'!$C$3:$C$698,$B317,'Shortlisted Drugs X Company (7)'!$E$3:$E$698,$S317,'Shortlisted Drugs X Company (7)'!$N$3:$N$698,"&gt;5")</f>
        <v>1</v>
      </c>
      <c r="X317" s="34" t="n">
        <f aca="false">COUNTIFS('Shortlisted Drugs X Company (7)'!$C$3:$C$698,$B317,'Shortlisted Drugs X Company (7)'!$E$3:$E$698,$S317,'Shortlisted Drugs X Company (7)'!$P$3:$P$698,"Exact")+COUNTIFS('Shortlisted Drugs X Company (7)'!$C$3:$C$698,$B317,'Shortlisted Drugs X Company (7)'!$E$3:$E$698,$S317,'Shortlisted Drugs X Company (7)'!$P$3:$P$698,"Same-market proxy")</f>
        <v>0</v>
      </c>
      <c r="Y317" s="33" t="str">
        <f aca="false">A317&amp;"|"&amp;P317</f>
        <v>Torrent|2</v>
      </c>
      <c r="Z317" s="16" t="s">
        <v>1373</v>
      </c>
      <c r="AA317" s="33" t="n">
        <f aca="false">INDEX($G$7:$G$25,MATCH(A317,$A$7:$A$25,0))</f>
        <v>13</v>
      </c>
      <c r="AB317" s="33" t="n">
        <f aca="false">IF(AE317="No","",AA317*1000+IF(P317="",900+COUNTIFS($A$29:A317,A317,$O$29:O317,"Price ≤ $5"),P317))</f>
        <v>13002</v>
      </c>
      <c r="AC317" s="33" t="n">
        <f aca="false">IF(O317&lt;&gt;"","",(4-VALUE(RIGHT(Q317,1)))*10^7+N(F317))</f>
        <v>20006183.2</v>
      </c>
      <c r="AD317" s="15" t="str">
        <f aca="false">IFERROR(INDEX('Route of Administration'!$C$5:$C$155,MATCH(B317,'Route of Administration'!$A$5:$A$155,0)),"")</f>
        <v>IM</v>
      </c>
      <c r="AE317" s="14" t="str">
        <f aca="false">IFERROR(INDEX('Route of Administration'!$D$5:$D$155,MATCH(B317,'Route of Administration'!$A$5:$A$155,0)),"")</f>
        <v>Yes</v>
      </c>
      <c r="AF317" s="19" t="n">
        <f aca="false">IF(V317&gt;0,ROUND(AVERAGEIFS('Shortlisted Drugs X Company (7)'!$N$3:$N$698,'Shortlisted Drugs X Company (7)'!$C$3:$C$698,$B317,'Shortlisted Drugs X Company (7)'!$E$3:$E$698,$S317,'Shortlisted Drugs X Company (7)'!$N$3:$N$698,"&gt;=0"),2),"")</f>
        <v>118.34</v>
      </c>
      <c r="AG317" s="16" t="s">
        <v>1374</v>
      </c>
      <c r="AH317" s="16" t="s">
        <v>1375</v>
      </c>
      <c r="AI317" s="16" t="s">
        <v>1375</v>
      </c>
      <c r="AJ317" s="16" t="str">
        <f aca="false">IF(O317&lt;&gt;"","",IF(ISNUMBER(D317),IF(D317&gt;=$C$3,"High price","Lower price"),"Unpriced")&amp;" · "&amp;IF(M317&gt;=$E$3,"high volume","lower volume"))</f>
        <v>High price · lower volume</v>
      </c>
      <c r="AK317" s="15" t="str">
        <f aca="false">IF(O317&lt;&gt;"",IF(O317="Price ≤ $5","Excluded – price ≤ $5","Excluded – IV only"),IF(ISNUMBER(D317),IF(AND(D317&gt;=$C$3,L317&gt;=$H$3),"Priority 1",IF(OR(D317&gt;=$C$3,L317&gt;=$H$3),"Priority 2","Priority 3")),IF(L317&gt;=$H$3,"Priority 2","Priority 3")))</f>
        <v>Priority 2</v>
      </c>
      <c r="AL317" s="16" t="str">
        <f aca="false">IF(O317&lt;&gt;"","",IF(ISNUMBER(D317),IF(D317&gt;=$C$3,"High price","Lower price"),"Unpriced")&amp;" · "&amp;IF(L317&gt;=$H$3,"high volume","lower volume"))</f>
        <v>High price · lower volume</v>
      </c>
      <c r="AM317" s="14" t="n">
        <f aca="false">IF(O317&lt;&gt;"","",COUNTIFS($A$29:$A$361,A317,$O$29:$O$361,"",$AQ$29:$AQ$361,"&gt;"&amp;AQ317)+COUNTIFS($A$29:A317,A317,$O$29:O317,"",$AQ$29:AQ317,AQ317))</f>
        <v>2</v>
      </c>
      <c r="AN317" s="19" t="n">
        <f aca="false">IF(AND(O317="",ISNUMBER(D317)),D317,"")</f>
        <v>118.34</v>
      </c>
      <c r="AO317" s="20" t="n">
        <f aca="false">IF(O317="",M317,"")</f>
        <v>115</v>
      </c>
      <c r="AP317" s="20" t="n">
        <f aca="false">IF(O317="",L317,"")</f>
        <v>153</v>
      </c>
      <c r="AQ317" s="33" t="n">
        <f aca="false">IF(O317&lt;&gt;"","",(4-VALUE(RIGHT(AK317,1)))*10^7+N(N317))</f>
        <v>20008244.44</v>
      </c>
      <c r="AR317" s="33" t="n">
        <f aca="false">INDEX($O$7:$O$25,MATCH(A317,$I$7:$I$25,0))</f>
        <v>18</v>
      </c>
      <c r="AS317" s="33" t="n">
        <f aca="false">IF(AE317="No","",AR317*1000+IF(AM317="",900+COUNTIFS($A$29:A317,A317,$O$29:O317,"Price ≤ $5"),AM317))</f>
        <v>18002</v>
      </c>
    </row>
    <row r="318" customFormat="false" ht="28.35" hidden="false" customHeight="false" outlineLevel="0" collapsed="false">
      <c r="A318" s="15" t="s">
        <v>200</v>
      </c>
      <c r="B318" s="15" t="s">
        <v>880</v>
      </c>
      <c r="C318" s="16" t="s">
        <v>564</v>
      </c>
      <c r="D318" s="17" t="n">
        <f aca="false">IF(W318&gt;0,ROUND(AVERAGEIFS('Shortlisted Drugs X Company (7)'!$N$3:$N$698,'Shortlisted Drugs X Company (7)'!$C$3:$C$698,$B318,'Shortlisted Drugs X Company (7)'!$E$3:$E$698,$S318,'Shortlisted Drugs X Company (7)'!$N$3:$N$698,"&gt;5"),2),"")</f>
        <v>7.72</v>
      </c>
      <c r="E318" s="15" t="str">
        <f aca="false">IF(COUNTIFS('Shortlisted Drugs X Company (7)'!$C$3:$C$698,$B318,'Shortlisted Drugs X Company (7)'!$E$3:$E$698,$S318,'Shortlisted Drugs X Company (7)'!$P$3:$P$698,"Exact")&gt;0,"Exact",IF(COUNTIFS('Shortlisted Drugs X Company (7)'!$C$3:$C$698,$B318,'Shortlisted Drugs X Company (7)'!$E$3:$E$698,$S318,'Shortlisted Drugs X Company (7)'!$P$3:$P$698,"Same-market proxy")&gt;0,"Same-market proxy",IF(COUNTIFS('Shortlisted Drugs X Company (7)'!$C$3:$C$698,$B318,'Shortlisted Drugs X Company (7)'!$E$3:$E$698,$S318,'Shortlisted Drugs X Company (7)'!$P$3:$P$698,"Cross-market proxy")&gt;0,"Cross-market proxy",IF(COUNTIFS('Shortlisted Drugs X Company (7)'!$C$3:$C$698,$B318,'Shortlisted Drugs X Company (7)'!$E$3:$E$698,$S318,'Shortlisted Drugs X Company (7)'!$P$3:$P$698,"Source not found")&gt;0,"Source not found","Not priced"))))</f>
        <v>Exact</v>
      </c>
      <c r="F318" s="18" t="n">
        <f aca="false">IFERROR(ROUND(INDEX('Injectable Value'!$AA$28:$AA$178,MATCH(B318,'Injectable Value'!$A$28:$A$178,0)),1),"")</f>
        <v>20184.3</v>
      </c>
      <c r="G318" s="16" t="s">
        <v>70</v>
      </c>
      <c r="H318" s="14" t="n">
        <v>1</v>
      </c>
      <c r="I318" s="15" t="s">
        <v>248</v>
      </c>
      <c r="J318" s="15" t="s">
        <v>249</v>
      </c>
      <c r="K318" s="16" t="str">
        <f aca="false">""&amp;IF(V318=0,"Unpriced","")&amp;IF(AND(V318&gt;0,W318=0,X318=0),"Low price from another market – confirm with company","")</f>
        <v/>
      </c>
      <c r="L318" s="18" t="n">
        <f aca="false">IFERROR(INDEX('Shortlisted Drugs X Company (7)'!$K$3:$K$698,MATCH(B318,'Shortlisted Drugs X Company (7)'!$C$3:$C$698,0)),"")</f>
        <v>264</v>
      </c>
      <c r="M318" s="18" t="n">
        <f aca="false">IFERROR(ROUND(L318*INDEX('Injectable Value'!$Z$28:$Z$178,MATCH(B318,'Injectable Value'!$A$28:$A$178,0)),0),"")</f>
        <v>261</v>
      </c>
      <c r="N318" s="18" t="n">
        <f aca="false">IFERROR(INDEX('Shortlisted Drugs X Company (7)'!$L$3:$L$698,MATCH(B318,'Shortlisted Drugs X Company (7)'!$C$3:$C$698,0)),"")</f>
        <v>20408.58</v>
      </c>
      <c r="O318" s="15" t="str">
        <f aca="false">IF(AE318="No","IV only (not ID/IM/SC)",IF(AND(V318&gt;0,W318=0),"Price ≤ $5",""))</f>
        <v>IV only (not ID/IM/SC)</v>
      </c>
      <c r="P318" s="14" t="str">
        <f aca="false">IF(O318&lt;&gt;"","",COUNTIFS($A$29:$A$361,A318,$O$29:$O$361,"",$AC$29:$AC$361,"&gt;"&amp;AC318)+COUNTIFS($A$29:A318,A318,$O$29:O318,"",$AC$29:AC318,AC318))</f>
        <v/>
      </c>
      <c r="Q318" s="15" t="str">
        <f aca="false">IF(O318&lt;&gt;"",IF(O318="Price ≤ $5","Excluded – price ≤ $5","Excluded – IV only"),IF(ISNUMBER(D318),IF(AND(D318&gt;=$C$3,M318&gt;=$E$3),"Priority 1",IF(OR(D318&gt;=$C$3,M318&gt;=$E$3),"Priority 2","Priority 3")),IF(M318&gt;=$E$3,"Priority 2","Priority 3")))</f>
        <v>Excluded – IV only</v>
      </c>
      <c r="R318" s="16" t="s">
        <v>250</v>
      </c>
      <c r="S318" s="15" t="s">
        <v>1362</v>
      </c>
      <c r="T318" s="32" t="s">
        <v>882</v>
      </c>
      <c r="U318" s="33" t="str">
        <f aca="false">B318&amp;"|"&amp;S318</f>
        <v>Rocuronium|Torrent Pharmaceuticals</v>
      </c>
      <c r="V318" s="34" t="n">
        <f aca="false">COUNTIFS('Shortlisted Drugs X Company (7)'!$C$3:$C$698,$B318,'Shortlisted Drugs X Company (7)'!$E$3:$E$698,$S318,'Shortlisted Drugs X Company (7)'!$N$3:$N$698,"&gt;=0")</f>
        <v>1</v>
      </c>
      <c r="W318" s="34" t="n">
        <f aca="false">COUNTIFS('Shortlisted Drugs X Company (7)'!$C$3:$C$698,$B318,'Shortlisted Drugs X Company (7)'!$E$3:$E$698,$S318,'Shortlisted Drugs X Company (7)'!$N$3:$N$698,"&gt;5")</f>
        <v>1</v>
      </c>
      <c r="X318" s="34" t="n">
        <f aca="false">COUNTIFS('Shortlisted Drugs X Company (7)'!$C$3:$C$698,$B318,'Shortlisted Drugs X Company (7)'!$E$3:$E$698,$S318,'Shortlisted Drugs X Company (7)'!$P$3:$P$698,"Exact")+COUNTIFS('Shortlisted Drugs X Company (7)'!$C$3:$C$698,$B318,'Shortlisted Drugs X Company (7)'!$E$3:$E$698,$S318,'Shortlisted Drugs X Company (7)'!$P$3:$P$698,"Same-market proxy")</f>
        <v>1</v>
      </c>
      <c r="Y318" s="33" t="str">
        <f aca="false">A318&amp;"|"&amp;P318</f>
        <v>Torrent|</v>
      </c>
      <c r="Z318" s="16" t="s">
        <v>847</v>
      </c>
      <c r="AA318" s="33" t="n">
        <f aca="false">INDEX($G$7:$G$25,MATCH(A318,$A$7:$A$25,0))</f>
        <v>13</v>
      </c>
      <c r="AB318" s="33" t="str">
        <f aca="false">IF(AE318="No","",AA318*1000+IF(P318="",900+COUNTIFS($A$29:A318,A318,$O$29:O318,"Price ≤ $5"),P318))</f>
        <v/>
      </c>
      <c r="AC318" s="33" t="str">
        <f aca="false">IF(O318&lt;&gt;"","",(4-VALUE(RIGHT(Q318,1)))*10^7+N(F318))</f>
        <v/>
      </c>
      <c r="AD318" s="15" t="str">
        <f aca="false">IFERROR(INDEX('Route of Administration'!$C$5:$C$155,MATCH(B318,'Route of Administration'!$A$5:$A$155,0)),"")</f>
        <v>IV</v>
      </c>
      <c r="AE318" s="14" t="str">
        <f aca="false">IFERROR(INDEX('Route of Administration'!$D$5:$D$155,MATCH(B318,'Route of Administration'!$A$5:$A$155,0)),"")</f>
        <v>No</v>
      </c>
      <c r="AF318" s="19" t="n">
        <f aca="false">IF(V318&gt;0,ROUND(AVERAGEIFS('Shortlisted Drugs X Company (7)'!$N$3:$N$698,'Shortlisted Drugs X Company (7)'!$C$3:$C$698,$B318,'Shortlisted Drugs X Company (7)'!$E$3:$E$698,$S318,'Shortlisted Drugs X Company (7)'!$N$3:$N$698,"&gt;=0"),2),"")</f>
        <v>7.72</v>
      </c>
      <c r="AG318" s="16" t="s">
        <v>1376</v>
      </c>
      <c r="AH318" s="16" t="s">
        <v>328</v>
      </c>
      <c r="AI318" s="16" t="s">
        <v>328</v>
      </c>
      <c r="AJ318" s="16" t="str">
        <f aca="false">IF(O318&lt;&gt;"","",IF(ISNUMBER(D318),IF(D318&gt;=$C$3,"High price","Lower price"),"Unpriced")&amp;" · "&amp;IF(M318&gt;=$E$3,"high volume","lower volume"))</f>
        <v/>
      </c>
      <c r="AK318" s="15" t="str">
        <f aca="false">IF(O318&lt;&gt;"",IF(O318="Price ≤ $5","Excluded – price ≤ $5","Excluded – IV only"),IF(ISNUMBER(D318),IF(AND(D318&gt;=$C$3,L318&gt;=$H$3),"Priority 1",IF(OR(D318&gt;=$C$3,L318&gt;=$H$3),"Priority 2","Priority 3")),IF(L318&gt;=$H$3,"Priority 2","Priority 3")))</f>
        <v>Excluded – IV only</v>
      </c>
      <c r="AL318" s="16" t="str">
        <f aca="false">IF(O318&lt;&gt;"","",IF(ISNUMBER(D318),IF(D318&gt;=$C$3,"High price","Lower price"),"Unpriced")&amp;" · "&amp;IF(L318&gt;=$H$3,"high volume","lower volume"))</f>
        <v/>
      </c>
      <c r="AM318" s="14" t="str">
        <f aca="false">IF(O318&lt;&gt;"","",COUNTIFS($A$29:$A$361,A318,$O$29:$O$361,"",$AQ$29:$AQ$361,"&gt;"&amp;AQ318)+COUNTIFS($A$29:A318,A318,$O$29:O318,"",$AQ$29:AQ318,AQ318))</f>
        <v/>
      </c>
      <c r="AN318" s="33" t="str">
        <f aca="false">IF(AND(O318="",ISNUMBER(D318)),D318,"")</f>
        <v/>
      </c>
      <c r="AO318" s="33" t="str">
        <f aca="false">IF(O318="",M318,"")</f>
        <v/>
      </c>
      <c r="AP318" s="33" t="str">
        <f aca="false">IF(O318="",L318,"")</f>
        <v/>
      </c>
      <c r="AQ318" s="33" t="str">
        <f aca="false">IF(O318&lt;&gt;"","",(4-VALUE(RIGHT(AK318,1)))*10^7+N(N318))</f>
        <v/>
      </c>
      <c r="AR318" s="33" t="n">
        <f aca="false">INDEX($O$7:$O$25,MATCH(A318,$I$7:$I$25,0))</f>
        <v>18</v>
      </c>
      <c r="AS318" s="33" t="str">
        <f aca="false">IF(AE318="No","",AR318*1000+IF(AM318="",900+COUNTIFS($A$29:A318,A318,$O$29:O318,"Price ≤ $5"),AM318))</f>
        <v/>
      </c>
    </row>
    <row r="319" customFormat="false" ht="41.75" hidden="false" customHeight="false" outlineLevel="0" collapsed="false">
      <c r="A319" s="15" t="s">
        <v>200</v>
      </c>
      <c r="B319" s="15" t="s">
        <v>1377</v>
      </c>
      <c r="C319" s="16" t="s">
        <v>1378</v>
      </c>
      <c r="D319" s="17" t="n">
        <f aca="false">IF(W319&gt;0,ROUND(AVERAGEIFS('Shortlisted Drugs X Company (7)'!$N$3:$N$698,'Shortlisted Drugs X Company (7)'!$C$3:$C$698,$B319,'Shortlisted Drugs X Company (7)'!$E$3:$E$698,$S319,'Shortlisted Drugs X Company (7)'!$N$3:$N$698,"&gt;5"),2),"")</f>
        <v>10.96</v>
      </c>
      <c r="E319" s="15" t="str">
        <f aca="false">IF(COUNTIFS('Shortlisted Drugs X Company (7)'!$C$3:$C$698,$B319,'Shortlisted Drugs X Company (7)'!$E$3:$E$698,$S319,'Shortlisted Drugs X Company (7)'!$P$3:$P$698,"Exact")&gt;0,"Exact",IF(COUNTIFS('Shortlisted Drugs X Company (7)'!$C$3:$C$698,$B319,'Shortlisted Drugs X Company (7)'!$E$3:$E$698,$S319,'Shortlisted Drugs X Company (7)'!$P$3:$P$698,"Same-market proxy")&gt;0,"Same-market proxy",IF(COUNTIFS('Shortlisted Drugs X Company (7)'!$C$3:$C$698,$B319,'Shortlisted Drugs X Company (7)'!$E$3:$E$698,$S319,'Shortlisted Drugs X Company (7)'!$P$3:$P$698,"Cross-market proxy")&gt;0,"Cross-market proxy",IF(COUNTIFS('Shortlisted Drugs X Company (7)'!$C$3:$C$698,$B319,'Shortlisted Drugs X Company (7)'!$E$3:$E$698,$S319,'Shortlisted Drugs X Company (7)'!$P$3:$P$698,"Source not found")&gt;0,"Source not found","Not priced"))))</f>
        <v>Cross-market proxy</v>
      </c>
      <c r="F319" s="18" t="n">
        <f aca="false">IFERROR(ROUND(INDEX('Injectable Value'!$AA$28:$AA$178,MATCH(B319,'Injectable Value'!$A$28:$A$178,0)),1),"")</f>
        <v>7260.1</v>
      </c>
      <c r="G319" s="16" t="s">
        <v>418</v>
      </c>
      <c r="H319" s="14" t="n">
        <v>1</v>
      </c>
      <c r="I319" s="15" t="s">
        <v>277</v>
      </c>
      <c r="J319" s="15" t="s">
        <v>277</v>
      </c>
      <c r="K319" s="16" t="str">
        <f aca="false">""&amp;IF(V319=0,"Unpriced","")&amp;IF(AND(V319&gt;0,W319=0,X319=0),"Low price from another market – confirm with company","")</f>
        <v/>
      </c>
      <c r="L319" s="18" t="n">
        <f aca="false">IFERROR(INDEX('Shortlisted Drugs X Company (7)'!$K$3:$K$698,MATCH(B319,'Shortlisted Drugs X Company (7)'!$C$3:$C$698,0)),"")</f>
        <v>565</v>
      </c>
      <c r="M319" s="18" t="n">
        <f aca="false">IFERROR(ROUND(L319*INDEX('Injectable Value'!$Z$28:$Z$178,MATCH(B319,'Injectable Value'!$A$28:$A$178,0)),0),"")</f>
        <v>237</v>
      </c>
      <c r="N319" s="18" t="n">
        <f aca="false">IFERROR(INDEX('Shortlisted Drugs X Company (7)'!$L$3:$L$698,MATCH(B319,'Shortlisted Drugs X Company (7)'!$C$3:$C$698,0)),"")</f>
        <v>17324.19</v>
      </c>
      <c r="O319" s="15" t="str">
        <f aca="false">IF(AE319="No","IV only (not ID/IM/SC)",IF(AND(V319&gt;0,W319=0),"Price ≤ $5",""))</f>
        <v>IV only (not ID/IM/SC)</v>
      </c>
      <c r="P319" s="14" t="str">
        <f aca="false">IF(O319&lt;&gt;"","",COUNTIFS($A$29:$A$361,A319,$O$29:$O$361,"",$AC$29:$AC$361,"&gt;"&amp;AC319)+COUNTIFS($A$29:A319,A319,$O$29:O319,"",$AC$29:AC319,AC319))</f>
        <v/>
      </c>
      <c r="Q319" s="15" t="str">
        <f aca="false">IF(O319&lt;&gt;"",IF(O319="Price ≤ $5","Excluded – price ≤ $5","Excluded – IV only"),IF(ISNUMBER(D319),IF(AND(D319&gt;=$C$3,M319&gt;=$E$3),"Priority 1",IF(OR(D319&gt;=$C$3,M319&gt;=$E$3),"Priority 2","Priority 3")),IF(M319&gt;=$E$3,"Priority 2","Priority 3")))</f>
        <v>Excluded – IV only</v>
      </c>
      <c r="R319" s="16" t="s">
        <v>278</v>
      </c>
      <c r="S319" s="15" t="s">
        <v>1362</v>
      </c>
      <c r="T319" s="32" t="s">
        <v>1379</v>
      </c>
      <c r="U319" s="33" t="str">
        <f aca="false">B319&amp;"|"&amp;S319</f>
        <v>Voriconazole|Torrent Pharmaceuticals</v>
      </c>
      <c r="V319" s="34" t="n">
        <f aca="false">COUNTIFS('Shortlisted Drugs X Company (7)'!$C$3:$C$698,$B319,'Shortlisted Drugs X Company (7)'!$E$3:$E$698,$S319,'Shortlisted Drugs X Company (7)'!$N$3:$N$698,"&gt;=0")</f>
        <v>1</v>
      </c>
      <c r="W319" s="34" t="n">
        <f aca="false">COUNTIFS('Shortlisted Drugs X Company (7)'!$C$3:$C$698,$B319,'Shortlisted Drugs X Company (7)'!$E$3:$E$698,$S319,'Shortlisted Drugs X Company (7)'!$N$3:$N$698,"&gt;5")</f>
        <v>1</v>
      </c>
      <c r="X319" s="34" t="n">
        <f aca="false">COUNTIFS('Shortlisted Drugs X Company (7)'!$C$3:$C$698,$B319,'Shortlisted Drugs X Company (7)'!$E$3:$E$698,$S319,'Shortlisted Drugs X Company (7)'!$P$3:$P$698,"Exact")+COUNTIFS('Shortlisted Drugs X Company (7)'!$C$3:$C$698,$B319,'Shortlisted Drugs X Company (7)'!$E$3:$E$698,$S319,'Shortlisted Drugs X Company (7)'!$P$3:$P$698,"Same-market proxy")</f>
        <v>0</v>
      </c>
      <c r="Y319" s="33" t="str">
        <f aca="false">A319&amp;"|"&amp;P319</f>
        <v>Torrent|</v>
      </c>
      <c r="Z319" s="16" t="s">
        <v>277</v>
      </c>
      <c r="AA319" s="33" t="n">
        <f aca="false">INDEX($G$7:$G$25,MATCH(A319,$A$7:$A$25,0))</f>
        <v>13</v>
      </c>
      <c r="AB319" s="33" t="str">
        <f aca="false">IF(AE319="No","",AA319*1000+IF(P319="",900+COUNTIFS($A$29:A319,A319,$O$29:O319,"Price ≤ $5"),P319))</f>
        <v/>
      </c>
      <c r="AC319" s="33" t="str">
        <f aca="false">IF(O319&lt;&gt;"","",(4-VALUE(RIGHT(Q319,1)))*10^7+N(F319))</f>
        <v/>
      </c>
      <c r="AD319" s="15" t="str">
        <f aca="false">IFERROR(INDEX('Route of Administration'!$C$5:$C$155,MATCH(B319,'Route of Administration'!$A$5:$A$155,0)),"")</f>
        <v>IV</v>
      </c>
      <c r="AE319" s="14" t="str">
        <f aca="false">IFERROR(INDEX('Route of Administration'!$D$5:$D$155,MATCH(B319,'Route of Administration'!$A$5:$A$155,0)),"")</f>
        <v>No</v>
      </c>
      <c r="AF319" s="19" t="n">
        <f aca="false">IF(V319&gt;0,ROUND(AVERAGEIFS('Shortlisted Drugs X Company (7)'!$N$3:$N$698,'Shortlisted Drugs X Company (7)'!$C$3:$C$698,$B319,'Shortlisted Drugs X Company (7)'!$E$3:$E$698,$S319,'Shortlisted Drugs X Company (7)'!$N$3:$N$698,"&gt;=0"),2),"")</f>
        <v>10.96</v>
      </c>
      <c r="AG319" s="16" t="s">
        <v>1380</v>
      </c>
      <c r="AH319" s="16" t="s">
        <v>422</v>
      </c>
      <c r="AI319" s="16" t="s">
        <v>422</v>
      </c>
      <c r="AJ319" s="16" t="str">
        <f aca="false">IF(O319&lt;&gt;"","",IF(ISNUMBER(D319),IF(D319&gt;=$C$3,"High price","Lower price"),"Unpriced")&amp;" · "&amp;IF(M319&gt;=$E$3,"high volume","lower volume"))</f>
        <v/>
      </c>
      <c r="AK319" s="15" t="str">
        <f aca="false">IF(O319&lt;&gt;"",IF(O319="Price ≤ $5","Excluded – price ≤ $5","Excluded – IV only"),IF(ISNUMBER(D319),IF(AND(D319&gt;=$C$3,L319&gt;=$H$3),"Priority 1",IF(OR(D319&gt;=$C$3,L319&gt;=$H$3),"Priority 2","Priority 3")),IF(L319&gt;=$H$3,"Priority 2","Priority 3")))</f>
        <v>Excluded – IV only</v>
      </c>
      <c r="AL319" s="16" t="str">
        <f aca="false">IF(O319&lt;&gt;"","",IF(ISNUMBER(D319),IF(D319&gt;=$C$3,"High price","Lower price"),"Unpriced")&amp;" · "&amp;IF(L319&gt;=$H$3,"high volume","lower volume"))</f>
        <v/>
      </c>
      <c r="AM319" s="14" t="str">
        <f aca="false">IF(O319&lt;&gt;"","",COUNTIFS($A$29:$A$361,A319,$O$29:$O$361,"",$AQ$29:$AQ$361,"&gt;"&amp;AQ319)+COUNTIFS($A$29:A319,A319,$O$29:O319,"",$AQ$29:AQ319,AQ319))</f>
        <v/>
      </c>
      <c r="AN319" s="33" t="str">
        <f aca="false">IF(AND(O319="",ISNUMBER(D319)),D319,"")</f>
        <v/>
      </c>
      <c r="AO319" s="33" t="str">
        <f aca="false">IF(O319="",M319,"")</f>
        <v/>
      </c>
      <c r="AP319" s="33" t="str">
        <f aca="false">IF(O319="",L319,"")</f>
        <v/>
      </c>
      <c r="AQ319" s="33" t="str">
        <f aca="false">IF(O319&lt;&gt;"","",(4-VALUE(RIGHT(AK319,1)))*10^7+N(N319))</f>
        <v/>
      </c>
      <c r="AR319" s="33" t="n">
        <f aca="false">INDEX($O$7:$O$25,MATCH(A319,$I$7:$I$25,0))</f>
        <v>18</v>
      </c>
      <c r="AS319" s="33" t="str">
        <f aca="false">IF(AE319="No","",AR319*1000+IF(AM319="",900+COUNTIFS($A$29:A319,A319,$O$29:O319,"Price ≤ $5"),AM319))</f>
        <v/>
      </c>
    </row>
    <row r="320" customFormat="false" ht="41.75" hidden="false" customHeight="false" outlineLevel="0" collapsed="false">
      <c r="A320" s="15" t="s">
        <v>201</v>
      </c>
      <c r="B320" s="15" t="s">
        <v>584</v>
      </c>
      <c r="C320" s="16" t="s">
        <v>585</v>
      </c>
      <c r="D320" s="17" t="n">
        <f aca="false">IF(W320&gt;0,ROUND(AVERAGEIFS('Shortlisted Drugs X Company (7)'!$N$3:$N$698,'Shortlisted Drugs X Company (7)'!$C$3:$C$698,$B320,'Shortlisted Drugs X Company (7)'!$E$3:$E$698,$S320,'Shortlisted Drugs X Company (7)'!$N$3:$N$698,"&gt;5"),2),"")</f>
        <v>81.96</v>
      </c>
      <c r="E320" s="15" t="str">
        <f aca="false">IF(COUNTIFS('Shortlisted Drugs X Company (7)'!$C$3:$C$698,$B320,'Shortlisted Drugs X Company (7)'!$E$3:$E$698,$S320,'Shortlisted Drugs X Company (7)'!$P$3:$P$698,"Exact")&gt;0,"Exact",IF(COUNTIFS('Shortlisted Drugs X Company (7)'!$C$3:$C$698,$B320,'Shortlisted Drugs X Company (7)'!$E$3:$E$698,$S320,'Shortlisted Drugs X Company (7)'!$P$3:$P$698,"Same-market proxy")&gt;0,"Same-market proxy",IF(COUNTIFS('Shortlisted Drugs X Company (7)'!$C$3:$C$698,$B320,'Shortlisted Drugs X Company (7)'!$E$3:$E$698,$S320,'Shortlisted Drugs X Company (7)'!$P$3:$P$698,"Cross-market proxy")&gt;0,"Cross-market proxy",IF(COUNTIFS('Shortlisted Drugs X Company (7)'!$C$3:$C$698,$B320,'Shortlisted Drugs X Company (7)'!$E$3:$E$698,$S320,'Shortlisted Drugs X Company (7)'!$P$3:$P$698,"Source not found")&gt;0,"Source not found","Not priced"))))</f>
        <v>Same-market proxy</v>
      </c>
      <c r="F320" s="18" t="n">
        <f aca="false">IFERROR(ROUND(INDEX('Injectable Value'!$AA$28:$AA$178,MATCH(B320,'Injectable Value'!$A$28:$A$178,0)),1),"")</f>
        <v>3973.7</v>
      </c>
      <c r="G320" s="16" t="s">
        <v>1112</v>
      </c>
      <c r="H320" s="14" t="n">
        <v>1</v>
      </c>
      <c r="I320" s="15" t="s">
        <v>248</v>
      </c>
      <c r="J320" s="15" t="s">
        <v>299</v>
      </c>
      <c r="K320" s="16" t="str">
        <f aca="false">"Cancer drug (cytotoxic) – less relevant; Reconstitution"&amp;IF(V320=0,"; Unpriced","")&amp;IF(AND(V320&gt;0,W320=0,X320=0),"; Low price from another market – confirm with company","")</f>
        <v>Cancer drug (cytotoxic) – less relevant; Reconstitution</v>
      </c>
      <c r="L320" s="18" t="n">
        <f aca="false">IFERROR(INDEX('Shortlisted Drugs X Company (7)'!$K$3:$K$698,MATCH(B320,'Shortlisted Drugs X Company (7)'!$C$3:$C$698,0)),"")</f>
        <v>441</v>
      </c>
      <c r="M320" s="18" t="n">
        <f aca="false">IFERROR(ROUND(L320*INDEX('Injectable Value'!$Z$28:$Z$178,MATCH(B320,'Injectable Value'!$A$28:$A$178,0)),0),"")</f>
        <v>441</v>
      </c>
      <c r="N320" s="18" t="n">
        <f aca="false">IFERROR(INDEX('Shortlisted Drugs X Company (7)'!$L$3:$L$698,MATCH(B320,'Shortlisted Drugs X Company (7)'!$C$3:$C$698,0)),"")</f>
        <v>3973.65</v>
      </c>
      <c r="O320" s="15" t="str">
        <f aca="false">IF(AE320="No","IV only (not ID/IM/SC)",IF(AND(V320&gt;0,W320=0),"Price ≤ $5",""))</f>
        <v/>
      </c>
      <c r="P320" s="14" t="n">
        <f aca="false">IF(O320&lt;&gt;"","",COUNTIFS($A$29:$A$361,A320,$O$29:$O$361,"",$AC$29:$AC$361,"&gt;"&amp;AC320)+COUNTIFS($A$29:A320,A320,$O$29:O320,"",$AC$29:AC320,AC320))</f>
        <v>3</v>
      </c>
      <c r="Q320" s="15" t="str">
        <f aca="false">IF(O320&lt;&gt;"",IF(O320="Price ≤ $5","Excluded – price ≤ $5","Excluded – IV only"),IF(ISNUMBER(D320),IF(AND(D320&gt;=$C$3,M320&gt;=$E$3),"Priority 1",IF(OR(D320&gt;=$C$3,M320&gt;=$E$3),"Priority 2","Priority 3")),IF(M320&gt;=$E$3,"Priority 2","Priority 3")))</f>
        <v>Priority 1</v>
      </c>
      <c r="R320" s="16" t="s">
        <v>250</v>
      </c>
      <c r="S320" s="15" t="s">
        <v>201</v>
      </c>
      <c r="T320" s="32" t="s">
        <v>586</v>
      </c>
      <c r="U320" s="33" t="str">
        <f aca="false">B320&amp;"|"&amp;S320</f>
        <v>Bleomycin|Venus Remedies</v>
      </c>
      <c r="V320" s="34" t="n">
        <f aca="false">COUNTIFS('Shortlisted Drugs X Company (7)'!$C$3:$C$698,$B320,'Shortlisted Drugs X Company (7)'!$E$3:$E$698,$S320,'Shortlisted Drugs X Company (7)'!$N$3:$N$698,"&gt;=0")</f>
        <v>1</v>
      </c>
      <c r="W320" s="34" t="n">
        <f aca="false">COUNTIFS('Shortlisted Drugs X Company (7)'!$C$3:$C$698,$B320,'Shortlisted Drugs X Company (7)'!$E$3:$E$698,$S320,'Shortlisted Drugs X Company (7)'!$N$3:$N$698,"&gt;5")</f>
        <v>1</v>
      </c>
      <c r="X320" s="34" t="n">
        <f aca="false">COUNTIFS('Shortlisted Drugs X Company (7)'!$C$3:$C$698,$B320,'Shortlisted Drugs X Company (7)'!$E$3:$E$698,$S320,'Shortlisted Drugs X Company (7)'!$P$3:$P$698,"Exact")+COUNTIFS('Shortlisted Drugs X Company (7)'!$C$3:$C$698,$B320,'Shortlisted Drugs X Company (7)'!$E$3:$E$698,$S320,'Shortlisted Drugs X Company (7)'!$P$3:$P$698,"Same-market proxy")</f>
        <v>1</v>
      </c>
      <c r="Y320" s="33" t="str">
        <f aca="false">A320&amp;"|"&amp;P320</f>
        <v>Venus Remedies|3</v>
      </c>
      <c r="Z320" s="16" t="s">
        <v>925</v>
      </c>
      <c r="AA320" s="33" t="n">
        <f aca="false">INDEX($G$7:$G$25,MATCH(A320,$A$7:$A$25,0))</f>
        <v>6</v>
      </c>
      <c r="AB320" s="33" t="n">
        <f aca="false">IF(AE320="No","",AA320*1000+IF(P320="",900+COUNTIFS($A$29:A320,A320,$O$29:O320,"Price ≤ $5"),P320))</f>
        <v>6003</v>
      </c>
      <c r="AC320" s="33" t="n">
        <f aca="false">IF(O320&lt;&gt;"","",(4-VALUE(RIGHT(Q320,1)))*10^7+N(F320))</f>
        <v>30003973.7</v>
      </c>
      <c r="AD320" s="15" t="str">
        <f aca="false">IFERROR(INDEX('Route of Administration'!$C$5:$C$155,MATCH(B320,'Route of Administration'!$A$5:$A$155,0)),"")</f>
        <v>IV, IM, SC</v>
      </c>
      <c r="AE320" s="14" t="str">
        <f aca="false">IFERROR(INDEX('Route of Administration'!$D$5:$D$155,MATCH(B320,'Route of Administration'!$A$5:$A$155,0)),"")</f>
        <v>Yes</v>
      </c>
      <c r="AF320" s="19" t="n">
        <f aca="false">IF(V320&gt;0,ROUND(AVERAGEIFS('Shortlisted Drugs X Company (7)'!$N$3:$N$698,'Shortlisted Drugs X Company (7)'!$C$3:$C$698,$B320,'Shortlisted Drugs X Company (7)'!$E$3:$E$698,$S320,'Shortlisted Drugs X Company (7)'!$N$3:$N$698,"&gt;=0"),2),"")</f>
        <v>81.96</v>
      </c>
      <c r="AG320" s="16" t="s">
        <v>1381</v>
      </c>
      <c r="AH320" s="16" t="s">
        <v>1112</v>
      </c>
      <c r="AI320" s="16" t="s">
        <v>1112</v>
      </c>
      <c r="AJ320" s="16" t="str">
        <f aca="false">IF(O320&lt;&gt;"","",IF(ISNUMBER(D320),IF(D320&gt;=$C$3,"High price","Lower price"),"Unpriced")&amp;" · "&amp;IF(M320&gt;=$E$3,"high volume","lower volume"))</f>
        <v>High price · high volume</v>
      </c>
      <c r="AK320" s="15" t="str">
        <f aca="false">IF(O320&lt;&gt;"",IF(O320="Price ≤ $5","Excluded – price ≤ $5","Excluded – IV only"),IF(ISNUMBER(D320),IF(AND(D320&gt;=$C$3,L320&gt;=$H$3),"Priority 1",IF(OR(D320&gt;=$C$3,L320&gt;=$H$3),"Priority 2","Priority 3")),IF(L320&gt;=$H$3,"Priority 2","Priority 3")))</f>
        <v>Priority 1</v>
      </c>
      <c r="AL320" s="16" t="str">
        <f aca="false">IF(O320&lt;&gt;"","",IF(ISNUMBER(D320),IF(D320&gt;=$C$3,"High price","Lower price"),"Unpriced")&amp;" · "&amp;IF(L320&gt;=$H$3,"high volume","lower volume"))</f>
        <v>High price · high volume</v>
      </c>
      <c r="AM320" s="14" t="n">
        <f aca="false">IF(O320&lt;&gt;"","",COUNTIFS($A$29:$A$361,A320,$O$29:$O$361,"",$AQ$29:$AQ$361,"&gt;"&amp;AQ320)+COUNTIFS($A$29:A320,A320,$O$29:O320,"",$AQ$29:AQ320,AQ320))</f>
        <v>3</v>
      </c>
      <c r="AN320" s="19" t="n">
        <f aca="false">IF(AND(O320="",ISNUMBER(D320)),D320,"")</f>
        <v>81.96</v>
      </c>
      <c r="AO320" s="20" t="n">
        <f aca="false">IF(O320="",M320,"")</f>
        <v>441</v>
      </c>
      <c r="AP320" s="20" t="n">
        <f aca="false">IF(O320="",L320,"")</f>
        <v>441</v>
      </c>
      <c r="AQ320" s="33" t="n">
        <f aca="false">IF(O320&lt;&gt;"","",(4-VALUE(RIGHT(AK320,1)))*10^7+N(N320))</f>
        <v>30003973.65</v>
      </c>
      <c r="AR320" s="33" t="n">
        <f aca="false">INDEX($O$7:$O$25,MATCH(A320,$I$7:$I$25,0))</f>
        <v>5</v>
      </c>
      <c r="AS320" s="33" t="n">
        <f aca="false">IF(AE320="No","",AR320*1000+IF(AM320="",900+COUNTIFS($A$29:A320,A320,$O$29:O320,"Price ≤ $5"),AM320))</f>
        <v>5003</v>
      </c>
    </row>
    <row r="321" customFormat="false" ht="41.75" hidden="false" customHeight="false" outlineLevel="0" collapsed="false">
      <c r="A321" s="15" t="s">
        <v>201</v>
      </c>
      <c r="B321" s="15" t="s">
        <v>329</v>
      </c>
      <c r="C321" s="16" t="s">
        <v>330</v>
      </c>
      <c r="D321" s="17" t="n">
        <f aca="false">IF(W321&gt;0,ROUND(AVERAGEIFS('Shortlisted Drugs X Company (7)'!$N$3:$N$698,'Shortlisted Drugs X Company (7)'!$C$3:$C$698,$B321,'Shortlisted Drugs X Company (7)'!$E$3:$E$698,$S321,'Shortlisted Drugs X Company (7)'!$N$3:$N$698,"&gt;5"),2),"")</f>
        <v>34.58</v>
      </c>
      <c r="E321" s="15" t="str">
        <f aca="false">IF(COUNTIFS('Shortlisted Drugs X Company (7)'!$C$3:$C$698,$B321,'Shortlisted Drugs X Company (7)'!$E$3:$E$698,$S321,'Shortlisted Drugs X Company (7)'!$P$3:$P$698,"Exact")&gt;0,"Exact",IF(COUNTIFS('Shortlisted Drugs X Company (7)'!$C$3:$C$698,$B321,'Shortlisted Drugs X Company (7)'!$E$3:$E$698,$S321,'Shortlisted Drugs X Company (7)'!$P$3:$P$698,"Same-market proxy")&gt;0,"Same-market proxy",IF(COUNTIFS('Shortlisted Drugs X Company (7)'!$C$3:$C$698,$B321,'Shortlisted Drugs X Company (7)'!$E$3:$E$698,$S321,'Shortlisted Drugs X Company (7)'!$P$3:$P$698,"Cross-market proxy")&gt;0,"Cross-market proxy",IF(COUNTIFS('Shortlisted Drugs X Company (7)'!$C$3:$C$698,$B321,'Shortlisted Drugs X Company (7)'!$E$3:$E$698,$S321,'Shortlisted Drugs X Company (7)'!$P$3:$P$698,"Source not found")&gt;0,"Source not found","Not priced"))))</f>
        <v>Same-market proxy</v>
      </c>
      <c r="F321" s="18" t="n">
        <f aca="false">IFERROR(ROUND(INDEX('Injectable Value'!$AA$28:$AA$178,MATCH(B321,'Injectable Value'!$A$28:$A$178,0)),1),"")</f>
        <v>5713.6</v>
      </c>
      <c r="G321" s="16" t="s">
        <v>1112</v>
      </c>
      <c r="H321" s="14" t="n">
        <v>1</v>
      </c>
      <c r="I321" s="15" t="s">
        <v>248</v>
      </c>
      <c r="J321" s="15" t="s">
        <v>277</v>
      </c>
      <c r="K321" s="16" t="str">
        <f aca="false">""&amp;IF(V321=0,"Unpriced","")&amp;IF(AND(V321&gt;0,W321=0,X321=0),"Low price from another market – confirm with company","")</f>
        <v/>
      </c>
      <c r="L321" s="18" t="n">
        <f aca="false">IFERROR(INDEX('Shortlisted Drugs X Company (7)'!$K$3:$K$698,MATCH(B321,'Shortlisted Drugs X Company (7)'!$C$3:$C$698,0)),"")</f>
        <v>335</v>
      </c>
      <c r="M321" s="18" t="n">
        <f aca="false">IFERROR(ROUND(L321*INDEX('Injectable Value'!$Z$28:$Z$178,MATCH(B321,'Injectable Value'!$A$28:$A$178,0)),0),"")</f>
        <v>335</v>
      </c>
      <c r="N321" s="18" t="n">
        <f aca="false">IFERROR(INDEX('Shortlisted Drugs X Company (7)'!$L$3:$L$698,MATCH(B321,'Shortlisted Drugs X Company (7)'!$C$3:$C$698,0)),"")</f>
        <v>5713.56</v>
      </c>
      <c r="O321" s="15" t="str">
        <f aca="false">IF(AE321="No","IV only (not ID/IM/SC)",IF(AND(V321&gt;0,W321=0),"Price ≤ $5",""))</f>
        <v/>
      </c>
      <c r="P321" s="14" t="n">
        <f aca="false">IF(O321&lt;&gt;"","",COUNTIFS($A$29:$A$361,A321,$O$29:$O$361,"",$AC$29:$AC$361,"&gt;"&amp;AC321)+COUNTIFS($A$29:A321,A321,$O$29:O321,"",$AC$29:AC321,AC321))</f>
        <v>2</v>
      </c>
      <c r="Q321" s="15" t="str">
        <f aca="false">IF(O321&lt;&gt;"",IF(O321="Price ≤ $5","Excluded – price ≤ $5","Excluded – IV only"),IF(ISNUMBER(D321),IF(AND(D321&gt;=$C$3,M321&gt;=$E$3),"Priority 1",IF(OR(D321&gt;=$C$3,M321&gt;=$E$3),"Priority 2","Priority 3")),IF(M321&gt;=$E$3,"Priority 2","Priority 3")))</f>
        <v>Priority 1</v>
      </c>
      <c r="R321" s="16" t="s">
        <v>250</v>
      </c>
      <c r="S321" s="15" t="s">
        <v>201</v>
      </c>
      <c r="T321" s="32" t="s">
        <v>332</v>
      </c>
      <c r="U321" s="33" t="str">
        <f aca="false">B321&amp;"|"&amp;S321</f>
        <v>Ceftazidime|Venus Remedies</v>
      </c>
      <c r="V321" s="34" t="n">
        <f aca="false">COUNTIFS('Shortlisted Drugs X Company (7)'!$C$3:$C$698,$B321,'Shortlisted Drugs X Company (7)'!$E$3:$E$698,$S321,'Shortlisted Drugs X Company (7)'!$N$3:$N$698,"&gt;=0")</f>
        <v>1</v>
      </c>
      <c r="W321" s="34" t="n">
        <f aca="false">COUNTIFS('Shortlisted Drugs X Company (7)'!$C$3:$C$698,$B321,'Shortlisted Drugs X Company (7)'!$E$3:$E$698,$S321,'Shortlisted Drugs X Company (7)'!$N$3:$N$698,"&gt;5")</f>
        <v>1</v>
      </c>
      <c r="X321" s="34" t="n">
        <f aca="false">COUNTIFS('Shortlisted Drugs X Company (7)'!$C$3:$C$698,$B321,'Shortlisted Drugs X Company (7)'!$E$3:$E$698,$S321,'Shortlisted Drugs X Company (7)'!$P$3:$P$698,"Exact")+COUNTIFS('Shortlisted Drugs X Company (7)'!$C$3:$C$698,$B321,'Shortlisted Drugs X Company (7)'!$E$3:$E$698,$S321,'Shortlisted Drugs X Company (7)'!$P$3:$P$698,"Same-market proxy")</f>
        <v>1</v>
      </c>
      <c r="Y321" s="33" t="str">
        <f aca="false">A321&amp;"|"&amp;P321</f>
        <v>Venus Remedies|2</v>
      </c>
      <c r="Z321" s="16" t="s">
        <v>1382</v>
      </c>
      <c r="AA321" s="33" t="n">
        <f aca="false">INDEX($G$7:$G$25,MATCH(A321,$A$7:$A$25,0))</f>
        <v>6</v>
      </c>
      <c r="AB321" s="33" t="n">
        <f aca="false">IF(AE321="No","",AA321*1000+IF(P321="",900+COUNTIFS($A$29:A321,A321,$O$29:O321,"Price ≤ $5"),P321))</f>
        <v>6002</v>
      </c>
      <c r="AC321" s="33" t="n">
        <f aca="false">IF(O321&lt;&gt;"","",(4-VALUE(RIGHT(Q321,1)))*10^7+N(F321))</f>
        <v>30005713.6</v>
      </c>
      <c r="AD321" s="15" t="str">
        <f aca="false">IFERROR(INDEX('Route of Administration'!$C$5:$C$155,MATCH(B321,'Route of Administration'!$A$5:$A$155,0)),"")</f>
        <v>IV, IM</v>
      </c>
      <c r="AE321" s="14" t="str">
        <f aca="false">IFERROR(INDEX('Route of Administration'!$D$5:$D$155,MATCH(B321,'Route of Administration'!$A$5:$A$155,0)),"")</f>
        <v>Yes</v>
      </c>
      <c r="AF321" s="19" t="n">
        <f aca="false">IF(V321&gt;0,ROUND(AVERAGEIFS('Shortlisted Drugs X Company (7)'!$N$3:$N$698,'Shortlisted Drugs X Company (7)'!$C$3:$C$698,$B321,'Shortlisted Drugs X Company (7)'!$E$3:$E$698,$S321,'Shortlisted Drugs X Company (7)'!$N$3:$N$698,"&gt;=0"),2),"")</f>
        <v>34.58</v>
      </c>
      <c r="AG321" s="16" t="s">
        <v>1383</v>
      </c>
      <c r="AH321" s="16" t="s">
        <v>1112</v>
      </c>
      <c r="AI321" s="16" t="s">
        <v>1112</v>
      </c>
      <c r="AJ321" s="16" t="str">
        <f aca="false">IF(O321&lt;&gt;"","",IF(ISNUMBER(D321),IF(D321&gt;=$C$3,"High price","Lower price"),"Unpriced")&amp;" · "&amp;IF(M321&gt;=$E$3,"high volume","lower volume"))</f>
        <v>High price · high volume</v>
      </c>
      <c r="AK321" s="15" t="str">
        <f aca="false">IF(O321&lt;&gt;"",IF(O321="Price ≤ $5","Excluded – price ≤ $5","Excluded – IV only"),IF(ISNUMBER(D321),IF(AND(D321&gt;=$C$3,L321&gt;=$H$3),"Priority 1",IF(OR(D321&gt;=$C$3,L321&gt;=$H$3),"Priority 2","Priority 3")),IF(L321&gt;=$H$3,"Priority 2","Priority 3")))</f>
        <v>Priority 1</v>
      </c>
      <c r="AL321" s="16" t="str">
        <f aca="false">IF(O321&lt;&gt;"","",IF(ISNUMBER(D321),IF(D321&gt;=$C$3,"High price","Lower price"),"Unpriced")&amp;" · "&amp;IF(L321&gt;=$H$3,"high volume","lower volume"))</f>
        <v>High price · high volume</v>
      </c>
      <c r="AM321" s="14" t="n">
        <f aca="false">IF(O321&lt;&gt;"","",COUNTIFS($A$29:$A$361,A321,$O$29:$O$361,"",$AQ$29:$AQ$361,"&gt;"&amp;AQ321)+COUNTIFS($A$29:A321,A321,$O$29:O321,"",$AQ$29:AQ321,AQ321))</f>
        <v>2</v>
      </c>
      <c r="AN321" s="19" t="n">
        <f aca="false">IF(AND(O321="",ISNUMBER(D321)),D321,"")</f>
        <v>34.58</v>
      </c>
      <c r="AO321" s="20" t="n">
        <f aca="false">IF(O321="",M321,"")</f>
        <v>335</v>
      </c>
      <c r="AP321" s="20" t="n">
        <f aca="false">IF(O321="",L321,"")</f>
        <v>335</v>
      </c>
      <c r="AQ321" s="33" t="n">
        <f aca="false">IF(O321&lt;&gt;"","",(4-VALUE(RIGHT(AK321,1)))*10^7+N(N321))</f>
        <v>30005713.56</v>
      </c>
      <c r="AR321" s="33" t="n">
        <f aca="false">INDEX($O$7:$O$25,MATCH(A321,$I$7:$I$25,0))</f>
        <v>5</v>
      </c>
      <c r="AS321" s="33" t="n">
        <f aca="false">IF(AE321="No","",AR321*1000+IF(AM321="",900+COUNTIFS($A$29:A321,A321,$O$29:O321,"Price ≤ $5"),AM321))</f>
        <v>5002</v>
      </c>
    </row>
    <row r="322" customFormat="false" ht="41.75" hidden="false" customHeight="false" outlineLevel="0" collapsed="false">
      <c r="A322" s="15" t="s">
        <v>201</v>
      </c>
      <c r="B322" s="15" t="s">
        <v>336</v>
      </c>
      <c r="C322" s="16" t="s">
        <v>337</v>
      </c>
      <c r="D322" s="17" t="n">
        <f aca="false">IF(W322&gt;0,ROUND(AVERAGEIFS('Shortlisted Drugs X Company (7)'!$N$3:$N$698,'Shortlisted Drugs X Company (7)'!$C$3:$C$698,$B322,'Shortlisted Drugs X Company (7)'!$E$3:$E$698,$S322,'Shortlisted Drugs X Company (7)'!$N$3:$N$698,"&gt;5"),2),"")</f>
        <v>25.36</v>
      </c>
      <c r="E322" s="15" t="str">
        <f aca="false">IF(COUNTIFS('Shortlisted Drugs X Company (7)'!$C$3:$C$698,$B322,'Shortlisted Drugs X Company (7)'!$E$3:$E$698,$S322,'Shortlisted Drugs X Company (7)'!$P$3:$P$698,"Exact")&gt;0,"Exact",IF(COUNTIFS('Shortlisted Drugs X Company (7)'!$C$3:$C$698,$B322,'Shortlisted Drugs X Company (7)'!$E$3:$E$698,$S322,'Shortlisted Drugs X Company (7)'!$P$3:$P$698,"Same-market proxy")&gt;0,"Same-market proxy",IF(COUNTIFS('Shortlisted Drugs X Company (7)'!$C$3:$C$698,$B322,'Shortlisted Drugs X Company (7)'!$E$3:$E$698,$S322,'Shortlisted Drugs X Company (7)'!$P$3:$P$698,"Cross-market proxy")&gt;0,"Cross-market proxy",IF(COUNTIFS('Shortlisted Drugs X Company (7)'!$C$3:$C$698,$B322,'Shortlisted Drugs X Company (7)'!$E$3:$E$698,$S322,'Shortlisted Drugs X Company (7)'!$P$3:$P$698,"Source not found")&gt;0,"Source not found","Not priced"))))</f>
        <v>Same-market proxy</v>
      </c>
      <c r="F322" s="18" t="n">
        <f aca="false">IFERROR(ROUND(INDEX('Injectable Value'!$AA$28:$AA$178,MATCH(B322,'Injectable Value'!$A$28:$A$178,0)),1),"")</f>
        <v>93119.2</v>
      </c>
      <c r="G322" s="16" t="s">
        <v>1112</v>
      </c>
      <c r="H322" s="14" t="n">
        <v>1</v>
      </c>
      <c r="I322" s="15" t="s">
        <v>248</v>
      </c>
      <c r="J322" s="15" t="s">
        <v>299</v>
      </c>
      <c r="K322" s="16" t="str">
        <f aca="false">"Reconstitution"&amp;IF(V322=0,"; Unpriced","")&amp;IF(AND(V322&gt;0,W322=0,X322=0),"; Low price from another market – confirm with company","")</f>
        <v>Reconstitution</v>
      </c>
      <c r="L322" s="18" t="n">
        <f aca="false">IFERROR(INDEX('Shortlisted Drugs X Company (7)'!$K$3:$K$698,MATCH(B322,'Shortlisted Drugs X Company (7)'!$C$3:$C$698,0)),"")</f>
        <v>3110</v>
      </c>
      <c r="M322" s="18" t="n">
        <f aca="false">IFERROR(ROUND(L322*INDEX('Injectable Value'!$Z$28:$Z$178,MATCH(B322,'Injectable Value'!$A$28:$A$178,0)),0),"")</f>
        <v>3110</v>
      </c>
      <c r="N322" s="18" t="n">
        <f aca="false">IFERROR(INDEX('Shortlisted Drugs X Company (7)'!$L$3:$L$698,MATCH(B322,'Shortlisted Drugs X Company (7)'!$C$3:$C$698,0)),"")</f>
        <v>93119.22</v>
      </c>
      <c r="O322" s="15" t="str">
        <f aca="false">IF(AE322="No","IV only (not ID/IM/SC)",IF(AND(V322&gt;0,W322=0),"Price ≤ $5",""))</f>
        <v/>
      </c>
      <c r="P322" s="14" t="n">
        <f aca="false">IF(O322&lt;&gt;"","",COUNTIFS($A$29:$A$361,A322,$O$29:$O$361,"",$AC$29:$AC$361,"&gt;"&amp;AC322)+COUNTIFS($A$29:A322,A322,$O$29:O322,"",$AC$29:AC322,AC322))</f>
        <v>1</v>
      </c>
      <c r="Q322" s="15" t="str">
        <f aca="false">IF(O322&lt;&gt;"",IF(O322="Price ≤ $5","Excluded – price ≤ $5","Excluded – IV only"),IF(ISNUMBER(D322),IF(AND(D322&gt;=$C$3,M322&gt;=$E$3),"Priority 1",IF(OR(D322&gt;=$C$3,M322&gt;=$E$3),"Priority 2","Priority 3")),IF(M322&gt;=$E$3,"Priority 2","Priority 3")))</f>
        <v>Priority 1</v>
      </c>
      <c r="R322" s="16" t="s">
        <v>250</v>
      </c>
      <c r="S322" s="15" t="s">
        <v>201</v>
      </c>
      <c r="T322" s="32" t="s">
        <v>340</v>
      </c>
      <c r="U322" s="33" t="str">
        <f aca="false">B322&amp;"|"&amp;S322</f>
        <v>Ceftriaxone|Venus Remedies</v>
      </c>
      <c r="V322" s="34" t="n">
        <f aca="false">COUNTIFS('Shortlisted Drugs X Company (7)'!$C$3:$C$698,$B322,'Shortlisted Drugs X Company (7)'!$E$3:$E$698,$S322,'Shortlisted Drugs X Company (7)'!$N$3:$N$698,"&gt;=0")</f>
        <v>1</v>
      </c>
      <c r="W322" s="34" t="n">
        <f aca="false">COUNTIFS('Shortlisted Drugs X Company (7)'!$C$3:$C$698,$B322,'Shortlisted Drugs X Company (7)'!$E$3:$E$698,$S322,'Shortlisted Drugs X Company (7)'!$N$3:$N$698,"&gt;5")</f>
        <v>1</v>
      </c>
      <c r="X322" s="34" t="n">
        <f aca="false">COUNTIFS('Shortlisted Drugs X Company (7)'!$C$3:$C$698,$B322,'Shortlisted Drugs X Company (7)'!$E$3:$E$698,$S322,'Shortlisted Drugs X Company (7)'!$P$3:$P$698,"Exact")+COUNTIFS('Shortlisted Drugs X Company (7)'!$C$3:$C$698,$B322,'Shortlisted Drugs X Company (7)'!$E$3:$E$698,$S322,'Shortlisted Drugs X Company (7)'!$P$3:$P$698,"Same-market proxy")</f>
        <v>1</v>
      </c>
      <c r="Y322" s="33" t="str">
        <f aca="false">A322&amp;"|"&amp;P322</f>
        <v>Venus Remedies|1</v>
      </c>
      <c r="Z322" s="16" t="s">
        <v>1384</v>
      </c>
      <c r="AA322" s="33" t="n">
        <f aca="false">INDEX($G$7:$G$25,MATCH(A322,$A$7:$A$25,0))</f>
        <v>6</v>
      </c>
      <c r="AB322" s="33" t="n">
        <f aca="false">IF(AE322="No","",AA322*1000+IF(P322="",900+COUNTIFS($A$29:A322,A322,$O$29:O322,"Price ≤ $5"),P322))</f>
        <v>6001</v>
      </c>
      <c r="AC322" s="33" t="n">
        <f aca="false">IF(O322&lt;&gt;"","",(4-VALUE(RIGHT(Q322,1)))*10^7+N(F322))</f>
        <v>30093119.2</v>
      </c>
      <c r="AD322" s="15" t="str">
        <f aca="false">IFERROR(INDEX('Route of Administration'!$C$5:$C$155,MATCH(B322,'Route of Administration'!$A$5:$A$155,0)),"")</f>
        <v>IV, IM</v>
      </c>
      <c r="AE322" s="14" t="str">
        <f aca="false">IFERROR(INDEX('Route of Administration'!$D$5:$D$155,MATCH(B322,'Route of Administration'!$A$5:$A$155,0)),"")</f>
        <v>Yes</v>
      </c>
      <c r="AF322" s="19" t="n">
        <f aca="false">IF(V322&gt;0,ROUND(AVERAGEIFS('Shortlisted Drugs X Company (7)'!$N$3:$N$698,'Shortlisted Drugs X Company (7)'!$C$3:$C$698,$B322,'Shortlisted Drugs X Company (7)'!$E$3:$E$698,$S322,'Shortlisted Drugs X Company (7)'!$N$3:$N$698,"&gt;=0"),2),"")</f>
        <v>25.36</v>
      </c>
      <c r="AG322" s="16" t="s">
        <v>336</v>
      </c>
      <c r="AH322" s="16" t="s">
        <v>1112</v>
      </c>
      <c r="AI322" s="16" t="s">
        <v>1112</v>
      </c>
      <c r="AJ322" s="16" t="str">
        <f aca="false">IF(O322&lt;&gt;"","",IF(ISNUMBER(D322),IF(D322&gt;=$C$3,"High price","Lower price"),"Unpriced")&amp;" · "&amp;IF(M322&gt;=$E$3,"high volume","lower volume"))</f>
        <v>High price · high volume</v>
      </c>
      <c r="AK322" s="15" t="str">
        <f aca="false">IF(O322&lt;&gt;"",IF(O322="Price ≤ $5","Excluded – price ≤ $5","Excluded – IV only"),IF(ISNUMBER(D322),IF(AND(D322&gt;=$C$3,L322&gt;=$H$3),"Priority 1",IF(OR(D322&gt;=$C$3,L322&gt;=$H$3),"Priority 2","Priority 3")),IF(L322&gt;=$H$3,"Priority 2","Priority 3")))</f>
        <v>Priority 1</v>
      </c>
      <c r="AL322" s="16" t="str">
        <f aca="false">IF(O322&lt;&gt;"","",IF(ISNUMBER(D322),IF(D322&gt;=$C$3,"High price","Lower price"),"Unpriced")&amp;" · "&amp;IF(L322&gt;=$H$3,"high volume","lower volume"))</f>
        <v>High price · high volume</v>
      </c>
      <c r="AM322" s="14" t="n">
        <f aca="false">IF(O322&lt;&gt;"","",COUNTIFS($A$29:$A$361,A322,$O$29:$O$361,"",$AQ$29:$AQ$361,"&gt;"&amp;AQ322)+COUNTIFS($A$29:A322,A322,$O$29:O322,"",$AQ$29:AQ322,AQ322))</f>
        <v>1</v>
      </c>
      <c r="AN322" s="19" t="n">
        <f aca="false">IF(AND(O322="",ISNUMBER(D322)),D322,"")</f>
        <v>25.36</v>
      </c>
      <c r="AO322" s="20" t="n">
        <f aca="false">IF(O322="",M322,"")</f>
        <v>3110</v>
      </c>
      <c r="AP322" s="20" t="n">
        <f aca="false">IF(O322="",L322,"")</f>
        <v>3110</v>
      </c>
      <c r="AQ322" s="33" t="n">
        <f aca="false">IF(O322&lt;&gt;"","",(4-VALUE(RIGHT(AK322,1)))*10^7+N(N322))</f>
        <v>30093119.22</v>
      </c>
      <c r="AR322" s="33" t="n">
        <f aca="false">INDEX($O$7:$O$25,MATCH(A322,$I$7:$I$25,0))</f>
        <v>5</v>
      </c>
      <c r="AS322" s="33" t="n">
        <f aca="false">IF(AE322="No","",AR322*1000+IF(AM322="",900+COUNTIFS($A$29:A322,A322,$O$29:O322,"Price ≤ $5"),AM322))</f>
        <v>5001</v>
      </c>
    </row>
    <row r="323" customFormat="false" ht="28.35" hidden="false" customHeight="false" outlineLevel="0" collapsed="false">
      <c r="A323" s="15" t="s">
        <v>201</v>
      </c>
      <c r="B323" s="15" t="s">
        <v>451</v>
      </c>
      <c r="C323" s="16" t="s">
        <v>452</v>
      </c>
      <c r="D323" s="17" t="n">
        <f aca="false">IF(W323&gt;0,ROUND(AVERAGEIFS('Shortlisted Drugs X Company (7)'!$N$3:$N$698,'Shortlisted Drugs X Company (7)'!$C$3:$C$698,$B323,'Shortlisted Drugs X Company (7)'!$E$3:$E$698,$S323,'Shortlisted Drugs X Company (7)'!$N$3:$N$698,"&gt;5"),2),"")</f>
        <v>11.71</v>
      </c>
      <c r="E323" s="15" t="str">
        <f aca="false">IF(COUNTIFS('Shortlisted Drugs X Company (7)'!$C$3:$C$698,$B323,'Shortlisted Drugs X Company (7)'!$E$3:$E$698,$S323,'Shortlisted Drugs X Company (7)'!$P$3:$P$698,"Exact")&gt;0,"Exact",IF(COUNTIFS('Shortlisted Drugs X Company (7)'!$C$3:$C$698,$B323,'Shortlisted Drugs X Company (7)'!$E$3:$E$698,$S323,'Shortlisted Drugs X Company (7)'!$P$3:$P$698,"Same-market proxy")&gt;0,"Same-market proxy",IF(COUNTIFS('Shortlisted Drugs X Company (7)'!$C$3:$C$698,$B323,'Shortlisted Drugs X Company (7)'!$E$3:$E$698,$S323,'Shortlisted Drugs X Company (7)'!$P$3:$P$698,"Cross-market proxy")&gt;0,"Cross-market proxy",IF(COUNTIFS('Shortlisted Drugs X Company (7)'!$C$3:$C$698,$B323,'Shortlisted Drugs X Company (7)'!$E$3:$E$698,$S323,'Shortlisted Drugs X Company (7)'!$P$3:$P$698,"Source not found")&gt;0,"Source not found","Not priced"))))</f>
        <v>Exact</v>
      </c>
      <c r="F323" s="18" t="n">
        <f aca="false">IFERROR(ROUND(INDEX('Injectable Value'!$AA$28:$AA$178,MATCH(B323,'Injectable Value'!$A$28:$A$178,0)),1),"")</f>
        <v>58920.4</v>
      </c>
      <c r="G323" s="16" t="s">
        <v>298</v>
      </c>
      <c r="H323" s="14" t="n">
        <v>10</v>
      </c>
      <c r="I323" s="15" t="s">
        <v>248</v>
      </c>
      <c r="J323" s="15" t="s">
        <v>299</v>
      </c>
      <c r="K323" s="16" t="str">
        <f aca="false">"Reconstitution"&amp;IF(V323=0,"; Unpriced","")&amp;IF(AND(V323&gt;0,W323=0,X323=0),"; Low price from another market – confirm with company","")</f>
        <v>Reconstitution</v>
      </c>
      <c r="L323" s="18" t="n">
        <f aca="false">IFERROR(INDEX('Shortlisted Drugs X Company (7)'!$K$3:$K$698,MATCH(B323,'Shortlisted Drugs X Company (7)'!$C$3:$C$698,0)),"")</f>
        <v>1185</v>
      </c>
      <c r="M323" s="18" t="n">
        <f aca="false">IFERROR(ROUND(L323*INDEX('Injectable Value'!$Z$28:$Z$178,MATCH(B323,'Injectable Value'!$A$28:$A$178,0)),0),"")</f>
        <v>1175</v>
      </c>
      <c r="N323" s="18" t="n">
        <f aca="false">IFERROR(INDEX('Shortlisted Drugs X Company (7)'!$L$3:$L$698,MATCH(B323,'Shortlisted Drugs X Company (7)'!$C$3:$C$698,0)),"")</f>
        <v>59407.06</v>
      </c>
      <c r="O323" s="15" t="str">
        <f aca="false">IF(AE323="No","IV only (not ID/IM/SC)",IF(AND(V323&gt;0,W323=0),"Price ≤ $5",""))</f>
        <v>IV only (not ID/IM/SC)</v>
      </c>
      <c r="P323" s="14" t="str">
        <f aca="false">IF(O323&lt;&gt;"","",COUNTIFS($A$29:$A$361,A323,$O$29:$O$361,"",$AC$29:$AC$361,"&gt;"&amp;AC323)+COUNTIFS($A$29:A323,A323,$O$29:O323,"",$AC$29:AC323,AC323))</f>
        <v/>
      </c>
      <c r="Q323" s="15" t="str">
        <f aca="false">IF(O323&lt;&gt;"",IF(O323="Price ≤ $5","Excluded – price ≤ $5","Excluded – IV only"),IF(ISNUMBER(D323),IF(AND(D323&gt;=$C$3,M323&gt;=$E$3),"Priority 1",IF(OR(D323&gt;=$C$3,M323&gt;=$E$3),"Priority 2","Priority 3")),IF(M323&gt;=$E$3,"Priority 2","Priority 3")))</f>
        <v>Excluded – IV only</v>
      </c>
      <c r="R323" s="16" t="s">
        <v>250</v>
      </c>
      <c r="S323" s="15" t="s">
        <v>201</v>
      </c>
      <c r="T323" s="32" t="s">
        <v>454</v>
      </c>
      <c r="U323" s="33" t="str">
        <f aca="false">B323&amp;"|"&amp;S323</f>
        <v>Meropenem|Venus Remedies</v>
      </c>
      <c r="V323" s="34" t="n">
        <f aca="false">COUNTIFS('Shortlisted Drugs X Company (7)'!$C$3:$C$698,$B323,'Shortlisted Drugs X Company (7)'!$E$3:$E$698,$S323,'Shortlisted Drugs X Company (7)'!$N$3:$N$698,"&gt;=0")</f>
        <v>3</v>
      </c>
      <c r="W323" s="34" t="n">
        <f aca="false">COUNTIFS('Shortlisted Drugs X Company (7)'!$C$3:$C$698,$B323,'Shortlisted Drugs X Company (7)'!$E$3:$E$698,$S323,'Shortlisted Drugs X Company (7)'!$N$3:$N$698,"&gt;5")</f>
        <v>3</v>
      </c>
      <c r="X323" s="34" t="n">
        <f aca="false">COUNTIFS('Shortlisted Drugs X Company (7)'!$C$3:$C$698,$B323,'Shortlisted Drugs X Company (7)'!$E$3:$E$698,$S323,'Shortlisted Drugs X Company (7)'!$P$3:$P$698,"Exact")+COUNTIFS('Shortlisted Drugs X Company (7)'!$C$3:$C$698,$B323,'Shortlisted Drugs X Company (7)'!$E$3:$E$698,$S323,'Shortlisted Drugs X Company (7)'!$P$3:$P$698,"Same-market proxy")</f>
        <v>3</v>
      </c>
      <c r="Y323" s="33" t="str">
        <f aca="false">A323&amp;"|"&amp;P323</f>
        <v>Venus Remedies|</v>
      </c>
      <c r="Z323" s="16" t="s">
        <v>743</v>
      </c>
      <c r="AA323" s="33" t="n">
        <f aca="false">INDEX($G$7:$G$25,MATCH(A323,$A$7:$A$25,0))</f>
        <v>6</v>
      </c>
      <c r="AB323" s="33" t="str">
        <f aca="false">IF(AE323="No","",AA323*1000+IF(P323="",900+COUNTIFS($A$29:A323,A323,$O$29:O323,"Price ≤ $5"),P323))</f>
        <v/>
      </c>
      <c r="AC323" s="33" t="str">
        <f aca="false">IF(O323&lt;&gt;"","",(4-VALUE(RIGHT(Q323,1)))*10^7+N(F323))</f>
        <v/>
      </c>
      <c r="AD323" s="15" t="str">
        <f aca="false">IFERROR(INDEX('Route of Administration'!$C$5:$C$155,MATCH(B323,'Route of Administration'!$A$5:$A$155,0)),"")</f>
        <v>IV</v>
      </c>
      <c r="AE323" s="14" t="str">
        <f aca="false">IFERROR(INDEX('Route of Administration'!$D$5:$D$155,MATCH(B323,'Route of Administration'!$A$5:$A$155,0)),"")</f>
        <v>No</v>
      </c>
      <c r="AF323" s="19" t="n">
        <f aca="false">IF(V323&gt;0,ROUND(AVERAGEIFS('Shortlisted Drugs X Company (7)'!$N$3:$N$698,'Shortlisted Drugs X Company (7)'!$C$3:$C$698,$B323,'Shortlisted Drugs X Company (7)'!$E$3:$E$698,$S323,'Shortlisted Drugs X Company (7)'!$N$3:$N$698,"&gt;=0"),2),"")</f>
        <v>11.71</v>
      </c>
      <c r="AG323" s="16" t="s">
        <v>1385</v>
      </c>
      <c r="AH323" s="16" t="s">
        <v>1386</v>
      </c>
      <c r="AI323" s="16" t="s">
        <v>1387</v>
      </c>
      <c r="AJ323" s="16" t="str">
        <f aca="false">IF(O323&lt;&gt;"","",IF(ISNUMBER(D323),IF(D323&gt;=$C$3,"High price","Lower price"),"Unpriced")&amp;" · "&amp;IF(M323&gt;=$E$3,"high volume","lower volume"))</f>
        <v/>
      </c>
      <c r="AK323" s="15" t="str">
        <f aca="false">IF(O323&lt;&gt;"",IF(O323="Price ≤ $5","Excluded – price ≤ $5","Excluded – IV only"),IF(ISNUMBER(D323),IF(AND(D323&gt;=$C$3,L323&gt;=$H$3),"Priority 1",IF(OR(D323&gt;=$C$3,L323&gt;=$H$3),"Priority 2","Priority 3")),IF(L323&gt;=$H$3,"Priority 2","Priority 3")))</f>
        <v>Excluded – IV only</v>
      </c>
      <c r="AL323" s="16" t="str">
        <f aca="false">IF(O323&lt;&gt;"","",IF(ISNUMBER(D323),IF(D323&gt;=$C$3,"High price","Lower price"),"Unpriced")&amp;" · "&amp;IF(L323&gt;=$H$3,"high volume","lower volume"))</f>
        <v/>
      </c>
      <c r="AM323" s="14" t="str">
        <f aca="false">IF(O323&lt;&gt;"","",COUNTIFS($A$29:$A$361,A323,$O$29:$O$361,"",$AQ$29:$AQ$361,"&gt;"&amp;AQ323)+COUNTIFS($A$29:A323,A323,$O$29:O323,"",$AQ$29:AQ323,AQ323))</f>
        <v/>
      </c>
      <c r="AN323" s="33" t="str">
        <f aca="false">IF(AND(O323="",ISNUMBER(D323)),D323,"")</f>
        <v/>
      </c>
      <c r="AO323" s="33" t="str">
        <f aca="false">IF(O323="",M323,"")</f>
        <v/>
      </c>
      <c r="AP323" s="33" t="str">
        <f aca="false">IF(O323="",L323,"")</f>
        <v/>
      </c>
      <c r="AQ323" s="33" t="str">
        <f aca="false">IF(O323&lt;&gt;"","",(4-VALUE(RIGHT(AK323,1)))*10^7+N(N323))</f>
        <v/>
      </c>
      <c r="AR323" s="33" t="n">
        <f aca="false">INDEX($O$7:$O$25,MATCH(A323,$I$7:$I$25,0))</f>
        <v>5</v>
      </c>
      <c r="AS323" s="33" t="str">
        <f aca="false">IF(AE323="No","",AR323*1000+IF(AM323="",900+COUNTIFS($A$29:A323,A323,$O$29:O323,"Price ≤ $5"),AM323))</f>
        <v/>
      </c>
    </row>
    <row r="324" customFormat="false" ht="41.75" hidden="false" customHeight="false" outlineLevel="0" collapsed="false">
      <c r="A324" s="15" t="s">
        <v>202</v>
      </c>
      <c r="B324" s="15" t="s">
        <v>1388</v>
      </c>
      <c r="C324" s="16" t="s">
        <v>1389</v>
      </c>
      <c r="D324" s="17" t="n">
        <f aca="false">IF(W324&gt;0,ROUND(AVERAGEIFS('Shortlisted Drugs X Company (7)'!$N$3:$N$698,'Shortlisted Drugs X Company (7)'!$C$3:$C$698,$B324,'Shortlisted Drugs X Company (7)'!$E$3:$E$698,$S324,'Shortlisted Drugs X Company (7)'!$N$3:$N$698,"&gt;5"),2),"")</f>
        <v>6.79</v>
      </c>
      <c r="E324" s="15" t="str">
        <f aca="false">IF(COUNTIFS('Shortlisted Drugs X Company (7)'!$C$3:$C$698,$B324,'Shortlisted Drugs X Company (7)'!$E$3:$E$698,$S324,'Shortlisted Drugs X Company (7)'!$P$3:$P$698,"Exact")&gt;0,"Exact",IF(COUNTIFS('Shortlisted Drugs X Company (7)'!$C$3:$C$698,$B324,'Shortlisted Drugs X Company (7)'!$E$3:$E$698,$S324,'Shortlisted Drugs X Company (7)'!$P$3:$P$698,"Same-market proxy")&gt;0,"Same-market proxy",IF(COUNTIFS('Shortlisted Drugs X Company (7)'!$C$3:$C$698,$B324,'Shortlisted Drugs X Company (7)'!$E$3:$E$698,$S324,'Shortlisted Drugs X Company (7)'!$P$3:$P$698,"Cross-market proxy")&gt;0,"Cross-market proxy",IF(COUNTIFS('Shortlisted Drugs X Company (7)'!$C$3:$C$698,$B324,'Shortlisted Drugs X Company (7)'!$E$3:$E$698,$S324,'Shortlisted Drugs X Company (7)'!$P$3:$P$698,"Source not found")&gt;0,"Source not found","Not priced"))))</f>
        <v>Exact</v>
      </c>
      <c r="F324" s="18" t="n">
        <f aca="false">IFERROR(ROUND(INDEX('Injectable Value'!$AA$28:$AA$178,MATCH(B324,'Injectable Value'!$A$28:$A$178,0)),1),"")</f>
        <v>2874.7</v>
      </c>
      <c r="G324" s="16" t="s">
        <v>740</v>
      </c>
      <c r="H324" s="14" t="n">
        <v>2</v>
      </c>
      <c r="I324" s="15" t="s">
        <v>248</v>
      </c>
      <c r="J324" s="15" t="s">
        <v>249</v>
      </c>
      <c r="K324" s="16" t="str">
        <f aca="false">""&amp;IF(V324=0,"Unpriced","")&amp;IF(AND(V324&gt;0,W324=0,X324=0),"Low price from another market – confirm with company","")</f>
        <v/>
      </c>
      <c r="L324" s="18" t="n">
        <f aca="false">IFERROR(INDEX('Shortlisted Drugs X Company (7)'!$K$3:$K$698,MATCH(B324,'Shortlisted Drugs X Company (7)'!$C$3:$C$698,0)),"")</f>
        <v>251</v>
      </c>
      <c r="M324" s="18" t="n">
        <f aca="false">IFERROR(ROUND(L324*INDEX('Injectable Value'!$Z$28:$Z$178,MATCH(B324,'Injectable Value'!$A$28:$A$178,0)),0),"")</f>
        <v>171</v>
      </c>
      <c r="N324" s="18" t="n">
        <f aca="false">IFERROR(INDEX('Shortlisted Drugs X Company (7)'!$L$3:$L$698,MATCH(B324,'Shortlisted Drugs X Company (7)'!$C$3:$C$698,0)),"")</f>
        <v>4229.67</v>
      </c>
      <c r="O324" s="15" t="str">
        <f aca="false">IF(AE324="No","IV only (not ID/IM/SC)",IF(AND(V324&gt;0,W324=0),"Price ≤ $5",""))</f>
        <v>IV only (not ID/IM/SC)</v>
      </c>
      <c r="P324" s="14" t="str">
        <f aca="false">IF(O324&lt;&gt;"","",COUNTIFS($A$29:$A$361,A324,$O$29:$O$361,"",$AC$29:$AC$361,"&gt;"&amp;AC324)+COUNTIFS($A$29:A324,A324,$O$29:O324,"",$AC$29:AC324,AC324))</f>
        <v/>
      </c>
      <c r="Q324" s="15" t="str">
        <f aca="false">IF(O324&lt;&gt;"",IF(O324="Price ≤ $5","Excluded – price ≤ $5","Excluded – IV only"),IF(ISNUMBER(D324),IF(AND(D324&gt;=$C$3,M324&gt;=$E$3),"Priority 1",IF(OR(D324&gt;=$C$3,M324&gt;=$E$3),"Priority 2","Priority 3")),IF(M324&gt;=$E$3,"Priority 2","Priority 3")))</f>
        <v>Excluded – IV only</v>
      </c>
      <c r="R324" s="16" t="s">
        <v>285</v>
      </c>
      <c r="S324" s="15" t="s">
        <v>202</v>
      </c>
      <c r="T324" s="32" t="s">
        <v>1390</v>
      </c>
      <c r="U324" s="33" t="str">
        <f aca="false">B324&amp;"|"&amp;S324</f>
        <v>Adenosine|Wockhardt</v>
      </c>
      <c r="V324" s="34" t="n">
        <f aca="false">COUNTIFS('Shortlisted Drugs X Company (7)'!$C$3:$C$698,$B324,'Shortlisted Drugs X Company (7)'!$E$3:$E$698,$S324,'Shortlisted Drugs X Company (7)'!$N$3:$N$698,"&gt;=0")</f>
        <v>2</v>
      </c>
      <c r="W324" s="34" t="n">
        <f aca="false">COUNTIFS('Shortlisted Drugs X Company (7)'!$C$3:$C$698,$B324,'Shortlisted Drugs X Company (7)'!$E$3:$E$698,$S324,'Shortlisted Drugs X Company (7)'!$N$3:$N$698,"&gt;5")</f>
        <v>2</v>
      </c>
      <c r="X324" s="34" t="n">
        <f aca="false">COUNTIFS('Shortlisted Drugs X Company (7)'!$C$3:$C$698,$B324,'Shortlisted Drugs X Company (7)'!$E$3:$E$698,$S324,'Shortlisted Drugs X Company (7)'!$P$3:$P$698,"Exact")+COUNTIFS('Shortlisted Drugs X Company (7)'!$C$3:$C$698,$B324,'Shortlisted Drugs X Company (7)'!$E$3:$E$698,$S324,'Shortlisted Drugs X Company (7)'!$P$3:$P$698,"Same-market proxy")</f>
        <v>1</v>
      </c>
      <c r="Y324" s="33" t="str">
        <f aca="false">A324&amp;"|"&amp;P324</f>
        <v>Wockhardt|</v>
      </c>
      <c r="Z324" s="16" t="s">
        <v>1391</v>
      </c>
      <c r="AA324" s="33" t="n">
        <f aca="false">INDEX($G$7:$G$25,MATCH(A324,$A$7:$A$25,0))</f>
        <v>14</v>
      </c>
      <c r="AB324" s="33" t="str">
        <f aca="false">IF(AE324="No","",AA324*1000+IF(P324="",900+COUNTIFS($A$29:A324,A324,$O$29:O324,"Price ≤ $5"),P324))</f>
        <v/>
      </c>
      <c r="AC324" s="33" t="str">
        <f aca="false">IF(O324&lt;&gt;"","",(4-VALUE(RIGHT(Q324,1)))*10^7+N(F324))</f>
        <v/>
      </c>
      <c r="AD324" s="15" t="str">
        <f aca="false">IFERROR(INDEX('Route of Administration'!$C$5:$C$155,MATCH(B324,'Route of Administration'!$A$5:$A$155,0)),"")</f>
        <v>IV</v>
      </c>
      <c r="AE324" s="14" t="str">
        <f aca="false">IFERROR(INDEX('Route of Administration'!$D$5:$D$155,MATCH(B324,'Route of Administration'!$A$5:$A$155,0)),"")</f>
        <v>No</v>
      </c>
      <c r="AF324" s="19" t="n">
        <f aca="false">IF(V324&gt;0,ROUND(AVERAGEIFS('Shortlisted Drugs X Company (7)'!$N$3:$N$698,'Shortlisted Drugs X Company (7)'!$C$3:$C$698,$B324,'Shortlisted Drugs X Company (7)'!$E$3:$E$698,$S324,'Shortlisted Drugs X Company (7)'!$N$3:$N$698,"&gt;=0"),2),"")</f>
        <v>6.79</v>
      </c>
      <c r="AG324" s="16" t="s">
        <v>1392</v>
      </c>
      <c r="AH324" s="16" t="s">
        <v>740</v>
      </c>
      <c r="AI324" s="16" t="s">
        <v>740</v>
      </c>
      <c r="AJ324" s="16" t="str">
        <f aca="false">IF(O324&lt;&gt;"","",IF(ISNUMBER(D324),IF(D324&gt;=$C$3,"High price","Lower price"),"Unpriced")&amp;" · "&amp;IF(M324&gt;=$E$3,"high volume","lower volume"))</f>
        <v/>
      </c>
      <c r="AK324" s="15" t="str">
        <f aca="false">IF(O324&lt;&gt;"",IF(O324="Price ≤ $5","Excluded – price ≤ $5","Excluded – IV only"),IF(ISNUMBER(D324),IF(AND(D324&gt;=$C$3,L324&gt;=$H$3),"Priority 1",IF(OR(D324&gt;=$C$3,L324&gt;=$H$3),"Priority 2","Priority 3")),IF(L324&gt;=$H$3,"Priority 2","Priority 3")))</f>
        <v>Excluded – IV only</v>
      </c>
      <c r="AL324" s="16" t="str">
        <f aca="false">IF(O324&lt;&gt;"","",IF(ISNUMBER(D324),IF(D324&gt;=$C$3,"High price","Lower price"),"Unpriced")&amp;" · "&amp;IF(L324&gt;=$H$3,"high volume","lower volume"))</f>
        <v/>
      </c>
      <c r="AM324" s="14" t="str">
        <f aca="false">IF(O324&lt;&gt;"","",COUNTIFS($A$29:$A$361,A324,$O$29:$O$361,"",$AQ$29:$AQ$361,"&gt;"&amp;AQ324)+COUNTIFS($A$29:A324,A324,$O$29:O324,"",$AQ$29:AQ324,AQ324))</f>
        <v/>
      </c>
      <c r="AN324" s="33" t="str">
        <f aca="false">IF(AND(O324="",ISNUMBER(D324)),D324,"")</f>
        <v/>
      </c>
      <c r="AO324" s="33" t="str">
        <f aca="false">IF(O324="",M324,"")</f>
        <v/>
      </c>
      <c r="AP324" s="33" t="str">
        <f aca="false">IF(O324="",L324,"")</f>
        <v/>
      </c>
      <c r="AQ324" s="33" t="str">
        <f aca="false">IF(O324&lt;&gt;"","",(4-VALUE(RIGHT(AK324,1)))*10^7+N(N324))</f>
        <v/>
      </c>
      <c r="AR324" s="33" t="n">
        <f aca="false">INDEX($O$7:$O$25,MATCH(A324,$I$7:$I$25,0))</f>
        <v>12</v>
      </c>
      <c r="AS324" s="33" t="str">
        <f aca="false">IF(AE324="No","",AR324*1000+IF(AM324="",900+COUNTIFS($A$29:A324,A324,$O$29:O324,"Price ≤ $5"),AM324))</f>
        <v/>
      </c>
    </row>
    <row r="325" customFormat="false" ht="41.75" hidden="false" customHeight="false" outlineLevel="0" collapsed="false">
      <c r="A325" s="15" t="s">
        <v>202</v>
      </c>
      <c r="B325" s="15" t="s">
        <v>745</v>
      </c>
      <c r="C325" s="16" t="s">
        <v>746</v>
      </c>
      <c r="D325" s="17" t="str">
        <f aca="false">IF(W325&gt;0,ROUND(AVERAGEIFS('Shortlisted Drugs X Company (7)'!$N$3:$N$698,'Shortlisted Drugs X Company (7)'!$C$3:$C$698,$B325,'Shortlisted Drugs X Company (7)'!$E$3:$E$698,$S325,'Shortlisted Drugs X Company (7)'!$N$3:$N$698,"&gt;5"),2),"")</f>
        <v/>
      </c>
      <c r="E325" s="15" t="str">
        <f aca="false">IF(COUNTIFS('Shortlisted Drugs X Company (7)'!$C$3:$C$698,$B325,'Shortlisted Drugs X Company (7)'!$E$3:$E$698,$S325,'Shortlisted Drugs X Company (7)'!$P$3:$P$698,"Exact")&gt;0,"Exact",IF(COUNTIFS('Shortlisted Drugs X Company (7)'!$C$3:$C$698,$B325,'Shortlisted Drugs X Company (7)'!$E$3:$E$698,$S325,'Shortlisted Drugs X Company (7)'!$P$3:$P$698,"Same-market proxy")&gt;0,"Same-market proxy",IF(COUNTIFS('Shortlisted Drugs X Company (7)'!$C$3:$C$698,$B325,'Shortlisted Drugs X Company (7)'!$E$3:$E$698,$S325,'Shortlisted Drugs X Company (7)'!$P$3:$P$698,"Cross-market proxy")&gt;0,"Cross-market proxy",IF(COUNTIFS('Shortlisted Drugs X Company (7)'!$C$3:$C$698,$B325,'Shortlisted Drugs X Company (7)'!$E$3:$E$698,$S325,'Shortlisted Drugs X Company (7)'!$P$3:$P$698,"Source not found")&gt;0,"Source not found","Not priced"))))</f>
        <v>Cross-market proxy</v>
      </c>
      <c r="F325" s="18" t="n">
        <f aca="false">IFERROR(ROUND(INDEX('Injectable Value'!$AA$28:$AA$178,MATCH(B325,'Injectable Value'!$A$28:$A$178,0)),1),"")</f>
        <v>8433.6</v>
      </c>
      <c r="G325" s="16" t="s">
        <v>70</v>
      </c>
      <c r="H325" s="14" t="n">
        <v>1</v>
      </c>
      <c r="I325" s="15" t="s">
        <v>248</v>
      </c>
      <c r="J325" s="15" t="s">
        <v>249</v>
      </c>
      <c r="K325" s="16" t="str">
        <f aca="false">""&amp;IF(V325=0,"Unpriced","")&amp;IF(AND(V325&gt;0,W325=0,X325=0),"Low price from another market – confirm with company","")</f>
        <v>Low price from another market – confirm with company</v>
      </c>
      <c r="L325" s="18" t="n">
        <f aca="false">IFERROR(INDEX('Shortlisted Drugs X Company (7)'!$K$3:$K$698,MATCH(B325,'Shortlisted Drugs X Company (7)'!$C$3:$C$698,0)),"")</f>
        <v>684</v>
      </c>
      <c r="M325" s="18" t="n">
        <f aca="false">IFERROR(ROUND(L325*INDEX('Injectable Value'!$Z$28:$Z$178,MATCH(B325,'Injectable Value'!$A$28:$A$178,0)),0),"")</f>
        <v>657</v>
      </c>
      <c r="N325" s="18" t="n">
        <f aca="false">IFERROR(INDEX('Shortlisted Drugs X Company (7)'!$L$3:$L$698,MATCH(B325,'Shortlisted Drugs X Company (7)'!$C$3:$C$698,0)),"")</f>
        <v>8785.35</v>
      </c>
      <c r="O325" s="15" t="str">
        <f aca="false">IF(AE325="No","IV only (not ID/IM/SC)",IF(AND(V325&gt;0,W325=0),"Price ≤ $5",""))</f>
        <v>Price ≤ $5</v>
      </c>
      <c r="P325" s="14" t="str">
        <f aca="false">IF(O325&lt;&gt;"","",COUNTIFS($A$29:$A$361,A325,$O$29:$O$361,"",$AC$29:$AC$361,"&gt;"&amp;AC325)+COUNTIFS($A$29:A325,A325,$O$29:O325,"",$AC$29:AC325,AC325))</f>
        <v/>
      </c>
      <c r="Q325" s="15" t="str">
        <f aca="false">IF(O325&lt;&gt;"",IF(O325="Price ≤ $5","Excluded – price ≤ $5","Excluded – IV only"),IF(ISNUMBER(D325),IF(AND(D325&gt;=$C$3,M325&gt;=$E$3),"Priority 1",IF(OR(D325&gt;=$C$3,M325&gt;=$E$3),"Priority 2","Priority 3")),IF(M325&gt;=$E$3,"Priority 2","Priority 3")))</f>
        <v>Excluded – price ≤ $5</v>
      </c>
      <c r="R325" s="16" t="s">
        <v>285</v>
      </c>
      <c r="S325" s="15" t="s">
        <v>202</v>
      </c>
      <c r="T325" s="32" t="s">
        <v>748</v>
      </c>
      <c r="U325" s="33" t="str">
        <f aca="false">B325&amp;"|"&amp;S325</f>
        <v>Amikacin|Wockhardt</v>
      </c>
      <c r="V325" s="34" t="n">
        <f aca="false">COUNTIFS('Shortlisted Drugs X Company (7)'!$C$3:$C$698,$B325,'Shortlisted Drugs X Company (7)'!$E$3:$E$698,$S325,'Shortlisted Drugs X Company (7)'!$N$3:$N$698,"&gt;=0")</f>
        <v>1</v>
      </c>
      <c r="W325" s="34" t="n">
        <f aca="false">COUNTIFS('Shortlisted Drugs X Company (7)'!$C$3:$C$698,$B325,'Shortlisted Drugs X Company (7)'!$E$3:$E$698,$S325,'Shortlisted Drugs X Company (7)'!$N$3:$N$698,"&gt;5")</f>
        <v>0</v>
      </c>
      <c r="X325" s="34" t="n">
        <f aca="false">COUNTIFS('Shortlisted Drugs X Company (7)'!$C$3:$C$698,$B325,'Shortlisted Drugs X Company (7)'!$E$3:$E$698,$S325,'Shortlisted Drugs X Company (7)'!$P$3:$P$698,"Exact")+COUNTIFS('Shortlisted Drugs X Company (7)'!$C$3:$C$698,$B325,'Shortlisted Drugs X Company (7)'!$E$3:$E$698,$S325,'Shortlisted Drugs X Company (7)'!$P$3:$P$698,"Same-market proxy")</f>
        <v>0</v>
      </c>
      <c r="Y325" s="33" t="str">
        <f aca="false">A325&amp;"|"&amp;P325</f>
        <v>Wockhardt|</v>
      </c>
      <c r="Z325" s="16" t="s">
        <v>749</v>
      </c>
      <c r="AA325" s="33" t="n">
        <f aca="false">INDEX($G$7:$G$25,MATCH(A325,$A$7:$A$25,0))</f>
        <v>14</v>
      </c>
      <c r="AB325" s="33" t="n">
        <f aca="false">IF(AE325="No","",AA325*1000+IF(P325="",900+COUNTIFS($A$29:A325,A325,$O$29:O325,"Price ≤ $5"),P325))</f>
        <v>14901</v>
      </c>
      <c r="AC325" s="33" t="str">
        <f aca="false">IF(O325&lt;&gt;"","",(4-VALUE(RIGHT(Q325,1)))*10^7+N(F325))</f>
        <v/>
      </c>
      <c r="AD325" s="15" t="str">
        <f aca="false">IFERROR(INDEX('Route of Administration'!$C$5:$C$155,MATCH(B325,'Route of Administration'!$A$5:$A$155,0)),"")</f>
        <v>IV, IM</v>
      </c>
      <c r="AE325" s="14" t="str">
        <f aca="false">IFERROR(INDEX('Route of Administration'!$D$5:$D$155,MATCH(B325,'Route of Administration'!$A$5:$A$155,0)),"")</f>
        <v>Yes</v>
      </c>
      <c r="AF325" s="19" t="n">
        <f aca="false">IF(V325&gt;0,ROUND(AVERAGEIFS('Shortlisted Drugs X Company (7)'!$N$3:$N$698,'Shortlisted Drugs X Company (7)'!$C$3:$C$698,$B325,'Shortlisted Drugs X Company (7)'!$E$3:$E$698,$S325,'Shortlisted Drugs X Company (7)'!$N$3:$N$698,"&gt;=0"),2),"")</f>
        <v>3.06</v>
      </c>
      <c r="AG325" s="16" t="s">
        <v>1393</v>
      </c>
      <c r="AH325" s="16" t="s">
        <v>583</v>
      </c>
      <c r="AI325" s="16" t="s">
        <v>583</v>
      </c>
      <c r="AJ325" s="16" t="str">
        <f aca="false">IF(O325&lt;&gt;"","",IF(ISNUMBER(D325),IF(D325&gt;=$C$3,"High price","Lower price"),"Unpriced")&amp;" · "&amp;IF(M325&gt;=$E$3,"high volume","lower volume"))</f>
        <v/>
      </c>
      <c r="AK325" s="15" t="str">
        <f aca="false">IF(O325&lt;&gt;"",IF(O325="Price ≤ $5","Excluded – price ≤ $5","Excluded – IV only"),IF(ISNUMBER(D325),IF(AND(D325&gt;=$C$3,L325&gt;=$H$3),"Priority 1",IF(OR(D325&gt;=$C$3,L325&gt;=$H$3),"Priority 2","Priority 3")),IF(L325&gt;=$H$3,"Priority 2","Priority 3")))</f>
        <v>Excluded – price ≤ $5</v>
      </c>
      <c r="AL325" s="16" t="str">
        <f aca="false">IF(O325&lt;&gt;"","",IF(ISNUMBER(D325),IF(D325&gt;=$C$3,"High price","Lower price"),"Unpriced")&amp;" · "&amp;IF(L325&gt;=$H$3,"high volume","lower volume"))</f>
        <v/>
      </c>
      <c r="AM325" s="14" t="str">
        <f aca="false">IF(O325&lt;&gt;"","",COUNTIFS($A$29:$A$361,A325,$O$29:$O$361,"",$AQ$29:$AQ$361,"&gt;"&amp;AQ325)+COUNTIFS($A$29:A325,A325,$O$29:O325,"",$AQ$29:AQ325,AQ325))</f>
        <v/>
      </c>
      <c r="AN325" s="33" t="str">
        <f aca="false">IF(AND(O325="",ISNUMBER(D325)),D325,"")</f>
        <v/>
      </c>
      <c r="AO325" s="33" t="str">
        <f aca="false">IF(O325="",M325,"")</f>
        <v/>
      </c>
      <c r="AP325" s="33" t="str">
        <f aca="false">IF(O325="",L325,"")</f>
        <v/>
      </c>
      <c r="AQ325" s="33" t="str">
        <f aca="false">IF(O325&lt;&gt;"","",(4-VALUE(RIGHT(AK325,1)))*10^7+N(N325))</f>
        <v/>
      </c>
      <c r="AR325" s="33" t="n">
        <f aca="false">INDEX($O$7:$O$25,MATCH(A325,$I$7:$I$25,0))</f>
        <v>12</v>
      </c>
      <c r="AS325" s="33" t="n">
        <f aca="false">IF(AE325="No","",AR325*1000+IF(AM325="",900+COUNTIFS($A$29:A325,A325,$O$29:O325,"Price ≤ $5"),AM325))</f>
        <v>12901</v>
      </c>
    </row>
    <row r="326" customFormat="false" ht="28.35" hidden="false" customHeight="false" outlineLevel="0" collapsed="false">
      <c r="A326" s="15" t="s">
        <v>202</v>
      </c>
      <c r="B326" s="15" t="s">
        <v>1220</v>
      </c>
      <c r="C326" s="16" t="s">
        <v>1221</v>
      </c>
      <c r="D326" s="17" t="n">
        <f aca="false">IF(W326&gt;0,ROUND(AVERAGEIFS('Shortlisted Drugs X Company (7)'!$N$3:$N$698,'Shortlisted Drugs X Company (7)'!$C$3:$C$698,$B326,'Shortlisted Drugs X Company (7)'!$E$3:$E$698,$S326,'Shortlisted Drugs X Company (7)'!$N$3:$N$698,"&gt;5"),2),"")</f>
        <v>6.45</v>
      </c>
      <c r="E326" s="15" t="str">
        <f aca="false">IF(COUNTIFS('Shortlisted Drugs X Company (7)'!$C$3:$C$698,$B326,'Shortlisted Drugs X Company (7)'!$E$3:$E$698,$S326,'Shortlisted Drugs X Company (7)'!$P$3:$P$698,"Exact")&gt;0,"Exact",IF(COUNTIFS('Shortlisted Drugs X Company (7)'!$C$3:$C$698,$B326,'Shortlisted Drugs X Company (7)'!$E$3:$E$698,$S326,'Shortlisted Drugs X Company (7)'!$P$3:$P$698,"Same-market proxy")&gt;0,"Same-market proxy",IF(COUNTIFS('Shortlisted Drugs X Company (7)'!$C$3:$C$698,$B326,'Shortlisted Drugs X Company (7)'!$E$3:$E$698,$S326,'Shortlisted Drugs X Company (7)'!$P$3:$P$698,"Cross-market proxy")&gt;0,"Cross-market proxy",IF(COUNTIFS('Shortlisted Drugs X Company (7)'!$C$3:$C$698,$B326,'Shortlisted Drugs X Company (7)'!$E$3:$E$698,$S326,'Shortlisted Drugs X Company (7)'!$P$3:$P$698,"Source not found")&gt;0,"Source not found","Not priced"))))</f>
        <v>Same-market proxy</v>
      </c>
      <c r="F326" s="18" t="n">
        <f aca="false">IFERROR(ROUND(INDEX('Injectable Value'!$AA$28:$AA$178,MATCH(B326,'Injectable Value'!$A$28:$A$178,0)),1),"")</f>
        <v>2622.7</v>
      </c>
      <c r="G326" s="16" t="s">
        <v>740</v>
      </c>
      <c r="H326" s="14" t="n">
        <v>2</v>
      </c>
      <c r="I326" s="15" t="s">
        <v>316</v>
      </c>
      <c r="J326" s="15" t="s">
        <v>249</v>
      </c>
      <c r="K326" s="16" t="str">
        <f aca="false">""&amp;IF(V326=0,"Unpriced","")&amp;IF(AND(V326&gt;0,W326=0,X326=0),"Low price from another market – confirm with company","")</f>
        <v/>
      </c>
      <c r="L326" s="18" t="n">
        <f aca="false">IFERROR(INDEX('Shortlisted Drugs X Company (7)'!$K$3:$K$698,MATCH(B326,'Shortlisted Drugs X Company (7)'!$C$3:$C$698,0)),"")</f>
        <v>2221</v>
      </c>
      <c r="M326" s="18" t="n">
        <f aca="false">IFERROR(ROUND(L326*INDEX('Injectable Value'!$Z$28:$Z$178,MATCH(B326,'Injectable Value'!$A$28:$A$178,0)),0),"")</f>
        <v>117</v>
      </c>
      <c r="N326" s="18" t="n">
        <f aca="false">IFERROR(INDEX('Shortlisted Drugs X Company (7)'!$L$3:$L$698,MATCH(B326,'Shortlisted Drugs X Company (7)'!$C$3:$C$698,0)),"")</f>
        <v>49989.33</v>
      </c>
      <c r="O326" s="15" t="str">
        <f aca="false">IF(AE326="No","IV only (not ID/IM/SC)",IF(AND(V326&gt;0,W326=0),"Price ≤ $5",""))</f>
        <v>IV only (not ID/IM/SC)</v>
      </c>
      <c r="P326" s="14" t="str">
        <f aca="false">IF(O326&lt;&gt;"","",COUNTIFS($A$29:$A$361,A326,$O$29:$O$361,"",$AC$29:$AC$361,"&gt;"&amp;AC326)+COUNTIFS($A$29:A326,A326,$O$29:O326,"",$AC$29:AC326,AC326))</f>
        <v/>
      </c>
      <c r="Q326" s="15" t="str">
        <f aca="false">IF(O326&lt;&gt;"",IF(O326="Price ≤ $5","Excluded – price ≤ $5","Excluded – IV only"),IF(ISNUMBER(D326),IF(AND(D326&gt;=$C$3,M326&gt;=$E$3),"Priority 1",IF(OR(D326&gt;=$C$3,M326&gt;=$E$3),"Priority 2","Priority 3")),IF(M326&gt;=$E$3,"Priority 2","Priority 3")))</f>
        <v>Excluded – IV only</v>
      </c>
      <c r="R326" s="16" t="s">
        <v>285</v>
      </c>
      <c r="S326" s="15" t="s">
        <v>202</v>
      </c>
      <c r="T326" s="32" t="s">
        <v>1222</v>
      </c>
      <c r="U326" s="33" t="str">
        <f aca="false">B326&amp;"|"&amp;S326</f>
        <v>Caffeine|Wockhardt</v>
      </c>
      <c r="V326" s="34" t="n">
        <f aca="false">COUNTIFS('Shortlisted Drugs X Company (7)'!$C$3:$C$698,$B326,'Shortlisted Drugs X Company (7)'!$E$3:$E$698,$S326,'Shortlisted Drugs X Company (7)'!$N$3:$N$698,"&gt;=0")</f>
        <v>1</v>
      </c>
      <c r="W326" s="34" t="n">
        <f aca="false">COUNTIFS('Shortlisted Drugs X Company (7)'!$C$3:$C$698,$B326,'Shortlisted Drugs X Company (7)'!$E$3:$E$698,$S326,'Shortlisted Drugs X Company (7)'!$N$3:$N$698,"&gt;5")</f>
        <v>1</v>
      </c>
      <c r="X326" s="34" t="n">
        <f aca="false">COUNTIFS('Shortlisted Drugs X Company (7)'!$C$3:$C$698,$B326,'Shortlisted Drugs X Company (7)'!$E$3:$E$698,$S326,'Shortlisted Drugs X Company (7)'!$P$3:$P$698,"Exact")+COUNTIFS('Shortlisted Drugs X Company (7)'!$C$3:$C$698,$B326,'Shortlisted Drugs X Company (7)'!$E$3:$E$698,$S326,'Shortlisted Drugs X Company (7)'!$P$3:$P$698,"Same-market proxy")</f>
        <v>1</v>
      </c>
      <c r="Y326" s="33" t="str">
        <f aca="false">A326&amp;"|"&amp;P326</f>
        <v>Wockhardt|</v>
      </c>
      <c r="Z326" s="16" t="s">
        <v>1394</v>
      </c>
      <c r="AA326" s="33" t="n">
        <f aca="false">INDEX($G$7:$G$25,MATCH(A326,$A$7:$A$25,0))</f>
        <v>14</v>
      </c>
      <c r="AB326" s="33" t="str">
        <f aca="false">IF(AE326="No","",AA326*1000+IF(P326="",900+COUNTIFS($A$29:A326,A326,$O$29:O326,"Price ≤ $5"),P326))</f>
        <v/>
      </c>
      <c r="AC326" s="33" t="str">
        <f aca="false">IF(O326&lt;&gt;"","",(4-VALUE(RIGHT(Q326,1)))*10^7+N(F326))</f>
        <v/>
      </c>
      <c r="AD326" s="15" t="str">
        <f aca="false">IFERROR(INDEX('Route of Administration'!$C$5:$C$155,MATCH(B326,'Route of Administration'!$A$5:$A$155,0)),"")</f>
        <v>IV</v>
      </c>
      <c r="AE326" s="14" t="str">
        <f aca="false">IFERROR(INDEX('Route of Administration'!$D$5:$D$155,MATCH(B326,'Route of Administration'!$A$5:$A$155,0)),"")</f>
        <v>No</v>
      </c>
      <c r="AF326" s="19" t="n">
        <f aca="false">IF(V326&gt;0,ROUND(AVERAGEIFS('Shortlisted Drugs X Company (7)'!$N$3:$N$698,'Shortlisted Drugs X Company (7)'!$C$3:$C$698,$B326,'Shortlisted Drugs X Company (7)'!$E$3:$E$698,$S326,'Shortlisted Drugs X Company (7)'!$N$3:$N$698,"&gt;=0"),2),"")</f>
        <v>6.45</v>
      </c>
      <c r="AG326" s="16" t="s">
        <v>1395</v>
      </c>
      <c r="AH326" s="16" t="s">
        <v>740</v>
      </c>
      <c r="AI326" s="16" t="s">
        <v>740</v>
      </c>
      <c r="AJ326" s="16" t="str">
        <f aca="false">IF(O326&lt;&gt;"","",IF(ISNUMBER(D326),IF(D326&gt;=$C$3,"High price","Lower price"),"Unpriced")&amp;" · "&amp;IF(M326&gt;=$E$3,"high volume","lower volume"))</f>
        <v/>
      </c>
      <c r="AK326" s="15" t="str">
        <f aca="false">IF(O326&lt;&gt;"",IF(O326="Price ≤ $5","Excluded – price ≤ $5","Excluded – IV only"),IF(ISNUMBER(D326),IF(AND(D326&gt;=$C$3,L326&gt;=$H$3),"Priority 1",IF(OR(D326&gt;=$C$3,L326&gt;=$H$3),"Priority 2","Priority 3")),IF(L326&gt;=$H$3,"Priority 2","Priority 3")))</f>
        <v>Excluded – IV only</v>
      </c>
      <c r="AL326" s="16" t="str">
        <f aca="false">IF(O326&lt;&gt;"","",IF(ISNUMBER(D326),IF(D326&gt;=$C$3,"High price","Lower price"),"Unpriced")&amp;" · "&amp;IF(L326&gt;=$H$3,"high volume","lower volume"))</f>
        <v/>
      </c>
      <c r="AM326" s="14" t="str">
        <f aca="false">IF(O326&lt;&gt;"","",COUNTIFS($A$29:$A$361,A326,$O$29:$O$361,"",$AQ$29:$AQ$361,"&gt;"&amp;AQ326)+COUNTIFS($A$29:A326,A326,$O$29:O326,"",$AQ$29:AQ326,AQ326))</f>
        <v/>
      </c>
      <c r="AN326" s="33" t="str">
        <f aca="false">IF(AND(O326="",ISNUMBER(D326)),D326,"")</f>
        <v/>
      </c>
      <c r="AO326" s="33" t="str">
        <f aca="false">IF(O326="",M326,"")</f>
        <v/>
      </c>
      <c r="AP326" s="33" t="str">
        <f aca="false">IF(O326="",L326,"")</f>
        <v/>
      </c>
      <c r="AQ326" s="33" t="str">
        <f aca="false">IF(O326&lt;&gt;"","",(4-VALUE(RIGHT(AK326,1)))*10^7+N(N326))</f>
        <v/>
      </c>
      <c r="AR326" s="33" t="n">
        <f aca="false">INDEX($O$7:$O$25,MATCH(A326,$I$7:$I$25,0))</f>
        <v>12</v>
      </c>
      <c r="AS326" s="33" t="str">
        <f aca="false">IF(AE326="No","",AR326*1000+IF(AM326="",900+COUNTIFS($A$29:A326,A326,$O$29:O326,"Price ≤ $5"),AM326))</f>
        <v/>
      </c>
    </row>
    <row r="327" customFormat="false" ht="41.75" hidden="false" customHeight="false" outlineLevel="0" collapsed="false">
      <c r="A327" s="15" t="s">
        <v>202</v>
      </c>
      <c r="B327" s="15" t="s">
        <v>329</v>
      </c>
      <c r="C327" s="16" t="s">
        <v>330</v>
      </c>
      <c r="D327" s="17" t="n">
        <f aca="false">IF(W327&gt;0,ROUND(AVERAGEIFS('Shortlisted Drugs X Company (7)'!$N$3:$N$698,'Shortlisted Drugs X Company (7)'!$C$3:$C$698,$B327,'Shortlisted Drugs X Company (7)'!$E$3:$E$698,$S327,'Shortlisted Drugs X Company (7)'!$N$3:$N$698,"&gt;5"),2),"")</f>
        <v>20.27</v>
      </c>
      <c r="E327" s="15" t="str">
        <f aca="false">IF(COUNTIFS('Shortlisted Drugs X Company (7)'!$C$3:$C$698,$B327,'Shortlisted Drugs X Company (7)'!$E$3:$E$698,$S327,'Shortlisted Drugs X Company (7)'!$P$3:$P$698,"Exact")&gt;0,"Exact",IF(COUNTIFS('Shortlisted Drugs X Company (7)'!$C$3:$C$698,$B327,'Shortlisted Drugs X Company (7)'!$E$3:$E$698,$S327,'Shortlisted Drugs X Company (7)'!$P$3:$P$698,"Same-market proxy")&gt;0,"Same-market proxy",IF(COUNTIFS('Shortlisted Drugs X Company (7)'!$C$3:$C$698,$B327,'Shortlisted Drugs X Company (7)'!$E$3:$E$698,$S327,'Shortlisted Drugs X Company (7)'!$P$3:$P$698,"Cross-market proxy")&gt;0,"Cross-market proxy",IF(COUNTIFS('Shortlisted Drugs X Company (7)'!$C$3:$C$698,$B327,'Shortlisted Drugs X Company (7)'!$E$3:$E$698,$S327,'Shortlisted Drugs X Company (7)'!$P$3:$P$698,"Source not found")&gt;0,"Source not found","Not priced"))))</f>
        <v>Exact</v>
      </c>
      <c r="F327" s="18" t="n">
        <f aca="false">IFERROR(ROUND(INDEX('Injectable Value'!$AA$28:$AA$178,MATCH(B327,'Injectable Value'!$A$28:$A$178,0)),1),"")</f>
        <v>5713.6</v>
      </c>
      <c r="G327" s="16" t="s">
        <v>740</v>
      </c>
      <c r="H327" s="14" t="n">
        <v>4</v>
      </c>
      <c r="I327" s="15" t="s">
        <v>248</v>
      </c>
      <c r="J327" s="15" t="s">
        <v>299</v>
      </c>
      <c r="K327" s="16" t="str">
        <f aca="false">"Reconstitution"&amp;IF(V327=0,"; Unpriced","")&amp;IF(AND(V327&gt;0,W327=0,X327=0),"; Low price from another market – confirm with company","")</f>
        <v>Reconstitution</v>
      </c>
      <c r="L327" s="18" t="n">
        <f aca="false">IFERROR(INDEX('Shortlisted Drugs X Company (7)'!$K$3:$K$698,MATCH(B327,'Shortlisted Drugs X Company (7)'!$C$3:$C$698,0)),"")</f>
        <v>335</v>
      </c>
      <c r="M327" s="18" t="n">
        <f aca="false">IFERROR(ROUND(L327*INDEX('Injectable Value'!$Z$28:$Z$178,MATCH(B327,'Injectable Value'!$A$28:$A$178,0)),0),"")</f>
        <v>335</v>
      </c>
      <c r="N327" s="18" t="n">
        <f aca="false">IFERROR(INDEX('Shortlisted Drugs X Company (7)'!$L$3:$L$698,MATCH(B327,'Shortlisted Drugs X Company (7)'!$C$3:$C$698,0)),"")</f>
        <v>5713.56</v>
      </c>
      <c r="O327" s="15" t="str">
        <f aca="false">IF(AE327="No","IV only (not ID/IM/SC)",IF(AND(V327&gt;0,W327=0),"Price ≤ $5",""))</f>
        <v/>
      </c>
      <c r="P327" s="14" t="n">
        <f aca="false">IF(O327&lt;&gt;"","",COUNTIFS($A$29:$A$361,A327,$O$29:$O$361,"",$AC$29:$AC$361,"&gt;"&amp;AC327)+COUNTIFS($A$29:A327,A327,$O$29:O327,"",$AC$29:AC327,AC327))</f>
        <v>3</v>
      </c>
      <c r="Q327" s="15" t="str">
        <f aca="false">IF(O327&lt;&gt;"",IF(O327="Price ≤ $5","Excluded – price ≤ $5","Excluded – IV only"),IF(ISNUMBER(D327),IF(AND(D327&gt;=$C$3,M327&gt;=$E$3),"Priority 1",IF(OR(D327&gt;=$C$3,M327&gt;=$E$3),"Priority 2","Priority 3")),IF(M327&gt;=$E$3,"Priority 2","Priority 3")))</f>
        <v>Priority 2</v>
      </c>
      <c r="R327" s="16" t="s">
        <v>250</v>
      </c>
      <c r="S327" s="15" t="s">
        <v>202</v>
      </c>
      <c r="T327" s="32" t="s">
        <v>332</v>
      </c>
      <c r="U327" s="33" t="str">
        <f aca="false">B327&amp;"|"&amp;S327</f>
        <v>Ceftazidime|Wockhardt</v>
      </c>
      <c r="V327" s="34" t="n">
        <f aca="false">COUNTIFS('Shortlisted Drugs X Company (7)'!$C$3:$C$698,$B327,'Shortlisted Drugs X Company (7)'!$E$3:$E$698,$S327,'Shortlisted Drugs X Company (7)'!$N$3:$N$698,"&gt;=0")</f>
        <v>2</v>
      </c>
      <c r="W327" s="34" t="n">
        <f aca="false">COUNTIFS('Shortlisted Drugs X Company (7)'!$C$3:$C$698,$B327,'Shortlisted Drugs X Company (7)'!$E$3:$E$698,$S327,'Shortlisted Drugs X Company (7)'!$N$3:$N$698,"&gt;5")</f>
        <v>2</v>
      </c>
      <c r="X327" s="34" t="n">
        <f aca="false">COUNTIFS('Shortlisted Drugs X Company (7)'!$C$3:$C$698,$B327,'Shortlisted Drugs X Company (7)'!$E$3:$E$698,$S327,'Shortlisted Drugs X Company (7)'!$P$3:$P$698,"Exact")+COUNTIFS('Shortlisted Drugs X Company (7)'!$C$3:$C$698,$B327,'Shortlisted Drugs X Company (7)'!$E$3:$E$698,$S327,'Shortlisted Drugs X Company (7)'!$P$3:$P$698,"Same-market proxy")</f>
        <v>1</v>
      </c>
      <c r="Y327" s="33" t="str">
        <f aca="false">A327&amp;"|"&amp;P327</f>
        <v>Wockhardt|3</v>
      </c>
      <c r="Z327" s="16" t="s">
        <v>1384</v>
      </c>
      <c r="AA327" s="33" t="n">
        <f aca="false">INDEX($G$7:$G$25,MATCH(A327,$A$7:$A$25,0))</f>
        <v>14</v>
      </c>
      <c r="AB327" s="33" t="n">
        <f aca="false">IF(AE327="No","",AA327*1000+IF(P327="",900+COUNTIFS($A$29:A327,A327,$O$29:O327,"Price ≤ $5"),P327))</f>
        <v>14003</v>
      </c>
      <c r="AC327" s="33" t="n">
        <f aca="false">IF(O327&lt;&gt;"","",(4-VALUE(RIGHT(Q327,1)))*10^7+N(F327))</f>
        <v>20005713.6</v>
      </c>
      <c r="AD327" s="15" t="str">
        <f aca="false">IFERROR(INDEX('Route of Administration'!$C$5:$C$155,MATCH(B327,'Route of Administration'!$A$5:$A$155,0)),"")</f>
        <v>IV, IM</v>
      </c>
      <c r="AE327" s="14" t="str">
        <f aca="false">IFERROR(INDEX('Route of Administration'!$D$5:$D$155,MATCH(B327,'Route of Administration'!$A$5:$A$155,0)),"")</f>
        <v>Yes</v>
      </c>
      <c r="AF327" s="19" t="n">
        <f aca="false">IF(V327&gt;0,ROUND(AVERAGEIFS('Shortlisted Drugs X Company (7)'!$N$3:$N$698,'Shortlisted Drugs X Company (7)'!$C$3:$C$698,$B327,'Shortlisted Drugs X Company (7)'!$E$3:$E$698,$S327,'Shortlisted Drugs X Company (7)'!$N$3:$N$698,"&gt;=0"),2),"")</f>
        <v>20.27</v>
      </c>
      <c r="AG327" s="16" t="s">
        <v>329</v>
      </c>
      <c r="AH327" s="16" t="s">
        <v>1396</v>
      </c>
      <c r="AI327" s="16" t="s">
        <v>1396</v>
      </c>
      <c r="AJ327" s="16" t="str">
        <f aca="false">IF(O327&lt;&gt;"","",IF(ISNUMBER(D327),IF(D327&gt;=$C$3,"High price","Lower price"),"Unpriced")&amp;" · "&amp;IF(M327&gt;=$E$3,"high volume","lower volume"))</f>
        <v>Lower price · high volume</v>
      </c>
      <c r="AK327" s="15" t="str">
        <f aca="false">IF(O327&lt;&gt;"",IF(O327="Price ≤ $5","Excluded – price ≤ $5","Excluded – IV only"),IF(ISNUMBER(D327),IF(AND(D327&gt;=$C$3,L327&gt;=$H$3),"Priority 1",IF(OR(D327&gt;=$C$3,L327&gt;=$H$3),"Priority 2","Priority 3")),IF(L327&gt;=$H$3,"Priority 2","Priority 3")))</f>
        <v>Priority 2</v>
      </c>
      <c r="AL327" s="16" t="str">
        <f aca="false">IF(O327&lt;&gt;"","",IF(ISNUMBER(D327),IF(D327&gt;=$C$3,"High price","Lower price"),"Unpriced")&amp;" · "&amp;IF(L327&gt;=$H$3,"high volume","lower volume"))</f>
        <v>Lower price · high volume</v>
      </c>
      <c r="AM327" s="14" t="n">
        <f aca="false">IF(O327&lt;&gt;"","",COUNTIFS($A$29:$A$361,A327,$O$29:$O$361,"",$AQ$29:$AQ$361,"&gt;"&amp;AQ327)+COUNTIFS($A$29:A327,A327,$O$29:O327,"",$AQ$29:AQ327,AQ327))</f>
        <v>5</v>
      </c>
      <c r="AN327" s="19" t="n">
        <f aca="false">IF(AND(O327="",ISNUMBER(D327)),D327,"")</f>
        <v>20.27</v>
      </c>
      <c r="AO327" s="20" t="n">
        <f aca="false">IF(O327="",M327,"")</f>
        <v>335</v>
      </c>
      <c r="AP327" s="20" t="n">
        <f aca="false">IF(O327="",L327,"")</f>
        <v>335</v>
      </c>
      <c r="AQ327" s="33" t="n">
        <f aca="false">IF(O327&lt;&gt;"","",(4-VALUE(RIGHT(AK327,1)))*10^7+N(N327))</f>
        <v>20005713.56</v>
      </c>
      <c r="AR327" s="33" t="n">
        <f aca="false">INDEX($O$7:$O$25,MATCH(A327,$I$7:$I$25,0))</f>
        <v>12</v>
      </c>
      <c r="AS327" s="33" t="n">
        <f aca="false">IF(AE327="No","",AR327*1000+IF(AM327="",900+COUNTIFS($A$29:A327,A327,$O$29:O327,"Price ≤ $5"),AM327))</f>
        <v>12005</v>
      </c>
    </row>
    <row r="328" customFormat="false" ht="41.75" hidden="false" customHeight="false" outlineLevel="0" collapsed="false">
      <c r="A328" s="15" t="s">
        <v>202</v>
      </c>
      <c r="B328" s="15" t="s">
        <v>336</v>
      </c>
      <c r="C328" s="16" t="s">
        <v>337</v>
      </c>
      <c r="D328" s="17" t="n">
        <f aca="false">IF(W328&gt;0,ROUND(AVERAGEIFS('Shortlisted Drugs X Company (7)'!$N$3:$N$698,'Shortlisted Drugs X Company (7)'!$C$3:$C$698,$B328,'Shortlisted Drugs X Company (7)'!$E$3:$E$698,$S328,'Shortlisted Drugs X Company (7)'!$N$3:$N$698,"&gt;5"),2),"")</f>
        <v>12.3</v>
      </c>
      <c r="E328" s="15" t="str">
        <f aca="false">IF(COUNTIFS('Shortlisted Drugs X Company (7)'!$C$3:$C$698,$B328,'Shortlisted Drugs X Company (7)'!$E$3:$E$698,$S328,'Shortlisted Drugs X Company (7)'!$P$3:$P$698,"Exact")&gt;0,"Exact",IF(COUNTIFS('Shortlisted Drugs X Company (7)'!$C$3:$C$698,$B328,'Shortlisted Drugs X Company (7)'!$E$3:$E$698,$S328,'Shortlisted Drugs X Company (7)'!$P$3:$P$698,"Same-market proxy")&gt;0,"Same-market proxy",IF(COUNTIFS('Shortlisted Drugs X Company (7)'!$C$3:$C$698,$B328,'Shortlisted Drugs X Company (7)'!$E$3:$E$698,$S328,'Shortlisted Drugs X Company (7)'!$P$3:$P$698,"Cross-market proxy")&gt;0,"Cross-market proxy",IF(COUNTIFS('Shortlisted Drugs X Company (7)'!$C$3:$C$698,$B328,'Shortlisted Drugs X Company (7)'!$E$3:$E$698,$S328,'Shortlisted Drugs X Company (7)'!$P$3:$P$698,"Source not found")&gt;0,"Source not found","Not priced"))))</f>
        <v>Exact</v>
      </c>
      <c r="F328" s="18" t="n">
        <f aca="false">IFERROR(ROUND(INDEX('Injectable Value'!$AA$28:$AA$178,MATCH(B328,'Injectable Value'!$A$28:$A$178,0)),1),"")</f>
        <v>93119.2</v>
      </c>
      <c r="G328" s="16" t="s">
        <v>823</v>
      </c>
      <c r="H328" s="14" t="n">
        <v>5</v>
      </c>
      <c r="I328" s="15" t="s">
        <v>248</v>
      </c>
      <c r="J328" s="15" t="s">
        <v>299</v>
      </c>
      <c r="K328" s="16" t="str">
        <f aca="false">"Reconstitution"&amp;IF(V328=0,"; Unpriced","")&amp;IF(AND(V328&gt;0,W328=0,X328=0),"; Low price from another market – confirm with company","")</f>
        <v>Reconstitution</v>
      </c>
      <c r="L328" s="18" t="n">
        <f aca="false">IFERROR(INDEX('Shortlisted Drugs X Company (7)'!$K$3:$K$698,MATCH(B328,'Shortlisted Drugs X Company (7)'!$C$3:$C$698,0)),"")</f>
        <v>3110</v>
      </c>
      <c r="M328" s="18" t="n">
        <f aca="false">IFERROR(ROUND(L328*INDEX('Injectable Value'!$Z$28:$Z$178,MATCH(B328,'Injectable Value'!$A$28:$A$178,0)),0),"")</f>
        <v>3110</v>
      </c>
      <c r="N328" s="18" t="n">
        <f aca="false">IFERROR(INDEX('Shortlisted Drugs X Company (7)'!$L$3:$L$698,MATCH(B328,'Shortlisted Drugs X Company (7)'!$C$3:$C$698,0)),"")</f>
        <v>93119.22</v>
      </c>
      <c r="O328" s="15" t="str">
        <f aca="false">IF(AE328="No","IV only (not ID/IM/SC)",IF(AND(V328&gt;0,W328=0),"Price ≤ $5",""))</f>
        <v/>
      </c>
      <c r="P328" s="14" t="n">
        <f aca="false">IF(O328&lt;&gt;"","",COUNTIFS($A$29:$A$361,A328,$O$29:$O$361,"",$AC$29:$AC$361,"&gt;"&amp;AC328)+COUNTIFS($A$29:A328,A328,$O$29:O328,"",$AC$29:AC328,AC328))</f>
        <v>1</v>
      </c>
      <c r="Q328" s="15" t="str">
        <f aca="false">IF(O328&lt;&gt;"",IF(O328="Price ≤ $5","Excluded – price ≤ $5","Excluded – IV only"),IF(ISNUMBER(D328),IF(AND(D328&gt;=$C$3,M328&gt;=$E$3),"Priority 1",IF(OR(D328&gt;=$C$3,M328&gt;=$E$3),"Priority 2","Priority 3")),IF(M328&gt;=$E$3,"Priority 2","Priority 3")))</f>
        <v>Priority 2</v>
      </c>
      <c r="R328" s="16" t="s">
        <v>250</v>
      </c>
      <c r="S328" s="15" t="s">
        <v>202</v>
      </c>
      <c r="T328" s="32" t="s">
        <v>340</v>
      </c>
      <c r="U328" s="33" t="str">
        <f aca="false">B328&amp;"|"&amp;S328</f>
        <v>Ceftriaxone|Wockhardt</v>
      </c>
      <c r="V328" s="34" t="n">
        <f aca="false">COUNTIFS('Shortlisted Drugs X Company (7)'!$C$3:$C$698,$B328,'Shortlisted Drugs X Company (7)'!$E$3:$E$698,$S328,'Shortlisted Drugs X Company (7)'!$N$3:$N$698,"&gt;=0")</f>
        <v>3</v>
      </c>
      <c r="W328" s="34" t="n">
        <f aca="false">COUNTIFS('Shortlisted Drugs X Company (7)'!$C$3:$C$698,$B328,'Shortlisted Drugs X Company (7)'!$E$3:$E$698,$S328,'Shortlisted Drugs X Company (7)'!$N$3:$N$698,"&gt;5")</f>
        <v>3</v>
      </c>
      <c r="X328" s="34" t="n">
        <f aca="false">COUNTIFS('Shortlisted Drugs X Company (7)'!$C$3:$C$698,$B328,'Shortlisted Drugs X Company (7)'!$E$3:$E$698,$S328,'Shortlisted Drugs X Company (7)'!$P$3:$P$698,"Exact")+COUNTIFS('Shortlisted Drugs X Company (7)'!$C$3:$C$698,$B328,'Shortlisted Drugs X Company (7)'!$E$3:$E$698,$S328,'Shortlisted Drugs X Company (7)'!$P$3:$P$698,"Same-market proxy")</f>
        <v>3</v>
      </c>
      <c r="Y328" s="33" t="str">
        <f aca="false">A328&amp;"|"&amp;P328</f>
        <v>Wockhardt|1</v>
      </c>
      <c r="Z328" s="16" t="s">
        <v>1397</v>
      </c>
      <c r="AA328" s="33" t="n">
        <f aca="false">INDEX($G$7:$G$25,MATCH(A328,$A$7:$A$25,0))</f>
        <v>14</v>
      </c>
      <c r="AB328" s="33" t="n">
        <f aca="false">IF(AE328="No","",AA328*1000+IF(P328="",900+COUNTIFS($A$29:A328,A328,$O$29:O328,"Price ≤ $5"),P328))</f>
        <v>14001</v>
      </c>
      <c r="AC328" s="33" t="n">
        <f aca="false">IF(O328&lt;&gt;"","",(4-VALUE(RIGHT(Q328,1)))*10^7+N(F328))</f>
        <v>20093119.2</v>
      </c>
      <c r="AD328" s="15" t="str">
        <f aca="false">IFERROR(INDEX('Route of Administration'!$C$5:$C$155,MATCH(B328,'Route of Administration'!$A$5:$A$155,0)),"")</f>
        <v>IV, IM</v>
      </c>
      <c r="AE328" s="14" t="str">
        <f aca="false">IFERROR(INDEX('Route of Administration'!$D$5:$D$155,MATCH(B328,'Route of Administration'!$A$5:$A$155,0)),"")</f>
        <v>Yes</v>
      </c>
      <c r="AF328" s="19" t="n">
        <f aca="false">IF(V328&gt;0,ROUND(AVERAGEIFS('Shortlisted Drugs X Company (7)'!$N$3:$N$698,'Shortlisted Drugs X Company (7)'!$C$3:$C$698,$B328,'Shortlisted Drugs X Company (7)'!$E$3:$E$698,$S328,'Shortlisted Drugs X Company (7)'!$N$3:$N$698,"&gt;=0"),2),"")</f>
        <v>12.3</v>
      </c>
      <c r="AG328" s="16" t="s">
        <v>336</v>
      </c>
      <c r="AH328" s="16" t="s">
        <v>1398</v>
      </c>
      <c r="AI328" s="16" t="s">
        <v>1398</v>
      </c>
      <c r="AJ328" s="16" t="str">
        <f aca="false">IF(O328&lt;&gt;"","",IF(ISNUMBER(D328),IF(D328&gt;=$C$3,"High price","Lower price"),"Unpriced")&amp;" · "&amp;IF(M328&gt;=$E$3,"high volume","lower volume"))</f>
        <v>Lower price · high volume</v>
      </c>
      <c r="AK328" s="15" t="str">
        <f aca="false">IF(O328&lt;&gt;"",IF(O328="Price ≤ $5","Excluded – price ≤ $5","Excluded – IV only"),IF(ISNUMBER(D328),IF(AND(D328&gt;=$C$3,L328&gt;=$H$3),"Priority 1",IF(OR(D328&gt;=$C$3,L328&gt;=$H$3),"Priority 2","Priority 3")),IF(L328&gt;=$H$3,"Priority 2","Priority 3")))</f>
        <v>Priority 2</v>
      </c>
      <c r="AL328" s="16" t="str">
        <f aca="false">IF(O328&lt;&gt;"","",IF(ISNUMBER(D328),IF(D328&gt;=$C$3,"High price","Lower price"),"Unpriced")&amp;" · "&amp;IF(L328&gt;=$H$3,"high volume","lower volume"))</f>
        <v>Lower price · high volume</v>
      </c>
      <c r="AM328" s="14" t="n">
        <f aca="false">IF(O328&lt;&gt;"","",COUNTIFS($A$29:$A$361,A328,$O$29:$O$361,"",$AQ$29:$AQ$361,"&gt;"&amp;AQ328)+COUNTIFS($A$29:A328,A328,$O$29:O328,"",$AQ$29:AQ328,AQ328))</f>
        <v>1</v>
      </c>
      <c r="AN328" s="19" t="n">
        <f aca="false">IF(AND(O328="",ISNUMBER(D328)),D328,"")</f>
        <v>12.3</v>
      </c>
      <c r="AO328" s="20" t="n">
        <f aca="false">IF(O328="",M328,"")</f>
        <v>3110</v>
      </c>
      <c r="AP328" s="20" t="n">
        <f aca="false">IF(O328="",L328,"")</f>
        <v>3110</v>
      </c>
      <c r="AQ328" s="33" t="n">
        <f aca="false">IF(O328&lt;&gt;"","",(4-VALUE(RIGHT(AK328,1)))*10^7+N(N328))</f>
        <v>20093119.22</v>
      </c>
      <c r="AR328" s="33" t="n">
        <f aca="false">INDEX($O$7:$O$25,MATCH(A328,$I$7:$I$25,0))</f>
        <v>12</v>
      </c>
      <c r="AS328" s="33" t="n">
        <f aca="false">IF(AE328="No","",AR328*1000+IF(AM328="",900+COUNTIFS($A$29:A328,A328,$O$29:O328,"Price ≤ $5"),AM328))</f>
        <v>12001</v>
      </c>
    </row>
    <row r="329" customFormat="false" ht="28.35" hidden="false" customHeight="false" outlineLevel="0" collapsed="false">
      <c r="A329" s="15" t="s">
        <v>202</v>
      </c>
      <c r="B329" s="15" t="s">
        <v>1399</v>
      </c>
      <c r="C329" s="16" t="s">
        <v>1400</v>
      </c>
      <c r="D329" s="17" t="n">
        <f aca="false">IF(W329&gt;0,ROUND(AVERAGEIFS('Shortlisted Drugs X Company (7)'!$N$3:$N$698,'Shortlisted Drugs X Company (7)'!$C$3:$C$698,$B329,'Shortlisted Drugs X Company (7)'!$E$3:$E$698,$S329,'Shortlisted Drugs X Company (7)'!$N$3:$N$698,"&gt;5"),2),"")</f>
        <v>6.74</v>
      </c>
      <c r="E329" s="15" t="str">
        <f aca="false">IF(COUNTIFS('Shortlisted Drugs X Company (7)'!$C$3:$C$698,$B329,'Shortlisted Drugs X Company (7)'!$E$3:$E$698,$S329,'Shortlisted Drugs X Company (7)'!$P$3:$P$698,"Exact")&gt;0,"Exact",IF(COUNTIFS('Shortlisted Drugs X Company (7)'!$C$3:$C$698,$B329,'Shortlisted Drugs X Company (7)'!$E$3:$E$698,$S329,'Shortlisted Drugs X Company (7)'!$P$3:$P$698,"Same-market proxy")&gt;0,"Same-market proxy",IF(COUNTIFS('Shortlisted Drugs X Company (7)'!$C$3:$C$698,$B329,'Shortlisted Drugs X Company (7)'!$E$3:$E$698,$S329,'Shortlisted Drugs X Company (7)'!$P$3:$P$698,"Cross-market proxy")&gt;0,"Cross-market proxy",IF(COUNTIFS('Shortlisted Drugs X Company (7)'!$C$3:$C$698,$B329,'Shortlisted Drugs X Company (7)'!$E$3:$E$698,$S329,'Shortlisted Drugs X Company (7)'!$P$3:$P$698,"Source not found")&gt;0,"Source not found","Not priced"))))</f>
        <v>Same-market proxy</v>
      </c>
      <c r="F329" s="18" t="n">
        <f aca="false">IFERROR(ROUND(INDEX('Injectable Value'!$AA$28:$AA$178,MATCH(B329,'Injectable Value'!$A$28:$A$178,0)),1),"")</f>
        <v>154.9</v>
      </c>
      <c r="G329" s="16" t="s">
        <v>740</v>
      </c>
      <c r="H329" s="14" t="n">
        <v>2</v>
      </c>
      <c r="I329" s="15" t="s">
        <v>316</v>
      </c>
      <c r="J329" s="15" t="s">
        <v>249</v>
      </c>
      <c r="K329" s="16" t="str">
        <f aca="false">""&amp;IF(V329=0,"Unpriced","")&amp;IF(AND(V329&gt;0,W329=0,X329=0),"Low price from another market – confirm with company","")</f>
        <v/>
      </c>
      <c r="L329" s="18" t="n">
        <f aca="false">IFERROR(INDEX('Shortlisted Drugs X Company (7)'!$K$3:$K$698,MATCH(B329,'Shortlisted Drugs X Company (7)'!$C$3:$C$698,0)),"")</f>
        <v>435</v>
      </c>
      <c r="M329" s="18" t="n">
        <f aca="false">IFERROR(ROUND(L329*INDEX('Injectable Value'!$Z$28:$Z$178,MATCH(B329,'Injectable Value'!$A$28:$A$178,0)),0),"")</f>
        <v>9</v>
      </c>
      <c r="N329" s="18" t="n">
        <f aca="false">IFERROR(INDEX('Shortlisted Drugs X Company (7)'!$L$3:$L$698,MATCH(B329,'Shortlisted Drugs X Company (7)'!$C$3:$C$698,0)),"")</f>
        <v>7691.34</v>
      </c>
      <c r="O329" s="15" t="str">
        <f aca="false">IF(AE329="No","IV only (not ID/IM/SC)",IF(AND(V329&gt;0,W329=0),"Price ≤ $5",""))</f>
        <v/>
      </c>
      <c r="P329" s="14" t="n">
        <f aca="false">IF(O329&lt;&gt;"","",COUNTIFS($A$29:$A$361,A329,$O$29:$O$361,"",$AC$29:$AC$361,"&gt;"&amp;AC329)+COUNTIFS($A$29:A329,A329,$O$29:O329,"",$AC$29:AC329,AC329))</f>
        <v>9</v>
      </c>
      <c r="Q329" s="15" t="str">
        <f aca="false">IF(O329&lt;&gt;"",IF(O329="Price ≤ $5","Excluded – price ≤ $5","Excluded – IV only"),IF(ISNUMBER(D329),IF(AND(D329&gt;=$C$3,M329&gt;=$E$3),"Priority 1",IF(OR(D329&gt;=$C$3,M329&gt;=$E$3),"Priority 2","Priority 3")),IF(M329&gt;=$E$3,"Priority 2","Priority 3")))</f>
        <v>Priority 3</v>
      </c>
      <c r="R329" s="16" t="s">
        <v>285</v>
      </c>
      <c r="S329" s="15" t="s">
        <v>202</v>
      </c>
      <c r="T329" s="32" t="s">
        <v>1401</v>
      </c>
      <c r="U329" s="33" t="str">
        <f aca="false">B329&amp;"|"&amp;S329</f>
        <v>Chlorphenamine|Wockhardt</v>
      </c>
      <c r="V329" s="34" t="n">
        <f aca="false">COUNTIFS('Shortlisted Drugs X Company (7)'!$C$3:$C$698,$B329,'Shortlisted Drugs X Company (7)'!$E$3:$E$698,$S329,'Shortlisted Drugs X Company (7)'!$N$3:$N$698,"&gt;=0")</f>
        <v>1</v>
      </c>
      <c r="W329" s="34" t="n">
        <f aca="false">COUNTIFS('Shortlisted Drugs X Company (7)'!$C$3:$C$698,$B329,'Shortlisted Drugs X Company (7)'!$E$3:$E$698,$S329,'Shortlisted Drugs X Company (7)'!$N$3:$N$698,"&gt;5")</f>
        <v>1</v>
      </c>
      <c r="X329" s="34" t="n">
        <f aca="false">COUNTIFS('Shortlisted Drugs X Company (7)'!$C$3:$C$698,$B329,'Shortlisted Drugs X Company (7)'!$E$3:$E$698,$S329,'Shortlisted Drugs X Company (7)'!$P$3:$P$698,"Exact")+COUNTIFS('Shortlisted Drugs X Company (7)'!$C$3:$C$698,$B329,'Shortlisted Drugs X Company (7)'!$E$3:$E$698,$S329,'Shortlisted Drugs X Company (7)'!$P$3:$P$698,"Same-market proxy")</f>
        <v>1</v>
      </c>
      <c r="Y329" s="33" t="str">
        <f aca="false">A329&amp;"|"&amp;P329</f>
        <v>Wockhardt|9</v>
      </c>
      <c r="Z329" s="16" t="s">
        <v>1402</v>
      </c>
      <c r="AA329" s="33" t="n">
        <f aca="false">INDEX($G$7:$G$25,MATCH(A329,$A$7:$A$25,0))</f>
        <v>14</v>
      </c>
      <c r="AB329" s="33" t="n">
        <f aca="false">IF(AE329="No","",AA329*1000+IF(P329="",900+COUNTIFS($A$29:A329,A329,$O$29:O329,"Price ≤ $5"),P329))</f>
        <v>14009</v>
      </c>
      <c r="AC329" s="33" t="n">
        <f aca="false">IF(O329&lt;&gt;"","",(4-VALUE(RIGHT(Q329,1)))*10^7+N(F329))</f>
        <v>10000154.9</v>
      </c>
      <c r="AD329" s="15" t="str">
        <f aca="false">IFERROR(INDEX('Route of Administration'!$C$5:$C$155,MATCH(B329,'Route of Administration'!$A$5:$A$155,0)),"")</f>
        <v>IV, IM, SC</v>
      </c>
      <c r="AE329" s="14" t="str">
        <f aca="false">IFERROR(INDEX('Route of Administration'!$D$5:$D$155,MATCH(B329,'Route of Administration'!$A$5:$A$155,0)),"")</f>
        <v>Yes</v>
      </c>
      <c r="AF329" s="19" t="n">
        <f aca="false">IF(V329&gt;0,ROUND(AVERAGEIFS('Shortlisted Drugs X Company (7)'!$N$3:$N$698,'Shortlisted Drugs X Company (7)'!$C$3:$C$698,$B329,'Shortlisted Drugs X Company (7)'!$E$3:$E$698,$S329,'Shortlisted Drugs X Company (7)'!$N$3:$N$698,"&gt;=0"),2),"")</f>
        <v>6.74</v>
      </c>
      <c r="AG329" s="16" t="s">
        <v>1399</v>
      </c>
      <c r="AH329" s="16" t="s">
        <v>740</v>
      </c>
      <c r="AI329" s="16" t="s">
        <v>740</v>
      </c>
      <c r="AJ329" s="16" t="str">
        <f aca="false">IF(O329&lt;&gt;"","",IF(ISNUMBER(D329),IF(D329&gt;=$C$3,"High price","Lower price"),"Unpriced")&amp;" · "&amp;IF(M329&gt;=$E$3,"high volume","lower volume"))</f>
        <v>Lower price · lower volume</v>
      </c>
      <c r="AK329" s="15" t="str">
        <f aca="false">IF(O329&lt;&gt;"",IF(O329="Price ≤ $5","Excluded – price ≤ $5","Excluded – IV only"),IF(ISNUMBER(D329),IF(AND(D329&gt;=$C$3,L329&gt;=$H$3),"Priority 1",IF(OR(D329&gt;=$C$3,L329&gt;=$H$3),"Priority 2","Priority 3")),IF(L329&gt;=$H$3,"Priority 2","Priority 3")))</f>
        <v>Priority 2</v>
      </c>
      <c r="AL329" s="16" t="str">
        <f aca="false">IF(O329&lt;&gt;"","",IF(ISNUMBER(D329),IF(D329&gt;=$C$3,"High price","Lower price"),"Unpriced")&amp;" · "&amp;IF(L329&gt;=$H$3,"high volume","lower volume"))</f>
        <v>Lower price · high volume</v>
      </c>
      <c r="AM329" s="14" t="n">
        <f aca="false">IF(O329&lt;&gt;"","",COUNTIFS($A$29:$A$361,A329,$O$29:$O$361,"",$AQ$29:$AQ$361,"&gt;"&amp;AQ329)+COUNTIFS($A$29:A329,A329,$O$29:O329,"",$AQ$29:AQ329,AQ329))</f>
        <v>4</v>
      </c>
      <c r="AN329" s="19" t="n">
        <f aca="false">IF(AND(O329="",ISNUMBER(D329)),D329,"")</f>
        <v>6.74</v>
      </c>
      <c r="AO329" s="20" t="n">
        <f aca="false">IF(O329="",M329,"")</f>
        <v>9</v>
      </c>
      <c r="AP329" s="20" t="n">
        <f aca="false">IF(O329="",L329,"")</f>
        <v>435</v>
      </c>
      <c r="AQ329" s="33" t="n">
        <f aca="false">IF(O329&lt;&gt;"","",(4-VALUE(RIGHT(AK329,1)))*10^7+N(N329))</f>
        <v>20007691.34</v>
      </c>
      <c r="AR329" s="33" t="n">
        <f aca="false">INDEX($O$7:$O$25,MATCH(A329,$I$7:$I$25,0))</f>
        <v>12</v>
      </c>
      <c r="AS329" s="33" t="n">
        <f aca="false">IF(AE329="No","",AR329*1000+IF(AM329="",900+COUNTIFS($A$29:A329,A329,$O$29:O329,"Price ≤ $5"),AM329))</f>
        <v>12004</v>
      </c>
    </row>
    <row r="330" customFormat="false" ht="41.75" hidden="false" customHeight="false" outlineLevel="0" collapsed="false">
      <c r="A330" s="15" t="s">
        <v>202</v>
      </c>
      <c r="B330" s="15" t="s">
        <v>356</v>
      </c>
      <c r="C330" s="16" t="s">
        <v>357</v>
      </c>
      <c r="D330" s="17" t="n">
        <f aca="false">IF(W330&gt;0,ROUND(AVERAGEIFS('Shortlisted Drugs X Company (7)'!$N$3:$N$698,'Shortlisted Drugs X Company (7)'!$C$3:$C$698,$B330,'Shortlisted Drugs X Company (7)'!$E$3:$E$698,$S330,'Shortlisted Drugs X Company (7)'!$N$3:$N$698,"&gt;5"),2),"")</f>
        <v>87.85</v>
      </c>
      <c r="E330" s="15" t="str">
        <f aca="false">IF(COUNTIFS('Shortlisted Drugs X Company (7)'!$C$3:$C$698,$B330,'Shortlisted Drugs X Company (7)'!$E$3:$E$698,$S330,'Shortlisted Drugs X Company (7)'!$P$3:$P$698,"Exact")&gt;0,"Exact",IF(COUNTIFS('Shortlisted Drugs X Company (7)'!$C$3:$C$698,$B330,'Shortlisted Drugs X Company (7)'!$E$3:$E$698,$S330,'Shortlisted Drugs X Company (7)'!$P$3:$P$698,"Same-market proxy")&gt;0,"Same-market proxy",IF(COUNTIFS('Shortlisted Drugs X Company (7)'!$C$3:$C$698,$B330,'Shortlisted Drugs X Company (7)'!$E$3:$E$698,$S330,'Shortlisted Drugs X Company (7)'!$P$3:$P$698,"Cross-market proxy")&gt;0,"Cross-market proxy",IF(COUNTIFS('Shortlisted Drugs X Company (7)'!$C$3:$C$698,$B330,'Shortlisted Drugs X Company (7)'!$E$3:$E$698,$S330,'Shortlisted Drugs X Company (7)'!$P$3:$P$698,"Source not found")&gt;0,"Source not found","Not priced"))))</f>
        <v>Exact</v>
      </c>
      <c r="F330" s="18" t="n">
        <f aca="false">IFERROR(ROUND(INDEX('Injectable Value'!$AA$28:$AA$178,MATCH(B330,'Injectable Value'!$A$28:$A$178,0)),1),"")</f>
        <v>59827.2</v>
      </c>
      <c r="G330" s="16" t="s">
        <v>740</v>
      </c>
      <c r="H330" s="14" t="n">
        <v>3</v>
      </c>
      <c r="I330" s="15" t="s">
        <v>248</v>
      </c>
      <c r="J330" s="15" t="s">
        <v>299</v>
      </c>
      <c r="K330" s="16" t="str">
        <f aca="false">"Reconstitution"&amp;IF(V330=0,"; Unpriced","")&amp;IF(AND(V330&gt;0,W330=0,X330=0),"; Low price from another market – confirm with company","")</f>
        <v>Reconstitution</v>
      </c>
      <c r="L330" s="18" t="n">
        <f aca="false">IFERROR(INDEX('Shortlisted Drugs X Company (7)'!$K$3:$K$698,MATCH(B330,'Shortlisted Drugs X Company (7)'!$C$3:$C$698,0)),"")</f>
        <v>312</v>
      </c>
      <c r="M330" s="18" t="n">
        <f aca="false">IFERROR(ROUND(L330*INDEX('Injectable Value'!$Z$28:$Z$178,MATCH(B330,'Injectable Value'!$A$28:$A$178,0)),0),"")</f>
        <v>312</v>
      </c>
      <c r="N330" s="18" t="n">
        <f aca="false">IFERROR(INDEX('Shortlisted Drugs X Company (7)'!$L$3:$L$698,MATCH(B330,'Shortlisted Drugs X Company (7)'!$C$3:$C$698,0)),"")</f>
        <v>59827.18</v>
      </c>
      <c r="O330" s="15" t="str">
        <f aca="false">IF(AE330="No","IV only (not ID/IM/SC)",IF(AND(V330&gt;0,W330=0),"Price ≤ $5",""))</f>
        <v>IV only (not ID/IM/SC)</v>
      </c>
      <c r="P330" s="14" t="str">
        <f aca="false">IF(O330&lt;&gt;"","",COUNTIFS($A$29:$A$361,A330,$O$29:$O$361,"",$AC$29:$AC$361,"&gt;"&amp;AC330)+COUNTIFS($A$29:A330,A330,$O$29:O330,"",$AC$29:AC330,AC330))</f>
        <v/>
      </c>
      <c r="Q330" s="15" t="str">
        <f aca="false">IF(O330&lt;&gt;"",IF(O330="Price ≤ $5","Excluded – price ≤ $5","Excluded – IV only"),IF(ISNUMBER(D330),IF(AND(D330&gt;=$C$3,M330&gt;=$E$3),"Priority 1",IF(OR(D330&gt;=$C$3,M330&gt;=$E$3),"Priority 2","Priority 3")),IF(M330&gt;=$E$3,"Priority 2","Priority 3")))</f>
        <v>Excluded – IV only</v>
      </c>
      <c r="R330" s="16" t="s">
        <v>250</v>
      </c>
      <c r="S330" s="15" t="s">
        <v>202</v>
      </c>
      <c r="T330" s="32" t="s">
        <v>358</v>
      </c>
      <c r="U330" s="33" t="str">
        <f aca="false">B330&amp;"|"&amp;S330</f>
        <v>Daptomycin|Wockhardt</v>
      </c>
      <c r="V330" s="34" t="n">
        <f aca="false">COUNTIFS('Shortlisted Drugs X Company (7)'!$C$3:$C$698,$B330,'Shortlisted Drugs X Company (7)'!$E$3:$E$698,$S330,'Shortlisted Drugs X Company (7)'!$N$3:$N$698,"&gt;=0")</f>
        <v>2</v>
      </c>
      <c r="W330" s="34" t="n">
        <f aca="false">COUNTIFS('Shortlisted Drugs X Company (7)'!$C$3:$C$698,$B330,'Shortlisted Drugs X Company (7)'!$E$3:$E$698,$S330,'Shortlisted Drugs X Company (7)'!$N$3:$N$698,"&gt;5")</f>
        <v>2</v>
      </c>
      <c r="X330" s="34" t="n">
        <f aca="false">COUNTIFS('Shortlisted Drugs X Company (7)'!$C$3:$C$698,$B330,'Shortlisted Drugs X Company (7)'!$E$3:$E$698,$S330,'Shortlisted Drugs X Company (7)'!$P$3:$P$698,"Exact")+COUNTIFS('Shortlisted Drugs X Company (7)'!$C$3:$C$698,$B330,'Shortlisted Drugs X Company (7)'!$E$3:$E$698,$S330,'Shortlisted Drugs X Company (7)'!$P$3:$P$698,"Same-market proxy")</f>
        <v>1</v>
      </c>
      <c r="Y330" s="33" t="str">
        <f aca="false">A330&amp;"|"&amp;P330</f>
        <v>Wockhardt|</v>
      </c>
      <c r="Z330" s="16" t="s">
        <v>685</v>
      </c>
      <c r="AA330" s="33" t="n">
        <f aca="false">INDEX($G$7:$G$25,MATCH(A330,$A$7:$A$25,0))</f>
        <v>14</v>
      </c>
      <c r="AB330" s="33" t="str">
        <f aca="false">IF(AE330="No","",AA330*1000+IF(P330="",900+COUNTIFS($A$29:A330,A330,$O$29:O330,"Price ≤ $5"),P330))</f>
        <v/>
      </c>
      <c r="AC330" s="33" t="str">
        <f aca="false">IF(O330&lt;&gt;"","",(4-VALUE(RIGHT(Q330,1)))*10^7+N(F330))</f>
        <v/>
      </c>
      <c r="AD330" s="15" t="str">
        <f aca="false">IFERROR(INDEX('Route of Administration'!$C$5:$C$155,MATCH(B330,'Route of Administration'!$A$5:$A$155,0)),"")</f>
        <v>IV</v>
      </c>
      <c r="AE330" s="14" t="str">
        <f aca="false">IFERROR(INDEX('Route of Administration'!$D$5:$D$155,MATCH(B330,'Route of Administration'!$A$5:$A$155,0)),"")</f>
        <v>No</v>
      </c>
      <c r="AF330" s="19" t="n">
        <f aca="false">IF(V330&gt;0,ROUND(AVERAGEIFS('Shortlisted Drugs X Company (7)'!$N$3:$N$698,'Shortlisted Drugs X Company (7)'!$C$3:$C$698,$B330,'Shortlisted Drugs X Company (7)'!$E$3:$E$698,$S330,'Shortlisted Drugs X Company (7)'!$N$3:$N$698,"&gt;=0"),2),"")</f>
        <v>87.85</v>
      </c>
      <c r="AG330" s="16" t="s">
        <v>1403</v>
      </c>
      <c r="AH330" s="16" t="s">
        <v>1404</v>
      </c>
      <c r="AI330" s="16" t="s">
        <v>1404</v>
      </c>
      <c r="AJ330" s="16" t="str">
        <f aca="false">IF(O330&lt;&gt;"","",IF(ISNUMBER(D330),IF(D330&gt;=$C$3,"High price","Lower price"),"Unpriced")&amp;" · "&amp;IF(M330&gt;=$E$3,"high volume","lower volume"))</f>
        <v/>
      </c>
      <c r="AK330" s="15" t="str">
        <f aca="false">IF(O330&lt;&gt;"",IF(O330="Price ≤ $5","Excluded – price ≤ $5","Excluded – IV only"),IF(ISNUMBER(D330),IF(AND(D330&gt;=$C$3,L330&gt;=$H$3),"Priority 1",IF(OR(D330&gt;=$C$3,L330&gt;=$H$3),"Priority 2","Priority 3")),IF(L330&gt;=$H$3,"Priority 2","Priority 3")))</f>
        <v>Excluded – IV only</v>
      </c>
      <c r="AL330" s="16" t="str">
        <f aca="false">IF(O330&lt;&gt;"","",IF(ISNUMBER(D330),IF(D330&gt;=$C$3,"High price","Lower price"),"Unpriced")&amp;" · "&amp;IF(L330&gt;=$H$3,"high volume","lower volume"))</f>
        <v/>
      </c>
      <c r="AM330" s="14" t="str">
        <f aca="false">IF(O330&lt;&gt;"","",COUNTIFS($A$29:$A$361,A330,$O$29:$O$361,"",$AQ$29:$AQ$361,"&gt;"&amp;AQ330)+COUNTIFS($A$29:A330,A330,$O$29:O330,"",$AQ$29:AQ330,AQ330))</f>
        <v/>
      </c>
      <c r="AN330" s="33" t="str">
        <f aca="false">IF(AND(O330="",ISNUMBER(D330)),D330,"")</f>
        <v/>
      </c>
      <c r="AO330" s="33" t="str">
        <f aca="false">IF(O330="",M330,"")</f>
        <v/>
      </c>
      <c r="AP330" s="33" t="str">
        <f aca="false">IF(O330="",L330,"")</f>
        <v/>
      </c>
      <c r="AQ330" s="33" t="str">
        <f aca="false">IF(O330&lt;&gt;"","",(4-VALUE(RIGHT(AK330,1)))*10^7+N(N330))</f>
        <v/>
      </c>
      <c r="AR330" s="33" t="n">
        <f aca="false">INDEX($O$7:$O$25,MATCH(A330,$I$7:$I$25,0))</f>
        <v>12</v>
      </c>
      <c r="AS330" s="33" t="str">
        <f aca="false">IF(AE330="No","",AR330*1000+IF(AM330="",900+COUNTIFS($A$29:A330,A330,$O$29:O330,"Price ≤ $5"),AM330))</f>
        <v/>
      </c>
    </row>
    <row r="331" customFormat="false" ht="28.35" hidden="false" customHeight="false" outlineLevel="0" collapsed="false">
      <c r="A331" s="15" t="s">
        <v>202</v>
      </c>
      <c r="B331" s="15" t="s">
        <v>1405</v>
      </c>
      <c r="C331" s="16" t="s">
        <v>1406</v>
      </c>
      <c r="D331" s="17" t="n">
        <f aca="false">IF(W331&gt;0,ROUND(AVERAGEIFS('Shortlisted Drugs X Company (7)'!$N$3:$N$698,'Shortlisted Drugs X Company (7)'!$C$3:$C$698,$B331,'Shortlisted Drugs X Company (7)'!$E$3:$E$698,$S331,'Shortlisted Drugs X Company (7)'!$N$3:$N$698,"&gt;5"),2),"")</f>
        <v>8.98</v>
      </c>
      <c r="E331" s="15" t="str">
        <f aca="false">IF(COUNTIFS('Shortlisted Drugs X Company (7)'!$C$3:$C$698,$B331,'Shortlisted Drugs X Company (7)'!$E$3:$E$698,$S331,'Shortlisted Drugs X Company (7)'!$P$3:$P$698,"Exact")&gt;0,"Exact",IF(COUNTIFS('Shortlisted Drugs X Company (7)'!$C$3:$C$698,$B331,'Shortlisted Drugs X Company (7)'!$E$3:$E$698,$S331,'Shortlisted Drugs X Company (7)'!$P$3:$P$698,"Same-market proxy")&gt;0,"Same-market proxy",IF(COUNTIFS('Shortlisted Drugs X Company (7)'!$C$3:$C$698,$B331,'Shortlisted Drugs X Company (7)'!$E$3:$E$698,$S331,'Shortlisted Drugs X Company (7)'!$P$3:$P$698,"Cross-market proxy")&gt;0,"Cross-market proxy",IF(COUNTIFS('Shortlisted Drugs X Company (7)'!$C$3:$C$698,$B331,'Shortlisted Drugs X Company (7)'!$E$3:$E$698,$S331,'Shortlisted Drugs X Company (7)'!$P$3:$P$698,"Source not found")&gt;0,"Source not found","Not priced"))))</f>
        <v>Exact</v>
      </c>
      <c r="F331" s="18" t="n">
        <f aca="false">IFERROR(ROUND(INDEX('Injectable Value'!$AA$28:$AA$178,MATCH(B331,'Injectable Value'!$A$28:$A$178,0)),1),"")</f>
        <v>4492.8</v>
      </c>
      <c r="G331" s="16" t="s">
        <v>740</v>
      </c>
      <c r="H331" s="14" t="n">
        <v>2</v>
      </c>
      <c r="I331" s="15" t="s">
        <v>316</v>
      </c>
      <c r="J331" s="15" t="s">
        <v>249</v>
      </c>
      <c r="K331" s="16" t="str">
        <f aca="false">""&amp;IF(V331=0,"Unpriced","")&amp;IF(AND(V331&gt;0,W331=0,X331=0),"Low price from another market – confirm with company","")</f>
        <v/>
      </c>
      <c r="L331" s="18" t="n">
        <f aca="false">IFERROR(INDEX('Shortlisted Drugs X Company (7)'!$K$3:$K$698,MATCH(B331,'Shortlisted Drugs X Company (7)'!$C$3:$C$698,0)),"")</f>
        <v>669</v>
      </c>
      <c r="M331" s="18" t="n">
        <f aca="false">IFERROR(ROUND(L331*INDEX('Injectable Value'!$Z$28:$Z$178,MATCH(B331,'Injectable Value'!$A$28:$A$178,0)),0),"")</f>
        <v>273</v>
      </c>
      <c r="N331" s="18" t="n">
        <f aca="false">IFERROR(INDEX('Shortlisted Drugs X Company (7)'!$L$3:$L$698,MATCH(B331,'Shortlisted Drugs X Company (7)'!$C$3:$C$698,0)),"")</f>
        <v>11022.87</v>
      </c>
      <c r="O331" s="15" t="str">
        <f aca="false">IF(AE331="No","IV only (not ID/IM/SC)",IF(AND(V331&gt;0,W331=0),"Price ≤ $5",""))</f>
        <v/>
      </c>
      <c r="P331" s="14" t="n">
        <f aca="false">IF(O331&lt;&gt;"","",COUNTIFS($A$29:$A$361,A331,$O$29:$O$361,"",$AC$29:$AC$361,"&gt;"&amp;AC331)+COUNTIFS($A$29:A331,A331,$O$29:O331,"",$AC$29:AC331,AC331))</f>
        <v>4</v>
      </c>
      <c r="Q331" s="15" t="str">
        <f aca="false">IF(O331&lt;&gt;"",IF(O331="Price ≤ $5","Excluded – price ≤ $5","Excluded – IV only"),IF(ISNUMBER(D331),IF(AND(D331&gt;=$C$3,M331&gt;=$E$3),"Priority 1",IF(OR(D331&gt;=$C$3,M331&gt;=$E$3),"Priority 2","Priority 3")),IF(M331&gt;=$E$3,"Priority 2","Priority 3")))</f>
        <v>Priority 2</v>
      </c>
      <c r="R331" s="16" t="s">
        <v>285</v>
      </c>
      <c r="S331" s="15" t="s">
        <v>202</v>
      </c>
      <c r="T331" s="32" t="s">
        <v>1407</v>
      </c>
      <c r="U331" s="33" t="str">
        <f aca="false">B331&amp;"|"&amp;S331</f>
        <v>Haloperidol|Wockhardt</v>
      </c>
      <c r="V331" s="34" t="n">
        <f aca="false">COUNTIFS('Shortlisted Drugs X Company (7)'!$C$3:$C$698,$B331,'Shortlisted Drugs X Company (7)'!$E$3:$E$698,$S331,'Shortlisted Drugs X Company (7)'!$N$3:$N$698,"&gt;=0")</f>
        <v>1</v>
      </c>
      <c r="W331" s="34" t="n">
        <f aca="false">COUNTIFS('Shortlisted Drugs X Company (7)'!$C$3:$C$698,$B331,'Shortlisted Drugs X Company (7)'!$E$3:$E$698,$S331,'Shortlisted Drugs X Company (7)'!$N$3:$N$698,"&gt;5")</f>
        <v>1</v>
      </c>
      <c r="X331" s="34" t="n">
        <f aca="false">COUNTIFS('Shortlisted Drugs X Company (7)'!$C$3:$C$698,$B331,'Shortlisted Drugs X Company (7)'!$E$3:$E$698,$S331,'Shortlisted Drugs X Company (7)'!$P$3:$P$698,"Exact")+COUNTIFS('Shortlisted Drugs X Company (7)'!$C$3:$C$698,$B331,'Shortlisted Drugs X Company (7)'!$E$3:$E$698,$S331,'Shortlisted Drugs X Company (7)'!$P$3:$P$698,"Same-market proxy")</f>
        <v>1</v>
      </c>
      <c r="Y331" s="33" t="str">
        <f aca="false">A331&amp;"|"&amp;P331</f>
        <v>Wockhardt|4</v>
      </c>
      <c r="Z331" s="16" t="s">
        <v>1408</v>
      </c>
      <c r="AA331" s="33" t="n">
        <f aca="false">INDEX($G$7:$G$25,MATCH(A331,$A$7:$A$25,0))</f>
        <v>14</v>
      </c>
      <c r="AB331" s="33" t="n">
        <f aca="false">IF(AE331="No","",AA331*1000+IF(P331="",900+COUNTIFS($A$29:A331,A331,$O$29:O331,"Price ≤ $5"),P331))</f>
        <v>14004</v>
      </c>
      <c r="AC331" s="33" t="n">
        <f aca="false">IF(O331&lt;&gt;"","",(4-VALUE(RIGHT(Q331,1)))*10^7+N(F331))</f>
        <v>20004492.8</v>
      </c>
      <c r="AD331" s="15" t="str">
        <f aca="false">IFERROR(INDEX('Route of Administration'!$C$5:$C$155,MATCH(B331,'Route of Administration'!$A$5:$A$155,0)),"")</f>
        <v>IM</v>
      </c>
      <c r="AE331" s="14" t="str">
        <f aca="false">IFERROR(INDEX('Route of Administration'!$D$5:$D$155,MATCH(B331,'Route of Administration'!$A$5:$A$155,0)),"")</f>
        <v>Yes</v>
      </c>
      <c r="AF331" s="19" t="n">
        <f aca="false">IF(V331&gt;0,ROUND(AVERAGEIFS('Shortlisted Drugs X Company (7)'!$N$3:$N$698,'Shortlisted Drugs X Company (7)'!$C$3:$C$698,$B331,'Shortlisted Drugs X Company (7)'!$E$3:$E$698,$S331,'Shortlisted Drugs X Company (7)'!$N$3:$N$698,"&gt;=0"),2),"")</f>
        <v>8.98</v>
      </c>
      <c r="AG331" s="16" t="s">
        <v>1405</v>
      </c>
      <c r="AH331" s="16" t="s">
        <v>740</v>
      </c>
      <c r="AI331" s="16" t="s">
        <v>740</v>
      </c>
      <c r="AJ331" s="16" t="str">
        <f aca="false">IF(O331&lt;&gt;"","",IF(ISNUMBER(D331),IF(D331&gt;=$C$3,"High price","Lower price"),"Unpriced")&amp;" · "&amp;IF(M331&gt;=$E$3,"high volume","lower volume"))</f>
        <v>Lower price · high volume</v>
      </c>
      <c r="AK331" s="15" t="str">
        <f aca="false">IF(O331&lt;&gt;"",IF(O331="Price ≤ $5","Excluded – price ≤ $5","Excluded – IV only"),IF(ISNUMBER(D331),IF(AND(D331&gt;=$C$3,L331&gt;=$H$3),"Priority 1",IF(OR(D331&gt;=$C$3,L331&gt;=$H$3),"Priority 2","Priority 3")),IF(L331&gt;=$H$3,"Priority 2","Priority 3")))</f>
        <v>Priority 2</v>
      </c>
      <c r="AL331" s="16" t="str">
        <f aca="false">IF(O331&lt;&gt;"","",IF(ISNUMBER(D331),IF(D331&gt;=$C$3,"High price","Lower price"),"Unpriced")&amp;" · "&amp;IF(L331&gt;=$H$3,"high volume","lower volume"))</f>
        <v>Lower price · high volume</v>
      </c>
      <c r="AM331" s="14" t="n">
        <f aca="false">IF(O331&lt;&gt;"","",COUNTIFS($A$29:$A$361,A331,$O$29:$O$361,"",$AQ$29:$AQ$361,"&gt;"&amp;AQ331)+COUNTIFS($A$29:A331,A331,$O$29:O331,"",$AQ$29:AQ331,AQ331))</f>
        <v>3</v>
      </c>
      <c r="AN331" s="19" t="n">
        <f aca="false">IF(AND(O331="",ISNUMBER(D331)),D331,"")</f>
        <v>8.98</v>
      </c>
      <c r="AO331" s="20" t="n">
        <f aca="false">IF(O331="",M331,"")</f>
        <v>273</v>
      </c>
      <c r="AP331" s="20" t="n">
        <f aca="false">IF(O331="",L331,"")</f>
        <v>669</v>
      </c>
      <c r="AQ331" s="33" t="n">
        <f aca="false">IF(O331&lt;&gt;"","",(4-VALUE(RIGHT(AK331,1)))*10^7+N(N331))</f>
        <v>20011022.87</v>
      </c>
      <c r="AR331" s="33" t="n">
        <f aca="false">INDEX($O$7:$O$25,MATCH(A331,$I$7:$I$25,0))</f>
        <v>12</v>
      </c>
      <c r="AS331" s="33" t="n">
        <f aca="false">IF(AE331="No","",AR331*1000+IF(AM331="",900+COUNTIFS($A$29:A331,A331,$O$29:O331,"Price ≤ $5"),AM331))</f>
        <v>12003</v>
      </c>
    </row>
    <row r="332" customFormat="false" ht="28.35" hidden="false" customHeight="false" outlineLevel="0" collapsed="false">
      <c r="A332" s="15" t="s">
        <v>202</v>
      </c>
      <c r="B332" s="15" t="s">
        <v>1409</v>
      </c>
      <c r="C332" s="16" t="s">
        <v>1410</v>
      </c>
      <c r="D332" s="17" t="n">
        <f aca="false">IF(W332&gt;0,ROUND(AVERAGEIFS('Shortlisted Drugs X Company (7)'!$N$3:$N$698,'Shortlisted Drugs X Company (7)'!$C$3:$C$698,$B332,'Shortlisted Drugs X Company (7)'!$E$3:$E$698,$S332,'Shortlisted Drugs X Company (7)'!$N$3:$N$698,"&gt;5"),2),"")</f>
        <v>59.12</v>
      </c>
      <c r="E332" s="15" t="str">
        <f aca="false">IF(COUNTIFS('Shortlisted Drugs X Company (7)'!$C$3:$C$698,$B332,'Shortlisted Drugs X Company (7)'!$E$3:$E$698,$S332,'Shortlisted Drugs X Company (7)'!$P$3:$P$698,"Exact")&gt;0,"Exact",IF(COUNTIFS('Shortlisted Drugs X Company (7)'!$C$3:$C$698,$B332,'Shortlisted Drugs X Company (7)'!$E$3:$E$698,$S332,'Shortlisted Drugs X Company (7)'!$P$3:$P$698,"Same-market proxy")&gt;0,"Same-market proxy",IF(COUNTIFS('Shortlisted Drugs X Company (7)'!$C$3:$C$698,$B332,'Shortlisted Drugs X Company (7)'!$E$3:$E$698,$S332,'Shortlisted Drugs X Company (7)'!$P$3:$P$698,"Cross-market proxy")&gt;0,"Cross-market proxy",IF(COUNTIFS('Shortlisted Drugs X Company (7)'!$C$3:$C$698,$B332,'Shortlisted Drugs X Company (7)'!$E$3:$E$698,$S332,'Shortlisted Drugs X Company (7)'!$P$3:$P$698,"Source not found")&gt;0,"Source not found","Not priced"))))</f>
        <v>Cross-market proxy</v>
      </c>
      <c r="F332" s="18" t="n">
        <f aca="false">IFERROR(ROUND(INDEX('Injectable Value'!$AA$28:$AA$178,MATCH(B332,'Injectable Value'!$A$28:$A$178,0)),1),"")</f>
        <v>175.1</v>
      </c>
      <c r="G332" s="16" t="s">
        <v>881</v>
      </c>
      <c r="H332" s="14" t="n">
        <v>3</v>
      </c>
      <c r="I332" s="15" t="s">
        <v>316</v>
      </c>
      <c r="J332" s="15" t="s">
        <v>299</v>
      </c>
      <c r="K332" s="16" t="str">
        <f aca="false">"Reconstitution"&amp;IF(V332=0,"; Unpriced","")&amp;IF(AND(V332&gt;0,W332=0,X332=0),"; Low price from another market – confirm with company","")</f>
        <v>Reconstitution</v>
      </c>
      <c r="L332" s="18" t="n">
        <f aca="false">IFERROR(INDEX('Shortlisted Drugs X Company (7)'!$K$3:$K$698,MATCH(B332,'Shortlisted Drugs X Company (7)'!$C$3:$C$698,0)),"")</f>
        <v>106</v>
      </c>
      <c r="M332" s="18" t="n">
        <f aca="false">IFERROR(ROUND(L332*INDEX('Injectable Value'!$Z$28:$Z$178,MATCH(B332,'Injectable Value'!$A$28:$A$178,0)),0),"")</f>
        <v>106</v>
      </c>
      <c r="N332" s="18" t="n">
        <f aca="false">IFERROR(INDEX('Shortlisted Drugs X Company (7)'!$L$3:$L$698,MATCH(B332,'Shortlisted Drugs X Company (7)'!$C$3:$C$698,0)),"")</f>
        <v>175.06</v>
      </c>
      <c r="O332" s="15" t="str">
        <f aca="false">IF(AE332="No","IV only (not ID/IM/SC)",IF(AND(V332&gt;0,W332=0),"Price ≤ $5",""))</f>
        <v/>
      </c>
      <c r="P332" s="14" t="n">
        <f aca="false">IF(O332&lt;&gt;"","",COUNTIFS($A$29:$A$361,A332,$O$29:$O$361,"",$AC$29:$AC$361,"&gt;"&amp;AC332)+COUNTIFS($A$29:A332,A332,$O$29:O332,"",$AC$29:AC332,AC332))</f>
        <v>5</v>
      </c>
      <c r="Q332" s="15" t="str">
        <f aca="false">IF(O332&lt;&gt;"",IF(O332="Price ≤ $5","Excluded – price ≤ $5","Excluded – IV only"),IF(ISNUMBER(D332),IF(AND(D332&gt;=$C$3,M332&gt;=$E$3),"Priority 1",IF(OR(D332&gt;=$C$3,M332&gt;=$E$3),"Priority 2","Priority 3")),IF(M332&gt;=$E$3,"Priority 2","Priority 3")))</f>
        <v>Priority 2</v>
      </c>
      <c r="R332" s="16" t="s">
        <v>285</v>
      </c>
      <c r="S332" s="15" t="s">
        <v>202</v>
      </c>
      <c r="T332" s="32" t="s">
        <v>1411</v>
      </c>
      <c r="U332" s="33" t="str">
        <f aca="false">B332&amp;"|"&amp;S332</f>
        <v>Hyaluronidase|Wockhardt</v>
      </c>
      <c r="V332" s="34" t="n">
        <f aca="false">COUNTIFS('Shortlisted Drugs X Company (7)'!$C$3:$C$698,$B332,'Shortlisted Drugs X Company (7)'!$E$3:$E$698,$S332,'Shortlisted Drugs X Company (7)'!$N$3:$N$698,"&gt;=0")</f>
        <v>1</v>
      </c>
      <c r="W332" s="34" t="n">
        <f aca="false">COUNTIFS('Shortlisted Drugs X Company (7)'!$C$3:$C$698,$B332,'Shortlisted Drugs X Company (7)'!$E$3:$E$698,$S332,'Shortlisted Drugs X Company (7)'!$N$3:$N$698,"&gt;5")</f>
        <v>1</v>
      </c>
      <c r="X332" s="34" t="n">
        <f aca="false">COUNTIFS('Shortlisted Drugs X Company (7)'!$C$3:$C$698,$B332,'Shortlisted Drugs X Company (7)'!$E$3:$E$698,$S332,'Shortlisted Drugs X Company (7)'!$P$3:$P$698,"Exact")+COUNTIFS('Shortlisted Drugs X Company (7)'!$C$3:$C$698,$B332,'Shortlisted Drugs X Company (7)'!$E$3:$E$698,$S332,'Shortlisted Drugs X Company (7)'!$P$3:$P$698,"Same-market proxy")</f>
        <v>0</v>
      </c>
      <c r="Y332" s="33" t="str">
        <f aca="false">A332&amp;"|"&amp;P332</f>
        <v>Wockhardt|5</v>
      </c>
      <c r="Z332" s="16" t="s">
        <v>1412</v>
      </c>
      <c r="AA332" s="33" t="n">
        <f aca="false">INDEX($G$7:$G$25,MATCH(A332,$A$7:$A$25,0))</f>
        <v>14</v>
      </c>
      <c r="AB332" s="33" t="n">
        <f aca="false">IF(AE332="No","",AA332*1000+IF(P332="",900+COUNTIFS($A$29:A332,A332,$O$29:O332,"Price ≤ $5"),P332))</f>
        <v>14005</v>
      </c>
      <c r="AC332" s="33" t="n">
        <f aca="false">IF(O332&lt;&gt;"","",(4-VALUE(RIGHT(Q332,1)))*10^7+N(F332))</f>
        <v>20000175.1</v>
      </c>
      <c r="AD332" s="15" t="str">
        <f aca="false">IFERROR(INDEX('Route of Administration'!$C$5:$C$155,MATCH(B332,'Route of Administration'!$A$5:$A$155,0)),"")</f>
        <v>SC</v>
      </c>
      <c r="AE332" s="14" t="str">
        <f aca="false">IFERROR(INDEX('Route of Administration'!$D$5:$D$155,MATCH(B332,'Route of Administration'!$A$5:$A$155,0)),"")</f>
        <v>Yes</v>
      </c>
      <c r="AF332" s="19" t="n">
        <f aca="false">IF(V332&gt;0,ROUND(AVERAGEIFS('Shortlisted Drugs X Company (7)'!$N$3:$N$698,'Shortlisted Drugs X Company (7)'!$C$3:$C$698,$B332,'Shortlisted Drugs X Company (7)'!$E$3:$E$698,$S332,'Shortlisted Drugs X Company (7)'!$N$3:$N$698,"&gt;=0"),2),"")</f>
        <v>59.12</v>
      </c>
      <c r="AG332" s="16" t="s">
        <v>1413</v>
      </c>
      <c r="AH332" s="16" t="s">
        <v>1414</v>
      </c>
      <c r="AI332" s="16" t="s">
        <v>1414</v>
      </c>
      <c r="AJ332" s="16" t="str">
        <f aca="false">IF(O332&lt;&gt;"","",IF(ISNUMBER(D332),IF(D332&gt;=$C$3,"High price","Lower price"),"Unpriced")&amp;" · "&amp;IF(M332&gt;=$E$3,"high volume","lower volume"))</f>
        <v>High price · lower volume</v>
      </c>
      <c r="AK332" s="15" t="str">
        <f aca="false">IF(O332&lt;&gt;"",IF(O332="Price ≤ $5","Excluded – price ≤ $5","Excluded – IV only"),IF(ISNUMBER(D332),IF(AND(D332&gt;=$C$3,L332&gt;=$H$3),"Priority 1",IF(OR(D332&gt;=$C$3,L332&gt;=$H$3),"Priority 2","Priority 3")),IF(L332&gt;=$H$3,"Priority 2","Priority 3")))</f>
        <v>Priority 2</v>
      </c>
      <c r="AL332" s="16" t="str">
        <f aca="false">IF(O332&lt;&gt;"","",IF(ISNUMBER(D332),IF(D332&gt;=$C$3,"High price","Lower price"),"Unpriced")&amp;" · "&amp;IF(L332&gt;=$H$3,"high volume","lower volume"))</f>
        <v>High price · lower volume</v>
      </c>
      <c r="AM332" s="14" t="n">
        <f aca="false">IF(O332&lt;&gt;"","",COUNTIFS($A$29:$A$361,A332,$O$29:$O$361,"",$AQ$29:$AQ$361,"&gt;"&amp;AQ332)+COUNTIFS($A$29:A332,A332,$O$29:O332,"",$AQ$29:AQ332,AQ332))</f>
        <v>6</v>
      </c>
      <c r="AN332" s="19" t="n">
        <f aca="false">IF(AND(O332="",ISNUMBER(D332)),D332,"")</f>
        <v>59.12</v>
      </c>
      <c r="AO332" s="20" t="n">
        <f aca="false">IF(O332="",M332,"")</f>
        <v>106</v>
      </c>
      <c r="AP332" s="20" t="n">
        <f aca="false">IF(O332="",L332,"")</f>
        <v>106</v>
      </c>
      <c r="AQ332" s="33" t="n">
        <f aca="false">IF(O332&lt;&gt;"","",(4-VALUE(RIGHT(AK332,1)))*10^7+N(N332))</f>
        <v>20000175.06</v>
      </c>
      <c r="AR332" s="33" t="n">
        <f aca="false">INDEX($O$7:$O$25,MATCH(A332,$I$7:$I$25,0))</f>
        <v>12</v>
      </c>
      <c r="AS332" s="33" t="n">
        <f aca="false">IF(AE332="No","",AR332*1000+IF(AM332="",900+COUNTIFS($A$29:A332,A332,$O$29:O332,"Price ≤ $5"),AM332))</f>
        <v>12006</v>
      </c>
    </row>
    <row r="333" customFormat="false" ht="28.35" hidden="false" customHeight="false" outlineLevel="0" collapsed="false">
      <c r="A333" s="15" t="s">
        <v>202</v>
      </c>
      <c r="B333" s="15" t="s">
        <v>1415</v>
      </c>
      <c r="C333" s="16" t="s">
        <v>1416</v>
      </c>
      <c r="D333" s="17" t="n">
        <f aca="false">IF(W333&gt;0,ROUND(AVERAGEIFS('Shortlisted Drugs X Company (7)'!$N$3:$N$698,'Shortlisted Drugs X Company (7)'!$C$3:$C$698,$B333,'Shortlisted Drugs X Company (7)'!$E$3:$E$698,$S333,'Shortlisted Drugs X Company (7)'!$N$3:$N$698,"&gt;5"),2),"")</f>
        <v>29.63</v>
      </c>
      <c r="E333" s="15" t="str">
        <f aca="false">IF(COUNTIFS('Shortlisted Drugs X Company (7)'!$C$3:$C$698,$B333,'Shortlisted Drugs X Company (7)'!$E$3:$E$698,$S333,'Shortlisted Drugs X Company (7)'!$P$3:$P$698,"Exact")&gt;0,"Exact",IF(COUNTIFS('Shortlisted Drugs X Company (7)'!$C$3:$C$698,$B333,'Shortlisted Drugs X Company (7)'!$E$3:$E$698,$S333,'Shortlisted Drugs X Company (7)'!$P$3:$P$698,"Same-market proxy")&gt;0,"Same-market proxy",IF(COUNTIFS('Shortlisted Drugs X Company (7)'!$C$3:$C$698,$B333,'Shortlisted Drugs X Company (7)'!$E$3:$E$698,$S333,'Shortlisted Drugs X Company (7)'!$P$3:$P$698,"Cross-market proxy")&gt;0,"Cross-market proxy",IF(COUNTIFS('Shortlisted Drugs X Company (7)'!$C$3:$C$698,$B333,'Shortlisted Drugs X Company (7)'!$E$3:$E$698,$S333,'Shortlisted Drugs X Company (7)'!$P$3:$P$698,"Source not found")&gt;0,"Source not found","Not priced"))))</f>
        <v>Same-market proxy</v>
      </c>
      <c r="F333" s="18" t="n">
        <f aca="false">IFERROR(ROUND(INDEX('Injectable Value'!$AA$28:$AA$178,MATCH(B333,'Injectable Value'!$A$28:$A$178,0)),1),"")</f>
        <v>19</v>
      </c>
      <c r="G333" s="16" t="s">
        <v>740</v>
      </c>
      <c r="H333" s="14" t="n">
        <v>2</v>
      </c>
      <c r="I333" s="15" t="s">
        <v>316</v>
      </c>
      <c r="J333" s="15" t="s">
        <v>249</v>
      </c>
      <c r="K333" s="16" t="str">
        <f aca="false">""&amp;IF(V333=0,"Unpriced","")&amp;IF(AND(V333&gt;0,W333=0,X333=0),"Low price from another market – confirm with company","")</f>
        <v/>
      </c>
      <c r="L333" s="18" t="n">
        <f aca="false">IFERROR(INDEX('Shortlisted Drugs X Company (7)'!$K$3:$K$698,MATCH(B333,'Shortlisted Drugs X Company (7)'!$C$3:$C$698,0)),"")</f>
        <v>77</v>
      </c>
      <c r="M333" s="18" t="n">
        <f aca="false">IFERROR(ROUND(L333*INDEX('Injectable Value'!$Z$28:$Z$178,MATCH(B333,'Injectable Value'!$A$28:$A$178,0)),0),"")</f>
        <v>23</v>
      </c>
      <c r="N333" s="18" t="n">
        <f aca="false">IFERROR(INDEX('Shortlisted Drugs X Company (7)'!$L$3:$L$698,MATCH(B333,'Shortlisted Drugs X Company (7)'!$C$3:$C$698,0)),"")</f>
        <v>64.81</v>
      </c>
      <c r="O333" s="15" t="str">
        <f aca="false">IF(AE333="No","IV only (not ID/IM/SC)",IF(AND(V333&gt;0,W333=0),"Price ≤ $5",""))</f>
        <v/>
      </c>
      <c r="P333" s="14" t="n">
        <f aca="false">IF(O333&lt;&gt;"","",COUNTIFS($A$29:$A$361,A333,$O$29:$O$361,"",$AC$29:$AC$361,"&gt;"&amp;AC333)+COUNTIFS($A$29:A333,A333,$O$29:O333,"",$AC$29:AC333,AC333))</f>
        <v>6</v>
      </c>
      <c r="Q333" s="15" t="str">
        <f aca="false">IF(O333&lt;&gt;"",IF(O333="Price ≤ $5","Excluded – price ≤ $5","Excluded – IV only"),IF(ISNUMBER(D333),IF(AND(D333&gt;=$C$3,M333&gt;=$E$3),"Priority 1",IF(OR(D333&gt;=$C$3,M333&gt;=$E$3),"Priority 2","Priority 3")),IF(M333&gt;=$E$3,"Priority 2","Priority 3")))</f>
        <v>Priority 2</v>
      </c>
      <c r="R333" s="16" t="s">
        <v>285</v>
      </c>
      <c r="S333" s="15" t="s">
        <v>202</v>
      </c>
      <c r="T333" s="32" t="s">
        <v>1417</v>
      </c>
      <c r="U333" s="33" t="str">
        <f aca="false">B333&amp;"|"&amp;S333</f>
        <v>Hyoscine Hydrobromide|Wockhardt</v>
      </c>
      <c r="V333" s="34" t="n">
        <f aca="false">COUNTIFS('Shortlisted Drugs X Company (7)'!$C$3:$C$698,$B333,'Shortlisted Drugs X Company (7)'!$E$3:$E$698,$S333,'Shortlisted Drugs X Company (7)'!$N$3:$N$698,"&gt;=0")</f>
        <v>1</v>
      </c>
      <c r="W333" s="34" t="n">
        <f aca="false">COUNTIFS('Shortlisted Drugs X Company (7)'!$C$3:$C$698,$B333,'Shortlisted Drugs X Company (7)'!$E$3:$E$698,$S333,'Shortlisted Drugs X Company (7)'!$N$3:$N$698,"&gt;5")</f>
        <v>1</v>
      </c>
      <c r="X333" s="34" t="n">
        <f aca="false">COUNTIFS('Shortlisted Drugs X Company (7)'!$C$3:$C$698,$B333,'Shortlisted Drugs X Company (7)'!$E$3:$E$698,$S333,'Shortlisted Drugs X Company (7)'!$P$3:$P$698,"Exact")+COUNTIFS('Shortlisted Drugs X Company (7)'!$C$3:$C$698,$B333,'Shortlisted Drugs X Company (7)'!$E$3:$E$698,$S333,'Shortlisted Drugs X Company (7)'!$P$3:$P$698,"Same-market proxy")</f>
        <v>1</v>
      </c>
      <c r="Y333" s="33" t="str">
        <f aca="false">A333&amp;"|"&amp;P333</f>
        <v>Wockhardt|6</v>
      </c>
      <c r="Z333" s="16" t="s">
        <v>1418</v>
      </c>
      <c r="AA333" s="33" t="n">
        <f aca="false">INDEX($G$7:$G$25,MATCH(A333,$A$7:$A$25,0))</f>
        <v>14</v>
      </c>
      <c r="AB333" s="33" t="n">
        <f aca="false">IF(AE333="No","",AA333*1000+IF(P333="",900+COUNTIFS($A$29:A333,A333,$O$29:O333,"Price ≤ $5"),P333))</f>
        <v>14006</v>
      </c>
      <c r="AC333" s="33" t="n">
        <f aca="false">IF(O333&lt;&gt;"","",(4-VALUE(RIGHT(Q333,1)))*10^7+N(F333))</f>
        <v>20000019</v>
      </c>
      <c r="AD333" s="15" t="str">
        <f aca="false">IFERROR(INDEX('Route of Administration'!$C$5:$C$155,MATCH(B333,'Route of Administration'!$A$5:$A$155,0)),"")</f>
        <v>SC, IM (IV if required)</v>
      </c>
      <c r="AE333" s="14" t="str">
        <f aca="false">IFERROR(INDEX('Route of Administration'!$D$5:$D$155,MATCH(B333,'Route of Administration'!$A$5:$A$155,0)),"")</f>
        <v>Yes</v>
      </c>
      <c r="AF333" s="19" t="n">
        <f aca="false">IF(V333&gt;0,ROUND(AVERAGEIFS('Shortlisted Drugs X Company (7)'!$N$3:$N$698,'Shortlisted Drugs X Company (7)'!$C$3:$C$698,$B333,'Shortlisted Drugs X Company (7)'!$E$3:$E$698,$S333,'Shortlisted Drugs X Company (7)'!$N$3:$N$698,"&gt;=0"),2),"")</f>
        <v>29.63</v>
      </c>
      <c r="AG333" s="16" t="s">
        <v>1415</v>
      </c>
      <c r="AH333" s="16" t="s">
        <v>740</v>
      </c>
      <c r="AI333" s="16" t="s">
        <v>740</v>
      </c>
      <c r="AJ333" s="16" t="str">
        <f aca="false">IF(O333&lt;&gt;"","",IF(ISNUMBER(D333),IF(D333&gt;=$C$3,"High price","Lower price"),"Unpriced")&amp;" · "&amp;IF(M333&gt;=$E$3,"high volume","lower volume"))</f>
        <v>High price · lower volume</v>
      </c>
      <c r="AK333" s="15" t="str">
        <f aca="false">IF(O333&lt;&gt;"",IF(O333="Price ≤ $5","Excluded – price ≤ $5","Excluded – IV only"),IF(ISNUMBER(D333),IF(AND(D333&gt;=$C$3,L333&gt;=$H$3),"Priority 1",IF(OR(D333&gt;=$C$3,L333&gt;=$H$3),"Priority 2","Priority 3")),IF(L333&gt;=$H$3,"Priority 2","Priority 3")))</f>
        <v>Priority 2</v>
      </c>
      <c r="AL333" s="16" t="str">
        <f aca="false">IF(O333&lt;&gt;"","",IF(ISNUMBER(D333),IF(D333&gt;=$C$3,"High price","Lower price"),"Unpriced")&amp;" · "&amp;IF(L333&gt;=$H$3,"high volume","lower volume"))</f>
        <v>High price · lower volume</v>
      </c>
      <c r="AM333" s="14" t="n">
        <f aca="false">IF(O333&lt;&gt;"","",COUNTIFS($A$29:$A$361,A333,$O$29:$O$361,"",$AQ$29:$AQ$361,"&gt;"&amp;AQ333)+COUNTIFS($A$29:A333,A333,$O$29:O333,"",$AQ$29:AQ333,AQ333))</f>
        <v>7</v>
      </c>
      <c r="AN333" s="19" t="n">
        <f aca="false">IF(AND(O333="",ISNUMBER(D333)),D333,"")</f>
        <v>29.63</v>
      </c>
      <c r="AO333" s="20" t="n">
        <f aca="false">IF(O333="",M333,"")</f>
        <v>23</v>
      </c>
      <c r="AP333" s="20" t="n">
        <f aca="false">IF(O333="",L333,"")</f>
        <v>77</v>
      </c>
      <c r="AQ333" s="33" t="n">
        <f aca="false">IF(O333&lt;&gt;"","",(4-VALUE(RIGHT(AK333,1)))*10^7+N(N333))</f>
        <v>20000064.81</v>
      </c>
      <c r="AR333" s="33" t="n">
        <f aca="false">INDEX($O$7:$O$25,MATCH(A333,$I$7:$I$25,0))</f>
        <v>12</v>
      </c>
      <c r="AS333" s="33" t="n">
        <f aca="false">IF(AE333="No","",AR333*1000+IF(AM333="",900+COUNTIFS($A$29:A333,A333,$O$29:O333,"Price ≤ $5"),AM333))</f>
        <v>12007</v>
      </c>
    </row>
    <row r="334" customFormat="false" ht="28.35" hidden="false" customHeight="false" outlineLevel="0" collapsed="false">
      <c r="A334" s="15" t="s">
        <v>202</v>
      </c>
      <c r="B334" s="15" t="s">
        <v>1419</v>
      </c>
      <c r="C334" s="16" t="s">
        <v>626</v>
      </c>
      <c r="D334" s="17" t="n">
        <f aca="false">IF(W334&gt;0,ROUND(AVERAGEIFS('Shortlisted Drugs X Company (7)'!$N$3:$N$698,'Shortlisted Drugs X Company (7)'!$C$3:$C$698,$B334,'Shortlisted Drugs X Company (7)'!$E$3:$E$698,$S334,'Shortlisted Drugs X Company (7)'!$N$3:$N$698,"&gt;5"),2),"")</f>
        <v>13.9</v>
      </c>
      <c r="E334" s="15" t="str">
        <f aca="false">IF(COUNTIFS('Shortlisted Drugs X Company (7)'!$C$3:$C$698,$B334,'Shortlisted Drugs X Company (7)'!$E$3:$E$698,$S334,'Shortlisted Drugs X Company (7)'!$P$3:$P$698,"Exact")&gt;0,"Exact",IF(COUNTIFS('Shortlisted Drugs X Company (7)'!$C$3:$C$698,$B334,'Shortlisted Drugs X Company (7)'!$E$3:$E$698,$S334,'Shortlisted Drugs X Company (7)'!$P$3:$P$698,"Same-market proxy")&gt;0,"Same-market proxy",IF(COUNTIFS('Shortlisted Drugs X Company (7)'!$C$3:$C$698,$B334,'Shortlisted Drugs X Company (7)'!$E$3:$E$698,$S334,'Shortlisted Drugs X Company (7)'!$P$3:$P$698,"Cross-market proxy")&gt;0,"Cross-market proxy",IF(COUNTIFS('Shortlisted Drugs X Company (7)'!$C$3:$C$698,$B334,'Shortlisted Drugs X Company (7)'!$E$3:$E$698,$S334,'Shortlisted Drugs X Company (7)'!$P$3:$P$698,"Source not found")&gt;0,"Source not found","Not priced"))))</f>
        <v>Cross-market proxy</v>
      </c>
      <c r="F334" s="18" t="n">
        <f aca="false">IFERROR(ROUND(INDEX('Injectable Value'!$AA$28:$AA$178,MATCH(B334,'Injectable Value'!$A$28:$A$178,0)),1),"")</f>
        <v>1894.8</v>
      </c>
      <c r="G334" s="16" t="s">
        <v>881</v>
      </c>
      <c r="H334" s="14" t="n">
        <v>2</v>
      </c>
      <c r="I334" s="15" t="s">
        <v>316</v>
      </c>
      <c r="J334" s="15" t="s">
        <v>249</v>
      </c>
      <c r="K334" s="16" t="str">
        <f aca="false">""&amp;IF(V334=0,"Unpriced","")&amp;IF(AND(V334&gt;0,W334=0,X334=0),"Low price from another market – confirm with company","")</f>
        <v/>
      </c>
      <c r="L334" s="18" t="n">
        <f aca="false">IFERROR(INDEX('Shortlisted Drugs X Company (7)'!$K$3:$K$698,MATCH(B334,'Shortlisted Drugs X Company (7)'!$C$3:$C$698,0)),"")</f>
        <v>9</v>
      </c>
      <c r="M334" s="18" t="n">
        <f aca="false">IFERROR(ROUND(L334*INDEX('Injectable Value'!$Z$28:$Z$178,MATCH(B334,'Injectable Value'!$A$28:$A$178,0)),0),"")</f>
        <v>9</v>
      </c>
      <c r="N334" s="18" t="n">
        <f aca="false">IFERROR(INDEX('Shortlisted Drugs X Company (7)'!$L$3:$L$698,MATCH(B334,'Shortlisted Drugs X Company (7)'!$C$3:$C$698,0)),"")</f>
        <v>1894.78</v>
      </c>
      <c r="O334" s="15" t="str">
        <f aca="false">IF(AE334="No","IV only (not ID/IM/SC)",IF(AND(V334&gt;0,W334=0),"Price ≤ $5",""))</f>
        <v>IV only (not ID/IM/SC)</v>
      </c>
      <c r="P334" s="14" t="str">
        <f aca="false">IF(O334&lt;&gt;"","",COUNTIFS($A$29:$A$361,A334,$O$29:$O$361,"",$AC$29:$AC$361,"&gt;"&amp;AC334)+COUNTIFS($A$29:A334,A334,$O$29:O334,"",$AC$29:AC334,AC334))</f>
        <v/>
      </c>
      <c r="Q334" s="15" t="str">
        <f aca="false">IF(O334&lt;&gt;"",IF(O334="Price ≤ $5","Excluded – price ≤ $5","Excluded – IV only"),IF(ISNUMBER(D334),IF(AND(D334&gt;=$C$3,M334&gt;=$E$3),"Priority 1",IF(OR(D334&gt;=$C$3,M334&gt;=$E$3),"Priority 2","Priority 3")),IF(M334&gt;=$E$3,"Priority 2","Priority 3")))</f>
        <v>Excluded – IV only</v>
      </c>
      <c r="R334" s="16" t="s">
        <v>285</v>
      </c>
      <c r="S334" s="15" t="s">
        <v>202</v>
      </c>
      <c r="T334" s="32" t="s">
        <v>1420</v>
      </c>
      <c r="U334" s="33" t="str">
        <f aca="false">B334&amp;"|"&amp;S334</f>
        <v>Metaraminol|Wockhardt</v>
      </c>
      <c r="V334" s="34" t="n">
        <f aca="false">COUNTIFS('Shortlisted Drugs X Company (7)'!$C$3:$C$698,$B334,'Shortlisted Drugs X Company (7)'!$E$3:$E$698,$S334,'Shortlisted Drugs X Company (7)'!$N$3:$N$698,"&gt;=0")</f>
        <v>1</v>
      </c>
      <c r="W334" s="34" t="n">
        <f aca="false">COUNTIFS('Shortlisted Drugs X Company (7)'!$C$3:$C$698,$B334,'Shortlisted Drugs X Company (7)'!$E$3:$E$698,$S334,'Shortlisted Drugs X Company (7)'!$N$3:$N$698,"&gt;5")</f>
        <v>1</v>
      </c>
      <c r="X334" s="34" t="n">
        <f aca="false">COUNTIFS('Shortlisted Drugs X Company (7)'!$C$3:$C$698,$B334,'Shortlisted Drugs X Company (7)'!$E$3:$E$698,$S334,'Shortlisted Drugs X Company (7)'!$P$3:$P$698,"Exact")+COUNTIFS('Shortlisted Drugs X Company (7)'!$C$3:$C$698,$B334,'Shortlisted Drugs X Company (7)'!$E$3:$E$698,$S334,'Shortlisted Drugs X Company (7)'!$P$3:$P$698,"Same-market proxy")</f>
        <v>0</v>
      </c>
      <c r="Y334" s="33" t="str">
        <f aca="false">A334&amp;"|"&amp;P334</f>
        <v>Wockhardt|</v>
      </c>
      <c r="Z334" s="16" t="s">
        <v>1421</v>
      </c>
      <c r="AA334" s="33" t="n">
        <f aca="false">INDEX($G$7:$G$25,MATCH(A334,$A$7:$A$25,0))</f>
        <v>14</v>
      </c>
      <c r="AB334" s="33" t="str">
        <f aca="false">IF(AE334="No","",AA334*1000+IF(P334="",900+COUNTIFS($A$29:A334,A334,$O$29:O334,"Price ≤ $5"),P334))</f>
        <v/>
      </c>
      <c r="AC334" s="33" t="str">
        <f aca="false">IF(O334&lt;&gt;"","",(4-VALUE(RIGHT(Q334,1)))*10^7+N(F334))</f>
        <v/>
      </c>
      <c r="AD334" s="15" t="str">
        <f aca="false">IFERROR(INDEX('Route of Administration'!$C$5:$C$155,MATCH(B334,'Route of Administration'!$A$5:$A$155,0)),"")</f>
        <v>IV</v>
      </c>
      <c r="AE334" s="14" t="str">
        <f aca="false">IFERROR(INDEX('Route of Administration'!$D$5:$D$155,MATCH(B334,'Route of Administration'!$A$5:$A$155,0)),"")</f>
        <v>No</v>
      </c>
      <c r="AF334" s="19" t="n">
        <f aca="false">IF(V334&gt;0,ROUND(AVERAGEIFS('Shortlisted Drugs X Company (7)'!$N$3:$N$698,'Shortlisted Drugs X Company (7)'!$C$3:$C$698,$B334,'Shortlisted Drugs X Company (7)'!$E$3:$E$698,$S334,'Shortlisted Drugs X Company (7)'!$N$3:$N$698,"&gt;=0"),2),"")</f>
        <v>13.9</v>
      </c>
      <c r="AG334" s="16" t="s">
        <v>1422</v>
      </c>
      <c r="AH334" s="16" t="s">
        <v>1230</v>
      </c>
      <c r="AI334" s="16" t="s">
        <v>1230</v>
      </c>
      <c r="AJ334" s="16" t="str">
        <f aca="false">IF(O334&lt;&gt;"","",IF(ISNUMBER(D334),IF(D334&gt;=$C$3,"High price","Lower price"),"Unpriced")&amp;" · "&amp;IF(M334&gt;=$E$3,"high volume","lower volume"))</f>
        <v/>
      </c>
      <c r="AK334" s="15" t="str">
        <f aca="false">IF(O334&lt;&gt;"",IF(O334="Price ≤ $5","Excluded – price ≤ $5","Excluded – IV only"),IF(ISNUMBER(D334),IF(AND(D334&gt;=$C$3,L334&gt;=$H$3),"Priority 1",IF(OR(D334&gt;=$C$3,L334&gt;=$H$3),"Priority 2","Priority 3")),IF(L334&gt;=$H$3,"Priority 2","Priority 3")))</f>
        <v>Excluded – IV only</v>
      </c>
      <c r="AL334" s="16" t="str">
        <f aca="false">IF(O334&lt;&gt;"","",IF(ISNUMBER(D334),IF(D334&gt;=$C$3,"High price","Lower price"),"Unpriced")&amp;" · "&amp;IF(L334&gt;=$H$3,"high volume","lower volume"))</f>
        <v/>
      </c>
      <c r="AM334" s="14" t="str">
        <f aca="false">IF(O334&lt;&gt;"","",COUNTIFS($A$29:$A$361,A334,$O$29:$O$361,"",$AQ$29:$AQ$361,"&gt;"&amp;AQ334)+COUNTIFS($A$29:A334,A334,$O$29:O334,"",$AQ$29:AQ334,AQ334))</f>
        <v/>
      </c>
      <c r="AN334" s="33" t="str">
        <f aca="false">IF(AND(O334="",ISNUMBER(D334)),D334,"")</f>
        <v/>
      </c>
      <c r="AO334" s="33" t="str">
        <f aca="false">IF(O334="",M334,"")</f>
        <v/>
      </c>
      <c r="AP334" s="33" t="str">
        <f aca="false">IF(O334="",L334,"")</f>
        <v/>
      </c>
      <c r="AQ334" s="33" t="str">
        <f aca="false">IF(O334&lt;&gt;"","",(4-VALUE(RIGHT(AK334,1)))*10^7+N(N334))</f>
        <v/>
      </c>
      <c r="AR334" s="33" t="n">
        <f aca="false">INDEX($O$7:$O$25,MATCH(A334,$I$7:$I$25,0))</f>
        <v>12</v>
      </c>
      <c r="AS334" s="33" t="str">
        <f aca="false">IF(AE334="No","",AR334*1000+IF(AM334="",900+COUNTIFS($A$29:A334,A334,$O$29:O334,"Price ≤ $5"),AM334))</f>
        <v/>
      </c>
    </row>
    <row r="335" customFormat="false" ht="28.35" hidden="false" customHeight="false" outlineLevel="0" collapsed="false">
      <c r="A335" s="15" t="s">
        <v>202</v>
      </c>
      <c r="B335" s="15" t="s">
        <v>789</v>
      </c>
      <c r="C335" s="16" t="s">
        <v>790</v>
      </c>
      <c r="D335" s="17" t="n">
        <f aca="false">IF(W335&gt;0,ROUND(AVERAGEIFS('Shortlisted Drugs X Company (7)'!$N$3:$N$698,'Shortlisted Drugs X Company (7)'!$C$3:$C$698,$B335,'Shortlisted Drugs X Company (7)'!$E$3:$E$698,$S335,'Shortlisted Drugs X Company (7)'!$N$3:$N$698,"&gt;5"),2),"")</f>
        <v>23.71</v>
      </c>
      <c r="E335" s="15" t="str">
        <f aca="false">IF(COUNTIFS('Shortlisted Drugs X Company (7)'!$C$3:$C$698,$B335,'Shortlisted Drugs X Company (7)'!$E$3:$E$698,$S335,'Shortlisted Drugs X Company (7)'!$P$3:$P$698,"Exact")&gt;0,"Exact",IF(COUNTIFS('Shortlisted Drugs X Company (7)'!$C$3:$C$698,$B335,'Shortlisted Drugs X Company (7)'!$E$3:$E$698,$S335,'Shortlisted Drugs X Company (7)'!$P$3:$P$698,"Same-market proxy")&gt;0,"Same-market proxy",IF(COUNTIFS('Shortlisted Drugs X Company (7)'!$C$3:$C$698,$B335,'Shortlisted Drugs X Company (7)'!$E$3:$E$698,$S335,'Shortlisted Drugs X Company (7)'!$P$3:$P$698,"Cross-market proxy")&gt;0,"Cross-market proxy",IF(COUNTIFS('Shortlisted Drugs X Company (7)'!$C$3:$C$698,$B335,'Shortlisted Drugs X Company (7)'!$E$3:$E$698,$S335,'Shortlisted Drugs X Company (7)'!$P$3:$P$698,"Source not found")&gt;0,"Source not found","Not priced"))))</f>
        <v>Exact</v>
      </c>
      <c r="F335" s="18" t="n">
        <f aca="false">IFERROR(ROUND(INDEX('Injectable Value'!$AA$28:$AA$178,MATCH(B335,'Injectable Value'!$A$28:$A$178,0)),1),"")</f>
        <v>4036.6</v>
      </c>
      <c r="G335" s="16" t="s">
        <v>740</v>
      </c>
      <c r="H335" s="14" t="n">
        <v>3</v>
      </c>
      <c r="I335" s="15" t="s">
        <v>316</v>
      </c>
      <c r="J335" s="15" t="s">
        <v>249</v>
      </c>
      <c r="K335" s="16" t="str">
        <f aca="false">""&amp;IF(V335=0,"Unpriced","")&amp;IF(AND(V335&gt;0,W335=0,X335=0),"Low price from another market – confirm with company","")</f>
        <v/>
      </c>
      <c r="L335" s="18" t="n">
        <f aca="false">IFERROR(INDEX('Shortlisted Drugs X Company (7)'!$K$3:$K$698,MATCH(B335,'Shortlisted Drugs X Company (7)'!$C$3:$C$698,0)),"")</f>
        <v>133</v>
      </c>
      <c r="M335" s="18" t="n">
        <f aca="false">IFERROR(ROUND(L335*INDEX('Injectable Value'!$Z$28:$Z$178,MATCH(B335,'Injectable Value'!$A$28:$A$178,0)),0),"")</f>
        <v>133</v>
      </c>
      <c r="N335" s="18" t="n">
        <f aca="false">IFERROR(INDEX('Shortlisted Drugs X Company (7)'!$L$3:$L$698,MATCH(B335,'Shortlisted Drugs X Company (7)'!$C$3:$C$698,0)),"")</f>
        <v>4036.55</v>
      </c>
      <c r="O335" s="15" t="str">
        <f aca="false">IF(AE335="No","IV only (not ID/IM/SC)",IF(AND(V335&gt;0,W335=0),"Price ≤ $5",""))</f>
        <v>IV only (not ID/IM/SC)</v>
      </c>
      <c r="P335" s="14" t="str">
        <f aca="false">IF(O335&lt;&gt;"","",COUNTIFS($A$29:$A$361,A335,$O$29:$O$361,"",$AC$29:$AC$361,"&gt;"&amp;AC335)+COUNTIFS($A$29:A335,A335,$O$29:O335,"",$AC$29:AC335,AC335))</f>
        <v/>
      </c>
      <c r="Q335" s="15" t="str">
        <f aca="false">IF(O335&lt;&gt;"",IF(O335="Price ≤ $5","Excluded – price ≤ $5","Excluded – IV only"),IF(ISNUMBER(D335),IF(AND(D335&gt;=$C$3,M335&gt;=$E$3),"Priority 1",IF(OR(D335&gt;=$C$3,M335&gt;=$E$3),"Priority 2","Priority 3")),IF(M335&gt;=$E$3,"Priority 2","Priority 3")))</f>
        <v>Excluded – IV only</v>
      </c>
      <c r="R335" s="16" t="s">
        <v>250</v>
      </c>
      <c r="S335" s="15" t="s">
        <v>202</v>
      </c>
      <c r="T335" s="32" t="s">
        <v>791</v>
      </c>
      <c r="U335" s="33" t="str">
        <f aca="false">B335&amp;"|"&amp;S335</f>
        <v>Milrinone|Wockhardt</v>
      </c>
      <c r="V335" s="34" t="n">
        <f aca="false">COUNTIFS('Shortlisted Drugs X Company (7)'!$C$3:$C$698,$B335,'Shortlisted Drugs X Company (7)'!$E$3:$E$698,$S335,'Shortlisted Drugs X Company (7)'!$N$3:$N$698,"&gt;=0")</f>
        <v>2</v>
      </c>
      <c r="W335" s="34" t="n">
        <f aca="false">COUNTIFS('Shortlisted Drugs X Company (7)'!$C$3:$C$698,$B335,'Shortlisted Drugs X Company (7)'!$E$3:$E$698,$S335,'Shortlisted Drugs X Company (7)'!$N$3:$N$698,"&gt;5")</f>
        <v>2</v>
      </c>
      <c r="X335" s="34" t="n">
        <f aca="false">COUNTIFS('Shortlisted Drugs X Company (7)'!$C$3:$C$698,$B335,'Shortlisted Drugs X Company (7)'!$E$3:$E$698,$S335,'Shortlisted Drugs X Company (7)'!$P$3:$P$698,"Exact")+COUNTIFS('Shortlisted Drugs X Company (7)'!$C$3:$C$698,$B335,'Shortlisted Drugs X Company (7)'!$E$3:$E$698,$S335,'Shortlisted Drugs X Company (7)'!$P$3:$P$698,"Same-market proxy")</f>
        <v>1</v>
      </c>
      <c r="Y335" s="33" t="str">
        <f aca="false">A335&amp;"|"&amp;P335</f>
        <v>Wockhardt|</v>
      </c>
      <c r="Z335" s="16" t="s">
        <v>1188</v>
      </c>
      <c r="AA335" s="33" t="n">
        <f aca="false">INDEX($G$7:$G$25,MATCH(A335,$A$7:$A$25,0))</f>
        <v>14</v>
      </c>
      <c r="AB335" s="33" t="str">
        <f aca="false">IF(AE335="No","",AA335*1000+IF(P335="",900+COUNTIFS($A$29:A335,A335,$O$29:O335,"Price ≤ $5"),P335))</f>
        <v/>
      </c>
      <c r="AC335" s="33" t="str">
        <f aca="false">IF(O335&lt;&gt;"","",(4-VALUE(RIGHT(Q335,1)))*10^7+N(F335))</f>
        <v/>
      </c>
      <c r="AD335" s="15" t="str">
        <f aca="false">IFERROR(INDEX('Route of Administration'!$C$5:$C$155,MATCH(B335,'Route of Administration'!$A$5:$A$155,0)),"")</f>
        <v>IV</v>
      </c>
      <c r="AE335" s="14" t="str">
        <f aca="false">IFERROR(INDEX('Route of Administration'!$D$5:$D$155,MATCH(B335,'Route of Administration'!$A$5:$A$155,0)),"")</f>
        <v>No</v>
      </c>
      <c r="AF335" s="19" t="n">
        <f aca="false">IF(V335&gt;0,ROUND(AVERAGEIFS('Shortlisted Drugs X Company (7)'!$N$3:$N$698,'Shortlisted Drugs X Company (7)'!$C$3:$C$698,$B335,'Shortlisted Drugs X Company (7)'!$E$3:$E$698,$S335,'Shortlisted Drugs X Company (7)'!$N$3:$N$698,"&gt;=0"),2),"")</f>
        <v>23.71</v>
      </c>
      <c r="AG335" s="16" t="s">
        <v>1423</v>
      </c>
      <c r="AH335" s="16" t="s">
        <v>1424</v>
      </c>
      <c r="AI335" s="16" t="s">
        <v>1424</v>
      </c>
      <c r="AJ335" s="16" t="str">
        <f aca="false">IF(O335&lt;&gt;"","",IF(ISNUMBER(D335),IF(D335&gt;=$C$3,"High price","Lower price"),"Unpriced")&amp;" · "&amp;IF(M335&gt;=$E$3,"high volume","lower volume"))</f>
        <v/>
      </c>
      <c r="AK335" s="15" t="str">
        <f aca="false">IF(O335&lt;&gt;"",IF(O335="Price ≤ $5","Excluded – price ≤ $5","Excluded – IV only"),IF(ISNUMBER(D335),IF(AND(D335&gt;=$C$3,L335&gt;=$H$3),"Priority 1",IF(OR(D335&gt;=$C$3,L335&gt;=$H$3),"Priority 2","Priority 3")),IF(L335&gt;=$H$3,"Priority 2","Priority 3")))</f>
        <v>Excluded – IV only</v>
      </c>
      <c r="AL335" s="16" t="str">
        <f aca="false">IF(O335&lt;&gt;"","",IF(ISNUMBER(D335),IF(D335&gt;=$C$3,"High price","Lower price"),"Unpriced")&amp;" · "&amp;IF(L335&gt;=$H$3,"high volume","lower volume"))</f>
        <v/>
      </c>
      <c r="AM335" s="14" t="str">
        <f aca="false">IF(O335&lt;&gt;"","",COUNTIFS($A$29:$A$361,A335,$O$29:$O$361,"",$AQ$29:$AQ$361,"&gt;"&amp;AQ335)+COUNTIFS($A$29:A335,A335,$O$29:O335,"",$AQ$29:AQ335,AQ335))</f>
        <v/>
      </c>
      <c r="AN335" s="33" t="str">
        <f aca="false">IF(AND(O335="",ISNUMBER(D335)),D335,"")</f>
        <v/>
      </c>
      <c r="AO335" s="33" t="str">
        <f aca="false">IF(O335="",M335,"")</f>
        <v/>
      </c>
      <c r="AP335" s="33" t="str">
        <f aca="false">IF(O335="",L335,"")</f>
        <v/>
      </c>
      <c r="AQ335" s="33" t="str">
        <f aca="false">IF(O335&lt;&gt;"","",(4-VALUE(RIGHT(AK335,1)))*10^7+N(N335))</f>
        <v/>
      </c>
      <c r="AR335" s="33" t="n">
        <f aca="false">INDEX($O$7:$O$25,MATCH(A335,$I$7:$I$25,0))</f>
        <v>12</v>
      </c>
      <c r="AS335" s="33" t="str">
        <f aca="false">IF(AE335="No","",AR335*1000+IF(AM335="",900+COUNTIFS($A$29:A335,A335,$O$29:O335,"Price ≤ $5"),AM335))</f>
        <v/>
      </c>
    </row>
    <row r="336" customFormat="false" ht="28.35" hidden="false" customHeight="false" outlineLevel="0" collapsed="false">
      <c r="A336" s="15" t="s">
        <v>202</v>
      </c>
      <c r="B336" s="15" t="s">
        <v>1425</v>
      </c>
      <c r="C336" s="16" t="s">
        <v>1426</v>
      </c>
      <c r="D336" s="17" t="n">
        <f aca="false">IF(W336&gt;0,ROUND(AVERAGEIFS('Shortlisted Drugs X Company (7)'!$N$3:$N$698,'Shortlisted Drugs X Company (7)'!$C$3:$C$698,$B336,'Shortlisted Drugs X Company (7)'!$E$3:$E$698,$S336,'Shortlisted Drugs X Company (7)'!$N$3:$N$698,"&gt;5"),2),"")</f>
        <v>6.4</v>
      </c>
      <c r="E336" s="15" t="str">
        <f aca="false">IF(COUNTIFS('Shortlisted Drugs X Company (7)'!$C$3:$C$698,$B336,'Shortlisted Drugs X Company (7)'!$E$3:$E$698,$S336,'Shortlisted Drugs X Company (7)'!$P$3:$P$698,"Exact")&gt;0,"Exact",IF(COUNTIFS('Shortlisted Drugs X Company (7)'!$C$3:$C$698,$B336,'Shortlisted Drugs X Company (7)'!$E$3:$E$698,$S336,'Shortlisted Drugs X Company (7)'!$P$3:$P$698,"Same-market proxy")&gt;0,"Same-market proxy",IF(COUNTIFS('Shortlisted Drugs X Company (7)'!$C$3:$C$698,$B336,'Shortlisted Drugs X Company (7)'!$E$3:$E$698,$S336,'Shortlisted Drugs X Company (7)'!$P$3:$P$698,"Cross-market proxy")&gt;0,"Cross-market proxy",IF(COUNTIFS('Shortlisted Drugs X Company (7)'!$C$3:$C$698,$B336,'Shortlisted Drugs X Company (7)'!$E$3:$E$698,$S336,'Shortlisted Drugs X Company (7)'!$P$3:$P$698,"Source not found")&gt;0,"Source not found","Not priced"))))</f>
        <v>Same-market proxy</v>
      </c>
      <c r="F336" s="18" t="n">
        <f aca="false">IFERROR(ROUND(INDEX('Injectable Value'!$AA$28:$AA$178,MATCH(B336,'Injectable Value'!$A$28:$A$178,0)),1),"")</f>
        <v>1768.8</v>
      </c>
      <c r="G336" s="16" t="s">
        <v>740</v>
      </c>
      <c r="H336" s="14" t="n">
        <v>2</v>
      </c>
      <c r="I336" s="15" t="s">
        <v>316</v>
      </c>
      <c r="J336" s="15" t="s">
        <v>249</v>
      </c>
      <c r="K336" s="16" t="str">
        <f aca="false">""&amp;IF(V336=0,"Unpriced","")&amp;IF(AND(V336&gt;0,W336=0,X336=0),"Low price from another market – confirm with company","")</f>
        <v/>
      </c>
      <c r="L336" s="18" t="n">
        <f aca="false">IFERROR(INDEX('Shortlisted Drugs X Company (7)'!$K$3:$K$698,MATCH(B336,'Shortlisted Drugs X Company (7)'!$C$3:$C$698,0)),"")</f>
        <v>128</v>
      </c>
      <c r="M336" s="18" t="n">
        <f aca="false">IFERROR(ROUND(L336*INDEX('Injectable Value'!$Z$28:$Z$178,MATCH(B336,'Injectable Value'!$A$28:$A$178,0)),0),"")</f>
        <v>62</v>
      </c>
      <c r="N336" s="18" t="n">
        <f aca="false">IFERROR(INDEX('Shortlisted Drugs X Company (7)'!$L$3:$L$698,MATCH(B336,'Shortlisted Drugs X Company (7)'!$C$3:$C$698,0)),"")</f>
        <v>3640.13</v>
      </c>
      <c r="O336" s="15" t="str">
        <f aca="false">IF(AE336="No","IV only (not ID/IM/SC)",IF(AND(V336&gt;0,W336=0),"Price ≤ $5",""))</f>
        <v/>
      </c>
      <c r="P336" s="14" t="n">
        <f aca="false">IF(O336&lt;&gt;"","",COUNTIFS($A$29:$A$361,A336,$O$29:$O$361,"",$AC$29:$AC$361,"&gt;"&amp;AC336)+COUNTIFS($A$29:A336,A336,$O$29:O336,"",$AC$29:AC336,AC336))</f>
        <v>7</v>
      </c>
      <c r="Q336" s="15" t="str">
        <f aca="false">IF(O336&lt;&gt;"",IF(O336="Price ≤ $5","Excluded – price ≤ $5","Excluded – IV only"),IF(ISNUMBER(D336),IF(AND(D336&gt;=$C$3,M336&gt;=$E$3),"Priority 1",IF(OR(D336&gt;=$C$3,M336&gt;=$E$3),"Priority 2","Priority 3")),IF(M336&gt;=$E$3,"Priority 2","Priority 3")))</f>
        <v>Priority 3</v>
      </c>
      <c r="R336" s="16" t="s">
        <v>285</v>
      </c>
      <c r="S336" s="15" t="s">
        <v>202</v>
      </c>
      <c r="T336" s="32" t="s">
        <v>1427</v>
      </c>
      <c r="U336" s="33" t="str">
        <f aca="false">B336&amp;"|"&amp;S336</f>
        <v>Morphine|Wockhardt</v>
      </c>
      <c r="V336" s="34" t="n">
        <f aca="false">COUNTIFS('Shortlisted Drugs X Company (7)'!$C$3:$C$698,$B336,'Shortlisted Drugs X Company (7)'!$E$3:$E$698,$S336,'Shortlisted Drugs X Company (7)'!$N$3:$N$698,"&gt;=0")</f>
        <v>1</v>
      </c>
      <c r="W336" s="34" t="n">
        <f aca="false">COUNTIFS('Shortlisted Drugs X Company (7)'!$C$3:$C$698,$B336,'Shortlisted Drugs X Company (7)'!$E$3:$E$698,$S336,'Shortlisted Drugs X Company (7)'!$N$3:$N$698,"&gt;5")</f>
        <v>1</v>
      </c>
      <c r="X336" s="34" t="n">
        <f aca="false">COUNTIFS('Shortlisted Drugs X Company (7)'!$C$3:$C$698,$B336,'Shortlisted Drugs X Company (7)'!$E$3:$E$698,$S336,'Shortlisted Drugs X Company (7)'!$P$3:$P$698,"Exact")+COUNTIFS('Shortlisted Drugs X Company (7)'!$C$3:$C$698,$B336,'Shortlisted Drugs X Company (7)'!$E$3:$E$698,$S336,'Shortlisted Drugs X Company (7)'!$P$3:$P$698,"Same-market proxy")</f>
        <v>1</v>
      </c>
      <c r="Y336" s="33" t="str">
        <f aca="false">A336&amp;"|"&amp;P336</f>
        <v>Wockhardt|7</v>
      </c>
      <c r="Z336" s="16" t="s">
        <v>1428</v>
      </c>
      <c r="AA336" s="33" t="n">
        <f aca="false">INDEX($G$7:$G$25,MATCH(A336,$A$7:$A$25,0))</f>
        <v>14</v>
      </c>
      <c r="AB336" s="33" t="n">
        <f aca="false">IF(AE336="No","",AA336*1000+IF(P336="",900+COUNTIFS($A$29:A336,A336,$O$29:O336,"Price ≤ $5"),P336))</f>
        <v>14007</v>
      </c>
      <c r="AC336" s="33" t="n">
        <f aca="false">IF(O336&lt;&gt;"","",(4-VALUE(RIGHT(Q336,1)))*10^7+N(F336))</f>
        <v>10001768.8</v>
      </c>
      <c r="AD336" s="15" t="str">
        <f aca="false">IFERROR(INDEX('Route of Administration'!$C$5:$C$155,MATCH(B336,'Route of Administration'!$A$5:$A$155,0)),"")</f>
        <v>IV, IM</v>
      </c>
      <c r="AE336" s="14" t="str">
        <f aca="false">IFERROR(INDEX('Route of Administration'!$D$5:$D$155,MATCH(B336,'Route of Administration'!$A$5:$A$155,0)),"")</f>
        <v>Yes</v>
      </c>
      <c r="AF336" s="19" t="n">
        <f aca="false">IF(V336&gt;0,ROUND(AVERAGEIFS('Shortlisted Drugs X Company (7)'!$N$3:$N$698,'Shortlisted Drugs X Company (7)'!$C$3:$C$698,$B336,'Shortlisted Drugs X Company (7)'!$E$3:$E$698,$S336,'Shortlisted Drugs X Company (7)'!$N$3:$N$698,"&gt;=0"),2),"")</f>
        <v>6.4</v>
      </c>
      <c r="AG336" s="16" t="s">
        <v>1429</v>
      </c>
      <c r="AH336" s="16" t="s">
        <v>740</v>
      </c>
      <c r="AI336" s="16" t="s">
        <v>740</v>
      </c>
      <c r="AJ336" s="16" t="str">
        <f aca="false">IF(O336&lt;&gt;"","",IF(ISNUMBER(D336),IF(D336&gt;=$C$3,"High price","Lower price"),"Unpriced")&amp;" · "&amp;IF(M336&gt;=$E$3,"high volume","lower volume"))</f>
        <v>Lower price · lower volume</v>
      </c>
      <c r="AK336" s="15" t="str">
        <f aca="false">IF(O336&lt;&gt;"",IF(O336="Price ≤ $5","Excluded – price ≤ $5","Excluded – IV only"),IF(ISNUMBER(D336),IF(AND(D336&gt;=$C$3,L336&gt;=$H$3),"Priority 1",IF(OR(D336&gt;=$C$3,L336&gt;=$H$3),"Priority 2","Priority 3")),IF(L336&gt;=$H$3,"Priority 2","Priority 3")))</f>
        <v>Priority 3</v>
      </c>
      <c r="AL336" s="16" t="str">
        <f aca="false">IF(O336&lt;&gt;"","",IF(ISNUMBER(D336),IF(D336&gt;=$C$3,"High price","Lower price"),"Unpriced")&amp;" · "&amp;IF(L336&gt;=$H$3,"high volume","lower volume"))</f>
        <v>Lower price · lower volume</v>
      </c>
      <c r="AM336" s="14" t="n">
        <f aca="false">IF(O336&lt;&gt;"","",COUNTIFS($A$29:$A$361,A336,$O$29:$O$361,"",$AQ$29:$AQ$361,"&gt;"&amp;AQ336)+COUNTIFS($A$29:A336,A336,$O$29:O336,"",$AQ$29:AQ336,AQ336))</f>
        <v>8</v>
      </c>
      <c r="AN336" s="19" t="n">
        <f aca="false">IF(AND(O336="",ISNUMBER(D336)),D336,"")</f>
        <v>6.4</v>
      </c>
      <c r="AO336" s="20" t="n">
        <f aca="false">IF(O336="",M336,"")</f>
        <v>62</v>
      </c>
      <c r="AP336" s="20" t="n">
        <f aca="false">IF(O336="",L336,"")</f>
        <v>128</v>
      </c>
      <c r="AQ336" s="33" t="n">
        <f aca="false">IF(O336&lt;&gt;"","",(4-VALUE(RIGHT(AK336,1)))*10^7+N(N336))</f>
        <v>10003640.13</v>
      </c>
      <c r="AR336" s="33" t="n">
        <f aca="false">INDEX($O$7:$O$25,MATCH(A336,$I$7:$I$25,0))</f>
        <v>12</v>
      </c>
      <c r="AS336" s="33" t="n">
        <f aca="false">IF(AE336="No","",AR336*1000+IF(AM336="",900+COUNTIFS($A$29:A336,A336,$O$29:O336,"Price ≤ $5"),AM336))</f>
        <v>12008</v>
      </c>
    </row>
    <row r="337" customFormat="false" ht="41.75" hidden="false" customHeight="false" outlineLevel="0" collapsed="false">
      <c r="A337" s="15" t="s">
        <v>202</v>
      </c>
      <c r="B337" s="15" t="s">
        <v>487</v>
      </c>
      <c r="C337" s="16" t="s">
        <v>488</v>
      </c>
      <c r="D337" s="17" t="n">
        <f aca="false">IF(W337&gt;0,ROUND(AVERAGEIFS('Shortlisted Drugs X Company (7)'!$N$3:$N$698,'Shortlisted Drugs X Company (7)'!$C$3:$C$698,$B337,'Shortlisted Drugs X Company (7)'!$E$3:$E$698,$S337,'Shortlisted Drugs X Company (7)'!$N$3:$N$698,"&gt;5"),2),"")</f>
        <v>5.32</v>
      </c>
      <c r="E337" s="15" t="str">
        <f aca="false">IF(COUNTIFS('Shortlisted Drugs X Company (7)'!$C$3:$C$698,$B337,'Shortlisted Drugs X Company (7)'!$E$3:$E$698,$S337,'Shortlisted Drugs X Company (7)'!$P$3:$P$698,"Exact")&gt;0,"Exact",IF(COUNTIFS('Shortlisted Drugs X Company (7)'!$C$3:$C$698,$B337,'Shortlisted Drugs X Company (7)'!$E$3:$E$698,$S337,'Shortlisted Drugs X Company (7)'!$P$3:$P$698,"Same-market proxy")&gt;0,"Same-market proxy",IF(COUNTIFS('Shortlisted Drugs X Company (7)'!$C$3:$C$698,$B337,'Shortlisted Drugs X Company (7)'!$E$3:$E$698,$S337,'Shortlisted Drugs X Company (7)'!$P$3:$P$698,"Cross-market proxy")&gt;0,"Cross-market proxy",IF(COUNTIFS('Shortlisted Drugs X Company (7)'!$C$3:$C$698,$B337,'Shortlisted Drugs X Company (7)'!$E$3:$E$698,$S337,'Shortlisted Drugs X Company (7)'!$P$3:$P$698,"Source not found")&gt;0,"Source not found","Not priced"))))</f>
        <v>Cross-market proxy</v>
      </c>
      <c r="F337" s="18" t="n">
        <f aca="false">IFERROR(ROUND(INDEX('Injectable Value'!$AA$28:$AA$178,MATCH(B337,'Injectable Value'!$A$28:$A$178,0)),1),"")</f>
        <v>17590.5</v>
      </c>
      <c r="G337" s="16" t="s">
        <v>881</v>
      </c>
      <c r="H337" s="14" t="n">
        <v>1</v>
      </c>
      <c r="I337" s="15" t="s">
        <v>316</v>
      </c>
      <c r="J337" s="15" t="s">
        <v>249</v>
      </c>
      <c r="K337" s="16" t="str">
        <f aca="false">""&amp;IF(V337=0,"Unpriced","")&amp;IF(AND(V337&gt;0,W337=0,X337=0),"Low price from another market – confirm with company","")</f>
        <v/>
      </c>
      <c r="L337" s="18" t="n">
        <f aca="false">IFERROR(INDEX('Shortlisted Drugs X Company (7)'!$K$3:$K$698,MATCH(B337,'Shortlisted Drugs X Company (7)'!$C$3:$C$698,0)),"")</f>
        <v>2546</v>
      </c>
      <c r="M337" s="18" t="n">
        <f aca="false">IFERROR(ROUND(L337*INDEX('Injectable Value'!$Z$28:$Z$178,MATCH(B337,'Injectable Value'!$A$28:$A$178,0)),0),"")</f>
        <v>963</v>
      </c>
      <c r="N337" s="18" t="n">
        <f aca="false">IFERROR(INDEX('Shortlisted Drugs X Company (7)'!$L$3:$L$698,MATCH(B337,'Shortlisted Drugs X Company (7)'!$C$3:$C$698,0)),"")</f>
        <v>46507.62</v>
      </c>
      <c r="O337" s="15" t="str">
        <f aca="false">IF(AE337="No","IV only (not ID/IM/SC)",IF(AND(V337&gt;0,W337=0),"Price ≤ $5",""))</f>
        <v/>
      </c>
      <c r="P337" s="14" t="n">
        <f aca="false">IF(O337&lt;&gt;"","",COUNTIFS($A$29:$A$361,A337,$O$29:$O$361,"",$AC$29:$AC$361,"&gt;"&amp;AC337)+COUNTIFS($A$29:A337,A337,$O$29:O337,"",$AC$29:AC337,AC337))</f>
        <v>2</v>
      </c>
      <c r="Q337" s="15" t="str">
        <f aca="false">IF(O337&lt;&gt;"",IF(O337="Price ≤ $5","Excluded – price ≤ $5","Excluded – IV only"),IF(ISNUMBER(D337),IF(AND(D337&gt;=$C$3,M337&gt;=$E$3),"Priority 1",IF(OR(D337&gt;=$C$3,M337&gt;=$E$3),"Priority 2","Priority 3")),IF(M337&gt;=$E$3,"Priority 2","Priority 3")))</f>
        <v>Priority 2</v>
      </c>
      <c r="R337" s="16" t="s">
        <v>250</v>
      </c>
      <c r="S337" s="15" t="s">
        <v>202</v>
      </c>
      <c r="T337" s="32" t="s">
        <v>490</v>
      </c>
      <c r="U337" s="33" t="str">
        <f aca="false">B337&amp;"|"&amp;S337</f>
        <v>Ondansetron|Wockhardt</v>
      </c>
      <c r="V337" s="34" t="n">
        <f aca="false">COUNTIFS('Shortlisted Drugs X Company (7)'!$C$3:$C$698,$B337,'Shortlisted Drugs X Company (7)'!$E$3:$E$698,$S337,'Shortlisted Drugs X Company (7)'!$N$3:$N$698,"&gt;=0")</f>
        <v>1</v>
      </c>
      <c r="W337" s="34" t="n">
        <f aca="false">COUNTIFS('Shortlisted Drugs X Company (7)'!$C$3:$C$698,$B337,'Shortlisted Drugs X Company (7)'!$E$3:$E$698,$S337,'Shortlisted Drugs X Company (7)'!$N$3:$N$698,"&gt;5")</f>
        <v>1</v>
      </c>
      <c r="X337" s="34" t="n">
        <f aca="false">COUNTIFS('Shortlisted Drugs X Company (7)'!$C$3:$C$698,$B337,'Shortlisted Drugs X Company (7)'!$E$3:$E$698,$S337,'Shortlisted Drugs X Company (7)'!$P$3:$P$698,"Exact")+COUNTIFS('Shortlisted Drugs X Company (7)'!$C$3:$C$698,$B337,'Shortlisted Drugs X Company (7)'!$E$3:$E$698,$S337,'Shortlisted Drugs X Company (7)'!$P$3:$P$698,"Same-market proxy")</f>
        <v>0</v>
      </c>
      <c r="Y337" s="33" t="str">
        <f aca="false">A337&amp;"|"&amp;P337</f>
        <v>Wockhardt|2</v>
      </c>
      <c r="Z337" s="16" t="s">
        <v>795</v>
      </c>
      <c r="AA337" s="33" t="n">
        <f aca="false">INDEX($G$7:$G$25,MATCH(A337,$A$7:$A$25,0))</f>
        <v>14</v>
      </c>
      <c r="AB337" s="33" t="n">
        <f aca="false">IF(AE337="No","",AA337*1000+IF(P337="",900+COUNTIFS($A$29:A337,A337,$O$29:O337,"Price ≤ $5"),P337))</f>
        <v>14002</v>
      </c>
      <c r="AC337" s="33" t="n">
        <f aca="false">IF(O337&lt;&gt;"","",(4-VALUE(RIGHT(Q337,1)))*10^7+N(F337))</f>
        <v>20017590.5</v>
      </c>
      <c r="AD337" s="15" t="str">
        <f aca="false">IFERROR(INDEX('Route of Administration'!$C$5:$C$155,MATCH(B337,'Route of Administration'!$A$5:$A$155,0)),"")</f>
        <v>IV, IM</v>
      </c>
      <c r="AE337" s="14" t="str">
        <f aca="false">IFERROR(INDEX('Route of Administration'!$D$5:$D$155,MATCH(B337,'Route of Administration'!$A$5:$A$155,0)),"")</f>
        <v>Yes</v>
      </c>
      <c r="AF337" s="19" t="n">
        <f aca="false">IF(V337&gt;0,ROUND(AVERAGEIFS('Shortlisted Drugs X Company (7)'!$N$3:$N$698,'Shortlisted Drugs X Company (7)'!$C$3:$C$698,$B337,'Shortlisted Drugs X Company (7)'!$E$3:$E$698,$S337,'Shortlisted Drugs X Company (7)'!$N$3:$N$698,"&gt;=0"),2),"")</f>
        <v>5.32</v>
      </c>
      <c r="AG337" s="16" t="s">
        <v>1430</v>
      </c>
      <c r="AH337" s="16" t="s">
        <v>881</v>
      </c>
      <c r="AI337" s="16" t="s">
        <v>881</v>
      </c>
      <c r="AJ337" s="16" t="str">
        <f aca="false">IF(O337&lt;&gt;"","",IF(ISNUMBER(D337),IF(D337&gt;=$C$3,"High price","Lower price"),"Unpriced")&amp;" · "&amp;IF(M337&gt;=$E$3,"high volume","lower volume"))</f>
        <v>Lower price · high volume</v>
      </c>
      <c r="AK337" s="15" t="str">
        <f aca="false">IF(O337&lt;&gt;"",IF(O337="Price ≤ $5","Excluded – price ≤ $5","Excluded – IV only"),IF(ISNUMBER(D337),IF(AND(D337&gt;=$C$3,L337&gt;=$H$3),"Priority 1",IF(OR(D337&gt;=$C$3,L337&gt;=$H$3),"Priority 2","Priority 3")),IF(L337&gt;=$H$3,"Priority 2","Priority 3")))</f>
        <v>Priority 2</v>
      </c>
      <c r="AL337" s="16" t="str">
        <f aca="false">IF(O337&lt;&gt;"","",IF(ISNUMBER(D337),IF(D337&gt;=$C$3,"High price","Lower price"),"Unpriced")&amp;" · "&amp;IF(L337&gt;=$H$3,"high volume","lower volume"))</f>
        <v>Lower price · high volume</v>
      </c>
      <c r="AM337" s="14" t="n">
        <f aca="false">IF(O337&lt;&gt;"","",COUNTIFS($A$29:$A$361,A337,$O$29:$O$361,"",$AQ$29:$AQ$361,"&gt;"&amp;AQ337)+COUNTIFS($A$29:A337,A337,$O$29:O337,"",$AQ$29:AQ337,AQ337))</f>
        <v>2</v>
      </c>
      <c r="AN337" s="19" t="n">
        <f aca="false">IF(AND(O337="",ISNUMBER(D337)),D337,"")</f>
        <v>5.32</v>
      </c>
      <c r="AO337" s="20" t="n">
        <f aca="false">IF(O337="",M337,"")</f>
        <v>963</v>
      </c>
      <c r="AP337" s="20" t="n">
        <f aca="false">IF(O337="",L337,"")</f>
        <v>2546</v>
      </c>
      <c r="AQ337" s="33" t="n">
        <f aca="false">IF(O337&lt;&gt;"","",(4-VALUE(RIGHT(AK337,1)))*10^7+N(N337))</f>
        <v>20046507.62</v>
      </c>
      <c r="AR337" s="33" t="n">
        <f aca="false">INDEX($O$7:$O$25,MATCH(A337,$I$7:$I$25,0))</f>
        <v>12</v>
      </c>
      <c r="AS337" s="33" t="n">
        <f aca="false">IF(AE337="No","",AR337*1000+IF(AM337="",900+COUNTIFS($A$29:A337,A337,$O$29:O337,"Price ≤ $5"),AM337))</f>
        <v>12002</v>
      </c>
    </row>
    <row r="338" customFormat="false" ht="28.35" hidden="false" customHeight="false" outlineLevel="0" collapsed="false">
      <c r="A338" s="15" t="s">
        <v>202</v>
      </c>
      <c r="B338" s="15" t="s">
        <v>495</v>
      </c>
      <c r="C338" s="16" t="s">
        <v>476</v>
      </c>
      <c r="D338" s="17" t="n">
        <f aca="false">IF(W338&gt;0,ROUND(AVERAGEIFS('Shortlisted Drugs X Company (7)'!$N$3:$N$698,'Shortlisted Drugs X Company (7)'!$C$3:$C$698,$B338,'Shortlisted Drugs X Company (7)'!$E$3:$E$698,$S338,'Shortlisted Drugs X Company (7)'!$N$3:$N$698,"&gt;5"),2),"")</f>
        <v>10.93</v>
      </c>
      <c r="E338" s="15" t="str">
        <f aca="false">IF(COUNTIFS('Shortlisted Drugs X Company (7)'!$C$3:$C$698,$B338,'Shortlisted Drugs X Company (7)'!$E$3:$E$698,$S338,'Shortlisted Drugs X Company (7)'!$P$3:$P$698,"Exact")&gt;0,"Exact",IF(COUNTIFS('Shortlisted Drugs X Company (7)'!$C$3:$C$698,$B338,'Shortlisted Drugs X Company (7)'!$E$3:$E$698,$S338,'Shortlisted Drugs X Company (7)'!$P$3:$P$698,"Same-market proxy")&gt;0,"Same-market proxy",IF(COUNTIFS('Shortlisted Drugs X Company (7)'!$C$3:$C$698,$B338,'Shortlisted Drugs X Company (7)'!$E$3:$E$698,$S338,'Shortlisted Drugs X Company (7)'!$P$3:$P$698,"Cross-market proxy")&gt;0,"Cross-market proxy",IF(COUNTIFS('Shortlisted Drugs X Company (7)'!$C$3:$C$698,$B338,'Shortlisted Drugs X Company (7)'!$E$3:$E$698,$S338,'Shortlisted Drugs X Company (7)'!$P$3:$P$698,"Source not found")&gt;0,"Source not found","Not priced"))))</f>
        <v>Same-market proxy</v>
      </c>
      <c r="F338" s="18" t="n">
        <f aca="false">IFERROR(ROUND(INDEX('Injectable Value'!$AA$28:$AA$178,MATCH(B338,'Injectable Value'!$A$28:$A$178,0)),1),"")</f>
        <v>260.9</v>
      </c>
      <c r="G338" s="16" t="s">
        <v>247</v>
      </c>
      <c r="H338" s="14" t="n">
        <v>1</v>
      </c>
      <c r="I338" s="15" t="s">
        <v>248</v>
      </c>
      <c r="J338" s="15" t="s">
        <v>299</v>
      </c>
      <c r="K338" s="16" t="str">
        <f aca="false">"Reconstitution"&amp;IF(V338=0,"; Unpriced","")&amp;IF(AND(V338&gt;0,W338=0,X338=0),"; Low price from another market – confirm with company","")</f>
        <v>Reconstitution</v>
      </c>
      <c r="L338" s="18" t="n">
        <f aca="false">IFERROR(INDEX('Shortlisted Drugs X Company (7)'!$K$3:$K$698,MATCH(B338,'Shortlisted Drugs X Company (7)'!$C$3:$C$698,0)),"")</f>
        <v>10</v>
      </c>
      <c r="M338" s="18" t="n">
        <f aca="false">IFERROR(ROUND(L338*INDEX('Injectable Value'!$Z$28:$Z$178,MATCH(B338,'Injectable Value'!$A$28:$A$178,0)),0),"")</f>
        <v>9</v>
      </c>
      <c r="N338" s="18" t="n">
        <f aca="false">IFERROR(INDEX('Shortlisted Drugs X Company (7)'!$L$3:$L$698,MATCH(B338,'Shortlisted Drugs X Company (7)'!$C$3:$C$698,0)),"")</f>
        <v>280.98</v>
      </c>
      <c r="O338" s="15" t="str">
        <f aca="false">IF(AE338="No","IV only (not ID/IM/SC)",IF(AND(V338&gt;0,W338=0),"Price ≤ $5",""))</f>
        <v/>
      </c>
      <c r="P338" s="14" t="n">
        <f aca="false">IF(O338&lt;&gt;"","",COUNTIFS($A$29:$A$361,A338,$O$29:$O$361,"",$AC$29:$AC$361,"&gt;"&amp;AC338)+COUNTIFS($A$29:A338,A338,$O$29:O338,"",$AC$29:AC338,AC338))</f>
        <v>8</v>
      </c>
      <c r="Q338" s="15" t="str">
        <f aca="false">IF(O338&lt;&gt;"",IF(O338="Price ≤ $5","Excluded – price ≤ $5","Excluded – IV only"),IF(ISNUMBER(D338),IF(AND(D338&gt;=$C$3,M338&gt;=$E$3),"Priority 1",IF(OR(D338&gt;=$C$3,M338&gt;=$E$3),"Priority 2","Priority 3")),IF(M338&gt;=$E$3,"Priority 2","Priority 3")))</f>
        <v>Priority 3</v>
      </c>
      <c r="R338" s="16" t="s">
        <v>285</v>
      </c>
      <c r="S338" s="15" t="s">
        <v>202</v>
      </c>
      <c r="T338" s="32" t="s">
        <v>496</v>
      </c>
      <c r="U338" s="33" t="str">
        <f aca="false">B338&amp;"|"&amp;S338</f>
        <v>Oxacillin|Wockhardt</v>
      </c>
      <c r="V338" s="34" t="n">
        <f aca="false">COUNTIFS('Shortlisted Drugs X Company (7)'!$C$3:$C$698,$B338,'Shortlisted Drugs X Company (7)'!$E$3:$E$698,$S338,'Shortlisted Drugs X Company (7)'!$N$3:$N$698,"&gt;=0")</f>
        <v>1</v>
      </c>
      <c r="W338" s="34" t="n">
        <f aca="false">COUNTIFS('Shortlisted Drugs X Company (7)'!$C$3:$C$698,$B338,'Shortlisted Drugs X Company (7)'!$E$3:$E$698,$S338,'Shortlisted Drugs X Company (7)'!$N$3:$N$698,"&gt;5")</f>
        <v>1</v>
      </c>
      <c r="X338" s="34" t="n">
        <f aca="false">COUNTIFS('Shortlisted Drugs X Company (7)'!$C$3:$C$698,$B338,'Shortlisted Drugs X Company (7)'!$E$3:$E$698,$S338,'Shortlisted Drugs X Company (7)'!$P$3:$P$698,"Exact")+COUNTIFS('Shortlisted Drugs X Company (7)'!$C$3:$C$698,$B338,'Shortlisted Drugs X Company (7)'!$E$3:$E$698,$S338,'Shortlisted Drugs X Company (7)'!$P$3:$P$698,"Same-market proxy")</f>
        <v>1</v>
      </c>
      <c r="Y338" s="33" t="str">
        <f aca="false">A338&amp;"|"&amp;P338</f>
        <v>Wockhardt|8</v>
      </c>
      <c r="Z338" s="16" t="s">
        <v>478</v>
      </c>
      <c r="AA338" s="33" t="n">
        <f aca="false">INDEX($G$7:$G$25,MATCH(A338,$A$7:$A$25,0))</f>
        <v>14</v>
      </c>
      <c r="AB338" s="33" t="n">
        <f aca="false">IF(AE338="No","",AA338*1000+IF(P338="",900+COUNTIFS($A$29:A338,A338,$O$29:O338,"Price ≤ $5"),P338))</f>
        <v>14008</v>
      </c>
      <c r="AC338" s="33" t="n">
        <f aca="false">IF(O338&lt;&gt;"","",(4-VALUE(RIGHT(Q338,1)))*10^7+N(F338))</f>
        <v>10000260.9</v>
      </c>
      <c r="AD338" s="15" t="str">
        <f aca="false">IFERROR(INDEX('Route of Administration'!$C$5:$C$155,MATCH(B338,'Route of Administration'!$A$5:$A$155,0)),"")</f>
        <v>IV, IM</v>
      </c>
      <c r="AE338" s="14" t="str">
        <f aca="false">IFERROR(INDEX('Route of Administration'!$D$5:$D$155,MATCH(B338,'Route of Administration'!$A$5:$A$155,0)),"")</f>
        <v>Yes</v>
      </c>
      <c r="AF338" s="19" t="n">
        <f aca="false">IF(V338&gt;0,ROUND(AVERAGEIFS('Shortlisted Drugs X Company (7)'!$N$3:$N$698,'Shortlisted Drugs X Company (7)'!$C$3:$C$698,$B338,'Shortlisted Drugs X Company (7)'!$E$3:$E$698,$S338,'Shortlisted Drugs X Company (7)'!$N$3:$N$698,"&gt;=0"),2),"")</f>
        <v>10.93</v>
      </c>
      <c r="AG338" s="16" t="s">
        <v>497</v>
      </c>
      <c r="AH338" s="16" t="s">
        <v>247</v>
      </c>
      <c r="AI338" s="16" t="s">
        <v>247</v>
      </c>
      <c r="AJ338" s="16" t="str">
        <f aca="false">IF(O338&lt;&gt;"","",IF(ISNUMBER(D338),IF(D338&gt;=$C$3,"High price","Lower price"),"Unpriced")&amp;" · "&amp;IF(M338&gt;=$E$3,"high volume","lower volume"))</f>
        <v>Lower price · lower volume</v>
      </c>
      <c r="AK338" s="15" t="str">
        <f aca="false">IF(O338&lt;&gt;"",IF(O338="Price ≤ $5","Excluded – price ≤ $5","Excluded – IV only"),IF(ISNUMBER(D338),IF(AND(D338&gt;=$C$3,L338&gt;=$H$3),"Priority 1",IF(OR(D338&gt;=$C$3,L338&gt;=$H$3),"Priority 2","Priority 3")),IF(L338&gt;=$H$3,"Priority 2","Priority 3")))</f>
        <v>Priority 3</v>
      </c>
      <c r="AL338" s="16" t="str">
        <f aca="false">IF(O338&lt;&gt;"","",IF(ISNUMBER(D338),IF(D338&gt;=$C$3,"High price","Lower price"),"Unpriced")&amp;" · "&amp;IF(L338&gt;=$H$3,"high volume","lower volume"))</f>
        <v>Lower price · lower volume</v>
      </c>
      <c r="AM338" s="14" t="n">
        <f aca="false">IF(O338&lt;&gt;"","",COUNTIFS($A$29:$A$361,A338,$O$29:$O$361,"",$AQ$29:$AQ$361,"&gt;"&amp;AQ338)+COUNTIFS($A$29:A338,A338,$O$29:O338,"",$AQ$29:AQ338,AQ338))</f>
        <v>9</v>
      </c>
      <c r="AN338" s="19" t="n">
        <f aca="false">IF(AND(O338="",ISNUMBER(D338)),D338,"")</f>
        <v>10.93</v>
      </c>
      <c r="AO338" s="20" t="n">
        <f aca="false">IF(O338="",M338,"")</f>
        <v>9</v>
      </c>
      <c r="AP338" s="20" t="n">
        <f aca="false">IF(O338="",L338,"")</f>
        <v>10</v>
      </c>
      <c r="AQ338" s="33" t="n">
        <f aca="false">IF(O338&lt;&gt;"","",(4-VALUE(RIGHT(AK338,1)))*10^7+N(N338))</f>
        <v>10000280.98</v>
      </c>
      <c r="AR338" s="33" t="n">
        <f aca="false">INDEX($O$7:$O$25,MATCH(A338,$I$7:$I$25,0))</f>
        <v>12</v>
      </c>
      <c r="AS338" s="33" t="n">
        <f aca="false">IF(AE338="No","",AR338*1000+IF(AM338="",900+COUNTIFS($A$29:A338,A338,$O$29:O338,"Price ≤ $5"),AM338))</f>
        <v>12009</v>
      </c>
    </row>
    <row r="339" customFormat="false" ht="28.35" hidden="false" customHeight="false" outlineLevel="0" collapsed="false">
      <c r="A339" s="15" t="s">
        <v>202</v>
      </c>
      <c r="B339" s="15" t="s">
        <v>1431</v>
      </c>
      <c r="C339" s="16" t="s">
        <v>1432</v>
      </c>
      <c r="D339" s="17" t="n">
        <f aca="false">IF(W339&gt;0,ROUND(AVERAGEIFS('Shortlisted Drugs X Company (7)'!$N$3:$N$698,'Shortlisted Drugs X Company (7)'!$C$3:$C$698,$B339,'Shortlisted Drugs X Company (7)'!$E$3:$E$698,$S339,'Shortlisted Drugs X Company (7)'!$N$3:$N$698,"&gt;5"),2),"")</f>
        <v>17.44</v>
      </c>
      <c r="E339" s="15" t="str">
        <f aca="false">IF(COUNTIFS('Shortlisted Drugs X Company (7)'!$C$3:$C$698,$B339,'Shortlisted Drugs X Company (7)'!$E$3:$E$698,$S339,'Shortlisted Drugs X Company (7)'!$P$3:$P$698,"Exact")&gt;0,"Exact",IF(COUNTIFS('Shortlisted Drugs X Company (7)'!$C$3:$C$698,$B339,'Shortlisted Drugs X Company (7)'!$E$3:$E$698,$S339,'Shortlisted Drugs X Company (7)'!$P$3:$P$698,"Same-market proxy")&gt;0,"Same-market proxy",IF(COUNTIFS('Shortlisted Drugs X Company (7)'!$C$3:$C$698,$B339,'Shortlisted Drugs X Company (7)'!$E$3:$E$698,$S339,'Shortlisted Drugs X Company (7)'!$P$3:$P$698,"Cross-market proxy")&gt;0,"Cross-market proxy",IF(COUNTIFS('Shortlisted Drugs X Company (7)'!$C$3:$C$698,$B339,'Shortlisted Drugs X Company (7)'!$E$3:$E$698,$S339,'Shortlisted Drugs X Company (7)'!$P$3:$P$698,"Source not found")&gt;0,"Source not found","Not priced"))))</f>
        <v>Exact</v>
      </c>
      <c r="F339" s="18" t="n">
        <f aca="false">IFERROR(ROUND(INDEX('Injectable Value'!$AA$28:$AA$178,MATCH(B339,'Injectable Value'!$A$28:$A$178,0)),1),"")</f>
        <v>1008.3</v>
      </c>
      <c r="G339" s="16" t="s">
        <v>740</v>
      </c>
      <c r="H339" s="14" t="n">
        <v>2</v>
      </c>
      <c r="I339" s="15" t="s">
        <v>316</v>
      </c>
      <c r="J339" s="15" t="s">
        <v>249</v>
      </c>
      <c r="K339" s="16" t="str">
        <f aca="false">""&amp;IF(V339=0,"Unpriced","")&amp;IF(AND(V339&gt;0,W339=0,X339=0),"Low price from another market – confirm with company","")</f>
        <v/>
      </c>
      <c r="L339" s="18" t="n">
        <f aca="false">IFERROR(INDEX('Shortlisted Drugs X Company (7)'!$K$3:$K$698,MATCH(B339,'Shortlisted Drugs X Company (7)'!$C$3:$C$698,0)),"")</f>
        <v>186</v>
      </c>
      <c r="M339" s="18" t="n">
        <f aca="false">IFERROR(ROUND(L339*INDEX('Injectable Value'!$Z$28:$Z$178,MATCH(B339,'Injectable Value'!$A$28:$A$178,0)),0),"")</f>
        <v>159</v>
      </c>
      <c r="N339" s="18" t="n">
        <f aca="false">IFERROR(INDEX('Shortlisted Drugs X Company (7)'!$L$3:$L$698,MATCH(B339,'Shortlisted Drugs X Company (7)'!$C$3:$C$698,0)),"")</f>
        <v>1176.33</v>
      </c>
      <c r="O339" s="15" t="str">
        <f aca="false">IF(AE339="No","IV only (not ID/IM/SC)",IF(AND(V339&gt;0,W339=0),"Price ≤ $5",""))</f>
        <v>IV only (not ID/IM/SC)</v>
      </c>
      <c r="P339" s="14" t="str">
        <f aca="false">IF(O339&lt;&gt;"","",COUNTIFS($A$29:$A$361,A339,$O$29:$O$361,"",$AC$29:$AC$361,"&gt;"&amp;AC339)+COUNTIFS($A$29:A339,A339,$O$29:O339,"",$AC$29:AC339,AC339))</f>
        <v/>
      </c>
      <c r="Q339" s="15" t="str">
        <f aca="false">IF(O339&lt;&gt;"",IF(O339="Price ≤ $5","Excluded – price ≤ $5","Excluded – IV only"),IF(ISNUMBER(D339),IF(AND(D339&gt;=$C$3,M339&gt;=$E$3),"Priority 1",IF(OR(D339&gt;=$C$3,M339&gt;=$E$3),"Priority 2","Priority 3")),IF(M339&gt;=$E$3,"Priority 2","Priority 3")))</f>
        <v>Excluded – IV only</v>
      </c>
      <c r="R339" s="16" t="s">
        <v>285</v>
      </c>
      <c r="S339" s="15" t="s">
        <v>202</v>
      </c>
      <c r="T339" s="32" t="s">
        <v>1433</v>
      </c>
      <c r="U339" s="33" t="str">
        <f aca="false">B339&amp;"|"&amp;S339</f>
        <v>Protamine|Wockhardt</v>
      </c>
      <c r="V339" s="34" t="n">
        <f aca="false">COUNTIFS('Shortlisted Drugs X Company (7)'!$C$3:$C$698,$B339,'Shortlisted Drugs X Company (7)'!$E$3:$E$698,$S339,'Shortlisted Drugs X Company (7)'!$N$3:$N$698,"&gt;=0")</f>
        <v>2</v>
      </c>
      <c r="W339" s="34" t="n">
        <f aca="false">COUNTIFS('Shortlisted Drugs X Company (7)'!$C$3:$C$698,$B339,'Shortlisted Drugs X Company (7)'!$E$3:$E$698,$S339,'Shortlisted Drugs X Company (7)'!$N$3:$N$698,"&gt;5")</f>
        <v>2</v>
      </c>
      <c r="X339" s="34" t="n">
        <f aca="false">COUNTIFS('Shortlisted Drugs X Company (7)'!$C$3:$C$698,$B339,'Shortlisted Drugs X Company (7)'!$E$3:$E$698,$S339,'Shortlisted Drugs X Company (7)'!$P$3:$P$698,"Exact")+COUNTIFS('Shortlisted Drugs X Company (7)'!$C$3:$C$698,$B339,'Shortlisted Drugs X Company (7)'!$E$3:$E$698,$S339,'Shortlisted Drugs X Company (7)'!$P$3:$P$698,"Same-market proxy")</f>
        <v>1</v>
      </c>
      <c r="Y339" s="33" t="str">
        <f aca="false">A339&amp;"|"&amp;P339</f>
        <v>Wockhardt|</v>
      </c>
      <c r="Z339" s="16" t="s">
        <v>1116</v>
      </c>
      <c r="AA339" s="33" t="n">
        <f aca="false">INDEX($G$7:$G$25,MATCH(A339,$A$7:$A$25,0))</f>
        <v>14</v>
      </c>
      <c r="AB339" s="33" t="str">
        <f aca="false">IF(AE339="No","",AA339*1000+IF(P339="",900+COUNTIFS($A$29:A339,A339,$O$29:O339,"Price ≤ $5"),P339))</f>
        <v/>
      </c>
      <c r="AC339" s="33" t="str">
        <f aca="false">IF(O339&lt;&gt;"","",(4-VALUE(RIGHT(Q339,1)))*10^7+N(F339))</f>
        <v/>
      </c>
      <c r="AD339" s="15" t="str">
        <f aca="false">IFERROR(INDEX('Route of Administration'!$C$5:$C$155,MATCH(B339,'Route of Administration'!$A$5:$A$155,0)),"")</f>
        <v>IV</v>
      </c>
      <c r="AE339" s="14" t="str">
        <f aca="false">IFERROR(INDEX('Route of Administration'!$D$5:$D$155,MATCH(B339,'Route of Administration'!$A$5:$A$155,0)),"")</f>
        <v>No</v>
      </c>
      <c r="AF339" s="19" t="n">
        <f aca="false">IF(V339&gt;0,ROUND(AVERAGEIFS('Shortlisted Drugs X Company (7)'!$N$3:$N$698,'Shortlisted Drugs X Company (7)'!$C$3:$C$698,$B339,'Shortlisted Drugs X Company (7)'!$E$3:$E$698,$S339,'Shortlisted Drugs X Company (7)'!$N$3:$N$698,"&gt;=0"),2),"")</f>
        <v>17.44</v>
      </c>
      <c r="AG339" s="16" t="s">
        <v>1434</v>
      </c>
      <c r="AH339" s="16" t="s">
        <v>740</v>
      </c>
      <c r="AI339" s="16" t="s">
        <v>740</v>
      </c>
      <c r="AJ339" s="16" t="str">
        <f aca="false">IF(O339&lt;&gt;"","",IF(ISNUMBER(D339),IF(D339&gt;=$C$3,"High price","Lower price"),"Unpriced")&amp;" · "&amp;IF(M339&gt;=$E$3,"high volume","lower volume"))</f>
        <v/>
      </c>
      <c r="AK339" s="15" t="str">
        <f aca="false">IF(O339&lt;&gt;"",IF(O339="Price ≤ $5","Excluded – price ≤ $5","Excluded – IV only"),IF(ISNUMBER(D339),IF(AND(D339&gt;=$C$3,L339&gt;=$H$3),"Priority 1",IF(OR(D339&gt;=$C$3,L339&gt;=$H$3),"Priority 2","Priority 3")),IF(L339&gt;=$H$3,"Priority 2","Priority 3")))</f>
        <v>Excluded – IV only</v>
      </c>
      <c r="AL339" s="16" t="str">
        <f aca="false">IF(O339&lt;&gt;"","",IF(ISNUMBER(D339),IF(D339&gt;=$C$3,"High price","Lower price"),"Unpriced")&amp;" · "&amp;IF(L339&gt;=$H$3,"high volume","lower volume"))</f>
        <v/>
      </c>
      <c r="AM339" s="14" t="str">
        <f aca="false">IF(O339&lt;&gt;"","",COUNTIFS($A$29:$A$361,A339,$O$29:$O$361,"",$AQ$29:$AQ$361,"&gt;"&amp;AQ339)+COUNTIFS($A$29:A339,A339,$O$29:O339,"",$AQ$29:AQ339,AQ339))</f>
        <v/>
      </c>
      <c r="AN339" s="33" t="str">
        <f aca="false">IF(AND(O339="",ISNUMBER(D339)),D339,"")</f>
        <v/>
      </c>
      <c r="AO339" s="33" t="str">
        <f aca="false">IF(O339="",M339,"")</f>
        <v/>
      </c>
      <c r="AP339" s="33" t="str">
        <f aca="false">IF(O339="",L339,"")</f>
        <v/>
      </c>
      <c r="AQ339" s="33" t="str">
        <f aca="false">IF(O339&lt;&gt;"","",(4-VALUE(RIGHT(AK339,1)))*10^7+N(N339))</f>
        <v/>
      </c>
      <c r="AR339" s="33" t="n">
        <f aca="false">INDEX($O$7:$O$25,MATCH(A339,$I$7:$I$25,0))</f>
        <v>12</v>
      </c>
      <c r="AS339" s="33" t="str">
        <f aca="false">IF(AE339="No","",AR339*1000+IF(AM339="",900+COUNTIFS($A$29:A339,A339,$O$29:O339,"Price ≤ $5"),AM339))</f>
        <v/>
      </c>
    </row>
    <row r="340" customFormat="false" ht="28.35" hidden="false" customHeight="false" outlineLevel="0" collapsed="false">
      <c r="A340" s="15" t="s">
        <v>202</v>
      </c>
      <c r="B340" s="15" t="s">
        <v>525</v>
      </c>
      <c r="C340" s="16" t="s">
        <v>526</v>
      </c>
      <c r="D340" s="17" t="n">
        <f aca="false">IF(W340&gt;0,ROUND(AVERAGEIFS('Shortlisted Drugs X Company (7)'!$N$3:$N$698,'Shortlisted Drugs X Company (7)'!$C$3:$C$698,$B340,'Shortlisted Drugs X Company (7)'!$E$3:$E$698,$S340,'Shortlisted Drugs X Company (7)'!$N$3:$N$698,"&gt;5"),2),"")</f>
        <v>33.18</v>
      </c>
      <c r="E340" s="15" t="str">
        <f aca="false">IF(COUNTIFS('Shortlisted Drugs X Company (7)'!$C$3:$C$698,$B340,'Shortlisted Drugs X Company (7)'!$E$3:$E$698,$S340,'Shortlisted Drugs X Company (7)'!$P$3:$P$698,"Exact")&gt;0,"Exact",IF(COUNTIFS('Shortlisted Drugs X Company (7)'!$C$3:$C$698,$B340,'Shortlisted Drugs X Company (7)'!$E$3:$E$698,$S340,'Shortlisted Drugs X Company (7)'!$P$3:$P$698,"Same-market proxy")&gt;0,"Same-market proxy",IF(COUNTIFS('Shortlisted Drugs X Company (7)'!$C$3:$C$698,$B340,'Shortlisted Drugs X Company (7)'!$E$3:$E$698,$S340,'Shortlisted Drugs X Company (7)'!$P$3:$P$698,"Cross-market proxy")&gt;0,"Cross-market proxy",IF(COUNTIFS('Shortlisted Drugs X Company (7)'!$C$3:$C$698,$B340,'Shortlisted Drugs X Company (7)'!$E$3:$E$698,$S340,'Shortlisted Drugs X Company (7)'!$P$3:$P$698,"Source not found")&gt;0,"Source not found","Not priced"))))</f>
        <v>Exact</v>
      </c>
      <c r="F340" s="18" t="n">
        <f aca="false">IFERROR(ROUND(INDEX('Injectable Value'!$AA$28:$AA$178,MATCH(B340,'Injectable Value'!$A$28:$A$178,0)),1),"")</f>
        <v>71.4</v>
      </c>
      <c r="G340" s="16" t="s">
        <v>740</v>
      </c>
      <c r="H340" s="14" t="n">
        <v>2</v>
      </c>
      <c r="I340" s="15" t="s">
        <v>248</v>
      </c>
      <c r="J340" s="15" t="s">
        <v>299</v>
      </c>
      <c r="K340" s="16" t="str">
        <f aca="false">"Reconstitution"&amp;IF(V340=0,"; Unpriced","")&amp;IF(AND(V340&gt;0,W340=0,X340=0),"; Low price from another market – confirm with company","")</f>
        <v>Reconstitution</v>
      </c>
      <c r="L340" s="18" t="n">
        <f aca="false">IFERROR(INDEX('Shortlisted Drugs X Company (7)'!$K$3:$K$698,MATCH(B340,'Shortlisted Drugs X Company (7)'!$C$3:$C$698,0)),"")</f>
        <v>2</v>
      </c>
      <c r="M340" s="18" t="n">
        <f aca="false">IFERROR(ROUND(L340*INDEX('Injectable Value'!$Z$28:$Z$178,MATCH(B340,'Injectable Value'!$A$28:$A$178,0)),0),"")</f>
        <v>2</v>
      </c>
      <c r="N340" s="18" t="n">
        <f aca="false">IFERROR(INDEX('Shortlisted Drugs X Company (7)'!$L$3:$L$698,MATCH(B340,'Shortlisted Drugs X Company (7)'!$C$3:$C$698,0)),"")</f>
        <v>71.73</v>
      </c>
      <c r="O340" s="15" t="str">
        <f aca="false">IF(AE340="No","IV only (not ID/IM/SC)",IF(AND(V340&gt;0,W340=0),"Price ≤ $5",""))</f>
        <v>IV only (not ID/IM/SC)</v>
      </c>
      <c r="P340" s="14" t="str">
        <f aca="false">IF(O340&lt;&gt;"","",COUNTIFS($A$29:$A$361,A340,$O$29:$O$361,"",$AC$29:$AC$361,"&gt;"&amp;AC340)+COUNTIFS($A$29:A340,A340,$O$29:O340,"",$AC$29:AC340,AC340))</f>
        <v/>
      </c>
      <c r="Q340" s="15" t="str">
        <f aca="false">IF(O340&lt;&gt;"",IF(O340="Price ≤ $5","Excluded – price ≤ $5","Excluded – IV only"),IF(ISNUMBER(D340),IF(AND(D340&gt;=$C$3,M340&gt;=$E$3),"Priority 1",IF(OR(D340&gt;=$C$3,M340&gt;=$E$3),"Priority 2","Priority 3")),IF(M340&gt;=$E$3,"Priority 2","Priority 3")))</f>
        <v>Excluded – IV only</v>
      </c>
      <c r="R340" s="16" t="s">
        <v>250</v>
      </c>
      <c r="S340" s="15" t="s">
        <v>202</v>
      </c>
      <c r="T340" s="32" t="s">
        <v>528</v>
      </c>
      <c r="U340" s="33" t="str">
        <f aca="false">B340&amp;"|"&amp;S340</f>
        <v>Remifentanil|Wockhardt</v>
      </c>
      <c r="V340" s="34" t="n">
        <f aca="false">COUNTIFS('Shortlisted Drugs X Company (7)'!$C$3:$C$698,$B340,'Shortlisted Drugs X Company (7)'!$E$3:$E$698,$S340,'Shortlisted Drugs X Company (7)'!$N$3:$N$698,"&gt;=0")</f>
        <v>2</v>
      </c>
      <c r="W340" s="34" t="n">
        <f aca="false">COUNTIFS('Shortlisted Drugs X Company (7)'!$C$3:$C$698,$B340,'Shortlisted Drugs X Company (7)'!$E$3:$E$698,$S340,'Shortlisted Drugs X Company (7)'!$N$3:$N$698,"&gt;5")</f>
        <v>2</v>
      </c>
      <c r="X340" s="34" t="n">
        <f aca="false">COUNTIFS('Shortlisted Drugs X Company (7)'!$C$3:$C$698,$B340,'Shortlisted Drugs X Company (7)'!$E$3:$E$698,$S340,'Shortlisted Drugs X Company (7)'!$P$3:$P$698,"Exact")+COUNTIFS('Shortlisted Drugs X Company (7)'!$C$3:$C$698,$B340,'Shortlisted Drugs X Company (7)'!$E$3:$E$698,$S340,'Shortlisted Drugs X Company (7)'!$P$3:$P$698,"Same-market proxy")</f>
        <v>1</v>
      </c>
      <c r="Y340" s="33" t="str">
        <f aca="false">A340&amp;"|"&amp;P340</f>
        <v>Wockhardt|</v>
      </c>
      <c r="Z340" s="16" t="s">
        <v>1435</v>
      </c>
      <c r="AA340" s="33" t="n">
        <f aca="false">INDEX($G$7:$G$25,MATCH(A340,$A$7:$A$25,0))</f>
        <v>14</v>
      </c>
      <c r="AB340" s="33" t="str">
        <f aca="false">IF(AE340="No","",AA340*1000+IF(P340="",900+COUNTIFS($A$29:A340,A340,$O$29:O340,"Price ≤ $5"),P340))</f>
        <v/>
      </c>
      <c r="AC340" s="33" t="str">
        <f aca="false">IF(O340&lt;&gt;"","",(4-VALUE(RIGHT(Q340,1)))*10^7+N(F340))</f>
        <v/>
      </c>
      <c r="AD340" s="15" t="str">
        <f aca="false">IFERROR(INDEX('Route of Administration'!$C$5:$C$155,MATCH(B340,'Route of Administration'!$A$5:$A$155,0)),"")</f>
        <v>IV</v>
      </c>
      <c r="AE340" s="14" t="str">
        <f aca="false">IFERROR(INDEX('Route of Administration'!$D$5:$D$155,MATCH(B340,'Route of Administration'!$A$5:$A$155,0)),"")</f>
        <v>No</v>
      </c>
      <c r="AF340" s="19" t="n">
        <f aca="false">IF(V340&gt;0,ROUND(AVERAGEIFS('Shortlisted Drugs X Company (7)'!$N$3:$N$698,'Shortlisted Drugs X Company (7)'!$C$3:$C$698,$B340,'Shortlisted Drugs X Company (7)'!$E$3:$E$698,$S340,'Shortlisted Drugs X Company (7)'!$N$3:$N$698,"&gt;=0"),2),"")</f>
        <v>33.18</v>
      </c>
      <c r="AG340" s="16" t="s">
        <v>1436</v>
      </c>
      <c r="AH340" s="16" t="s">
        <v>740</v>
      </c>
      <c r="AI340" s="16" t="s">
        <v>740</v>
      </c>
      <c r="AJ340" s="16" t="str">
        <f aca="false">IF(O340&lt;&gt;"","",IF(ISNUMBER(D340),IF(D340&gt;=$C$3,"High price","Lower price"),"Unpriced")&amp;" · "&amp;IF(M340&gt;=$E$3,"high volume","lower volume"))</f>
        <v/>
      </c>
      <c r="AK340" s="15" t="str">
        <f aca="false">IF(O340&lt;&gt;"",IF(O340="Price ≤ $5","Excluded – price ≤ $5","Excluded – IV only"),IF(ISNUMBER(D340),IF(AND(D340&gt;=$C$3,L340&gt;=$H$3),"Priority 1",IF(OR(D340&gt;=$C$3,L340&gt;=$H$3),"Priority 2","Priority 3")),IF(L340&gt;=$H$3,"Priority 2","Priority 3")))</f>
        <v>Excluded – IV only</v>
      </c>
      <c r="AL340" s="16" t="str">
        <f aca="false">IF(O340&lt;&gt;"","",IF(ISNUMBER(D340),IF(D340&gt;=$C$3,"High price","Lower price"),"Unpriced")&amp;" · "&amp;IF(L340&gt;=$H$3,"high volume","lower volume"))</f>
        <v/>
      </c>
      <c r="AM340" s="14" t="str">
        <f aca="false">IF(O340&lt;&gt;"","",COUNTIFS($A$29:$A$361,A340,$O$29:$O$361,"",$AQ$29:$AQ$361,"&gt;"&amp;AQ340)+COUNTIFS($A$29:A340,A340,$O$29:O340,"",$AQ$29:AQ340,AQ340))</f>
        <v/>
      </c>
      <c r="AN340" s="33" t="str">
        <f aca="false">IF(AND(O340="",ISNUMBER(D340)),D340,"")</f>
        <v/>
      </c>
      <c r="AO340" s="33" t="str">
        <f aca="false">IF(O340="",M340,"")</f>
        <v/>
      </c>
      <c r="AP340" s="33" t="str">
        <f aca="false">IF(O340="",L340,"")</f>
        <v/>
      </c>
      <c r="AQ340" s="33" t="str">
        <f aca="false">IF(O340&lt;&gt;"","",(4-VALUE(RIGHT(AK340,1)))*10^7+N(N340))</f>
        <v/>
      </c>
      <c r="AR340" s="33" t="n">
        <f aca="false">INDEX($O$7:$O$25,MATCH(A340,$I$7:$I$25,0))</f>
        <v>12</v>
      </c>
      <c r="AS340" s="33" t="str">
        <f aca="false">IF(AE340="No","",AR340*1000+IF(AM340="",900+COUNTIFS($A$29:A340,A340,$O$29:O340,"Price ≤ $5"),AM340))</f>
        <v/>
      </c>
    </row>
    <row r="341" customFormat="false" ht="41.75" hidden="false" customHeight="false" outlineLevel="0" collapsed="false">
      <c r="A341" s="15" t="s">
        <v>202</v>
      </c>
      <c r="B341" s="15" t="s">
        <v>1437</v>
      </c>
      <c r="C341" s="16" t="s">
        <v>1237</v>
      </c>
      <c r="D341" s="17" t="n">
        <f aca="false">IF(W341&gt;0,ROUND(AVERAGEIFS('Shortlisted Drugs X Company (7)'!$N$3:$N$698,'Shortlisted Drugs X Company (7)'!$C$3:$C$698,$B341,'Shortlisted Drugs X Company (7)'!$E$3:$E$698,$S341,'Shortlisted Drugs X Company (7)'!$N$3:$N$698,"&gt;5"),2),"")</f>
        <v>33.71</v>
      </c>
      <c r="E341" s="15" t="str">
        <f aca="false">IF(COUNTIFS('Shortlisted Drugs X Company (7)'!$C$3:$C$698,$B341,'Shortlisted Drugs X Company (7)'!$E$3:$E$698,$S341,'Shortlisted Drugs X Company (7)'!$P$3:$P$698,"Exact")&gt;0,"Exact",IF(COUNTIFS('Shortlisted Drugs X Company (7)'!$C$3:$C$698,$B341,'Shortlisted Drugs X Company (7)'!$E$3:$E$698,$S341,'Shortlisted Drugs X Company (7)'!$P$3:$P$698,"Same-market proxy")&gt;0,"Same-market proxy",IF(COUNTIFS('Shortlisted Drugs X Company (7)'!$C$3:$C$698,$B341,'Shortlisted Drugs X Company (7)'!$E$3:$E$698,$S341,'Shortlisted Drugs X Company (7)'!$P$3:$P$698,"Cross-market proxy")&gt;0,"Cross-market proxy",IF(COUNTIFS('Shortlisted Drugs X Company (7)'!$C$3:$C$698,$B341,'Shortlisted Drugs X Company (7)'!$E$3:$E$698,$S341,'Shortlisted Drugs X Company (7)'!$P$3:$P$698,"Source not found")&gt;0,"Source not found","Not priced"))))</f>
        <v>Exact</v>
      </c>
      <c r="F341" s="18" t="n">
        <f aca="false">IFERROR(ROUND(INDEX('Injectable Value'!$AA$28:$AA$178,MATCH(B341,'Injectable Value'!$A$28:$A$178,0)),1),"")</f>
        <v>3580.2</v>
      </c>
      <c r="G341" s="16" t="s">
        <v>740</v>
      </c>
      <c r="H341" s="14" t="n">
        <v>3</v>
      </c>
      <c r="I341" s="15" t="s">
        <v>339</v>
      </c>
      <c r="J341" s="15" t="s">
        <v>249</v>
      </c>
      <c r="K341" s="16" t="str">
        <f aca="false">""&amp;IF(V341=0,"Unpriced","")&amp;IF(AND(V341&gt;0,W341=0,X341=0),"Low price from another market – confirm with company","")</f>
        <v/>
      </c>
      <c r="L341" s="18" t="n">
        <f aca="false">IFERROR(INDEX('Shortlisted Drugs X Company (7)'!$K$3:$K$698,MATCH(B341,'Shortlisted Drugs X Company (7)'!$C$3:$C$698,0)),"")</f>
        <v>780</v>
      </c>
      <c r="M341" s="18" t="n">
        <f aca="false">IFERROR(ROUND(L341*INDEX('Injectable Value'!$Z$28:$Z$178,MATCH(B341,'Injectable Value'!$A$28:$A$178,0)),0),"")</f>
        <v>151</v>
      </c>
      <c r="N341" s="18" t="n">
        <f aca="false">IFERROR(INDEX('Shortlisted Drugs X Company (7)'!$L$3:$L$698,MATCH(B341,'Shortlisted Drugs X Company (7)'!$C$3:$C$698,0)),"")</f>
        <v>18439.5</v>
      </c>
      <c r="O341" s="15" t="str">
        <f aca="false">IF(AE341="No","IV only (not ID/IM/SC)",IF(AND(V341&gt;0,W341=0),"Price ≤ $5",""))</f>
        <v>IV only (not ID/IM/SC)</v>
      </c>
      <c r="P341" s="14" t="str">
        <f aca="false">IF(O341&lt;&gt;"","",COUNTIFS($A$29:$A$361,A341,$O$29:$O$361,"",$AC$29:$AC$361,"&gt;"&amp;AC341)+COUNTIFS($A$29:A341,A341,$O$29:O341,"",$AC$29:AC341,AC341))</f>
        <v/>
      </c>
      <c r="Q341" s="15" t="str">
        <f aca="false">IF(O341&lt;&gt;"",IF(O341="Price ≤ $5","Excluded – price ≤ $5","Excluded – IV only"),IF(ISNUMBER(D341),IF(AND(D341&gt;=$C$3,M341&gt;=$E$3),"Priority 1",IF(OR(D341&gt;=$C$3,M341&gt;=$E$3),"Priority 2","Priority 3")),IF(M341&gt;=$E$3,"Priority 2","Priority 3")))</f>
        <v>Excluded – IV only</v>
      </c>
      <c r="R341" s="16" t="s">
        <v>285</v>
      </c>
      <c r="S341" s="15" t="s">
        <v>202</v>
      </c>
      <c r="T341" s="32" t="s">
        <v>1438</v>
      </c>
      <c r="U341" s="33" t="str">
        <f aca="false">B341&amp;"|"&amp;S341</f>
        <v>Sodium Valproate|Wockhardt</v>
      </c>
      <c r="V341" s="34" t="n">
        <f aca="false">COUNTIFS('Shortlisted Drugs X Company (7)'!$C$3:$C$698,$B341,'Shortlisted Drugs X Company (7)'!$E$3:$E$698,$S341,'Shortlisted Drugs X Company (7)'!$N$3:$N$698,"&gt;=0")</f>
        <v>3</v>
      </c>
      <c r="W341" s="34" t="n">
        <f aca="false">COUNTIFS('Shortlisted Drugs X Company (7)'!$C$3:$C$698,$B341,'Shortlisted Drugs X Company (7)'!$E$3:$E$698,$S341,'Shortlisted Drugs X Company (7)'!$N$3:$N$698,"&gt;5")</f>
        <v>3</v>
      </c>
      <c r="X341" s="34" t="n">
        <f aca="false">COUNTIFS('Shortlisted Drugs X Company (7)'!$C$3:$C$698,$B341,'Shortlisted Drugs X Company (7)'!$E$3:$E$698,$S341,'Shortlisted Drugs X Company (7)'!$P$3:$P$698,"Exact")+COUNTIFS('Shortlisted Drugs X Company (7)'!$C$3:$C$698,$B341,'Shortlisted Drugs X Company (7)'!$E$3:$E$698,$S341,'Shortlisted Drugs X Company (7)'!$P$3:$P$698,"Same-market proxy")</f>
        <v>2</v>
      </c>
      <c r="Y341" s="33" t="str">
        <f aca="false">A341&amp;"|"&amp;P341</f>
        <v>Wockhardt|</v>
      </c>
      <c r="Z341" s="16" t="s">
        <v>1439</v>
      </c>
      <c r="AA341" s="33" t="n">
        <f aca="false">INDEX($G$7:$G$25,MATCH(A341,$A$7:$A$25,0))</f>
        <v>14</v>
      </c>
      <c r="AB341" s="33" t="str">
        <f aca="false">IF(AE341="No","",AA341*1000+IF(P341="",900+COUNTIFS($A$29:A341,A341,$O$29:O341,"Price ≤ $5"),P341))</f>
        <v/>
      </c>
      <c r="AC341" s="33" t="str">
        <f aca="false">IF(O341&lt;&gt;"","",(4-VALUE(RIGHT(Q341,1)))*10^7+N(F341))</f>
        <v/>
      </c>
      <c r="AD341" s="15" t="str">
        <f aca="false">IFERROR(INDEX('Route of Administration'!$C$5:$C$155,MATCH(B341,'Route of Administration'!$A$5:$A$155,0)),"")</f>
        <v>IV</v>
      </c>
      <c r="AE341" s="14" t="str">
        <f aca="false">IFERROR(INDEX('Route of Administration'!$D$5:$D$155,MATCH(B341,'Route of Administration'!$A$5:$A$155,0)),"")</f>
        <v>No</v>
      </c>
      <c r="AF341" s="19" t="n">
        <f aca="false">IF(V341&gt;0,ROUND(AVERAGEIFS('Shortlisted Drugs X Company (7)'!$N$3:$N$698,'Shortlisted Drugs X Company (7)'!$C$3:$C$698,$B341,'Shortlisted Drugs X Company (7)'!$E$3:$E$698,$S341,'Shortlisted Drugs X Company (7)'!$N$3:$N$698,"&gt;=0"),2),"")</f>
        <v>33.71</v>
      </c>
      <c r="AG341" s="16" t="s">
        <v>1440</v>
      </c>
      <c r="AH341" s="16" t="s">
        <v>1404</v>
      </c>
      <c r="AI341" s="16" t="s">
        <v>1404</v>
      </c>
      <c r="AJ341" s="16" t="str">
        <f aca="false">IF(O341&lt;&gt;"","",IF(ISNUMBER(D341),IF(D341&gt;=$C$3,"High price","Lower price"),"Unpriced")&amp;" · "&amp;IF(M341&gt;=$E$3,"high volume","lower volume"))</f>
        <v/>
      </c>
      <c r="AK341" s="15" t="str">
        <f aca="false">IF(O341&lt;&gt;"",IF(O341="Price ≤ $5","Excluded – price ≤ $5","Excluded – IV only"),IF(ISNUMBER(D341),IF(AND(D341&gt;=$C$3,L341&gt;=$H$3),"Priority 1",IF(OR(D341&gt;=$C$3,L341&gt;=$H$3),"Priority 2","Priority 3")),IF(L341&gt;=$H$3,"Priority 2","Priority 3")))</f>
        <v>Excluded – IV only</v>
      </c>
      <c r="AL341" s="16" t="str">
        <f aca="false">IF(O341&lt;&gt;"","",IF(ISNUMBER(D341),IF(D341&gt;=$C$3,"High price","Lower price"),"Unpriced")&amp;" · "&amp;IF(L341&gt;=$H$3,"high volume","lower volume"))</f>
        <v/>
      </c>
      <c r="AM341" s="14" t="str">
        <f aca="false">IF(O341&lt;&gt;"","",COUNTIFS($A$29:$A$361,A341,$O$29:$O$361,"",$AQ$29:$AQ$361,"&gt;"&amp;AQ341)+COUNTIFS($A$29:A341,A341,$O$29:O341,"",$AQ$29:AQ341,AQ341))</f>
        <v/>
      </c>
      <c r="AN341" s="33" t="str">
        <f aca="false">IF(AND(O341="",ISNUMBER(D341)),D341,"")</f>
        <v/>
      </c>
      <c r="AO341" s="33" t="str">
        <f aca="false">IF(O341="",M341,"")</f>
        <v/>
      </c>
      <c r="AP341" s="33" t="str">
        <f aca="false">IF(O341="",L341,"")</f>
        <v/>
      </c>
      <c r="AQ341" s="33" t="str">
        <f aca="false">IF(O341&lt;&gt;"","",(4-VALUE(RIGHT(AK341,1)))*10^7+N(N341))</f>
        <v/>
      </c>
      <c r="AR341" s="33" t="n">
        <f aca="false">INDEX($O$7:$O$25,MATCH(A341,$I$7:$I$25,0))</f>
        <v>12</v>
      </c>
      <c r="AS341" s="33" t="str">
        <f aca="false">IF(AE341="No","",AR341*1000+IF(AM341="",900+COUNTIFS($A$29:A341,A341,$O$29:O341,"Price ≤ $5"),AM341))</f>
        <v/>
      </c>
    </row>
    <row r="342" customFormat="false" ht="28.35" hidden="false" customHeight="false" outlineLevel="0" collapsed="false">
      <c r="A342" s="15" t="s">
        <v>202</v>
      </c>
      <c r="B342" s="15" t="s">
        <v>635</v>
      </c>
      <c r="C342" s="16" t="s">
        <v>636</v>
      </c>
      <c r="D342" s="17" t="n">
        <f aca="false">IF(W342&gt;0,ROUND(AVERAGEIFS('Shortlisted Drugs X Company (7)'!$N$3:$N$698,'Shortlisted Drugs X Company (7)'!$C$3:$C$698,$B342,'Shortlisted Drugs X Company (7)'!$E$3:$E$698,$S342,'Shortlisted Drugs X Company (7)'!$N$3:$N$698,"&gt;5"),2),"")</f>
        <v>140.09</v>
      </c>
      <c r="E342" s="15" t="str">
        <f aca="false">IF(COUNTIFS('Shortlisted Drugs X Company (7)'!$C$3:$C$698,$B342,'Shortlisted Drugs X Company (7)'!$E$3:$E$698,$S342,'Shortlisted Drugs X Company (7)'!$P$3:$P$698,"Exact")&gt;0,"Exact",IF(COUNTIFS('Shortlisted Drugs X Company (7)'!$C$3:$C$698,$B342,'Shortlisted Drugs X Company (7)'!$E$3:$E$698,$S342,'Shortlisted Drugs X Company (7)'!$P$3:$P$698,"Same-market proxy")&gt;0,"Same-market proxy",IF(COUNTIFS('Shortlisted Drugs X Company (7)'!$C$3:$C$698,$B342,'Shortlisted Drugs X Company (7)'!$E$3:$E$698,$S342,'Shortlisted Drugs X Company (7)'!$P$3:$P$698,"Cross-market proxy")&gt;0,"Cross-market proxy",IF(COUNTIFS('Shortlisted Drugs X Company (7)'!$C$3:$C$698,$B342,'Shortlisted Drugs X Company (7)'!$E$3:$E$698,$S342,'Shortlisted Drugs X Company (7)'!$P$3:$P$698,"Source not found")&gt;0,"Source not found","Not priced"))))</f>
        <v>Exact</v>
      </c>
      <c r="F342" s="18" t="n">
        <f aca="false">IFERROR(ROUND(INDEX('Injectable Value'!$AA$28:$AA$178,MATCH(B342,'Injectable Value'!$A$28:$A$178,0)),1),"")</f>
        <v>32830.2</v>
      </c>
      <c r="G342" s="16" t="s">
        <v>740</v>
      </c>
      <c r="H342" s="14" t="n">
        <v>2</v>
      </c>
      <c r="I342" s="15" t="s">
        <v>339</v>
      </c>
      <c r="J342" s="15" t="s">
        <v>249</v>
      </c>
      <c r="K342" s="16" t="str">
        <f aca="false">""&amp;IF(V342=0,"Unpriced","")&amp;IF(AND(V342&gt;0,W342=0,X342=0),"Low price from another market – confirm with company","")</f>
        <v/>
      </c>
      <c r="L342" s="18" t="n">
        <f aca="false">IFERROR(INDEX('Shortlisted Drugs X Company (7)'!$K$3:$K$698,MATCH(B342,'Shortlisted Drugs X Company (7)'!$C$3:$C$698,0)),"")</f>
        <v>346</v>
      </c>
      <c r="M342" s="18" t="n">
        <f aca="false">IFERROR(ROUND(L342*INDEX('Injectable Value'!$Z$28:$Z$178,MATCH(B342,'Injectable Value'!$A$28:$A$178,0)),0),"")</f>
        <v>346</v>
      </c>
      <c r="N342" s="18" t="n">
        <f aca="false">IFERROR(INDEX('Shortlisted Drugs X Company (7)'!$L$3:$L$698,MATCH(B342,'Shortlisted Drugs X Company (7)'!$C$3:$C$698,0)),"")</f>
        <v>32830.17</v>
      </c>
      <c r="O342" s="15" t="str">
        <f aca="false">IF(AE342="No","IV only (not ID/IM/SC)",IF(AND(V342&gt;0,W342=0),"Price ≤ $5",""))</f>
        <v>IV only (not ID/IM/SC)</v>
      </c>
      <c r="P342" s="14" t="str">
        <f aca="false">IF(O342&lt;&gt;"","",COUNTIFS($A$29:$A$361,A342,$O$29:$O$361,"",$AC$29:$AC$361,"&gt;"&amp;AC342)+COUNTIFS($A$29:A342,A342,$O$29:O342,"",$AC$29:AC342,AC342))</f>
        <v/>
      </c>
      <c r="Q342" s="15" t="str">
        <f aca="false">IF(O342&lt;&gt;"",IF(O342="Price ≤ $5","Excluded – price ≤ $5","Excluded – IV only"),IF(ISNUMBER(D342),IF(AND(D342&gt;=$C$3,M342&gt;=$E$3),"Priority 1",IF(OR(D342&gt;=$C$3,M342&gt;=$E$3),"Priority 2","Priority 3")),IF(M342&gt;=$E$3,"Priority 2","Priority 3")))</f>
        <v>Excluded – IV only</v>
      </c>
      <c r="R342" s="16" t="s">
        <v>250</v>
      </c>
      <c r="S342" s="15" t="s">
        <v>202</v>
      </c>
      <c r="T342" s="32" t="s">
        <v>637</v>
      </c>
      <c r="U342" s="33" t="str">
        <f aca="false">B342&amp;"|"&amp;S342</f>
        <v>Sugammadex|Wockhardt</v>
      </c>
      <c r="V342" s="34" t="n">
        <f aca="false">COUNTIFS('Shortlisted Drugs X Company (7)'!$C$3:$C$698,$B342,'Shortlisted Drugs X Company (7)'!$E$3:$E$698,$S342,'Shortlisted Drugs X Company (7)'!$N$3:$N$698,"&gt;=0")</f>
        <v>2</v>
      </c>
      <c r="W342" s="34" t="n">
        <f aca="false">COUNTIFS('Shortlisted Drugs X Company (7)'!$C$3:$C$698,$B342,'Shortlisted Drugs X Company (7)'!$E$3:$E$698,$S342,'Shortlisted Drugs X Company (7)'!$N$3:$N$698,"&gt;5")</f>
        <v>2</v>
      </c>
      <c r="X342" s="34" t="n">
        <f aca="false">COUNTIFS('Shortlisted Drugs X Company (7)'!$C$3:$C$698,$B342,'Shortlisted Drugs X Company (7)'!$E$3:$E$698,$S342,'Shortlisted Drugs X Company (7)'!$P$3:$P$698,"Exact")+COUNTIFS('Shortlisted Drugs X Company (7)'!$C$3:$C$698,$B342,'Shortlisted Drugs X Company (7)'!$E$3:$E$698,$S342,'Shortlisted Drugs X Company (7)'!$P$3:$P$698,"Same-market proxy")</f>
        <v>1</v>
      </c>
      <c r="Y342" s="33" t="str">
        <f aca="false">A342&amp;"|"&amp;P342</f>
        <v>Wockhardt|</v>
      </c>
      <c r="Z342" s="16" t="s">
        <v>1441</v>
      </c>
      <c r="AA342" s="33" t="n">
        <f aca="false">INDEX($G$7:$G$25,MATCH(A342,$A$7:$A$25,0))</f>
        <v>14</v>
      </c>
      <c r="AB342" s="33" t="str">
        <f aca="false">IF(AE342="No","",AA342*1000+IF(P342="",900+COUNTIFS($A$29:A342,A342,$O$29:O342,"Price ≤ $5"),P342))</f>
        <v/>
      </c>
      <c r="AC342" s="33" t="str">
        <f aca="false">IF(O342&lt;&gt;"","",(4-VALUE(RIGHT(Q342,1)))*10^7+N(F342))</f>
        <v/>
      </c>
      <c r="AD342" s="15" t="str">
        <f aca="false">IFERROR(INDEX('Route of Administration'!$C$5:$C$155,MATCH(B342,'Route of Administration'!$A$5:$A$155,0)),"")</f>
        <v>IV</v>
      </c>
      <c r="AE342" s="14" t="str">
        <f aca="false">IFERROR(INDEX('Route of Administration'!$D$5:$D$155,MATCH(B342,'Route of Administration'!$A$5:$A$155,0)),"")</f>
        <v>No</v>
      </c>
      <c r="AF342" s="19" t="n">
        <f aca="false">IF(V342&gt;0,ROUND(AVERAGEIFS('Shortlisted Drugs X Company (7)'!$N$3:$N$698,'Shortlisted Drugs X Company (7)'!$C$3:$C$698,$B342,'Shortlisted Drugs X Company (7)'!$E$3:$E$698,$S342,'Shortlisted Drugs X Company (7)'!$N$3:$N$698,"&gt;=0"),2),"")</f>
        <v>140.09</v>
      </c>
      <c r="AG342" s="16" t="s">
        <v>635</v>
      </c>
      <c r="AH342" s="16" t="s">
        <v>740</v>
      </c>
      <c r="AI342" s="16" t="s">
        <v>740</v>
      </c>
      <c r="AJ342" s="16" t="str">
        <f aca="false">IF(O342&lt;&gt;"","",IF(ISNUMBER(D342),IF(D342&gt;=$C$3,"High price","Lower price"),"Unpriced")&amp;" · "&amp;IF(M342&gt;=$E$3,"high volume","lower volume"))</f>
        <v/>
      </c>
      <c r="AK342" s="15" t="str">
        <f aca="false">IF(O342&lt;&gt;"",IF(O342="Price ≤ $5","Excluded – price ≤ $5","Excluded – IV only"),IF(ISNUMBER(D342),IF(AND(D342&gt;=$C$3,L342&gt;=$H$3),"Priority 1",IF(OR(D342&gt;=$C$3,L342&gt;=$H$3),"Priority 2","Priority 3")),IF(L342&gt;=$H$3,"Priority 2","Priority 3")))</f>
        <v>Excluded – IV only</v>
      </c>
      <c r="AL342" s="16" t="str">
        <f aca="false">IF(O342&lt;&gt;"","",IF(ISNUMBER(D342),IF(D342&gt;=$C$3,"High price","Lower price"),"Unpriced")&amp;" · "&amp;IF(L342&gt;=$H$3,"high volume","lower volume"))</f>
        <v/>
      </c>
      <c r="AM342" s="14" t="str">
        <f aca="false">IF(O342&lt;&gt;"","",COUNTIFS($A$29:$A$361,A342,$O$29:$O$361,"",$AQ$29:$AQ$361,"&gt;"&amp;AQ342)+COUNTIFS($A$29:A342,A342,$O$29:O342,"",$AQ$29:AQ342,AQ342))</f>
        <v/>
      </c>
      <c r="AN342" s="33" t="str">
        <f aca="false">IF(AND(O342="",ISNUMBER(D342)),D342,"")</f>
        <v/>
      </c>
      <c r="AO342" s="33" t="str">
        <f aca="false">IF(O342="",M342,"")</f>
        <v/>
      </c>
      <c r="AP342" s="33" t="str">
        <f aca="false">IF(O342="",L342,"")</f>
        <v/>
      </c>
      <c r="AQ342" s="33" t="str">
        <f aca="false">IF(O342&lt;&gt;"","",(4-VALUE(RIGHT(AK342,1)))*10^7+N(N342))</f>
        <v/>
      </c>
      <c r="AR342" s="33" t="n">
        <f aca="false">INDEX($O$7:$O$25,MATCH(A342,$I$7:$I$25,0))</f>
        <v>12</v>
      </c>
      <c r="AS342" s="33" t="str">
        <f aca="false">IF(AE342="No","",AR342*1000+IF(AM342="",900+COUNTIFS($A$29:A342,A342,$O$29:O342,"Price ≤ $5"),AM342))</f>
        <v/>
      </c>
    </row>
    <row r="343" customFormat="false" ht="28.35" hidden="false" customHeight="false" outlineLevel="0" collapsed="false">
      <c r="A343" s="15" t="s">
        <v>202</v>
      </c>
      <c r="B343" s="15" t="s">
        <v>1442</v>
      </c>
      <c r="C343" s="16" t="s">
        <v>642</v>
      </c>
      <c r="D343" s="17" t="n">
        <f aca="false">IF(W343&gt;0,ROUND(AVERAGEIFS('Shortlisted Drugs X Company (7)'!$N$3:$N$698,'Shortlisted Drugs X Company (7)'!$C$3:$C$698,$B343,'Shortlisted Drugs X Company (7)'!$E$3:$E$698,$S343,'Shortlisted Drugs X Company (7)'!$N$3:$N$698,"&gt;5"),2),"")</f>
        <v>6.73</v>
      </c>
      <c r="E343" s="15" t="str">
        <f aca="false">IF(COUNTIFS('Shortlisted Drugs X Company (7)'!$C$3:$C$698,$B343,'Shortlisted Drugs X Company (7)'!$E$3:$E$698,$S343,'Shortlisted Drugs X Company (7)'!$P$3:$P$698,"Exact")&gt;0,"Exact",IF(COUNTIFS('Shortlisted Drugs X Company (7)'!$C$3:$C$698,$B343,'Shortlisted Drugs X Company (7)'!$E$3:$E$698,$S343,'Shortlisted Drugs X Company (7)'!$P$3:$P$698,"Same-market proxy")&gt;0,"Same-market proxy",IF(COUNTIFS('Shortlisted Drugs X Company (7)'!$C$3:$C$698,$B343,'Shortlisted Drugs X Company (7)'!$E$3:$E$698,$S343,'Shortlisted Drugs X Company (7)'!$P$3:$P$698,"Cross-market proxy")&gt;0,"Cross-market proxy",IF(COUNTIFS('Shortlisted Drugs X Company (7)'!$C$3:$C$698,$B343,'Shortlisted Drugs X Company (7)'!$E$3:$E$698,$S343,'Shortlisted Drugs X Company (7)'!$P$3:$P$698,"Source not found")&gt;0,"Source not found","Not priced"))))</f>
        <v>Cross-market proxy</v>
      </c>
      <c r="F343" s="18" t="n">
        <f aca="false">IFERROR(ROUND(INDEX('Injectable Value'!$AA$28:$AA$178,MATCH(B343,'Injectable Value'!$A$28:$A$178,0)),1),"")</f>
        <v>44038.9</v>
      </c>
      <c r="G343" s="16" t="s">
        <v>881</v>
      </c>
      <c r="H343" s="14" t="n">
        <v>1</v>
      </c>
      <c r="I343" s="15" t="s">
        <v>248</v>
      </c>
      <c r="J343" s="15" t="s">
        <v>299</v>
      </c>
      <c r="K343" s="16" t="str">
        <f aca="false">"Reconstitution"&amp;IF(V343=0,"; Unpriced","")&amp;IF(AND(V343&gt;0,W343=0,X343=0),"; Low price from another market – confirm with company","")</f>
        <v>Reconstitution</v>
      </c>
      <c r="L343" s="18" t="n">
        <f aca="false">IFERROR(INDEX('Shortlisted Drugs X Company (7)'!$K$3:$K$698,MATCH(B343,'Shortlisted Drugs X Company (7)'!$C$3:$C$698,0)),"")</f>
        <v>1200</v>
      </c>
      <c r="M343" s="18" t="n">
        <f aca="false">IFERROR(ROUND(L343*INDEX('Injectable Value'!$Z$28:$Z$178,MATCH(B343,'Injectable Value'!$A$28:$A$178,0)),0),"")</f>
        <v>987</v>
      </c>
      <c r="N343" s="18" t="n">
        <f aca="false">IFERROR(INDEX('Shortlisted Drugs X Company (7)'!$L$3:$L$698,MATCH(B343,'Shortlisted Drugs X Company (7)'!$C$3:$C$698,0)),"")</f>
        <v>53526.71</v>
      </c>
      <c r="O343" s="15" t="str">
        <f aca="false">IF(AE343="No","IV only (not ID/IM/SC)",IF(AND(V343&gt;0,W343=0),"Price ≤ $5",""))</f>
        <v>IV only (not ID/IM/SC)</v>
      </c>
      <c r="P343" s="14" t="str">
        <f aca="false">IF(O343&lt;&gt;"","",COUNTIFS($A$29:$A$361,A343,$O$29:$O$361,"",$AC$29:$AC$361,"&gt;"&amp;AC343)+COUNTIFS($A$29:A343,A343,$O$29:O343,"",$AC$29:AC343,AC343))</f>
        <v/>
      </c>
      <c r="Q343" s="15" t="str">
        <f aca="false">IF(O343&lt;&gt;"",IF(O343="Price ≤ $5","Excluded – price ≤ $5","Excluded – IV only"),IF(ISNUMBER(D343),IF(AND(D343&gt;=$C$3,M343&gt;=$E$3),"Priority 1",IF(OR(D343&gt;=$C$3,M343&gt;=$E$3),"Priority 2","Priority 3")),IF(M343&gt;=$E$3,"Priority 2","Priority 3")))</f>
        <v>Excluded – IV only</v>
      </c>
      <c r="R343" s="16" t="s">
        <v>285</v>
      </c>
      <c r="S343" s="15" t="s">
        <v>202</v>
      </c>
      <c r="T343" s="32" t="s">
        <v>1443</v>
      </c>
      <c r="U343" s="33" t="str">
        <f aca="false">B343&amp;"|"&amp;S343</f>
        <v>Vancomycin|Wockhardt</v>
      </c>
      <c r="V343" s="34" t="n">
        <f aca="false">COUNTIFS('Shortlisted Drugs X Company (7)'!$C$3:$C$698,$B343,'Shortlisted Drugs X Company (7)'!$E$3:$E$698,$S343,'Shortlisted Drugs X Company (7)'!$N$3:$N$698,"&gt;=0")</f>
        <v>1</v>
      </c>
      <c r="W343" s="34" t="n">
        <f aca="false">COUNTIFS('Shortlisted Drugs X Company (7)'!$C$3:$C$698,$B343,'Shortlisted Drugs X Company (7)'!$E$3:$E$698,$S343,'Shortlisted Drugs X Company (7)'!$N$3:$N$698,"&gt;5")</f>
        <v>1</v>
      </c>
      <c r="X343" s="34" t="n">
        <f aca="false">COUNTIFS('Shortlisted Drugs X Company (7)'!$C$3:$C$698,$B343,'Shortlisted Drugs X Company (7)'!$E$3:$E$698,$S343,'Shortlisted Drugs X Company (7)'!$P$3:$P$698,"Exact")+COUNTIFS('Shortlisted Drugs X Company (7)'!$C$3:$C$698,$B343,'Shortlisted Drugs X Company (7)'!$E$3:$E$698,$S343,'Shortlisted Drugs X Company (7)'!$P$3:$P$698,"Same-market proxy")</f>
        <v>0</v>
      </c>
      <c r="Y343" s="33" t="str">
        <f aca="false">A343&amp;"|"&amp;P343</f>
        <v>Wockhardt|</v>
      </c>
      <c r="Z343" s="16" t="s">
        <v>743</v>
      </c>
      <c r="AA343" s="33" t="n">
        <f aca="false">INDEX($G$7:$G$25,MATCH(A343,$A$7:$A$25,0))</f>
        <v>14</v>
      </c>
      <c r="AB343" s="33" t="str">
        <f aca="false">IF(AE343="No","",AA343*1000+IF(P343="",900+COUNTIFS($A$29:A343,A343,$O$29:O343,"Price ≤ $5"),P343))</f>
        <v/>
      </c>
      <c r="AC343" s="33" t="str">
        <f aca="false">IF(O343&lt;&gt;"","",(4-VALUE(RIGHT(Q343,1)))*10^7+N(F343))</f>
        <v/>
      </c>
      <c r="AD343" s="15" t="str">
        <f aca="false">IFERROR(INDEX('Route of Administration'!$C$5:$C$155,MATCH(B343,'Route of Administration'!$A$5:$A$155,0)),"")</f>
        <v>IV</v>
      </c>
      <c r="AE343" s="14" t="str">
        <f aca="false">IFERROR(INDEX('Route of Administration'!$D$5:$D$155,MATCH(B343,'Route of Administration'!$A$5:$A$155,0)),"")</f>
        <v>No</v>
      </c>
      <c r="AF343" s="19" t="n">
        <f aca="false">IF(V343&gt;0,ROUND(AVERAGEIFS('Shortlisted Drugs X Company (7)'!$N$3:$N$698,'Shortlisted Drugs X Company (7)'!$C$3:$C$698,$B343,'Shortlisted Drugs X Company (7)'!$E$3:$E$698,$S343,'Shortlisted Drugs X Company (7)'!$N$3:$N$698,"&gt;=0"),2),"")</f>
        <v>6.73</v>
      </c>
      <c r="AG343" s="16" t="s">
        <v>1444</v>
      </c>
      <c r="AH343" s="16" t="s">
        <v>881</v>
      </c>
      <c r="AI343" s="16" t="s">
        <v>881</v>
      </c>
      <c r="AJ343" s="16" t="str">
        <f aca="false">IF(O343&lt;&gt;"","",IF(ISNUMBER(D343),IF(D343&gt;=$C$3,"High price","Lower price"),"Unpriced")&amp;" · "&amp;IF(M343&gt;=$E$3,"high volume","lower volume"))</f>
        <v/>
      </c>
      <c r="AK343" s="15" t="str">
        <f aca="false">IF(O343&lt;&gt;"",IF(O343="Price ≤ $5","Excluded – price ≤ $5","Excluded – IV only"),IF(ISNUMBER(D343),IF(AND(D343&gt;=$C$3,L343&gt;=$H$3),"Priority 1",IF(OR(D343&gt;=$C$3,L343&gt;=$H$3),"Priority 2","Priority 3")),IF(L343&gt;=$H$3,"Priority 2","Priority 3")))</f>
        <v>Excluded – IV only</v>
      </c>
      <c r="AL343" s="16" t="str">
        <f aca="false">IF(O343&lt;&gt;"","",IF(ISNUMBER(D343),IF(D343&gt;=$C$3,"High price","Lower price"),"Unpriced")&amp;" · "&amp;IF(L343&gt;=$H$3,"high volume","lower volume"))</f>
        <v/>
      </c>
      <c r="AM343" s="14" t="str">
        <f aca="false">IF(O343&lt;&gt;"","",COUNTIFS($A$29:$A$361,A343,$O$29:$O$361,"",$AQ$29:$AQ$361,"&gt;"&amp;AQ343)+COUNTIFS($A$29:A343,A343,$O$29:O343,"",$AQ$29:AQ343,AQ343))</f>
        <v/>
      </c>
      <c r="AN343" s="33" t="str">
        <f aca="false">IF(AND(O343="",ISNUMBER(D343)),D343,"")</f>
        <v/>
      </c>
      <c r="AO343" s="33" t="str">
        <f aca="false">IF(O343="",M343,"")</f>
        <v/>
      </c>
      <c r="AP343" s="33" t="str">
        <f aca="false">IF(O343="",L343,"")</f>
        <v/>
      </c>
      <c r="AQ343" s="33" t="str">
        <f aca="false">IF(O343&lt;&gt;"","",(4-VALUE(RIGHT(AK343,1)))*10^7+N(N343))</f>
        <v/>
      </c>
      <c r="AR343" s="33" t="n">
        <f aca="false">INDEX($O$7:$O$25,MATCH(A343,$I$7:$I$25,0))</f>
        <v>12</v>
      </c>
      <c r="AS343" s="33" t="str">
        <f aca="false">IF(AE343="No","",AR343*1000+IF(AM343="",900+COUNTIFS($A$29:A343,A343,$O$29:O343,"Price ≤ $5"),AM343))</f>
        <v/>
      </c>
    </row>
    <row r="344" customFormat="false" ht="41.75" hidden="false" customHeight="false" outlineLevel="0" collapsed="false">
      <c r="A344" s="15" t="s">
        <v>203</v>
      </c>
      <c r="B344" s="15" t="s">
        <v>738</v>
      </c>
      <c r="C344" s="16" t="s">
        <v>739</v>
      </c>
      <c r="D344" s="17" t="n">
        <f aca="false">IF(W344&gt;0,ROUND(AVERAGEIFS('Shortlisted Drugs X Company (7)'!$N$3:$N$698,'Shortlisted Drugs X Company (7)'!$C$3:$C$698,$B344,'Shortlisted Drugs X Company (7)'!$E$3:$E$698,$S344,'Shortlisted Drugs X Company (7)'!$N$3:$N$698,"&gt;5"),2),"")</f>
        <v>24.95</v>
      </c>
      <c r="E344" s="15" t="str">
        <f aca="false">IF(COUNTIFS('Shortlisted Drugs X Company (7)'!$C$3:$C$698,$B344,'Shortlisted Drugs X Company (7)'!$E$3:$E$698,$S344,'Shortlisted Drugs X Company (7)'!$P$3:$P$698,"Exact")&gt;0,"Exact",IF(COUNTIFS('Shortlisted Drugs X Company (7)'!$C$3:$C$698,$B344,'Shortlisted Drugs X Company (7)'!$E$3:$E$698,$S344,'Shortlisted Drugs X Company (7)'!$P$3:$P$698,"Same-market proxy")&gt;0,"Same-market proxy",IF(COUNTIFS('Shortlisted Drugs X Company (7)'!$C$3:$C$698,$B344,'Shortlisted Drugs X Company (7)'!$E$3:$E$698,$S344,'Shortlisted Drugs X Company (7)'!$P$3:$P$698,"Cross-market proxy")&gt;0,"Cross-market proxy",IF(COUNTIFS('Shortlisted Drugs X Company (7)'!$C$3:$C$698,$B344,'Shortlisted Drugs X Company (7)'!$E$3:$E$698,$S344,'Shortlisted Drugs X Company (7)'!$P$3:$P$698,"Source not found")&gt;0,"Source not found","Not priced"))))</f>
        <v>Same-market proxy</v>
      </c>
      <c r="F344" s="18" t="n">
        <f aca="false">IFERROR(ROUND(INDEX('Injectable Value'!$AA$28:$AA$178,MATCH(B344,'Injectable Value'!$A$28:$A$178,0)),1),"")</f>
        <v>1405.2</v>
      </c>
      <c r="G344" s="16" t="s">
        <v>247</v>
      </c>
      <c r="H344" s="14" t="n">
        <v>1</v>
      </c>
      <c r="I344" s="15" t="s">
        <v>277</v>
      </c>
      <c r="J344" s="15" t="s">
        <v>277</v>
      </c>
      <c r="K344" s="16" t="str">
        <f aca="false">""&amp;IF(V344=0,"Unpriced","")&amp;IF(AND(V344&gt;0,W344=0,X344=0),"Low price from another market – confirm with company","")</f>
        <v/>
      </c>
      <c r="L344" s="18" t="n">
        <f aca="false">IFERROR(INDEX('Shortlisted Drugs X Company (7)'!$K$3:$K$698,MATCH(B344,'Shortlisted Drugs X Company (7)'!$C$3:$C$698,0)),"")</f>
        <v>310</v>
      </c>
      <c r="M344" s="18" t="n">
        <f aca="false">IFERROR(ROUND(L344*INDEX('Injectable Value'!$Z$28:$Z$178,MATCH(B344,'Injectable Value'!$A$28:$A$178,0)),0),"")</f>
        <v>48</v>
      </c>
      <c r="N344" s="18" t="n">
        <f aca="false">IFERROR(INDEX('Shortlisted Drugs X Company (7)'!$L$3:$L$698,MATCH(B344,'Shortlisted Drugs X Company (7)'!$C$3:$C$698,0)),"")</f>
        <v>8995.42</v>
      </c>
      <c r="O344" s="15" t="str">
        <f aca="false">IF(AE344="No","IV only (not ID/IM/SC)",IF(AND(V344&gt;0,W344=0),"Price ≤ $5",""))</f>
        <v/>
      </c>
      <c r="P344" s="14" t="n">
        <f aca="false">IF(O344&lt;&gt;"","",COUNTIFS($A$29:$A$361,A344,$O$29:$O$361,"",$AC$29:$AC$361,"&gt;"&amp;AC344)+COUNTIFS($A$29:A344,A344,$O$29:O344,"",$AC$29:AC344,AC344))</f>
        <v>10</v>
      </c>
      <c r="Q344" s="15" t="str">
        <f aca="false">IF(O344&lt;&gt;"",IF(O344="Price ≤ $5","Excluded – price ≤ $5","Excluded – IV only"),IF(ISNUMBER(D344),IF(AND(D344&gt;=$C$3,M344&gt;=$E$3),"Priority 1",IF(OR(D344&gt;=$C$3,M344&gt;=$E$3),"Priority 2","Priority 3")),IF(M344&gt;=$E$3,"Priority 2","Priority 3")))</f>
        <v>Priority 3</v>
      </c>
      <c r="R344" s="16" t="s">
        <v>278</v>
      </c>
      <c r="S344" s="15" t="s">
        <v>1445</v>
      </c>
      <c r="T344" s="32" t="s">
        <v>742</v>
      </c>
      <c r="U344" s="33" t="str">
        <f aca="false">B344&amp;"|"&amp;S344</f>
        <v>Acetazolamide|Zydus Lifesciences</v>
      </c>
      <c r="V344" s="34" t="n">
        <f aca="false">COUNTIFS('Shortlisted Drugs X Company (7)'!$C$3:$C$698,$B344,'Shortlisted Drugs X Company (7)'!$E$3:$E$698,$S344,'Shortlisted Drugs X Company (7)'!$N$3:$N$698,"&gt;=0")</f>
        <v>1</v>
      </c>
      <c r="W344" s="34" t="n">
        <f aca="false">COUNTIFS('Shortlisted Drugs X Company (7)'!$C$3:$C$698,$B344,'Shortlisted Drugs X Company (7)'!$E$3:$E$698,$S344,'Shortlisted Drugs X Company (7)'!$N$3:$N$698,"&gt;5")</f>
        <v>1</v>
      </c>
      <c r="X344" s="34" t="n">
        <f aca="false">COUNTIFS('Shortlisted Drugs X Company (7)'!$C$3:$C$698,$B344,'Shortlisted Drugs X Company (7)'!$E$3:$E$698,$S344,'Shortlisted Drugs X Company (7)'!$P$3:$P$698,"Exact")+COUNTIFS('Shortlisted Drugs X Company (7)'!$C$3:$C$698,$B344,'Shortlisted Drugs X Company (7)'!$E$3:$E$698,$S344,'Shortlisted Drugs X Company (7)'!$P$3:$P$698,"Same-market proxy")</f>
        <v>1</v>
      </c>
      <c r="Y344" s="33" t="str">
        <f aca="false">A344&amp;"|"&amp;P344</f>
        <v>Zydus|10</v>
      </c>
      <c r="Z344" s="16" t="s">
        <v>902</v>
      </c>
      <c r="AA344" s="33" t="n">
        <f aca="false">INDEX($G$7:$G$25,MATCH(A344,$A$7:$A$25,0))</f>
        <v>8</v>
      </c>
      <c r="AB344" s="33" t="n">
        <f aca="false">IF(AE344="No","",AA344*1000+IF(P344="",900+COUNTIFS($A$29:A344,A344,$O$29:O344,"Price ≤ $5"),P344))</f>
        <v>8010</v>
      </c>
      <c r="AC344" s="33" t="n">
        <f aca="false">IF(O344&lt;&gt;"","",(4-VALUE(RIGHT(Q344,1)))*10^7+N(F344))</f>
        <v>10001405.2</v>
      </c>
      <c r="AD344" s="15" t="str">
        <f aca="false">IFERROR(INDEX('Route of Administration'!$C$5:$C$155,MATCH(B344,'Route of Administration'!$A$5:$A$155,0)),"")</f>
        <v>IV, IM</v>
      </c>
      <c r="AE344" s="14" t="str">
        <f aca="false">IFERROR(INDEX('Route of Administration'!$D$5:$D$155,MATCH(B344,'Route of Administration'!$A$5:$A$155,0)),"")</f>
        <v>Yes</v>
      </c>
      <c r="AF344" s="19" t="n">
        <f aca="false">IF(V344&gt;0,ROUND(AVERAGEIFS('Shortlisted Drugs X Company (7)'!$N$3:$N$698,'Shortlisted Drugs X Company (7)'!$C$3:$C$698,$B344,'Shortlisted Drugs X Company (7)'!$E$3:$E$698,$S344,'Shortlisted Drugs X Company (7)'!$N$3:$N$698,"&gt;=0"),2),"")</f>
        <v>24.95</v>
      </c>
      <c r="AG344" s="16" t="s">
        <v>1446</v>
      </c>
      <c r="AH344" s="16" t="s">
        <v>247</v>
      </c>
      <c r="AI344" s="16" t="s">
        <v>247</v>
      </c>
      <c r="AJ344" s="16" t="str">
        <f aca="false">IF(O344&lt;&gt;"","",IF(ISNUMBER(D344),IF(D344&gt;=$C$3,"High price","Lower price"),"Unpriced")&amp;" · "&amp;IF(M344&gt;=$E$3,"high volume","lower volume"))</f>
        <v>Lower price · lower volume</v>
      </c>
      <c r="AK344" s="15" t="str">
        <f aca="false">IF(O344&lt;&gt;"",IF(O344="Price ≤ $5","Excluded – price ≤ $5","Excluded – IV only"),IF(ISNUMBER(D344),IF(AND(D344&gt;=$C$3,L344&gt;=$H$3),"Priority 1",IF(OR(D344&gt;=$C$3,L344&gt;=$H$3),"Priority 2","Priority 3")),IF(L344&gt;=$H$3,"Priority 2","Priority 3")))</f>
        <v>Priority 2</v>
      </c>
      <c r="AL344" s="16" t="str">
        <f aca="false">IF(O344&lt;&gt;"","",IF(ISNUMBER(D344),IF(D344&gt;=$C$3,"High price","Lower price"),"Unpriced")&amp;" · "&amp;IF(L344&gt;=$H$3,"high volume","lower volume"))</f>
        <v>Lower price · high volume</v>
      </c>
      <c r="AM344" s="14" t="n">
        <f aca="false">IF(O344&lt;&gt;"","",COUNTIFS($A$29:$A$361,A344,$O$29:$O$361,"",$AQ$29:$AQ$361,"&gt;"&amp;AQ344)+COUNTIFS($A$29:A344,A344,$O$29:O344,"",$AQ$29:AQ344,AQ344))</f>
        <v>7</v>
      </c>
      <c r="AN344" s="19" t="n">
        <f aca="false">IF(AND(O344="",ISNUMBER(D344)),D344,"")</f>
        <v>24.95</v>
      </c>
      <c r="AO344" s="20" t="n">
        <f aca="false">IF(O344="",M344,"")</f>
        <v>48</v>
      </c>
      <c r="AP344" s="20" t="n">
        <f aca="false">IF(O344="",L344,"")</f>
        <v>310</v>
      </c>
      <c r="AQ344" s="33" t="n">
        <f aca="false">IF(O344&lt;&gt;"","",(4-VALUE(RIGHT(AK344,1)))*10^7+N(N344))</f>
        <v>20008995.42</v>
      </c>
      <c r="AR344" s="33" t="n">
        <f aca="false">INDEX($O$7:$O$25,MATCH(A344,$I$7:$I$25,0))</f>
        <v>7</v>
      </c>
      <c r="AS344" s="33" t="n">
        <f aca="false">IF(AE344="No","",AR344*1000+IF(AM344="",900+COUNTIFS($A$29:A344,A344,$O$29:O344,"Price ≤ $5"),AM344))</f>
        <v>7007</v>
      </c>
    </row>
    <row r="345" customFormat="false" ht="28.35" hidden="false" customHeight="false" outlineLevel="0" collapsed="false">
      <c r="A345" s="15" t="s">
        <v>203</v>
      </c>
      <c r="B345" s="15" t="s">
        <v>305</v>
      </c>
      <c r="C345" s="16" t="s">
        <v>306</v>
      </c>
      <c r="D345" s="17" t="n">
        <f aca="false">IF(W345&gt;0,ROUND(AVERAGEIFS('Shortlisted Drugs X Company (7)'!$N$3:$N$698,'Shortlisted Drugs X Company (7)'!$C$3:$C$698,$B345,'Shortlisted Drugs X Company (7)'!$E$3:$E$698,$S345,'Shortlisted Drugs X Company (7)'!$N$3:$N$698,"&gt;5"),2),"")</f>
        <v>618.92</v>
      </c>
      <c r="E345" s="15" t="str">
        <f aca="false">IF(COUNTIFS('Shortlisted Drugs X Company (7)'!$C$3:$C$698,$B345,'Shortlisted Drugs X Company (7)'!$E$3:$E$698,$S345,'Shortlisted Drugs X Company (7)'!$P$3:$P$698,"Exact")&gt;0,"Exact",IF(COUNTIFS('Shortlisted Drugs X Company (7)'!$C$3:$C$698,$B345,'Shortlisted Drugs X Company (7)'!$E$3:$E$698,$S345,'Shortlisted Drugs X Company (7)'!$P$3:$P$698,"Same-market proxy")&gt;0,"Same-market proxy",IF(COUNTIFS('Shortlisted Drugs X Company (7)'!$C$3:$C$698,$B345,'Shortlisted Drugs X Company (7)'!$E$3:$E$698,$S345,'Shortlisted Drugs X Company (7)'!$P$3:$P$698,"Cross-market proxy")&gt;0,"Cross-market proxy",IF(COUNTIFS('Shortlisted Drugs X Company (7)'!$C$3:$C$698,$B345,'Shortlisted Drugs X Company (7)'!$E$3:$E$698,$S345,'Shortlisted Drugs X Company (7)'!$P$3:$P$698,"Source not found")&gt;0,"Source not found","Not priced"))))</f>
        <v>Exact</v>
      </c>
      <c r="F345" s="18" t="n">
        <f aca="false">IFERROR(ROUND(INDEX('Injectable Value'!$AA$28:$AA$178,MATCH(B345,'Injectable Value'!$A$28:$A$178,0)),1),"")</f>
        <v>28093.4</v>
      </c>
      <c r="G345" s="16" t="s">
        <v>1447</v>
      </c>
      <c r="H345" s="14" t="n">
        <v>6</v>
      </c>
      <c r="I345" s="15" t="s">
        <v>248</v>
      </c>
      <c r="J345" s="15" t="s">
        <v>249</v>
      </c>
      <c r="K345" s="16" t="str">
        <f aca="false">"Cancer drug (cytotoxic) – less relevant; Reconstitution"&amp;IF(V345=0,"; Unpriced","")&amp;IF(AND(V345&gt;0,W345=0,X345=0),"; Low price from another market – confirm with company","")</f>
        <v>Cancer drug (cytotoxic) – less relevant; Reconstitution</v>
      </c>
      <c r="L345" s="18" t="n">
        <f aca="false">IFERROR(INDEX('Shortlisted Drugs X Company (7)'!$K$3:$K$698,MATCH(B345,'Shortlisted Drugs X Company (7)'!$C$3:$C$698,0)),"")</f>
        <v>905</v>
      </c>
      <c r="M345" s="18" t="n">
        <f aca="false">IFERROR(ROUND(L345*INDEX('Injectable Value'!$Z$28:$Z$178,MATCH(B345,'Injectable Value'!$A$28:$A$178,0)),0),"")</f>
        <v>905</v>
      </c>
      <c r="N345" s="18" t="n">
        <f aca="false">IFERROR(INDEX('Shortlisted Drugs X Company (7)'!$L$3:$L$698,MATCH(B345,'Shortlisted Drugs X Company (7)'!$C$3:$C$698,0)),"")</f>
        <v>28093.38</v>
      </c>
      <c r="O345" s="15" t="str">
        <f aca="false">IF(AE345="No","IV only (not ID/IM/SC)",IF(AND(V345&gt;0,W345=0),"Price ≤ $5",""))</f>
        <v/>
      </c>
      <c r="P345" s="14" t="n">
        <f aca="false">IF(O345&lt;&gt;"","",COUNTIFS($A$29:$A$361,A345,$O$29:$O$361,"",$AC$29:$AC$361,"&gt;"&amp;AC345)+COUNTIFS($A$29:A345,A345,$O$29:O345,"",$AC$29:AC345,AC345))</f>
        <v>1</v>
      </c>
      <c r="Q345" s="15" t="str">
        <f aca="false">IF(O345&lt;&gt;"",IF(O345="Price ≤ $5","Excluded – price ≤ $5","Excluded – IV only"),IF(ISNUMBER(D345),IF(AND(D345&gt;=$C$3,M345&gt;=$E$3),"Priority 1",IF(OR(D345&gt;=$C$3,M345&gt;=$E$3),"Priority 2","Priority 3")),IF(M345&gt;=$E$3,"Priority 2","Priority 3")))</f>
        <v>Priority 1</v>
      </c>
      <c r="R345" s="16" t="s">
        <v>250</v>
      </c>
      <c r="S345" s="15" t="s">
        <v>1445</v>
      </c>
      <c r="T345" s="32" t="s">
        <v>308</v>
      </c>
      <c r="U345" s="33" t="str">
        <f aca="false">B345&amp;"|"&amp;S345</f>
        <v>Bortezomib|Zydus Lifesciences</v>
      </c>
      <c r="V345" s="34" t="n">
        <f aca="false">COUNTIFS('Shortlisted Drugs X Company (7)'!$C$3:$C$698,$B345,'Shortlisted Drugs X Company (7)'!$E$3:$E$698,$S345,'Shortlisted Drugs X Company (7)'!$N$3:$N$698,"&gt;=0")</f>
        <v>4</v>
      </c>
      <c r="W345" s="34" t="n">
        <f aca="false">COUNTIFS('Shortlisted Drugs X Company (7)'!$C$3:$C$698,$B345,'Shortlisted Drugs X Company (7)'!$E$3:$E$698,$S345,'Shortlisted Drugs X Company (7)'!$N$3:$N$698,"&gt;5")</f>
        <v>4</v>
      </c>
      <c r="X345" s="34" t="n">
        <f aca="false">COUNTIFS('Shortlisted Drugs X Company (7)'!$C$3:$C$698,$B345,'Shortlisted Drugs X Company (7)'!$E$3:$E$698,$S345,'Shortlisted Drugs X Company (7)'!$P$3:$P$698,"Exact")+COUNTIFS('Shortlisted Drugs X Company (7)'!$C$3:$C$698,$B345,'Shortlisted Drugs X Company (7)'!$E$3:$E$698,$S345,'Shortlisted Drugs X Company (7)'!$P$3:$P$698,"Same-market proxy")</f>
        <v>3</v>
      </c>
      <c r="Y345" s="33" t="str">
        <f aca="false">A345&amp;"|"&amp;P345</f>
        <v>Zydus|1</v>
      </c>
      <c r="Z345" s="16" t="s">
        <v>674</v>
      </c>
      <c r="AA345" s="33" t="n">
        <f aca="false">INDEX($G$7:$G$25,MATCH(A345,$A$7:$A$25,0))</f>
        <v>8</v>
      </c>
      <c r="AB345" s="33" t="n">
        <f aca="false">IF(AE345="No","",AA345*1000+IF(P345="",900+COUNTIFS($A$29:A345,A345,$O$29:O345,"Price ≤ $5"),P345))</f>
        <v>8001</v>
      </c>
      <c r="AC345" s="33" t="n">
        <f aca="false">IF(O345&lt;&gt;"","",(4-VALUE(RIGHT(Q345,1)))*10^7+N(F345))</f>
        <v>30028093.4</v>
      </c>
      <c r="AD345" s="15" t="str">
        <f aca="false">IFERROR(INDEX('Route of Administration'!$C$5:$C$155,MATCH(B345,'Route of Administration'!$A$5:$A$155,0)),"")</f>
        <v>IV, SC</v>
      </c>
      <c r="AE345" s="14" t="str">
        <f aca="false">IFERROR(INDEX('Route of Administration'!$D$5:$D$155,MATCH(B345,'Route of Administration'!$A$5:$A$155,0)),"")</f>
        <v>Yes</v>
      </c>
      <c r="AF345" s="19" t="n">
        <f aca="false">IF(V345&gt;0,ROUND(AVERAGEIFS('Shortlisted Drugs X Company (7)'!$N$3:$N$698,'Shortlisted Drugs X Company (7)'!$C$3:$C$698,$B345,'Shortlisted Drugs X Company (7)'!$E$3:$E$698,$S345,'Shortlisted Drugs X Company (7)'!$N$3:$N$698,"&gt;=0"),2),"")</f>
        <v>618.92</v>
      </c>
      <c r="AG345" s="16" t="s">
        <v>1448</v>
      </c>
      <c r="AH345" s="16" t="s">
        <v>1449</v>
      </c>
      <c r="AI345" s="16" t="s">
        <v>1449</v>
      </c>
      <c r="AJ345" s="16" t="str">
        <f aca="false">IF(O345&lt;&gt;"","",IF(ISNUMBER(D345),IF(D345&gt;=$C$3,"High price","Lower price"),"Unpriced")&amp;" · "&amp;IF(M345&gt;=$E$3,"high volume","lower volume"))</f>
        <v>High price · high volume</v>
      </c>
      <c r="AK345" s="15" t="str">
        <f aca="false">IF(O345&lt;&gt;"",IF(O345="Price ≤ $5","Excluded – price ≤ $5","Excluded – IV only"),IF(ISNUMBER(D345),IF(AND(D345&gt;=$C$3,L345&gt;=$H$3),"Priority 1",IF(OR(D345&gt;=$C$3,L345&gt;=$H$3),"Priority 2","Priority 3")),IF(L345&gt;=$H$3,"Priority 2","Priority 3")))</f>
        <v>Priority 1</v>
      </c>
      <c r="AL345" s="16" t="str">
        <f aca="false">IF(O345&lt;&gt;"","",IF(ISNUMBER(D345),IF(D345&gt;=$C$3,"High price","Lower price"),"Unpriced")&amp;" · "&amp;IF(L345&gt;=$H$3,"high volume","lower volume"))</f>
        <v>High price · high volume</v>
      </c>
      <c r="AM345" s="14" t="n">
        <f aca="false">IF(O345&lt;&gt;"","",COUNTIFS($A$29:$A$361,A345,$O$29:$O$361,"",$AQ$29:$AQ$361,"&gt;"&amp;AQ345)+COUNTIFS($A$29:A345,A345,$O$29:O345,"",$AQ$29:AQ345,AQ345))</f>
        <v>1</v>
      </c>
      <c r="AN345" s="19" t="n">
        <f aca="false">IF(AND(O345="",ISNUMBER(D345)),D345,"")</f>
        <v>618.92</v>
      </c>
      <c r="AO345" s="20" t="n">
        <f aca="false">IF(O345="",M345,"")</f>
        <v>905</v>
      </c>
      <c r="AP345" s="20" t="n">
        <f aca="false">IF(O345="",L345,"")</f>
        <v>905</v>
      </c>
      <c r="AQ345" s="33" t="n">
        <f aca="false">IF(O345&lt;&gt;"","",(4-VALUE(RIGHT(AK345,1)))*10^7+N(N345))</f>
        <v>30028093.38</v>
      </c>
      <c r="AR345" s="33" t="n">
        <f aca="false">INDEX($O$7:$O$25,MATCH(A345,$I$7:$I$25,0))</f>
        <v>7</v>
      </c>
      <c r="AS345" s="33" t="n">
        <f aca="false">IF(AE345="No","",AR345*1000+IF(AM345="",900+COUNTIFS($A$29:A345,A345,$O$29:O345,"Price ≤ $5"),AM345))</f>
        <v>7001</v>
      </c>
    </row>
    <row r="346" customFormat="false" ht="41.75" hidden="false" customHeight="false" outlineLevel="0" collapsed="false">
      <c r="A346" s="15" t="s">
        <v>203</v>
      </c>
      <c r="B346" s="15" t="s">
        <v>336</v>
      </c>
      <c r="C346" s="16" t="s">
        <v>337</v>
      </c>
      <c r="D346" s="17" t="n">
        <f aca="false">IF(W346&gt;0,ROUND(AVERAGEIFS('Shortlisted Drugs X Company (7)'!$N$3:$N$698,'Shortlisted Drugs X Company (7)'!$C$3:$C$698,$B346,'Shortlisted Drugs X Company (7)'!$E$3:$E$698,$S346,'Shortlisted Drugs X Company (7)'!$N$3:$N$698,"&gt;5"),2),"")</f>
        <v>7.82</v>
      </c>
      <c r="E346" s="15" t="str">
        <f aca="false">IF(COUNTIFS('Shortlisted Drugs X Company (7)'!$C$3:$C$698,$B346,'Shortlisted Drugs X Company (7)'!$E$3:$E$698,$S346,'Shortlisted Drugs X Company (7)'!$P$3:$P$698,"Exact")&gt;0,"Exact",IF(COUNTIFS('Shortlisted Drugs X Company (7)'!$C$3:$C$698,$B346,'Shortlisted Drugs X Company (7)'!$E$3:$E$698,$S346,'Shortlisted Drugs X Company (7)'!$P$3:$P$698,"Same-market proxy")&gt;0,"Same-market proxy",IF(COUNTIFS('Shortlisted Drugs X Company (7)'!$C$3:$C$698,$B346,'Shortlisted Drugs X Company (7)'!$E$3:$E$698,$S346,'Shortlisted Drugs X Company (7)'!$P$3:$P$698,"Cross-market proxy")&gt;0,"Cross-market proxy",IF(COUNTIFS('Shortlisted Drugs X Company (7)'!$C$3:$C$698,$B346,'Shortlisted Drugs X Company (7)'!$E$3:$E$698,$S346,'Shortlisted Drugs X Company (7)'!$P$3:$P$698,"Source not found")&gt;0,"Source not found","Not priced"))))</f>
        <v>Exact</v>
      </c>
      <c r="F346" s="18" t="n">
        <f aca="false">IFERROR(ROUND(INDEX('Injectable Value'!$AA$28:$AA$178,MATCH(B346,'Injectable Value'!$A$28:$A$178,0)),1),"")</f>
        <v>93119.2</v>
      </c>
      <c r="G346" s="16" t="s">
        <v>331</v>
      </c>
      <c r="H346" s="14" t="n">
        <v>1</v>
      </c>
      <c r="I346" s="15" t="s">
        <v>248</v>
      </c>
      <c r="J346" s="15" t="s">
        <v>249</v>
      </c>
      <c r="K346" s="16" t="str">
        <f aca="false">"Reconstitution"&amp;IF(V346=0,"; Unpriced","")&amp;IF(AND(V346&gt;0,W346=0,X346=0),"; Low price from another market – confirm with company","")</f>
        <v>Reconstitution</v>
      </c>
      <c r="L346" s="18" t="n">
        <f aca="false">IFERROR(INDEX('Shortlisted Drugs X Company (7)'!$K$3:$K$698,MATCH(B346,'Shortlisted Drugs X Company (7)'!$C$3:$C$698,0)),"")</f>
        <v>3110</v>
      </c>
      <c r="M346" s="18" t="n">
        <f aca="false">IFERROR(ROUND(L346*INDEX('Injectable Value'!$Z$28:$Z$178,MATCH(B346,'Injectable Value'!$A$28:$A$178,0)),0),"")</f>
        <v>3110</v>
      </c>
      <c r="N346" s="18" t="n">
        <f aca="false">IFERROR(INDEX('Shortlisted Drugs X Company (7)'!$L$3:$L$698,MATCH(B346,'Shortlisted Drugs X Company (7)'!$C$3:$C$698,0)),"")</f>
        <v>93119.22</v>
      </c>
      <c r="O346" s="15" t="str">
        <f aca="false">IF(AE346="No","IV only (not ID/IM/SC)",IF(AND(V346&gt;0,W346=0),"Price ≤ $5",""))</f>
        <v/>
      </c>
      <c r="P346" s="14" t="n">
        <f aca="false">IF(O346&lt;&gt;"","",COUNTIFS($A$29:$A$361,A346,$O$29:$O$361,"",$AC$29:$AC$361,"&gt;"&amp;AC346)+COUNTIFS($A$29:A346,A346,$O$29:O346,"",$AC$29:AC346,AC346))</f>
        <v>3</v>
      </c>
      <c r="Q346" s="15" t="str">
        <f aca="false">IF(O346&lt;&gt;"",IF(O346="Price ≤ $5","Excluded – price ≤ $5","Excluded – IV only"),IF(ISNUMBER(D346),IF(AND(D346&gt;=$C$3,M346&gt;=$E$3),"Priority 1",IF(OR(D346&gt;=$C$3,M346&gt;=$E$3),"Priority 2","Priority 3")),IF(M346&gt;=$E$3,"Priority 2","Priority 3")))</f>
        <v>Priority 2</v>
      </c>
      <c r="R346" s="16" t="s">
        <v>250</v>
      </c>
      <c r="S346" s="15" t="s">
        <v>1445</v>
      </c>
      <c r="T346" s="32" t="s">
        <v>340</v>
      </c>
      <c r="U346" s="33" t="str">
        <f aca="false">B346&amp;"|"&amp;S346</f>
        <v>Ceftriaxone|Zydus Lifesciences</v>
      </c>
      <c r="V346" s="34" t="n">
        <f aca="false">COUNTIFS('Shortlisted Drugs X Company (7)'!$C$3:$C$698,$B346,'Shortlisted Drugs X Company (7)'!$E$3:$E$698,$S346,'Shortlisted Drugs X Company (7)'!$N$3:$N$698,"&gt;=0")</f>
        <v>1</v>
      </c>
      <c r="W346" s="34" t="n">
        <f aca="false">COUNTIFS('Shortlisted Drugs X Company (7)'!$C$3:$C$698,$B346,'Shortlisted Drugs X Company (7)'!$E$3:$E$698,$S346,'Shortlisted Drugs X Company (7)'!$N$3:$N$698,"&gt;5")</f>
        <v>1</v>
      </c>
      <c r="X346" s="34" t="n">
        <f aca="false">COUNTIFS('Shortlisted Drugs X Company (7)'!$C$3:$C$698,$B346,'Shortlisted Drugs X Company (7)'!$E$3:$E$698,$S346,'Shortlisted Drugs X Company (7)'!$P$3:$P$698,"Exact")+COUNTIFS('Shortlisted Drugs X Company (7)'!$C$3:$C$698,$B346,'Shortlisted Drugs X Company (7)'!$E$3:$E$698,$S346,'Shortlisted Drugs X Company (7)'!$P$3:$P$698,"Same-market proxy")</f>
        <v>1</v>
      </c>
      <c r="Y346" s="33" t="str">
        <f aca="false">A346&amp;"|"&amp;P346</f>
        <v>Zydus|3</v>
      </c>
      <c r="Z346" s="16" t="s">
        <v>333</v>
      </c>
      <c r="AA346" s="33" t="n">
        <f aca="false">INDEX($G$7:$G$25,MATCH(A346,$A$7:$A$25,0))</f>
        <v>8</v>
      </c>
      <c r="AB346" s="33" t="n">
        <f aca="false">IF(AE346="No","",AA346*1000+IF(P346="",900+COUNTIFS($A$29:A346,A346,$O$29:O346,"Price ≤ $5"),P346))</f>
        <v>8003</v>
      </c>
      <c r="AC346" s="33" t="n">
        <f aca="false">IF(O346&lt;&gt;"","",(4-VALUE(RIGHT(Q346,1)))*10^7+N(F346))</f>
        <v>20093119.2</v>
      </c>
      <c r="AD346" s="15" t="str">
        <f aca="false">IFERROR(INDEX('Route of Administration'!$C$5:$C$155,MATCH(B346,'Route of Administration'!$A$5:$A$155,0)),"")</f>
        <v>IV, IM</v>
      </c>
      <c r="AE346" s="14" t="str">
        <f aca="false">IFERROR(INDEX('Route of Administration'!$D$5:$D$155,MATCH(B346,'Route of Administration'!$A$5:$A$155,0)),"")</f>
        <v>Yes</v>
      </c>
      <c r="AF346" s="19" t="n">
        <f aca="false">IF(V346&gt;0,ROUND(AVERAGEIFS('Shortlisted Drugs X Company (7)'!$N$3:$N$698,'Shortlisted Drugs X Company (7)'!$C$3:$C$698,$B346,'Shortlisted Drugs X Company (7)'!$E$3:$E$698,$S346,'Shortlisted Drugs X Company (7)'!$N$3:$N$698,"&gt;=0"),2),"")</f>
        <v>7.82</v>
      </c>
      <c r="AG346" s="16" t="s">
        <v>1450</v>
      </c>
      <c r="AH346" s="16" t="s">
        <v>335</v>
      </c>
      <c r="AI346" s="16" t="s">
        <v>335</v>
      </c>
      <c r="AJ346" s="16" t="str">
        <f aca="false">IF(O346&lt;&gt;"","",IF(ISNUMBER(D346),IF(D346&gt;=$C$3,"High price","Lower price"),"Unpriced")&amp;" · "&amp;IF(M346&gt;=$E$3,"high volume","lower volume"))</f>
        <v>Lower price · high volume</v>
      </c>
      <c r="AK346" s="15" t="str">
        <f aca="false">IF(O346&lt;&gt;"",IF(O346="Price ≤ $5","Excluded – price ≤ $5","Excluded – IV only"),IF(ISNUMBER(D346),IF(AND(D346&gt;=$C$3,L346&gt;=$H$3),"Priority 1",IF(OR(D346&gt;=$C$3,L346&gt;=$H$3),"Priority 2","Priority 3")),IF(L346&gt;=$H$3,"Priority 2","Priority 3")))</f>
        <v>Priority 2</v>
      </c>
      <c r="AL346" s="16" t="str">
        <f aca="false">IF(O346&lt;&gt;"","",IF(ISNUMBER(D346),IF(D346&gt;=$C$3,"High price","Lower price"),"Unpriced")&amp;" · "&amp;IF(L346&gt;=$H$3,"high volume","lower volume"))</f>
        <v>Lower price · high volume</v>
      </c>
      <c r="AM346" s="14" t="n">
        <f aca="false">IF(O346&lt;&gt;"","",COUNTIFS($A$29:$A$361,A346,$O$29:$O$361,"",$AQ$29:$AQ$361,"&gt;"&amp;AQ346)+COUNTIFS($A$29:A346,A346,$O$29:O346,"",$AQ$29:AQ346,AQ346))</f>
        <v>3</v>
      </c>
      <c r="AN346" s="19" t="n">
        <f aca="false">IF(AND(O346="",ISNUMBER(D346)),D346,"")</f>
        <v>7.82</v>
      </c>
      <c r="AO346" s="20" t="n">
        <f aca="false">IF(O346="",M346,"")</f>
        <v>3110</v>
      </c>
      <c r="AP346" s="20" t="n">
        <f aca="false">IF(O346="",L346,"")</f>
        <v>3110</v>
      </c>
      <c r="AQ346" s="33" t="n">
        <f aca="false">IF(O346&lt;&gt;"","",(4-VALUE(RIGHT(AK346,1)))*10^7+N(N346))</f>
        <v>20093119.22</v>
      </c>
      <c r="AR346" s="33" t="n">
        <f aca="false">INDEX($O$7:$O$25,MATCH(A346,$I$7:$I$25,0))</f>
        <v>7</v>
      </c>
      <c r="AS346" s="33" t="n">
        <f aca="false">IF(AE346="No","",AR346*1000+IF(AM346="",900+COUNTIFS($A$29:A346,A346,$O$29:O346,"Price ≤ $5"),AM346))</f>
        <v>7003</v>
      </c>
    </row>
    <row r="347" customFormat="false" ht="41.75" hidden="false" customHeight="false" outlineLevel="0" collapsed="false">
      <c r="A347" s="15" t="s">
        <v>203</v>
      </c>
      <c r="B347" s="15" t="s">
        <v>343</v>
      </c>
      <c r="C347" s="16" t="s">
        <v>344</v>
      </c>
      <c r="D347" s="17" t="n">
        <f aca="false">IF(W347&gt;0,ROUND(AVERAGEIFS('Shortlisted Drugs X Company (7)'!$N$3:$N$698,'Shortlisted Drugs X Company (7)'!$C$3:$C$698,$B347,'Shortlisted Drugs X Company (7)'!$E$3:$E$698,$S347,'Shortlisted Drugs X Company (7)'!$N$3:$N$698,"&gt;5"),2),"")</f>
        <v>14.96</v>
      </c>
      <c r="E347" s="15" t="str">
        <f aca="false">IF(COUNTIFS('Shortlisted Drugs X Company (7)'!$C$3:$C$698,$B347,'Shortlisted Drugs X Company (7)'!$E$3:$E$698,$S347,'Shortlisted Drugs X Company (7)'!$P$3:$P$698,"Exact")&gt;0,"Exact",IF(COUNTIFS('Shortlisted Drugs X Company (7)'!$C$3:$C$698,$B347,'Shortlisted Drugs X Company (7)'!$E$3:$E$698,$S347,'Shortlisted Drugs X Company (7)'!$P$3:$P$698,"Same-market proxy")&gt;0,"Same-market proxy",IF(COUNTIFS('Shortlisted Drugs X Company (7)'!$C$3:$C$698,$B347,'Shortlisted Drugs X Company (7)'!$E$3:$E$698,$S347,'Shortlisted Drugs X Company (7)'!$P$3:$P$698,"Cross-market proxy")&gt;0,"Cross-market proxy",IF(COUNTIFS('Shortlisted Drugs X Company (7)'!$C$3:$C$698,$B347,'Shortlisted Drugs X Company (7)'!$E$3:$E$698,$S347,'Shortlisted Drugs X Company (7)'!$P$3:$P$698,"Source not found")&gt;0,"Source not found","Not priced"))))</f>
        <v>Same-market proxy</v>
      </c>
      <c r="F347" s="18" t="n">
        <f aca="false">IFERROR(ROUND(INDEX('Injectable Value'!$AA$28:$AA$178,MATCH(B347,'Injectable Value'!$A$28:$A$178,0)),1),"")</f>
        <v>1358.2</v>
      </c>
      <c r="G347" s="16" t="s">
        <v>247</v>
      </c>
      <c r="H347" s="14" t="n">
        <v>1</v>
      </c>
      <c r="I347" s="15" t="s">
        <v>248</v>
      </c>
      <c r="J347" s="15" t="s">
        <v>249</v>
      </c>
      <c r="K347" s="16" t="str">
        <f aca="false">""&amp;IF(V347=0,"Unpriced","")&amp;IF(AND(V347&gt;0,W347=0,X347=0),"Low price from another market – confirm with company","")</f>
        <v/>
      </c>
      <c r="L347" s="18" t="n">
        <f aca="false">IFERROR(INDEX('Shortlisted Drugs X Company (7)'!$K$3:$K$698,MATCH(B347,'Shortlisted Drugs X Company (7)'!$C$3:$C$698,0)),"")</f>
        <v>472</v>
      </c>
      <c r="M347" s="18" t="n">
        <f aca="false">IFERROR(ROUND(L347*INDEX('Injectable Value'!$Z$28:$Z$178,MATCH(B347,'Injectable Value'!$A$28:$A$178,0)),0),"")</f>
        <v>82</v>
      </c>
      <c r="N347" s="18" t="n">
        <f aca="false">IFERROR(INDEX('Shortlisted Drugs X Company (7)'!$L$3:$L$698,MATCH(B347,'Shortlisted Drugs X Company (7)'!$C$3:$C$698,0)),"")</f>
        <v>7831.08</v>
      </c>
      <c r="O347" s="15" t="str">
        <f aca="false">IF(AE347="No","IV only (not ID/IM/SC)",IF(AND(V347&gt;0,W347=0),"Price ≤ $5",""))</f>
        <v/>
      </c>
      <c r="P347" s="14" t="n">
        <f aca="false">IF(O347&lt;&gt;"","",COUNTIFS($A$29:$A$361,A347,$O$29:$O$361,"",$AC$29:$AC$361,"&gt;"&amp;AC347)+COUNTIFS($A$29:A347,A347,$O$29:O347,"",$AC$29:AC347,AC347))</f>
        <v>11</v>
      </c>
      <c r="Q347" s="15" t="str">
        <f aca="false">IF(O347&lt;&gt;"",IF(O347="Price ≤ $5","Excluded – price ≤ $5","Excluded – IV only"),IF(ISNUMBER(D347),IF(AND(D347&gt;=$C$3,M347&gt;=$E$3),"Priority 1",IF(OR(D347&gt;=$C$3,M347&gt;=$E$3),"Priority 2","Priority 3")),IF(M347&gt;=$E$3,"Priority 2","Priority 3")))</f>
        <v>Priority 3</v>
      </c>
      <c r="R347" s="16" t="s">
        <v>250</v>
      </c>
      <c r="S347" s="15" t="s">
        <v>1445</v>
      </c>
      <c r="T347" s="32" t="s">
        <v>345</v>
      </c>
      <c r="U347" s="33" t="str">
        <f aca="false">B347&amp;"|"&amp;S347</f>
        <v>Chlorpromazine|Zydus Lifesciences</v>
      </c>
      <c r="V347" s="34" t="n">
        <f aca="false">COUNTIFS('Shortlisted Drugs X Company (7)'!$C$3:$C$698,$B347,'Shortlisted Drugs X Company (7)'!$E$3:$E$698,$S347,'Shortlisted Drugs X Company (7)'!$N$3:$N$698,"&gt;=0")</f>
        <v>1</v>
      </c>
      <c r="W347" s="34" t="n">
        <f aca="false">COUNTIFS('Shortlisted Drugs X Company (7)'!$C$3:$C$698,$B347,'Shortlisted Drugs X Company (7)'!$E$3:$E$698,$S347,'Shortlisted Drugs X Company (7)'!$N$3:$N$698,"&gt;5")</f>
        <v>1</v>
      </c>
      <c r="X347" s="34" t="n">
        <f aca="false">COUNTIFS('Shortlisted Drugs X Company (7)'!$C$3:$C$698,$B347,'Shortlisted Drugs X Company (7)'!$E$3:$E$698,$S347,'Shortlisted Drugs X Company (7)'!$P$3:$P$698,"Exact")+COUNTIFS('Shortlisted Drugs X Company (7)'!$C$3:$C$698,$B347,'Shortlisted Drugs X Company (7)'!$E$3:$E$698,$S347,'Shortlisted Drugs X Company (7)'!$P$3:$P$698,"Same-market proxy")</f>
        <v>1</v>
      </c>
      <c r="Y347" s="33" t="str">
        <f aca="false">A347&amp;"|"&amp;P347</f>
        <v>Zydus|11</v>
      </c>
      <c r="Z347" s="16" t="s">
        <v>850</v>
      </c>
      <c r="AA347" s="33" t="n">
        <f aca="false">INDEX($G$7:$G$25,MATCH(A347,$A$7:$A$25,0))</f>
        <v>8</v>
      </c>
      <c r="AB347" s="33" t="n">
        <f aca="false">IF(AE347="No","",AA347*1000+IF(P347="",900+COUNTIFS($A$29:A347,A347,$O$29:O347,"Price ≤ $5"),P347))</f>
        <v>8011</v>
      </c>
      <c r="AC347" s="33" t="n">
        <f aca="false">IF(O347&lt;&gt;"","",(4-VALUE(RIGHT(Q347,1)))*10^7+N(F347))</f>
        <v>10001358.2</v>
      </c>
      <c r="AD347" s="15" t="str">
        <f aca="false">IFERROR(INDEX('Route of Administration'!$C$5:$C$155,MATCH(B347,'Route of Administration'!$A$5:$A$155,0)),"")</f>
        <v>IM</v>
      </c>
      <c r="AE347" s="14" t="str">
        <f aca="false">IFERROR(INDEX('Route of Administration'!$D$5:$D$155,MATCH(B347,'Route of Administration'!$A$5:$A$155,0)),"")</f>
        <v>Yes</v>
      </c>
      <c r="AF347" s="19" t="n">
        <f aca="false">IF(V347&gt;0,ROUND(AVERAGEIFS('Shortlisted Drugs X Company (7)'!$N$3:$N$698,'Shortlisted Drugs X Company (7)'!$C$3:$C$698,$B347,'Shortlisted Drugs X Company (7)'!$E$3:$E$698,$S347,'Shortlisted Drugs X Company (7)'!$N$3:$N$698,"&gt;=0"),2),"")</f>
        <v>14.96</v>
      </c>
      <c r="AG347" s="16" t="s">
        <v>347</v>
      </c>
      <c r="AH347" s="16" t="s">
        <v>247</v>
      </c>
      <c r="AI347" s="16" t="s">
        <v>247</v>
      </c>
      <c r="AJ347" s="16" t="str">
        <f aca="false">IF(O347&lt;&gt;"","",IF(ISNUMBER(D347),IF(D347&gt;=$C$3,"High price","Lower price"),"Unpriced")&amp;" · "&amp;IF(M347&gt;=$E$3,"high volume","lower volume"))</f>
        <v>Lower price · lower volume</v>
      </c>
      <c r="AK347" s="15" t="str">
        <f aca="false">IF(O347&lt;&gt;"",IF(O347="Price ≤ $5","Excluded – price ≤ $5","Excluded – IV only"),IF(ISNUMBER(D347),IF(AND(D347&gt;=$C$3,L347&gt;=$H$3),"Priority 1",IF(OR(D347&gt;=$C$3,L347&gt;=$H$3),"Priority 2","Priority 3")),IF(L347&gt;=$H$3,"Priority 2","Priority 3")))</f>
        <v>Priority 2</v>
      </c>
      <c r="AL347" s="16" t="str">
        <f aca="false">IF(O347&lt;&gt;"","",IF(ISNUMBER(D347),IF(D347&gt;=$C$3,"High price","Lower price"),"Unpriced")&amp;" · "&amp;IF(L347&gt;=$H$3,"high volume","lower volume"))</f>
        <v>Lower price · high volume</v>
      </c>
      <c r="AM347" s="14" t="n">
        <f aca="false">IF(O347&lt;&gt;"","",COUNTIFS($A$29:$A$361,A347,$O$29:$O$361,"",$AQ$29:$AQ$361,"&gt;"&amp;AQ347)+COUNTIFS($A$29:A347,A347,$O$29:O347,"",$AQ$29:AQ347,AQ347))</f>
        <v>8</v>
      </c>
      <c r="AN347" s="19" t="n">
        <f aca="false">IF(AND(O347="",ISNUMBER(D347)),D347,"")</f>
        <v>14.96</v>
      </c>
      <c r="AO347" s="20" t="n">
        <f aca="false">IF(O347="",M347,"")</f>
        <v>82</v>
      </c>
      <c r="AP347" s="20" t="n">
        <f aca="false">IF(O347="",L347,"")</f>
        <v>472</v>
      </c>
      <c r="AQ347" s="33" t="n">
        <f aca="false">IF(O347&lt;&gt;"","",(4-VALUE(RIGHT(AK347,1)))*10^7+N(N347))</f>
        <v>20007831.08</v>
      </c>
      <c r="AR347" s="33" t="n">
        <f aca="false">INDEX($O$7:$O$25,MATCH(A347,$I$7:$I$25,0))</f>
        <v>7</v>
      </c>
      <c r="AS347" s="33" t="n">
        <f aca="false">IF(AE347="No","",AR347*1000+IF(AM347="",900+COUNTIFS($A$29:A347,A347,$O$29:O347,"Price ≤ $5"),AM347))</f>
        <v>7008</v>
      </c>
    </row>
    <row r="348" customFormat="false" ht="28.35" hidden="false" customHeight="false" outlineLevel="0" collapsed="false">
      <c r="A348" s="15" t="s">
        <v>203</v>
      </c>
      <c r="B348" s="15" t="s">
        <v>937</v>
      </c>
      <c r="C348" s="16" t="s">
        <v>938</v>
      </c>
      <c r="D348" s="17" t="n">
        <f aca="false">IF(W348&gt;0,ROUND(AVERAGEIFS('Shortlisted Drugs X Company (7)'!$N$3:$N$698,'Shortlisted Drugs X Company (7)'!$C$3:$C$698,$B348,'Shortlisted Drugs X Company (7)'!$E$3:$E$698,$S348,'Shortlisted Drugs X Company (7)'!$N$3:$N$698,"&gt;5"),2),"")</f>
        <v>22.39</v>
      </c>
      <c r="E348" s="15" t="str">
        <f aca="false">IF(COUNTIFS('Shortlisted Drugs X Company (7)'!$C$3:$C$698,$B348,'Shortlisted Drugs X Company (7)'!$E$3:$E$698,$S348,'Shortlisted Drugs X Company (7)'!$P$3:$P$698,"Exact")&gt;0,"Exact",IF(COUNTIFS('Shortlisted Drugs X Company (7)'!$C$3:$C$698,$B348,'Shortlisted Drugs X Company (7)'!$E$3:$E$698,$S348,'Shortlisted Drugs X Company (7)'!$P$3:$P$698,"Same-market proxy")&gt;0,"Same-market proxy",IF(COUNTIFS('Shortlisted Drugs X Company (7)'!$C$3:$C$698,$B348,'Shortlisted Drugs X Company (7)'!$E$3:$E$698,$S348,'Shortlisted Drugs X Company (7)'!$P$3:$P$698,"Cross-market proxy")&gt;0,"Cross-market proxy",IF(COUNTIFS('Shortlisted Drugs X Company (7)'!$C$3:$C$698,$B348,'Shortlisted Drugs X Company (7)'!$E$3:$E$698,$S348,'Shortlisted Drugs X Company (7)'!$P$3:$P$698,"Source not found")&gt;0,"Source not found","Not priced"))))</f>
        <v>Same-market proxy</v>
      </c>
      <c r="F348" s="18" t="n">
        <f aca="false">IFERROR(ROUND(INDEX('Injectable Value'!$AA$28:$AA$178,MATCH(B348,'Injectable Value'!$A$28:$A$178,0)),1),"")</f>
        <v>2508.1</v>
      </c>
      <c r="G348" s="16" t="s">
        <v>247</v>
      </c>
      <c r="H348" s="14" t="n">
        <v>1</v>
      </c>
      <c r="I348" s="15" t="s">
        <v>248</v>
      </c>
      <c r="J348" s="15" t="s">
        <v>249</v>
      </c>
      <c r="K348" s="16" t="str">
        <f aca="false">""&amp;IF(V348=0,"Unpriced","")&amp;IF(AND(V348&gt;0,W348=0,X348=0),"Low price from another market – confirm with company","")</f>
        <v/>
      </c>
      <c r="L348" s="18" t="n">
        <f aca="false">IFERROR(INDEX('Shortlisted Drugs X Company (7)'!$K$3:$K$698,MATCH(B348,'Shortlisted Drugs X Company (7)'!$C$3:$C$698,0)),"")</f>
        <v>117</v>
      </c>
      <c r="M348" s="18" t="n">
        <f aca="false">IFERROR(ROUND(L348*INDEX('Injectable Value'!$Z$28:$Z$178,MATCH(B348,'Injectable Value'!$A$28:$A$178,0)),0),"")</f>
        <v>117</v>
      </c>
      <c r="N348" s="18" t="n">
        <f aca="false">IFERROR(INDEX('Shortlisted Drugs X Company (7)'!$L$3:$L$698,MATCH(B348,'Shortlisted Drugs X Company (7)'!$C$3:$C$698,0)),"")</f>
        <v>2508.09</v>
      </c>
      <c r="O348" s="15" t="str">
        <f aca="false">IF(AE348="No","IV only (not ID/IM/SC)",IF(AND(V348&gt;0,W348=0),"Price ≤ $5",""))</f>
        <v>IV only (not ID/IM/SC)</v>
      </c>
      <c r="P348" s="14" t="str">
        <f aca="false">IF(O348&lt;&gt;"","",COUNTIFS($A$29:$A$361,A348,$O$29:$O$361,"",$AC$29:$AC$361,"&gt;"&amp;AC348)+COUNTIFS($A$29:A348,A348,$O$29:O348,"",$AC$29:AC348,AC348))</f>
        <v/>
      </c>
      <c r="Q348" s="15" t="str">
        <f aca="false">IF(O348&lt;&gt;"",IF(O348="Price ≤ $5","Excluded – price ≤ $5","Excluded – IV only"),IF(ISNUMBER(D348),IF(AND(D348&gt;=$C$3,M348&gt;=$E$3),"Priority 1",IF(OR(D348&gt;=$C$3,M348&gt;=$E$3),"Priority 2","Priority 3")),IF(M348&gt;=$E$3,"Priority 2","Priority 3")))</f>
        <v>Excluded – IV only</v>
      </c>
      <c r="R348" s="16" t="s">
        <v>250</v>
      </c>
      <c r="S348" s="15" t="s">
        <v>1445</v>
      </c>
      <c r="T348" s="32" t="s">
        <v>940</v>
      </c>
      <c r="U348" s="33" t="str">
        <f aca="false">B348&amp;"|"&amp;S348</f>
        <v>Cisatracurium|Zydus Lifesciences</v>
      </c>
      <c r="V348" s="34" t="n">
        <f aca="false">COUNTIFS('Shortlisted Drugs X Company (7)'!$C$3:$C$698,$B348,'Shortlisted Drugs X Company (7)'!$E$3:$E$698,$S348,'Shortlisted Drugs X Company (7)'!$N$3:$N$698,"&gt;=0")</f>
        <v>2</v>
      </c>
      <c r="W348" s="34" t="n">
        <f aca="false">COUNTIFS('Shortlisted Drugs X Company (7)'!$C$3:$C$698,$B348,'Shortlisted Drugs X Company (7)'!$E$3:$E$698,$S348,'Shortlisted Drugs X Company (7)'!$N$3:$N$698,"&gt;5")</f>
        <v>2</v>
      </c>
      <c r="X348" s="34" t="n">
        <f aca="false">COUNTIFS('Shortlisted Drugs X Company (7)'!$C$3:$C$698,$B348,'Shortlisted Drugs X Company (7)'!$E$3:$E$698,$S348,'Shortlisted Drugs X Company (7)'!$P$3:$P$698,"Exact")+COUNTIFS('Shortlisted Drugs X Company (7)'!$C$3:$C$698,$B348,'Shortlisted Drugs X Company (7)'!$E$3:$E$698,$S348,'Shortlisted Drugs X Company (7)'!$P$3:$P$698,"Same-market proxy")</f>
        <v>2</v>
      </c>
      <c r="Y348" s="33" t="str">
        <f aca="false">A348&amp;"|"&amp;P348</f>
        <v>Zydus|</v>
      </c>
      <c r="Z348" s="16" t="s">
        <v>1271</v>
      </c>
      <c r="AA348" s="33" t="n">
        <f aca="false">INDEX($G$7:$G$25,MATCH(A348,$A$7:$A$25,0))</f>
        <v>8</v>
      </c>
      <c r="AB348" s="33" t="str">
        <f aca="false">IF(AE348="No","",AA348*1000+IF(P348="",900+COUNTIFS($A$29:A348,A348,$O$29:O348,"Price ≤ $5"),P348))</f>
        <v/>
      </c>
      <c r="AC348" s="33" t="str">
        <f aca="false">IF(O348&lt;&gt;"","",(4-VALUE(RIGHT(Q348,1)))*10^7+N(F348))</f>
        <v/>
      </c>
      <c r="AD348" s="15" t="str">
        <f aca="false">IFERROR(INDEX('Route of Administration'!$C$5:$C$155,MATCH(B348,'Route of Administration'!$A$5:$A$155,0)),"")</f>
        <v>IV</v>
      </c>
      <c r="AE348" s="14" t="str">
        <f aca="false">IFERROR(INDEX('Route of Administration'!$D$5:$D$155,MATCH(B348,'Route of Administration'!$A$5:$A$155,0)),"")</f>
        <v>No</v>
      </c>
      <c r="AF348" s="19" t="n">
        <f aca="false">IF(V348&gt;0,ROUND(AVERAGEIFS('Shortlisted Drugs X Company (7)'!$N$3:$N$698,'Shortlisted Drugs X Company (7)'!$C$3:$C$698,$B348,'Shortlisted Drugs X Company (7)'!$E$3:$E$698,$S348,'Shortlisted Drugs X Company (7)'!$N$3:$N$698,"&gt;=0"),2),"")</f>
        <v>22.39</v>
      </c>
      <c r="AG348" s="16" t="s">
        <v>1272</v>
      </c>
      <c r="AH348" s="16" t="s">
        <v>247</v>
      </c>
      <c r="AI348" s="16" t="s">
        <v>247</v>
      </c>
      <c r="AJ348" s="16" t="str">
        <f aca="false">IF(O348&lt;&gt;"","",IF(ISNUMBER(D348),IF(D348&gt;=$C$3,"High price","Lower price"),"Unpriced")&amp;" · "&amp;IF(M348&gt;=$E$3,"high volume","lower volume"))</f>
        <v/>
      </c>
      <c r="AK348" s="15" t="str">
        <f aca="false">IF(O348&lt;&gt;"",IF(O348="Price ≤ $5","Excluded – price ≤ $5","Excluded – IV only"),IF(ISNUMBER(D348),IF(AND(D348&gt;=$C$3,L348&gt;=$H$3),"Priority 1",IF(OR(D348&gt;=$C$3,L348&gt;=$H$3),"Priority 2","Priority 3")),IF(L348&gt;=$H$3,"Priority 2","Priority 3")))</f>
        <v>Excluded – IV only</v>
      </c>
      <c r="AL348" s="16" t="str">
        <f aca="false">IF(O348&lt;&gt;"","",IF(ISNUMBER(D348),IF(D348&gt;=$C$3,"High price","Lower price"),"Unpriced")&amp;" · "&amp;IF(L348&gt;=$H$3,"high volume","lower volume"))</f>
        <v/>
      </c>
      <c r="AM348" s="14" t="str">
        <f aca="false">IF(O348&lt;&gt;"","",COUNTIFS($A$29:$A$361,A348,$O$29:$O$361,"",$AQ$29:$AQ$361,"&gt;"&amp;AQ348)+COUNTIFS($A$29:A348,A348,$O$29:O348,"",$AQ$29:AQ348,AQ348))</f>
        <v/>
      </c>
      <c r="AN348" s="33" t="str">
        <f aca="false">IF(AND(O348="",ISNUMBER(D348)),D348,"")</f>
        <v/>
      </c>
      <c r="AO348" s="33" t="str">
        <f aca="false">IF(O348="",M348,"")</f>
        <v/>
      </c>
      <c r="AP348" s="33" t="str">
        <f aca="false">IF(O348="",L348,"")</f>
        <v/>
      </c>
      <c r="AQ348" s="33" t="str">
        <f aca="false">IF(O348&lt;&gt;"","",(4-VALUE(RIGHT(AK348,1)))*10^7+N(N348))</f>
        <v/>
      </c>
      <c r="AR348" s="33" t="n">
        <f aca="false">INDEX($O$7:$O$25,MATCH(A348,$I$7:$I$25,0))</f>
        <v>7</v>
      </c>
      <c r="AS348" s="33" t="str">
        <f aca="false">IF(AE348="No","",AR348*1000+IF(AM348="",900+COUNTIFS($A$29:A348,A348,$O$29:O348,"Price ≤ $5"),AM348))</f>
        <v/>
      </c>
    </row>
    <row r="349" customFormat="false" ht="28.35" hidden="false" customHeight="false" outlineLevel="0" collapsed="false">
      <c r="A349" s="15" t="s">
        <v>203</v>
      </c>
      <c r="B349" s="15" t="s">
        <v>851</v>
      </c>
      <c r="C349" s="16" t="s">
        <v>852</v>
      </c>
      <c r="D349" s="17" t="n">
        <f aca="false">IF(W349&gt;0,ROUND(AVERAGEIFS('Shortlisted Drugs X Company (7)'!$N$3:$N$698,'Shortlisted Drugs X Company (7)'!$C$3:$C$698,$B349,'Shortlisted Drugs X Company (7)'!$E$3:$E$698,$S349,'Shortlisted Drugs X Company (7)'!$N$3:$N$698,"&gt;5"),2),"")</f>
        <v>31.25</v>
      </c>
      <c r="E349" s="15" t="str">
        <f aca="false">IF(COUNTIFS('Shortlisted Drugs X Company (7)'!$C$3:$C$698,$B349,'Shortlisted Drugs X Company (7)'!$E$3:$E$698,$S349,'Shortlisted Drugs X Company (7)'!$P$3:$P$698,"Exact")&gt;0,"Exact",IF(COUNTIFS('Shortlisted Drugs X Company (7)'!$C$3:$C$698,$B349,'Shortlisted Drugs X Company (7)'!$E$3:$E$698,$S349,'Shortlisted Drugs X Company (7)'!$P$3:$P$698,"Same-market proxy")&gt;0,"Same-market proxy",IF(COUNTIFS('Shortlisted Drugs X Company (7)'!$C$3:$C$698,$B349,'Shortlisted Drugs X Company (7)'!$E$3:$E$698,$S349,'Shortlisted Drugs X Company (7)'!$P$3:$P$698,"Cross-market proxy")&gt;0,"Cross-market proxy",IF(COUNTIFS('Shortlisted Drugs X Company (7)'!$C$3:$C$698,$B349,'Shortlisted Drugs X Company (7)'!$E$3:$E$698,$S349,'Shortlisted Drugs X Company (7)'!$P$3:$P$698,"Source not found")&gt;0,"Source not found","Not priced"))))</f>
        <v>Same-market proxy</v>
      </c>
      <c r="F349" s="18" t="n">
        <f aca="false">IFERROR(ROUND(INDEX('Injectable Value'!$AA$28:$AA$178,MATCH(B349,'Injectable Value'!$A$28:$A$178,0)),1),"")</f>
        <v>2413</v>
      </c>
      <c r="G349" s="16" t="s">
        <v>247</v>
      </c>
      <c r="H349" s="14" t="n">
        <v>1</v>
      </c>
      <c r="I349" s="15" t="s">
        <v>248</v>
      </c>
      <c r="J349" s="15" t="s">
        <v>249</v>
      </c>
      <c r="K349" s="16" t="str">
        <f aca="false">""&amp;IF(V349=0,"Unpriced","")&amp;IF(AND(V349&gt;0,W349=0,X349=0),"Low price from another market – confirm with company","")</f>
        <v/>
      </c>
      <c r="L349" s="18" t="n">
        <f aca="false">IFERROR(INDEX('Shortlisted Drugs X Company (7)'!$K$3:$K$698,MATCH(B349,'Shortlisted Drugs X Company (7)'!$C$3:$C$698,0)),"")</f>
        <v>445</v>
      </c>
      <c r="M349" s="18" t="n">
        <f aca="false">IFERROR(ROUND(L349*INDEX('Injectable Value'!$Z$28:$Z$178,MATCH(B349,'Injectable Value'!$A$28:$A$178,0)),0),"")</f>
        <v>122</v>
      </c>
      <c r="N349" s="18" t="n">
        <f aca="false">IFERROR(INDEX('Shortlisted Drugs X Company (7)'!$L$3:$L$698,MATCH(B349,'Shortlisted Drugs X Company (7)'!$C$3:$C$698,0)),"")</f>
        <v>8796.85</v>
      </c>
      <c r="O349" s="15" t="str">
        <f aca="false">IF(AE349="No","IV only (not ID/IM/SC)",IF(AND(V349&gt;0,W349=0),"Price ≤ $5",""))</f>
        <v/>
      </c>
      <c r="P349" s="14" t="n">
        <f aca="false">IF(O349&lt;&gt;"","",COUNTIFS($A$29:$A$361,A349,$O$29:$O$361,"",$AC$29:$AC$361,"&gt;"&amp;AC349)+COUNTIFS($A$29:A349,A349,$O$29:O349,"",$AC$29:AC349,AC349))</f>
        <v>7</v>
      </c>
      <c r="Q349" s="15" t="str">
        <f aca="false">IF(O349&lt;&gt;"",IF(O349="Price ≤ $5","Excluded – price ≤ $5","Excluded – IV only"),IF(ISNUMBER(D349),IF(AND(D349&gt;=$C$3,M349&gt;=$E$3),"Priority 1",IF(OR(D349&gt;=$C$3,M349&gt;=$E$3),"Priority 2","Priority 3")),IF(M349&gt;=$E$3,"Priority 2","Priority 3")))</f>
        <v>Priority 2</v>
      </c>
      <c r="R349" s="16" t="s">
        <v>285</v>
      </c>
      <c r="S349" s="15" t="s">
        <v>1445</v>
      </c>
      <c r="T349" s="32" t="s">
        <v>853</v>
      </c>
      <c r="U349" s="33" t="str">
        <f aca="false">B349&amp;"|"&amp;S349</f>
        <v>Cyanocobalamin|Zydus Lifesciences</v>
      </c>
      <c r="V349" s="34" t="n">
        <f aca="false">COUNTIFS('Shortlisted Drugs X Company (7)'!$C$3:$C$698,$B349,'Shortlisted Drugs X Company (7)'!$E$3:$E$698,$S349,'Shortlisted Drugs X Company (7)'!$N$3:$N$698,"&gt;=0")</f>
        <v>1</v>
      </c>
      <c r="W349" s="34" t="n">
        <f aca="false">COUNTIFS('Shortlisted Drugs X Company (7)'!$C$3:$C$698,$B349,'Shortlisted Drugs X Company (7)'!$E$3:$E$698,$S349,'Shortlisted Drugs X Company (7)'!$N$3:$N$698,"&gt;5")</f>
        <v>1</v>
      </c>
      <c r="X349" s="34" t="n">
        <f aca="false">COUNTIFS('Shortlisted Drugs X Company (7)'!$C$3:$C$698,$B349,'Shortlisted Drugs X Company (7)'!$E$3:$E$698,$S349,'Shortlisted Drugs X Company (7)'!$P$3:$P$698,"Exact")+COUNTIFS('Shortlisted Drugs X Company (7)'!$C$3:$C$698,$B349,'Shortlisted Drugs X Company (7)'!$E$3:$E$698,$S349,'Shortlisted Drugs X Company (7)'!$P$3:$P$698,"Same-market proxy")</f>
        <v>1</v>
      </c>
      <c r="Y349" s="33" t="str">
        <f aca="false">A349&amp;"|"&amp;P349</f>
        <v>Zydus|7</v>
      </c>
      <c r="Z349" s="16" t="s">
        <v>1451</v>
      </c>
      <c r="AA349" s="33" t="n">
        <f aca="false">INDEX($G$7:$G$25,MATCH(A349,$A$7:$A$25,0))</f>
        <v>8</v>
      </c>
      <c r="AB349" s="33" t="n">
        <f aca="false">IF(AE349="No","",AA349*1000+IF(P349="",900+COUNTIFS($A$29:A349,A349,$O$29:O349,"Price ≤ $5"),P349))</f>
        <v>8007</v>
      </c>
      <c r="AC349" s="33" t="n">
        <f aca="false">IF(O349&lt;&gt;"","",(4-VALUE(RIGHT(Q349,1)))*10^7+N(F349))</f>
        <v>20002413</v>
      </c>
      <c r="AD349" s="15" t="str">
        <f aca="false">IFERROR(INDEX('Route of Administration'!$C$5:$C$155,MATCH(B349,'Route of Administration'!$A$5:$A$155,0)),"")</f>
        <v>IM, SC</v>
      </c>
      <c r="AE349" s="14" t="str">
        <f aca="false">IFERROR(INDEX('Route of Administration'!$D$5:$D$155,MATCH(B349,'Route of Administration'!$A$5:$A$155,0)),"")</f>
        <v>Yes</v>
      </c>
      <c r="AF349" s="19" t="n">
        <f aca="false">IF(V349&gt;0,ROUND(AVERAGEIFS('Shortlisted Drugs X Company (7)'!$N$3:$N$698,'Shortlisted Drugs X Company (7)'!$C$3:$C$698,$B349,'Shortlisted Drugs X Company (7)'!$E$3:$E$698,$S349,'Shortlisted Drugs X Company (7)'!$N$3:$N$698,"&gt;=0"),2),"")</f>
        <v>31.25</v>
      </c>
      <c r="AG349" s="16" t="s">
        <v>851</v>
      </c>
      <c r="AH349" s="16" t="s">
        <v>247</v>
      </c>
      <c r="AI349" s="16" t="s">
        <v>247</v>
      </c>
      <c r="AJ349" s="16" t="str">
        <f aca="false">IF(O349&lt;&gt;"","",IF(ISNUMBER(D349),IF(D349&gt;=$C$3,"High price","Lower price"),"Unpriced")&amp;" · "&amp;IF(M349&gt;=$E$3,"high volume","lower volume"))</f>
        <v>High price · lower volume</v>
      </c>
      <c r="AK349" s="15" t="str">
        <f aca="false">IF(O349&lt;&gt;"",IF(O349="Price ≤ $5","Excluded – price ≤ $5","Excluded – IV only"),IF(ISNUMBER(D349),IF(AND(D349&gt;=$C$3,L349&gt;=$H$3),"Priority 1",IF(OR(D349&gt;=$C$3,L349&gt;=$H$3),"Priority 2","Priority 3")),IF(L349&gt;=$H$3,"Priority 2","Priority 3")))</f>
        <v>Priority 1</v>
      </c>
      <c r="AL349" s="16" t="str">
        <f aca="false">IF(O349&lt;&gt;"","",IF(ISNUMBER(D349),IF(D349&gt;=$C$3,"High price","Lower price"),"Unpriced")&amp;" · "&amp;IF(L349&gt;=$H$3,"high volume","lower volume"))</f>
        <v>High price · high volume</v>
      </c>
      <c r="AM349" s="14" t="n">
        <f aca="false">IF(O349&lt;&gt;"","",COUNTIFS($A$29:$A$361,A349,$O$29:$O$361,"",$AQ$29:$AQ$361,"&gt;"&amp;AQ349)+COUNTIFS($A$29:A349,A349,$O$29:O349,"",$AQ$29:AQ349,AQ349))</f>
        <v>2</v>
      </c>
      <c r="AN349" s="19" t="n">
        <f aca="false">IF(AND(O349="",ISNUMBER(D349)),D349,"")</f>
        <v>31.25</v>
      </c>
      <c r="AO349" s="20" t="n">
        <f aca="false">IF(O349="",M349,"")</f>
        <v>122</v>
      </c>
      <c r="AP349" s="20" t="n">
        <f aca="false">IF(O349="",L349,"")</f>
        <v>445</v>
      </c>
      <c r="AQ349" s="33" t="n">
        <f aca="false">IF(O349&lt;&gt;"","",(4-VALUE(RIGHT(AK349,1)))*10^7+N(N349))</f>
        <v>30008796.85</v>
      </c>
      <c r="AR349" s="33" t="n">
        <f aca="false">INDEX($O$7:$O$25,MATCH(A349,$I$7:$I$25,0))</f>
        <v>7</v>
      </c>
      <c r="AS349" s="33" t="n">
        <f aca="false">IF(AE349="No","",AR349*1000+IF(AM349="",900+COUNTIFS($A$29:A349,A349,$O$29:O349,"Price ≤ $5"),AM349))</f>
        <v>7002</v>
      </c>
    </row>
    <row r="350" customFormat="false" ht="41.75" hidden="false" customHeight="false" outlineLevel="0" collapsed="false">
      <c r="A350" s="15" t="s">
        <v>203</v>
      </c>
      <c r="B350" s="15" t="s">
        <v>1452</v>
      </c>
      <c r="C350" s="16" t="s">
        <v>1453</v>
      </c>
      <c r="D350" s="17" t="n">
        <f aca="false">IF(W350&gt;0,ROUND(AVERAGEIFS('Shortlisted Drugs X Company (7)'!$N$3:$N$698,'Shortlisted Drugs X Company (7)'!$C$3:$C$698,$B350,'Shortlisted Drugs X Company (7)'!$E$3:$E$698,$S350,'Shortlisted Drugs X Company (7)'!$N$3:$N$698,"&gt;5"),2),"")</f>
        <v>5289.94</v>
      </c>
      <c r="E350" s="15" t="str">
        <f aca="false">IF(COUNTIFS('Shortlisted Drugs X Company (7)'!$C$3:$C$698,$B350,'Shortlisted Drugs X Company (7)'!$E$3:$E$698,$S350,'Shortlisted Drugs X Company (7)'!$P$3:$P$698,"Exact")&gt;0,"Exact",IF(COUNTIFS('Shortlisted Drugs X Company (7)'!$C$3:$C$698,$B350,'Shortlisted Drugs X Company (7)'!$E$3:$E$698,$S350,'Shortlisted Drugs X Company (7)'!$P$3:$P$698,"Same-market proxy")&gt;0,"Same-market proxy",IF(COUNTIFS('Shortlisted Drugs X Company (7)'!$C$3:$C$698,$B350,'Shortlisted Drugs X Company (7)'!$E$3:$E$698,$S350,'Shortlisted Drugs X Company (7)'!$P$3:$P$698,"Cross-market proxy")&gt;0,"Cross-market proxy",IF(COUNTIFS('Shortlisted Drugs X Company (7)'!$C$3:$C$698,$B350,'Shortlisted Drugs X Company (7)'!$E$3:$E$698,$S350,'Shortlisted Drugs X Company (7)'!$P$3:$P$698,"Source not found")&gt;0,"Source not found","Not priced"))))</f>
        <v>Same-market proxy</v>
      </c>
      <c r="F350" s="18" t="n">
        <f aca="false">IFERROR(ROUND(INDEX('Injectable Value'!$AA$28:$AA$178,MATCH(B350,'Injectable Value'!$A$28:$A$178,0)),1),"")</f>
        <v>147.2</v>
      </c>
      <c r="G350" s="16" t="s">
        <v>247</v>
      </c>
      <c r="H350" s="14" t="n">
        <v>1</v>
      </c>
      <c r="I350" s="15" t="s">
        <v>277</v>
      </c>
      <c r="J350" s="15" t="s">
        <v>277</v>
      </c>
      <c r="K350" s="16" t="str">
        <f aca="false">""&amp;IF(V350=0,"Unpriced","")&amp;IF(AND(V350&gt;0,W350=0,X350=0),"Low price from another market – confirm with company","")</f>
        <v/>
      </c>
      <c r="L350" s="18" t="n">
        <f aca="false">IFERROR(INDEX('Shortlisted Drugs X Company (7)'!$K$3:$K$698,MATCH(B350,'Shortlisted Drugs X Company (7)'!$C$3:$C$698,0)),"")</f>
        <v>10</v>
      </c>
      <c r="M350" s="18" t="n">
        <f aca="false">IFERROR(ROUND(L350*INDEX('Injectable Value'!$Z$28:$Z$178,MATCH(B350,'Injectable Value'!$A$28:$A$178,0)),0),"")</f>
        <v>2</v>
      </c>
      <c r="N350" s="18" t="n">
        <f aca="false">IFERROR(INDEX('Shortlisted Drugs X Company (7)'!$L$3:$L$698,MATCH(B350,'Shortlisted Drugs X Company (7)'!$C$3:$C$698,0)),"")</f>
        <v>662.47</v>
      </c>
      <c r="O350" s="15" t="str">
        <f aca="false">IF(AE350="No","IV only (not ID/IM/SC)",IF(AND(V350&gt;0,W350=0),"Price ≤ $5",""))</f>
        <v>IV only (not ID/IM/SC)</v>
      </c>
      <c r="P350" s="14" t="str">
        <f aca="false">IF(O350&lt;&gt;"","",COUNTIFS($A$29:$A$361,A350,$O$29:$O$361,"",$AC$29:$AC$361,"&gt;"&amp;AC350)+COUNTIFS($A$29:A350,A350,$O$29:O350,"",$AC$29:AC350,AC350))</f>
        <v/>
      </c>
      <c r="Q350" s="15" t="str">
        <f aca="false">IF(O350&lt;&gt;"",IF(O350="Price ≤ $5","Excluded – price ≤ $5","Excluded – IV only"),IF(ISNUMBER(D350),IF(AND(D350&gt;=$C$3,M350&gt;=$E$3),"Priority 1",IF(OR(D350&gt;=$C$3,M350&gt;=$E$3),"Priority 2","Priority 3")),IF(M350&gt;=$E$3,"Priority 2","Priority 3")))</f>
        <v>Excluded – IV only</v>
      </c>
      <c r="R350" s="16" t="s">
        <v>278</v>
      </c>
      <c r="S350" s="15" t="s">
        <v>1445</v>
      </c>
      <c r="T350" s="32" t="s">
        <v>1454</v>
      </c>
      <c r="U350" s="33" t="str">
        <f aca="false">B350&amp;"|"&amp;S350</f>
        <v>Ethacrynate Sodium|Zydus Lifesciences</v>
      </c>
      <c r="V350" s="34" t="n">
        <f aca="false">COUNTIFS('Shortlisted Drugs X Company (7)'!$C$3:$C$698,$B350,'Shortlisted Drugs X Company (7)'!$E$3:$E$698,$S350,'Shortlisted Drugs X Company (7)'!$N$3:$N$698,"&gt;=0")</f>
        <v>1</v>
      </c>
      <c r="W350" s="34" t="n">
        <f aca="false">COUNTIFS('Shortlisted Drugs X Company (7)'!$C$3:$C$698,$B350,'Shortlisted Drugs X Company (7)'!$E$3:$E$698,$S350,'Shortlisted Drugs X Company (7)'!$N$3:$N$698,"&gt;5")</f>
        <v>1</v>
      </c>
      <c r="X350" s="34" t="n">
        <f aca="false">COUNTIFS('Shortlisted Drugs X Company (7)'!$C$3:$C$698,$B350,'Shortlisted Drugs X Company (7)'!$E$3:$E$698,$S350,'Shortlisted Drugs X Company (7)'!$P$3:$P$698,"Exact")+COUNTIFS('Shortlisted Drugs X Company (7)'!$C$3:$C$698,$B350,'Shortlisted Drugs X Company (7)'!$E$3:$E$698,$S350,'Shortlisted Drugs X Company (7)'!$P$3:$P$698,"Same-market proxy")</f>
        <v>1</v>
      </c>
      <c r="Y350" s="33" t="str">
        <f aca="false">A350&amp;"|"&amp;P350</f>
        <v>Zydus|</v>
      </c>
      <c r="Z350" s="16" t="s">
        <v>1455</v>
      </c>
      <c r="AA350" s="33" t="n">
        <f aca="false">INDEX($G$7:$G$25,MATCH(A350,$A$7:$A$25,0))</f>
        <v>8</v>
      </c>
      <c r="AB350" s="33" t="str">
        <f aca="false">IF(AE350="No","",AA350*1000+IF(P350="",900+COUNTIFS($A$29:A350,A350,$O$29:O350,"Price ≤ $5"),P350))</f>
        <v/>
      </c>
      <c r="AC350" s="33" t="str">
        <f aca="false">IF(O350&lt;&gt;"","",(4-VALUE(RIGHT(Q350,1)))*10^7+N(F350))</f>
        <v/>
      </c>
      <c r="AD350" s="15" t="str">
        <f aca="false">IFERROR(INDEX('Route of Administration'!$C$5:$C$155,MATCH(B350,'Route of Administration'!$A$5:$A$155,0)),"")</f>
        <v>IV</v>
      </c>
      <c r="AE350" s="14" t="str">
        <f aca="false">IFERROR(INDEX('Route of Administration'!$D$5:$D$155,MATCH(B350,'Route of Administration'!$A$5:$A$155,0)),"")</f>
        <v>No</v>
      </c>
      <c r="AF350" s="19" t="n">
        <f aca="false">IF(V350&gt;0,ROUND(AVERAGEIFS('Shortlisted Drugs X Company (7)'!$N$3:$N$698,'Shortlisted Drugs X Company (7)'!$C$3:$C$698,$B350,'Shortlisted Drugs X Company (7)'!$E$3:$E$698,$S350,'Shortlisted Drugs X Company (7)'!$N$3:$N$698,"&gt;=0"),2),"")</f>
        <v>5289.94</v>
      </c>
      <c r="AG350" s="16" t="s">
        <v>1452</v>
      </c>
      <c r="AH350" s="16" t="s">
        <v>247</v>
      </c>
      <c r="AI350" s="16" t="s">
        <v>247</v>
      </c>
      <c r="AJ350" s="16" t="str">
        <f aca="false">IF(O350&lt;&gt;"","",IF(ISNUMBER(D350),IF(D350&gt;=$C$3,"High price","Lower price"),"Unpriced")&amp;" · "&amp;IF(M350&gt;=$E$3,"high volume","lower volume"))</f>
        <v/>
      </c>
      <c r="AK350" s="15" t="str">
        <f aca="false">IF(O350&lt;&gt;"",IF(O350="Price ≤ $5","Excluded – price ≤ $5","Excluded – IV only"),IF(ISNUMBER(D350),IF(AND(D350&gt;=$C$3,L350&gt;=$H$3),"Priority 1",IF(OR(D350&gt;=$C$3,L350&gt;=$H$3),"Priority 2","Priority 3")),IF(L350&gt;=$H$3,"Priority 2","Priority 3")))</f>
        <v>Excluded – IV only</v>
      </c>
      <c r="AL350" s="16" t="str">
        <f aca="false">IF(O350&lt;&gt;"","",IF(ISNUMBER(D350),IF(D350&gt;=$C$3,"High price","Lower price"),"Unpriced")&amp;" · "&amp;IF(L350&gt;=$H$3,"high volume","lower volume"))</f>
        <v/>
      </c>
      <c r="AM350" s="14" t="str">
        <f aca="false">IF(O350&lt;&gt;"","",COUNTIFS($A$29:$A$361,A350,$O$29:$O$361,"",$AQ$29:$AQ$361,"&gt;"&amp;AQ350)+COUNTIFS($A$29:A350,A350,$O$29:O350,"",$AQ$29:AQ350,AQ350))</f>
        <v/>
      </c>
      <c r="AN350" s="33" t="str">
        <f aca="false">IF(AND(O350="",ISNUMBER(D350)),D350,"")</f>
        <v/>
      </c>
      <c r="AO350" s="33" t="str">
        <f aca="false">IF(O350="",M350,"")</f>
        <v/>
      </c>
      <c r="AP350" s="33" t="str">
        <f aca="false">IF(O350="",L350,"")</f>
        <v/>
      </c>
      <c r="AQ350" s="33" t="str">
        <f aca="false">IF(O350&lt;&gt;"","",(4-VALUE(RIGHT(AK350,1)))*10^7+N(N350))</f>
        <v/>
      </c>
      <c r="AR350" s="33" t="n">
        <f aca="false">INDEX($O$7:$O$25,MATCH(A350,$I$7:$I$25,0))</f>
        <v>7</v>
      </c>
      <c r="AS350" s="33" t="str">
        <f aca="false">IF(AE350="No","",AR350*1000+IF(AM350="",900+COUNTIFS($A$29:A350,A350,$O$29:O350,"Price ≤ $5"),AM350))</f>
        <v/>
      </c>
    </row>
    <row r="351" customFormat="false" ht="28.35" hidden="false" customHeight="false" outlineLevel="0" collapsed="false">
      <c r="A351" s="15" t="s">
        <v>203</v>
      </c>
      <c r="B351" s="15" t="s">
        <v>1273</v>
      </c>
      <c r="C351" s="16" t="s">
        <v>1274</v>
      </c>
      <c r="D351" s="17" t="str">
        <f aca="false">IF(W351&gt;0,ROUND(AVERAGEIFS('Shortlisted Drugs X Company (7)'!$N$3:$N$698,'Shortlisted Drugs X Company (7)'!$C$3:$C$698,$B351,'Shortlisted Drugs X Company (7)'!$E$3:$E$698,$S351,'Shortlisted Drugs X Company (7)'!$N$3:$N$698,"&gt;5"),2),"")</f>
        <v/>
      </c>
      <c r="E351" s="15" t="str">
        <f aca="false">IF(COUNTIFS('Shortlisted Drugs X Company (7)'!$C$3:$C$698,$B351,'Shortlisted Drugs X Company (7)'!$E$3:$E$698,$S351,'Shortlisted Drugs X Company (7)'!$P$3:$P$698,"Exact")&gt;0,"Exact",IF(COUNTIFS('Shortlisted Drugs X Company (7)'!$C$3:$C$698,$B351,'Shortlisted Drugs X Company (7)'!$E$3:$E$698,$S351,'Shortlisted Drugs X Company (7)'!$P$3:$P$698,"Same-market proxy")&gt;0,"Same-market proxy",IF(COUNTIFS('Shortlisted Drugs X Company (7)'!$C$3:$C$698,$B351,'Shortlisted Drugs X Company (7)'!$E$3:$E$698,$S351,'Shortlisted Drugs X Company (7)'!$P$3:$P$698,"Cross-market proxy")&gt;0,"Cross-market proxy",IF(COUNTIFS('Shortlisted Drugs X Company (7)'!$C$3:$C$698,$B351,'Shortlisted Drugs X Company (7)'!$E$3:$E$698,$S351,'Shortlisted Drugs X Company (7)'!$P$3:$P$698,"Source not found")&gt;0,"Source not found","Not priced"))))</f>
        <v>Same-market proxy</v>
      </c>
      <c r="F351" s="18" t="n">
        <f aca="false">IFERROR(ROUND(INDEX('Injectable Value'!$AA$28:$AA$178,MATCH(B351,'Injectable Value'!$A$28:$A$178,0)),1),"")</f>
        <v>1781.1</v>
      </c>
      <c r="G351" s="16" t="s">
        <v>247</v>
      </c>
      <c r="H351" s="14" t="n">
        <v>1</v>
      </c>
      <c r="I351" s="15" t="s">
        <v>277</v>
      </c>
      <c r="J351" s="15" t="s">
        <v>277</v>
      </c>
      <c r="K351" s="16" t="str">
        <f aca="false">""&amp;IF(V351=0,"Unpriced","")&amp;IF(AND(V351&gt;0,W351=0,X351=0),"Low price from another market – confirm with company","")</f>
        <v/>
      </c>
      <c r="L351" s="18" t="n">
        <f aca="false">IFERROR(INDEX('Shortlisted Drugs X Company (7)'!$K$3:$K$698,MATCH(B351,'Shortlisted Drugs X Company (7)'!$C$3:$C$698,0)),"")</f>
        <v>69</v>
      </c>
      <c r="M351" s="18" t="n">
        <f aca="false">IFERROR(ROUND(L351*INDEX('Injectable Value'!$Z$28:$Z$178,MATCH(B351,'Injectable Value'!$A$28:$A$178,0)),0),"")</f>
        <v>69</v>
      </c>
      <c r="N351" s="18" t="n">
        <f aca="false">IFERROR(INDEX('Shortlisted Drugs X Company (7)'!$L$3:$L$698,MATCH(B351,'Shortlisted Drugs X Company (7)'!$C$3:$C$698,0)),"")</f>
        <v>1781.11</v>
      </c>
      <c r="O351" s="15" t="str">
        <f aca="false">IF(AE351="No","IV only (not ID/IM/SC)",IF(AND(V351&gt;0,W351=0),"Price ≤ $5",""))</f>
        <v>IV only (not ID/IM/SC)</v>
      </c>
      <c r="P351" s="14" t="str">
        <f aca="false">IF(O351&lt;&gt;"","",COUNTIFS($A$29:$A$361,A351,$O$29:$O$361,"",$AC$29:$AC$361,"&gt;"&amp;AC351)+COUNTIFS($A$29:A351,A351,$O$29:O351,"",$AC$29:AC351,AC351))</f>
        <v/>
      </c>
      <c r="Q351" s="15" t="str">
        <f aca="false">IF(O351&lt;&gt;"",IF(O351="Price ≤ $5","Excluded – price ≤ $5","Excluded – IV only"),IF(ISNUMBER(D351),IF(AND(D351&gt;=$C$3,M351&gt;=$E$3),"Priority 1",IF(OR(D351&gt;=$C$3,M351&gt;=$E$3),"Priority 2","Priority 3")),IF(M351&gt;=$E$3,"Priority 2","Priority 3")))</f>
        <v>Excluded – IV only</v>
      </c>
      <c r="R351" s="16" t="s">
        <v>278</v>
      </c>
      <c r="S351" s="15" t="s">
        <v>1445</v>
      </c>
      <c r="T351" s="32" t="s">
        <v>1275</v>
      </c>
      <c r="U351" s="33" t="str">
        <f aca="false">B351&amp;"|"&amp;S351</f>
        <v>Etomidate|Zydus Lifesciences</v>
      </c>
      <c r="V351" s="34" t="n">
        <f aca="false">COUNTIFS('Shortlisted Drugs X Company (7)'!$C$3:$C$698,$B351,'Shortlisted Drugs X Company (7)'!$E$3:$E$698,$S351,'Shortlisted Drugs X Company (7)'!$N$3:$N$698,"&gt;=0")</f>
        <v>1</v>
      </c>
      <c r="W351" s="34" t="n">
        <f aca="false">COUNTIFS('Shortlisted Drugs X Company (7)'!$C$3:$C$698,$B351,'Shortlisted Drugs X Company (7)'!$E$3:$E$698,$S351,'Shortlisted Drugs X Company (7)'!$N$3:$N$698,"&gt;5")</f>
        <v>0</v>
      </c>
      <c r="X351" s="34" t="n">
        <f aca="false">COUNTIFS('Shortlisted Drugs X Company (7)'!$C$3:$C$698,$B351,'Shortlisted Drugs X Company (7)'!$E$3:$E$698,$S351,'Shortlisted Drugs X Company (7)'!$P$3:$P$698,"Exact")+COUNTIFS('Shortlisted Drugs X Company (7)'!$C$3:$C$698,$B351,'Shortlisted Drugs X Company (7)'!$E$3:$E$698,$S351,'Shortlisted Drugs X Company (7)'!$P$3:$P$698,"Same-market proxy")</f>
        <v>1</v>
      </c>
      <c r="Y351" s="33" t="str">
        <f aca="false">A351&amp;"|"&amp;P351</f>
        <v>Zydus|</v>
      </c>
      <c r="Z351" s="16" t="s">
        <v>1456</v>
      </c>
      <c r="AA351" s="33" t="n">
        <f aca="false">INDEX($G$7:$G$25,MATCH(A351,$A$7:$A$25,0))</f>
        <v>8</v>
      </c>
      <c r="AB351" s="33" t="str">
        <f aca="false">IF(AE351="No","",AA351*1000+IF(P351="",900+COUNTIFS($A$29:A351,A351,$O$29:O351,"Price ≤ $5"),P351))</f>
        <v/>
      </c>
      <c r="AC351" s="33" t="str">
        <f aca="false">IF(O351&lt;&gt;"","",(4-VALUE(RIGHT(Q351,1)))*10^7+N(F351))</f>
        <v/>
      </c>
      <c r="AD351" s="15" t="str">
        <f aca="false">IFERROR(INDEX('Route of Administration'!$C$5:$C$155,MATCH(B351,'Route of Administration'!$A$5:$A$155,0)),"")</f>
        <v>IV</v>
      </c>
      <c r="AE351" s="14" t="str">
        <f aca="false">IFERROR(INDEX('Route of Administration'!$D$5:$D$155,MATCH(B351,'Route of Administration'!$A$5:$A$155,0)),"")</f>
        <v>No</v>
      </c>
      <c r="AF351" s="19" t="n">
        <f aca="false">IF(V351&gt;0,ROUND(AVERAGEIFS('Shortlisted Drugs X Company (7)'!$N$3:$N$698,'Shortlisted Drugs X Company (7)'!$C$3:$C$698,$B351,'Shortlisted Drugs X Company (7)'!$E$3:$E$698,$S351,'Shortlisted Drugs X Company (7)'!$N$3:$N$698,"&gt;=0"),2),"")</f>
        <v>4.02</v>
      </c>
      <c r="AG351" s="16" t="s">
        <v>1273</v>
      </c>
      <c r="AH351" s="16" t="s">
        <v>247</v>
      </c>
      <c r="AI351" s="16" t="s">
        <v>247</v>
      </c>
      <c r="AJ351" s="16" t="str">
        <f aca="false">IF(O351&lt;&gt;"","",IF(ISNUMBER(D351),IF(D351&gt;=$C$3,"High price","Lower price"),"Unpriced")&amp;" · "&amp;IF(M351&gt;=$E$3,"high volume","lower volume"))</f>
        <v/>
      </c>
      <c r="AK351" s="15" t="str">
        <f aca="false">IF(O351&lt;&gt;"",IF(O351="Price ≤ $5","Excluded – price ≤ $5","Excluded – IV only"),IF(ISNUMBER(D351),IF(AND(D351&gt;=$C$3,L351&gt;=$H$3),"Priority 1",IF(OR(D351&gt;=$C$3,L351&gt;=$H$3),"Priority 2","Priority 3")),IF(L351&gt;=$H$3,"Priority 2","Priority 3")))</f>
        <v>Excluded – IV only</v>
      </c>
      <c r="AL351" s="16" t="str">
        <f aca="false">IF(O351&lt;&gt;"","",IF(ISNUMBER(D351),IF(D351&gt;=$C$3,"High price","Lower price"),"Unpriced")&amp;" · "&amp;IF(L351&gt;=$H$3,"high volume","lower volume"))</f>
        <v/>
      </c>
      <c r="AM351" s="14" t="str">
        <f aca="false">IF(O351&lt;&gt;"","",COUNTIFS($A$29:$A$361,A351,$O$29:$O$361,"",$AQ$29:$AQ$361,"&gt;"&amp;AQ351)+COUNTIFS($A$29:A351,A351,$O$29:O351,"",$AQ$29:AQ351,AQ351))</f>
        <v/>
      </c>
      <c r="AN351" s="33" t="str">
        <f aca="false">IF(AND(O351="",ISNUMBER(D351)),D351,"")</f>
        <v/>
      </c>
      <c r="AO351" s="33" t="str">
        <f aca="false">IF(O351="",M351,"")</f>
        <v/>
      </c>
      <c r="AP351" s="33" t="str">
        <f aca="false">IF(O351="",L351,"")</f>
        <v/>
      </c>
      <c r="AQ351" s="33" t="str">
        <f aca="false">IF(O351&lt;&gt;"","",(4-VALUE(RIGHT(AK351,1)))*10^7+N(N351))</f>
        <v/>
      </c>
      <c r="AR351" s="33" t="n">
        <f aca="false">INDEX($O$7:$O$25,MATCH(A351,$I$7:$I$25,0))</f>
        <v>7</v>
      </c>
      <c r="AS351" s="33" t="str">
        <f aca="false">IF(AE351="No","",AR351*1000+IF(AM351="",900+COUNTIFS($A$29:A351,A351,$O$29:O351,"Price ≤ $5"),AM351))</f>
        <v/>
      </c>
    </row>
    <row r="352" customFormat="false" ht="28.35" hidden="false" customHeight="false" outlineLevel="0" collapsed="false">
      <c r="A352" s="15" t="s">
        <v>203</v>
      </c>
      <c r="B352" s="15" t="s">
        <v>1457</v>
      </c>
      <c r="C352" s="16" t="s">
        <v>1458</v>
      </c>
      <c r="D352" s="17" t="n">
        <f aca="false">IF(W352&gt;0,ROUND(AVERAGEIFS('Shortlisted Drugs X Company (7)'!$N$3:$N$698,'Shortlisted Drugs X Company (7)'!$C$3:$C$698,$B352,'Shortlisted Drugs X Company (7)'!$E$3:$E$698,$S352,'Shortlisted Drugs X Company (7)'!$N$3:$N$698,"&gt;5"),2),"")</f>
        <v>61.13</v>
      </c>
      <c r="E352" s="15" t="str">
        <f aca="false">IF(COUNTIFS('Shortlisted Drugs X Company (7)'!$C$3:$C$698,$B352,'Shortlisted Drugs X Company (7)'!$E$3:$E$698,$S352,'Shortlisted Drugs X Company (7)'!$P$3:$P$698,"Exact")&gt;0,"Exact",IF(COUNTIFS('Shortlisted Drugs X Company (7)'!$C$3:$C$698,$B352,'Shortlisted Drugs X Company (7)'!$E$3:$E$698,$S352,'Shortlisted Drugs X Company (7)'!$P$3:$P$698,"Same-market proxy")&gt;0,"Same-market proxy",IF(COUNTIFS('Shortlisted Drugs X Company (7)'!$C$3:$C$698,$B352,'Shortlisted Drugs X Company (7)'!$E$3:$E$698,$S352,'Shortlisted Drugs X Company (7)'!$P$3:$P$698,"Cross-market proxy")&gt;0,"Cross-market proxy",IF(COUNTIFS('Shortlisted Drugs X Company (7)'!$C$3:$C$698,$B352,'Shortlisted Drugs X Company (7)'!$E$3:$E$698,$S352,'Shortlisted Drugs X Company (7)'!$P$3:$P$698,"Source not found")&gt;0,"Source not found","Not priced"))))</f>
        <v>Same-market proxy</v>
      </c>
      <c r="F352" s="18" t="n">
        <f aca="false">IFERROR(ROUND(INDEX('Injectable Value'!$AA$28:$AA$178,MATCH(B352,'Injectable Value'!$A$28:$A$178,0)),1),"")</f>
        <v>451.8</v>
      </c>
      <c r="G352" s="16" t="s">
        <v>247</v>
      </c>
      <c r="H352" s="14" t="n">
        <v>1</v>
      </c>
      <c r="I352" s="15" t="s">
        <v>248</v>
      </c>
      <c r="J352" s="15" t="s">
        <v>249</v>
      </c>
      <c r="K352" s="16" t="str">
        <f aca="false">""&amp;IF(V352=0,"Unpriced","")&amp;IF(AND(V352&gt;0,W352=0,X352=0),"Low price from another market – confirm with company","")</f>
        <v/>
      </c>
      <c r="L352" s="18" t="n">
        <f aca="false">IFERROR(INDEX('Shortlisted Drugs X Company (7)'!$K$3:$K$698,MATCH(B352,'Shortlisted Drugs X Company (7)'!$C$3:$C$698,0)),"")</f>
        <v>111</v>
      </c>
      <c r="M352" s="18" t="n">
        <f aca="false">IFERROR(ROUND(L352*INDEX('Injectable Value'!$Z$28:$Z$178,MATCH(B352,'Injectable Value'!$A$28:$A$178,0)),0),"")</f>
        <v>48</v>
      </c>
      <c r="N352" s="18" t="n">
        <f aca="false">IFERROR(INDEX('Shortlisted Drugs X Company (7)'!$L$3:$L$698,MATCH(B352,'Shortlisted Drugs X Company (7)'!$C$3:$C$698,0)),"")</f>
        <v>1044.77</v>
      </c>
      <c r="O352" s="15" t="str">
        <f aca="false">IF(AE352="No","IV only (not ID/IM/SC)",IF(AND(V352&gt;0,W352=0),"Price ≤ $5",""))</f>
        <v>IV only (not ID/IM/SC)</v>
      </c>
      <c r="P352" s="14" t="str">
        <f aca="false">IF(O352&lt;&gt;"","",COUNTIFS($A$29:$A$361,A352,$O$29:$O$361,"",$AC$29:$AC$361,"&gt;"&amp;AC352)+COUNTIFS($A$29:A352,A352,$O$29:O352,"",$AC$29:AC352,AC352))</f>
        <v/>
      </c>
      <c r="Q352" s="15" t="str">
        <f aca="false">IF(O352&lt;&gt;"",IF(O352="Price ≤ $5","Excluded – price ≤ $5","Excluded – IV only"),IF(ISNUMBER(D352),IF(AND(D352&gt;=$C$3,M352&gt;=$E$3),"Priority 1",IF(OR(D352&gt;=$C$3,M352&gt;=$E$3),"Priority 2","Priority 3")),IF(M352&gt;=$E$3,"Priority 2","Priority 3")))</f>
        <v>Excluded – IV only</v>
      </c>
      <c r="R352" s="16" t="s">
        <v>285</v>
      </c>
      <c r="S352" s="15" t="s">
        <v>1445</v>
      </c>
      <c r="T352" s="32" t="s">
        <v>1459</v>
      </c>
      <c r="U352" s="33" t="str">
        <f aca="false">B352&amp;"|"&amp;S352</f>
        <v>Fluorescein Sodium|Zydus Lifesciences</v>
      </c>
      <c r="V352" s="34" t="n">
        <f aca="false">COUNTIFS('Shortlisted Drugs X Company (7)'!$C$3:$C$698,$B352,'Shortlisted Drugs X Company (7)'!$E$3:$E$698,$S352,'Shortlisted Drugs X Company (7)'!$N$3:$N$698,"&gt;=0")</f>
        <v>1</v>
      </c>
      <c r="W352" s="34" t="n">
        <f aca="false">COUNTIFS('Shortlisted Drugs X Company (7)'!$C$3:$C$698,$B352,'Shortlisted Drugs X Company (7)'!$E$3:$E$698,$S352,'Shortlisted Drugs X Company (7)'!$N$3:$N$698,"&gt;5")</f>
        <v>1</v>
      </c>
      <c r="X352" s="34" t="n">
        <f aca="false">COUNTIFS('Shortlisted Drugs X Company (7)'!$C$3:$C$698,$B352,'Shortlisted Drugs X Company (7)'!$E$3:$E$698,$S352,'Shortlisted Drugs X Company (7)'!$P$3:$P$698,"Exact")+COUNTIFS('Shortlisted Drugs X Company (7)'!$C$3:$C$698,$B352,'Shortlisted Drugs X Company (7)'!$E$3:$E$698,$S352,'Shortlisted Drugs X Company (7)'!$P$3:$P$698,"Same-market proxy")</f>
        <v>1</v>
      </c>
      <c r="Y352" s="33" t="str">
        <f aca="false">A352&amp;"|"&amp;P352</f>
        <v>Zydus|</v>
      </c>
      <c r="Z352" s="16" t="s">
        <v>1460</v>
      </c>
      <c r="AA352" s="33" t="n">
        <f aca="false">INDEX($G$7:$G$25,MATCH(A352,$A$7:$A$25,0))</f>
        <v>8</v>
      </c>
      <c r="AB352" s="33" t="str">
        <f aca="false">IF(AE352="No","",AA352*1000+IF(P352="",900+COUNTIFS($A$29:A352,A352,$O$29:O352,"Price ≤ $5"),P352))</f>
        <v/>
      </c>
      <c r="AC352" s="33" t="str">
        <f aca="false">IF(O352&lt;&gt;"","",(4-VALUE(RIGHT(Q352,1)))*10^7+N(F352))</f>
        <v/>
      </c>
      <c r="AD352" s="15" t="str">
        <f aca="false">IFERROR(INDEX('Route of Administration'!$C$5:$C$155,MATCH(B352,'Route of Administration'!$A$5:$A$155,0)),"")</f>
        <v>IV</v>
      </c>
      <c r="AE352" s="14" t="str">
        <f aca="false">IFERROR(INDEX('Route of Administration'!$D$5:$D$155,MATCH(B352,'Route of Administration'!$A$5:$A$155,0)),"")</f>
        <v>No</v>
      </c>
      <c r="AF352" s="19" t="n">
        <f aca="false">IF(V352&gt;0,ROUND(AVERAGEIFS('Shortlisted Drugs X Company (7)'!$N$3:$N$698,'Shortlisted Drugs X Company (7)'!$C$3:$C$698,$B352,'Shortlisted Drugs X Company (7)'!$E$3:$E$698,$S352,'Shortlisted Drugs X Company (7)'!$N$3:$N$698,"&gt;=0"),2),"")</f>
        <v>61.13</v>
      </c>
      <c r="AG352" s="16" t="s">
        <v>1457</v>
      </c>
      <c r="AH352" s="16" t="s">
        <v>247</v>
      </c>
      <c r="AI352" s="16" t="s">
        <v>247</v>
      </c>
      <c r="AJ352" s="16" t="str">
        <f aca="false">IF(O352&lt;&gt;"","",IF(ISNUMBER(D352),IF(D352&gt;=$C$3,"High price","Lower price"),"Unpriced")&amp;" · "&amp;IF(M352&gt;=$E$3,"high volume","lower volume"))</f>
        <v/>
      </c>
      <c r="AK352" s="15" t="str">
        <f aca="false">IF(O352&lt;&gt;"",IF(O352="Price ≤ $5","Excluded – price ≤ $5","Excluded – IV only"),IF(ISNUMBER(D352),IF(AND(D352&gt;=$C$3,L352&gt;=$H$3),"Priority 1",IF(OR(D352&gt;=$C$3,L352&gt;=$H$3),"Priority 2","Priority 3")),IF(L352&gt;=$H$3,"Priority 2","Priority 3")))</f>
        <v>Excluded – IV only</v>
      </c>
      <c r="AL352" s="16" t="str">
        <f aca="false">IF(O352&lt;&gt;"","",IF(ISNUMBER(D352),IF(D352&gt;=$C$3,"High price","Lower price"),"Unpriced")&amp;" · "&amp;IF(L352&gt;=$H$3,"high volume","lower volume"))</f>
        <v/>
      </c>
      <c r="AM352" s="14" t="str">
        <f aca="false">IF(O352&lt;&gt;"","",COUNTIFS($A$29:$A$361,A352,$O$29:$O$361,"",$AQ$29:$AQ$361,"&gt;"&amp;AQ352)+COUNTIFS($A$29:A352,A352,$O$29:O352,"",$AQ$29:AQ352,AQ352))</f>
        <v/>
      </c>
      <c r="AN352" s="33" t="str">
        <f aca="false">IF(AND(O352="",ISNUMBER(D352)),D352,"")</f>
        <v/>
      </c>
      <c r="AO352" s="33" t="str">
        <f aca="false">IF(O352="",M352,"")</f>
        <v/>
      </c>
      <c r="AP352" s="33" t="str">
        <f aca="false">IF(O352="",L352,"")</f>
        <v/>
      </c>
      <c r="AQ352" s="33" t="str">
        <f aca="false">IF(O352&lt;&gt;"","",(4-VALUE(RIGHT(AK352,1)))*10^7+N(N352))</f>
        <v/>
      </c>
      <c r="AR352" s="33" t="n">
        <f aca="false">INDEX($O$7:$O$25,MATCH(A352,$I$7:$I$25,0))</f>
        <v>7</v>
      </c>
      <c r="AS352" s="33" t="str">
        <f aca="false">IF(AE352="No","",AR352*1000+IF(AM352="",900+COUNTIFS($A$29:A352,A352,$O$29:O352,"Price ≤ $5"),AM352))</f>
        <v/>
      </c>
    </row>
    <row r="353" customFormat="false" ht="28.35" hidden="false" customHeight="false" outlineLevel="0" collapsed="false">
      <c r="A353" s="15" t="s">
        <v>203</v>
      </c>
      <c r="B353" s="15" t="s">
        <v>262</v>
      </c>
      <c r="C353" s="16" t="s">
        <v>263</v>
      </c>
      <c r="D353" s="17" t="n">
        <f aca="false">IF(W353&gt;0,ROUND(AVERAGEIFS('Shortlisted Drugs X Company (7)'!$N$3:$N$698,'Shortlisted Drugs X Company (7)'!$C$3:$C$698,$B353,'Shortlisted Drugs X Company (7)'!$E$3:$E$698,$S353,'Shortlisted Drugs X Company (7)'!$N$3:$N$698,"&gt;5"),2),"")</f>
        <v>29.97</v>
      </c>
      <c r="E353" s="15" t="str">
        <f aca="false">IF(COUNTIFS('Shortlisted Drugs X Company (7)'!$C$3:$C$698,$B353,'Shortlisted Drugs X Company (7)'!$E$3:$E$698,$S353,'Shortlisted Drugs X Company (7)'!$P$3:$P$698,"Exact")&gt;0,"Exact",IF(COUNTIFS('Shortlisted Drugs X Company (7)'!$C$3:$C$698,$B353,'Shortlisted Drugs X Company (7)'!$E$3:$E$698,$S353,'Shortlisted Drugs X Company (7)'!$P$3:$P$698,"Same-market proxy")&gt;0,"Same-market proxy",IF(COUNTIFS('Shortlisted Drugs X Company (7)'!$C$3:$C$698,$B353,'Shortlisted Drugs X Company (7)'!$E$3:$E$698,$S353,'Shortlisted Drugs X Company (7)'!$P$3:$P$698,"Cross-market proxy")&gt;0,"Cross-market proxy",IF(COUNTIFS('Shortlisted Drugs X Company (7)'!$C$3:$C$698,$B353,'Shortlisted Drugs X Company (7)'!$E$3:$E$698,$S353,'Shortlisted Drugs X Company (7)'!$P$3:$P$698,"Source not found")&gt;0,"Source not found","Not priced"))))</f>
        <v>Same-market proxy</v>
      </c>
      <c r="F353" s="18" t="n">
        <f aca="false">IFERROR(ROUND(INDEX('Injectable Value'!$AA$28:$AA$178,MATCH(B353,'Injectable Value'!$A$28:$A$178,0)),1),"")</f>
        <v>11366.1</v>
      </c>
      <c r="G353" s="16" t="s">
        <v>247</v>
      </c>
      <c r="H353" s="14" t="n">
        <v>1</v>
      </c>
      <c r="I353" s="15" t="s">
        <v>258</v>
      </c>
      <c r="J353" s="15" t="s">
        <v>249</v>
      </c>
      <c r="K353" s="16" t="str">
        <f aca="false">"Prefilled only"&amp;IF(V353=0,"; Unpriced","")&amp;IF(AND(V353&gt;0,W353=0,X353=0),"; Low price from another market – confirm with company","")</f>
        <v>Prefilled only</v>
      </c>
      <c r="L353" s="18" t="n">
        <f aca="false">IFERROR(INDEX('Shortlisted Drugs X Company (7)'!$K$3:$K$698,MATCH(B353,'Shortlisted Drugs X Company (7)'!$C$3:$C$698,0)),"")</f>
        <v>146</v>
      </c>
      <c r="M353" s="18" t="n">
        <f aca="false">IFERROR(ROUND(L353*INDEX('Injectable Value'!$Z$28:$Z$178,MATCH(B353,'Injectable Value'!$A$28:$A$178,0)),0),"")</f>
        <v>146</v>
      </c>
      <c r="N353" s="18" t="n">
        <f aca="false">IFERROR(INDEX('Shortlisted Drugs X Company (7)'!$L$3:$L$698,MATCH(B353,'Shortlisted Drugs X Company (7)'!$C$3:$C$698,0)),"")</f>
        <v>11366.06</v>
      </c>
      <c r="O353" s="15" t="str">
        <f aca="false">IF(AE353="No","IV only (not ID/IM/SC)",IF(AND(V353&gt;0,W353=0),"Price ≤ $5",""))</f>
        <v/>
      </c>
      <c r="P353" s="14" t="n">
        <f aca="false">IF(O353&lt;&gt;"","",COUNTIFS($A$29:$A$361,A353,$O$29:$O$361,"",$AC$29:$AC$361,"&gt;"&amp;AC353)+COUNTIFS($A$29:A353,A353,$O$29:O353,"",$AC$29:AC353,AC353))</f>
        <v>2</v>
      </c>
      <c r="Q353" s="15" t="str">
        <f aca="false">IF(O353&lt;&gt;"",IF(O353="Price ≤ $5","Excluded – price ≤ $5","Excluded – IV only"),IF(ISNUMBER(D353),IF(AND(D353&gt;=$C$3,M353&gt;=$E$3),"Priority 1",IF(OR(D353&gt;=$C$3,M353&gt;=$E$3),"Priority 2","Priority 3")),IF(M353&gt;=$E$3,"Priority 2","Priority 3")))</f>
        <v>Priority 1</v>
      </c>
      <c r="R353" s="16" t="s">
        <v>259</v>
      </c>
      <c r="S353" s="15" t="s">
        <v>1445</v>
      </c>
      <c r="T353" s="32" t="s">
        <v>264</v>
      </c>
      <c r="U353" s="33" t="str">
        <f aca="false">B353&amp;"|"&amp;S353</f>
        <v>Fulvestrant|Zydus Lifesciences</v>
      </c>
      <c r="V353" s="34" t="n">
        <f aca="false">COUNTIFS('Shortlisted Drugs X Company (7)'!$C$3:$C$698,$B353,'Shortlisted Drugs X Company (7)'!$E$3:$E$698,$S353,'Shortlisted Drugs X Company (7)'!$N$3:$N$698,"&gt;=0")</f>
        <v>1</v>
      </c>
      <c r="W353" s="34" t="n">
        <f aca="false">COUNTIFS('Shortlisted Drugs X Company (7)'!$C$3:$C$698,$B353,'Shortlisted Drugs X Company (7)'!$E$3:$E$698,$S353,'Shortlisted Drugs X Company (7)'!$N$3:$N$698,"&gt;5")</f>
        <v>1</v>
      </c>
      <c r="X353" s="34" t="n">
        <f aca="false">COUNTIFS('Shortlisted Drugs X Company (7)'!$C$3:$C$698,$B353,'Shortlisted Drugs X Company (7)'!$E$3:$E$698,$S353,'Shortlisted Drugs X Company (7)'!$P$3:$P$698,"Exact")+COUNTIFS('Shortlisted Drugs X Company (7)'!$C$3:$C$698,$B353,'Shortlisted Drugs X Company (7)'!$E$3:$E$698,$S353,'Shortlisted Drugs X Company (7)'!$P$3:$P$698,"Same-market proxy")</f>
        <v>1</v>
      </c>
      <c r="Y353" s="33" t="str">
        <f aca="false">A353&amp;"|"&amp;P353</f>
        <v>Zydus|2</v>
      </c>
      <c r="Z353" s="16" t="s">
        <v>265</v>
      </c>
      <c r="AA353" s="33" t="n">
        <f aca="false">INDEX($G$7:$G$25,MATCH(A353,$A$7:$A$25,0))</f>
        <v>8</v>
      </c>
      <c r="AB353" s="33" t="n">
        <f aca="false">IF(AE353="No","",AA353*1000+IF(P353="",900+COUNTIFS($A$29:A353,A353,$O$29:O353,"Price ≤ $5"),P353))</f>
        <v>8002</v>
      </c>
      <c r="AC353" s="33" t="n">
        <f aca="false">IF(O353&lt;&gt;"","",(4-VALUE(RIGHT(Q353,1)))*10^7+N(F353))</f>
        <v>30011366.1</v>
      </c>
      <c r="AD353" s="15" t="str">
        <f aca="false">IFERROR(INDEX('Route of Administration'!$C$5:$C$155,MATCH(B353,'Route of Administration'!$A$5:$A$155,0)),"")</f>
        <v>IM</v>
      </c>
      <c r="AE353" s="14" t="str">
        <f aca="false">IFERROR(INDEX('Route of Administration'!$D$5:$D$155,MATCH(B353,'Route of Administration'!$A$5:$A$155,0)),"")</f>
        <v>Yes</v>
      </c>
      <c r="AF353" s="19" t="n">
        <f aca="false">IF(V353&gt;0,ROUND(AVERAGEIFS('Shortlisted Drugs X Company (7)'!$N$3:$N$698,'Shortlisted Drugs X Company (7)'!$C$3:$C$698,$B353,'Shortlisted Drugs X Company (7)'!$E$3:$E$698,$S353,'Shortlisted Drugs X Company (7)'!$N$3:$N$698,"&gt;=0"),2),"")</f>
        <v>29.97</v>
      </c>
      <c r="AG353" s="16" t="s">
        <v>262</v>
      </c>
      <c r="AH353" s="16" t="s">
        <v>247</v>
      </c>
      <c r="AI353" s="16" t="s">
        <v>247</v>
      </c>
      <c r="AJ353" s="16" t="str">
        <f aca="false">IF(O353&lt;&gt;"","",IF(ISNUMBER(D353),IF(D353&gt;=$C$3,"High price","Lower price"),"Unpriced")&amp;" · "&amp;IF(M353&gt;=$E$3,"high volume","lower volume"))</f>
        <v>High price · high volume</v>
      </c>
      <c r="AK353" s="15" t="str">
        <f aca="false">IF(O353&lt;&gt;"",IF(O353="Price ≤ $5","Excluded – price ≤ $5","Excluded – IV only"),IF(ISNUMBER(D353),IF(AND(D353&gt;=$C$3,L353&gt;=$H$3),"Priority 1",IF(OR(D353&gt;=$C$3,L353&gt;=$H$3),"Priority 2","Priority 3")),IF(L353&gt;=$H$3,"Priority 2","Priority 3")))</f>
        <v>Priority 2</v>
      </c>
      <c r="AL353" s="16" t="str">
        <f aca="false">IF(O353&lt;&gt;"","",IF(ISNUMBER(D353),IF(D353&gt;=$C$3,"High price","Lower price"),"Unpriced")&amp;" · "&amp;IF(L353&gt;=$H$3,"high volume","lower volume"))</f>
        <v>High price · lower volume</v>
      </c>
      <c r="AM353" s="14" t="n">
        <f aca="false">IF(O353&lt;&gt;"","",COUNTIFS($A$29:$A$361,A353,$O$29:$O$361,"",$AQ$29:$AQ$361,"&gt;"&amp;AQ353)+COUNTIFS($A$29:A353,A353,$O$29:O353,"",$AQ$29:AQ353,AQ353))</f>
        <v>6</v>
      </c>
      <c r="AN353" s="19" t="n">
        <f aca="false">IF(AND(O353="",ISNUMBER(D353)),D353,"")</f>
        <v>29.97</v>
      </c>
      <c r="AO353" s="20" t="n">
        <f aca="false">IF(O353="",M353,"")</f>
        <v>146</v>
      </c>
      <c r="AP353" s="20" t="n">
        <f aca="false">IF(O353="",L353,"")</f>
        <v>146</v>
      </c>
      <c r="AQ353" s="33" t="n">
        <f aca="false">IF(O353&lt;&gt;"","",(4-VALUE(RIGHT(AK353,1)))*10^7+N(N353))</f>
        <v>20011366.06</v>
      </c>
      <c r="AR353" s="33" t="n">
        <f aca="false">INDEX($O$7:$O$25,MATCH(A353,$I$7:$I$25,0))</f>
        <v>7</v>
      </c>
      <c r="AS353" s="33" t="n">
        <f aca="false">IF(AE353="No","",AR353*1000+IF(AM353="",900+COUNTIFS($A$29:A353,A353,$O$29:O353,"Price ≤ $5"),AM353))</f>
        <v>7006</v>
      </c>
    </row>
    <row r="354" customFormat="false" ht="41.75" hidden="false" customHeight="false" outlineLevel="0" collapsed="false">
      <c r="A354" s="15" t="s">
        <v>203</v>
      </c>
      <c r="B354" s="15" t="s">
        <v>1461</v>
      </c>
      <c r="C354" s="16" t="s">
        <v>413</v>
      </c>
      <c r="D354" s="17" t="n">
        <f aca="false">IF(W354&gt;0,ROUND(AVERAGEIFS('Shortlisted Drugs X Company (7)'!$N$3:$N$698,'Shortlisted Drugs X Company (7)'!$C$3:$C$698,$B354,'Shortlisted Drugs X Company (7)'!$E$3:$E$698,$S354,'Shortlisted Drugs X Company (7)'!$N$3:$N$698,"&gt;5"),2),"")</f>
        <v>14.99</v>
      </c>
      <c r="E354" s="15" t="str">
        <f aca="false">IF(COUNTIFS('Shortlisted Drugs X Company (7)'!$C$3:$C$698,$B354,'Shortlisted Drugs X Company (7)'!$E$3:$E$698,$S354,'Shortlisted Drugs X Company (7)'!$P$3:$P$698,"Exact")&gt;0,"Exact",IF(COUNTIFS('Shortlisted Drugs X Company (7)'!$C$3:$C$698,$B354,'Shortlisted Drugs X Company (7)'!$E$3:$E$698,$S354,'Shortlisted Drugs X Company (7)'!$P$3:$P$698,"Same-market proxy")&gt;0,"Same-market proxy",IF(COUNTIFS('Shortlisted Drugs X Company (7)'!$C$3:$C$698,$B354,'Shortlisted Drugs X Company (7)'!$E$3:$E$698,$S354,'Shortlisted Drugs X Company (7)'!$P$3:$P$698,"Cross-market proxy")&gt;0,"Cross-market proxy",IF(COUNTIFS('Shortlisted Drugs X Company (7)'!$C$3:$C$698,$B354,'Shortlisted Drugs X Company (7)'!$E$3:$E$698,$S354,'Shortlisted Drugs X Company (7)'!$P$3:$P$698,"Source not found")&gt;0,"Source not found","Not priced"))))</f>
        <v>Same-market proxy</v>
      </c>
      <c r="F354" s="18" t="n">
        <f aca="false">IFERROR(ROUND(INDEX('Injectable Value'!$AA$28:$AA$178,MATCH(B354,'Injectable Value'!$A$28:$A$178,0)),1),"")</f>
        <v>1618.6</v>
      </c>
      <c r="G354" s="16" t="s">
        <v>247</v>
      </c>
      <c r="H354" s="14" t="n">
        <v>1</v>
      </c>
      <c r="I354" s="15" t="s">
        <v>248</v>
      </c>
      <c r="J354" s="15" t="s">
        <v>249</v>
      </c>
      <c r="K354" s="16" t="str">
        <f aca="false">""&amp;IF(V354=0,"Unpriced","")&amp;IF(AND(V354&gt;0,W354=0,X354=0),"Low price from another market – confirm with company","")</f>
        <v/>
      </c>
      <c r="L354" s="18" t="n">
        <f aca="false">IFERROR(INDEX('Shortlisted Drugs X Company (7)'!$K$3:$K$698,MATCH(B354,'Shortlisted Drugs X Company (7)'!$C$3:$C$698,0)),"")</f>
        <v>43</v>
      </c>
      <c r="M354" s="18" t="n">
        <f aca="false">IFERROR(ROUND(L354*INDEX('Injectable Value'!$Z$28:$Z$178,MATCH(B354,'Injectable Value'!$A$28:$A$178,0)),0),"")</f>
        <v>36</v>
      </c>
      <c r="N354" s="18" t="n">
        <f aca="false">IFERROR(INDEX('Shortlisted Drugs X Company (7)'!$L$3:$L$698,MATCH(B354,'Shortlisted Drugs X Company (7)'!$C$3:$C$698,0)),"")</f>
        <v>1942.31</v>
      </c>
      <c r="O354" s="15" t="str">
        <f aca="false">IF(AE354="No","IV only (not ID/IM/SC)",IF(AND(V354&gt;0,W354=0),"Price ≤ $5",""))</f>
        <v/>
      </c>
      <c r="P354" s="14" t="n">
        <f aca="false">IF(O354&lt;&gt;"","",COUNTIFS($A$29:$A$361,A354,$O$29:$O$361,"",$AC$29:$AC$361,"&gt;"&amp;AC354)+COUNTIFS($A$29:A354,A354,$O$29:O354,"",$AC$29:AC354,AC354))</f>
        <v>9</v>
      </c>
      <c r="Q354" s="15" t="str">
        <f aca="false">IF(O354&lt;&gt;"",IF(O354="Price ≤ $5","Excluded – price ≤ $5","Excluded – IV only"),IF(ISNUMBER(D354),IF(AND(D354&gt;=$C$3,M354&gt;=$E$3),"Priority 1",IF(OR(D354&gt;=$C$3,M354&gt;=$E$3),"Priority 2","Priority 3")),IF(M354&gt;=$E$3,"Priority 2","Priority 3")))</f>
        <v>Priority 3</v>
      </c>
      <c r="R354" s="16" t="s">
        <v>285</v>
      </c>
      <c r="S354" s="15" t="s">
        <v>1445</v>
      </c>
      <c r="T354" s="32" t="s">
        <v>1462</v>
      </c>
      <c r="U354" s="33" t="str">
        <f aca="false">B354&amp;"|"&amp;S354</f>
        <v>Haloperidol Decanoate|Zydus Lifesciences</v>
      </c>
      <c r="V354" s="34" t="n">
        <f aca="false">COUNTIFS('Shortlisted Drugs X Company (7)'!$C$3:$C$698,$B354,'Shortlisted Drugs X Company (7)'!$E$3:$E$698,$S354,'Shortlisted Drugs X Company (7)'!$N$3:$N$698,"&gt;=0")</f>
        <v>2</v>
      </c>
      <c r="W354" s="34" t="n">
        <f aca="false">COUNTIFS('Shortlisted Drugs X Company (7)'!$C$3:$C$698,$B354,'Shortlisted Drugs X Company (7)'!$E$3:$E$698,$S354,'Shortlisted Drugs X Company (7)'!$N$3:$N$698,"&gt;5")</f>
        <v>2</v>
      </c>
      <c r="X354" s="34" t="n">
        <f aca="false">COUNTIFS('Shortlisted Drugs X Company (7)'!$C$3:$C$698,$B354,'Shortlisted Drugs X Company (7)'!$E$3:$E$698,$S354,'Shortlisted Drugs X Company (7)'!$P$3:$P$698,"Exact")+COUNTIFS('Shortlisted Drugs X Company (7)'!$C$3:$C$698,$B354,'Shortlisted Drugs X Company (7)'!$E$3:$E$698,$S354,'Shortlisted Drugs X Company (7)'!$P$3:$P$698,"Same-market proxy")</f>
        <v>2</v>
      </c>
      <c r="Y354" s="33" t="str">
        <f aca="false">A354&amp;"|"&amp;P354</f>
        <v>Zydus|9</v>
      </c>
      <c r="Z354" s="16" t="s">
        <v>1463</v>
      </c>
      <c r="AA354" s="33" t="n">
        <f aca="false">INDEX($G$7:$G$25,MATCH(A354,$A$7:$A$25,0))</f>
        <v>8</v>
      </c>
      <c r="AB354" s="33" t="n">
        <f aca="false">IF(AE354="No","",AA354*1000+IF(P354="",900+COUNTIFS($A$29:A354,A354,$O$29:O354,"Price ≤ $5"),P354))</f>
        <v>8009</v>
      </c>
      <c r="AC354" s="33" t="n">
        <f aca="false">IF(O354&lt;&gt;"","",(4-VALUE(RIGHT(Q354,1)))*10^7+N(F354))</f>
        <v>10001618.6</v>
      </c>
      <c r="AD354" s="15" t="str">
        <f aca="false">IFERROR(INDEX('Route of Administration'!$C$5:$C$155,MATCH(B354,'Route of Administration'!$A$5:$A$155,0)),"")</f>
        <v>IM</v>
      </c>
      <c r="AE354" s="14" t="str">
        <f aca="false">IFERROR(INDEX('Route of Administration'!$D$5:$D$155,MATCH(B354,'Route of Administration'!$A$5:$A$155,0)),"")</f>
        <v>Yes</v>
      </c>
      <c r="AF354" s="19" t="n">
        <f aca="false">IF(V354&gt;0,ROUND(AVERAGEIFS('Shortlisted Drugs X Company (7)'!$N$3:$N$698,'Shortlisted Drugs X Company (7)'!$C$3:$C$698,$B354,'Shortlisted Drugs X Company (7)'!$E$3:$E$698,$S354,'Shortlisted Drugs X Company (7)'!$N$3:$N$698,"&gt;=0"),2),"")</f>
        <v>14.99</v>
      </c>
      <c r="AG354" s="16" t="s">
        <v>1461</v>
      </c>
      <c r="AH354" s="16" t="s">
        <v>247</v>
      </c>
      <c r="AI354" s="16" t="s">
        <v>247</v>
      </c>
      <c r="AJ354" s="16" t="str">
        <f aca="false">IF(O354&lt;&gt;"","",IF(ISNUMBER(D354),IF(D354&gt;=$C$3,"High price","Lower price"),"Unpriced")&amp;" · "&amp;IF(M354&gt;=$E$3,"high volume","lower volume"))</f>
        <v>Lower price · lower volume</v>
      </c>
      <c r="AK354" s="15" t="str">
        <f aca="false">IF(O354&lt;&gt;"",IF(O354="Price ≤ $5","Excluded – price ≤ $5","Excluded – IV only"),IF(ISNUMBER(D354),IF(AND(D354&gt;=$C$3,L354&gt;=$H$3),"Priority 1",IF(OR(D354&gt;=$C$3,L354&gt;=$H$3),"Priority 2","Priority 3")),IF(L354&gt;=$H$3,"Priority 2","Priority 3")))</f>
        <v>Priority 3</v>
      </c>
      <c r="AL354" s="16" t="str">
        <f aca="false">IF(O354&lt;&gt;"","",IF(ISNUMBER(D354),IF(D354&gt;=$C$3,"High price","Lower price"),"Unpriced")&amp;" · "&amp;IF(L354&gt;=$H$3,"high volume","lower volume"))</f>
        <v>Lower price · lower volume</v>
      </c>
      <c r="AM354" s="14" t="n">
        <f aca="false">IF(O354&lt;&gt;"","",COUNTIFS($A$29:$A$361,A354,$O$29:$O$361,"",$AQ$29:$AQ$361,"&gt;"&amp;AQ354)+COUNTIFS($A$29:A354,A354,$O$29:O354,"",$AQ$29:AQ354,AQ354))</f>
        <v>11</v>
      </c>
      <c r="AN354" s="19" t="n">
        <f aca="false">IF(AND(O354="",ISNUMBER(D354)),D354,"")</f>
        <v>14.99</v>
      </c>
      <c r="AO354" s="20" t="n">
        <f aca="false">IF(O354="",M354,"")</f>
        <v>36</v>
      </c>
      <c r="AP354" s="20" t="n">
        <f aca="false">IF(O354="",L354,"")</f>
        <v>43</v>
      </c>
      <c r="AQ354" s="33" t="n">
        <f aca="false">IF(O354&lt;&gt;"","",(4-VALUE(RIGHT(AK354,1)))*10^7+N(N354))</f>
        <v>10001942.31</v>
      </c>
      <c r="AR354" s="33" t="n">
        <f aca="false">INDEX($O$7:$O$25,MATCH(A354,$I$7:$I$25,0))</f>
        <v>7</v>
      </c>
      <c r="AS354" s="33" t="n">
        <f aca="false">IF(AE354="No","",AR354*1000+IF(AM354="",900+COUNTIFS($A$29:A354,A354,$O$29:O354,"Price ≤ $5"),AM354))</f>
        <v>7011</v>
      </c>
    </row>
    <row r="355" customFormat="false" ht="41.75" hidden="false" customHeight="false" outlineLevel="0" collapsed="false">
      <c r="A355" s="15" t="s">
        <v>203</v>
      </c>
      <c r="B355" s="15" t="s">
        <v>601</v>
      </c>
      <c r="C355" s="16" t="s">
        <v>602</v>
      </c>
      <c r="D355" s="17" t="n">
        <f aca="false">IF(W355&gt;0,ROUND(AVERAGEIFS('Shortlisted Drugs X Company (7)'!$N$3:$N$698,'Shortlisted Drugs X Company (7)'!$C$3:$C$698,$B355,'Shortlisted Drugs X Company (7)'!$E$3:$E$698,$S355,'Shortlisted Drugs X Company (7)'!$N$3:$N$698,"&gt;5"),2),"")</f>
        <v>23.15</v>
      </c>
      <c r="E355" s="15" t="str">
        <f aca="false">IF(COUNTIFS('Shortlisted Drugs X Company (7)'!$C$3:$C$698,$B355,'Shortlisted Drugs X Company (7)'!$E$3:$E$698,$S355,'Shortlisted Drugs X Company (7)'!$P$3:$P$698,"Exact")&gt;0,"Exact",IF(COUNTIFS('Shortlisted Drugs X Company (7)'!$C$3:$C$698,$B355,'Shortlisted Drugs X Company (7)'!$E$3:$E$698,$S355,'Shortlisted Drugs X Company (7)'!$P$3:$P$698,"Same-market proxy")&gt;0,"Same-market proxy",IF(COUNTIFS('Shortlisted Drugs X Company (7)'!$C$3:$C$698,$B355,'Shortlisted Drugs X Company (7)'!$E$3:$E$698,$S355,'Shortlisted Drugs X Company (7)'!$P$3:$P$698,"Cross-market proxy")&gt;0,"Cross-market proxy",IF(COUNTIFS('Shortlisted Drugs X Company (7)'!$C$3:$C$698,$B355,'Shortlisted Drugs X Company (7)'!$E$3:$E$698,$S355,'Shortlisted Drugs X Company (7)'!$P$3:$P$698,"Source not found")&gt;0,"Source not found","Not priced"))))</f>
        <v>Same-market proxy</v>
      </c>
      <c r="F355" s="18" t="n">
        <f aca="false">IFERROR(ROUND(INDEX('Injectable Value'!$AA$28:$AA$178,MATCH(B355,'Injectable Value'!$A$28:$A$178,0)),1),"")</f>
        <v>4796.6</v>
      </c>
      <c r="G355" s="16" t="s">
        <v>247</v>
      </c>
      <c r="H355" s="14" t="n">
        <v>1</v>
      </c>
      <c r="I355" s="15" t="s">
        <v>248</v>
      </c>
      <c r="J355" s="15" t="s">
        <v>249</v>
      </c>
      <c r="K355" s="16" t="str">
        <f aca="false">""&amp;IF(V355=0,"Unpriced","")&amp;IF(AND(V355&gt;0,W355=0,X355=0),"Low price from another market – confirm with company","")</f>
        <v/>
      </c>
      <c r="L355" s="18" t="n">
        <f aca="false">IFERROR(INDEX('Shortlisted Drugs X Company (7)'!$K$3:$K$698,MATCH(B355,'Shortlisted Drugs X Company (7)'!$C$3:$C$698,0)),"")</f>
        <v>2582</v>
      </c>
      <c r="M355" s="18" t="n">
        <f aca="false">IFERROR(ROUND(L355*INDEX('Injectable Value'!$Z$28:$Z$178,MATCH(B355,'Injectable Value'!$A$28:$A$178,0)),0),"")</f>
        <v>325</v>
      </c>
      <c r="N355" s="18" t="n">
        <f aca="false">IFERROR(INDEX('Shortlisted Drugs X Company (7)'!$L$3:$L$698,MATCH(B355,'Shortlisted Drugs X Company (7)'!$C$3:$C$698,0)),"")</f>
        <v>38106.07</v>
      </c>
      <c r="O355" s="15" t="str">
        <f aca="false">IF(AE355="No","IV only (not ID/IM/SC)",IF(AND(V355&gt;0,W355=0),"Price ≤ $5",""))</f>
        <v/>
      </c>
      <c r="P355" s="14" t="n">
        <f aca="false">IF(O355&lt;&gt;"","",COUNTIFS($A$29:$A$361,A355,$O$29:$O$361,"",$AC$29:$AC$361,"&gt;"&amp;AC355)+COUNTIFS($A$29:A355,A355,$O$29:O355,"",$AC$29:AC355,AC355))</f>
        <v>5</v>
      </c>
      <c r="Q355" s="15" t="str">
        <f aca="false">IF(O355&lt;&gt;"",IF(O355="Price ≤ $5","Excluded – price ≤ $5","Excluded – IV only"),IF(ISNUMBER(D355),IF(AND(D355&gt;=$C$3,M355&gt;=$E$3),"Priority 1",IF(OR(D355&gt;=$C$3,M355&gt;=$E$3),"Priority 2","Priority 3")),IF(M355&gt;=$E$3,"Priority 2","Priority 3")))</f>
        <v>Priority 2</v>
      </c>
      <c r="R355" s="16" t="s">
        <v>250</v>
      </c>
      <c r="S355" s="15" t="s">
        <v>1445</v>
      </c>
      <c r="T355" s="32" t="s">
        <v>603</v>
      </c>
      <c r="U355" s="33" t="str">
        <f aca="false">B355&amp;"|"&amp;S355</f>
        <v>Hydrocortisone|Zydus Lifesciences</v>
      </c>
      <c r="V355" s="34" t="n">
        <f aca="false">COUNTIFS('Shortlisted Drugs X Company (7)'!$C$3:$C$698,$B355,'Shortlisted Drugs X Company (7)'!$E$3:$E$698,$S355,'Shortlisted Drugs X Company (7)'!$N$3:$N$698,"&gt;=0")</f>
        <v>1</v>
      </c>
      <c r="W355" s="34" t="n">
        <f aca="false">COUNTIFS('Shortlisted Drugs X Company (7)'!$C$3:$C$698,$B355,'Shortlisted Drugs X Company (7)'!$E$3:$E$698,$S355,'Shortlisted Drugs X Company (7)'!$N$3:$N$698,"&gt;5")</f>
        <v>1</v>
      </c>
      <c r="X355" s="34" t="n">
        <f aca="false">COUNTIFS('Shortlisted Drugs X Company (7)'!$C$3:$C$698,$B355,'Shortlisted Drugs X Company (7)'!$E$3:$E$698,$S355,'Shortlisted Drugs X Company (7)'!$P$3:$P$698,"Exact")+COUNTIFS('Shortlisted Drugs X Company (7)'!$C$3:$C$698,$B355,'Shortlisted Drugs X Company (7)'!$E$3:$E$698,$S355,'Shortlisted Drugs X Company (7)'!$P$3:$P$698,"Same-market proxy")</f>
        <v>1</v>
      </c>
      <c r="Y355" s="33" t="str">
        <f aca="false">A355&amp;"|"&amp;P355</f>
        <v>Zydus|5</v>
      </c>
      <c r="Z355" s="16" t="s">
        <v>1464</v>
      </c>
      <c r="AA355" s="33" t="n">
        <f aca="false">INDEX($G$7:$G$25,MATCH(A355,$A$7:$A$25,0))</f>
        <v>8</v>
      </c>
      <c r="AB355" s="33" t="n">
        <f aca="false">IF(AE355="No","",AA355*1000+IF(P355="",900+COUNTIFS($A$29:A355,A355,$O$29:O355,"Price ≤ $5"),P355))</f>
        <v>8005</v>
      </c>
      <c r="AC355" s="33" t="n">
        <f aca="false">IF(O355&lt;&gt;"","",(4-VALUE(RIGHT(Q355,1)))*10^7+N(F355))</f>
        <v>20004796.6</v>
      </c>
      <c r="AD355" s="15" t="str">
        <f aca="false">IFERROR(INDEX('Route of Administration'!$C$5:$C$155,MATCH(B355,'Route of Administration'!$A$5:$A$155,0)),"")</f>
        <v>IV, IM</v>
      </c>
      <c r="AE355" s="14" t="str">
        <f aca="false">IFERROR(INDEX('Route of Administration'!$D$5:$D$155,MATCH(B355,'Route of Administration'!$A$5:$A$155,0)),"")</f>
        <v>Yes</v>
      </c>
      <c r="AF355" s="19" t="n">
        <f aca="false">IF(V355&gt;0,ROUND(AVERAGEIFS('Shortlisted Drugs X Company (7)'!$N$3:$N$698,'Shortlisted Drugs X Company (7)'!$C$3:$C$698,$B355,'Shortlisted Drugs X Company (7)'!$E$3:$E$698,$S355,'Shortlisted Drugs X Company (7)'!$N$3:$N$698,"&gt;=0"),2),"")</f>
        <v>23.15</v>
      </c>
      <c r="AG355" s="16" t="s">
        <v>1465</v>
      </c>
      <c r="AH355" s="16" t="s">
        <v>247</v>
      </c>
      <c r="AI355" s="16" t="s">
        <v>247</v>
      </c>
      <c r="AJ355" s="16" t="str">
        <f aca="false">IF(O355&lt;&gt;"","",IF(ISNUMBER(D355),IF(D355&gt;=$C$3,"High price","Lower price"),"Unpriced")&amp;" · "&amp;IF(M355&gt;=$E$3,"high volume","lower volume"))</f>
        <v>Lower price · high volume</v>
      </c>
      <c r="AK355" s="15" t="str">
        <f aca="false">IF(O355&lt;&gt;"",IF(O355="Price ≤ $5","Excluded – price ≤ $5","Excluded – IV only"),IF(ISNUMBER(D355),IF(AND(D355&gt;=$C$3,L355&gt;=$H$3),"Priority 1",IF(OR(D355&gt;=$C$3,L355&gt;=$H$3),"Priority 2","Priority 3")),IF(L355&gt;=$H$3,"Priority 2","Priority 3")))</f>
        <v>Priority 2</v>
      </c>
      <c r="AL355" s="16" t="str">
        <f aca="false">IF(O355&lt;&gt;"","",IF(ISNUMBER(D355),IF(D355&gt;=$C$3,"High price","Lower price"),"Unpriced")&amp;" · "&amp;IF(L355&gt;=$H$3,"high volume","lower volume"))</f>
        <v>Lower price · high volume</v>
      </c>
      <c r="AM355" s="14" t="n">
        <f aca="false">IF(O355&lt;&gt;"","",COUNTIFS($A$29:$A$361,A355,$O$29:$O$361,"",$AQ$29:$AQ$361,"&gt;"&amp;AQ355)+COUNTIFS($A$29:A355,A355,$O$29:O355,"",$AQ$29:AQ355,AQ355))</f>
        <v>5</v>
      </c>
      <c r="AN355" s="19" t="n">
        <f aca="false">IF(AND(O355="",ISNUMBER(D355)),D355,"")</f>
        <v>23.15</v>
      </c>
      <c r="AO355" s="20" t="n">
        <f aca="false">IF(O355="",M355,"")</f>
        <v>325</v>
      </c>
      <c r="AP355" s="20" t="n">
        <f aca="false">IF(O355="",L355,"")</f>
        <v>2582</v>
      </c>
      <c r="AQ355" s="33" t="n">
        <f aca="false">IF(O355&lt;&gt;"","",(4-VALUE(RIGHT(AK355,1)))*10^7+N(N355))</f>
        <v>20038106.07</v>
      </c>
      <c r="AR355" s="33" t="n">
        <f aca="false">INDEX($O$7:$O$25,MATCH(A355,$I$7:$I$25,0))</f>
        <v>7</v>
      </c>
      <c r="AS355" s="33" t="n">
        <f aca="false">IF(AE355="No","",AR355*1000+IF(AM355="",900+COUNTIFS($A$29:A355,A355,$O$29:O355,"Price ≤ $5"),AM355))</f>
        <v>7005</v>
      </c>
    </row>
    <row r="356" customFormat="false" ht="41.75" hidden="false" customHeight="false" outlineLevel="0" collapsed="false">
      <c r="A356" s="15" t="s">
        <v>203</v>
      </c>
      <c r="B356" s="15" t="s">
        <v>1466</v>
      </c>
      <c r="C356" s="16" t="s">
        <v>1467</v>
      </c>
      <c r="D356" s="17" t="n">
        <f aca="false">IF(W356&gt;0,ROUND(AVERAGEIFS('Shortlisted Drugs X Company (7)'!$N$3:$N$698,'Shortlisted Drugs X Company (7)'!$C$3:$C$698,$B356,'Shortlisted Drugs X Company (7)'!$E$3:$E$698,$S356,'Shortlisted Drugs X Company (7)'!$N$3:$N$698,"&gt;5"),2),"")</f>
        <v>179.58</v>
      </c>
      <c r="E356" s="15" t="str">
        <f aca="false">IF(COUNTIFS('Shortlisted Drugs X Company (7)'!$C$3:$C$698,$B356,'Shortlisted Drugs X Company (7)'!$E$3:$E$698,$S356,'Shortlisted Drugs X Company (7)'!$P$3:$P$698,"Exact")&gt;0,"Exact",IF(COUNTIFS('Shortlisted Drugs X Company (7)'!$C$3:$C$698,$B356,'Shortlisted Drugs X Company (7)'!$E$3:$E$698,$S356,'Shortlisted Drugs X Company (7)'!$P$3:$P$698,"Same-market proxy")&gt;0,"Same-market proxy",IF(COUNTIFS('Shortlisted Drugs X Company (7)'!$C$3:$C$698,$B356,'Shortlisted Drugs X Company (7)'!$E$3:$E$698,$S356,'Shortlisted Drugs X Company (7)'!$P$3:$P$698,"Cross-market proxy")&gt;0,"Cross-market proxy",IF(COUNTIFS('Shortlisted Drugs X Company (7)'!$C$3:$C$698,$B356,'Shortlisted Drugs X Company (7)'!$E$3:$E$698,$S356,'Shortlisted Drugs X Company (7)'!$P$3:$P$698,"Source not found")&gt;0,"Source not found","Not priced"))))</f>
        <v>Same-market proxy</v>
      </c>
      <c r="F356" s="18" t="n">
        <f aca="false">IFERROR(ROUND(INDEX('Injectable Value'!$AA$28:$AA$178,MATCH(B356,'Injectable Value'!$A$28:$A$178,0)),1),"")</f>
        <v>214.1</v>
      </c>
      <c r="G356" s="16" t="s">
        <v>247</v>
      </c>
      <c r="H356" s="14" t="n">
        <v>1</v>
      </c>
      <c r="I356" s="15" t="s">
        <v>277</v>
      </c>
      <c r="J356" s="15" t="s">
        <v>277</v>
      </c>
      <c r="K356" s="16" t="str">
        <f aca="false">""&amp;IF(V356=0,"Unpriced","")&amp;IF(AND(V356&gt;0,W356=0,X356=0),"Low price from another market – confirm with company","")</f>
        <v/>
      </c>
      <c r="L356" s="18" t="n">
        <f aca="false">IFERROR(INDEX('Shortlisted Drugs X Company (7)'!$K$3:$K$698,MATCH(B356,'Shortlisted Drugs X Company (7)'!$C$3:$C$698,0)),"")</f>
        <v>48</v>
      </c>
      <c r="M356" s="18" t="n">
        <f aca="false">IFERROR(ROUND(L356*INDEX('Injectable Value'!$Z$28:$Z$178,MATCH(B356,'Injectable Value'!$A$28:$A$178,0)),0),"")</f>
        <v>34</v>
      </c>
      <c r="N356" s="18" t="n">
        <f aca="false">IFERROR(INDEX('Shortlisted Drugs X Company (7)'!$L$3:$L$698,MATCH(B356,'Shortlisted Drugs X Company (7)'!$C$3:$C$698,0)),"")</f>
        <v>304.87</v>
      </c>
      <c r="O356" s="15" t="str">
        <f aca="false">IF(AE356="No","IV only (not ID/IM/SC)",IF(AND(V356&gt;0,W356=0),"Price ≤ $5",""))</f>
        <v/>
      </c>
      <c r="P356" s="14" t="n">
        <f aca="false">IF(O356&lt;&gt;"","",COUNTIFS($A$29:$A$361,A356,$O$29:$O$361,"",$AC$29:$AC$361,"&gt;"&amp;AC356)+COUNTIFS($A$29:A356,A356,$O$29:O356,"",$AC$29:AC356,AC356))</f>
        <v>8</v>
      </c>
      <c r="Q356" s="15" t="str">
        <f aca="false">IF(O356&lt;&gt;"",IF(O356="Price ≤ $5","Excluded – price ≤ $5","Excluded – IV only"),IF(ISNUMBER(D356),IF(AND(D356&gt;=$C$3,M356&gt;=$E$3),"Priority 1",IF(OR(D356&gt;=$C$3,M356&gt;=$E$3),"Priority 2","Priority 3")),IF(M356&gt;=$E$3,"Priority 2","Priority 3")))</f>
        <v>Priority 2</v>
      </c>
      <c r="R356" s="16" t="s">
        <v>278</v>
      </c>
      <c r="S356" s="15" t="s">
        <v>1445</v>
      </c>
      <c r="T356" s="32" t="s">
        <v>1468</v>
      </c>
      <c r="U356" s="33" t="str">
        <f aca="false">B356&amp;"|"&amp;S356</f>
        <v>Indocyanine Green|Zydus Lifesciences</v>
      </c>
      <c r="V356" s="34" t="n">
        <f aca="false">COUNTIFS('Shortlisted Drugs X Company (7)'!$C$3:$C$698,$B356,'Shortlisted Drugs X Company (7)'!$E$3:$E$698,$S356,'Shortlisted Drugs X Company (7)'!$N$3:$N$698,"&gt;=0")</f>
        <v>1</v>
      </c>
      <c r="W356" s="34" t="n">
        <f aca="false">COUNTIFS('Shortlisted Drugs X Company (7)'!$C$3:$C$698,$B356,'Shortlisted Drugs X Company (7)'!$E$3:$E$698,$S356,'Shortlisted Drugs X Company (7)'!$N$3:$N$698,"&gt;5")</f>
        <v>1</v>
      </c>
      <c r="X356" s="34" t="n">
        <f aca="false">COUNTIFS('Shortlisted Drugs X Company (7)'!$C$3:$C$698,$B356,'Shortlisted Drugs X Company (7)'!$E$3:$E$698,$S356,'Shortlisted Drugs X Company (7)'!$P$3:$P$698,"Exact")+COUNTIFS('Shortlisted Drugs X Company (7)'!$C$3:$C$698,$B356,'Shortlisted Drugs X Company (7)'!$E$3:$E$698,$S356,'Shortlisted Drugs X Company (7)'!$P$3:$P$698,"Same-market proxy")</f>
        <v>1</v>
      </c>
      <c r="Y356" s="33" t="str">
        <f aca="false">A356&amp;"|"&amp;P356</f>
        <v>Zydus|8</v>
      </c>
      <c r="Z356" s="16" t="s">
        <v>1469</v>
      </c>
      <c r="AA356" s="33" t="n">
        <f aca="false">INDEX($G$7:$G$25,MATCH(A356,$A$7:$A$25,0))</f>
        <v>8</v>
      </c>
      <c r="AB356" s="33" t="n">
        <f aca="false">IF(AE356="No","",AA356*1000+IF(P356="",900+COUNTIFS($A$29:A356,A356,$O$29:O356,"Price ≤ $5"),P356))</f>
        <v>8008</v>
      </c>
      <c r="AC356" s="33" t="n">
        <f aca="false">IF(O356&lt;&gt;"","",(4-VALUE(RIGHT(Q356,1)))*10^7+N(F356))</f>
        <v>20000214.1</v>
      </c>
      <c r="AD356" s="15" t="str">
        <f aca="false">IFERROR(INDEX('Route of Administration'!$C$5:$C$155,MATCH(B356,'Route of Administration'!$A$5:$A$155,0)),"")</f>
        <v>IV, ID, SC</v>
      </c>
      <c r="AE356" s="14" t="str">
        <f aca="false">IFERROR(INDEX('Route of Administration'!$D$5:$D$155,MATCH(B356,'Route of Administration'!$A$5:$A$155,0)),"")</f>
        <v>Yes</v>
      </c>
      <c r="AF356" s="19" t="n">
        <f aca="false">IF(V356&gt;0,ROUND(AVERAGEIFS('Shortlisted Drugs X Company (7)'!$N$3:$N$698,'Shortlisted Drugs X Company (7)'!$C$3:$C$698,$B356,'Shortlisted Drugs X Company (7)'!$E$3:$E$698,$S356,'Shortlisted Drugs X Company (7)'!$N$3:$N$698,"&gt;=0"),2),"")</f>
        <v>179.58</v>
      </c>
      <c r="AG356" s="16" t="s">
        <v>1466</v>
      </c>
      <c r="AH356" s="16" t="s">
        <v>247</v>
      </c>
      <c r="AI356" s="16" t="s">
        <v>247</v>
      </c>
      <c r="AJ356" s="16" t="str">
        <f aca="false">IF(O356&lt;&gt;"","",IF(ISNUMBER(D356),IF(D356&gt;=$C$3,"High price","Lower price"),"Unpriced")&amp;" · "&amp;IF(M356&gt;=$E$3,"high volume","lower volume"))</f>
        <v>High price · lower volume</v>
      </c>
      <c r="AK356" s="15" t="str">
        <f aca="false">IF(O356&lt;&gt;"",IF(O356="Price ≤ $5","Excluded – price ≤ $5","Excluded – IV only"),IF(ISNUMBER(D356),IF(AND(D356&gt;=$C$3,L356&gt;=$H$3),"Priority 1",IF(OR(D356&gt;=$C$3,L356&gt;=$H$3),"Priority 2","Priority 3")),IF(L356&gt;=$H$3,"Priority 2","Priority 3")))</f>
        <v>Priority 2</v>
      </c>
      <c r="AL356" s="16" t="str">
        <f aca="false">IF(O356&lt;&gt;"","",IF(ISNUMBER(D356),IF(D356&gt;=$C$3,"High price","Lower price"),"Unpriced")&amp;" · "&amp;IF(L356&gt;=$H$3,"high volume","lower volume"))</f>
        <v>High price · lower volume</v>
      </c>
      <c r="AM356" s="14" t="n">
        <f aca="false">IF(O356&lt;&gt;"","",COUNTIFS($A$29:$A$361,A356,$O$29:$O$361,"",$AQ$29:$AQ$361,"&gt;"&amp;AQ356)+COUNTIFS($A$29:A356,A356,$O$29:O356,"",$AQ$29:AQ356,AQ356))</f>
        <v>10</v>
      </c>
      <c r="AN356" s="19" t="n">
        <f aca="false">IF(AND(O356="",ISNUMBER(D356)),D356,"")</f>
        <v>179.58</v>
      </c>
      <c r="AO356" s="20" t="n">
        <f aca="false">IF(O356="",M356,"")</f>
        <v>34</v>
      </c>
      <c r="AP356" s="20" t="n">
        <f aca="false">IF(O356="",L356,"")</f>
        <v>48</v>
      </c>
      <c r="AQ356" s="33" t="n">
        <f aca="false">IF(O356&lt;&gt;"","",(4-VALUE(RIGHT(AK356,1)))*10^7+N(N356))</f>
        <v>20000304.87</v>
      </c>
      <c r="AR356" s="33" t="n">
        <f aca="false">INDEX($O$7:$O$25,MATCH(A356,$I$7:$I$25,0))</f>
        <v>7</v>
      </c>
      <c r="AS356" s="33" t="n">
        <f aca="false">IF(AE356="No","",AR356*1000+IF(AM356="",900+COUNTIFS($A$29:A356,A356,$O$29:O356,"Price ≤ $5"),AM356))</f>
        <v>7010</v>
      </c>
    </row>
    <row r="357" customFormat="false" ht="41.75" hidden="false" customHeight="false" outlineLevel="0" collapsed="false">
      <c r="A357" s="15" t="s">
        <v>203</v>
      </c>
      <c r="B357" s="15" t="s">
        <v>1470</v>
      </c>
      <c r="C357" s="16" t="s">
        <v>1471</v>
      </c>
      <c r="D357" s="17" t="n">
        <f aca="false">IF(W357&gt;0,ROUND(AVERAGEIFS('Shortlisted Drugs X Company (7)'!$N$3:$N$698,'Shortlisted Drugs X Company (7)'!$C$3:$C$698,$B357,'Shortlisted Drugs X Company (7)'!$E$3:$E$698,$S357,'Shortlisted Drugs X Company (7)'!$N$3:$N$698,"&gt;5"),2),"")</f>
        <v>7.58</v>
      </c>
      <c r="E357" s="15" t="str">
        <f aca="false">IF(COUNTIFS('Shortlisted Drugs X Company (7)'!$C$3:$C$698,$B357,'Shortlisted Drugs X Company (7)'!$E$3:$E$698,$S357,'Shortlisted Drugs X Company (7)'!$P$3:$P$698,"Exact")&gt;0,"Exact",IF(COUNTIFS('Shortlisted Drugs X Company (7)'!$C$3:$C$698,$B357,'Shortlisted Drugs X Company (7)'!$E$3:$E$698,$S357,'Shortlisted Drugs X Company (7)'!$P$3:$P$698,"Same-market proxy")&gt;0,"Same-market proxy",IF(COUNTIFS('Shortlisted Drugs X Company (7)'!$C$3:$C$698,$B357,'Shortlisted Drugs X Company (7)'!$E$3:$E$698,$S357,'Shortlisted Drugs X Company (7)'!$P$3:$P$698,"Cross-market proxy")&gt;0,"Cross-market proxy",IF(COUNTIFS('Shortlisted Drugs X Company (7)'!$C$3:$C$698,$B357,'Shortlisted Drugs X Company (7)'!$E$3:$E$698,$S357,'Shortlisted Drugs X Company (7)'!$P$3:$P$698,"Source not found")&gt;0,"Source not found","Not priced"))))</f>
        <v>Exact</v>
      </c>
      <c r="F357" s="18" t="n">
        <f aca="false">IFERROR(ROUND(INDEX('Injectable Value'!$AA$28:$AA$178,MATCH(B357,'Injectable Value'!$A$28:$A$178,0)),1),"")</f>
        <v>11957.9</v>
      </c>
      <c r="G357" s="16" t="s">
        <v>70</v>
      </c>
      <c r="H357" s="14" t="n">
        <v>1</v>
      </c>
      <c r="I357" s="15" t="s">
        <v>248</v>
      </c>
      <c r="J357" s="15" t="s">
        <v>249</v>
      </c>
      <c r="K357" s="16" t="str">
        <f aca="false">""&amp;IF(V357=0,"Unpriced","")&amp;IF(AND(V357&gt;0,W357=0,X357=0),"Low price from another market – confirm with company","")</f>
        <v/>
      </c>
      <c r="L357" s="18" t="n">
        <f aca="false">IFERROR(INDEX('Shortlisted Drugs X Company (7)'!$K$3:$K$698,MATCH(B357,'Shortlisted Drugs X Company (7)'!$C$3:$C$698,0)),"")</f>
        <v>565</v>
      </c>
      <c r="M357" s="18" t="n">
        <f aca="false">IFERROR(ROUND(L357*INDEX('Injectable Value'!$Z$28:$Z$178,MATCH(B357,'Injectable Value'!$A$28:$A$178,0)),0),"")</f>
        <v>537</v>
      </c>
      <c r="N357" s="18" t="n">
        <f aca="false">IFERROR(INDEX('Shortlisted Drugs X Company (7)'!$L$3:$L$698,MATCH(B357,'Shortlisted Drugs X Company (7)'!$C$3:$C$698,0)),"")</f>
        <v>12587.3</v>
      </c>
      <c r="O357" s="15" t="str">
        <f aca="false">IF(AE357="No","IV only (not ID/IM/SC)",IF(AND(V357&gt;0,W357=0),"Price ≤ $5",""))</f>
        <v>IV only (not ID/IM/SC)</v>
      </c>
      <c r="P357" s="14" t="str">
        <f aca="false">IF(O357&lt;&gt;"","",COUNTIFS($A$29:$A$361,A357,$O$29:$O$361,"",$AC$29:$AC$361,"&gt;"&amp;AC357)+COUNTIFS($A$29:A357,A357,$O$29:O357,"",$AC$29:AC357,AC357))</f>
        <v/>
      </c>
      <c r="Q357" s="15" t="str">
        <f aca="false">IF(O357&lt;&gt;"",IF(O357="Price ≤ $5","Excluded – price ≤ $5","Excluded – IV only"),IF(ISNUMBER(D357),IF(AND(D357&gt;=$C$3,M357&gt;=$E$3),"Priority 1",IF(OR(D357&gt;=$C$3,M357&gt;=$E$3),"Priority 2","Priority 3")),IF(M357&gt;=$E$3,"Priority 2","Priority 3")))</f>
        <v>Excluded – IV only</v>
      </c>
      <c r="R357" s="16" t="s">
        <v>285</v>
      </c>
      <c r="S357" s="15" t="s">
        <v>1445</v>
      </c>
      <c r="T357" s="32" t="s">
        <v>1171</v>
      </c>
      <c r="U357" s="33" t="str">
        <f aca="false">B357&amp;"|"&amp;S357</f>
        <v>Iron Sucrose|Zydus Lifesciences</v>
      </c>
      <c r="V357" s="34" t="n">
        <f aca="false">COUNTIFS('Shortlisted Drugs X Company (7)'!$C$3:$C$698,$B357,'Shortlisted Drugs X Company (7)'!$E$3:$E$698,$S357,'Shortlisted Drugs X Company (7)'!$N$3:$N$698,"&gt;=0")</f>
        <v>1</v>
      </c>
      <c r="W357" s="34" t="n">
        <f aca="false">COUNTIFS('Shortlisted Drugs X Company (7)'!$C$3:$C$698,$B357,'Shortlisted Drugs X Company (7)'!$E$3:$E$698,$S357,'Shortlisted Drugs X Company (7)'!$N$3:$N$698,"&gt;5")</f>
        <v>1</v>
      </c>
      <c r="X357" s="34" t="n">
        <f aca="false">COUNTIFS('Shortlisted Drugs X Company (7)'!$C$3:$C$698,$B357,'Shortlisted Drugs X Company (7)'!$E$3:$E$698,$S357,'Shortlisted Drugs X Company (7)'!$P$3:$P$698,"Exact")+COUNTIFS('Shortlisted Drugs X Company (7)'!$C$3:$C$698,$B357,'Shortlisted Drugs X Company (7)'!$E$3:$E$698,$S357,'Shortlisted Drugs X Company (7)'!$P$3:$P$698,"Same-market proxy")</f>
        <v>1</v>
      </c>
      <c r="Y357" s="33" t="str">
        <f aca="false">A357&amp;"|"&amp;P357</f>
        <v>Zydus|</v>
      </c>
      <c r="Z357" s="16" t="s">
        <v>1172</v>
      </c>
      <c r="AA357" s="33" t="n">
        <f aca="false">INDEX($G$7:$G$25,MATCH(A357,$A$7:$A$25,0))</f>
        <v>8</v>
      </c>
      <c r="AB357" s="33" t="str">
        <f aca="false">IF(AE357="No","",AA357*1000+IF(P357="",900+COUNTIFS($A$29:A357,A357,$O$29:O357,"Price ≤ $5"),P357))</f>
        <v/>
      </c>
      <c r="AC357" s="33" t="str">
        <f aca="false">IF(O357&lt;&gt;"","",(4-VALUE(RIGHT(Q357,1)))*10^7+N(F357))</f>
        <v/>
      </c>
      <c r="AD357" s="15" t="str">
        <f aca="false">IFERROR(INDEX('Route of Administration'!$C$5:$C$155,MATCH(B357,'Route of Administration'!$A$5:$A$155,0)),"")</f>
        <v>IV</v>
      </c>
      <c r="AE357" s="14" t="str">
        <f aca="false">IFERROR(INDEX('Route of Administration'!$D$5:$D$155,MATCH(B357,'Route of Administration'!$A$5:$A$155,0)),"")</f>
        <v>No</v>
      </c>
      <c r="AF357" s="19" t="n">
        <f aca="false">IF(V357&gt;0,ROUND(AVERAGEIFS('Shortlisted Drugs X Company (7)'!$N$3:$N$698,'Shortlisted Drugs X Company (7)'!$C$3:$C$698,$B357,'Shortlisted Drugs X Company (7)'!$E$3:$E$698,$S357,'Shortlisted Drugs X Company (7)'!$N$3:$N$698,"&gt;=0"),2),"")</f>
        <v>7.58</v>
      </c>
      <c r="AG357" s="16" t="s">
        <v>1472</v>
      </c>
      <c r="AH357" s="16" t="s">
        <v>328</v>
      </c>
      <c r="AI357" s="16" t="s">
        <v>328</v>
      </c>
      <c r="AJ357" s="16" t="str">
        <f aca="false">IF(O357&lt;&gt;"","",IF(ISNUMBER(D357),IF(D357&gt;=$C$3,"High price","Lower price"),"Unpriced")&amp;" · "&amp;IF(M357&gt;=$E$3,"high volume","lower volume"))</f>
        <v/>
      </c>
      <c r="AK357" s="15" t="str">
        <f aca="false">IF(O357&lt;&gt;"",IF(O357="Price ≤ $5","Excluded – price ≤ $5","Excluded – IV only"),IF(ISNUMBER(D357),IF(AND(D357&gt;=$C$3,L357&gt;=$H$3),"Priority 1",IF(OR(D357&gt;=$C$3,L357&gt;=$H$3),"Priority 2","Priority 3")),IF(L357&gt;=$H$3,"Priority 2","Priority 3")))</f>
        <v>Excluded – IV only</v>
      </c>
      <c r="AL357" s="16" t="str">
        <f aca="false">IF(O357&lt;&gt;"","",IF(ISNUMBER(D357),IF(D357&gt;=$C$3,"High price","Lower price"),"Unpriced")&amp;" · "&amp;IF(L357&gt;=$H$3,"high volume","lower volume"))</f>
        <v/>
      </c>
      <c r="AM357" s="14" t="str">
        <f aca="false">IF(O357&lt;&gt;"","",COUNTIFS($A$29:$A$361,A357,$O$29:$O$361,"",$AQ$29:$AQ$361,"&gt;"&amp;AQ357)+COUNTIFS($A$29:A357,A357,$O$29:O357,"",$AQ$29:AQ357,AQ357))</f>
        <v/>
      </c>
      <c r="AN357" s="33" t="str">
        <f aca="false">IF(AND(O357="",ISNUMBER(D357)),D357,"")</f>
        <v/>
      </c>
      <c r="AO357" s="33" t="str">
        <f aca="false">IF(O357="",M357,"")</f>
        <v/>
      </c>
      <c r="AP357" s="33" t="str">
        <f aca="false">IF(O357="",L357,"")</f>
        <v/>
      </c>
      <c r="AQ357" s="33" t="str">
        <f aca="false">IF(O357&lt;&gt;"","",(4-VALUE(RIGHT(AK357,1)))*10^7+N(N357))</f>
        <v/>
      </c>
      <c r="AR357" s="33" t="n">
        <f aca="false">INDEX($O$7:$O$25,MATCH(A357,$I$7:$I$25,0))</f>
        <v>7</v>
      </c>
      <c r="AS357" s="33" t="str">
        <f aca="false">IF(AE357="No","",AR357*1000+IF(AM357="",900+COUNTIFS($A$29:A357,A357,$O$29:O357,"Price ≤ $5"),AM357))</f>
        <v/>
      </c>
    </row>
    <row r="358" customFormat="false" ht="41.75" hidden="false" customHeight="false" outlineLevel="0" collapsed="false">
      <c r="A358" s="15" t="s">
        <v>203</v>
      </c>
      <c r="B358" s="15" t="s">
        <v>487</v>
      </c>
      <c r="C358" s="16" t="s">
        <v>488</v>
      </c>
      <c r="D358" s="17" t="n">
        <f aca="false">IF(W358&gt;0,ROUND(AVERAGEIFS('Shortlisted Drugs X Company (7)'!$N$3:$N$698,'Shortlisted Drugs X Company (7)'!$C$3:$C$698,$B358,'Shortlisted Drugs X Company (7)'!$E$3:$E$698,$S358,'Shortlisted Drugs X Company (7)'!$N$3:$N$698,"&gt;5"),2),"")</f>
        <v>6.29</v>
      </c>
      <c r="E358" s="15" t="str">
        <f aca="false">IF(COUNTIFS('Shortlisted Drugs X Company (7)'!$C$3:$C$698,$B358,'Shortlisted Drugs X Company (7)'!$E$3:$E$698,$S358,'Shortlisted Drugs X Company (7)'!$P$3:$P$698,"Exact")&gt;0,"Exact",IF(COUNTIFS('Shortlisted Drugs X Company (7)'!$C$3:$C$698,$B358,'Shortlisted Drugs X Company (7)'!$E$3:$E$698,$S358,'Shortlisted Drugs X Company (7)'!$P$3:$P$698,"Same-market proxy")&gt;0,"Same-market proxy",IF(COUNTIFS('Shortlisted Drugs X Company (7)'!$C$3:$C$698,$B358,'Shortlisted Drugs X Company (7)'!$E$3:$E$698,$S358,'Shortlisted Drugs X Company (7)'!$P$3:$P$698,"Cross-market proxy")&gt;0,"Cross-market proxy",IF(COUNTIFS('Shortlisted Drugs X Company (7)'!$C$3:$C$698,$B358,'Shortlisted Drugs X Company (7)'!$E$3:$E$698,$S358,'Shortlisted Drugs X Company (7)'!$P$3:$P$698,"Source not found")&gt;0,"Source not found","Not priced"))))</f>
        <v>Exact</v>
      </c>
      <c r="F358" s="18" t="n">
        <f aca="false">IFERROR(ROUND(INDEX('Injectable Value'!$AA$28:$AA$178,MATCH(B358,'Injectable Value'!$A$28:$A$178,0)),1),"")</f>
        <v>17590.5</v>
      </c>
      <c r="G358" s="16" t="s">
        <v>70</v>
      </c>
      <c r="H358" s="14" t="n">
        <v>1</v>
      </c>
      <c r="I358" s="15" t="s">
        <v>248</v>
      </c>
      <c r="J358" s="15" t="s">
        <v>277</v>
      </c>
      <c r="K358" s="16" t="str">
        <f aca="false">""&amp;IF(V358=0,"Unpriced","")&amp;IF(AND(V358&gt;0,W358=0,X358=0),"Low price from another market – confirm with company","")</f>
        <v/>
      </c>
      <c r="L358" s="18" t="n">
        <f aca="false">IFERROR(INDEX('Shortlisted Drugs X Company (7)'!$K$3:$K$698,MATCH(B358,'Shortlisted Drugs X Company (7)'!$C$3:$C$698,0)),"")</f>
        <v>2546</v>
      </c>
      <c r="M358" s="18" t="n">
        <f aca="false">IFERROR(ROUND(L358*INDEX('Injectable Value'!$Z$28:$Z$178,MATCH(B358,'Injectable Value'!$A$28:$A$178,0)),0),"")</f>
        <v>963</v>
      </c>
      <c r="N358" s="18" t="n">
        <f aca="false">IFERROR(INDEX('Shortlisted Drugs X Company (7)'!$L$3:$L$698,MATCH(B358,'Shortlisted Drugs X Company (7)'!$C$3:$C$698,0)),"")</f>
        <v>46507.62</v>
      </c>
      <c r="O358" s="15" t="str">
        <f aca="false">IF(AE358="No","IV only (not ID/IM/SC)",IF(AND(V358&gt;0,W358=0),"Price ≤ $5",""))</f>
        <v/>
      </c>
      <c r="P358" s="14" t="n">
        <f aca="false">IF(O358&lt;&gt;"","",COUNTIFS($A$29:$A$361,A358,$O$29:$O$361,"",$AC$29:$AC$361,"&gt;"&amp;AC358)+COUNTIFS($A$29:A358,A358,$O$29:O358,"",$AC$29:AC358,AC358))</f>
        <v>4</v>
      </c>
      <c r="Q358" s="15" t="str">
        <f aca="false">IF(O358&lt;&gt;"",IF(O358="Price ≤ $5","Excluded – price ≤ $5","Excluded – IV only"),IF(ISNUMBER(D358),IF(AND(D358&gt;=$C$3,M358&gt;=$E$3),"Priority 1",IF(OR(D358&gt;=$C$3,M358&gt;=$E$3),"Priority 2","Priority 3")),IF(M358&gt;=$E$3,"Priority 2","Priority 3")))</f>
        <v>Priority 2</v>
      </c>
      <c r="R358" s="16" t="s">
        <v>250</v>
      </c>
      <c r="S358" s="15" t="s">
        <v>1445</v>
      </c>
      <c r="T358" s="32" t="s">
        <v>490</v>
      </c>
      <c r="U358" s="33" t="str">
        <f aca="false">B358&amp;"|"&amp;S358</f>
        <v>Ondansetron|Zydus Lifesciences</v>
      </c>
      <c r="V358" s="34" t="n">
        <f aca="false">COUNTIFS('Shortlisted Drugs X Company (7)'!$C$3:$C$698,$B358,'Shortlisted Drugs X Company (7)'!$E$3:$E$698,$S358,'Shortlisted Drugs X Company (7)'!$N$3:$N$698,"&gt;=0")</f>
        <v>1</v>
      </c>
      <c r="W358" s="34" t="n">
        <f aca="false">COUNTIFS('Shortlisted Drugs X Company (7)'!$C$3:$C$698,$B358,'Shortlisted Drugs X Company (7)'!$E$3:$E$698,$S358,'Shortlisted Drugs X Company (7)'!$N$3:$N$698,"&gt;5")</f>
        <v>1</v>
      </c>
      <c r="X358" s="34" t="n">
        <f aca="false">COUNTIFS('Shortlisted Drugs X Company (7)'!$C$3:$C$698,$B358,'Shortlisted Drugs X Company (7)'!$E$3:$E$698,$S358,'Shortlisted Drugs X Company (7)'!$P$3:$P$698,"Exact")+COUNTIFS('Shortlisted Drugs X Company (7)'!$C$3:$C$698,$B358,'Shortlisted Drugs X Company (7)'!$E$3:$E$698,$S358,'Shortlisted Drugs X Company (7)'!$P$3:$P$698,"Same-market proxy")</f>
        <v>1</v>
      </c>
      <c r="Y358" s="33" t="str">
        <f aca="false">A358&amp;"|"&amp;P358</f>
        <v>Zydus|4</v>
      </c>
      <c r="Z358" s="16" t="s">
        <v>1473</v>
      </c>
      <c r="AA358" s="33" t="n">
        <f aca="false">INDEX($G$7:$G$25,MATCH(A358,$A$7:$A$25,0))</f>
        <v>8</v>
      </c>
      <c r="AB358" s="33" t="n">
        <f aca="false">IF(AE358="No","",AA358*1000+IF(P358="",900+COUNTIFS($A$29:A358,A358,$O$29:O358,"Price ≤ $5"),P358))</f>
        <v>8004</v>
      </c>
      <c r="AC358" s="33" t="n">
        <f aca="false">IF(O358&lt;&gt;"","",(4-VALUE(RIGHT(Q358,1)))*10^7+N(F358))</f>
        <v>20017590.5</v>
      </c>
      <c r="AD358" s="15" t="str">
        <f aca="false">IFERROR(INDEX('Route of Administration'!$C$5:$C$155,MATCH(B358,'Route of Administration'!$A$5:$A$155,0)),"")</f>
        <v>IV, IM</v>
      </c>
      <c r="AE358" s="14" t="str">
        <f aca="false">IFERROR(INDEX('Route of Administration'!$D$5:$D$155,MATCH(B358,'Route of Administration'!$A$5:$A$155,0)),"")</f>
        <v>Yes</v>
      </c>
      <c r="AF358" s="19" t="n">
        <f aca="false">IF(V358&gt;0,ROUND(AVERAGEIFS('Shortlisted Drugs X Company (7)'!$N$3:$N$698,'Shortlisted Drugs X Company (7)'!$C$3:$C$698,$B358,'Shortlisted Drugs X Company (7)'!$E$3:$E$698,$S358,'Shortlisted Drugs X Company (7)'!$N$3:$N$698,"&gt;=0"),2),"")</f>
        <v>6.29</v>
      </c>
      <c r="AG358" s="16" t="s">
        <v>1474</v>
      </c>
      <c r="AH358" s="16" t="s">
        <v>328</v>
      </c>
      <c r="AI358" s="16" t="s">
        <v>328</v>
      </c>
      <c r="AJ358" s="16" t="str">
        <f aca="false">IF(O358&lt;&gt;"","",IF(ISNUMBER(D358),IF(D358&gt;=$C$3,"High price","Lower price"),"Unpriced")&amp;" · "&amp;IF(M358&gt;=$E$3,"high volume","lower volume"))</f>
        <v>Lower price · high volume</v>
      </c>
      <c r="AK358" s="15" t="str">
        <f aca="false">IF(O358&lt;&gt;"",IF(O358="Price ≤ $5","Excluded – price ≤ $5","Excluded – IV only"),IF(ISNUMBER(D358),IF(AND(D358&gt;=$C$3,L358&gt;=$H$3),"Priority 1",IF(OR(D358&gt;=$C$3,L358&gt;=$H$3),"Priority 2","Priority 3")),IF(L358&gt;=$H$3,"Priority 2","Priority 3")))</f>
        <v>Priority 2</v>
      </c>
      <c r="AL358" s="16" t="str">
        <f aca="false">IF(O358&lt;&gt;"","",IF(ISNUMBER(D358),IF(D358&gt;=$C$3,"High price","Lower price"),"Unpriced")&amp;" · "&amp;IF(L358&gt;=$H$3,"high volume","lower volume"))</f>
        <v>Lower price · high volume</v>
      </c>
      <c r="AM358" s="14" t="n">
        <f aca="false">IF(O358&lt;&gt;"","",COUNTIFS($A$29:$A$361,A358,$O$29:$O$361,"",$AQ$29:$AQ$361,"&gt;"&amp;AQ358)+COUNTIFS($A$29:A358,A358,$O$29:O358,"",$AQ$29:AQ358,AQ358))</f>
        <v>4</v>
      </c>
      <c r="AN358" s="19" t="n">
        <f aca="false">IF(AND(O358="",ISNUMBER(D358)),D358,"")</f>
        <v>6.29</v>
      </c>
      <c r="AO358" s="20" t="n">
        <f aca="false">IF(O358="",M358,"")</f>
        <v>963</v>
      </c>
      <c r="AP358" s="20" t="n">
        <f aca="false">IF(O358="",L358,"")</f>
        <v>2546</v>
      </c>
      <c r="AQ358" s="33" t="n">
        <f aca="false">IF(O358&lt;&gt;"","",(4-VALUE(RIGHT(AK358,1)))*10^7+N(N358))</f>
        <v>20046507.62</v>
      </c>
      <c r="AR358" s="33" t="n">
        <f aca="false">INDEX($O$7:$O$25,MATCH(A358,$I$7:$I$25,0))</f>
        <v>7</v>
      </c>
      <c r="AS358" s="33" t="n">
        <f aca="false">IF(AE358="No","",AR358*1000+IF(AM358="",900+COUNTIFS($A$29:A358,A358,$O$29:O358,"Price ≤ $5"),AM358))</f>
        <v>7004</v>
      </c>
    </row>
    <row r="359" customFormat="false" ht="28.35" hidden="false" customHeight="false" outlineLevel="0" collapsed="false">
      <c r="A359" s="15" t="s">
        <v>203</v>
      </c>
      <c r="B359" s="15" t="s">
        <v>724</v>
      </c>
      <c r="C359" s="16" t="s">
        <v>725</v>
      </c>
      <c r="D359" s="17" t="n">
        <f aca="false">IF(W359&gt;0,ROUND(AVERAGEIFS('Shortlisted Drugs X Company (7)'!$N$3:$N$698,'Shortlisted Drugs X Company (7)'!$C$3:$C$698,$B359,'Shortlisted Drugs X Company (7)'!$E$3:$E$698,$S359,'Shortlisted Drugs X Company (7)'!$N$3:$N$698,"&gt;5"),2),"")</f>
        <v>5.03</v>
      </c>
      <c r="E359" s="15" t="str">
        <f aca="false">IF(COUNTIFS('Shortlisted Drugs X Company (7)'!$C$3:$C$698,$B359,'Shortlisted Drugs X Company (7)'!$E$3:$E$698,$S359,'Shortlisted Drugs X Company (7)'!$P$3:$P$698,"Exact")&gt;0,"Exact",IF(COUNTIFS('Shortlisted Drugs X Company (7)'!$C$3:$C$698,$B359,'Shortlisted Drugs X Company (7)'!$E$3:$E$698,$S359,'Shortlisted Drugs X Company (7)'!$P$3:$P$698,"Same-market proxy")&gt;0,"Same-market proxy",IF(COUNTIFS('Shortlisted Drugs X Company (7)'!$C$3:$C$698,$B359,'Shortlisted Drugs X Company (7)'!$E$3:$E$698,$S359,'Shortlisted Drugs X Company (7)'!$P$3:$P$698,"Cross-market proxy")&gt;0,"Cross-market proxy",IF(COUNTIFS('Shortlisted Drugs X Company (7)'!$C$3:$C$698,$B359,'Shortlisted Drugs X Company (7)'!$E$3:$E$698,$S359,'Shortlisted Drugs X Company (7)'!$P$3:$P$698,"Source not found")&gt;0,"Source not found","Not priced"))))</f>
        <v>Same-market proxy</v>
      </c>
      <c r="F359" s="18" t="n">
        <f aca="false">IFERROR(ROUND(INDEX('Injectable Value'!$AA$28:$AA$178,MATCH(B359,'Injectable Value'!$A$28:$A$178,0)),1),"")</f>
        <v>3067.4</v>
      </c>
      <c r="G359" s="16" t="s">
        <v>247</v>
      </c>
      <c r="H359" s="14" t="n">
        <v>1</v>
      </c>
      <c r="I359" s="15" t="s">
        <v>248</v>
      </c>
      <c r="J359" s="15" t="s">
        <v>249</v>
      </c>
      <c r="K359" s="16" t="str">
        <f aca="false">""&amp;IF(V359=0,"Unpriced","")&amp;IF(AND(V359&gt;0,W359=0,X359=0),"Low price from another market – confirm with company","")</f>
        <v/>
      </c>
      <c r="L359" s="18" t="n">
        <f aca="false">IFERROR(INDEX('Shortlisted Drugs X Company (7)'!$K$3:$K$698,MATCH(B359,'Shortlisted Drugs X Company (7)'!$C$3:$C$698,0)),"")</f>
        <v>286</v>
      </c>
      <c r="M359" s="18" t="n">
        <f aca="false">IFERROR(ROUND(L359*INDEX('Injectable Value'!$Z$28:$Z$178,MATCH(B359,'Injectable Value'!$A$28:$A$178,0)),0),"")</f>
        <v>286</v>
      </c>
      <c r="N359" s="18" t="n">
        <f aca="false">IFERROR(INDEX('Shortlisted Drugs X Company (7)'!$L$3:$L$698,MATCH(B359,'Shortlisted Drugs X Company (7)'!$C$3:$C$698,0)),"")</f>
        <v>3067.39</v>
      </c>
      <c r="O359" s="15" t="str">
        <f aca="false">IF(AE359="No","IV only (not ID/IM/SC)",IF(AND(V359&gt;0,W359=0),"Price ≤ $5",""))</f>
        <v/>
      </c>
      <c r="P359" s="14" t="n">
        <f aca="false">IF(O359&lt;&gt;"","",COUNTIFS($A$29:$A$361,A359,$O$29:$O$361,"",$AC$29:$AC$361,"&gt;"&amp;AC359)+COUNTIFS($A$29:A359,A359,$O$29:O359,"",$AC$29:AC359,AC359))</f>
        <v>6</v>
      </c>
      <c r="Q359" s="15" t="str">
        <f aca="false">IF(O359&lt;&gt;"",IF(O359="Price ≤ $5","Excluded – price ≤ $5","Excluded – IV only"),IF(ISNUMBER(D359),IF(AND(D359&gt;=$C$3,M359&gt;=$E$3),"Priority 1",IF(OR(D359&gt;=$C$3,M359&gt;=$E$3),"Priority 2","Priority 3")),IF(M359&gt;=$E$3,"Priority 2","Priority 3")))</f>
        <v>Priority 2</v>
      </c>
      <c r="R359" s="16" t="s">
        <v>250</v>
      </c>
      <c r="S359" s="15" t="s">
        <v>1445</v>
      </c>
      <c r="T359" s="32" t="s">
        <v>726</v>
      </c>
      <c r="U359" s="33" t="str">
        <f aca="false">B359&amp;"|"&amp;S359</f>
        <v>Succinylcholine (Suxamethonium)|Zydus Lifesciences</v>
      </c>
      <c r="V359" s="34" t="n">
        <f aca="false">COUNTIFS('Shortlisted Drugs X Company (7)'!$C$3:$C$698,$B359,'Shortlisted Drugs X Company (7)'!$E$3:$E$698,$S359,'Shortlisted Drugs X Company (7)'!$N$3:$N$698,"&gt;=0")</f>
        <v>1</v>
      </c>
      <c r="W359" s="34" t="n">
        <f aca="false">COUNTIFS('Shortlisted Drugs X Company (7)'!$C$3:$C$698,$B359,'Shortlisted Drugs X Company (7)'!$E$3:$E$698,$S359,'Shortlisted Drugs X Company (7)'!$N$3:$N$698,"&gt;5")</f>
        <v>1</v>
      </c>
      <c r="X359" s="34" t="n">
        <f aca="false">COUNTIFS('Shortlisted Drugs X Company (7)'!$C$3:$C$698,$B359,'Shortlisted Drugs X Company (7)'!$E$3:$E$698,$S359,'Shortlisted Drugs X Company (7)'!$P$3:$P$698,"Exact")+COUNTIFS('Shortlisted Drugs X Company (7)'!$C$3:$C$698,$B359,'Shortlisted Drugs X Company (7)'!$E$3:$E$698,$S359,'Shortlisted Drugs X Company (7)'!$P$3:$P$698,"Same-market proxy")</f>
        <v>1</v>
      </c>
      <c r="Y359" s="33" t="str">
        <f aca="false">A359&amp;"|"&amp;P359</f>
        <v>Zydus|6</v>
      </c>
      <c r="Z359" s="16" t="s">
        <v>727</v>
      </c>
      <c r="AA359" s="33" t="n">
        <f aca="false">INDEX($G$7:$G$25,MATCH(A359,$A$7:$A$25,0))</f>
        <v>8</v>
      </c>
      <c r="AB359" s="33" t="n">
        <f aca="false">IF(AE359="No","",AA359*1000+IF(P359="",900+COUNTIFS($A$29:A359,A359,$O$29:O359,"Price ≤ $5"),P359))</f>
        <v>8006</v>
      </c>
      <c r="AC359" s="33" t="n">
        <f aca="false">IF(O359&lt;&gt;"","",(4-VALUE(RIGHT(Q359,1)))*10^7+N(F359))</f>
        <v>20003067.4</v>
      </c>
      <c r="AD359" s="15" t="str">
        <f aca="false">IFERROR(INDEX('Route of Administration'!$C$5:$C$155,MATCH(B359,'Route of Administration'!$A$5:$A$155,0)),"")</f>
        <v>IV, IM</v>
      </c>
      <c r="AE359" s="14" t="str">
        <f aca="false">IFERROR(INDEX('Route of Administration'!$D$5:$D$155,MATCH(B359,'Route of Administration'!$A$5:$A$155,0)),"")</f>
        <v>Yes</v>
      </c>
      <c r="AF359" s="19" t="n">
        <f aca="false">IF(V359&gt;0,ROUND(AVERAGEIFS('Shortlisted Drugs X Company (7)'!$N$3:$N$698,'Shortlisted Drugs X Company (7)'!$C$3:$C$698,$B359,'Shortlisted Drugs X Company (7)'!$E$3:$E$698,$S359,'Shortlisted Drugs X Company (7)'!$N$3:$N$698,"&gt;=0"),2),"")</f>
        <v>5.03</v>
      </c>
      <c r="AG359" s="16" t="s">
        <v>728</v>
      </c>
      <c r="AH359" s="16" t="s">
        <v>247</v>
      </c>
      <c r="AI359" s="16" t="s">
        <v>247</v>
      </c>
      <c r="AJ359" s="16" t="str">
        <f aca="false">IF(O359&lt;&gt;"","",IF(ISNUMBER(D359),IF(D359&gt;=$C$3,"High price","Lower price"),"Unpriced")&amp;" · "&amp;IF(M359&gt;=$E$3,"high volume","lower volume"))</f>
        <v>Lower price · high volume</v>
      </c>
      <c r="AK359" s="15" t="str">
        <f aca="false">IF(O359&lt;&gt;"",IF(O359="Price ≤ $5","Excluded – price ≤ $5","Excluded – IV only"),IF(ISNUMBER(D359),IF(AND(D359&gt;=$C$3,L359&gt;=$H$3),"Priority 1",IF(OR(D359&gt;=$C$3,L359&gt;=$H$3),"Priority 2","Priority 3")),IF(L359&gt;=$H$3,"Priority 2","Priority 3")))</f>
        <v>Priority 2</v>
      </c>
      <c r="AL359" s="16" t="str">
        <f aca="false">IF(O359&lt;&gt;"","",IF(ISNUMBER(D359),IF(D359&gt;=$C$3,"High price","Lower price"),"Unpriced")&amp;" · "&amp;IF(L359&gt;=$H$3,"high volume","lower volume"))</f>
        <v>Lower price · high volume</v>
      </c>
      <c r="AM359" s="14" t="n">
        <f aca="false">IF(O359&lt;&gt;"","",COUNTIFS($A$29:$A$361,A359,$O$29:$O$361,"",$AQ$29:$AQ$361,"&gt;"&amp;AQ359)+COUNTIFS($A$29:A359,A359,$O$29:O359,"",$AQ$29:AQ359,AQ359))</f>
        <v>9</v>
      </c>
      <c r="AN359" s="19" t="n">
        <f aca="false">IF(AND(O359="",ISNUMBER(D359)),D359,"")</f>
        <v>5.03</v>
      </c>
      <c r="AO359" s="20" t="n">
        <f aca="false">IF(O359="",M359,"")</f>
        <v>286</v>
      </c>
      <c r="AP359" s="20" t="n">
        <f aca="false">IF(O359="",L359,"")</f>
        <v>286</v>
      </c>
      <c r="AQ359" s="33" t="n">
        <f aca="false">IF(O359&lt;&gt;"","",(4-VALUE(RIGHT(AK359,1)))*10^7+N(N359))</f>
        <v>20003067.39</v>
      </c>
      <c r="AR359" s="33" t="n">
        <f aca="false">INDEX($O$7:$O$25,MATCH(A359,$I$7:$I$25,0))</f>
        <v>7</v>
      </c>
      <c r="AS359" s="33" t="n">
        <f aca="false">IF(AE359="No","",AR359*1000+IF(AM359="",900+COUNTIFS($A$29:A359,A359,$O$29:O359,"Price ≤ $5"),AM359))</f>
        <v>7009</v>
      </c>
    </row>
    <row r="360" customFormat="false" ht="28.35" hidden="false" customHeight="false" outlineLevel="0" collapsed="false">
      <c r="A360" s="15" t="s">
        <v>203</v>
      </c>
      <c r="B360" s="15" t="s">
        <v>635</v>
      </c>
      <c r="C360" s="16" t="s">
        <v>636</v>
      </c>
      <c r="D360" s="17" t="n">
        <f aca="false">IF(W360&gt;0,ROUND(AVERAGEIFS('Shortlisted Drugs X Company (7)'!$N$3:$N$698,'Shortlisted Drugs X Company (7)'!$C$3:$C$698,$B360,'Shortlisted Drugs X Company (7)'!$E$3:$E$698,$S360,'Shortlisted Drugs X Company (7)'!$N$3:$N$698,"&gt;5"),2),"")</f>
        <v>35.03</v>
      </c>
      <c r="E360" s="15" t="str">
        <f aca="false">IF(COUNTIFS('Shortlisted Drugs X Company (7)'!$C$3:$C$698,$B360,'Shortlisted Drugs X Company (7)'!$E$3:$E$698,$S360,'Shortlisted Drugs X Company (7)'!$P$3:$P$698,"Exact")&gt;0,"Exact",IF(COUNTIFS('Shortlisted Drugs X Company (7)'!$C$3:$C$698,$B360,'Shortlisted Drugs X Company (7)'!$E$3:$E$698,$S360,'Shortlisted Drugs X Company (7)'!$P$3:$P$698,"Same-market proxy")&gt;0,"Same-market proxy",IF(COUNTIFS('Shortlisted Drugs X Company (7)'!$C$3:$C$698,$B360,'Shortlisted Drugs X Company (7)'!$E$3:$E$698,$S360,'Shortlisted Drugs X Company (7)'!$P$3:$P$698,"Cross-market proxy")&gt;0,"Cross-market proxy",IF(COUNTIFS('Shortlisted Drugs X Company (7)'!$C$3:$C$698,$B360,'Shortlisted Drugs X Company (7)'!$E$3:$E$698,$S360,'Shortlisted Drugs X Company (7)'!$P$3:$P$698,"Source not found")&gt;0,"Source not found","Not priced"))))</f>
        <v>Same-market proxy</v>
      </c>
      <c r="F360" s="18" t="n">
        <f aca="false">IFERROR(ROUND(INDEX('Injectable Value'!$AA$28:$AA$178,MATCH(B360,'Injectable Value'!$A$28:$A$178,0)),1),"")</f>
        <v>32830.2</v>
      </c>
      <c r="G360" s="16" t="s">
        <v>247</v>
      </c>
      <c r="H360" s="14" t="n">
        <v>1</v>
      </c>
      <c r="I360" s="15" t="s">
        <v>248</v>
      </c>
      <c r="J360" s="15" t="s">
        <v>249</v>
      </c>
      <c r="K360" s="16" t="str">
        <f aca="false">""&amp;IF(V360=0,"Unpriced","")&amp;IF(AND(V360&gt;0,W360=0,X360=0),"Low price from another market – confirm with company","")</f>
        <v/>
      </c>
      <c r="L360" s="18" t="n">
        <f aca="false">IFERROR(INDEX('Shortlisted Drugs X Company (7)'!$K$3:$K$698,MATCH(B360,'Shortlisted Drugs X Company (7)'!$C$3:$C$698,0)),"")</f>
        <v>346</v>
      </c>
      <c r="M360" s="18" t="n">
        <f aca="false">IFERROR(ROUND(L360*INDEX('Injectable Value'!$Z$28:$Z$178,MATCH(B360,'Injectable Value'!$A$28:$A$178,0)),0),"")</f>
        <v>346</v>
      </c>
      <c r="N360" s="18" t="n">
        <f aca="false">IFERROR(INDEX('Shortlisted Drugs X Company (7)'!$L$3:$L$698,MATCH(B360,'Shortlisted Drugs X Company (7)'!$C$3:$C$698,0)),"")</f>
        <v>32830.17</v>
      </c>
      <c r="O360" s="15" t="str">
        <f aca="false">IF(AE360="No","IV only (not ID/IM/SC)",IF(AND(V360&gt;0,W360=0),"Price ≤ $5",""))</f>
        <v>IV only (not ID/IM/SC)</v>
      </c>
      <c r="P360" s="14" t="str">
        <f aca="false">IF(O360&lt;&gt;"","",COUNTIFS($A$29:$A$361,A360,$O$29:$O$361,"",$AC$29:$AC$361,"&gt;"&amp;AC360)+COUNTIFS($A$29:A360,A360,$O$29:O360,"",$AC$29:AC360,AC360))</f>
        <v/>
      </c>
      <c r="Q360" s="15" t="str">
        <f aca="false">IF(O360&lt;&gt;"",IF(O360="Price ≤ $5","Excluded – price ≤ $5","Excluded – IV only"),IF(ISNUMBER(D360),IF(AND(D360&gt;=$C$3,M360&gt;=$E$3),"Priority 1",IF(OR(D360&gt;=$C$3,M360&gt;=$E$3),"Priority 2","Priority 3")),IF(M360&gt;=$E$3,"Priority 2","Priority 3")))</f>
        <v>Excluded – IV only</v>
      </c>
      <c r="R360" s="16" t="s">
        <v>250</v>
      </c>
      <c r="S360" s="15" t="s">
        <v>1445</v>
      </c>
      <c r="T360" s="32" t="s">
        <v>637</v>
      </c>
      <c r="U360" s="33" t="str">
        <f aca="false">B360&amp;"|"&amp;S360</f>
        <v>Sugammadex|Zydus Lifesciences</v>
      </c>
      <c r="V360" s="34" t="n">
        <f aca="false">COUNTIFS('Shortlisted Drugs X Company (7)'!$C$3:$C$698,$B360,'Shortlisted Drugs X Company (7)'!$E$3:$E$698,$S360,'Shortlisted Drugs X Company (7)'!$N$3:$N$698,"&gt;=0")</f>
        <v>2</v>
      </c>
      <c r="W360" s="34" t="n">
        <f aca="false">COUNTIFS('Shortlisted Drugs X Company (7)'!$C$3:$C$698,$B360,'Shortlisted Drugs X Company (7)'!$E$3:$E$698,$S360,'Shortlisted Drugs X Company (7)'!$N$3:$N$698,"&gt;5")</f>
        <v>2</v>
      </c>
      <c r="X360" s="34" t="n">
        <f aca="false">COUNTIFS('Shortlisted Drugs X Company (7)'!$C$3:$C$698,$B360,'Shortlisted Drugs X Company (7)'!$E$3:$E$698,$S360,'Shortlisted Drugs X Company (7)'!$P$3:$P$698,"Exact")+COUNTIFS('Shortlisted Drugs X Company (7)'!$C$3:$C$698,$B360,'Shortlisted Drugs X Company (7)'!$E$3:$E$698,$S360,'Shortlisted Drugs X Company (7)'!$P$3:$P$698,"Same-market proxy")</f>
        <v>2</v>
      </c>
      <c r="Y360" s="33" t="str">
        <f aca="false">A360&amp;"|"&amp;P360</f>
        <v>Zydus|</v>
      </c>
      <c r="Z360" s="16" t="s">
        <v>638</v>
      </c>
      <c r="AA360" s="33" t="n">
        <f aca="false">INDEX($G$7:$G$25,MATCH(A360,$A$7:$A$25,0))</f>
        <v>8</v>
      </c>
      <c r="AB360" s="33" t="str">
        <f aca="false">IF(AE360="No","",AA360*1000+IF(P360="",900+COUNTIFS($A$29:A360,A360,$O$29:O360,"Price ≤ $5"),P360))</f>
        <v/>
      </c>
      <c r="AC360" s="33" t="str">
        <f aca="false">IF(O360&lt;&gt;"","",(4-VALUE(RIGHT(Q360,1)))*10^7+N(F360))</f>
        <v/>
      </c>
      <c r="AD360" s="15" t="str">
        <f aca="false">IFERROR(INDEX('Route of Administration'!$C$5:$C$155,MATCH(B360,'Route of Administration'!$A$5:$A$155,0)),"")</f>
        <v>IV</v>
      </c>
      <c r="AE360" s="14" t="str">
        <f aca="false">IFERROR(INDEX('Route of Administration'!$D$5:$D$155,MATCH(B360,'Route of Administration'!$A$5:$A$155,0)),"")</f>
        <v>No</v>
      </c>
      <c r="AF360" s="19" t="n">
        <f aca="false">IF(V360&gt;0,ROUND(AVERAGEIFS('Shortlisted Drugs X Company (7)'!$N$3:$N$698,'Shortlisted Drugs X Company (7)'!$C$3:$C$698,$B360,'Shortlisted Drugs X Company (7)'!$E$3:$E$698,$S360,'Shortlisted Drugs X Company (7)'!$N$3:$N$698,"&gt;=0"),2),"")</f>
        <v>35.03</v>
      </c>
      <c r="AG360" s="16" t="s">
        <v>1475</v>
      </c>
      <c r="AH360" s="16" t="s">
        <v>247</v>
      </c>
      <c r="AI360" s="16" t="s">
        <v>247</v>
      </c>
      <c r="AJ360" s="16" t="str">
        <f aca="false">IF(O360&lt;&gt;"","",IF(ISNUMBER(D360),IF(D360&gt;=$C$3,"High price","Lower price"),"Unpriced")&amp;" · "&amp;IF(M360&gt;=$E$3,"high volume","lower volume"))</f>
        <v/>
      </c>
      <c r="AK360" s="15" t="str">
        <f aca="false">IF(O360&lt;&gt;"",IF(O360="Price ≤ $5","Excluded – price ≤ $5","Excluded – IV only"),IF(ISNUMBER(D360),IF(AND(D360&gt;=$C$3,L360&gt;=$H$3),"Priority 1",IF(OR(D360&gt;=$C$3,L360&gt;=$H$3),"Priority 2","Priority 3")),IF(L360&gt;=$H$3,"Priority 2","Priority 3")))</f>
        <v>Excluded – IV only</v>
      </c>
      <c r="AL360" s="16" t="str">
        <f aca="false">IF(O360&lt;&gt;"","",IF(ISNUMBER(D360),IF(D360&gt;=$C$3,"High price","Lower price"),"Unpriced")&amp;" · "&amp;IF(L360&gt;=$H$3,"high volume","lower volume"))</f>
        <v/>
      </c>
      <c r="AM360" s="14" t="str">
        <f aca="false">IF(O360&lt;&gt;"","",COUNTIFS($A$29:$A$361,A360,$O$29:$O$361,"",$AQ$29:$AQ$361,"&gt;"&amp;AQ360)+COUNTIFS($A$29:A360,A360,$O$29:O360,"",$AQ$29:AQ360,AQ360))</f>
        <v/>
      </c>
      <c r="AN360" s="33" t="str">
        <f aca="false">IF(AND(O360="",ISNUMBER(D360)),D360,"")</f>
        <v/>
      </c>
      <c r="AO360" s="33" t="str">
        <f aca="false">IF(O360="",M360,"")</f>
        <v/>
      </c>
      <c r="AP360" s="33" t="str">
        <f aca="false">IF(O360="",L360,"")</f>
        <v/>
      </c>
      <c r="AQ360" s="33" t="str">
        <f aca="false">IF(O360&lt;&gt;"","",(4-VALUE(RIGHT(AK360,1)))*10^7+N(N360))</f>
        <v/>
      </c>
      <c r="AR360" s="33" t="n">
        <f aca="false">INDEX($O$7:$O$25,MATCH(A360,$I$7:$I$25,0))</f>
        <v>7</v>
      </c>
      <c r="AS360" s="33" t="str">
        <f aca="false">IF(AE360="No","",AR360*1000+IF(AM360="",900+COUNTIFS($A$29:A360,A360,$O$29:O360,"Price ≤ $5"),AM360))</f>
        <v/>
      </c>
    </row>
    <row r="361" customFormat="false" ht="41.75" hidden="false" customHeight="false" outlineLevel="0" collapsed="false">
      <c r="A361" s="15" t="s">
        <v>203</v>
      </c>
      <c r="B361" s="15" t="s">
        <v>568</v>
      </c>
      <c r="C361" s="16" t="s">
        <v>569</v>
      </c>
      <c r="D361" s="17" t="str">
        <f aca="false">IF(W361&gt;0,ROUND(AVERAGEIFS('Shortlisted Drugs X Company (7)'!$N$3:$N$698,'Shortlisted Drugs X Company (7)'!$C$3:$C$698,$B361,'Shortlisted Drugs X Company (7)'!$E$3:$E$698,$S361,'Shortlisted Drugs X Company (7)'!$N$3:$N$698,"&gt;5"),2),"")</f>
        <v/>
      </c>
      <c r="E361" s="15" t="str">
        <f aca="false">IF(COUNTIFS('Shortlisted Drugs X Company (7)'!$C$3:$C$698,$B361,'Shortlisted Drugs X Company (7)'!$E$3:$E$698,$S361,'Shortlisted Drugs X Company (7)'!$P$3:$P$698,"Exact")&gt;0,"Exact",IF(COUNTIFS('Shortlisted Drugs X Company (7)'!$C$3:$C$698,$B361,'Shortlisted Drugs X Company (7)'!$E$3:$E$698,$S361,'Shortlisted Drugs X Company (7)'!$P$3:$P$698,"Same-market proxy")&gt;0,"Same-market proxy",IF(COUNTIFS('Shortlisted Drugs X Company (7)'!$C$3:$C$698,$B361,'Shortlisted Drugs X Company (7)'!$E$3:$E$698,$S361,'Shortlisted Drugs X Company (7)'!$P$3:$P$698,"Cross-market proxy")&gt;0,"Cross-market proxy",IF(COUNTIFS('Shortlisted Drugs X Company (7)'!$C$3:$C$698,$B361,'Shortlisted Drugs X Company (7)'!$E$3:$E$698,$S361,'Shortlisted Drugs X Company (7)'!$P$3:$P$698,"Source not found")&gt;0,"Source not found","Not priced"))))</f>
        <v>Same-market proxy</v>
      </c>
      <c r="F361" s="18" t="n">
        <f aca="false">IFERROR(ROUND(INDEX('Injectable Value'!$AA$28:$AA$178,MATCH(B361,'Injectable Value'!$A$28:$A$178,0)),1),"")</f>
        <v>2476.9</v>
      </c>
      <c r="G361" s="16" t="s">
        <v>247</v>
      </c>
      <c r="H361" s="14" t="n">
        <v>1</v>
      </c>
      <c r="I361" s="15" t="s">
        <v>248</v>
      </c>
      <c r="J361" s="15" t="s">
        <v>277</v>
      </c>
      <c r="K361" s="16" t="str">
        <f aca="false">""&amp;IF(V361=0,"Unpriced","")&amp;IF(AND(V361&gt;0,W361=0,X361=0),"Low price from another market – confirm with company","")</f>
        <v/>
      </c>
      <c r="L361" s="18" t="n">
        <f aca="false">IFERROR(INDEX('Shortlisted Drugs X Company (7)'!$K$3:$K$698,MATCH(B361,'Shortlisted Drugs X Company (7)'!$C$3:$C$698,0)),"")</f>
        <v>374</v>
      </c>
      <c r="M361" s="18" t="n">
        <f aca="false">IFERROR(ROUND(L361*INDEX('Injectable Value'!$Z$28:$Z$178,MATCH(B361,'Injectable Value'!$A$28:$A$178,0)),0),"")</f>
        <v>68</v>
      </c>
      <c r="N361" s="18" t="n">
        <f aca="false">IFERROR(INDEX('Shortlisted Drugs X Company (7)'!$L$3:$L$698,MATCH(B361,'Shortlisted Drugs X Company (7)'!$C$3:$C$698,0)),"")</f>
        <v>13615.47</v>
      </c>
      <c r="O361" s="15" t="str">
        <f aca="false">IF(AE361="No","IV only (not ID/IM/SC)",IF(AND(V361&gt;0,W361=0),"Price ≤ $5",""))</f>
        <v>IV only (not ID/IM/SC)</v>
      </c>
      <c r="P361" s="14" t="str">
        <f aca="false">IF(O361&lt;&gt;"","",COUNTIFS($A$29:$A$361,A361,$O$29:$O$361,"",$AC$29:$AC$361,"&gt;"&amp;AC361)+COUNTIFS($A$29:A361,A361,$O$29:O361,"",$AC$29:AC361,AC361))</f>
        <v/>
      </c>
      <c r="Q361" s="15" t="str">
        <f aca="false">IF(O361&lt;&gt;"",IF(O361="Price ≤ $5","Excluded – price ≤ $5","Excluded – IV only"),IF(ISNUMBER(D361),IF(AND(D361&gt;=$C$3,M361&gt;=$E$3),"Priority 1",IF(OR(D361&gt;=$C$3,M361&gt;=$E$3),"Priority 2","Priority 3")),IF(M361&gt;=$E$3,"Priority 2","Priority 3")))</f>
        <v>Excluded – IV only</v>
      </c>
      <c r="R361" s="16" t="s">
        <v>250</v>
      </c>
      <c r="S361" s="15" t="s">
        <v>1445</v>
      </c>
      <c r="T361" s="32" t="s">
        <v>570</v>
      </c>
      <c r="U361" s="33" t="str">
        <f aca="false">B361&amp;"|"&amp;S361</f>
        <v>Verapamil|Zydus Lifesciences</v>
      </c>
      <c r="V361" s="34" t="n">
        <f aca="false">COUNTIFS('Shortlisted Drugs X Company (7)'!$C$3:$C$698,$B361,'Shortlisted Drugs X Company (7)'!$E$3:$E$698,$S361,'Shortlisted Drugs X Company (7)'!$N$3:$N$698,"&gt;=0")</f>
        <v>1</v>
      </c>
      <c r="W361" s="34" t="n">
        <f aca="false">COUNTIFS('Shortlisted Drugs X Company (7)'!$C$3:$C$698,$B361,'Shortlisted Drugs X Company (7)'!$E$3:$E$698,$S361,'Shortlisted Drugs X Company (7)'!$N$3:$N$698,"&gt;5")</f>
        <v>0</v>
      </c>
      <c r="X361" s="34" t="n">
        <f aca="false">COUNTIFS('Shortlisted Drugs X Company (7)'!$C$3:$C$698,$B361,'Shortlisted Drugs X Company (7)'!$E$3:$E$698,$S361,'Shortlisted Drugs X Company (7)'!$P$3:$P$698,"Exact")+COUNTIFS('Shortlisted Drugs X Company (7)'!$C$3:$C$698,$B361,'Shortlisted Drugs X Company (7)'!$E$3:$E$698,$S361,'Shortlisted Drugs X Company (7)'!$P$3:$P$698,"Same-market proxy")</f>
        <v>1</v>
      </c>
      <c r="Y361" s="33" t="str">
        <f aca="false">A361&amp;"|"&amp;P361</f>
        <v>Zydus|</v>
      </c>
      <c r="Z361" s="16" t="s">
        <v>1476</v>
      </c>
      <c r="AA361" s="33" t="n">
        <f aca="false">INDEX($G$7:$G$25,MATCH(A361,$A$7:$A$25,0))</f>
        <v>8</v>
      </c>
      <c r="AB361" s="33" t="str">
        <f aca="false">IF(AE361="No","",AA361*1000+IF(P361="",900+COUNTIFS($A$29:A361,A361,$O$29:O361,"Price ≤ $5"),P361))</f>
        <v/>
      </c>
      <c r="AC361" s="33" t="str">
        <f aca="false">IF(O361&lt;&gt;"","",(4-VALUE(RIGHT(Q361,1)))*10^7+N(F361))</f>
        <v/>
      </c>
      <c r="AD361" s="15" t="str">
        <f aca="false">IFERROR(INDEX('Route of Administration'!$C$5:$C$155,MATCH(B361,'Route of Administration'!$A$5:$A$155,0)),"")</f>
        <v>IV</v>
      </c>
      <c r="AE361" s="14" t="str">
        <f aca="false">IFERROR(INDEX('Route of Administration'!$D$5:$D$155,MATCH(B361,'Route of Administration'!$A$5:$A$155,0)),"")</f>
        <v>No</v>
      </c>
      <c r="AF361" s="19" t="n">
        <f aca="false">IF(V361&gt;0,ROUND(AVERAGEIFS('Shortlisted Drugs X Company (7)'!$N$3:$N$698,'Shortlisted Drugs X Company (7)'!$C$3:$C$698,$B361,'Shortlisted Drugs X Company (7)'!$E$3:$E$698,$S361,'Shortlisted Drugs X Company (7)'!$N$3:$N$698,"&gt;=0"),2),"")</f>
        <v>2.67</v>
      </c>
      <c r="AG361" s="16" t="s">
        <v>572</v>
      </c>
      <c r="AH361" s="16" t="s">
        <v>247</v>
      </c>
      <c r="AI361" s="16" t="s">
        <v>247</v>
      </c>
      <c r="AJ361" s="16" t="str">
        <f aca="false">IF(O361&lt;&gt;"","",IF(ISNUMBER(D361),IF(D361&gt;=$C$3,"High price","Lower price"),"Unpriced")&amp;" · "&amp;IF(M361&gt;=$E$3,"high volume","lower volume"))</f>
        <v/>
      </c>
      <c r="AK361" s="15" t="str">
        <f aca="false">IF(O361&lt;&gt;"",IF(O361="Price ≤ $5","Excluded – price ≤ $5","Excluded – IV only"),IF(ISNUMBER(D361),IF(AND(D361&gt;=$C$3,L361&gt;=$H$3),"Priority 1",IF(OR(D361&gt;=$C$3,L361&gt;=$H$3),"Priority 2","Priority 3")),IF(L361&gt;=$H$3,"Priority 2","Priority 3")))</f>
        <v>Excluded – IV only</v>
      </c>
      <c r="AL361" s="16" t="str">
        <f aca="false">IF(O361&lt;&gt;"","",IF(ISNUMBER(D361),IF(D361&gt;=$C$3,"High price","Lower price"),"Unpriced")&amp;" · "&amp;IF(L361&gt;=$H$3,"high volume","lower volume"))</f>
        <v/>
      </c>
      <c r="AM361" s="14" t="str">
        <f aca="false">IF(O361&lt;&gt;"","",COUNTIFS($A$29:$A$361,A361,$O$29:$O$361,"",$AQ$29:$AQ$361,"&gt;"&amp;AQ361)+COUNTIFS($A$29:A361,A361,$O$29:O361,"",$AQ$29:AQ361,AQ361))</f>
        <v/>
      </c>
      <c r="AN361" s="33" t="str">
        <f aca="false">IF(AND(O361="",ISNUMBER(D361)),D361,"")</f>
        <v/>
      </c>
      <c r="AO361" s="33" t="str">
        <f aca="false">IF(O361="",M361,"")</f>
        <v/>
      </c>
      <c r="AP361" s="33" t="str">
        <f aca="false">IF(O361="",L361,"")</f>
        <v/>
      </c>
      <c r="AQ361" s="33" t="str">
        <f aca="false">IF(O361&lt;&gt;"","",(4-VALUE(RIGHT(AK361,1)))*10^7+N(N361))</f>
        <v/>
      </c>
      <c r="AR361" s="33" t="n">
        <f aca="false">INDEX($O$7:$O$25,MATCH(A361,$I$7:$I$25,0))</f>
        <v>7</v>
      </c>
      <c r="AS361" s="33" t="str">
        <f aca="false">IF(AE361="No","",AR361*1000+IF(AM361="",900+COUNTIFS($A$29:A361,A361,$O$29:O361,"Price ≤ $5"),AM361))</f>
        <v/>
      </c>
    </row>
    <row r="363" customFormat="false" ht="15" hidden="false" customHeight="false" outlineLevel="0" collapsed="false">
      <c r="A363" s="2" t="s">
        <v>1477</v>
      </c>
    </row>
  </sheetData>
  <autoFilter ref="A28:AS361"/>
  <conditionalFormatting sqref="A29:R361">
    <cfRule type="expression" priority="2" aboveAverage="0" equalAverage="0" bottom="0" percent="0" rank="0" text="" dxfId="7">
      <formula>$Q29="Priority 1"</formula>
    </cfRule>
  </conditionalFormatting>
  <conditionalFormatting sqref="A29:AS361">
    <cfRule type="expression" priority="3" aboveAverage="0" equalAverage="0" bottom="0" percent="0" rank="0" text="" dxfId="8">
      <formula>LEFT($Q29,8)="Excluded"</formula>
    </cfRule>
  </conditionalFormatting>
  <hyperlinks>
    <hyperlink ref="T29" r:id="rId1" display="https://dailymed.nlm.nih.gov/dailymed/search.cfm?labeltype=all&amp;query=carboprost"/>
    <hyperlink ref="T30" r:id="rId2" display="https://dailymed.nlm.nih.gov/dailymed/search.cfm?labeltype=all&amp;query=diazepam+injection"/>
    <hyperlink ref="T31" r:id="rId3" display="https://dailymed.nlm.nih.gov/dailymed/search.cfm?labeltype=all&amp;query=fulvestrant"/>
    <hyperlink ref="T32" r:id="rId4" display="https://dailymed.nlm.nih.gov/dailymed/search.cfm?labeltype=all&amp;query=methotrexate+injection"/>
    <hyperlink ref="T33" r:id="rId5" display="https://dailymed.nlm.nih.gov/dailymed/search.cfm?labeltype=all&amp;query=phytonadione"/>
    <hyperlink ref="T34" r:id="rId6" display="https://dailymed.nlm.nih.gov/dailymed/search.cfm?labeltype=all&amp;query=triamcinolone+acetonide+injectable+suspension"/>
    <hyperlink ref="T35" r:id="rId7" display="https://dailymed.nlm.nih.gov/dailymed/search.cfm?labeltype=all&amp;query=ampicillin"/>
    <hyperlink ref="T36" r:id="rId8" display="https://dailymed.nlm.nih.gov/dailymed/search.cfm?labeltype=all&amp;query=argatroban"/>
    <hyperlink ref="T37" r:id="rId9" display="https://dailymed.nlm.nih.gov/dailymed/search.cfm?labeltype=all&amp;query=azacitidine"/>
    <hyperlink ref="T38" r:id="rId10" display="https://dailymed.nlm.nih.gov/dailymed/search.cfm?labeltype=all&amp;query=bortezomib"/>
    <hyperlink ref="T39" r:id="rId11" display="https://dailymed.nlm.nih.gov/dailymed/search.cfm?labeltype=all&amp;query=bupivacaine"/>
    <hyperlink ref="T40" r:id="rId12" display="https://dailymed.nlm.nih.gov/dailymed/search.cfm?labeltype=all&amp;query=carboprost"/>
    <hyperlink ref="T41" r:id="rId13" display="https://dailymed.nlm.nih.gov/dailymed/search.cfm?labeltype=all&amp;query=cefepime"/>
    <hyperlink ref="T42" r:id="rId14" display="https://dailymed.nlm.nih.gov/dailymed/search.cfm?labeltype=all&amp;query=ceftazidime"/>
    <hyperlink ref="T43" r:id="rId15" display="https://dailymed.nlm.nih.gov/dailymed/search.cfm?labeltype=all&amp;query=ceftriaxone"/>
    <hyperlink ref="T44" r:id="rId16" display="https://dailymed.nlm.nih.gov/dailymed/search.cfm?labeltype=all&amp;query=chlorpromazine"/>
    <hyperlink ref="T45" r:id="rId17" display="https://dailymed.nlm.nih.gov/dailymed/search.cfm?labeltype=all&amp;query=cyclophosphamide"/>
    <hyperlink ref="T46" r:id="rId18" display="https://dailymed.nlm.nih.gov/dailymed/search.cfm?labeltype=all&amp;query=dactinomycin"/>
    <hyperlink ref="T47" r:id="rId19" display="https://dailymed.nlm.nih.gov/dailymed/search.cfm?labeltype=all&amp;query=daptomycin"/>
    <hyperlink ref="T48" r:id="rId20" display="https://dailymed.nlm.nih.gov/dailymed/search.cfm?labeltype=all&amp;query=doxorubicin"/>
    <hyperlink ref="T49" r:id="rId21" display="https://dailymed.nlm.nih.gov/dailymed/search.cfm?labeltype=all&amp;query=ephedrine+sulfate+injection"/>
    <hyperlink ref="T50" r:id="rId22" display="https://dailymed.nlm.nih.gov/dailymed/search.cfm?labeltype=all&amp;query=epirubicin"/>
    <hyperlink ref="T51" r:id="rId23" display="https://dailymed.nlm.nih.gov/dailymed/search.cfm?labeltype=all&amp;query=eptifibatide"/>
    <hyperlink ref="T52" r:id="rId24" display="https://dailymed.nlm.nih.gov/dailymed/search.cfm?labeltype=all&amp;query=ertapenem"/>
    <hyperlink ref="T53" r:id="rId25" display="https://dailymed.nlm.nih.gov/dailymed/search.cfm?labeltype=all&amp;query=esmolol"/>
    <hyperlink ref="T54" r:id="rId26" display="https://mhraproducts4853.blob.core.windows.net/docs/b81aa75bd80aa32a460d7fedc1706f40ed574da1"/>
    <hyperlink ref="T55" r:id="rId27" display="https://dailymed.nlm.nih.gov/dailymed/search.cfm?labeltype=all&amp;query=fluorouracil+injection"/>
    <hyperlink ref="T56" r:id="rId28" display="https://dailymed.nlm.nih.gov/dailymed/search.cfm?labeltype=all&amp;query=fluphenazine+decanoate"/>
    <hyperlink ref="T57" r:id="rId29" display="https://dailymed.nlm.nih.gov/dailymed/search.cfm?labeltype=all&amp;query=leucovorin+calcium+injection"/>
    <hyperlink ref="T58" r:id="rId30" display="https://dailymed.nlm.nih.gov/dailymed/search.cfm?labeltype=all&amp;query=fulvestrant"/>
    <hyperlink ref="T59" r:id="rId31" display="https://dailymed.nlm.nih.gov/dailymed/search.cfm?labeltype=all&amp;query=hydralazine+injection"/>
    <hyperlink ref="T60" r:id="rId32" display="https://dailymed.nlm.nih.gov/dailymed/search.cfm?labeltype=all&amp;query=ibandronate+injection"/>
    <hyperlink ref="T61" r:id="rId33" display="https://dailymed.nlm.nih.gov/dailymed/search.cfm?labeltype=all&amp;query=medroxyprogesterone+acetate+injectable"/>
    <hyperlink ref="T62" r:id="rId34" display="https://dailymed.nlm.nih.gov/dailymed/search.cfm?labeltype=all&amp;query=melphalan+hydrochloride"/>
    <hyperlink ref="T63" r:id="rId35" display="https://dailymed.nlm.nih.gov/dailymed/search.cfm?labeltype=all&amp;query=meropenem"/>
    <hyperlink ref="T64" r:id="rId36" display="https://dailymed.nlm.nih.gov/dailymed/search.cfm?labeltype=all&amp;query=mesna"/>
    <hyperlink ref="T65" r:id="rId37" display="https://dailymed.nlm.nih.gov/dailymed/search.cfm?labeltype=all&amp;query=methotrexate+injection"/>
    <hyperlink ref="T66" r:id="rId38" display="https://dailymed.nlm.nih.gov/dailymed/search.cfm?labeltype=all&amp;query=methylprednisolone+acetate"/>
    <hyperlink ref="T67" r:id="rId39" display="https://dailymed.nlm.nih.gov/dailymed/search.cfm?labeltype=all&amp;query=mitomycin"/>
    <hyperlink ref="T68" r:id="rId40" display="https://dailymed.nlm.nih.gov/dailymed/search.cfm?labeltype=all&amp;query=nafcillin"/>
    <hyperlink ref="T69" r:id="rId41" display="https://dailymed.nlm.nih.gov/dailymed/search.cfm?labeltype=all&amp;query=naloxone+hydrochloride+injection"/>
    <hyperlink ref="T70" r:id="rId42" display="https://dailymed.nlm.nih.gov/dailymed/search.cfm?labeltype=all&amp;query=ondansetron+injection"/>
    <hyperlink ref="T71" r:id="rId43" display="https://dailymed.nlm.nih.gov/dailymed/search.cfm?labeltype=all&amp;query=oxacillin"/>
    <hyperlink ref="T72" r:id="rId44" display="https://dailymed.nlm.nih.gov/dailymed/search.cfm?labeltype=all&amp;query=palonosetron"/>
    <hyperlink ref="T73" r:id="rId45" display="https://dailymed.nlm.nih.gov/dailymed/search.cfm?labeltype=all&amp;query=pantoprazole+sodium+for+injection"/>
    <hyperlink ref="T74" r:id="rId46" display="https://dailymed.nlm.nih.gov/dailymed/search.cfm?labeltype=all&amp;query=plerixafor"/>
    <hyperlink ref="T75" r:id="rId47" display="https://dailymed.nlm.nih.gov/dailymed/search.cfm?labeltype=all&amp;query=progesterone+injection"/>
    <hyperlink ref="T76" r:id="rId48" display="https://dailymed.nlm.nih.gov/dailymed/search.cfm?labeltype=all&amp;query=regadenoson"/>
    <hyperlink ref="T77" r:id="rId49" display="https://dailymed.nlm.nih.gov/dailymed/search.cfm?labeltype=all&amp;query=remifentanil"/>
    <hyperlink ref="T78" r:id="rId50" display="https://dailymed.nlm.nih.gov/dailymed/search.cfm?labeltype=all&amp;query=ropivacaine"/>
    <hyperlink ref="T79" r:id="rId51" display="https://dailymed.nlm.nih.gov/dailymed/search.cfm?labeltype=all&amp;query=sildenafil+injection"/>
    <hyperlink ref="T80" r:id="rId52" display="https://dailymed.nlm.nih.gov/dailymed/search.cfm?labeltype=all&amp;query=testosterone+cypionate"/>
    <hyperlink ref="T81" r:id="rId53" display="https://dailymed.nlm.nih.gov/dailymed/search.cfm?labeltype=all&amp;query=testosterone+enanthate"/>
    <hyperlink ref="T82" r:id="rId54" display="https://dailymed.nlm.nih.gov/dailymed/search.cfm?labeltype=all&amp;query=tirofiban"/>
    <hyperlink ref="T83" r:id="rId55" display="https://dailymed.nlm.nih.gov/dailymed/search.cfm?labeltype=all&amp;query=tranexamic+acid+injection"/>
    <hyperlink ref="T84" r:id="rId56" display="https://dailymed.nlm.nih.gov/dailymed/search.cfm?labeltype=all&amp;query=triamcinolone+acetonide+injectable+suspension"/>
    <hyperlink ref="T85" r:id="rId57" display="https://dailymed.nlm.nih.gov/dailymed/search.cfm?labeltype=all&amp;query=vecuronium"/>
    <hyperlink ref="T86" r:id="rId58" display="https://dailymed.nlm.nih.gov/dailymed/search.cfm?labeltype=all&amp;query=verapamil+hydrochloride+injection"/>
    <hyperlink ref="T87" r:id="rId59" display="https://dailymed.nlm.nih.gov/dailymed/search.cfm?labeltype=all&amp;query=vinorelbine"/>
    <hyperlink ref="T88" r:id="rId60" display="https://dailymed.nlm.nih.gov/dailymed/search.cfm?labeltype=all&amp;query=azacitidine"/>
    <hyperlink ref="T89" r:id="rId61" display="https://dailymed.nlm.nih.gov/dailymed/search.cfm?labeltype=all&amp;query=bleomycin"/>
    <hyperlink ref="T90" r:id="rId62" display="https://dailymed.nlm.nih.gov/dailymed/search.cfm?labeltype=all&amp;query=bortezomib"/>
    <hyperlink ref="T91" r:id="rId63" display="https://dailymed.nlm.nih.gov/dailymed/search.cfm?labeltype=all&amp;query=cefepime"/>
    <hyperlink ref="T92" r:id="rId64" display="https://dailymed.nlm.nih.gov/dailymed/search.cfm?labeltype=all&amp;query=daptomycin"/>
    <hyperlink ref="T93" r:id="rId65" display="https://dailymed.nlm.nih.gov/dailymed/search.cfm?labeltype=all&amp;query=doxorubicin"/>
    <hyperlink ref="T94" r:id="rId66" display="https://dailymed.nlm.nih.gov/dailymed/search.cfm?labeltype=all&amp;query=fulvestrant"/>
    <hyperlink ref="T95" r:id="rId67" display="https://dailymed.nlm.nih.gov/dailymed/search.cfm?labeltype=all&amp;query=hydrocortisone+sodium+succinate"/>
    <hyperlink ref="T96" r:id="rId68" display="https://dailymed.nlm.nih.gov/dailymed/search.cfm?labeltype=all&amp;query=isoproterenol"/>
    <hyperlink ref="T97" r:id="rId69" display="https://dailymed.nlm.nih.gov/dailymed/search.cfm?labeltype=all&amp;query=lanreotide"/>
    <hyperlink ref="T98" r:id="rId70" display="https://www.who.int/news-room/fact-sheets/detail/measles"/>
    <hyperlink ref="T99" r:id="rId71" display="https://dailymed.nlm.nih.gov/dailymed/search.cfm?labeltype=all&amp;query=medroxyprogesterone+acetate+injectable"/>
    <hyperlink ref="T100" r:id="rId72" display="https://dailymed.nlm.nih.gov/dailymed/search.cfm?labeltype=all&amp;query=palonosetron"/>
    <hyperlink ref="T101" r:id="rId73" display="https://dailymed.nlm.nih.gov/dailymed/search.cfm?labeltype=all&amp;query=phenylephrine+hydrochloride+injection"/>
    <hyperlink ref="T102" r:id="rId74" display="https://dailymed.nlm.nih.gov/dailymed/search.cfm?labeltype=all&amp;query=phytonadione"/>
    <hyperlink ref="T103" r:id="rId75" display="https://list.essentialmeds.org/?query=streptokinase"/>
    <hyperlink ref="T104" r:id="rId76" display="https://dailymed.nlm.nih.gov/dailymed/search.cfm?labeltype=all&amp;query=sugammadex"/>
    <hyperlink ref="T105" r:id="rId77" display="https://mhraproducts4853.blob.core.windows.net/docs/45a310f5c66d09f20d9d1eb3a5d48c17c486ac7b"/>
    <hyperlink ref="T106" r:id="rId78" display="https://dailymed.nlm.nih.gov/dailymed/search.cfm?labeltype=all&amp;query=testosterone+cypionate"/>
    <hyperlink ref="T107" r:id="rId79" display="https://dailymed.nlm.nih.gov/dailymed/search.cfm?labeltype=all&amp;query=testosterone+undecanoate"/>
    <hyperlink ref="T108" r:id="rId80" display="https://dailymed.nlm.nih.gov/dailymed/search.cfm?labeltype=all&amp;query=trastuzumab"/>
    <hyperlink ref="T109" r:id="rId81" display="https://dailymed.nlm.nih.gov/dailymed/search.cfm?labeltype=all&amp;query=vinblastine"/>
    <hyperlink ref="T110" r:id="rId82" display="https://dailymed.nlm.nih.gov/dailymed/search.cfm?labeltype=all&amp;query=vinorelbine"/>
    <hyperlink ref="T111" r:id="rId83" display="https://dailymed.nlm.nih.gov/dailymed/search.cfm?labeltype=all&amp;query=azacitidine"/>
    <hyperlink ref="T112" r:id="rId84" display="https://dailymed.nlm.nih.gov/dailymed/search.cfm?labeltype=all&amp;query=bivalirudin"/>
    <hyperlink ref="T113" r:id="rId85" display="https://dailymed.nlm.nih.gov/dailymed/search.cfm?labeltype=all&amp;query=bortezomib"/>
    <hyperlink ref="T114" r:id="rId86" display="https://dailymed.nlm.nih.gov/dailymed/search.cfm?labeltype=all&amp;query=carboprost"/>
    <hyperlink ref="T115" r:id="rId87" display="https://dailymed.nlm.nih.gov/dailymed/search.cfm?labeltype=all&amp;query=cyclophosphamide"/>
    <hyperlink ref="T116" r:id="rId88" display="https://dailymed.nlm.nih.gov/dailymed/search.cfm?labeltype=all&amp;query=daptomycin"/>
    <hyperlink ref="T117" r:id="rId89" display="https://dailymed.nlm.nih.gov/dailymed/search.cfm?labeltype=all&amp;query=desmopressin"/>
    <hyperlink ref="T118" r:id="rId90" display="https://dailymed.nlm.nih.gov/dailymed/search.cfm?labeltype=all&amp;query=diazepam+injection"/>
    <hyperlink ref="T119" r:id="rId91" display="https://dailymed.nlm.nih.gov/dailymed/search.cfm?labeltype=all&amp;query=ephedrine+sulfate+injection"/>
    <hyperlink ref="T120" r:id="rId92" display="https://dailymed.nlm.nih.gov/dailymed/search.cfm?labeltype=all&amp;query=eribulin"/>
    <hyperlink ref="T121" r:id="rId93" display="https://dailymed.nlm.nih.gov/dailymed/search.cfm?labeltype=all&amp;query=ertapenem"/>
    <hyperlink ref="T122" r:id="rId94" display="https://dailymed.nlm.nih.gov/dailymed/search.cfm?labeltype=all&amp;query=ferric+carboxymaltose"/>
    <hyperlink ref="T123" r:id="rId95" display="https://dailymed.nlm.nih.gov/dailymed/search.cfm?labeltype=all&amp;query=fulvestrant"/>
    <hyperlink ref="T124" r:id="rId96" display="https://dailymed.nlm.nih.gov/dailymed/search.cfm?labeltype=all&amp;query=ibandronate+injection"/>
    <hyperlink ref="T125" r:id="rId97" display="https://dailymed.nlm.nih.gov/dailymed/search.cfm?labeltype=all&amp;query=naloxone+hydrochloride+injection"/>
    <hyperlink ref="T126" r:id="rId98" display="https://dailymed.nlm.nih.gov/dailymed/search.cfm?labeltype=all&amp;query=neostigmine"/>
    <hyperlink ref="T127" r:id="rId99" display="https://dailymed.nlm.nih.gov/dailymed/search.cfm?labeltype=all&amp;query=palonosetron"/>
    <hyperlink ref="T128" r:id="rId100" display="https://dailymed.nlm.nih.gov/dailymed/search.cfm?labeltype=all&amp;query=phytonadione"/>
    <hyperlink ref="T129" r:id="rId101" display="https://dailymed.nlm.nih.gov/dailymed/search.cfm?labeltype=all&amp;query=plerixafor"/>
    <hyperlink ref="T130" r:id="rId102" display="https://dailymed.nlm.nih.gov/dailymed/search.cfm?labeltype=all&amp;query=regadenoson"/>
    <hyperlink ref="T131" r:id="rId103" display="https://dailymed.nlm.nih.gov/dailymed/search.cfm?labeltype=all&amp;query=succinylcholine"/>
    <hyperlink ref="T132" r:id="rId104" display="https://dailymed.nlm.nih.gov/dailymed/search.cfm?labeltype=all&amp;query=sugammadex"/>
    <hyperlink ref="T133" r:id="rId105" display="https://dailymed.nlm.nih.gov/dailymed/search.cfm?labeltype=all&amp;query=thiotepa"/>
    <hyperlink ref="T134" r:id="rId106" display="https://dailymed.nlm.nih.gov/dailymed/search.cfm?labeltype=all&amp;query=triamcinolone+acetonide+injectable+suspension"/>
    <hyperlink ref="T135" r:id="rId107" display="https://dailymed.nlm.nih.gov/dailymed/search.cfm?labeltype=all&amp;query=acetazolamide"/>
    <hyperlink ref="T136" r:id="rId108" display="https://dailymed.nlm.nih.gov/dailymed/search.cfm?labeltype=all&amp;query=amikacin"/>
    <hyperlink ref="T137" r:id="rId109" display="https://dailymed.nlm.nih.gov/dailymed/search.cfm?labeltype=all&amp;query=ampicillin"/>
    <hyperlink ref="T138" r:id="rId110" display="https://dailymed.nlm.nih.gov/dailymed/search.cfm?labeltype=all&amp;query=azacitidine"/>
    <hyperlink ref="T139" r:id="rId111" display="https://dailymed.nlm.nih.gov/dailymed/search.cfm?labeltype=all&amp;query=bortezomib"/>
    <hyperlink ref="T140" r:id="rId112" display="https://dailymed.nlm.nih.gov/dailymed/search.cfm?labeltype=all&amp;query=colistimethate"/>
    <hyperlink ref="T141" r:id="rId113" display="https://dailymed.nlm.nih.gov/dailymed/search.cfm?labeltype=all&amp;query=cyclophosphamide"/>
    <hyperlink ref="T142" r:id="rId114" display="https://dailymed.nlm.nih.gov/dailymed/search.cfm?labeltype=all&amp;query=daptomycin"/>
    <hyperlink ref="T143" r:id="rId115" display="https://dailymed.nlm.nih.gov/dailymed/search.cfm?labeltype=all&amp;query=eribulin"/>
    <hyperlink ref="T144" r:id="rId116" display="https://dailymed.nlm.nih.gov/dailymed/search.cfm?labeltype=all&amp;query=esomeprazole+sodium"/>
    <hyperlink ref="T145" r:id="rId117" display="https://dailymed.nlm.nih.gov/dailymed/search.cfm?labeltype=all&amp;query=isoproterenol"/>
    <hyperlink ref="T146" r:id="rId118" display="https://dailymed.nlm.nih.gov/dailymed/search.cfm?labeltype=all&amp;query=melphalan+hydrochloride"/>
    <hyperlink ref="T147" r:id="rId119" display="https://dailymed.nlm.nih.gov/dailymed/search.cfm?labeltype=all&amp;query=milrinone"/>
    <hyperlink ref="T148" r:id="rId120" display="https://dailymed.nlm.nih.gov/dailymed/search.cfm?labeltype=all&amp;query=neostigmine"/>
    <hyperlink ref="T149" r:id="rId121" display="https://dailymed.nlm.nih.gov/dailymed/search.cfm?labeltype=all&amp;query=ondansetron+injection"/>
    <hyperlink ref="T150" r:id="rId122" display="https://dailymed.nlm.nih.gov/dailymed/search.cfm?labeltype=all&amp;query=pantoprazole+sodium+for+injection"/>
    <hyperlink ref="T151" r:id="rId123" display="https://dailymed.nlm.nih.gov/dailymed/search.cfm?labeltype=all&amp;query=pentamidine"/>
    <hyperlink ref="T152" r:id="rId124" display="https://dailymed.nlm.nih.gov/dailymed/search.cfm?labeltype=all&amp;query=plerixafor"/>
    <hyperlink ref="T153" r:id="rId125" display="https://dailymed.nlm.nih.gov/dailymed/search.cfm?labeltype=all&amp;query=propofol"/>
    <hyperlink ref="T154" r:id="rId126" display="https://dailymed.nlm.nih.gov/dailymed/search.cfm?labeltype=all&amp;query=sugammadex"/>
    <hyperlink ref="T155" r:id="rId127" display="https://dailymed.nlm.nih.gov/dailymed/search.cfm?labeltype=all&amp;query=azacitidine"/>
    <hyperlink ref="T156" r:id="rId128" display="https://dailymed.nlm.nih.gov/dailymed/search.cfm?labeltype=all&amp;query=bortezomib"/>
    <hyperlink ref="T157" r:id="rId129" display="https://dailymed.nlm.nih.gov/dailymed/search.cfm?labeltype=all&amp;query=eribulin"/>
    <hyperlink ref="T158" r:id="rId130" display="https://dailymed.nlm.nih.gov/dailymed/search.cfm?labeltype=all&amp;query=fulvestrant"/>
    <hyperlink ref="T159" r:id="rId131" display="https://dailymed.nlm.nih.gov/dailymed/search.cfm?labeltype=all&amp;query=plerixafor"/>
    <hyperlink ref="T160" r:id="rId132" display="https://dailymed.nlm.nih.gov/dailymed/search.cfm?labeltype=all&amp;query=sugammadex"/>
    <hyperlink ref="T161" r:id="rId133" display="https://dailymed.nlm.nih.gov/dailymed/search.cfm?labeltype=all&amp;query=azacitidine"/>
    <hyperlink ref="T162" r:id="rId134" display="https://dailymed.nlm.nih.gov/dailymed/search.cfm?labeltype=all&amp;query=bortezomib"/>
    <hyperlink ref="T163" r:id="rId135" display="https://dailymed.nlm.nih.gov/dailymed/search.cfm?labeltype=all&amp;query=brivaracetam"/>
    <hyperlink ref="T164" r:id="rId136" display="https://dailymed.nlm.nih.gov/dailymed/search.cfm?labeltype=all&amp;query=chlorpromazine"/>
    <hyperlink ref="T165" r:id="rId137" display="https://dailymed.nlm.nih.gov/dailymed/search.cfm?labeltype=all&amp;query=cyanocobalamin+injection"/>
    <hyperlink ref="T166" r:id="rId138" display="https://dailymed.nlm.nih.gov/dailymed/search.cfm?labeltype=all&amp;query=daptomycin"/>
    <hyperlink ref="T167" r:id="rId139" display="https://dailymed.nlm.nih.gov/dailymed/search.cfm?labeltype=all&amp;query=glycopyrrolate+injection"/>
    <hyperlink ref="T168" r:id="rId140" display="https://dailymed.nlm.nih.gov/dailymed/search.cfm?labeltype=all&amp;query=isoproterenol"/>
    <hyperlink ref="T169" r:id="rId141" display="https://dailymed.nlm.nih.gov/dailymed/search.cfm?labeltype=all&amp;query=lidocaine+hydrochloride+injection"/>
    <hyperlink ref="T170" r:id="rId142" display="https://dailymed.nlm.nih.gov/dailymed/search.cfm?labeltype=all&amp;query=magnesium+sulfate+injection"/>
    <hyperlink ref="T171" r:id="rId143" display="https://dailymed.nlm.nih.gov/dailymed/search.cfm?labeltype=all&amp;query=melphalan+hydrochloride"/>
    <hyperlink ref="T172" r:id="rId144" display="https://dailymed.nlm.nih.gov/dailymed/search.cfm?labeltype=all&amp;query=methotrexate+injection"/>
    <hyperlink ref="T173" r:id="rId145" display="https://dailymed.nlm.nih.gov/dailymed/search.cfm?labeltype=all&amp;query=palonosetron"/>
    <hyperlink ref="T174" r:id="rId146" display="https://dailymed.nlm.nih.gov/dailymed/search.cfm?labeltype=all&amp;query=pantoprazole+sodium+for+injection"/>
    <hyperlink ref="T175" r:id="rId147" display="https://dailymed.nlm.nih.gov/dailymed/search.cfm?labeltype=all&amp;query=plerixafor"/>
    <hyperlink ref="T176" r:id="rId148" display="https://dailymed.nlm.nih.gov/dailymed/search.cfm?labeltype=all&amp;query=propofol"/>
    <hyperlink ref="T177" r:id="rId149" display="https://dailymed.nlm.nih.gov/dailymed/search.cfm?labeltype=all&amp;query=rocuronium"/>
    <hyperlink ref="T178" r:id="rId150" display="https://dailymed.nlm.nih.gov/dailymed/search.cfm?labeltype=all&amp;query=sodium+bicarbonate+injection"/>
    <hyperlink ref="T179" r:id="rId151" display="https://dailymed.nlm.nih.gov/dailymed/search.cfm?labeltype=all&amp;query=succinylcholine"/>
    <hyperlink ref="T180" r:id="rId152" display="https://dailymed.nlm.nih.gov/dailymed/search.cfm?labeltype=all&amp;query=sugammadex"/>
    <hyperlink ref="T181" r:id="rId153" display="https://mhraproducts4853.blob.core.windows.net/docs/45a310f5c66d09f20d9d1eb3a5d48c17c486ac7b"/>
    <hyperlink ref="T182" r:id="rId154" display="https://dailymed.nlm.nih.gov/dailymed/search.cfm?labeltype=all&amp;query=verapamil+hydrochloride+injection"/>
    <hyperlink ref="T183" r:id="rId155" display="https://dailymed.nlm.nih.gov/dailymed/search.cfm?labeltype=all&amp;query=amiodarone"/>
    <hyperlink ref="T184" r:id="rId156" display="https://mhraproducts4853.blob.core.windows.net/docs/dd5428de28a35789b58d7a7229157959b1e135fb"/>
    <hyperlink ref="T185" r:id="rId157" display="https://dailymed.nlm.nih.gov/dailymed/search.cfm?labeltype=all&amp;query=argatroban"/>
    <hyperlink ref="T186" r:id="rId158" display="https://mhraproducts4853.blob.core.windows.net/docs/924d70784a8c922753ed49a78a38c605f536521c"/>
    <hyperlink ref="T187" r:id="rId159" display="https://dailymed.nlm.nih.gov/dailymed/search.cfm?labeltype=all&amp;query=atropine"/>
    <hyperlink ref="T188" r:id="rId160" display="https://dailymed.nlm.nih.gov/dailymed/search.cfm?labeltype=all&amp;query=azacitidine"/>
    <hyperlink ref="T189" r:id="rId161" display="https://dailymed.nlm.nih.gov/dailymed/search.cfm?labeltype=all&amp;query=bivalirudin"/>
    <hyperlink ref="T190" r:id="rId162" display="https://dailymed.nlm.nih.gov/dailymed/search.cfm?labeltype=all&amp;query=bleomycin"/>
    <hyperlink ref="T191" r:id="rId163" display="https://dailymed.nlm.nih.gov/dailymed/search.cfm?labeltype=all&amp;query=bortezomib"/>
    <hyperlink ref="T192" r:id="rId164" display="https://dailymed.nlm.nih.gov/dailymed/search.cfm?labeltype=all&amp;query=cefepime"/>
    <hyperlink ref="T193" r:id="rId165" display="https://dailymed.nlm.nih.gov/dailymed/search.cfm?labeltype=all&amp;query=ceftriaxone"/>
    <hyperlink ref="T194" r:id="rId166" display="https://dailymed.nlm.nih.gov/dailymed/search.cfm?labeltype=all&amp;query=cisatracurium"/>
    <hyperlink ref="T195" r:id="rId167" display="https://dailymed.nlm.nih.gov/dailymed/search.cfm?labeltype=all&amp;query=colistimethate"/>
    <hyperlink ref="T196" r:id="rId168" display="https://dailymed.nlm.nih.gov/dailymed/search.cfm?labeltype=all&amp;query=cyclophosphamide"/>
    <hyperlink ref="T197" r:id="rId169" display="https://dailymed.nlm.nih.gov/dailymed/search.cfm?labeltype=all&amp;query=cytarabine"/>
    <hyperlink ref="T198" r:id="rId170" display="https://dailymed.nlm.nih.gov/dailymed/search.cfm?labeltype=all&amp;query=daptomycin"/>
    <hyperlink ref="T199" r:id="rId171" display="https://dailymed.nlm.nih.gov/dailymed/search.cfm?labeltype=all&amp;query=degarelix"/>
    <hyperlink ref="T200" r:id="rId172" display="https://dailymed.nlm.nih.gov/dailymed/search.cfm?labeltype=all&amp;query=denosumab"/>
    <hyperlink ref="T201" r:id="rId173" display="https://dailymed.nlm.nih.gov/dailymed/search.cfm?labeltype=all&amp;query=doxorubicin"/>
    <hyperlink ref="T202" r:id="rId174" display="https://dailymed.nlm.nih.gov/dailymed/search.cfm?labeltype=all&amp;query=epinephrine+injection"/>
    <hyperlink ref="T203" r:id="rId175" display="https://dailymed.nlm.nih.gov/dailymed/search.cfm?labeltype=all&amp;query=epirubicin"/>
    <hyperlink ref="T204" r:id="rId176" display="https://dailymed.nlm.nih.gov/dailymed/search.cfm?labeltype=all&amp;query=eptifibatide"/>
    <hyperlink ref="T205" r:id="rId177" display="https://dailymed.nlm.nih.gov/dailymed/search.cfm?labeltype=all&amp;query=eribulin"/>
    <hyperlink ref="T206" r:id="rId178" display="https://dailymed.nlm.nih.gov/dailymed/search.cfm?labeltype=all&amp;query=esomeprazole+sodium"/>
    <hyperlink ref="T207" r:id="rId179" display="https://mhraproducts4853.blob.core.windows.net/docs/b81aa75bd80aa32a460d7fedc1706f40ed574da1"/>
    <hyperlink ref="T208" r:id="rId180" display="https://dailymed.nlm.nih.gov/dailymed/search.cfm?labeltype=all&amp;query=fludarabine"/>
    <hyperlink ref="T209" r:id="rId181" display="https://dailymed.nlm.nih.gov/dailymed/search.cfm?labeltype=all&amp;query=fluorouracil+injection"/>
    <hyperlink ref="T210" r:id="rId182" display="https://dailymed.nlm.nih.gov/dailymed/search.cfm?labeltype=all&amp;query=fulvestrant"/>
    <hyperlink ref="T211" r:id="rId183" display="https://dailymed.nlm.nih.gov/dailymed/search.cfm?labeltype=all&amp;query=glycopyrrolate+injection"/>
    <hyperlink ref="T212" r:id="rId184" display="https://mhraproducts4853.blob.core.windows.net/docs/263d32f81753d60c17b4d841aa3115ebcf5eabd7"/>
    <hyperlink ref="T213" r:id="rId185" display="https://dailymed.nlm.nih.gov/dailymed/search.cfm?labeltype=all&amp;query=ibandronate+injection"/>
    <hyperlink ref="T214" r:id="rId186" display="https://dailymed.nlm.nih.gov/dailymed/search.cfm?labeltype=all&amp;query=idarubicin"/>
    <hyperlink ref="T215" r:id="rId187" display="https://dailymed.nlm.nih.gov/dailymed/search.cfm?labeltype=all&amp;query=leuprolide"/>
    <hyperlink ref="T216" r:id="rId188" display="https://dailymed.nlm.nih.gov/dailymed/search.cfm?labeltype=all&amp;query=lidocaine+hydrochloride+injection"/>
    <hyperlink ref="T217" r:id="rId189" display="https://dailymed.nlm.nih.gov/dailymed/search.cfm?labeltype=all&amp;query=melphalan+hydrochloride"/>
    <hyperlink ref="T218" r:id="rId190" display="https://dailymed.nlm.nih.gov/dailymed/search.cfm?labeltype=all&amp;query=methotrexate+injection"/>
    <hyperlink ref="T219" r:id="rId191" display="https://dailymed.nlm.nih.gov/dailymed/search.cfm?labeltype=all&amp;query=midazolam+injection"/>
    <hyperlink ref="T220" r:id="rId192" display="https://dailymed.nlm.nih.gov/dailymed/search.cfm?labeltype=all&amp;query=mitomycin"/>
    <hyperlink ref="T221" r:id="rId193" display="https://dailymed.nlm.nih.gov/dailymed/search.cfm?labeltype=all&amp;query=mitoxantrone"/>
    <hyperlink ref="T222" r:id="rId194" display="https://dailymed.nlm.nih.gov/dailymed/search.cfm?labeltype=all&amp;query=naloxone+hydrochloride+injection"/>
    <hyperlink ref="T223" r:id="rId195" display="https://dailymed.nlm.nih.gov/dailymed/search.cfm?labeltype=all&amp;query=ondansetron+injection"/>
    <hyperlink ref="T224" r:id="rId196" display="https://dailymed.nlm.nih.gov/dailymed/search.cfm?labeltype=all&amp;query=paclitaxel"/>
    <hyperlink ref="T225" r:id="rId197" display="https://dailymed.nlm.nih.gov/dailymed/search.cfm?labeltype=all&amp;query=palonosetron"/>
    <hyperlink ref="T226" r:id="rId198" display="https://dailymed.nlm.nih.gov/dailymed/search.cfm?labeltype=all&amp;query=pantoprazole+sodium+for+injection"/>
    <hyperlink ref="T227" r:id="rId199" display="https://dailymed.nlm.nih.gov/dailymed/search.cfm?labeltype=all&amp;query=paricalcitol+injection"/>
    <hyperlink ref="T228" r:id="rId200" display="https://dailymed.nlm.nih.gov/dailymed/search.cfm?labeltype=all&amp;query=pegfilgrastim"/>
    <hyperlink ref="T229" r:id="rId201" display="https://dailymed.nlm.nih.gov/dailymed/search.cfm?labeltype=all&amp;query=phenylephrine+hydrochloride+injection"/>
    <hyperlink ref="T230" r:id="rId202" display="https://dailymed.nlm.nih.gov/dailymed/search.cfm?labeltype=all&amp;query=phenytoin+sodium+injection"/>
    <hyperlink ref="T231" r:id="rId203" display="https://dailymed.nlm.nih.gov/dailymed/search.cfm?labeltype=all&amp;query=plerixafor"/>
    <hyperlink ref="T232" r:id="rId204" display="https://dailymed.nlm.nih.gov/dailymed/search.cfm?labeltype=all&amp;query=progesterone+injection"/>
    <hyperlink ref="T233" r:id="rId205" display="https://dailymed.nlm.nih.gov/dailymed/search.cfm?labeltype=all&amp;query=ranibizumab"/>
    <hyperlink ref="T234" r:id="rId206" display="https://dailymed.nlm.nih.gov/dailymed/search.cfm?labeltype=all&amp;query=regadenoson"/>
    <hyperlink ref="T235" r:id="rId207" display="https://dailymed.nlm.nih.gov/dailymed/search.cfm?labeltype=all&amp;query=rocuronium"/>
    <hyperlink ref="T236" r:id="rId208" display="https://dailymed.nlm.nih.gov/dailymed/search.cfm?labeltype=all&amp;query=succinylcholine"/>
    <hyperlink ref="T237" r:id="rId209" display="https://dailymed.nlm.nih.gov/dailymed/search.cfm?labeltype=all&amp;query=sugammadex"/>
    <hyperlink ref="T238" r:id="rId210" display="https://mhraproducts4853.blob.core.windows.net/docs/45a310f5c66d09f20d9d1eb3a5d48c17c486ac7b"/>
    <hyperlink ref="T239" r:id="rId211" display="https://dailymed.nlm.nih.gov/dailymed/search.cfm?labeltype=all&amp;query=tigecycline"/>
    <hyperlink ref="T240" r:id="rId212" display="https://dailymed.nlm.nih.gov/dailymed/search.cfm?labeltype=all&amp;query=ustekinumab"/>
    <hyperlink ref="T241" r:id="rId213" display="https://dailymed.nlm.nih.gov/dailymed/search.cfm?labeltype=all&amp;query=vincristine"/>
    <hyperlink ref="T242" r:id="rId214" display="https://dailymed.nlm.nih.gov/dailymed/search.cfm?labeltype=all&amp;query=vinorelbine"/>
    <hyperlink ref="T243" r:id="rId215" display="https://dailymed.nlm.nih.gov/dailymed/search.cfm?labeltype=all&amp;query=alfentanil"/>
    <hyperlink ref="T244" r:id="rId216" display="https://dailymed.nlm.nih.gov/dailymed/search.cfm?labeltype=all&amp;query=cefazolin"/>
    <hyperlink ref="T245" r:id="rId217" display="https://dailymed.nlm.nih.gov/dailymed/search.cfm?labeltype=all&amp;query=cisatracurium"/>
    <hyperlink ref="T246" r:id="rId218" display="https://dailymed.nlm.nih.gov/dailymed/search.cfm?labeltype=all&amp;query=daptomycin"/>
    <hyperlink ref="T247" r:id="rId219" display="https://dailymed.nlm.nih.gov/dailymed/search.cfm?labeltype=all&amp;query=diazepam+injection"/>
    <hyperlink ref="T248" r:id="rId220" display="https://dailymed.nlm.nih.gov/dailymed/search.cfm?labeltype=all&amp;query=droperidol"/>
    <hyperlink ref="T249" r:id="rId221" display="https://dailymed.nlm.nih.gov/dailymed/search.cfm?labeltype=all&amp;query=iron+sucrose"/>
    <hyperlink ref="T250" r:id="rId222" display="https://dailymed.nlm.nih.gov/dailymed/search.cfm?labeltype=all&amp;query=ephedrine+sulfate+injection"/>
    <hyperlink ref="T251" r:id="rId223" display="https://dailymed.nlm.nih.gov/dailymed/search.cfm?labeltype=all&amp;query=ertapenem"/>
    <hyperlink ref="T252" r:id="rId224" display="https://dailymed.nlm.nih.gov/dailymed/search.cfm?labeltype=all&amp;query=famotidine+injection"/>
    <hyperlink ref="T253" r:id="rId225" display="https://dailymed.nlm.nih.gov/dailymed/search.cfm?labeltype=all&amp;query=fentanyl+citrate+injection"/>
    <hyperlink ref="T254" r:id="rId226" display="https://dailymed.nlm.nih.gov/dailymed/search.cfm?labeltype=all&amp;query=meropenem"/>
    <hyperlink ref="T255" r:id="rId227" display="https://dailymed.nlm.nih.gov/dailymed/search.cfm?labeltype=all&amp;query=milrinone"/>
    <hyperlink ref="T256" r:id="rId228" display="https://dailymed.nlm.nih.gov/dailymed/search.cfm?labeltype=all&amp;query=olanzapine+for+injection"/>
    <hyperlink ref="T257" r:id="rId229" display="https://dailymed.nlm.nih.gov/dailymed/search.cfm?labeltype=all&amp;query=oxytocin"/>
    <hyperlink ref="T258" r:id="rId230" display="https://dailymed.nlm.nih.gov/dailymed/search.cfm?labeltype=all&amp;query=remifentanil"/>
    <hyperlink ref="T259" r:id="rId231" display="https://dailymed.nlm.nih.gov/dailymed/search.cfm?labeltype=all&amp;query=sugammadex"/>
    <hyperlink ref="T260" r:id="rId232" display="https://mhraproducts4853.blob.core.windows.net/docs/45a310f5c66d09f20d9d1eb3a5d48c17c486ac7b"/>
    <hyperlink ref="T261" r:id="rId233" display="https://dailymed.nlm.nih.gov/dailymed/search.cfm?labeltype=all&amp;query=testosterone+undecanoate"/>
    <hyperlink ref="T262" r:id="rId234" display="https://dailymed.nlm.nih.gov/dailymed/search.cfm?labeltype=all&amp;query=bortezomib"/>
    <hyperlink ref="T263" r:id="rId235" display="https://dailymed.nlm.nih.gov/dailymed/search.cfm?labeltype=all&amp;query=brivaracetam"/>
    <hyperlink ref="T264" r:id="rId236" display="https://dailymed.nlm.nih.gov/dailymed/search.cfm?labeltype=all&amp;query=chlorpromazine"/>
    <hyperlink ref="T265" r:id="rId237" display="https://dailymed.nlm.nih.gov/dailymed/search.cfm?labeltype=all&amp;query=fluphenazine+decanoate"/>
    <hyperlink ref="T266" r:id="rId238" display="https://dailymed.nlm.nih.gov/dailymed/search.cfm?labeltype=all&amp;query=gadobutrol"/>
    <hyperlink ref="T267" r:id="rId239" display="https://dailymed.nlm.nih.gov/dailymed/search.cfm?labeltype=all&amp;query=plerixafor"/>
    <hyperlink ref="T268" r:id="rId240" display="https://dailymed.nlm.nih.gov/dailymed/search.cfm?labeltype=all&amp;query=sugammadex"/>
    <hyperlink ref="T269" r:id="rId241" display="https://dailymed.nlm.nih.gov/dailymed/search.cfm?labeltype=all&amp;query=brivaracetam"/>
    <hyperlink ref="T270" r:id="rId242" display="https://dailymed.nlm.nih.gov/dailymed/search.cfm?labeltype=all&amp;query=caffeine+citrate"/>
    <hyperlink ref="T271" r:id="rId243" display="https://dailymed.nlm.nih.gov/dailymed/search.cfm?labeltype=all&amp;query=carboprost"/>
    <hyperlink ref="T272" r:id="rId244" display="https://mhraproducts4853.blob.core.windows.net/docs/925bc4c8a8d4a507b955b633951acf444692f0ea"/>
    <hyperlink ref="T273" r:id="rId245" display="https://dailymed.nlm.nih.gov/dailymed/search.cfm?labeltype=all&amp;query=diphenhydramine+injection"/>
    <hyperlink ref="T274" r:id="rId246" display="https://dailymed.nlm.nih.gov/dailymed/search.cfm?labeltype=all&amp;query=isoproterenol"/>
    <hyperlink ref="T275" r:id="rId247" display="https://dailymed.nlm.nih.gov/dailymed/search.cfm?labeltype=all&amp;query=levetiracetam+injection"/>
    <hyperlink ref="T276" r:id="rId248" display="https://dailymed.nlm.nih.gov/dailymed/search.cfm?labeltype=all&amp;query=lincomycin"/>
    <hyperlink ref="T277" r:id="rId249" display="https://dailymed.nlm.nih.gov/dailymed/search.cfm?labeltype=all&amp;query=succinylcholine"/>
    <hyperlink ref="T278" r:id="rId250" display="https://dailymed.nlm.nih.gov/dailymed/search.cfm?labeltype=all&amp;query=verapamil+hydrochloride+injection"/>
    <hyperlink ref="T279" r:id="rId251" display="https://dailymed.nlm.nih.gov/dailymed/search.cfm?labeltype=all&amp;query=bupivacaine"/>
    <hyperlink ref="T280" r:id="rId252" display="https://dailymed.nlm.nih.gov/dailymed/search.cfm?labeltype=all&amp;query=carboprost"/>
    <hyperlink ref="T281" r:id="rId253" display="https://dailymed.nlm.nih.gov/dailymed/search.cfm?labeltype=all&amp;query=meropenem"/>
    <hyperlink ref="T282" r:id="rId254" display="https://dailymed.nlm.nih.gov/dailymed/search.cfm?labeltype=all&amp;query=methohexital"/>
    <hyperlink ref="T283" r:id="rId255" display="https://dailymed.nlm.nih.gov/dailymed/search.cfm?labeltype=all&amp;query=nafcillin"/>
    <hyperlink ref="T284" r:id="rId256" display="https://dailymed.nlm.nih.gov/dailymed/search.cfm?labeltype=all&amp;query=alfentanil"/>
    <hyperlink ref="T285" r:id="rId257" display="https://dailymed.nlm.nih.gov/dailymed/search.cfm?labeltype=all&amp;query=baclofen"/>
    <hyperlink ref="T286" r:id="rId258" display="https://dailymed.nlm.nih.gov/dailymed/search.cfm?labeltype=all&amp;query=cisatracurium"/>
    <hyperlink ref="T287" r:id="rId259" display="https://dailymed.nlm.nih.gov/dailymed/search.cfm?labeltype=all&amp;query=etomidate"/>
    <hyperlink ref="T288" r:id="rId260" display="https://dailymed.nlm.nih.gov/dailymed/search.cfm?labeltype=all&amp;query=fentanyl+citrate+injection"/>
    <hyperlink ref="T289" r:id="rId261" display="https://dailymed.nlm.nih.gov/dailymed/search.cfm?labeltype=all&amp;query=remifentanil"/>
    <hyperlink ref="T290" r:id="rId262" display="https://dailymed.nlm.nih.gov/dailymed/search.cfm?labeltype=all&amp;query=sugammadex"/>
    <hyperlink ref="T291" r:id="rId263" display="https://dailymed.nlm.nih.gov/dailymed/search.cfm?labeltype=all&amp;query=cefepime"/>
    <hyperlink ref="T292" r:id="rId264" display="https://dailymed.nlm.nih.gov/dailymed/search.cfm?labeltype=all&amp;query=ceftazidime"/>
    <hyperlink ref="T293" r:id="rId265" display="https://dailymed.nlm.nih.gov/dailymed/search.cfm?labeltype=all&amp;query=hydrocortisone+sodium+succinate"/>
    <hyperlink ref="T294" r:id="rId266" display="https://dailymed.nlm.nih.gov/dailymed/search.cfm?labeltype=all&amp;query=meropenem"/>
    <hyperlink ref="T295" r:id="rId267" display="https://dailymed.nlm.nih.gov/dailymed/search.cfm?labeltype=all&amp;query=piperacillin+and+tazobactam"/>
    <hyperlink ref="T296" r:id="rId268" display="https://dailymed.nlm.nih.gov/dailymed/search.cfm?labeltype=all&amp;query=aripiprazole"/>
    <hyperlink ref="T297" r:id="rId269" display="https://dailymed.nlm.nih.gov/dailymed/search.cfm?labeltype=all&amp;query=bortezomib"/>
    <hyperlink ref="T298" r:id="rId270" display="https://dailymed.nlm.nih.gov/dailymed/search.cfm?labeltype=all&amp;query=chlorothiazide"/>
    <hyperlink ref="T299" r:id="rId271" display="https://dailymed.nlm.nih.gov/dailymed/search.cfm?labeltype=all&amp;query=doxorubicin"/>
    <hyperlink ref="T300" r:id="rId272" display="https://dailymed.nlm.nih.gov/dailymed/search.cfm?labeltype=all&amp;query=esomeprazole+sodium"/>
    <hyperlink ref="T301" r:id="rId273" display="https://dailymed.nlm.nih.gov/dailymed/search.cfm?labeltype=all&amp;query=fulvestrant"/>
    <hyperlink ref="T302" r:id="rId274" display="https://dailymed.nlm.nih.gov/dailymed/search.cfm?labeltype=all&amp;query=melphalan+hydrochloride"/>
    <hyperlink ref="T303" r:id="rId275" display="https://dailymed.nlm.nih.gov/dailymed/search.cfm?labeltype=all&amp;query=meropenem"/>
    <hyperlink ref="T304" r:id="rId276" display="https://dailymed.nlm.nih.gov/dailymed/search.cfm?labeltype=all&amp;query=octreotide"/>
    <hyperlink ref="T305" r:id="rId277" display="https://dailymed.nlm.nih.gov/dailymed/search.cfm?labeltype=all&amp;query=pantoprazole+sodium+for+injection"/>
    <hyperlink ref="T306" r:id="rId278" display="https://dailymed.nlm.nih.gov/dailymed/search.cfm?labeltype=all&amp;query=paricalcitol+injection"/>
    <hyperlink ref="T307" r:id="rId279" display="https://dailymed.nlm.nih.gov/dailymed/search.cfm?labeltype=all&amp;query=sugammadex"/>
    <hyperlink ref="T308" r:id="rId280" display="https://mhraproducts4853.blob.core.windows.net/docs/45a310f5c66d09f20d9d1eb3a5d48c17c486ac7b"/>
    <hyperlink ref="T309" r:id="rId281" display="https://dailymed.nlm.nih.gov/dailymed/search.cfm?labeltype=all&amp;query=terlipressin"/>
    <hyperlink ref="T310" r:id="rId282" display="https://dailymed.nlm.nih.gov/dailymed/search.cfm?labeltype=all&amp;query=testosterone+cypionate"/>
    <hyperlink ref="T311" r:id="rId283" display="https://dailymed.nlm.nih.gov/dailymed/search.cfm?labeltype=all&amp;query=testosterone+undecanoate"/>
    <hyperlink ref="T312" r:id="rId284" display="https://dailymed.nlm.nih.gov/dailymed/search.cfm?labeltype=all&amp;query=vecuronium"/>
    <hyperlink ref="T313" r:id="rId285" display="https://dailymed.nlm.nih.gov/dailymed/search.cfm?labeltype=all&amp;query=fulvestrant"/>
    <hyperlink ref="T314" r:id="rId286" display="https://dailymed.nlm.nih.gov/dailymed/search.cfm?labeltype=all&amp;query=granisetron"/>
    <hyperlink ref="T315" r:id="rId287" display="https://dailymed.nlm.nih.gov/dailymed/search.cfm?labeltype=all&amp;query=levetiracetam+injection"/>
    <hyperlink ref="T316" r:id="rId288" display="https://dailymed.nlm.nih.gov/dailymed/search.cfm?labeltype=all&amp;query=meropenem"/>
    <hyperlink ref="T317" r:id="rId289" display="https://dailymed.nlm.nih.gov/dailymed/search.cfm?labeltype=all&amp;query=paliperidone+palmitate"/>
    <hyperlink ref="T318" r:id="rId290" display="https://dailymed.nlm.nih.gov/dailymed/search.cfm?labeltype=all&amp;query=rocuronium"/>
    <hyperlink ref="T319" r:id="rId291" display="https://dailymed.nlm.nih.gov/dailymed/search.cfm?labeltype=all&amp;query=voriconazole"/>
    <hyperlink ref="T320" r:id="rId292" display="https://dailymed.nlm.nih.gov/dailymed/search.cfm?labeltype=all&amp;query=bleomycin"/>
    <hyperlink ref="T321" r:id="rId293" display="https://dailymed.nlm.nih.gov/dailymed/search.cfm?labeltype=all&amp;query=ceftazidime"/>
    <hyperlink ref="T322" r:id="rId294" display="https://dailymed.nlm.nih.gov/dailymed/search.cfm?labeltype=all&amp;query=ceftriaxone"/>
    <hyperlink ref="T323" r:id="rId295" display="https://dailymed.nlm.nih.gov/dailymed/search.cfm?labeltype=all&amp;query=meropenem"/>
    <hyperlink ref="T324" r:id="rId296" display="https://dailymed.nlm.nih.gov/dailymed/search.cfm?labeltype=all&amp;query=adenosine"/>
    <hyperlink ref="T325" r:id="rId297" display="https://dailymed.nlm.nih.gov/dailymed/search.cfm?labeltype=all&amp;query=amikacin"/>
    <hyperlink ref="T326" r:id="rId298" display="https://dailymed.nlm.nih.gov/dailymed/search.cfm?labeltype=all&amp;query=caffeine+citrate"/>
    <hyperlink ref="T327" r:id="rId299" display="https://dailymed.nlm.nih.gov/dailymed/search.cfm?labeltype=all&amp;query=ceftazidime"/>
    <hyperlink ref="T328" r:id="rId300" display="https://dailymed.nlm.nih.gov/dailymed/search.cfm?labeltype=all&amp;query=ceftriaxone"/>
    <hyperlink ref="T329" r:id="rId301" display="https://mhraproducts4853.blob.core.windows.net/docs/468e5b0a68665f15d3d30982865bab14c0c28588"/>
    <hyperlink ref="T330" r:id="rId302" display="https://dailymed.nlm.nih.gov/dailymed/search.cfm?labeltype=all&amp;query=daptomycin"/>
    <hyperlink ref="T331" r:id="rId303" display="https://dailymed.nlm.nih.gov/dailymed/search.cfm?labeltype=all&amp;query=haloperidol+lactate"/>
    <hyperlink ref="T332" r:id="rId304" display="https://mhraproducts4853.blob.core.windows.net/docs/04229266643a571563250bd73f7732fba1560cbb"/>
    <hyperlink ref="T333" r:id="rId305" display="https://mhraproducts4853.blob.core.windows.net/docs/a59d41ba1edb90eeb695d447eeb35327147df3f6"/>
    <hyperlink ref="T334" r:id="rId306" display="https://mhraproducts4853.blob.core.windows.net/docs/a53d61c3e391300f35f11ce363395170f019a5c5"/>
    <hyperlink ref="T335" r:id="rId307" display="https://dailymed.nlm.nih.gov/dailymed/search.cfm?labeltype=all&amp;query=milrinone"/>
    <hyperlink ref="T336" r:id="rId308" display="https://dailymed.nlm.nih.gov/dailymed/search.cfm?labeltype=all&amp;query=morphine+sulfate+injection"/>
    <hyperlink ref="T337" r:id="rId309" display="https://dailymed.nlm.nih.gov/dailymed/search.cfm?labeltype=all&amp;query=ondansetron+injection"/>
    <hyperlink ref="T338" r:id="rId310" display="https://dailymed.nlm.nih.gov/dailymed/search.cfm?labeltype=all&amp;query=oxacillin"/>
    <hyperlink ref="T339" r:id="rId311" display="https://dailymed.nlm.nih.gov/dailymed/search.cfm?labeltype=all&amp;query=protamine"/>
    <hyperlink ref="T340" r:id="rId312" display="https://dailymed.nlm.nih.gov/dailymed/search.cfm?labeltype=all&amp;query=remifentanil"/>
    <hyperlink ref="T341" r:id="rId313" display="https://dailymed.nlm.nih.gov/dailymed/search.cfm?labeltype=all&amp;query=valproate+sodium+injection"/>
    <hyperlink ref="T342" r:id="rId314" display="https://dailymed.nlm.nih.gov/dailymed/search.cfm?labeltype=all&amp;query=sugammadex"/>
    <hyperlink ref="T343" r:id="rId315" display="https://dailymed.nlm.nih.gov/dailymed/search.cfm?labeltype=all&amp;query=vancomycin+injection"/>
    <hyperlink ref="T344" r:id="rId316" display="https://dailymed.nlm.nih.gov/dailymed/search.cfm?labeltype=all&amp;query=acetazolamide"/>
    <hyperlink ref="T345" r:id="rId317" display="https://dailymed.nlm.nih.gov/dailymed/search.cfm?labeltype=all&amp;query=bortezomib"/>
    <hyperlink ref="T346" r:id="rId318" display="https://dailymed.nlm.nih.gov/dailymed/search.cfm?labeltype=all&amp;query=ceftriaxone"/>
    <hyperlink ref="T347" r:id="rId319" display="https://dailymed.nlm.nih.gov/dailymed/search.cfm?labeltype=all&amp;query=chlorpromazine"/>
    <hyperlink ref="T348" r:id="rId320" display="https://dailymed.nlm.nih.gov/dailymed/search.cfm?labeltype=all&amp;query=cisatracurium"/>
    <hyperlink ref="T349" r:id="rId321" display="https://dailymed.nlm.nih.gov/dailymed/search.cfm?labeltype=all&amp;query=cyanocobalamin+injection"/>
    <hyperlink ref="T350" r:id="rId322" display="https://dailymed.nlm.nih.gov/dailymed/search.cfm?labeltype=all&amp;query=ethacrynate+sodium"/>
    <hyperlink ref="T351" r:id="rId323" display="https://dailymed.nlm.nih.gov/dailymed/search.cfm?labeltype=all&amp;query=etomidate"/>
    <hyperlink ref="T352" r:id="rId324" display="https://dailymed.nlm.nih.gov/dailymed/search.cfm?labeltype=all&amp;query=fluorescein"/>
    <hyperlink ref="T353" r:id="rId325" display="https://dailymed.nlm.nih.gov/dailymed/search.cfm?labeltype=all&amp;query=fulvestrant"/>
    <hyperlink ref="T354" r:id="rId326" display="https://dailymed.nlm.nih.gov/dailymed/search.cfm?labeltype=all&amp;query=haloperidol+decanoate"/>
    <hyperlink ref="T355" r:id="rId327" display="https://dailymed.nlm.nih.gov/dailymed/search.cfm?labeltype=all&amp;query=hydrocortisone+sodium+succinate"/>
    <hyperlink ref="T356" r:id="rId328" display="https://dailymed.nlm.nih.gov/dailymed/search.cfm?labeltype=all&amp;query=indocyanine+green"/>
    <hyperlink ref="T357" r:id="rId329" display="https://dailymed.nlm.nih.gov/dailymed/search.cfm?labeltype=all&amp;query=iron+sucrose"/>
    <hyperlink ref="T358" r:id="rId330" display="https://dailymed.nlm.nih.gov/dailymed/search.cfm?labeltype=all&amp;query=ondansetron+injection"/>
    <hyperlink ref="T359" r:id="rId331" display="https://dailymed.nlm.nih.gov/dailymed/search.cfm?labeltype=all&amp;query=succinylcholine"/>
    <hyperlink ref="T360" r:id="rId332" display="https://dailymed.nlm.nih.gov/dailymed/search.cfm?labeltype=all&amp;query=sugammadex"/>
    <hyperlink ref="T361" r:id="rId333" display="https://dailymed.nlm.nih.gov/dailymed/search.cfm?labeltype=all&amp;query=verapamil+hydrochloride+injectio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3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B1:AE69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3"/>
    <col collapsed="false" customWidth="true" hidden="false" outlineLevel="0" max="2" min="2" style="0" width="8"/>
    <col collapsed="false" customWidth="true" hidden="false" outlineLevel="0" max="3" min="3" style="0" width="24"/>
    <col collapsed="false" customWidth="true" hidden="false" outlineLevel="0" max="4" min="4" style="0" width="30.51"/>
    <col collapsed="false" customWidth="true" hidden="false" outlineLevel="0" max="5" min="5" style="0" width="33.51"/>
    <col collapsed="false" customWidth="true" hidden="false" outlineLevel="0" max="6" min="6" style="0" width="27.61"/>
    <col collapsed="false" customWidth="true" hidden="false" outlineLevel="0" max="7" min="7" style="0" width="39"/>
    <col collapsed="false" customWidth="true" hidden="false" outlineLevel="0" max="8" min="8" style="0" width="12"/>
    <col collapsed="false" customWidth="true" hidden="false" outlineLevel="0" max="9" min="9" style="0" width="11"/>
    <col collapsed="false" customWidth="true" hidden="false" outlineLevel="0" max="11" min="10" style="0" width="9"/>
    <col collapsed="false" customWidth="true" hidden="false" outlineLevel="0" max="12" min="12" style="0" width="15.51"/>
    <col collapsed="false" customWidth="true" hidden="false" outlineLevel="0" max="13" min="13" style="0" width="40"/>
    <col collapsed="false" customWidth="true" hidden="false" outlineLevel="0" max="14" min="14" style="0" width="12"/>
    <col collapsed="false" customWidth="true" hidden="false" outlineLevel="0" max="15" min="15" style="0" width="13"/>
    <col collapsed="false" customWidth="true" hidden="false" outlineLevel="0" max="16" min="16" style="0" width="15"/>
    <col collapsed="false" customWidth="true" hidden="false" outlineLevel="0" max="17" min="17" style="0" width="30"/>
    <col collapsed="false" customWidth="true" hidden="false" outlineLevel="0" max="18" min="18" style="0" width="45"/>
    <col collapsed="false" customWidth="true" hidden="false" outlineLevel="0" max="19" min="19" style="0" width="11"/>
    <col collapsed="false" customWidth="true" hidden="false" outlineLevel="0" max="20" min="20" style="0" width="12"/>
    <col collapsed="false" customWidth="true" hidden="false" outlineLevel="0" max="21" min="21" style="0" width="50"/>
    <col collapsed="false" customWidth="true" hidden="false" outlineLevel="0" max="22" min="22" style="0" width="9"/>
    <col collapsed="false" customWidth="true" hidden="false" outlineLevel="0" max="23" min="23" style="0" width="20"/>
    <col collapsed="false" customWidth="true" hidden="false" outlineLevel="0" max="24" min="24" style="0" width="15"/>
    <col collapsed="false" customWidth="true" hidden="false" outlineLevel="0" max="25" min="25" style="0" width="16"/>
    <col collapsed="false" customWidth="true" hidden="false" outlineLevel="0" max="26" min="26" style="0" width="30"/>
    <col collapsed="false" customWidth="true" hidden="false" outlineLevel="0" max="27" min="27" style="0" width="13"/>
    <col collapsed="false" customWidth="true" hidden="false" outlineLevel="0" max="28" min="28" style="0" width="9"/>
    <col collapsed="false" customWidth="true" hidden="false" outlineLevel="0" max="29" min="29" style="0" width="10"/>
    <col collapsed="false" customWidth="true" hidden="false" outlineLevel="0" max="30" min="30" style="0" width="18"/>
    <col collapsed="false" customWidth="true" hidden="false" outlineLevel="0" max="31" min="31" style="0" width="12"/>
  </cols>
  <sheetData>
    <row r="1" customFormat="false" ht="15" hidden="false" customHeight="false" outlineLevel="0" collapsed="false">
      <c r="K1" s="0" t="s">
        <v>1478</v>
      </c>
      <c r="L1" s="0" t="s">
        <v>1479</v>
      </c>
      <c r="N1" s="35" t="s">
        <v>1480</v>
      </c>
    </row>
    <row r="2" customFormat="false" ht="45" hidden="false" customHeight="true" outlineLevel="0" collapsed="false">
      <c r="B2" s="3" t="s">
        <v>1481</v>
      </c>
      <c r="C2" s="3" t="s">
        <v>1482</v>
      </c>
      <c r="D2" s="3" t="s">
        <v>1483</v>
      </c>
      <c r="E2" s="3" t="s">
        <v>1484</v>
      </c>
      <c r="F2" s="3" t="s">
        <v>1485</v>
      </c>
      <c r="G2" s="3" t="s">
        <v>1486</v>
      </c>
      <c r="H2" s="3" t="s">
        <v>1487</v>
      </c>
      <c r="I2" s="3" t="s">
        <v>1488</v>
      </c>
      <c r="J2" s="3" t="s">
        <v>1489</v>
      </c>
      <c r="K2" s="3" t="s">
        <v>1490</v>
      </c>
      <c r="L2" s="3" t="s">
        <v>1491</v>
      </c>
      <c r="M2" s="3" t="s">
        <v>1492</v>
      </c>
      <c r="N2" s="36" t="s">
        <v>1493</v>
      </c>
      <c r="O2" s="36" t="s">
        <v>1494</v>
      </c>
      <c r="P2" s="36" t="s">
        <v>206</v>
      </c>
      <c r="Q2" s="36" t="s">
        <v>1495</v>
      </c>
      <c r="R2" s="36" t="s">
        <v>1496</v>
      </c>
      <c r="S2" s="36" t="s">
        <v>1497</v>
      </c>
      <c r="T2" s="36" t="s">
        <v>1498</v>
      </c>
      <c r="U2" s="36" t="s">
        <v>1499</v>
      </c>
      <c r="V2" s="36" t="s">
        <v>209</v>
      </c>
      <c r="W2" s="36" t="s">
        <v>1500</v>
      </c>
      <c r="X2" s="36" t="s">
        <v>11</v>
      </c>
      <c r="Y2" s="36" t="s">
        <v>210</v>
      </c>
      <c r="Z2" s="36" t="s">
        <v>211</v>
      </c>
      <c r="AA2" s="36" t="s">
        <v>1501</v>
      </c>
      <c r="AB2" s="36" t="s">
        <v>1502</v>
      </c>
      <c r="AC2" s="36" t="s">
        <v>14</v>
      </c>
      <c r="AD2" s="36" t="s">
        <v>230</v>
      </c>
      <c r="AE2" s="36" t="s">
        <v>231</v>
      </c>
    </row>
    <row r="3" customFormat="false" ht="28.35" hidden="false" customHeight="false" outlineLevel="0" collapsed="false">
      <c r="B3" s="15" t="n">
        <v>1</v>
      </c>
      <c r="C3" s="15" t="s">
        <v>245</v>
      </c>
      <c r="D3" s="15" t="s">
        <v>321</v>
      </c>
      <c r="E3" s="15" t="s">
        <v>251</v>
      </c>
      <c r="F3" s="15" t="s">
        <v>1503</v>
      </c>
      <c r="G3" s="16" t="s">
        <v>1504</v>
      </c>
      <c r="H3" s="15" t="s">
        <v>1505</v>
      </c>
      <c r="I3" s="17" t="n">
        <v>30.01</v>
      </c>
      <c r="J3" s="15" t="n">
        <v>1</v>
      </c>
      <c r="K3" s="15" t="n">
        <v>156</v>
      </c>
      <c r="L3" s="18" t="n">
        <v>3954.83</v>
      </c>
      <c r="M3" s="16" t="s">
        <v>246</v>
      </c>
      <c r="N3" s="17" t="n">
        <v>30.01</v>
      </c>
      <c r="O3" s="15" t="s">
        <v>1506</v>
      </c>
      <c r="P3" s="15" t="s">
        <v>1507</v>
      </c>
      <c r="Q3" s="16" t="s">
        <v>1508</v>
      </c>
      <c r="R3" s="32" t="s">
        <v>1509</v>
      </c>
      <c r="S3" s="37" t="n">
        <f aca="false">IFERROR(INDEX('Injectable Value'!$Z$28:$Z$178,MATCH($C3,'Injectable Value'!$A$28:$A$178,0)),"")</f>
        <v>0.916666666666667</v>
      </c>
      <c r="T3" s="18" t="n">
        <f aca="false">IFERROR(ROUND(INDEX('Injectable Value'!$AA$28:$AA$178,MATCH($C3,'Injectable Value'!$A$28:$A$178,0)),1),"")</f>
        <v>3625.3</v>
      </c>
      <c r="U3" s="16" t="s">
        <v>255</v>
      </c>
      <c r="V3" s="15" t="n">
        <v>3</v>
      </c>
      <c r="W3" s="15" t="s">
        <v>247</v>
      </c>
      <c r="X3" s="15" t="s">
        <v>248</v>
      </c>
      <c r="Y3" s="15" t="s">
        <v>249</v>
      </c>
      <c r="Z3" s="16" t="str">
        <f aca="false">IFERROR(INDEX(Scoring!$K:$K,MATCH($C3&amp;"|"&amp;$E3,Scoring!$U:$U,0)),"")</f>
        <v/>
      </c>
      <c r="AA3" s="15" t="str">
        <f aca="false">IFERROR(INDEX(Scoring!$Q:$Q,MATCH($C3&amp;"|"&amp;$E3,Scoring!$U:$U,0)),"")</f>
        <v>Priority 2</v>
      </c>
      <c r="AB3" s="15" t="str">
        <f aca="false">IFERROR(INDEX(Scoring!$AK:$AK,MATCH($C3&amp;"|"&amp;$E3,Scoring!$U:$U,0)),"")</f>
        <v>Priority 2</v>
      </c>
      <c r="AC3" s="18" t="n">
        <f aca="false">IFERROR(INDEX(Scoring!$M:$M,MATCH($C3&amp;"|"&amp;$E3,Scoring!$U:$U,0)),"")</f>
        <v>143</v>
      </c>
      <c r="AD3" s="15" t="str">
        <f aca="false">IFERROR(INDEX('Route of Administration'!$C$5:$C$155,MATCH($C3,'Route of Administration'!$A$5:$A$155,0)),"")</f>
        <v>IM</v>
      </c>
      <c r="AE3" s="14" t="str">
        <f aca="false">IFERROR(INDEX('Route of Administration'!$D$5:$D$155,MATCH($C3,'Route of Administration'!$A$5:$A$155,0)),"")</f>
        <v>Yes</v>
      </c>
    </row>
    <row r="4" customFormat="false" ht="28.35" hidden="false" customHeight="false" outlineLevel="0" collapsed="false">
      <c r="B4" s="15" t="n">
        <v>2</v>
      </c>
      <c r="C4" s="15" t="s">
        <v>256</v>
      </c>
      <c r="D4" s="15" t="s">
        <v>256</v>
      </c>
      <c r="E4" s="15" t="s">
        <v>251</v>
      </c>
      <c r="F4" s="15" t="s">
        <v>1510</v>
      </c>
      <c r="G4" s="16" t="s">
        <v>1511</v>
      </c>
      <c r="H4" s="15" t="s">
        <v>1512</v>
      </c>
      <c r="I4" s="17"/>
      <c r="J4" s="15" t="n">
        <v>1</v>
      </c>
      <c r="K4" s="15" t="n">
        <v>180</v>
      </c>
      <c r="L4" s="18" t="n">
        <v>5403.25</v>
      </c>
      <c r="M4" s="16" t="s">
        <v>257</v>
      </c>
      <c r="N4" s="38" t="n">
        <v>10.14</v>
      </c>
      <c r="O4" s="22" t="s">
        <v>1513</v>
      </c>
      <c r="P4" s="15" t="s">
        <v>1507</v>
      </c>
      <c r="Q4" s="16" t="s">
        <v>1514</v>
      </c>
      <c r="R4" s="32" t="s">
        <v>1515</v>
      </c>
      <c r="S4" s="37" t="n">
        <f aca="false">IFERROR(INDEX('Injectable Value'!$Z$28:$Z$178,MATCH($C4,'Injectable Value'!$A$28:$A$178,0)),"")</f>
        <v>0.194998811159637</v>
      </c>
      <c r="T4" s="18" t="n">
        <f aca="false">IFERROR(ROUND(INDEX('Injectable Value'!$AA$28:$AA$178,MATCH($C4,'Injectable Value'!$A$28:$A$178,0)),1),"")</f>
        <v>1053.6</v>
      </c>
      <c r="U4" s="16" t="s">
        <v>247</v>
      </c>
      <c r="V4" s="15" t="n">
        <v>1</v>
      </c>
      <c r="W4" s="15" t="s">
        <v>247</v>
      </c>
      <c r="X4" s="15" t="s">
        <v>258</v>
      </c>
      <c r="Y4" s="15" t="s">
        <v>249</v>
      </c>
      <c r="Z4" s="16" t="str">
        <f aca="false">IFERROR(INDEX(Scoring!$K:$K,MATCH($C4&amp;"|"&amp;$E4,Scoring!$U:$U,0)),"")</f>
        <v>Prefilled only</v>
      </c>
      <c r="AA4" s="15" t="str">
        <f aca="false">IFERROR(INDEX(Scoring!$Q:$Q,MATCH($C4&amp;"|"&amp;$E4,Scoring!$U:$U,0)),"")</f>
        <v>Priority 3</v>
      </c>
      <c r="AB4" s="15" t="str">
        <f aca="false">IFERROR(INDEX(Scoring!$AK:$AK,MATCH($C4&amp;"|"&amp;$E4,Scoring!$U:$U,0)),"")</f>
        <v>Priority 3</v>
      </c>
      <c r="AC4" s="18" t="n">
        <f aca="false">IFERROR(INDEX(Scoring!$M:$M,MATCH($C4&amp;"|"&amp;$E4,Scoring!$U:$U,0)),"")</f>
        <v>35</v>
      </c>
      <c r="AD4" s="15" t="str">
        <f aca="false">IFERROR(INDEX('Route of Administration'!$C$5:$C$155,MATCH($C4,'Route of Administration'!$A$5:$A$155,0)),"")</f>
        <v>IV, IM</v>
      </c>
      <c r="AE4" s="14" t="str">
        <f aca="false">IFERROR(INDEX('Route of Administration'!$D$5:$D$155,MATCH($C4,'Route of Administration'!$A$5:$A$155,0)),"")</f>
        <v>Yes</v>
      </c>
    </row>
    <row r="5" customFormat="false" ht="41.75" hidden="false" customHeight="false" outlineLevel="0" collapsed="false">
      <c r="B5" s="15" t="n">
        <v>3</v>
      </c>
      <c r="C5" s="15" t="s">
        <v>266</v>
      </c>
      <c r="D5" s="15" t="s">
        <v>270</v>
      </c>
      <c r="E5" s="15" t="s">
        <v>251</v>
      </c>
      <c r="F5" s="15" t="s">
        <v>1516</v>
      </c>
      <c r="G5" s="16" t="s">
        <v>1517</v>
      </c>
      <c r="H5" s="15" t="s">
        <v>1505</v>
      </c>
      <c r="I5" s="17" t="n">
        <v>15.1</v>
      </c>
      <c r="J5" s="15" t="n">
        <v>1</v>
      </c>
      <c r="K5" s="15" t="n">
        <v>1282</v>
      </c>
      <c r="L5" s="18" t="n">
        <v>16792.84</v>
      </c>
      <c r="M5" s="16" t="s">
        <v>267</v>
      </c>
      <c r="N5" s="17" t="n">
        <v>15.1</v>
      </c>
      <c r="O5" s="15" t="s">
        <v>1506</v>
      </c>
      <c r="P5" s="15" t="s">
        <v>1507</v>
      </c>
      <c r="Q5" s="16" t="s">
        <v>1508</v>
      </c>
      <c r="R5" s="32" t="s">
        <v>1518</v>
      </c>
      <c r="S5" s="37" t="n">
        <f aca="false">IFERROR(INDEX('Injectable Value'!$Z$28:$Z$178,MATCH($C5,'Injectable Value'!$A$28:$A$178,0)),"")</f>
        <v>0.776857437207773</v>
      </c>
      <c r="T5" s="18" t="n">
        <f aca="false">IFERROR(ROUND(INDEX('Injectable Value'!$AA$28:$AA$178,MATCH($C5,'Injectable Value'!$A$28:$A$178,0)),1),"")</f>
        <v>13045.6</v>
      </c>
      <c r="U5" s="16" t="s">
        <v>247</v>
      </c>
      <c r="V5" s="15" t="n">
        <v>1</v>
      </c>
      <c r="W5" s="15" t="s">
        <v>247</v>
      </c>
      <c r="X5" s="15" t="s">
        <v>248</v>
      </c>
      <c r="Y5" s="15" t="s">
        <v>1519</v>
      </c>
      <c r="Z5" s="16" t="str">
        <f aca="false">IFERROR(INDEX(Scoring!$K:$K,MATCH($C5&amp;"|"&amp;$E5,Scoring!$U:$U,0)),"")</f>
        <v>Cancer drug (cytotoxic) – less relevant</v>
      </c>
      <c r="AA5" s="15" t="str">
        <f aca="false">IFERROR(INDEX(Scoring!$Q:$Q,MATCH($C5&amp;"|"&amp;$E5,Scoring!$U:$U,0)),"")</f>
        <v>Priority 2</v>
      </c>
      <c r="AB5" s="15" t="str">
        <f aca="false">IFERROR(INDEX(Scoring!$AK:$AK,MATCH($C5&amp;"|"&amp;$E5,Scoring!$U:$U,0)),"")</f>
        <v>Priority 2</v>
      </c>
      <c r="AC5" s="18" t="n">
        <f aca="false">IFERROR(INDEX(Scoring!$M:$M,MATCH($C5&amp;"|"&amp;$E5,Scoring!$U:$U,0)),"")</f>
        <v>996</v>
      </c>
      <c r="AD5" s="15" t="str">
        <f aca="false">IFERROR(INDEX('Route of Administration'!$C$5:$C$155,MATCH($C5,'Route of Administration'!$A$5:$A$155,0)),"")</f>
        <v>IV, IM, SC</v>
      </c>
      <c r="AE5" s="14" t="str">
        <f aca="false">IFERROR(INDEX('Route of Administration'!$D$5:$D$155,MATCH($C5,'Route of Administration'!$A$5:$A$155,0)),"")</f>
        <v>Yes</v>
      </c>
    </row>
    <row r="6" customFormat="false" ht="41.75" hidden="false" customHeight="false" outlineLevel="0" collapsed="false">
      <c r="B6" s="15" t="n">
        <v>4</v>
      </c>
      <c r="C6" s="15" t="s">
        <v>266</v>
      </c>
      <c r="D6" s="15" t="s">
        <v>270</v>
      </c>
      <c r="E6" s="15" t="s">
        <v>251</v>
      </c>
      <c r="F6" s="15" t="s">
        <v>1520</v>
      </c>
      <c r="G6" s="16" t="s">
        <v>1521</v>
      </c>
      <c r="H6" s="15" t="s">
        <v>1505</v>
      </c>
      <c r="I6" s="17" t="n">
        <v>5.61</v>
      </c>
      <c r="J6" s="15" t="n">
        <v>1</v>
      </c>
      <c r="K6" s="15" t="n">
        <v>1282</v>
      </c>
      <c r="L6" s="18" t="n">
        <v>16792.84</v>
      </c>
      <c r="M6" s="16" t="s">
        <v>267</v>
      </c>
      <c r="N6" s="17" t="n">
        <v>5.61</v>
      </c>
      <c r="O6" s="15" t="s">
        <v>1506</v>
      </c>
      <c r="P6" s="15" t="s">
        <v>1507</v>
      </c>
      <c r="Q6" s="16" t="s">
        <v>1508</v>
      </c>
      <c r="R6" s="32" t="s">
        <v>1518</v>
      </c>
      <c r="S6" s="37" t="n">
        <f aca="false">IFERROR(INDEX('Injectable Value'!$Z$28:$Z$178,MATCH($C6,'Injectable Value'!$A$28:$A$178,0)),"")</f>
        <v>0.776857437207773</v>
      </c>
      <c r="T6" s="18" t="n">
        <f aca="false">IFERROR(ROUND(INDEX('Injectable Value'!$AA$28:$AA$178,MATCH($C6,'Injectable Value'!$A$28:$A$178,0)),1),"")</f>
        <v>13045.6</v>
      </c>
      <c r="U6" s="16" t="s">
        <v>247</v>
      </c>
      <c r="V6" s="15" t="n">
        <v>1</v>
      </c>
      <c r="W6" s="15" t="s">
        <v>247</v>
      </c>
      <c r="X6" s="15" t="s">
        <v>248</v>
      </c>
      <c r="Y6" s="15" t="s">
        <v>249</v>
      </c>
      <c r="Z6" s="16" t="str">
        <f aca="false">IFERROR(INDEX(Scoring!$K:$K,MATCH($C6&amp;"|"&amp;$E6,Scoring!$U:$U,0)),"")</f>
        <v>Cancer drug (cytotoxic) – less relevant</v>
      </c>
      <c r="AA6" s="15" t="str">
        <f aca="false">IFERROR(INDEX(Scoring!$Q:$Q,MATCH($C6&amp;"|"&amp;$E6,Scoring!$U:$U,0)),"")</f>
        <v>Priority 2</v>
      </c>
      <c r="AB6" s="15" t="str">
        <f aca="false">IFERROR(INDEX(Scoring!$AK:$AK,MATCH($C6&amp;"|"&amp;$E6,Scoring!$U:$U,0)),"")</f>
        <v>Priority 2</v>
      </c>
      <c r="AC6" s="18" t="n">
        <f aca="false">IFERROR(INDEX(Scoring!$M:$M,MATCH($C6&amp;"|"&amp;$E6,Scoring!$U:$U,0)),"")</f>
        <v>996</v>
      </c>
      <c r="AD6" s="15" t="str">
        <f aca="false">IFERROR(INDEX('Route of Administration'!$C$5:$C$155,MATCH($C6,'Route of Administration'!$A$5:$A$155,0)),"")</f>
        <v>IV, IM, SC</v>
      </c>
      <c r="AE6" s="14" t="str">
        <f aca="false">IFERROR(INDEX('Route of Administration'!$D$5:$D$155,MATCH($C6,'Route of Administration'!$A$5:$A$155,0)),"")</f>
        <v>Yes</v>
      </c>
    </row>
    <row r="7" customFormat="false" ht="28.35" hidden="false" customHeight="false" outlineLevel="0" collapsed="false">
      <c r="B7" s="15" t="n">
        <v>5</v>
      </c>
      <c r="C7" s="15" t="s">
        <v>271</v>
      </c>
      <c r="D7" s="15" t="s">
        <v>271</v>
      </c>
      <c r="E7" s="15" t="s">
        <v>251</v>
      </c>
      <c r="F7" s="15" t="s">
        <v>1522</v>
      </c>
      <c r="G7" s="16" t="s">
        <v>1523</v>
      </c>
      <c r="H7" s="15" t="s">
        <v>1512</v>
      </c>
      <c r="I7" s="17"/>
      <c r="J7" s="15" t="n">
        <v>1</v>
      </c>
      <c r="K7" s="15" t="n">
        <v>51</v>
      </c>
      <c r="L7" s="18" t="n">
        <v>5770.02</v>
      </c>
      <c r="M7" s="16" t="s">
        <v>272</v>
      </c>
      <c r="N7" s="38" t="n">
        <v>3.99</v>
      </c>
      <c r="O7" s="22" t="s">
        <v>1513</v>
      </c>
      <c r="P7" s="15" t="s">
        <v>1507</v>
      </c>
      <c r="Q7" s="16" t="s">
        <v>1514</v>
      </c>
      <c r="R7" s="32" t="s">
        <v>1515</v>
      </c>
      <c r="S7" s="37" t="n">
        <f aca="false">IFERROR(INDEX('Injectable Value'!$Z$28:$Z$178,MATCH($C7,'Injectable Value'!$A$28:$A$178,0)),"")</f>
        <v>0.468334010008564</v>
      </c>
      <c r="T7" s="18" t="n">
        <f aca="false">IFERROR(ROUND(INDEX('Injectable Value'!$AA$28:$AA$178,MATCH($C7,'Injectable Value'!$A$28:$A$178,0)),1),"")</f>
        <v>2702.3</v>
      </c>
      <c r="U7" s="16" t="s">
        <v>247</v>
      </c>
      <c r="V7" s="15" t="n">
        <v>1</v>
      </c>
      <c r="W7" s="15" t="s">
        <v>247</v>
      </c>
      <c r="X7" s="15" t="s">
        <v>258</v>
      </c>
      <c r="Y7" s="15" t="s">
        <v>249</v>
      </c>
      <c r="Z7" s="16" t="str">
        <f aca="false">IFERROR(INDEX(Scoring!$K:$K,MATCH($C7&amp;"|"&amp;$E7,Scoring!$U:$U,0)),"")</f>
        <v>Prefilled only</v>
      </c>
      <c r="AA7" s="15" t="str">
        <f aca="false">IFERROR(INDEX(Scoring!$Q:$Q,MATCH($C7&amp;"|"&amp;$E7,Scoring!$U:$U,0)),"")</f>
        <v>Excluded – price ≤ $5</v>
      </c>
      <c r="AB7" s="15" t="str">
        <f aca="false">IFERROR(INDEX(Scoring!$AK:$AK,MATCH($C7&amp;"|"&amp;$E7,Scoring!$U:$U,0)),"")</f>
        <v>Excluded – price ≤ $5</v>
      </c>
      <c r="AC7" s="18" t="n">
        <f aca="false">IFERROR(INDEX(Scoring!$M:$M,MATCH($C7&amp;"|"&amp;$E7,Scoring!$U:$U,0)),"")</f>
        <v>24</v>
      </c>
      <c r="AD7" s="15" t="str">
        <f aca="false">IFERROR(INDEX('Route of Administration'!$C$5:$C$155,MATCH($C7,'Route of Administration'!$A$5:$A$155,0)),"")</f>
        <v>IV, IM, SC</v>
      </c>
      <c r="AE7" s="14" t="str">
        <f aca="false">IFERROR(INDEX('Route of Administration'!$D$5:$D$155,MATCH($C7,'Route of Administration'!$A$5:$A$155,0)),"")</f>
        <v>Yes</v>
      </c>
    </row>
    <row r="8" customFormat="false" ht="41.75" hidden="false" customHeight="false" outlineLevel="0" collapsed="false">
      <c r="B8" s="15" t="n">
        <v>6</v>
      </c>
      <c r="C8" s="15" t="s">
        <v>275</v>
      </c>
      <c r="D8" s="15" t="s">
        <v>275</v>
      </c>
      <c r="E8" s="15" t="s">
        <v>251</v>
      </c>
      <c r="F8" s="15" t="s">
        <v>1524</v>
      </c>
      <c r="G8" s="16" t="s">
        <v>1525</v>
      </c>
      <c r="H8" s="15" t="s">
        <v>1505</v>
      </c>
      <c r="I8" s="17"/>
      <c r="J8" s="15" t="n">
        <v>1</v>
      </c>
      <c r="K8" s="15" t="n">
        <v>735</v>
      </c>
      <c r="L8" s="18" t="n">
        <v>16205.48</v>
      </c>
      <c r="M8" s="16" t="s">
        <v>276</v>
      </c>
      <c r="N8" s="38" t="n">
        <v>3.15</v>
      </c>
      <c r="O8" s="22" t="s">
        <v>1513</v>
      </c>
      <c r="P8" s="15" t="s">
        <v>1507</v>
      </c>
      <c r="Q8" s="16" t="s">
        <v>1514</v>
      </c>
      <c r="R8" s="32" t="s">
        <v>1515</v>
      </c>
      <c r="S8" s="37" t="n">
        <f aca="false">IFERROR(INDEX('Injectable Value'!$Z$28:$Z$178,MATCH($C8,'Injectable Value'!$A$28:$A$178,0)),"")</f>
        <v>0.262678151411075</v>
      </c>
      <c r="T8" s="18" t="n">
        <f aca="false">IFERROR(ROUND(INDEX('Injectable Value'!$AA$28:$AA$178,MATCH($C8,'Injectable Value'!$A$28:$A$178,0)),1),"")</f>
        <v>4256.8</v>
      </c>
      <c r="U8" s="16" t="s">
        <v>247</v>
      </c>
      <c r="V8" s="15" t="n">
        <v>1</v>
      </c>
      <c r="W8" s="15" t="s">
        <v>247</v>
      </c>
      <c r="X8" s="15" t="s">
        <v>277</v>
      </c>
      <c r="Y8" s="15" t="s">
        <v>277</v>
      </c>
      <c r="Z8" s="16" t="str">
        <f aca="false">IFERROR(INDEX(Scoring!$K:$K,MATCH($C8&amp;"|"&amp;$E8,Scoring!$U:$U,0)),"")</f>
        <v/>
      </c>
      <c r="AA8" s="15" t="str">
        <f aca="false">IFERROR(INDEX(Scoring!$Q:$Q,MATCH($C8&amp;"|"&amp;$E8,Scoring!$U:$U,0)),"")</f>
        <v>Excluded – price ≤ $5</v>
      </c>
      <c r="AB8" s="15" t="str">
        <f aca="false">IFERROR(INDEX(Scoring!$AK:$AK,MATCH($C8&amp;"|"&amp;$E8,Scoring!$U:$U,0)),"")</f>
        <v>Excluded – price ≤ $5</v>
      </c>
      <c r="AC8" s="18" t="n">
        <f aca="false">IFERROR(INDEX(Scoring!$M:$M,MATCH($C8&amp;"|"&amp;$E8,Scoring!$U:$U,0)),"")</f>
        <v>193</v>
      </c>
      <c r="AD8" s="15" t="str">
        <f aca="false">IFERROR(INDEX('Route of Administration'!$C$5:$C$155,MATCH($C8,'Route of Administration'!$A$5:$A$155,0)),"")</f>
        <v>IM</v>
      </c>
      <c r="AE8" s="14" t="str">
        <f aca="false">IFERROR(INDEX('Route of Administration'!$D$5:$D$155,MATCH($C8,'Route of Administration'!$A$5:$A$155,0)),"")</f>
        <v>Yes</v>
      </c>
    </row>
    <row r="9" customFormat="false" ht="28.35" hidden="false" customHeight="false" outlineLevel="0" collapsed="false">
      <c r="B9" s="15" t="n">
        <v>7</v>
      </c>
      <c r="C9" s="15" t="s">
        <v>262</v>
      </c>
      <c r="D9" s="15" t="s">
        <v>262</v>
      </c>
      <c r="E9" s="15" t="s">
        <v>251</v>
      </c>
      <c r="F9" s="15" t="s">
        <v>1526</v>
      </c>
      <c r="G9" s="16" t="s">
        <v>1527</v>
      </c>
      <c r="H9" s="15" t="s">
        <v>1528</v>
      </c>
      <c r="I9" s="17" t="n">
        <v>29.97</v>
      </c>
      <c r="J9" s="15" t="n">
        <v>1</v>
      </c>
      <c r="K9" s="15" t="n">
        <v>146</v>
      </c>
      <c r="L9" s="18" t="n">
        <v>11366.06</v>
      </c>
      <c r="M9" s="16" t="s">
        <v>263</v>
      </c>
      <c r="N9" s="17" t="n">
        <v>29.97</v>
      </c>
      <c r="O9" s="15" t="s">
        <v>1506</v>
      </c>
      <c r="P9" s="15" t="s">
        <v>1507</v>
      </c>
      <c r="Q9" s="16" t="s">
        <v>1508</v>
      </c>
      <c r="R9" s="32" t="s">
        <v>1529</v>
      </c>
      <c r="S9" s="37" t="n">
        <f aca="false">IFERROR(INDEX('Injectable Value'!$Z$28:$Z$178,MATCH($C9,'Injectable Value'!$A$28:$A$178,0)),"")</f>
        <v>1</v>
      </c>
      <c r="T9" s="18" t="n">
        <f aca="false">IFERROR(ROUND(INDEX('Injectable Value'!$AA$28:$AA$178,MATCH($C9,'Injectable Value'!$A$28:$A$178,0)),1),"")</f>
        <v>11366.1</v>
      </c>
      <c r="U9" s="16" t="s">
        <v>247</v>
      </c>
      <c r="V9" s="15" t="n">
        <v>1</v>
      </c>
      <c r="W9" s="15" t="s">
        <v>247</v>
      </c>
      <c r="X9" s="15" t="s">
        <v>258</v>
      </c>
      <c r="Y9" s="15" t="s">
        <v>249</v>
      </c>
      <c r="Z9" s="16" t="str">
        <f aca="false">IFERROR(INDEX(Scoring!$K:$K,MATCH($C9&amp;"|"&amp;$E9,Scoring!$U:$U,0)),"")</f>
        <v>Prefilled only</v>
      </c>
      <c r="AA9" s="15" t="str">
        <f aca="false">IFERROR(INDEX(Scoring!$Q:$Q,MATCH($C9&amp;"|"&amp;$E9,Scoring!$U:$U,0)),"")</f>
        <v>Priority 1</v>
      </c>
      <c r="AB9" s="15" t="str">
        <f aca="false">IFERROR(INDEX(Scoring!$AK:$AK,MATCH($C9&amp;"|"&amp;$E9,Scoring!$U:$U,0)),"")</f>
        <v>Priority 2</v>
      </c>
      <c r="AC9" s="18" t="n">
        <f aca="false">IFERROR(INDEX(Scoring!$M:$M,MATCH($C9&amp;"|"&amp;$E9,Scoring!$U:$U,0)),"")</f>
        <v>146</v>
      </c>
      <c r="AD9" s="15" t="str">
        <f aca="false">IFERROR(INDEX('Route of Administration'!$C$5:$C$155,MATCH($C9,'Route of Administration'!$A$5:$A$155,0)),"")</f>
        <v>IM</v>
      </c>
      <c r="AE9" s="14" t="str">
        <f aca="false">IFERROR(INDEX('Route of Administration'!$D$5:$D$155,MATCH($C9,'Route of Administration'!$A$5:$A$155,0)),"")</f>
        <v>Yes</v>
      </c>
    </row>
    <row r="10" customFormat="false" ht="28.35" hidden="false" customHeight="false" outlineLevel="0" collapsed="false">
      <c r="B10" s="15" t="n">
        <v>8</v>
      </c>
      <c r="C10" s="15" t="s">
        <v>245</v>
      </c>
      <c r="D10" s="15" t="s">
        <v>1530</v>
      </c>
      <c r="E10" s="15" t="s">
        <v>251</v>
      </c>
      <c r="F10" s="15" t="s">
        <v>1531</v>
      </c>
      <c r="G10" s="16" t="s">
        <v>1532</v>
      </c>
      <c r="H10" s="15" t="s">
        <v>1505</v>
      </c>
      <c r="I10" s="17" t="n">
        <v>74.8286</v>
      </c>
      <c r="J10" s="15" t="n">
        <v>8</v>
      </c>
      <c r="K10" s="15" t="n">
        <v>156</v>
      </c>
      <c r="L10" s="18" t="n">
        <v>3954.83</v>
      </c>
      <c r="M10" s="16" t="s">
        <v>246</v>
      </c>
      <c r="N10" s="17" t="n">
        <v>74.8286</v>
      </c>
      <c r="O10" s="15" t="s">
        <v>1506</v>
      </c>
      <c r="P10" s="15" t="s">
        <v>1533</v>
      </c>
      <c r="Q10" s="16" t="s">
        <v>1508</v>
      </c>
      <c r="R10" s="32" t="s">
        <v>1534</v>
      </c>
      <c r="S10" s="37" t="n">
        <f aca="false">IFERROR(INDEX('Injectable Value'!$Z$28:$Z$178,MATCH($C10,'Injectable Value'!$A$28:$A$178,0)),"")</f>
        <v>0.916666666666667</v>
      </c>
      <c r="T10" s="18" t="n">
        <f aca="false">IFERROR(ROUND(INDEX('Injectable Value'!$AA$28:$AA$178,MATCH($C10,'Injectable Value'!$A$28:$A$178,0)),1),"")</f>
        <v>3625.3</v>
      </c>
      <c r="U10" s="16" t="s">
        <v>255</v>
      </c>
      <c r="V10" s="15" t="n">
        <v>3</v>
      </c>
      <c r="W10" s="15" t="s">
        <v>247</v>
      </c>
      <c r="X10" s="15" t="s">
        <v>248</v>
      </c>
      <c r="Y10" s="15" t="s">
        <v>249</v>
      </c>
      <c r="Z10" s="16" t="str">
        <f aca="false">IFERROR(INDEX(Scoring!$K:$K,MATCH($C10&amp;"|"&amp;$E10,Scoring!$U:$U,0)),"")</f>
        <v/>
      </c>
      <c r="AA10" s="15" t="str">
        <f aca="false">IFERROR(INDEX(Scoring!$Q:$Q,MATCH($C10&amp;"|"&amp;$E10,Scoring!$U:$U,0)),"")</f>
        <v>Priority 2</v>
      </c>
      <c r="AB10" s="15" t="str">
        <f aca="false">IFERROR(INDEX(Scoring!$AK:$AK,MATCH($C10&amp;"|"&amp;$E10,Scoring!$U:$U,0)),"")</f>
        <v>Priority 2</v>
      </c>
      <c r="AC10" s="18" t="n">
        <f aca="false">IFERROR(INDEX(Scoring!$M:$M,MATCH($C10&amp;"|"&amp;$E10,Scoring!$U:$U,0)),"")</f>
        <v>143</v>
      </c>
      <c r="AD10" s="15" t="str">
        <f aca="false">IFERROR(INDEX('Route of Administration'!$C$5:$C$155,MATCH($C10,'Route of Administration'!$A$5:$A$155,0)),"")</f>
        <v>IM</v>
      </c>
      <c r="AE10" s="14" t="str">
        <f aca="false">IFERROR(INDEX('Route of Administration'!$D$5:$D$155,MATCH($C10,'Route of Administration'!$A$5:$A$155,0)),"")</f>
        <v>Yes</v>
      </c>
    </row>
    <row r="11" customFormat="false" ht="28.35" hidden="false" customHeight="false" outlineLevel="0" collapsed="false">
      <c r="B11" s="15" t="n">
        <v>9</v>
      </c>
      <c r="C11" s="15" t="s">
        <v>245</v>
      </c>
      <c r="D11" s="15" t="s">
        <v>321</v>
      </c>
      <c r="E11" s="15" t="s">
        <v>286</v>
      </c>
      <c r="F11" s="15" t="s">
        <v>1503</v>
      </c>
      <c r="G11" s="16" t="s">
        <v>1504</v>
      </c>
      <c r="H11" s="15" t="s">
        <v>1505</v>
      </c>
      <c r="I11" s="17" t="n">
        <v>30.01</v>
      </c>
      <c r="J11" s="15" t="n">
        <v>1</v>
      </c>
      <c r="K11" s="15" t="n">
        <v>156</v>
      </c>
      <c r="L11" s="18" t="n">
        <v>3954.83</v>
      </c>
      <c r="M11" s="16" t="s">
        <v>246</v>
      </c>
      <c r="N11" s="17" t="n">
        <v>30.01</v>
      </c>
      <c r="O11" s="15" t="s">
        <v>1506</v>
      </c>
      <c r="P11" s="15" t="s">
        <v>1507</v>
      </c>
      <c r="Q11" s="16" t="s">
        <v>1508</v>
      </c>
      <c r="R11" s="32" t="s">
        <v>1509</v>
      </c>
      <c r="S11" s="37" t="n">
        <f aca="false">IFERROR(INDEX('Injectable Value'!$Z$28:$Z$178,MATCH($C11,'Injectable Value'!$A$28:$A$178,0)),"")</f>
        <v>0.916666666666667</v>
      </c>
      <c r="T11" s="18" t="n">
        <f aca="false">IFERROR(ROUND(INDEX('Injectable Value'!$AA$28:$AA$178,MATCH($C11,'Injectable Value'!$A$28:$A$178,0)),1),"")</f>
        <v>3625.3</v>
      </c>
      <c r="U11" s="16" t="s">
        <v>247</v>
      </c>
      <c r="V11" s="15" t="n">
        <v>1</v>
      </c>
      <c r="W11" s="15" t="s">
        <v>247</v>
      </c>
      <c r="X11" s="15" t="s">
        <v>248</v>
      </c>
      <c r="Y11" s="15" t="s">
        <v>249</v>
      </c>
      <c r="Z11" s="16" t="str">
        <f aca="false">IFERROR(INDEX(Scoring!$K:$K,MATCH($C11&amp;"|"&amp;$E11,Scoring!$U:$U,0)),"")</f>
        <v/>
      </c>
      <c r="AA11" s="15" t="str">
        <f aca="false">IFERROR(INDEX(Scoring!$Q:$Q,MATCH($C11&amp;"|"&amp;$E11,Scoring!$U:$U,0)),"")</f>
        <v>Priority 2</v>
      </c>
      <c r="AB11" s="15" t="str">
        <f aca="false">IFERROR(INDEX(Scoring!$AK:$AK,MATCH($C11&amp;"|"&amp;$E11,Scoring!$U:$U,0)),"")</f>
        <v>Priority 2</v>
      </c>
      <c r="AC11" s="18" t="n">
        <f aca="false">IFERROR(INDEX(Scoring!$M:$M,MATCH($C11&amp;"|"&amp;$E11,Scoring!$U:$U,0)),"")</f>
        <v>143</v>
      </c>
      <c r="AD11" s="15" t="str">
        <f aca="false">IFERROR(INDEX('Route of Administration'!$C$5:$C$155,MATCH($C11,'Route of Administration'!$A$5:$A$155,0)),"")</f>
        <v>IM</v>
      </c>
      <c r="AE11" s="14" t="str">
        <f aca="false">IFERROR(INDEX('Route of Administration'!$D$5:$D$155,MATCH($C11,'Route of Administration'!$A$5:$A$155,0)),"")</f>
        <v>Yes</v>
      </c>
    </row>
    <row r="12" customFormat="false" ht="28.35" hidden="false" customHeight="false" outlineLevel="0" collapsed="false">
      <c r="B12" s="15" t="n">
        <v>10</v>
      </c>
      <c r="C12" s="15" t="s">
        <v>343</v>
      </c>
      <c r="D12" s="15" t="s">
        <v>347</v>
      </c>
      <c r="E12" s="15" t="s">
        <v>286</v>
      </c>
      <c r="F12" s="15" t="s">
        <v>1535</v>
      </c>
      <c r="G12" s="16" t="s">
        <v>1536</v>
      </c>
      <c r="H12" s="15" t="s">
        <v>1505</v>
      </c>
      <c r="I12" s="17" t="n">
        <v>14.96</v>
      </c>
      <c r="J12" s="15" t="n">
        <v>1</v>
      </c>
      <c r="K12" s="15" t="n">
        <v>472</v>
      </c>
      <c r="L12" s="18" t="n">
        <v>7831.08</v>
      </c>
      <c r="M12" s="16" t="s">
        <v>344</v>
      </c>
      <c r="N12" s="17" t="n">
        <v>14.96</v>
      </c>
      <c r="O12" s="15" t="s">
        <v>1506</v>
      </c>
      <c r="P12" s="15" t="s">
        <v>1507</v>
      </c>
      <c r="Q12" s="16" t="s">
        <v>1508</v>
      </c>
      <c r="R12" s="32" t="s">
        <v>1537</v>
      </c>
      <c r="S12" s="37" t="n">
        <f aca="false">IFERROR(INDEX('Injectable Value'!$Z$28:$Z$178,MATCH($C12,'Injectable Value'!$A$28:$A$178,0)),"")</f>
        <v>0.1734375</v>
      </c>
      <c r="T12" s="18" t="n">
        <f aca="false">IFERROR(ROUND(INDEX('Injectable Value'!$AA$28:$AA$178,MATCH($C12,'Injectable Value'!$A$28:$A$178,0)),1),"")</f>
        <v>1358.2</v>
      </c>
      <c r="U12" s="16" t="s">
        <v>247</v>
      </c>
      <c r="V12" s="15" t="n">
        <v>1</v>
      </c>
      <c r="W12" s="15" t="s">
        <v>247</v>
      </c>
      <c r="X12" s="15" t="s">
        <v>316</v>
      </c>
      <c r="Y12" s="15" t="s">
        <v>249</v>
      </c>
      <c r="Z12" s="16" t="str">
        <f aca="false">IFERROR(INDEX(Scoring!$K:$K,MATCH($C12&amp;"|"&amp;$E12,Scoring!$U:$U,0)),"")</f>
        <v/>
      </c>
      <c r="AA12" s="15" t="str">
        <f aca="false">IFERROR(INDEX(Scoring!$Q:$Q,MATCH($C12&amp;"|"&amp;$E12,Scoring!$U:$U,0)),"")</f>
        <v>Priority 3</v>
      </c>
      <c r="AB12" s="15" t="str">
        <f aca="false">IFERROR(INDEX(Scoring!$AK:$AK,MATCH($C12&amp;"|"&amp;$E12,Scoring!$U:$U,0)),"")</f>
        <v>Priority 2</v>
      </c>
      <c r="AC12" s="18" t="n">
        <f aca="false">IFERROR(INDEX(Scoring!$M:$M,MATCH($C12&amp;"|"&amp;$E12,Scoring!$U:$U,0)),"")</f>
        <v>82</v>
      </c>
      <c r="AD12" s="15" t="str">
        <f aca="false">IFERROR(INDEX('Route of Administration'!$C$5:$C$155,MATCH($C12,'Route of Administration'!$A$5:$A$155,0)),"")</f>
        <v>IM</v>
      </c>
      <c r="AE12" s="14" t="str">
        <f aca="false">IFERROR(INDEX('Route of Administration'!$D$5:$D$155,MATCH($C12,'Route of Administration'!$A$5:$A$155,0)),"")</f>
        <v>Yes</v>
      </c>
    </row>
    <row r="13" customFormat="false" ht="28.35" hidden="false" customHeight="false" outlineLevel="0" collapsed="false">
      <c r="B13" s="15" t="n">
        <v>11</v>
      </c>
      <c r="C13" s="15" t="s">
        <v>352</v>
      </c>
      <c r="D13" s="15" t="s">
        <v>352</v>
      </c>
      <c r="E13" s="15" t="s">
        <v>286</v>
      </c>
      <c r="F13" s="15" t="s">
        <v>1538</v>
      </c>
      <c r="G13" s="16" t="s">
        <v>1539</v>
      </c>
      <c r="H13" s="15" t="s">
        <v>1505</v>
      </c>
      <c r="I13" s="17" t="n">
        <v>427.8</v>
      </c>
      <c r="J13" s="15" t="n">
        <v>1</v>
      </c>
      <c r="K13" s="15" t="n">
        <v>411</v>
      </c>
      <c r="L13" s="18" t="n">
        <v>2151.51</v>
      </c>
      <c r="M13" s="16" t="s">
        <v>353</v>
      </c>
      <c r="N13" s="17" t="n">
        <v>427.8</v>
      </c>
      <c r="O13" s="15" t="s">
        <v>1506</v>
      </c>
      <c r="P13" s="15" t="s">
        <v>1507</v>
      </c>
      <c r="Q13" s="16" t="s">
        <v>1508</v>
      </c>
      <c r="R13" s="32" t="s">
        <v>1540</v>
      </c>
      <c r="S13" s="37" t="n">
        <f aca="false">IFERROR(INDEX('Injectable Value'!$Z$28:$Z$178,MATCH($C13,'Injectable Value'!$A$28:$A$178,0)),"")</f>
        <v>1</v>
      </c>
      <c r="T13" s="18" t="n">
        <f aca="false">IFERROR(ROUND(INDEX('Injectable Value'!$AA$28:$AA$178,MATCH($C13,'Injectable Value'!$A$28:$A$178,0)),1),"")</f>
        <v>2151.5</v>
      </c>
      <c r="U13" s="16" t="s">
        <v>247</v>
      </c>
      <c r="V13" s="15" t="n">
        <v>1</v>
      </c>
      <c r="W13" s="15" t="s">
        <v>247</v>
      </c>
      <c r="X13" s="15" t="s">
        <v>248</v>
      </c>
      <c r="Y13" s="15" t="s">
        <v>299</v>
      </c>
      <c r="Z13" s="16" t="str">
        <f aca="false">IFERROR(INDEX(Scoring!$K:$K,MATCH($C13&amp;"|"&amp;$E13,Scoring!$U:$U,0)),"")</f>
        <v>Cancer drug (cytotoxic) – less relevant; Reconstitution</v>
      </c>
      <c r="AA13" s="15" t="str">
        <f aca="false">IFERROR(INDEX(Scoring!$Q:$Q,MATCH($C13&amp;"|"&amp;$E13,Scoring!$U:$U,0)),"")</f>
        <v>Excluded – IV only</v>
      </c>
      <c r="AB13" s="15" t="str">
        <f aca="false">IFERROR(INDEX(Scoring!$AK:$AK,MATCH($C13&amp;"|"&amp;$E13,Scoring!$U:$U,0)),"")</f>
        <v>Excluded – IV only</v>
      </c>
      <c r="AC13" s="18" t="n">
        <f aca="false">IFERROR(INDEX(Scoring!$M:$M,MATCH($C13&amp;"|"&amp;$E13,Scoring!$U:$U,0)),"")</f>
        <v>411</v>
      </c>
      <c r="AD13" s="15" t="str">
        <f aca="false">IFERROR(INDEX('Route of Administration'!$C$5:$C$155,MATCH($C13,'Route of Administration'!$A$5:$A$155,0)),"")</f>
        <v>IV</v>
      </c>
      <c r="AE13" s="14" t="str">
        <f aca="false">IFERROR(INDEX('Route of Administration'!$D$5:$D$155,MATCH($C13,'Route of Administration'!$A$5:$A$155,0)),"")</f>
        <v>No</v>
      </c>
    </row>
    <row r="14" customFormat="false" ht="28.35" hidden="false" customHeight="false" outlineLevel="0" collapsed="false">
      <c r="B14" s="15" t="n">
        <v>12</v>
      </c>
      <c r="C14" s="15" t="s">
        <v>383</v>
      </c>
      <c r="D14" s="15" t="s">
        <v>383</v>
      </c>
      <c r="E14" s="15" t="s">
        <v>286</v>
      </c>
      <c r="F14" s="15" t="s">
        <v>1541</v>
      </c>
      <c r="G14" s="16" t="s">
        <v>1542</v>
      </c>
      <c r="H14" s="15" t="s">
        <v>1505</v>
      </c>
      <c r="I14" s="17" t="n">
        <v>343.8</v>
      </c>
      <c r="J14" s="15" t="n">
        <v>1</v>
      </c>
      <c r="K14" s="15" t="n">
        <v>149</v>
      </c>
      <c r="L14" s="18" t="n">
        <v>5255.61</v>
      </c>
      <c r="M14" s="16" t="s">
        <v>384</v>
      </c>
      <c r="N14" s="17" t="n">
        <v>343.8</v>
      </c>
      <c r="O14" s="15" t="s">
        <v>1506</v>
      </c>
      <c r="P14" s="15" t="s">
        <v>1507</v>
      </c>
      <c r="Q14" s="16" t="s">
        <v>1508</v>
      </c>
      <c r="R14" s="32" t="s">
        <v>1543</v>
      </c>
      <c r="S14" s="37" t="n">
        <f aca="false">IFERROR(INDEX('Injectable Value'!$Z$28:$Z$178,MATCH($C14,'Injectable Value'!$A$28:$A$178,0)),"")</f>
        <v>0.985294117647059</v>
      </c>
      <c r="T14" s="18" t="n">
        <f aca="false">IFERROR(ROUND(INDEX('Injectable Value'!$AA$28:$AA$178,MATCH($C14,'Injectable Value'!$A$28:$A$178,0)),1),"")</f>
        <v>5178.3</v>
      </c>
      <c r="U14" s="16" t="s">
        <v>247</v>
      </c>
      <c r="V14" s="15" t="n">
        <v>1</v>
      </c>
      <c r="W14" s="15" t="s">
        <v>247</v>
      </c>
      <c r="X14" s="15" t="s">
        <v>248</v>
      </c>
      <c r="Y14" s="15" t="s">
        <v>249</v>
      </c>
      <c r="Z14" s="16" t="str">
        <f aca="false">IFERROR(INDEX(Scoring!$K:$K,MATCH($C14&amp;"|"&amp;$E14,Scoring!$U:$U,0)),"")</f>
        <v/>
      </c>
      <c r="AA14" s="15" t="str">
        <f aca="false">IFERROR(INDEX(Scoring!$Q:$Q,MATCH($C14&amp;"|"&amp;$E14,Scoring!$U:$U,0)),"")</f>
        <v>Excluded – IV only</v>
      </c>
      <c r="AB14" s="15" t="str">
        <f aca="false">IFERROR(INDEX(Scoring!$AK:$AK,MATCH($C14&amp;"|"&amp;$E14,Scoring!$U:$U,0)),"")</f>
        <v>Excluded – IV only</v>
      </c>
      <c r="AC14" s="18" t="n">
        <f aca="false">IFERROR(INDEX(Scoring!$M:$M,MATCH($C14&amp;"|"&amp;$E14,Scoring!$U:$U,0)),"")</f>
        <v>147</v>
      </c>
      <c r="AD14" s="15" t="str">
        <f aca="false">IFERROR(INDEX('Route of Administration'!$C$5:$C$155,MATCH($C14,'Route of Administration'!$A$5:$A$155,0)),"")</f>
        <v>IV</v>
      </c>
      <c r="AE14" s="14" t="str">
        <f aca="false">IFERROR(INDEX('Route of Administration'!$D$5:$D$155,MATCH($C14,'Route of Administration'!$A$5:$A$155,0)),"")</f>
        <v>No</v>
      </c>
    </row>
    <row r="15" customFormat="false" ht="28.35" hidden="false" customHeight="false" outlineLevel="0" collapsed="false">
      <c r="B15" s="15" t="n">
        <v>13</v>
      </c>
      <c r="C15" s="15" t="s">
        <v>394</v>
      </c>
      <c r="D15" s="15" t="s">
        <v>399</v>
      </c>
      <c r="E15" s="15" t="s">
        <v>286</v>
      </c>
      <c r="F15" s="15" t="s">
        <v>1544</v>
      </c>
      <c r="G15" s="16"/>
      <c r="H15" s="15"/>
      <c r="I15" s="17"/>
      <c r="J15" s="15" t="n">
        <v>1</v>
      </c>
      <c r="K15" s="15" t="n">
        <v>126</v>
      </c>
      <c r="L15" s="18" t="n">
        <v>5896.49</v>
      </c>
      <c r="M15" s="16" t="s">
        <v>395</v>
      </c>
      <c r="N15" s="17"/>
      <c r="O15" s="15" t="s">
        <v>1545</v>
      </c>
      <c r="P15" s="15" t="s">
        <v>70</v>
      </c>
      <c r="Q15" s="16" t="s">
        <v>70</v>
      </c>
      <c r="R15" s="15"/>
      <c r="S15" s="37" t="n">
        <f aca="false">IFERROR(INDEX('Injectable Value'!$Z$28:$Z$178,MATCH($C15,'Injectable Value'!$A$28:$A$178,0)),"")</f>
        <v>1</v>
      </c>
      <c r="T15" s="18" t="n">
        <f aca="false">IFERROR(ROUND(INDEX('Injectable Value'!$AA$28:$AA$178,MATCH($C15,'Injectable Value'!$A$28:$A$178,0)),1),"")</f>
        <v>5896.5</v>
      </c>
      <c r="U15" s="16" t="s">
        <v>400</v>
      </c>
      <c r="V15" s="15" t="n">
        <v>2</v>
      </c>
      <c r="W15" s="15" t="s">
        <v>247</v>
      </c>
      <c r="X15" s="15" t="s">
        <v>277</v>
      </c>
      <c r="Y15" s="15" t="s">
        <v>1519</v>
      </c>
      <c r="Z15" s="16" t="str">
        <f aca="false">IFERROR(INDEX(Scoring!$K:$K,MATCH($C15&amp;"|"&amp;$E15,Scoring!$U:$U,0)),"")</f>
        <v/>
      </c>
      <c r="AA15" s="15" t="str">
        <f aca="false">IFERROR(INDEX(Scoring!$Q:$Q,MATCH($C15&amp;"|"&amp;$E15,Scoring!$U:$U,0)),"")</f>
        <v>Excluded – IV only</v>
      </c>
      <c r="AB15" s="15" t="str">
        <f aca="false">IFERROR(INDEX(Scoring!$AK:$AK,MATCH($C15&amp;"|"&amp;$E15,Scoring!$U:$U,0)),"")</f>
        <v>Excluded – IV only</v>
      </c>
      <c r="AC15" s="18" t="n">
        <f aca="false">IFERROR(INDEX(Scoring!$M:$M,MATCH($C15&amp;"|"&amp;$E15,Scoring!$U:$U,0)),"")</f>
        <v>126</v>
      </c>
      <c r="AD15" s="15" t="str">
        <f aca="false">IFERROR(INDEX('Route of Administration'!$C$5:$C$155,MATCH($C15,'Route of Administration'!$A$5:$A$155,0)),"")</f>
        <v>IV</v>
      </c>
      <c r="AE15" s="14" t="str">
        <f aca="false">IFERROR(INDEX('Route of Administration'!$D$5:$D$155,MATCH($C15,'Route of Administration'!$A$5:$A$155,0)),"")</f>
        <v>No</v>
      </c>
    </row>
    <row r="16" customFormat="false" ht="28.35" hidden="false" customHeight="false" outlineLevel="0" collapsed="false">
      <c r="B16" s="15" t="n">
        <v>14</v>
      </c>
      <c r="C16" s="15" t="s">
        <v>394</v>
      </c>
      <c r="D16" s="15" t="s">
        <v>399</v>
      </c>
      <c r="E16" s="15" t="s">
        <v>286</v>
      </c>
      <c r="F16" s="15" t="s">
        <v>1546</v>
      </c>
      <c r="G16" s="16" t="s">
        <v>1547</v>
      </c>
      <c r="H16" s="15" t="s">
        <v>1505</v>
      </c>
      <c r="I16" s="17" t="n">
        <v>54.54</v>
      </c>
      <c r="J16" s="15" t="n">
        <v>1</v>
      </c>
      <c r="K16" s="15" t="n">
        <v>126</v>
      </c>
      <c r="L16" s="18" t="n">
        <v>5896.49</v>
      </c>
      <c r="M16" s="16" t="s">
        <v>395</v>
      </c>
      <c r="N16" s="17" t="n">
        <v>54.54</v>
      </c>
      <c r="O16" s="15" t="s">
        <v>1506</v>
      </c>
      <c r="P16" s="15" t="s">
        <v>1507</v>
      </c>
      <c r="Q16" s="16" t="s">
        <v>1508</v>
      </c>
      <c r="R16" s="32" t="s">
        <v>1548</v>
      </c>
      <c r="S16" s="37" t="n">
        <f aca="false">IFERROR(INDEX('Injectable Value'!$Z$28:$Z$178,MATCH($C16,'Injectable Value'!$A$28:$A$178,0)),"")</f>
        <v>1</v>
      </c>
      <c r="T16" s="18" t="n">
        <f aca="false">IFERROR(ROUND(INDEX('Injectable Value'!$AA$28:$AA$178,MATCH($C16,'Injectable Value'!$A$28:$A$178,0)),1),"")</f>
        <v>5896.5</v>
      </c>
      <c r="U16" s="16" t="s">
        <v>400</v>
      </c>
      <c r="V16" s="15" t="n">
        <v>2</v>
      </c>
      <c r="W16" s="15" t="s">
        <v>247</v>
      </c>
      <c r="X16" s="15" t="s">
        <v>396</v>
      </c>
      <c r="Y16" s="15" t="s">
        <v>1519</v>
      </c>
      <c r="Z16" s="16" t="str">
        <f aca="false">IFERROR(INDEX(Scoring!$K:$K,MATCH($C16&amp;"|"&amp;$E16,Scoring!$U:$U,0)),"")</f>
        <v/>
      </c>
      <c r="AA16" s="15" t="str">
        <f aca="false">IFERROR(INDEX(Scoring!$Q:$Q,MATCH($C16&amp;"|"&amp;$E16,Scoring!$U:$U,0)),"")</f>
        <v>Excluded – IV only</v>
      </c>
      <c r="AB16" s="15" t="str">
        <f aca="false">IFERROR(INDEX(Scoring!$AK:$AK,MATCH($C16&amp;"|"&amp;$E16,Scoring!$U:$U,0)),"")</f>
        <v>Excluded – IV only</v>
      </c>
      <c r="AC16" s="18" t="n">
        <f aca="false">IFERROR(INDEX(Scoring!$M:$M,MATCH($C16&amp;"|"&amp;$E16,Scoring!$U:$U,0)),"")</f>
        <v>126</v>
      </c>
      <c r="AD16" s="15" t="str">
        <f aca="false">IFERROR(INDEX('Route of Administration'!$C$5:$C$155,MATCH($C16,'Route of Administration'!$A$5:$A$155,0)),"")</f>
        <v>IV</v>
      </c>
      <c r="AE16" s="14" t="str">
        <f aca="false">IFERROR(INDEX('Route of Administration'!$D$5:$D$155,MATCH($C16,'Route of Administration'!$A$5:$A$155,0)),"")</f>
        <v>No</v>
      </c>
    </row>
    <row r="17" customFormat="false" ht="28.35" hidden="false" customHeight="false" outlineLevel="0" collapsed="false">
      <c r="B17" s="15" t="n">
        <v>15</v>
      </c>
      <c r="C17" s="15" t="s">
        <v>408</v>
      </c>
      <c r="D17" s="15" t="s">
        <v>408</v>
      </c>
      <c r="E17" s="15" t="s">
        <v>286</v>
      </c>
      <c r="F17" s="15" t="s">
        <v>1549</v>
      </c>
      <c r="G17" s="16" t="s">
        <v>1550</v>
      </c>
      <c r="H17" s="15" t="s">
        <v>1505</v>
      </c>
      <c r="I17" s="17" t="n">
        <v>5.68</v>
      </c>
      <c r="J17" s="15" t="n">
        <v>1</v>
      </c>
      <c r="K17" s="15" t="n">
        <v>727</v>
      </c>
      <c r="L17" s="18" t="n">
        <v>7496</v>
      </c>
      <c r="M17" s="16" t="s">
        <v>409</v>
      </c>
      <c r="N17" s="17" t="n">
        <v>5.68</v>
      </c>
      <c r="O17" s="15" t="s">
        <v>1506</v>
      </c>
      <c r="P17" s="15" t="s">
        <v>1507</v>
      </c>
      <c r="Q17" s="16" t="s">
        <v>1508</v>
      </c>
      <c r="R17" s="32" t="s">
        <v>1551</v>
      </c>
      <c r="S17" s="37" t="n">
        <f aca="false">IFERROR(INDEX('Injectable Value'!$Z$28:$Z$178,MATCH($C17,'Injectable Value'!$A$28:$A$178,0)),"")</f>
        <v>0.650751867180439</v>
      </c>
      <c r="T17" s="18" t="n">
        <f aca="false">IFERROR(ROUND(INDEX('Injectable Value'!$AA$28:$AA$178,MATCH($C17,'Injectable Value'!$A$28:$A$178,0)),1),"")</f>
        <v>4878</v>
      </c>
      <c r="U17" s="16" t="s">
        <v>247</v>
      </c>
      <c r="V17" s="15" t="n">
        <v>1</v>
      </c>
      <c r="W17" s="15" t="s">
        <v>247</v>
      </c>
      <c r="X17" s="15" t="s">
        <v>248</v>
      </c>
      <c r="Y17" s="15" t="s">
        <v>1519</v>
      </c>
      <c r="Z17" s="16" t="str">
        <f aca="false">IFERROR(INDEX(Scoring!$K:$K,MATCH($C17&amp;"|"&amp;$E17,Scoring!$U:$U,0)),"")</f>
        <v>Cancer drug (cytotoxic) – less relevant</v>
      </c>
      <c r="AA17" s="15" t="str">
        <f aca="false">IFERROR(INDEX(Scoring!$Q:$Q,MATCH($C17&amp;"|"&amp;$E17,Scoring!$U:$U,0)),"")</f>
        <v>Excluded – IV only</v>
      </c>
      <c r="AB17" s="15" t="str">
        <f aca="false">IFERROR(INDEX(Scoring!$AK:$AK,MATCH($C17&amp;"|"&amp;$E17,Scoring!$U:$U,0)),"")</f>
        <v>Excluded – IV only</v>
      </c>
      <c r="AC17" s="18" t="n">
        <f aca="false">IFERROR(INDEX(Scoring!$M:$M,MATCH($C17&amp;"|"&amp;$E17,Scoring!$U:$U,0)),"")</f>
        <v>473</v>
      </c>
      <c r="AD17" s="15" t="str">
        <f aca="false">IFERROR(INDEX('Route of Administration'!$C$5:$C$155,MATCH($C17,'Route of Administration'!$A$5:$A$155,0)),"")</f>
        <v>IV</v>
      </c>
      <c r="AE17" s="14" t="str">
        <f aca="false">IFERROR(INDEX('Route of Administration'!$D$5:$D$155,MATCH($C17,'Route of Administration'!$A$5:$A$155,0)),"")</f>
        <v>No</v>
      </c>
    </row>
    <row r="18" customFormat="false" ht="28.35" hidden="false" customHeight="false" outlineLevel="0" collapsed="false">
      <c r="B18" s="15" t="n">
        <v>16</v>
      </c>
      <c r="C18" s="15" t="s">
        <v>412</v>
      </c>
      <c r="D18" s="15" t="s">
        <v>412</v>
      </c>
      <c r="E18" s="15" t="s">
        <v>286</v>
      </c>
      <c r="F18" s="15" t="s">
        <v>1535</v>
      </c>
      <c r="G18" s="16" t="s">
        <v>1552</v>
      </c>
      <c r="H18" s="15" t="s">
        <v>1505</v>
      </c>
      <c r="I18" s="17" t="n">
        <v>54.55</v>
      </c>
      <c r="J18" s="15" t="n">
        <v>1</v>
      </c>
      <c r="K18" s="15" t="n">
        <v>126</v>
      </c>
      <c r="L18" s="18" t="n">
        <v>3407.51</v>
      </c>
      <c r="M18" s="16" t="s">
        <v>413</v>
      </c>
      <c r="N18" s="17" t="n">
        <v>54.55</v>
      </c>
      <c r="O18" s="15" t="s">
        <v>1506</v>
      </c>
      <c r="P18" s="15" t="s">
        <v>1507</v>
      </c>
      <c r="Q18" s="16" t="s">
        <v>1508</v>
      </c>
      <c r="R18" s="32" t="s">
        <v>1553</v>
      </c>
      <c r="S18" s="37" t="n">
        <f aca="false">IFERROR(INDEX('Injectable Value'!$Z$28:$Z$178,MATCH($C18,'Injectable Value'!$A$28:$A$178,0)),"")</f>
        <v>1</v>
      </c>
      <c r="T18" s="18" t="n">
        <f aca="false">IFERROR(ROUND(INDEX('Injectable Value'!$AA$28:$AA$178,MATCH($C18,'Injectable Value'!$A$28:$A$178,0)),1),"")</f>
        <v>3407.5</v>
      </c>
      <c r="U18" s="16" t="s">
        <v>247</v>
      </c>
      <c r="V18" s="15" t="n">
        <v>1</v>
      </c>
      <c r="W18" s="15" t="s">
        <v>247</v>
      </c>
      <c r="X18" s="15" t="s">
        <v>248</v>
      </c>
      <c r="Y18" s="15" t="s">
        <v>249</v>
      </c>
      <c r="Z18" s="16" t="str">
        <f aca="false">IFERROR(INDEX(Scoring!$K:$K,MATCH($C18&amp;"|"&amp;$E18,Scoring!$U:$U,0)),"")</f>
        <v/>
      </c>
      <c r="AA18" s="15" t="str">
        <f aca="false">IFERROR(INDEX(Scoring!$Q:$Q,MATCH($C18&amp;"|"&amp;$E18,Scoring!$U:$U,0)),"")</f>
        <v>Priority 2</v>
      </c>
      <c r="AB18" s="15" t="str">
        <f aca="false">IFERROR(INDEX(Scoring!$AK:$AK,MATCH($C18&amp;"|"&amp;$E18,Scoring!$U:$U,0)),"")</f>
        <v>Priority 2</v>
      </c>
      <c r="AC18" s="18" t="n">
        <f aca="false">IFERROR(INDEX(Scoring!$M:$M,MATCH($C18&amp;"|"&amp;$E18,Scoring!$U:$U,0)),"")</f>
        <v>126</v>
      </c>
      <c r="AD18" s="15" t="str">
        <f aca="false">IFERROR(INDEX('Route of Administration'!$C$5:$C$155,MATCH($C18,'Route of Administration'!$A$5:$A$155,0)),"")</f>
        <v>IM, SC</v>
      </c>
      <c r="AE18" s="14" t="str">
        <f aca="false">IFERROR(INDEX('Route of Administration'!$D$5:$D$155,MATCH($C18,'Route of Administration'!$A$5:$A$155,0)),"")</f>
        <v>Yes</v>
      </c>
    </row>
    <row r="19" customFormat="false" ht="28.35" hidden="false" customHeight="false" outlineLevel="0" collapsed="false">
      <c r="B19" s="15" t="n">
        <v>17</v>
      </c>
      <c r="C19" s="15" t="s">
        <v>439</v>
      </c>
      <c r="D19" s="15" t="s">
        <v>439</v>
      </c>
      <c r="E19" s="15" t="s">
        <v>286</v>
      </c>
      <c r="F19" s="15" t="s">
        <v>1554</v>
      </c>
      <c r="G19" s="16" t="s">
        <v>1555</v>
      </c>
      <c r="H19" s="15" t="s">
        <v>1505</v>
      </c>
      <c r="I19" s="17" t="n">
        <v>25.66</v>
      </c>
      <c r="J19" s="15" t="n">
        <v>1</v>
      </c>
      <c r="K19" s="15" t="n">
        <v>122</v>
      </c>
      <c r="L19" s="18" t="n">
        <v>8000.57</v>
      </c>
      <c r="M19" s="16" t="s">
        <v>440</v>
      </c>
      <c r="N19" s="17" t="n">
        <v>25.66</v>
      </c>
      <c r="O19" s="15" t="s">
        <v>1506</v>
      </c>
      <c r="P19" s="15" t="s">
        <v>1507</v>
      </c>
      <c r="Q19" s="16" t="s">
        <v>1508</v>
      </c>
      <c r="R19" s="32" t="s">
        <v>1556</v>
      </c>
      <c r="S19" s="37" t="n">
        <f aca="false">IFERROR(INDEX('Injectable Value'!$Z$28:$Z$178,MATCH($C19,'Injectable Value'!$A$28:$A$178,0)),"")</f>
        <v>0.33624222999223</v>
      </c>
      <c r="T19" s="18" t="n">
        <f aca="false">IFERROR(ROUND(INDEX('Injectable Value'!$AA$28:$AA$178,MATCH($C19,'Injectable Value'!$A$28:$A$178,0)),1),"")</f>
        <v>2690.1</v>
      </c>
      <c r="U19" s="16" t="s">
        <v>247</v>
      </c>
      <c r="V19" s="15" t="n">
        <v>1</v>
      </c>
      <c r="W19" s="15" t="s">
        <v>247</v>
      </c>
      <c r="X19" s="15" t="s">
        <v>248</v>
      </c>
      <c r="Y19" s="15" t="s">
        <v>249</v>
      </c>
      <c r="Z19" s="16" t="str">
        <f aca="false">IFERROR(INDEX(Scoring!$K:$K,MATCH($C19&amp;"|"&amp;$E19,Scoring!$U:$U,0)),"")</f>
        <v/>
      </c>
      <c r="AA19" s="15" t="str">
        <f aca="false">IFERROR(INDEX(Scoring!$Q:$Q,MATCH($C19&amp;"|"&amp;$E19,Scoring!$U:$U,0)),"")</f>
        <v>Priority 2</v>
      </c>
      <c r="AB19" s="15" t="str">
        <f aca="false">IFERROR(INDEX(Scoring!$AK:$AK,MATCH($C19&amp;"|"&amp;$E19,Scoring!$U:$U,0)),"")</f>
        <v>Priority 2</v>
      </c>
      <c r="AC19" s="18" t="n">
        <f aca="false">IFERROR(INDEX(Scoring!$M:$M,MATCH($C19&amp;"|"&amp;$E19,Scoring!$U:$U,0)),"")</f>
        <v>41</v>
      </c>
      <c r="AD19" s="15" t="str">
        <f aca="false">IFERROR(INDEX('Route of Administration'!$C$5:$C$155,MATCH($C19,'Route of Administration'!$A$5:$A$155,0)),"")</f>
        <v>IM, SC</v>
      </c>
      <c r="AE19" s="14" t="str">
        <f aca="false">IFERROR(INDEX('Route of Administration'!$D$5:$D$155,MATCH($C19,'Route of Administration'!$A$5:$A$155,0)),"")</f>
        <v>Yes</v>
      </c>
    </row>
    <row r="20" customFormat="false" ht="28.35" hidden="false" customHeight="false" outlineLevel="0" collapsed="false">
      <c r="B20" s="15" t="n">
        <v>18</v>
      </c>
      <c r="C20" s="15" t="s">
        <v>439</v>
      </c>
      <c r="D20" s="15" t="s">
        <v>439</v>
      </c>
      <c r="E20" s="15" t="s">
        <v>286</v>
      </c>
      <c r="F20" s="15" t="s">
        <v>1554</v>
      </c>
      <c r="G20" s="16" t="s">
        <v>1557</v>
      </c>
      <c r="H20" s="15" t="s">
        <v>1512</v>
      </c>
      <c r="I20" s="17" t="n">
        <v>44.85</v>
      </c>
      <c r="J20" s="15" t="n">
        <v>1</v>
      </c>
      <c r="K20" s="15" t="n">
        <v>122</v>
      </c>
      <c r="L20" s="18" t="n">
        <v>8000.57</v>
      </c>
      <c r="M20" s="16" t="s">
        <v>440</v>
      </c>
      <c r="N20" s="17" t="n">
        <v>44.85</v>
      </c>
      <c r="O20" s="15" t="s">
        <v>1506</v>
      </c>
      <c r="P20" s="15" t="s">
        <v>1507</v>
      </c>
      <c r="Q20" s="16" t="s">
        <v>1508</v>
      </c>
      <c r="R20" s="32" t="s">
        <v>1558</v>
      </c>
      <c r="S20" s="37" t="n">
        <f aca="false">IFERROR(INDEX('Injectable Value'!$Z$28:$Z$178,MATCH($C20,'Injectable Value'!$A$28:$A$178,0)),"")</f>
        <v>0.33624222999223</v>
      </c>
      <c r="T20" s="18" t="n">
        <f aca="false">IFERROR(ROUND(INDEX('Injectable Value'!$AA$28:$AA$178,MATCH($C20,'Injectable Value'!$A$28:$A$178,0)),1),"")</f>
        <v>2690.1</v>
      </c>
      <c r="U20" s="16" t="s">
        <v>247</v>
      </c>
      <c r="V20" s="15" t="n">
        <v>1</v>
      </c>
      <c r="W20" s="15" t="s">
        <v>247</v>
      </c>
      <c r="X20" s="15" t="s">
        <v>258</v>
      </c>
      <c r="Y20" s="15" t="s">
        <v>249</v>
      </c>
      <c r="Z20" s="16" t="str">
        <f aca="false">IFERROR(INDEX(Scoring!$K:$K,MATCH($C20&amp;"|"&amp;$E20,Scoring!$U:$U,0)),"")</f>
        <v/>
      </c>
      <c r="AA20" s="15" t="str">
        <f aca="false">IFERROR(INDEX(Scoring!$Q:$Q,MATCH($C20&amp;"|"&amp;$E20,Scoring!$U:$U,0)),"")</f>
        <v>Priority 2</v>
      </c>
      <c r="AB20" s="15" t="str">
        <f aca="false">IFERROR(INDEX(Scoring!$AK:$AK,MATCH($C20&amp;"|"&amp;$E20,Scoring!$U:$U,0)),"")</f>
        <v>Priority 2</v>
      </c>
      <c r="AC20" s="18" t="n">
        <f aca="false">IFERROR(INDEX(Scoring!$M:$M,MATCH($C20&amp;"|"&amp;$E20,Scoring!$U:$U,0)),"")</f>
        <v>41</v>
      </c>
      <c r="AD20" s="15" t="str">
        <f aca="false">IFERROR(INDEX('Route of Administration'!$C$5:$C$155,MATCH($C20,'Route of Administration'!$A$5:$A$155,0)),"")</f>
        <v>IM, SC</v>
      </c>
      <c r="AE20" s="14" t="str">
        <f aca="false">IFERROR(INDEX('Route of Administration'!$D$5:$D$155,MATCH($C20,'Route of Administration'!$A$5:$A$155,0)),"")</f>
        <v>Yes</v>
      </c>
    </row>
    <row r="21" customFormat="false" ht="41.75" hidden="false" customHeight="false" outlineLevel="0" collapsed="false">
      <c r="B21" s="15" t="n">
        <v>19</v>
      </c>
      <c r="C21" s="15" t="s">
        <v>266</v>
      </c>
      <c r="D21" s="15" t="s">
        <v>464</v>
      </c>
      <c r="E21" s="15" t="s">
        <v>286</v>
      </c>
      <c r="F21" s="15" t="s">
        <v>1520</v>
      </c>
      <c r="G21" s="16" t="s">
        <v>1559</v>
      </c>
      <c r="H21" s="15" t="s">
        <v>1505</v>
      </c>
      <c r="I21" s="17" t="n">
        <v>7.15</v>
      </c>
      <c r="J21" s="15" t="n">
        <v>1</v>
      </c>
      <c r="K21" s="15" t="n">
        <v>1282</v>
      </c>
      <c r="L21" s="18" t="n">
        <v>16792.84</v>
      </c>
      <c r="M21" s="16" t="s">
        <v>267</v>
      </c>
      <c r="N21" s="17" t="n">
        <v>7.15</v>
      </c>
      <c r="O21" s="15" t="s">
        <v>1506</v>
      </c>
      <c r="P21" s="15" t="s">
        <v>1507</v>
      </c>
      <c r="Q21" s="16" t="s">
        <v>1508</v>
      </c>
      <c r="R21" s="32" t="s">
        <v>1518</v>
      </c>
      <c r="S21" s="37" t="n">
        <f aca="false">IFERROR(INDEX('Injectable Value'!$Z$28:$Z$178,MATCH($C21,'Injectable Value'!$A$28:$A$178,0)),"")</f>
        <v>0.776857437207773</v>
      </c>
      <c r="T21" s="18" t="n">
        <f aca="false">IFERROR(ROUND(INDEX('Injectable Value'!$AA$28:$AA$178,MATCH($C21,'Injectable Value'!$A$28:$A$178,0)),1),"")</f>
        <v>13045.6</v>
      </c>
      <c r="U21" s="16" t="s">
        <v>247</v>
      </c>
      <c r="V21" s="15" t="n">
        <v>1</v>
      </c>
      <c r="W21" s="15" t="s">
        <v>247</v>
      </c>
      <c r="X21" s="15" t="s">
        <v>248</v>
      </c>
      <c r="Y21" s="15" t="s">
        <v>249</v>
      </c>
      <c r="Z21" s="16" t="str">
        <f aca="false">IFERROR(INDEX(Scoring!$K:$K,MATCH($C21&amp;"|"&amp;$E21,Scoring!$U:$U,0)),"")</f>
        <v>Cancer drug (cytotoxic) – less relevant</v>
      </c>
      <c r="AA21" s="15" t="str">
        <f aca="false">IFERROR(INDEX(Scoring!$Q:$Q,MATCH($C21&amp;"|"&amp;$E21,Scoring!$U:$U,0)),"")</f>
        <v>Priority 2</v>
      </c>
      <c r="AB21" s="15" t="str">
        <f aca="false">IFERROR(INDEX(Scoring!$AK:$AK,MATCH($C21&amp;"|"&amp;$E21,Scoring!$U:$U,0)),"")</f>
        <v>Priority 2</v>
      </c>
      <c r="AC21" s="18" t="n">
        <f aca="false">IFERROR(INDEX(Scoring!$M:$M,MATCH($C21&amp;"|"&amp;$E21,Scoring!$U:$U,0)),"")</f>
        <v>996</v>
      </c>
      <c r="AD21" s="15" t="str">
        <f aca="false">IFERROR(INDEX('Route of Administration'!$C$5:$C$155,MATCH($C21,'Route of Administration'!$A$5:$A$155,0)),"")</f>
        <v>IV, IM, SC</v>
      </c>
      <c r="AE21" s="14" t="str">
        <f aca="false">IFERROR(INDEX('Route of Administration'!$D$5:$D$155,MATCH($C21,'Route of Administration'!$A$5:$A$155,0)),"")</f>
        <v>Yes</v>
      </c>
    </row>
    <row r="22" customFormat="false" ht="41.75" hidden="false" customHeight="false" outlineLevel="0" collapsed="false">
      <c r="B22" s="15" t="n">
        <v>20</v>
      </c>
      <c r="C22" s="15" t="s">
        <v>266</v>
      </c>
      <c r="D22" s="15" t="s">
        <v>464</v>
      </c>
      <c r="E22" s="15" t="s">
        <v>286</v>
      </c>
      <c r="F22" s="15" t="s">
        <v>1560</v>
      </c>
      <c r="G22" s="16" t="s">
        <v>1561</v>
      </c>
      <c r="H22" s="15" t="s">
        <v>1505</v>
      </c>
      <c r="I22" s="17" t="n">
        <v>9.9</v>
      </c>
      <c r="J22" s="15" t="n">
        <v>1</v>
      </c>
      <c r="K22" s="15" t="n">
        <v>1282</v>
      </c>
      <c r="L22" s="18" t="n">
        <v>16792.84</v>
      </c>
      <c r="M22" s="16" t="s">
        <v>267</v>
      </c>
      <c r="N22" s="17" t="n">
        <v>9.9</v>
      </c>
      <c r="O22" s="15" t="s">
        <v>1506</v>
      </c>
      <c r="P22" s="15" t="s">
        <v>1507</v>
      </c>
      <c r="Q22" s="16" t="s">
        <v>1508</v>
      </c>
      <c r="R22" s="32" t="s">
        <v>1518</v>
      </c>
      <c r="S22" s="37" t="n">
        <f aca="false">IFERROR(INDEX('Injectable Value'!$Z$28:$Z$178,MATCH($C22,'Injectable Value'!$A$28:$A$178,0)),"")</f>
        <v>0.776857437207773</v>
      </c>
      <c r="T22" s="18" t="n">
        <f aca="false">IFERROR(ROUND(INDEX('Injectable Value'!$AA$28:$AA$178,MATCH($C22,'Injectable Value'!$A$28:$A$178,0)),1),"")</f>
        <v>13045.6</v>
      </c>
      <c r="U22" s="16" t="s">
        <v>247</v>
      </c>
      <c r="V22" s="15" t="n">
        <v>1</v>
      </c>
      <c r="W22" s="15" t="s">
        <v>247</v>
      </c>
      <c r="X22" s="15" t="s">
        <v>248</v>
      </c>
      <c r="Y22" s="15" t="s">
        <v>249</v>
      </c>
      <c r="Z22" s="16" t="str">
        <f aca="false">IFERROR(INDEX(Scoring!$K:$K,MATCH($C22&amp;"|"&amp;$E22,Scoring!$U:$U,0)),"")</f>
        <v>Cancer drug (cytotoxic) – less relevant</v>
      </c>
      <c r="AA22" s="15" t="str">
        <f aca="false">IFERROR(INDEX(Scoring!$Q:$Q,MATCH($C22&amp;"|"&amp;$E22,Scoring!$U:$U,0)),"")</f>
        <v>Priority 2</v>
      </c>
      <c r="AB22" s="15" t="str">
        <f aca="false">IFERROR(INDEX(Scoring!$AK:$AK,MATCH($C22&amp;"|"&amp;$E22,Scoring!$U:$U,0)),"")</f>
        <v>Priority 2</v>
      </c>
      <c r="AC22" s="18" t="n">
        <f aca="false">IFERROR(INDEX(Scoring!$M:$M,MATCH($C22&amp;"|"&amp;$E22,Scoring!$U:$U,0)),"")</f>
        <v>996</v>
      </c>
      <c r="AD22" s="15" t="str">
        <f aca="false">IFERROR(INDEX('Route of Administration'!$C$5:$C$155,MATCH($C22,'Route of Administration'!$A$5:$A$155,0)),"")</f>
        <v>IV, IM, SC</v>
      </c>
      <c r="AE22" s="14" t="str">
        <f aca="false">IFERROR(INDEX('Route of Administration'!$D$5:$D$155,MATCH($C22,'Route of Administration'!$A$5:$A$155,0)),"")</f>
        <v>Yes</v>
      </c>
    </row>
    <row r="23" customFormat="false" ht="41.75" hidden="false" customHeight="false" outlineLevel="0" collapsed="false">
      <c r="B23" s="15" t="n">
        <v>21</v>
      </c>
      <c r="C23" s="15" t="s">
        <v>266</v>
      </c>
      <c r="D23" s="15" t="s">
        <v>464</v>
      </c>
      <c r="E23" s="15" t="s">
        <v>286</v>
      </c>
      <c r="F23" s="15" t="s">
        <v>1562</v>
      </c>
      <c r="G23" s="16" t="s">
        <v>1563</v>
      </c>
      <c r="H23" s="15" t="s">
        <v>1505</v>
      </c>
      <c r="I23" s="17" t="n">
        <v>12.38</v>
      </c>
      <c r="J23" s="15" t="n">
        <v>1</v>
      </c>
      <c r="K23" s="15" t="n">
        <v>1282</v>
      </c>
      <c r="L23" s="18" t="n">
        <v>16792.84</v>
      </c>
      <c r="M23" s="16" t="s">
        <v>267</v>
      </c>
      <c r="N23" s="17" t="n">
        <v>12.38</v>
      </c>
      <c r="O23" s="15" t="s">
        <v>1506</v>
      </c>
      <c r="P23" s="15" t="s">
        <v>1507</v>
      </c>
      <c r="Q23" s="16" t="s">
        <v>1508</v>
      </c>
      <c r="R23" s="32" t="s">
        <v>1518</v>
      </c>
      <c r="S23" s="37" t="n">
        <f aca="false">IFERROR(INDEX('Injectable Value'!$Z$28:$Z$178,MATCH($C23,'Injectable Value'!$A$28:$A$178,0)),"")</f>
        <v>0.776857437207773</v>
      </c>
      <c r="T23" s="18" t="n">
        <f aca="false">IFERROR(ROUND(INDEX('Injectable Value'!$AA$28:$AA$178,MATCH($C23,'Injectable Value'!$A$28:$A$178,0)),1),"")</f>
        <v>13045.6</v>
      </c>
      <c r="U23" s="16" t="s">
        <v>247</v>
      </c>
      <c r="V23" s="15" t="n">
        <v>1</v>
      </c>
      <c r="W23" s="15" t="s">
        <v>247</v>
      </c>
      <c r="X23" s="15" t="s">
        <v>248</v>
      </c>
      <c r="Y23" s="15" t="s">
        <v>249</v>
      </c>
      <c r="Z23" s="16" t="str">
        <f aca="false">IFERROR(INDEX(Scoring!$K:$K,MATCH($C23&amp;"|"&amp;$E23,Scoring!$U:$U,0)),"")</f>
        <v>Cancer drug (cytotoxic) – less relevant</v>
      </c>
      <c r="AA23" s="15" t="str">
        <f aca="false">IFERROR(INDEX(Scoring!$Q:$Q,MATCH($C23&amp;"|"&amp;$E23,Scoring!$U:$U,0)),"")</f>
        <v>Priority 2</v>
      </c>
      <c r="AB23" s="15" t="str">
        <f aca="false">IFERROR(INDEX(Scoring!$AK:$AK,MATCH($C23&amp;"|"&amp;$E23,Scoring!$U:$U,0)),"")</f>
        <v>Priority 2</v>
      </c>
      <c r="AC23" s="18" t="n">
        <f aca="false">IFERROR(INDEX(Scoring!$M:$M,MATCH($C23&amp;"|"&amp;$E23,Scoring!$U:$U,0)),"")</f>
        <v>996</v>
      </c>
      <c r="AD23" s="15" t="str">
        <f aca="false">IFERROR(INDEX('Route of Administration'!$C$5:$C$155,MATCH($C23,'Route of Administration'!$A$5:$A$155,0)),"")</f>
        <v>IV, IM, SC</v>
      </c>
      <c r="AE23" s="14" t="str">
        <f aca="false">IFERROR(INDEX('Route of Administration'!$D$5:$D$155,MATCH($C23,'Route of Administration'!$A$5:$A$155,0)),"")</f>
        <v>Yes</v>
      </c>
    </row>
    <row r="24" customFormat="false" ht="41.75" hidden="false" customHeight="false" outlineLevel="0" collapsed="false">
      <c r="B24" s="15" t="n">
        <v>22</v>
      </c>
      <c r="C24" s="15" t="s">
        <v>465</v>
      </c>
      <c r="D24" s="15" t="s">
        <v>465</v>
      </c>
      <c r="E24" s="15" t="s">
        <v>286</v>
      </c>
      <c r="F24" s="15" t="s">
        <v>1524</v>
      </c>
      <c r="G24" s="16" t="s">
        <v>1564</v>
      </c>
      <c r="H24" s="15" t="s">
        <v>1505</v>
      </c>
      <c r="I24" s="17"/>
      <c r="J24" s="15" t="n">
        <v>1</v>
      </c>
      <c r="K24" s="15" t="n">
        <v>81</v>
      </c>
      <c r="L24" s="18" t="n">
        <v>4745.88</v>
      </c>
      <c r="M24" s="16" t="s">
        <v>466</v>
      </c>
      <c r="N24" s="38" t="n">
        <v>4.92</v>
      </c>
      <c r="O24" s="22" t="s">
        <v>1513</v>
      </c>
      <c r="P24" s="15" t="s">
        <v>1507</v>
      </c>
      <c r="Q24" s="16" t="s">
        <v>1514</v>
      </c>
      <c r="R24" s="32" t="s">
        <v>1515</v>
      </c>
      <c r="S24" s="37" t="n">
        <f aca="false">IFERROR(INDEX('Injectable Value'!$Z$28:$Z$178,MATCH($C24,'Injectable Value'!$A$28:$A$178,0)),"")</f>
        <v>1</v>
      </c>
      <c r="T24" s="18" t="n">
        <f aca="false">IFERROR(ROUND(INDEX('Injectable Value'!$AA$28:$AA$178,MATCH($C24,'Injectable Value'!$A$28:$A$178,0)),1),"")</f>
        <v>4745.9</v>
      </c>
      <c r="U24" s="16" t="s">
        <v>247</v>
      </c>
      <c r="V24" s="15" t="n">
        <v>1</v>
      </c>
      <c r="W24" s="15" t="s">
        <v>247</v>
      </c>
      <c r="X24" s="15" t="s">
        <v>248</v>
      </c>
      <c r="Y24" s="15" t="s">
        <v>299</v>
      </c>
      <c r="Z24" s="16" t="str">
        <f aca="false">IFERROR(INDEX(Scoring!$K:$K,MATCH($C24&amp;"|"&amp;$E24,Scoring!$U:$U,0)),"")</f>
        <v>Reconstitution</v>
      </c>
      <c r="AA24" s="15" t="str">
        <f aca="false">IFERROR(INDEX(Scoring!$Q:$Q,MATCH($C24&amp;"|"&amp;$E24,Scoring!$U:$U,0)),"")</f>
        <v>Priority 3</v>
      </c>
      <c r="AB24" s="15" t="str">
        <f aca="false">IFERROR(INDEX(Scoring!$AK:$AK,MATCH($C24&amp;"|"&amp;$E24,Scoring!$U:$U,0)),"")</f>
        <v>Priority 3</v>
      </c>
      <c r="AC24" s="18" t="n">
        <f aca="false">IFERROR(INDEX(Scoring!$M:$M,MATCH($C24&amp;"|"&amp;$E24,Scoring!$U:$U,0)),"")</f>
        <v>81</v>
      </c>
      <c r="AD24" s="15" t="str">
        <f aca="false">IFERROR(INDEX('Route of Administration'!$C$5:$C$155,MATCH($C24,'Route of Administration'!$A$5:$A$155,0)),"")</f>
        <v>IM</v>
      </c>
      <c r="AE24" s="14" t="str">
        <f aca="false">IFERROR(INDEX('Route of Administration'!$D$5:$D$155,MATCH($C24,'Route of Administration'!$A$5:$A$155,0)),"")</f>
        <v>Yes</v>
      </c>
    </row>
    <row r="25" customFormat="false" ht="41.75" hidden="false" customHeight="false" outlineLevel="0" collapsed="false">
      <c r="B25" s="15" t="n">
        <v>23</v>
      </c>
      <c r="C25" s="15" t="s">
        <v>465</v>
      </c>
      <c r="D25" s="15" t="s">
        <v>465</v>
      </c>
      <c r="E25" s="15" t="s">
        <v>286</v>
      </c>
      <c r="F25" s="15" t="s">
        <v>1565</v>
      </c>
      <c r="G25" s="16" t="s">
        <v>1566</v>
      </c>
      <c r="H25" s="15" t="s">
        <v>1505</v>
      </c>
      <c r="I25" s="17"/>
      <c r="J25" s="15" t="n">
        <v>1</v>
      </c>
      <c r="K25" s="15" t="n">
        <v>81</v>
      </c>
      <c r="L25" s="18" t="n">
        <v>4745.88</v>
      </c>
      <c r="M25" s="16" t="s">
        <v>466</v>
      </c>
      <c r="N25" s="38" t="n">
        <v>9.84</v>
      </c>
      <c r="O25" s="22" t="s">
        <v>1513</v>
      </c>
      <c r="P25" s="15" t="s">
        <v>1507</v>
      </c>
      <c r="Q25" s="16" t="s">
        <v>1514</v>
      </c>
      <c r="R25" s="32" t="s">
        <v>1515</v>
      </c>
      <c r="S25" s="37" t="n">
        <f aca="false">IFERROR(INDEX('Injectable Value'!$Z$28:$Z$178,MATCH($C25,'Injectable Value'!$A$28:$A$178,0)),"")</f>
        <v>1</v>
      </c>
      <c r="T25" s="18" t="n">
        <f aca="false">IFERROR(ROUND(INDEX('Injectable Value'!$AA$28:$AA$178,MATCH($C25,'Injectable Value'!$A$28:$A$178,0)),1),"")</f>
        <v>4745.9</v>
      </c>
      <c r="U25" s="16" t="s">
        <v>247</v>
      </c>
      <c r="V25" s="15" t="n">
        <v>1</v>
      </c>
      <c r="W25" s="15" t="s">
        <v>247</v>
      </c>
      <c r="X25" s="15" t="s">
        <v>248</v>
      </c>
      <c r="Y25" s="15" t="s">
        <v>299</v>
      </c>
      <c r="Z25" s="16" t="str">
        <f aca="false">IFERROR(INDEX(Scoring!$K:$K,MATCH($C25&amp;"|"&amp;$E25,Scoring!$U:$U,0)),"")</f>
        <v>Reconstitution</v>
      </c>
      <c r="AA25" s="15" t="str">
        <f aca="false">IFERROR(INDEX(Scoring!$Q:$Q,MATCH($C25&amp;"|"&amp;$E25,Scoring!$U:$U,0)),"")</f>
        <v>Priority 3</v>
      </c>
      <c r="AB25" s="15" t="str">
        <f aca="false">IFERROR(INDEX(Scoring!$AK:$AK,MATCH($C25&amp;"|"&amp;$E25,Scoring!$U:$U,0)),"")</f>
        <v>Priority 3</v>
      </c>
      <c r="AC25" s="18" t="n">
        <f aca="false">IFERROR(INDEX(Scoring!$M:$M,MATCH($C25&amp;"|"&amp;$E25,Scoring!$U:$U,0)),"")</f>
        <v>81</v>
      </c>
      <c r="AD25" s="15" t="str">
        <f aca="false">IFERROR(INDEX('Route of Administration'!$C$5:$C$155,MATCH($C25,'Route of Administration'!$A$5:$A$155,0)),"")</f>
        <v>IM</v>
      </c>
      <c r="AE25" s="14" t="str">
        <f aca="false">IFERROR(INDEX('Route of Administration'!$D$5:$D$155,MATCH($C25,'Route of Administration'!$A$5:$A$155,0)),"")</f>
        <v>Yes</v>
      </c>
    </row>
    <row r="26" customFormat="false" ht="15" hidden="false" customHeight="false" outlineLevel="0" collapsed="false">
      <c r="B26" s="15" t="n">
        <v>24</v>
      </c>
      <c r="C26" s="15" t="s">
        <v>475</v>
      </c>
      <c r="D26" s="15" t="s">
        <v>479</v>
      </c>
      <c r="E26" s="15" t="s">
        <v>286</v>
      </c>
      <c r="F26" s="15" t="s">
        <v>1567</v>
      </c>
      <c r="G26" s="16" t="s">
        <v>1568</v>
      </c>
      <c r="H26" s="15" t="s">
        <v>1505</v>
      </c>
      <c r="I26" s="17" t="n">
        <v>8.76</v>
      </c>
      <c r="J26" s="15" t="n">
        <v>1</v>
      </c>
      <c r="K26" s="15" t="n">
        <v>4</v>
      </c>
      <c r="L26" s="18" t="n">
        <v>570.1</v>
      </c>
      <c r="M26" s="16" t="s">
        <v>476</v>
      </c>
      <c r="N26" s="17" t="n">
        <v>8.76</v>
      </c>
      <c r="O26" s="15" t="s">
        <v>1506</v>
      </c>
      <c r="P26" s="15" t="s">
        <v>1507</v>
      </c>
      <c r="Q26" s="16" t="s">
        <v>1508</v>
      </c>
      <c r="R26" s="32" t="s">
        <v>1569</v>
      </c>
      <c r="S26" s="37" t="n">
        <f aca="false">IFERROR(INDEX('Injectable Value'!$Z$28:$Z$178,MATCH($C26,'Injectable Value'!$A$28:$A$178,0)),"")</f>
        <v>1</v>
      </c>
      <c r="T26" s="18" t="n">
        <f aca="false">IFERROR(ROUND(INDEX('Injectable Value'!$AA$28:$AA$178,MATCH($C26,'Injectable Value'!$A$28:$A$178,0)),1),"")</f>
        <v>570.1</v>
      </c>
      <c r="U26" s="16" t="s">
        <v>247</v>
      </c>
      <c r="V26" s="15" t="n">
        <v>1</v>
      </c>
      <c r="W26" s="15" t="s">
        <v>247</v>
      </c>
      <c r="X26" s="15" t="s">
        <v>248</v>
      </c>
      <c r="Y26" s="15" t="s">
        <v>299</v>
      </c>
      <c r="Z26" s="16" t="str">
        <f aca="false">IFERROR(INDEX(Scoring!$K:$K,MATCH($C26&amp;"|"&amp;$E26,Scoring!$U:$U,0)),"")</f>
        <v>Reconstitution</v>
      </c>
      <c r="AA26" s="15" t="str">
        <f aca="false">IFERROR(INDEX(Scoring!$Q:$Q,MATCH($C26&amp;"|"&amp;$E26,Scoring!$U:$U,0)),"")</f>
        <v>Priority 3</v>
      </c>
      <c r="AB26" s="15" t="str">
        <f aca="false">IFERROR(INDEX(Scoring!$AK:$AK,MATCH($C26&amp;"|"&amp;$E26,Scoring!$U:$U,0)),"")</f>
        <v>Priority 3</v>
      </c>
      <c r="AC26" s="18" t="n">
        <f aca="false">IFERROR(INDEX(Scoring!$M:$M,MATCH($C26&amp;"|"&amp;$E26,Scoring!$U:$U,0)),"")</f>
        <v>4</v>
      </c>
      <c r="AD26" s="15" t="str">
        <f aca="false">IFERROR(INDEX('Route of Administration'!$C$5:$C$155,MATCH($C26,'Route of Administration'!$A$5:$A$155,0)),"")</f>
        <v>IV, IM</v>
      </c>
      <c r="AE26" s="14" t="str">
        <f aca="false">IFERROR(INDEX('Route of Administration'!$D$5:$D$155,MATCH($C26,'Route of Administration'!$A$5:$A$155,0)),"")</f>
        <v>Yes</v>
      </c>
    </row>
    <row r="27" customFormat="false" ht="15" hidden="false" customHeight="false" outlineLevel="0" collapsed="false">
      <c r="B27" s="15" t="n">
        <v>25</v>
      </c>
      <c r="C27" s="15" t="s">
        <v>475</v>
      </c>
      <c r="D27" s="15" t="s">
        <v>479</v>
      </c>
      <c r="E27" s="15" t="s">
        <v>286</v>
      </c>
      <c r="F27" s="15" t="s">
        <v>1570</v>
      </c>
      <c r="G27" s="16" t="s">
        <v>1571</v>
      </c>
      <c r="H27" s="15" t="s">
        <v>1505</v>
      </c>
      <c r="I27" s="17" t="n">
        <v>6.06</v>
      </c>
      <c r="J27" s="15" t="n">
        <v>1</v>
      </c>
      <c r="K27" s="15" t="n">
        <v>4</v>
      </c>
      <c r="L27" s="18" t="n">
        <v>570.1</v>
      </c>
      <c r="M27" s="16" t="s">
        <v>476</v>
      </c>
      <c r="N27" s="17" t="n">
        <v>6.06</v>
      </c>
      <c r="O27" s="15" t="s">
        <v>1506</v>
      </c>
      <c r="P27" s="15" t="s">
        <v>1507</v>
      </c>
      <c r="Q27" s="16" t="s">
        <v>1508</v>
      </c>
      <c r="R27" s="32" t="s">
        <v>1569</v>
      </c>
      <c r="S27" s="37" t="n">
        <f aca="false">IFERROR(INDEX('Injectable Value'!$Z$28:$Z$178,MATCH($C27,'Injectable Value'!$A$28:$A$178,0)),"")</f>
        <v>1</v>
      </c>
      <c r="T27" s="18" t="n">
        <f aca="false">IFERROR(ROUND(INDEX('Injectable Value'!$AA$28:$AA$178,MATCH($C27,'Injectable Value'!$A$28:$A$178,0)),1),"")</f>
        <v>570.1</v>
      </c>
      <c r="U27" s="16" t="s">
        <v>247</v>
      </c>
      <c r="V27" s="15" t="n">
        <v>1</v>
      </c>
      <c r="W27" s="15" t="s">
        <v>247</v>
      </c>
      <c r="X27" s="15" t="s">
        <v>248</v>
      </c>
      <c r="Y27" s="15" t="s">
        <v>299</v>
      </c>
      <c r="Z27" s="16" t="str">
        <f aca="false">IFERROR(INDEX(Scoring!$K:$K,MATCH($C27&amp;"|"&amp;$E27,Scoring!$U:$U,0)),"")</f>
        <v>Reconstitution</v>
      </c>
      <c r="AA27" s="15" t="str">
        <f aca="false">IFERROR(INDEX(Scoring!$Q:$Q,MATCH($C27&amp;"|"&amp;$E27,Scoring!$U:$U,0)),"")</f>
        <v>Priority 3</v>
      </c>
      <c r="AB27" s="15" t="str">
        <f aca="false">IFERROR(INDEX(Scoring!$AK:$AK,MATCH($C27&amp;"|"&amp;$E27,Scoring!$U:$U,0)),"")</f>
        <v>Priority 3</v>
      </c>
      <c r="AC27" s="18" t="n">
        <f aca="false">IFERROR(INDEX(Scoring!$M:$M,MATCH($C27&amp;"|"&amp;$E27,Scoring!$U:$U,0)),"")</f>
        <v>4</v>
      </c>
      <c r="AD27" s="15" t="str">
        <f aca="false">IFERROR(INDEX('Route of Administration'!$C$5:$C$155,MATCH($C27,'Route of Administration'!$A$5:$A$155,0)),"")</f>
        <v>IV, IM</v>
      </c>
      <c r="AE27" s="14" t="str">
        <f aca="false">IFERROR(INDEX('Route of Administration'!$D$5:$D$155,MATCH($C27,'Route of Administration'!$A$5:$A$155,0)),"")</f>
        <v>Yes</v>
      </c>
    </row>
    <row r="28" customFormat="false" ht="15" hidden="false" customHeight="false" outlineLevel="0" collapsed="false">
      <c r="B28" s="15" t="n">
        <v>26</v>
      </c>
      <c r="C28" s="15" t="s">
        <v>480</v>
      </c>
      <c r="D28" s="15" t="s">
        <v>485</v>
      </c>
      <c r="E28" s="15" t="s">
        <v>286</v>
      </c>
      <c r="F28" s="15" t="s">
        <v>1572</v>
      </c>
      <c r="G28" s="16" t="s">
        <v>1573</v>
      </c>
      <c r="H28" s="15" t="s">
        <v>1512</v>
      </c>
      <c r="I28" s="17"/>
      <c r="J28" s="15" t="n">
        <v>1</v>
      </c>
      <c r="K28" s="15" t="n">
        <v>365</v>
      </c>
      <c r="L28" s="18" t="n">
        <v>5976.94</v>
      </c>
      <c r="M28" s="16" t="s">
        <v>481</v>
      </c>
      <c r="N28" s="17"/>
      <c r="O28" s="15" t="s">
        <v>1545</v>
      </c>
      <c r="P28" s="15" t="s">
        <v>70</v>
      </c>
      <c r="Q28" s="16" t="s">
        <v>70</v>
      </c>
      <c r="R28" s="15"/>
      <c r="S28" s="37" t="n">
        <f aca="false">IFERROR(INDEX('Injectable Value'!$Z$28:$Z$178,MATCH($C28,'Injectable Value'!$A$28:$A$178,0)),"")</f>
        <v>0.240571827983426</v>
      </c>
      <c r="T28" s="18" t="n">
        <f aca="false">IFERROR(ROUND(INDEX('Injectable Value'!$AA$28:$AA$178,MATCH($C28,'Injectable Value'!$A$28:$A$178,0)),1),"")</f>
        <v>1437.9</v>
      </c>
      <c r="U28" s="16" t="s">
        <v>486</v>
      </c>
      <c r="V28" s="15" t="n">
        <v>2</v>
      </c>
      <c r="W28" s="15" t="s">
        <v>482</v>
      </c>
      <c r="X28" s="15" t="s">
        <v>258</v>
      </c>
      <c r="Y28" s="15" t="s">
        <v>249</v>
      </c>
      <c r="Z28" s="16" t="str">
        <f aca="false">IFERROR(INDEX(Scoring!$K:$K,MATCH($C28&amp;"|"&amp;$E28,Scoring!$U:$U,0)),"")</f>
        <v/>
      </c>
      <c r="AA28" s="15" t="str">
        <f aca="false">IFERROR(INDEX(Scoring!$Q:$Q,MATCH($C28&amp;"|"&amp;$E28,Scoring!$U:$U,0)),"")</f>
        <v>Priority 2</v>
      </c>
      <c r="AB28" s="15" t="str">
        <f aca="false">IFERROR(INDEX(Scoring!$AK:$AK,MATCH($C28&amp;"|"&amp;$E28,Scoring!$U:$U,0)),"")</f>
        <v>Priority 1</v>
      </c>
      <c r="AC28" s="18" t="n">
        <f aca="false">IFERROR(INDEX(Scoring!$M:$M,MATCH($C28&amp;"|"&amp;$E28,Scoring!$U:$U,0)),"")</f>
        <v>88</v>
      </c>
      <c r="AD28" s="15" t="str">
        <f aca="false">IFERROR(INDEX('Route of Administration'!$C$5:$C$155,MATCH($C28,'Route of Administration'!$A$5:$A$155,0)),"")</f>
        <v>IV, IM, SC</v>
      </c>
      <c r="AE28" s="14" t="str">
        <f aca="false">IFERROR(INDEX('Route of Administration'!$D$5:$D$155,MATCH($C28,'Route of Administration'!$A$5:$A$155,0)),"")</f>
        <v>Yes</v>
      </c>
    </row>
    <row r="29" customFormat="false" ht="28.35" hidden="false" customHeight="false" outlineLevel="0" collapsed="false">
      <c r="B29" s="15" t="n">
        <v>27</v>
      </c>
      <c r="C29" s="15" t="s">
        <v>480</v>
      </c>
      <c r="D29" s="15" t="s">
        <v>485</v>
      </c>
      <c r="E29" s="15" t="s">
        <v>286</v>
      </c>
      <c r="F29" s="15" t="s">
        <v>1574</v>
      </c>
      <c r="G29" s="16" t="s">
        <v>1575</v>
      </c>
      <c r="H29" s="15" t="s">
        <v>1505</v>
      </c>
      <c r="I29" s="17" t="n">
        <v>6.43</v>
      </c>
      <c r="J29" s="15" t="n">
        <v>1</v>
      </c>
      <c r="K29" s="15" t="n">
        <v>365</v>
      </c>
      <c r="L29" s="18" t="n">
        <v>5976.94</v>
      </c>
      <c r="M29" s="16" t="s">
        <v>481</v>
      </c>
      <c r="N29" s="17" t="n">
        <v>6.43</v>
      </c>
      <c r="O29" s="15" t="s">
        <v>1506</v>
      </c>
      <c r="P29" s="15" t="s">
        <v>1507</v>
      </c>
      <c r="Q29" s="16" t="s">
        <v>1508</v>
      </c>
      <c r="R29" s="32" t="s">
        <v>1576</v>
      </c>
      <c r="S29" s="37" t="n">
        <f aca="false">IFERROR(INDEX('Injectable Value'!$Z$28:$Z$178,MATCH($C29,'Injectable Value'!$A$28:$A$178,0)),"")</f>
        <v>0.240571827983426</v>
      </c>
      <c r="T29" s="18" t="n">
        <f aca="false">IFERROR(ROUND(INDEX('Injectable Value'!$AA$28:$AA$178,MATCH($C29,'Injectable Value'!$A$28:$A$178,0)),1),"")</f>
        <v>1437.9</v>
      </c>
      <c r="U29" s="16" t="s">
        <v>486</v>
      </c>
      <c r="V29" s="15" t="n">
        <v>2</v>
      </c>
      <c r="W29" s="15" t="s">
        <v>482</v>
      </c>
      <c r="X29" s="15" t="s">
        <v>248</v>
      </c>
      <c r="Y29" s="15" t="s">
        <v>249</v>
      </c>
      <c r="Z29" s="16" t="str">
        <f aca="false">IFERROR(INDEX(Scoring!$K:$K,MATCH($C29&amp;"|"&amp;$E29,Scoring!$U:$U,0)),"")</f>
        <v/>
      </c>
      <c r="AA29" s="15" t="str">
        <f aca="false">IFERROR(INDEX(Scoring!$Q:$Q,MATCH($C29&amp;"|"&amp;$E29,Scoring!$U:$U,0)),"")</f>
        <v>Priority 2</v>
      </c>
      <c r="AB29" s="15" t="str">
        <f aca="false">IFERROR(INDEX(Scoring!$AK:$AK,MATCH($C29&amp;"|"&amp;$E29,Scoring!$U:$U,0)),"")</f>
        <v>Priority 1</v>
      </c>
      <c r="AC29" s="18" t="n">
        <f aca="false">IFERROR(INDEX(Scoring!$M:$M,MATCH($C29&amp;"|"&amp;$E29,Scoring!$U:$U,0)),"")</f>
        <v>88</v>
      </c>
      <c r="AD29" s="15" t="str">
        <f aca="false">IFERROR(INDEX('Route of Administration'!$C$5:$C$155,MATCH($C29,'Route of Administration'!$A$5:$A$155,0)),"")</f>
        <v>IV, IM, SC</v>
      </c>
      <c r="AE29" s="14" t="str">
        <f aca="false">IFERROR(INDEX('Route of Administration'!$D$5:$D$155,MATCH($C29,'Route of Administration'!$A$5:$A$155,0)),"")</f>
        <v>Yes</v>
      </c>
    </row>
    <row r="30" customFormat="false" ht="15" hidden="false" customHeight="false" outlineLevel="0" collapsed="false">
      <c r="B30" s="15" t="n">
        <v>28</v>
      </c>
      <c r="C30" s="15" t="s">
        <v>495</v>
      </c>
      <c r="D30" s="15" t="s">
        <v>497</v>
      </c>
      <c r="E30" s="15" t="s">
        <v>286</v>
      </c>
      <c r="F30" s="15" t="s">
        <v>1567</v>
      </c>
      <c r="G30" s="16" t="s">
        <v>1577</v>
      </c>
      <c r="H30" s="15" t="s">
        <v>1505</v>
      </c>
      <c r="I30" s="17" t="n">
        <v>10.93</v>
      </c>
      <c r="J30" s="15" t="n">
        <v>1</v>
      </c>
      <c r="K30" s="15" t="n">
        <v>10</v>
      </c>
      <c r="L30" s="18" t="n">
        <v>280.98</v>
      </c>
      <c r="M30" s="16" t="s">
        <v>476</v>
      </c>
      <c r="N30" s="17" t="n">
        <v>10.93</v>
      </c>
      <c r="O30" s="15" t="s">
        <v>1506</v>
      </c>
      <c r="P30" s="15" t="s">
        <v>1507</v>
      </c>
      <c r="Q30" s="16" t="s">
        <v>1508</v>
      </c>
      <c r="R30" s="32" t="s">
        <v>1578</v>
      </c>
      <c r="S30" s="37" t="n">
        <f aca="false">IFERROR(INDEX('Injectable Value'!$Z$28:$Z$178,MATCH($C30,'Injectable Value'!$A$28:$A$178,0)),"")</f>
        <v>0.928571428571429</v>
      </c>
      <c r="T30" s="18" t="n">
        <f aca="false">IFERROR(ROUND(INDEX('Injectable Value'!$AA$28:$AA$178,MATCH($C30,'Injectable Value'!$A$28:$A$178,0)),1),"")</f>
        <v>260.9</v>
      </c>
      <c r="U30" s="16" t="s">
        <v>247</v>
      </c>
      <c r="V30" s="15" t="n">
        <v>1</v>
      </c>
      <c r="W30" s="15" t="s">
        <v>247</v>
      </c>
      <c r="X30" s="15" t="s">
        <v>248</v>
      </c>
      <c r="Y30" s="15" t="s">
        <v>299</v>
      </c>
      <c r="Z30" s="16" t="str">
        <f aca="false">IFERROR(INDEX(Scoring!$K:$K,MATCH($C30&amp;"|"&amp;$E30,Scoring!$U:$U,0)),"")</f>
        <v>Reconstitution</v>
      </c>
      <c r="AA30" s="15" t="str">
        <f aca="false">IFERROR(INDEX(Scoring!$Q:$Q,MATCH($C30&amp;"|"&amp;$E30,Scoring!$U:$U,0)),"")</f>
        <v>Priority 3</v>
      </c>
      <c r="AB30" s="15" t="str">
        <f aca="false">IFERROR(INDEX(Scoring!$AK:$AK,MATCH($C30&amp;"|"&amp;$E30,Scoring!$U:$U,0)),"")</f>
        <v>Priority 3</v>
      </c>
      <c r="AC30" s="18" t="n">
        <f aca="false">IFERROR(INDEX(Scoring!$M:$M,MATCH($C30&amp;"|"&amp;$E30,Scoring!$U:$U,0)),"")</f>
        <v>9</v>
      </c>
      <c r="AD30" s="15" t="str">
        <f aca="false">IFERROR(INDEX('Route of Administration'!$C$5:$C$155,MATCH($C30,'Route of Administration'!$A$5:$A$155,0)),"")</f>
        <v>IV, IM</v>
      </c>
      <c r="AE30" s="14" t="str">
        <f aca="false">IFERROR(INDEX('Route of Administration'!$D$5:$D$155,MATCH($C30,'Route of Administration'!$A$5:$A$155,0)),"")</f>
        <v>Yes</v>
      </c>
    </row>
    <row r="31" customFormat="false" ht="28.35" hidden="false" customHeight="false" outlineLevel="0" collapsed="false">
      <c r="B31" s="15" t="n">
        <v>29</v>
      </c>
      <c r="C31" s="15" t="s">
        <v>517</v>
      </c>
      <c r="D31" s="15" t="s">
        <v>517</v>
      </c>
      <c r="E31" s="15" t="s">
        <v>286</v>
      </c>
      <c r="F31" s="15" t="s">
        <v>1579</v>
      </c>
      <c r="G31" s="16" t="s">
        <v>1580</v>
      </c>
      <c r="H31" s="15" t="s">
        <v>1505</v>
      </c>
      <c r="I31" s="17" t="n">
        <v>22.25</v>
      </c>
      <c r="J31" s="15" t="n">
        <v>1</v>
      </c>
      <c r="K31" s="15" t="n">
        <v>736</v>
      </c>
      <c r="L31" s="18" t="n">
        <v>22018.81</v>
      </c>
      <c r="M31" s="16" t="s">
        <v>518</v>
      </c>
      <c r="N31" s="17" t="n">
        <v>22.25</v>
      </c>
      <c r="O31" s="15" t="s">
        <v>1506</v>
      </c>
      <c r="P31" s="15" t="s">
        <v>1507</v>
      </c>
      <c r="Q31" s="16" t="s">
        <v>1508</v>
      </c>
      <c r="R31" s="32" t="s">
        <v>1581</v>
      </c>
      <c r="S31" s="37" t="n">
        <f aca="false">IFERROR(INDEX('Injectable Value'!$Z$28:$Z$178,MATCH($C31,'Injectable Value'!$A$28:$A$178,0)),"")</f>
        <v>0.120198430249293</v>
      </c>
      <c r="T31" s="18" t="n">
        <f aca="false">IFERROR(ROUND(INDEX('Injectable Value'!$AA$28:$AA$178,MATCH($C31,'Injectable Value'!$A$28:$A$178,0)),1),"")</f>
        <v>2646.6</v>
      </c>
      <c r="U31" s="16" t="s">
        <v>247</v>
      </c>
      <c r="V31" s="15" t="n">
        <v>1</v>
      </c>
      <c r="W31" s="15" t="s">
        <v>247</v>
      </c>
      <c r="X31" s="15" t="s">
        <v>248</v>
      </c>
      <c r="Y31" s="15" t="s">
        <v>249</v>
      </c>
      <c r="Z31" s="16" t="str">
        <f aca="false">IFERROR(INDEX(Scoring!$K:$K,MATCH($C31&amp;"|"&amp;$E31,Scoring!$U:$U,0)),"")</f>
        <v/>
      </c>
      <c r="AA31" s="15" t="str">
        <f aca="false">IFERROR(INDEX(Scoring!$Q:$Q,MATCH($C31&amp;"|"&amp;$E31,Scoring!$U:$U,0)),"")</f>
        <v>Priority 3</v>
      </c>
      <c r="AB31" s="15" t="str">
        <f aca="false">IFERROR(INDEX(Scoring!$AK:$AK,MATCH($C31&amp;"|"&amp;$E31,Scoring!$U:$U,0)),"")</f>
        <v>Priority 2</v>
      </c>
      <c r="AC31" s="18" t="n">
        <f aca="false">IFERROR(INDEX(Scoring!$M:$M,MATCH($C31&amp;"|"&amp;$E31,Scoring!$U:$U,0)),"")</f>
        <v>88</v>
      </c>
      <c r="AD31" s="15" t="str">
        <f aca="false">IFERROR(INDEX('Route of Administration'!$C$5:$C$155,MATCH($C31,'Route of Administration'!$A$5:$A$155,0)),"")</f>
        <v>IM</v>
      </c>
      <c r="AE31" s="14" t="str">
        <f aca="false">IFERROR(INDEX('Route of Administration'!$D$5:$D$155,MATCH($C31,'Route of Administration'!$A$5:$A$155,0)),"")</f>
        <v>Yes</v>
      </c>
    </row>
    <row r="32" customFormat="false" ht="41.75" hidden="false" customHeight="false" outlineLevel="0" collapsed="false">
      <c r="B32" s="15" t="n">
        <v>30</v>
      </c>
      <c r="C32" s="15" t="s">
        <v>542</v>
      </c>
      <c r="D32" s="15" t="s">
        <v>542</v>
      </c>
      <c r="E32" s="15" t="s">
        <v>286</v>
      </c>
      <c r="F32" s="15" t="s">
        <v>1582</v>
      </c>
      <c r="G32" s="16" t="s">
        <v>1583</v>
      </c>
      <c r="H32" s="15" t="s">
        <v>1505</v>
      </c>
      <c r="I32" s="17" t="n">
        <v>27.26</v>
      </c>
      <c r="J32" s="15" t="n">
        <v>1</v>
      </c>
      <c r="K32" s="15" t="n">
        <v>307</v>
      </c>
      <c r="L32" s="18" t="n">
        <v>7276.73</v>
      </c>
      <c r="M32" s="16" t="s">
        <v>543</v>
      </c>
      <c r="N32" s="17" t="n">
        <v>27.26</v>
      </c>
      <c r="O32" s="15" t="s">
        <v>1506</v>
      </c>
      <c r="P32" s="15" t="s">
        <v>1507</v>
      </c>
      <c r="Q32" s="16" t="s">
        <v>1508</v>
      </c>
      <c r="R32" s="32" t="s">
        <v>1584</v>
      </c>
      <c r="S32" s="37" t="n">
        <f aca="false">IFERROR(INDEX('Injectable Value'!$Z$28:$Z$178,MATCH($C32,'Injectable Value'!$A$28:$A$178,0)),"")</f>
        <v>0.947368421052632</v>
      </c>
      <c r="T32" s="18" t="n">
        <f aca="false">IFERROR(ROUND(INDEX('Injectable Value'!$AA$28:$AA$178,MATCH($C32,'Injectable Value'!$A$28:$A$178,0)),1),"")</f>
        <v>6893.7</v>
      </c>
      <c r="U32" s="16" t="s">
        <v>247</v>
      </c>
      <c r="V32" s="15" t="n">
        <v>1</v>
      </c>
      <c r="W32" s="15" t="s">
        <v>247</v>
      </c>
      <c r="X32" s="15" t="s">
        <v>248</v>
      </c>
      <c r="Y32" s="15" t="s">
        <v>249</v>
      </c>
      <c r="Z32" s="16" t="str">
        <f aca="false">IFERROR(INDEX(Scoring!$K:$K,MATCH($C32&amp;"|"&amp;$E32,Scoring!$U:$U,0)),"")</f>
        <v/>
      </c>
      <c r="AA32" s="15" t="str">
        <f aca="false">IFERROR(INDEX(Scoring!$Q:$Q,MATCH($C32&amp;"|"&amp;$E32,Scoring!$U:$U,0)),"")</f>
        <v>Priority 2</v>
      </c>
      <c r="AB32" s="15" t="str">
        <f aca="false">IFERROR(INDEX(Scoring!$AK:$AK,MATCH($C32&amp;"|"&amp;$E32,Scoring!$U:$U,0)),"")</f>
        <v>Priority 2</v>
      </c>
      <c r="AC32" s="18" t="n">
        <f aca="false">IFERROR(INDEX(Scoring!$M:$M,MATCH($C32&amp;"|"&amp;$E32,Scoring!$U:$U,0)),"")</f>
        <v>291</v>
      </c>
      <c r="AD32" s="15" t="str">
        <f aca="false">IFERROR(INDEX('Route of Administration'!$C$5:$C$155,MATCH($C32,'Route of Administration'!$A$5:$A$155,0)),"")</f>
        <v>IM</v>
      </c>
      <c r="AE32" s="14" t="str">
        <f aca="false">IFERROR(INDEX('Route of Administration'!$D$5:$D$155,MATCH($C32,'Route of Administration'!$A$5:$A$155,0)),"")</f>
        <v>Yes</v>
      </c>
    </row>
    <row r="33" customFormat="false" ht="55.2" hidden="false" customHeight="false" outlineLevel="0" collapsed="false">
      <c r="B33" s="15" t="n">
        <v>31</v>
      </c>
      <c r="C33" s="15" t="s">
        <v>542</v>
      </c>
      <c r="D33" s="15" t="s">
        <v>542</v>
      </c>
      <c r="E33" s="15" t="s">
        <v>286</v>
      </c>
      <c r="F33" s="15" t="s">
        <v>1585</v>
      </c>
      <c r="G33" s="16" t="s">
        <v>1586</v>
      </c>
      <c r="H33" s="15" t="s">
        <v>1505</v>
      </c>
      <c r="I33" s="17" t="n">
        <v>14</v>
      </c>
      <c r="J33" s="15" t="n">
        <v>1</v>
      </c>
      <c r="K33" s="15" t="n">
        <v>307</v>
      </c>
      <c r="L33" s="18" t="n">
        <v>7276.73</v>
      </c>
      <c r="M33" s="16" t="s">
        <v>543</v>
      </c>
      <c r="N33" s="17" t="n">
        <v>14</v>
      </c>
      <c r="O33" s="15" t="s">
        <v>1506</v>
      </c>
      <c r="P33" s="15" t="s">
        <v>1507</v>
      </c>
      <c r="Q33" s="16" t="s">
        <v>1508</v>
      </c>
      <c r="R33" s="32" t="s">
        <v>1584</v>
      </c>
      <c r="S33" s="37" t="n">
        <f aca="false">IFERROR(INDEX('Injectable Value'!$Z$28:$Z$178,MATCH($C33,'Injectable Value'!$A$28:$A$178,0)),"")</f>
        <v>0.947368421052632</v>
      </c>
      <c r="T33" s="18" t="n">
        <f aca="false">IFERROR(ROUND(INDEX('Injectable Value'!$AA$28:$AA$178,MATCH($C33,'Injectable Value'!$A$28:$A$178,0)),1),"")</f>
        <v>6893.7</v>
      </c>
      <c r="U33" s="16" t="s">
        <v>247</v>
      </c>
      <c r="V33" s="15" t="n">
        <v>1</v>
      </c>
      <c r="W33" s="15" t="s">
        <v>247</v>
      </c>
      <c r="X33" s="15" t="s">
        <v>248</v>
      </c>
      <c r="Y33" s="15" t="s">
        <v>249</v>
      </c>
      <c r="Z33" s="16" t="str">
        <f aca="false">IFERROR(INDEX(Scoring!$K:$K,MATCH($C33&amp;"|"&amp;$E33,Scoring!$U:$U,0)),"")</f>
        <v/>
      </c>
      <c r="AA33" s="15" t="str">
        <f aca="false">IFERROR(INDEX(Scoring!$Q:$Q,MATCH($C33&amp;"|"&amp;$E33,Scoring!$U:$U,0)),"")</f>
        <v>Priority 2</v>
      </c>
      <c r="AB33" s="15" t="str">
        <f aca="false">IFERROR(INDEX(Scoring!$AK:$AK,MATCH($C33&amp;"|"&amp;$E33,Scoring!$U:$U,0)),"")</f>
        <v>Priority 2</v>
      </c>
      <c r="AC33" s="18" t="n">
        <f aca="false">IFERROR(INDEX(Scoring!$M:$M,MATCH($C33&amp;"|"&amp;$E33,Scoring!$U:$U,0)),"")</f>
        <v>291</v>
      </c>
      <c r="AD33" s="15" t="str">
        <f aca="false">IFERROR(INDEX('Route of Administration'!$C$5:$C$155,MATCH($C33,'Route of Administration'!$A$5:$A$155,0)),"")</f>
        <v>IM</v>
      </c>
      <c r="AE33" s="14" t="str">
        <f aca="false">IFERROR(INDEX('Route of Administration'!$D$5:$D$155,MATCH($C33,'Route of Administration'!$A$5:$A$155,0)),"")</f>
        <v>Yes</v>
      </c>
    </row>
    <row r="34" customFormat="false" ht="28.35" hidden="false" customHeight="false" outlineLevel="0" collapsed="false">
      <c r="B34" s="15" t="n">
        <v>32</v>
      </c>
      <c r="C34" s="15" t="s">
        <v>546</v>
      </c>
      <c r="D34" s="15" t="s">
        <v>546</v>
      </c>
      <c r="E34" s="15" t="s">
        <v>286</v>
      </c>
      <c r="F34" s="15" t="s">
        <v>1585</v>
      </c>
      <c r="G34" s="16" t="s">
        <v>1587</v>
      </c>
      <c r="H34" s="15" t="s">
        <v>1505</v>
      </c>
      <c r="I34" s="17" t="n">
        <v>36.17</v>
      </c>
      <c r="J34" s="15" t="n">
        <v>1</v>
      </c>
      <c r="K34" s="15" t="n">
        <v>448</v>
      </c>
      <c r="L34" s="18" t="n">
        <v>1202.23</v>
      </c>
      <c r="M34" s="16" t="s">
        <v>547</v>
      </c>
      <c r="N34" s="17" t="n">
        <v>36.17</v>
      </c>
      <c r="O34" s="15" t="s">
        <v>1506</v>
      </c>
      <c r="P34" s="15" t="s">
        <v>1507</v>
      </c>
      <c r="Q34" s="16" t="s">
        <v>1508</v>
      </c>
      <c r="R34" s="32" t="s">
        <v>1584</v>
      </c>
      <c r="S34" s="37" t="n">
        <f aca="false">IFERROR(INDEX('Injectable Value'!$Z$28:$Z$178,MATCH($C34,'Injectable Value'!$A$28:$A$178,0)),"")</f>
        <v>1</v>
      </c>
      <c r="T34" s="18" t="n">
        <f aca="false">IFERROR(ROUND(INDEX('Injectable Value'!$AA$28:$AA$178,MATCH($C34,'Injectable Value'!$A$28:$A$178,0)),1),"")</f>
        <v>1202.2</v>
      </c>
      <c r="U34" s="16" t="s">
        <v>247</v>
      </c>
      <c r="V34" s="15" t="n">
        <v>1</v>
      </c>
      <c r="W34" s="15" t="s">
        <v>247</v>
      </c>
      <c r="X34" s="15" t="s">
        <v>248</v>
      </c>
      <c r="Y34" s="15" t="s">
        <v>249</v>
      </c>
      <c r="Z34" s="16" t="str">
        <f aca="false">IFERROR(INDEX(Scoring!$K:$K,MATCH($C34&amp;"|"&amp;$E34,Scoring!$U:$U,0)),"")</f>
        <v/>
      </c>
      <c r="AA34" s="15" t="str">
        <f aca="false">IFERROR(INDEX(Scoring!$Q:$Q,MATCH($C34&amp;"|"&amp;$E34,Scoring!$U:$U,0)),"")</f>
        <v>Priority 1</v>
      </c>
      <c r="AB34" s="15" t="str">
        <f aca="false">IFERROR(INDEX(Scoring!$AK:$AK,MATCH($C34&amp;"|"&amp;$E34,Scoring!$U:$U,0)),"")</f>
        <v>Priority 1</v>
      </c>
      <c r="AC34" s="18" t="n">
        <f aca="false">IFERROR(INDEX(Scoring!$M:$M,MATCH($C34&amp;"|"&amp;$E34,Scoring!$U:$U,0)),"")</f>
        <v>448</v>
      </c>
      <c r="AD34" s="15" t="str">
        <f aca="false">IFERROR(INDEX('Route of Administration'!$C$5:$C$155,MATCH($C34,'Route of Administration'!$A$5:$A$155,0)),"")</f>
        <v>IM, SC</v>
      </c>
      <c r="AE34" s="14" t="str">
        <f aca="false">IFERROR(INDEX('Route of Administration'!$D$5:$D$155,MATCH($C34,'Route of Administration'!$A$5:$A$155,0)),"")</f>
        <v>Yes</v>
      </c>
    </row>
    <row r="35" customFormat="false" ht="41.75" hidden="false" customHeight="false" outlineLevel="0" collapsed="false">
      <c r="B35" s="15" t="n">
        <v>33</v>
      </c>
      <c r="C35" s="15" t="s">
        <v>275</v>
      </c>
      <c r="D35" s="15" t="s">
        <v>275</v>
      </c>
      <c r="E35" s="15" t="s">
        <v>286</v>
      </c>
      <c r="F35" s="15" t="s">
        <v>1524</v>
      </c>
      <c r="G35" s="16" t="s">
        <v>1525</v>
      </c>
      <c r="H35" s="15" t="s">
        <v>1525</v>
      </c>
      <c r="I35" s="17"/>
      <c r="J35" s="15" t="n">
        <v>1</v>
      </c>
      <c r="K35" s="15" t="n">
        <v>735</v>
      </c>
      <c r="L35" s="18" t="n">
        <v>16205.48</v>
      </c>
      <c r="M35" s="16" t="s">
        <v>276</v>
      </c>
      <c r="N35" s="38" t="n">
        <v>3.15</v>
      </c>
      <c r="O35" s="22" t="s">
        <v>1513</v>
      </c>
      <c r="P35" s="15" t="s">
        <v>1507</v>
      </c>
      <c r="Q35" s="16" t="s">
        <v>1514</v>
      </c>
      <c r="R35" s="32" t="s">
        <v>1515</v>
      </c>
      <c r="S35" s="37" t="n">
        <f aca="false">IFERROR(INDEX('Injectable Value'!$Z$28:$Z$178,MATCH($C35,'Injectable Value'!$A$28:$A$178,0)),"")</f>
        <v>0.262678151411075</v>
      </c>
      <c r="T35" s="18" t="n">
        <f aca="false">IFERROR(ROUND(INDEX('Injectable Value'!$AA$28:$AA$178,MATCH($C35,'Injectable Value'!$A$28:$A$178,0)),1),"")</f>
        <v>4256.8</v>
      </c>
      <c r="U35" s="16" t="s">
        <v>247</v>
      </c>
      <c r="V35" s="15" t="n">
        <v>1</v>
      </c>
      <c r="W35" s="15" t="s">
        <v>247</v>
      </c>
      <c r="X35" s="15" t="s">
        <v>277</v>
      </c>
      <c r="Y35" s="15" t="s">
        <v>277</v>
      </c>
      <c r="Z35" s="16" t="str">
        <f aca="false">IFERROR(INDEX(Scoring!$K:$K,MATCH($C35&amp;"|"&amp;$E35,Scoring!$U:$U,0)),"")</f>
        <v/>
      </c>
      <c r="AA35" s="15" t="str">
        <f aca="false">IFERROR(INDEX(Scoring!$Q:$Q,MATCH($C35&amp;"|"&amp;$E35,Scoring!$U:$U,0)),"")</f>
        <v>Excluded – price ≤ $5</v>
      </c>
      <c r="AB35" s="15" t="str">
        <f aca="false">IFERROR(INDEX(Scoring!$AK:$AK,MATCH($C35&amp;"|"&amp;$E35,Scoring!$U:$U,0)),"")</f>
        <v>Excluded – price ≤ $5</v>
      </c>
      <c r="AC35" s="18" t="n">
        <f aca="false">IFERROR(INDEX(Scoring!$M:$M,MATCH($C35&amp;"|"&amp;$E35,Scoring!$U:$U,0)),"")</f>
        <v>193</v>
      </c>
      <c r="AD35" s="15" t="str">
        <f aca="false">IFERROR(INDEX('Route of Administration'!$C$5:$C$155,MATCH($C35,'Route of Administration'!$A$5:$A$155,0)),"")</f>
        <v>IM</v>
      </c>
      <c r="AE35" s="14" t="str">
        <f aca="false">IFERROR(INDEX('Route of Administration'!$D$5:$D$155,MATCH($C35,'Route of Administration'!$A$5:$A$155,0)),"")</f>
        <v>Yes</v>
      </c>
    </row>
    <row r="36" customFormat="false" ht="28.35" hidden="false" customHeight="false" outlineLevel="0" collapsed="false">
      <c r="B36" s="15" t="n">
        <v>34</v>
      </c>
      <c r="C36" s="15" t="s">
        <v>563</v>
      </c>
      <c r="D36" s="15" t="s">
        <v>567</v>
      </c>
      <c r="E36" s="15" t="s">
        <v>286</v>
      </c>
      <c r="F36" s="15" t="s">
        <v>1588</v>
      </c>
      <c r="G36" s="16" t="s">
        <v>1589</v>
      </c>
      <c r="H36" s="15" t="s">
        <v>1505</v>
      </c>
      <c r="I36" s="17"/>
      <c r="J36" s="15" t="n">
        <v>1</v>
      </c>
      <c r="K36" s="15" t="n">
        <v>208</v>
      </c>
      <c r="L36" s="18" t="n">
        <v>3923.58</v>
      </c>
      <c r="M36" s="16" t="s">
        <v>564</v>
      </c>
      <c r="N36" s="38" t="n">
        <v>7.95</v>
      </c>
      <c r="O36" s="22" t="s">
        <v>1513</v>
      </c>
      <c r="P36" s="15" t="s">
        <v>1533</v>
      </c>
      <c r="Q36" s="16" t="s">
        <v>1590</v>
      </c>
      <c r="R36" s="32" t="s">
        <v>1591</v>
      </c>
      <c r="S36" s="37" t="n">
        <f aca="false">IFERROR(INDEX('Injectable Value'!$Z$28:$Z$178,MATCH($C36,'Injectable Value'!$A$28:$A$178,0)),"")</f>
        <v>1</v>
      </c>
      <c r="T36" s="18" t="n">
        <f aca="false">IFERROR(ROUND(INDEX('Injectable Value'!$AA$28:$AA$178,MATCH($C36,'Injectable Value'!$A$28:$A$178,0)),1),"")</f>
        <v>3923.6</v>
      </c>
      <c r="U36" s="16" t="s">
        <v>247</v>
      </c>
      <c r="V36" s="15" t="n">
        <v>1</v>
      </c>
      <c r="W36" s="15" t="s">
        <v>247</v>
      </c>
      <c r="X36" s="15" t="s">
        <v>248</v>
      </c>
      <c r="Y36" s="15" t="s">
        <v>277</v>
      </c>
      <c r="Z36" s="16" t="str">
        <f aca="false">IFERROR(INDEX(Scoring!$K:$K,MATCH($C36&amp;"|"&amp;$E36,Scoring!$U:$U,0)),"")</f>
        <v/>
      </c>
      <c r="AA36" s="15" t="str">
        <f aca="false">IFERROR(INDEX(Scoring!$Q:$Q,MATCH($C36&amp;"|"&amp;$E36,Scoring!$U:$U,0)),"")</f>
        <v>Excluded – IV only</v>
      </c>
      <c r="AB36" s="15" t="str">
        <f aca="false">IFERROR(INDEX(Scoring!$AK:$AK,MATCH($C36&amp;"|"&amp;$E36,Scoring!$U:$U,0)),"")</f>
        <v>Excluded – IV only</v>
      </c>
      <c r="AC36" s="18" t="n">
        <f aca="false">IFERROR(INDEX(Scoring!$M:$M,MATCH($C36&amp;"|"&amp;$E36,Scoring!$U:$U,0)),"")</f>
        <v>208</v>
      </c>
      <c r="AD36" s="15" t="str">
        <f aca="false">IFERROR(INDEX('Route of Administration'!$C$5:$C$155,MATCH($C36,'Route of Administration'!$A$5:$A$155,0)),"")</f>
        <v>IV</v>
      </c>
      <c r="AE36" s="14" t="str">
        <f aca="false">IFERROR(INDEX('Route of Administration'!$D$5:$D$155,MATCH($C36,'Route of Administration'!$A$5:$A$155,0)),"")</f>
        <v>No</v>
      </c>
    </row>
    <row r="37" customFormat="false" ht="28.35" hidden="false" customHeight="false" outlineLevel="0" collapsed="false">
      <c r="B37" s="15" t="n">
        <v>35</v>
      </c>
      <c r="C37" s="15" t="s">
        <v>563</v>
      </c>
      <c r="D37" s="15" t="s">
        <v>567</v>
      </c>
      <c r="E37" s="15" t="s">
        <v>286</v>
      </c>
      <c r="F37" s="15" t="s">
        <v>1592</v>
      </c>
      <c r="G37" s="16" t="s">
        <v>1593</v>
      </c>
      <c r="H37" s="15" t="s">
        <v>1505</v>
      </c>
      <c r="I37" s="17"/>
      <c r="J37" s="15" t="n">
        <v>1</v>
      </c>
      <c r="K37" s="15" t="n">
        <v>208</v>
      </c>
      <c r="L37" s="18" t="n">
        <v>3923.58</v>
      </c>
      <c r="M37" s="16" t="s">
        <v>564</v>
      </c>
      <c r="N37" s="17"/>
      <c r="O37" s="15" t="s">
        <v>1545</v>
      </c>
      <c r="P37" s="15" t="s">
        <v>70</v>
      </c>
      <c r="Q37" s="16" t="s">
        <v>70</v>
      </c>
      <c r="R37" s="15"/>
      <c r="S37" s="37" t="n">
        <f aca="false">IFERROR(INDEX('Injectable Value'!$Z$28:$Z$178,MATCH($C37,'Injectable Value'!$A$28:$A$178,0)),"")</f>
        <v>1</v>
      </c>
      <c r="T37" s="18" t="n">
        <f aca="false">IFERROR(ROUND(INDEX('Injectable Value'!$AA$28:$AA$178,MATCH($C37,'Injectable Value'!$A$28:$A$178,0)),1),"")</f>
        <v>3923.6</v>
      </c>
      <c r="U37" s="16" t="s">
        <v>247</v>
      </c>
      <c r="V37" s="15" t="n">
        <v>1</v>
      </c>
      <c r="W37" s="15" t="s">
        <v>247</v>
      </c>
      <c r="X37" s="15" t="s">
        <v>248</v>
      </c>
      <c r="Y37" s="15" t="s">
        <v>277</v>
      </c>
      <c r="Z37" s="16" t="str">
        <f aca="false">IFERROR(INDEX(Scoring!$K:$K,MATCH($C37&amp;"|"&amp;$E37,Scoring!$U:$U,0)),"")</f>
        <v/>
      </c>
      <c r="AA37" s="15" t="str">
        <f aca="false">IFERROR(INDEX(Scoring!$Q:$Q,MATCH($C37&amp;"|"&amp;$E37,Scoring!$U:$U,0)),"")</f>
        <v>Excluded – IV only</v>
      </c>
      <c r="AB37" s="15" t="str">
        <f aca="false">IFERROR(INDEX(Scoring!$AK:$AK,MATCH($C37&amp;"|"&amp;$E37,Scoring!$U:$U,0)),"")</f>
        <v>Excluded – IV only</v>
      </c>
      <c r="AC37" s="18" t="n">
        <f aca="false">IFERROR(INDEX(Scoring!$M:$M,MATCH($C37&amp;"|"&amp;$E37,Scoring!$U:$U,0)),"")</f>
        <v>208</v>
      </c>
      <c r="AD37" s="15" t="str">
        <f aca="false">IFERROR(INDEX('Route of Administration'!$C$5:$C$155,MATCH($C37,'Route of Administration'!$A$5:$A$155,0)),"")</f>
        <v>IV</v>
      </c>
      <c r="AE37" s="14" t="str">
        <f aca="false">IFERROR(INDEX('Route of Administration'!$D$5:$D$155,MATCH($C37,'Route of Administration'!$A$5:$A$155,0)),"")</f>
        <v>No</v>
      </c>
    </row>
    <row r="38" customFormat="false" ht="41.75" hidden="false" customHeight="false" outlineLevel="0" collapsed="false">
      <c r="B38" s="15" t="n">
        <v>36</v>
      </c>
      <c r="C38" s="15" t="s">
        <v>568</v>
      </c>
      <c r="D38" s="15" t="s">
        <v>572</v>
      </c>
      <c r="E38" s="15" t="s">
        <v>286</v>
      </c>
      <c r="F38" s="15" t="s">
        <v>1594</v>
      </c>
      <c r="G38" s="16" t="s">
        <v>1595</v>
      </c>
      <c r="H38" s="15" t="s">
        <v>1505</v>
      </c>
      <c r="I38" s="17" t="n">
        <v>13.63</v>
      </c>
      <c r="J38" s="15" t="n">
        <v>1</v>
      </c>
      <c r="K38" s="15" t="n">
        <v>374</v>
      </c>
      <c r="L38" s="18" t="n">
        <v>13615.47</v>
      </c>
      <c r="M38" s="16" t="s">
        <v>569</v>
      </c>
      <c r="N38" s="17" t="n">
        <v>13.63</v>
      </c>
      <c r="O38" s="15" t="s">
        <v>1506</v>
      </c>
      <c r="P38" s="15" t="s">
        <v>1507</v>
      </c>
      <c r="Q38" s="16" t="s">
        <v>1508</v>
      </c>
      <c r="R38" s="32" t="s">
        <v>1596</v>
      </c>
      <c r="S38" s="37" t="n">
        <f aca="false">IFERROR(INDEX('Injectable Value'!$Z$28:$Z$178,MATCH($C38,'Injectable Value'!$A$28:$A$178,0)),"")</f>
        <v>0.18191811645244</v>
      </c>
      <c r="T38" s="18" t="n">
        <f aca="false">IFERROR(ROUND(INDEX('Injectable Value'!$AA$28:$AA$178,MATCH($C38,'Injectable Value'!$A$28:$A$178,0)),1),"")</f>
        <v>2476.9</v>
      </c>
      <c r="U38" s="16" t="s">
        <v>247</v>
      </c>
      <c r="V38" s="15" t="n">
        <v>1</v>
      </c>
      <c r="W38" s="15" t="s">
        <v>247</v>
      </c>
      <c r="X38" s="15" t="s">
        <v>248</v>
      </c>
      <c r="Y38" s="15" t="s">
        <v>249</v>
      </c>
      <c r="Z38" s="16" t="str">
        <f aca="false">IFERROR(INDEX(Scoring!$K:$K,MATCH($C38&amp;"|"&amp;$E38,Scoring!$U:$U,0)),"")</f>
        <v/>
      </c>
      <c r="AA38" s="15" t="str">
        <f aca="false">IFERROR(INDEX(Scoring!$Q:$Q,MATCH($C38&amp;"|"&amp;$E38,Scoring!$U:$U,0)),"")</f>
        <v>Excluded – IV only</v>
      </c>
      <c r="AB38" s="15" t="str">
        <f aca="false">IFERROR(INDEX(Scoring!$AK:$AK,MATCH($C38&amp;"|"&amp;$E38,Scoring!$U:$U,0)),"")</f>
        <v>Excluded – IV only</v>
      </c>
      <c r="AC38" s="18" t="n">
        <f aca="false">IFERROR(INDEX(Scoring!$M:$M,MATCH($C38&amp;"|"&amp;$E38,Scoring!$U:$U,0)),"")</f>
        <v>68</v>
      </c>
      <c r="AD38" s="15" t="str">
        <f aca="false">IFERROR(INDEX('Route of Administration'!$C$5:$C$155,MATCH($C38,'Route of Administration'!$A$5:$A$155,0)),"")</f>
        <v>IV</v>
      </c>
      <c r="AE38" s="14" t="str">
        <f aca="false">IFERROR(INDEX('Route of Administration'!$D$5:$D$155,MATCH($C38,'Route of Administration'!$A$5:$A$155,0)),"")</f>
        <v>No</v>
      </c>
    </row>
    <row r="39" customFormat="false" ht="28.35" hidden="false" customHeight="false" outlineLevel="0" collapsed="false">
      <c r="B39" s="15" t="n">
        <v>37</v>
      </c>
      <c r="C39" s="15" t="s">
        <v>387</v>
      </c>
      <c r="D39" s="15" t="s">
        <v>1597</v>
      </c>
      <c r="E39" s="15" t="s">
        <v>286</v>
      </c>
      <c r="F39" s="15" t="s">
        <v>1567</v>
      </c>
      <c r="G39" s="16" t="s">
        <v>1598</v>
      </c>
      <c r="H39" s="15" t="s">
        <v>1505</v>
      </c>
      <c r="I39" s="17" t="n">
        <v>10.02</v>
      </c>
      <c r="J39" s="15" t="n">
        <v>1</v>
      </c>
      <c r="K39" s="15" t="n">
        <v>223</v>
      </c>
      <c r="L39" s="18" t="n">
        <v>53539.87</v>
      </c>
      <c r="M39" s="16" t="s">
        <v>388</v>
      </c>
      <c r="N39" s="17" t="n">
        <v>10.02</v>
      </c>
      <c r="O39" s="15" t="s">
        <v>1506</v>
      </c>
      <c r="P39" s="15" t="s">
        <v>1507</v>
      </c>
      <c r="Q39" s="16" t="s">
        <v>1508</v>
      </c>
      <c r="R39" s="32" t="s">
        <v>1599</v>
      </c>
      <c r="S39" s="37" t="n">
        <f aca="false">IFERROR(INDEX('Injectable Value'!$Z$28:$Z$178,MATCH($C39,'Injectable Value'!$A$28:$A$178,0)),"")</f>
        <v>1</v>
      </c>
      <c r="T39" s="18" t="n">
        <f aca="false">IFERROR(ROUND(INDEX('Injectable Value'!$AA$28:$AA$178,MATCH($C39,'Injectable Value'!$A$28:$A$178,0)),1),"")</f>
        <v>53539.9</v>
      </c>
      <c r="U39" s="16" t="s">
        <v>393</v>
      </c>
      <c r="V39" s="15" t="n">
        <v>10</v>
      </c>
      <c r="W39" s="15" t="s">
        <v>389</v>
      </c>
      <c r="X39" s="15" t="s">
        <v>248</v>
      </c>
      <c r="Y39" s="15" t="s">
        <v>277</v>
      </c>
      <c r="Z39" s="16" t="str">
        <f aca="false">IFERROR(INDEX(Scoring!$K:$K,MATCH($C39&amp;"|"&amp;$E39,Scoring!$U:$U,0)),"")</f>
        <v>Reconstitution</v>
      </c>
      <c r="AA39" s="15" t="str">
        <f aca="false">IFERROR(INDEX(Scoring!$Q:$Q,MATCH($C39&amp;"|"&amp;$E39,Scoring!$U:$U,0)),"")</f>
        <v>Priority 1</v>
      </c>
      <c r="AB39" s="15" t="str">
        <f aca="false">IFERROR(INDEX(Scoring!$AK:$AK,MATCH($C39&amp;"|"&amp;$E39,Scoring!$U:$U,0)),"")</f>
        <v>Priority 2</v>
      </c>
      <c r="AC39" s="18" t="n">
        <f aca="false">IFERROR(INDEX(Scoring!$M:$M,MATCH($C39&amp;"|"&amp;$E39,Scoring!$U:$U,0)),"")</f>
        <v>223</v>
      </c>
      <c r="AD39" s="15" t="str">
        <f aca="false">IFERROR(INDEX('Route of Administration'!$C$5:$C$155,MATCH($C39,'Route of Administration'!$A$5:$A$155,0)),"")</f>
        <v>IV, IM</v>
      </c>
      <c r="AE39" s="14" t="str">
        <f aca="false">IFERROR(INDEX('Route of Administration'!$D$5:$D$155,MATCH($C39,'Route of Administration'!$A$5:$A$155,0)),"")</f>
        <v>Yes</v>
      </c>
    </row>
    <row r="40" customFormat="false" ht="41.75" hidden="false" customHeight="false" outlineLevel="0" collapsed="false">
      <c r="B40" s="15" t="n">
        <v>38</v>
      </c>
      <c r="C40" s="15" t="s">
        <v>434</v>
      </c>
      <c r="D40" s="15" t="s">
        <v>438</v>
      </c>
      <c r="E40" s="15" t="s">
        <v>286</v>
      </c>
      <c r="F40" s="15" t="s">
        <v>1600</v>
      </c>
      <c r="G40" s="16" t="s">
        <v>1601</v>
      </c>
      <c r="H40" s="15" t="s">
        <v>1512</v>
      </c>
      <c r="I40" s="17" t="n">
        <v>125</v>
      </c>
      <c r="J40" s="15" t="n">
        <v>1</v>
      </c>
      <c r="K40" s="15" t="n">
        <v>116</v>
      </c>
      <c r="L40" s="18" t="n">
        <v>1162.12</v>
      </c>
      <c r="M40" s="16" t="s">
        <v>435</v>
      </c>
      <c r="N40" s="17" t="n">
        <v>125</v>
      </c>
      <c r="O40" s="15" t="s">
        <v>1506</v>
      </c>
      <c r="P40" s="15" t="s">
        <v>1507</v>
      </c>
      <c r="Q40" s="16" t="s">
        <v>1508</v>
      </c>
      <c r="R40" s="32" t="s">
        <v>1602</v>
      </c>
      <c r="S40" s="37" t="n">
        <f aca="false">IFERROR(INDEX('Injectable Value'!$Z$28:$Z$178,MATCH($C40,'Injectable Value'!$A$28:$A$178,0)),"")</f>
        <v>0.444974105461394</v>
      </c>
      <c r="T40" s="18" t="n">
        <f aca="false">IFERROR(ROUND(INDEX('Injectable Value'!$AA$28:$AA$178,MATCH($C40,'Injectable Value'!$A$28:$A$178,0)),1),"")</f>
        <v>517.1</v>
      </c>
      <c r="U40" s="16" t="s">
        <v>247</v>
      </c>
      <c r="V40" s="15" t="n">
        <v>1</v>
      </c>
      <c r="W40" s="15" t="s">
        <v>247</v>
      </c>
      <c r="X40" s="15" t="s">
        <v>258</v>
      </c>
      <c r="Y40" s="15" t="s">
        <v>249</v>
      </c>
      <c r="Z40" s="16" t="str">
        <f aca="false">IFERROR(INDEX(Scoring!$K:$K,MATCH($C40&amp;"|"&amp;$E40,Scoring!$U:$U,0)),"")</f>
        <v>Prefilled only</v>
      </c>
      <c r="AA40" s="15" t="str">
        <f aca="false">IFERROR(INDEX(Scoring!$Q:$Q,MATCH($C40&amp;"|"&amp;$E40,Scoring!$U:$U,0)),"")</f>
        <v>Excluded – IV only</v>
      </c>
      <c r="AB40" s="15" t="str">
        <f aca="false">IFERROR(INDEX(Scoring!$AK:$AK,MATCH($C40&amp;"|"&amp;$E40,Scoring!$U:$U,0)),"")</f>
        <v>Excluded – IV only</v>
      </c>
      <c r="AC40" s="18" t="n">
        <f aca="false">IFERROR(INDEX(Scoring!$M:$M,MATCH($C40&amp;"|"&amp;$E40,Scoring!$U:$U,0)),"")</f>
        <v>52</v>
      </c>
      <c r="AD40" s="15" t="str">
        <f aca="false">IFERROR(INDEX('Route of Administration'!$C$5:$C$155,MATCH($C40,'Route of Administration'!$A$5:$A$155,0)),"")</f>
        <v>IV</v>
      </c>
      <c r="AE40" s="14" t="str">
        <f aca="false">IFERROR(INDEX('Route of Administration'!$D$5:$D$155,MATCH($C40,'Route of Administration'!$A$5:$A$155,0)),"")</f>
        <v>No</v>
      </c>
    </row>
    <row r="41" customFormat="false" ht="28.35" hidden="false" customHeight="false" outlineLevel="0" collapsed="false">
      <c r="B41" s="15" t="n">
        <v>39</v>
      </c>
      <c r="C41" s="15" t="s">
        <v>459</v>
      </c>
      <c r="D41" s="15" t="s">
        <v>459</v>
      </c>
      <c r="E41" s="15" t="s">
        <v>286</v>
      </c>
      <c r="F41" s="15" t="s">
        <v>1582</v>
      </c>
      <c r="G41" s="16" t="s">
        <v>1603</v>
      </c>
      <c r="H41" s="15" t="s">
        <v>1505</v>
      </c>
      <c r="I41" s="17" t="n">
        <v>22.25</v>
      </c>
      <c r="J41" s="15" t="n">
        <v>1</v>
      </c>
      <c r="K41" s="15" t="n">
        <v>305</v>
      </c>
      <c r="L41" s="18" t="n">
        <v>703.44</v>
      </c>
      <c r="M41" s="16" t="s">
        <v>460</v>
      </c>
      <c r="N41" s="17" t="n">
        <v>22.25</v>
      </c>
      <c r="O41" s="15" t="s">
        <v>1506</v>
      </c>
      <c r="P41" s="15" t="s">
        <v>1507</v>
      </c>
      <c r="Q41" s="16" t="s">
        <v>1508</v>
      </c>
      <c r="R41" s="32" t="s">
        <v>1604</v>
      </c>
      <c r="S41" s="37" t="n">
        <f aca="false">IFERROR(INDEX('Injectable Value'!$Z$28:$Z$178,MATCH($C41,'Injectable Value'!$A$28:$A$178,0)),"")</f>
        <v>0.688492063492064</v>
      </c>
      <c r="T41" s="18" t="n">
        <f aca="false">IFERROR(ROUND(INDEX('Injectable Value'!$AA$28:$AA$178,MATCH($C41,'Injectable Value'!$A$28:$A$178,0)),1),"")</f>
        <v>484.3</v>
      </c>
      <c r="U41" s="16" t="s">
        <v>247</v>
      </c>
      <c r="V41" s="15" t="n">
        <v>1</v>
      </c>
      <c r="W41" s="15" t="s">
        <v>247</v>
      </c>
      <c r="X41" s="15" t="s">
        <v>248</v>
      </c>
      <c r="Y41" s="15" t="s">
        <v>249</v>
      </c>
      <c r="Z41" s="16" t="str">
        <f aca="false">IFERROR(INDEX(Scoring!$K:$K,MATCH($C41&amp;"|"&amp;$E41,Scoring!$U:$U,0)),"")</f>
        <v/>
      </c>
      <c r="AA41" s="15" t="str">
        <f aca="false">IFERROR(INDEX(Scoring!$Q:$Q,MATCH($C41&amp;"|"&amp;$E41,Scoring!$U:$U,0)),"")</f>
        <v>Excluded – IV only</v>
      </c>
      <c r="AB41" s="15" t="str">
        <f aca="false">IFERROR(INDEX(Scoring!$AK:$AK,MATCH($C41&amp;"|"&amp;$E41,Scoring!$U:$U,0)),"")</f>
        <v>Excluded – IV only</v>
      </c>
      <c r="AC41" s="18" t="n">
        <f aca="false">IFERROR(INDEX(Scoring!$M:$M,MATCH($C41&amp;"|"&amp;$E41,Scoring!$U:$U,0)),"")</f>
        <v>210</v>
      </c>
      <c r="AD41" s="15" t="str">
        <f aca="false">IFERROR(INDEX('Route of Administration'!$C$5:$C$155,MATCH($C41,'Route of Administration'!$A$5:$A$155,0)),"")</f>
        <v>IV</v>
      </c>
      <c r="AE41" s="14" t="str">
        <f aca="false">IFERROR(INDEX('Route of Administration'!$D$5:$D$155,MATCH($C41,'Route of Administration'!$A$5:$A$155,0)),"")</f>
        <v>No</v>
      </c>
    </row>
    <row r="42" customFormat="false" ht="41.75" hidden="false" customHeight="false" outlineLevel="0" collapsed="false">
      <c r="B42" s="15" t="n">
        <v>40</v>
      </c>
      <c r="C42" s="15" t="s">
        <v>498</v>
      </c>
      <c r="D42" s="15" t="s">
        <v>502</v>
      </c>
      <c r="E42" s="15" t="s">
        <v>286</v>
      </c>
      <c r="F42" s="15" t="s">
        <v>1605</v>
      </c>
      <c r="G42" s="16" t="s">
        <v>1606</v>
      </c>
      <c r="H42" s="15" t="s">
        <v>1505</v>
      </c>
      <c r="I42" s="17" t="n">
        <v>9.74</v>
      </c>
      <c r="J42" s="15" t="n">
        <v>1</v>
      </c>
      <c r="K42" s="15" t="n">
        <v>119</v>
      </c>
      <c r="L42" s="18" t="n">
        <v>3113.83</v>
      </c>
      <c r="M42" s="16" t="s">
        <v>499</v>
      </c>
      <c r="N42" s="17" t="n">
        <v>9.74</v>
      </c>
      <c r="O42" s="15" t="s">
        <v>1506</v>
      </c>
      <c r="P42" s="15" t="s">
        <v>1507</v>
      </c>
      <c r="Q42" s="16" t="s">
        <v>1508</v>
      </c>
      <c r="R42" s="32" t="s">
        <v>1607</v>
      </c>
      <c r="S42" s="37" t="n">
        <f aca="false">IFERROR(INDEX('Injectable Value'!$Z$28:$Z$178,MATCH($C42,'Injectable Value'!$A$28:$A$178,0)),"")</f>
        <v>0.899884259259259</v>
      </c>
      <c r="T42" s="18" t="n">
        <f aca="false">IFERROR(ROUND(INDEX('Injectable Value'!$AA$28:$AA$178,MATCH($C42,'Injectable Value'!$A$28:$A$178,0)),1),"")</f>
        <v>2802.1</v>
      </c>
      <c r="U42" s="16" t="s">
        <v>247</v>
      </c>
      <c r="V42" s="15" t="n">
        <v>1</v>
      </c>
      <c r="W42" s="15" t="s">
        <v>247</v>
      </c>
      <c r="X42" s="15" t="s">
        <v>248</v>
      </c>
      <c r="Y42" s="15" t="s">
        <v>249</v>
      </c>
      <c r="Z42" s="16" t="str">
        <f aca="false">IFERROR(INDEX(Scoring!$K:$K,MATCH($C42&amp;"|"&amp;$E42,Scoring!$U:$U,0)),"")</f>
        <v/>
      </c>
      <c r="AA42" s="15" t="str">
        <f aca="false">IFERROR(INDEX(Scoring!$Q:$Q,MATCH($C42&amp;"|"&amp;$E42,Scoring!$U:$U,0)),"")</f>
        <v>Excluded – IV only</v>
      </c>
      <c r="AB42" s="15" t="str">
        <f aca="false">IFERROR(INDEX(Scoring!$AK:$AK,MATCH($C42&amp;"|"&amp;$E42,Scoring!$U:$U,0)),"")</f>
        <v>Excluded – IV only</v>
      </c>
      <c r="AC42" s="18" t="n">
        <f aca="false">IFERROR(INDEX(Scoring!$M:$M,MATCH($C42&amp;"|"&amp;$E42,Scoring!$U:$U,0)),"")</f>
        <v>107</v>
      </c>
      <c r="AD42" s="15" t="str">
        <f aca="false">IFERROR(INDEX('Route of Administration'!$C$5:$C$155,MATCH($C42,'Route of Administration'!$A$5:$A$155,0)),"")</f>
        <v>IV</v>
      </c>
      <c r="AE42" s="14" t="str">
        <f aca="false">IFERROR(INDEX('Route of Administration'!$D$5:$D$155,MATCH($C42,'Route of Administration'!$A$5:$A$155,0)),"")</f>
        <v>No</v>
      </c>
    </row>
    <row r="43" customFormat="false" ht="28.35" hidden="false" customHeight="false" outlineLevel="0" collapsed="false">
      <c r="B43" s="15" t="n">
        <v>41</v>
      </c>
      <c r="C43" s="15" t="s">
        <v>305</v>
      </c>
      <c r="D43" s="15" t="s">
        <v>305</v>
      </c>
      <c r="E43" s="15" t="s">
        <v>286</v>
      </c>
      <c r="F43" s="15" t="s">
        <v>1608</v>
      </c>
      <c r="G43" s="16" t="s">
        <v>1609</v>
      </c>
      <c r="H43" s="15" t="s">
        <v>1505</v>
      </c>
      <c r="I43" s="17" t="n">
        <v>22.25</v>
      </c>
      <c r="J43" s="15" t="n">
        <v>1</v>
      </c>
      <c r="K43" s="15" t="n">
        <v>905</v>
      </c>
      <c r="L43" s="18" t="n">
        <v>28093.38</v>
      </c>
      <c r="M43" s="16" t="s">
        <v>306</v>
      </c>
      <c r="N43" s="17" t="n">
        <v>22.25</v>
      </c>
      <c r="O43" s="15" t="s">
        <v>1506</v>
      </c>
      <c r="P43" s="15" t="s">
        <v>1507</v>
      </c>
      <c r="Q43" s="16" t="s">
        <v>1508</v>
      </c>
      <c r="R43" s="32" t="s">
        <v>1610</v>
      </c>
      <c r="S43" s="37" t="n">
        <f aca="false">IFERROR(INDEX('Injectable Value'!$Z$28:$Z$178,MATCH($C43,'Injectable Value'!$A$28:$A$178,0)),"")</f>
        <v>1</v>
      </c>
      <c r="T43" s="18" t="n">
        <f aca="false">IFERROR(ROUND(INDEX('Injectable Value'!$AA$28:$AA$178,MATCH($C43,'Injectable Value'!$A$28:$A$178,0)),1),"")</f>
        <v>28093.4</v>
      </c>
      <c r="U43" s="16" t="s">
        <v>311</v>
      </c>
      <c r="V43" s="15" t="n">
        <v>12</v>
      </c>
      <c r="W43" s="15" t="s">
        <v>307</v>
      </c>
      <c r="X43" s="15" t="s">
        <v>248</v>
      </c>
      <c r="Y43" s="15" t="s">
        <v>299</v>
      </c>
      <c r="Z43" s="16" t="str">
        <f aca="false">IFERROR(INDEX(Scoring!$K:$K,MATCH($C43&amp;"|"&amp;$E43,Scoring!$U:$U,0)),"")</f>
        <v>Cancer drug (cytotoxic) – less relevant; Reconstitution</v>
      </c>
      <c r="AA43" s="15" t="str">
        <f aca="false">IFERROR(INDEX(Scoring!$Q:$Q,MATCH($C43&amp;"|"&amp;$E43,Scoring!$U:$U,0)),"")</f>
        <v>Priority 1</v>
      </c>
      <c r="AB43" s="15" t="str">
        <f aca="false">IFERROR(INDEX(Scoring!$AK:$AK,MATCH($C43&amp;"|"&amp;$E43,Scoring!$U:$U,0)),"")</f>
        <v>Priority 1</v>
      </c>
      <c r="AC43" s="18" t="n">
        <f aca="false">IFERROR(INDEX(Scoring!$M:$M,MATCH($C43&amp;"|"&amp;$E43,Scoring!$U:$U,0)),"")</f>
        <v>905</v>
      </c>
      <c r="AD43" s="15" t="str">
        <f aca="false">IFERROR(INDEX('Route of Administration'!$C$5:$C$155,MATCH($C43,'Route of Administration'!$A$5:$A$155,0)),"")</f>
        <v>IV, SC</v>
      </c>
      <c r="AE43" s="14" t="str">
        <f aca="false">IFERROR(INDEX('Route of Administration'!$D$5:$D$155,MATCH($C43,'Route of Administration'!$A$5:$A$155,0)),"")</f>
        <v>Yes</v>
      </c>
    </row>
    <row r="44" customFormat="false" ht="28.35" hidden="false" customHeight="false" outlineLevel="0" collapsed="false">
      <c r="B44" s="15" t="n">
        <v>42</v>
      </c>
      <c r="C44" s="15" t="s">
        <v>532</v>
      </c>
      <c r="D44" s="15" t="s">
        <v>536</v>
      </c>
      <c r="E44" s="15" t="s">
        <v>286</v>
      </c>
      <c r="F44" s="15" t="s">
        <v>1611</v>
      </c>
      <c r="G44" s="16" t="s">
        <v>1612</v>
      </c>
      <c r="H44" s="15" t="s">
        <v>248</v>
      </c>
      <c r="I44" s="17" t="n">
        <v>7.54</v>
      </c>
      <c r="J44" s="15" t="n">
        <v>1</v>
      </c>
      <c r="K44" s="15" t="n">
        <v>159</v>
      </c>
      <c r="L44" s="18" t="n">
        <v>8072.59</v>
      </c>
      <c r="M44" s="16" t="s">
        <v>533</v>
      </c>
      <c r="N44" s="17" t="n">
        <v>7.54</v>
      </c>
      <c r="O44" s="15" t="s">
        <v>1506</v>
      </c>
      <c r="P44" s="15" t="s">
        <v>1507</v>
      </c>
      <c r="Q44" s="16" t="s">
        <v>1508</v>
      </c>
      <c r="R44" s="32" t="s">
        <v>1613</v>
      </c>
      <c r="S44" s="37" t="n">
        <f aca="false">IFERROR(INDEX('Injectable Value'!$Z$28:$Z$178,MATCH($C44,'Injectable Value'!$A$28:$A$178,0)),"")</f>
        <v>1</v>
      </c>
      <c r="T44" s="18" t="n">
        <f aca="false">IFERROR(ROUND(INDEX('Injectable Value'!$AA$28:$AA$178,MATCH($C44,'Injectable Value'!$A$28:$A$178,0)),1),"")</f>
        <v>8072.6</v>
      </c>
      <c r="U44" s="16" t="s">
        <v>247</v>
      </c>
      <c r="V44" s="15" t="n">
        <v>1</v>
      </c>
      <c r="W44" s="15" t="s">
        <v>247</v>
      </c>
      <c r="X44" s="15" t="s">
        <v>248</v>
      </c>
      <c r="Y44" s="15" t="s">
        <v>1519</v>
      </c>
      <c r="Z44" s="16" t="str">
        <f aca="false">IFERROR(INDEX(Scoring!$K:$K,MATCH($C44&amp;"|"&amp;$E44,Scoring!$U:$U,0)),"")</f>
        <v/>
      </c>
      <c r="AA44" s="15" t="str">
        <f aca="false">IFERROR(INDEX(Scoring!$Q:$Q,MATCH($C44&amp;"|"&amp;$E44,Scoring!$U:$U,0)),"")</f>
        <v>Excluded – IV only</v>
      </c>
      <c r="AB44" s="15" t="str">
        <f aca="false">IFERROR(INDEX(Scoring!$AK:$AK,MATCH($C44&amp;"|"&amp;$E44,Scoring!$U:$U,0)),"")</f>
        <v>Excluded – IV only</v>
      </c>
      <c r="AC44" s="18" t="n">
        <f aca="false">IFERROR(INDEX(Scoring!$M:$M,MATCH($C44&amp;"|"&amp;$E44,Scoring!$U:$U,0)),"")</f>
        <v>159</v>
      </c>
      <c r="AD44" s="15" t="str">
        <f aca="false">IFERROR(INDEX('Route of Administration'!$C$5:$C$155,MATCH($C44,'Route of Administration'!$A$5:$A$155,0)),"")</f>
        <v>Epidural, perineural, infiltration</v>
      </c>
      <c r="AE44" s="14" t="str">
        <f aca="false">IFERROR(INDEX('Route of Administration'!$D$5:$D$155,MATCH($C44,'Route of Administration'!$A$5:$A$155,0)),"")</f>
        <v>No</v>
      </c>
    </row>
    <row r="45" customFormat="false" ht="28.35" hidden="false" customHeight="false" outlineLevel="0" collapsed="false">
      <c r="B45" s="15" t="n">
        <v>43</v>
      </c>
      <c r="C45" s="15" t="s">
        <v>532</v>
      </c>
      <c r="D45" s="15" t="s">
        <v>536</v>
      </c>
      <c r="E45" s="15" t="s">
        <v>286</v>
      </c>
      <c r="F45" s="15" t="s">
        <v>1614</v>
      </c>
      <c r="G45" s="16" t="s">
        <v>1615</v>
      </c>
      <c r="H45" s="15" t="s">
        <v>248</v>
      </c>
      <c r="I45" s="17" t="n">
        <v>5.02</v>
      </c>
      <c r="J45" s="15" t="n">
        <v>1</v>
      </c>
      <c r="K45" s="15" t="n">
        <v>159</v>
      </c>
      <c r="L45" s="18" t="n">
        <v>8072.59</v>
      </c>
      <c r="M45" s="16" t="s">
        <v>533</v>
      </c>
      <c r="N45" s="17" t="n">
        <v>5.02</v>
      </c>
      <c r="O45" s="15" t="s">
        <v>1506</v>
      </c>
      <c r="P45" s="15" t="s">
        <v>1507</v>
      </c>
      <c r="Q45" s="16" t="s">
        <v>1508</v>
      </c>
      <c r="R45" s="32" t="s">
        <v>1613</v>
      </c>
      <c r="S45" s="37" t="n">
        <f aca="false">IFERROR(INDEX('Injectable Value'!$Z$28:$Z$178,MATCH($C45,'Injectable Value'!$A$28:$A$178,0)),"")</f>
        <v>1</v>
      </c>
      <c r="T45" s="18" t="n">
        <f aca="false">IFERROR(ROUND(INDEX('Injectable Value'!$AA$28:$AA$178,MATCH($C45,'Injectable Value'!$A$28:$A$178,0)),1),"")</f>
        <v>8072.6</v>
      </c>
      <c r="U45" s="16" t="s">
        <v>247</v>
      </c>
      <c r="V45" s="15" t="n">
        <v>1</v>
      </c>
      <c r="W45" s="15" t="s">
        <v>247</v>
      </c>
      <c r="X45" s="15" t="s">
        <v>248</v>
      </c>
      <c r="Y45" s="15" t="s">
        <v>1519</v>
      </c>
      <c r="Z45" s="16" t="str">
        <f aca="false">IFERROR(INDEX(Scoring!$K:$K,MATCH($C45&amp;"|"&amp;$E45,Scoring!$U:$U,0)),"")</f>
        <v/>
      </c>
      <c r="AA45" s="15" t="str">
        <f aca="false">IFERROR(INDEX(Scoring!$Q:$Q,MATCH($C45&amp;"|"&amp;$E45,Scoring!$U:$U,0)),"")</f>
        <v>Excluded – IV only</v>
      </c>
      <c r="AB45" s="15" t="str">
        <f aca="false">IFERROR(INDEX(Scoring!$AK:$AK,MATCH($C45&amp;"|"&amp;$E45,Scoring!$U:$U,0)),"")</f>
        <v>Excluded – IV only</v>
      </c>
      <c r="AC45" s="18" t="n">
        <f aca="false">IFERROR(INDEX(Scoring!$M:$M,MATCH($C45&amp;"|"&amp;$E45,Scoring!$U:$U,0)),"")</f>
        <v>159</v>
      </c>
      <c r="AD45" s="15" t="str">
        <f aca="false">IFERROR(INDEX('Route of Administration'!$C$5:$C$155,MATCH($C45,'Route of Administration'!$A$5:$A$155,0)),"")</f>
        <v>Epidural, perineural, infiltration</v>
      </c>
      <c r="AE45" s="14" t="str">
        <f aca="false">IFERROR(INDEX('Route of Administration'!$D$5:$D$155,MATCH($C45,'Route of Administration'!$A$5:$A$155,0)),"")</f>
        <v>No</v>
      </c>
    </row>
    <row r="46" customFormat="false" ht="28.35" hidden="false" customHeight="false" outlineLevel="0" collapsed="false">
      <c r="B46" s="15" t="n">
        <v>44</v>
      </c>
      <c r="C46" s="15" t="s">
        <v>532</v>
      </c>
      <c r="D46" s="15" t="s">
        <v>536</v>
      </c>
      <c r="E46" s="15" t="s">
        <v>286</v>
      </c>
      <c r="F46" s="15" t="s">
        <v>1616</v>
      </c>
      <c r="G46" s="16" t="s">
        <v>1617</v>
      </c>
      <c r="H46" s="15" t="s">
        <v>248</v>
      </c>
      <c r="I46" s="17" t="n">
        <v>9.85</v>
      </c>
      <c r="J46" s="15" t="n">
        <v>1</v>
      </c>
      <c r="K46" s="15" t="n">
        <v>159</v>
      </c>
      <c r="L46" s="18" t="n">
        <v>8072.59</v>
      </c>
      <c r="M46" s="16" t="s">
        <v>533</v>
      </c>
      <c r="N46" s="17" t="n">
        <v>9.85</v>
      </c>
      <c r="O46" s="15" t="s">
        <v>1506</v>
      </c>
      <c r="P46" s="15" t="s">
        <v>1507</v>
      </c>
      <c r="Q46" s="16" t="s">
        <v>1508</v>
      </c>
      <c r="R46" s="32" t="s">
        <v>1613</v>
      </c>
      <c r="S46" s="37" t="n">
        <f aca="false">IFERROR(INDEX('Injectable Value'!$Z$28:$Z$178,MATCH($C46,'Injectable Value'!$A$28:$A$178,0)),"")</f>
        <v>1</v>
      </c>
      <c r="T46" s="18" t="n">
        <f aca="false">IFERROR(ROUND(INDEX('Injectable Value'!$AA$28:$AA$178,MATCH($C46,'Injectable Value'!$A$28:$A$178,0)),1),"")</f>
        <v>8072.6</v>
      </c>
      <c r="U46" s="16" t="s">
        <v>247</v>
      </c>
      <c r="V46" s="15" t="n">
        <v>1</v>
      </c>
      <c r="W46" s="15" t="s">
        <v>247</v>
      </c>
      <c r="X46" s="15" t="s">
        <v>248</v>
      </c>
      <c r="Y46" s="15" t="s">
        <v>249</v>
      </c>
      <c r="Z46" s="16" t="str">
        <f aca="false">IFERROR(INDEX(Scoring!$K:$K,MATCH($C46&amp;"|"&amp;$E46,Scoring!$U:$U,0)),"")</f>
        <v/>
      </c>
      <c r="AA46" s="15" t="str">
        <f aca="false">IFERROR(INDEX(Scoring!$Q:$Q,MATCH($C46&amp;"|"&amp;$E46,Scoring!$U:$U,0)),"")</f>
        <v>Excluded – IV only</v>
      </c>
      <c r="AB46" s="15" t="str">
        <f aca="false">IFERROR(INDEX(Scoring!$AK:$AK,MATCH($C46&amp;"|"&amp;$E46,Scoring!$U:$U,0)),"")</f>
        <v>Excluded – IV only</v>
      </c>
      <c r="AC46" s="18" t="n">
        <f aca="false">IFERROR(INDEX(Scoring!$M:$M,MATCH($C46&amp;"|"&amp;$E46,Scoring!$U:$U,0)),"")</f>
        <v>159</v>
      </c>
      <c r="AD46" s="15" t="str">
        <f aca="false">IFERROR(INDEX('Route of Administration'!$C$5:$C$155,MATCH($C46,'Route of Administration'!$A$5:$A$155,0)),"")</f>
        <v>Epidural, perineural, infiltration</v>
      </c>
      <c r="AE46" s="14" t="str">
        <f aca="false">IFERROR(INDEX('Route of Administration'!$D$5:$D$155,MATCH($C46,'Route of Administration'!$A$5:$A$155,0)),"")</f>
        <v>No</v>
      </c>
    </row>
    <row r="47" customFormat="false" ht="28.35" hidden="false" customHeight="false" outlineLevel="0" collapsed="false">
      <c r="B47" s="15" t="n">
        <v>45</v>
      </c>
      <c r="C47" s="15" t="s">
        <v>532</v>
      </c>
      <c r="D47" s="15" t="s">
        <v>536</v>
      </c>
      <c r="E47" s="15" t="s">
        <v>286</v>
      </c>
      <c r="F47" s="15" t="s">
        <v>1618</v>
      </c>
      <c r="G47" s="16" t="s">
        <v>1619</v>
      </c>
      <c r="H47" s="15" t="s">
        <v>248</v>
      </c>
      <c r="I47" s="17" t="n">
        <v>7.03</v>
      </c>
      <c r="J47" s="15" t="n">
        <v>1</v>
      </c>
      <c r="K47" s="15" t="n">
        <v>159</v>
      </c>
      <c r="L47" s="18" t="n">
        <v>8072.59</v>
      </c>
      <c r="M47" s="16" t="s">
        <v>533</v>
      </c>
      <c r="N47" s="17" t="n">
        <v>7.03</v>
      </c>
      <c r="O47" s="15" t="s">
        <v>1506</v>
      </c>
      <c r="P47" s="15" t="s">
        <v>1507</v>
      </c>
      <c r="Q47" s="16" t="s">
        <v>1508</v>
      </c>
      <c r="R47" s="32" t="s">
        <v>1613</v>
      </c>
      <c r="S47" s="37" t="n">
        <f aca="false">IFERROR(INDEX('Injectable Value'!$Z$28:$Z$178,MATCH($C47,'Injectable Value'!$A$28:$A$178,0)),"")</f>
        <v>1</v>
      </c>
      <c r="T47" s="18" t="n">
        <f aca="false">IFERROR(ROUND(INDEX('Injectable Value'!$AA$28:$AA$178,MATCH($C47,'Injectable Value'!$A$28:$A$178,0)),1),"")</f>
        <v>8072.6</v>
      </c>
      <c r="U47" s="16" t="s">
        <v>247</v>
      </c>
      <c r="V47" s="15" t="n">
        <v>1</v>
      </c>
      <c r="W47" s="15" t="s">
        <v>247</v>
      </c>
      <c r="X47" s="15" t="s">
        <v>248</v>
      </c>
      <c r="Y47" s="15" t="s">
        <v>1519</v>
      </c>
      <c r="Z47" s="16" t="str">
        <f aca="false">IFERROR(INDEX(Scoring!$K:$K,MATCH($C47&amp;"|"&amp;$E47,Scoring!$U:$U,0)),"")</f>
        <v/>
      </c>
      <c r="AA47" s="15" t="str">
        <f aca="false">IFERROR(INDEX(Scoring!$Q:$Q,MATCH($C47&amp;"|"&amp;$E47,Scoring!$U:$U,0)),"")</f>
        <v>Excluded – IV only</v>
      </c>
      <c r="AB47" s="15" t="str">
        <f aca="false">IFERROR(INDEX(Scoring!$AK:$AK,MATCH($C47&amp;"|"&amp;$E47,Scoring!$U:$U,0)),"")</f>
        <v>Excluded – IV only</v>
      </c>
      <c r="AC47" s="18" t="n">
        <f aca="false">IFERROR(INDEX(Scoring!$M:$M,MATCH($C47&amp;"|"&amp;$E47,Scoring!$U:$U,0)),"")</f>
        <v>159</v>
      </c>
      <c r="AD47" s="15" t="str">
        <f aca="false">IFERROR(INDEX('Route of Administration'!$C$5:$C$155,MATCH($C47,'Route of Administration'!$A$5:$A$155,0)),"")</f>
        <v>Epidural, perineural, infiltration</v>
      </c>
      <c r="AE47" s="14" t="str">
        <f aca="false">IFERROR(INDEX('Route of Administration'!$D$5:$D$155,MATCH($C47,'Route of Administration'!$A$5:$A$155,0)),"")</f>
        <v>No</v>
      </c>
    </row>
    <row r="48" customFormat="false" ht="28.35" hidden="false" customHeight="false" outlineLevel="0" collapsed="false">
      <c r="B48" s="15" t="n">
        <v>46</v>
      </c>
      <c r="C48" s="15" t="s">
        <v>532</v>
      </c>
      <c r="D48" s="15" t="s">
        <v>536</v>
      </c>
      <c r="E48" s="15" t="s">
        <v>286</v>
      </c>
      <c r="F48" s="15" t="s">
        <v>1620</v>
      </c>
      <c r="G48" s="16" t="s">
        <v>1621</v>
      </c>
      <c r="H48" s="15" t="s">
        <v>248</v>
      </c>
      <c r="I48" s="17" t="n">
        <v>16.57</v>
      </c>
      <c r="J48" s="15" t="n">
        <v>1</v>
      </c>
      <c r="K48" s="15" t="n">
        <v>159</v>
      </c>
      <c r="L48" s="18" t="n">
        <v>8072.59</v>
      </c>
      <c r="M48" s="16" t="s">
        <v>533</v>
      </c>
      <c r="N48" s="17" t="n">
        <v>16.57</v>
      </c>
      <c r="O48" s="15" t="s">
        <v>1506</v>
      </c>
      <c r="P48" s="15" t="s">
        <v>1507</v>
      </c>
      <c r="Q48" s="16" t="s">
        <v>1508</v>
      </c>
      <c r="R48" s="32" t="s">
        <v>1613</v>
      </c>
      <c r="S48" s="37" t="n">
        <f aca="false">IFERROR(INDEX('Injectable Value'!$Z$28:$Z$178,MATCH($C48,'Injectable Value'!$A$28:$A$178,0)),"")</f>
        <v>1</v>
      </c>
      <c r="T48" s="18" t="n">
        <f aca="false">IFERROR(ROUND(INDEX('Injectable Value'!$AA$28:$AA$178,MATCH($C48,'Injectable Value'!$A$28:$A$178,0)),1),"")</f>
        <v>8072.6</v>
      </c>
      <c r="U48" s="16" t="s">
        <v>247</v>
      </c>
      <c r="V48" s="15" t="n">
        <v>1</v>
      </c>
      <c r="W48" s="15" t="s">
        <v>247</v>
      </c>
      <c r="X48" s="15" t="s">
        <v>248</v>
      </c>
      <c r="Y48" s="15" t="s">
        <v>1519</v>
      </c>
      <c r="Z48" s="16" t="str">
        <f aca="false">IFERROR(INDEX(Scoring!$K:$K,MATCH($C48&amp;"|"&amp;$E48,Scoring!$U:$U,0)),"")</f>
        <v/>
      </c>
      <c r="AA48" s="15" t="str">
        <f aca="false">IFERROR(INDEX(Scoring!$Q:$Q,MATCH($C48&amp;"|"&amp;$E48,Scoring!$U:$U,0)),"")</f>
        <v>Excluded – IV only</v>
      </c>
      <c r="AB48" s="15" t="str">
        <f aca="false">IFERROR(INDEX(Scoring!$AK:$AK,MATCH($C48&amp;"|"&amp;$E48,Scoring!$U:$U,0)),"")</f>
        <v>Excluded – IV only</v>
      </c>
      <c r="AC48" s="18" t="n">
        <f aca="false">IFERROR(INDEX(Scoring!$M:$M,MATCH($C48&amp;"|"&amp;$E48,Scoring!$U:$U,0)),"")</f>
        <v>159</v>
      </c>
      <c r="AD48" s="15" t="str">
        <f aca="false">IFERROR(INDEX('Route of Administration'!$C$5:$C$155,MATCH($C48,'Route of Administration'!$A$5:$A$155,0)),"")</f>
        <v>Epidural, perineural, infiltration</v>
      </c>
      <c r="AE48" s="14" t="str">
        <f aca="false">IFERROR(INDEX('Route of Administration'!$D$5:$D$155,MATCH($C48,'Route of Administration'!$A$5:$A$155,0)),"")</f>
        <v>No</v>
      </c>
    </row>
    <row r="49" customFormat="false" ht="28.35" hidden="false" customHeight="false" outlineLevel="0" collapsed="false">
      <c r="B49" s="15" t="n">
        <v>47</v>
      </c>
      <c r="C49" s="15" t="s">
        <v>532</v>
      </c>
      <c r="D49" s="15" t="s">
        <v>536</v>
      </c>
      <c r="E49" s="15" t="s">
        <v>286</v>
      </c>
      <c r="F49" s="15" t="s">
        <v>1622</v>
      </c>
      <c r="G49" s="16" t="s">
        <v>1623</v>
      </c>
      <c r="H49" s="15" t="s">
        <v>248</v>
      </c>
      <c r="I49" s="17" t="n">
        <v>7.03</v>
      </c>
      <c r="J49" s="15" t="n">
        <v>1</v>
      </c>
      <c r="K49" s="15" t="n">
        <v>159</v>
      </c>
      <c r="L49" s="18" t="n">
        <v>8072.59</v>
      </c>
      <c r="M49" s="16" t="s">
        <v>533</v>
      </c>
      <c r="N49" s="17" t="n">
        <v>7.03</v>
      </c>
      <c r="O49" s="15" t="s">
        <v>1506</v>
      </c>
      <c r="P49" s="15" t="s">
        <v>1507</v>
      </c>
      <c r="Q49" s="16" t="s">
        <v>1508</v>
      </c>
      <c r="R49" s="32" t="s">
        <v>1613</v>
      </c>
      <c r="S49" s="37" t="n">
        <f aca="false">IFERROR(INDEX('Injectable Value'!$Z$28:$Z$178,MATCH($C49,'Injectable Value'!$A$28:$A$178,0)),"")</f>
        <v>1</v>
      </c>
      <c r="T49" s="18" t="n">
        <f aca="false">IFERROR(ROUND(INDEX('Injectable Value'!$AA$28:$AA$178,MATCH($C49,'Injectable Value'!$A$28:$A$178,0)),1),"")</f>
        <v>8072.6</v>
      </c>
      <c r="U49" s="16" t="s">
        <v>247</v>
      </c>
      <c r="V49" s="15" t="n">
        <v>1</v>
      </c>
      <c r="W49" s="15" t="s">
        <v>247</v>
      </c>
      <c r="X49" s="15" t="s">
        <v>248</v>
      </c>
      <c r="Y49" s="15" t="s">
        <v>1519</v>
      </c>
      <c r="Z49" s="16" t="str">
        <f aca="false">IFERROR(INDEX(Scoring!$K:$K,MATCH($C49&amp;"|"&amp;$E49,Scoring!$U:$U,0)),"")</f>
        <v/>
      </c>
      <c r="AA49" s="15" t="str">
        <f aca="false">IFERROR(INDEX(Scoring!$Q:$Q,MATCH($C49&amp;"|"&amp;$E49,Scoring!$U:$U,0)),"")</f>
        <v>Excluded – IV only</v>
      </c>
      <c r="AB49" s="15" t="str">
        <f aca="false">IFERROR(INDEX(Scoring!$AK:$AK,MATCH($C49&amp;"|"&amp;$E49,Scoring!$U:$U,0)),"")</f>
        <v>Excluded – IV only</v>
      </c>
      <c r="AC49" s="18" t="n">
        <f aca="false">IFERROR(INDEX(Scoring!$M:$M,MATCH($C49&amp;"|"&amp;$E49,Scoring!$U:$U,0)),"")</f>
        <v>159</v>
      </c>
      <c r="AD49" s="15" t="str">
        <f aca="false">IFERROR(INDEX('Route of Administration'!$C$5:$C$155,MATCH($C49,'Route of Administration'!$A$5:$A$155,0)),"")</f>
        <v>Epidural, perineural, infiltration</v>
      </c>
      <c r="AE49" s="14" t="str">
        <f aca="false">IFERROR(INDEX('Route of Administration'!$D$5:$D$155,MATCH($C49,'Route of Administration'!$A$5:$A$155,0)),"")</f>
        <v>No</v>
      </c>
    </row>
    <row r="50" customFormat="false" ht="28.35" hidden="false" customHeight="false" outlineLevel="0" collapsed="false">
      <c r="B50" s="15" t="n">
        <v>48</v>
      </c>
      <c r="C50" s="15" t="s">
        <v>291</v>
      </c>
      <c r="D50" s="15" t="s">
        <v>295</v>
      </c>
      <c r="E50" s="15" t="s">
        <v>286</v>
      </c>
      <c r="F50" s="15" t="s">
        <v>1624</v>
      </c>
      <c r="G50" s="16" t="s">
        <v>1625</v>
      </c>
      <c r="H50" s="15" t="s">
        <v>248</v>
      </c>
      <c r="I50" s="17" t="n">
        <v>90.4</v>
      </c>
      <c r="J50" s="15" t="n">
        <v>1</v>
      </c>
      <c r="K50" s="15" t="n">
        <v>22</v>
      </c>
      <c r="L50" s="18" t="n">
        <v>2127.31</v>
      </c>
      <c r="M50" s="16" t="s">
        <v>292</v>
      </c>
      <c r="N50" s="17" t="n">
        <v>90.4</v>
      </c>
      <c r="O50" s="15" t="s">
        <v>1506</v>
      </c>
      <c r="P50" s="15" t="s">
        <v>1507</v>
      </c>
      <c r="Q50" s="16" t="s">
        <v>1508</v>
      </c>
      <c r="R50" s="32" t="s">
        <v>1626</v>
      </c>
      <c r="S50" s="37" t="n">
        <f aca="false">IFERROR(INDEX('Injectable Value'!$Z$28:$Z$178,MATCH($C50,'Injectable Value'!$A$28:$A$178,0)),"")</f>
        <v>1</v>
      </c>
      <c r="T50" s="18" t="n">
        <f aca="false">IFERROR(ROUND(INDEX('Injectable Value'!$AA$28:$AA$178,MATCH($C50,'Injectable Value'!$A$28:$A$178,0)),1),"")</f>
        <v>2127.3</v>
      </c>
      <c r="U50" s="16" t="s">
        <v>247</v>
      </c>
      <c r="V50" s="15" t="n">
        <v>1</v>
      </c>
      <c r="W50" s="15" t="s">
        <v>247</v>
      </c>
      <c r="X50" s="15" t="s">
        <v>248</v>
      </c>
      <c r="Y50" s="15" t="s">
        <v>1519</v>
      </c>
      <c r="Z50" s="16" t="str">
        <f aca="false">IFERROR(INDEX(Scoring!$K:$K,MATCH($C50&amp;"|"&amp;$E50,Scoring!$U:$U,0)),"")</f>
        <v/>
      </c>
      <c r="AA50" s="15" t="str">
        <f aca="false">IFERROR(INDEX(Scoring!$Q:$Q,MATCH($C50&amp;"|"&amp;$E50,Scoring!$U:$U,0)),"")</f>
        <v>Excluded – IV only</v>
      </c>
      <c r="AB50" s="15" t="str">
        <f aca="false">IFERROR(INDEX(Scoring!$AK:$AK,MATCH($C50&amp;"|"&amp;$E50,Scoring!$U:$U,0)),"")</f>
        <v>Excluded – IV only</v>
      </c>
      <c r="AC50" s="18" t="n">
        <f aca="false">IFERROR(INDEX(Scoring!$M:$M,MATCH($C50&amp;"|"&amp;$E50,Scoring!$U:$U,0)),"")</f>
        <v>22</v>
      </c>
      <c r="AD50" s="15" t="str">
        <f aca="false">IFERROR(INDEX('Route of Administration'!$C$5:$C$155,MATCH($C50,'Route of Administration'!$A$5:$A$155,0)),"")</f>
        <v>IV</v>
      </c>
      <c r="AE50" s="14" t="str">
        <f aca="false">IFERROR(INDEX('Route of Administration'!$D$5:$D$155,MATCH($C50,'Route of Administration'!$A$5:$A$155,0)),"")</f>
        <v>No</v>
      </c>
    </row>
    <row r="51" customFormat="false" ht="28.35" hidden="false" customHeight="false" outlineLevel="0" collapsed="false">
      <c r="B51" s="15" t="n">
        <v>49</v>
      </c>
      <c r="C51" s="15" t="s">
        <v>348</v>
      </c>
      <c r="D51" s="15" t="s">
        <v>348</v>
      </c>
      <c r="E51" s="15" t="s">
        <v>286</v>
      </c>
      <c r="F51" s="15" t="s">
        <v>1627</v>
      </c>
      <c r="G51" s="16" t="s">
        <v>1628</v>
      </c>
      <c r="H51" s="15" t="s">
        <v>248</v>
      </c>
      <c r="I51" s="17" t="n">
        <v>216.12</v>
      </c>
      <c r="J51" s="15" t="n">
        <v>1</v>
      </c>
      <c r="K51" s="15" t="n">
        <v>843</v>
      </c>
      <c r="L51" s="18" t="n">
        <v>4508</v>
      </c>
      <c r="M51" s="16" t="s">
        <v>349</v>
      </c>
      <c r="N51" s="17" t="n">
        <v>216.12</v>
      </c>
      <c r="O51" s="15" t="s">
        <v>1506</v>
      </c>
      <c r="P51" s="15" t="s">
        <v>1507</v>
      </c>
      <c r="Q51" s="16" t="s">
        <v>1508</v>
      </c>
      <c r="R51" s="32" t="s">
        <v>1629</v>
      </c>
      <c r="S51" s="37" t="n">
        <f aca="false">IFERROR(INDEX('Injectable Value'!$Z$28:$Z$178,MATCH($C51,'Injectable Value'!$A$28:$A$178,0)),"")</f>
        <v>0.858739397335643</v>
      </c>
      <c r="T51" s="18" t="n">
        <f aca="false">IFERROR(ROUND(INDEX('Injectable Value'!$AA$28:$AA$178,MATCH($C51,'Injectable Value'!$A$28:$A$178,0)),1),"")</f>
        <v>3871.2</v>
      </c>
      <c r="U51" s="16" t="s">
        <v>247</v>
      </c>
      <c r="V51" s="15" t="n">
        <v>1</v>
      </c>
      <c r="W51" s="15" t="s">
        <v>247</v>
      </c>
      <c r="X51" s="15" t="s">
        <v>248</v>
      </c>
      <c r="Y51" s="15" t="s">
        <v>249</v>
      </c>
      <c r="Z51" s="16" t="str">
        <f aca="false">IFERROR(INDEX(Scoring!$K:$K,MATCH($C51&amp;"|"&amp;$E51,Scoring!$U:$U,0)),"")</f>
        <v>Cancer drug (cytotoxic) – less relevant</v>
      </c>
      <c r="AA51" s="15" t="str">
        <f aca="false">IFERROR(INDEX(Scoring!$Q:$Q,MATCH($C51&amp;"|"&amp;$E51,Scoring!$U:$U,0)),"")</f>
        <v>Excluded – IV only</v>
      </c>
      <c r="AB51" s="15" t="str">
        <f aca="false">IFERROR(INDEX(Scoring!$AK:$AK,MATCH($C51&amp;"|"&amp;$E51,Scoring!$U:$U,0)),"")</f>
        <v>Excluded – IV only</v>
      </c>
      <c r="AC51" s="18" t="n">
        <f aca="false">IFERROR(INDEX(Scoring!$M:$M,MATCH($C51&amp;"|"&amp;$E51,Scoring!$U:$U,0)),"")</f>
        <v>724</v>
      </c>
      <c r="AD51" s="15" t="str">
        <f aca="false">IFERROR(INDEX('Route of Administration'!$C$5:$C$155,MATCH($C51,'Route of Administration'!$A$5:$A$155,0)),"")</f>
        <v>IV</v>
      </c>
      <c r="AE51" s="14" t="str">
        <f aca="false">IFERROR(INDEX('Route of Administration'!$D$5:$D$155,MATCH($C51,'Route of Administration'!$A$5:$A$155,0)),"")</f>
        <v>No</v>
      </c>
    </row>
    <row r="52" customFormat="false" ht="28.35" hidden="false" customHeight="false" outlineLevel="0" collapsed="false">
      <c r="B52" s="15" t="n">
        <v>50</v>
      </c>
      <c r="C52" s="15" t="s">
        <v>348</v>
      </c>
      <c r="D52" s="15" t="s">
        <v>348</v>
      </c>
      <c r="E52" s="15" t="s">
        <v>286</v>
      </c>
      <c r="F52" s="15" t="s">
        <v>1630</v>
      </c>
      <c r="G52" s="16" t="s">
        <v>1631</v>
      </c>
      <c r="H52" s="15" t="s">
        <v>248</v>
      </c>
      <c r="I52" s="17" t="n">
        <v>427.8</v>
      </c>
      <c r="J52" s="15" t="n">
        <v>1</v>
      </c>
      <c r="K52" s="15" t="n">
        <v>843</v>
      </c>
      <c r="L52" s="18" t="n">
        <v>4508</v>
      </c>
      <c r="M52" s="16" t="s">
        <v>349</v>
      </c>
      <c r="N52" s="17" t="n">
        <v>427.8</v>
      </c>
      <c r="O52" s="15" t="s">
        <v>1506</v>
      </c>
      <c r="P52" s="15" t="s">
        <v>1507</v>
      </c>
      <c r="Q52" s="16" t="s">
        <v>1508</v>
      </c>
      <c r="R52" s="32" t="s">
        <v>1629</v>
      </c>
      <c r="S52" s="37" t="n">
        <f aca="false">IFERROR(INDEX('Injectable Value'!$Z$28:$Z$178,MATCH($C52,'Injectable Value'!$A$28:$A$178,0)),"")</f>
        <v>0.858739397335643</v>
      </c>
      <c r="T52" s="18" t="n">
        <f aca="false">IFERROR(ROUND(INDEX('Injectable Value'!$AA$28:$AA$178,MATCH($C52,'Injectable Value'!$A$28:$A$178,0)),1),"")</f>
        <v>3871.2</v>
      </c>
      <c r="U52" s="16" t="s">
        <v>247</v>
      </c>
      <c r="V52" s="15" t="n">
        <v>1</v>
      </c>
      <c r="W52" s="15" t="s">
        <v>247</v>
      </c>
      <c r="X52" s="15" t="s">
        <v>248</v>
      </c>
      <c r="Y52" s="15" t="s">
        <v>249</v>
      </c>
      <c r="Z52" s="16" t="str">
        <f aca="false">IFERROR(INDEX(Scoring!$K:$K,MATCH($C52&amp;"|"&amp;$E52,Scoring!$U:$U,0)),"")</f>
        <v>Cancer drug (cytotoxic) – less relevant</v>
      </c>
      <c r="AA52" s="15" t="str">
        <f aca="false">IFERROR(INDEX(Scoring!$Q:$Q,MATCH($C52&amp;"|"&amp;$E52,Scoring!$U:$U,0)),"")</f>
        <v>Excluded – IV only</v>
      </c>
      <c r="AB52" s="15" t="str">
        <f aca="false">IFERROR(INDEX(Scoring!$AK:$AK,MATCH($C52&amp;"|"&amp;$E52,Scoring!$U:$U,0)),"")</f>
        <v>Excluded – IV only</v>
      </c>
      <c r="AC52" s="18" t="n">
        <f aca="false">IFERROR(INDEX(Scoring!$M:$M,MATCH($C52&amp;"|"&amp;$E52,Scoring!$U:$U,0)),"")</f>
        <v>724</v>
      </c>
      <c r="AD52" s="15" t="str">
        <f aca="false">IFERROR(INDEX('Route of Administration'!$C$5:$C$155,MATCH($C52,'Route of Administration'!$A$5:$A$155,0)),"")</f>
        <v>IV</v>
      </c>
      <c r="AE52" s="14" t="str">
        <f aca="false">IFERROR(INDEX('Route of Administration'!$D$5:$D$155,MATCH($C52,'Route of Administration'!$A$5:$A$155,0)),"")</f>
        <v>No</v>
      </c>
    </row>
    <row r="53" customFormat="false" ht="28.35" hidden="false" customHeight="false" outlineLevel="0" collapsed="false">
      <c r="B53" s="15" t="n">
        <v>51</v>
      </c>
      <c r="C53" s="15" t="s">
        <v>348</v>
      </c>
      <c r="D53" s="15" t="s">
        <v>348</v>
      </c>
      <c r="E53" s="15" t="s">
        <v>286</v>
      </c>
      <c r="F53" s="15" t="s">
        <v>1632</v>
      </c>
      <c r="G53" s="16" t="s">
        <v>1633</v>
      </c>
      <c r="H53" s="15" t="s">
        <v>248</v>
      </c>
      <c r="I53" s="17" t="n">
        <v>58.2</v>
      </c>
      <c r="J53" s="15" t="n">
        <v>1</v>
      </c>
      <c r="K53" s="15" t="n">
        <v>843</v>
      </c>
      <c r="L53" s="18" t="n">
        <v>4508</v>
      </c>
      <c r="M53" s="16" t="s">
        <v>349</v>
      </c>
      <c r="N53" s="17" t="n">
        <v>58.2</v>
      </c>
      <c r="O53" s="15" t="s">
        <v>1506</v>
      </c>
      <c r="P53" s="15" t="s">
        <v>1507</v>
      </c>
      <c r="Q53" s="16" t="s">
        <v>1508</v>
      </c>
      <c r="R53" s="32" t="s">
        <v>1629</v>
      </c>
      <c r="S53" s="37" t="n">
        <f aca="false">IFERROR(INDEX('Injectable Value'!$Z$28:$Z$178,MATCH($C53,'Injectable Value'!$A$28:$A$178,0)),"")</f>
        <v>0.858739397335643</v>
      </c>
      <c r="T53" s="18" t="n">
        <f aca="false">IFERROR(ROUND(INDEX('Injectable Value'!$AA$28:$AA$178,MATCH($C53,'Injectable Value'!$A$28:$A$178,0)),1),"")</f>
        <v>3871.2</v>
      </c>
      <c r="U53" s="16" t="s">
        <v>247</v>
      </c>
      <c r="V53" s="15" t="n">
        <v>1</v>
      </c>
      <c r="W53" s="15" t="s">
        <v>247</v>
      </c>
      <c r="X53" s="15" t="s">
        <v>248</v>
      </c>
      <c r="Y53" s="15" t="s">
        <v>249</v>
      </c>
      <c r="Z53" s="16" t="str">
        <f aca="false">IFERROR(INDEX(Scoring!$K:$K,MATCH($C53&amp;"|"&amp;$E53,Scoring!$U:$U,0)),"")</f>
        <v>Cancer drug (cytotoxic) – less relevant</v>
      </c>
      <c r="AA53" s="15" t="str">
        <f aca="false">IFERROR(INDEX(Scoring!$Q:$Q,MATCH($C53&amp;"|"&amp;$E53,Scoring!$U:$U,0)),"")</f>
        <v>Excluded – IV only</v>
      </c>
      <c r="AB53" s="15" t="str">
        <f aca="false">IFERROR(INDEX(Scoring!$AK:$AK,MATCH($C53&amp;"|"&amp;$E53,Scoring!$U:$U,0)),"")</f>
        <v>Excluded – IV only</v>
      </c>
      <c r="AC53" s="18" t="n">
        <f aca="false">IFERROR(INDEX(Scoring!$M:$M,MATCH($C53&amp;"|"&amp;$E53,Scoring!$U:$U,0)),"")</f>
        <v>724</v>
      </c>
      <c r="AD53" s="15" t="str">
        <f aca="false">IFERROR(INDEX('Route of Administration'!$C$5:$C$155,MATCH($C53,'Route of Administration'!$A$5:$A$155,0)),"")</f>
        <v>IV</v>
      </c>
      <c r="AE53" s="14" t="str">
        <f aca="false">IFERROR(INDEX('Route of Administration'!$D$5:$D$155,MATCH($C53,'Route of Administration'!$A$5:$A$155,0)),"")</f>
        <v>No</v>
      </c>
    </row>
    <row r="54" customFormat="false" ht="28.35" hidden="false" customHeight="false" outlineLevel="0" collapsed="false">
      <c r="B54" s="15" t="n">
        <v>52</v>
      </c>
      <c r="C54" s="15" t="s">
        <v>369</v>
      </c>
      <c r="D54" s="15" t="s">
        <v>374</v>
      </c>
      <c r="E54" s="15" t="s">
        <v>286</v>
      </c>
      <c r="F54" s="15" t="s">
        <v>1634</v>
      </c>
      <c r="G54" s="16" t="s">
        <v>1635</v>
      </c>
      <c r="H54" s="15" t="s">
        <v>248</v>
      </c>
      <c r="I54" s="17" t="n">
        <v>5.35</v>
      </c>
      <c r="J54" s="15" t="n">
        <v>1</v>
      </c>
      <c r="K54" s="15" t="n">
        <v>78</v>
      </c>
      <c r="L54" s="18" t="n">
        <v>4714.67</v>
      </c>
      <c r="M54" s="16" t="s">
        <v>370</v>
      </c>
      <c r="N54" s="17" t="n">
        <v>5.35</v>
      </c>
      <c r="O54" s="15" t="s">
        <v>1506</v>
      </c>
      <c r="P54" s="15" t="s">
        <v>1507</v>
      </c>
      <c r="Q54" s="16" t="s">
        <v>1508</v>
      </c>
      <c r="R54" s="32" t="s">
        <v>1636</v>
      </c>
      <c r="S54" s="37" t="n">
        <f aca="false">IFERROR(INDEX('Injectable Value'!$Z$28:$Z$178,MATCH($C54,'Injectable Value'!$A$28:$A$178,0)),"")</f>
        <v>0.623015352554995</v>
      </c>
      <c r="T54" s="18" t="n">
        <f aca="false">IFERROR(ROUND(INDEX('Injectable Value'!$AA$28:$AA$178,MATCH($C54,'Injectable Value'!$A$28:$A$178,0)),1),"")</f>
        <v>2937.3</v>
      </c>
      <c r="U54" s="16" t="s">
        <v>375</v>
      </c>
      <c r="V54" s="15" t="n">
        <v>2</v>
      </c>
      <c r="W54" s="15" t="s">
        <v>371</v>
      </c>
      <c r="X54" s="15" t="s">
        <v>248</v>
      </c>
      <c r="Y54" s="15" t="s">
        <v>249</v>
      </c>
      <c r="Z54" s="16" t="str">
        <f aca="false">IFERROR(INDEX(Scoring!$K:$K,MATCH($C54&amp;"|"&amp;$E54,Scoring!$U:$U,0)),"")</f>
        <v/>
      </c>
      <c r="AA54" s="15" t="str">
        <f aca="false">IFERROR(INDEX(Scoring!$Q:$Q,MATCH($C54&amp;"|"&amp;$E54,Scoring!$U:$U,0)),"")</f>
        <v>Priority 3</v>
      </c>
      <c r="AB54" s="15" t="str">
        <f aca="false">IFERROR(INDEX(Scoring!$AK:$AK,MATCH($C54&amp;"|"&amp;$E54,Scoring!$U:$U,0)),"")</f>
        <v>Priority 3</v>
      </c>
      <c r="AC54" s="18" t="n">
        <f aca="false">IFERROR(INDEX(Scoring!$M:$M,MATCH($C54&amp;"|"&amp;$E54,Scoring!$U:$U,0)),"")</f>
        <v>49</v>
      </c>
      <c r="AD54" s="15" t="str">
        <f aca="false">IFERROR(INDEX('Route of Administration'!$C$5:$C$155,MATCH($C54,'Route of Administration'!$A$5:$A$155,0)),"")</f>
        <v>IV, IM, SC</v>
      </c>
      <c r="AE54" s="14" t="str">
        <f aca="false">IFERROR(INDEX('Route of Administration'!$D$5:$D$155,MATCH($C54,'Route of Administration'!$A$5:$A$155,0)),"")</f>
        <v>Yes</v>
      </c>
    </row>
    <row r="55" customFormat="false" ht="28.35" hidden="false" customHeight="false" outlineLevel="0" collapsed="false">
      <c r="B55" s="15" t="n">
        <v>53</v>
      </c>
      <c r="C55" s="15" t="s">
        <v>521</v>
      </c>
      <c r="D55" s="15" t="s">
        <v>521</v>
      </c>
      <c r="E55" s="15" t="s">
        <v>286</v>
      </c>
      <c r="F55" s="15" t="s">
        <v>1637</v>
      </c>
      <c r="G55" s="16" t="s">
        <v>1638</v>
      </c>
      <c r="H55" s="15" t="s">
        <v>1639</v>
      </c>
      <c r="I55" s="17"/>
      <c r="J55" s="15" t="n">
        <v>1</v>
      </c>
      <c r="K55" s="15" t="n">
        <v>9</v>
      </c>
      <c r="L55" s="18" t="n">
        <v>1127.64</v>
      </c>
      <c r="M55" s="16" t="s">
        <v>522</v>
      </c>
      <c r="N55" s="38" t="n">
        <v>10.03</v>
      </c>
      <c r="O55" s="22" t="s">
        <v>1513</v>
      </c>
      <c r="P55" s="15" t="s">
        <v>1507</v>
      </c>
      <c r="Q55" s="16" t="s">
        <v>1514</v>
      </c>
      <c r="R55" s="32" t="s">
        <v>1515</v>
      </c>
      <c r="S55" s="37" t="n">
        <f aca="false">IFERROR(INDEX('Injectable Value'!$Z$28:$Z$178,MATCH($C55,'Injectable Value'!$A$28:$A$178,0)),"")</f>
        <v>1</v>
      </c>
      <c r="T55" s="18" t="n">
        <f aca="false">IFERROR(ROUND(INDEX('Injectable Value'!$AA$28:$AA$178,MATCH($C55,'Injectable Value'!$A$28:$A$178,0)),1),"")</f>
        <v>1127.6</v>
      </c>
      <c r="U55" s="16" t="s">
        <v>247</v>
      </c>
      <c r="V55" s="15" t="n">
        <v>1</v>
      </c>
      <c r="W55" s="15" t="s">
        <v>247</v>
      </c>
      <c r="X55" s="15" t="s">
        <v>258</v>
      </c>
      <c r="Y55" s="15" t="s">
        <v>249</v>
      </c>
      <c r="Z55" s="16" t="str">
        <f aca="false">IFERROR(INDEX(Scoring!$K:$K,MATCH($C55&amp;"|"&amp;$E55,Scoring!$U:$U,0)),"")</f>
        <v>Prefilled only</v>
      </c>
      <c r="AA55" s="15" t="str">
        <f aca="false">IFERROR(INDEX(Scoring!$Q:$Q,MATCH($C55&amp;"|"&amp;$E55,Scoring!$U:$U,0)),"")</f>
        <v>Excluded – IV only</v>
      </c>
      <c r="AB55" s="15" t="str">
        <f aca="false">IFERROR(INDEX(Scoring!$AK:$AK,MATCH($C55&amp;"|"&amp;$E55,Scoring!$U:$U,0)),"")</f>
        <v>Excluded – IV only</v>
      </c>
      <c r="AC55" s="18" t="n">
        <f aca="false">IFERROR(INDEX(Scoring!$M:$M,MATCH($C55&amp;"|"&amp;$E55,Scoring!$U:$U,0)),"")</f>
        <v>9</v>
      </c>
      <c r="AD55" s="15" t="str">
        <f aca="false">IFERROR(INDEX('Route of Administration'!$C$5:$C$155,MATCH($C55,'Route of Administration'!$A$5:$A$155,0)),"")</f>
        <v>IV</v>
      </c>
      <c r="AE55" s="14" t="str">
        <f aca="false">IFERROR(INDEX('Route of Administration'!$D$5:$D$155,MATCH($C55,'Route of Administration'!$A$5:$A$155,0)),"")</f>
        <v>No</v>
      </c>
    </row>
    <row r="56" customFormat="false" ht="28.35" hidden="false" customHeight="false" outlineLevel="0" collapsed="false">
      <c r="B56" s="15" t="n">
        <v>54</v>
      </c>
      <c r="C56" s="15" t="s">
        <v>537</v>
      </c>
      <c r="D56" s="15" t="s">
        <v>541</v>
      </c>
      <c r="E56" s="15" t="s">
        <v>286</v>
      </c>
      <c r="F56" s="15" t="s">
        <v>1640</v>
      </c>
      <c r="G56" s="16" t="s">
        <v>1641</v>
      </c>
      <c r="H56" s="15" t="s">
        <v>248</v>
      </c>
      <c r="I56" s="17" t="n">
        <v>161.8</v>
      </c>
      <c r="J56" s="15" t="n">
        <v>1</v>
      </c>
      <c r="K56" s="15" t="n">
        <v>9996</v>
      </c>
      <c r="L56" s="18" t="n">
        <v>71311.67</v>
      </c>
      <c r="M56" s="16" t="s">
        <v>538</v>
      </c>
      <c r="N56" s="17" t="n">
        <v>161.8</v>
      </c>
      <c r="O56" s="15" t="s">
        <v>1506</v>
      </c>
      <c r="P56" s="15" t="s">
        <v>1507</v>
      </c>
      <c r="Q56" s="16" t="s">
        <v>1508</v>
      </c>
      <c r="R56" s="32" t="s">
        <v>1642</v>
      </c>
      <c r="S56" s="37" t="n">
        <f aca="false">IFERROR(INDEX('Injectable Value'!$Z$28:$Z$178,MATCH($C56,'Injectable Value'!$A$28:$A$178,0)),"")</f>
        <v>0.0105877483794673</v>
      </c>
      <c r="T56" s="18" t="n">
        <f aca="false">IFERROR(ROUND(INDEX('Injectable Value'!$AA$28:$AA$178,MATCH($C56,'Injectable Value'!$A$28:$A$178,0)),1),"")</f>
        <v>755</v>
      </c>
      <c r="U56" s="16" t="s">
        <v>247</v>
      </c>
      <c r="V56" s="15" t="n">
        <v>1</v>
      </c>
      <c r="W56" s="15" t="s">
        <v>247</v>
      </c>
      <c r="X56" s="15" t="s">
        <v>248</v>
      </c>
      <c r="Y56" s="15" t="s">
        <v>1519</v>
      </c>
      <c r="Z56" s="16" t="str">
        <f aca="false">IFERROR(INDEX(Scoring!$K:$K,MATCH($C56&amp;"|"&amp;$E56,Scoring!$U:$U,0)),"")</f>
        <v/>
      </c>
      <c r="AA56" s="15" t="str">
        <f aca="false">IFERROR(INDEX(Scoring!$Q:$Q,MATCH($C56&amp;"|"&amp;$E56,Scoring!$U:$U,0)),"")</f>
        <v>Excluded – IV only</v>
      </c>
      <c r="AB56" s="15" t="str">
        <f aca="false">IFERROR(INDEX(Scoring!$AK:$AK,MATCH($C56&amp;"|"&amp;$E56,Scoring!$U:$U,0)),"")</f>
        <v>Excluded – IV only</v>
      </c>
      <c r="AC56" s="18" t="n">
        <f aca="false">IFERROR(INDEX(Scoring!$M:$M,MATCH($C56&amp;"|"&amp;$E56,Scoring!$U:$U,0)),"")</f>
        <v>106</v>
      </c>
      <c r="AD56" s="15" t="str">
        <f aca="false">IFERROR(INDEX('Route of Administration'!$C$5:$C$155,MATCH($C56,'Route of Administration'!$A$5:$A$155,0)),"")</f>
        <v>IV</v>
      </c>
      <c r="AE56" s="14" t="str">
        <f aca="false">IFERROR(INDEX('Route of Administration'!$D$5:$D$155,MATCH($C56,'Route of Administration'!$A$5:$A$155,0)),"")</f>
        <v>No</v>
      </c>
    </row>
    <row r="57" customFormat="false" ht="28.35" hidden="false" customHeight="false" outlineLevel="0" collapsed="false">
      <c r="B57" s="15" t="n">
        <v>55</v>
      </c>
      <c r="C57" s="15" t="s">
        <v>550</v>
      </c>
      <c r="D57" s="15" t="s">
        <v>555</v>
      </c>
      <c r="E57" s="15" t="s">
        <v>286</v>
      </c>
      <c r="F57" s="15" t="s">
        <v>1643</v>
      </c>
      <c r="G57" s="16" t="s">
        <v>1644</v>
      </c>
      <c r="H57" s="15" t="s">
        <v>1505</v>
      </c>
      <c r="I57" s="17" t="n">
        <v>81.22</v>
      </c>
      <c r="J57" s="15" t="n">
        <v>1</v>
      </c>
      <c r="K57" s="15" t="n">
        <v>61</v>
      </c>
      <c r="L57" s="18" t="n">
        <v>2812.77</v>
      </c>
      <c r="M57" s="16" t="s">
        <v>551</v>
      </c>
      <c r="N57" s="17" t="n">
        <v>81.22</v>
      </c>
      <c r="O57" s="15" t="s">
        <v>1506</v>
      </c>
      <c r="P57" s="15" t="s">
        <v>1507</v>
      </c>
      <c r="Q57" s="16" t="s">
        <v>1508</v>
      </c>
      <c r="R57" s="32" t="s">
        <v>1645</v>
      </c>
      <c r="S57" s="37" t="n">
        <f aca="false">IFERROR(INDEX('Injectable Value'!$Z$28:$Z$178,MATCH($C57,'Injectable Value'!$A$28:$A$178,0)),"")</f>
        <v>1</v>
      </c>
      <c r="T57" s="18" t="n">
        <f aca="false">IFERROR(ROUND(INDEX('Injectable Value'!$AA$28:$AA$178,MATCH($C57,'Injectable Value'!$A$28:$A$178,0)),1),"")</f>
        <v>2812.8</v>
      </c>
      <c r="U57" s="16" t="s">
        <v>556</v>
      </c>
      <c r="V57" s="15" t="n">
        <v>6</v>
      </c>
      <c r="W57" s="15" t="s">
        <v>552</v>
      </c>
      <c r="X57" s="15" t="s">
        <v>396</v>
      </c>
      <c r="Y57" s="15" t="s">
        <v>1519</v>
      </c>
      <c r="Z57" s="16" t="str">
        <f aca="false">IFERROR(INDEX(Scoring!$K:$K,MATCH($C57&amp;"|"&amp;$E57,Scoring!$U:$U,0)),"")</f>
        <v/>
      </c>
      <c r="AA57" s="15" t="str">
        <f aca="false">IFERROR(INDEX(Scoring!$Q:$Q,MATCH($C57&amp;"|"&amp;$E57,Scoring!$U:$U,0)),"")</f>
        <v>Excluded – IV only</v>
      </c>
      <c r="AB57" s="15" t="str">
        <f aca="false">IFERROR(INDEX(Scoring!$AK:$AK,MATCH($C57&amp;"|"&amp;$E57,Scoring!$U:$U,0)),"")</f>
        <v>Excluded – IV only</v>
      </c>
      <c r="AC57" s="18" t="n">
        <f aca="false">IFERROR(INDEX(Scoring!$M:$M,MATCH($C57&amp;"|"&amp;$E57,Scoring!$U:$U,0)),"")</f>
        <v>61</v>
      </c>
      <c r="AD57" s="15" t="str">
        <f aca="false">IFERROR(INDEX('Route of Administration'!$C$5:$C$155,MATCH($C57,'Route of Administration'!$A$5:$A$155,0)),"")</f>
        <v>IV</v>
      </c>
      <c r="AE57" s="14" t="str">
        <f aca="false">IFERROR(INDEX('Route of Administration'!$D$5:$D$155,MATCH($C57,'Route of Administration'!$A$5:$A$155,0)),"")</f>
        <v>No</v>
      </c>
    </row>
    <row r="58" customFormat="false" ht="28.35" hidden="false" customHeight="false" outlineLevel="0" collapsed="false">
      <c r="B58" s="15" t="n">
        <v>56</v>
      </c>
      <c r="C58" s="15" t="s">
        <v>550</v>
      </c>
      <c r="D58" s="15" t="s">
        <v>555</v>
      </c>
      <c r="E58" s="15" t="s">
        <v>286</v>
      </c>
      <c r="F58" s="15" t="s">
        <v>1646</v>
      </c>
      <c r="G58" s="16" t="s">
        <v>1647</v>
      </c>
      <c r="H58" s="15" t="s">
        <v>1505</v>
      </c>
      <c r="I58" s="17" t="n">
        <v>198.4</v>
      </c>
      <c r="J58" s="15" t="n">
        <v>1</v>
      </c>
      <c r="K58" s="15" t="n">
        <v>61</v>
      </c>
      <c r="L58" s="18" t="n">
        <v>2812.77</v>
      </c>
      <c r="M58" s="16" t="s">
        <v>551</v>
      </c>
      <c r="N58" s="17" t="n">
        <v>198.4</v>
      </c>
      <c r="O58" s="15" t="s">
        <v>1506</v>
      </c>
      <c r="P58" s="15" t="s">
        <v>1507</v>
      </c>
      <c r="Q58" s="16" t="s">
        <v>1508</v>
      </c>
      <c r="R58" s="32" t="s">
        <v>1645</v>
      </c>
      <c r="S58" s="37" t="n">
        <f aca="false">IFERROR(INDEX('Injectable Value'!$Z$28:$Z$178,MATCH($C58,'Injectable Value'!$A$28:$A$178,0)),"")</f>
        <v>1</v>
      </c>
      <c r="T58" s="18" t="n">
        <f aca="false">IFERROR(ROUND(INDEX('Injectable Value'!$AA$28:$AA$178,MATCH($C58,'Injectable Value'!$A$28:$A$178,0)),1),"")</f>
        <v>2812.8</v>
      </c>
      <c r="U58" s="16" t="s">
        <v>556</v>
      </c>
      <c r="V58" s="15" t="n">
        <v>6</v>
      </c>
      <c r="W58" s="15" t="s">
        <v>552</v>
      </c>
      <c r="X58" s="15" t="s">
        <v>396</v>
      </c>
      <c r="Y58" s="15" t="s">
        <v>1519</v>
      </c>
      <c r="Z58" s="16" t="str">
        <f aca="false">IFERROR(INDEX(Scoring!$K:$K,MATCH($C58&amp;"|"&amp;$E58,Scoring!$U:$U,0)),"")</f>
        <v/>
      </c>
      <c r="AA58" s="15" t="str">
        <f aca="false">IFERROR(INDEX(Scoring!$Q:$Q,MATCH($C58&amp;"|"&amp;$E58,Scoring!$U:$U,0)),"")</f>
        <v>Excluded – IV only</v>
      </c>
      <c r="AB58" s="15" t="str">
        <f aca="false">IFERROR(INDEX(Scoring!$AK:$AK,MATCH($C58&amp;"|"&amp;$E58,Scoring!$U:$U,0)),"")</f>
        <v>Excluded – IV only</v>
      </c>
      <c r="AC58" s="18" t="n">
        <f aca="false">IFERROR(INDEX(Scoring!$M:$M,MATCH($C58&amp;"|"&amp;$E58,Scoring!$U:$U,0)),"")</f>
        <v>61</v>
      </c>
      <c r="AD58" s="15" t="str">
        <f aca="false">IFERROR(INDEX('Route of Administration'!$C$5:$C$155,MATCH($C58,'Route of Administration'!$A$5:$A$155,0)),"")</f>
        <v>IV</v>
      </c>
      <c r="AE58" s="14" t="str">
        <f aca="false">IFERROR(INDEX('Route of Administration'!$D$5:$D$155,MATCH($C58,'Route of Administration'!$A$5:$A$155,0)),"")</f>
        <v>No</v>
      </c>
    </row>
    <row r="59" customFormat="false" ht="28.35" hidden="false" customHeight="false" outlineLevel="0" collapsed="false">
      <c r="B59" s="15" t="n">
        <v>57</v>
      </c>
      <c r="C59" s="15" t="s">
        <v>510</v>
      </c>
      <c r="D59" s="15" t="s">
        <v>510</v>
      </c>
      <c r="E59" s="15" t="s">
        <v>286</v>
      </c>
      <c r="F59" s="15" t="s">
        <v>1648</v>
      </c>
      <c r="G59" s="16" t="s">
        <v>1649</v>
      </c>
      <c r="H59" s="15" t="s">
        <v>1505</v>
      </c>
      <c r="I59" s="17" t="n">
        <v>343.8</v>
      </c>
      <c r="J59" s="15" t="n">
        <v>1</v>
      </c>
      <c r="K59" s="15" t="n">
        <v>47</v>
      </c>
      <c r="L59" s="18" t="n">
        <v>7904.67</v>
      </c>
      <c r="M59" s="16" t="s">
        <v>511</v>
      </c>
      <c r="N59" s="17" t="n">
        <v>343.8</v>
      </c>
      <c r="O59" s="15" t="s">
        <v>1506</v>
      </c>
      <c r="P59" s="15" t="s">
        <v>1507</v>
      </c>
      <c r="Q59" s="16" t="s">
        <v>1508</v>
      </c>
      <c r="R59" s="32" t="s">
        <v>1650</v>
      </c>
      <c r="S59" s="37" t="n">
        <f aca="false">IFERROR(INDEX('Injectable Value'!$Z$28:$Z$178,MATCH($C59,'Injectable Value'!$A$28:$A$178,0)),"")</f>
        <v>1</v>
      </c>
      <c r="T59" s="18" t="n">
        <f aca="false">IFERROR(ROUND(INDEX('Injectable Value'!$AA$28:$AA$178,MATCH($C59,'Injectable Value'!$A$28:$A$178,0)),1),"")</f>
        <v>7904.7</v>
      </c>
      <c r="U59" s="16" t="s">
        <v>516</v>
      </c>
      <c r="V59" s="15" t="n">
        <v>10</v>
      </c>
      <c r="W59" s="15" t="s">
        <v>512</v>
      </c>
      <c r="X59" s="15" t="s">
        <v>248</v>
      </c>
      <c r="Y59" s="15" t="s">
        <v>249</v>
      </c>
      <c r="Z59" s="16" t="str">
        <f aca="false">IFERROR(INDEX(Scoring!$K:$K,MATCH($C59&amp;"|"&amp;$E59,Scoring!$U:$U,0)),"")</f>
        <v/>
      </c>
      <c r="AA59" s="15" t="str">
        <f aca="false">IFERROR(INDEX(Scoring!$Q:$Q,MATCH($C59&amp;"|"&amp;$E59,Scoring!$U:$U,0)),"")</f>
        <v>Priority 2</v>
      </c>
      <c r="AB59" s="15" t="str">
        <f aca="false">IFERROR(INDEX(Scoring!$AK:$AK,MATCH($C59&amp;"|"&amp;$E59,Scoring!$U:$U,0)),"")</f>
        <v>Priority 2</v>
      </c>
      <c r="AC59" s="18" t="n">
        <f aca="false">IFERROR(INDEX(Scoring!$M:$M,MATCH($C59&amp;"|"&amp;$E59,Scoring!$U:$U,0)),"")</f>
        <v>47</v>
      </c>
      <c r="AD59" s="15" t="str">
        <f aca="false">IFERROR(INDEX('Route of Administration'!$C$5:$C$155,MATCH($C59,'Route of Administration'!$A$5:$A$155,0)),"")</f>
        <v>SC</v>
      </c>
      <c r="AE59" s="14" t="str">
        <f aca="false">IFERROR(INDEX('Route of Administration'!$D$5:$D$155,MATCH($C59,'Route of Administration'!$A$5:$A$155,0)),"")</f>
        <v>Yes</v>
      </c>
    </row>
    <row r="60" customFormat="false" ht="28.35" hidden="false" customHeight="false" outlineLevel="0" collapsed="false">
      <c r="B60" s="15" t="n">
        <v>58</v>
      </c>
      <c r="C60" s="15" t="s">
        <v>305</v>
      </c>
      <c r="D60" s="15" t="s">
        <v>1651</v>
      </c>
      <c r="E60" s="15" t="s">
        <v>286</v>
      </c>
      <c r="F60" s="15" t="s">
        <v>1652</v>
      </c>
      <c r="G60" s="16" t="s">
        <v>1653</v>
      </c>
      <c r="H60" s="15" t="s">
        <v>1505</v>
      </c>
      <c r="I60" s="17" t="n">
        <v>856.68</v>
      </c>
      <c r="J60" s="15" t="n">
        <v>1</v>
      </c>
      <c r="K60" s="15" t="n">
        <v>905</v>
      </c>
      <c r="L60" s="18" t="n">
        <v>28093.38</v>
      </c>
      <c r="M60" s="16" t="s">
        <v>306</v>
      </c>
      <c r="N60" s="17" t="n">
        <v>856.68</v>
      </c>
      <c r="O60" s="15" t="s">
        <v>1506</v>
      </c>
      <c r="P60" s="15" t="s">
        <v>1507</v>
      </c>
      <c r="Q60" s="16" t="s">
        <v>1508</v>
      </c>
      <c r="R60" s="32" t="s">
        <v>1654</v>
      </c>
      <c r="S60" s="37" t="n">
        <f aca="false">IFERROR(INDEX('Injectable Value'!$Z$28:$Z$178,MATCH($C60,'Injectable Value'!$A$28:$A$178,0)),"")</f>
        <v>1</v>
      </c>
      <c r="T60" s="18" t="n">
        <f aca="false">IFERROR(ROUND(INDEX('Injectable Value'!$AA$28:$AA$178,MATCH($C60,'Injectable Value'!$A$28:$A$178,0)),1),"")</f>
        <v>28093.4</v>
      </c>
      <c r="U60" s="16" t="s">
        <v>311</v>
      </c>
      <c r="V60" s="15" t="n">
        <v>12</v>
      </c>
      <c r="W60" s="15" t="s">
        <v>307</v>
      </c>
      <c r="X60" s="15" t="s">
        <v>248</v>
      </c>
      <c r="Y60" s="15" t="s">
        <v>299</v>
      </c>
      <c r="Z60" s="16" t="str">
        <f aca="false">IFERROR(INDEX(Scoring!$K:$K,MATCH($C60&amp;"|"&amp;$E60,Scoring!$U:$U,0)),"")</f>
        <v>Cancer drug (cytotoxic) – less relevant; Reconstitution</v>
      </c>
      <c r="AA60" s="15" t="str">
        <f aca="false">IFERROR(INDEX(Scoring!$Q:$Q,MATCH($C60&amp;"|"&amp;$E60,Scoring!$U:$U,0)),"")</f>
        <v>Priority 1</v>
      </c>
      <c r="AB60" s="15" t="str">
        <f aca="false">IFERROR(INDEX(Scoring!$AK:$AK,MATCH($C60&amp;"|"&amp;$E60,Scoring!$U:$U,0)),"")</f>
        <v>Priority 1</v>
      </c>
      <c r="AC60" s="18" t="n">
        <f aca="false">IFERROR(INDEX(Scoring!$M:$M,MATCH($C60&amp;"|"&amp;$E60,Scoring!$U:$U,0)),"")</f>
        <v>905</v>
      </c>
      <c r="AD60" s="15" t="str">
        <f aca="false">IFERROR(INDEX('Route of Administration'!$C$5:$C$155,MATCH($C60,'Route of Administration'!$A$5:$A$155,0)),"")</f>
        <v>IV, SC</v>
      </c>
      <c r="AE60" s="14" t="str">
        <f aca="false">IFERROR(INDEX('Route of Administration'!$D$5:$D$155,MATCH($C60,'Route of Administration'!$A$5:$A$155,0)),"")</f>
        <v>Yes</v>
      </c>
    </row>
    <row r="61" customFormat="false" ht="28.35" hidden="false" customHeight="false" outlineLevel="0" collapsed="false">
      <c r="B61" s="15" t="n">
        <v>59</v>
      </c>
      <c r="C61" s="15" t="s">
        <v>262</v>
      </c>
      <c r="D61" s="15" t="s">
        <v>262</v>
      </c>
      <c r="E61" s="15" t="s">
        <v>286</v>
      </c>
      <c r="F61" s="15" t="s">
        <v>1655</v>
      </c>
      <c r="G61" s="16" t="s">
        <v>1656</v>
      </c>
      <c r="H61" s="15" t="s">
        <v>1512</v>
      </c>
      <c r="I61" s="17" t="n">
        <v>345.31</v>
      </c>
      <c r="J61" s="15" t="n">
        <v>1</v>
      </c>
      <c r="K61" s="15" t="n">
        <v>146</v>
      </c>
      <c r="L61" s="18" t="n">
        <v>11366.06</v>
      </c>
      <c r="M61" s="16" t="s">
        <v>263</v>
      </c>
      <c r="N61" s="17" t="n">
        <v>345.31</v>
      </c>
      <c r="O61" s="15" t="s">
        <v>1506</v>
      </c>
      <c r="P61" s="15" t="s">
        <v>1507</v>
      </c>
      <c r="Q61" s="16" t="s">
        <v>1508</v>
      </c>
      <c r="R61" s="32" t="s">
        <v>1657</v>
      </c>
      <c r="S61" s="37" t="n">
        <f aca="false">IFERROR(INDEX('Injectable Value'!$Z$28:$Z$178,MATCH($C61,'Injectable Value'!$A$28:$A$178,0)),"")</f>
        <v>1</v>
      </c>
      <c r="T61" s="18" t="n">
        <f aca="false">IFERROR(ROUND(INDEX('Injectable Value'!$AA$28:$AA$178,MATCH($C61,'Injectable Value'!$A$28:$A$178,0)),1),"")</f>
        <v>11366.1</v>
      </c>
      <c r="U61" s="16" t="s">
        <v>425</v>
      </c>
      <c r="V61" s="15" t="n">
        <v>10</v>
      </c>
      <c r="W61" s="15" t="s">
        <v>423</v>
      </c>
      <c r="X61" s="15" t="s">
        <v>258</v>
      </c>
      <c r="Y61" s="15" t="s">
        <v>249</v>
      </c>
      <c r="Z61" s="16" t="str">
        <f aca="false">IFERROR(INDEX(Scoring!$K:$K,MATCH($C61&amp;"|"&amp;$E61,Scoring!$U:$U,0)),"")</f>
        <v>Prefilled only</v>
      </c>
      <c r="AA61" s="15" t="str">
        <f aca="false">IFERROR(INDEX(Scoring!$Q:$Q,MATCH($C61&amp;"|"&amp;$E61,Scoring!$U:$U,0)),"")</f>
        <v>Priority 1</v>
      </c>
      <c r="AB61" s="15" t="str">
        <f aca="false">IFERROR(INDEX(Scoring!$AK:$AK,MATCH($C61&amp;"|"&amp;$E61,Scoring!$U:$U,0)),"")</f>
        <v>Priority 2</v>
      </c>
      <c r="AC61" s="18" t="n">
        <f aca="false">IFERROR(INDEX(Scoring!$M:$M,MATCH($C61&amp;"|"&amp;$E61,Scoring!$U:$U,0)),"")</f>
        <v>146</v>
      </c>
      <c r="AD61" s="15" t="str">
        <f aca="false">IFERROR(INDEX('Route of Administration'!$C$5:$C$155,MATCH($C61,'Route of Administration'!$A$5:$A$155,0)),"")</f>
        <v>IM</v>
      </c>
      <c r="AE61" s="14" t="str">
        <f aca="false">IFERROR(INDEX('Route of Administration'!$D$5:$D$155,MATCH($C61,'Route of Administration'!$A$5:$A$155,0)),"")</f>
        <v>Yes</v>
      </c>
    </row>
    <row r="62" customFormat="false" ht="28.35" hidden="false" customHeight="false" outlineLevel="0" collapsed="false">
      <c r="B62" s="15" t="n">
        <v>60</v>
      </c>
      <c r="C62" s="15" t="s">
        <v>510</v>
      </c>
      <c r="D62" s="15" t="s">
        <v>510</v>
      </c>
      <c r="E62" s="15" t="s">
        <v>286</v>
      </c>
      <c r="F62" s="15" t="s">
        <v>1658</v>
      </c>
      <c r="G62" s="16" t="s">
        <v>1659</v>
      </c>
      <c r="H62" s="15" t="s">
        <v>1505</v>
      </c>
      <c r="I62" s="17" t="n">
        <v>6345.6</v>
      </c>
      <c r="J62" s="15" t="n">
        <v>1</v>
      </c>
      <c r="K62" s="15" t="n">
        <v>47</v>
      </c>
      <c r="L62" s="18" t="n">
        <v>7904.67</v>
      </c>
      <c r="M62" s="16" t="s">
        <v>511</v>
      </c>
      <c r="N62" s="17" t="n">
        <v>6345.6</v>
      </c>
      <c r="O62" s="15" t="s">
        <v>1506</v>
      </c>
      <c r="P62" s="15" t="s">
        <v>1507</v>
      </c>
      <c r="Q62" s="16" t="s">
        <v>1508</v>
      </c>
      <c r="R62" s="32" t="s">
        <v>1660</v>
      </c>
      <c r="S62" s="37" t="n">
        <f aca="false">IFERROR(INDEX('Injectable Value'!$Z$28:$Z$178,MATCH($C62,'Injectable Value'!$A$28:$A$178,0)),"")</f>
        <v>1</v>
      </c>
      <c r="T62" s="18" t="n">
        <f aca="false">IFERROR(ROUND(INDEX('Injectable Value'!$AA$28:$AA$178,MATCH($C62,'Injectable Value'!$A$28:$A$178,0)),1),"")</f>
        <v>7904.7</v>
      </c>
      <c r="U62" s="16" t="s">
        <v>516</v>
      </c>
      <c r="V62" s="15" t="n">
        <v>10</v>
      </c>
      <c r="W62" s="15" t="s">
        <v>512</v>
      </c>
      <c r="X62" s="15" t="s">
        <v>248</v>
      </c>
      <c r="Y62" s="15" t="s">
        <v>249</v>
      </c>
      <c r="Z62" s="16" t="str">
        <f aca="false">IFERROR(INDEX(Scoring!$K:$K,MATCH($C62&amp;"|"&amp;$E62,Scoring!$U:$U,0)),"")</f>
        <v/>
      </c>
      <c r="AA62" s="15" t="str">
        <f aca="false">IFERROR(INDEX(Scoring!$Q:$Q,MATCH($C62&amp;"|"&amp;$E62,Scoring!$U:$U,0)),"")</f>
        <v>Priority 2</v>
      </c>
      <c r="AB62" s="15" t="str">
        <f aca="false">IFERROR(INDEX(Scoring!$AK:$AK,MATCH($C62&amp;"|"&amp;$E62,Scoring!$U:$U,0)),"")</f>
        <v>Priority 2</v>
      </c>
      <c r="AC62" s="18" t="n">
        <f aca="false">IFERROR(INDEX(Scoring!$M:$M,MATCH($C62&amp;"|"&amp;$E62,Scoring!$U:$U,0)),"")</f>
        <v>47</v>
      </c>
      <c r="AD62" s="15" t="str">
        <f aca="false">IFERROR(INDEX('Route of Administration'!$C$5:$C$155,MATCH($C62,'Route of Administration'!$A$5:$A$155,0)),"")</f>
        <v>SC</v>
      </c>
      <c r="AE62" s="14" t="str">
        <f aca="false">IFERROR(INDEX('Route of Administration'!$D$5:$D$155,MATCH($C62,'Route of Administration'!$A$5:$A$155,0)),"")</f>
        <v>Yes</v>
      </c>
    </row>
    <row r="63" customFormat="false" ht="28.35" hidden="false" customHeight="false" outlineLevel="0" collapsed="false">
      <c r="B63" s="15" t="n">
        <v>61</v>
      </c>
      <c r="C63" s="15" t="s">
        <v>296</v>
      </c>
      <c r="D63" s="15" t="s">
        <v>296</v>
      </c>
      <c r="E63" s="15" t="s">
        <v>286</v>
      </c>
      <c r="F63" s="15" t="s">
        <v>1661</v>
      </c>
      <c r="G63" s="16" t="s">
        <v>1662</v>
      </c>
      <c r="H63" s="15" t="s">
        <v>1505</v>
      </c>
      <c r="I63" s="17" t="n">
        <v>360.71</v>
      </c>
      <c r="J63" s="15" t="n">
        <v>1</v>
      </c>
      <c r="K63" s="15" t="n">
        <v>762</v>
      </c>
      <c r="L63" s="18" t="n">
        <v>50865.56</v>
      </c>
      <c r="M63" s="16" t="s">
        <v>297</v>
      </c>
      <c r="N63" s="17" t="n">
        <v>360.71</v>
      </c>
      <c r="O63" s="15" t="s">
        <v>1506</v>
      </c>
      <c r="P63" s="15" t="s">
        <v>1507</v>
      </c>
      <c r="Q63" s="16" t="s">
        <v>1508</v>
      </c>
      <c r="R63" s="32" t="s">
        <v>1663</v>
      </c>
      <c r="S63" s="37" t="n">
        <f aca="false">IFERROR(INDEX('Injectable Value'!$Z$28:$Z$178,MATCH($C63,'Injectable Value'!$A$28:$A$178,0)),"")</f>
        <v>0.829278792417718</v>
      </c>
      <c r="T63" s="18" t="n">
        <f aca="false">IFERROR(ROUND(INDEX('Injectable Value'!$AA$28:$AA$178,MATCH($C63,'Injectable Value'!$A$28:$A$178,0)),1),"")</f>
        <v>42181.7</v>
      </c>
      <c r="U63" s="16" t="s">
        <v>303</v>
      </c>
      <c r="V63" s="15" t="n">
        <v>11</v>
      </c>
      <c r="W63" s="15" t="s">
        <v>298</v>
      </c>
      <c r="X63" s="15" t="s">
        <v>248</v>
      </c>
      <c r="Y63" s="15" t="s">
        <v>299</v>
      </c>
      <c r="Z63" s="16" t="str">
        <f aca="false">IFERROR(INDEX(Scoring!$K:$K,MATCH($C63&amp;"|"&amp;$E63,Scoring!$U:$U,0)),"")</f>
        <v>Cancer drug (cytotoxic) – less relevant; Reconstitution</v>
      </c>
      <c r="AA63" s="15" t="str">
        <f aca="false">IFERROR(INDEX(Scoring!$Q:$Q,MATCH($C63&amp;"|"&amp;$E63,Scoring!$U:$U,0)),"")</f>
        <v>Priority 1</v>
      </c>
      <c r="AB63" s="15" t="str">
        <f aca="false">IFERROR(INDEX(Scoring!$AK:$AK,MATCH($C63&amp;"|"&amp;$E63,Scoring!$U:$U,0)),"")</f>
        <v>Priority 1</v>
      </c>
      <c r="AC63" s="18" t="n">
        <f aca="false">IFERROR(INDEX(Scoring!$M:$M,MATCH($C63&amp;"|"&amp;$E63,Scoring!$U:$U,0)),"")</f>
        <v>632</v>
      </c>
      <c r="AD63" s="15" t="str">
        <f aca="false">IFERROR(INDEX('Route of Administration'!$C$5:$C$155,MATCH($C63,'Route of Administration'!$A$5:$A$155,0)),"")</f>
        <v>IV, SC</v>
      </c>
      <c r="AE63" s="14" t="str">
        <f aca="false">IFERROR(INDEX('Route of Administration'!$D$5:$D$155,MATCH($C63,'Route of Administration'!$A$5:$A$155,0)),"")</f>
        <v>Yes</v>
      </c>
    </row>
    <row r="64" customFormat="false" ht="28.35" hidden="false" customHeight="false" outlineLevel="0" collapsed="false">
      <c r="B64" s="15" t="n">
        <v>62</v>
      </c>
      <c r="C64" s="15" t="s">
        <v>503</v>
      </c>
      <c r="D64" s="15" t="s">
        <v>503</v>
      </c>
      <c r="E64" s="15" t="s">
        <v>286</v>
      </c>
      <c r="F64" s="15" t="s">
        <v>1664</v>
      </c>
      <c r="G64" s="16" t="s">
        <v>1665</v>
      </c>
      <c r="H64" s="15" t="s">
        <v>1505</v>
      </c>
      <c r="I64" s="17" t="n">
        <v>6.61</v>
      </c>
      <c r="J64" s="15" t="n">
        <v>1</v>
      </c>
      <c r="K64" s="15" t="n">
        <v>3515</v>
      </c>
      <c r="L64" s="18" t="n">
        <v>140084.73</v>
      </c>
      <c r="M64" s="16" t="s">
        <v>504</v>
      </c>
      <c r="N64" s="17" t="n">
        <v>6.61</v>
      </c>
      <c r="O64" s="15" t="s">
        <v>1506</v>
      </c>
      <c r="P64" s="15" t="s">
        <v>1507</v>
      </c>
      <c r="Q64" s="16" t="s">
        <v>1508</v>
      </c>
      <c r="R64" s="32" t="s">
        <v>1666</v>
      </c>
      <c r="S64" s="37" t="n">
        <f aca="false">IFERROR(INDEX('Injectable Value'!$Z$28:$Z$178,MATCH($C64,'Injectable Value'!$A$28:$A$178,0)),"")</f>
        <v>0.251824206147514</v>
      </c>
      <c r="T64" s="18" t="n">
        <f aca="false">IFERROR(ROUND(INDEX('Injectable Value'!$AA$28:$AA$178,MATCH($C64,'Injectable Value'!$A$28:$A$178,0)),1),"")</f>
        <v>35276.7</v>
      </c>
      <c r="U64" s="16" t="s">
        <v>508</v>
      </c>
      <c r="V64" s="15" t="n">
        <v>11</v>
      </c>
      <c r="W64" s="15" t="s">
        <v>505</v>
      </c>
      <c r="X64" s="15" t="s">
        <v>248</v>
      </c>
      <c r="Y64" s="15" t="s">
        <v>277</v>
      </c>
      <c r="Z64" s="16" t="str">
        <f aca="false">IFERROR(INDEX(Scoring!$K:$K,MATCH($C64&amp;"|"&amp;$E64,Scoring!$U:$U,0)),"")</f>
        <v/>
      </c>
      <c r="AA64" s="15" t="str">
        <f aca="false">IFERROR(INDEX(Scoring!$Q:$Q,MATCH($C64&amp;"|"&amp;$E64,Scoring!$U:$U,0)),"")</f>
        <v>Excluded – IV only</v>
      </c>
      <c r="AB64" s="15" t="str">
        <f aca="false">IFERROR(INDEX(Scoring!$AK:$AK,MATCH($C64&amp;"|"&amp;$E64,Scoring!$U:$U,0)),"")</f>
        <v>Excluded – IV only</v>
      </c>
      <c r="AC64" s="18" t="n">
        <f aca="false">IFERROR(INDEX(Scoring!$M:$M,MATCH($C64&amp;"|"&amp;$E64,Scoring!$U:$U,0)),"")</f>
        <v>885</v>
      </c>
      <c r="AD64" s="15" t="str">
        <f aca="false">IFERROR(INDEX('Route of Administration'!$C$5:$C$155,MATCH($C64,'Route of Administration'!$A$5:$A$155,0)),"")</f>
        <v>IV</v>
      </c>
      <c r="AE64" s="14" t="str">
        <f aca="false">IFERROR(INDEX('Route of Administration'!$D$5:$D$155,MATCH($C64,'Route of Administration'!$A$5:$A$155,0)),"")</f>
        <v>No</v>
      </c>
    </row>
    <row r="65" customFormat="false" ht="28.35" hidden="false" customHeight="false" outlineLevel="0" collapsed="false">
      <c r="B65" s="15" t="n">
        <v>63</v>
      </c>
      <c r="C65" s="15" t="s">
        <v>487</v>
      </c>
      <c r="D65" s="15" t="s">
        <v>487</v>
      </c>
      <c r="E65" s="15" t="s">
        <v>286</v>
      </c>
      <c r="F65" s="15" t="s">
        <v>1667</v>
      </c>
      <c r="G65" s="16" t="s">
        <v>1668</v>
      </c>
      <c r="H65" s="15" t="s">
        <v>1505</v>
      </c>
      <c r="I65" s="17" t="n">
        <v>6.34</v>
      </c>
      <c r="J65" s="15" t="n">
        <v>1</v>
      </c>
      <c r="K65" s="15" t="n">
        <v>2546</v>
      </c>
      <c r="L65" s="18" t="n">
        <v>46507.62</v>
      </c>
      <c r="M65" s="16" t="s">
        <v>488</v>
      </c>
      <c r="N65" s="17" t="n">
        <v>6.34</v>
      </c>
      <c r="O65" s="15" t="s">
        <v>1506</v>
      </c>
      <c r="P65" s="15" t="s">
        <v>1507</v>
      </c>
      <c r="Q65" s="16" t="s">
        <v>1508</v>
      </c>
      <c r="R65" s="32" t="s">
        <v>1669</v>
      </c>
      <c r="S65" s="37" t="n">
        <f aca="false">IFERROR(INDEX('Injectable Value'!$Z$28:$Z$178,MATCH($C65,'Injectable Value'!$A$28:$A$178,0)),"")</f>
        <v>0.378228374732698</v>
      </c>
      <c r="T65" s="18" t="n">
        <f aca="false">IFERROR(ROUND(INDEX('Injectable Value'!$AA$28:$AA$178,MATCH($C65,'Injectable Value'!$A$28:$A$178,0)),1),"")</f>
        <v>17590.5</v>
      </c>
      <c r="U65" s="16" t="s">
        <v>493</v>
      </c>
      <c r="V65" s="15" t="n">
        <v>10</v>
      </c>
      <c r="W65" s="15" t="s">
        <v>489</v>
      </c>
      <c r="X65" s="15" t="s">
        <v>316</v>
      </c>
      <c r="Y65" s="15" t="s">
        <v>277</v>
      </c>
      <c r="Z65" s="16" t="str">
        <f aca="false">IFERROR(INDEX(Scoring!$K:$K,MATCH($C65&amp;"|"&amp;$E65,Scoring!$U:$U,0)),"")</f>
        <v/>
      </c>
      <c r="AA65" s="15" t="str">
        <f aca="false">IFERROR(INDEX(Scoring!$Q:$Q,MATCH($C65&amp;"|"&amp;$E65,Scoring!$U:$U,0)),"")</f>
        <v>Priority 2</v>
      </c>
      <c r="AB65" s="15" t="str">
        <f aca="false">IFERROR(INDEX(Scoring!$AK:$AK,MATCH($C65&amp;"|"&amp;$E65,Scoring!$U:$U,0)),"")</f>
        <v>Priority 2</v>
      </c>
      <c r="AC65" s="18" t="n">
        <f aca="false">IFERROR(INDEX(Scoring!$M:$M,MATCH($C65&amp;"|"&amp;$E65,Scoring!$U:$U,0)),"")</f>
        <v>963</v>
      </c>
      <c r="AD65" s="15" t="str">
        <f aca="false">IFERROR(INDEX('Route of Administration'!$C$5:$C$155,MATCH($C65,'Route of Administration'!$A$5:$A$155,0)),"")</f>
        <v>IV, IM</v>
      </c>
      <c r="AE65" s="14" t="str">
        <f aca="false">IFERROR(INDEX('Route of Administration'!$D$5:$D$155,MATCH($C65,'Route of Administration'!$A$5:$A$155,0)),"")</f>
        <v>Yes</v>
      </c>
    </row>
    <row r="66" customFormat="false" ht="28.35" hidden="false" customHeight="false" outlineLevel="0" collapsed="false">
      <c r="B66" s="15" t="n">
        <v>64</v>
      </c>
      <c r="C66" s="15" t="s">
        <v>296</v>
      </c>
      <c r="D66" s="15" t="s">
        <v>1670</v>
      </c>
      <c r="E66" s="15" t="s">
        <v>286</v>
      </c>
      <c r="F66" s="15" t="s">
        <v>1671</v>
      </c>
      <c r="G66" s="16" t="s">
        <v>1662</v>
      </c>
      <c r="H66" s="15" t="s">
        <v>1505</v>
      </c>
      <c r="I66" s="17" t="n">
        <v>397.421</v>
      </c>
      <c r="J66" s="15" t="n">
        <v>30</v>
      </c>
      <c r="K66" s="15" t="n">
        <v>762</v>
      </c>
      <c r="L66" s="18" t="n">
        <v>50865.56</v>
      </c>
      <c r="M66" s="16" t="s">
        <v>297</v>
      </c>
      <c r="N66" s="17" t="n">
        <v>397.421</v>
      </c>
      <c r="O66" s="15" t="s">
        <v>1506</v>
      </c>
      <c r="P66" s="15" t="s">
        <v>1672</v>
      </c>
      <c r="Q66" s="16" t="s">
        <v>1508</v>
      </c>
      <c r="R66" s="32" t="s">
        <v>1673</v>
      </c>
      <c r="S66" s="37" t="n">
        <f aca="false">IFERROR(INDEX('Injectable Value'!$Z$28:$Z$178,MATCH($C66,'Injectable Value'!$A$28:$A$178,0)),"")</f>
        <v>0.829278792417718</v>
      </c>
      <c r="T66" s="18" t="n">
        <f aca="false">IFERROR(ROUND(INDEX('Injectable Value'!$AA$28:$AA$178,MATCH($C66,'Injectable Value'!$A$28:$A$178,0)),1),"")</f>
        <v>42181.7</v>
      </c>
      <c r="U66" s="16" t="s">
        <v>303</v>
      </c>
      <c r="V66" s="15" t="n">
        <v>11</v>
      </c>
      <c r="W66" s="15" t="s">
        <v>298</v>
      </c>
      <c r="X66" s="15" t="s">
        <v>248</v>
      </c>
      <c r="Y66" s="15" t="s">
        <v>299</v>
      </c>
      <c r="Z66" s="16" t="str">
        <f aca="false">IFERROR(INDEX(Scoring!$K:$K,MATCH($C66&amp;"|"&amp;$E66,Scoring!$U:$U,0)),"")</f>
        <v>Cancer drug (cytotoxic) – less relevant; Reconstitution</v>
      </c>
      <c r="AA66" s="15" t="str">
        <f aca="false">IFERROR(INDEX(Scoring!$Q:$Q,MATCH($C66&amp;"|"&amp;$E66,Scoring!$U:$U,0)),"")</f>
        <v>Priority 1</v>
      </c>
      <c r="AB66" s="15" t="str">
        <f aca="false">IFERROR(INDEX(Scoring!$AK:$AK,MATCH($C66&amp;"|"&amp;$E66,Scoring!$U:$U,0)),"")</f>
        <v>Priority 1</v>
      </c>
      <c r="AC66" s="18" t="n">
        <f aca="false">IFERROR(INDEX(Scoring!$M:$M,MATCH($C66&amp;"|"&amp;$E66,Scoring!$U:$U,0)),"")</f>
        <v>632</v>
      </c>
      <c r="AD66" s="15" t="str">
        <f aca="false">IFERROR(INDEX('Route of Administration'!$C$5:$C$155,MATCH($C66,'Route of Administration'!$A$5:$A$155,0)),"")</f>
        <v>IV, SC</v>
      </c>
      <c r="AE66" s="14" t="str">
        <f aca="false">IFERROR(INDEX('Route of Administration'!$D$5:$D$155,MATCH($C66,'Route of Administration'!$A$5:$A$155,0)),"")</f>
        <v>Yes</v>
      </c>
    </row>
    <row r="67" customFormat="false" ht="28.35" hidden="false" customHeight="false" outlineLevel="0" collapsed="false">
      <c r="B67" s="15" t="n">
        <v>65</v>
      </c>
      <c r="C67" s="15" t="s">
        <v>305</v>
      </c>
      <c r="D67" s="15" t="s">
        <v>1674</v>
      </c>
      <c r="E67" s="15" t="s">
        <v>286</v>
      </c>
      <c r="F67" s="15" t="s">
        <v>1675</v>
      </c>
      <c r="G67" s="16" t="s">
        <v>1653</v>
      </c>
      <c r="H67" s="15" t="s">
        <v>1505</v>
      </c>
      <c r="I67" s="17" t="n">
        <v>1444.1174</v>
      </c>
      <c r="J67" s="15" t="n">
        <v>29</v>
      </c>
      <c r="K67" s="15" t="n">
        <v>905</v>
      </c>
      <c r="L67" s="18" t="n">
        <v>28093.38</v>
      </c>
      <c r="M67" s="16" t="s">
        <v>306</v>
      </c>
      <c r="N67" s="17" t="n">
        <v>1444.1174</v>
      </c>
      <c r="O67" s="15" t="s">
        <v>1506</v>
      </c>
      <c r="P67" s="15" t="s">
        <v>1672</v>
      </c>
      <c r="Q67" s="16" t="s">
        <v>1508</v>
      </c>
      <c r="R67" s="32" t="s">
        <v>1673</v>
      </c>
      <c r="S67" s="37" t="n">
        <f aca="false">IFERROR(INDEX('Injectable Value'!$Z$28:$Z$178,MATCH($C67,'Injectable Value'!$A$28:$A$178,0)),"")</f>
        <v>1</v>
      </c>
      <c r="T67" s="18" t="n">
        <f aca="false">IFERROR(ROUND(INDEX('Injectable Value'!$AA$28:$AA$178,MATCH($C67,'Injectable Value'!$A$28:$A$178,0)),1),"")</f>
        <v>28093.4</v>
      </c>
      <c r="U67" s="16" t="s">
        <v>311</v>
      </c>
      <c r="V67" s="15" t="n">
        <v>12</v>
      </c>
      <c r="W67" s="15" t="s">
        <v>307</v>
      </c>
      <c r="X67" s="15" t="s">
        <v>248</v>
      </c>
      <c r="Y67" s="15" t="s">
        <v>299</v>
      </c>
      <c r="Z67" s="16" t="str">
        <f aca="false">IFERROR(INDEX(Scoring!$K:$K,MATCH($C67&amp;"|"&amp;$E67,Scoring!$U:$U,0)),"")</f>
        <v>Cancer drug (cytotoxic) – less relevant; Reconstitution</v>
      </c>
      <c r="AA67" s="15" t="str">
        <f aca="false">IFERROR(INDEX(Scoring!$Q:$Q,MATCH($C67&amp;"|"&amp;$E67,Scoring!$U:$U,0)),"")</f>
        <v>Priority 1</v>
      </c>
      <c r="AB67" s="15" t="str">
        <f aca="false">IFERROR(INDEX(Scoring!$AK:$AK,MATCH($C67&amp;"|"&amp;$E67,Scoring!$U:$U,0)),"")</f>
        <v>Priority 1</v>
      </c>
      <c r="AC67" s="18" t="n">
        <f aca="false">IFERROR(INDEX(Scoring!$M:$M,MATCH($C67&amp;"|"&amp;$E67,Scoring!$U:$U,0)),"")</f>
        <v>905</v>
      </c>
      <c r="AD67" s="15" t="str">
        <f aca="false">IFERROR(INDEX('Route of Administration'!$C$5:$C$155,MATCH($C67,'Route of Administration'!$A$5:$A$155,0)),"")</f>
        <v>IV, SC</v>
      </c>
      <c r="AE67" s="14" t="str">
        <f aca="false">IFERROR(INDEX('Route of Administration'!$D$5:$D$155,MATCH($C67,'Route of Administration'!$A$5:$A$155,0)),"")</f>
        <v>Yes</v>
      </c>
    </row>
    <row r="68" customFormat="false" ht="28.35" hidden="false" customHeight="false" outlineLevel="0" collapsed="false">
      <c r="B68" s="15" t="n">
        <v>66</v>
      </c>
      <c r="C68" s="15" t="s">
        <v>313</v>
      </c>
      <c r="D68" s="15" t="s">
        <v>319</v>
      </c>
      <c r="E68" s="15" t="s">
        <v>286</v>
      </c>
      <c r="F68" s="15" t="s">
        <v>1676</v>
      </c>
      <c r="G68" s="16" t="s">
        <v>1677</v>
      </c>
      <c r="H68" s="15" t="s">
        <v>1505</v>
      </c>
      <c r="I68" s="17" t="n">
        <v>5.1528</v>
      </c>
      <c r="J68" s="15" t="n">
        <v>20</v>
      </c>
      <c r="K68" s="15" t="n">
        <v>598</v>
      </c>
      <c r="L68" s="18" t="n">
        <v>16840.43</v>
      </c>
      <c r="M68" s="16" t="s">
        <v>314</v>
      </c>
      <c r="N68" s="17" t="n">
        <v>5.1528</v>
      </c>
      <c r="O68" s="15" t="s">
        <v>1506</v>
      </c>
      <c r="P68" s="15" t="s">
        <v>1672</v>
      </c>
      <c r="Q68" s="16" t="s">
        <v>1508</v>
      </c>
      <c r="R68" s="32" t="s">
        <v>1678</v>
      </c>
      <c r="S68" s="37" t="n">
        <f aca="false">IFERROR(INDEX('Injectable Value'!$Z$28:$Z$178,MATCH($C68,'Injectable Value'!$A$28:$A$178,0)),"")</f>
        <v>0.971428571428571</v>
      </c>
      <c r="T68" s="18" t="n">
        <f aca="false">IFERROR(ROUND(INDEX('Injectable Value'!$AA$28:$AA$178,MATCH($C68,'Injectable Value'!$A$28:$A$178,0)),1),"")</f>
        <v>16359.3</v>
      </c>
      <c r="U68" s="16" t="s">
        <v>320</v>
      </c>
      <c r="V68" s="15" t="n">
        <v>6</v>
      </c>
      <c r="W68" s="15" t="s">
        <v>315</v>
      </c>
      <c r="X68" s="15" t="s">
        <v>316</v>
      </c>
      <c r="Y68" s="15" t="s">
        <v>249</v>
      </c>
      <c r="Z68" s="16" t="str">
        <f aca="false">IFERROR(INDEX(Scoring!$K:$K,MATCH($C68&amp;"|"&amp;$E68,Scoring!$U:$U,0)),"")</f>
        <v/>
      </c>
      <c r="AA68" s="15" t="str">
        <f aca="false">IFERROR(INDEX(Scoring!$Q:$Q,MATCH($C68&amp;"|"&amp;$E68,Scoring!$U:$U,0)),"")</f>
        <v>Priority 2</v>
      </c>
      <c r="AB68" s="15" t="str">
        <f aca="false">IFERROR(INDEX(Scoring!$AK:$AK,MATCH($C68&amp;"|"&amp;$E68,Scoring!$U:$U,0)),"")</f>
        <v>Priority 2</v>
      </c>
      <c r="AC68" s="18" t="n">
        <f aca="false">IFERROR(INDEX(Scoring!$M:$M,MATCH($C68&amp;"|"&amp;$E68,Scoring!$U:$U,0)),"")</f>
        <v>581</v>
      </c>
      <c r="AD68" s="15" t="str">
        <f aca="false">IFERROR(INDEX('Route of Administration'!$C$5:$C$155,MATCH($C68,'Route of Administration'!$A$5:$A$155,0)),"")</f>
        <v>Epidural, intra-articular, SC, perineural</v>
      </c>
      <c r="AE68" s="14" t="str">
        <f aca="false">IFERROR(INDEX('Route of Administration'!$D$5:$D$155,MATCH($C68,'Route of Administration'!$A$5:$A$155,0)),"")</f>
        <v>Yes</v>
      </c>
    </row>
    <row r="69" customFormat="false" ht="28.35" hidden="false" customHeight="false" outlineLevel="0" collapsed="false">
      <c r="B69" s="15" t="n">
        <v>67</v>
      </c>
      <c r="C69" s="15" t="s">
        <v>329</v>
      </c>
      <c r="D69" s="15" t="s">
        <v>334</v>
      </c>
      <c r="E69" s="15" t="s">
        <v>286</v>
      </c>
      <c r="F69" s="15" t="s">
        <v>1679</v>
      </c>
      <c r="G69" s="16" t="s">
        <v>1680</v>
      </c>
      <c r="H69" s="15" t="s">
        <v>1505</v>
      </c>
      <c r="I69" s="17" t="n">
        <v>8.4976</v>
      </c>
      <c r="J69" s="15" t="n">
        <v>30</v>
      </c>
      <c r="K69" s="15" t="n">
        <v>335</v>
      </c>
      <c r="L69" s="18" t="n">
        <v>5713.56</v>
      </c>
      <c r="M69" s="16" t="s">
        <v>330</v>
      </c>
      <c r="N69" s="17" t="n">
        <v>8.4976</v>
      </c>
      <c r="O69" s="15" t="s">
        <v>1506</v>
      </c>
      <c r="P69" s="15" t="s">
        <v>1672</v>
      </c>
      <c r="Q69" s="16" t="s">
        <v>1508</v>
      </c>
      <c r="R69" s="32" t="s">
        <v>1681</v>
      </c>
      <c r="S69" s="37" t="n">
        <f aca="false">IFERROR(INDEX('Injectable Value'!$Z$28:$Z$178,MATCH($C69,'Injectable Value'!$A$28:$A$178,0)),"")</f>
        <v>1</v>
      </c>
      <c r="T69" s="18" t="n">
        <f aca="false">IFERROR(ROUND(INDEX('Injectable Value'!$AA$28:$AA$178,MATCH($C69,'Injectable Value'!$A$28:$A$178,0)),1),"")</f>
        <v>5713.6</v>
      </c>
      <c r="U69" s="16" t="s">
        <v>335</v>
      </c>
      <c r="V69" s="15" t="n">
        <v>1</v>
      </c>
      <c r="W69" s="15" t="s">
        <v>331</v>
      </c>
      <c r="X69" s="15" t="s">
        <v>248</v>
      </c>
      <c r="Y69" s="15" t="s">
        <v>299</v>
      </c>
      <c r="Z69" s="16" t="str">
        <f aca="false">IFERROR(INDEX(Scoring!$K:$K,MATCH($C69&amp;"|"&amp;$E69,Scoring!$U:$U,0)),"")</f>
        <v>Reconstitution</v>
      </c>
      <c r="AA69" s="15" t="str">
        <f aca="false">IFERROR(INDEX(Scoring!$Q:$Q,MATCH($C69&amp;"|"&amp;$E69,Scoring!$U:$U,0)),"")</f>
        <v>Priority 2</v>
      </c>
      <c r="AB69" s="15" t="str">
        <f aca="false">IFERROR(INDEX(Scoring!$AK:$AK,MATCH($C69&amp;"|"&amp;$E69,Scoring!$U:$U,0)),"")</f>
        <v>Priority 2</v>
      </c>
      <c r="AC69" s="18" t="n">
        <f aca="false">IFERROR(INDEX(Scoring!$M:$M,MATCH($C69&amp;"|"&amp;$E69,Scoring!$U:$U,0)),"")</f>
        <v>335</v>
      </c>
      <c r="AD69" s="15" t="str">
        <f aca="false">IFERROR(INDEX('Route of Administration'!$C$5:$C$155,MATCH($C69,'Route of Administration'!$A$5:$A$155,0)),"")</f>
        <v>IV, IM</v>
      </c>
      <c r="AE69" s="14" t="str">
        <f aca="false">IFERROR(INDEX('Route of Administration'!$D$5:$D$155,MATCH($C69,'Route of Administration'!$A$5:$A$155,0)),"")</f>
        <v>Yes</v>
      </c>
    </row>
    <row r="70" customFormat="false" ht="28.35" hidden="false" customHeight="false" outlineLevel="0" collapsed="false">
      <c r="B70" s="15" t="n">
        <v>68</v>
      </c>
      <c r="C70" s="15" t="s">
        <v>336</v>
      </c>
      <c r="D70" s="15" t="s">
        <v>1682</v>
      </c>
      <c r="E70" s="15" t="s">
        <v>286</v>
      </c>
      <c r="F70" s="15" t="s">
        <v>1679</v>
      </c>
      <c r="G70" s="16" t="s">
        <v>1683</v>
      </c>
      <c r="H70" s="15" t="s">
        <v>1505</v>
      </c>
      <c r="I70" s="17" t="n">
        <v>5.6048</v>
      </c>
      <c r="J70" s="15" t="n">
        <v>30</v>
      </c>
      <c r="K70" s="15" t="n">
        <v>3110</v>
      </c>
      <c r="L70" s="18" t="n">
        <v>93119.22</v>
      </c>
      <c r="M70" s="16" t="s">
        <v>337</v>
      </c>
      <c r="N70" s="17" t="n">
        <v>5.6048</v>
      </c>
      <c r="O70" s="15" t="s">
        <v>1506</v>
      </c>
      <c r="P70" s="15" t="s">
        <v>1672</v>
      </c>
      <c r="Q70" s="16" t="s">
        <v>1508</v>
      </c>
      <c r="R70" s="32" t="s">
        <v>1684</v>
      </c>
      <c r="S70" s="37" t="n">
        <f aca="false">IFERROR(INDEX('Injectable Value'!$Z$28:$Z$178,MATCH($C70,'Injectable Value'!$A$28:$A$178,0)),"")</f>
        <v>1</v>
      </c>
      <c r="T70" s="18" t="n">
        <f aca="false">IFERROR(ROUND(INDEX('Injectable Value'!$AA$28:$AA$178,MATCH($C70,'Injectable Value'!$A$28:$A$178,0)),1),"")</f>
        <v>93119.2</v>
      </c>
      <c r="U70" s="16" t="s">
        <v>342</v>
      </c>
      <c r="V70" s="15" t="n">
        <v>4</v>
      </c>
      <c r="W70" s="15" t="s">
        <v>338</v>
      </c>
      <c r="X70" s="15" t="s">
        <v>248</v>
      </c>
      <c r="Y70" s="15" t="s">
        <v>249</v>
      </c>
      <c r="Z70" s="16" t="str">
        <f aca="false">IFERROR(INDEX(Scoring!$K:$K,MATCH($C70&amp;"|"&amp;$E70,Scoring!$U:$U,0)),"")</f>
        <v>Reconstitution</v>
      </c>
      <c r="AA70" s="15" t="str">
        <f aca="false">IFERROR(INDEX(Scoring!$Q:$Q,MATCH($C70&amp;"|"&amp;$E70,Scoring!$U:$U,0)),"")</f>
        <v>Priority 2</v>
      </c>
      <c r="AB70" s="15" t="str">
        <f aca="false">IFERROR(INDEX(Scoring!$AK:$AK,MATCH($C70&amp;"|"&amp;$E70,Scoring!$U:$U,0)),"")</f>
        <v>Priority 2</v>
      </c>
      <c r="AC70" s="18" t="n">
        <f aca="false">IFERROR(INDEX(Scoring!$M:$M,MATCH($C70&amp;"|"&amp;$E70,Scoring!$U:$U,0)),"")</f>
        <v>3110</v>
      </c>
      <c r="AD70" s="15" t="str">
        <f aca="false">IFERROR(INDEX('Route of Administration'!$C$5:$C$155,MATCH($C70,'Route of Administration'!$A$5:$A$155,0)),"")</f>
        <v>IV, IM</v>
      </c>
      <c r="AE70" s="14" t="str">
        <f aca="false">IFERROR(INDEX('Route of Administration'!$D$5:$D$155,MATCH($C70,'Route of Administration'!$A$5:$A$155,0)),"")</f>
        <v>Yes</v>
      </c>
    </row>
    <row r="71" customFormat="false" ht="28.35" hidden="false" customHeight="false" outlineLevel="0" collapsed="false">
      <c r="B71" s="15" t="n">
        <v>69</v>
      </c>
      <c r="C71" s="15" t="s">
        <v>336</v>
      </c>
      <c r="D71" s="15" t="s">
        <v>1685</v>
      </c>
      <c r="E71" s="15" t="s">
        <v>286</v>
      </c>
      <c r="F71" s="15" t="s">
        <v>1679</v>
      </c>
      <c r="G71" s="16" t="s">
        <v>1686</v>
      </c>
      <c r="H71" s="15" t="s">
        <v>1505</v>
      </c>
      <c r="I71" s="17" t="n">
        <v>5.6048</v>
      </c>
      <c r="J71" s="15" t="n">
        <v>28</v>
      </c>
      <c r="K71" s="15" t="n">
        <v>3110</v>
      </c>
      <c r="L71" s="18" t="n">
        <v>93119.22</v>
      </c>
      <c r="M71" s="16" t="s">
        <v>337</v>
      </c>
      <c r="N71" s="17" t="n">
        <v>5.6048</v>
      </c>
      <c r="O71" s="15" t="s">
        <v>1506</v>
      </c>
      <c r="P71" s="15" t="s">
        <v>1507</v>
      </c>
      <c r="Q71" s="16" t="s">
        <v>1508</v>
      </c>
      <c r="R71" s="32" t="s">
        <v>1687</v>
      </c>
      <c r="S71" s="37" t="n">
        <f aca="false">IFERROR(INDEX('Injectable Value'!$Z$28:$Z$178,MATCH($C71,'Injectable Value'!$A$28:$A$178,0)),"")</f>
        <v>1</v>
      </c>
      <c r="T71" s="18" t="n">
        <f aca="false">IFERROR(ROUND(INDEX('Injectable Value'!$AA$28:$AA$178,MATCH($C71,'Injectable Value'!$A$28:$A$178,0)),1),"")</f>
        <v>93119.2</v>
      </c>
      <c r="U71" s="16" t="s">
        <v>342</v>
      </c>
      <c r="V71" s="15" t="n">
        <v>4</v>
      </c>
      <c r="W71" s="15" t="s">
        <v>338</v>
      </c>
      <c r="X71" s="15" t="s">
        <v>316</v>
      </c>
      <c r="Y71" s="15" t="s">
        <v>249</v>
      </c>
      <c r="Z71" s="16" t="str">
        <f aca="false">IFERROR(INDEX(Scoring!$K:$K,MATCH($C71&amp;"|"&amp;$E71,Scoring!$U:$U,0)),"")</f>
        <v>Reconstitution</v>
      </c>
      <c r="AA71" s="15" t="str">
        <f aca="false">IFERROR(INDEX(Scoring!$Q:$Q,MATCH($C71&amp;"|"&amp;$E71,Scoring!$U:$U,0)),"")</f>
        <v>Priority 2</v>
      </c>
      <c r="AB71" s="15" t="str">
        <f aca="false">IFERROR(INDEX(Scoring!$AK:$AK,MATCH($C71&amp;"|"&amp;$E71,Scoring!$U:$U,0)),"")</f>
        <v>Priority 2</v>
      </c>
      <c r="AC71" s="18" t="n">
        <f aca="false">IFERROR(INDEX(Scoring!$M:$M,MATCH($C71&amp;"|"&amp;$E71,Scoring!$U:$U,0)),"")</f>
        <v>3110</v>
      </c>
      <c r="AD71" s="15" t="str">
        <f aca="false">IFERROR(INDEX('Route of Administration'!$C$5:$C$155,MATCH($C71,'Route of Administration'!$A$5:$A$155,0)),"")</f>
        <v>IV, IM</v>
      </c>
      <c r="AE71" s="14" t="str">
        <f aca="false">IFERROR(INDEX('Route of Administration'!$D$5:$D$155,MATCH($C71,'Route of Administration'!$A$5:$A$155,0)),"")</f>
        <v>Yes</v>
      </c>
    </row>
    <row r="72" customFormat="false" ht="28.35" hidden="false" customHeight="false" outlineLevel="0" collapsed="false">
      <c r="B72" s="15" t="n">
        <v>70</v>
      </c>
      <c r="C72" s="15" t="s">
        <v>356</v>
      </c>
      <c r="D72" s="15" t="s">
        <v>360</v>
      </c>
      <c r="E72" s="15" t="s">
        <v>286</v>
      </c>
      <c r="F72" s="15" t="s">
        <v>1688</v>
      </c>
      <c r="G72" s="16" t="s">
        <v>1689</v>
      </c>
      <c r="H72" s="15" t="s">
        <v>1505</v>
      </c>
      <c r="I72" s="17" t="n">
        <v>93.7335</v>
      </c>
      <c r="J72" s="15" t="n">
        <v>28</v>
      </c>
      <c r="K72" s="15" t="n">
        <v>312</v>
      </c>
      <c r="L72" s="18" t="n">
        <v>59827.18</v>
      </c>
      <c r="M72" s="16" t="s">
        <v>357</v>
      </c>
      <c r="N72" s="17" t="n">
        <v>93.7335</v>
      </c>
      <c r="O72" s="15" t="s">
        <v>1506</v>
      </c>
      <c r="P72" s="15" t="s">
        <v>1507</v>
      </c>
      <c r="Q72" s="16" t="s">
        <v>1508</v>
      </c>
      <c r="R72" s="32" t="s">
        <v>1673</v>
      </c>
      <c r="S72" s="37" t="n">
        <f aca="false">IFERROR(INDEX('Injectable Value'!$Z$28:$Z$178,MATCH($C72,'Injectable Value'!$A$28:$A$178,0)),"")</f>
        <v>1</v>
      </c>
      <c r="T72" s="18" t="n">
        <f aca="false">IFERROR(ROUND(INDEX('Injectable Value'!$AA$28:$AA$178,MATCH($C72,'Injectable Value'!$A$28:$A$178,0)),1),"")</f>
        <v>59827.2</v>
      </c>
      <c r="U72" s="16" t="s">
        <v>361</v>
      </c>
      <c r="V72" s="15" t="n">
        <v>5</v>
      </c>
      <c r="W72" s="15" t="s">
        <v>338</v>
      </c>
      <c r="X72" s="15" t="s">
        <v>248</v>
      </c>
      <c r="Y72" s="15" t="s">
        <v>299</v>
      </c>
      <c r="Z72" s="16" t="str">
        <f aca="false">IFERROR(INDEX(Scoring!$K:$K,MATCH($C72&amp;"|"&amp;$E72,Scoring!$U:$U,0)),"")</f>
        <v>Reconstitution</v>
      </c>
      <c r="AA72" s="15" t="str">
        <f aca="false">IFERROR(INDEX(Scoring!$Q:$Q,MATCH($C72&amp;"|"&amp;$E72,Scoring!$U:$U,0)),"")</f>
        <v>Excluded – IV only</v>
      </c>
      <c r="AB72" s="15" t="str">
        <f aca="false">IFERROR(INDEX(Scoring!$AK:$AK,MATCH($C72&amp;"|"&amp;$E72,Scoring!$U:$U,0)),"")</f>
        <v>Excluded – IV only</v>
      </c>
      <c r="AC72" s="18" t="n">
        <f aca="false">IFERROR(INDEX(Scoring!$M:$M,MATCH($C72&amp;"|"&amp;$E72,Scoring!$U:$U,0)),"")</f>
        <v>312</v>
      </c>
      <c r="AD72" s="15" t="str">
        <f aca="false">IFERROR(INDEX('Route of Administration'!$C$5:$C$155,MATCH($C72,'Route of Administration'!$A$5:$A$155,0)),"")</f>
        <v>IV</v>
      </c>
      <c r="AE72" s="14" t="str">
        <f aca="false">IFERROR(INDEX('Route of Administration'!$D$5:$D$155,MATCH($C72,'Route of Administration'!$A$5:$A$155,0)),"")</f>
        <v>No</v>
      </c>
    </row>
    <row r="73" customFormat="false" ht="28.35" hidden="false" customHeight="false" outlineLevel="0" collapsed="false">
      <c r="B73" s="15" t="n">
        <v>71</v>
      </c>
      <c r="C73" s="15" t="s">
        <v>362</v>
      </c>
      <c r="D73" s="15" t="s">
        <v>367</v>
      </c>
      <c r="E73" s="15" t="s">
        <v>286</v>
      </c>
      <c r="F73" s="15" t="s">
        <v>1690</v>
      </c>
      <c r="G73" s="16" t="s">
        <v>1691</v>
      </c>
      <c r="H73" s="15" t="s">
        <v>1505</v>
      </c>
      <c r="I73" s="17" t="n">
        <v>16.837</v>
      </c>
      <c r="J73" s="15" t="n">
        <v>31</v>
      </c>
      <c r="K73" s="15" t="n">
        <v>1644</v>
      </c>
      <c r="L73" s="18" t="n">
        <v>41889.23</v>
      </c>
      <c r="M73" s="16" t="s">
        <v>363</v>
      </c>
      <c r="N73" s="17" t="n">
        <v>16.837</v>
      </c>
      <c r="O73" s="15" t="s">
        <v>1506</v>
      </c>
      <c r="P73" s="15" t="s">
        <v>1672</v>
      </c>
      <c r="Q73" s="16" t="s">
        <v>1508</v>
      </c>
      <c r="R73" s="32" t="s">
        <v>1673</v>
      </c>
      <c r="S73" s="37" t="n">
        <f aca="false">IFERROR(INDEX('Injectable Value'!$Z$28:$Z$178,MATCH($C73,'Injectable Value'!$A$28:$A$178,0)),"")</f>
        <v>0.990783410138249</v>
      </c>
      <c r="T73" s="18" t="n">
        <f aca="false">IFERROR(ROUND(INDEX('Injectable Value'!$AA$28:$AA$178,MATCH($C73,'Injectable Value'!$A$28:$A$178,0)),1),"")</f>
        <v>41503.2</v>
      </c>
      <c r="U73" s="16" t="s">
        <v>368</v>
      </c>
      <c r="V73" s="15" t="n">
        <v>6</v>
      </c>
      <c r="W73" s="15" t="s">
        <v>364</v>
      </c>
      <c r="X73" s="15" t="s">
        <v>248</v>
      </c>
      <c r="Y73" s="15" t="s">
        <v>249</v>
      </c>
      <c r="Z73" s="16" t="str">
        <f aca="false">IFERROR(INDEX(Scoring!$K:$K,MATCH($C73&amp;"|"&amp;$E73,Scoring!$U:$U,0)),"")</f>
        <v>Cancer drug (cytotoxic) – less relevant</v>
      </c>
      <c r="AA73" s="15" t="str">
        <f aca="false">IFERROR(INDEX(Scoring!$Q:$Q,MATCH($C73&amp;"|"&amp;$E73,Scoring!$U:$U,0)),"")</f>
        <v>Excluded – IV only</v>
      </c>
      <c r="AB73" s="15" t="str">
        <f aca="false">IFERROR(INDEX(Scoring!$AK:$AK,MATCH($C73&amp;"|"&amp;$E73,Scoring!$U:$U,0)),"")</f>
        <v>Excluded – IV only</v>
      </c>
      <c r="AC73" s="18" t="n">
        <f aca="false">IFERROR(INDEX(Scoring!$M:$M,MATCH($C73&amp;"|"&amp;$E73,Scoring!$U:$U,0)),"")</f>
        <v>1629</v>
      </c>
      <c r="AD73" s="15" t="str">
        <f aca="false">IFERROR(INDEX('Route of Administration'!$C$5:$C$155,MATCH($C73,'Route of Administration'!$A$5:$A$155,0)),"")</f>
        <v>IV</v>
      </c>
      <c r="AE73" s="14" t="str">
        <f aca="false">IFERROR(INDEX('Route of Administration'!$D$5:$D$155,MATCH($C73,'Route of Administration'!$A$5:$A$155,0)),"")</f>
        <v>No</v>
      </c>
    </row>
    <row r="74" customFormat="false" ht="28.35" hidden="false" customHeight="false" outlineLevel="0" collapsed="false">
      <c r="B74" s="15" t="n">
        <v>72</v>
      </c>
      <c r="C74" s="15" t="s">
        <v>376</v>
      </c>
      <c r="D74" s="15" t="s">
        <v>381</v>
      </c>
      <c r="E74" s="15" t="s">
        <v>286</v>
      </c>
      <c r="F74" s="15" t="s">
        <v>1692</v>
      </c>
      <c r="G74" s="16" t="s">
        <v>1693</v>
      </c>
      <c r="H74" s="15" t="s">
        <v>1505</v>
      </c>
      <c r="I74" s="17" t="n">
        <v>91.7334</v>
      </c>
      <c r="J74" s="15" t="n">
        <v>29</v>
      </c>
      <c r="K74" s="15" t="n">
        <v>345</v>
      </c>
      <c r="L74" s="18" t="n">
        <v>2783.28</v>
      </c>
      <c r="M74" s="16" t="s">
        <v>377</v>
      </c>
      <c r="N74" s="17" t="n">
        <v>91.7334</v>
      </c>
      <c r="O74" s="15" t="s">
        <v>1506</v>
      </c>
      <c r="P74" s="15" t="s">
        <v>1533</v>
      </c>
      <c r="Q74" s="16" t="s">
        <v>1508</v>
      </c>
      <c r="R74" s="32" t="s">
        <v>1673</v>
      </c>
      <c r="S74" s="37" t="n">
        <f aca="false">IFERROR(INDEX('Injectable Value'!$Z$28:$Z$178,MATCH($C74,'Injectable Value'!$A$28:$A$178,0)),"")</f>
        <v>0.995283018867925</v>
      </c>
      <c r="T74" s="18" t="n">
        <f aca="false">IFERROR(ROUND(INDEX('Injectable Value'!$AA$28:$AA$178,MATCH($C74,'Injectable Value'!$A$28:$A$178,0)),1),"")</f>
        <v>2770.2</v>
      </c>
      <c r="U74" s="16" t="s">
        <v>382</v>
      </c>
      <c r="V74" s="15" t="n">
        <v>4</v>
      </c>
      <c r="W74" s="15" t="s">
        <v>378</v>
      </c>
      <c r="X74" s="15" t="s">
        <v>248</v>
      </c>
      <c r="Y74" s="15" t="s">
        <v>1519</v>
      </c>
      <c r="Z74" s="16" t="str">
        <f aca="false">IFERROR(INDEX(Scoring!$K:$K,MATCH($C74&amp;"|"&amp;$E74,Scoring!$U:$U,0)),"")</f>
        <v>Cancer drug (cytotoxic) – less relevant</v>
      </c>
      <c r="AA74" s="15" t="str">
        <f aca="false">IFERROR(INDEX(Scoring!$Q:$Q,MATCH($C74&amp;"|"&amp;$E74,Scoring!$U:$U,0)),"")</f>
        <v>Excluded – IV only</v>
      </c>
      <c r="AB74" s="15" t="str">
        <f aca="false">IFERROR(INDEX(Scoring!$AK:$AK,MATCH($C74&amp;"|"&amp;$E74,Scoring!$U:$U,0)),"")</f>
        <v>Excluded – IV only</v>
      </c>
      <c r="AC74" s="18" t="n">
        <f aca="false">IFERROR(INDEX(Scoring!$M:$M,MATCH($C74&amp;"|"&amp;$E74,Scoring!$U:$U,0)),"")</f>
        <v>343</v>
      </c>
      <c r="AD74" s="15" t="str">
        <f aca="false">IFERROR(INDEX('Route of Administration'!$C$5:$C$155,MATCH($C74,'Route of Administration'!$A$5:$A$155,0)),"")</f>
        <v>IV</v>
      </c>
      <c r="AE74" s="14" t="str">
        <f aca="false">IFERROR(INDEX('Route of Administration'!$D$5:$D$155,MATCH($C74,'Route of Administration'!$A$5:$A$155,0)),"")</f>
        <v>No</v>
      </c>
    </row>
    <row r="75" customFormat="false" ht="28.35" hidden="false" customHeight="false" outlineLevel="0" collapsed="false">
      <c r="B75" s="15" t="n">
        <v>73</v>
      </c>
      <c r="C75" s="15" t="s">
        <v>416</v>
      </c>
      <c r="D75" s="15" t="s">
        <v>421</v>
      </c>
      <c r="E75" s="15" t="s">
        <v>286</v>
      </c>
      <c r="F75" s="15" t="s">
        <v>1694</v>
      </c>
      <c r="G75" s="16" t="s">
        <v>1695</v>
      </c>
      <c r="H75" s="15" t="s">
        <v>1505</v>
      </c>
      <c r="I75" s="17" t="n">
        <v>64.9298</v>
      </c>
      <c r="J75" s="15" t="n">
        <v>23</v>
      </c>
      <c r="K75" s="15" t="n">
        <v>366</v>
      </c>
      <c r="L75" s="18" t="n">
        <v>5357.19</v>
      </c>
      <c r="M75" s="16" t="s">
        <v>417</v>
      </c>
      <c r="N75" s="17" t="n">
        <v>64.9298</v>
      </c>
      <c r="O75" s="15" t="s">
        <v>1506</v>
      </c>
      <c r="P75" s="15" t="s">
        <v>1533</v>
      </c>
      <c r="Q75" s="16" t="s">
        <v>1508</v>
      </c>
      <c r="R75" s="32" t="s">
        <v>1696</v>
      </c>
      <c r="S75" s="37" t="n">
        <f aca="false">IFERROR(INDEX('Injectable Value'!$Z$28:$Z$178,MATCH($C75,'Injectable Value'!$A$28:$A$178,0)),"")</f>
        <v>0.664995452935796</v>
      </c>
      <c r="T75" s="18" t="n">
        <f aca="false">IFERROR(ROUND(INDEX('Injectable Value'!$AA$28:$AA$178,MATCH($C75,'Injectable Value'!$A$28:$A$178,0)),1),"")</f>
        <v>3562.5</v>
      </c>
      <c r="U75" s="16" t="s">
        <v>422</v>
      </c>
      <c r="V75" s="15" t="n">
        <v>1</v>
      </c>
      <c r="W75" s="15" t="s">
        <v>418</v>
      </c>
      <c r="X75" s="15" t="s">
        <v>248</v>
      </c>
      <c r="Y75" s="15" t="s">
        <v>1519</v>
      </c>
      <c r="Z75" s="16" t="str">
        <f aca="false">IFERROR(INDEX(Scoring!$K:$K,MATCH($C75&amp;"|"&amp;$E75,Scoring!$U:$U,0)),"")</f>
        <v/>
      </c>
      <c r="AA75" s="15" t="str">
        <f aca="false">IFERROR(INDEX(Scoring!$Q:$Q,MATCH($C75&amp;"|"&amp;$E75,Scoring!$U:$U,0)),"")</f>
        <v>Priority 1</v>
      </c>
      <c r="AB75" s="15" t="str">
        <f aca="false">IFERROR(INDEX(Scoring!$AK:$AK,MATCH($C75&amp;"|"&amp;$E75,Scoring!$U:$U,0)),"")</f>
        <v>Priority 1</v>
      </c>
      <c r="AC75" s="18" t="n">
        <f aca="false">IFERROR(INDEX(Scoring!$M:$M,MATCH($C75&amp;"|"&amp;$E75,Scoring!$U:$U,0)),"")</f>
        <v>243</v>
      </c>
      <c r="AD75" s="15" t="str">
        <f aca="false">IFERROR(INDEX('Route of Administration'!$C$5:$C$155,MATCH($C75,'Route of Administration'!$A$5:$A$155,0)),"")</f>
        <v>IV, IM</v>
      </c>
      <c r="AE75" s="14" t="str">
        <f aca="false">IFERROR(INDEX('Route of Administration'!$D$5:$D$155,MATCH($C75,'Route of Administration'!$A$5:$A$155,0)),"")</f>
        <v>Yes</v>
      </c>
    </row>
    <row r="76" customFormat="false" ht="28.35" hidden="false" customHeight="false" outlineLevel="0" collapsed="false">
      <c r="B76" s="15" t="n">
        <v>74</v>
      </c>
      <c r="C76" s="15" t="s">
        <v>262</v>
      </c>
      <c r="D76" s="15" t="s">
        <v>1697</v>
      </c>
      <c r="E76" s="15" t="s">
        <v>286</v>
      </c>
      <c r="F76" s="15" t="s">
        <v>1698</v>
      </c>
      <c r="G76" s="16" t="s">
        <v>1699</v>
      </c>
      <c r="H76" s="15" t="s">
        <v>1512</v>
      </c>
      <c r="I76" s="17" t="n">
        <v>531.8684</v>
      </c>
      <c r="J76" s="15" t="n">
        <v>31</v>
      </c>
      <c r="K76" s="15" t="n">
        <v>146</v>
      </c>
      <c r="L76" s="18" t="n">
        <v>11366.06</v>
      </c>
      <c r="M76" s="16" t="s">
        <v>263</v>
      </c>
      <c r="N76" s="17" t="n">
        <v>531.8684</v>
      </c>
      <c r="O76" s="15" t="s">
        <v>1506</v>
      </c>
      <c r="P76" s="15" t="s">
        <v>1672</v>
      </c>
      <c r="Q76" s="16" t="s">
        <v>1508</v>
      </c>
      <c r="R76" s="32" t="s">
        <v>1673</v>
      </c>
      <c r="S76" s="37" t="n">
        <f aca="false">IFERROR(INDEX('Injectable Value'!$Z$28:$Z$178,MATCH($C76,'Injectable Value'!$A$28:$A$178,0)),"")</f>
        <v>1</v>
      </c>
      <c r="T76" s="18" t="n">
        <f aca="false">IFERROR(ROUND(INDEX('Injectable Value'!$AA$28:$AA$178,MATCH($C76,'Injectable Value'!$A$28:$A$178,0)),1),"")</f>
        <v>11366.1</v>
      </c>
      <c r="U76" s="16" t="s">
        <v>425</v>
      </c>
      <c r="V76" s="15" t="n">
        <v>10</v>
      </c>
      <c r="W76" s="15" t="s">
        <v>423</v>
      </c>
      <c r="X76" s="15" t="s">
        <v>258</v>
      </c>
      <c r="Y76" s="15" t="s">
        <v>249</v>
      </c>
      <c r="Z76" s="16" t="str">
        <f aca="false">IFERROR(INDEX(Scoring!$K:$K,MATCH($C76&amp;"|"&amp;$E76,Scoring!$U:$U,0)),"")</f>
        <v>Prefilled only</v>
      </c>
      <c r="AA76" s="15" t="str">
        <f aca="false">IFERROR(INDEX(Scoring!$Q:$Q,MATCH($C76&amp;"|"&amp;$E76,Scoring!$U:$U,0)),"")</f>
        <v>Priority 1</v>
      </c>
      <c r="AB76" s="15" t="str">
        <f aca="false">IFERROR(INDEX(Scoring!$AK:$AK,MATCH($C76&amp;"|"&amp;$E76,Scoring!$U:$U,0)),"")</f>
        <v>Priority 2</v>
      </c>
      <c r="AC76" s="18" t="n">
        <f aca="false">IFERROR(INDEX(Scoring!$M:$M,MATCH($C76&amp;"|"&amp;$E76,Scoring!$U:$U,0)),"")</f>
        <v>146</v>
      </c>
      <c r="AD76" s="15" t="str">
        <f aca="false">IFERROR(INDEX('Route of Administration'!$C$5:$C$155,MATCH($C76,'Route of Administration'!$A$5:$A$155,0)),"")</f>
        <v>IM</v>
      </c>
      <c r="AE76" s="14" t="str">
        <f aca="false">IFERROR(INDEX('Route of Administration'!$D$5:$D$155,MATCH($C76,'Route of Administration'!$A$5:$A$155,0)),"")</f>
        <v>Yes</v>
      </c>
    </row>
    <row r="77" customFormat="false" ht="28.35" hidden="false" customHeight="false" outlineLevel="0" collapsed="false">
      <c r="B77" s="15" t="n">
        <v>75</v>
      </c>
      <c r="C77" s="15" t="s">
        <v>444</v>
      </c>
      <c r="D77" s="15" t="s">
        <v>449</v>
      </c>
      <c r="E77" s="15" t="s">
        <v>286</v>
      </c>
      <c r="F77" s="15" t="s">
        <v>1700</v>
      </c>
      <c r="G77" s="16" t="s">
        <v>1701</v>
      </c>
      <c r="H77" s="15" t="s">
        <v>1505</v>
      </c>
      <c r="I77" s="17" t="n">
        <v>95.2025</v>
      </c>
      <c r="J77" s="15" t="n">
        <v>28</v>
      </c>
      <c r="K77" s="15" t="n">
        <v>257</v>
      </c>
      <c r="L77" s="18" t="n">
        <v>4183.29</v>
      </c>
      <c r="M77" s="16" t="s">
        <v>445</v>
      </c>
      <c r="N77" s="17" t="n">
        <v>95.2025</v>
      </c>
      <c r="O77" s="15" t="s">
        <v>1506</v>
      </c>
      <c r="P77" s="15" t="s">
        <v>1533</v>
      </c>
      <c r="Q77" s="16" t="s">
        <v>1508</v>
      </c>
      <c r="R77" s="32" t="s">
        <v>1673</v>
      </c>
      <c r="S77" s="37" t="n">
        <f aca="false">IFERROR(INDEX('Injectable Value'!$Z$28:$Z$178,MATCH($C77,'Injectable Value'!$A$28:$A$178,0)),"")</f>
        <v>0.689888576486515</v>
      </c>
      <c r="T77" s="18" t="n">
        <f aca="false">IFERROR(ROUND(INDEX('Injectable Value'!$AA$28:$AA$178,MATCH($C77,'Injectable Value'!$A$28:$A$178,0)),1),"")</f>
        <v>2886</v>
      </c>
      <c r="U77" s="16" t="s">
        <v>450</v>
      </c>
      <c r="V77" s="15" t="n">
        <v>3</v>
      </c>
      <c r="W77" s="15" t="s">
        <v>446</v>
      </c>
      <c r="X77" s="15" t="s">
        <v>248</v>
      </c>
      <c r="Y77" s="15" t="s">
        <v>299</v>
      </c>
      <c r="Z77" s="16" t="str">
        <f aca="false">IFERROR(INDEX(Scoring!$K:$K,MATCH($C77&amp;"|"&amp;$E77,Scoring!$U:$U,0)),"")</f>
        <v>Cancer drug (cytotoxic) – less relevant; Reconstitution</v>
      </c>
      <c r="AA77" s="15" t="str">
        <f aca="false">IFERROR(INDEX(Scoring!$Q:$Q,MATCH($C77&amp;"|"&amp;$E77,Scoring!$U:$U,0)),"")</f>
        <v>Excluded – IV only</v>
      </c>
      <c r="AB77" s="15" t="str">
        <f aca="false">IFERROR(INDEX(Scoring!$AK:$AK,MATCH($C77&amp;"|"&amp;$E77,Scoring!$U:$U,0)),"")</f>
        <v>Excluded – IV only</v>
      </c>
      <c r="AC77" s="18" t="n">
        <f aca="false">IFERROR(INDEX(Scoring!$M:$M,MATCH($C77&amp;"|"&amp;$E77,Scoring!$U:$U,0)),"")</f>
        <v>177</v>
      </c>
      <c r="AD77" s="15" t="str">
        <f aca="false">IFERROR(INDEX('Route of Administration'!$C$5:$C$155,MATCH($C77,'Route of Administration'!$A$5:$A$155,0)),"")</f>
        <v>IV</v>
      </c>
      <c r="AE77" s="14" t="str">
        <f aca="false">IFERROR(INDEX('Route of Administration'!$D$5:$D$155,MATCH($C77,'Route of Administration'!$A$5:$A$155,0)),"")</f>
        <v>No</v>
      </c>
    </row>
    <row r="78" customFormat="false" ht="28.35" hidden="false" customHeight="false" outlineLevel="0" collapsed="false">
      <c r="B78" s="15" t="n">
        <v>76</v>
      </c>
      <c r="C78" s="15" t="s">
        <v>451</v>
      </c>
      <c r="D78" s="15" t="s">
        <v>1702</v>
      </c>
      <c r="E78" s="15" t="s">
        <v>286</v>
      </c>
      <c r="F78" s="15" t="s">
        <v>1703</v>
      </c>
      <c r="G78" s="16" t="s">
        <v>1704</v>
      </c>
      <c r="H78" s="15" t="s">
        <v>1505</v>
      </c>
      <c r="I78" s="17" t="n">
        <v>12.0797</v>
      </c>
      <c r="J78" s="15" t="n">
        <v>30</v>
      </c>
      <c r="K78" s="15" t="n">
        <v>1185</v>
      </c>
      <c r="L78" s="18" t="n">
        <v>59407.06</v>
      </c>
      <c r="M78" s="16" t="s">
        <v>452</v>
      </c>
      <c r="N78" s="17" t="n">
        <v>12.0797</v>
      </c>
      <c r="O78" s="15" t="s">
        <v>1506</v>
      </c>
      <c r="P78" s="15" t="s">
        <v>1672</v>
      </c>
      <c r="Q78" s="16" t="s">
        <v>1508</v>
      </c>
      <c r="R78" s="32" t="s">
        <v>1673</v>
      </c>
      <c r="S78" s="37" t="n">
        <f aca="false">IFERROR(INDEX('Injectable Value'!$Z$28:$Z$178,MATCH($C78,'Injectable Value'!$A$28:$A$178,0)),"")</f>
        <v>0.991808067465962</v>
      </c>
      <c r="T78" s="18" t="n">
        <f aca="false">IFERROR(ROUND(INDEX('Injectable Value'!$AA$28:$AA$178,MATCH($C78,'Injectable Value'!$A$28:$A$178,0)),1),"")</f>
        <v>58920.4</v>
      </c>
      <c r="U78" s="16" t="s">
        <v>457</v>
      </c>
      <c r="V78" s="15" t="n">
        <v>10</v>
      </c>
      <c r="W78" s="15" t="s">
        <v>453</v>
      </c>
      <c r="X78" s="15" t="s">
        <v>248</v>
      </c>
      <c r="Y78" s="15" t="s">
        <v>299</v>
      </c>
      <c r="Z78" s="16" t="str">
        <f aca="false">IFERROR(INDEX(Scoring!$K:$K,MATCH($C78&amp;"|"&amp;$E78,Scoring!$U:$U,0)),"")</f>
        <v>Reconstitution</v>
      </c>
      <c r="AA78" s="15" t="str">
        <f aca="false">IFERROR(INDEX(Scoring!$Q:$Q,MATCH($C78&amp;"|"&amp;$E78,Scoring!$U:$U,0)),"")</f>
        <v>Excluded – IV only</v>
      </c>
      <c r="AB78" s="15" t="str">
        <f aca="false">IFERROR(INDEX(Scoring!$AK:$AK,MATCH($C78&amp;"|"&amp;$E78,Scoring!$U:$U,0)),"")</f>
        <v>Excluded – IV only</v>
      </c>
      <c r="AC78" s="18" t="n">
        <f aca="false">IFERROR(INDEX(Scoring!$M:$M,MATCH($C78&amp;"|"&amp;$E78,Scoring!$U:$U,0)),"")</f>
        <v>1175</v>
      </c>
      <c r="AD78" s="15" t="str">
        <f aca="false">IFERROR(INDEX('Route of Administration'!$C$5:$C$155,MATCH($C78,'Route of Administration'!$A$5:$A$155,0)),"")</f>
        <v>IV</v>
      </c>
      <c r="AE78" s="14" t="str">
        <f aca="false">IFERROR(INDEX('Route of Administration'!$D$5:$D$155,MATCH($C78,'Route of Administration'!$A$5:$A$155,0)),"")</f>
        <v>No</v>
      </c>
    </row>
    <row r="79" customFormat="false" ht="28.35" hidden="false" customHeight="false" outlineLevel="0" collapsed="false">
      <c r="B79" s="15" t="n">
        <v>77</v>
      </c>
      <c r="C79" s="15" t="s">
        <v>451</v>
      </c>
      <c r="D79" s="15" t="s">
        <v>1705</v>
      </c>
      <c r="E79" s="15" t="s">
        <v>286</v>
      </c>
      <c r="F79" s="15" t="s">
        <v>1703</v>
      </c>
      <c r="G79" s="16" t="s">
        <v>1704</v>
      </c>
      <c r="H79" s="15" t="s">
        <v>1505</v>
      </c>
      <c r="I79" s="17" t="n">
        <v>12.0797</v>
      </c>
      <c r="J79" s="15" t="n">
        <v>29</v>
      </c>
      <c r="K79" s="15" t="n">
        <v>1185</v>
      </c>
      <c r="L79" s="18" t="n">
        <v>59407.06</v>
      </c>
      <c r="M79" s="16" t="s">
        <v>452</v>
      </c>
      <c r="N79" s="17" t="n">
        <v>12.0797</v>
      </c>
      <c r="O79" s="15" t="s">
        <v>1506</v>
      </c>
      <c r="P79" s="15" t="s">
        <v>1672</v>
      </c>
      <c r="Q79" s="16" t="s">
        <v>1508</v>
      </c>
      <c r="R79" s="32" t="s">
        <v>1673</v>
      </c>
      <c r="S79" s="37" t="n">
        <f aca="false">IFERROR(INDEX('Injectable Value'!$Z$28:$Z$178,MATCH($C79,'Injectable Value'!$A$28:$A$178,0)),"")</f>
        <v>0.991808067465962</v>
      </c>
      <c r="T79" s="18" t="n">
        <f aca="false">IFERROR(ROUND(INDEX('Injectable Value'!$AA$28:$AA$178,MATCH($C79,'Injectable Value'!$A$28:$A$178,0)),1),"")</f>
        <v>58920.4</v>
      </c>
      <c r="U79" s="16" t="s">
        <v>457</v>
      </c>
      <c r="V79" s="15" t="n">
        <v>10</v>
      </c>
      <c r="W79" s="15" t="s">
        <v>453</v>
      </c>
      <c r="X79" s="15" t="s">
        <v>248</v>
      </c>
      <c r="Y79" s="15" t="s">
        <v>299</v>
      </c>
      <c r="Z79" s="16" t="str">
        <f aca="false">IFERROR(INDEX(Scoring!$K:$K,MATCH($C79&amp;"|"&amp;$E79,Scoring!$U:$U,0)),"")</f>
        <v>Reconstitution</v>
      </c>
      <c r="AA79" s="15" t="str">
        <f aca="false">IFERROR(INDEX(Scoring!$Q:$Q,MATCH($C79&amp;"|"&amp;$E79,Scoring!$U:$U,0)),"")</f>
        <v>Excluded – IV only</v>
      </c>
      <c r="AB79" s="15" t="str">
        <f aca="false">IFERROR(INDEX(Scoring!$AK:$AK,MATCH($C79&amp;"|"&amp;$E79,Scoring!$U:$U,0)),"")</f>
        <v>Excluded – IV only</v>
      </c>
      <c r="AC79" s="18" t="n">
        <f aca="false">IFERROR(INDEX(Scoring!$M:$M,MATCH($C79&amp;"|"&amp;$E79,Scoring!$U:$U,0)),"")</f>
        <v>1175</v>
      </c>
      <c r="AD79" s="15" t="str">
        <f aca="false">IFERROR(INDEX('Route of Administration'!$C$5:$C$155,MATCH($C79,'Route of Administration'!$A$5:$A$155,0)),"")</f>
        <v>IV</v>
      </c>
      <c r="AE79" s="14" t="str">
        <f aca="false">IFERROR(INDEX('Route of Administration'!$D$5:$D$155,MATCH($C79,'Route of Administration'!$A$5:$A$155,0)),"")</f>
        <v>No</v>
      </c>
    </row>
    <row r="80" customFormat="false" ht="28.35" hidden="false" customHeight="false" outlineLevel="0" collapsed="false">
      <c r="B80" s="15" t="n">
        <v>78</v>
      </c>
      <c r="C80" s="15" t="s">
        <v>451</v>
      </c>
      <c r="D80" s="15" t="s">
        <v>1706</v>
      </c>
      <c r="E80" s="15" t="s">
        <v>286</v>
      </c>
      <c r="F80" s="15" t="s">
        <v>1703</v>
      </c>
      <c r="G80" s="16" t="s">
        <v>1704</v>
      </c>
      <c r="H80" s="15" t="s">
        <v>1505</v>
      </c>
      <c r="I80" s="17" t="n">
        <v>12.0797</v>
      </c>
      <c r="J80" s="15" t="n">
        <v>30</v>
      </c>
      <c r="K80" s="15" t="n">
        <v>1185</v>
      </c>
      <c r="L80" s="18" t="n">
        <v>59407.06</v>
      </c>
      <c r="M80" s="16" t="s">
        <v>452</v>
      </c>
      <c r="N80" s="17" t="n">
        <v>12.0797</v>
      </c>
      <c r="O80" s="15" t="s">
        <v>1506</v>
      </c>
      <c r="P80" s="15" t="s">
        <v>1672</v>
      </c>
      <c r="Q80" s="16" t="s">
        <v>1508</v>
      </c>
      <c r="R80" s="32" t="s">
        <v>1673</v>
      </c>
      <c r="S80" s="37" t="n">
        <f aca="false">IFERROR(INDEX('Injectable Value'!$Z$28:$Z$178,MATCH($C80,'Injectable Value'!$A$28:$A$178,0)),"")</f>
        <v>0.991808067465962</v>
      </c>
      <c r="T80" s="18" t="n">
        <f aca="false">IFERROR(ROUND(INDEX('Injectable Value'!$AA$28:$AA$178,MATCH($C80,'Injectable Value'!$A$28:$A$178,0)),1),"")</f>
        <v>58920.4</v>
      </c>
      <c r="U80" s="16" t="s">
        <v>457</v>
      </c>
      <c r="V80" s="15" t="n">
        <v>10</v>
      </c>
      <c r="W80" s="15" t="s">
        <v>453</v>
      </c>
      <c r="X80" s="15" t="s">
        <v>248</v>
      </c>
      <c r="Y80" s="15" t="s">
        <v>299</v>
      </c>
      <c r="Z80" s="16" t="str">
        <f aca="false">IFERROR(INDEX(Scoring!$K:$K,MATCH($C80&amp;"|"&amp;$E80,Scoring!$U:$U,0)),"")</f>
        <v>Reconstitution</v>
      </c>
      <c r="AA80" s="15" t="str">
        <f aca="false">IFERROR(INDEX(Scoring!$Q:$Q,MATCH($C80&amp;"|"&amp;$E80,Scoring!$U:$U,0)),"")</f>
        <v>Excluded – IV only</v>
      </c>
      <c r="AB80" s="15" t="str">
        <f aca="false">IFERROR(INDEX(Scoring!$AK:$AK,MATCH($C80&amp;"|"&amp;$E80,Scoring!$U:$U,0)),"")</f>
        <v>Excluded – IV only</v>
      </c>
      <c r="AC80" s="18" t="n">
        <f aca="false">IFERROR(INDEX(Scoring!$M:$M,MATCH($C80&amp;"|"&amp;$E80,Scoring!$U:$U,0)),"")</f>
        <v>1175</v>
      </c>
      <c r="AD80" s="15" t="str">
        <f aca="false">IFERROR(INDEX('Route of Administration'!$C$5:$C$155,MATCH($C80,'Route of Administration'!$A$5:$A$155,0)),"")</f>
        <v>IV</v>
      </c>
      <c r="AE80" s="14" t="str">
        <f aca="false">IFERROR(INDEX('Route of Administration'!$D$5:$D$155,MATCH($C80,'Route of Administration'!$A$5:$A$155,0)),"")</f>
        <v>No</v>
      </c>
    </row>
    <row r="81" customFormat="false" ht="28.35" hidden="false" customHeight="false" outlineLevel="0" collapsed="false">
      <c r="B81" s="15" t="n">
        <v>79</v>
      </c>
      <c r="C81" s="15" t="s">
        <v>469</v>
      </c>
      <c r="D81" s="15" t="s">
        <v>473</v>
      </c>
      <c r="E81" s="15" t="s">
        <v>286</v>
      </c>
      <c r="F81" s="15" t="s">
        <v>1707</v>
      </c>
      <c r="G81" s="16" t="s">
        <v>1708</v>
      </c>
      <c r="H81" s="15" t="s">
        <v>1505</v>
      </c>
      <c r="I81" s="17" t="n">
        <v>55.8898</v>
      </c>
      <c r="J81" s="15" t="n">
        <v>26</v>
      </c>
      <c r="K81" s="15" t="n">
        <v>544</v>
      </c>
      <c r="L81" s="18" t="n">
        <v>7654.85</v>
      </c>
      <c r="M81" s="16" t="s">
        <v>470</v>
      </c>
      <c r="N81" s="17" t="n">
        <v>55.8898</v>
      </c>
      <c r="O81" s="15" t="s">
        <v>1506</v>
      </c>
      <c r="P81" s="15" t="s">
        <v>1533</v>
      </c>
      <c r="Q81" s="16" t="s">
        <v>1508</v>
      </c>
      <c r="R81" s="32" t="s">
        <v>1673</v>
      </c>
      <c r="S81" s="37" t="n">
        <f aca="false">IFERROR(INDEX('Injectable Value'!$Z$28:$Z$178,MATCH($C81,'Injectable Value'!$A$28:$A$178,0)),"")</f>
        <v>0.882348668280872</v>
      </c>
      <c r="T81" s="18" t="n">
        <f aca="false">IFERROR(ROUND(INDEX('Injectable Value'!$AA$28:$AA$178,MATCH($C81,'Injectable Value'!$A$28:$A$178,0)),1),"")</f>
        <v>6754.2</v>
      </c>
      <c r="U81" s="16" t="s">
        <v>474</v>
      </c>
      <c r="V81" s="15" t="n">
        <v>2</v>
      </c>
      <c r="W81" s="15" t="s">
        <v>70</v>
      </c>
      <c r="X81" s="15" t="s">
        <v>248</v>
      </c>
      <c r="Y81" s="15" t="s">
        <v>299</v>
      </c>
      <c r="Z81" s="16" t="str">
        <f aca="false">IFERROR(INDEX(Scoring!$K:$K,MATCH($C81&amp;"|"&amp;$E81,Scoring!$U:$U,0)),"")</f>
        <v>Cancer drug (cytotoxic) – less relevant; Reconstitution</v>
      </c>
      <c r="AA81" s="15" t="str">
        <f aca="false">IFERROR(INDEX(Scoring!$Q:$Q,MATCH($C81&amp;"|"&amp;$E81,Scoring!$U:$U,0)),"")</f>
        <v>Excluded – IV only</v>
      </c>
      <c r="AB81" s="15" t="str">
        <f aca="false">IFERROR(INDEX(Scoring!$AK:$AK,MATCH($C81&amp;"|"&amp;$E81,Scoring!$U:$U,0)),"")</f>
        <v>Excluded – IV only</v>
      </c>
      <c r="AC81" s="18" t="n">
        <f aca="false">IFERROR(INDEX(Scoring!$M:$M,MATCH($C81&amp;"|"&amp;$E81,Scoring!$U:$U,0)),"")</f>
        <v>480</v>
      </c>
      <c r="AD81" s="15" t="str">
        <f aca="false">IFERROR(INDEX('Route of Administration'!$C$5:$C$155,MATCH($C81,'Route of Administration'!$A$5:$A$155,0)),"")</f>
        <v>IV</v>
      </c>
      <c r="AE81" s="14" t="str">
        <f aca="false">IFERROR(INDEX('Route of Administration'!$D$5:$D$155,MATCH($C81,'Route of Administration'!$A$5:$A$155,0)),"")</f>
        <v>No</v>
      </c>
    </row>
    <row r="82" customFormat="false" ht="28.35" hidden="false" customHeight="false" outlineLevel="0" collapsed="false">
      <c r="B82" s="15" t="n">
        <v>80</v>
      </c>
      <c r="C82" s="15" t="s">
        <v>487</v>
      </c>
      <c r="D82" s="15" t="s">
        <v>1709</v>
      </c>
      <c r="E82" s="15" t="s">
        <v>286</v>
      </c>
      <c r="F82" s="15" t="s">
        <v>1710</v>
      </c>
      <c r="G82" s="16" t="s">
        <v>1711</v>
      </c>
      <c r="H82" s="15" t="s">
        <v>1505</v>
      </c>
      <c r="I82" s="17" t="n">
        <v>5.3223</v>
      </c>
      <c r="J82" s="15" t="n">
        <v>30</v>
      </c>
      <c r="K82" s="15" t="n">
        <v>2546</v>
      </c>
      <c r="L82" s="18" t="n">
        <v>46507.62</v>
      </c>
      <c r="M82" s="16" t="s">
        <v>488</v>
      </c>
      <c r="N82" s="17" t="n">
        <v>5.3223</v>
      </c>
      <c r="O82" s="15" t="s">
        <v>1506</v>
      </c>
      <c r="P82" s="15" t="s">
        <v>1507</v>
      </c>
      <c r="Q82" s="16" t="s">
        <v>1508</v>
      </c>
      <c r="R82" s="32" t="s">
        <v>1673</v>
      </c>
      <c r="S82" s="37" t="n">
        <f aca="false">IFERROR(INDEX('Injectable Value'!$Z$28:$Z$178,MATCH($C82,'Injectable Value'!$A$28:$A$178,0)),"")</f>
        <v>0.378228374732698</v>
      </c>
      <c r="T82" s="18" t="n">
        <f aca="false">IFERROR(ROUND(INDEX('Injectable Value'!$AA$28:$AA$178,MATCH($C82,'Injectable Value'!$A$28:$A$178,0)),1),"")</f>
        <v>17590.5</v>
      </c>
      <c r="U82" s="16" t="s">
        <v>493</v>
      </c>
      <c r="V82" s="15" t="n">
        <v>10</v>
      </c>
      <c r="W82" s="15" t="s">
        <v>489</v>
      </c>
      <c r="X82" s="15" t="s">
        <v>316</v>
      </c>
      <c r="Y82" s="15" t="s">
        <v>249</v>
      </c>
      <c r="Z82" s="16" t="str">
        <f aca="false">IFERROR(INDEX(Scoring!$K:$K,MATCH($C82&amp;"|"&amp;$E82,Scoring!$U:$U,0)),"")</f>
        <v/>
      </c>
      <c r="AA82" s="15" t="str">
        <f aca="false">IFERROR(INDEX(Scoring!$Q:$Q,MATCH($C82&amp;"|"&amp;$E82,Scoring!$U:$U,0)),"")</f>
        <v>Priority 2</v>
      </c>
      <c r="AB82" s="15" t="str">
        <f aca="false">IFERROR(INDEX(Scoring!$AK:$AK,MATCH($C82&amp;"|"&amp;$E82,Scoring!$U:$U,0)),"")</f>
        <v>Priority 2</v>
      </c>
      <c r="AC82" s="18" t="n">
        <f aca="false">IFERROR(INDEX(Scoring!$M:$M,MATCH($C82&amp;"|"&amp;$E82,Scoring!$U:$U,0)),"")</f>
        <v>963</v>
      </c>
      <c r="AD82" s="15" t="str">
        <f aca="false">IFERROR(INDEX('Route of Administration'!$C$5:$C$155,MATCH($C82,'Route of Administration'!$A$5:$A$155,0)),"")</f>
        <v>IV, IM</v>
      </c>
      <c r="AE82" s="14" t="str">
        <f aca="false">IFERROR(INDEX('Route of Administration'!$D$5:$D$155,MATCH($C82,'Route of Administration'!$A$5:$A$155,0)),"")</f>
        <v>Yes</v>
      </c>
    </row>
    <row r="83" customFormat="false" ht="28.35" hidden="false" customHeight="false" outlineLevel="0" collapsed="false">
      <c r="B83" s="15" t="n">
        <v>81</v>
      </c>
      <c r="C83" s="15" t="s">
        <v>510</v>
      </c>
      <c r="D83" s="15" t="s">
        <v>1712</v>
      </c>
      <c r="E83" s="15" t="s">
        <v>286</v>
      </c>
      <c r="F83" s="15" t="s">
        <v>1713</v>
      </c>
      <c r="G83" s="16" t="s">
        <v>1659</v>
      </c>
      <c r="H83" s="15" t="s">
        <v>1505</v>
      </c>
      <c r="I83" s="17" t="n">
        <v>7322.4226</v>
      </c>
      <c r="J83" s="15" t="n">
        <v>25</v>
      </c>
      <c r="K83" s="15" t="n">
        <v>47</v>
      </c>
      <c r="L83" s="18" t="n">
        <v>7904.67</v>
      </c>
      <c r="M83" s="16" t="s">
        <v>511</v>
      </c>
      <c r="N83" s="17" t="n">
        <v>7322.4226</v>
      </c>
      <c r="O83" s="15" t="s">
        <v>1506</v>
      </c>
      <c r="P83" s="15" t="s">
        <v>1672</v>
      </c>
      <c r="Q83" s="16" t="s">
        <v>1508</v>
      </c>
      <c r="R83" s="32" t="s">
        <v>1673</v>
      </c>
      <c r="S83" s="37" t="n">
        <f aca="false">IFERROR(INDEX('Injectable Value'!$Z$28:$Z$178,MATCH($C83,'Injectable Value'!$A$28:$A$178,0)),"")</f>
        <v>1</v>
      </c>
      <c r="T83" s="18" t="n">
        <f aca="false">IFERROR(ROUND(INDEX('Injectable Value'!$AA$28:$AA$178,MATCH($C83,'Injectable Value'!$A$28:$A$178,0)),1),"")</f>
        <v>7904.7</v>
      </c>
      <c r="U83" s="16" t="s">
        <v>516</v>
      </c>
      <c r="V83" s="15" t="n">
        <v>10</v>
      </c>
      <c r="W83" s="15" t="s">
        <v>512</v>
      </c>
      <c r="X83" s="15" t="s">
        <v>248</v>
      </c>
      <c r="Y83" s="15" t="s">
        <v>249</v>
      </c>
      <c r="Z83" s="16" t="str">
        <f aca="false">IFERROR(INDEX(Scoring!$K:$K,MATCH($C83&amp;"|"&amp;$E83,Scoring!$U:$U,0)),"")</f>
        <v/>
      </c>
      <c r="AA83" s="15" t="str">
        <f aca="false">IFERROR(INDEX(Scoring!$Q:$Q,MATCH($C83&amp;"|"&amp;$E83,Scoring!$U:$U,0)),"")</f>
        <v>Priority 2</v>
      </c>
      <c r="AB83" s="15" t="str">
        <f aca="false">IFERROR(INDEX(Scoring!$AK:$AK,MATCH($C83&amp;"|"&amp;$E83,Scoring!$U:$U,0)),"")</f>
        <v>Priority 2</v>
      </c>
      <c r="AC83" s="18" t="n">
        <f aca="false">IFERROR(INDEX(Scoring!$M:$M,MATCH($C83&amp;"|"&amp;$E83,Scoring!$U:$U,0)),"")</f>
        <v>47</v>
      </c>
      <c r="AD83" s="15" t="str">
        <f aca="false">IFERROR(INDEX('Route of Administration'!$C$5:$C$155,MATCH($C83,'Route of Administration'!$A$5:$A$155,0)),"")</f>
        <v>SC</v>
      </c>
      <c r="AE83" s="14" t="str">
        <f aca="false">IFERROR(INDEX('Route of Administration'!$D$5:$D$155,MATCH($C83,'Route of Administration'!$A$5:$A$155,0)),"")</f>
        <v>Yes</v>
      </c>
    </row>
    <row r="84" customFormat="false" ht="28.35" hidden="false" customHeight="false" outlineLevel="0" collapsed="false">
      <c r="B84" s="15" t="n">
        <v>82</v>
      </c>
      <c r="C84" s="15" t="s">
        <v>525</v>
      </c>
      <c r="D84" s="15" t="s">
        <v>530</v>
      </c>
      <c r="E84" s="15" t="s">
        <v>286</v>
      </c>
      <c r="F84" s="15" t="s">
        <v>1714</v>
      </c>
      <c r="G84" s="16" t="s">
        <v>1715</v>
      </c>
      <c r="H84" s="15" t="s">
        <v>1505</v>
      </c>
      <c r="I84" s="17" t="n">
        <v>7.0399</v>
      </c>
      <c r="J84" s="15" t="n">
        <v>22</v>
      </c>
      <c r="K84" s="15" t="n">
        <v>2</v>
      </c>
      <c r="L84" s="18" t="n">
        <v>71.73</v>
      </c>
      <c r="M84" s="16" t="s">
        <v>526</v>
      </c>
      <c r="N84" s="17" t="n">
        <v>7.0399</v>
      </c>
      <c r="O84" s="15" t="s">
        <v>1506</v>
      </c>
      <c r="P84" s="15" t="s">
        <v>1533</v>
      </c>
      <c r="Q84" s="16" t="s">
        <v>1508</v>
      </c>
      <c r="R84" s="32" t="s">
        <v>1716</v>
      </c>
      <c r="S84" s="37" t="n">
        <f aca="false">IFERROR(INDEX('Injectable Value'!$Z$28:$Z$178,MATCH($C84,'Injectable Value'!$A$28:$A$178,0)),"")</f>
        <v>0.996078431372549</v>
      </c>
      <c r="T84" s="18" t="n">
        <f aca="false">IFERROR(ROUND(INDEX('Injectable Value'!$AA$28:$AA$178,MATCH($C84,'Injectable Value'!$A$28:$A$178,0)),1),"")</f>
        <v>71.4</v>
      </c>
      <c r="U84" s="16" t="s">
        <v>531</v>
      </c>
      <c r="V84" s="15" t="n">
        <v>1</v>
      </c>
      <c r="W84" s="15" t="s">
        <v>527</v>
      </c>
      <c r="X84" s="15" t="s">
        <v>248</v>
      </c>
      <c r="Y84" s="15" t="s">
        <v>299</v>
      </c>
      <c r="Z84" s="16" t="str">
        <f aca="false">IFERROR(INDEX(Scoring!$K:$K,MATCH($C84&amp;"|"&amp;$E84,Scoring!$U:$U,0)),"")</f>
        <v>Reconstitution</v>
      </c>
      <c r="AA84" s="15" t="str">
        <f aca="false">IFERROR(INDEX(Scoring!$Q:$Q,MATCH($C84&amp;"|"&amp;$E84,Scoring!$U:$U,0)),"")</f>
        <v>Excluded – IV only</v>
      </c>
      <c r="AB84" s="15" t="str">
        <f aca="false">IFERROR(INDEX(Scoring!$AK:$AK,MATCH($C84&amp;"|"&amp;$E84,Scoring!$U:$U,0)),"")</f>
        <v>Excluded – IV only</v>
      </c>
      <c r="AC84" s="18" t="n">
        <f aca="false">IFERROR(INDEX(Scoring!$M:$M,MATCH($C84&amp;"|"&amp;$E84,Scoring!$U:$U,0)),"")</f>
        <v>2</v>
      </c>
      <c r="AD84" s="15" t="str">
        <f aca="false">IFERROR(INDEX('Route of Administration'!$C$5:$C$155,MATCH($C84,'Route of Administration'!$A$5:$A$155,0)),"")</f>
        <v>IV</v>
      </c>
      <c r="AE84" s="14" t="str">
        <f aca="false">IFERROR(INDEX('Route of Administration'!$D$5:$D$155,MATCH($C84,'Route of Administration'!$A$5:$A$155,0)),"")</f>
        <v>No</v>
      </c>
    </row>
    <row r="85" customFormat="false" ht="28.35" hidden="false" customHeight="false" outlineLevel="0" collapsed="false">
      <c r="B85" s="15" t="n">
        <v>83</v>
      </c>
      <c r="C85" s="15" t="s">
        <v>573</v>
      </c>
      <c r="D85" s="15" t="s">
        <v>1717</v>
      </c>
      <c r="E85" s="15" t="s">
        <v>286</v>
      </c>
      <c r="F85" s="15" t="s">
        <v>1718</v>
      </c>
      <c r="G85" s="16" t="s">
        <v>1719</v>
      </c>
      <c r="H85" s="15" t="s">
        <v>1505</v>
      </c>
      <c r="I85" s="17" t="n">
        <v>24.3967</v>
      </c>
      <c r="J85" s="15" t="n">
        <v>21</v>
      </c>
      <c r="K85" s="15" t="n">
        <v>93</v>
      </c>
      <c r="L85" s="18" t="n">
        <v>528.18</v>
      </c>
      <c r="M85" s="16" t="s">
        <v>574</v>
      </c>
      <c r="N85" s="17" t="n">
        <v>24.3967</v>
      </c>
      <c r="O85" s="15" t="s">
        <v>1506</v>
      </c>
      <c r="P85" s="15" t="s">
        <v>1672</v>
      </c>
      <c r="Q85" s="16" t="s">
        <v>1508</v>
      </c>
      <c r="R85" s="32" t="s">
        <v>1673</v>
      </c>
      <c r="S85" s="37" t="n">
        <f aca="false">IFERROR(INDEX('Injectable Value'!$Z$28:$Z$178,MATCH($C85,'Injectable Value'!$A$28:$A$178,0)),"")</f>
        <v>0.571145833333333</v>
      </c>
      <c r="T85" s="18" t="n">
        <f aca="false">IFERROR(ROUND(INDEX('Injectable Value'!$AA$28:$AA$178,MATCH($C85,'Injectable Value'!$A$28:$A$178,0)),1),"")</f>
        <v>301.7</v>
      </c>
      <c r="U85" s="16" t="s">
        <v>579</v>
      </c>
      <c r="V85" s="15" t="n">
        <v>7</v>
      </c>
      <c r="W85" s="15" t="s">
        <v>575</v>
      </c>
      <c r="X85" s="15" t="s">
        <v>248</v>
      </c>
      <c r="Y85" s="15" t="s">
        <v>249</v>
      </c>
      <c r="Z85" s="16" t="str">
        <f aca="false">IFERROR(INDEX(Scoring!$K:$K,MATCH($C85&amp;"|"&amp;$E85,Scoring!$U:$U,0)),"")</f>
        <v>Cancer drug (cytotoxic) – less relevant</v>
      </c>
      <c r="AA85" s="15" t="str">
        <f aca="false">IFERROR(INDEX(Scoring!$Q:$Q,MATCH($C85&amp;"|"&amp;$E85,Scoring!$U:$U,0)),"")</f>
        <v>Excluded – IV only</v>
      </c>
      <c r="AB85" s="15" t="str">
        <f aca="false">IFERROR(INDEX(Scoring!$AK:$AK,MATCH($C85&amp;"|"&amp;$E85,Scoring!$U:$U,0)),"")</f>
        <v>Excluded – IV only</v>
      </c>
      <c r="AC85" s="18" t="n">
        <f aca="false">IFERROR(INDEX(Scoring!$M:$M,MATCH($C85&amp;"|"&amp;$E85,Scoring!$U:$U,0)),"")</f>
        <v>53</v>
      </c>
      <c r="AD85" s="15" t="str">
        <f aca="false">IFERROR(INDEX('Route of Administration'!$C$5:$C$155,MATCH($C85,'Route of Administration'!$A$5:$A$155,0)),"")</f>
        <v>IV</v>
      </c>
      <c r="AE85" s="14" t="str">
        <f aca="false">IFERROR(INDEX('Route of Administration'!$D$5:$D$155,MATCH($C85,'Route of Administration'!$A$5:$A$155,0)),"")</f>
        <v>No</v>
      </c>
    </row>
    <row r="86" customFormat="false" ht="28.35" hidden="false" customHeight="false" outlineLevel="0" collapsed="false">
      <c r="B86" s="15" t="n">
        <v>84</v>
      </c>
      <c r="C86" s="15" t="s">
        <v>573</v>
      </c>
      <c r="D86" s="15" t="s">
        <v>1720</v>
      </c>
      <c r="E86" s="15" t="s">
        <v>286</v>
      </c>
      <c r="F86" s="15" t="s">
        <v>1718</v>
      </c>
      <c r="G86" s="16" t="s">
        <v>1719</v>
      </c>
      <c r="H86" s="15" t="s">
        <v>1505</v>
      </c>
      <c r="I86" s="17" t="n">
        <v>24.3967</v>
      </c>
      <c r="J86" s="15" t="n">
        <v>29</v>
      </c>
      <c r="K86" s="15" t="n">
        <v>93</v>
      </c>
      <c r="L86" s="18" t="n">
        <v>528.18</v>
      </c>
      <c r="M86" s="16" t="s">
        <v>574</v>
      </c>
      <c r="N86" s="17" t="n">
        <v>24.3967</v>
      </c>
      <c r="O86" s="15" t="s">
        <v>1506</v>
      </c>
      <c r="P86" s="15" t="s">
        <v>1672</v>
      </c>
      <c r="Q86" s="16" t="s">
        <v>1508</v>
      </c>
      <c r="R86" s="32" t="s">
        <v>1673</v>
      </c>
      <c r="S86" s="37" t="n">
        <f aca="false">IFERROR(INDEX('Injectable Value'!$Z$28:$Z$178,MATCH($C86,'Injectable Value'!$A$28:$A$178,0)),"")</f>
        <v>0.571145833333333</v>
      </c>
      <c r="T86" s="18" t="n">
        <f aca="false">IFERROR(ROUND(INDEX('Injectable Value'!$AA$28:$AA$178,MATCH($C86,'Injectable Value'!$A$28:$A$178,0)),1),"")</f>
        <v>301.7</v>
      </c>
      <c r="U86" s="16" t="s">
        <v>579</v>
      </c>
      <c r="V86" s="15" t="n">
        <v>7</v>
      </c>
      <c r="W86" s="15" t="s">
        <v>575</v>
      </c>
      <c r="X86" s="15" t="s">
        <v>248</v>
      </c>
      <c r="Y86" s="15" t="s">
        <v>249</v>
      </c>
      <c r="Z86" s="16" t="str">
        <f aca="false">IFERROR(INDEX(Scoring!$K:$K,MATCH($C86&amp;"|"&amp;$E86,Scoring!$U:$U,0)),"")</f>
        <v>Cancer drug (cytotoxic) – less relevant</v>
      </c>
      <c r="AA86" s="15" t="str">
        <f aca="false">IFERROR(INDEX(Scoring!$Q:$Q,MATCH($C86&amp;"|"&amp;$E86,Scoring!$U:$U,0)),"")</f>
        <v>Excluded – IV only</v>
      </c>
      <c r="AB86" s="15" t="str">
        <f aca="false">IFERROR(INDEX(Scoring!$AK:$AK,MATCH($C86&amp;"|"&amp;$E86,Scoring!$U:$U,0)),"")</f>
        <v>Excluded – IV only</v>
      </c>
      <c r="AC86" s="18" t="n">
        <f aca="false">IFERROR(INDEX(Scoring!$M:$M,MATCH($C86&amp;"|"&amp;$E86,Scoring!$U:$U,0)),"")</f>
        <v>53</v>
      </c>
      <c r="AD86" s="15" t="str">
        <f aca="false">IFERROR(INDEX('Route of Administration'!$C$5:$C$155,MATCH($C86,'Route of Administration'!$A$5:$A$155,0)),"")</f>
        <v>IV</v>
      </c>
      <c r="AE86" s="14" t="str">
        <f aca="false">IFERROR(INDEX('Route of Administration'!$D$5:$D$155,MATCH($C86,'Route of Administration'!$A$5:$A$155,0)),"")</f>
        <v>No</v>
      </c>
    </row>
    <row r="87" customFormat="false" ht="28.35" hidden="false" customHeight="false" outlineLevel="0" collapsed="false">
      <c r="B87" s="15" t="n">
        <v>85</v>
      </c>
      <c r="C87" s="15" t="s">
        <v>503</v>
      </c>
      <c r="D87" s="15" t="s">
        <v>503</v>
      </c>
      <c r="E87" s="15" t="s">
        <v>286</v>
      </c>
      <c r="F87" s="15" t="s">
        <v>1721</v>
      </c>
      <c r="G87" s="16" t="s">
        <v>1722</v>
      </c>
      <c r="H87" s="15" t="s">
        <v>1505</v>
      </c>
      <c r="I87" s="17" t="n">
        <v>8.2474</v>
      </c>
      <c r="J87" s="15" t="n">
        <v>1</v>
      </c>
      <c r="K87" s="15" t="n">
        <v>3515</v>
      </c>
      <c r="L87" s="18" t="n">
        <v>140084.73</v>
      </c>
      <c r="M87" s="16" t="s">
        <v>504</v>
      </c>
      <c r="N87" s="17" t="n">
        <v>8.2474</v>
      </c>
      <c r="O87" s="15" t="s">
        <v>1506</v>
      </c>
      <c r="P87" s="15" t="s">
        <v>1672</v>
      </c>
      <c r="Q87" s="16" t="s">
        <v>1508</v>
      </c>
      <c r="R87" s="32" t="s">
        <v>1723</v>
      </c>
      <c r="S87" s="37" t="n">
        <f aca="false">IFERROR(INDEX('Injectable Value'!$Z$28:$Z$178,MATCH($C87,'Injectable Value'!$A$28:$A$178,0)),"")</f>
        <v>0.251824206147514</v>
      </c>
      <c r="T87" s="18" t="n">
        <f aca="false">IFERROR(ROUND(INDEX('Injectable Value'!$AA$28:$AA$178,MATCH($C87,'Injectable Value'!$A$28:$A$178,0)),1),"")</f>
        <v>35276.7</v>
      </c>
      <c r="U87" s="16" t="s">
        <v>508</v>
      </c>
      <c r="V87" s="15" t="n">
        <v>11</v>
      </c>
      <c r="W87" s="15" t="s">
        <v>505</v>
      </c>
      <c r="X87" s="15" t="s">
        <v>248</v>
      </c>
      <c r="Y87" s="15" t="s">
        <v>277</v>
      </c>
      <c r="Z87" s="16" t="str">
        <f aca="false">IFERROR(INDEX(Scoring!$K:$K,MATCH($C87&amp;"|"&amp;$E87,Scoring!$U:$U,0)),"")</f>
        <v/>
      </c>
      <c r="AA87" s="15" t="str">
        <f aca="false">IFERROR(INDEX(Scoring!$Q:$Q,MATCH($C87&amp;"|"&amp;$E87,Scoring!$U:$U,0)),"")</f>
        <v>Excluded – IV only</v>
      </c>
      <c r="AB87" s="15" t="str">
        <f aca="false">IFERROR(INDEX(Scoring!$AK:$AK,MATCH($C87&amp;"|"&amp;$E87,Scoring!$U:$U,0)),"")</f>
        <v>Excluded – IV only</v>
      </c>
      <c r="AC87" s="18" t="n">
        <f aca="false">IFERROR(INDEX(Scoring!$M:$M,MATCH($C87&amp;"|"&amp;$E87,Scoring!$U:$U,0)),"")</f>
        <v>885</v>
      </c>
      <c r="AD87" s="15" t="str">
        <f aca="false">IFERROR(INDEX('Route of Administration'!$C$5:$C$155,MATCH($C87,'Route of Administration'!$A$5:$A$155,0)),"")</f>
        <v>IV</v>
      </c>
      <c r="AE87" s="14" t="str">
        <f aca="false">IFERROR(INDEX('Route of Administration'!$D$5:$D$155,MATCH($C87,'Route of Administration'!$A$5:$A$155,0)),"")</f>
        <v>No</v>
      </c>
    </row>
    <row r="88" customFormat="false" ht="28.35" hidden="false" customHeight="false" outlineLevel="0" collapsed="false">
      <c r="B88" s="15" t="n">
        <v>86</v>
      </c>
      <c r="C88" s="15" t="s">
        <v>281</v>
      </c>
      <c r="D88" s="15" t="s">
        <v>289</v>
      </c>
      <c r="E88" s="15" t="s">
        <v>286</v>
      </c>
      <c r="F88" s="15" t="s">
        <v>1724</v>
      </c>
      <c r="G88" s="16" t="s">
        <v>1725</v>
      </c>
      <c r="H88" s="15" t="s">
        <v>1505</v>
      </c>
      <c r="I88" s="17" t="n">
        <v>7.7889</v>
      </c>
      <c r="J88" s="15" t="n">
        <v>1</v>
      </c>
      <c r="K88" s="15" t="n">
        <v>1393</v>
      </c>
      <c r="L88" s="18" t="n">
        <v>52401.4</v>
      </c>
      <c r="M88" s="16" t="s">
        <v>282</v>
      </c>
      <c r="N88" s="17" t="n">
        <v>7.7889</v>
      </c>
      <c r="O88" s="15" t="s">
        <v>1506</v>
      </c>
      <c r="P88" s="15" t="s">
        <v>1672</v>
      </c>
      <c r="Q88" s="16" t="s">
        <v>1508</v>
      </c>
      <c r="R88" s="32" t="s">
        <v>1726</v>
      </c>
      <c r="S88" s="37" t="n">
        <f aca="false">IFERROR(INDEX('Injectable Value'!$Z$28:$Z$178,MATCH($C88,'Injectable Value'!$A$28:$A$178,0)),"")</f>
        <v>0.670397578386193</v>
      </c>
      <c r="T88" s="18" t="n">
        <f aca="false">IFERROR(ROUND(INDEX('Injectable Value'!$AA$28:$AA$178,MATCH($C88,'Injectable Value'!$A$28:$A$178,0)),1),"")</f>
        <v>35129.8</v>
      </c>
      <c r="U88" s="16" t="s">
        <v>290</v>
      </c>
      <c r="V88" s="15" t="n">
        <v>2</v>
      </c>
      <c r="W88" s="15" t="s">
        <v>283</v>
      </c>
      <c r="X88" s="15" t="s">
        <v>248</v>
      </c>
      <c r="Y88" s="15" t="s">
        <v>1519</v>
      </c>
      <c r="Z88" s="16" t="str">
        <f aca="false">IFERROR(INDEX(Scoring!$K:$K,MATCH($C88&amp;"|"&amp;$E88,Scoring!$U:$U,0)),"")</f>
        <v/>
      </c>
      <c r="AA88" s="15" t="str">
        <f aca="false">IFERROR(INDEX(Scoring!$Q:$Q,MATCH($C88&amp;"|"&amp;$E88,Scoring!$U:$U,0)),"")</f>
        <v>Priority 2</v>
      </c>
      <c r="AB88" s="15" t="str">
        <f aca="false">IFERROR(INDEX(Scoring!$AK:$AK,MATCH($C88&amp;"|"&amp;$E88,Scoring!$U:$U,0)),"")</f>
        <v>Priority 2</v>
      </c>
      <c r="AC88" s="18" t="n">
        <f aca="false">IFERROR(INDEX(Scoring!$M:$M,MATCH($C88&amp;"|"&amp;$E88,Scoring!$U:$U,0)),"")</f>
        <v>934</v>
      </c>
      <c r="AD88" s="15" t="str">
        <f aca="false">IFERROR(INDEX('Route of Administration'!$C$5:$C$155,MATCH($C88,'Route of Administration'!$A$5:$A$155,0)),"")</f>
        <v>IV, IM</v>
      </c>
      <c r="AE88" s="14" t="str">
        <f aca="false">IFERROR(INDEX('Route of Administration'!$D$5:$D$155,MATCH($C88,'Route of Administration'!$A$5:$A$155,0)),"")</f>
        <v>Yes</v>
      </c>
    </row>
    <row r="89" customFormat="false" ht="28.35" hidden="false" customHeight="false" outlineLevel="0" collapsed="false">
      <c r="B89" s="15" t="n">
        <v>87</v>
      </c>
      <c r="C89" s="15" t="s">
        <v>451</v>
      </c>
      <c r="D89" s="15" t="s">
        <v>451</v>
      </c>
      <c r="E89" s="15" t="s">
        <v>286</v>
      </c>
      <c r="F89" s="15" t="s">
        <v>1727</v>
      </c>
      <c r="G89" s="16" t="s">
        <v>1728</v>
      </c>
      <c r="H89" s="15" t="s">
        <v>1505</v>
      </c>
      <c r="I89" s="17" t="n">
        <v>16.247</v>
      </c>
      <c r="J89" s="15" t="n">
        <v>1</v>
      </c>
      <c r="K89" s="15" t="n">
        <v>1185</v>
      </c>
      <c r="L89" s="18" t="n">
        <v>59407.06</v>
      </c>
      <c r="M89" s="16" t="s">
        <v>452</v>
      </c>
      <c r="N89" s="17" t="n">
        <v>16.247</v>
      </c>
      <c r="O89" s="15" t="s">
        <v>1506</v>
      </c>
      <c r="P89" s="15" t="s">
        <v>1672</v>
      </c>
      <c r="Q89" s="16" t="s">
        <v>1508</v>
      </c>
      <c r="R89" s="32" t="s">
        <v>1729</v>
      </c>
      <c r="S89" s="37" t="n">
        <f aca="false">IFERROR(INDEX('Injectable Value'!$Z$28:$Z$178,MATCH($C89,'Injectable Value'!$A$28:$A$178,0)),"")</f>
        <v>0.991808067465962</v>
      </c>
      <c r="T89" s="18" t="n">
        <f aca="false">IFERROR(ROUND(INDEX('Injectable Value'!$AA$28:$AA$178,MATCH($C89,'Injectable Value'!$A$28:$A$178,0)),1),"")</f>
        <v>58920.4</v>
      </c>
      <c r="U89" s="16" t="s">
        <v>457</v>
      </c>
      <c r="V89" s="15" t="n">
        <v>10</v>
      </c>
      <c r="W89" s="15" t="s">
        <v>453</v>
      </c>
      <c r="X89" s="15" t="s">
        <v>248</v>
      </c>
      <c r="Y89" s="15" t="s">
        <v>1519</v>
      </c>
      <c r="Z89" s="16" t="str">
        <f aca="false">IFERROR(INDEX(Scoring!$K:$K,MATCH($C89&amp;"|"&amp;$E89,Scoring!$U:$U,0)),"")</f>
        <v>Reconstitution</v>
      </c>
      <c r="AA89" s="15" t="str">
        <f aca="false">IFERROR(INDEX(Scoring!$Q:$Q,MATCH($C89&amp;"|"&amp;$E89,Scoring!$U:$U,0)),"")</f>
        <v>Excluded – IV only</v>
      </c>
      <c r="AB89" s="15" t="str">
        <f aca="false">IFERROR(INDEX(Scoring!$AK:$AK,MATCH($C89&amp;"|"&amp;$E89,Scoring!$U:$U,0)),"")</f>
        <v>Excluded – IV only</v>
      </c>
      <c r="AC89" s="18" t="n">
        <f aca="false">IFERROR(INDEX(Scoring!$M:$M,MATCH($C89&amp;"|"&amp;$E89,Scoring!$U:$U,0)),"")</f>
        <v>1175</v>
      </c>
      <c r="AD89" s="15" t="str">
        <f aca="false">IFERROR(INDEX('Route of Administration'!$C$5:$C$155,MATCH($C89,'Route of Administration'!$A$5:$A$155,0)),"")</f>
        <v>IV</v>
      </c>
      <c r="AE89" s="14" t="str">
        <f aca="false">IFERROR(INDEX('Route of Administration'!$D$5:$D$155,MATCH($C89,'Route of Administration'!$A$5:$A$155,0)),"")</f>
        <v>No</v>
      </c>
    </row>
    <row r="90" customFormat="false" ht="28.35" hidden="false" customHeight="false" outlineLevel="0" collapsed="false">
      <c r="B90" s="15" t="n">
        <v>88</v>
      </c>
      <c r="C90" s="15" t="s">
        <v>451</v>
      </c>
      <c r="D90" s="15" t="s">
        <v>451</v>
      </c>
      <c r="E90" s="15" t="s">
        <v>286</v>
      </c>
      <c r="F90" s="15" t="s">
        <v>1730</v>
      </c>
      <c r="G90" s="16" t="s">
        <v>1731</v>
      </c>
      <c r="H90" s="15" t="s">
        <v>1505</v>
      </c>
      <c r="I90" s="17" t="n">
        <v>36.113</v>
      </c>
      <c r="J90" s="15" t="n">
        <v>1</v>
      </c>
      <c r="K90" s="15" t="n">
        <v>1185</v>
      </c>
      <c r="L90" s="18" t="n">
        <v>59407.06</v>
      </c>
      <c r="M90" s="16" t="s">
        <v>452</v>
      </c>
      <c r="N90" s="17" t="n">
        <v>36.113</v>
      </c>
      <c r="O90" s="15" t="s">
        <v>1506</v>
      </c>
      <c r="P90" s="15" t="s">
        <v>1672</v>
      </c>
      <c r="Q90" s="16" t="s">
        <v>1508</v>
      </c>
      <c r="R90" s="32" t="s">
        <v>1729</v>
      </c>
      <c r="S90" s="37" t="n">
        <f aca="false">IFERROR(INDEX('Injectable Value'!$Z$28:$Z$178,MATCH($C90,'Injectable Value'!$A$28:$A$178,0)),"")</f>
        <v>0.991808067465962</v>
      </c>
      <c r="T90" s="18" t="n">
        <f aca="false">IFERROR(ROUND(INDEX('Injectable Value'!$AA$28:$AA$178,MATCH($C90,'Injectable Value'!$A$28:$A$178,0)),1),"")</f>
        <v>58920.4</v>
      </c>
      <c r="U90" s="16" t="s">
        <v>457</v>
      </c>
      <c r="V90" s="15" t="n">
        <v>10</v>
      </c>
      <c r="W90" s="15" t="s">
        <v>453</v>
      </c>
      <c r="X90" s="15" t="s">
        <v>248</v>
      </c>
      <c r="Y90" s="15" t="s">
        <v>1519</v>
      </c>
      <c r="Z90" s="16" t="str">
        <f aca="false">IFERROR(INDEX(Scoring!$K:$K,MATCH($C90&amp;"|"&amp;$E90,Scoring!$U:$U,0)),"")</f>
        <v>Reconstitution</v>
      </c>
      <c r="AA90" s="15" t="str">
        <f aca="false">IFERROR(INDEX(Scoring!$Q:$Q,MATCH($C90&amp;"|"&amp;$E90,Scoring!$U:$U,0)),"")</f>
        <v>Excluded – IV only</v>
      </c>
      <c r="AB90" s="15" t="str">
        <f aca="false">IFERROR(INDEX(Scoring!$AK:$AK,MATCH($C90&amp;"|"&amp;$E90,Scoring!$U:$U,0)),"")</f>
        <v>Excluded – IV only</v>
      </c>
      <c r="AC90" s="18" t="n">
        <f aca="false">IFERROR(INDEX(Scoring!$M:$M,MATCH($C90&amp;"|"&amp;$E90,Scoring!$U:$U,0)),"")</f>
        <v>1175</v>
      </c>
      <c r="AD90" s="15" t="str">
        <f aca="false">IFERROR(INDEX('Route of Administration'!$C$5:$C$155,MATCH($C90,'Route of Administration'!$A$5:$A$155,0)),"")</f>
        <v>IV</v>
      </c>
      <c r="AE90" s="14" t="str">
        <f aca="false">IFERROR(INDEX('Route of Administration'!$D$5:$D$155,MATCH($C90,'Route of Administration'!$A$5:$A$155,0)),"")</f>
        <v>No</v>
      </c>
    </row>
    <row r="91" customFormat="false" ht="28.35" hidden="false" customHeight="false" outlineLevel="0" collapsed="false">
      <c r="B91" s="15" t="n">
        <v>89</v>
      </c>
      <c r="C91" s="15" t="s">
        <v>557</v>
      </c>
      <c r="D91" s="15" t="s">
        <v>557</v>
      </c>
      <c r="E91" s="15" t="s">
        <v>286</v>
      </c>
      <c r="F91" s="15" t="s">
        <v>1732</v>
      </c>
      <c r="G91" s="16" t="s">
        <v>1733</v>
      </c>
      <c r="H91" s="15" t="s">
        <v>1505</v>
      </c>
      <c r="I91" s="17" t="n">
        <v>13.20375</v>
      </c>
      <c r="J91" s="15" t="n">
        <v>1</v>
      </c>
      <c r="K91" s="15" t="n">
        <v>1307</v>
      </c>
      <c r="L91" s="18" t="n">
        <v>36428.56</v>
      </c>
      <c r="M91" s="16" t="s">
        <v>558</v>
      </c>
      <c r="N91" s="17" t="n">
        <v>13.20375</v>
      </c>
      <c r="O91" s="15" t="s">
        <v>1506</v>
      </c>
      <c r="P91" s="15" t="s">
        <v>1507</v>
      </c>
      <c r="Q91" s="16" t="s">
        <v>1508</v>
      </c>
      <c r="R91" s="32" t="s">
        <v>1734</v>
      </c>
      <c r="S91" s="37" t="n">
        <f aca="false">IFERROR(INDEX('Injectable Value'!$Z$28:$Z$178,MATCH($C91,'Injectable Value'!$A$28:$A$178,0)),"")</f>
        <v>0.618159088235815</v>
      </c>
      <c r="T91" s="18" t="n">
        <f aca="false">IFERROR(ROUND(INDEX('Injectable Value'!$AA$28:$AA$178,MATCH($C91,'Injectable Value'!$A$28:$A$178,0)),1),"")</f>
        <v>22518.6</v>
      </c>
      <c r="U91" s="16" t="s">
        <v>562</v>
      </c>
      <c r="V91" s="15" t="n">
        <v>7</v>
      </c>
      <c r="W91" s="15" t="s">
        <v>559</v>
      </c>
      <c r="X91" s="15" t="s">
        <v>316</v>
      </c>
      <c r="Y91" s="15" t="s">
        <v>249</v>
      </c>
      <c r="Z91" s="16" t="str">
        <f aca="false">IFERROR(INDEX(Scoring!$K:$K,MATCH($C91&amp;"|"&amp;$E91,Scoring!$U:$U,0)),"")</f>
        <v/>
      </c>
      <c r="AA91" s="15" t="str">
        <f aca="false">IFERROR(INDEX(Scoring!$Q:$Q,MATCH($C91&amp;"|"&amp;$E91,Scoring!$U:$U,0)),"")</f>
        <v>Excluded – IV only</v>
      </c>
      <c r="AB91" s="15" t="str">
        <f aca="false">IFERROR(INDEX(Scoring!$AK:$AK,MATCH($C91&amp;"|"&amp;$E91,Scoring!$U:$U,0)),"")</f>
        <v>Excluded – IV only</v>
      </c>
      <c r="AC91" s="18" t="n">
        <f aca="false">IFERROR(INDEX(Scoring!$M:$M,MATCH($C91&amp;"|"&amp;$E91,Scoring!$U:$U,0)),"")</f>
        <v>808</v>
      </c>
      <c r="AD91" s="15" t="str">
        <f aca="false">IFERROR(INDEX('Route of Administration'!$C$5:$C$155,MATCH($C91,'Route of Administration'!$A$5:$A$155,0)),"")</f>
        <v>IV</v>
      </c>
      <c r="AE91" s="14" t="str">
        <f aca="false">IFERROR(INDEX('Route of Administration'!$D$5:$D$155,MATCH($C91,'Route of Administration'!$A$5:$A$155,0)),"")</f>
        <v>No</v>
      </c>
    </row>
    <row r="92" customFormat="false" ht="28.35" hidden="false" customHeight="false" outlineLevel="0" collapsed="false">
      <c r="B92" s="15" t="n">
        <v>90</v>
      </c>
      <c r="C92" s="15" t="s">
        <v>487</v>
      </c>
      <c r="D92" s="15" t="s">
        <v>1735</v>
      </c>
      <c r="E92" s="15" t="s">
        <v>286</v>
      </c>
      <c r="F92" s="15" t="s">
        <v>1667</v>
      </c>
      <c r="G92" s="16" t="s">
        <v>1736</v>
      </c>
      <c r="H92" s="15" t="s">
        <v>1505</v>
      </c>
      <c r="I92" s="17" t="n">
        <v>9.2526</v>
      </c>
      <c r="J92" s="15" t="n">
        <v>1</v>
      </c>
      <c r="K92" s="15" t="n">
        <v>2546</v>
      </c>
      <c r="L92" s="18" t="n">
        <v>46507.62</v>
      </c>
      <c r="M92" s="16" t="s">
        <v>488</v>
      </c>
      <c r="N92" s="17" t="n">
        <v>9.2526</v>
      </c>
      <c r="O92" s="15" t="s">
        <v>1506</v>
      </c>
      <c r="P92" s="15" t="s">
        <v>1672</v>
      </c>
      <c r="Q92" s="16" t="s">
        <v>1508</v>
      </c>
      <c r="R92" s="32" t="s">
        <v>1737</v>
      </c>
      <c r="S92" s="37" t="n">
        <f aca="false">IFERROR(INDEX('Injectable Value'!$Z$28:$Z$178,MATCH($C92,'Injectable Value'!$A$28:$A$178,0)),"")</f>
        <v>0.378228374732698</v>
      </c>
      <c r="T92" s="18" t="n">
        <f aca="false">IFERROR(ROUND(INDEX('Injectable Value'!$AA$28:$AA$178,MATCH($C92,'Injectable Value'!$A$28:$A$178,0)),1),"")</f>
        <v>17590.5</v>
      </c>
      <c r="U92" s="16" t="s">
        <v>493</v>
      </c>
      <c r="V92" s="15" t="n">
        <v>10</v>
      </c>
      <c r="W92" s="15" t="s">
        <v>489</v>
      </c>
      <c r="X92" s="15" t="s">
        <v>248</v>
      </c>
      <c r="Y92" s="15" t="s">
        <v>249</v>
      </c>
      <c r="Z92" s="16" t="str">
        <f aca="false">IFERROR(INDEX(Scoring!$K:$K,MATCH($C92&amp;"|"&amp;$E92,Scoring!$U:$U,0)),"")</f>
        <v/>
      </c>
      <c r="AA92" s="15" t="str">
        <f aca="false">IFERROR(INDEX(Scoring!$Q:$Q,MATCH($C92&amp;"|"&amp;$E92,Scoring!$U:$U,0)),"")</f>
        <v>Priority 2</v>
      </c>
      <c r="AB92" s="15" t="str">
        <f aca="false">IFERROR(INDEX(Scoring!$AK:$AK,MATCH($C92&amp;"|"&amp;$E92,Scoring!$U:$U,0)),"")</f>
        <v>Priority 2</v>
      </c>
      <c r="AC92" s="18" t="n">
        <f aca="false">IFERROR(INDEX(Scoring!$M:$M,MATCH($C92&amp;"|"&amp;$E92,Scoring!$U:$U,0)),"")</f>
        <v>963</v>
      </c>
      <c r="AD92" s="15" t="str">
        <f aca="false">IFERROR(INDEX('Route of Administration'!$C$5:$C$155,MATCH($C92,'Route of Administration'!$A$5:$A$155,0)),"")</f>
        <v>IV, IM</v>
      </c>
      <c r="AE92" s="14" t="str">
        <f aca="false">IFERROR(INDEX('Route of Administration'!$D$5:$D$155,MATCH($C92,'Route of Administration'!$A$5:$A$155,0)),"")</f>
        <v>Yes</v>
      </c>
    </row>
    <row r="93" customFormat="false" ht="28.35" hidden="false" customHeight="false" outlineLevel="0" collapsed="false">
      <c r="B93" s="15" t="n">
        <v>91</v>
      </c>
      <c r="C93" s="15" t="s">
        <v>487</v>
      </c>
      <c r="D93" s="15" t="s">
        <v>1735</v>
      </c>
      <c r="E93" s="15" t="s">
        <v>286</v>
      </c>
      <c r="F93" s="15" t="s">
        <v>1667</v>
      </c>
      <c r="G93" s="16" t="s">
        <v>1738</v>
      </c>
      <c r="H93" s="15" t="s">
        <v>1505</v>
      </c>
      <c r="I93" s="17" t="n">
        <v>18.5052</v>
      </c>
      <c r="J93" s="15" t="n">
        <v>1</v>
      </c>
      <c r="K93" s="15" t="n">
        <v>2546</v>
      </c>
      <c r="L93" s="18" t="n">
        <v>46507.62</v>
      </c>
      <c r="M93" s="16" t="s">
        <v>488</v>
      </c>
      <c r="N93" s="17" t="n">
        <v>18.5052</v>
      </c>
      <c r="O93" s="15" t="s">
        <v>1506</v>
      </c>
      <c r="P93" s="15" t="s">
        <v>1672</v>
      </c>
      <c r="Q93" s="16" t="s">
        <v>1508</v>
      </c>
      <c r="R93" s="32" t="s">
        <v>1739</v>
      </c>
      <c r="S93" s="37" t="n">
        <f aca="false">IFERROR(INDEX('Injectable Value'!$Z$28:$Z$178,MATCH($C93,'Injectable Value'!$A$28:$A$178,0)),"")</f>
        <v>0.378228374732698</v>
      </c>
      <c r="T93" s="18" t="n">
        <f aca="false">IFERROR(ROUND(INDEX('Injectable Value'!$AA$28:$AA$178,MATCH($C93,'Injectable Value'!$A$28:$A$178,0)),1),"")</f>
        <v>17590.5</v>
      </c>
      <c r="U93" s="16" t="s">
        <v>493</v>
      </c>
      <c r="V93" s="15" t="n">
        <v>10</v>
      </c>
      <c r="W93" s="15" t="s">
        <v>489</v>
      </c>
      <c r="X93" s="15" t="s">
        <v>248</v>
      </c>
      <c r="Y93" s="15" t="s">
        <v>249</v>
      </c>
      <c r="Z93" s="16" t="str">
        <f aca="false">IFERROR(INDEX(Scoring!$K:$K,MATCH($C93&amp;"|"&amp;$E93,Scoring!$U:$U,0)),"")</f>
        <v/>
      </c>
      <c r="AA93" s="15" t="str">
        <f aca="false">IFERROR(INDEX(Scoring!$Q:$Q,MATCH($C93&amp;"|"&amp;$E93,Scoring!$U:$U,0)),"")</f>
        <v>Priority 2</v>
      </c>
      <c r="AB93" s="15" t="str">
        <f aca="false">IFERROR(INDEX(Scoring!$AK:$AK,MATCH($C93&amp;"|"&amp;$E93,Scoring!$U:$U,0)),"")</f>
        <v>Priority 2</v>
      </c>
      <c r="AC93" s="18" t="n">
        <f aca="false">IFERROR(INDEX(Scoring!$M:$M,MATCH($C93&amp;"|"&amp;$E93,Scoring!$U:$U,0)),"")</f>
        <v>963</v>
      </c>
      <c r="AD93" s="15" t="str">
        <f aca="false">IFERROR(INDEX('Route of Administration'!$C$5:$C$155,MATCH($C93,'Route of Administration'!$A$5:$A$155,0)),"")</f>
        <v>IV, IM</v>
      </c>
      <c r="AE93" s="14" t="str">
        <f aca="false">IFERROR(INDEX('Route of Administration'!$D$5:$D$155,MATCH($C93,'Route of Administration'!$A$5:$A$155,0)),"")</f>
        <v>Yes</v>
      </c>
    </row>
    <row r="94" customFormat="false" ht="28.35" hidden="false" customHeight="false" outlineLevel="0" collapsed="false">
      <c r="B94" s="15" t="n">
        <v>92</v>
      </c>
      <c r="C94" s="15" t="s">
        <v>387</v>
      </c>
      <c r="D94" s="15" t="s">
        <v>387</v>
      </c>
      <c r="E94" s="15" t="s">
        <v>286</v>
      </c>
      <c r="F94" s="15" t="s">
        <v>1730</v>
      </c>
      <c r="G94" s="16" t="s">
        <v>1740</v>
      </c>
      <c r="H94" s="15" t="s">
        <v>1505</v>
      </c>
      <c r="I94" s="17" t="n">
        <v>42.56</v>
      </c>
      <c r="J94" s="15" t="n">
        <v>1</v>
      </c>
      <c r="K94" s="15" t="n">
        <v>223</v>
      </c>
      <c r="L94" s="18" t="n">
        <v>53539.87</v>
      </c>
      <c r="M94" s="16" t="s">
        <v>388</v>
      </c>
      <c r="N94" s="17" t="n">
        <v>42.56</v>
      </c>
      <c r="O94" s="15" t="s">
        <v>1506</v>
      </c>
      <c r="P94" s="15" t="s">
        <v>1672</v>
      </c>
      <c r="Q94" s="16" t="s">
        <v>1508</v>
      </c>
      <c r="R94" s="32" t="s">
        <v>1741</v>
      </c>
      <c r="S94" s="37" t="n">
        <f aca="false">IFERROR(INDEX('Injectable Value'!$Z$28:$Z$178,MATCH($C94,'Injectable Value'!$A$28:$A$178,0)),"")</f>
        <v>1</v>
      </c>
      <c r="T94" s="18" t="n">
        <f aca="false">IFERROR(ROUND(INDEX('Injectable Value'!$AA$28:$AA$178,MATCH($C94,'Injectable Value'!$A$28:$A$178,0)),1),"")</f>
        <v>53539.9</v>
      </c>
      <c r="U94" s="16" t="s">
        <v>393</v>
      </c>
      <c r="V94" s="15" t="n">
        <v>10</v>
      </c>
      <c r="W94" s="15" t="s">
        <v>389</v>
      </c>
      <c r="X94" s="15" t="s">
        <v>248</v>
      </c>
      <c r="Y94" s="15" t="s">
        <v>299</v>
      </c>
      <c r="Z94" s="16" t="str">
        <f aca="false">IFERROR(INDEX(Scoring!$K:$K,MATCH($C94&amp;"|"&amp;$E94,Scoring!$U:$U,0)),"")</f>
        <v>Reconstitution</v>
      </c>
      <c r="AA94" s="15" t="str">
        <f aca="false">IFERROR(INDEX(Scoring!$Q:$Q,MATCH($C94&amp;"|"&amp;$E94,Scoring!$U:$U,0)),"")</f>
        <v>Priority 1</v>
      </c>
      <c r="AB94" s="15" t="str">
        <f aca="false">IFERROR(INDEX(Scoring!$AK:$AK,MATCH($C94&amp;"|"&amp;$E94,Scoring!$U:$U,0)),"")</f>
        <v>Priority 2</v>
      </c>
      <c r="AC94" s="18" t="n">
        <f aca="false">IFERROR(INDEX(Scoring!$M:$M,MATCH($C94&amp;"|"&amp;$E94,Scoring!$U:$U,0)),"")</f>
        <v>223</v>
      </c>
      <c r="AD94" s="15" t="str">
        <f aca="false">IFERROR(INDEX('Route of Administration'!$C$5:$C$155,MATCH($C94,'Route of Administration'!$A$5:$A$155,0)),"")</f>
        <v>IV, IM</v>
      </c>
      <c r="AE94" s="14" t="str">
        <f aca="false">IFERROR(INDEX('Route of Administration'!$D$5:$D$155,MATCH($C94,'Route of Administration'!$A$5:$A$155,0)),"")</f>
        <v>Yes</v>
      </c>
    </row>
    <row r="95" customFormat="false" ht="28.35" hidden="false" customHeight="false" outlineLevel="0" collapsed="false">
      <c r="B95" s="15" t="n">
        <v>93</v>
      </c>
      <c r="C95" s="15" t="s">
        <v>427</v>
      </c>
      <c r="D95" s="15" t="s">
        <v>432</v>
      </c>
      <c r="E95" s="15" t="s">
        <v>286</v>
      </c>
      <c r="F95" s="15" t="s">
        <v>1658</v>
      </c>
      <c r="G95" s="16" t="s">
        <v>1742</v>
      </c>
      <c r="H95" s="15" t="s">
        <v>1505</v>
      </c>
      <c r="I95" s="17" t="n">
        <v>6.11625</v>
      </c>
      <c r="J95" s="15" t="n">
        <v>1</v>
      </c>
      <c r="K95" s="15" t="n">
        <v>503</v>
      </c>
      <c r="L95" s="18" t="n">
        <v>21671.77</v>
      </c>
      <c r="M95" s="16" t="s">
        <v>428</v>
      </c>
      <c r="N95" s="17" t="n">
        <v>6.11625</v>
      </c>
      <c r="O95" s="15" t="s">
        <v>1506</v>
      </c>
      <c r="P95" s="15" t="s">
        <v>1672</v>
      </c>
      <c r="Q95" s="16" t="s">
        <v>1508</v>
      </c>
      <c r="R95" s="32" t="s">
        <v>1743</v>
      </c>
      <c r="S95" s="37" t="n">
        <f aca="false">IFERROR(INDEX('Injectable Value'!$Z$28:$Z$178,MATCH($C95,'Injectable Value'!$A$28:$A$178,0)),"")</f>
        <v>0.162389770723104</v>
      </c>
      <c r="T95" s="18" t="n">
        <f aca="false">IFERROR(ROUND(INDEX('Injectable Value'!$AA$28:$AA$178,MATCH($C95,'Injectable Value'!$A$28:$A$178,0)),1),"")</f>
        <v>3519.3</v>
      </c>
      <c r="U95" s="16" t="s">
        <v>433</v>
      </c>
      <c r="V95" s="15" t="n">
        <v>1</v>
      </c>
      <c r="W95" s="15" t="s">
        <v>429</v>
      </c>
      <c r="X95" s="15" t="s">
        <v>248</v>
      </c>
      <c r="Y95" s="15" t="s">
        <v>249</v>
      </c>
      <c r="Z95" s="16" t="str">
        <f aca="false">IFERROR(INDEX(Scoring!$K:$K,MATCH($C95&amp;"|"&amp;$E95,Scoring!$U:$U,0)),"")</f>
        <v/>
      </c>
      <c r="AA95" s="15" t="str">
        <f aca="false">IFERROR(INDEX(Scoring!$Q:$Q,MATCH($C95&amp;"|"&amp;$E95,Scoring!$U:$U,0)),"")</f>
        <v>Priority 3</v>
      </c>
      <c r="AB95" s="15" t="str">
        <f aca="false">IFERROR(INDEX(Scoring!$AK:$AK,MATCH($C95&amp;"|"&amp;$E95,Scoring!$U:$U,0)),"")</f>
        <v>Priority 2</v>
      </c>
      <c r="AC95" s="18" t="n">
        <f aca="false">IFERROR(INDEX(Scoring!$M:$M,MATCH($C95&amp;"|"&amp;$E95,Scoring!$U:$U,0)),"")</f>
        <v>82</v>
      </c>
      <c r="AD95" s="15" t="str">
        <f aca="false">IFERROR(INDEX('Route of Administration'!$C$5:$C$155,MATCH($C95,'Route of Administration'!$A$5:$A$155,0)),"")</f>
        <v>IV, IM</v>
      </c>
      <c r="AE95" s="14" t="str">
        <f aca="false">IFERROR(INDEX('Route of Administration'!$D$5:$D$155,MATCH($C95,'Route of Administration'!$A$5:$A$155,0)),"")</f>
        <v>Yes</v>
      </c>
    </row>
    <row r="96" customFormat="false" ht="28.35" hidden="false" customHeight="false" outlineLevel="0" collapsed="false">
      <c r="B96" s="15" t="n">
        <v>94</v>
      </c>
      <c r="C96" s="15" t="s">
        <v>451</v>
      </c>
      <c r="D96" s="15" t="s">
        <v>451</v>
      </c>
      <c r="E96" s="15" t="s">
        <v>286</v>
      </c>
      <c r="F96" s="15" t="s">
        <v>1727</v>
      </c>
      <c r="G96" s="16" t="s">
        <v>1744</v>
      </c>
      <c r="H96" s="15" t="s">
        <v>1505</v>
      </c>
      <c r="I96" s="17" t="n">
        <v>16.247</v>
      </c>
      <c r="J96" s="15" t="n">
        <v>1</v>
      </c>
      <c r="K96" s="15" t="n">
        <v>1185</v>
      </c>
      <c r="L96" s="18" t="n">
        <v>59407.06</v>
      </c>
      <c r="M96" s="16" t="s">
        <v>452</v>
      </c>
      <c r="N96" s="17" t="n">
        <v>16.247</v>
      </c>
      <c r="O96" s="15" t="s">
        <v>1506</v>
      </c>
      <c r="P96" s="15" t="s">
        <v>1672</v>
      </c>
      <c r="Q96" s="16" t="s">
        <v>1508</v>
      </c>
      <c r="R96" s="32" t="s">
        <v>1729</v>
      </c>
      <c r="S96" s="37" t="n">
        <f aca="false">IFERROR(INDEX('Injectable Value'!$Z$28:$Z$178,MATCH($C96,'Injectable Value'!$A$28:$A$178,0)),"")</f>
        <v>0.991808067465962</v>
      </c>
      <c r="T96" s="18" t="n">
        <f aca="false">IFERROR(ROUND(INDEX('Injectable Value'!$AA$28:$AA$178,MATCH($C96,'Injectable Value'!$A$28:$A$178,0)),1),"")</f>
        <v>58920.4</v>
      </c>
      <c r="U96" s="16" t="s">
        <v>457</v>
      </c>
      <c r="V96" s="15" t="n">
        <v>10</v>
      </c>
      <c r="W96" s="15" t="s">
        <v>453</v>
      </c>
      <c r="X96" s="15" t="s">
        <v>248</v>
      </c>
      <c r="Y96" s="15" t="s">
        <v>1519</v>
      </c>
      <c r="Z96" s="16" t="str">
        <f aca="false">IFERROR(INDEX(Scoring!$K:$K,MATCH($C96&amp;"|"&amp;$E96,Scoring!$U:$U,0)),"")</f>
        <v>Reconstitution</v>
      </c>
      <c r="AA96" s="15" t="str">
        <f aca="false">IFERROR(INDEX(Scoring!$Q:$Q,MATCH($C96&amp;"|"&amp;$E96,Scoring!$U:$U,0)),"")</f>
        <v>Excluded – IV only</v>
      </c>
      <c r="AB96" s="15" t="str">
        <f aca="false">IFERROR(INDEX(Scoring!$AK:$AK,MATCH($C96&amp;"|"&amp;$E96,Scoring!$U:$U,0)),"")</f>
        <v>Excluded – IV only</v>
      </c>
      <c r="AC96" s="18" t="n">
        <f aca="false">IFERROR(INDEX(Scoring!$M:$M,MATCH($C96&amp;"|"&amp;$E96,Scoring!$U:$U,0)),"")</f>
        <v>1175</v>
      </c>
      <c r="AD96" s="15" t="str">
        <f aca="false">IFERROR(INDEX('Route of Administration'!$C$5:$C$155,MATCH($C96,'Route of Administration'!$A$5:$A$155,0)),"")</f>
        <v>IV</v>
      </c>
      <c r="AE96" s="14" t="str">
        <f aca="false">IFERROR(INDEX('Route of Administration'!$D$5:$D$155,MATCH($C96,'Route of Administration'!$A$5:$A$155,0)),"")</f>
        <v>No</v>
      </c>
    </row>
    <row r="97" customFormat="false" ht="28.35" hidden="false" customHeight="false" outlineLevel="0" collapsed="false">
      <c r="B97" s="15" t="n">
        <v>95</v>
      </c>
      <c r="C97" s="15" t="s">
        <v>451</v>
      </c>
      <c r="D97" s="15" t="s">
        <v>451</v>
      </c>
      <c r="E97" s="15" t="s">
        <v>286</v>
      </c>
      <c r="F97" s="15" t="s">
        <v>1730</v>
      </c>
      <c r="G97" s="16" t="s">
        <v>1745</v>
      </c>
      <c r="H97" s="15" t="s">
        <v>1505</v>
      </c>
      <c r="I97" s="17" t="n">
        <v>36.113</v>
      </c>
      <c r="J97" s="15" t="n">
        <v>1</v>
      </c>
      <c r="K97" s="15" t="n">
        <v>1185</v>
      </c>
      <c r="L97" s="18" t="n">
        <v>59407.06</v>
      </c>
      <c r="M97" s="16" t="s">
        <v>452</v>
      </c>
      <c r="N97" s="17" t="n">
        <v>36.113</v>
      </c>
      <c r="O97" s="15" t="s">
        <v>1506</v>
      </c>
      <c r="P97" s="15" t="s">
        <v>1672</v>
      </c>
      <c r="Q97" s="16" t="s">
        <v>1508</v>
      </c>
      <c r="R97" s="32" t="s">
        <v>1729</v>
      </c>
      <c r="S97" s="37" t="n">
        <f aca="false">IFERROR(INDEX('Injectable Value'!$Z$28:$Z$178,MATCH($C97,'Injectable Value'!$A$28:$A$178,0)),"")</f>
        <v>0.991808067465962</v>
      </c>
      <c r="T97" s="18" t="n">
        <f aca="false">IFERROR(ROUND(INDEX('Injectable Value'!$AA$28:$AA$178,MATCH($C97,'Injectable Value'!$A$28:$A$178,0)),1),"")</f>
        <v>58920.4</v>
      </c>
      <c r="U97" s="16" t="s">
        <v>457</v>
      </c>
      <c r="V97" s="15" t="n">
        <v>10</v>
      </c>
      <c r="W97" s="15" t="s">
        <v>453</v>
      </c>
      <c r="X97" s="15" t="s">
        <v>248</v>
      </c>
      <c r="Y97" s="15" t="s">
        <v>1519</v>
      </c>
      <c r="Z97" s="16" t="str">
        <f aca="false">IFERROR(INDEX(Scoring!$K:$K,MATCH($C97&amp;"|"&amp;$E97,Scoring!$U:$U,0)),"")</f>
        <v>Reconstitution</v>
      </c>
      <c r="AA97" s="15" t="str">
        <f aca="false">IFERROR(INDEX(Scoring!$Q:$Q,MATCH($C97&amp;"|"&amp;$E97,Scoring!$U:$U,0)),"")</f>
        <v>Excluded – IV only</v>
      </c>
      <c r="AB97" s="15" t="str">
        <f aca="false">IFERROR(INDEX(Scoring!$AK:$AK,MATCH($C97&amp;"|"&amp;$E97,Scoring!$U:$U,0)),"")</f>
        <v>Excluded – IV only</v>
      </c>
      <c r="AC97" s="18" t="n">
        <f aca="false">IFERROR(INDEX(Scoring!$M:$M,MATCH($C97&amp;"|"&amp;$E97,Scoring!$U:$U,0)),"")</f>
        <v>1175</v>
      </c>
      <c r="AD97" s="15" t="str">
        <f aca="false">IFERROR(INDEX('Route of Administration'!$C$5:$C$155,MATCH($C97,'Route of Administration'!$A$5:$A$155,0)),"")</f>
        <v>IV</v>
      </c>
      <c r="AE97" s="14" t="str">
        <f aca="false">IFERROR(INDEX('Route of Administration'!$D$5:$D$155,MATCH($C97,'Route of Administration'!$A$5:$A$155,0)),"")</f>
        <v>No</v>
      </c>
    </row>
    <row r="98" customFormat="false" ht="28.35" hidden="false" customHeight="false" outlineLevel="0" collapsed="false">
      <c r="B98" s="15" t="n">
        <v>96</v>
      </c>
      <c r="C98" s="15" t="s">
        <v>503</v>
      </c>
      <c r="D98" s="15" t="s">
        <v>503</v>
      </c>
      <c r="E98" s="15" t="s">
        <v>286</v>
      </c>
      <c r="F98" s="15" t="s">
        <v>1721</v>
      </c>
      <c r="G98" s="16" t="s">
        <v>1746</v>
      </c>
      <c r="H98" s="15" t="s">
        <v>1505</v>
      </c>
      <c r="I98" s="17" t="n">
        <v>8.2474</v>
      </c>
      <c r="J98" s="15" t="n">
        <v>1</v>
      </c>
      <c r="K98" s="15" t="n">
        <v>3515</v>
      </c>
      <c r="L98" s="18" t="n">
        <v>140084.73</v>
      </c>
      <c r="M98" s="16" t="s">
        <v>504</v>
      </c>
      <c r="N98" s="17" t="n">
        <v>8.2474</v>
      </c>
      <c r="O98" s="15" t="s">
        <v>1506</v>
      </c>
      <c r="P98" s="15" t="s">
        <v>1672</v>
      </c>
      <c r="Q98" s="16" t="s">
        <v>1508</v>
      </c>
      <c r="R98" s="32" t="s">
        <v>1723</v>
      </c>
      <c r="S98" s="37" t="n">
        <f aca="false">IFERROR(INDEX('Injectable Value'!$Z$28:$Z$178,MATCH($C98,'Injectable Value'!$A$28:$A$178,0)),"")</f>
        <v>0.251824206147514</v>
      </c>
      <c r="T98" s="18" t="n">
        <f aca="false">IFERROR(ROUND(INDEX('Injectable Value'!$AA$28:$AA$178,MATCH($C98,'Injectable Value'!$A$28:$A$178,0)),1),"")</f>
        <v>35276.7</v>
      </c>
      <c r="U98" s="16" t="s">
        <v>508</v>
      </c>
      <c r="V98" s="15" t="n">
        <v>11</v>
      </c>
      <c r="W98" s="15" t="s">
        <v>505</v>
      </c>
      <c r="X98" s="15" t="s">
        <v>248</v>
      </c>
      <c r="Y98" s="15" t="s">
        <v>249</v>
      </c>
      <c r="Z98" s="16" t="str">
        <f aca="false">IFERROR(INDEX(Scoring!$K:$K,MATCH($C98&amp;"|"&amp;$E98,Scoring!$U:$U,0)),"")</f>
        <v/>
      </c>
      <c r="AA98" s="15" t="str">
        <f aca="false">IFERROR(INDEX(Scoring!$Q:$Q,MATCH($C98&amp;"|"&amp;$E98,Scoring!$U:$U,0)),"")</f>
        <v>Excluded – IV only</v>
      </c>
      <c r="AB98" s="15" t="str">
        <f aca="false">IFERROR(INDEX(Scoring!$AK:$AK,MATCH($C98&amp;"|"&amp;$E98,Scoring!$U:$U,0)),"")</f>
        <v>Excluded – IV only</v>
      </c>
      <c r="AC98" s="18" t="n">
        <f aca="false">IFERROR(INDEX(Scoring!$M:$M,MATCH($C98&amp;"|"&amp;$E98,Scoring!$U:$U,0)),"")</f>
        <v>885</v>
      </c>
      <c r="AD98" s="15" t="str">
        <f aca="false">IFERROR(INDEX('Route of Administration'!$C$5:$C$155,MATCH($C98,'Route of Administration'!$A$5:$A$155,0)),"")</f>
        <v>IV</v>
      </c>
      <c r="AE98" s="14" t="str">
        <f aca="false">IFERROR(INDEX('Route of Administration'!$D$5:$D$155,MATCH($C98,'Route of Administration'!$A$5:$A$155,0)),"")</f>
        <v>No</v>
      </c>
    </row>
    <row r="99" customFormat="false" ht="28.35" hidden="false" customHeight="false" outlineLevel="0" collapsed="false">
      <c r="B99" s="15" t="n">
        <v>97</v>
      </c>
      <c r="C99" s="15" t="s">
        <v>281</v>
      </c>
      <c r="D99" s="15" t="s">
        <v>289</v>
      </c>
      <c r="E99" s="15" t="s">
        <v>286</v>
      </c>
      <c r="F99" s="15" t="s">
        <v>1724</v>
      </c>
      <c r="G99" s="16" t="s">
        <v>1747</v>
      </c>
      <c r="H99" s="15" t="s">
        <v>1505</v>
      </c>
      <c r="I99" s="17" t="n">
        <v>7.7889</v>
      </c>
      <c r="J99" s="15" t="n">
        <v>1</v>
      </c>
      <c r="K99" s="15" t="n">
        <v>1393</v>
      </c>
      <c r="L99" s="18" t="n">
        <v>52401.4</v>
      </c>
      <c r="M99" s="16" t="s">
        <v>282</v>
      </c>
      <c r="N99" s="17" t="n">
        <v>7.7889</v>
      </c>
      <c r="O99" s="15" t="s">
        <v>1506</v>
      </c>
      <c r="P99" s="15" t="s">
        <v>1672</v>
      </c>
      <c r="Q99" s="16" t="s">
        <v>1508</v>
      </c>
      <c r="R99" s="32" t="s">
        <v>1726</v>
      </c>
      <c r="S99" s="37" t="n">
        <f aca="false">IFERROR(INDEX('Injectable Value'!$Z$28:$Z$178,MATCH($C99,'Injectable Value'!$A$28:$A$178,0)),"")</f>
        <v>0.670397578386193</v>
      </c>
      <c r="T99" s="18" t="n">
        <f aca="false">IFERROR(ROUND(INDEX('Injectable Value'!$AA$28:$AA$178,MATCH($C99,'Injectable Value'!$A$28:$A$178,0)),1),"")</f>
        <v>35129.8</v>
      </c>
      <c r="U99" s="16" t="s">
        <v>290</v>
      </c>
      <c r="V99" s="15" t="n">
        <v>2</v>
      </c>
      <c r="W99" s="15" t="s">
        <v>283</v>
      </c>
      <c r="X99" s="15" t="s">
        <v>248</v>
      </c>
      <c r="Y99" s="15" t="s">
        <v>1519</v>
      </c>
      <c r="Z99" s="16" t="str">
        <f aca="false">IFERROR(INDEX(Scoring!$K:$K,MATCH($C99&amp;"|"&amp;$E99,Scoring!$U:$U,0)),"")</f>
        <v/>
      </c>
      <c r="AA99" s="15" t="str">
        <f aca="false">IFERROR(INDEX(Scoring!$Q:$Q,MATCH($C99&amp;"|"&amp;$E99,Scoring!$U:$U,0)),"")</f>
        <v>Priority 2</v>
      </c>
      <c r="AB99" s="15" t="str">
        <f aca="false">IFERROR(INDEX(Scoring!$AK:$AK,MATCH($C99&amp;"|"&amp;$E99,Scoring!$U:$U,0)),"")</f>
        <v>Priority 2</v>
      </c>
      <c r="AC99" s="18" t="n">
        <f aca="false">IFERROR(INDEX(Scoring!$M:$M,MATCH($C99&amp;"|"&amp;$E99,Scoring!$U:$U,0)),"")</f>
        <v>934</v>
      </c>
      <c r="AD99" s="15" t="str">
        <f aca="false">IFERROR(INDEX('Route of Administration'!$C$5:$C$155,MATCH($C99,'Route of Administration'!$A$5:$A$155,0)),"")</f>
        <v>IV, IM</v>
      </c>
      <c r="AE99" s="14" t="str">
        <f aca="false">IFERROR(INDEX('Route of Administration'!$D$5:$D$155,MATCH($C99,'Route of Administration'!$A$5:$A$155,0)),"")</f>
        <v>Yes</v>
      </c>
    </row>
    <row r="100" customFormat="false" ht="28.35" hidden="false" customHeight="false" outlineLevel="0" collapsed="false">
      <c r="B100" s="15" t="n">
        <v>98</v>
      </c>
      <c r="C100" s="15" t="s">
        <v>557</v>
      </c>
      <c r="D100" s="15" t="s">
        <v>557</v>
      </c>
      <c r="E100" s="15" t="s">
        <v>286</v>
      </c>
      <c r="F100" s="15" t="s">
        <v>1732</v>
      </c>
      <c r="G100" s="16" t="s">
        <v>1748</v>
      </c>
      <c r="H100" s="15" t="s">
        <v>1505</v>
      </c>
      <c r="I100" s="17" t="n">
        <v>13.20375</v>
      </c>
      <c r="J100" s="15" t="n">
        <v>1</v>
      </c>
      <c r="K100" s="15" t="n">
        <v>1307</v>
      </c>
      <c r="L100" s="18" t="n">
        <v>36428.56</v>
      </c>
      <c r="M100" s="16" t="s">
        <v>558</v>
      </c>
      <c r="N100" s="17" t="n">
        <v>13.20375</v>
      </c>
      <c r="O100" s="15" t="s">
        <v>1506</v>
      </c>
      <c r="P100" s="15" t="s">
        <v>1507</v>
      </c>
      <c r="Q100" s="16" t="s">
        <v>1508</v>
      </c>
      <c r="R100" s="32" t="s">
        <v>1734</v>
      </c>
      <c r="S100" s="37" t="n">
        <f aca="false">IFERROR(INDEX('Injectable Value'!$Z$28:$Z$178,MATCH($C100,'Injectable Value'!$A$28:$A$178,0)),"")</f>
        <v>0.618159088235815</v>
      </c>
      <c r="T100" s="18" t="n">
        <f aca="false">IFERROR(ROUND(INDEX('Injectable Value'!$AA$28:$AA$178,MATCH($C100,'Injectable Value'!$A$28:$A$178,0)),1),"")</f>
        <v>22518.6</v>
      </c>
      <c r="U100" s="16" t="s">
        <v>562</v>
      </c>
      <c r="V100" s="15" t="n">
        <v>7</v>
      </c>
      <c r="W100" s="15" t="s">
        <v>559</v>
      </c>
      <c r="X100" s="15" t="s">
        <v>316</v>
      </c>
      <c r="Y100" s="15" t="s">
        <v>249</v>
      </c>
      <c r="Z100" s="16" t="str">
        <f aca="false">IFERROR(INDEX(Scoring!$K:$K,MATCH($C100&amp;"|"&amp;$E100,Scoring!$U:$U,0)),"")</f>
        <v/>
      </c>
      <c r="AA100" s="15" t="str">
        <f aca="false">IFERROR(INDEX(Scoring!$Q:$Q,MATCH($C100&amp;"|"&amp;$E100,Scoring!$U:$U,0)),"")</f>
        <v>Excluded – IV only</v>
      </c>
      <c r="AB100" s="15" t="str">
        <f aca="false">IFERROR(INDEX(Scoring!$AK:$AK,MATCH($C100&amp;"|"&amp;$E100,Scoring!$U:$U,0)),"")</f>
        <v>Excluded – IV only</v>
      </c>
      <c r="AC100" s="18" t="n">
        <f aca="false">IFERROR(INDEX(Scoring!$M:$M,MATCH($C100&amp;"|"&amp;$E100,Scoring!$U:$U,0)),"")</f>
        <v>808</v>
      </c>
      <c r="AD100" s="15" t="str">
        <f aca="false">IFERROR(INDEX('Route of Administration'!$C$5:$C$155,MATCH($C100,'Route of Administration'!$A$5:$A$155,0)),"")</f>
        <v>IV</v>
      </c>
      <c r="AE100" s="14" t="str">
        <f aca="false">IFERROR(INDEX('Route of Administration'!$D$5:$D$155,MATCH($C100,'Route of Administration'!$A$5:$A$155,0)),"")</f>
        <v>No</v>
      </c>
    </row>
    <row r="101" customFormat="false" ht="28.35" hidden="false" customHeight="false" outlineLevel="0" collapsed="false">
      <c r="B101" s="15" t="n">
        <v>99</v>
      </c>
      <c r="C101" s="15" t="s">
        <v>557</v>
      </c>
      <c r="D101" s="15" t="s">
        <v>557</v>
      </c>
      <c r="E101" s="15" t="s">
        <v>286</v>
      </c>
      <c r="F101" s="15" t="s">
        <v>1732</v>
      </c>
      <c r="G101" s="16" t="s">
        <v>1749</v>
      </c>
      <c r="H101" s="15" t="s">
        <v>1505</v>
      </c>
      <c r="I101" s="17" t="n">
        <v>14.19425</v>
      </c>
      <c r="J101" s="15" t="n">
        <v>1</v>
      </c>
      <c r="K101" s="15" t="n">
        <v>1307</v>
      </c>
      <c r="L101" s="18" t="n">
        <v>36428.56</v>
      </c>
      <c r="M101" s="16" t="s">
        <v>558</v>
      </c>
      <c r="N101" s="17" t="n">
        <v>14.19425</v>
      </c>
      <c r="O101" s="15" t="s">
        <v>1506</v>
      </c>
      <c r="P101" s="15" t="s">
        <v>1672</v>
      </c>
      <c r="Q101" s="16" t="s">
        <v>1508</v>
      </c>
      <c r="R101" s="32" t="s">
        <v>1741</v>
      </c>
      <c r="S101" s="37" t="n">
        <f aca="false">IFERROR(INDEX('Injectable Value'!$Z$28:$Z$178,MATCH($C101,'Injectable Value'!$A$28:$A$178,0)),"")</f>
        <v>0.618159088235815</v>
      </c>
      <c r="T101" s="18" t="n">
        <f aca="false">IFERROR(ROUND(INDEX('Injectable Value'!$AA$28:$AA$178,MATCH($C101,'Injectable Value'!$A$28:$A$178,0)),1),"")</f>
        <v>22518.6</v>
      </c>
      <c r="U101" s="16" t="s">
        <v>562</v>
      </c>
      <c r="V101" s="15" t="n">
        <v>7</v>
      </c>
      <c r="W101" s="15" t="s">
        <v>559</v>
      </c>
      <c r="X101" s="15" t="s">
        <v>248</v>
      </c>
      <c r="Y101" s="15" t="s">
        <v>249</v>
      </c>
      <c r="Z101" s="16" t="str">
        <f aca="false">IFERROR(INDEX(Scoring!$K:$K,MATCH($C101&amp;"|"&amp;$E101,Scoring!$U:$U,0)),"")</f>
        <v/>
      </c>
      <c r="AA101" s="15" t="str">
        <f aca="false">IFERROR(INDEX(Scoring!$Q:$Q,MATCH($C101&amp;"|"&amp;$E101,Scoring!$U:$U,0)),"")</f>
        <v>Excluded – IV only</v>
      </c>
      <c r="AB101" s="15" t="str">
        <f aca="false">IFERROR(INDEX(Scoring!$AK:$AK,MATCH($C101&amp;"|"&amp;$E101,Scoring!$U:$U,0)),"")</f>
        <v>Excluded – IV only</v>
      </c>
      <c r="AC101" s="18" t="n">
        <f aca="false">IFERROR(INDEX(Scoring!$M:$M,MATCH($C101&amp;"|"&amp;$E101,Scoring!$U:$U,0)),"")</f>
        <v>808</v>
      </c>
      <c r="AD101" s="15" t="str">
        <f aca="false">IFERROR(INDEX('Route of Administration'!$C$5:$C$155,MATCH($C101,'Route of Administration'!$A$5:$A$155,0)),"")</f>
        <v>IV</v>
      </c>
      <c r="AE101" s="14" t="str">
        <f aca="false">IFERROR(INDEX('Route of Administration'!$D$5:$D$155,MATCH($C101,'Route of Administration'!$A$5:$A$155,0)),"")</f>
        <v>No</v>
      </c>
    </row>
    <row r="102" customFormat="false" ht="15" hidden="false" customHeight="false" outlineLevel="0" collapsed="false">
      <c r="B102" s="15" t="n">
        <v>100</v>
      </c>
      <c r="C102" s="15" t="s">
        <v>480</v>
      </c>
      <c r="D102" s="15" t="s">
        <v>485</v>
      </c>
      <c r="E102" s="15" t="s">
        <v>286</v>
      </c>
      <c r="F102" s="15" t="s">
        <v>1750</v>
      </c>
      <c r="G102" s="16" t="s">
        <v>1751</v>
      </c>
      <c r="H102" s="15" t="s">
        <v>1505</v>
      </c>
      <c r="I102" s="17" t="n">
        <v>96.215</v>
      </c>
      <c r="J102" s="15" t="n">
        <v>1</v>
      </c>
      <c r="K102" s="15" t="n">
        <v>365</v>
      </c>
      <c r="L102" s="18" t="n">
        <v>5976.94</v>
      </c>
      <c r="M102" s="16" t="s">
        <v>481</v>
      </c>
      <c r="N102" s="17" t="n">
        <v>96.215</v>
      </c>
      <c r="O102" s="15" t="s">
        <v>1506</v>
      </c>
      <c r="P102" s="15" t="s">
        <v>1507</v>
      </c>
      <c r="Q102" s="16" t="s">
        <v>1508</v>
      </c>
      <c r="R102" s="32" t="s">
        <v>1741</v>
      </c>
      <c r="S102" s="37" t="n">
        <f aca="false">IFERROR(INDEX('Injectable Value'!$Z$28:$Z$178,MATCH($C102,'Injectable Value'!$A$28:$A$178,0)),"")</f>
        <v>0.240571827983426</v>
      </c>
      <c r="T102" s="18" t="n">
        <f aca="false">IFERROR(ROUND(INDEX('Injectable Value'!$AA$28:$AA$178,MATCH($C102,'Injectable Value'!$A$28:$A$178,0)),1),"")</f>
        <v>1437.9</v>
      </c>
      <c r="U102" s="16" t="s">
        <v>486</v>
      </c>
      <c r="V102" s="15" t="n">
        <v>2</v>
      </c>
      <c r="W102" s="15" t="s">
        <v>482</v>
      </c>
      <c r="X102" s="15" t="s">
        <v>248</v>
      </c>
      <c r="Y102" s="15" t="s">
        <v>249</v>
      </c>
      <c r="Z102" s="16" t="str">
        <f aca="false">IFERROR(INDEX(Scoring!$K:$K,MATCH($C102&amp;"|"&amp;$E102,Scoring!$U:$U,0)),"")</f>
        <v/>
      </c>
      <c r="AA102" s="15" t="str">
        <f aca="false">IFERROR(INDEX(Scoring!$Q:$Q,MATCH($C102&amp;"|"&amp;$E102,Scoring!$U:$U,0)),"")</f>
        <v>Priority 2</v>
      </c>
      <c r="AB102" s="15" t="str">
        <f aca="false">IFERROR(INDEX(Scoring!$AK:$AK,MATCH($C102&amp;"|"&amp;$E102,Scoring!$U:$U,0)),"")</f>
        <v>Priority 1</v>
      </c>
      <c r="AC102" s="18" t="n">
        <f aca="false">IFERROR(INDEX(Scoring!$M:$M,MATCH($C102&amp;"|"&amp;$E102,Scoring!$U:$U,0)),"")</f>
        <v>88</v>
      </c>
      <c r="AD102" s="15" t="str">
        <f aca="false">IFERROR(INDEX('Route of Administration'!$C$5:$C$155,MATCH($C102,'Route of Administration'!$A$5:$A$155,0)),"")</f>
        <v>IV, IM, SC</v>
      </c>
      <c r="AE102" s="14" t="str">
        <f aca="false">IFERROR(INDEX('Route of Administration'!$D$5:$D$155,MATCH($C102,'Route of Administration'!$A$5:$A$155,0)),"")</f>
        <v>Yes</v>
      </c>
    </row>
    <row r="103" customFormat="false" ht="28.35" hidden="false" customHeight="false" outlineLevel="0" collapsed="false">
      <c r="B103" s="15" t="n">
        <v>101</v>
      </c>
      <c r="C103" s="15" t="s">
        <v>387</v>
      </c>
      <c r="D103" s="15" t="s">
        <v>387</v>
      </c>
      <c r="E103" s="15" t="s">
        <v>286</v>
      </c>
      <c r="F103" s="15" t="s">
        <v>1730</v>
      </c>
      <c r="G103" s="16" t="s">
        <v>1752</v>
      </c>
      <c r="H103" s="15" t="s">
        <v>1505</v>
      </c>
      <c r="I103" s="17" t="n">
        <v>42.56</v>
      </c>
      <c r="J103" s="15" t="n">
        <v>1</v>
      </c>
      <c r="K103" s="15" t="n">
        <v>223</v>
      </c>
      <c r="L103" s="18" t="n">
        <v>53539.87</v>
      </c>
      <c r="M103" s="16" t="s">
        <v>388</v>
      </c>
      <c r="N103" s="17" t="n">
        <v>42.56</v>
      </c>
      <c r="O103" s="15" t="s">
        <v>1506</v>
      </c>
      <c r="P103" s="15" t="s">
        <v>1672</v>
      </c>
      <c r="Q103" s="16" t="s">
        <v>1508</v>
      </c>
      <c r="R103" s="32" t="s">
        <v>1741</v>
      </c>
      <c r="S103" s="37" t="n">
        <f aca="false">IFERROR(INDEX('Injectable Value'!$Z$28:$Z$178,MATCH($C103,'Injectable Value'!$A$28:$A$178,0)),"")</f>
        <v>1</v>
      </c>
      <c r="T103" s="18" t="n">
        <f aca="false">IFERROR(ROUND(INDEX('Injectable Value'!$AA$28:$AA$178,MATCH($C103,'Injectable Value'!$A$28:$A$178,0)),1),"")</f>
        <v>53539.9</v>
      </c>
      <c r="U103" s="16" t="s">
        <v>393</v>
      </c>
      <c r="V103" s="15" t="n">
        <v>10</v>
      </c>
      <c r="W103" s="15" t="s">
        <v>389</v>
      </c>
      <c r="X103" s="15" t="s">
        <v>248</v>
      </c>
      <c r="Y103" s="15" t="s">
        <v>277</v>
      </c>
      <c r="Z103" s="16" t="str">
        <f aca="false">IFERROR(INDEX(Scoring!$K:$K,MATCH($C103&amp;"|"&amp;$E103,Scoring!$U:$U,0)),"")</f>
        <v>Reconstitution</v>
      </c>
      <c r="AA103" s="15" t="str">
        <f aca="false">IFERROR(INDEX(Scoring!$Q:$Q,MATCH($C103&amp;"|"&amp;$E103,Scoring!$U:$U,0)),"")</f>
        <v>Priority 1</v>
      </c>
      <c r="AB103" s="15" t="str">
        <f aca="false">IFERROR(INDEX(Scoring!$AK:$AK,MATCH($C103&amp;"|"&amp;$E103,Scoring!$U:$U,0)),"")</f>
        <v>Priority 2</v>
      </c>
      <c r="AC103" s="18" t="n">
        <f aca="false">IFERROR(INDEX(Scoring!$M:$M,MATCH($C103&amp;"|"&amp;$E103,Scoring!$U:$U,0)),"")</f>
        <v>223</v>
      </c>
      <c r="AD103" s="15" t="str">
        <f aca="false">IFERROR(INDEX('Route of Administration'!$C$5:$C$155,MATCH($C103,'Route of Administration'!$A$5:$A$155,0)),"")</f>
        <v>IV, IM</v>
      </c>
      <c r="AE103" s="14" t="str">
        <f aca="false">IFERROR(INDEX('Route of Administration'!$D$5:$D$155,MATCH($C103,'Route of Administration'!$A$5:$A$155,0)),"")</f>
        <v>Yes</v>
      </c>
    </row>
    <row r="104" customFormat="false" ht="28.35" hidden="false" customHeight="false" outlineLevel="0" collapsed="false">
      <c r="B104" s="15" t="n">
        <v>102</v>
      </c>
      <c r="C104" s="15" t="s">
        <v>427</v>
      </c>
      <c r="D104" s="15" t="s">
        <v>432</v>
      </c>
      <c r="E104" s="15" t="s">
        <v>286</v>
      </c>
      <c r="F104" s="15" t="s">
        <v>1658</v>
      </c>
      <c r="G104" s="16" t="s">
        <v>1753</v>
      </c>
      <c r="H104" s="15" t="s">
        <v>1505</v>
      </c>
      <c r="I104" s="17" t="n">
        <v>8.6037</v>
      </c>
      <c r="J104" s="15" t="n">
        <v>1</v>
      </c>
      <c r="K104" s="15" t="n">
        <v>503</v>
      </c>
      <c r="L104" s="18" t="n">
        <v>21671.77</v>
      </c>
      <c r="M104" s="16" t="s">
        <v>428</v>
      </c>
      <c r="N104" s="17" t="n">
        <v>8.6037</v>
      </c>
      <c r="O104" s="15" t="s">
        <v>1506</v>
      </c>
      <c r="P104" s="15" t="s">
        <v>1672</v>
      </c>
      <c r="Q104" s="16" t="s">
        <v>1508</v>
      </c>
      <c r="R104" s="32" t="s">
        <v>1741</v>
      </c>
      <c r="S104" s="37" t="n">
        <f aca="false">IFERROR(INDEX('Injectable Value'!$Z$28:$Z$178,MATCH($C104,'Injectable Value'!$A$28:$A$178,0)),"")</f>
        <v>0.162389770723104</v>
      </c>
      <c r="T104" s="18" t="n">
        <f aca="false">IFERROR(ROUND(INDEX('Injectable Value'!$AA$28:$AA$178,MATCH($C104,'Injectable Value'!$A$28:$A$178,0)),1),"")</f>
        <v>3519.3</v>
      </c>
      <c r="U104" s="16" t="s">
        <v>433</v>
      </c>
      <c r="V104" s="15" t="n">
        <v>1</v>
      </c>
      <c r="W104" s="15" t="s">
        <v>429</v>
      </c>
      <c r="X104" s="15" t="s">
        <v>248</v>
      </c>
      <c r="Y104" s="15" t="s">
        <v>249</v>
      </c>
      <c r="Z104" s="16" t="str">
        <f aca="false">IFERROR(INDEX(Scoring!$K:$K,MATCH($C104&amp;"|"&amp;$E104,Scoring!$U:$U,0)),"")</f>
        <v/>
      </c>
      <c r="AA104" s="15" t="str">
        <f aca="false">IFERROR(INDEX(Scoring!$Q:$Q,MATCH($C104&amp;"|"&amp;$E104,Scoring!$U:$U,0)),"")</f>
        <v>Priority 3</v>
      </c>
      <c r="AB104" s="15" t="str">
        <f aca="false">IFERROR(INDEX(Scoring!$AK:$AK,MATCH($C104&amp;"|"&amp;$E104,Scoring!$U:$U,0)),"")</f>
        <v>Priority 2</v>
      </c>
      <c r="AC104" s="18" t="n">
        <f aca="false">IFERROR(INDEX(Scoring!$M:$M,MATCH($C104&amp;"|"&amp;$E104,Scoring!$U:$U,0)),"")</f>
        <v>82</v>
      </c>
      <c r="AD104" s="15" t="str">
        <f aca="false">IFERROR(INDEX('Route of Administration'!$C$5:$C$155,MATCH($C104,'Route of Administration'!$A$5:$A$155,0)),"")</f>
        <v>IV, IM</v>
      </c>
      <c r="AE104" s="14" t="str">
        <f aca="false">IFERROR(INDEX('Route of Administration'!$D$5:$D$155,MATCH($C104,'Route of Administration'!$A$5:$A$155,0)),"")</f>
        <v>Yes</v>
      </c>
    </row>
    <row r="105" customFormat="false" ht="28.35" hidden="false" customHeight="false" outlineLevel="0" collapsed="false">
      <c r="B105" s="15" t="n">
        <v>103</v>
      </c>
      <c r="C105" s="15" t="s">
        <v>510</v>
      </c>
      <c r="D105" s="15" t="s">
        <v>510</v>
      </c>
      <c r="E105" s="15" t="s">
        <v>286</v>
      </c>
      <c r="F105" s="15" t="s">
        <v>1658</v>
      </c>
      <c r="G105" s="16" t="s">
        <v>1754</v>
      </c>
      <c r="H105" s="15" t="s">
        <v>1505</v>
      </c>
      <c r="I105" s="17" t="n">
        <v>3979.598</v>
      </c>
      <c r="J105" s="15" t="n">
        <v>1</v>
      </c>
      <c r="K105" s="15" t="n">
        <v>47</v>
      </c>
      <c r="L105" s="18" t="n">
        <v>7904.67</v>
      </c>
      <c r="M105" s="16" t="s">
        <v>511</v>
      </c>
      <c r="N105" s="17" t="n">
        <v>3979.598</v>
      </c>
      <c r="O105" s="15" t="s">
        <v>1506</v>
      </c>
      <c r="P105" s="15" t="s">
        <v>1672</v>
      </c>
      <c r="Q105" s="16" t="s">
        <v>1508</v>
      </c>
      <c r="R105" s="32" t="s">
        <v>1741</v>
      </c>
      <c r="S105" s="37" t="n">
        <f aca="false">IFERROR(INDEX('Injectable Value'!$Z$28:$Z$178,MATCH($C105,'Injectable Value'!$A$28:$A$178,0)),"")</f>
        <v>1</v>
      </c>
      <c r="T105" s="18" t="n">
        <f aca="false">IFERROR(ROUND(INDEX('Injectable Value'!$AA$28:$AA$178,MATCH($C105,'Injectable Value'!$A$28:$A$178,0)),1),"")</f>
        <v>7904.7</v>
      </c>
      <c r="U105" s="16" t="s">
        <v>516</v>
      </c>
      <c r="V105" s="15" t="n">
        <v>10</v>
      </c>
      <c r="W105" s="15" t="s">
        <v>512</v>
      </c>
      <c r="X105" s="15" t="s">
        <v>248</v>
      </c>
      <c r="Y105" s="15" t="s">
        <v>249</v>
      </c>
      <c r="Z105" s="16" t="str">
        <f aca="false">IFERROR(INDEX(Scoring!$K:$K,MATCH($C105&amp;"|"&amp;$E105,Scoring!$U:$U,0)),"")</f>
        <v/>
      </c>
      <c r="AA105" s="15" t="str">
        <f aca="false">IFERROR(INDEX(Scoring!$Q:$Q,MATCH($C105&amp;"|"&amp;$E105,Scoring!$U:$U,0)),"")</f>
        <v>Priority 2</v>
      </c>
      <c r="AB105" s="15" t="str">
        <f aca="false">IFERROR(INDEX(Scoring!$AK:$AK,MATCH($C105&amp;"|"&amp;$E105,Scoring!$U:$U,0)),"")</f>
        <v>Priority 2</v>
      </c>
      <c r="AC105" s="18" t="n">
        <f aca="false">IFERROR(INDEX(Scoring!$M:$M,MATCH($C105&amp;"|"&amp;$E105,Scoring!$U:$U,0)),"")</f>
        <v>47</v>
      </c>
      <c r="AD105" s="15" t="str">
        <f aca="false">IFERROR(INDEX('Route of Administration'!$C$5:$C$155,MATCH($C105,'Route of Administration'!$A$5:$A$155,0)),"")</f>
        <v>SC</v>
      </c>
      <c r="AE105" s="14" t="str">
        <f aca="false">IFERROR(INDEX('Route of Administration'!$D$5:$D$155,MATCH($C105,'Route of Administration'!$A$5:$A$155,0)),"")</f>
        <v>Yes</v>
      </c>
    </row>
    <row r="106" customFormat="false" ht="28.35" hidden="false" customHeight="false" outlineLevel="0" collapsed="false">
      <c r="B106" s="15" t="n">
        <v>104</v>
      </c>
      <c r="C106" s="15" t="s">
        <v>487</v>
      </c>
      <c r="D106" s="15" t="s">
        <v>1755</v>
      </c>
      <c r="E106" s="15" t="s">
        <v>286</v>
      </c>
      <c r="F106" s="15" t="s">
        <v>1667</v>
      </c>
      <c r="G106" s="16" t="s">
        <v>1756</v>
      </c>
      <c r="H106" s="15" t="s">
        <v>1505</v>
      </c>
      <c r="I106" s="17" t="n">
        <v>9.67456</v>
      </c>
      <c r="J106" s="15" t="n">
        <v>1</v>
      </c>
      <c r="K106" s="15" t="n">
        <v>2546</v>
      </c>
      <c r="L106" s="18" t="n">
        <v>46507.62</v>
      </c>
      <c r="M106" s="16" t="s">
        <v>488</v>
      </c>
      <c r="N106" s="17" t="n">
        <v>9.67456</v>
      </c>
      <c r="O106" s="15" t="s">
        <v>1506</v>
      </c>
      <c r="P106" s="15" t="s">
        <v>1507</v>
      </c>
      <c r="Q106" s="16" t="s">
        <v>1508</v>
      </c>
      <c r="R106" s="32" t="s">
        <v>1741</v>
      </c>
      <c r="S106" s="37" t="n">
        <f aca="false">IFERROR(INDEX('Injectable Value'!$Z$28:$Z$178,MATCH($C106,'Injectable Value'!$A$28:$A$178,0)),"")</f>
        <v>0.378228374732698</v>
      </c>
      <c r="T106" s="18" t="n">
        <f aca="false">IFERROR(ROUND(INDEX('Injectable Value'!$AA$28:$AA$178,MATCH($C106,'Injectable Value'!$A$28:$A$178,0)),1),"")</f>
        <v>17590.5</v>
      </c>
      <c r="U106" s="16" t="s">
        <v>493</v>
      </c>
      <c r="V106" s="15" t="n">
        <v>10</v>
      </c>
      <c r="W106" s="15" t="s">
        <v>489</v>
      </c>
      <c r="X106" s="15" t="s">
        <v>248</v>
      </c>
      <c r="Y106" s="15" t="s">
        <v>249</v>
      </c>
      <c r="Z106" s="16" t="str">
        <f aca="false">IFERROR(INDEX(Scoring!$K:$K,MATCH($C106&amp;"|"&amp;$E106,Scoring!$U:$U,0)),"")</f>
        <v/>
      </c>
      <c r="AA106" s="15" t="str">
        <f aca="false">IFERROR(INDEX(Scoring!$Q:$Q,MATCH($C106&amp;"|"&amp;$E106,Scoring!$U:$U,0)),"")</f>
        <v>Priority 2</v>
      </c>
      <c r="AB106" s="15" t="str">
        <f aca="false">IFERROR(INDEX(Scoring!$AK:$AK,MATCH($C106&amp;"|"&amp;$E106,Scoring!$U:$U,0)),"")</f>
        <v>Priority 2</v>
      </c>
      <c r="AC106" s="18" t="n">
        <f aca="false">IFERROR(INDEX(Scoring!$M:$M,MATCH($C106&amp;"|"&amp;$E106,Scoring!$U:$U,0)),"")</f>
        <v>963</v>
      </c>
      <c r="AD106" s="15" t="str">
        <f aca="false">IFERROR(INDEX('Route of Administration'!$C$5:$C$155,MATCH($C106,'Route of Administration'!$A$5:$A$155,0)),"")</f>
        <v>IV, IM</v>
      </c>
      <c r="AE106" s="14" t="str">
        <f aca="false">IFERROR(INDEX('Route of Administration'!$D$5:$D$155,MATCH($C106,'Route of Administration'!$A$5:$A$155,0)),"")</f>
        <v>Yes</v>
      </c>
    </row>
    <row r="107" customFormat="false" ht="41.75" hidden="false" customHeight="false" outlineLevel="0" collapsed="false">
      <c r="B107" s="15" t="n">
        <v>105</v>
      </c>
      <c r="C107" s="15" t="s">
        <v>401</v>
      </c>
      <c r="D107" s="15" t="s">
        <v>406</v>
      </c>
      <c r="E107" s="15" t="s">
        <v>286</v>
      </c>
      <c r="F107" s="15" t="s">
        <v>1757</v>
      </c>
      <c r="G107" s="16" t="s">
        <v>1758</v>
      </c>
      <c r="H107" s="15" t="s">
        <v>1505</v>
      </c>
      <c r="I107" s="17"/>
      <c r="J107" s="15" t="n">
        <v>1</v>
      </c>
      <c r="K107" s="15" t="n">
        <v>347</v>
      </c>
      <c r="L107" s="18" t="n">
        <v>18803.98</v>
      </c>
      <c r="M107" s="16" t="s">
        <v>402</v>
      </c>
      <c r="N107" s="38" t="n">
        <v>3.31</v>
      </c>
      <c r="O107" s="22" t="s">
        <v>1513</v>
      </c>
      <c r="P107" s="15" t="s">
        <v>1507</v>
      </c>
      <c r="Q107" s="16" t="s">
        <v>1759</v>
      </c>
      <c r="R107" s="32" t="s">
        <v>1760</v>
      </c>
      <c r="S107" s="37" t="n">
        <f aca="false">IFERROR(INDEX('Injectable Value'!$Z$28:$Z$178,MATCH($C107,'Injectable Value'!$A$28:$A$178,0)),"")</f>
        <v>0.334376150165624</v>
      </c>
      <c r="T107" s="18" t="n">
        <f aca="false">IFERROR(ROUND(INDEX('Injectable Value'!$AA$28:$AA$178,MATCH($C107,'Injectable Value'!$A$28:$A$178,0)),1),"")</f>
        <v>6287.6</v>
      </c>
      <c r="U107" s="16" t="s">
        <v>407</v>
      </c>
      <c r="V107" s="15" t="n">
        <v>8</v>
      </c>
      <c r="W107" s="15" t="s">
        <v>403</v>
      </c>
      <c r="X107" s="15" t="s">
        <v>248</v>
      </c>
      <c r="Y107" s="15" t="s">
        <v>299</v>
      </c>
      <c r="Z107" s="16" t="str">
        <f aca="false">IFERROR(INDEX(Scoring!$K:$K,MATCH($C107&amp;"|"&amp;$E107,Scoring!$U:$U,0)),"")</f>
        <v>Reconstitution</v>
      </c>
      <c r="AA107" s="15" t="str">
        <f aca="false">IFERROR(INDEX(Scoring!$Q:$Q,MATCH($C107&amp;"|"&amp;$E107,Scoring!$U:$U,0)),"")</f>
        <v>Excluded – price ≤ $5</v>
      </c>
      <c r="AB107" s="15" t="str">
        <f aca="false">IFERROR(INDEX(Scoring!$AK:$AK,MATCH($C107&amp;"|"&amp;$E107,Scoring!$U:$U,0)),"")</f>
        <v>Excluded – price ≤ $5</v>
      </c>
      <c r="AC107" s="18" t="n">
        <f aca="false">IFERROR(INDEX(Scoring!$M:$M,MATCH($C107&amp;"|"&amp;$E107,Scoring!$U:$U,0)),"")</f>
        <v>116</v>
      </c>
      <c r="AD107" s="15" t="str">
        <f aca="false">IFERROR(INDEX('Route of Administration'!$C$5:$C$155,MATCH($C107,'Route of Administration'!$A$5:$A$155,0)),"")</f>
        <v>IV, IM (also intra-articular, intrapleural)</v>
      </c>
      <c r="AE107" s="14" t="str">
        <f aca="false">IFERROR(INDEX('Route of Administration'!$D$5:$D$155,MATCH($C107,'Route of Administration'!$A$5:$A$155,0)),"")</f>
        <v>Yes</v>
      </c>
    </row>
    <row r="108" customFormat="false" ht="41.75" hidden="false" customHeight="false" outlineLevel="0" collapsed="false">
      <c r="B108" s="15" t="n">
        <v>106</v>
      </c>
      <c r="C108" s="15" t="s">
        <v>401</v>
      </c>
      <c r="D108" s="15" t="s">
        <v>406</v>
      </c>
      <c r="E108" s="15" t="s">
        <v>286</v>
      </c>
      <c r="F108" s="15" t="s">
        <v>1761</v>
      </c>
      <c r="G108" s="16" t="s">
        <v>1762</v>
      </c>
      <c r="H108" s="15" t="s">
        <v>1505</v>
      </c>
      <c r="I108" s="17"/>
      <c r="J108" s="15" t="n">
        <v>1</v>
      </c>
      <c r="K108" s="15" t="n">
        <v>347</v>
      </c>
      <c r="L108" s="18" t="n">
        <v>18803.98</v>
      </c>
      <c r="M108" s="16" t="s">
        <v>402</v>
      </c>
      <c r="N108" s="38" t="n">
        <v>3.33</v>
      </c>
      <c r="O108" s="22" t="s">
        <v>1513</v>
      </c>
      <c r="P108" s="15" t="s">
        <v>1533</v>
      </c>
      <c r="Q108" s="16" t="s">
        <v>1763</v>
      </c>
      <c r="R108" s="32" t="s">
        <v>1673</v>
      </c>
      <c r="S108" s="37" t="n">
        <f aca="false">IFERROR(INDEX('Injectable Value'!$Z$28:$Z$178,MATCH($C108,'Injectable Value'!$A$28:$A$178,0)),"")</f>
        <v>0.334376150165624</v>
      </c>
      <c r="T108" s="18" t="n">
        <f aca="false">IFERROR(ROUND(INDEX('Injectable Value'!$AA$28:$AA$178,MATCH($C108,'Injectable Value'!$A$28:$A$178,0)),1),"")</f>
        <v>6287.6</v>
      </c>
      <c r="U108" s="16" t="s">
        <v>407</v>
      </c>
      <c r="V108" s="15" t="n">
        <v>8</v>
      </c>
      <c r="W108" s="15" t="s">
        <v>403</v>
      </c>
      <c r="X108" s="15" t="s">
        <v>248</v>
      </c>
      <c r="Y108" s="15" t="s">
        <v>299</v>
      </c>
      <c r="Z108" s="16" t="str">
        <f aca="false">IFERROR(INDEX(Scoring!$K:$K,MATCH($C108&amp;"|"&amp;$E108,Scoring!$U:$U,0)),"")</f>
        <v>Reconstitution</v>
      </c>
      <c r="AA108" s="15" t="str">
        <f aca="false">IFERROR(INDEX(Scoring!$Q:$Q,MATCH($C108&amp;"|"&amp;$E108,Scoring!$U:$U,0)),"")</f>
        <v>Excluded – price ≤ $5</v>
      </c>
      <c r="AB108" s="15" t="str">
        <f aca="false">IFERROR(INDEX(Scoring!$AK:$AK,MATCH($C108&amp;"|"&amp;$E108,Scoring!$U:$U,0)),"")</f>
        <v>Excluded – price ≤ $5</v>
      </c>
      <c r="AC108" s="18" t="n">
        <f aca="false">IFERROR(INDEX(Scoring!$M:$M,MATCH($C108&amp;"|"&amp;$E108,Scoring!$U:$U,0)),"")</f>
        <v>116</v>
      </c>
      <c r="AD108" s="15" t="str">
        <f aca="false">IFERROR(INDEX('Route of Administration'!$C$5:$C$155,MATCH($C108,'Route of Administration'!$A$5:$A$155,0)),"")</f>
        <v>IV, IM (also intra-articular, intrapleural)</v>
      </c>
      <c r="AE108" s="14" t="str">
        <f aca="false">IFERROR(INDEX('Route of Administration'!$D$5:$D$155,MATCH($C108,'Route of Administration'!$A$5:$A$155,0)),"")</f>
        <v>Yes</v>
      </c>
    </row>
    <row r="109" customFormat="false" ht="28.35" hidden="false" customHeight="false" outlineLevel="0" collapsed="false">
      <c r="B109" s="15" t="n">
        <v>107</v>
      </c>
      <c r="C109" s="15" t="s">
        <v>401</v>
      </c>
      <c r="D109" s="15" t="s">
        <v>406</v>
      </c>
      <c r="E109" s="15" t="s">
        <v>286</v>
      </c>
      <c r="F109" s="15" t="s">
        <v>1764</v>
      </c>
      <c r="G109" s="16" t="s">
        <v>1765</v>
      </c>
      <c r="H109" s="15" t="s">
        <v>1505</v>
      </c>
      <c r="I109" s="17"/>
      <c r="J109" s="15" t="n">
        <v>1</v>
      </c>
      <c r="K109" s="15" t="n">
        <v>347</v>
      </c>
      <c r="L109" s="18" t="n">
        <v>18803.98</v>
      </c>
      <c r="M109" s="16" t="s">
        <v>402</v>
      </c>
      <c r="N109" s="17"/>
      <c r="O109" s="15" t="s">
        <v>1545</v>
      </c>
      <c r="P109" s="15" t="s">
        <v>70</v>
      </c>
      <c r="Q109" s="16" t="s">
        <v>70</v>
      </c>
      <c r="R109" s="15"/>
      <c r="S109" s="37" t="n">
        <f aca="false">IFERROR(INDEX('Injectable Value'!$Z$28:$Z$178,MATCH($C109,'Injectable Value'!$A$28:$A$178,0)),"")</f>
        <v>0.334376150165624</v>
      </c>
      <c r="T109" s="18" t="n">
        <f aca="false">IFERROR(ROUND(INDEX('Injectable Value'!$AA$28:$AA$178,MATCH($C109,'Injectable Value'!$A$28:$A$178,0)),1),"")</f>
        <v>6287.6</v>
      </c>
      <c r="U109" s="16" t="s">
        <v>407</v>
      </c>
      <c r="V109" s="15" t="n">
        <v>8</v>
      </c>
      <c r="W109" s="15" t="s">
        <v>403</v>
      </c>
      <c r="X109" s="15" t="s">
        <v>248</v>
      </c>
      <c r="Y109" s="15" t="s">
        <v>299</v>
      </c>
      <c r="Z109" s="16" t="str">
        <f aca="false">IFERROR(INDEX(Scoring!$K:$K,MATCH($C109&amp;"|"&amp;$E109,Scoring!$U:$U,0)),"")</f>
        <v>Reconstitution</v>
      </c>
      <c r="AA109" s="15" t="str">
        <f aca="false">IFERROR(INDEX(Scoring!$Q:$Q,MATCH($C109&amp;"|"&amp;$E109,Scoring!$U:$U,0)),"")</f>
        <v>Excluded – price ≤ $5</v>
      </c>
      <c r="AB109" s="15" t="str">
        <f aca="false">IFERROR(INDEX(Scoring!$AK:$AK,MATCH($C109&amp;"|"&amp;$E109,Scoring!$U:$U,0)),"")</f>
        <v>Excluded – price ≤ $5</v>
      </c>
      <c r="AC109" s="18" t="n">
        <f aca="false">IFERROR(INDEX(Scoring!$M:$M,MATCH($C109&amp;"|"&amp;$E109,Scoring!$U:$U,0)),"")</f>
        <v>116</v>
      </c>
      <c r="AD109" s="15" t="str">
        <f aca="false">IFERROR(INDEX('Route of Administration'!$C$5:$C$155,MATCH($C109,'Route of Administration'!$A$5:$A$155,0)),"")</f>
        <v>IV, IM (also intra-articular, intrapleural)</v>
      </c>
      <c r="AE109" s="14" t="str">
        <f aca="false">IFERROR(INDEX('Route of Administration'!$D$5:$D$155,MATCH($C109,'Route of Administration'!$A$5:$A$155,0)),"")</f>
        <v>Yes</v>
      </c>
    </row>
    <row r="110" customFormat="false" ht="28.35" hidden="false" customHeight="false" outlineLevel="0" collapsed="false">
      <c r="B110" s="15" t="n">
        <v>108</v>
      </c>
      <c r="C110" s="15" t="s">
        <v>262</v>
      </c>
      <c r="D110" s="15" t="s">
        <v>1766</v>
      </c>
      <c r="E110" s="15" t="s">
        <v>286</v>
      </c>
      <c r="F110" s="15" t="s">
        <v>1767</v>
      </c>
      <c r="G110" s="16" t="s">
        <v>1768</v>
      </c>
      <c r="H110" s="15" t="s">
        <v>1512</v>
      </c>
      <c r="I110" s="17" t="n">
        <v>47.11</v>
      </c>
      <c r="J110" s="15" t="n">
        <v>1</v>
      </c>
      <c r="K110" s="15" t="n">
        <v>146</v>
      </c>
      <c r="L110" s="18" t="n">
        <v>11366.06</v>
      </c>
      <c r="M110" s="16" t="s">
        <v>263</v>
      </c>
      <c r="N110" s="17" t="n">
        <v>47.11</v>
      </c>
      <c r="O110" s="15" t="s">
        <v>1506</v>
      </c>
      <c r="P110" s="15" t="s">
        <v>1507</v>
      </c>
      <c r="Q110" s="16" t="s">
        <v>1508</v>
      </c>
      <c r="R110" s="32" t="s">
        <v>1769</v>
      </c>
      <c r="S110" s="37" t="n">
        <f aca="false">IFERROR(INDEX('Injectable Value'!$Z$28:$Z$178,MATCH($C110,'Injectable Value'!$A$28:$A$178,0)),"")</f>
        <v>1</v>
      </c>
      <c r="T110" s="18" t="n">
        <f aca="false">IFERROR(ROUND(INDEX('Injectable Value'!$AA$28:$AA$178,MATCH($C110,'Injectable Value'!$A$28:$A$178,0)),1),"")</f>
        <v>11366.1</v>
      </c>
      <c r="U110" s="16" t="s">
        <v>425</v>
      </c>
      <c r="V110" s="15" t="n">
        <v>10</v>
      </c>
      <c r="W110" s="15" t="s">
        <v>423</v>
      </c>
      <c r="X110" s="15" t="s">
        <v>258</v>
      </c>
      <c r="Y110" s="15" t="s">
        <v>249</v>
      </c>
      <c r="Z110" s="16" t="str">
        <f aca="false">IFERROR(INDEX(Scoring!$K:$K,MATCH($C110&amp;"|"&amp;$E110,Scoring!$U:$U,0)),"")</f>
        <v>Prefilled only</v>
      </c>
      <c r="AA110" s="15" t="str">
        <f aca="false">IFERROR(INDEX(Scoring!$Q:$Q,MATCH($C110&amp;"|"&amp;$E110,Scoring!$U:$U,0)),"")</f>
        <v>Priority 1</v>
      </c>
      <c r="AB110" s="15" t="str">
        <f aca="false">IFERROR(INDEX(Scoring!$AK:$AK,MATCH($C110&amp;"|"&amp;$E110,Scoring!$U:$U,0)),"")</f>
        <v>Priority 2</v>
      </c>
      <c r="AC110" s="18" t="n">
        <f aca="false">IFERROR(INDEX(Scoring!$M:$M,MATCH($C110&amp;"|"&amp;$E110,Scoring!$U:$U,0)),"")</f>
        <v>146</v>
      </c>
      <c r="AD110" s="15" t="str">
        <f aca="false">IFERROR(INDEX('Route of Administration'!$C$5:$C$155,MATCH($C110,'Route of Administration'!$A$5:$A$155,0)),"")</f>
        <v>IM</v>
      </c>
      <c r="AE110" s="14" t="str">
        <f aca="false">IFERROR(INDEX('Route of Administration'!$D$5:$D$155,MATCH($C110,'Route of Administration'!$A$5:$A$155,0)),"")</f>
        <v>Yes</v>
      </c>
    </row>
    <row r="111" customFormat="false" ht="28.35" hidden="false" customHeight="false" outlineLevel="0" collapsed="false">
      <c r="B111" s="15" t="n">
        <v>109</v>
      </c>
      <c r="C111" s="15" t="s">
        <v>296</v>
      </c>
      <c r="D111" s="15" t="s">
        <v>1770</v>
      </c>
      <c r="E111" s="15" t="s">
        <v>286</v>
      </c>
      <c r="F111" s="15" t="s">
        <v>1771</v>
      </c>
      <c r="G111" s="16" t="s">
        <v>1772</v>
      </c>
      <c r="H111" s="15" t="s">
        <v>1505</v>
      </c>
      <c r="I111" s="17" t="n">
        <v>10.241</v>
      </c>
      <c r="J111" s="15" t="n">
        <v>1</v>
      </c>
      <c r="K111" s="15" t="n">
        <v>762</v>
      </c>
      <c r="L111" s="18" t="n">
        <v>50865.56</v>
      </c>
      <c r="M111" s="16" t="s">
        <v>297</v>
      </c>
      <c r="N111" s="17" t="n">
        <v>10.241</v>
      </c>
      <c r="O111" s="15" t="s">
        <v>1506</v>
      </c>
      <c r="P111" s="15" t="s">
        <v>1507</v>
      </c>
      <c r="Q111" s="16" t="s">
        <v>1508</v>
      </c>
      <c r="R111" s="32" t="s">
        <v>1769</v>
      </c>
      <c r="S111" s="37" t="n">
        <f aca="false">IFERROR(INDEX('Injectable Value'!$Z$28:$Z$178,MATCH($C111,'Injectable Value'!$A$28:$A$178,0)),"")</f>
        <v>0.829278792417718</v>
      </c>
      <c r="T111" s="18" t="n">
        <f aca="false">IFERROR(ROUND(INDEX('Injectable Value'!$AA$28:$AA$178,MATCH($C111,'Injectable Value'!$A$28:$A$178,0)),1),"")</f>
        <v>42181.7</v>
      </c>
      <c r="U111" s="16" t="s">
        <v>303</v>
      </c>
      <c r="V111" s="15" t="n">
        <v>11</v>
      </c>
      <c r="W111" s="15" t="s">
        <v>298</v>
      </c>
      <c r="X111" s="15" t="s">
        <v>248</v>
      </c>
      <c r="Y111" s="15" t="s">
        <v>299</v>
      </c>
      <c r="Z111" s="16" t="str">
        <f aca="false">IFERROR(INDEX(Scoring!$K:$K,MATCH($C111&amp;"|"&amp;$E111,Scoring!$U:$U,0)),"")</f>
        <v>Cancer drug (cytotoxic) – less relevant; Reconstitution</v>
      </c>
      <c r="AA111" s="15" t="str">
        <f aca="false">IFERROR(INDEX(Scoring!$Q:$Q,MATCH($C111&amp;"|"&amp;$E111,Scoring!$U:$U,0)),"")</f>
        <v>Priority 1</v>
      </c>
      <c r="AB111" s="15" t="str">
        <f aca="false">IFERROR(INDEX(Scoring!$AK:$AK,MATCH($C111&amp;"|"&amp;$E111,Scoring!$U:$U,0)),"")</f>
        <v>Priority 1</v>
      </c>
      <c r="AC111" s="18" t="n">
        <f aca="false">IFERROR(INDEX(Scoring!$M:$M,MATCH($C111&amp;"|"&amp;$E111,Scoring!$U:$U,0)),"")</f>
        <v>632</v>
      </c>
      <c r="AD111" s="15" t="str">
        <f aca="false">IFERROR(INDEX('Route of Administration'!$C$5:$C$155,MATCH($C111,'Route of Administration'!$A$5:$A$155,0)),"")</f>
        <v>IV, SC</v>
      </c>
      <c r="AE111" s="14" t="str">
        <f aca="false">IFERROR(INDEX('Route of Administration'!$D$5:$D$155,MATCH($C111,'Route of Administration'!$A$5:$A$155,0)),"")</f>
        <v>Yes</v>
      </c>
    </row>
    <row r="112" customFormat="false" ht="28.35" hidden="false" customHeight="false" outlineLevel="0" collapsed="false">
      <c r="B112" s="15" t="n">
        <v>110</v>
      </c>
      <c r="C112" s="15" t="s">
        <v>305</v>
      </c>
      <c r="D112" s="15" t="s">
        <v>1773</v>
      </c>
      <c r="E112" s="15" t="s">
        <v>286</v>
      </c>
      <c r="F112" s="15" t="s">
        <v>1774</v>
      </c>
      <c r="G112" s="16" t="s">
        <v>1775</v>
      </c>
      <c r="H112" s="15" t="s">
        <v>1505</v>
      </c>
      <c r="I112" s="17" t="n">
        <v>14.329</v>
      </c>
      <c r="J112" s="15" t="n">
        <v>1</v>
      </c>
      <c r="K112" s="15" t="n">
        <v>905</v>
      </c>
      <c r="L112" s="18" t="n">
        <v>28093.38</v>
      </c>
      <c r="M112" s="16" t="s">
        <v>306</v>
      </c>
      <c r="N112" s="17" t="n">
        <v>14.329</v>
      </c>
      <c r="O112" s="15" t="s">
        <v>1506</v>
      </c>
      <c r="P112" s="15" t="s">
        <v>1672</v>
      </c>
      <c r="Q112" s="16" t="s">
        <v>1508</v>
      </c>
      <c r="R112" s="32" t="s">
        <v>1776</v>
      </c>
      <c r="S112" s="37" t="n">
        <f aca="false">IFERROR(INDEX('Injectable Value'!$Z$28:$Z$178,MATCH($C112,'Injectable Value'!$A$28:$A$178,0)),"")</f>
        <v>1</v>
      </c>
      <c r="T112" s="18" t="n">
        <f aca="false">IFERROR(ROUND(INDEX('Injectable Value'!$AA$28:$AA$178,MATCH($C112,'Injectable Value'!$A$28:$A$178,0)),1),"")</f>
        <v>28093.4</v>
      </c>
      <c r="U112" s="16" t="s">
        <v>311</v>
      </c>
      <c r="V112" s="15" t="n">
        <v>12</v>
      </c>
      <c r="W112" s="15" t="s">
        <v>307</v>
      </c>
      <c r="X112" s="15" t="s">
        <v>248</v>
      </c>
      <c r="Y112" s="15" t="s">
        <v>299</v>
      </c>
      <c r="Z112" s="16" t="str">
        <f aca="false">IFERROR(INDEX(Scoring!$K:$K,MATCH($C112&amp;"|"&amp;$E112,Scoring!$U:$U,0)),"")</f>
        <v>Cancer drug (cytotoxic) – less relevant; Reconstitution</v>
      </c>
      <c r="AA112" s="15" t="str">
        <f aca="false">IFERROR(INDEX(Scoring!$Q:$Q,MATCH($C112&amp;"|"&amp;$E112,Scoring!$U:$U,0)),"")</f>
        <v>Priority 1</v>
      </c>
      <c r="AB112" s="15" t="str">
        <f aca="false">IFERROR(INDEX(Scoring!$AK:$AK,MATCH($C112&amp;"|"&amp;$E112,Scoring!$U:$U,0)),"")</f>
        <v>Priority 1</v>
      </c>
      <c r="AC112" s="18" t="n">
        <f aca="false">IFERROR(INDEX(Scoring!$M:$M,MATCH($C112&amp;"|"&amp;$E112,Scoring!$U:$U,0)),"")</f>
        <v>905</v>
      </c>
      <c r="AD112" s="15" t="str">
        <f aca="false">IFERROR(INDEX('Route of Administration'!$C$5:$C$155,MATCH($C112,'Route of Administration'!$A$5:$A$155,0)),"")</f>
        <v>IV, SC</v>
      </c>
      <c r="AE112" s="14" t="str">
        <f aca="false">IFERROR(INDEX('Route of Administration'!$D$5:$D$155,MATCH($C112,'Route of Administration'!$A$5:$A$155,0)),"")</f>
        <v>Yes</v>
      </c>
    </row>
    <row r="113" customFormat="false" ht="28.35" hidden="false" customHeight="false" outlineLevel="0" collapsed="false">
      <c r="B113" s="15" t="n">
        <v>111</v>
      </c>
      <c r="C113" s="15" t="s">
        <v>510</v>
      </c>
      <c r="D113" s="15" t="s">
        <v>1777</v>
      </c>
      <c r="E113" s="15" t="s">
        <v>286</v>
      </c>
      <c r="F113" s="15" t="s">
        <v>1778</v>
      </c>
      <c r="G113" s="16" t="s">
        <v>1779</v>
      </c>
      <c r="H113" s="15" t="s">
        <v>1505</v>
      </c>
      <c r="I113" s="17" t="n">
        <v>559.566</v>
      </c>
      <c r="J113" s="15" t="n">
        <v>1</v>
      </c>
      <c r="K113" s="15" t="n">
        <v>47</v>
      </c>
      <c r="L113" s="18" t="n">
        <v>7904.67</v>
      </c>
      <c r="M113" s="16" t="s">
        <v>511</v>
      </c>
      <c r="N113" s="17" t="n">
        <v>559.566</v>
      </c>
      <c r="O113" s="15" t="s">
        <v>1506</v>
      </c>
      <c r="P113" s="15" t="s">
        <v>1672</v>
      </c>
      <c r="Q113" s="16" t="s">
        <v>1508</v>
      </c>
      <c r="R113" s="32" t="s">
        <v>1780</v>
      </c>
      <c r="S113" s="37" t="n">
        <f aca="false">IFERROR(INDEX('Injectable Value'!$Z$28:$Z$178,MATCH($C113,'Injectable Value'!$A$28:$A$178,0)),"")</f>
        <v>1</v>
      </c>
      <c r="T113" s="18" t="n">
        <f aca="false">IFERROR(ROUND(INDEX('Injectable Value'!$AA$28:$AA$178,MATCH($C113,'Injectable Value'!$A$28:$A$178,0)),1),"")</f>
        <v>7904.7</v>
      </c>
      <c r="U113" s="16" t="s">
        <v>516</v>
      </c>
      <c r="V113" s="15" t="n">
        <v>10</v>
      </c>
      <c r="W113" s="15" t="s">
        <v>512</v>
      </c>
      <c r="X113" s="15" t="s">
        <v>248</v>
      </c>
      <c r="Y113" s="15" t="s">
        <v>249</v>
      </c>
      <c r="Z113" s="16" t="str">
        <f aca="false">IFERROR(INDEX(Scoring!$K:$K,MATCH($C113&amp;"|"&amp;$E113,Scoring!$U:$U,0)),"")</f>
        <v/>
      </c>
      <c r="AA113" s="15" t="str">
        <f aca="false">IFERROR(INDEX(Scoring!$Q:$Q,MATCH($C113&amp;"|"&amp;$E113,Scoring!$U:$U,0)),"")</f>
        <v>Priority 2</v>
      </c>
      <c r="AB113" s="15" t="str">
        <f aca="false">IFERROR(INDEX(Scoring!$AK:$AK,MATCH($C113&amp;"|"&amp;$E113,Scoring!$U:$U,0)),"")</f>
        <v>Priority 2</v>
      </c>
      <c r="AC113" s="18" t="n">
        <f aca="false">IFERROR(INDEX(Scoring!$M:$M,MATCH($C113&amp;"|"&amp;$E113,Scoring!$U:$U,0)),"")</f>
        <v>47</v>
      </c>
      <c r="AD113" s="15" t="str">
        <f aca="false">IFERROR(INDEX('Route of Administration'!$C$5:$C$155,MATCH($C113,'Route of Administration'!$A$5:$A$155,0)),"")</f>
        <v>SC</v>
      </c>
      <c r="AE113" s="14" t="str">
        <f aca="false">IFERROR(INDEX('Route of Administration'!$D$5:$D$155,MATCH($C113,'Route of Administration'!$A$5:$A$155,0)),"")</f>
        <v>Yes</v>
      </c>
    </row>
    <row r="114" customFormat="false" ht="28.35" hidden="false" customHeight="false" outlineLevel="0" collapsed="false">
      <c r="B114" s="15" t="n">
        <v>112</v>
      </c>
      <c r="C114" s="15" t="s">
        <v>387</v>
      </c>
      <c r="D114" s="15" t="s">
        <v>1781</v>
      </c>
      <c r="E114" s="15" t="s">
        <v>286</v>
      </c>
      <c r="F114" s="15" t="s">
        <v>1782</v>
      </c>
      <c r="G114" s="16" t="s">
        <v>1783</v>
      </c>
      <c r="H114" s="15" t="s">
        <v>1505</v>
      </c>
      <c r="I114" s="17" t="n">
        <v>18.86</v>
      </c>
      <c r="J114" s="15" t="n">
        <v>1</v>
      </c>
      <c r="K114" s="15" t="n">
        <v>223</v>
      </c>
      <c r="L114" s="18" t="n">
        <v>53539.87</v>
      </c>
      <c r="M114" s="16" t="s">
        <v>388</v>
      </c>
      <c r="N114" s="17" t="n">
        <v>18.86</v>
      </c>
      <c r="O114" s="15" t="s">
        <v>1506</v>
      </c>
      <c r="P114" s="15" t="s">
        <v>1672</v>
      </c>
      <c r="Q114" s="16" t="s">
        <v>1508</v>
      </c>
      <c r="R114" s="32" t="s">
        <v>1784</v>
      </c>
      <c r="S114" s="37" t="n">
        <f aca="false">IFERROR(INDEX('Injectable Value'!$Z$28:$Z$178,MATCH($C114,'Injectable Value'!$A$28:$A$178,0)),"")</f>
        <v>1</v>
      </c>
      <c r="T114" s="18" t="n">
        <f aca="false">IFERROR(ROUND(INDEX('Injectable Value'!$AA$28:$AA$178,MATCH($C114,'Injectable Value'!$A$28:$A$178,0)),1),"")</f>
        <v>53539.9</v>
      </c>
      <c r="U114" s="16" t="s">
        <v>393</v>
      </c>
      <c r="V114" s="15" t="n">
        <v>10</v>
      </c>
      <c r="W114" s="15" t="s">
        <v>389</v>
      </c>
      <c r="X114" s="15" t="s">
        <v>248</v>
      </c>
      <c r="Y114" s="15" t="s">
        <v>324</v>
      </c>
      <c r="Z114" s="16" t="str">
        <f aca="false">IFERROR(INDEX(Scoring!$K:$K,MATCH($C114&amp;"|"&amp;$E114,Scoring!$U:$U,0)),"")</f>
        <v>Reconstitution</v>
      </c>
      <c r="AA114" s="15" t="str">
        <f aca="false">IFERROR(INDEX(Scoring!$Q:$Q,MATCH($C114&amp;"|"&amp;$E114,Scoring!$U:$U,0)),"")</f>
        <v>Priority 1</v>
      </c>
      <c r="AB114" s="15" t="str">
        <f aca="false">IFERROR(INDEX(Scoring!$AK:$AK,MATCH($C114&amp;"|"&amp;$E114,Scoring!$U:$U,0)),"")</f>
        <v>Priority 2</v>
      </c>
      <c r="AC114" s="18" t="n">
        <f aca="false">IFERROR(INDEX(Scoring!$M:$M,MATCH($C114&amp;"|"&amp;$E114,Scoring!$U:$U,0)),"")</f>
        <v>223</v>
      </c>
      <c r="AD114" s="15" t="str">
        <f aca="false">IFERROR(INDEX('Route of Administration'!$C$5:$C$155,MATCH($C114,'Route of Administration'!$A$5:$A$155,0)),"")</f>
        <v>IV, IM</v>
      </c>
      <c r="AE114" s="14" t="str">
        <f aca="false">IFERROR(INDEX('Route of Administration'!$D$5:$D$155,MATCH($C114,'Route of Administration'!$A$5:$A$155,0)),"")</f>
        <v>Yes</v>
      </c>
    </row>
    <row r="115" customFormat="false" ht="28.35" hidden="false" customHeight="false" outlineLevel="0" collapsed="false">
      <c r="B115" s="15" t="n">
        <v>113</v>
      </c>
      <c r="C115" s="15" t="s">
        <v>387</v>
      </c>
      <c r="D115" s="15" t="s">
        <v>1781</v>
      </c>
      <c r="E115" s="15" t="s">
        <v>286</v>
      </c>
      <c r="F115" s="15" t="s">
        <v>1782</v>
      </c>
      <c r="G115" s="16" t="s">
        <v>1785</v>
      </c>
      <c r="H115" s="15" t="s">
        <v>1505</v>
      </c>
      <c r="I115" s="17" t="n">
        <v>18.86</v>
      </c>
      <c r="J115" s="15" t="n">
        <v>1</v>
      </c>
      <c r="K115" s="15" t="n">
        <v>223</v>
      </c>
      <c r="L115" s="18" t="n">
        <v>53539.87</v>
      </c>
      <c r="M115" s="16" t="s">
        <v>388</v>
      </c>
      <c r="N115" s="17" t="n">
        <v>18.86</v>
      </c>
      <c r="O115" s="15" t="s">
        <v>1506</v>
      </c>
      <c r="P115" s="15" t="s">
        <v>1672</v>
      </c>
      <c r="Q115" s="16" t="s">
        <v>1508</v>
      </c>
      <c r="R115" s="32" t="s">
        <v>1784</v>
      </c>
      <c r="S115" s="37" t="n">
        <f aca="false">IFERROR(INDEX('Injectable Value'!$Z$28:$Z$178,MATCH($C115,'Injectable Value'!$A$28:$A$178,0)),"")</f>
        <v>1</v>
      </c>
      <c r="T115" s="18" t="n">
        <f aca="false">IFERROR(ROUND(INDEX('Injectable Value'!$AA$28:$AA$178,MATCH($C115,'Injectable Value'!$A$28:$A$178,0)),1),"")</f>
        <v>53539.9</v>
      </c>
      <c r="U115" s="16" t="s">
        <v>393</v>
      </c>
      <c r="V115" s="15" t="n">
        <v>10</v>
      </c>
      <c r="W115" s="15" t="s">
        <v>389</v>
      </c>
      <c r="X115" s="15" t="s">
        <v>248</v>
      </c>
      <c r="Y115" s="15" t="s">
        <v>324</v>
      </c>
      <c r="Z115" s="16" t="str">
        <f aca="false">IFERROR(INDEX(Scoring!$K:$K,MATCH($C115&amp;"|"&amp;$E115,Scoring!$U:$U,0)),"")</f>
        <v>Reconstitution</v>
      </c>
      <c r="AA115" s="15" t="str">
        <f aca="false">IFERROR(INDEX(Scoring!$Q:$Q,MATCH($C115&amp;"|"&amp;$E115,Scoring!$U:$U,0)),"")</f>
        <v>Priority 1</v>
      </c>
      <c r="AB115" s="15" t="str">
        <f aca="false">IFERROR(INDEX(Scoring!$AK:$AK,MATCH($C115&amp;"|"&amp;$E115,Scoring!$U:$U,0)),"")</f>
        <v>Priority 2</v>
      </c>
      <c r="AC115" s="18" t="n">
        <f aca="false">IFERROR(INDEX(Scoring!$M:$M,MATCH($C115&amp;"|"&amp;$E115,Scoring!$U:$U,0)),"")</f>
        <v>223</v>
      </c>
      <c r="AD115" s="15" t="str">
        <f aca="false">IFERROR(INDEX('Route of Administration'!$C$5:$C$155,MATCH($C115,'Route of Administration'!$A$5:$A$155,0)),"")</f>
        <v>IV, IM</v>
      </c>
      <c r="AE115" s="14" t="str">
        <f aca="false">IFERROR(INDEX('Route of Administration'!$D$5:$D$155,MATCH($C115,'Route of Administration'!$A$5:$A$155,0)),"")</f>
        <v>Yes</v>
      </c>
    </row>
    <row r="116" customFormat="false" ht="28.35" hidden="false" customHeight="false" outlineLevel="0" collapsed="false">
      <c r="B116" s="15" t="n">
        <v>114</v>
      </c>
      <c r="C116" s="15" t="s">
        <v>322</v>
      </c>
      <c r="D116" s="15" t="s">
        <v>327</v>
      </c>
      <c r="E116" s="15" t="s">
        <v>286</v>
      </c>
      <c r="F116" s="15" t="s">
        <v>1786</v>
      </c>
      <c r="G116" s="16" t="s">
        <v>1783</v>
      </c>
      <c r="H116" s="15" t="s">
        <v>1505</v>
      </c>
      <c r="I116" s="17" t="n">
        <v>5.74</v>
      </c>
      <c r="J116" s="15" t="n">
        <v>1</v>
      </c>
      <c r="K116" s="15" t="n">
        <v>290</v>
      </c>
      <c r="L116" s="18" t="n">
        <v>6348.25</v>
      </c>
      <c r="M116" s="16" t="s">
        <v>323</v>
      </c>
      <c r="N116" s="17" t="n">
        <v>5.74</v>
      </c>
      <c r="O116" s="15" t="s">
        <v>1506</v>
      </c>
      <c r="P116" s="15" t="s">
        <v>1672</v>
      </c>
      <c r="Q116" s="16" t="s">
        <v>1508</v>
      </c>
      <c r="R116" s="32" t="s">
        <v>1784</v>
      </c>
      <c r="S116" s="37" t="n">
        <f aca="false">IFERROR(INDEX('Injectable Value'!$Z$28:$Z$178,MATCH($C116,'Injectable Value'!$A$28:$A$178,0)),"")</f>
        <v>0.991596638655462</v>
      </c>
      <c r="T116" s="18" t="n">
        <f aca="false">IFERROR(ROUND(INDEX('Injectable Value'!$AA$28:$AA$178,MATCH($C116,'Injectable Value'!$A$28:$A$178,0)),1),"")</f>
        <v>6294.9</v>
      </c>
      <c r="U116" s="16" t="s">
        <v>328</v>
      </c>
      <c r="V116" s="15" t="n">
        <v>1</v>
      </c>
      <c r="W116" s="15" t="s">
        <v>70</v>
      </c>
      <c r="X116" s="15" t="s">
        <v>248</v>
      </c>
      <c r="Y116" s="15" t="s">
        <v>324</v>
      </c>
      <c r="Z116" s="16" t="str">
        <f aca="false">IFERROR(INDEX(Scoring!$K:$K,MATCH($C116&amp;"|"&amp;$E116,Scoring!$U:$U,0)),"")</f>
        <v>Reconstitution</v>
      </c>
      <c r="AA116" s="15" t="str">
        <f aca="false">IFERROR(INDEX(Scoring!$Q:$Q,MATCH($C116&amp;"|"&amp;$E116,Scoring!$U:$U,0)),"")</f>
        <v>Priority 2</v>
      </c>
      <c r="AB116" s="15" t="str">
        <f aca="false">IFERROR(INDEX(Scoring!$AK:$AK,MATCH($C116&amp;"|"&amp;$E116,Scoring!$U:$U,0)),"")</f>
        <v>Priority 2</v>
      </c>
      <c r="AC116" s="18" t="n">
        <f aca="false">IFERROR(INDEX(Scoring!$M:$M,MATCH($C116&amp;"|"&amp;$E116,Scoring!$U:$U,0)),"")</f>
        <v>288</v>
      </c>
      <c r="AD116" s="15" t="str">
        <f aca="false">IFERROR(INDEX('Route of Administration'!$C$5:$C$155,MATCH($C116,'Route of Administration'!$A$5:$A$155,0)),"")</f>
        <v>IV, IM</v>
      </c>
      <c r="AE116" s="14" t="str">
        <f aca="false">IFERROR(INDEX('Route of Administration'!$D$5:$D$155,MATCH($C116,'Route of Administration'!$A$5:$A$155,0)),"")</f>
        <v>Yes</v>
      </c>
    </row>
    <row r="117" customFormat="false" ht="28.35" hidden="false" customHeight="false" outlineLevel="0" collapsed="false">
      <c r="B117" s="15" t="n">
        <v>115</v>
      </c>
      <c r="C117" s="15" t="s">
        <v>322</v>
      </c>
      <c r="D117" s="15" t="s">
        <v>327</v>
      </c>
      <c r="E117" s="15" t="s">
        <v>286</v>
      </c>
      <c r="F117" s="15" t="s">
        <v>1786</v>
      </c>
      <c r="G117" s="16" t="s">
        <v>1785</v>
      </c>
      <c r="H117" s="15" t="s">
        <v>1505</v>
      </c>
      <c r="I117" s="17" t="n">
        <v>5.74</v>
      </c>
      <c r="J117" s="15" t="n">
        <v>1</v>
      </c>
      <c r="K117" s="15" t="n">
        <v>290</v>
      </c>
      <c r="L117" s="18" t="n">
        <v>6348.25</v>
      </c>
      <c r="M117" s="16" t="s">
        <v>323</v>
      </c>
      <c r="N117" s="17" t="n">
        <v>5.74</v>
      </c>
      <c r="O117" s="15" t="s">
        <v>1506</v>
      </c>
      <c r="P117" s="15" t="s">
        <v>1672</v>
      </c>
      <c r="Q117" s="16" t="s">
        <v>1508</v>
      </c>
      <c r="R117" s="32" t="s">
        <v>1784</v>
      </c>
      <c r="S117" s="37" t="n">
        <f aca="false">IFERROR(INDEX('Injectable Value'!$Z$28:$Z$178,MATCH($C117,'Injectable Value'!$A$28:$A$178,0)),"")</f>
        <v>0.991596638655462</v>
      </c>
      <c r="T117" s="18" t="n">
        <f aca="false">IFERROR(ROUND(INDEX('Injectable Value'!$AA$28:$AA$178,MATCH($C117,'Injectable Value'!$A$28:$A$178,0)),1),"")</f>
        <v>6294.9</v>
      </c>
      <c r="U117" s="16" t="s">
        <v>328</v>
      </c>
      <c r="V117" s="15" t="n">
        <v>1</v>
      </c>
      <c r="W117" s="15" t="s">
        <v>70</v>
      </c>
      <c r="X117" s="15" t="s">
        <v>248</v>
      </c>
      <c r="Y117" s="15" t="s">
        <v>324</v>
      </c>
      <c r="Z117" s="16" t="str">
        <f aca="false">IFERROR(INDEX(Scoring!$K:$K,MATCH($C117&amp;"|"&amp;$E117,Scoring!$U:$U,0)),"")</f>
        <v>Reconstitution</v>
      </c>
      <c r="AA117" s="15" t="str">
        <f aca="false">IFERROR(INDEX(Scoring!$Q:$Q,MATCH($C117&amp;"|"&amp;$E117,Scoring!$U:$U,0)),"")</f>
        <v>Priority 2</v>
      </c>
      <c r="AB117" s="15" t="str">
        <f aca="false">IFERROR(INDEX(Scoring!$AK:$AK,MATCH($C117&amp;"|"&amp;$E117,Scoring!$U:$U,0)),"")</f>
        <v>Priority 2</v>
      </c>
      <c r="AC117" s="18" t="n">
        <f aca="false">IFERROR(INDEX(Scoring!$M:$M,MATCH($C117&amp;"|"&amp;$E117,Scoring!$U:$U,0)),"")</f>
        <v>288</v>
      </c>
      <c r="AD117" s="15" t="str">
        <f aca="false">IFERROR(INDEX('Route of Administration'!$C$5:$C$155,MATCH($C117,'Route of Administration'!$A$5:$A$155,0)),"")</f>
        <v>IV, IM</v>
      </c>
      <c r="AE117" s="14" t="str">
        <f aca="false">IFERROR(INDEX('Route of Administration'!$D$5:$D$155,MATCH($C117,'Route of Administration'!$A$5:$A$155,0)),"")</f>
        <v>Yes</v>
      </c>
    </row>
    <row r="118" customFormat="false" ht="28.35" hidden="false" customHeight="false" outlineLevel="0" collapsed="false">
      <c r="B118" s="15" t="n">
        <v>116</v>
      </c>
      <c r="C118" s="15" t="s">
        <v>322</v>
      </c>
      <c r="D118" s="15" t="s">
        <v>327</v>
      </c>
      <c r="E118" s="15" t="s">
        <v>286</v>
      </c>
      <c r="F118" s="15" t="s">
        <v>1787</v>
      </c>
      <c r="G118" s="16" t="s">
        <v>1788</v>
      </c>
      <c r="H118" s="15" t="s">
        <v>1505</v>
      </c>
      <c r="I118" s="17" t="n">
        <v>12.42</v>
      </c>
      <c r="J118" s="15" t="n">
        <v>1</v>
      </c>
      <c r="K118" s="15" t="n">
        <v>290</v>
      </c>
      <c r="L118" s="18" t="n">
        <v>6348.25</v>
      </c>
      <c r="M118" s="16" t="s">
        <v>323</v>
      </c>
      <c r="N118" s="17" t="n">
        <v>12.42</v>
      </c>
      <c r="O118" s="15" t="s">
        <v>1506</v>
      </c>
      <c r="P118" s="15" t="s">
        <v>1672</v>
      </c>
      <c r="Q118" s="16" t="s">
        <v>1508</v>
      </c>
      <c r="R118" s="32" t="s">
        <v>1784</v>
      </c>
      <c r="S118" s="37" t="n">
        <f aca="false">IFERROR(INDEX('Injectable Value'!$Z$28:$Z$178,MATCH($C118,'Injectable Value'!$A$28:$A$178,0)),"")</f>
        <v>0.991596638655462</v>
      </c>
      <c r="T118" s="18" t="n">
        <f aca="false">IFERROR(ROUND(INDEX('Injectable Value'!$AA$28:$AA$178,MATCH($C118,'Injectable Value'!$A$28:$A$178,0)),1),"")</f>
        <v>6294.9</v>
      </c>
      <c r="U118" s="16" t="s">
        <v>328</v>
      </c>
      <c r="V118" s="15" t="n">
        <v>1</v>
      </c>
      <c r="W118" s="15" t="s">
        <v>70</v>
      </c>
      <c r="X118" s="15" t="s">
        <v>248</v>
      </c>
      <c r="Y118" s="15" t="s">
        <v>324</v>
      </c>
      <c r="Z118" s="16" t="str">
        <f aca="false">IFERROR(INDEX(Scoring!$K:$K,MATCH($C118&amp;"|"&amp;$E118,Scoring!$U:$U,0)),"")</f>
        <v>Reconstitution</v>
      </c>
      <c r="AA118" s="15" t="str">
        <f aca="false">IFERROR(INDEX(Scoring!$Q:$Q,MATCH($C118&amp;"|"&amp;$E118,Scoring!$U:$U,0)),"")</f>
        <v>Priority 2</v>
      </c>
      <c r="AB118" s="15" t="str">
        <f aca="false">IFERROR(INDEX(Scoring!$AK:$AK,MATCH($C118&amp;"|"&amp;$E118,Scoring!$U:$U,0)),"")</f>
        <v>Priority 2</v>
      </c>
      <c r="AC118" s="18" t="n">
        <f aca="false">IFERROR(INDEX(Scoring!$M:$M,MATCH($C118&amp;"|"&amp;$E118,Scoring!$U:$U,0)),"")</f>
        <v>288</v>
      </c>
      <c r="AD118" s="15" t="str">
        <f aca="false">IFERROR(INDEX('Route of Administration'!$C$5:$C$155,MATCH($C118,'Route of Administration'!$A$5:$A$155,0)),"")</f>
        <v>IV, IM</v>
      </c>
      <c r="AE118" s="14" t="str">
        <f aca="false">IFERROR(INDEX('Route of Administration'!$D$5:$D$155,MATCH($C118,'Route of Administration'!$A$5:$A$155,0)),"")</f>
        <v>Yes</v>
      </c>
    </row>
    <row r="119" customFormat="false" ht="28.35" hidden="false" customHeight="false" outlineLevel="0" collapsed="false">
      <c r="B119" s="15" t="n">
        <v>117</v>
      </c>
      <c r="C119" s="15" t="s">
        <v>322</v>
      </c>
      <c r="D119" s="15" t="s">
        <v>327</v>
      </c>
      <c r="E119" s="15" t="s">
        <v>286</v>
      </c>
      <c r="F119" s="15" t="s">
        <v>1787</v>
      </c>
      <c r="G119" s="16" t="s">
        <v>1789</v>
      </c>
      <c r="H119" s="15" t="s">
        <v>1505</v>
      </c>
      <c r="I119" s="17" t="n">
        <v>12.42</v>
      </c>
      <c r="J119" s="15" t="n">
        <v>1</v>
      </c>
      <c r="K119" s="15" t="n">
        <v>290</v>
      </c>
      <c r="L119" s="18" t="n">
        <v>6348.25</v>
      </c>
      <c r="M119" s="16" t="s">
        <v>323</v>
      </c>
      <c r="N119" s="17" t="n">
        <v>12.42</v>
      </c>
      <c r="O119" s="15" t="s">
        <v>1506</v>
      </c>
      <c r="P119" s="15" t="s">
        <v>1672</v>
      </c>
      <c r="Q119" s="16" t="s">
        <v>1508</v>
      </c>
      <c r="R119" s="32" t="s">
        <v>1784</v>
      </c>
      <c r="S119" s="37" t="n">
        <f aca="false">IFERROR(INDEX('Injectable Value'!$Z$28:$Z$178,MATCH($C119,'Injectable Value'!$A$28:$A$178,0)),"")</f>
        <v>0.991596638655462</v>
      </c>
      <c r="T119" s="18" t="n">
        <f aca="false">IFERROR(ROUND(INDEX('Injectable Value'!$AA$28:$AA$178,MATCH($C119,'Injectable Value'!$A$28:$A$178,0)),1),"")</f>
        <v>6294.9</v>
      </c>
      <c r="U119" s="16" t="s">
        <v>328</v>
      </c>
      <c r="V119" s="15" t="n">
        <v>1</v>
      </c>
      <c r="W119" s="15" t="s">
        <v>70</v>
      </c>
      <c r="X119" s="15" t="s">
        <v>248</v>
      </c>
      <c r="Y119" s="15" t="s">
        <v>324</v>
      </c>
      <c r="Z119" s="16" t="str">
        <f aca="false">IFERROR(INDEX(Scoring!$K:$K,MATCH($C119&amp;"|"&amp;$E119,Scoring!$U:$U,0)),"")</f>
        <v>Reconstitution</v>
      </c>
      <c r="AA119" s="15" t="str">
        <f aca="false">IFERROR(INDEX(Scoring!$Q:$Q,MATCH($C119&amp;"|"&amp;$E119,Scoring!$U:$U,0)),"")</f>
        <v>Priority 2</v>
      </c>
      <c r="AB119" s="15" t="str">
        <f aca="false">IFERROR(INDEX(Scoring!$AK:$AK,MATCH($C119&amp;"|"&amp;$E119,Scoring!$U:$U,0)),"")</f>
        <v>Priority 2</v>
      </c>
      <c r="AC119" s="18" t="n">
        <f aca="false">IFERROR(INDEX(Scoring!$M:$M,MATCH($C119&amp;"|"&amp;$E119,Scoring!$U:$U,0)),"")</f>
        <v>288</v>
      </c>
      <c r="AD119" s="15" t="str">
        <f aca="false">IFERROR(INDEX('Route of Administration'!$C$5:$C$155,MATCH($C119,'Route of Administration'!$A$5:$A$155,0)),"")</f>
        <v>IV, IM</v>
      </c>
      <c r="AE119" s="14" t="str">
        <f aca="false">IFERROR(INDEX('Route of Administration'!$D$5:$D$155,MATCH($C119,'Route of Administration'!$A$5:$A$155,0)),"")</f>
        <v>Yes</v>
      </c>
    </row>
    <row r="120" customFormat="false" ht="28.35" hidden="false" customHeight="false" outlineLevel="0" collapsed="false">
      <c r="B120" s="15" t="n">
        <v>118</v>
      </c>
      <c r="C120" s="15" t="s">
        <v>387</v>
      </c>
      <c r="D120" s="15" t="s">
        <v>1790</v>
      </c>
      <c r="E120" s="15" t="s">
        <v>286</v>
      </c>
      <c r="F120" s="15" t="s">
        <v>1782</v>
      </c>
      <c r="G120" s="16" t="s">
        <v>1785</v>
      </c>
      <c r="H120" s="15" t="s">
        <v>1505</v>
      </c>
      <c r="I120" s="17" t="n">
        <v>33.51</v>
      </c>
      <c r="J120" s="15" t="n">
        <v>1</v>
      </c>
      <c r="K120" s="15" t="n">
        <v>223</v>
      </c>
      <c r="L120" s="18" t="n">
        <v>53539.87</v>
      </c>
      <c r="M120" s="16" t="s">
        <v>388</v>
      </c>
      <c r="N120" s="17" t="n">
        <v>33.51</v>
      </c>
      <c r="O120" s="15" t="s">
        <v>1506</v>
      </c>
      <c r="P120" s="15" t="s">
        <v>1672</v>
      </c>
      <c r="Q120" s="16" t="s">
        <v>1508</v>
      </c>
      <c r="R120" s="32" t="s">
        <v>1784</v>
      </c>
      <c r="S120" s="37" t="n">
        <f aca="false">IFERROR(INDEX('Injectable Value'!$Z$28:$Z$178,MATCH($C120,'Injectable Value'!$A$28:$A$178,0)),"")</f>
        <v>1</v>
      </c>
      <c r="T120" s="18" t="n">
        <f aca="false">IFERROR(ROUND(INDEX('Injectable Value'!$AA$28:$AA$178,MATCH($C120,'Injectable Value'!$A$28:$A$178,0)),1),"")</f>
        <v>53539.9</v>
      </c>
      <c r="U120" s="16" t="s">
        <v>393</v>
      </c>
      <c r="V120" s="15" t="n">
        <v>10</v>
      </c>
      <c r="W120" s="15" t="s">
        <v>389</v>
      </c>
      <c r="X120" s="15" t="s">
        <v>248</v>
      </c>
      <c r="Y120" s="15" t="s">
        <v>324</v>
      </c>
      <c r="Z120" s="16" t="str">
        <f aca="false">IFERROR(INDEX(Scoring!$K:$K,MATCH($C120&amp;"|"&amp;$E120,Scoring!$U:$U,0)),"")</f>
        <v>Reconstitution</v>
      </c>
      <c r="AA120" s="15" t="str">
        <f aca="false">IFERROR(INDEX(Scoring!$Q:$Q,MATCH($C120&amp;"|"&amp;$E120,Scoring!$U:$U,0)),"")</f>
        <v>Priority 1</v>
      </c>
      <c r="AB120" s="15" t="str">
        <f aca="false">IFERROR(INDEX(Scoring!$AK:$AK,MATCH($C120&amp;"|"&amp;$E120,Scoring!$U:$U,0)),"")</f>
        <v>Priority 2</v>
      </c>
      <c r="AC120" s="18" t="n">
        <f aca="false">IFERROR(INDEX(Scoring!$M:$M,MATCH($C120&amp;"|"&amp;$E120,Scoring!$U:$U,0)),"")</f>
        <v>223</v>
      </c>
      <c r="AD120" s="15" t="str">
        <f aca="false">IFERROR(INDEX('Route of Administration'!$C$5:$C$155,MATCH($C120,'Route of Administration'!$A$5:$A$155,0)),"")</f>
        <v>IV, IM</v>
      </c>
      <c r="AE120" s="14" t="str">
        <f aca="false">IFERROR(INDEX('Route of Administration'!$D$5:$D$155,MATCH($C120,'Route of Administration'!$A$5:$A$155,0)),"")</f>
        <v>Yes</v>
      </c>
    </row>
    <row r="121" customFormat="false" ht="28.35" hidden="false" customHeight="false" outlineLevel="0" collapsed="false">
      <c r="B121" s="15" t="n">
        <v>119</v>
      </c>
      <c r="C121" s="15" t="s">
        <v>387</v>
      </c>
      <c r="D121" s="15" t="s">
        <v>1790</v>
      </c>
      <c r="E121" s="15" t="s">
        <v>286</v>
      </c>
      <c r="F121" s="15" t="s">
        <v>1782</v>
      </c>
      <c r="G121" s="16" t="s">
        <v>1783</v>
      </c>
      <c r="H121" s="15" t="s">
        <v>1505</v>
      </c>
      <c r="I121" s="17" t="n">
        <v>33.51</v>
      </c>
      <c r="J121" s="15" t="n">
        <v>1</v>
      </c>
      <c r="K121" s="15" t="n">
        <v>223</v>
      </c>
      <c r="L121" s="18" t="n">
        <v>53539.87</v>
      </c>
      <c r="M121" s="16" t="s">
        <v>388</v>
      </c>
      <c r="N121" s="17" t="n">
        <v>33.51</v>
      </c>
      <c r="O121" s="15" t="s">
        <v>1506</v>
      </c>
      <c r="P121" s="15" t="s">
        <v>1672</v>
      </c>
      <c r="Q121" s="16" t="s">
        <v>1508</v>
      </c>
      <c r="R121" s="32" t="s">
        <v>1784</v>
      </c>
      <c r="S121" s="37" t="n">
        <f aca="false">IFERROR(INDEX('Injectable Value'!$Z$28:$Z$178,MATCH($C121,'Injectable Value'!$A$28:$A$178,0)),"")</f>
        <v>1</v>
      </c>
      <c r="T121" s="18" t="n">
        <f aca="false">IFERROR(ROUND(INDEX('Injectable Value'!$AA$28:$AA$178,MATCH($C121,'Injectable Value'!$A$28:$A$178,0)),1),"")</f>
        <v>53539.9</v>
      </c>
      <c r="U121" s="16" t="s">
        <v>393</v>
      </c>
      <c r="V121" s="15" t="n">
        <v>10</v>
      </c>
      <c r="W121" s="15" t="s">
        <v>389</v>
      </c>
      <c r="X121" s="15" t="s">
        <v>248</v>
      </c>
      <c r="Y121" s="15" t="s">
        <v>324</v>
      </c>
      <c r="Z121" s="16" t="str">
        <f aca="false">IFERROR(INDEX(Scoring!$K:$K,MATCH($C121&amp;"|"&amp;$E121,Scoring!$U:$U,0)),"")</f>
        <v>Reconstitution</v>
      </c>
      <c r="AA121" s="15" t="str">
        <f aca="false">IFERROR(INDEX(Scoring!$Q:$Q,MATCH($C121&amp;"|"&amp;$E121,Scoring!$U:$U,0)),"")</f>
        <v>Priority 1</v>
      </c>
      <c r="AB121" s="15" t="str">
        <f aca="false">IFERROR(INDEX(Scoring!$AK:$AK,MATCH($C121&amp;"|"&amp;$E121,Scoring!$U:$U,0)),"")</f>
        <v>Priority 2</v>
      </c>
      <c r="AC121" s="18" t="n">
        <f aca="false">IFERROR(INDEX(Scoring!$M:$M,MATCH($C121&amp;"|"&amp;$E121,Scoring!$U:$U,0)),"")</f>
        <v>223</v>
      </c>
      <c r="AD121" s="15" t="str">
        <f aca="false">IFERROR(INDEX('Route of Administration'!$C$5:$C$155,MATCH($C121,'Route of Administration'!$A$5:$A$155,0)),"")</f>
        <v>IV, IM</v>
      </c>
      <c r="AE121" s="14" t="str">
        <f aca="false">IFERROR(INDEX('Route of Administration'!$D$5:$D$155,MATCH($C121,'Route of Administration'!$A$5:$A$155,0)),"")</f>
        <v>Yes</v>
      </c>
    </row>
    <row r="122" customFormat="false" ht="28.35" hidden="false" customHeight="false" outlineLevel="0" collapsed="false">
      <c r="B122" s="15" t="n">
        <v>120</v>
      </c>
      <c r="C122" s="15" t="s">
        <v>601</v>
      </c>
      <c r="D122" s="15" t="s">
        <v>1465</v>
      </c>
      <c r="E122" s="15" t="s">
        <v>188</v>
      </c>
      <c r="F122" s="15" t="s">
        <v>1791</v>
      </c>
      <c r="G122" s="16" t="s">
        <v>1792</v>
      </c>
      <c r="H122" s="15" t="s">
        <v>1505</v>
      </c>
      <c r="I122" s="17"/>
      <c r="J122" s="15" t="n">
        <v>1</v>
      </c>
      <c r="K122" s="15" t="n">
        <v>2582</v>
      </c>
      <c r="L122" s="18" t="n">
        <v>38106.07</v>
      </c>
      <c r="M122" s="16" t="s">
        <v>602</v>
      </c>
      <c r="N122" s="38" t="n">
        <v>23.15</v>
      </c>
      <c r="O122" s="22" t="s">
        <v>1513</v>
      </c>
      <c r="P122" s="15" t="s">
        <v>1507</v>
      </c>
      <c r="Q122" s="16" t="s">
        <v>1514</v>
      </c>
      <c r="R122" s="32" t="s">
        <v>1515</v>
      </c>
      <c r="S122" s="37" t="n">
        <f aca="false">IFERROR(INDEX('Injectable Value'!$Z$28:$Z$178,MATCH($C122,'Injectable Value'!$A$28:$A$178,0)),"")</f>
        <v>0.125875590958329</v>
      </c>
      <c r="T122" s="18" t="n">
        <f aca="false">IFERROR(ROUND(INDEX('Injectable Value'!$AA$28:$AA$178,MATCH($C122,'Injectable Value'!$A$28:$A$178,0)),1),"")</f>
        <v>4796.6</v>
      </c>
      <c r="U122" s="16" t="s">
        <v>605</v>
      </c>
      <c r="V122" s="15" t="n">
        <v>2</v>
      </c>
      <c r="W122" s="15" t="s">
        <v>247</v>
      </c>
      <c r="X122" s="15" t="s">
        <v>248</v>
      </c>
      <c r="Y122" s="15" t="s">
        <v>277</v>
      </c>
      <c r="Z122" s="16" t="str">
        <f aca="false">IFERROR(INDEX(Scoring!$K:$K,MATCH($C122&amp;"|"&amp;$E122,Scoring!$U:$U,0)),"")</f>
        <v>Reconstitution</v>
      </c>
      <c r="AA122" s="15" t="str">
        <f aca="false">IFERROR(INDEX(Scoring!$Q:$Q,MATCH($C122&amp;"|"&amp;$E122,Scoring!$U:$U,0)),"")</f>
        <v>Priority 2</v>
      </c>
      <c r="AB122" s="15" t="str">
        <f aca="false">IFERROR(INDEX(Scoring!$AK:$AK,MATCH($C122&amp;"|"&amp;$E122,Scoring!$U:$U,0)),"")</f>
        <v>Priority 2</v>
      </c>
      <c r="AC122" s="18" t="n">
        <f aca="false">IFERROR(INDEX(Scoring!$M:$M,MATCH($C122&amp;"|"&amp;$E122,Scoring!$U:$U,0)),"")</f>
        <v>325</v>
      </c>
      <c r="AD122" s="15" t="str">
        <f aca="false">IFERROR(INDEX('Route of Administration'!$C$5:$C$155,MATCH($C122,'Route of Administration'!$A$5:$A$155,0)),"")</f>
        <v>IV, IM</v>
      </c>
      <c r="AE122" s="14" t="str">
        <f aca="false">IFERROR(INDEX('Route of Administration'!$D$5:$D$155,MATCH($C122,'Route of Administration'!$A$5:$A$155,0)),"")</f>
        <v>Yes</v>
      </c>
    </row>
    <row r="123" customFormat="false" ht="28.35" hidden="false" customHeight="false" outlineLevel="0" collapsed="false">
      <c r="B123" s="15" t="n">
        <v>121</v>
      </c>
      <c r="C123" s="15" t="s">
        <v>271</v>
      </c>
      <c r="D123" s="15" t="s">
        <v>271</v>
      </c>
      <c r="E123" s="15" t="s">
        <v>188</v>
      </c>
      <c r="F123" s="15" t="s">
        <v>1522</v>
      </c>
      <c r="G123" s="16" t="s">
        <v>1793</v>
      </c>
      <c r="H123" s="15" t="s">
        <v>1512</v>
      </c>
      <c r="I123" s="17"/>
      <c r="J123" s="15" t="n">
        <v>1</v>
      </c>
      <c r="K123" s="15" t="n">
        <v>51</v>
      </c>
      <c r="L123" s="18" t="n">
        <v>5770.02</v>
      </c>
      <c r="M123" s="16" t="s">
        <v>272</v>
      </c>
      <c r="N123" s="38" t="n">
        <v>3.99</v>
      </c>
      <c r="O123" s="22" t="s">
        <v>1513</v>
      </c>
      <c r="P123" s="15" t="s">
        <v>1507</v>
      </c>
      <c r="Q123" s="16" t="s">
        <v>1514</v>
      </c>
      <c r="R123" s="32" t="s">
        <v>1515</v>
      </c>
      <c r="S123" s="37" t="n">
        <f aca="false">IFERROR(INDEX('Injectable Value'!$Z$28:$Z$178,MATCH($C123,'Injectable Value'!$A$28:$A$178,0)),"")</f>
        <v>0.468334010008564</v>
      </c>
      <c r="T123" s="18" t="n">
        <f aca="false">IFERROR(ROUND(INDEX('Injectable Value'!$AA$28:$AA$178,MATCH($C123,'Injectable Value'!$A$28:$A$178,0)),1),"")</f>
        <v>2702.3</v>
      </c>
      <c r="U123" s="16" t="s">
        <v>247</v>
      </c>
      <c r="V123" s="15" t="n">
        <v>1</v>
      </c>
      <c r="W123" s="15" t="s">
        <v>247</v>
      </c>
      <c r="X123" s="15" t="s">
        <v>258</v>
      </c>
      <c r="Y123" s="15" t="s">
        <v>249</v>
      </c>
      <c r="Z123" s="16" t="str">
        <f aca="false">IFERROR(INDEX(Scoring!$K:$K,MATCH($C123&amp;"|"&amp;$E123,Scoring!$U:$U,0)),"")</f>
        <v/>
      </c>
      <c r="AA123" s="15" t="str">
        <f aca="false">IFERROR(INDEX(Scoring!$Q:$Q,MATCH($C123&amp;"|"&amp;$E123,Scoring!$U:$U,0)),"")</f>
        <v>Priority 2</v>
      </c>
      <c r="AB123" s="15" t="str">
        <f aca="false">IFERROR(INDEX(Scoring!$AK:$AK,MATCH($C123&amp;"|"&amp;$E123,Scoring!$U:$U,0)),"")</f>
        <v>Priority 2</v>
      </c>
      <c r="AC123" s="18" t="n">
        <f aca="false">IFERROR(INDEX(Scoring!$M:$M,MATCH($C123&amp;"|"&amp;$E123,Scoring!$U:$U,0)),"")</f>
        <v>24</v>
      </c>
      <c r="AD123" s="15" t="str">
        <f aca="false">IFERROR(INDEX('Route of Administration'!$C$5:$C$155,MATCH($C123,'Route of Administration'!$A$5:$A$155,0)),"")</f>
        <v>IV, IM, SC</v>
      </c>
      <c r="AE123" s="14" t="str">
        <f aca="false">IFERROR(INDEX('Route of Administration'!$D$5:$D$155,MATCH($C123,'Route of Administration'!$A$5:$A$155,0)),"")</f>
        <v>Yes</v>
      </c>
    </row>
    <row r="124" customFormat="false" ht="28.35" hidden="false" customHeight="false" outlineLevel="0" collapsed="false">
      <c r="B124" s="15" t="n">
        <v>122</v>
      </c>
      <c r="C124" s="15" t="s">
        <v>271</v>
      </c>
      <c r="D124" s="15" t="s">
        <v>271</v>
      </c>
      <c r="E124" s="15" t="s">
        <v>188</v>
      </c>
      <c r="F124" s="15" t="s">
        <v>1794</v>
      </c>
      <c r="G124" s="16" t="s">
        <v>1795</v>
      </c>
      <c r="H124" s="15" t="s">
        <v>1796</v>
      </c>
      <c r="I124" s="17"/>
      <c r="J124" s="15" t="n">
        <v>1</v>
      </c>
      <c r="K124" s="15" t="n">
        <v>51</v>
      </c>
      <c r="L124" s="18" t="n">
        <v>5770.02</v>
      </c>
      <c r="M124" s="16" t="s">
        <v>272</v>
      </c>
      <c r="N124" s="38" t="n">
        <v>39.89</v>
      </c>
      <c r="O124" s="22" t="s">
        <v>1513</v>
      </c>
      <c r="P124" s="15" t="s">
        <v>1507</v>
      </c>
      <c r="Q124" s="16" t="s">
        <v>1514</v>
      </c>
      <c r="R124" s="32" t="s">
        <v>1515</v>
      </c>
      <c r="S124" s="37" t="n">
        <f aca="false">IFERROR(INDEX('Injectable Value'!$Z$28:$Z$178,MATCH($C124,'Injectable Value'!$A$28:$A$178,0)),"")</f>
        <v>0.468334010008564</v>
      </c>
      <c r="T124" s="18" t="n">
        <f aca="false">IFERROR(ROUND(INDEX('Injectable Value'!$AA$28:$AA$178,MATCH($C124,'Injectable Value'!$A$28:$A$178,0)),1),"")</f>
        <v>2702.3</v>
      </c>
      <c r="U124" s="16" t="s">
        <v>247</v>
      </c>
      <c r="V124" s="15" t="n">
        <v>1</v>
      </c>
      <c r="W124" s="15" t="s">
        <v>247</v>
      </c>
      <c r="X124" s="15" t="s">
        <v>248</v>
      </c>
      <c r="Y124" s="15" t="s">
        <v>249</v>
      </c>
      <c r="Z124" s="16" t="str">
        <f aca="false">IFERROR(INDEX(Scoring!$K:$K,MATCH($C124&amp;"|"&amp;$E124,Scoring!$U:$U,0)),"")</f>
        <v/>
      </c>
      <c r="AA124" s="15" t="str">
        <f aca="false">IFERROR(INDEX(Scoring!$Q:$Q,MATCH($C124&amp;"|"&amp;$E124,Scoring!$U:$U,0)),"")</f>
        <v>Priority 2</v>
      </c>
      <c r="AB124" s="15" t="str">
        <f aca="false">IFERROR(INDEX(Scoring!$AK:$AK,MATCH($C124&amp;"|"&amp;$E124,Scoring!$U:$U,0)),"")</f>
        <v>Priority 2</v>
      </c>
      <c r="AC124" s="18" t="n">
        <f aca="false">IFERROR(INDEX(Scoring!$M:$M,MATCH($C124&amp;"|"&amp;$E124,Scoring!$U:$U,0)),"")</f>
        <v>24</v>
      </c>
      <c r="AD124" s="15" t="str">
        <f aca="false">IFERROR(INDEX('Route of Administration'!$C$5:$C$155,MATCH($C124,'Route of Administration'!$A$5:$A$155,0)),"")</f>
        <v>IV, IM, SC</v>
      </c>
      <c r="AE124" s="14" t="str">
        <f aca="false">IFERROR(INDEX('Route of Administration'!$D$5:$D$155,MATCH($C124,'Route of Administration'!$A$5:$A$155,0)),"")</f>
        <v>Yes</v>
      </c>
    </row>
    <row r="125" customFormat="false" ht="41.75" hidden="false" customHeight="false" outlineLevel="0" collapsed="false">
      <c r="B125" s="15" t="n">
        <v>123</v>
      </c>
      <c r="C125" s="15" t="s">
        <v>542</v>
      </c>
      <c r="D125" s="15" t="s">
        <v>542</v>
      </c>
      <c r="E125" s="15" t="s">
        <v>188</v>
      </c>
      <c r="F125" s="15" t="s">
        <v>1582</v>
      </c>
      <c r="G125" s="16" t="s">
        <v>1797</v>
      </c>
      <c r="H125" s="15" t="s">
        <v>1505</v>
      </c>
      <c r="I125" s="17" t="n">
        <v>27.26</v>
      </c>
      <c r="J125" s="15" t="n">
        <v>1</v>
      </c>
      <c r="K125" s="15" t="n">
        <v>307</v>
      </c>
      <c r="L125" s="18" t="n">
        <v>7276.73</v>
      </c>
      <c r="M125" s="16" t="s">
        <v>543</v>
      </c>
      <c r="N125" s="17" t="n">
        <v>27.26</v>
      </c>
      <c r="O125" s="15" t="s">
        <v>1506</v>
      </c>
      <c r="P125" s="15" t="s">
        <v>1507</v>
      </c>
      <c r="Q125" s="16" t="s">
        <v>1508</v>
      </c>
      <c r="R125" s="32" t="s">
        <v>1584</v>
      </c>
      <c r="S125" s="37" t="n">
        <f aca="false">IFERROR(INDEX('Injectable Value'!$Z$28:$Z$178,MATCH($C125,'Injectable Value'!$A$28:$A$178,0)),"")</f>
        <v>0.947368421052632</v>
      </c>
      <c r="T125" s="18" t="n">
        <f aca="false">IFERROR(ROUND(INDEX('Injectable Value'!$AA$28:$AA$178,MATCH($C125,'Injectable Value'!$A$28:$A$178,0)),1),"")</f>
        <v>6893.7</v>
      </c>
      <c r="U125" s="16" t="s">
        <v>247</v>
      </c>
      <c r="V125" s="15" t="n">
        <v>1</v>
      </c>
      <c r="W125" s="15" t="s">
        <v>247</v>
      </c>
      <c r="X125" s="15" t="s">
        <v>248</v>
      </c>
      <c r="Y125" s="15" t="s">
        <v>249</v>
      </c>
      <c r="Z125" s="16" t="str">
        <f aca="false">IFERROR(INDEX(Scoring!$K:$K,MATCH($C125&amp;"|"&amp;$E125,Scoring!$U:$U,0)),"")</f>
        <v/>
      </c>
      <c r="AA125" s="15" t="str">
        <f aca="false">IFERROR(INDEX(Scoring!$Q:$Q,MATCH($C125&amp;"|"&amp;$E125,Scoring!$U:$U,0)),"")</f>
        <v>Priority 2</v>
      </c>
      <c r="AB125" s="15" t="str">
        <f aca="false">IFERROR(INDEX(Scoring!$AK:$AK,MATCH($C125&amp;"|"&amp;$E125,Scoring!$U:$U,0)),"")</f>
        <v>Priority 2</v>
      </c>
      <c r="AC125" s="18" t="n">
        <f aca="false">IFERROR(INDEX(Scoring!$M:$M,MATCH($C125&amp;"|"&amp;$E125,Scoring!$U:$U,0)),"")</f>
        <v>291</v>
      </c>
      <c r="AD125" s="15" t="str">
        <f aca="false">IFERROR(INDEX('Route of Administration'!$C$5:$C$155,MATCH($C125,'Route of Administration'!$A$5:$A$155,0)),"")</f>
        <v>IM</v>
      </c>
      <c r="AE125" s="14" t="str">
        <f aca="false">IFERROR(INDEX('Route of Administration'!$D$5:$D$155,MATCH($C125,'Route of Administration'!$A$5:$A$155,0)),"")</f>
        <v>Yes</v>
      </c>
    </row>
    <row r="126" customFormat="false" ht="55.2" hidden="false" customHeight="false" outlineLevel="0" collapsed="false">
      <c r="B126" s="15" t="n">
        <v>124</v>
      </c>
      <c r="C126" s="15" t="s">
        <v>542</v>
      </c>
      <c r="D126" s="15" t="s">
        <v>542</v>
      </c>
      <c r="E126" s="15" t="s">
        <v>188</v>
      </c>
      <c r="F126" s="15" t="s">
        <v>1585</v>
      </c>
      <c r="G126" s="16" t="s">
        <v>1798</v>
      </c>
      <c r="H126" s="15" t="s">
        <v>1505</v>
      </c>
      <c r="I126" s="17" t="n">
        <v>14</v>
      </c>
      <c r="J126" s="15" t="n">
        <v>1</v>
      </c>
      <c r="K126" s="15" t="n">
        <v>307</v>
      </c>
      <c r="L126" s="18" t="n">
        <v>7276.73</v>
      </c>
      <c r="M126" s="16" t="s">
        <v>543</v>
      </c>
      <c r="N126" s="17" t="n">
        <v>14</v>
      </c>
      <c r="O126" s="15" t="s">
        <v>1506</v>
      </c>
      <c r="P126" s="15" t="s">
        <v>1507</v>
      </c>
      <c r="Q126" s="16" t="s">
        <v>1508</v>
      </c>
      <c r="R126" s="32" t="s">
        <v>1584</v>
      </c>
      <c r="S126" s="37" t="n">
        <f aca="false">IFERROR(INDEX('Injectable Value'!$Z$28:$Z$178,MATCH($C126,'Injectable Value'!$A$28:$A$178,0)),"")</f>
        <v>0.947368421052632</v>
      </c>
      <c r="T126" s="18" t="n">
        <f aca="false">IFERROR(ROUND(INDEX('Injectable Value'!$AA$28:$AA$178,MATCH($C126,'Injectable Value'!$A$28:$A$178,0)),1),"")</f>
        <v>6893.7</v>
      </c>
      <c r="U126" s="16" t="s">
        <v>247</v>
      </c>
      <c r="V126" s="15" t="n">
        <v>1</v>
      </c>
      <c r="W126" s="15" t="s">
        <v>247</v>
      </c>
      <c r="X126" s="15" t="s">
        <v>248</v>
      </c>
      <c r="Y126" s="15" t="s">
        <v>249</v>
      </c>
      <c r="Z126" s="16" t="str">
        <f aca="false">IFERROR(INDEX(Scoring!$K:$K,MATCH($C126&amp;"|"&amp;$E126,Scoring!$U:$U,0)),"")</f>
        <v/>
      </c>
      <c r="AA126" s="15" t="str">
        <f aca="false">IFERROR(INDEX(Scoring!$Q:$Q,MATCH($C126&amp;"|"&amp;$E126,Scoring!$U:$U,0)),"")</f>
        <v>Priority 2</v>
      </c>
      <c r="AB126" s="15" t="str">
        <f aca="false">IFERROR(INDEX(Scoring!$AK:$AK,MATCH($C126&amp;"|"&amp;$E126,Scoring!$U:$U,0)),"")</f>
        <v>Priority 2</v>
      </c>
      <c r="AC126" s="18" t="n">
        <f aca="false">IFERROR(INDEX(Scoring!$M:$M,MATCH($C126&amp;"|"&amp;$E126,Scoring!$U:$U,0)),"")</f>
        <v>291</v>
      </c>
      <c r="AD126" s="15" t="str">
        <f aca="false">IFERROR(INDEX('Route of Administration'!$C$5:$C$155,MATCH($C126,'Route of Administration'!$A$5:$A$155,0)),"")</f>
        <v>IM</v>
      </c>
      <c r="AE126" s="14" t="str">
        <f aca="false">IFERROR(INDEX('Route of Administration'!$D$5:$D$155,MATCH($C126,'Route of Administration'!$A$5:$A$155,0)),"")</f>
        <v>Yes</v>
      </c>
    </row>
    <row r="127" customFormat="false" ht="28.35" hidden="false" customHeight="false" outlineLevel="0" collapsed="false">
      <c r="B127" s="15" t="n">
        <v>125</v>
      </c>
      <c r="C127" s="15" t="s">
        <v>611</v>
      </c>
      <c r="D127" s="15" t="s">
        <v>615</v>
      </c>
      <c r="E127" s="15" t="s">
        <v>188</v>
      </c>
      <c r="F127" s="15" t="s">
        <v>1799</v>
      </c>
      <c r="G127" s="16" t="s">
        <v>1800</v>
      </c>
      <c r="H127" s="15" t="s">
        <v>1512</v>
      </c>
      <c r="I127" s="17" t="n">
        <v>6545.62</v>
      </c>
      <c r="J127" s="15" t="n">
        <v>1</v>
      </c>
      <c r="K127" s="15" t="n">
        <v>25</v>
      </c>
      <c r="L127" s="18" t="n">
        <v>0.23</v>
      </c>
      <c r="M127" s="16" t="s">
        <v>612</v>
      </c>
      <c r="N127" s="17" t="n">
        <v>6545.62</v>
      </c>
      <c r="O127" s="15" t="s">
        <v>1506</v>
      </c>
      <c r="P127" s="15" t="s">
        <v>1507</v>
      </c>
      <c r="Q127" s="16" t="s">
        <v>1508</v>
      </c>
      <c r="R127" s="32" t="s">
        <v>1801</v>
      </c>
      <c r="S127" s="37" t="n">
        <f aca="false">IFERROR(INDEX('Injectable Value'!$Z$28:$Z$178,MATCH($C127,'Injectable Value'!$A$28:$A$178,0)),"")</f>
        <v>1</v>
      </c>
      <c r="T127" s="18" t="n">
        <f aca="false">IFERROR(ROUND(INDEX('Injectable Value'!$AA$28:$AA$178,MATCH($C127,'Injectable Value'!$A$28:$A$178,0)),1),"")</f>
        <v>0.2</v>
      </c>
      <c r="U127" s="16" t="s">
        <v>247</v>
      </c>
      <c r="V127" s="15" t="n">
        <v>1</v>
      </c>
      <c r="W127" s="15" t="s">
        <v>247</v>
      </c>
      <c r="X127" s="15" t="s">
        <v>258</v>
      </c>
      <c r="Y127" s="15" t="s">
        <v>249</v>
      </c>
      <c r="Z127" s="16" t="str">
        <f aca="false">IFERROR(INDEX(Scoring!$K:$K,MATCH($C127&amp;"|"&amp;$E127,Scoring!$U:$U,0)),"")</f>
        <v>Prefilled only</v>
      </c>
      <c r="AA127" s="15" t="str">
        <f aca="false">IFERROR(INDEX(Scoring!$Q:$Q,MATCH($C127&amp;"|"&amp;$E127,Scoring!$U:$U,0)),"")</f>
        <v>Priority 2</v>
      </c>
      <c r="AB127" s="15" t="str">
        <f aca="false">IFERROR(INDEX(Scoring!$AK:$AK,MATCH($C127&amp;"|"&amp;$E127,Scoring!$U:$U,0)),"")</f>
        <v>Priority 2</v>
      </c>
      <c r="AC127" s="18" t="n">
        <f aca="false">IFERROR(INDEX(Scoring!$M:$M,MATCH($C127&amp;"|"&amp;$E127,Scoring!$U:$U,0)),"")</f>
        <v>25</v>
      </c>
      <c r="AD127" s="15" t="str">
        <f aca="false">IFERROR(INDEX('Route of Administration'!$C$5:$C$155,MATCH($C127,'Route of Administration'!$A$5:$A$155,0)),"")</f>
        <v>SC</v>
      </c>
      <c r="AE127" s="14" t="str">
        <f aca="false">IFERROR(INDEX('Route of Administration'!$D$5:$D$155,MATCH($C127,'Route of Administration'!$A$5:$A$155,0)),"")</f>
        <v>Yes</v>
      </c>
    </row>
    <row r="128" customFormat="false" ht="28.35" hidden="false" customHeight="false" outlineLevel="0" collapsed="false">
      <c r="B128" s="15" t="n">
        <v>126</v>
      </c>
      <c r="C128" s="15" t="s">
        <v>611</v>
      </c>
      <c r="D128" s="15" t="s">
        <v>615</v>
      </c>
      <c r="E128" s="15" t="s">
        <v>188</v>
      </c>
      <c r="F128" s="15" t="s">
        <v>1802</v>
      </c>
      <c r="G128" s="16" t="s">
        <v>1803</v>
      </c>
      <c r="H128" s="15" t="s">
        <v>1512</v>
      </c>
      <c r="I128" s="17" t="n">
        <v>8714.12</v>
      </c>
      <c r="J128" s="15" t="n">
        <v>1</v>
      </c>
      <c r="K128" s="15" t="n">
        <v>25</v>
      </c>
      <c r="L128" s="18" t="n">
        <v>0.23</v>
      </c>
      <c r="M128" s="16" t="s">
        <v>612</v>
      </c>
      <c r="N128" s="17" t="n">
        <v>8714.12</v>
      </c>
      <c r="O128" s="15" t="s">
        <v>1506</v>
      </c>
      <c r="P128" s="15" t="s">
        <v>1507</v>
      </c>
      <c r="Q128" s="16" t="s">
        <v>1508</v>
      </c>
      <c r="R128" s="32" t="s">
        <v>1801</v>
      </c>
      <c r="S128" s="37" t="n">
        <f aca="false">IFERROR(INDEX('Injectable Value'!$Z$28:$Z$178,MATCH($C128,'Injectable Value'!$A$28:$A$178,0)),"")</f>
        <v>1</v>
      </c>
      <c r="T128" s="18" t="n">
        <f aca="false">IFERROR(ROUND(INDEX('Injectable Value'!$AA$28:$AA$178,MATCH($C128,'Injectable Value'!$A$28:$A$178,0)),1),"")</f>
        <v>0.2</v>
      </c>
      <c r="U128" s="16" t="s">
        <v>247</v>
      </c>
      <c r="V128" s="15" t="n">
        <v>1</v>
      </c>
      <c r="W128" s="15" t="s">
        <v>247</v>
      </c>
      <c r="X128" s="15" t="s">
        <v>258</v>
      </c>
      <c r="Y128" s="15" t="s">
        <v>249</v>
      </c>
      <c r="Z128" s="16" t="str">
        <f aca="false">IFERROR(INDEX(Scoring!$K:$K,MATCH($C128&amp;"|"&amp;$E128,Scoring!$U:$U,0)),"")</f>
        <v>Prefilled only</v>
      </c>
      <c r="AA128" s="15" t="str">
        <f aca="false">IFERROR(INDEX(Scoring!$Q:$Q,MATCH($C128&amp;"|"&amp;$E128,Scoring!$U:$U,0)),"")</f>
        <v>Priority 2</v>
      </c>
      <c r="AB128" s="15" t="str">
        <f aca="false">IFERROR(INDEX(Scoring!$AK:$AK,MATCH($C128&amp;"|"&amp;$E128,Scoring!$U:$U,0)),"")</f>
        <v>Priority 2</v>
      </c>
      <c r="AC128" s="18" t="n">
        <f aca="false">IFERROR(INDEX(Scoring!$M:$M,MATCH($C128&amp;"|"&amp;$E128,Scoring!$U:$U,0)),"")</f>
        <v>25</v>
      </c>
      <c r="AD128" s="15" t="str">
        <f aca="false">IFERROR(INDEX('Route of Administration'!$C$5:$C$155,MATCH($C128,'Route of Administration'!$A$5:$A$155,0)),"")</f>
        <v>SC</v>
      </c>
      <c r="AE128" s="14" t="str">
        <f aca="false">IFERROR(INDEX('Route of Administration'!$D$5:$D$155,MATCH($C128,'Route of Administration'!$A$5:$A$155,0)),"")</f>
        <v>Yes</v>
      </c>
    </row>
    <row r="129" customFormat="false" ht="28.35" hidden="false" customHeight="false" outlineLevel="0" collapsed="false">
      <c r="B129" s="15" t="n">
        <v>127</v>
      </c>
      <c r="C129" s="15" t="s">
        <v>611</v>
      </c>
      <c r="D129" s="15" t="s">
        <v>615</v>
      </c>
      <c r="E129" s="15" t="s">
        <v>188</v>
      </c>
      <c r="F129" s="15" t="s">
        <v>1804</v>
      </c>
      <c r="G129" s="16" t="s">
        <v>1805</v>
      </c>
      <c r="H129" s="15" t="s">
        <v>1512</v>
      </c>
      <c r="I129" s="17" t="n">
        <v>2652.02</v>
      </c>
      <c r="J129" s="15" t="n">
        <v>1</v>
      </c>
      <c r="K129" s="15" t="n">
        <v>25</v>
      </c>
      <c r="L129" s="18" t="n">
        <v>0.23</v>
      </c>
      <c r="M129" s="16" t="s">
        <v>612</v>
      </c>
      <c r="N129" s="17" t="n">
        <v>2652.02</v>
      </c>
      <c r="O129" s="15" t="s">
        <v>1506</v>
      </c>
      <c r="P129" s="15" t="s">
        <v>1507</v>
      </c>
      <c r="Q129" s="16" t="s">
        <v>1508</v>
      </c>
      <c r="R129" s="32" t="s">
        <v>1806</v>
      </c>
      <c r="S129" s="37" t="n">
        <f aca="false">IFERROR(INDEX('Injectable Value'!$Z$28:$Z$178,MATCH($C129,'Injectable Value'!$A$28:$A$178,0)),"")</f>
        <v>1</v>
      </c>
      <c r="T129" s="18" t="n">
        <f aca="false">IFERROR(ROUND(INDEX('Injectable Value'!$AA$28:$AA$178,MATCH($C129,'Injectable Value'!$A$28:$A$178,0)),1),"")</f>
        <v>0.2</v>
      </c>
      <c r="U129" s="16" t="s">
        <v>247</v>
      </c>
      <c r="V129" s="15" t="n">
        <v>1</v>
      </c>
      <c r="W129" s="15" t="s">
        <v>247</v>
      </c>
      <c r="X129" s="15" t="s">
        <v>258</v>
      </c>
      <c r="Y129" s="15" t="s">
        <v>249</v>
      </c>
      <c r="Z129" s="16" t="str">
        <f aca="false">IFERROR(INDEX(Scoring!$K:$K,MATCH($C129&amp;"|"&amp;$E129,Scoring!$U:$U,0)),"")</f>
        <v>Prefilled only</v>
      </c>
      <c r="AA129" s="15" t="str">
        <f aca="false">IFERROR(INDEX(Scoring!$Q:$Q,MATCH($C129&amp;"|"&amp;$E129,Scoring!$U:$U,0)),"")</f>
        <v>Priority 2</v>
      </c>
      <c r="AB129" s="15" t="str">
        <f aca="false">IFERROR(INDEX(Scoring!$AK:$AK,MATCH($C129&amp;"|"&amp;$E129,Scoring!$U:$U,0)),"")</f>
        <v>Priority 2</v>
      </c>
      <c r="AC129" s="18" t="n">
        <f aca="false">IFERROR(INDEX(Scoring!$M:$M,MATCH($C129&amp;"|"&amp;$E129,Scoring!$U:$U,0)),"")</f>
        <v>25</v>
      </c>
      <c r="AD129" s="15" t="str">
        <f aca="false">IFERROR(INDEX('Route of Administration'!$C$5:$C$155,MATCH($C129,'Route of Administration'!$A$5:$A$155,0)),"")</f>
        <v>SC</v>
      </c>
      <c r="AE129" s="14" t="str">
        <f aca="false">IFERROR(INDEX('Route of Administration'!$D$5:$D$155,MATCH($C129,'Route of Administration'!$A$5:$A$155,0)),"")</f>
        <v>Yes</v>
      </c>
    </row>
    <row r="130" customFormat="false" ht="28.35" hidden="false" customHeight="false" outlineLevel="0" collapsed="false">
      <c r="B130" s="15" t="n">
        <v>128</v>
      </c>
      <c r="C130" s="15" t="s">
        <v>356</v>
      </c>
      <c r="D130" s="15" t="s">
        <v>356</v>
      </c>
      <c r="E130" s="15" t="s">
        <v>188</v>
      </c>
      <c r="F130" s="15" t="s">
        <v>1807</v>
      </c>
      <c r="G130" s="16" t="s">
        <v>1808</v>
      </c>
      <c r="H130" s="15" t="s">
        <v>1505</v>
      </c>
      <c r="I130" s="17" t="n">
        <v>81.96</v>
      </c>
      <c r="J130" s="15" t="n">
        <v>1</v>
      </c>
      <c r="K130" s="15" t="n">
        <v>312</v>
      </c>
      <c r="L130" s="18" t="n">
        <v>59827.18</v>
      </c>
      <c r="M130" s="16" t="s">
        <v>357</v>
      </c>
      <c r="N130" s="17" t="n">
        <v>81.96</v>
      </c>
      <c r="O130" s="15" t="s">
        <v>1506</v>
      </c>
      <c r="P130" s="15" t="s">
        <v>1672</v>
      </c>
      <c r="Q130" s="16" t="s">
        <v>1508</v>
      </c>
      <c r="R130" s="32" t="s">
        <v>1809</v>
      </c>
      <c r="S130" s="37" t="n">
        <f aca="false">IFERROR(INDEX('Injectable Value'!$Z$28:$Z$178,MATCH($C130,'Injectable Value'!$A$28:$A$178,0)),"")</f>
        <v>1</v>
      </c>
      <c r="T130" s="18" t="n">
        <f aca="false">IFERROR(ROUND(INDEX('Injectable Value'!$AA$28:$AA$178,MATCH($C130,'Injectable Value'!$A$28:$A$178,0)),1),"")</f>
        <v>59827.2</v>
      </c>
      <c r="U130" s="16" t="s">
        <v>597</v>
      </c>
      <c r="V130" s="15" t="n">
        <v>5</v>
      </c>
      <c r="W130" s="15" t="s">
        <v>594</v>
      </c>
      <c r="X130" s="15" t="s">
        <v>248</v>
      </c>
      <c r="Y130" s="15" t="s">
        <v>249</v>
      </c>
      <c r="Z130" s="16" t="str">
        <f aca="false">IFERROR(INDEX(Scoring!$K:$K,MATCH($C130&amp;"|"&amp;$E130,Scoring!$U:$U,0)),"")</f>
        <v>Reconstitution</v>
      </c>
      <c r="AA130" s="15" t="str">
        <f aca="false">IFERROR(INDEX(Scoring!$Q:$Q,MATCH($C130&amp;"|"&amp;$E130,Scoring!$U:$U,0)),"")</f>
        <v>Excluded – IV only</v>
      </c>
      <c r="AB130" s="15" t="str">
        <f aca="false">IFERROR(INDEX(Scoring!$AK:$AK,MATCH($C130&amp;"|"&amp;$E130,Scoring!$U:$U,0)),"")</f>
        <v>Excluded – IV only</v>
      </c>
      <c r="AC130" s="18" t="n">
        <f aca="false">IFERROR(INDEX(Scoring!$M:$M,MATCH($C130&amp;"|"&amp;$E130,Scoring!$U:$U,0)),"")</f>
        <v>312</v>
      </c>
      <c r="AD130" s="15" t="str">
        <f aca="false">IFERROR(INDEX('Route of Administration'!$C$5:$C$155,MATCH($C130,'Route of Administration'!$A$5:$A$155,0)),"")</f>
        <v>IV</v>
      </c>
      <c r="AE130" s="14" t="str">
        <f aca="false">IFERROR(INDEX('Route of Administration'!$D$5:$D$155,MATCH($C130,'Route of Administration'!$A$5:$A$155,0)),"")</f>
        <v>No</v>
      </c>
    </row>
    <row r="131" customFormat="false" ht="28.35" hidden="false" customHeight="false" outlineLevel="0" collapsed="false">
      <c r="B131" s="15" t="n">
        <v>129</v>
      </c>
      <c r="C131" s="15" t="s">
        <v>356</v>
      </c>
      <c r="D131" s="15" t="s">
        <v>1810</v>
      </c>
      <c r="E131" s="15" t="s">
        <v>188</v>
      </c>
      <c r="F131" s="15" t="s">
        <v>1688</v>
      </c>
      <c r="G131" s="16" t="s">
        <v>1689</v>
      </c>
      <c r="H131" s="15" t="s">
        <v>1505</v>
      </c>
      <c r="I131" s="17" t="n">
        <v>93.7335</v>
      </c>
      <c r="J131" s="15" t="n">
        <v>28</v>
      </c>
      <c r="K131" s="15" t="n">
        <v>312</v>
      </c>
      <c r="L131" s="18" t="n">
        <v>59827.18</v>
      </c>
      <c r="M131" s="16" t="s">
        <v>357</v>
      </c>
      <c r="N131" s="17" t="n">
        <v>93.7335</v>
      </c>
      <c r="O131" s="15" t="s">
        <v>1506</v>
      </c>
      <c r="P131" s="15" t="s">
        <v>1533</v>
      </c>
      <c r="Q131" s="16" t="s">
        <v>1508</v>
      </c>
      <c r="R131" s="32" t="s">
        <v>1673</v>
      </c>
      <c r="S131" s="37" t="n">
        <f aca="false">IFERROR(INDEX('Injectable Value'!$Z$28:$Z$178,MATCH($C131,'Injectable Value'!$A$28:$A$178,0)),"")</f>
        <v>1</v>
      </c>
      <c r="T131" s="18" t="n">
        <f aca="false">IFERROR(ROUND(INDEX('Injectable Value'!$AA$28:$AA$178,MATCH($C131,'Injectable Value'!$A$28:$A$178,0)),1),"")</f>
        <v>59827.2</v>
      </c>
      <c r="U131" s="16" t="s">
        <v>597</v>
      </c>
      <c r="V131" s="15" t="n">
        <v>5</v>
      </c>
      <c r="W131" s="15" t="s">
        <v>594</v>
      </c>
      <c r="X131" s="15" t="s">
        <v>248</v>
      </c>
      <c r="Y131" s="15" t="s">
        <v>299</v>
      </c>
      <c r="Z131" s="16" t="str">
        <f aca="false">IFERROR(INDEX(Scoring!$K:$K,MATCH($C131&amp;"|"&amp;$E131,Scoring!$U:$U,0)),"")</f>
        <v>Reconstitution</v>
      </c>
      <c r="AA131" s="15" t="str">
        <f aca="false">IFERROR(INDEX(Scoring!$Q:$Q,MATCH($C131&amp;"|"&amp;$E131,Scoring!$U:$U,0)),"")</f>
        <v>Excluded – IV only</v>
      </c>
      <c r="AB131" s="15" t="str">
        <f aca="false">IFERROR(INDEX(Scoring!$AK:$AK,MATCH($C131&amp;"|"&amp;$E131,Scoring!$U:$U,0)),"")</f>
        <v>Excluded – IV only</v>
      </c>
      <c r="AC131" s="18" t="n">
        <f aca="false">IFERROR(INDEX(Scoring!$M:$M,MATCH($C131&amp;"|"&amp;$E131,Scoring!$U:$U,0)),"")</f>
        <v>312</v>
      </c>
      <c r="AD131" s="15" t="str">
        <f aca="false">IFERROR(INDEX('Route of Administration'!$C$5:$C$155,MATCH($C131,'Route of Administration'!$A$5:$A$155,0)),"")</f>
        <v>IV</v>
      </c>
      <c r="AE131" s="14" t="str">
        <f aca="false">IFERROR(INDEX('Route of Administration'!$D$5:$D$155,MATCH($C131,'Route of Administration'!$A$5:$A$155,0)),"")</f>
        <v>No</v>
      </c>
    </row>
    <row r="132" customFormat="false" ht="28.35" hidden="false" customHeight="false" outlineLevel="0" collapsed="false">
      <c r="B132" s="15" t="n">
        <v>130</v>
      </c>
      <c r="C132" s="15" t="s">
        <v>262</v>
      </c>
      <c r="D132" s="15" t="s">
        <v>600</v>
      </c>
      <c r="E132" s="15" t="s">
        <v>188</v>
      </c>
      <c r="F132" s="15" t="s">
        <v>1698</v>
      </c>
      <c r="G132" s="16" t="s">
        <v>1811</v>
      </c>
      <c r="H132" s="15" t="s">
        <v>1512</v>
      </c>
      <c r="I132" s="17" t="n">
        <v>531.8684</v>
      </c>
      <c r="J132" s="15" t="n">
        <v>31</v>
      </c>
      <c r="K132" s="15" t="n">
        <v>146</v>
      </c>
      <c r="L132" s="18" t="n">
        <v>11366.06</v>
      </c>
      <c r="M132" s="16" t="s">
        <v>263</v>
      </c>
      <c r="N132" s="17" t="n">
        <v>531.8684</v>
      </c>
      <c r="O132" s="15" t="s">
        <v>1506</v>
      </c>
      <c r="P132" s="15" t="s">
        <v>1533</v>
      </c>
      <c r="Q132" s="16" t="s">
        <v>1508</v>
      </c>
      <c r="R132" s="32" t="s">
        <v>1673</v>
      </c>
      <c r="S132" s="37" t="n">
        <f aca="false">IFERROR(INDEX('Injectable Value'!$Z$28:$Z$178,MATCH($C132,'Injectable Value'!$A$28:$A$178,0)),"")</f>
        <v>1</v>
      </c>
      <c r="T132" s="18" t="n">
        <f aca="false">IFERROR(ROUND(INDEX('Injectable Value'!$AA$28:$AA$178,MATCH($C132,'Injectable Value'!$A$28:$A$178,0)),1),"")</f>
        <v>11366.1</v>
      </c>
      <c r="U132" s="16" t="s">
        <v>422</v>
      </c>
      <c r="V132" s="15" t="n">
        <v>1</v>
      </c>
      <c r="W132" s="15" t="s">
        <v>418</v>
      </c>
      <c r="X132" s="15" t="s">
        <v>258</v>
      </c>
      <c r="Y132" s="15" t="s">
        <v>249</v>
      </c>
      <c r="Z132" s="16" t="str">
        <f aca="false">IFERROR(INDEX(Scoring!$K:$K,MATCH($C132&amp;"|"&amp;$E132,Scoring!$U:$U,0)),"")</f>
        <v>Prefilled only</v>
      </c>
      <c r="AA132" s="15" t="str">
        <f aca="false">IFERROR(INDEX(Scoring!$Q:$Q,MATCH($C132&amp;"|"&amp;$E132,Scoring!$U:$U,0)),"")</f>
        <v>Priority 1</v>
      </c>
      <c r="AB132" s="15" t="str">
        <f aca="false">IFERROR(INDEX(Scoring!$AK:$AK,MATCH($C132&amp;"|"&amp;$E132,Scoring!$U:$U,0)),"")</f>
        <v>Priority 2</v>
      </c>
      <c r="AC132" s="18" t="n">
        <f aca="false">IFERROR(INDEX(Scoring!$M:$M,MATCH($C132&amp;"|"&amp;$E132,Scoring!$U:$U,0)),"")</f>
        <v>146</v>
      </c>
      <c r="AD132" s="15" t="str">
        <f aca="false">IFERROR(INDEX('Route of Administration'!$C$5:$C$155,MATCH($C132,'Route of Administration'!$A$5:$A$155,0)),"")</f>
        <v>IM</v>
      </c>
      <c r="AE132" s="14" t="str">
        <f aca="false">IFERROR(INDEX('Route of Administration'!$D$5:$D$155,MATCH($C132,'Route of Administration'!$A$5:$A$155,0)),"")</f>
        <v>Yes</v>
      </c>
    </row>
    <row r="133" customFormat="false" ht="28.35" hidden="false" customHeight="false" outlineLevel="0" collapsed="false">
      <c r="B133" s="15" t="n">
        <v>131</v>
      </c>
      <c r="C133" s="15" t="s">
        <v>635</v>
      </c>
      <c r="D133" s="15" t="s">
        <v>1812</v>
      </c>
      <c r="E133" s="15" t="s">
        <v>188</v>
      </c>
      <c r="F133" s="15" t="s">
        <v>1813</v>
      </c>
      <c r="G133" s="16" t="s">
        <v>1814</v>
      </c>
      <c r="H133" s="15" t="s">
        <v>1505</v>
      </c>
      <c r="I133" s="17" t="n">
        <v>65.0089</v>
      </c>
      <c r="J133" s="15" t="n">
        <v>31</v>
      </c>
      <c r="K133" s="15" t="n">
        <v>346</v>
      </c>
      <c r="L133" s="18" t="n">
        <v>32830.17</v>
      </c>
      <c r="M133" s="16" t="s">
        <v>636</v>
      </c>
      <c r="N133" s="17" t="n">
        <v>65.0089</v>
      </c>
      <c r="O133" s="15" t="s">
        <v>1506</v>
      </c>
      <c r="P133" s="15" t="s">
        <v>1507</v>
      </c>
      <c r="Q133" s="16" t="s">
        <v>1508</v>
      </c>
      <c r="R133" s="32" t="s">
        <v>1815</v>
      </c>
      <c r="S133" s="37" t="n">
        <f aca="false">IFERROR(INDEX('Injectable Value'!$Z$28:$Z$178,MATCH($C133,'Injectable Value'!$A$28:$A$178,0)),"")</f>
        <v>1</v>
      </c>
      <c r="T133" s="18" t="n">
        <f aca="false">IFERROR(ROUND(INDEX('Injectable Value'!$AA$28:$AA$178,MATCH($C133,'Injectable Value'!$A$28:$A$178,0)),1),"")</f>
        <v>32830.2</v>
      </c>
      <c r="U133" s="16" t="s">
        <v>640</v>
      </c>
      <c r="V133" s="15" t="n">
        <v>4</v>
      </c>
      <c r="W133" s="15" t="s">
        <v>418</v>
      </c>
      <c r="X133" s="15" t="s">
        <v>248</v>
      </c>
      <c r="Y133" s="15" t="s">
        <v>249</v>
      </c>
      <c r="Z133" s="16" t="str">
        <f aca="false">IFERROR(INDEX(Scoring!$K:$K,MATCH($C133&amp;"|"&amp;$E133,Scoring!$U:$U,0)),"")</f>
        <v/>
      </c>
      <c r="AA133" s="15" t="str">
        <f aca="false">IFERROR(INDEX(Scoring!$Q:$Q,MATCH($C133&amp;"|"&amp;$E133,Scoring!$U:$U,0)),"")</f>
        <v>Excluded – IV only</v>
      </c>
      <c r="AB133" s="15" t="str">
        <f aca="false">IFERROR(INDEX(Scoring!$AK:$AK,MATCH($C133&amp;"|"&amp;$E133,Scoring!$U:$U,0)),"")</f>
        <v>Excluded – IV only</v>
      </c>
      <c r="AC133" s="18" t="n">
        <f aca="false">IFERROR(INDEX(Scoring!$M:$M,MATCH($C133&amp;"|"&amp;$E133,Scoring!$U:$U,0)),"")</f>
        <v>346</v>
      </c>
      <c r="AD133" s="15" t="str">
        <f aca="false">IFERROR(INDEX('Route of Administration'!$C$5:$C$155,MATCH($C133,'Route of Administration'!$A$5:$A$155,0)),"")</f>
        <v>IV</v>
      </c>
      <c r="AE133" s="14" t="str">
        <f aca="false">IFERROR(INDEX('Route of Administration'!$D$5:$D$155,MATCH($C133,'Route of Administration'!$A$5:$A$155,0)),"")</f>
        <v>No</v>
      </c>
    </row>
    <row r="134" customFormat="false" ht="28.35" hidden="false" customHeight="false" outlineLevel="0" collapsed="false">
      <c r="B134" s="15" t="n">
        <v>132</v>
      </c>
      <c r="C134" s="15" t="s">
        <v>635</v>
      </c>
      <c r="D134" s="15" t="s">
        <v>1816</v>
      </c>
      <c r="E134" s="15" t="s">
        <v>188</v>
      </c>
      <c r="F134" s="15" t="s">
        <v>1817</v>
      </c>
      <c r="G134" s="16" t="s">
        <v>1818</v>
      </c>
      <c r="H134" s="15" t="s">
        <v>1505</v>
      </c>
      <c r="I134" s="17"/>
      <c r="J134" s="15" t="n">
        <v>1</v>
      </c>
      <c r="K134" s="15" t="n">
        <v>346</v>
      </c>
      <c r="L134" s="18" t="n">
        <v>32830.17</v>
      </c>
      <c r="M134" s="16" t="s">
        <v>636</v>
      </c>
      <c r="N134" s="17"/>
      <c r="O134" s="15" t="s">
        <v>1545</v>
      </c>
      <c r="P134" s="15" t="s">
        <v>70</v>
      </c>
      <c r="Q134" s="16" t="s">
        <v>70</v>
      </c>
      <c r="R134" s="15"/>
      <c r="S134" s="37" t="n">
        <f aca="false">IFERROR(INDEX('Injectable Value'!$Z$28:$Z$178,MATCH($C134,'Injectable Value'!$A$28:$A$178,0)),"")</f>
        <v>1</v>
      </c>
      <c r="T134" s="18" t="n">
        <f aca="false">IFERROR(ROUND(INDEX('Injectable Value'!$AA$28:$AA$178,MATCH($C134,'Injectable Value'!$A$28:$A$178,0)),1),"")</f>
        <v>32830.2</v>
      </c>
      <c r="U134" s="16" t="s">
        <v>640</v>
      </c>
      <c r="V134" s="15" t="n">
        <v>4</v>
      </c>
      <c r="W134" s="15" t="s">
        <v>418</v>
      </c>
      <c r="X134" s="15" t="s">
        <v>248</v>
      </c>
      <c r="Y134" s="15" t="s">
        <v>249</v>
      </c>
      <c r="Z134" s="16" t="str">
        <f aca="false">IFERROR(INDEX(Scoring!$K:$K,MATCH($C134&amp;"|"&amp;$E134,Scoring!$U:$U,0)),"")</f>
        <v/>
      </c>
      <c r="AA134" s="15" t="str">
        <f aca="false">IFERROR(INDEX(Scoring!$Q:$Q,MATCH($C134&amp;"|"&amp;$E134,Scoring!$U:$U,0)),"")</f>
        <v>Excluded – IV only</v>
      </c>
      <c r="AB134" s="15" t="str">
        <f aca="false">IFERROR(INDEX(Scoring!$AK:$AK,MATCH($C134&amp;"|"&amp;$E134,Scoring!$U:$U,0)),"")</f>
        <v>Excluded – IV only</v>
      </c>
      <c r="AC134" s="18" t="n">
        <f aca="false">IFERROR(INDEX(Scoring!$M:$M,MATCH($C134&amp;"|"&amp;$E134,Scoring!$U:$U,0)),"")</f>
        <v>346</v>
      </c>
      <c r="AD134" s="15" t="str">
        <f aca="false">IFERROR(INDEX('Route of Administration'!$C$5:$C$155,MATCH($C134,'Route of Administration'!$A$5:$A$155,0)),"")</f>
        <v>IV</v>
      </c>
      <c r="AE134" s="14" t="str">
        <f aca="false">IFERROR(INDEX('Route of Administration'!$D$5:$D$155,MATCH($C134,'Route of Administration'!$A$5:$A$155,0)),"")</f>
        <v>No</v>
      </c>
    </row>
    <row r="135" customFormat="false" ht="28.35" hidden="false" customHeight="false" outlineLevel="0" collapsed="false">
      <c r="B135" s="15" t="n">
        <v>133</v>
      </c>
      <c r="C135" s="15" t="s">
        <v>635</v>
      </c>
      <c r="D135" s="15" t="s">
        <v>1816</v>
      </c>
      <c r="E135" s="15" t="s">
        <v>188</v>
      </c>
      <c r="F135" s="15" t="s">
        <v>1819</v>
      </c>
      <c r="G135" s="16" t="s">
        <v>1820</v>
      </c>
      <c r="H135" s="15" t="s">
        <v>1505</v>
      </c>
      <c r="I135" s="17"/>
      <c r="J135" s="15" t="n">
        <v>1</v>
      </c>
      <c r="K135" s="15" t="n">
        <v>346</v>
      </c>
      <c r="L135" s="18" t="n">
        <v>32830.17</v>
      </c>
      <c r="M135" s="16" t="s">
        <v>636</v>
      </c>
      <c r="N135" s="17"/>
      <c r="O135" s="15" t="s">
        <v>1545</v>
      </c>
      <c r="P135" s="15" t="s">
        <v>70</v>
      </c>
      <c r="Q135" s="16" t="s">
        <v>70</v>
      </c>
      <c r="R135" s="15"/>
      <c r="S135" s="37" t="n">
        <f aca="false">IFERROR(INDEX('Injectable Value'!$Z$28:$Z$178,MATCH($C135,'Injectable Value'!$A$28:$A$178,0)),"")</f>
        <v>1</v>
      </c>
      <c r="T135" s="18" t="n">
        <f aca="false">IFERROR(ROUND(INDEX('Injectable Value'!$AA$28:$AA$178,MATCH($C135,'Injectable Value'!$A$28:$A$178,0)),1),"")</f>
        <v>32830.2</v>
      </c>
      <c r="U135" s="16" t="s">
        <v>640</v>
      </c>
      <c r="V135" s="15" t="n">
        <v>4</v>
      </c>
      <c r="W135" s="15" t="s">
        <v>418</v>
      </c>
      <c r="X135" s="15" t="s">
        <v>248</v>
      </c>
      <c r="Y135" s="15" t="s">
        <v>249</v>
      </c>
      <c r="Z135" s="16" t="str">
        <f aca="false">IFERROR(INDEX(Scoring!$K:$K,MATCH($C135&amp;"|"&amp;$E135,Scoring!$U:$U,0)),"")</f>
        <v/>
      </c>
      <c r="AA135" s="15" t="str">
        <f aca="false">IFERROR(INDEX(Scoring!$Q:$Q,MATCH($C135&amp;"|"&amp;$E135,Scoring!$U:$U,0)),"")</f>
        <v>Excluded – IV only</v>
      </c>
      <c r="AB135" s="15" t="str">
        <f aca="false">IFERROR(INDEX(Scoring!$AK:$AK,MATCH($C135&amp;"|"&amp;$E135,Scoring!$U:$U,0)),"")</f>
        <v>Excluded – IV only</v>
      </c>
      <c r="AC135" s="18" t="n">
        <f aca="false">IFERROR(INDEX(Scoring!$M:$M,MATCH($C135&amp;"|"&amp;$E135,Scoring!$U:$U,0)),"")</f>
        <v>346</v>
      </c>
      <c r="AD135" s="15" t="str">
        <f aca="false">IFERROR(INDEX('Route of Administration'!$C$5:$C$155,MATCH($C135,'Route of Administration'!$A$5:$A$155,0)),"")</f>
        <v>IV</v>
      </c>
      <c r="AE135" s="14" t="str">
        <f aca="false">IFERROR(INDEX('Route of Administration'!$D$5:$D$155,MATCH($C135,'Route of Administration'!$A$5:$A$155,0)),"")</f>
        <v>No</v>
      </c>
    </row>
    <row r="136" customFormat="false" ht="28.35" hidden="false" customHeight="false" outlineLevel="0" collapsed="false">
      <c r="B136" s="15" t="n">
        <v>134</v>
      </c>
      <c r="C136" s="15" t="s">
        <v>356</v>
      </c>
      <c r="D136" s="15" t="s">
        <v>1821</v>
      </c>
      <c r="E136" s="15" t="s">
        <v>188</v>
      </c>
      <c r="F136" s="15" t="s">
        <v>1822</v>
      </c>
      <c r="G136" s="16" t="s">
        <v>1823</v>
      </c>
      <c r="H136" s="15" t="s">
        <v>1505</v>
      </c>
      <c r="I136" s="17"/>
      <c r="J136" s="15" t="n">
        <v>1</v>
      </c>
      <c r="K136" s="15" t="n">
        <v>312</v>
      </c>
      <c r="L136" s="18" t="n">
        <v>59827.18</v>
      </c>
      <c r="M136" s="16" t="s">
        <v>357</v>
      </c>
      <c r="N136" s="17"/>
      <c r="O136" s="15" t="s">
        <v>1545</v>
      </c>
      <c r="P136" s="15" t="s">
        <v>70</v>
      </c>
      <c r="Q136" s="16" t="s">
        <v>70</v>
      </c>
      <c r="R136" s="15"/>
      <c r="S136" s="37" t="n">
        <f aca="false">IFERROR(INDEX('Injectable Value'!$Z$28:$Z$178,MATCH($C136,'Injectable Value'!$A$28:$A$178,0)),"")</f>
        <v>1</v>
      </c>
      <c r="T136" s="18" t="n">
        <f aca="false">IFERROR(ROUND(INDEX('Injectable Value'!$AA$28:$AA$178,MATCH($C136,'Injectable Value'!$A$28:$A$178,0)),1),"")</f>
        <v>59827.2</v>
      </c>
      <c r="U136" s="16" t="s">
        <v>597</v>
      </c>
      <c r="V136" s="15" t="n">
        <v>5</v>
      </c>
      <c r="W136" s="15" t="s">
        <v>594</v>
      </c>
      <c r="X136" s="15" t="s">
        <v>248</v>
      </c>
      <c r="Y136" s="15" t="s">
        <v>299</v>
      </c>
      <c r="Z136" s="16" t="str">
        <f aca="false">IFERROR(INDEX(Scoring!$K:$K,MATCH($C136&amp;"|"&amp;$E136,Scoring!$U:$U,0)),"")</f>
        <v>Reconstitution</v>
      </c>
      <c r="AA136" s="15" t="str">
        <f aca="false">IFERROR(INDEX(Scoring!$Q:$Q,MATCH($C136&amp;"|"&amp;$E136,Scoring!$U:$U,0)),"")</f>
        <v>Excluded – IV only</v>
      </c>
      <c r="AB136" s="15" t="str">
        <f aca="false">IFERROR(INDEX(Scoring!$AK:$AK,MATCH($C136&amp;"|"&amp;$E136,Scoring!$U:$U,0)),"")</f>
        <v>Excluded – IV only</v>
      </c>
      <c r="AC136" s="18" t="n">
        <f aca="false">IFERROR(INDEX(Scoring!$M:$M,MATCH($C136&amp;"|"&amp;$E136,Scoring!$U:$U,0)),"")</f>
        <v>312</v>
      </c>
      <c r="AD136" s="15" t="str">
        <f aca="false">IFERROR(INDEX('Route of Administration'!$C$5:$C$155,MATCH($C136,'Route of Administration'!$A$5:$A$155,0)),"")</f>
        <v>IV</v>
      </c>
      <c r="AE136" s="14" t="str">
        <f aca="false">IFERROR(INDEX('Route of Administration'!$D$5:$D$155,MATCH($C136,'Route of Administration'!$A$5:$A$155,0)),"")</f>
        <v>No</v>
      </c>
    </row>
    <row r="137" customFormat="false" ht="28.35" hidden="false" customHeight="false" outlineLevel="0" collapsed="false">
      <c r="B137" s="15" t="n">
        <v>135</v>
      </c>
      <c r="C137" s="15" t="s">
        <v>356</v>
      </c>
      <c r="D137" s="15" t="s">
        <v>1821</v>
      </c>
      <c r="E137" s="15" t="s">
        <v>188</v>
      </c>
      <c r="F137" s="15" t="s">
        <v>1757</v>
      </c>
      <c r="G137" s="16" t="s">
        <v>1758</v>
      </c>
      <c r="H137" s="15" t="s">
        <v>1505</v>
      </c>
      <c r="I137" s="17"/>
      <c r="J137" s="15" t="n">
        <v>1</v>
      </c>
      <c r="K137" s="15" t="n">
        <v>312</v>
      </c>
      <c r="L137" s="18" t="n">
        <v>59827.18</v>
      </c>
      <c r="M137" s="16" t="s">
        <v>357</v>
      </c>
      <c r="N137" s="17"/>
      <c r="O137" s="15" t="s">
        <v>1545</v>
      </c>
      <c r="P137" s="15" t="s">
        <v>70</v>
      </c>
      <c r="Q137" s="16" t="s">
        <v>70</v>
      </c>
      <c r="R137" s="15"/>
      <c r="S137" s="37" t="n">
        <f aca="false">IFERROR(INDEX('Injectable Value'!$Z$28:$Z$178,MATCH($C137,'Injectable Value'!$A$28:$A$178,0)),"")</f>
        <v>1</v>
      </c>
      <c r="T137" s="18" t="n">
        <f aca="false">IFERROR(ROUND(INDEX('Injectable Value'!$AA$28:$AA$178,MATCH($C137,'Injectable Value'!$A$28:$A$178,0)),1),"")</f>
        <v>59827.2</v>
      </c>
      <c r="U137" s="16" t="s">
        <v>597</v>
      </c>
      <c r="V137" s="15" t="n">
        <v>5</v>
      </c>
      <c r="W137" s="15" t="s">
        <v>594</v>
      </c>
      <c r="X137" s="15" t="s">
        <v>248</v>
      </c>
      <c r="Y137" s="15" t="s">
        <v>299</v>
      </c>
      <c r="Z137" s="16" t="str">
        <f aca="false">IFERROR(INDEX(Scoring!$K:$K,MATCH($C137&amp;"|"&amp;$E137,Scoring!$U:$U,0)),"")</f>
        <v>Reconstitution</v>
      </c>
      <c r="AA137" s="15" t="str">
        <f aca="false">IFERROR(INDEX(Scoring!$Q:$Q,MATCH($C137&amp;"|"&amp;$E137,Scoring!$U:$U,0)),"")</f>
        <v>Excluded – IV only</v>
      </c>
      <c r="AB137" s="15" t="str">
        <f aca="false">IFERROR(INDEX(Scoring!$AK:$AK,MATCH($C137&amp;"|"&amp;$E137,Scoring!$U:$U,0)),"")</f>
        <v>Excluded – IV only</v>
      </c>
      <c r="AC137" s="18" t="n">
        <f aca="false">IFERROR(INDEX(Scoring!$M:$M,MATCH($C137&amp;"|"&amp;$E137,Scoring!$U:$U,0)),"")</f>
        <v>312</v>
      </c>
      <c r="AD137" s="15" t="str">
        <f aca="false">IFERROR(INDEX('Route of Administration'!$C$5:$C$155,MATCH($C137,'Route of Administration'!$A$5:$A$155,0)),"")</f>
        <v>IV</v>
      </c>
      <c r="AE137" s="14" t="str">
        <f aca="false">IFERROR(INDEX('Route of Administration'!$D$5:$D$155,MATCH($C137,'Route of Administration'!$A$5:$A$155,0)),"")</f>
        <v>No</v>
      </c>
    </row>
    <row r="138" customFormat="false" ht="28.35" hidden="false" customHeight="false" outlineLevel="0" collapsed="false">
      <c r="B138" s="15" t="n">
        <v>136</v>
      </c>
      <c r="C138" s="15" t="s">
        <v>651</v>
      </c>
      <c r="D138" s="15" t="s">
        <v>655</v>
      </c>
      <c r="E138" s="15" t="s">
        <v>188</v>
      </c>
      <c r="F138" s="15" t="s">
        <v>1824</v>
      </c>
      <c r="G138" s="16" t="s">
        <v>1825</v>
      </c>
      <c r="H138" s="15" t="s">
        <v>1505</v>
      </c>
      <c r="I138" s="17"/>
      <c r="J138" s="15" t="n">
        <v>1</v>
      </c>
      <c r="K138" s="15" t="n">
        <v>848</v>
      </c>
      <c r="L138" s="18" t="n">
        <v>142879.93</v>
      </c>
      <c r="M138" s="16" t="s">
        <v>652</v>
      </c>
      <c r="N138" s="38" t="n">
        <v>73.63</v>
      </c>
      <c r="O138" s="22" t="s">
        <v>1513</v>
      </c>
      <c r="P138" s="15" t="s">
        <v>1507</v>
      </c>
      <c r="Q138" s="16" t="s">
        <v>1826</v>
      </c>
      <c r="R138" s="32" t="s">
        <v>1827</v>
      </c>
      <c r="S138" s="37" t="n">
        <f aca="false">IFERROR(INDEX('Injectable Value'!$Z$28:$Z$178,MATCH($C138,'Injectable Value'!$A$28:$A$178,0)),"")</f>
        <v>0.928913192071087</v>
      </c>
      <c r="T138" s="18" t="n">
        <f aca="false">IFERROR(ROUND(INDEX('Injectable Value'!$AA$28:$AA$178,MATCH($C138,'Injectable Value'!$A$28:$A$178,0)),1),"")</f>
        <v>132723.1</v>
      </c>
      <c r="U138" s="16" t="s">
        <v>583</v>
      </c>
      <c r="V138" s="15" t="n">
        <v>1</v>
      </c>
      <c r="W138" s="15" t="s">
        <v>70</v>
      </c>
      <c r="X138" s="15" t="s">
        <v>248</v>
      </c>
      <c r="Y138" s="15" t="s">
        <v>299</v>
      </c>
      <c r="Z138" s="16" t="str">
        <f aca="false">IFERROR(INDEX(Scoring!$K:$K,MATCH($C138&amp;"|"&amp;$E138,Scoring!$U:$U,0)),"")</f>
        <v>Reconstitution</v>
      </c>
      <c r="AA138" s="15" t="str">
        <f aca="false">IFERROR(INDEX(Scoring!$Q:$Q,MATCH($C138&amp;"|"&amp;$E138,Scoring!$U:$U,0)),"")</f>
        <v>Excluded – IV only</v>
      </c>
      <c r="AB138" s="15" t="str">
        <f aca="false">IFERROR(INDEX(Scoring!$AK:$AK,MATCH($C138&amp;"|"&amp;$E138,Scoring!$U:$U,0)),"")</f>
        <v>Excluded – IV only</v>
      </c>
      <c r="AC138" s="18" t="n">
        <f aca="false">IFERROR(INDEX(Scoring!$M:$M,MATCH($C138&amp;"|"&amp;$E138,Scoring!$U:$U,0)),"")</f>
        <v>788</v>
      </c>
      <c r="AD138" s="15" t="str">
        <f aca="false">IFERROR(INDEX('Route of Administration'!$C$5:$C$155,MATCH($C138,'Route of Administration'!$A$5:$A$155,0)),"")</f>
        <v>IV</v>
      </c>
      <c r="AE138" s="14" t="str">
        <f aca="false">IFERROR(INDEX('Route of Administration'!$D$5:$D$155,MATCH($C138,'Route of Administration'!$A$5:$A$155,0)),"")</f>
        <v>No</v>
      </c>
    </row>
    <row r="139" customFormat="false" ht="28.35" hidden="false" customHeight="false" outlineLevel="0" collapsed="false">
      <c r="B139" s="15" t="n">
        <v>137</v>
      </c>
      <c r="C139" s="15" t="s">
        <v>601</v>
      </c>
      <c r="D139" s="15" t="s">
        <v>1828</v>
      </c>
      <c r="E139" s="15" t="s">
        <v>188</v>
      </c>
      <c r="F139" s="15" t="s">
        <v>1771</v>
      </c>
      <c r="G139" s="16" t="s">
        <v>1772</v>
      </c>
      <c r="H139" s="15" t="s">
        <v>1505</v>
      </c>
      <c r="I139" s="17"/>
      <c r="J139" s="15" t="n">
        <v>1</v>
      </c>
      <c r="K139" s="15" t="n">
        <v>2582</v>
      </c>
      <c r="L139" s="18" t="n">
        <v>38106.07</v>
      </c>
      <c r="M139" s="16" t="s">
        <v>602</v>
      </c>
      <c r="N139" s="38" t="n">
        <v>23.15</v>
      </c>
      <c r="O139" s="22" t="s">
        <v>1513</v>
      </c>
      <c r="P139" s="15" t="s">
        <v>1507</v>
      </c>
      <c r="Q139" s="16" t="s">
        <v>1514</v>
      </c>
      <c r="R139" s="32" t="s">
        <v>1515</v>
      </c>
      <c r="S139" s="37" t="n">
        <f aca="false">IFERROR(INDEX('Injectable Value'!$Z$28:$Z$178,MATCH($C139,'Injectable Value'!$A$28:$A$178,0)),"")</f>
        <v>0.125875590958329</v>
      </c>
      <c r="T139" s="18" t="n">
        <f aca="false">IFERROR(ROUND(INDEX('Injectable Value'!$AA$28:$AA$178,MATCH($C139,'Injectable Value'!$A$28:$A$178,0)),1),"")</f>
        <v>4796.6</v>
      </c>
      <c r="U139" s="16" t="s">
        <v>605</v>
      </c>
      <c r="V139" s="15" t="n">
        <v>2</v>
      </c>
      <c r="W139" s="15" t="s">
        <v>247</v>
      </c>
      <c r="X139" s="15" t="s">
        <v>248</v>
      </c>
      <c r="Y139" s="15" t="s">
        <v>299</v>
      </c>
      <c r="Z139" s="16" t="str">
        <f aca="false">IFERROR(INDEX(Scoring!$K:$K,MATCH($C139&amp;"|"&amp;$E139,Scoring!$U:$U,0)),"")</f>
        <v>Reconstitution</v>
      </c>
      <c r="AA139" s="15" t="str">
        <f aca="false">IFERROR(INDEX(Scoring!$Q:$Q,MATCH($C139&amp;"|"&amp;$E139,Scoring!$U:$U,0)),"")</f>
        <v>Priority 2</v>
      </c>
      <c r="AB139" s="15" t="str">
        <f aca="false">IFERROR(INDEX(Scoring!$AK:$AK,MATCH($C139&amp;"|"&amp;$E139,Scoring!$U:$U,0)),"")</f>
        <v>Priority 2</v>
      </c>
      <c r="AC139" s="18" t="n">
        <f aca="false">IFERROR(INDEX(Scoring!$M:$M,MATCH($C139&amp;"|"&amp;$E139,Scoring!$U:$U,0)),"")</f>
        <v>325</v>
      </c>
      <c r="AD139" s="15" t="str">
        <f aca="false">IFERROR(INDEX('Route of Administration'!$C$5:$C$155,MATCH($C139,'Route of Administration'!$A$5:$A$155,0)),"")</f>
        <v>IV, IM</v>
      </c>
      <c r="AE139" s="14" t="str">
        <f aca="false">IFERROR(INDEX('Route of Administration'!$D$5:$D$155,MATCH($C139,'Route of Administration'!$A$5:$A$155,0)),"")</f>
        <v>Yes</v>
      </c>
    </row>
    <row r="140" customFormat="false" ht="28.35" hidden="false" customHeight="false" outlineLevel="0" collapsed="false">
      <c r="B140" s="15" t="n">
        <v>138</v>
      </c>
      <c r="C140" s="15" t="s">
        <v>606</v>
      </c>
      <c r="D140" s="15" t="s">
        <v>1829</v>
      </c>
      <c r="E140" s="15" t="s">
        <v>188</v>
      </c>
      <c r="F140" s="15" t="s">
        <v>1830</v>
      </c>
      <c r="G140" s="16" t="s">
        <v>1831</v>
      </c>
      <c r="H140" s="15" t="s">
        <v>1505</v>
      </c>
      <c r="I140" s="17"/>
      <c r="J140" s="15" t="n">
        <v>1</v>
      </c>
      <c r="K140" s="15" t="n">
        <v>87</v>
      </c>
      <c r="L140" s="18" t="n">
        <v>2931.42</v>
      </c>
      <c r="M140" s="16" t="s">
        <v>607</v>
      </c>
      <c r="N140" s="38" t="n">
        <v>69.18</v>
      </c>
      <c r="O140" s="22" t="s">
        <v>1513</v>
      </c>
      <c r="P140" s="15" t="s">
        <v>1533</v>
      </c>
      <c r="Q140" s="16" t="s">
        <v>1832</v>
      </c>
      <c r="R140" s="32" t="s">
        <v>1833</v>
      </c>
      <c r="S140" s="37" t="n">
        <f aca="false">IFERROR(INDEX('Injectable Value'!$Z$28:$Z$178,MATCH($C140,'Injectable Value'!$A$28:$A$178,0)),"")</f>
        <v>1</v>
      </c>
      <c r="T140" s="18" t="n">
        <f aca="false">IFERROR(ROUND(INDEX('Injectable Value'!$AA$28:$AA$178,MATCH($C140,'Injectable Value'!$A$28:$A$178,0)),1),"")</f>
        <v>2931.4</v>
      </c>
      <c r="U140" s="16" t="s">
        <v>583</v>
      </c>
      <c r="V140" s="15" t="n">
        <v>1</v>
      </c>
      <c r="W140" s="15" t="s">
        <v>70</v>
      </c>
      <c r="X140" s="15" t="s">
        <v>316</v>
      </c>
      <c r="Y140" s="15" t="s">
        <v>249</v>
      </c>
      <c r="Z140" s="16" t="str">
        <f aca="false">IFERROR(INDEX(Scoring!$K:$K,MATCH($C140&amp;"|"&amp;$E140,Scoring!$U:$U,0)),"")</f>
        <v/>
      </c>
      <c r="AA140" s="15" t="str">
        <f aca="false">IFERROR(INDEX(Scoring!$Q:$Q,MATCH($C140&amp;"|"&amp;$E140,Scoring!$U:$U,0)),"")</f>
        <v>Priority 2</v>
      </c>
      <c r="AB140" s="15" t="str">
        <f aca="false">IFERROR(INDEX(Scoring!$AK:$AK,MATCH($C140&amp;"|"&amp;$E140,Scoring!$U:$U,0)),"")</f>
        <v>Priority 2</v>
      </c>
      <c r="AC140" s="18" t="n">
        <f aca="false">IFERROR(INDEX(Scoring!$M:$M,MATCH($C140&amp;"|"&amp;$E140,Scoring!$U:$U,0)),"")</f>
        <v>87</v>
      </c>
      <c r="AD140" s="15" t="str">
        <f aca="false">IFERROR(INDEX('Route of Administration'!$C$5:$C$155,MATCH($C140,'Route of Administration'!$A$5:$A$155,0)),"")</f>
        <v>IV, IM, SC</v>
      </c>
      <c r="AE140" s="14" t="str">
        <f aca="false">IFERROR(INDEX('Route of Administration'!$D$5:$D$155,MATCH($C140,'Route of Administration'!$A$5:$A$155,0)),"")</f>
        <v>Yes</v>
      </c>
    </row>
    <row r="141" customFormat="false" ht="28.35" hidden="false" customHeight="false" outlineLevel="0" collapsed="false">
      <c r="B141" s="15" t="n">
        <v>139</v>
      </c>
      <c r="C141" s="15" t="s">
        <v>606</v>
      </c>
      <c r="D141" s="15" t="s">
        <v>1834</v>
      </c>
      <c r="E141" s="15" t="s">
        <v>188</v>
      </c>
      <c r="F141" s="15" t="s">
        <v>1830</v>
      </c>
      <c r="G141" s="16"/>
      <c r="H141" s="15"/>
      <c r="I141" s="17"/>
      <c r="J141" s="15" t="n">
        <v>1</v>
      </c>
      <c r="K141" s="15" t="n">
        <v>87</v>
      </c>
      <c r="L141" s="18" t="n">
        <v>2931.42</v>
      </c>
      <c r="M141" s="16" t="s">
        <v>607</v>
      </c>
      <c r="N141" s="38" t="n">
        <v>69.18</v>
      </c>
      <c r="O141" s="22" t="s">
        <v>1513</v>
      </c>
      <c r="P141" s="15" t="s">
        <v>1533</v>
      </c>
      <c r="Q141" s="16" t="s">
        <v>1832</v>
      </c>
      <c r="R141" s="32" t="s">
        <v>1833</v>
      </c>
      <c r="S141" s="37" t="n">
        <f aca="false">IFERROR(INDEX('Injectable Value'!$Z$28:$Z$178,MATCH($C141,'Injectable Value'!$A$28:$A$178,0)),"")</f>
        <v>1</v>
      </c>
      <c r="T141" s="18" t="n">
        <f aca="false">IFERROR(ROUND(INDEX('Injectable Value'!$AA$28:$AA$178,MATCH($C141,'Injectable Value'!$A$28:$A$178,0)),1),"")</f>
        <v>2931.4</v>
      </c>
      <c r="U141" s="16" t="s">
        <v>583</v>
      </c>
      <c r="V141" s="15" t="n">
        <v>1</v>
      </c>
      <c r="W141" s="15" t="s">
        <v>70</v>
      </c>
      <c r="X141" s="15" t="s">
        <v>277</v>
      </c>
      <c r="Y141" s="15" t="s">
        <v>277</v>
      </c>
      <c r="Z141" s="16" t="str">
        <f aca="false">IFERROR(INDEX(Scoring!$K:$K,MATCH($C141&amp;"|"&amp;$E141,Scoring!$U:$U,0)),"")</f>
        <v/>
      </c>
      <c r="AA141" s="15" t="str">
        <f aca="false">IFERROR(INDEX(Scoring!$Q:$Q,MATCH($C141&amp;"|"&amp;$E141,Scoring!$U:$U,0)),"")</f>
        <v>Priority 2</v>
      </c>
      <c r="AB141" s="15" t="str">
        <f aca="false">IFERROR(INDEX(Scoring!$AK:$AK,MATCH($C141&amp;"|"&amp;$E141,Scoring!$U:$U,0)),"")</f>
        <v>Priority 2</v>
      </c>
      <c r="AC141" s="18" t="n">
        <f aca="false">IFERROR(INDEX(Scoring!$M:$M,MATCH($C141&amp;"|"&amp;$E141,Scoring!$U:$U,0)),"")</f>
        <v>87</v>
      </c>
      <c r="AD141" s="15" t="str">
        <f aca="false">IFERROR(INDEX('Route of Administration'!$C$5:$C$155,MATCH($C141,'Route of Administration'!$A$5:$A$155,0)),"")</f>
        <v>IV, IM, SC</v>
      </c>
      <c r="AE141" s="14" t="str">
        <f aca="false">IFERROR(INDEX('Route of Administration'!$D$5:$D$155,MATCH($C141,'Route of Administration'!$A$5:$A$155,0)),"")</f>
        <v>Yes</v>
      </c>
    </row>
    <row r="142" customFormat="false" ht="28.35" hidden="false" customHeight="false" outlineLevel="0" collapsed="false">
      <c r="B142" s="15" t="n">
        <v>140</v>
      </c>
      <c r="C142" s="15" t="s">
        <v>606</v>
      </c>
      <c r="D142" s="15" t="s">
        <v>1829</v>
      </c>
      <c r="E142" s="15" t="s">
        <v>188</v>
      </c>
      <c r="F142" s="15" t="s">
        <v>1835</v>
      </c>
      <c r="G142" s="16" t="s">
        <v>1836</v>
      </c>
      <c r="H142" s="15" t="s">
        <v>1505</v>
      </c>
      <c r="I142" s="17"/>
      <c r="J142" s="15" t="n">
        <v>1</v>
      </c>
      <c r="K142" s="15" t="n">
        <v>87</v>
      </c>
      <c r="L142" s="18" t="n">
        <v>2931.42</v>
      </c>
      <c r="M142" s="16" t="s">
        <v>607</v>
      </c>
      <c r="N142" s="38" t="n">
        <v>109.16</v>
      </c>
      <c r="O142" s="22" t="s">
        <v>1513</v>
      </c>
      <c r="P142" s="15" t="s">
        <v>1533</v>
      </c>
      <c r="Q142" s="16" t="s">
        <v>1832</v>
      </c>
      <c r="R142" s="32" t="s">
        <v>1833</v>
      </c>
      <c r="S142" s="37" t="n">
        <f aca="false">IFERROR(INDEX('Injectable Value'!$Z$28:$Z$178,MATCH($C142,'Injectable Value'!$A$28:$A$178,0)),"")</f>
        <v>1</v>
      </c>
      <c r="T142" s="18" t="n">
        <f aca="false">IFERROR(ROUND(INDEX('Injectable Value'!$AA$28:$AA$178,MATCH($C142,'Injectable Value'!$A$28:$A$178,0)),1),"")</f>
        <v>2931.4</v>
      </c>
      <c r="U142" s="16" t="s">
        <v>583</v>
      </c>
      <c r="V142" s="15" t="n">
        <v>1</v>
      </c>
      <c r="W142" s="15" t="s">
        <v>70</v>
      </c>
      <c r="X142" s="15" t="s">
        <v>316</v>
      </c>
      <c r="Y142" s="15" t="s">
        <v>249</v>
      </c>
      <c r="Z142" s="16" t="str">
        <f aca="false">IFERROR(INDEX(Scoring!$K:$K,MATCH($C142&amp;"|"&amp;$E142,Scoring!$U:$U,0)),"")</f>
        <v/>
      </c>
      <c r="AA142" s="15" t="str">
        <f aca="false">IFERROR(INDEX(Scoring!$Q:$Q,MATCH($C142&amp;"|"&amp;$E142,Scoring!$U:$U,0)),"")</f>
        <v>Priority 2</v>
      </c>
      <c r="AB142" s="15" t="str">
        <f aca="false">IFERROR(INDEX(Scoring!$AK:$AK,MATCH($C142&amp;"|"&amp;$E142,Scoring!$U:$U,0)),"")</f>
        <v>Priority 2</v>
      </c>
      <c r="AC142" s="18" t="n">
        <f aca="false">IFERROR(INDEX(Scoring!$M:$M,MATCH($C142&amp;"|"&amp;$E142,Scoring!$U:$U,0)),"")</f>
        <v>87</v>
      </c>
      <c r="AD142" s="15" t="str">
        <f aca="false">IFERROR(INDEX('Route of Administration'!$C$5:$C$155,MATCH($C142,'Route of Administration'!$A$5:$A$155,0)),"")</f>
        <v>IV, IM, SC</v>
      </c>
      <c r="AE142" s="14" t="str">
        <f aca="false">IFERROR(INDEX('Route of Administration'!$D$5:$D$155,MATCH($C142,'Route of Administration'!$A$5:$A$155,0)),"")</f>
        <v>Yes</v>
      </c>
    </row>
    <row r="143" customFormat="false" ht="28.35" hidden="false" customHeight="false" outlineLevel="0" collapsed="false">
      <c r="B143" s="15" t="n">
        <v>141</v>
      </c>
      <c r="C143" s="15" t="s">
        <v>439</v>
      </c>
      <c r="D143" s="15" t="s">
        <v>622</v>
      </c>
      <c r="E143" s="15" t="s">
        <v>188</v>
      </c>
      <c r="F143" s="15" t="s">
        <v>1837</v>
      </c>
      <c r="G143" s="16" t="s">
        <v>1838</v>
      </c>
      <c r="H143" s="15" t="s">
        <v>1505</v>
      </c>
      <c r="I143" s="17" t="n">
        <v>19.649</v>
      </c>
      <c r="J143" s="15" t="n">
        <v>1</v>
      </c>
      <c r="K143" s="15" t="n">
        <v>122</v>
      </c>
      <c r="L143" s="18" t="n">
        <v>8000.57</v>
      </c>
      <c r="M143" s="16" t="s">
        <v>440</v>
      </c>
      <c r="N143" s="17" t="n">
        <v>19.649</v>
      </c>
      <c r="O143" s="15" t="s">
        <v>1506</v>
      </c>
      <c r="P143" s="15" t="s">
        <v>1507</v>
      </c>
      <c r="Q143" s="16" t="s">
        <v>1508</v>
      </c>
      <c r="R143" s="32" t="s">
        <v>1839</v>
      </c>
      <c r="S143" s="37" t="n">
        <f aca="false">IFERROR(INDEX('Injectable Value'!$Z$28:$Z$178,MATCH($C143,'Injectable Value'!$A$28:$A$178,0)),"")</f>
        <v>0.33624222999223</v>
      </c>
      <c r="T143" s="18" t="n">
        <f aca="false">IFERROR(ROUND(INDEX('Injectable Value'!$AA$28:$AA$178,MATCH($C143,'Injectable Value'!$A$28:$A$178,0)),1),"")</f>
        <v>2690.1</v>
      </c>
      <c r="U143" s="16" t="s">
        <v>583</v>
      </c>
      <c r="V143" s="15" t="n">
        <v>1</v>
      </c>
      <c r="W143" s="15" t="s">
        <v>70</v>
      </c>
      <c r="X143" s="15" t="s">
        <v>248</v>
      </c>
      <c r="Y143" s="15" t="s">
        <v>249</v>
      </c>
      <c r="Z143" s="16" t="str">
        <f aca="false">IFERROR(INDEX(Scoring!$K:$K,MATCH($C143&amp;"|"&amp;$E143,Scoring!$U:$U,0)),"")</f>
        <v/>
      </c>
      <c r="AA143" s="15" t="str">
        <f aca="false">IFERROR(INDEX(Scoring!$Q:$Q,MATCH($C143&amp;"|"&amp;$E143,Scoring!$U:$U,0)),"")</f>
        <v>Priority 3</v>
      </c>
      <c r="AB143" s="15" t="str">
        <f aca="false">IFERROR(INDEX(Scoring!$AK:$AK,MATCH($C143&amp;"|"&amp;$E143,Scoring!$U:$U,0)),"")</f>
        <v>Priority 3</v>
      </c>
      <c r="AC143" s="18" t="n">
        <f aca="false">IFERROR(INDEX(Scoring!$M:$M,MATCH($C143&amp;"|"&amp;$E143,Scoring!$U:$U,0)),"")</f>
        <v>41</v>
      </c>
      <c r="AD143" s="15" t="str">
        <f aca="false">IFERROR(INDEX('Route of Administration'!$C$5:$C$155,MATCH($C143,'Route of Administration'!$A$5:$A$155,0)),"")</f>
        <v>IM, SC</v>
      </c>
      <c r="AE143" s="14" t="str">
        <f aca="false">IFERROR(INDEX('Route of Administration'!$D$5:$D$155,MATCH($C143,'Route of Administration'!$A$5:$A$155,0)),"")</f>
        <v>Yes</v>
      </c>
    </row>
    <row r="144" customFormat="false" ht="28.35" hidden="false" customHeight="false" outlineLevel="0" collapsed="false">
      <c r="B144" s="15" t="n">
        <v>142</v>
      </c>
      <c r="C144" s="15" t="s">
        <v>625</v>
      </c>
      <c r="D144" s="15" t="s">
        <v>628</v>
      </c>
      <c r="E144" s="15" t="s">
        <v>188</v>
      </c>
      <c r="F144" s="15" t="s">
        <v>1718</v>
      </c>
      <c r="G144" s="16" t="s">
        <v>1838</v>
      </c>
      <c r="H144" s="15" t="s">
        <v>1505</v>
      </c>
      <c r="I144" s="17"/>
      <c r="J144" s="15" t="n">
        <v>1</v>
      </c>
      <c r="K144" s="15" t="n">
        <v>1963</v>
      </c>
      <c r="L144" s="18" t="n">
        <v>49365.77</v>
      </c>
      <c r="M144" s="16" t="s">
        <v>626</v>
      </c>
      <c r="N144" s="38" t="n">
        <v>1</v>
      </c>
      <c r="O144" s="22" t="s">
        <v>1513</v>
      </c>
      <c r="P144" s="15" t="s">
        <v>1533</v>
      </c>
      <c r="Q144" s="16" t="s">
        <v>1514</v>
      </c>
      <c r="R144" s="32" t="s">
        <v>1515</v>
      </c>
      <c r="S144" s="37" t="n">
        <f aca="false">IFERROR(INDEX('Injectable Value'!$Z$28:$Z$178,MATCH($C144,'Injectable Value'!$A$28:$A$178,0)),"")</f>
        <v>0.115367076010264</v>
      </c>
      <c r="T144" s="18" t="n">
        <f aca="false">IFERROR(ROUND(INDEX('Injectable Value'!$AA$28:$AA$178,MATCH($C144,'Injectable Value'!$A$28:$A$178,0)),1),"")</f>
        <v>5695.2</v>
      </c>
      <c r="U144" s="16" t="s">
        <v>583</v>
      </c>
      <c r="V144" s="15" t="n">
        <v>1</v>
      </c>
      <c r="W144" s="15" t="s">
        <v>70</v>
      </c>
      <c r="X144" s="15" t="s">
        <v>248</v>
      </c>
      <c r="Y144" s="15" t="s">
        <v>249</v>
      </c>
      <c r="Z144" s="16" t="str">
        <f aca="false">IFERROR(INDEX(Scoring!$K:$K,MATCH($C144&amp;"|"&amp;$E144,Scoring!$U:$U,0)),"")</f>
        <v>Low price from another market – confirm with company</v>
      </c>
      <c r="AA144" s="15" t="str">
        <f aca="false">IFERROR(INDEX(Scoring!$Q:$Q,MATCH($C144&amp;"|"&amp;$E144,Scoring!$U:$U,0)),"")</f>
        <v>Excluded – price ≤ $5</v>
      </c>
      <c r="AB144" s="15" t="str">
        <f aca="false">IFERROR(INDEX(Scoring!$AK:$AK,MATCH($C144&amp;"|"&amp;$E144,Scoring!$U:$U,0)),"")</f>
        <v>Excluded – price ≤ $5</v>
      </c>
      <c r="AC144" s="18" t="n">
        <f aca="false">IFERROR(INDEX(Scoring!$M:$M,MATCH($C144&amp;"|"&amp;$E144,Scoring!$U:$U,0)),"")</f>
        <v>226</v>
      </c>
      <c r="AD144" s="15" t="str">
        <f aca="false">IFERROR(INDEX('Route of Administration'!$C$5:$C$155,MATCH($C144,'Route of Administration'!$A$5:$A$155,0)),"")</f>
        <v>IV, IM, SC</v>
      </c>
      <c r="AE144" s="14" t="str">
        <f aca="false">IFERROR(INDEX('Route of Administration'!$D$5:$D$155,MATCH($C144,'Route of Administration'!$A$5:$A$155,0)),"")</f>
        <v>Yes</v>
      </c>
    </row>
    <row r="145" customFormat="false" ht="28.35" hidden="false" customHeight="false" outlineLevel="0" collapsed="false">
      <c r="B145" s="15" t="n">
        <v>143</v>
      </c>
      <c r="C145" s="15" t="s">
        <v>296</v>
      </c>
      <c r="D145" s="15" t="s">
        <v>582</v>
      </c>
      <c r="E145" s="15" t="s">
        <v>188</v>
      </c>
      <c r="F145" s="15" t="s">
        <v>1771</v>
      </c>
      <c r="G145" s="16" t="s">
        <v>1772</v>
      </c>
      <c r="H145" s="15" t="s">
        <v>1505</v>
      </c>
      <c r="I145" s="17" t="n">
        <v>10.241</v>
      </c>
      <c r="J145" s="15" t="n">
        <v>1</v>
      </c>
      <c r="K145" s="15" t="n">
        <v>762</v>
      </c>
      <c r="L145" s="18" t="n">
        <v>50865.56</v>
      </c>
      <c r="M145" s="16" t="s">
        <v>297</v>
      </c>
      <c r="N145" s="17" t="n">
        <v>10.241</v>
      </c>
      <c r="O145" s="15" t="s">
        <v>1506</v>
      </c>
      <c r="P145" s="15" t="s">
        <v>1507</v>
      </c>
      <c r="Q145" s="16" t="s">
        <v>1508</v>
      </c>
      <c r="R145" s="32" t="s">
        <v>1769</v>
      </c>
      <c r="S145" s="37" t="n">
        <f aca="false">IFERROR(INDEX('Injectable Value'!$Z$28:$Z$178,MATCH($C145,'Injectable Value'!$A$28:$A$178,0)),"")</f>
        <v>0.829278792417718</v>
      </c>
      <c r="T145" s="18" t="n">
        <f aca="false">IFERROR(ROUND(INDEX('Injectable Value'!$AA$28:$AA$178,MATCH($C145,'Injectable Value'!$A$28:$A$178,0)),1),"")</f>
        <v>42181.7</v>
      </c>
      <c r="U145" s="16" t="s">
        <v>583</v>
      </c>
      <c r="V145" s="15" t="n">
        <v>1</v>
      </c>
      <c r="W145" s="15" t="s">
        <v>70</v>
      </c>
      <c r="X145" s="15" t="s">
        <v>248</v>
      </c>
      <c r="Y145" s="15" t="s">
        <v>299</v>
      </c>
      <c r="Z145" s="16" t="str">
        <f aca="false">IFERROR(INDEX(Scoring!$K:$K,MATCH($C145&amp;"|"&amp;$E145,Scoring!$U:$U,0)),"")</f>
        <v>Cancer drug (cytotoxic) – less relevant; Reconstitution</v>
      </c>
      <c r="AA145" s="15" t="str">
        <f aca="false">IFERROR(INDEX(Scoring!$Q:$Q,MATCH($C145&amp;"|"&amp;$E145,Scoring!$U:$U,0)),"")</f>
        <v>Priority 2</v>
      </c>
      <c r="AB145" s="15" t="str">
        <f aca="false">IFERROR(INDEX(Scoring!$AK:$AK,MATCH($C145&amp;"|"&amp;$E145,Scoring!$U:$U,0)),"")</f>
        <v>Priority 2</v>
      </c>
      <c r="AC145" s="18" t="n">
        <f aca="false">IFERROR(INDEX(Scoring!$M:$M,MATCH($C145&amp;"|"&amp;$E145,Scoring!$U:$U,0)),"")</f>
        <v>632</v>
      </c>
      <c r="AD145" s="15" t="str">
        <f aca="false">IFERROR(INDEX('Route of Administration'!$C$5:$C$155,MATCH($C145,'Route of Administration'!$A$5:$A$155,0)),"")</f>
        <v>IV, SC</v>
      </c>
      <c r="AE145" s="14" t="str">
        <f aca="false">IFERROR(INDEX('Route of Administration'!$D$5:$D$155,MATCH($C145,'Route of Administration'!$A$5:$A$155,0)),"")</f>
        <v>Yes</v>
      </c>
    </row>
    <row r="146" customFormat="false" ht="28.35" hidden="false" customHeight="false" outlineLevel="0" collapsed="false">
      <c r="B146" s="15" t="n">
        <v>144</v>
      </c>
      <c r="C146" s="15" t="s">
        <v>498</v>
      </c>
      <c r="D146" s="15" t="s">
        <v>624</v>
      </c>
      <c r="E146" s="15" t="s">
        <v>188</v>
      </c>
      <c r="F146" s="15" t="s">
        <v>1840</v>
      </c>
      <c r="G146" s="16" t="s">
        <v>1820</v>
      </c>
      <c r="H146" s="15" t="s">
        <v>1505</v>
      </c>
      <c r="I146" s="17" t="n">
        <v>6.937</v>
      </c>
      <c r="J146" s="15" t="n">
        <v>1</v>
      </c>
      <c r="K146" s="15" t="n">
        <v>119</v>
      </c>
      <c r="L146" s="18" t="n">
        <v>3113.83</v>
      </c>
      <c r="M146" s="16" t="s">
        <v>499</v>
      </c>
      <c r="N146" s="17" t="n">
        <v>6.937</v>
      </c>
      <c r="O146" s="15" t="s">
        <v>1506</v>
      </c>
      <c r="P146" s="15" t="s">
        <v>1507</v>
      </c>
      <c r="Q146" s="16" t="s">
        <v>1508</v>
      </c>
      <c r="R146" s="32" t="s">
        <v>1769</v>
      </c>
      <c r="S146" s="37" t="n">
        <f aca="false">IFERROR(INDEX('Injectable Value'!$Z$28:$Z$178,MATCH($C146,'Injectable Value'!$A$28:$A$178,0)),"")</f>
        <v>0.899884259259259</v>
      </c>
      <c r="T146" s="18" t="n">
        <f aca="false">IFERROR(ROUND(INDEX('Injectable Value'!$AA$28:$AA$178,MATCH($C146,'Injectable Value'!$A$28:$A$178,0)),1),"")</f>
        <v>2802.1</v>
      </c>
      <c r="U146" s="16" t="s">
        <v>583</v>
      </c>
      <c r="V146" s="15" t="n">
        <v>1</v>
      </c>
      <c r="W146" s="15" t="s">
        <v>70</v>
      </c>
      <c r="X146" s="15" t="s">
        <v>248</v>
      </c>
      <c r="Y146" s="15" t="s">
        <v>249</v>
      </c>
      <c r="Z146" s="16" t="str">
        <f aca="false">IFERROR(INDEX(Scoring!$K:$K,MATCH($C146&amp;"|"&amp;$E146,Scoring!$U:$U,0)),"")</f>
        <v/>
      </c>
      <c r="AA146" s="15" t="str">
        <f aca="false">IFERROR(INDEX(Scoring!$Q:$Q,MATCH($C146&amp;"|"&amp;$E146,Scoring!$U:$U,0)),"")</f>
        <v>Excluded – IV only</v>
      </c>
      <c r="AB146" s="15" t="str">
        <f aca="false">IFERROR(INDEX(Scoring!$AK:$AK,MATCH($C146&amp;"|"&amp;$E146,Scoring!$U:$U,0)),"")</f>
        <v>Excluded – IV only</v>
      </c>
      <c r="AC146" s="18" t="n">
        <f aca="false">IFERROR(INDEX(Scoring!$M:$M,MATCH($C146&amp;"|"&amp;$E146,Scoring!$U:$U,0)),"")</f>
        <v>107</v>
      </c>
      <c r="AD146" s="15" t="str">
        <f aca="false">IFERROR(INDEX('Route of Administration'!$C$5:$C$155,MATCH($C146,'Route of Administration'!$A$5:$A$155,0)),"")</f>
        <v>IV</v>
      </c>
      <c r="AE146" s="14" t="str">
        <f aca="false">IFERROR(INDEX('Route of Administration'!$D$5:$D$155,MATCH($C146,'Route of Administration'!$A$5:$A$155,0)),"")</f>
        <v>No</v>
      </c>
    </row>
    <row r="147" customFormat="false" ht="28.35" hidden="false" customHeight="false" outlineLevel="0" collapsed="false">
      <c r="B147" s="15" t="n">
        <v>145</v>
      </c>
      <c r="C147" s="15" t="s">
        <v>584</v>
      </c>
      <c r="D147" s="15" t="s">
        <v>1841</v>
      </c>
      <c r="E147" s="15" t="s">
        <v>188</v>
      </c>
      <c r="F147" s="15" t="s">
        <v>1842</v>
      </c>
      <c r="G147" s="16" t="s">
        <v>1843</v>
      </c>
      <c r="H147" s="15" t="s">
        <v>1505</v>
      </c>
      <c r="I147" s="17" t="n">
        <v>30.583</v>
      </c>
      <c r="J147" s="15" t="n">
        <v>1</v>
      </c>
      <c r="K147" s="15" t="n">
        <v>441</v>
      </c>
      <c r="L147" s="18" t="n">
        <v>3973.65</v>
      </c>
      <c r="M147" s="16" t="s">
        <v>585</v>
      </c>
      <c r="N147" s="17" t="n">
        <v>30.583</v>
      </c>
      <c r="O147" s="15" t="s">
        <v>1506</v>
      </c>
      <c r="P147" s="15" t="s">
        <v>1507</v>
      </c>
      <c r="Q147" s="16" t="s">
        <v>1508</v>
      </c>
      <c r="R147" s="32" t="s">
        <v>1776</v>
      </c>
      <c r="S147" s="37" t="n">
        <f aca="false">IFERROR(INDEX('Injectable Value'!$Z$28:$Z$178,MATCH($C147,'Injectable Value'!$A$28:$A$178,0)),"")</f>
        <v>1</v>
      </c>
      <c r="T147" s="18" t="n">
        <f aca="false">IFERROR(ROUND(INDEX('Injectable Value'!$AA$28:$AA$178,MATCH($C147,'Injectable Value'!$A$28:$A$178,0)),1),"")</f>
        <v>3973.7</v>
      </c>
      <c r="U147" s="16" t="s">
        <v>589</v>
      </c>
      <c r="V147" s="15" t="n">
        <v>2</v>
      </c>
      <c r="W147" s="15" t="s">
        <v>70</v>
      </c>
      <c r="X147" s="15" t="s">
        <v>248</v>
      </c>
      <c r="Y147" s="15" t="s">
        <v>299</v>
      </c>
      <c r="Z147" s="16" t="str">
        <f aca="false">IFERROR(INDEX(Scoring!$K:$K,MATCH($C147&amp;"|"&amp;$E147,Scoring!$U:$U,0)),"")</f>
        <v>Cancer drug (cytotoxic) – less relevant; Reconstitution</v>
      </c>
      <c r="AA147" s="15" t="str">
        <f aca="false">IFERROR(INDEX(Scoring!$Q:$Q,MATCH($C147&amp;"|"&amp;$E147,Scoring!$U:$U,0)),"")</f>
        <v>Priority 1</v>
      </c>
      <c r="AB147" s="15" t="str">
        <f aca="false">IFERROR(INDEX(Scoring!$AK:$AK,MATCH($C147&amp;"|"&amp;$E147,Scoring!$U:$U,0)),"")</f>
        <v>Priority 1</v>
      </c>
      <c r="AC147" s="18" t="n">
        <f aca="false">IFERROR(INDEX(Scoring!$M:$M,MATCH($C147&amp;"|"&amp;$E147,Scoring!$U:$U,0)),"")</f>
        <v>441</v>
      </c>
      <c r="AD147" s="15" t="str">
        <f aca="false">IFERROR(INDEX('Route of Administration'!$C$5:$C$155,MATCH($C147,'Route of Administration'!$A$5:$A$155,0)),"")</f>
        <v>IV, IM, SC</v>
      </c>
      <c r="AE147" s="14" t="str">
        <f aca="false">IFERROR(INDEX('Route of Administration'!$D$5:$D$155,MATCH($C147,'Route of Administration'!$A$5:$A$155,0)),"")</f>
        <v>Yes</v>
      </c>
    </row>
    <row r="148" customFormat="false" ht="28.35" hidden="false" customHeight="false" outlineLevel="0" collapsed="false">
      <c r="B148" s="15" t="n">
        <v>146</v>
      </c>
      <c r="C148" s="15" t="s">
        <v>630</v>
      </c>
      <c r="D148" s="15" t="s">
        <v>634</v>
      </c>
      <c r="E148" s="15" t="s">
        <v>188</v>
      </c>
      <c r="F148" s="15" t="s">
        <v>1844</v>
      </c>
      <c r="G148" s="16" t="s">
        <v>1845</v>
      </c>
      <c r="H148" s="15" t="s">
        <v>1505</v>
      </c>
      <c r="I148" s="17" t="n">
        <v>145.39</v>
      </c>
      <c r="J148" s="15" t="n">
        <v>1</v>
      </c>
      <c r="K148" s="15" t="n">
        <v>143</v>
      </c>
      <c r="L148" s="18" t="n">
        <v>1308.54</v>
      </c>
      <c r="M148" s="16" t="s">
        <v>631</v>
      </c>
      <c r="N148" s="17" t="n">
        <v>145.39</v>
      </c>
      <c r="O148" s="15" t="s">
        <v>1506</v>
      </c>
      <c r="P148" s="15" t="s">
        <v>1672</v>
      </c>
      <c r="Q148" s="16" t="s">
        <v>1846</v>
      </c>
      <c r="R148" s="32" t="s">
        <v>1847</v>
      </c>
      <c r="S148" s="37" t="n">
        <f aca="false">IFERROR(INDEX('Injectable Value'!$Z$28:$Z$178,MATCH($C148,'Injectable Value'!$A$28:$A$178,0)),"")</f>
        <v>0.37037037037037</v>
      </c>
      <c r="T148" s="18" t="n">
        <f aca="false">IFERROR(ROUND(INDEX('Injectable Value'!$AA$28:$AA$178,MATCH($C148,'Injectable Value'!$A$28:$A$178,0)),1),"")</f>
        <v>484.6</v>
      </c>
      <c r="U148" s="16" t="s">
        <v>328</v>
      </c>
      <c r="V148" s="15" t="n">
        <v>1</v>
      </c>
      <c r="W148" s="15" t="s">
        <v>70</v>
      </c>
      <c r="X148" s="15" t="s">
        <v>248</v>
      </c>
      <c r="Y148" s="15" t="s">
        <v>299</v>
      </c>
      <c r="Z148" s="16" t="str">
        <f aca="false">IFERROR(INDEX(Scoring!$K:$K,MATCH($C148&amp;"|"&amp;$E148,Scoring!$U:$U,0)),"")</f>
        <v>Reconstitution</v>
      </c>
      <c r="AA148" s="15" t="str">
        <f aca="false">IFERROR(INDEX(Scoring!$Q:$Q,MATCH($C148&amp;"|"&amp;$E148,Scoring!$U:$U,0)),"")</f>
        <v>Excluded – IV only</v>
      </c>
      <c r="AB148" s="15" t="str">
        <f aca="false">IFERROR(INDEX(Scoring!$AK:$AK,MATCH($C148&amp;"|"&amp;$E148,Scoring!$U:$U,0)),"")</f>
        <v>Excluded – IV only</v>
      </c>
      <c r="AC148" s="18" t="n">
        <f aca="false">IFERROR(INDEX(Scoring!$M:$M,MATCH($C148&amp;"|"&amp;$E148,Scoring!$U:$U,0)),"")</f>
        <v>53</v>
      </c>
      <c r="AD148" s="15" t="str">
        <f aca="false">IFERROR(INDEX('Route of Administration'!$C$5:$C$155,MATCH($C148,'Route of Administration'!$A$5:$A$155,0)),"")</f>
        <v>IV, intracoronary</v>
      </c>
      <c r="AE148" s="14" t="str">
        <f aca="false">IFERROR(INDEX('Route of Administration'!$D$5:$D$155,MATCH($C148,'Route of Administration'!$A$5:$A$155,0)),"")</f>
        <v>No</v>
      </c>
    </row>
    <row r="149" customFormat="false" ht="28.35" hidden="false" customHeight="false" outlineLevel="0" collapsed="false">
      <c r="B149" s="15" t="n">
        <v>147</v>
      </c>
      <c r="C149" s="15" t="s">
        <v>630</v>
      </c>
      <c r="D149" s="15" t="s">
        <v>634</v>
      </c>
      <c r="E149" s="15" t="s">
        <v>188</v>
      </c>
      <c r="F149" s="15" t="s">
        <v>1848</v>
      </c>
      <c r="G149" s="16" t="s">
        <v>1845</v>
      </c>
      <c r="H149" s="15" t="s">
        <v>1505</v>
      </c>
      <c r="I149" s="17" t="n">
        <v>290.78</v>
      </c>
      <c r="J149" s="15" t="n">
        <v>1</v>
      </c>
      <c r="K149" s="15" t="n">
        <v>143</v>
      </c>
      <c r="L149" s="18" t="n">
        <v>1308.54</v>
      </c>
      <c r="M149" s="16" t="s">
        <v>631</v>
      </c>
      <c r="N149" s="17" t="n">
        <v>290.78</v>
      </c>
      <c r="O149" s="15" t="s">
        <v>1506</v>
      </c>
      <c r="P149" s="15" t="s">
        <v>1672</v>
      </c>
      <c r="Q149" s="16" t="s">
        <v>1846</v>
      </c>
      <c r="R149" s="32" t="s">
        <v>1847</v>
      </c>
      <c r="S149" s="37" t="n">
        <f aca="false">IFERROR(INDEX('Injectable Value'!$Z$28:$Z$178,MATCH($C149,'Injectable Value'!$A$28:$A$178,0)),"")</f>
        <v>0.37037037037037</v>
      </c>
      <c r="T149" s="18" t="n">
        <f aca="false">IFERROR(ROUND(INDEX('Injectable Value'!$AA$28:$AA$178,MATCH($C149,'Injectable Value'!$A$28:$A$178,0)),1),"")</f>
        <v>484.6</v>
      </c>
      <c r="U149" s="16" t="s">
        <v>328</v>
      </c>
      <c r="V149" s="15" t="n">
        <v>1</v>
      </c>
      <c r="W149" s="15" t="s">
        <v>70</v>
      </c>
      <c r="X149" s="15" t="s">
        <v>248</v>
      </c>
      <c r="Y149" s="15" t="s">
        <v>299</v>
      </c>
      <c r="Z149" s="16" t="str">
        <f aca="false">IFERROR(INDEX(Scoring!$K:$K,MATCH($C149&amp;"|"&amp;$E149,Scoring!$U:$U,0)),"")</f>
        <v>Reconstitution</v>
      </c>
      <c r="AA149" s="15" t="str">
        <f aca="false">IFERROR(INDEX(Scoring!$Q:$Q,MATCH($C149&amp;"|"&amp;$E149,Scoring!$U:$U,0)),"")</f>
        <v>Excluded – IV only</v>
      </c>
      <c r="AB149" s="15" t="str">
        <f aca="false">IFERROR(INDEX(Scoring!$AK:$AK,MATCH($C149&amp;"|"&amp;$E149,Scoring!$U:$U,0)),"")</f>
        <v>Excluded – IV only</v>
      </c>
      <c r="AC149" s="18" t="n">
        <f aca="false">IFERROR(INDEX(Scoring!$M:$M,MATCH($C149&amp;"|"&amp;$E149,Scoring!$U:$U,0)),"")</f>
        <v>53</v>
      </c>
      <c r="AD149" s="15" t="str">
        <f aca="false">IFERROR(INDEX('Route of Administration'!$C$5:$C$155,MATCH($C149,'Route of Administration'!$A$5:$A$155,0)),"")</f>
        <v>IV, intracoronary</v>
      </c>
      <c r="AE149" s="14" t="str">
        <f aca="false">IFERROR(INDEX('Route of Administration'!$D$5:$D$155,MATCH($C149,'Route of Administration'!$A$5:$A$155,0)),"")</f>
        <v>No</v>
      </c>
    </row>
    <row r="150" customFormat="false" ht="28.35" hidden="false" customHeight="false" outlineLevel="0" collapsed="false">
      <c r="B150" s="15" t="n">
        <v>148</v>
      </c>
      <c r="C150" s="15" t="s">
        <v>322</v>
      </c>
      <c r="D150" s="15" t="s">
        <v>593</v>
      </c>
      <c r="E150" s="15" t="s">
        <v>188</v>
      </c>
      <c r="F150" s="15" t="s">
        <v>1782</v>
      </c>
      <c r="G150" s="16"/>
      <c r="H150" s="15"/>
      <c r="I150" s="17" t="n">
        <v>17.03</v>
      </c>
      <c r="J150" s="15" t="n">
        <v>1</v>
      </c>
      <c r="K150" s="15" t="n">
        <v>290</v>
      </c>
      <c r="L150" s="18" t="n">
        <v>6348.25</v>
      </c>
      <c r="M150" s="16" t="s">
        <v>323</v>
      </c>
      <c r="N150" s="17" t="n">
        <v>17.03</v>
      </c>
      <c r="O150" s="15" t="s">
        <v>1506</v>
      </c>
      <c r="P150" s="15" t="s">
        <v>1672</v>
      </c>
      <c r="Q150" s="16" t="s">
        <v>1846</v>
      </c>
      <c r="R150" s="32" t="s">
        <v>1849</v>
      </c>
      <c r="S150" s="37" t="n">
        <f aca="false">IFERROR(INDEX('Injectable Value'!$Z$28:$Z$178,MATCH($C150,'Injectable Value'!$A$28:$A$178,0)),"")</f>
        <v>0.991596638655462</v>
      </c>
      <c r="T150" s="18" t="n">
        <f aca="false">IFERROR(ROUND(INDEX('Injectable Value'!$AA$28:$AA$178,MATCH($C150,'Injectable Value'!$A$28:$A$178,0)),1),"")</f>
        <v>6294.9</v>
      </c>
      <c r="U150" s="16" t="s">
        <v>328</v>
      </c>
      <c r="V150" s="15" t="n">
        <v>1</v>
      </c>
      <c r="W150" s="15" t="s">
        <v>70</v>
      </c>
      <c r="X150" s="15" t="s">
        <v>277</v>
      </c>
      <c r="Y150" s="15" t="s">
        <v>277</v>
      </c>
      <c r="Z150" s="16" t="str">
        <f aca="false">IFERROR(INDEX(Scoring!$K:$K,MATCH($C150&amp;"|"&amp;$E150,Scoring!$U:$U,0)),"")</f>
        <v/>
      </c>
      <c r="AA150" s="15" t="str">
        <f aca="false">IFERROR(INDEX(Scoring!$Q:$Q,MATCH($C150&amp;"|"&amp;$E150,Scoring!$U:$U,0)),"")</f>
        <v>Priority 2</v>
      </c>
      <c r="AB150" s="15" t="str">
        <f aca="false">IFERROR(INDEX(Scoring!$AK:$AK,MATCH($C150&amp;"|"&amp;$E150,Scoring!$U:$U,0)),"")</f>
        <v>Priority 2</v>
      </c>
      <c r="AC150" s="18" t="n">
        <f aca="false">IFERROR(INDEX(Scoring!$M:$M,MATCH($C150&amp;"|"&amp;$E150,Scoring!$U:$U,0)),"")</f>
        <v>288</v>
      </c>
      <c r="AD150" s="15" t="str">
        <f aca="false">IFERROR(INDEX('Route of Administration'!$C$5:$C$155,MATCH($C150,'Route of Administration'!$A$5:$A$155,0)),"")</f>
        <v>IV, IM</v>
      </c>
      <c r="AE150" s="14" t="str">
        <f aca="false">IFERROR(INDEX('Route of Administration'!$D$5:$D$155,MATCH($C150,'Route of Administration'!$A$5:$A$155,0)),"")</f>
        <v>Yes</v>
      </c>
    </row>
    <row r="151" customFormat="false" ht="28.35" hidden="false" customHeight="false" outlineLevel="0" collapsed="false">
      <c r="B151" s="15" t="n">
        <v>149</v>
      </c>
      <c r="C151" s="15" t="s">
        <v>322</v>
      </c>
      <c r="D151" s="15" t="s">
        <v>593</v>
      </c>
      <c r="E151" s="15" t="s">
        <v>188</v>
      </c>
      <c r="F151" s="15" t="s">
        <v>1850</v>
      </c>
      <c r="G151" s="16"/>
      <c r="H151" s="15"/>
      <c r="I151" s="17" t="n">
        <v>31.81</v>
      </c>
      <c r="J151" s="15" t="n">
        <v>1</v>
      </c>
      <c r="K151" s="15" t="n">
        <v>290</v>
      </c>
      <c r="L151" s="18" t="n">
        <v>6348.25</v>
      </c>
      <c r="M151" s="16" t="s">
        <v>323</v>
      </c>
      <c r="N151" s="17" t="n">
        <v>31.81</v>
      </c>
      <c r="O151" s="15" t="s">
        <v>1506</v>
      </c>
      <c r="P151" s="15" t="s">
        <v>1672</v>
      </c>
      <c r="Q151" s="16" t="s">
        <v>1846</v>
      </c>
      <c r="R151" s="32" t="s">
        <v>1849</v>
      </c>
      <c r="S151" s="37" t="n">
        <f aca="false">IFERROR(INDEX('Injectable Value'!$Z$28:$Z$178,MATCH($C151,'Injectable Value'!$A$28:$A$178,0)),"")</f>
        <v>0.991596638655462</v>
      </c>
      <c r="T151" s="18" t="n">
        <f aca="false">IFERROR(ROUND(INDEX('Injectable Value'!$AA$28:$AA$178,MATCH($C151,'Injectable Value'!$A$28:$A$178,0)),1),"")</f>
        <v>6294.9</v>
      </c>
      <c r="U151" s="16" t="s">
        <v>328</v>
      </c>
      <c r="V151" s="15" t="n">
        <v>1</v>
      </c>
      <c r="W151" s="15" t="s">
        <v>70</v>
      </c>
      <c r="X151" s="15" t="s">
        <v>277</v>
      </c>
      <c r="Y151" s="15" t="s">
        <v>277</v>
      </c>
      <c r="Z151" s="16" t="str">
        <f aca="false">IFERROR(INDEX(Scoring!$K:$K,MATCH($C151&amp;"|"&amp;$E151,Scoring!$U:$U,0)),"")</f>
        <v/>
      </c>
      <c r="AA151" s="15" t="str">
        <f aca="false">IFERROR(INDEX(Scoring!$Q:$Q,MATCH($C151&amp;"|"&amp;$E151,Scoring!$U:$U,0)),"")</f>
        <v>Priority 2</v>
      </c>
      <c r="AB151" s="15" t="str">
        <f aca="false">IFERROR(INDEX(Scoring!$AK:$AK,MATCH($C151&amp;"|"&amp;$E151,Scoring!$U:$U,0)),"")</f>
        <v>Priority 2</v>
      </c>
      <c r="AC151" s="18" t="n">
        <f aca="false">IFERROR(INDEX(Scoring!$M:$M,MATCH($C151&amp;"|"&amp;$E151,Scoring!$U:$U,0)),"")</f>
        <v>288</v>
      </c>
      <c r="AD151" s="15" t="str">
        <f aca="false">IFERROR(INDEX('Route of Administration'!$C$5:$C$155,MATCH($C151,'Route of Administration'!$A$5:$A$155,0)),"")</f>
        <v>IV, IM</v>
      </c>
      <c r="AE151" s="14" t="str">
        <f aca="false">IFERROR(INDEX('Route of Administration'!$D$5:$D$155,MATCH($C151,'Route of Administration'!$A$5:$A$155,0)),"")</f>
        <v>Yes</v>
      </c>
    </row>
    <row r="152" customFormat="false" ht="28.35" hidden="false" customHeight="false" outlineLevel="0" collapsed="false">
      <c r="B152" s="15" t="n">
        <v>150</v>
      </c>
      <c r="C152" s="15" t="s">
        <v>646</v>
      </c>
      <c r="D152" s="15" t="s">
        <v>650</v>
      </c>
      <c r="E152" s="15" t="s">
        <v>188</v>
      </c>
      <c r="F152" s="15" t="s">
        <v>1851</v>
      </c>
      <c r="G152" s="16" t="s">
        <v>1852</v>
      </c>
      <c r="H152" s="15" t="s">
        <v>1505</v>
      </c>
      <c r="I152" s="17" t="n">
        <v>118.45</v>
      </c>
      <c r="J152" s="15" t="n">
        <v>1</v>
      </c>
      <c r="K152" s="15" t="n">
        <v>188</v>
      </c>
      <c r="L152" s="18" t="n">
        <v>262.84</v>
      </c>
      <c r="M152" s="16" t="s">
        <v>647</v>
      </c>
      <c r="N152" s="17" t="n">
        <v>118.45</v>
      </c>
      <c r="O152" s="15" t="s">
        <v>1506</v>
      </c>
      <c r="P152" s="15" t="s">
        <v>1672</v>
      </c>
      <c r="Q152" s="16" t="s">
        <v>1508</v>
      </c>
      <c r="R152" s="32" t="s">
        <v>1784</v>
      </c>
      <c r="S152" s="37" t="n">
        <f aca="false">IFERROR(INDEX('Injectable Value'!$Z$28:$Z$178,MATCH($C152,'Injectable Value'!$A$28:$A$178,0)),"")</f>
        <v>0.703571428571429</v>
      </c>
      <c r="T152" s="18" t="n">
        <f aca="false">IFERROR(ROUND(INDEX('Injectable Value'!$AA$28:$AA$178,MATCH($C152,'Injectable Value'!$A$28:$A$178,0)),1),"")</f>
        <v>184.9</v>
      </c>
      <c r="U152" s="16" t="s">
        <v>328</v>
      </c>
      <c r="V152" s="15" t="n">
        <v>1</v>
      </c>
      <c r="W152" s="15" t="s">
        <v>70</v>
      </c>
      <c r="X152" s="15" t="s">
        <v>248</v>
      </c>
      <c r="Y152" s="15" t="s">
        <v>249</v>
      </c>
      <c r="Z152" s="16" t="str">
        <f aca="false">IFERROR(INDEX(Scoring!$K:$K,MATCH($C152&amp;"|"&amp;$E152,Scoring!$U:$U,0)),"")</f>
        <v/>
      </c>
      <c r="AA152" s="15" t="str">
        <f aca="false">IFERROR(INDEX(Scoring!$Q:$Q,MATCH($C152&amp;"|"&amp;$E152,Scoring!$U:$U,0)),"")</f>
        <v>Priority 2</v>
      </c>
      <c r="AB152" s="15" t="str">
        <f aca="false">IFERROR(INDEX(Scoring!$AK:$AK,MATCH($C152&amp;"|"&amp;$E152,Scoring!$U:$U,0)),"")</f>
        <v>Priority 2</v>
      </c>
      <c r="AC152" s="18" t="n">
        <f aca="false">IFERROR(INDEX(Scoring!$M:$M,MATCH($C152&amp;"|"&amp;$E152,Scoring!$U:$U,0)),"")</f>
        <v>132</v>
      </c>
      <c r="AD152" s="15" t="str">
        <f aca="false">IFERROR(INDEX('Route of Administration'!$C$5:$C$155,MATCH($C152,'Route of Administration'!$A$5:$A$155,0)),"")</f>
        <v>IM</v>
      </c>
      <c r="AE152" s="14" t="str">
        <f aca="false">IFERROR(INDEX('Route of Administration'!$D$5:$D$155,MATCH($C152,'Route of Administration'!$A$5:$A$155,0)),"")</f>
        <v>Yes</v>
      </c>
    </row>
    <row r="153" customFormat="false" ht="28.35" hidden="false" customHeight="false" outlineLevel="0" collapsed="false">
      <c r="B153" s="15" t="n">
        <v>151</v>
      </c>
      <c r="C153" s="15" t="s">
        <v>635</v>
      </c>
      <c r="D153" s="15" t="s">
        <v>1853</v>
      </c>
      <c r="E153" s="15" t="s">
        <v>188</v>
      </c>
      <c r="F153" s="15" t="s">
        <v>1854</v>
      </c>
      <c r="G153" s="16" t="s">
        <v>1855</v>
      </c>
      <c r="H153" s="15" t="s">
        <v>1505</v>
      </c>
      <c r="I153" s="17" t="n">
        <v>13.84</v>
      </c>
      <c r="J153" s="15" t="n">
        <v>1</v>
      </c>
      <c r="K153" s="15" t="n">
        <v>346</v>
      </c>
      <c r="L153" s="18" t="n">
        <v>32830.17</v>
      </c>
      <c r="M153" s="16" t="s">
        <v>636</v>
      </c>
      <c r="N153" s="17" t="n">
        <v>13.84</v>
      </c>
      <c r="O153" s="15" t="s">
        <v>1506</v>
      </c>
      <c r="P153" s="15" t="s">
        <v>1672</v>
      </c>
      <c r="Q153" s="16" t="s">
        <v>1846</v>
      </c>
      <c r="R153" s="32" t="s">
        <v>1856</v>
      </c>
      <c r="S153" s="37" t="n">
        <f aca="false">IFERROR(INDEX('Injectable Value'!$Z$28:$Z$178,MATCH($C153,'Injectable Value'!$A$28:$A$178,0)),"")</f>
        <v>1</v>
      </c>
      <c r="T153" s="18" t="n">
        <f aca="false">IFERROR(ROUND(INDEX('Injectable Value'!$AA$28:$AA$178,MATCH($C153,'Injectable Value'!$A$28:$A$178,0)),1),"")</f>
        <v>32830.2</v>
      </c>
      <c r="U153" s="16" t="s">
        <v>640</v>
      </c>
      <c r="V153" s="15" t="n">
        <v>4</v>
      </c>
      <c r="W153" s="15" t="s">
        <v>418</v>
      </c>
      <c r="X153" s="15" t="s">
        <v>248</v>
      </c>
      <c r="Y153" s="15" t="s">
        <v>249</v>
      </c>
      <c r="Z153" s="16" t="str">
        <f aca="false">IFERROR(INDEX(Scoring!$K:$K,MATCH($C153&amp;"|"&amp;$E153,Scoring!$U:$U,0)),"")</f>
        <v/>
      </c>
      <c r="AA153" s="15" t="str">
        <f aca="false">IFERROR(INDEX(Scoring!$Q:$Q,MATCH($C153&amp;"|"&amp;$E153,Scoring!$U:$U,0)),"")</f>
        <v>Excluded – IV only</v>
      </c>
      <c r="AB153" s="15" t="str">
        <f aca="false">IFERROR(INDEX(Scoring!$AK:$AK,MATCH($C153&amp;"|"&amp;$E153,Scoring!$U:$U,0)),"")</f>
        <v>Excluded – IV only</v>
      </c>
      <c r="AC153" s="18" t="n">
        <f aca="false">IFERROR(INDEX(Scoring!$M:$M,MATCH($C153&amp;"|"&amp;$E153,Scoring!$U:$U,0)),"")</f>
        <v>346</v>
      </c>
      <c r="AD153" s="15" t="str">
        <f aca="false">IFERROR(INDEX('Route of Administration'!$C$5:$C$155,MATCH($C153,'Route of Administration'!$A$5:$A$155,0)),"")</f>
        <v>IV</v>
      </c>
      <c r="AE153" s="14" t="str">
        <f aca="false">IFERROR(INDEX('Route of Administration'!$D$5:$D$155,MATCH($C153,'Route of Administration'!$A$5:$A$155,0)),"")</f>
        <v>No</v>
      </c>
    </row>
    <row r="154" customFormat="false" ht="28.35" hidden="false" customHeight="false" outlineLevel="0" collapsed="false">
      <c r="B154" s="15" t="n">
        <v>152</v>
      </c>
      <c r="C154" s="15" t="s">
        <v>305</v>
      </c>
      <c r="D154" s="15" t="s">
        <v>591</v>
      </c>
      <c r="E154" s="15" t="s">
        <v>188</v>
      </c>
      <c r="F154" s="15" t="s">
        <v>1857</v>
      </c>
      <c r="G154" s="16" t="s">
        <v>1858</v>
      </c>
      <c r="H154" s="15" t="s">
        <v>1505</v>
      </c>
      <c r="I154" s="17" t="n">
        <v>163.29</v>
      </c>
      <c r="J154" s="15" t="n">
        <v>1</v>
      </c>
      <c r="K154" s="15" t="n">
        <v>905</v>
      </c>
      <c r="L154" s="18" t="n">
        <v>28093.38</v>
      </c>
      <c r="M154" s="16" t="s">
        <v>306</v>
      </c>
      <c r="N154" s="17" t="n">
        <v>163.29</v>
      </c>
      <c r="O154" s="15" t="s">
        <v>1506</v>
      </c>
      <c r="P154" s="15" t="s">
        <v>1672</v>
      </c>
      <c r="Q154" s="16" t="s">
        <v>1508</v>
      </c>
      <c r="R154" s="32" t="s">
        <v>1784</v>
      </c>
      <c r="S154" s="37" t="n">
        <f aca="false">IFERROR(INDEX('Injectable Value'!$Z$28:$Z$178,MATCH($C154,'Injectable Value'!$A$28:$A$178,0)),"")</f>
        <v>1</v>
      </c>
      <c r="T154" s="18" t="n">
        <f aca="false">IFERROR(ROUND(INDEX('Injectable Value'!$AA$28:$AA$178,MATCH($C154,'Injectable Value'!$A$28:$A$178,0)),1),"")</f>
        <v>28093.4</v>
      </c>
      <c r="U154" s="16" t="s">
        <v>328</v>
      </c>
      <c r="V154" s="15" t="n">
        <v>1</v>
      </c>
      <c r="W154" s="15" t="s">
        <v>70</v>
      </c>
      <c r="X154" s="15" t="s">
        <v>248</v>
      </c>
      <c r="Y154" s="15" t="s">
        <v>249</v>
      </c>
      <c r="Z154" s="16" t="str">
        <f aca="false">IFERROR(INDEX(Scoring!$K:$K,MATCH($C154&amp;"|"&amp;$E154,Scoring!$U:$U,0)),"")</f>
        <v>Cancer drug (cytotoxic) – less relevant</v>
      </c>
      <c r="AA154" s="15" t="str">
        <f aca="false">IFERROR(INDEX(Scoring!$Q:$Q,MATCH($C154&amp;"|"&amp;$E154,Scoring!$U:$U,0)),"")</f>
        <v>Priority 1</v>
      </c>
      <c r="AB154" s="15" t="str">
        <f aca="false">IFERROR(INDEX(Scoring!$AK:$AK,MATCH($C154&amp;"|"&amp;$E154,Scoring!$U:$U,0)),"")</f>
        <v>Priority 1</v>
      </c>
      <c r="AC154" s="18" t="n">
        <f aca="false">IFERROR(INDEX(Scoring!$M:$M,MATCH($C154&amp;"|"&amp;$E154,Scoring!$U:$U,0)),"")</f>
        <v>905</v>
      </c>
      <c r="AD154" s="15" t="str">
        <f aca="false">IFERROR(INDEX('Route of Administration'!$C$5:$C$155,MATCH($C154,'Route of Administration'!$A$5:$A$155,0)),"")</f>
        <v>IV, SC</v>
      </c>
      <c r="AE154" s="14" t="str">
        <f aca="false">IFERROR(INDEX('Route of Administration'!$D$5:$D$155,MATCH($C154,'Route of Administration'!$A$5:$A$155,0)),"")</f>
        <v>Yes</v>
      </c>
    </row>
    <row r="155" customFormat="false" ht="28.35" hidden="false" customHeight="false" outlineLevel="0" collapsed="false">
      <c r="B155" s="15" t="n">
        <v>153</v>
      </c>
      <c r="C155" s="15" t="s">
        <v>573</v>
      </c>
      <c r="D155" s="15" t="s">
        <v>662</v>
      </c>
      <c r="E155" s="15" t="s">
        <v>188</v>
      </c>
      <c r="F155" s="15" t="s">
        <v>1859</v>
      </c>
      <c r="G155" s="16" t="s">
        <v>1719</v>
      </c>
      <c r="H155" s="15" t="s">
        <v>1505</v>
      </c>
      <c r="I155" s="17" t="n">
        <v>20.12</v>
      </c>
      <c r="J155" s="15" t="n">
        <v>1</v>
      </c>
      <c r="K155" s="15" t="n">
        <v>93</v>
      </c>
      <c r="L155" s="18" t="n">
        <v>528.18</v>
      </c>
      <c r="M155" s="16" t="s">
        <v>574</v>
      </c>
      <c r="N155" s="17" t="n">
        <v>20.12</v>
      </c>
      <c r="O155" s="15" t="s">
        <v>1506</v>
      </c>
      <c r="P155" s="15" t="s">
        <v>1672</v>
      </c>
      <c r="Q155" s="16" t="s">
        <v>1508</v>
      </c>
      <c r="R155" s="32" t="s">
        <v>1784</v>
      </c>
      <c r="S155" s="37" t="n">
        <f aca="false">IFERROR(INDEX('Injectable Value'!$Z$28:$Z$178,MATCH($C155,'Injectable Value'!$A$28:$A$178,0)),"")</f>
        <v>0.571145833333333</v>
      </c>
      <c r="T155" s="18" t="n">
        <f aca="false">IFERROR(ROUND(INDEX('Injectable Value'!$AA$28:$AA$178,MATCH($C155,'Injectable Value'!$A$28:$A$178,0)),1),"")</f>
        <v>301.7</v>
      </c>
      <c r="U155" s="16" t="s">
        <v>328</v>
      </c>
      <c r="V155" s="15" t="n">
        <v>1</v>
      </c>
      <c r="W155" s="15" t="s">
        <v>70</v>
      </c>
      <c r="X155" s="15" t="s">
        <v>248</v>
      </c>
      <c r="Y155" s="15" t="s">
        <v>249</v>
      </c>
      <c r="Z155" s="16" t="str">
        <f aca="false">IFERROR(INDEX(Scoring!$K:$K,MATCH($C155&amp;"|"&amp;$E155,Scoring!$U:$U,0)),"")</f>
        <v>Cancer drug (cytotoxic) – less relevant</v>
      </c>
      <c r="AA155" s="15" t="str">
        <f aca="false">IFERROR(INDEX(Scoring!$Q:$Q,MATCH($C155&amp;"|"&amp;$E155,Scoring!$U:$U,0)),"")</f>
        <v>Excluded – IV only</v>
      </c>
      <c r="AB155" s="15" t="str">
        <f aca="false">IFERROR(INDEX(Scoring!$AK:$AK,MATCH($C155&amp;"|"&amp;$E155,Scoring!$U:$U,0)),"")</f>
        <v>Excluded – IV only</v>
      </c>
      <c r="AC155" s="18" t="n">
        <f aca="false">IFERROR(INDEX(Scoring!$M:$M,MATCH($C155&amp;"|"&amp;$E155,Scoring!$U:$U,0)),"")</f>
        <v>53</v>
      </c>
      <c r="AD155" s="15" t="str">
        <f aca="false">IFERROR(INDEX('Route of Administration'!$C$5:$C$155,MATCH($C155,'Route of Administration'!$A$5:$A$155,0)),"")</f>
        <v>IV</v>
      </c>
      <c r="AE155" s="14" t="str">
        <f aca="false">IFERROR(INDEX('Route of Administration'!$D$5:$D$155,MATCH($C155,'Route of Administration'!$A$5:$A$155,0)),"")</f>
        <v>No</v>
      </c>
    </row>
    <row r="156" customFormat="false" ht="28.35" hidden="false" customHeight="false" outlineLevel="0" collapsed="false">
      <c r="B156" s="15" t="n">
        <v>154</v>
      </c>
      <c r="C156" s="15" t="s">
        <v>573</v>
      </c>
      <c r="D156" s="15" t="s">
        <v>662</v>
      </c>
      <c r="E156" s="15" t="s">
        <v>188</v>
      </c>
      <c r="F156" s="15" t="s">
        <v>1860</v>
      </c>
      <c r="G156" s="16" t="s">
        <v>1691</v>
      </c>
      <c r="H156" s="15" t="s">
        <v>1505</v>
      </c>
      <c r="I156" s="17" t="n">
        <v>100.61</v>
      </c>
      <c r="J156" s="15" t="n">
        <v>1</v>
      </c>
      <c r="K156" s="15" t="n">
        <v>93</v>
      </c>
      <c r="L156" s="18" t="n">
        <v>528.18</v>
      </c>
      <c r="M156" s="16" t="s">
        <v>574</v>
      </c>
      <c r="N156" s="17" t="n">
        <v>100.61</v>
      </c>
      <c r="O156" s="15" t="s">
        <v>1506</v>
      </c>
      <c r="P156" s="15" t="s">
        <v>1672</v>
      </c>
      <c r="Q156" s="16" t="s">
        <v>1508</v>
      </c>
      <c r="R156" s="32" t="s">
        <v>1784</v>
      </c>
      <c r="S156" s="37" t="n">
        <f aca="false">IFERROR(INDEX('Injectable Value'!$Z$28:$Z$178,MATCH($C156,'Injectable Value'!$A$28:$A$178,0)),"")</f>
        <v>0.571145833333333</v>
      </c>
      <c r="T156" s="18" t="n">
        <f aca="false">IFERROR(ROUND(INDEX('Injectable Value'!$AA$28:$AA$178,MATCH($C156,'Injectable Value'!$A$28:$A$178,0)),1),"")</f>
        <v>301.7</v>
      </c>
      <c r="U156" s="16" t="s">
        <v>328</v>
      </c>
      <c r="V156" s="15" t="n">
        <v>1</v>
      </c>
      <c r="W156" s="15" t="s">
        <v>70</v>
      </c>
      <c r="X156" s="15" t="s">
        <v>248</v>
      </c>
      <c r="Y156" s="15" t="s">
        <v>249</v>
      </c>
      <c r="Z156" s="16" t="str">
        <f aca="false">IFERROR(INDEX(Scoring!$K:$K,MATCH($C156&amp;"|"&amp;$E156,Scoring!$U:$U,0)),"")</f>
        <v>Cancer drug (cytotoxic) – less relevant</v>
      </c>
      <c r="AA156" s="15" t="str">
        <f aca="false">IFERROR(INDEX(Scoring!$Q:$Q,MATCH($C156&amp;"|"&amp;$E156,Scoring!$U:$U,0)),"")</f>
        <v>Excluded – IV only</v>
      </c>
      <c r="AB156" s="15" t="str">
        <f aca="false">IFERROR(INDEX(Scoring!$AK:$AK,MATCH($C156&amp;"|"&amp;$E156,Scoring!$U:$U,0)),"")</f>
        <v>Excluded – IV only</v>
      </c>
      <c r="AC156" s="18" t="n">
        <f aca="false">IFERROR(INDEX(Scoring!$M:$M,MATCH($C156&amp;"|"&amp;$E156,Scoring!$U:$U,0)),"")</f>
        <v>53</v>
      </c>
      <c r="AD156" s="15" t="str">
        <f aca="false">IFERROR(INDEX('Route of Administration'!$C$5:$C$155,MATCH($C156,'Route of Administration'!$A$5:$A$155,0)),"")</f>
        <v>IV</v>
      </c>
      <c r="AE156" s="14" t="str">
        <f aca="false">IFERROR(INDEX('Route of Administration'!$D$5:$D$155,MATCH($C156,'Route of Administration'!$A$5:$A$155,0)),"")</f>
        <v>No</v>
      </c>
    </row>
    <row r="157" customFormat="false" ht="28.35" hidden="false" customHeight="false" outlineLevel="0" collapsed="false">
      <c r="B157" s="15" t="n">
        <v>155</v>
      </c>
      <c r="C157" s="15" t="s">
        <v>656</v>
      </c>
      <c r="D157" s="15" t="s">
        <v>660</v>
      </c>
      <c r="E157" s="15" t="s">
        <v>188</v>
      </c>
      <c r="F157" s="15" t="s">
        <v>1861</v>
      </c>
      <c r="G157" s="16" t="s">
        <v>1862</v>
      </c>
      <c r="H157" s="15" t="s">
        <v>1505</v>
      </c>
      <c r="I157" s="17" t="n">
        <v>21.16</v>
      </c>
      <c r="J157" s="15" t="n">
        <v>1</v>
      </c>
      <c r="K157" s="15" t="n">
        <v>342</v>
      </c>
      <c r="L157" s="18" t="n">
        <v>520.76</v>
      </c>
      <c r="M157" s="16" t="s">
        <v>657</v>
      </c>
      <c r="N157" s="17" t="n">
        <v>21.16</v>
      </c>
      <c r="O157" s="15" t="s">
        <v>1506</v>
      </c>
      <c r="P157" s="15" t="s">
        <v>1672</v>
      </c>
      <c r="Q157" s="16" t="s">
        <v>1508</v>
      </c>
      <c r="R157" s="32" t="s">
        <v>1784</v>
      </c>
      <c r="S157" s="37" t="n">
        <f aca="false">IFERROR(INDEX('Injectable Value'!$Z$28:$Z$178,MATCH($C157,'Injectable Value'!$A$28:$A$178,0)),"")</f>
        <v>1</v>
      </c>
      <c r="T157" s="18" t="n">
        <f aca="false">IFERROR(ROUND(INDEX('Injectable Value'!$AA$28:$AA$178,MATCH($C157,'Injectable Value'!$A$28:$A$178,0)),1),"")</f>
        <v>520.8</v>
      </c>
      <c r="U157" s="16" t="s">
        <v>328</v>
      </c>
      <c r="V157" s="15" t="n">
        <v>1</v>
      </c>
      <c r="W157" s="15" t="s">
        <v>70</v>
      </c>
      <c r="X157" s="15" t="s">
        <v>248</v>
      </c>
      <c r="Y157" s="15" t="s">
        <v>249</v>
      </c>
      <c r="Z157" s="16" t="str">
        <f aca="false">IFERROR(INDEX(Scoring!$K:$K,MATCH($C157&amp;"|"&amp;$E157,Scoring!$U:$U,0)),"")</f>
        <v>Cancer drug (cytotoxic) – less relevant</v>
      </c>
      <c r="AA157" s="15" t="str">
        <f aca="false">IFERROR(INDEX(Scoring!$Q:$Q,MATCH($C157&amp;"|"&amp;$E157,Scoring!$U:$U,0)),"")</f>
        <v>Excluded – IV only</v>
      </c>
      <c r="AB157" s="15" t="str">
        <f aca="false">IFERROR(INDEX(Scoring!$AK:$AK,MATCH($C157&amp;"|"&amp;$E157,Scoring!$U:$U,0)),"")</f>
        <v>Excluded – IV only</v>
      </c>
      <c r="AC157" s="18" t="n">
        <f aca="false">IFERROR(INDEX(Scoring!$M:$M,MATCH($C157&amp;"|"&amp;$E157,Scoring!$U:$U,0)),"")</f>
        <v>342</v>
      </c>
      <c r="AD157" s="15" t="str">
        <f aca="false">IFERROR(INDEX('Route of Administration'!$C$5:$C$155,MATCH($C157,'Route of Administration'!$A$5:$A$155,0)),"")</f>
        <v>IV</v>
      </c>
      <c r="AE157" s="14" t="str">
        <f aca="false">IFERROR(INDEX('Route of Administration'!$D$5:$D$155,MATCH($C157,'Route of Administration'!$A$5:$A$155,0)),"")</f>
        <v>No</v>
      </c>
    </row>
    <row r="158" customFormat="false" ht="28.35" hidden="false" customHeight="false" outlineLevel="0" collapsed="false">
      <c r="B158" s="15" t="n">
        <v>156</v>
      </c>
      <c r="C158" s="15" t="s">
        <v>362</v>
      </c>
      <c r="D158" s="15" t="s">
        <v>599</v>
      </c>
      <c r="E158" s="15" t="s">
        <v>188</v>
      </c>
      <c r="F158" s="15" t="s">
        <v>1863</v>
      </c>
      <c r="G158" s="16" t="s">
        <v>1864</v>
      </c>
      <c r="H158" s="15" t="s">
        <v>1505</v>
      </c>
      <c r="I158" s="17" t="n">
        <v>6.31</v>
      </c>
      <c r="J158" s="15" t="n">
        <v>1</v>
      </c>
      <c r="K158" s="15" t="n">
        <v>1644</v>
      </c>
      <c r="L158" s="18" t="n">
        <v>41889.23</v>
      </c>
      <c r="M158" s="16" t="s">
        <v>363</v>
      </c>
      <c r="N158" s="17" t="n">
        <v>6.31</v>
      </c>
      <c r="O158" s="15" t="s">
        <v>1506</v>
      </c>
      <c r="P158" s="15" t="s">
        <v>1672</v>
      </c>
      <c r="Q158" s="16" t="s">
        <v>1508</v>
      </c>
      <c r="R158" s="32" t="s">
        <v>1784</v>
      </c>
      <c r="S158" s="37" t="n">
        <f aca="false">IFERROR(INDEX('Injectable Value'!$Z$28:$Z$178,MATCH($C158,'Injectable Value'!$A$28:$A$178,0)),"")</f>
        <v>0.990783410138249</v>
      </c>
      <c r="T158" s="18" t="n">
        <f aca="false">IFERROR(ROUND(INDEX('Injectable Value'!$AA$28:$AA$178,MATCH($C158,'Injectable Value'!$A$28:$A$178,0)),1),"")</f>
        <v>41503.2</v>
      </c>
      <c r="U158" s="16" t="s">
        <v>328</v>
      </c>
      <c r="V158" s="15" t="n">
        <v>1</v>
      </c>
      <c r="W158" s="15" t="s">
        <v>70</v>
      </c>
      <c r="X158" s="15" t="s">
        <v>248</v>
      </c>
      <c r="Y158" s="15" t="s">
        <v>249</v>
      </c>
      <c r="Z158" s="16" t="str">
        <f aca="false">IFERROR(INDEX(Scoring!$K:$K,MATCH($C158&amp;"|"&amp;$E158,Scoring!$U:$U,0)),"")</f>
        <v>Cancer drug (cytotoxic) – less relevant; Reconstitution</v>
      </c>
      <c r="AA158" s="15" t="str">
        <f aca="false">IFERROR(INDEX(Scoring!$Q:$Q,MATCH($C158&amp;"|"&amp;$E158,Scoring!$U:$U,0)),"")</f>
        <v>Excluded – IV only</v>
      </c>
      <c r="AB158" s="15" t="str">
        <f aca="false">IFERROR(INDEX(Scoring!$AK:$AK,MATCH($C158&amp;"|"&amp;$E158,Scoring!$U:$U,0)),"")</f>
        <v>Excluded – IV only</v>
      </c>
      <c r="AC158" s="18" t="n">
        <f aca="false">IFERROR(INDEX(Scoring!$M:$M,MATCH($C158&amp;"|"&amp;$E158,Scoring!$U:$U,0)),"")</f>
        <v>1629</v>
      </c>
      <c r="AD158" s="15" t="str">
        <f aca="false">IFERROR(INDEX('Route of Administration'!$C$5:$C$155,MATCH($C158,'Route of Administration'!$A$5:$A$155,0)),"")</f>
        <v>IV</v>
      </c>
      <c r="AE158" s="14" t="str">
        <f aca="false">IFERROR(INDEX('Route of Administration'!$D$5:$D$155,MATCH($C158,'Route of Administration'!$A$5:$A$155,0)),"")</f>
        <v>No</v>
      </c>
    </row>
    <row r="159" customFormat="false" ht="28.35" hidden="false" customHeight="false" outlineLevel="0" collapsed="false">
      <c r="B159" s="15" t="n">
        <v>157</v>
      </c>
      <c r="C159" s="15" t="s">
        <v>362</v>
      </c>
      <c r="D159" s="15" t="s">
        <v>599</v>
      </c>
      <c r="E159" s="15" t="s">
        <v>188</v>
      </c>
      <c r="F159" s="15" t="s">
        <v>1865</v>
      </c>
      <c r="G159" s="16" t="s">
        <v>1866</v>
      </c>
      <c r="H159" s="15" t="s">
        <v>1505</v>
      </c>
      <c r="I159" s="17" t="n">
        <v>31.54</v>
      </c>
      <c r="J159" s="15" t="n">
        <v>1</v>
      </c>
      <c r="K159" s="15" t="n">
        <v>1644</v>
      </c>
      <c r="L159" s="18" t="n">
        <v>41889.23</v>
      </c>
      <c r="M159" s="16" t="s">
        <v>363</v>
      </c>
      <c r="N159" s="17" t="n">
        <v>31.54</v>
      </c>
      <c r="O159" s="15" t="s">
        <v>1506</v>
      </c>
      <c r="P159" s="15" t="s">
        <v>1672</v>
      </c>
      <c r="Q159" s="16" t="s">
        <v>1508</v>
      </c>
      <c r="R159" s="32" t="s">
        <v>1784</v>
      </c>
      <c r="S159" s="37" t="n">
        <f aca="false">IFERROR(INDEX('Injectable Value'!$Z$28:$Z$178,MATCH($C159,'Injectable Value'!$A$28:$A$178,0)),"")</f>
        <v>0.990783410138249</v>
      </c>
      <c r="T159" s="18" t="n">
        <f aca="false">IFERROR(ROUND(INDEX('Injectable Value'!$AA$28:$AA$178,MATCH($C159,'Injectable Value'!$A$28:$A$178,0)),1),"")</f>
        <v>41503.2</v>
      </c>
      <c r="U159" s="16" t="s">
        <v>328</v>
      </c>
      <c r="V159" s="15" t="n">
        <v>1</v>
      </c>
      <c r="W159" s="15" t="s">
        <v>70</v>
      </c>
      <c r="X159" s="15" t="s">
        <v>248</v>
      </c>
      <c r="Y159" s="15" t="s">
        <v>324</v>
      </c>
      <c r="Z159" s="16" t="str">
        <f aca="false">IFERROR(INDEX(Scoring!$K:$K,MATCH($C159&amp;"|"&amp;$E159,Scoring!$U:$U,0)),"")</f>
        <v>Cancer drug (cytotoxic) – less relevant; Reconstitution</v>
      </c>
      <c r="AA159" s="15" t="str">
        <f aca="false">IFERROR(INDEX(Scoring!$Q:$Q,MATCH($C159&amp;"|"&amp;$E159,Scoring!$U:$U,0)),"")</f>
        <v>Excluded – IV only</v>
      </c>
      <c r="AB159" s="15" t="str">
        <f aca="false">IFERROR(INDEX(Scoring!$AK:$AK,MATCH($C159&amp;"|"&amp;$E159,Scoring!$U:$U,0)),"")</f>
        <v>Excluded – IV only</v>
      </c>
      <c r="AC159" s="18" t="n">
        <f aca="false">IFERROR(INDEX(Scoring!$M:$M,MATCH($C159&amp;"|"&amp;$E159,Scoring!$U:$U,0)),"")</f>
        <v>1629</v>
      </c>
      <c r="AD159" s="15" t="str">
        <f aca="false">IFERROR(INDEX('Route of Administration'!$C$5:$C$155,MATCH($C159,'Route of Administration'!$A$5:$A$155,0)),"")</f>
        <v>IV</v>
      </c>
      <c r="AE159" s="14" t="str">
        <f aca="false">IFERROR(INDEX('Route of Administration'!$D$5:$D$155,MATCH($C159,'Route of Administration'!$A$5:$A$155,0)),"")</f>
        <v>No</v>
      </c>
    </row>
    <row r="160" customFormat="false" ht="28.35" hidden="false" customHeight="false" outlineLevel="0" collapsed="false">
      <c r="B160" s="15" t="n">
        <v>158</v>
      </c>
      <c r="C160" s="15" t="s">
        <v>641</v>
      </c>
      <c r="D160" s="15" t="s">
        <v>645</v>
      </c>
      <c r="E160" s="15" t="s">
        <v>188</v>
      </c>
      <c r="F160" s="15" t="s">
        <v>1867</v>
      </c>
      <c r="G160" s="16" t="s">
        <v>1868</v>
      </c>
      <c r="H160" s="15" t="s">
        <v>1505</v>
      </c>
      <c r="I160" s="17" t="n">
        <v>13.97</v>
      </c>
      <c r="J160" s="15" t="n">
        <v>1</v>
      </c>
      <c r="K160" s="15" t="n">
        <v>106</v>
      </c>
      <c r="L160" s="18" t="n">
        <v>7074.72</v>
      </c>
      <c r="M160" s="16" t="s">
        <v>642</v>
      </c>
      <c r="N160" s="17" t="n">
        <v>13.97</v>
      </c>
      <c r="O160" s="15" t="s">
        <v>1506</v>
      </c>
      <c r="P160" s="15" t="s">
        <v>1672</v>
      </c>
      <c r="Q160" s="16" t="s">
        <v>1508</v>
      </c>
      <c r="R160" s="32" t="s">
        <v>1784</v>
      </c>
      <c r="S160" s="37" t="n">
        <f aca="false">IFERROR(INDEX('Injectable Value'!$Z$28:$Z$178,MATCH($C160,'Injectable Value'!$A$28:$A$178,0)),"")</f>
        <v>0.9375</v>
      </c>
      <c r="T160" s="18" t="n">
        <f aca="false">IFERROR(ROUND(INDEX('Injectable Value'!$AA$28:$AA$178,MATCH($C160,'Injectable Value'!$A$28:$A$178,0)),1),"")</f>
        <v>6632.6</v>
      </c>
      <c r="U160" s="16" t="s">
        <v>328</v>
      </c>
      <c r="V160" s="15" t="n">
        <v>1</v>
      </c>
      <c r="W160" s="15" t="s">
        <v>70</v>
      </c>
      <c r="X160" s="15" t="s">
        <v>248</v>
      </c>
      <c r="Y160" s="15" t="s">
        <v>249</v>
      </c>
      <c r="Z160" s="16" t="str">
        <f aca="false">IFERROR(INDEX(Scoring!$K:$K,MATCH($C160&amp;"|"&amp;$E160,Scoring!$U:$U,0)),"")</f>
        <v>Reconstitution</v>
      </c>
      <c r="AA160" s="15" t="str">
        <f aca="false">IFERROR(INDEX(Scoring!$Q:$Q,MATCH($C160&amp;"|"&amp;$E160,Scoring!$U:$U,0)),"")</f>
        <v>Priority 3</v>
      </c>
      <c r="AB160" s="15" t="str">
        <f aca="false">IFERROR(INDEX(Scoring!$AK:$AK,MATCH($C160&amp;"|"&amp;$E160,Scoring!$U:$U,0)),"")</f>
        <v>Priority 3</v>
      </c>
      <c r="AC160" s="18" t="n">
        <f aca="false">IFERROR(INDEX(Scoring!$M:$M,MATCH($C160&amp;"|"&amp;$E160,Scoring!$U:$U,0)),"")</f>
        <v>99</v>
      </c>
      <c r="AD160" s="15" t="str">
        <f aca="false">IFERROR(INDEX('Route of Administration'!$C$5:$C$155,MATCH($C160,'Route of Administration'!$A$5:$A$155,0)),"")</f>
        <v>IV, IM</v>
      </c>
      <c r="AE160" s="14" t="str">
        <f aca="false">IFERROR(INDEX('Route of Administration'!$D$5:$D$155,MATCH($C160,'Route of Administration'!$A$5:$A$155,0)),"")</f>
        <v>Yes</v>
      </c>
    </row>
    <row r="161" customFormat="false" ht="15" hidden="false" customHeight="false" outlineLevel="0" collapsed="false">
      <c r="B161" s="15" t="n">
        <v>159</v>
      </c>
      <c r="C161" s="15" t="s">
        <v>616</v>
      </c>
      <c r="D161" s="15" t="s">
        <v>620</v>
      </c>
      <c r="E161" s="15" t="s">
        <v>188</v>
      </c>
      <c r="F161" s="15" t="s">
        <v>1869</v>
      </c>
      <c r="G161" s="16" t="s">
        <v>1870</v>
      </c>
      <c r="H161" s="15" t="s">
        <v>1505</v>
      </c>
      <c r="I161" s="17" t="n">
        <v>9.55</v>
      </c>
      <c r="J161" s="15" t="n">
        <v>1</v>
      </c>
      <c r="K161" s="15" t="n">
        <v>590</v>
      </c>
      <c r="L161" s="18" t="n">
        <v>417765.21</v>
      </c>
      <c r="M161" s="16" t="s">
        <v>617</v>
      </c>
      <c r="N161" s="17" t="n">
        <v>9.55</v>
      </c>
      <c r="O161" s="15" t="s">
        <v>1506</v>
      </c>
      <c r="P161" s="15" t="s">
        <v>1672</v>
      </c>
      <c r="Q161" s="16" t="s">
        <v>1508</v>
      </c>
      <c r="R161" s="32" t="s">
        <v>1784</v>
      </c>
      <c r="S161" s="37" t="n">
        <f aca="false">IFERROR(INDEX('Injectable Value'!$Z$28:$Z$178,MATCH($C161,'Injectable Value'!$A$28:$A$178,0)),"")</f>
        <v>1</v>
      </c>
      <c r="T161" s="18" t="n">
        <f aca="false">IFERROR(ROUND(INDEX('Injectable Value'!$AA$28:$AA$178,MATCH($C161,'Injectable Value'!$A$28:$A$178,0)),1),"")</f>
        <v>417765.2</v>
      </c>
      <c r="U161" s="16" t="s">
        <v>328</v>
      </c>
      <c r="V161" s="15" t="n">
        <v>1</v>
      </c>
      <c r="W161" s="15" t="s">
        <v>70</v>
      </c>
      <c r="X161" s="15" t="s">
        <v>248</v>
      </c>
      <c r="Y161" s="15" t="s">
        <v>249</v>
      </c>
      <c r="Z161" s="16" t="str">
        <f aca="false">IFERROR(INDEX(Scoring!$K:$K,MATCH($C161&amp;"|"&amp;$E161,Scoring!$U:$U,0)),"")</f>
        <v/>
      </c>
      <c r="AA161" s="15" t="str">
        <f aca="false">IFERROR(INDEX(Scoring!$Q:$Q,MATCH($C161&amp;"|"&amp;$E161,Scoring!$U:$U,0)),"")</f>
        <v>Priority 2</v>
      </c>
      <c r="AB161" s="15" t="str">
        <f aca="false">IFERROR(INDEX(Scoring!$AK:$AK,MATCH($C161&amp;"|"&amp;$E161,Scoring!$U:$U,0)),"")</f>
        <v>Priority 2</v>
      </c>
      <c r="AC161" s="18" t="n">
        <f aca="false">IFERROR(INDEX(Scoring!$M:$M,MATCH($C161&amp;"|"&amp;$E161,Scoring!$U:$U,0)),"")</f>
        <v>590</v>
      </c>
      <c r="AD161" s="15" t="str">
        <f aca="false">IFERROR(INDEX('Route of Administration'!$C$5:$C$155,MATCH($C161,'Route of Administration'!$A$5:$A$155,0)),"")</f>
        <v>SC, IM</v>
      </c>
      <c r="AE161" s="14" t="str">
        <f aca="false">IFERROR(INDEX('Route of Administration'!$D$5:$D$155,MATCH($C161,'Route of Administration'!$A$5:$A$155,0)),"")</f>
        <v>Yes</v>
      </c>
    </row>
    <row r="162" customFormat="false" ht="15" hidden="false" customHeight="false" outlineLevel="0" collapsed="false">
      <c r="B162" s="15" t="n">
        <v>160</v>
      </c>
      <c r="C162" s="15" t="s">
        <v>616</v>
      </c>
      <c r="D162" s="15" t="s">
        <v>620</v>
      </c>
      <c r="E162" s="15" t="s">
        <v>188</v>
      </c>
      <c r="F162" s="15" t="s">
        <v>1869</v>
      </c>
      <c r="G162" s="16" t="s">
        <v>1871</v>
      </c>
      <c r="H162" s="15" t="s">
        <v>1505</v>
      </c>
      <c r="I162" s="17" t="n">
        <v>95.55</v>
      </c>
      <c r="J162" s="15" t="n">
        <v>1</v>
      </c>
      <c r="K162" s="15" t="n">
        <v>590</v>
      </c>
      <c r="L162" s="18" t="n">
        <v>417765.21</v>
      </c>
      <c r="M162" s="16" t="s">
        <v>617</v>
      </c>
      <c r="N162" s="17" t="n">
        <v>9.555</v>
      </c>
      <c r="O162" s="15" t="s">
        <v>1872</v>
      </c>
      <c r="P162" s="15" t="s">
        <v>1672</v>
      </c>
      <c r="Q162" s="16" t="s">
        <v>1508</v>
      </c>
      <c r="R162" s="32" t="s">
        <v>1784</v>
      </c>
      <c r="S162" s="37" t="n">
        <f aca="false">IFERROR(INDEX('Injectable Value'!$Z$28:$Z$178,MATCH($C162,'Injectable Value'!$A$28:$A$178,0)),"")</f>
        <v>1</v>
      </c>
      <c r="T162" s="18" t="n">
        <f aca="false">IFERROR(ROUND(INDEX('Injectable Value'!$AA$28:$AA$178,MATCH($C162,'Injectable Value'!$A$28:$A$178,0)),1),"")</f>
        <v>417765.2</v>
      </c>
      <c r="U162" s="16" t="s">
        <v>328</v>
      </c>
      <c r="V162" s="15" t="n">
        <v>1</v>
      </c>
      <c r="W162" s="15" t="s">
        <v>70</v>
      </c>
      <c r="X162" s="15" t="s">
        <v>248</v>
      </c>
      <c r="Y162" s="15" t="s">
        <v>249</v>
      </c>
      <c r="Z162" s="16" t="str">
        <f aca="false">IFERROR(INDEX(Scoring!$K:$K,MATCH($C162&amp;"|"&amp;$E162,Scoring!$U:$U,0)),"")</f>
        <v/>
      </c>
      <c r="AA162" s="15" t="str">
        <f aca="false">IFERROR(INDEX(Scoring!$Q:$Q,MATCH($C162&amp;"|"&amp;$E162,Scoring!$U:$U,0)),"")</f>
        <v>Priority 2</v>
      </c>
      <c r="AB162" s="15" t="str">
        <f aca="false">IFERROR(INDEX(Scoring!$AK:$AK,MATCH($C162&amp;"|"&amp;$E162,Scoring!$U:$U,0)),"")</f>
        <v>Priority 2</v>
      </c>
      <c r="AC162" s="18" t="n">
        <f aca="false">IFERROR(INDEX(Scoring!$M:$M,MATCH($C162&amp;"|"&amp;$E162,Scoring!$U:$U,0)),"")</f>
        <v>590</v>
      </c>
      <c r="AD162" s="15" t="str">
        <f aca="false">IFERROR(INDEX('Route of Administration'!$C$5:$C$155,MATCH($C162,'Route of Administration'!$A$5:$A$155,0)),"")</f>
        <v>SC, IM</v>
      </c>
      <c r="AE162" s="14" t="str">
        <f aca="false">IFERROR(INDEX('Route of Administration'!$D$5:$D$155,MATCH($C162,'Route of Administration'!$A$5:$A$155,0)),"")</f>
        <v>Yes</v>
      </c>
    </row>
    <row r="163" customFormat="false" ht="28.35" hidden="false" customHeight="false" outlineLevel="0" collapsed="false">
      <c r="B163" s="15" t="n">
        <v>161</v>
      </c>
      <c r="C163" s="15" t="s">
        <v>584</v>
      </c>
      <c r="D163" s="15" t="s">
        <v>1873</v>
      </c>
      <c r="E163" s="15" t="s">
        <v>188</v>
      </c>
      <c r="F163" s="15" t="s">
        <v>1874</v>
      </c>
      <c r="G163" s="16" t="s">
        <v>1864</v>
      </c>
      <c r="H163" s="15" t="s">
        <v>1505</v>
      </c>
      <c r="I163" s="17" t="n">
        <v>51.95</v>
      </c>
      <c r="J163" s="15" t="n">
        <v>1</v>
      </c>
      <c r="K163" s="15" t="n">
        <v>441</v>
      </c>
      <c r="L163" s="18" t="n">
        <v>3973.65</v>
      </c>
      <c r="M163" s="16" t="s">
        <v>585</v>
      </c>
      <c r="N163" s="17" t="n">
        <v>51.95</v>
      </c>
      <c r="O163" s="15" t="s">
        <v>1506</v>
      </c>
      <c r="P163" s="15" t="s">
        <v>1672</v>
      </c>
      <c r="Q163" s="16" t="s">
        <v>1508</v>
      </c>
      <c r="R163" s="32" t="s">
        <v>1784</v>
      </c>
      <c r="S163" s="37" t="n">
        <f aca="false">IFERROR(INDEX('Injectable Value'!$Z$28:$Z$178,MATCH($C163,'Injectable Value'!$A$28:$A$178,0)),"")</f>
        <v>1</v>
      </c>
      <c r="T163" s="18" t="n">
        <f aca="false">IFERROR(ROUND(INDEX('Injectable Value'!$AA$28:$AA$178,MATCH($C163,'Injectable Value'!$A$28:$A$178,0)),1),"")</f>
        <v>3973.7</v>
      </c>
      <c r="U163" s="16" t="s">
        <v>589</v>
      </c>
      <c r="V163" s="15" t="n">
        <v>2</v>
      </c>
      <c r="W163" s="15" t="s">
        <v>70</v>
      </c>
      <c r="X163" s="15" t="s">
        <v>248</v>
      </c>
      <c r="Y163" s="15" t="s">
        <v>249</v>
      </c>
      <c r="Z163" s="16" t="str">
        <f aca="false">IFERROR(INDEX(Scoring!$K:$K,MATCH($C163&amp;"|"&amp;$E163,Scoring!$U:$U,0)),"")</f>
        <v>Cancer drug (cytotoxic) – less relevant; Reconstitution</v>
      </c>
      <c r="AA163" s="15" t="str">
        <f aca="false">IFERROR(INDEX(Scoring!$Q:$Q,MATCH($C163&amp;"|"&amp;$E163,Scoring!$U:$U,0)),"")</f>
        <v>Priority 1</v>
      </c>
      <c r="AB163" s="15" t="str">
        <f aca="false">IFERROR(INDEX(Scoring!$AK:$AK,MATCH($C163&amp;"|"&amp;$E163,Scoring!$U:$U,0)),"")</f>
        <v>Priority 1</v>
      </c>
      <c r="AC163" s="18" t="n">
        <f aca="false">IFERROR(INDEX(Scoring!$M:$M,MATCH($C163&amp;"|"&amp;$E163,Scoring!$U:$U,0)),"")</f>
        <v>441</v>
      </c>
      <c r="AD163" s="15" t="str">
        <f aca="false">IFERROR(INDEX('Route of Administration'!$C$5:$C$155,MATCH($C163,'Route of Administration'!$A$5:$A$155,0)),"")</f>
        <v>IV, IM, SC</v>
      </c>
      <c r="AE163" s="14" t="str">
        <f aca="false">IFERROR(INDEX('Route of Administration'!$D$5:$D$155,MATCH($C163,'Route of Administration'!$A$5:$A$155,0)),"")</f>
        <v>Yes</v>
      </c>
    </row>
    <row r="164" customFormat="false" ht="28.35" hidden="false" customHeight="false" outlineLevel="0" collapsed="false">
      <c r="B164" s="15" t="n">
        <v>162</v>
      </c>
      <c r="C164" s="15" t="s">
        <v>245</v>
      </c>
      <c r="D164" s="15" t="s">
        <v>321</v>
      </c>
      <c r="E164" s="15" t="s">
        <v>664</v>
      </c>
      <c r="F164" s="15" t="s">
        <v>1503</v>
      </c>
      <c r="G164" s="16" t="s">
        <v>1875</v>
      </c>
      <c r="H164" s="15" t="s">
        <v>1512</v>
      </c>
      <c r="I164" s="17"/>
      <c r="J164" s="15" t="n">
        <v>1</v>
      </c>
      <c r="K164" s="15" t="n">
        <v>156</v>
      </c>
      <c r="L164" s="18" t="n">
        <v>3954.83</v>
      </c>
      <c r="M164" s="16" t="s">
        <v>246</v>
      </c>
      <c r="N164" s="38" t="n">
        <v>127.38</v>
      </c>
      <c r="O164" s="22" t="s">
        <v>1513</v>
      </c>
      <c r="P164" s="15" t="s">
        <v>1507</v>
      </c>
      <c r="Q164" s="16" t="s">
        <v>1832</v>
      </c>
      <c r="R164" s="32" t="s">
        <v>1833</v>
      </c>
      <c r="S164" s="37" t="n">
        <f aca="false">IFERROR(INDEX('Injectable Value'!$Z$28:$Z$178,MATCH($C164,'Injectable Value'!$A$28:$A$178,0)),"")</f>
        <v>0.916666666666667</v>
      </c>
      <c r="T164" s="18" t="n">
        <f aca="false">IFERROR(ROUND(INDEX('Injectable Value'!$AA$28:$AA$178,MATCH($C164,'Injectable Value'!$A$28:$A$178,0)),1),"")</f>
        <v>3625.3</v>
      </c>
      <c r="U164" s="16" t="s">
        <v>605</v>
      </c>
      <c r="V164" s="15" t="n">
        <v>2</v>
      </c>
      <c r="W164" s="15" t="s">
        <v>247</v>
      </c>
      <c r="X164" s="15" t="s">
        <v>258</v>
      </c>
      <c r="Y164" s="15" t="s">
        <v>249</v>
      </c>
      <c r="Z164" s="16" t="str">
        <f aca="false">IFERROR(INDEX(Scoring!$K:$K,MATCH($C164&amp;"|"&amp;$E164,Scoring!$U:$U,0)),"")</f>
        <v/>
      </c>
      <c r="AA164" s="15" t="str">
        <f aca="false">IFERROR(INDEX(Scoring!$Q:$Q,MATCH($C164&amp;"|"&amp;$E164,Scoring!$U:$U,0)),"")</f>
        <v>Priority 2</v>
      </c>
      <c r="AB164" s="15" t="str">
        <f aca="false">IFERROR(INDEX(Scoring!$AK:$AK,MATCH($C164&amp;"|"&amp;$E164,Scoring!$U:$U,0)),"")</f>
        <v>Priority 2</v>
      </c>
      <c r="AC164" s="18" t="n">
        <f aca="false">IFERROR(INDEX(Scoring!$M:$M,MATCH($C164&amp;"|"&amp;$E164,Scoring!$U:$U,0)),"")</f>
        <v>143</v>
      </c>
      <c r="AD164" s="15" t="str">
        <f aca="false">IFERROR(INDEX('Route of Administration'!$C$5:$C$155,MATCH($C164,'Route of Administration'!$A$5:$A$155,0)),"")</f>
        <v>IM</v>
      </c>
      <c r="AE164" s="14" t="str">
        <f aca="false">IFERROR(INDEX('Route of Administration'!$D$5:$D$155,MATCH($C164,'Route of Administration'!$A$5:$A$155,0)),"")</f>
        <v>Yes</v>
      </c>
    </row>
    <row r="165" customFormat="false" ht="41.75" hidden="false" customHeight="false" outlineLevel="0" collapsed="false">
      <c r="B165" s="15" t="n">
        <v>163</v>
      </c>
      <c r="C165" s="15" t="s">
        <v>689</v>
      </c>
      <c r="D165" s="15" t="s">
        <v>693</v>
      </c>
      <c r="E165" s="15" t="s">
        <v>664</v>
      </c>
      <c r="F165" s="15" t="s">
        <v>1876</v>
      </c>
      <c r="G165" s="16" t="s">
        <v>1877</v>
      </c>
      <c r="H165" s="15" t="s">
        <v>1505</v>
      </c>
      <c r="I165" s="17" t="n">
        <v>133.8</v>
      </c>
      <c r="J165" s="15" t="n">
        <v>1</v>
      </c>
      <c r="K165" s="15" t="n">
        <v>209</v>
      </c>
      <c r="L165" s="18" t="n">
        <v>2827.35</v>
      </c>
      <c r="M165" s="16" t="s">
        <v>690</v>
      </c>
      <c r="N165" s="17" t="n">
        <v>133.8</v>
      </c>
      <c r="O165" s="15" t="s">
        <v>1506</v>
      </c>
      <c r="P165" s="15" t="s">
        <v>1507</v>
      </c>
      <c r="Q165" s="16" t="s">
        <v>1508</v>
      </c>
      <c r="R165" s="32" t="s">
        <v>1878</v>
      </c>
      <c r="S165" s="37" t="n">
        <f aca="false">IFERROR(INDEX('Injectable Value'!$Z$28:$Z$178,MATCH($C165,'Injectable Value'!$A$28:$A$178,0)),"")</f>
        <v>0.192047803841401</v>
      </c>
      <c r="T165" s="18" t="n">
        <f aca="false">IFERROR(ROUND(INDEX('Injectable Value'!$AA$28:$AA$178,MATCH($C165,'Injectable Value'!$A$28:$A$178,0)),1),"")</f>
        <v>543</v>
      </c>
      <c r="U165" s="16" t="s">
        <v>247</v>
      </c>
      <c r="V165" s="15" t="n">
        <v>1</v>
      </c>
      <c r="W165" s="15" t="s">
        <v>247</v>
      </c>
      <c r="X165" s="15" t="s">
        <v>248</v>
      </c>
      <c r="Y165" s="15" t="s">
        <v>249</v>
      </c>
      <c r="Z165" s="16" t="str">
        <f aca="false">IFERROR(INDEX(Scoring!$K:$K,MATCH($C165&amp;"|"&amp;$E165,Scoring!$U:$U,0)),"")</f>
        <v/>
      </c>
      <c r="AA165" s="15" t="str">
        <f aca="false">IFERROR(INDEX(Scoring!$Q:$Q,MATCH($C165&amp;"|"&amp;$E165,Scoring!$U:$U,0)),"")</f>
        <v>Priority 2</v>
      </c>
      <c r="AB165" s="15" t="str">
        <f aca="false">IFERROR(INDEX(Scoring!$AK:$AK,MATCH($C165&amp;"|"&amp;$E165,Scoring!$U:$U,0)),"")</f>
        <v>Priority 2</v>
      </c>
      <c r="AC165" s="18" t="n">
        <f aca="false">IFERROR(INDEX(Scoring!$M:$M,MATCH($C165&amp;"|"&amp;$E165,Scoring!$U:$U,0)),"")</f>
        <v>40</v>
      </c>
      <c r="AD165" s="15" t="str">
        <f aca="false">IFERROR(INDEX('Route of Administration'!$C$5:$C$155,MATCH($C165,'Route of Administration'!$A$5:$A$155,0)),"")</f>
        <v>IV, SC</v>
      </c>
      <c r="AE165" s="14" t="str">
        <f aca="false">IFERROR(INDEX('Route of Administration'!$D$5:$D$155,MATCH($C165,'Route of Administration'!$A$5:$A$155,0)),"")</f>
        <v>Yes</v>
      </c>
    </row>
    <row r="166" customFormat="false" ht="28.35" hidden="false" customHeight="false" outlineLevel="0" collapsed="false">
      <c r="B166" s="15" t="n">
        <v>164</v>
      </c>
      <c r="C166" s="15" t="s">
        <v>256</v>
      </c>
      <c r="D166" s="15" t="s">
        <v>256</v>
      </c>
      <c r="E166" s="15" t="s">
        <v>664</v>
      </c>
      <c r="F166" s="15" t="s">
        <v>1510</v>
      </c>
      <c r="G166" s="16" t="s">
        <v>1511</v>
      </c>
      <c r="H166" s="15" t="s">
        <v>1512</v>
      </c>
      <c r="I166" s="17"/>
      <c r="J166" s="15" t="n">
        <v>1</v>
      </c>
      <c r="K166" s="15" t="n">
        <v>180</v>
      </c>
      <c r="L166" s="18" t="n">
        <v>5403.25</v>
      </c>
      <c r="M166" s="16" t="s">
        <v>257</v>
      </c>
      <c r="N166" s="38" t="n">
        <v>10.14</v>
      </c>
      <c r="O166" s="22" t="s">
        <v>1513</v>
      </c>
      <c r="P166" s="15" t="s">
        <v>1507</v>
      </c>
      <c r="Q166" s="16" t="s">
        <v>1514</v>
      </c>
      <c r="R166" s="32" t="s">
        <v>1515</v>
      </c>
      <c r="S166" s="37" t="n">
        <f aca="false">IFERROR(INDEX('Injectable Value'!$Z$28:$Z$178,MATCH($C166,'Injectable Value'!$A$28:$A$178,0)),"")</f>
        <v>0.194998811159637</v>
      </c>
      <c r="T166" s="18" t="n">
        <f aca="false">IFERROR(ROUND(INDEX('Injectable Value'!$AA$28:$AA$178,MATCH($C166,'Injectable Value'!$A$28:$A$178,0)),1),"")</f>
        <v>1053.6</v>
      </c>
      <c r="U166" s="16" t="s">
        <v>247</v>
      </c>
      <c r="V166" s="15" t="n">
        <v>1</v>
      </c>
      <c r="W166" s="15" t="s">
        <v>247</v>
      </c>
      <c r="X166" s="15" t="s">
        <v>258</v>
      </c>
      <c r="Y166" s="15" t="s">
        <v>249</v>
      </c>
      <c r="Z166" s="16" t="str">
        <f aca="false">IFERROR(INDEX(Scoring!$K:$K,MATCH($C166&amp;"|"&amp;$E166,Scoring!$U:$U,0)),"")</f>
        <v>Prefilled only</v>
      </c>
      <c r="AA166" s="15" t="str">
        <f aca="false">IFERROR(INDEX(Scoring!$Q:$Q,MATCH($C166&amp;"|"&amp;$E166,Scoring!$U:$U,0)),"")</f>
        <v>Priority 3</v>
      </c>
      <c r="AB166" s="15" t="str">
        <f aca="false">IFERROR(INDEX(Scoring!$AK:$AK,MATCH($C166&amp;"|"&amp;$E166,Scoring!$U:$U,0)),"")</f>
        <v>Priority 3</v>
      </c>
      <c r="AC166" s="18" t="n">
        <f aca="false">IFERROR(INDEX(Scoring!$M:$M,MATCH($C166&amp;"|"&amp;$E166,Scoring!$U:$U,0)),"")</f>
        <v>35</v>
      </c>
      <c r="AD166" s="15" t="str">
        <f aca="false">IFERROR(INDEX('Route of Administration'!$C$5:$C$155,MATCH($C166,'Route of Administration'!$A$5:$A$155,0)),"")</f>
        <v>IV, IM</v>
      </c>
      <c r="AE166" s="14" t="str">
        <f aca="false">IFERROR(INDEX('Route of Administration'!$D$5:$D$155,MATCH($C166,'Route of Administration'!$A$5:$A$155,0)),"")</f>
        <v>Yes</v>
      </c>
    </row>
    <row r="167" customFormat="false" ht="28.35" hidden="false" customHeight="false" outlineLevel="0" collapsed="false">
      <c r="B167" s="15" t="n">
        <v>165</v>
      </c>
      <c r="C167" s="15" t="s">
        <v>480</v>
      </c>
      <c r="D167" s="15" t="s">
        <v>485</v>
      </c>
      <c r="E167" s="15" t="s">
        <v>664</v>
      </c>
      <c r="F167" s="15" t="s">
        <v>1572</v>
      </c>
      <c r="G167" s="16" t="s">
        <v>1879</v>
      </c>
      <c r="H167" s="15" t="s">
        <v>1512</v>
      </c>
      <c r="I167" s="17"/>
      <c r="J167" s="15" t="n">
        <v>1</v>
      </c>
      <c r="K167" s="15" t="n">
        <v>365</v>
      </c>
      <c r="L167" s="18" t="n">
        <v>5976.94</v>
      </c>
      <c r="M167" s="16" t="s">
        <v>481</v>
      </c>
      <c r="N167" s="38" t="n">
        <v>13.87</v>
      </c>
      <c r="O167" s="22" t="s">
        <v>1513</v>
      </c>
      <c r="P167" s="15" t="s">
        <v>1672</v>
      </c>
      <c r="Q167" s="16" t="s">
        <v>1832</v>
      </c>
      <c r="R167" s="32" t="s">
        <v>1833</v>
      </c>
      <c r="S167" s="37" t="n">
        <f aca="false">IFERROR(INDEX('Injectable Value'!$Z$28:$Z$178,MATCH($C167,'Injectable Value'!$A$28:$A$178,0)),"")</f>
        <v>0.240571827983426</v>
      </c>
      <c r="T167" s="18" t="n">
        <f aca="false">IFERROR(ROUND(INDEX('Injectable Value'!$AA$28:$AA$178,MATCH($C167,'Injectable Value'!$A$28:$A$178,0)),1),"")</f>
        <v>1437.9</v>
      </c>
      <c r="U167" s="16" t="s">
        <v>247</v>
      </c>
      <c r="V167" s="15" t="n">
        <v>1</v>
      </c>
      <c r="W167" s="15" t="s">
        <v>247</v>
      </c>
      <c r="X167" s="15" t="s">
        <v>258</v>
      </c>
      <c r="Y167" s="15" t="s">
        <v>249</v>
      </c>
      <c r="Z167" s="16" t="str">
        <f aca="false">IFERROR(INDEX(Scoring!$K:$K,MATCH($C167&amp;"|"&amp;$E167,Scoring!$U:$U,0)),"")</f>
        <v>Prefilled only</v>
      </c>
      <c r="AA167" s="15" t="str">
        <f aca="false">IFERROR(INDEX(Scoring!$Q:$Q,MATCH($C167&amp;"|"&amp;$E167,Scoring!$U:$U,0)),"")</f>
        <v>Priority 3</v>
      </c>
      <c r="AB167" s="15" t="str">
        <f aca="false">IFERROR(INDEX(Scoring!$AK:$AK,MATCH($C167&amp;"|"&amp;$E167,Scoring!$U:$U,0)),"")</f>
        <v>Priority 2</v>
      </c>
      <c r="AC167" s="18" t="n">
        <f aca="false">IFERROR(INDEX(Scoring!$M:$M,MATCH($C167&amp;"|"&amp;$E167,Scoring!$U:$U,0)),"")</f>
        <v>88</v>
      </c>
      <c r="AD167" s="15" t="str">
        <f aca="false">IFERROR(INDEX('Route of Administration'!$C$5:$C$155,MATCH($C167,'Route of Administration'!$A$5:$A$155,0)),"")</f>
        <v>IV, IM, SC</v>
      </c>
      <c r="AE167" s="14" t="str">
        <f aca="false">IFERROR(INDEX('Route of Administration'!$D$5:$D$155,MATCH($C167,'Route of Administration'!$A$5:$A$155,0)),"")</f>
        <v>Yes</v>
      </c>
    </row>
    <row r="168" customFormat="false" ht="28.35" hidden="false" customHeight="false" outlineLevel="0" collapsed="false">
      <c r="B168" s="15" t="n">
        <v>166</v>
      </c>
      <c r="C168" s="15" t="s">
        <v>271</v>
      </c>
      <c r="D168" s="15" t="s">
        <v>271</v>
      </c>
      <c r="E168" s="15" t="s">
        <v>664</v>
      </c>
      <c r="F168" s="15" t="s">
        <v>1522</v>
      </c>
      <c r="G168" s="16" t="s">
        <v>1880</v>
      </c>
      <c r="H168" s="15" t="s">
        <v>1796</v>
      </c>
      <c r="I168" s="17"/>
      <c r="J168" s="15" t="n">
        <v>1</v>
      </c>
      <c r="K168" s="15" t="n">
        <v>51</v>
      </c>
      <c r="L168" s="18" t="n">
        <v>5770.02</v>
      </c>
      <c r="M168" s="16" t="s">
        <v>272</v>
      </c>
      <c r="N168" s="17"/>
      <c r="O168" s="15" t="s">
        <v>1545</v>
      </c>
      <c r="P168" s="15" t="s">
        <v>70</v>
      </c>
      <c r="Q168" s="16" t="s">
        <v>70</v>
      </c>
      <c r="R168" s="15"/>
      <c r="S168" s="37" t="n">
        <f aca="false">IFERROR(INDEX('Injectable Value'!$Z$28:$Z$178,MATCH($C168,'Injectable Value'!$A$28:$A$178,0)),"")</f>
        <v>0.468334010008564</v>
      </c>
      <c r="T168" s="18" t="n">
        <f aca="false">IFERROR(ROUND(INDEX('Injectable Value'!$AA$28:$AA$178,MATCH($C168,'Injectable Value'!$A$28:$A$178,0)),1),"")</f>
        <v>2702.3</v>
      </c>
      <c r="U168" s="16" t="s">
        <v>247</v>
      </c>
      <c r="V168" s="15" t="n">
        <v>1</v>
      </c>
      <c r="W168" s="15" t="s">
        <v>247</v>
      </c>
      <c r="X168" s="15" t="s">
        <v>316</v>
      </c>
      <c r="Y168" s="15" t="s">
        <v>249</v>
      </c>
      <c r="Z168" s="16" t="str">
        <f aca="false">IFERROR(INDEX(Scoring!$K:$K,MATCH($C168&amp;"|"&amp;$E168,Scoring!$U:$U,0)),"")</f>
        <v/>
      </c>
      <c r="AA168" s="15" t="str">
        <f aca="false">IFERROR(INDEX(Scoring!$Q:$Q,MATCH($C168&amp;"|"&amp;$E168,Scoring!$U:$U,0)),"")</f>
        <v>Priority 3</v>
      </c>
      <c r="AB168" s="15" t="str">
        <f aca="false">IFERROR(INDEX(Scoring!$AK:$AK,MATCH($C168&amp;"|"&amp;$E168,Scoring!$U:$U,0)),"")</f>
        <v>Priority 3</v>
      </c>
      <c r="AC168" s="18" t="n">
        <f aca="false">IFERROR(INDEX(Scoring!$M:$M,MATCH($C168&amp;"|"&amp;$E168,Scoring!$U:$U,0)),"")</f>
        <v>24</v>
      </c>
      <c r="AD168" s="15" t="str">
        <f aca="false">IFERROR(INDEX('Route of Administration'!$C$5:$C$155,MATCH($C168,'Route of Administration'!$A$5:$A$155,0)),"")</f>
        <v>IV, IM, SC</v>
      </c>
      <c r="AE168" s="14" t="str">
        <f aca="false">IFERROR(INDEX('Route of Administration'!$D$5:$D$155,MATCH($C168,'Route of Administration'!$A$5:$A$155,0)),"")</f>
        <v>Yes</v>
      </c>
    </row>
    <row r="169" customFormat="false" ht="28.35" hidden="false" customHeight="false" outlineLevel="0" collapsed="false">
      <c r="B169" s="15" t="n">
        <v>167</v>
      </c>
      <c r="C169" s="15" t="s">
        <v>271</v>
      </c>
      <c r="D169" s="15" t="s">
        <v>271</v>
      </c>
      <c r="E169" s="15" t="s">
        <v>664</v>
      </c>
      <c r="F169" s="15" t="s">
        <v>1794</v>
      </c>
      <c r="G169" s="16" t="s">
        <v>1880</v>
      </c>
      <c r="H169" s="15" t="s">
        <v>1796</v>
      </c>
      <c r="I169" s="17" t="n">
        <v>16.96</v>
      </c>
      <c r="J169" s="15" t="n">
        <v>1</v>
      </c>
      <c r="K169" s="15" t="n">
        <v>51</v>
      </c>
      <c r="L169" s="18" t="n">
        <v>5770.02</v>
      </c>
      <c r="M169" s="16" t="s">
        <v>272</v>
      </c>
      <c r="N169" s="17" t="n">
        <v>16.96</v>
      </c>
      <c r="O169" s="15" t="s">
        <v>1506</v>
      </c>
      <c r="P169" s="15" t="s">
        <v>1507</v>
      </c>
      <c r="Q169" s="16" t="s">
        <v>1508</v>
      </c>
      <c r="R169" s="32" t="s">
        <v>1881</v>
      </c>
      <c r="S169" s="37" t="n">
        <f aca="false">IFERROR(INDEX('Injectable Value'!$Z$28:$Z$178,MATCH($C169,'Injectable Value'!$A$28:$A$178,0)),"")</f>
        <v>0.468334010008564</v>
      </c>
      <c r="T169" s="18" t="n">
        <f aca="false">IFERROR(ROUND(INDEX('Injectable Value'!$AA$28:$AA$178,MATCH($C169,'Injectable Value'!$A$28:$A$178,0)),1),"")</f>
        <v>2702.3</v>
      </c>
      <c r="U169" s="16" t="s">
        <v>247</v>
      </c>
      <c r="V169" s="15" t="n">
        <v>1</v>
      </c>
      <c r="W169" s="15" t="s">
        <v>247</v>
      </c>
      <c r="X169" s="15" t="s">
        <v>316</v>
      </c>
      <c r="Y169" s="15" t="s">
        <v>249</v>
      </c>
      <c r="Z169" s="16" t="str">
        <f aca="false">IFERROR(INDEX(Scoring!$K:$K,MATCH($C169&amp;"|"&amp;$E169,Scoring!$U:$U,0)),"")</f>
        <v/>
      </c>
      <c r="AA169" s="15" t="str">
        <f aca="false">IFERROR(INDEX(Scoring!$Q:$Q,MATCH($C169&amp;"|"&amp;$E169,Scoring!$U:$U,0)),"")</f>
        <v>Priority 3</v>
      </c>
      <c r="AB169" s="15" t="str">
        <f aca="false">IFERROR(INDEX(Scoring!$AK:$AK,MATCH($C169&amp;"|"&amp;$E169,Scoring!$U:$U,0)),"")</f>
        <v>Priority 3</v>
      </c>
      <c r="AC169" s="18" t="n">
        <f aca="false">IFERROR(INDEX(Scoring!$M:$M,MATCH($C169&amp;"|"&amp;$E169,Scoring!$U:$U,0)),"")</f>
        <v>24</v>
      </c>
      <c r="AD169" s="15" t="str">
        <f aca="false">IFERROR(INDEX('Route of Administration'!$C$5:$C$155,MATCH($C169,'Route of Administration'!$A$5:$A$155,0)),"")</f>
        <v>IV, IM, SC</v>
      </c>
      <c r="AE169" s="14" t="str">
        <f aca="false">IFERROR(INDEX('Route of Administration'!$D$5:$D$155,MATCH($C169,'Route of Administration'!$A$5:$A$155,0)),"")</f>
        <v>Yes</v>
      </c>
    </row>
    <row r="170" customFormat="false" ht="28.35" hidden="false" customHeight="false" outlineLevel="0" collapsed="false">
      <c r="B170" s="15" t="n">
        <v>168</v>
      </c>
      <c r="C170" s="15" t="s">
        <v>724</v>
      </c>
      <c r="D170" s="15" t="s">
        <v>728</v>
      </c>
      <c r="E170" s="15" t="s">
        <v>664</v>
      </c>
      <c r="F170" s="15" t="s">
        <v>1882</v>
      </c>
      <c r="G170" s="16" t="s">
        <v>1883</v>
      </c>
      <c r="H170" s="15" t="s">
        <v>1505</v>
      </c>
      <c r="I170" s="17"/>
      <c r="J170" s="15" t="n">
        <v>1</v>
      </c>
      <c r="K170" s="15" t="n">
        <v>286</v>
      </c>
      <c r="L170" s="18" t="n">
        <v>3067.39</v>
      </c>
      <c r="M170" s="16" t="s">
        <v>725</v>
      </c>
      <c r="N170" s="17"/>
      <c r="O170" s="15" t="s">
        <v>1545</v>
      </c>
      <c r="P170" s="15" t="s">
        <v>70</v>
      </c>
      <c r="Q170" s="16" t="s">
        <v>70</v>
      </c>
      <c r="R170" s="15"/>
      <c r="S170" s="37" t="n">
        <f aca="false">IFERROR(INDEX('Injectable Value'!$Z$28:$Z$178,MATCH($C170,'Injectable Value'!$A$28:$A$178,0)),"")</f>
        <v>1</v>
      </c>
      <c r="T170" s="18" t="n">
        <f aca="false">IFERROR(ROUND(INDEX('Injectable Value'!$AA$28:$AA$178,MATCH($C170,'Injectable Value'!$A$28:$A$178,0)),1),"")</f>
        <v>3067.4</v>
      </c>
      <c r="U170" s="16" t="s">
        <v>486</v>
      </c>
      <c r="V170" s="15" t="n">
        <v>2</v>
      </c>
      <c r="W170" s="15" t="s">
        <v>482</v>
      </c>
      <c r="X170" s="15" t="s">
        <v>248</v>
      </c>
      <c r="Y170" s="15" t="s">
        <v>249</v>
      </c>
      <c r="Z170" s="16" t="str">
        <f aca="false">IFERROR(INDEX(Scoring!$K:$K,MATCH($C170&amp;"|"&amp;$E170,Scoring!$U:$U,0)),"")</f>
        <v/>
      </c>
      <c r="AA170" s="15" t="str">
        <f aca="false">IFERROR(INDEX(Scoring!$Q:$Q,MATCH($C170&amp;"|"&amp;$E170,Scoring!$U:$U,0)),"")</f>
        <v>Priority 2</v>
      </c>
      <c r="AB170" s="15" t="str">
        <f aca="false">IFERROR(INDEX(Scoring!$AK:$AK,MATCH($C170&amp;"|"&amp;$E170,Scoring!$U:$U,0)),"")</f>
        <v>Priority 2</v>
      </c>
      <c r="AC170" s="18" t="n">
        <f aca="false">IFERROR(INDEX(Scoring!$M:$M,MATCH($C170&amp;"|"&amp;$E170,Scoring!$U:$U,0)),"")</f>
        <v>286</v>
      </c>
      <c r="AD170" s="15" t="str">
        <f aca="false">IFERROR(INDEX('Route of Administration'!$C$5:$C$155,MATCH($C170,'Route of Administration'!$A$5:$A$155,0)),"")</f>
        <v>IV, IM</v>
      </c>
      <c r="AE170" s="14" t="str">
        <f aca="false">IFERROR(INDEX('Route of Administration'!$D$5:$D$155,MATCH($C170,'Route of Administration'!$A$5:$A$155,0)),"")</f>
        <v>Yes</v>
      </c>
    </row>
    <row r="171" customFormat="false" ht="28.35" hidden="false" customHeight="false" outlineLevel="0" collapsed="false">
      <c r="B171" s="15" t="n">
        <v>169</v>
      </c>
      <c r="C171" s="15" t="s">
        <v>733</v>
      </c>
      <c r="D171" s="15" t="s">
        <v>733</v>
      </c>
      <c r="E171" s="15" t="s">
        <v>664</v>
      </c>
      <c r="F171" s="15" t="s">
        <v>1884</v>
      </c>
      <c r="G171" s="16" t="s">
        <v>1885</v>
      </c>
      <c r="H171" s="15" t="s">
        <v>1505</v>
      </c>
      <c r="I171" s="17" t="n">
        <v>154.8</v>
      </c>
      <c r="J171" s="15" t="n">
        <v>1</v>
      </c>
      <c r="K171" s="15" t="n">
        <v>147</v>
      </c>
      <c r="L171" s="18" t="n">
        <v>11040.91</v>
      </c>
      <c r="M171" s="16" t="s">
        <v>734</v>
      </c>
      <c r="N171" s="17" t="n">
        <v>154.8</v>
      </c>
      <c r="O171" s="15" t="s">
        <v>1506</v>
      </c>
      <c r="P171" s="15" t="s">
        <v>1507</v>
      </c>
      <c r="Q171" s="16" t="s">
        <v>1508</v>
      </c>
      <c r="R171" s="32" t="s">
        <v>1886</v>
      </c>
      <c r="S171" s="37" t="n">
        <f aca="false">IFERROR(INDEX('Injectable Value'!$Z$28:$Z$178,MATCH($C171,'Injectable Value'!$A$28:$A$178,0)),"")</f>
        <v>1</v>
      </c>
      <c r="T171" s="18" t="n">
        <f aca="false">IFERROR(ROUND(INDEX('Injectable Value'!$AA$28:$AA$178,MATCH($C171,'Injectable Value'!$A$28:$A$178,0)),1),"")</f>
        <v>11040.9</v>
      </c>
      <c r="U171" s="16" t="s">
        <v>247</v>
      </c>
      <c r="V171" s="15" t="n">
        <v>1</v>
      </c>
      <c r="W171" s="15" t="s">
        <v>247</v>
      </c>
      <c r="X171" s="15" t="s">
        <v>248</v>
      </c>
      <c r="Y171" s="15" t="s">
        <v>299</v>
      </c>
      <c r="Z171" s="16" t="str">
        <f aca="false">IFERROR(INDEX(Scoring!$K:$K,MATCH($C171&amp;"|"&amp;$E171,Scoring!$U:$U,0)),"")</f>
        <v>Cancer drug (cytotoxic) – less relevant; Reconstitution</v>
      </c>
      <c r="AA171" s="15" t="str">
        <f aca="false">IFERROR(INDEX(Scoring!$Q:$Q,MATCH($C171&amp;"|"&amp;$E171,Scoring!$U:$U,0)),"")</f>
        <v>Excluded – IV only</v>
      </c>
      <c r="AB171" s="15" t="str">
        <f aca="false">IFERROR(INDEX(Scoring!$AK:$AK,MATCH($C171&amp;"|"&amp;$E171,Scoring!$U:$U,0)),"")</f>
        <v>Excluded – IV only</v>
      </c>
      <c r="AC171" s="18" t="n">
        <f aca="false">IFERROR(INDEX(Scoring!$M:$M,MATCH($C171&amp;"|"&amp;$E171,Scoring!$U:$U,0)),"")</f>
        <v>147</v>
      </c>
      <c r="AD171" s="15" t="str">
        <f aca="false">IFERROR(INDEX('Route of Administration'!$C$5:$C$155,MATCH($C171,'Route of Administration'!$A$5:$A$155,0)),"")</f>
        <v>IV</v>
      </c>
      <c r="AE171" s="14" t="str">
        <f aca="false">IFERROR(INDEX('Route of Administration'!$D$5:$D$155,MATCH($C171,'Route of Administration'!$A$5:$A$155,0)),"")</f>
        <v>No</v>
      </c>
    </row>
    <row r="172" customFormat="false" ht="41.75" hidden="false" customHeight="false" outlineLevel="0" collapsed="false">
      <c r="B172" s="15" t="n">
        <v>170</v>
      </c>
      <c r="C172" s="15" t="s">
        <v>275</v>
      </c>
      <c r="D172" s="15" t="s">
        <v>275</v>
      </c>
      <c r="E172" s="15" t="s">
        <v>664</v>
      </c>
      <c r="F172" s="15" t="s">
        <v>1794</v>
      </c>
      <c r="G172" s="16" t="s">
        <v>1525</v>
      </c>
      <c r="H172" s="15" t="s">
        <v>1525</v>
      </c>
      <c r="I172" s="17"/>
      <c r="J172" s="15" t="n">
        <v>1</v>
      </c>
      <c r="K172" s="15" t="n">
        <v>735</v>
      </c>
      <c r="L172" s="18" t="n">
        <v>16205.48</v>
      </c>
      <c r="M172" s="16" t="s">
        <v>276</v>
      </c>
      <c r="N172" s="38" t="n">
        <v>3.94</v>
      </c>
      <c r="O172" s="22" t="s">
        <v>1513</v>
      </c>
      <c r="P172" s="15" t="s">
        <v>1507</v>
      </c>
      <c r="Q172" s="16" t="s">
        <v>1514</v>
      </c>
      <c r="R172" s="32" t="s">
        <v>1515</v>
      </c>
      <c r="S172" s="37" t="n">
        <f aca="false">IFERROR(INDEX('Injectable Value'!$Z$28:$Z$178,MATCH($C172,'Injectable Value'!$A$28:$A$178,0)),"")</f>
        <v>0.262678151411075</v>
      </c>
      <c r="T172" s="18" t="n">
        <f aca="false">IFERROR(ROUND(INDEX('Injectable Value'!$AA$28:$AA$178,MATCH($C172,'Injectable Value'!$A$28:$A$178,0)),1),"")</f>
        <v>4256.8</v>
      </c>
      <c r="U172" s="16" t="s">
        <v>247</v>
      </c>
      <c r="V172" s="15" t="n">
        <v>1</v>
      </c>
      <c r="W172" s="15" t="s">
        <v>247</v>
      </c>
      <c r="X172" s="15" t="s">
        <v>277</v>
      </c>
      <c r="Y172" s="15" t="s">
        <v>277</v>
      </c>
      <c r="Z172" s="16" t="str">
        <f aca="false">IFERROR(INDEX(Scoring!$K:$K,MATCH($C172&amp;"|"&amp;$E172,Scoring!$U:$U,0)),"")</f>
        <v/>
      </c>
      <c r="AA172" s="15" t="str">
        <f aca="false">IFERROR(INDEX(Scoring!$Q:$Q,MATCH($C172&amp;"|"&amp;$E172,Scoring!$U:$U,0)),"")</f>
        <v>Excluded – price ≤ $5</v>
      </c>
      <c r="AB172" s="15" t="str">
        <f aca="false">IFERROR(INDEX(Scoring!$AK:$AK,MATCH($C172&amp;"|"&amp;$E172,Scoring!$U:$U,0)),"")</f>
        <v>Excluded – price ≤ $5</v>
      </c>
      <c r="AC172" s="18" t="n">
        <f aca="false">IFERROR(INDEX(Scoring!$M:$M,MATCH($C172&amp;"|"&amp;$E172,Scoring!$U:$U,0)),"")</f>
        <v>193</v>
      </c>
      <c r="AD172" s="15" t="str">
        <f aca="false">IFERROR(INDEX('Route of Administration'!$C$5:$C$155,MATCH($C172,'Route of Administration'!$A$5:$A$155,0)),"")</f>
        <v>IM</v>
      </c>
      <c r="AE172" s="14" t="str">
        <f aca="false">IFERROR(INDEX('Route of Administration'!$D$5:$D$155,MATCH($C172,'Route of Administration'!$A$5:$A$155,0)),"")</f>
        <v>Yes</v>
      </c>
    </row>
    <row r="173" customFormat="false" ht="41.75" hidden="false" customHeight="false" outlineLevel="0" collapsed="false">
      <c r="B173" s="15" t="n">
        <v>171</v>
      </c>
      <c r="C173" s="15" t="s">
        <v>275</v>
      </c>
      <c r="D173" s="15" t="s">
        <v>275</v>
      </c>
      <c r="E173" s="15" t="s">
        <v>664</v>
      </c>
      <c r="F173" s="15" t="s">
        <v>1524</v>
      </c>
      <c r="G173" s="16" t="s">
        <v>1525</v>
      </c>
      <c r="H173" s="15" t="s">
        <v>1525</v>
      </c>
      <c r="I173" s="17"/>
      <c r="J173" s="15" t="n">
        <v>1</v>
      </c>
      <c r="K173" s="15" t="n">
        <v>735</v>
      </c>
      <c r="L173" s="18" t="n">
        <v>16205.48</v>
      </c>
      <c r="M173" s="16" t="s">
        <v>276</v>
      </c>
      <c r="N173" s="38" t="n">
        <v>3.15</v>
      </c>
      <c r="O173" s="22" t="s">
        <v>1513</v>
      </c>
      <c r="P173" s="15" t="s">
        <v>1507</v>
      </c>
      <c r="Q173" s="16" t="s">
        <v>1514</v>
      </c>
      <c r="R173" s="32" t="s">
        <v>1515</v>
      </c>
      <c r="S173" s="37" t="n">
        <f aca="false">IFERROR(INDEX('Injectable Value'!$Z$28:$Z$178,MATCH($C173,'Injectable Value'!$A$28:$A$178,0)),"")</f>
        <v>0.262678151411075</v>
      </c>
      <c r="T173" s="18" t="n">
        <f aca="false">IFERROR(ROUND(INDEX('Injectable Value'!$AA$28:$AA$178,MATCH($C173,'Injectable Value'!$A$28:$A$178,0)),1),"")</f>
        <v>4256.8</v>
      </c>
      <c r="U173" s="16" t="s">
        <v>247</v>
      </c>
      <c r="V173" s="15" t="n">
        <v>1</v>
      </c>
      <c r="W173" s="15" t="s">
        <v>247</v>
      </c>
      <c r="X173" s="15" t="s">
        <v>277</v>
      </c>
      <c r="Y173" s="15" t="s">
        <v>277</v>
      </c>
      <c r="Z173" s="16" t="str">
        <f aca="false">IFERROR(INDEX(Scoring!$K:$K,MATCH($C173&amp;"|"&amp;$E173,Scoring!$U:$U,0)),"")</f>
        <v/>
      </c>
      <c r="AA173" s="15" t="str">
        <f aca="false">IFERROR(INDEX(Scoring!$Q:$Q,MATCH($C173&amp;"|"&amp;$E173,Scoring!$U:$U,0)),"")</f>
        <v>Excluded – price ≤ $5</v>
      </c>
      <c r="AB173" s="15" t="str">
        <f aca="false">IFERROR(INDEX(Scoring!$AK:$AK,MATCH($C173&amp;"|"&amp;$E173,Scoring!$U:$U,0)),"")</f>
        <v>Excluded – price ≤ $5</v>
      </c>
      <c r="AC173" s="18" t="n">
        <f aca="false">IFERROR(INDEX(Scoring!$M:$M,MATCH($C173&amp;"|"&amp;$E173,Scoring!$U:$U,0)),"")</f>
        <v>193</v>
      </c>
      <c r="AD173" s="15" t="str">
        <f aca="false">IFERROR(INDEX('Route of Administration'!$C$5:$C$155,MATCH($C173,'Route of Administration'!$A$5:$A$155,0)),"")</f>
        <v>IM</v>
      </c>
      <c r="AE173" s="14" t="str">
        <f aca="false">IFERROR(INDEX('Route of Administration'!$D$5:$D$155,MATCH($C173,'Route of Administration'!$A$5:$A$155,0)),"")</f>
        <v>Yes</v>
      </c>
    </row>
    <row r="174" customFormat="false" ht="28.35" hidden="false" customHeight="false" outlineLevel="0" collapsed="false">
      <c r="B174" s="15" t="n">
        <v>172</v>
      </c>
      <c r="C174" s="15" t="s">
        <v>669</v>
      </c>
      <c r="D174" s="15" t="s">
        <v>669</v>
      </c>
      <c r="E174" s="15" t="s">
        <v>664</v>
      </c>
      <c r="F174" s="15" t="s">
        <v>1887</v>
      </c>
      <c r="G174" s="16" t="s">
        <v>1888</v>
      </c>
      <c r="H174" s="15" t="s">
        <v>1505</v>
      </c>
      <c r="I174" s="17" t="n">
        <v>31.16</v>
      </c>
      <c r="J174" s="15" t="n">
        <v>1</v>
      </c>
      <c r="K174" s="15" t="n">
        <v>5</v>
      </c>
      <c r="L174" s="18" t="n">
        <v>806.34</v>
      </c>
      <c r="M174" s="16" t="s">
        <v>670</v>
      </c>
      <c r="N174" s="17" t="n">
        <v>31.16</v>
      </c>
      <c r="O174" s="15" t="s">
        <v>1506</v>
      </c>
      <c r="P174" s="15" t="s">
        <v>1507</v>
      </c>
      <c r="Q174" s="16" t="s">
        <v>1508</v>
      </c>
      <c r="R174" s="32" t="s">
        <v>1889</v>
      </c>
      <c r="S174" s="37" t="n">
        <f aca="false">IFERROR(INDEX('Injectable Value'!$Z$28:$Z$178,MATCH($C174,'Injectable Value'!$A$28:$A$178,0)),"")</f>
        <v>1</v>
      </c>
      <c r="T174" s="18" t="n">
        <f aca="false">IFERROR(ROUND(INDEX('Injectable Value'!$AA$28:$AA$178,MATCH($C174,'Injectable Value'!$A$28:$A$178,0)),1),"")</f>
        <v>806.3</v>
      </c>
      <c r="U174" s="16" t="s">
        <v>247</v>
      </c>
      <c r="V174" s="15" t="n">
        <v>1</v>
      </c>
      <c r="W174" s="15" t="s">
        <v>247</v>
      </c>
      <c r="X174" s="15" t="s">
        <v>248</v>
      </c>
      <c r="Y174" s="15" t="s">
        <v>299</v>
      </c>
      <c r="Z174" s="16" t="str">
        <f aca="false">IFERROR(INDEX(Scoring!$K:$K,MATCH($C174&amp;"|"&amp;$E174,Scoring!$U:$U,0)),"")</f>
        <v>Reconstitution</v>
      </c>
      <c r="AA174" s="15" t="str">
        <f aca="false">IFERROR(INDEX(Scoring!$Q:$Q,MATCH($C174&amp;"|"&amp;$E174,Scoring!$U:$U,0)),"")</f>
        <v>Excluded – IV only</v>
      </c>
      <c r="AB174" s="15" t="str">
        <f aca="false">IFERROR(INDEX(Scoring!$AK:$AK,MATCH($C174&amp;"|"&amp;$E174,Scoring!$U:$U,0)),"")</f>
        <v>Excluded – IV only</v>
      </c>
      <c r="AC174" s="18" t="n">
        <f aca="false">IFERROR(INDEX(Scoring!$M:$M,MATCH($C174&amp;"|"&amp;$E174,Scoring!$U:$U,0)),"")</f>
        <v>5</v>
      </c>
      <c r="AD174" s="15" t="str">
        <f aca="false">IFERROR(INDEX('Route of Administration'!$C$5:$C$155,MATCH($C174,'Route of Administration'!$A$5:$A$155,0)),"")</f>
        <v>IV</v>
      </c>
      <c r="AE174" s="14" t="str">
        <f aca="false">IFERROR(INDEX('Route of Administration'!$D$5:$D$155,MATCH($C174,'Route of Administration'!$A$5:$A$155,0)),"")</f>
        <v>No</v>
      </c>
    </row>
    <row r="175" customFormat="false" ht="41.75" hidden="false" customHeight="false" outlineLevel="0" collapsed="false">
      <c r="B175" s="15" t="n">
        <v>173</v>
      </c>
      <c r="C175" s="15" t="s">
        <v>498</v>
      </c>
      <c r="D175" s="15" t="s">
        <v>502</v>
      </c>
      <c r="E175" s="15" t="s">
        <v>664</v>
      </c>
      <c r="F175" s="15" t="s">
        <v>1605</v>
      </c>
      <c r="G175" s="16" t="s">
        <v>1890</v>
      </c>
      <c r="H175" s="15" t="s">
        <v>1505</v>
      </c>
      <c r="I175" s="17" t="n">
        <v>9.74</v>
      </c>
      <c r="J175" s="15" t="n">
        <v>1</v>
      </c>
      <c r="K175" s="15" t="n">
        <v>119</v>
      </c>
      <c r="L175" s="18" t="n">
        <v>3113.83</v>
      </c>
      <c r="M175" s="16" t="s">
        <v>499</v>
      </c>
      <c r="N175" s="17" t="n">
        <v>9.74</v>
      </c>
      <c r="O175" s="15" t="s">
        <v>1506</v>
      </c>
      <c r="P175" s="15" t="s">
        <v>1507</v>
      </c>
      <c r="Q175" s="16" t="s">
        <v>1508</v>
      </c>
      <c r="R175" s="32" t="s">
        <v>1607</v>
      </c>
      <c r="S175" s="37" t="n">
        <f aca="false">IFERROR(INDEX('Injectable Value'!$Z$28:$Z$178,MATCH($C175,'Injectable Value'!$A$28:$A$178,0)),"")</f>
        <v>0.899884259259259</v>
      </c>
      <c r="T175" s="18" t="n">
        <f aca="false">IFERROR(ROUND(INDEX('Injectable Value'!$AA$28:$AA$178,MATCH($C175,'Injectable Value'!$A$28:$A$178,0)),1),"")</f>
        <v>2802.1</v>
      </c>
      <c r="U175" s="16" t="s">
        <v>722</v>
      </c>
      <c r="V175" s="15" t="n">
        <v>5</v>
      </c>
      <c r="W175" s="15" t="s">
        <v>719</v>
      </c>
      <c r="X175" s="15" t="s">
        <v>248</v>
      </c>
      <c r="Y175" s="15" t="s">
        <v>249</v>
      </c>
      <c r="Z175" s="16" t="str">
        <f aca="false">IFERROR(INDEX(Scoring!$K:$K,MATCH($C175&amp;"|"&amp;$E175,Scoring!$U:$U,0)),"")</f>
        <v/>
      </c>
      <c r="AA175" s="15" t="str">
        <f aca="false">IFERROR(INDEX(Scoring!$Q:$Q,MATCH($C175&amp;"|"&amp;$E175,Scoring!$U:$U,0)),"")</f>
        <v>Excluded – IV only</v>
      </c>
      <c r="AB175" s="15" t="str">
        <f aca="false">IFERROR(INDEX(Scoring!$AK:$AK,MATCH($C175&amp;"|"&amp;$E175,Scoring!$U:$U,0)),"")</f>
        <v>Excluded – IV only</v>
      </c>
      <c r="AC175" s="18" t="n">
        <f aca="false">IFERROR(INDEX(Scoring!$M:$M,MATCH($C175&amp;"|"&amp;$E175,Scoring!$U:$U,0)),"")</f>
        <v>107</v>
      </c>
      <c r="AD175" s="15" t="str">
        <f aca="false">IFERROR(INDEX('Route of Administration'!$C$5:$C$155,MATCH($C175,'Route of Administration'!$A$5:$A$155,0)),"")</f>
        <v>IV</v>
      </c>
      <c r="AE175" s="14" t="str">
        <f aca="false">IFERROR(INDEX('Route of Administration'!$D$5:$D$155,MATCH($C175,'Route of Administration'!$A$5:$A$155,0)),"")</f>
        <v>No</v>
      </c>
    </row>
    <row r="176" customFormat="false" ht="41.75" hidden="false" customHeight="false" outlineLevel="0" collapsed="false">
      <c r="B176" s="15" t="n">
        <v>174</v>
      </c>
      <c r="C176" s="15" t="s">
        <v>305</v>
      </c>
      <c r="D176" s="15" t="s">
        <v>305</v>
      </c>
      <c r="E176" s="15" t="s">
        <v>664</v>
      </c>
      <c r="F176" s="15" t="s">
        <v>1608</v>
      </c>
      <c r="G176" s="16" t="s">
        <v>1891</v>
      </c>
      <c r="H176" s="15" t="s">
        <v>1505</v>
      </c>
      <c r="I176" s="17" t="n">
        <v>22.25</v>
      </c>
      <c r="J176" s="15" t="n">
        <v>1</v>
      </c>
      <c r="K176" s="15" t="n">
        <v>905</v>
      </c>
      <c r="L176" s="18" t="n">
        <v>28093.38</v>
      </c>
      <c r="M176" s="16" t="s">
        <v>306</v>
      </c>
      <c r="N176" s="17" t="n">
        <v>22.25</v>
      </c>
      <c r="O176" s="15" t="s">
        <v>1506</v>
      </c>
      <c r="P176" s="15" t="s">
        <v>1507</v>
      </c>
      <c r="Q176" s="16" t="s">
        <v>1508</v>
      </c>
      <c r="R176" s="32" t="s">
        <v>1610</v>
      </c>
      <c r="S176" s="37" t="n">
        <f aca="false">IFERROR(INDEX('Injectable Value'!$Z$28:$Z$178,MATCH($C176,'Injectable Value'!$A$28:$A$178,0)),"")</f>
        <v>1</v>
      </c>
      <c r="T176" s="18" t="n">
        <f aca="false">IFERROR(ROUND(INDEX('Injectable Value'!$AA$28:$AA$178,MATCH($C176,'Injectable Value'!$A$28:$A$178,0)),1),"")</f>
        <v>28093.4</v>
      </c>
      <c r="U176" s="16" t="s">
        <v>676</v>
      </c>
      <c r="V176" s="15" t="n">
        <v>18</v>
      </c>
      <c r="W176" s="15" t="s">
        <v>673</v>
      </c>
      <c r="X176" s="15" t="s">
        <v>248</v>
      </c>
      <c r="Y176" s="15" t="s">
        <v>299</v>
      </c>
      <c r="Z176" s="16" t="str">
        <f aca="false">IFERROR(INDEX(Scoring!$K:$K,MATCH($C176&amp;"|"&amp;$E176,Scoring!$U:$U,0)),"")</f>
        <v>Cancer drug (cytotoxic) – less relevant; Reconstitution</v>
      </c>
      <c r="AA176" s="15" t="str">
        <f aca="false">IFERROR(INDEX(Scoring!$Q:$Q,MATCH($C176&amp;"|"&amp;$E176,Scoring!$U:$U,0)),"")</f>
        <v>Priority 1</v>
      </c>
      <c r="AB176" s="15" t="str">
        <f aca="false">IFERROR(INDEX(Scoring!$AK:$AK,MATCH($C176&amp;"|"&amp;$E176,Scoring!$U:$U,0)),"")</f>
        <v>Priority 1</v>
      </c>
      <c r="AC176" s="18" t="n">
        <f aca="false">IFERROR(INDEX(Scoring!$M:$M,MATCH($C176&amp;"|"&amp;$E176,Scoring!$U:$U,0)),"")</f>
        <v>905</v>
      </c>
      <c r="AD176" s="15" t="str">
        <f aca="false">IFERROR(INDEX('Route of Administration'!$C$5:$C$155,MATCH($C176,'Route of Administration'!$A$5:$A$155,0)),"")</f>
        <v>IV, SC</v>
      </c>
      <c r="AE176" s="14" t="str">
        <f aca="false">IFERROR(INDEX('Route of Administration'!$D$5:$D$155,MATCH($C176,'Route of Administration'!$A$5:$A$155,0)),"")</f>
        <v>Yes</v>
      </c>
    </row>
    <row r="177" customFormat="false" ht="41.75" hidden="false" customHeight="false" outlineLevel="0" collapsed="false">
      <c r="B177" s="15" t="n">
        <v>175</v>
      </c>
      <c r="C177" s="15" t="s">
        <v>262</v>
      </c>
      <c r="D177" s="15" t="s">
        <v>262</v>
      </c>
      <c r="E177" s="15" t="s">
        <v>664</v>
      </c>
      <c r="F177" s="15" t="s">
        <v>1526</v>
      </c>
      <c r="G177" s="16" t="s">
        <v>1892</v>
      </c>
      <c r="H177" s="15" t="s">
        <v>1528</v>
      </c>
      <c r="I177" s="17" t="n">
        <v>29.97</v>
      </c>
      <c r="J177" s="15" t="n">
        <v>1</v>
      </c>
      <c r="K177" s="15" t="n">
        <v>146</v>
      </c>
      <c r="L177" s="18" t="n">
        <v>11366.06</v>
      </c>
      <c r="M177" s="16" t="s">
        <v>263</v>
      </c>
      <c r="N177" s="17" t="n">
        <v>29.97</v>
      </c>
      <c r="O177" s="15" t="s">
        <v>1506</v>
      </c>
      <c r="P177" s="15" t="s">
        <v>1507</v>
      </c>
      <c r="Q177" s="16" t="s">
        <v>1508</v>
      </c>
      <c r="R177" s="32" t="s">
        <v>1529</v>
      </c>
      <c r="S177" s="37" t="n">
        <f aca="false">IFERROR(INDEX('Injectable Value'!$Z$28:$Z$178,MATCH($C177,'Injectable Value'!$A$28:$A$178,0)),"")</f>
        <v>1</v>
      </c>
      <c r="T177" s="18" t="n">
        <f aca="false">IFERROR(ROUND(INDEX('Injectable Value'!$AA$28:$AA$178,MATCH($C177,'Injectable Value'!$A$28:$A$178,0)),1),"")</f>
        <v>11366.1</v>
      </c>
      <c r="U177" s="16" t="s">
        <v>709</v>
      </c>
      <c r="V177" s="15" t="n">
        <v>14</v>
      </c>
      <c r="W177" s="15" t="s">
        <v>707</v>
      </c>
      <c r="X177" s="15" t="s">
        <v>258</v>
      </c>
      <c r="Y177" s="15" t="s">
        <v>249</v>
      </c>
      <c r="Z177" s="16" t="str">
        <f aca="false">IFERROR(INDEX(Scoring!$K:$K,MATCH($C177&amp;"|"&amp;$E177,Scoring!$U:$U,0)),"")</f>
        <v>Prefilled only</v>
      </c>
      <c r="AA177" s="15" t="str">
        <f aca="false">IFERROR(INDEX(Scoring!$Q:$Q,MATCH($C177&amp;"|"&amp;$E177,Scoring!$U:$U,0)),"")</f>
        <v>Priority 1</v>
      </c>
      <c r="AB177" s="15" t="str">
        <f aca="false">IFERROR(INDEX(Scoring!$AK:$AK,MATCH($C177&amp;"|"&amp;$E177,Scoring!$U:$U,0)),"")</f>
        <v>Priority 2</v>
      </c>
      <c r="AC177" s="18" t="n">
        <f aca="false">IFERROR(INDEX(Scoring!$M:$M,MATCH($C177&amp;"|"&amp;$E177,Scoring!$U:$U,0)),"")</f>
        <v>146</v>
      </c>
      <c r="AD177" s="15" t="str">
        <f aca="false">IFERROR(INDEX('Route of Administration'!$C$5:$C$155,MATCH($C177,'Route of Administration'!$A$5:$A$155,0)),"")</f>
        <v>IM</v>
      </c>
      <c r="AE177" s="14" t="str">
        <f aca="false">IFERROR(INDEX('Route of Administration'!$D$5:$D$155,MATCH($C177,'Route of Administration'!$A$5:$A$155,0)),"")</f>
        <v>Yes</v>
      </c>
    </row>
    <row r="178" customFormat="false" ht="28.35" hidden="false" customHeight="false" outlineLevel="0" collapsed="false">
      <c r="B178" s="15" t="n">
        <v>176</v>
      </c>
      <c r="C178" s="15" t="s">
        <v>348</v>
      </c>
      <c r="D178" s="15" t="s">
        <v>348</v>
      </c>
      <c r="E178" s="15" t="s">
        <v>664</v>
      </c>
      <c r="F178" s="15" t="s">
        <v>1627</v>
      </c>
      <c r="G178" s="16" t="s">
        <v>1893</v>
      </c>
      <c r="H178" s="15" t="s">
        <v>248</v>
      </c>
      <c r="I178" s="17" t="n">
        <v>216.12</v>
      </c>
      <c r="J178" s="15" t="n">
        <v>1</v>
      </c>
      <c r="K178" s="15" t="n">
        <v>843</v>
      </c>
      <c r="L178" s="18" t="n">
        <v>4508</v>
      </c>
      <c r="M178" s="16" t="s">
        <v>349</v>
      </c>
      <c r="N178" s="17" t="n">
        <v>216.12</v>
      </c>
      <c r="O178" s="15" t="s">
        <v>1506</v>
      </c>
      <c r="P178" s="15" t="s">
        <v>1507</v>
      </c>
      <c r="Q178" s="16" t="s">
        <v>1508</v>
      </c>
      <c r="R178" s="32" t="s">
        <v>1629</v>
      </c>
      <c r="S178" s="37" t="n">
        <f aca="false">IFERROR(INDEX('Injectable Value'!$Z$28:$Z$178,MATCH($C178,'Injectable Value'!$A$28:$A$178,0)),"")</f>
        <v>0.858739397335643</v>
      </c>
      <c r="T178" s="18" t="n">
        <f aca="false">IFERROR(ROUND(INDEX('Injectable Value'!$AA$28:$AA$178,MATCH($C178,'Injectable Value'!$A$28:$A$178,0)),1),"")</f>
        <v>3871.2</v>
      </c>
      <c r="U178" s="16" t="s">
        <v>683</v>
      </c>
      <c r="V178" s="15" t="n">
        <v>5</v>
      </c>
      <c r="W178" s="15" t="s">
        <v>680</v>
      </c>
      <c r="X178" s="15" t="s">
        <v>248</v>
      </c>
      <c r="Y178" s="15" t="s">
        <v>249</v>
      </c>
      <c r="Z178" s="16" t="str">
        <f aca="false">IFERROR(INDEX(Scoring!$K:$K,MATCH($C178&amp;"|"&amp;$E178,Scoring!$U:$U,0)),"")</f>
        <v>Cancer drug (cytotoxic) – less relevant</v>
      </c>
      <c r="AA178" s="15" t="str">
        <f aca="false">IFERROR(INDEX(Scoring!$Q:$Q,MATCH($C178&amp;"|"&amp;$E178,Scoring!$U:$U,0)),"")</f>
        <v>Excluded – IV only</v>
      </c>
      <c r="AB178" s="15" t="str">
        <f aca="false">IFERROR(INDEX(Scoring!$AK:$AK,MATCH($C178&amp;"|"&amp;$E178,Scoring!$U:$U,0)),"")</f>
        <v>Excluded – IV only</v>
      </c>
      <c r="AC178" s="18" t="n">
        <f aca="false">IFERROR(INDEX(Scoring!$M:$M,MATCH($C178&amp;"|"&amp;$E178,Scoring!$U:$U,0)),"")</f>
        <v>724</v>
      </c>
      <c r="AD178" s="15" t="str">
        <f aca="false">IFERROR(INDEX('Route of Administration'!$C$5:$C$155,MATCH($C178,'Route of Administration'!$A$5:$A$155,0)),"")</f>
        <v>IV</v>
      </c>
      <c r="AE178" s="14" t="str">
        <f aca="false">IFERROR(INDEX('Route of Administration'!$D$5:$D$155,MATCH($C178,'Route of Administration'!$A$5:$A$155,0)),"")</f>
        <v>No</v>
      </c>
    </row>
    <row r="179" customFormat="false" ht="28.35" hidden="false" customHeight="false" outlineLevel="0" collapsed="false">
      <c r="B179" s="15" t="n">
        <v>177</v>
      </c>
      <c r="C179" s="15" t="s">
        <v>348</v>
      </c>
      <c r="D179" s="15" t="s">
        <v>348</v>
      </c>
      <c r="E179" s="15" t="s">
        <v>664</v>
      </c>
      <c r="F179" s="15" t="s">
        <v>1630</v>
      </c>
      <c r="G179" s="16" t="s">
        <v>1894</v>
      </c>
      <c r="H179" s="15" t="s">
        <v>248</v>
      </c>
      <c r="I179" s="17" t="n">
        <v>427.8</v>
      </c>
      <c r="J179" s="15" t="n">
        <v>1</v>
      </c>
      <c r="K179" s="15" t="n">
        <v>843</v>
      </c>
      <c r="L179" s="18" t="n">
        <v>4508</v>
      </c>
      <c r="M179" s="16" t="s">
        <v>349</v>
      </c>
      <c r="N179" s="17" t="n">
        <v>427.8</v>
      </c>
      <c r="O179" s="15" t="s">
        <v>1506</v>
      </c>
      <c r="P179" s="15" t="s">
        <v>1507</v>
      </c>
      <c r="Q179" s="16" t="s">
        <v>1508</v>
      </c>
      <c r="R179" s="32" t="s">
        <v>1629</v>
      </c>
      <c r="S179" s="37" t="n">
        <f aca="false">IFERROR(INDEX('Injectable Value'!$Z$28:$Z$178,MATCH($C179,'Injectable Value'!$A$28:$A$178,0)),"")</f>
        <v>0.858739397335643</v>
      </c>
      <c r="T179" s="18" t="n">
        <f aca="false">IFERROR(ROUND(INDEX('Injectable Value'!$AA$28:$AA$178,MATCH($C179,'Injectable Value'!$A$28:$A$178,0)),1),"")</f>
        <v>3871.2</v>
      </c>
      <c r="U179" s="16" t="s">
        <v>683</v>
      </c>
      <c r="V179" s="15" t="n">
        <v>5</v>
      </c>
      <c r="W179" s="15" t="s">
        <v>680</v>
      </c>
      <c r="X179" s="15" t="s">
        <v>248</v>
      </c>
      <c r="Y179" s="15" t="s">
        <v>249</v>
      </c>
      <c r="Z179" s="16" t="str">
        <f aca="false">IFERROR(INDEX(Scoring!$K:$K,MATCH($C179&amp;"|"&amp;$E179,Scoring!$U:$U,0)),"")</f>
        <v>Cancer drug (cytotoxic) – less relevant</v>
      </c>
      <c r="AA179" s="15" t="str">
        <f aca="false">IFERROR(INDEX(Scoring!$Q:$Q,MATCH($C179&amp;"|"&amp;$E179,Scoring!$U:$U,0)),"")</f>
        <v>Excluded – IV only</v>
      </c>
      <c r="AB179" s="15" t="str">
        <f aca="false">IFERROR(INDEX(Scoring!$AK:$AK,MATCH($C179&amp;"|"&amp;$E179,Scoring!$U:$U,0)),"")</f>
        <v>Excluded – IV only</v>
      </c>
      <c r="AC179" s="18" t="n">
        <f aca="false">IFERROR(INDEX(Scoring!$M:$M,MATCH($C179&amp;"|"&amp;$E179,Scoring!$U:$U,0)),"")</f>
        <v>724</v>
      </c>
      <c r="AD179" s="15" t="str">
        <f aca="false">IFERROR(INDEX('Route of Administration'!$C$5:$C$155,MATCH($C179,'Route of Administration'!$A$5:$A$155,0)),"")</f>
        <v>IV</v>
      </c>
      <c r="AE179" s="14" t="str">
        <f aca="false">IFERROR(INDEX('Route of Administration'!$D$5:$D$155,MATCH($C179,'Route of Administration'!$A$5:$A$155,0)),"")</f>
        <v>No</v>
      </c>
    </row>
    <row r="180" customFormat="false" ht="28.35" hidden="false" customHeight="false" outlineLevel="0" collapsed="false">
      <c r="B180" s="15" t="n">
        <v>178</v>
      </c>
      <c r="C180" s="15" t="s">
        <v>348</v>
      </c>
      <c r="D180" s="15" t="s">
        <v>348</v>
      </c>
      <c r="E180" s="15" t="s">
        <v>664</v>
      </c>
      <c r="F180" s="15" t="s">
        <v>1632</v>
      </c>
      <c r="G180" s="16" t="s">
        <v>1895</v>
      </c>
      <c r="H180" s="15" t="s">
        <v>248</v>
      </c>
      <c r="I180" s="17" t="n">
        <v>58.2</v>
      </c>
      <c r="J180" s="15" t="n">
        <v>1</v>
      </c>
      <c r="K180" s="15" t="n">
        <v>843</v>
      </c>
      <c r="L180" s="18" t="n">
        <v>4508</v>
      </c>
      <c r="M180" s="16" t="s">
        <v>349</v>
      </c>
      <c r="N180" s="17" t="n">
        <v>58.2</v>
      </c>
      <c r="O180" s="15" t="s">
        <v>1506</v>
      </c>
      <c r="P180" s="15" t="s">
        <v>1507</v>
      </c>
      <c r="Q180" s="16" t="s">
        <v>1508</v>
      </c>
      <c r="R180" s="32" t="s">
        <v>1629</v>
      </c>
      <c r="S180" s="37" t="n">
        <f aca="false">IFERROR(INDEX('Injectable Value'!$Z$28:$Z$178,MATCH($C180,'Injectable Value'!$A$28:$A$178,0)),"")</f>
        <v>0.858739397335643</v>
      </c>
      <c r="T180" s="18" t="n">
        <f aca="false">IFERROR(ROUND(INDEX('Injectable Value'!$AA$28:$AA$178,MATCH($C180,'Injectable Value'!$A$28:$A$178,0)),1),"")</f>
        <v>3871.2</v>
      </c>
      <c r="U180" s="16" t="s">
        <v>683</v>
      </c>
      <c r="V180" s="15" t="n">
        <v>5</v>
      </c>
      <c r="W180" s="15" t="s">
        <v>680</v>
      </c>
      <c r="X180" s="15" t="s">
        <v>248</v>
      </c>
      <c r="Y180" s="15" t="s">
        <v>249</v>
      </c>
      <c r="Z180" s="16" t="str">
        <f aca="false">IFERROR(INDEX(Scoring!$K:$K,MATCH($C180&amp;"|"&amp;$E180,Scoring!$U:$U,0)),"")</f>
        <v>Cancer drug (cytotoxic) – less relevant</v>
      </c>
      <c r="AA180" s="15" t="str">
        <f aca="false">IFERROR(INDEX(Scoring!$Q:$Q,MATCH($C180&amp;"|"&amp;$E180,Scoring!$U:$U,0)),"")</f>
        <v>Excluded – IV only</v>
      </c>
      <c r="AB180" s="15" t="str">
        <f aca="false">IFERROR(INDEX(Scoring!$AK:$AK,MATCH($C180&amp;"|"&amp;$E180,Scoring!$U:$U,0)),"")</f>
        <v>Excluded – IV only</v>
      </c>
      <c r="AC180" s="18" t="n">
        <f aca="false">IFERROR(INDEX(Scoring!$M:$M,MATCH($C180&amp;"|"&amp;$E180,Scoring!$U:$U,0)),"")</f>
        <v>724</v>
      </c>
      <c r="AD180" s="15" t="str">
        <f aca="false">IFERROR(INDEX('Route of Administration'!$C$5:$C$155,MATCH($C180,'Route of Administration'!$A$5:$A$155,0)),"")</f>
        <v>IV</v>
      </c>
      <c r="AE180" s="14" t="str">
        <f aca="false">IFERROR(INDEX('Route of Administration'!$D$5:$D$155,MATCH($C180,'Route of Administration'!$A$5:$A$155,0)),"")</f>
        <v>No</v>
      </c>
    </row>
    <row r="181" customFormat="false" ht="28.35" hidden="false" customHeight="false" outlineLevel="0" collapsed="false">
      <c r="B181" s="15" t="n">
        <v>179</v>
      </c>
      <c r="C181" s="15" t="s">
        <v>369</v>
      </c>
      <c r="D181" s="15" t="s">
        <v>374</v>
      </c>
      <c r="E181" s="15" t="s">
        <v>664</v>
      </c>
      <c r="F181" s="15" t="s">
        <v>1634</v>
      </c>
      <c r="G181" s="16" t="s">
        <v>1896</v>
      </c>
      <c r="H181" s="15" t="s">
        <v>248</v>
      </c>
      <c r="I181" s="17" t="n">
        <v>5.35</v>
      </c>
      <c r="J181" s="15" t="n">
        <v>1</v>
      </c>
      <c r="K181" s="15" t="n">
        <v>78</v>
      </c>
      <c r="L181" s="18" t="n">
        <v>4714.67</v>
      </c>
      <c r="M181" s="16" t="s">
        <v>370</v>
      </c>
      <c r="N181" s="17" t="n">
        <v>5.35</v>
      </c>
      <c r="O181" s="15" t="s">
        <v>1506</v>
      </c>
      <c r="P181" s="15" t="s">
        <v>1507</v>
      </c>
      <c r="Q181" s="16" t="s">
        <v>1508</v>
      </c>
      <c r="R181" s="32" t="s">
        <v>1636</v>
      </c>
      <c r="S181" s="37" t="n">
        <f aca="false">IFERROR(INDEX('Injectable Value'!$Z$28:$Z$178,MATCH($C181,'Injectable Value'!$A$28:$A$178,0)),"")</f>
        <v>0.623015352554995</v>
      </c>
      <c r="T181" s="18" t="n">
        <f aca="false">IFERROR(ROUND(INDEX('Injectable Value'!$AA$28:$AA$178,MATCH($C181,'Injectable Value'!$A$28:$A$178,0)),1),"")</f>
        <v>2937.3</v>
      </c>
      <c r="U181" s="16" t="s">
        <v>247</v>
      </c>
      <c r="V181" s="15" t="n">
        <v>1</v>
      </c>
      <c r="W181" s="15" t="s">
        <v>247</v>
      </c>
      <c r="X181" s="15" t="s">
        <v>248</v>
      </c>
      <c r="Y181" s="15" t="s">
        <v>249</v>
      </c>
      <c r="Z181" s="16" t="str">
        <f aca="false">IFERROR(INDEX(Scoring!$K:$K,MATCH($C181&amp;"|"&amp;$E181,Scoring!$U:$U,0)),"")</f>
        <v/>
      </c>
      <c r="AA181" s="15" t="str">
        <f aca="false">IFERROR(INDEX(Scoring!$Q:$Q,MATCH($C181&amp;"|"&amp;$E181,Scoring!$U:$U,0)),"")</f>
        <v>Priority 3</v>
      </c>
      <c r="AB181" s="15" t="str">
        <f aca="false">IFERROR(INDEX(Scoring!$AK:$AK,MATCH($C181&amp;"|"&amp;$E181,Scoring!$U:$U,0)),"")</f>
        <v>Priority 3</v>
      </c>
      <c r="AC181" s="18" t="n">
        <f aca="false">IFERROR(INDEX(Scoring!$M:$M,MATCH($C181&amp;"|"&amp;$E181,Scoring!$U:$U,0)),"")</f>
        <v>49</v>
      </c>
      <c r="AD181" s="15" t="str">
        <f aca="false">IFERROR(INDEX('Route of Administration'!$C$5:$C$155,MATCH($C181,'Route of Administration'!$A$5:$A$155,0)),"")</f>
        <v>IV, IM, SC</v>
      </c>
      <c r="AE181" s="14" t="str">
        <f aca="false">IFERROR(INDEX('Route of Administration'!$D$5:$D$155,MATCH($C181,'Route of Administration'!$A$5:$A$155,0)),"")</f>
        <v>Yes</v>
      </c>
    </row>
    <row r="182" customFormat="false" ht="28.35" hidden="false" customHeight="false" outlineLevel="0" collapsed="false">
      <c r="B182" s="15" t="n">
        <v>180</v>
      </c>
      <c r="C182" s="15" t="s">
        <v>694</v>
      </c>
      <c r="D182" s="15" t="s">
        <v>1897</v>
      </c>
      <c r="E182" s="15" t="s">
        <v>664</v>
      </c>
      <c r="F182" s="15" t="s">
        <v>1898</v>
      </c>
      <c r="G182" s="16" t="s">
        <v>1899</v>
      </c>
      <c r="H182" s="15" t="s">
        <v>248</v>
      </c>
      <c r="I182" s="17" t="n">
        <v>301.8</v>
      </c>
      <c r="J182" s="15" t="n">
        <v>1</v>
      </c>
      <c r="K182" s="15" t="n">
        <v>42</v>
      </c>
      <c r="L182" s="18" t="n">
        <v>1874.63</v>
      </c>
      <c r="M182" s="16" t="s">
        <v>695</v>
      </c>
      <c r="N182" s="17" t="n">
        <v>301.8</v>
      </c>
      <c r="O182" s="15" t="s">
        <v>1506</v>
      </c>
      <c r="P182" s="15" t="s">
        <v>1507</v>
      </c>
      <c r="Q182" s="16" t="s">
        <v>1508</v>
      </c>
      <c r="R182" s="32" t="s">
        <v>1900</v>
      </c>
      <c r="S182" s="37" t="n">
        <f aca="false">IFERROR(INDEX('Injectable Value'!$Z$28:$Z$178,MATCH($C182,'Injectable Value'!$A$28:$A$178,0)),"")</f>
        <v>1</v>
      </c>
      <c r="T182" s="18" t="n">
        <f aca="false">IFERROR(ROUND(INDEX('Injectable Value'!$AA$28:$AA$178,MATCH($C182,'Injectable Value'!$A$28:$A$178,0)),1),"")</f>
        <v>1874.6</v>
      </c>
      <c r="U182" s="16" t="s">
        <v>700</v>
      </c>
      <c r="V182" s="15" t="n">
        <v>8</v>
      </c>
      <c r="W182" s="15" t="s">
        <v>696</v>
      </c>
      <c r="X182" s="15" t="s">
        <v>248</v>
      </c>
      <c r="Y182" s="15" t="s">
        <v>249</v>
      </c>
      <c r="Z182" s="16" t="str">
        <f aca="false">IFERROR(INDEX(Scoring!$K:$K,MATCH($C182&amp;"|"&amp;$E182,Scoring!$U:$U,0)),"")</f>
        <v>Cancer drug (cytotoxic) – less relevant</v>
      </c>
      <c r="AA182" s="15" t="str">
        <f aca="false">IFERROR(INDEX(Scoring!$Q:$Q,MATCH($C182&amp;"|"&amp;$E182,Scoring!$U:$U,0)),"")</f>
        <v>Excluded – IV only</v>
      </c>
      <c r="AB182" s="15" t="str">
        <f aca="false">IFERROR(INDEX(Scoring!$AK:$AK,MATCH($C182&amp;"|"&amp;$E182,Scoring!$U:$U,0)),"")</f>
        <v>Excluded – IV only</v>
      </c>
      <c r="AC182" s="18" t="n">
        <f aca="false">IFERROR(INDEX(Scoring!$M:$M,MATCH($C182&amp;"|"&amp;$E182,Scoring!$U:$U,0)),"")</f>
        <v>42</v>
      </c>
      <c r="AD182" s="15" t="str">
        <f aca="false">IFERROR(INDEX('Route of Administration'!$C$5:$C$155,MATCH($C182,'Route of Administration'!$A$5:$A$155,0)),"")</f>
        <v>IV</v>
      </c>
      <c r="AE182" s="14" t="str">
        <f aca="false">IFERROR(INDEX('Route of Administration'!$D$5:$D$155,MATCH($C182,'Route of Administration'!$A$5:$A$155,0)),"")</f>
        <v>No</v>
      </c>
    </row>
    <row r="183" customFormat="false" ht="28.35" hidden="false" customHeight="false" outlineLevel="0" collapsed="false">
      <c r="B183" s="15" t="n">
        <v>181</v>
      </c>
      <c r="C183" s="15" t="s">
        <v>714</v>
      </c>
      <c r="D183" s="15" t="s">
        <v>718</v>
      </c>
      <c r="E183" s="15" t="s">
        <v>664</v>
      </c>
      <c r="F183" s="15" t="s">
        <v>1901</v>
      </c>
      <c r="G183" s="16" t="s">
        <v>1902</v>
      </c>
      <c r="H183" s="15" t="s">
        <v>1903</v>
      </c>
      <c r="I183" s="17" t="n">
        <v>13.38</v>
      </c>
      <c r="J183" s="15" t="n">
        <v>1</v>
      </c>
      <c r="K183" s="15" t="n">
        <v>236</v>
      </c>
      <c r="L183" s="18" t="n">
        <v>1845.67</v>
      </c>
      <c r="M183" s="16" t="s">
        <v>715</v>
      </c>
      <c r="N183" s="17" t="n">
        <v>13.38</v>
      </c>
      <c r="O183" s="15" t="s">
        <v>1506</v>
      </c>
      <c r="P183" s="15" t="s">
        <v>1507</v>
      </c>
      <c r="Q183" s="16" t="s">
        <v>1508</v>
      </c>
      <c r="R183" s="32" t="s">
        <v>1904</v>
      </c>
      <c r="S183" s="37" t="n">
        <f aca="false">IFERROR(INDEX('Injectable Value'!$Z$28:$Z$178,MATCH($C183,'Injectable Value'!$A$28:$A$178,0)),"")</f>
        <v>0.991758241758242</v>
      </c>
      <c r="T183" s="18" t="n">
        <f aca="false">IFERROR(ROUND(INDEX('Injectable Value'!$AA$28:$AA$178,MATCH($C183,'Injectable Value'!$A$28:$A$178,0)),1),"")</f>
        <v>1830.5</v>
      </c>
      <c r="U183" s="16" t="s">
        <v>247</v>
      </c>
      <c r="V183" s="15" t="n">
        <v>1</v>
      </c>
      <c r="W183" s="15" t="s">
        <v>247</v>
      </c>
      <c r="X183" s="15" t="s">
        <v>258</v>
      </c>
      <c r="Y183" s="15" t="s">
        <v>249</v>
      </c>
      <c r="Z183" s="16" t="str">
        <f aca="false">IFERROR(INDEX(Scoring!$K:$K,MATCH($C183&amp;"|"&amp;$E183,Scoring!$U:$U,0)),"")</f>
        <v/>
      </c>
      <c r="AA183" s="15" t="str">
        <f aca="false">IFERROR(INDEX(Scoring!$Q:$Q,MATCH($C183&amp;"|"&amp;$E183,Scoring!$U:$U,0)),"")</f>
        <v>Priority 2</v>
      </c>
      <c r="AB183" s="15" t="str">
        <f aca="false">IFERROR(INDEX(Scoring!$AK:$AK,MATCH($C183&amp;"|"&amp;$E183,Scoring!$U:$U,0)),"")</f>
        <v>Priority 3</v>
      </c>
      <c r="AC183" s="18" t="n">
        <f aca="false">IFERROR(INDEX(Scoring!$M:$M,MATCH($C183&amp;"|"&amp;$E183,Scoring!$U:$U,0)),"")</f>
        <v>234</v>
      </c>
      <c r="AD183" s="15" t="str">
        <f aca="false">IFERROR(INDEX('Route of Administration'!$C$5:$C$155,MATCH($C183,'Route of Administration'!$A$5:$A$155,0)),"")</f>
        <v>IV, SC, IM</v>
      </c>
      <c r="AE183" s="14" t="str">
        <f aca="false">IFERROR(INDEX('Route of Administration'!$D$5:$D$155,MATCH($C183,'Route of Administration'!$A$5:$A$155,0)),"")</f>
        <v>Yes</v>
      </c>
    </row>
    <row r="184" customFormat="false" ht="28.35" hidden="false" customHeight="false" outlineLevel="0" collapsed="false">
      <c r="B184" s="15" t="n">
        <v>182</v>
      </c>
      <c r="C184" s="15" t="s">
        <v>714</v>
      </c>
      <c r="D184" s="15" t="s">
        <v>718</v>
      </c>
      <c r="E184" s="15" t="s">
        <v>664</v>
      </c>
      <c r="F184" s="15" t="s">
        <v>1905</v>
      </c>
      <c r="G184" s="16" t="s">
        <v>1906</v>
      </c>
      <c r="H184" s="15" t="s">
        <v>248</v>
      </c>
      <c r="I184" s="17" t="n">
        <v>19.55</v>
      </c>
      <c r="J184" s="15" t="n">
        <v>1</v>
      </c>
      <c r="K184" s="15" t="n">
        <v>236</v>
      </c>
      <c r="L184" s="18" t="n">
        <v>1845.67</v>
      </c>
      <c r="M184" s="16" t="s">
        <v>715</v>
      </c>
      <c r="N184" s="17" t="n">
        <v>19.55</v>
      </c>
      <c r="O184" s="15" t="s">
        <v>1506</v>
      </c>
      <c r="P184" s="15" t="s">
        <v>1507</v>
      </c>
      <c r="Q184" s="16" t="s">
        <v>1508</v>
      </c>
      <c r="R184" s="32" t="s">
        <v>1904</v>
      </c>
      <c r="S184" s="37" t="n">
        <f aca="false">IFERROR(INDEX('Injectable Value'!$Z$28:$Z$178,MATCH($C184,'Injectable Value'!$A$28:$A$178,0)),"")</f>
        <v>0.991758241758242</v>
      </c>
      <c r="T184" s="18" t="n">
        <f aca="false">IFERROR(ROUND(INDEX('Injectable Value'!$AA$28:$AA$178,MATCH($C184,'Injectable Value'!$A$28:$A$178,0)),1),"")</f>
        <v>1830.5</v>
      </c>
      <c r="U184" s="16" t="s">
        <v>247</v>
      </c>
      <c r="V184" s="15" t="n">
        <v>1</v>
      </c>
      <c r="W184" s="15" t="s">
        <v>247</v>
      </c>
      <c r="X184" s="15" t="s">
        <v>248</v>
      </c>
      <c r="Y184" s="15" t="s">
        <v>249</v>
      </c>
      <c r="Z184" s="16" t="str">
        <f aca="false">IFERROR(INDEX(Scoring!$K:$K,MATCH($C184&amp;"|"&amp;$E184,Scoring!$U:$U,0)),"")</f>
        <v/>
      </c>
      <c r="AA184" s="15" t="str">
        <f aca="false">IFERROR(INDEX(Scoring!$Q:$Q,MATCH($C184&amp;"|"&amp;$E184,Scoring!$U:$U,0)),"")</f>
        <v>Priority 2</v>
      </c>
      <c r="AB184" s="15" t="str">
        <f aca="false">IFERROR(INDEX(Scoring!$AK:$AK,MATCH($C184&amp;"|"&amp;$E184,Scoring!$U:$U,0)),"")</f>
        <v>Priority 3</v>
      </c>
      <c r="AC184" s="18" t="n">
        <f aca="false">IFERROR(INDEX(Scoring!$M:$M,MATCH($C184&amp;"|"&amp;$E184,Scoring!$U:$U,0)),"")</f>
        <v>234</v>
      </c>
      <c r="AD184" s="15" t="str">
        <f aca="false">IFERROR(INDEX('Route of Administration'!$C$5:$C$155,MATCH($C184,'Route of Administration'!$A$5:$A$155,0)),"")</f>
        <v>IV, SC, IM</v>
      </c>
      <c r="AE184" s="14" t="str">
        <f aca="false">IFERROR(INDEX('Route of Administration'!$D$5:$D$155,MATCH($C184,'Route of Administration'!$A$5:$A$155,0)),"")</f>
        <v>Yes</v>
      </c>
    </row>
    <row r="185" customFormat="false" ht="28.35" hidden="false" customHeight="false" outlineLevel="0" collapsed="false">
      <c r="B185" s="15" t="n">
        <v>183</v>
      </c>
      <c r="C185" s="15" t="s">
        <v>714</v>
      </c>
      <c r="D185" s="15" t="s">
        <v>718</v>
      </c>
      <c r="E185" s="15" t="s">
        <v>664</v>
      </c>
      <c r="F185" s="15" t="s">
        <v>1907</v>
      </c>
      <c r="G185" s="16" t="s">
        <v>1908</v>
      </c>
      <c r="H185" s="15" t="s">
        <v>248</v>
      </c>
      <c r="I185" s="17" t="n">
        <v>20.45</v>
      </c>
      <c r="J185" s="15" t="n">
        <v>1</v>
      </c>
      <c r="K185" s="15" t="n">
        <v>236</v>
      </c>
      <c r="L185" s="18" t="n">
        <v>1845.67</v>
      </c>
      <c r="M185" s="16" t="s">
        <v>715</v>
      </c>
      <c r="N185" s="17" t="n">
        <v>20.45</v>
      </c>
      <c r="O185" s="15" t="s">
        <v>1506</v>
      </c>
      <c r="P185" s="15" t="s">
        <v>1507</v>
      </c>
      <c r="Q185" s="16" t="s">
        <v>1508</v>
      </c>
      <c r="R185" s="32" t="s">
        <v>1904</v>
      </c>
      <c r="S185" s="37" t="n">
        <f aca="false">IFERROR(INDEX('Injectable Value'!$Z$28:$Z$178,MATCH($C185,'Injectable Value'!$A$28:$A$178,0)),"")</f>
        <v>0.991758241758242</v>
      </c>
      <c r="T185" s="18" t="n">
        <f aca="false">IFERROR(ROUND(INDEX('Injectable Value'!$AA$28:$AA$178,MATCH($C185,'Injectable Value'!$A$28:$A$178,0)),1),"")</f>
        <v>1830.5</v>
      </c>
      <c r="U185" s="16" t="s">
        <v>247</v>
      </c>
      <c r="V185" s="15" t="n">
        <v>1</v>
      </c>
      <c r="W185" s="15" t="s">
        <v>247</v>
      </c>
      <c r="X185" s="15" t="s">
        <v>248</v>
      </c>
      <c r="Y185" s="15" t="s">
        <v>249</v>
      </c>
      <c r="Z185" s="16" t="str">
        <f aca="false">IFERROR(INDEX(Scoring!$K:$K,MATCH($C185&amp;"|"&amp;$E185,Scoring!$U:$U,0)),"")</f>
        <v/>
      </c>
      <c r="AA185" s="15" t="str">
        <f aca="false">IFERROR(INDEX(Scoring!$Q:$Q,MATCH($C185&amp;"|"&amp;$E185,Scoring!$U:$U,0)),"")</f>
        <v>Priority 2</v>
      </c>
      <c r="AB185" s="15" t="str">
        <f aca="false">IFERROR(INDEX(Scoring!$AK:$AK,MATCH($C185&amp;"|"&amp;$E185,Scoring!$U:$U,0)),"")</f>
        <v>Priority 3</v>
      </c>
      <c r="AC185" s="18" t="n">
        <f aca="false">IFERROR(INDEX(Scoring!$M:$M,MATCH($C185&amp;"|"&amp;$E185,Scoring!$U:$U,0)),"")</f>
        <v>234</v>
      </c>
      <c r="AD185" s="15" t="str">
        <f aca="false">IFERROR(INDEX('Route of Administration'!$C$5:$C$155,MATCH($C185,'Route of Administration'!$A$5:$A$155,0)),"")</f>
        <v>IV, SC, IM</v>
      </c>
      <c r="AE185" s="14" t="str">
        <f aca="false">IFERROR(INDEX('Route of Administration'!$D$5:$D$155,MATCH($C185,'Route of Administration'!$A$5:$A$155,0)),"")</f>
        <v>Yes</v>
      </c>
    </row>
    <row r="186" customFormat="false" ht="28.35" hidden="false" customHeight="false" outlineLevel="0" collapsed="false">
      <c r="B186" s="15" t="n">
        <v>184</v>
      </c>
      <c r="C186" s="15" t="s">
        <v>521</v>
      </c>
      <c r="D186" s="15" t="s">
        <v>521</v>
      </c>
      <c r="E186" s="15" t="s">
        <v>664</v>
      </c>
      <c r="F186" s="15" t="s">
        <v>1637</v>
      </c>
      <c r="G186" s="16" t="s">
        <v>1909</v>
      </c>
      <c r="H186" s="15" t="s">
        <v>248</v>
      </c>
      <c r="I186" s="17"/>
      <c r="J186" s="15" t="n">
        <v>1</v>
      </c>
      <c r="K186" s="15" t="n">
        <v>9</v>
      </c>
      <c r="L186" s="18" t="n">
        <v>1127.64</v>
      </c>
      <c r="M186" s="16" t="s">
        <v>522</v>
      </c>
      <c r="N186" s="38" t="n">
        <v>10.03</v>
      </c>
      <c r="O186" s="22" t="s">
        <v>1513</v>
      </c>
      <c r="P186" s="15" t="s">
        <v>1507</v>
      </c>
      <c r="Q186" s="16" t="s">
        <v>1514</v>
      </c>
      <c r="R186" s="32" t="s">
        <v>1515</v>
      </c>
      <c r="S186" s="37" t="n">
        <f aca="false">IFERROR(INDEX('Injectable Value'!$Z$28:$Z$178,MATCH($C186,'Injectable Value'!$A$28:$A$178,0)),"")</f>
        <v>1</v>
      </c>
      <c r="T186" s="18" t="n">
        <f aca="false">IFERROR(ROUND(INDEX('Injectable Value'!$AA$28:$AA$178,MATCH($C186,'Injectable Value'!$A$28:$A$178,0)),1),"")</f>
        <v>1127.6</v>
      </c>
      <c r="U186" s="16" t="s">
        <v>247</v>
      </c>
      <c r="V186" s="15" t="n">
        <v>1</v>
      </c>
      <c r="W186" s="15" t="s">
        <v>247</v>
      </c>
      <c r="X186" s="15" t="s">
        <v>258</v>
      </c>
      <c r="Y186" s="15" t="s">
        <v>249</v>
      </c>
      <c r="Z186" s="16" t="str">
        <f aca="false">IFERROR(INDEX(Scoring!$K:$K,MATCH($C186&amp;"|"&amp;$E186,Scoring!$U:$U,0)),"")</f>
        <v>Prefilled only</v>
      </c>
      <c r="AA186" s="15" t="str">
        <f aca="false">IFERROR(INDEX(Scoring!$Q:$Q,MATCH($C186&amp;"|"&amp;$E186,Scoring!$U:$U,0)),"")</f>
        <v>Excluded – IV only</v>
      </c>
      <c r="AB186" s="15" t="str">
        <f aca="false">IFERROR(INDEX(Scoring!$AK:$AK,MATCH($C186&amp;"|"&amp;$E186,Scoring!$U:$U,0)),"")</f>
        <v>Excluded – IV only</v>
      </c>
      <c r="AC186" s="18" t="n">
        <f aca="false">IFERROR(INDEX(Scoring!$M:$M,MATCH($C186&amp;"|"&amp;$E186,Scoring!$U:$U,0)),"")</f>
        <v>9</v>
      </c>
      <c r="AD186" s="15" t="str">
        <f aca="false">IFERROR(INDEX('Route of Administration'!$C$5:$C$155,MATCH($C186,'Route of Administration'!$A$5:$A$155,0)),"")</f>
        <v>IV</v>
      </c>
      <c r="AE186" s="14" t="str">
        <f aca="false">IFERROR(INDEX('Route of Administration'!$D$5:$D$155,MATCH($C186,'Route of Administration'!$A$5:$A$155,0)),"")</f>
        <v>No</v>
      </c>
    </row>
    <row r="187" customFormat="false" ht="55.2" hidden="false" customHeight="false" outlineLevel="0" collapsed="false">
      <c r="B187" s="15" t="n">
        <v>185</v>
      </c>
      <c r="C187" s="15" t="s">
        <v>635</v>
      </c>
      <c r="D187" s="15" t="s">
        <v>1475</v>
      </c>
      <c r="E187" s="15" t="s">
        <v>664</v>
      </c>
      <c r="F187" s="15" t="s">
        <v>1910</v>
      </c>
      <c r="G187" s="16" t="s">
        <v>1911</v>
      </c>
      <c r="H187" s="15" t="s">
        <v>248</v>
      </c>
      <c r="I187" s="17" t="n">
        <v>21.78</v>
      </c>
      <c r="J187" s="15" t="n">
        <v>1</v>
      </c>
      <c r="K187" s="15" t="n">
        <v>346</v>
      </c>
      <c r="L187" s="18" t="n">
        <v>32830.17</v>
      </c>
      <c r="M187" s="16" t="s">
        <v>636</v>
      </c>
      <c r="N187" s="17" t="n">
        <v>21.78</v>
      </c>
      <c r="O187" s="15" t="s">
        <v>1506</v>
      </c>
      <c r="P187" s="15" t="s">
        <v>1507</v>
      </c>
      <c r="Q187" s="16" t="s">
        <v>1508</v>
      </c>
      <c r="R187" s="32" t="s">
        <v>1912</v>
      </c>
      <c r="S187" s="37" t="n">
        <f aca="false">IFERROR(INDEX('Injectable Value'!$Z$28:$Z$178,MATCH($C187,'Injectable Value'!$A$28:$A$178,0)),"")</f>
        <v>1</v>
      </c>
      <c r="T187" s="18" t="n">
        <f aca="false">IFERROR(ROUND(INDEX('Injectable Value'!$AA$28:$AA$178,MATCH($C187,'Injectable Value'!$A$28:$A$178,0)),1),"")</f>
        <v>32830.2</v>
      </c>
      <c r="U187" s="16" t="s">
        <v>731</v>
      </c>
      <c r="V187" s="15" t="n">
        <v>21</v>
      </c>
      <c r="W187" s="15" t="s">
        <v>729</v>
      </c>
      <c r="X187" s="15" t="s">
        <v>248</v>
      </c>
      <c r="Y187" s="15" t="s">
        <v>249</v>
      </c>
      <c r="Z187" s="16" t="str">
        <f aca="false">IFERROR(INDEX(Scoring!$K:$K,MATCH($C187&amp;"|"&amp;$E187,Scoring!$U:$U,0)),"")</f>
        <v/>
      </c>
      <c r="AA187" s="15" t="str">
        <f aca="false">IFERROR(INDEX(Scoring!$Q:$Q,MATCH($C187&amp;"|"&amp;$E187,Scoring!$U:$U,0)),"")</f>
        <v>Excluded – IV only</v>
      </c>
      <c r="AB187" s="15" t="str">
        <f aca="false">IFERROR(INDEX(Scoring!$AK:$AK,MATCH($C187&amp;"|"&amp;$E187,Scoring!$U:$U,0)),"")</f>
        <v>Excluded – IV only</v>
      </c>
      <c r="AC187" s="18" t="n">
        <f aca="false">IFERROR(INDEX(Scoring!$M:$M,MATCH($C187&amp;"|"&amp;$E187,Scoring!$U:$U,0)),"")</f>
        <v>346</v>
      </c>
      <c r="AD187" s="15" t="str">
        <f aca="false">IFERROR(INDEX('Route of Administration'!$C$5:$C$155,MATCH($C187,'Route of Administration'!$A$5:$A$155,0)),"")</f>
        <v>IV</v>
      </c>
      <c r="AE187" s="14" t="str">
        <f aca="false">IFERROR(INDEX('Route of Administration'!$D$5:$D$155,MATCH($C187,'Route of Administration'!$A$5:$A$155,0)),"")</f>
        <v>No</v>
      </c>
    </row>
    <row r="188" customFormat="false" ht="55.2" hidden="false" customHeight="false" outlineLevel="0" collapsed="false">
      <c r="B188" s="15" t="n">
        <v>186</v>
      </c>
      <c r="C188" s="15" t="s">
        <v>635</v>
      </c>
      <c r="D188" s="15" t="s">
        <v>1475</v>
      </c>
      <c r="E188" s="15" t="s">
        <v>664</v>
      </c>
      <c r="F188" s="15" t="s">
        <v>1913</v>
      </c>
      <c r="G188" s="16" t="s">
        <v>1914</v>
      </c>
      <c r="H188" s="15" t="s">
        <v>248</v>
      </c>
      <c r="I188" s="17" t="n">
        <v>48.28</v>
      </c>
      <c r="J188" s="15" t="n">
        <v>1</v>
      </c>
      <c r="K188" s="15" t="n">
        <v>346</v>
      </c>
      <c r="L188" s="18" t="n">
        <v>32830.17</v>
      </c>
      <c r="M188" s="16" t="s">
        <v>636</v>
      </c>
      <c r="N188" s="17" t="n">
        <v>48.28</v>
      </c>
      <c r="O188" s="15" t="s">
        <v>1506</v>
      </c>
      <c r="P188" s="15" t="s">
        <v>1507</v>
      </c>
      <c r="Q188" s="16" t="s">
        <v>1508</v>
      </c>
      <c r="R188" s="32" t="s">
        <v>1912</v>
      </c>
      <c r="S188" s="37" t="n">
        <f aca="false">IFERROR(INDEX('Injectable Value'!$Z$28:$Z$178,MATCH($C188,'Injectable Value'!$A$28:$A$178,0)),"")</f>
        <v>1</v>
      </c>
      <c r="T188" s="18" t="n">
        <f aca="false">IFERROR(ROUND(INDEX('Injectable Value'!$AA$28:$AA$178,MATCH($C188,'Injectable Value'!$A$28:$A$178,0)),1),"")</f>
        <v>32830.2</v>
      </c>
      <c r="U188" s="16" t="s">
        <v>731</v>
      </c>
      <c r="V188" s="15" t="n">
        <v>21</v>
      </c>
      <c r="W188" s="15" t="s">
        <v>729</v>
      </c>
      <c r="X188" s="15" t="s">
        <v>248</v>
      </c>
      <c r="Y188" s="15" t="s">
        <v>249</v>
      </c>
      <c r="Z188" s="16" t="str">
        <f aca="false">IFERROR(INDEX(Scoring!$K:$K,MATCH($C188&amp;"|"&amp;$E188,Scoring!$U:$U,0)),"")</f>
        <v/>
      </c>
      <c r="AA188" s="15" t="str">
        <f aca="false">IFERROR(INDEX(Scoring!$Q:$Q,MATCH($C188&amp;"|"&amp;$E188,Scoring!$U:$U,0)),"")</f>
        <v>Excluded – IV only</v>
      </c>
      <c r="AB188" s="15" t="str">
        <f aca="false">IFERROR(INDEX(Scoring!$AK:$AK,MATCH($C188&amp;"|"&amp;$E188,Scoring!$U:$U,0)),"")</f>
        <v>Excluded – IV only</v>
      </c>
      <c r="AC188" s="18" t="n">
        <f aca="false">IFERROR(INDEX(Scoring!$M:$M,MATCH($C188&amp;"|"&amp;$E188,Scoring!$U:$U,0)),"")</f>
        <v>346</v>
      </c>
      <c r="AD188" s="15" t="str">
        <f aca="false">IFERROR(INDEX('Route of Administration'!$C$5:$C$155,MATCH($C188,'Route of Administration'!$A$5:$A$155,0)),"")</f>
        <v>IV</v>
      </c>
      <c r="AE188" s="14" t="str">
        <f aca="false">IFERROR(INDEX('Route of Administration'!$D$5:$D$155,MATCH($C188,'Route of Administration'!$A$5:$A$155,0)),"")</f>
        <v>No</v>
      </c>
    </row>
    <row r="189" customFormat="false" ht="28.35" hidden="false" customHeight="false" outlineLevel="0" collapsed="false">
      <c r="B189" s="15" t="n">
        <v>187</v>
      </c>
      <c r="C189" s="15" t="s">
        <v>510</v>
      </c>
      <c r="D189" s="15" t="s">
        <v>510</v>
      </c>
      <c r="E189" s="15" t="s">
        <v>664</v>
      </c>
      <c r="F189" s="15" t="s">
        <v>1648</v>
      </c>
      <c r="G189" s="16" t="s">
        <v>1649</v>
      </c>
      <c r="H189" s="15" t="s">
        <v>1505</v>
      </c>
      <c r="I189" s="17" t="n">
        <v>343.8</v>
      </c>
      <c r="J189" s="15" t="n">
        <v>1</v>
      </c>
      <c r="K189" s="15" t="n">
        <v>47</v>
      </c>
      <c r="L189" s="18" t="n">
        <v>7904.67</v>
      </c>
      <c r="M189" s="16" t="s">
        <v>511</v>
      </c>
      <c r="N189" s="17" t="n">
        <v>343.8</v>
      </c>
      <c r="O189" s="15" t="s">
        <v>1506</v>
      </c>
      <c r="P189" s="15" t="s">
        <v>1507</v>
      </c>
      <c r="Q189" s="16" t="s">
        <v>1508</v>
      </c>
      <c r="R189" s="32" t="s">
        <v>1650</v>
      </c>
      <c r="S189" s="37" t="n">
        <f aca="false">IFERROR(INDEX('Injectable Value'!$Z$28:$Z$178,MATCH($C189,'Injectable Value'!$A$28:$A$178,0)),"")</f>
        <v>1</v>
      </c>
      <c r="T189" s="18" t="n">
        <f aca="false">IFERROR(ROUND(INDEX('Injectable Value'!$AA$28:$AA$178,MATCH($C189,'Injectable Value'!$A$28:$A$178,0)),1),"")</f>
        <v>7904.7</v>
      </c>
      <c r="U189" s="16" t="s">
        <v>247</v>
      </c>
      <c r="V189" s="15" t="n">
        <v>1</v>
      </c>
      <c r="W189" s="15" t="s">
        <v>247</v>
      </c>
      <c r="X189" s="15" t="s">
        <v>248</v>
      </c>
      <c r="Y189" s="15" t="s">
        <v>249</v>
      </c>
      <c r="Z189" s="16" t="str">
        <f aca="false">IFERROR(INDEX(Scoring!$K:$K,MATCH($C189&amp;"|"&amp;$E189,Scoring!$U:$U,0)),"")</f>
        <v/>
      </c>
      <c r="AA189" s="15" t="str">
        <f aca="false">IFERROR(INDEX(Scoring!$Q:$Q,MATCH($C189&amp;"|"&amp;$E189,Scoring!$U:$U,0)),"")</f>
        <v>Priority 2</v>
      </c>
      <c r="AB189" s="15" t="str">
        <f aca="false">IFERROR(INDEX(Scoring!$AK:$AK,MATCH($C189&amp;"|"&amp;$E189,Scoring!$U:$U,0)),"")</f>
        <v>Priority 2</v>
      </c>
      <c r="AC189" s="18" t="n">
        <f aca="false">IFERROR(INDEX(Scoring!$M:$M,MATCH($C189&amp;"|"&amp;$E189,Scoring!$U:$U,0)),"")</f>
        <v>47</v>
      </c>
      <c r="AD189" s="15" t="str">
        <f aca="false">IFERROR(INDEX('Route of Administration'!$C$5:$C$155,MATCH($C189,'Route of Administration'!$A$5:$A$155,0)),"")</f>
        <v>SC</v>
      </c>
      <c r="AE189" s="14" t="str">
        <f aca="false">IFERROR(INDEX('Route of Administration'!$D$5:$D$155,MATCH($C189,'Route of Administration'!$A$5:$A$155,0)),"")</f>
        <v>Yes</v>
      </c>
    </row>
    <row r="190" customFormat="false" ht="41.75" hidden="false" customHeight="false" outlineLevel="0" collapsed="false">
      <c r="B190" s="15" t="n">
        <v>188</v>
      </c>
      <c r="C190" s="15" t="s">
        <v>305</v>
      </c>
      <c r="D190" s="15" t="s">
        <v>1915</v>
      </c>
      <c r="E190" s="15" t="s">
        <v>664</v>
      </c>
      <c r="F190" s="15" t="s">
        <v>1652</v>
      </c>
      <c r="G190" s="16" t="s">
        <v>1653</v>
      </c>
      <c r="H190" s="15" t="s">
        <v>1505</v>
      </c>
      <c r="I190" s="17" t="n">
        <v>1007.87</v>
      </c>
      <c r="J190" s="15" t="n">
        <v>1</v>
      </c>
      <c r="K190" s="15" t="n">
        <v>905</v>
      </c>
      <c r="L190" s="18" t="n">
        <v>28093.38</v>
      </c>
      <c r="M190" s="16" t="s">
        <v>306</v>
      </c>
      <c r="N190" s="17" t="n">
        <v>1007.87</v>
      </c>
      <c r="O190" s="15" t="s">
        <v>1506</v>
      </c>
      <c r="P190" s="15" t="s">
        <v>1672</v>
      </c>
      <c r="Q190" s="16" t="s">
        <v>1508</v>
      </c>
      <c r="R190" s="32" t="s">
        <v>1916</v>
      </c>
      <c r="S190" s="37" t="n">
        <f aca="false">IFERROR(INDEX('Injectable Value'!$Z$28:$Z$178,MATCH($C190,'Injectable Value'!$A$28:$A$178,0)),"")</f>
        <v>1</v>
      </c>
      <c r="T190" s="18" t="n">
        <f aca="false">IFERROR(ROUND(INDEX('Injectable Value'!$AA$28:$AA$178,MATCH($C190,'Injectable Value'!$A$28:$A$178,0)),1),"")</f>
        <v>28093.4</v>
      </c>
      <c r="U190" s="16" t="s">
        <v>676</v>
      </c>
      <c r="V190" s="15" t="n">
        <v>18</v>
      </c>
      <c r="W190" s="15" t="s">
        <v>673</v>
      </c>
      <c r="X190" s="15" t="s">
        <v>248</v>
      </c>
      <c r="Y190" s="15" t="s">
        <v>299</v>
      </c>
      <c r="Z190" s="16" t="str">
        <f aca="false">IFERROR(INDEX(Scoring!$K:$K,MATCH($C190&amp;"|"&amp;$E190,Scoring!$U:$U,0)),"")</f>
        <v>Cancer drug (cytotoxic) – less relevant; Reconstitution</v>
      </c>
      <c r="AA190" s="15" t="str">
        <f aca="false">IFERROR(INDEX(Scoring!$Q:$Q,MATCH($C190&amp;"|"&amp;$E190,Scoring!$U:$U,0)),"")</f>
        <v>Priority 1</v>
      </c>
      <c r="AB190" s="15" t="str">
        <f aca="false">IFERROR(INDEX(Scoring!$AK:$AK,MATCH($C190&amp;"|"&amp;$E190,Scoring!$U:$U,0)),"")</f>
        <v>Priority 1</v>
      </c>
      <c r="AC190" s="18" t="n">
        <f aca="false">IFERROR(INDEX(Scoring!$M:$M,MATCH($C190&amp;"|"&amp;$E190,Scoring!$U:$U,0)),"")</f>
        <v>905</v>
      </c>
      <c r="AD190" s="15" t="str">
        <f aca="false">IFERROR(INDEX('Route of Administration'!$C$5:$C$155,MATCH($C190,'Route of Administration'!$A$5:$A$155,0)),"")</f>
        <v>IV, SC</v>
      </c>
      <c r="AE190" s="14" t="str">
        <f aca="false">IFERROR(INDEX('Route of Administration'!$D$5:$D$155,MATCH($C190,'Route of Administration'!$A$5:$A$155,0)),"")</f>
        <v>Yes</v>
      </c>
    </row>
    <row r="191" customFormat="false" ht="41.75" hidden="false" customHeight="false" outlineLevel="0" collapsed="false">
      <c r="B191" s="15" t="n">
        <v>189</v>
      </c>
      <c r="C191" s="15" t="s">
        <v>356</v>
      </c>
      <c r="D191" s="15" t="s">
        <v>1917</v>
      </c>
      <c r="E191" s="15" t="s">
        <v>664</v>
      </c>
      <c r="F191" s="15" t="s">
        <v>1807</v>
      </c>
      <c r="G191" s="16" t="s">
        <v>1689</v>
      </c>
      <c r="H191" s="15" t="s">
        <v>1505</v>
      </c>
      <c r="I191" s="17" t="n">
        <v>81.96</v>
      </c>
      <c r="J191" s="15" t="n">
        <v>1</v>
      </c>
      <c r="K191" s="15" t="n">
        <v>312</v>
      </c>
      <c r="L191" s="18" t="n">
        <v>59827.18</v>
      </c>
      <c r="M191" s="16" t="s">
        <v>357</v>
      </c>
      <c r="N191" s="17" t="n">
        <v>81.96</v>
      </c>
      <c r="O191" s="15" t="s">
        <v>1506</v>
      </c>
      <c r="P191" s="15" t="s">
        <v>1672</v>
      </c>
      <c r="Q191" s="16" t="s">
        <v>1508</v>
      </c>
      <c r="R191" s="32" t="s">
        <v>1918</v>
      </c>
      <c r="S191" s="37" t="n">
        <f aca="false">IFERROR(INDEX('Injectable Value'!$Z$28:$Z$178,MATCH($C191,'Injectable Value'!$A$28:$A$178,0)),"")</f>
        <v>1</v>
      </c>
      <c r="T191" s="18" t="n">
        <f aca="false">IFERROR(ROUND(INDEX('Injectable Value'!$AA$28:$AA$178,MATCH($C191,'Injectable Value'!$A$28:$A$178,0)),1),"")</f>
        <v>59827.2</v>
      </c>
      <c r="U191" s="16" t="s">
        <v>687</v>
      </c>
      <c r="V191" s="15" t="n">
        <v>15</v>
      </c>
      <c r="W191" s="15" t="s">
        <v>684</v>
      </c>
      <c r="X191" s="15" t="s">
        <v>248</v>
      </c>
      <c r="Y191" s="15" t="s">
        <v>299</v>
      </c>
      <c r="Z191" s="16" t="str">
        <f aca="false">IFERROR(INDEX(Scoring!$K:$K,MATCH($C191&amp;"|"&amp;$E191,Scoring!$U:$U,0)),"")</f>
        <v>Reconstitution</v>
      </c>
      <c r="AA191" s="15" t="str">
        <f aca="false">IFERROR(INDEX(Scoring!$Q:$Q,MATCH($C191&amp;"|"&amp;$E191,Scoring!$U:$U,0)),"")</f>
        <v>Excluded – IV only</v>
      </c>
      <c r="AB191" s="15" t="str">
        <f aca="false">IFERROR(INDEX(Scoring!$AK:$AK,MATCH($C191&amp;"|"&amp;$E191,Scoring!$U:$U,0)),"")</f>
        <v>Excluded – IV only</v>
      </c>
      <c r="AC191" s="18" t="n">
        <f aca="false">IFERROR(INDEX(Scoring!$M:$M,MATCH($C191&amp;"|"&amp;$E191,Scoring!$U:$U,0)),"")</f>
        <v>312</v>
      </c>
      <c r="AD191" s="15" t="str">
        <f aca="false">IFERROR(INDEX('Route of Administration'!$C$5:$C$155,MATCH($C191,'Route of Administration'!$A$5:$A$155,0)),"")</f>
        <v>IV</v>
      </c>
      <c r="AE191" s="14" t="str">
        <f aca="false">IFERROR(INDEX('Route of Administration'!$D$5:$D$155,MATCH($C191,'Route of Administration'!$A$5:$A$155,0)),"")</f>
        <v>No</v>
      </c>
    </row>
    <row r="192" customFormat="false" ht="41.75" hidden="false" customHeight="false" outlineLevel="0" collapsed="false">
      <c r="B192" s="15" t="n">
        <v>190</v>
      </c>
      <c r="C192" s="15" t="s">
        <v>262</v>
      </c>
      <c r="D192" s="15" t="s">
        <v>1919</v>
      </c>
      <c r="E192" s="15" t="s">
        <v>664</v>
      </c>
      <c r="F192" s="15" t="s">
        <v>1655</v>
      </c>
      <c r="G192" s="16" t="s">
        <v>1656</v>
      </c>
      <c r="H192" s="15" t="s">
        <v>1512</v>
      </c>
      <c r="I192" s="17" t="n">
        <v>345.31</v>
      </c>
      <c r="J192" s="15" t="n">
        <v>1</v>
      </c>
      <c r="K192" s="15" t="n">
        <v>146</v>
      </c>
      <c r="L192" s="18" t="n">
        <v>11366.06</v>
      </c>
      <c r="M192" s="16" t="s">
        <v>263</v>
      </c>
      <c r="N192" s="17" t="n">
        <v>345.31</v>
      </c>
      <c r="O192" s="15" t="s">
        <v>1506</v>
      </c>
      <c r="P192" s="15" t="s">
        <v>1672</v>
      </c>
      <c r="Q192" s="16" t="s">
        <v>1508</v>
      </c>
      <c r="R192" s="32" t="s">
        <v>1920</v>
      </c>
      <c r="S192" s="37" t="n">
        <f aca="false">IFERROR(INDEX('Injectable Value'!$Z$28:$Z$178,MATCH($C192,'Injectable Value'!$A$28:$A$178,0)),"")</f>
        <v>1</v>
      </c>
      <c r="T192" s="18" t="n">
        <f aca="false">IFERROR(ROUND(INDEX('Injectable Value'!$AA$28:$AA$178,MATCH($C192,'Injectable Value'!$A$28:$A$178,0)),1),"")</f>
        <v>11366.1</v>
      </c>
      <c r="U192" s="16" t="s">
        <v>709</v>
      </c>
      <c r="V192" s="15" t="n">
        <v>14</v>
      </c>
      <c r="W192" s="15" t="s">
        <v>707</v>
      </c>
      <c r="X192" s="15" t="s">
        <v>258</v>
      </c>
      <c r="Y192" s="15" t="s">
        <v>249</v>
      </c>
      <c r="Z192" s="16" t="str">
        <f aca="false">IFERROR(INDEX(Scoring!$K:$K,MATCH($C192&amp;"|"&amp;$E192,Scoring!$U:$U,0)),"")</f>
        <v>Prefilled only</v>
      </c>
      <c r="AA192" s="15" t="str">
        <f aca="false">IFERROR(INDEX(Scoring!$Q:$Q,MATCH($C192&amp;"|"&amp;$E192,Scoring!$U:$U,0)),"")</f>
        <v>Priority 1</v>
      </c>
      <c r="AB192" s="15" t="str">
        <f aca="false">IFERROR(INDEX(Scoring!$AK:$AK,MATCH($C192&amp;"|"&amp;$E192,Scoring!$U:$U,0)),"")</f>
        <v>Priority 2</v>
      </c>
      <c r="AC192" s="18" t="n">
        <f aca="false">IFERROR(INDEX(Scoring!$M:$M,MATCH($C192&amp;"|"&amp;$E192,Scoring!$U:$U,0)),"")</f>
        <v>146</v>
      </c>
      <c r="AD192" s="15" t="str">
        <f aca="false">IFERROR(INDEX('Route of Administration'!$C$5:$C$155,MATCH($C192,'Route of Administration'!$A$5:$A$155,0)),"")</f>
        <v>IM</v>
      </c>
      <c r="AE192" s="14" t="str">
        <f aca="false">IFERROR(INDEX('Route of Administration'!$D$5:$D$155,MATCH($C192,'Route of Administration'!$A$5:$A$155,0)),"")</f>
        <v>Yes</v>
      </c>
    </row>
    <row r="193" customFormat="false" ht="55.2" hidden="false" customHeight="false" outlineLevel="0" collapsed="false">
      <c r="B193" s="15" t="n">
        <v>191</v>
      </c>
      <c r="C193" s="15" t="s">
        <v>635</v>
      </c>
      <c r="D193" s="15" t="s">
        <v>635</v>
      </c>
      <c r="E193" s="15" t="s">
        <v>664</v>
      </c>
      <c r="F193" s="15" t="s">
        <v>1732</v>
      </c>
      <c r="G193" s="16" t="s">
        <v>1855</v>
      </c>
      <c r="H193" s="15" t="s">
        <v>1505</v>
      </c>
      <c r="I193" s="17" t="n">
        <v>78.84</v>
      </c>
      <c r="J193" s="15" t="n">
        <v>1</v>
      </c>
      <c r="K193" s="15" t="n">
        <v>346</v>
      </c>
      <c r="L193" s="18" t="n">
        <v>32830.17</v>
      </c>
      <c r="M193" s="16" t="s">
        <v>636</v>
      </c>
      <c r="N193" s="17" t="n">
        <v>78.84</v>
      </c>
      <c r="O193" s="15" t="s">
        <v>1506</v>
      </c>
      <c r="P193" s="15" t="s">
        <v>1672</v>
      </c>
      <c r="Q193" s="16" t="s">
        <v>1508</v>
      </c>
      <c r="R193" s="32" t="s">
        <v>1921</v>
      </c>
      <c r="S193" s="37" t="n">
        <f aca="false">IFERROR(INDEX('Injectable Value'!$Z$28:$Z$178,MATCH($C193,'Injectable Value'!$A$28:$A$178,0)),"")</f>
        <v>1</v>
      </c>
      <c r="T193" s="18" t="n">
        <f aca="false">IFERROR(ROUND(INDEX('Injectable Value'!$AA$28:$AA$178,MATCH($C193,'Injectable Value'!$A$28:$A$178,0)),1),"")</f>
        <v>32830.2</v>
      </c>
      <c r="U193" s="16" t="s">
        <v>731</v>
      </c>
      <c r="V193" s="15" t="n">
        <v>21</v>
      </c>
      <c r="W193" s="15" t="s">
        <v>729</v>
      </c>
      <c r="X193" s="15" t="s">
        <v>248</v>
      </c>
      <c r="Y193" s="15" t="s">
        <v>249</v>
      </c>
      <c r="Z193" s="16" t="str">
        <f aca="false">IFERROR(INDEX(Scoring!$K:$K,MATCH($C193&amp;"|"&amp;$E193,Scoring!$U:$U,0)),"")</f>
        <v/>
      </c>
      <c r="AA193" s="15" t="str">
        <f aca="false">IFERROR(INDEX(Scoring!$Q:$Q,MATCH($C193&amp;"|"&amp;$E193,Scoring!$U:$U,0)),"")</f>
        <v>Excluded – IV only</v>
      </c>
      <c r="AB193" s="15" t="str">
        <f aca="false">IFERROR(INDEX(Scoring!$AK:$AK,MATCH($C193&amp;"|"&amp;$E193,Scoring!$U:$U,0)),"")</f>
        <v>Excluded – IV only</v>
      </c>
      <c r="AC193" s="18" t="n">
        <f aca="false">IFERROR(INDEX(Scoring!$M:$M,MATCH($C193&amp;"|"&amp;$E193,Scoring!$U:$U,0)),"")</f>
        <v>346</v>
      </c>
      <c r="AD193" s="15" t="str">
        <f aca="false">IFERROR(INDEX('Route of Administration'!$C$5:$C$155,MATCH($C193,'Route of Administration'!$A$5:$A$155,0)),"")</f>
        <v>IV</v>
      </c>
      <c r="AE193" s="14" t="str">
        <f aca="false">IFERROR(INDEX('Route of Administration'!$D$5:$D$155,MATCH($C193,'Route of Administration'!$A$5:$A$155,0)),"")</f>
        <v>No</v>
      </c>
    </row>
    <row r="194" customFormat="false" ht="28.35" hidden="false" customHeight="false" outlineLevel="0" collapsed="false">
      <c r="B194" s="15" t="n">
        <v>192</v>
      </c>
      <c r="C194" s="15" t="s">
        <v>694</v>
      </c>
      <c r="D194" s="15" t="s">
        <v>694</v>
      </c>
      <c r="E194" s="15" t="s">
        <v>664</v>
      </c>
      <c r="F194" s="15" t="s">
        <v>1922</v>
      </c>
      <c r="G194" s="16" t="s">
        <v>1923</v>
      </c>
      <c r="H194" s="15" t="s">
        <v>1505</v>
      </c>
      <c r="I194" s="17" t="n">
        <v>429.52</v>
      </c>
      <c r="J194" s="15" t="n">
        <v>1</v>
      </c>
      <c r="K194" s="15" t="n">
        <v>42</v>
      </c>
      <c r="L194" s="18" t="n">
        <v>1874.63</v>
      </c>
      <c r="M194" s="16" t="s">
        <v>695</v>
      </c>
      <c r="N194" s="17" t="n">
        <v>429.52</v>
      </c>
      <c r="O194" s="15" t="s">
        <v>1506</v>
      </c>
      <c r="P194" s="15" t="s">
        <v>1672</v>
      </c>
      <c r="Q194" s="16" t="s">
        <v>1508</v>
      </c>
      <c r="R194" s="32" t="s">
        <v>1924</v>
      </c>
      <c r="S194" s="37" t="n">
        <f aca="false">IFERROR(INDEX('Injectable Value'!$Z$28:$Z$178,MATCH($C194,'Injectable Value'!$A$28:$A$178,0)),"")</f>
        <v>1</v>
      </c>
      <c r="T194" s="18" t="n">
        <f aca="false">IFERROR(ROUND(INDEX('Injectable Value'!$AA$28:$AA$178,MATCH($C194,'Injectable Value'!$A$28:$A$178,0)),1),"")</f>
        <v>1874.6</v>
      </c>
      <c r="U194" s="16" t="s">
        <v>700</v>
      </c>
      <c r="V194" s="15" t="n">
        <v>8</v>
      </c>
      <c r="W194" s="15" t="s">
        <v>696</v>
      </c>
      <c r="X194" s="15" t="s">
        <v>248</v>
      </c>
      <c r="Y194" s="15" t="s">
        <v>249</v>
      </c>
      <c r="Z194" s="16" t="str">
        <f aca="false">IFERROR(INDEX(Scoring!$K:$K,MATCH($C194&amp;"|"&amp;$E194,Scoring!$U:$U,0)),"")</f>
        <v>Cancer drug (cytotoxic) – less relevant</v>
      </c>
      <c r="AA194" s="15" t="str">
        <f aca="false">IFERROR(INDEX(Scoring!$Q:$Q,MATCH($C194&amp;"|"&amp;$E194,Scoring!$U:$U,0)),"")</f>
        <v>Excluded – IV only</v>
      </c>
      <c r="AB194" s="15" t="str">
        <f aca="false">IFERROR(INDEX(Scoring!$AK:$AK,MATCH($C194&amp;"|"&amp;$E194,Scoring!$U:$U,0)),"")</f>
        <v>Excluded – IV only</v>
      </c>
      <c r="AC194" s="18" t="n">
        <f aca="false">IFERROR(INDEX(Scoring!$M:$M,MATCH($C194&amp;"|"&amp;$E194,Scoring!$U:$U,0)),"")</f>
        <v>42</v>
      </c>
      <c r="AD194" s="15" t="str">
        <f aca="false">IFERROR(INDEX('Route of Administration'!$C$5:$C$155,MATCH($C194,'Route of Administration'!$A$5:$A$155,0)),"")</f>
        <v>IV</v>
      </c>
      <c r="AE194" s="14" t="str">
        <f aca="false">IFERROR(INDEX('Route of Administration'!$D$5:$D$155,MATCH($C194,'Route of Administration'!$A$5:$A$155,0)),"")</f>
        <v>No</v>
      </c>
    </row>
    <row r="195" customFormat="false" ht="95.5" hidden="false" customHeight="false" outlineLevel="0" collapsed="false">
      <c r="B195" s="15" t="n">
        <v>193</v>
      </c>
      <c r="C195" s="15" t="s">
        <v>296</v>
      </c>
      <c r="D195" s="15" t="s">
        <v>1925</v>
      </c>
      <c r="E195" s="15" t="s">
        <v>664</v>
      </c>
      <c r="F195" s="15" t="s">
        <v>1661</v>
      </c>
      <c r="G195" s="16" t="s">
        <v>1665</v>
      </c>
      <c r="H195" s="15" t="s">
        <v>1505</v>
      </c>
      <c r="I195" s="17" t="n">
        <v>360.71</v>
      </c>
      <c r="J195" s="15" t="n">
        <v>1</v>
      </c>
      <c r="K195" s="15" t="n">
        <v>762</v>
      </c>
      <c r="L195" s="18" t="n">
        <v>50865.56</v>
      </c>
      <c r="M195" s="16" t="s">
        <v>297</v>
      </c>
      <c r="N195" s="17" t="n">
        <v>360.71</v>
      </c>
      <c r="O195" s="15" t="s">
        <v>1506</v>
      </c>
      <c r="P195" s="15" t="s">
        <v>1507</v>
      </c>
      <c r="Q195" s="16" t="s">
        <v>1508</v>
      </c>
      <c r="R195" s="32" t="s">
        <v>1663</v>
      </c>
      <c r="S195" s="37" t="n">
        <f aca="false">IFERROR(INDEX('Injectable Value'!$Z$28:$Z$178,MATCH($C195,'Injectable Value'!$A$28:$A$178,0)),"")</f>
        <v>0.829278792417718</v>
      </c>
      <c r="T195" s="18" t="n">
        <f aca="false">IFERROR(ROUND(INDEX('Injectable Value'!$AA$28:$AA$178,MATCH($C195,'Injectable Value'!$A$28:$A$178,0)),1),"")</f>
        <v>42181.7</v>
      </c>
      <c r="U195" s="16" t="s">
        <v>667</v>
      </c>
      <c r="V195" s="15" t="n">
        <v>34</v>
      </c>
      <c r="W195" s="15" t="s">
        <v>663</v>
      </c>
      <c r="X195" s="15" t="s">
        <v>248</v>
      </c>
      <c r="Y195" s="15" t="s">
        <v>277</v>
      </c>
      <c r="Z195" s="16" t="str">
        <f aca="false">IFERROR(INDEX(Scoring!$K:$K,MATCH($C195&amp;"|"&amp;$E195,Scoring!$U:$U,0)),"")</f>
        <v>Cancer drug (cytotoxic) – less relevant; Reconstitution</v>
      </c>
      <c r="AA195" s="15" t="str">
        <f aca="false">IFERROR(INDEX(Scoring!$Q:$Q,MATCH($C195&amp;"|"&amp;$E195,Scoring!$U:$U,0)),"")</f>
        <v>Priority 1</v>
      </c>
      <c r="AB195" s="15" t="str">
        <f aca="false">IFERROR(INDEX(Scoring!$AK:$AK,MATCH($C195&amp;"|"&amp;$E195,Scoring!$U:$U,0)),"")</f>
        <v>Priority 1</v>
      </c>
      <c r="AC195" s="18" t="n">
        <f aca="false">IFERROR(INDEX(Scoring!$M:$M,MATCH($C195&amp;"|"&amp;$E195,Scoring!$U:$U,0)),"")</f>
        <v>632</v>
      </c>
      <c r="AD195" s="15" t="str">
        <f aca="false">IFERROR(INDEX('Route of Administration'!$C$5:$C$155,MATCH($C195,'Route of Administration'!$A$5:$A$155,0)),"")</f>
        <v>IV, SC</v>
      </c>
      <c r="AE195" s="14" t="str">
        <f aca="false">IFERROR(INDEX('Route of Administration'!$D$5:$D$155,MATCH($C195,'Route of Administration'!$A$5:$A$155,0)),"")</f>
        <v>Yes</v>
      </c>
    </row>
    <row r="196" customFormat="false" ht="95.5" hidden="false" customHeight="false" outlineLevel="0" collapsed="false">
      <c r="B196" s="15" t="n">
        <v>194</v>
      </c>
      <c r="C196" s="15" t="s">
        <v>296</v>
      </c>
      <c r="D196" s="15" t="s">
        <v>1925</v>
      </c>
      <c r="E196" s="15" t="s">
        <v>664</v>
      </c>
      <c r="F196" s="15" t="s">
        <v>1671</v>
      </c>
      <c r="G196" s="16" t="s">
        <v>1662</v>
      </c>
      <c r="H196" s="15" t="s">
        <v>1505</v>
      </c>
      <c r="I196" s="17" t="n">
        <v>397.421</v>
      </c>
      <c r="J196" s="15" t="n">
        <v>30</v>
      </c>
      <c r="K196" s="15" t="n">
        <v>762</v>
      </c>
      <c r="L196" s="18" t="n">
        <v>50865.56</v>
      </c>
      <c r="M196" s="16" t="s">
        <v>297</v>
      </c>
      <c r="N196" s="17" t="n">
        <v>397.421</v>
      </c>
      <c r="O196" s="15" t="s">
        <v>1506</v>
      </c>
      <c r="P196" s="15" t="s">
        <v>1672</v>
      </c>
      <c r="Q196" s="16" t="s">
        <v>1508</v>
      </c>
      <c r="R196" s="32" t="s">
        <v>1673</v>
      </c>
      <c r="S196" s="37" t="n">
        <f aca="false">IFERROR(INDEX('Injectable Value'!$Z$28:$Z$178,MATCH($C196,'Injectable Value'!$A$28:$A$178,0)),"")</f>
        <v>0.829278792417718</v>
      </c>
      <c r="T196" s="18" t="n">
        <f aca="false">IFERROR(ROUND(INDEX('Injectable Value'!$AA$28:$AA$178,MATCH($C196,'Injectable Value'!$A$28:$A$178,0)),1),"")</f>
        <v>42181.7</v>
      </c>
      <c r="U196" s="16" t="s">
        <v>667</v>
      </c>
      <c r="V196" s="15" t="n">
        <v>34</v>
      </c>
      <c r="W196" s="15" t="s">
        <v>663</v>
      </c>
      <c r="X196" s="15" t="s">
        <v>248</v>
      </c>
      <c r="Y196" s="15" t="s">
        <v>299</v>
      </c>
      <c r="Z196" s="16" t="str">
        <f aca="false">IFERROR(INDEX(Scoring!$K:$K,MATCH($C196&amp;"|"&amp;$E196,Scoring!$U:$U,0)),"")</f>
        <v>Cancer drug (cytotoxic) – less relevant; Reconstitution</v>
      </c>
      <c r="AA196" s="15" t="str">
        <f aca="false">IFERROR(INDEX(Scoring!$Q:$Q,MATCH($C196&amp;"|"&amp;$E196,Scoring!$U:$U,0)),"")</f>
        <v>Priority 1</v>
      </c>
      <c r="AB196" s="15" t="str">
        <f aca="false">IFERROR(INDEX(Scoring!$AK:$AK,MATCH($C196&amp;"|"&amp;$E196,Scoring!$U:$U,0)),"")</f>
        <v>Priority 1</v>
      </c>
      <c r="AC196" s="18" t="n">
        <f aca="false">IFERROR(INDEX(Scoring!$M:$M,MATCH($C196&amp;"|"&amp;$E196,Scoring!$U:$U,0)),"")</f>
        <v>632</v>
      </c>
      <c r="AD196" s="15" t="str">
        <f aca="false">IFERROR(INDEX('Route of Administration'!$C$5:$C$155,MATCH($C196,'Route of Administration'!$A$5:$A$155,0)),"")</f>
        <v>IV, SC</v>
      </c>
      <c r="AE196" s="14" t="str">
        <f aca="false">IFERROR(INDEX('Route of Administration'!$D$5:$D$155,MATCH($C196,'Route of Administration'!$A$5:$A$155,0)),"")</f>
        <v>Yes</v>
      </c>
    </row>
    <row r="197" customFormat="false" ht="41.75" hidden="false" customHeight="false" outlineLevel="0" collapsed="false">
      <c r="B197" s="15" t="n">
        <v>195</v>
      </c>
      <c r="C197" s="15" t="s">
        <v>305</v>
      </c>
      <c r="D197" s="15" t="s">
        <v>305</v>
      </c>
      <c r="E197" s="15" t="s">
        <v>664</v>
      </c>
      <c r="F197" s="15" t="s">
        <v>1675</v>
      </c>
      <c r="G197" s="16" t="s">
        <v>1653</v>
      </c>
      <c r="H197" s="15" t="s">
        <v>1505</v>
      </c>
      <c r="I197" s="17" t="n">
        <v>1444.1174</v>
      </c>
      <c r="J197" s="15" t="n">
        <v>29</v>
      </c>
      <c r="K197" s="15" t="n">
        <v>905</v>
      </c>
      <c r="L197" s="18" t="n">
        <v>28093.38</v>
      </c>
      <c r="M197" s="16" t="s">
        <v>306</v>
      </c>
      <c r="N197" s="17" t="n">
        <v>1444.1174</v>
      </c>
      <c r="O197" s="15" t="s">
        <v>1506</v>
      </c>
      <c r="P197" s="15" t="s">
        <v>1672</v>
      </c>
      <c r="Q197" s="16" t="s">
        <v>1508</v>
      </c>
      <c r="R197" s="32" t="s">
        <v>1673</v>
      </c>
      <c r="S197" s="37" t="n">
        <f aca="false">IFERROR(INDEX('Injectable Value'!$Z$28:$Z$178,MATCH($C197,'Injectable Value'!$A$28:$A$178,0)),"")</f>
        <v>1</v>
      </c>
      <c r="T197" s="18" t="n">
        <f aca="false">IFERROR(ROUND(INDEX('Injectable Value'!$AA$28:$AA$178,MATCH($C197,'Injectable Value'!$A$28:$A$178,0)),1),"")</f>
        <v>28093.4</v>
      </c>
      <c r="U197" s="16" t="s">
        <v>676</v>
      </c>
      <c r="V197" s="15" t="n">
        <v>18</v>
      </c>
      <c r="W197" s="15" t="s">
        <v>673</v>
      </c>
      <c r="X197" s="15" t="s">
        <v>248</v>
      </c>
      <c r="Y197" s="15" t="s">
        <v>299</v>
      </c>
      <c r="Z197" s="16" t="str">
        <f aca="false">IFERROR(INDEX(Scoring!$K:$K,MATCH($C197&amp;"|"&amp;$E197,Scoring!$U:$U,0)),"")</f>
        <v>Cancer drug (cytotoxic) – less relevant; Reconstitution</v>
      </c>
      <c r="AA197" s="15" t="str">
        <f aca="false">IFERROR(INDEX(Scoring!$Q:$Q,MATCH($C197&amp;"|"&amp;$E197,Scoring!$U:$U,0)),"")</f>
        <v>Priority 1</v>
      </c>
      <c r="AB197" s="15" t="str">
        <f aca="false">IFERROR(INDEX(Scoring!$AK:$AK,MATCH($C197&amp;"|"&amp;$E197,Scoring!$U:$U,0)),"")</f>
        <v>Priority 1</v>
      </c>
      <c r="AC197" s="18" t="n">
        <f aca="false">IFERROR(INDEX(Scoring!$M:$M,MATCH($C197&amp;"|"&amp;$E197,Scoring!$U:$U,0)),"")</f>
        <v>905</v>
      </c>
      <c r="AD197" s="15" t="str">
        <f aca="false">IFERROR(INDEX('Route of Administration'!$C$5:$C$155,MATCH($C197,'Route of Administration'!$A$5:$A$155,0)),"")</f>
        <v>IV, SC</v>
      </c>
      <c r="AE197" s="14" t="str">
        <f aca="false">IFERROR(INDEX('Route of Administration'!$D$5:$D$155,MATCH($C197,'Route of Administration'!$A$5:$A$155,0)),"")</f>
        <v>Yes</v>
      </c>
    </row>
    <row r="198" customFormat="false" ht="28.35" hidden="false" customHeight="false" outlineLevel="0" collapsed="false">
      <c r="B198" s="15" t="n">
        <v>196</v>
      </c>
      <c r="C198" s="15" t="s">
        <v>348</v>
      </c>
      <c r="D198" s="15" t="s">
        <v>1926</v>
      </c>
      <c r="E198" s="15" t="s">
        <v>664</v>
      </c>
      <c r="F198" s="15" t="s">
        <v>1927</v>
      </c>
      <c r="G198" s="16" t="s">
        <v>1719</v>
      </c>
      <c r="H198" s="15" t="s">
        <v>1505</v>
      </c>
      <c r="I198" s="17" t="n">
        <v>4.9946</v>
      </c>
      <c r="J198" s="15" t="n">
        <v>27</v>
      </c>
      <c r="K198" s="15" t="n">
        <v>843</v>
      </c>
      <c r="L198" s="18" t="n">
        <v>4508</v>
      </c>
      <c r="M198" s="16" t="s">
        <v>349</v>
      </c>
      <c r="N198" s="17" t="n">
        <v>4.9946</v>
      </c>
      <c r="O198" s="15" t="s">
        <v>1506</v>
      </c>
      <c r="P198" s="15" t="s">
        <v>1672</v>
      </c>
      <c r="Q198" s="16" t="s">
        <v>1508</v>
      </c>
      <c r="R198" s="32" t="s">
        <v>1928</v>
      </c>
      <c r="S198" s="37" t="n">
        <f aca="false">IFERROR(INDEX('Injectable Value'!$Z$28:$Z$178,MATCH($C198,'Injectable Value'!$A$28:$A$178,0)),"")</f>
        <v>0.858739397335643</v>
      </c>
      <c r="T198" s="18" t="n">
        <f aca="false">IFERROR(ROUND(INDEX('Injectable Value'!$AA$28:$AA$178,MATCH($C198,'Injectable Value'!$A$28:$A$178,0)),1),"")</f>
        <v>3871.2</v>
      </c>
      <c r="U198" s="16" t="s">
        <v>683</v>
      </c>
      <c r="V198" s="15" t="n">
        <v>5</v>
      </c>
      <c r="W198" s="15" t="s">
        <v>680</v>
      </c>
      <c r="X198" s="15" t="s">
        <v>248</v>
      </c>
      <c r="Y198" s="15" t="s">
        <v>249</v>
      </c>
      <c r="Z198" s="16" t="str">
        <f aca="false">IFERROR(INDEX(Scoring!$K:$K,MATCH($C198&amp;"|"&amp;$E198,Scoring!$U:$U,0)),"")</f>
        <v>Cancer drug (cytotoxic) – less relevant</v>
      </c>
      <c r="AA198" s="15" t="str">
        <f aca="false">IFERROR(INDEX(Scoring!$Q:$Q,MATCH($C198&amp;"|"&amp;$E198,Scoring!$U:$U,0)),"")</f>
        <v>Excluded – IV only</v>
      </c>
      <c r="AB198" s="15" t="str">
        <f aca="false">IFERROR(INDEX(Scoring!$AK:$AK,MATCH($C198&amp;"|"&amp;$E198,Scoring!$U:$U,0)),"")</f>
        <v>Excluded – IV only</v>
      </c>
      <c r="AC198" s="18" t="n">
        <f aca="false">IFERROR(INDEX(Scoring!$M:$M,MATCH($C198&amp;"|"&amp;$E198,Scoring!$U:$U,0)),"")</f>
        <v>724</v>
      </c>
      <c r="AD198" s="15" t="str">
        <f aca="false">IFERROR(INDEX('Route of Administration'!$C$5:$C$155,MATCH($C198,'Route of Administration'!$A$5:$A$155,0)),"")</f>
        <v>IV</v>
      </c>
      <c r="AE198" s="14" t="str">
        <f aca="false">IFERROR(INDEX('Route of Administration'!$D$5:$D$155,MATCH($C198,'Route of Administration'!$A$5:$A$155,0)),"")</f>
        <v>No</v>
      </c>
    </row>
    <row r="199" customFormat="false" ht="41.75" hidden="false" customHeight="false" outlineLevel="0" collapsed="false">
      <c r="B199" s="15" t="n">
        <v>197</v>
      </c>
      <c r="C199" s="15" t="s">
        <v>356</v>
      </c>
      <c r="D199" s="15" t="s">
        <v>1929</v>
      </c>
      <c r="E199" s="15" t="s">
        <v>664</v>
      </c>
      <c r="F199" s="15" t="s">
        <v>1688</v>
      </c>
      <c r="G199" s="16" t="s">
        <v>1689</v>
      </c>
      <c r="H199" s="15" t="s">
        <v>1505</v>
      </c>
      <c r="I199" s="17" t="n">
        <v>100.4344</v>
      </c>
      <c r="J199" s="15" t="n">
        <v>28</v>
      </c>
      <c r="K199" s="15" t="n">
        <v>312</v>
      </c>
      <c r="L199" s="18" t="n">
        <v>59827.18</v>
      </c>
      <c r="M199" s="16" t="s">
        <v>357</v>
      </c>
      <c r="N199" s="17" t="n">
        <v>100.4344</v>
      </c>
      <c r="O199" s="15" t="s">
        <v>1506</v>
      </c>
      <c r="P199" s="15" t="s">
        <v>1930</v>
      </c>
      <c r="Q199" s="16" t="s">
        <v>1508</v>
      </c>
      <c r="R199" s="15"/>
      <c r="S199" s="37" t="n">
        <f aca="false">IFERROR(INDEX('Injectable Value'!$Z$28:$Z$178,MATCH($C199,'Injectable Value'!$A$28:$A$178,0)),"")</f>
        <v>1</v>
      </c>
      <c r="T199" s="18" t="n">
        <f aca="false">IFERROR(ROUND(INDEX('Injectable Value'!$AA$28:$AA$178,MATCH($C199,'Injectable Value'!$A$28:$A$178,0)),1),"")</f>
        <v>59827.2</v>
      </c>
      <c r="U199" s="16" t="s">
        <v>687</v>
      </c>
      <c r="V199" s="15" t="n">
        <v>15</v>
      </c>
      <c r="W199" s="15" t="s">
        <v>684</v>
      </c>
      <c r="X199" s="15" t="s">
        <v>248</v>
      </c>
      <c r="Y199" s="15" t="s">
        <v>299</v>
      </c>
      <c r="Z199" s="16" t="str">
        <f aca="false">IFERROR(INDEX(Scoring!$K:$K,MATCH($C199&amp;"|"&amp;$E199,Scoring!$U:$U,0)),"")</f>
        <v>Reconstitution</v>
      </c>
      <c r="AA199" s="15" t="str">
        <f aca="false">IFERROR(INDEX(Scoring!$Q:$Q,MATCH($C199&amp;"|"&amp;$E199,Scoring!$U:$U,0)),"")</f>
        <v>Excluded – IV only</v>
      </c>
      <c r="AB199" s="15" t="str">
        <f aca="false">IFERROR(INDEX(Scoring!$AK:$AK,MATCH($C199&amp;"|"&amp;$E199,Scoring!$U:$U,0)),"")</f>
        <v>Excluded – IV only</v>
      </c>
      <c r="AC199" s="18" t="n">
        <f aca="false">IFERROR(INDEX(Scoring!$M:$M,MATCH($C199&amp;"|"&amp;$E199,Scoring!$U:$U,0)),"")</f>
        <v>312</v>
      </c>
      <c r="AD199" s="15" t="str">
        <f aca="false">IFERROR(INDEX('Route of Administration'!$C$5:$C$155,MATCH($C199,'Route of Administration'!$A$5:$A$155,0)),"")</f>
        <v>IV</v>
      </c>
      <c r="AE199" s="14" t="str">
        <f aca="false">IFERROR(INDEX('Route of Administration'!$D$5:$D$155,MATCH($C199,'Route of Administration'!$A$5:$A$155,0)),"")</f>
        <v>No</v>
      </c>
    </row>
    <row r="200" customFormat="false" ht="41.75" hidden="false" customHeight="false" outlineLevel="0" collapsed="false">
      <c r="B200" s="15" t="n">
        <v>198</v>
      </c>
      <c r="C200" s="15" t="s">
        <v>694</v>
      </c>
      <c r="D200" s="15" t="s">
        <v>1931</v>
      </c>
      <c r="E200" s="15" t="s">
        <v>664</v>
      </c>
      <c r="F200" s="15" t="s">
        <v>1932</v>
      </c>
      <c r="G200" s="16" t="s">
        <v>1933</v>
      </c>
      <c r="H200" s="15" t="s">
        <v>1505</v>
      </c>
      <c r="I200" s="17" t="n">
        <v>471.2665</v>
      </c>
      <c r="J200" s="15" t="n">
        <v>25</v>
      </c>
      <c r="K200" s="15" t="n">
        <v>42</v>
      </c>
      <c r="L200" s="18" t="n">
        <v>1874.63</v>
      </c>
      <c r="M200" s="16" t="s">
        <v>695</v>
      </c>
      <c r="N200" s="17" t="n">
        <v>471.2665</v>
      </c>
      <c r="O200" s="15" t="s">
        <v>1506</v>
      </c>
      <c r="P200" s="15" t="s">
        <v>1533</v>
      </c>
      <c r="Q200" s="16" t="s">
        <v>1508</v>
      </c>
      <c r="R200" s="32" t="s">
        <v>1673</v>
      </c>
      <c r="S200" s="37" t="n">
        <f aca="false">IFERROR(INDEX('Injectable Value'!$Z$28:$Z$178,MATCH($C200,'Injectable Value'!$A$28:$A$178,0)),"")</f>
        <v>1</v>
      </c>
      <c r="T200" s="18" t="n">
        <f aca="false">IFERROR(ROUND(INDEX('Injectable Value'!$AA$28:$AA$178,MATCH($C200,'Injectable Value'!$A$28:$A$178,0)),1),"")</f>
        <v>1874.6</v>
      </c>
      <c r="U200" s="16" t="s">
        <v>700</v>
      </c>
      <c r="V200" s="15" t="n">
        <v>8</v>
      </c>
      <c r="W200" s="15" t="s">
        <v>696</v>
      </c>
      <c r="X200" s="15" t="s">
        <v>248</v>
      </c>
      <c r="Y200" s="15" t="s">
        <v>249</v>
      </c>
      <c r="Z200" s="16" t="str">
        <f aca="false">IFERROR(INDEX(Scoring!$K:$K,MATCH($C200&amp;"|"&amp;$E200,Scoring!$U:$U,0)),"")</f>
        <v>Cancer drug (cytotoxic) – less relevant</v>
      </c>
      <c r="AA200" s="15" t="str">
        <f aca="false">IFERROR(INDEX(Scoring!$Q:$Q,MATCH($C200&amp;"|"&amp;$E200,Scoring!$U:$U,0)),"")</f>
        <v>Excluded – IV only</v>
      </c>
      <c r="AB200" s="15" t="str">
        <f aca="false">IFERROR(INDEX(Scoring!$AK:$AK,MATCH($C200&amp;"|"&amp;$E200,Scoring!$U:$U,0)),"")</f>
        <v>Excluded – IV only</v>
      </c>
      <c r="AC200" s="18" t="n">
        <f aca="false">IFERROR(INDEX(Scoring!$M:$M,MATCH($C200&amp;"|"&amp;$E200,Scoring!$U:$U,0)),"")</f>
        <v>42</v>
      </c>
      <c r="AD200" s="15" t="str">
        <f aca="false">IFERROR(INDEX('Route of Administration'!$C$5:$C$155,MATCH($C200,'Route of Administration'!$A$5:$A$155,0)),"")</f>
        <v>IV</v>
      </c>
      <c r="AE200" s="14" t="str">
        <f aca="false">IFERROR(INDEX('Route of Administration'!$D$5:$D$155,MATCH($C200,'Route of Administration'!$A$5:$A$155,0)),"")</f>
        <v>No</v>
      </c>
    </row>
    <row r="201" customFormat="false" ht="41.75" hidden="false" customHeight="false" outlineLevel="0" collapsed="false">
      <c r="B201" s="15" t="n">
        <v>199</v>
      </c>
      <c r="C201" s="15" t="s">
        <v>262</v>
      </c>
      <c r="D201" s="15" t="s">
        <v>1934</v>
      </c>
      <c r="E201" s="15" t="s">
        <v>664</v>
      </c>
      <c r="F201" s="15" t="s">
        <v>1698</v>
      </c>
      <c r="G201" s="16" t="s">
        <v>1699</v>
      </c>
      <c r="H201" s="15" t="s">
        <v>1512</v>
      </c>
      <c r="I201" s="17" t="n">
        <v>531.8684</v>
      </c>
      <c r="J201" s="15" t="n">
        <v>31</v>
      </c>
      <c r="K201" s="15" t="n">
        <v>146</v>
      </c>
      <c r="L201" s="18" t="n">
        <v>11366.06</v>
      </c>
      <c r="M201" s="16" t="s">
        <v>263</v>
      </c>
      <c r="N201" s="17" t="n">
        <v>531.8684</v>
      </c>
      <c r="O201" s="15" t="s">
        <v>1506</v>
      </c>
      <c r="P201" s="15" t="s">
        <v>1507</v>
      </c>
      <c r="Q201" s="16" t="s">
        <v>1508</v>
      </c>
      <c r="R201" s="32" t="s">
        <v>1673</v>
      </c>
      <c r="S201" s="37" t="n">
        <f aca="false">IFERROR(INDEX('Injectable Value'!$Z$28:$Z$178,MATCH($C201,'Injectable Value'!$A$28:$A$178,0)),"")</f>
        <v>1</v>
      </c>
      <c r="T201" s="18" t="n">
        <f aca="false">IFERROR(ROUND(INDEX('Injectable Value'!$AA$28:$AA$178,MATCH($C201,'Injectable Value'!$A$28:$A$178,0)),1),"")</f>
        <v>11366.1</v>
      </c>
      <c r="U201" s="16" t="s">
        <v>709</v>
      </c>
      <c r="V201" s="15" t="n">
        <v>14</v>
      </c>
      <c r="W201" s="15" t="s">
        <v>707</v>
      </c>
      <c r="X201" s="15" t="s">
        <v>258</v>
      </c>
      <c r="Y201" s="15" t="s">
        <v>249</v>
      </c>
      <c r="Z201" s="16" t="str">
        <f aca="false">IFERROR(INDEX(Scoring!$K:$K,MATCH($C201&amp;"|"&amp;$E201,Scoring!$U:$U,0)),"")</f>
        <v>Prefilled only</v>
      </c>
      <c r="AA201" s="15" t="str">
        <f aca="false">IFERROR(INDEX(Scoring!$Q:$Q,MATCH($C201&amp;"|"&amp;$E201,Scoring!$U:$U,0)),"")</f>
        <v>Priority 1</v>
      </c>
      <c r="AB201" s="15" t="str">
        <f aca="false">IFERROR(INDEX(Scoring!$AK:$AK,MATCH($C201&amp;"|"&amp;$E201,Scoring!$U:$U,0)),"")</f>
        <v>Priority 2</v>
      </c>
      <c r="AC201" s="18" t="n">
        <f aca="false">IFERROR(INDEX(Scoring!$M:$M,MATCH($C201&amp;"|"&amp;$E201,Scoring!$U:$U,0)),"")</f>
        <v>146</v>
      </c>
      <c r="AD201" s="15" t="str">
        <f aca="false">IFERROR(INDEX('Route of Administration'!$C$5:$C$155,MATCH($C201,'Route of Administration'!$A$5:$A$155,0)),"")</f>
        <v>IM</v>
      </c>
      <c r="AE201" s="14" t="str">
        <f aca="false">IFERROR(INDEX('Route of Administration'!$D$5:$D$155,MATCH($C201,'Route of Administration'!$A$5:$A$155,0)),"")</f>
        <v>Yes</v>
      </c>
    </row>
    <row r="202" customFormat="false" ht="15" hidden="false" customHeight="false" outlineLevel="0" collapsed="false">
      <c r="B202" s="15" t="n">
        <v>200</v>
      </c>
      <c r="C202" s="15" t="s">
        <v>434</v>
      </c>
      <c r="D202" s="15" t="s">
        <v>712</v>
      </c>
      <c r="E202" s="15" t="s">
        <v>664</v>
      </c>
      <c r="F202" s="15" t="s">
        <v>1935</v>
      </c>
      <c r="G202" s="16" t="s">
        <v>1936</v>
      </c>
      <c r="H202" s="15" t="s">
        <v>1512</v>
      </c>
      <c r="I202" s="17" t="n">
        <v>46.3526</v>
      </c>
      <c r="J202" s="15" t="n">
        <v>29</v>
      </c>
      <c r="K202" s="15" t="n">
        <v>116</v>
      </c>
      <c r="L202" s="18" t="n">
        <v>1162.12</v>
      </c>
      <c r="M202" s="16" t="s">
        <v>435</v>
      </c>
      <c r="N202" s="17" t="n">
        <v>46.3526</v>
      </c>
      <c r="O202" s="15" t="s">
        <v>1506</v>
      </c>
      <c r="P202" s="15" t="s">
        <v>1672</v>
      </c>
      <c r="Q202" s="16" t="s">
        <v>1508</v>
      </c>
      <c r="R202" s="32" t="s">
        <v>1937</v>
      </c>
      <c r="S202" s="37" t="n">
        <f aca="false">IFERROR(INDEX('Injectable Value'!$Z$28:$Z$178,MATCH($C202,'Injectable Value'!$A$28:$A$178,0)),"")</f>
        <v>0.444974105461394</v>
      </c>
      <c r="T202" s="18" t="n">
        <f aca="false">IFERROR(ROUND(INDEX('Injectable Value'!$AA$28:$AA$178,MATCH($C202,'Injectable Value'!$A$28:$A$178,0)),1),"")</f>
        <v>517.1</v>
      </c>
      <c r="U202" s="16" t="s">
        <v>422</v>
      </c>
      <c r="V202" s="15" t="n">
        <v>1</v>
      </c>
      <c r="W202" s="15" t="s">
        <v>418</v>
      </c>
      <c r="X202" s="15" t="s">
        <v>258</v>
      </c>
      <c r="Y202" s="15" t="s">
        <v>277</v>
      </c>
      <c r="Z202" s="16" t="str">
        <f aca="false">IFERROR(INDEX(Scoring!$K:$K,MATCH($C202&amp;"|"&amp;$E202,Scoring!$U:$U,0)),"")</f>
        <v>Prefilled only</v>
      </c>
      <c r="AA202" s="15" t="str">
        <f aca="false">IFERROR(INDEX(Scoring!$Q:$Q,MATCH($C202&amp;"|"&amp;$E202,Scoring!$U:$U,0)),"")</f>
        <v>Excluded – IV only</v>
      </c>
      <c r="AB202" s="15" t="str">
        <f aca="false">IFERROR(INDEX(Scoring!$AK:$AK,MATCH($C202&amp;"|"&amp;$E202,Scoring!$U:$U,0)),"")</f>
        <v>Excluded – IV only</v>
      </c>
      <c r="AC202" s="18" t="n">
        <f aca="false">IFERROR(INDEX(Scoring!$M:$M,MATCH($C202&amp;"|"&amp;$E202,Scoring!$U:$U,0)),"")</f>
        <v>52</v>
      </c>
      <c r="AD202" s="15" t="str">
        <f aca="false">IFERROR(INDEX('Route of Administration'!$C$5:$C$155,MATCH($C202,'Route of Administration'!$A$5:$A$155,0)),"")</f>
        <v>IV</v>
      </c>
      <c r="AE202" s="14" t="str">
        <f aca="false">IFERROR(INDEX('Route of Administration'!$D$5:$D$155,MATCH($C202,'Route of Administration'!$A$5:$A$155,0)),"")</f>
        <v>No</v>
      </c>
    </row>
    <row r="203" customFormat="false" ht="28.35" hidden="false" customHeight="false" outlineLevel="0" collapsed="false">
      <c r="B203" s="15" t="n">
        <v>201</v>
      </c>
      <c r="C203" s="15" t="s">
        <v>498</v>
      </c>
      <c r="D203" s="15" t="s">
        <v>1938</v>
      </c>
      <c r="E203" s="15" t="s">
        <v>664</v>
      </c>
      <c r="F203" s="15" t="s">
        <v>1939</v>
      </c>
      <c r="G203" s="16" t="s">
        <v>1691</v>
      </c>
      <c r="H203" s="15" t="s">
        <v>1505</v>
      </c>
      <c r="I203" s="17" t="n">
        <v>96.9427</v>
      </c>
      <c r="J203" s="15" t="n">
        <v>27</v>
      </c>
      <c r="K203" s="15" t="n">
        <v>119</v>
      </c>
      <c r="L203" s="18" t="n">
        <v>3113.83</v>
      </c>
      <c r="M203" s="16" t="s">
        <v>499</v>
      </c>
      <c r="N203" s="17" t="n">
        <v>96.9427</v>
      </c>
      <c r="O203" s="15" t="s">
        <v>1506</v>
      </c>
      <c r="P203" s="15" t="s">
        <v>1507</v>
      </c>
      <c r="Q203" s="16" t="s">
        <v>1508</v>
      </c>
      <c r="R203" s="32" t="s">
        <v>1673</v>
      </c>
      <c r="S203" s="37" t="n">
        <f aca="false">IFERROR(INDEX('Injectable Value'!$Z$28:$Z$178,MATCH($C203,'Injectable Value'!$A$28:$A$178,0)),"")</f>
        <v>0.899884259259259</v>
      </c>
      <c r="T203" s="18" t="n">
        <f aca="false">IFERROR(ROUND(INDEX('Injectable Value'!$AA$28:$AA$178,MATCH($C203,'Injectable Value'!$A$28:$A$178,0)),1),"")</f>
        <v>2802.1</v>
      </c>
      <c r="U203" s="16" t="s">
        <v>722</v>
      </c>
      <c r="V203" s="15" t="n">
        <v>5</v>
      </c>
      <c r="W203" s="15" t="s">
        <v>719</v>
      </c>
      <c r="X203" s="15" t="s">
        <v>248</v>
      </c>
      <c r="Y203" s="15" t="s">
        <v>249</v>
      </c>
      <c r="Z203" s="16" t="str">
        <f aca="false">IFERROR(INDEX(Scoring!$K:$K,MATCH($C203&amp;"|"&amp;$E203,Scoring!$U:$U,0)),"")</f>
        <v/>
      </c>
      <c r="AA203" s="15" t="str">
        <f aca="false">IFERROR(INDEX(Scoring!$Q:$Q,MATCH($C203&amp;"|"&amp;$E203,Scoring!$U:$U,0)),"")</f>
        <v>Excluded – IV only</v>
      </c>
      <c r="AB203" s="15" t="str">
        <f aca="false">IFERROR(INDEX(Scoring!$AK:$AK,MATCH($C203&amp;"|"&amp;$E203,Scoring!$U:$U,0)),"")</f>
        <v>Excluded – IV only</v>
      </c>
      <c r="AC203" s="18" t="n">
        <f aca="false">IFERROR(INDEX(Scoring!$M:$M,MATCH($C203&amp;"|"&amp;$E203,Scoring!$U:$U,0)),"")</f>
        <v>107</v>
      </c>
      <c r="AD203" s="15" t="str">
        <f aca="false">IFERROR(INDEX('Route of Administration'!$C$5:$C$155,MATCH($C203,'Route of Administration'!$A$5:$A$155,0)),"")</f>
        <v>IV</v>
      </c>
      <c r="AE203" s="14" t="str">
        <f aca="false">IFERROR(INDEX('Route of Administration'!$D$5:$D$155,MATCH($C203,'Route of Administration'!$A$5:$A$155,0)),"")</f>
        <v>No</v>
      </c>
    </row>
    <row r="204" customFormat="false" ht="55.2" hidden="false" customHeight="false" outlineLevel="0" collapsed="false">
      <c r="B204" s="15" t="n">
        <v>202</v>
      </c>
      <c r="C204" s="15" t="s">
        <v>635</v>
      </c>
      <c r="D204" s="15" t="s">
        <v>635</v>
      </c>
      <c r="E204" s="15" t="s">
        <v>664</v>
      </c>
      <c r="F204" s="15" t="s">
        <v>1940</v>
      </c>
      <c r="G204" s="16" t="s">
        <v>1855</v>
      </c>
      <c r="H204" s="15" t="s">
        <v>1505</v>
      </c>
      <c r="I204" s="17" t="n">
        <v>92.0498</v>
      </c>
      <c r="J204" s="15" t="n">
        <v>31</v>
      </c>
      <c r="K204" s="15" t="n">
        <v>346</v>
      </c>
      <c r="L204" s="18" t="n">
        <v>32830.17</v>
      </c>
      <c r="M204" s="16" t="s">
        <v>636</v>
      </c>
      <c r="N204" s="17" t="n">
        <v>92.0498</v>
      </c>
      <c r="O204" s="15" t="s">
        <v>1506</v>
      </c>
      <c r="P204" s="15" t="s">
        <v>1672</v>
      </c>
      <c r="Q204" s="16" t="s">
        <v>1508</v>
      </c>
      <c r="R204" s="32" t="s">
        <v>1673</v>
      </c>
      <c r="S204" s="37" t="n">
        <f aca="false">IFERROR(INDEX('Injectable Value'!$Z$28:$Z$178,MATCH($C204,'Injectable Value'!$A$28:$A$178,0)),"")</f>
        <v>1</v>
      </c>
      <c r="T204" s="18" t="n">
        <f aca="false">IFERROR(ROUND(INDEX('Injectable Value'!$AA$28:$AA$178,MATCH($C204,'Injectable Value'!$A$28:$A$178,0)),1),"")</f>
        <v>32830.2</v>
      </c>
      <c r="U204" s="16" t="s">
        <v>731</v>
      </c>
      <c r="V204" s="15" t="n">
        <v>21</v>
      </c>
      <c r="W204" s="15" t="s">
        <v>729</v>
      </c>
      <c r="X204" s="15" t="s">
        <v>248</v>
      </c>
      <c r="Y204" s="15" t="s">
        <v>249</v>
      </c>
      <c r="Z204" s="16" t="str">
        <f aca="false">IFERROR(INDEX(Scoring!$K:$K,MATCH($C204&amp;"|"&amp;$E204,Scoring!$U:$U,0)),"")</f>
        <v/>
      </c>
      <c r="AA204" s="15" t="str">
        <f aca="false">IFERROR(INDEX(Scoring!$Q:$Q,MATCH($C204&amp;"|"&amp;$E204,Scoring!$U:$U,0)),"")</f>
        <v>Excluded – IV only</v>
      </c>
      <c r="AB204" s="15" t="str">
        <f aca="false">IFERROR(INDEX(Scoring!$AK:$AK,MATCH($C204&amp;"|"&amp;$E204,Scoring!$U:$U,0)),"")</f>
        <v>Excluded – IV only</v>
      </c>
      <c r="AC204" s="18" t="n">
        <f aca="false">IFERROR(INDEX(Scoring!$M:$M,MATCH($C204&amp;"|"&amp;$E204,Scoring!$U:$U,0)),"")</f>
        <v>346</v>
      </c>
      <c r="AD204" s="15" t="str">
        <f aca="false">IFERROR(INDEX('Route of Administration'!$C$5:$C$155,MATCH($C204,'Route of Administration'!$A$5:$A$155,0)),"")</f>
        <v>IV</v>
      </c>
      <c r="AE204" s="14" t="str">
        <f aca="false">IFERROR(INDEX('Route of Administration'!$D$5:$D$155,MATCH($C204,'Route of Administration'!$A$5:$A$155,0)),"")</f>
        <v>No</v>
      </c>
    </row>
    <row r="205" customFormat="false" ht="55.2" hidden="false" customHeight="false" outlineLevel="0" collapsed="false">
      <c r="B205" s="15" t="n">
        <v>203</v>
      </c>
      <c r="C205" s="15" t="s">
        <v>635</v>
      </c>
      <c r="D205" s="15" t="s">
        <v>635</v>
      </c>
      <c r="E205" s="15" t="s">
        <v>664</v>
      </c>
      <c r="F205" s="15" t="s">
        <v>1940</v>
      </c>
      <c r="G205" s="16" t="s">
        <v>1855</v>
      </c>
      <c r="H205" s="15" t="s">
        <v>1505</v>
      </c>
      <c r="I205" s="17" t="n">
        <v>92.0498</v>
      </c>
      <c r="J205" s="15" t="n">
        <v>26</v>
      </c>
      <c r="K205" s="15" t="n">
        <v>346</v>
      </c>
      <c r="L205" s="18" t="n">
        <v>32830.17</v>
      </c>
      <c r="M205" s="16" t="s">
        <v>636</v>
      </c>
      <c r="N205" s="17" t="n">
        <v>92.0498</v>
      </c>
      <c r="O205" s="15" t="s">
        <v>1506</v>
      </c>
      <c r="P205" s="15" t="s">
        <v>1672</v>
      </c>
      <c r="Q205" s="16" t="s">
        <v>1508</v>
      </c>
      <c r="R205" s="32" t="s">
        <v>1673</v>
      </c>
      <c r="S205" s="37" t="n">
        <f aca="false">IFERROR(INDEX('Injectable Value'!$Z$28:$Z$178,MATCH($C205,'Injectable Value'!$A$28:$A$178,0)),"")</f>
        <v>1</v>
      </c>
      <c r="T205" s="18" t="n">
        <f aca="false">IFERROR(ROUND(INDEX('Injectable Value'!$AA$28:$AA$178,MATCH($C205,'Injectable Value'!$A$28:$A$178,0)),1),"")</f>
        <v>32830.2</v>
      </c>
      <c r="U205" s="16" t="s">
        <v>731</v>
      </c>
      <c r="V205" s="15" t="n">
        <v>21</v>
      </c>
      <c r="W205" s="15" t="s">
        <v>729</v>
      </c>
      <c r="X205" s="15" t="s">
        <v>248</v>
      </c>
      <c r="Y205" s="15" t="s">
        <v>249</v>
      </c>
      <c r="Z205" s="16" t="str">
        <f aca="false">IFERROR(INDEX(Scoring!$K:$K,MATCH($C205&amp;"|"&amp;$E205,Scoring!$U:$U,0)),"")</f>
        <v/>
      </c>
      <c r="AA205" s="15" t="str">
        <f aca="false">IFERROR(INDEX(Scoring!$Q:$Q,MATCH($C205&amp;"|"&amp;$E205,Scoring!$U:$U,0)),"")</f>
        <v>Excluded – IV only</v>
      </c>
      <c r="AB205" s="15" t="str">
        <f aca="false">IFERROR(INDEX(Scoring!$AK:$AK,MATCH($C205&amp;"|"&amp;$E205,Scoring!$U:$U,0)),"")</f>
        <v>Excluded – IV only</v>
      </c>
      <c r="AC205" s="18" t="n">
        <f aca="false">IFERROR(INDEX(Scoring!$M:$M,MATCH($C205&amp;"|"&amp;$E205,Scoring!$U:$U,0)),"")</f>
        <v>346</v>
      </c>
      <c r="AD205" s="15" t="str">
        <f aca="false">IFERROR(INDEX('Route of Administration'!$C$5:$C$155,MATCH($C205,'Route of Administration'!$A$5:$A$155,0)),"")</f>
        <v>IV</v>
      </c>
      <c r="AE205" s="14" t="str">
        <f aca="false">IFERROR(INDEX('Route of Administration'!$D$5:$D$155,MATCH($C205,'Route of Administration'!$A$5:$A$155,0)),"")</f>
        <v>No</v>
      </c>
    </row>
    <row r="206" customFormat="false" ht="41.75" hidden="false" customHeight="false" outlineLevel="0" collapsed="false">
      <c r="B206" s="15" t="n">
        <v>204</v>
      </c>
      <c r="C206" s="15" t="s">
        <v>305</v>
      </c>
      <c r="D206" s="15" t="s">
        <v>305</v>
      </c>
      <c r="E206" s="15" t="s">
        <v>664</v>
      </c>
      <c r="F206" s="15" t="s">
        <v>1941</v>
      </c>
      <c r="G206" s="16" t="s">
        <v>1942</v>
      </c>
      <c r="H206" s="15" t="s">
        <v>1505</v>
      </c>
      <c r="I206" s="17" t="n">
        <v>981.694</v>
      </c>
      <c r="J206" s="15" t="n">
        <v>1</v>
      </c>
      <c r="K206" s="15" t="n">
        <v>905</v>
      </c>
      <c r="L206" s="18" t="n">
        <v>28093.38</v>
      </c>
      <c r="M206" s="16" t="s">
        <v>306</v>
      </c>
      <c r="N206" s="17" t="n">
        <v>981.694</v>
      </c>
      <c r="O206" s="15" t="s">
        <v>1506</v>
      </c>
      <c r="P206" s="15" t="s">
        <v>1507</v>
      </c>
      <c r="Q206" s="16" t="s">
        <v>1508</v>
      </c>
      <c r="R206" s="32" t="s">
        <v>1726</v>
      </c>
      <c r="S206" s="37" t="n">
        <f aca="false">IFERROR(INDEX('Injectable Value'!$Z$28:$Z$178,MATCH($C206,'Injectable Value'!$A$28:$A$178,0)),"")</f>
        <v>1</v>
      </c>
      <c r="T206" s="18" t="n">
        <f aca="false">IFERROR(ROUND(INDEX('Injectable Value'!$AA$28:$AA$178,MATCH($C206,'Injectable Value'!$A$28:$A$178,0)),1),"")</f>
        <v>28093.4</v>
      </c>
      <c r="U206" s="16" t="s">
        <v>676</v>
      </c>
      <c r="V206" s="15" t="n">
        <v>18</v>
      </c>
      <c r="W206" s="15" t="s">
        <v>673</v>
      </c>
      <c r="X206" s="15" t="s">
        <v>248</v>
      </c>
      <c r="Y206" s="15" t="s">
        <v>277</v>
      </c>
      <c r="Z206" s="16" t="str">
        <f aca="false">IFERROR(INDEX(Scoring!$K:$K,MATCH($C206&amp;"|"&amp;$E206,Scoring!$U:$U,0)),"")</f>
        <v>Cancer drug (cytotoxic) – less relevant; Reconstitution</v>
      </c>
      <c r="AA206" s="15" t="str">
        <f aca="false">IFERROR(INDEX(Scoring!$Q:$Q,MATCH($C206&amp;"|"&amp;$E206,Scoring!$U:$U,0)),"")</f>
        <v>Priority 1</v>
      </c>
      <c r="AB206" s="15" t="str">
        <f aca="false">IFERROR(INDEX(Scoring!$AK:$AK,MATCH($C206&amp;"|"&amp;$E206,Scoring!$U:$U,0)),"")</f>
        <v>Priority 1</v>
      </c>
      <c r="AC206" s="18" t="n">
        <f aca="false">IFERROR(INDEX(Scoring!$M:$M,MATCH($C206&amp;"|"&amp;$E206,Scoring!$U:$U,0)),"")</f>
        <v>905</v>
      </c>
      <c r="AD206" s="15" t="str">
        <f aca="false">IFERROR(INDEX('Route of Administration'!$C$5:$C$155,MATCH($C206,'Route of Administration'!$A$5:$A$155,0)),"")</f>
        <v>IV, SC</v>
      </c>
      <c r="AE206" s="14" t="str">
        <f aca="false">IFERROR(INDEX('Route of Administration'!$D$5:$D$155,MATCH($C206,'Route of Administration'!$A$5:$A$155,0)),"")</f>
        <v>Yes</v>
      </c>
    </row>
    <row r="207" customFormat="false" ht="95.5" hidden="false" customHeight="false" outlineLevel="0" collapsed="false">
      <c r="B207" s="15" t="n">
        <v>205</v>
      </c>
      <c r="C207" s="15" t="s">
        <v>296</v>
      </c>
      <c r="D207" s="15" t="s">
        <v>296</v>
      </c>
      <c r="E207" s="15" t="s">
        <v>664</v>
      </c>
      <c r="F207" s="15" t="s">
        <v>1943</v>
      </c>
      <c r="G207" s="16" t="s">
        <v>1944</v>
      </c>
      <c r="H207" s="15" t="s">
        <v>1505</v>
      </c>
      <c r="I207" s="17" t="n">
        <v>398.335</v>
      </c>
      <c r="J207" s="15" t="n">
        <v>1</v>
      </c>
      <c r="K207" s="15" t="n">
        <v>762</v>
      </c>
      <c r="L207" s="18" t="n">
        <v>50865.56</v>
      </c>
      <c r="M207" s="16" t="s">
        <v>297</v>
      </c>
      <c r="N207" s="17" t="n">
        <v>398.335</v>
      </c>
      <c r="O207" s="15" t="s">
        <v>1506</v>
      </c>
      <c r="P207" s="15" t="s">
        <v>1507</v>
      </c>
      <c r="Q207" s="16" t="s">
        <v>1508</v>
      </c>
      <c r="R207" s="32" t="s">
        <v>1726</v>
      </c>
      <c r="S207" s="37" t="n">
        <f aca="false">IFERROR(INDEX('Injectable Value'!$Z$28:$Z$178,MATCH($C207,'Injectable Value'!$A$28:$A$178,0)),"")</f>
        <v>0.829278792417718</v>
      </c>
      <c r="T207" s="18" t="n">
        <f aca="false">IFERROR(ROUND(INDEX('Injectable Value'!$AA$28:$AA$178,MATCH($C207,'Injectable Value'!$A$28:$A$178,0)),1),"")</f>
        <v>42181.7</v>
      </c>
      <c r="U207" s="16" t="s">
        <v>667</v>
      </c>
      <c r="V207" s="15" t="n">
        <v>34</v>
      </c>
      <c r="W207" s="15" t="s">
        <v>663</v>
      </c>
      <c r="X207" s="15" t="s">
        <v>248</v>
      </c>
      <c r="Y207" s="15" t="s">
        <v>277</v>
      </c>
      <c r="Z207" s="16" t="str">
        <f aca="false">IFERROR(INDEX(Scoring!$K:$K,MATCH($C207&amp;"|"&amp;$E207,Scoring!$U:$U,0)),"")</f>
        <v>Cancer drug (cytotoxic) – less relevant; Reconstitution</v>
      </c>
      <c r="AA207" s="15" t="str">
        <f aca="false">IFERROR(INDEX(Scoring!$Q:$Q,MATCH($C207&amp;"|"&amp;$E207,Scoring!$U:$U,0)),"")</f>
        <v>Priority 1</v>
      </c>
      <c r="AB207" s="15" t="str">
        <f aca="false">IFERROR(INDEX(Scoring!$AK:$AK,MATCH($C207&amp;"|"&amp;$E207,Scoring!$U:$U,0)),"")</f>
        <v>Priority 1</v>
      </c>
      <c r="AC207" s="18" t="n">
        <f aca="false">IFERROR(INDEX(Scoring!$M:$M,MATCH($C207&amp;"|"&amp;$E207,Scoring!$U:$U,0)),"")</f>
        <v>632</v>
      </c>
      <c r="AD207" s="15" t="str">
        <f aca="false">IFERROR(INDEX('Route of Administration'!$C$5:$C$155,MATCH($C207,'Route of Administration'!$A$5:$A$155,0)),"")</f>
        <v>IV, SC</v>
      </c>
      <c r="AE207" s="14" t="str">
        <f aca="false">IFERROR(INDEX('Route of Administration'!$D$5:$D$155,MATCH($C207,'Route of Administration'!$A$5:$A$155,0)),"")</f>
        <v>Yes</v>
      </c>
    </row>
    <row r="208" customFormat="false" ht="41.75" hidden="false" customHeight="false" outlineLevel="0" collapsed="false">
      <c r="B208" s="15" t="n">
        <v>206</v>
      </c>
      <c r="C208" s="15" t="s">
        <v>356</v>
      </c>
      <c r="D208" s="15" t="s">
        <v>356</v>
      </c>
      <c r="E208" s="15" t="s">
        <v>664</v>
      </c>
      <c r="F208" s="15" t="s">
        <v>1727</v>
      </c>
      <c r="G208" s="16" t="s">
        <v>1945</v>
      </c>
      <c r="H208" s="15" t="s">
        <v>1505</v>
      </c>
      <c r="I208" s="17" t="n">
        <v>113.645</v>
      </c>
      <c r="J208" s="15" t="n">
        <v>1</v>
      </c>
      <c r="K208" s="15" t="n">
        <v>312</v>
      </c>
      <c r="L208" s="18" t="n">
        <v>59827.18</v>
      </c>
      <c r="M208" s="16" t="s">
        <v>357</v>
      </c>
      <c r="N208" s="17" t="n">
        <v>113.645</v>
      </c>
      <c r="O208" s="15" t="s">
        <v>1506</v>
      </c>
      <c r="P208" s="15" t="s">
        <v>1672</v>
      </c>
      <c r="Q208" s="16" t="s">
        <v>1508</v>
      </c>
      <c r="R208" s="32" t="s">
        <v>1946</v>
      </c>
      <c r="S208" s="37" t="n">
        <f aca="false">IFERROR(INDEX('Injectable Value'!$Z$28:$Z$178,MATCH($C208,'Injectable Value'!$A$28:$A$178,0)),"")</f>
        <v>1</v>
      </c>
      <c r="T208" s="18" t="n">
        <f aca="false">IFERROR(ROUND(INDEX('Injectable Value'!$AA$28:$AA$178,MATCH($C208,'Injectable Value'!$A$28:$A$178,0)),1),"")</f>
        <v>59827.2</v>
      </c>
      <c r="U208" s="16" t="s">
        <v>687</v>
      </c>
      <c r="V208" s="15" t="n">
        <v>15</v>
      </c>
      <c r="W208" s="15" t="s">
        <v>684</v>
      </c>
      <c r="X208" s="15" t="s">
        <v>248</v>
      </c>
      <c r="Y208" s="15" t="s">
        <v>299</v>
      </c>
      <c r="Z208" s="16" t="str">
        <f aca="false">IFERROR(INDEX(Scoring!$K:$K,MATCH($C208&amp;"|"&amp;$E208,Scoring!$U:$U,0)),"")</f>
        <v>Reconstitution</v>
      </c>
      <c r="AA208" s="15" t="str">
        <f aca="false">IFERROR(INDEX(Scoring!$Q:$Q,MATCH($C208&amp;"|"&amp;$E208,Scoring!$U:$U,0)),"")</f>
        <v>Excluded – IV only</v>
      </c>
      <c r="AB208" s="15" t="str">
        <f aca="false">IFERROR(INDEX(Scoring!$AK:$AK,MATCH($C208&amp;"|"&amp;$E208,Scoring!$U:$U,0)),"")</f>
        <v>Excluded – IV only</v>
      </c>
      <c r="AC208" s="18" t="n">
        <f aca="false">IFERROR(INDEX(Scoring!$M:$M,MATCH($C208&amp;"|"&amp;$E208,Scoring!$U:$U,0)),"")</f>
        <v>312</v>
      </c>
      <c r="AD208" s="15" t="str">
        <f aca="false">IFERROR(INDEX('Route of Administration'!$C$5:$C$155,MATCH($C208,'Route of Administration'!$A$5:$A$155,0)),"")</f>
        <v>IV</v>
      </c>
      <c r="AE208" s="14" t="str">
        <f aca="false">IFERROR(INDEX('Route of Administration'!$D$5:$D$155,MATCH($C208,'Route of Administration'!$A$5:$A$155,0)),"")</f>
        <v>No</v>
      </c>
    </row>
    <row r="209" customFormat="false" ht="28.35" hidden="false" customHeight="false" outlineLevel="0" collapsed="false">
      <c r="B209" s="15" t="n">
        <v>207</v>
      </c>
      <c r="C209" s="15" t="s">
        <v>724</v>
      </c>
      <c r="D209" s="15" t="s">
        <v>728</v>
      </c>
      <c r="E209" s="15" t="s">
        <v>664</v>
      </c>
      <c r="F209" s="15" t="s">
        <v>1658</v>
      </c>
      <c r="G209" s="16" t="s">
        <v>1947</v>
      </c>
      <c r="H209" s="15" t="s">
        <v>1505</v>
      </c>
      <c r="I209" s="17" t="n">
        <v>22.7605</v>
      </c>
      <c r="J209" s="15" t="n">
        <v>1</v>
      </c>
      <c r="K209" s="15" t="n">
        <v>286</v>
      </c>
      <c r="L209" s="18" t="n">
        <v>3067.39</v>
      </c>
      <c r="M209" s="16" t="s">
        <v>725</v>
      </c>
      <c r="N209" s="17" t="n">
        <v>22.7605</v>
      </c>
      <c r="O209" s="15" t="s">
        <v>1506</v>
      </c>
      <c r="P209" s="15" t="s">
        <v>1507</v>
      </c>
      <c r="Q209" s="16" t="s">
        <v>1508</v>
      </c>
      <c r="R209" s="32" t="s">
        <v>1741</v>
      </c>
      <c r="S209" s="37" t="n">
        <f aca="false">IFERROR(INDEX('Injectable Value'!$Z$28:$Z$178,MATCH($C209,'Injectable Value'!$A$28:$A$178,0)),"")</f>
        <v>1</v>
      </c>
      <c r="T209" s="18" t="n">
        <f aca="false">IFERROR(ROUND(INDEX('Injectable Value'!$AA$28:$AA$178,MATCH($C209,'Injectable Value'!$A$28:$A$178,0)),1),"")</f>
        <v>3067.4</v>
      </c>
      <c r="U209" s="16" t="s">
        <v>486</v>
      </c>
      <c r="V209" s="15" t="n">
        <v>2</v>
      </c>
      <c r="W209" s="15" t="s">
        <v>482</v>
      </c>
      <c r="X209" s="15" t="s">
        <v>248</v>
      </c>
      <c r="Y209" s="15" t="s">
        <v>249</v>
      </c>
      <c r="Z209" s="16" t="str">
        <f aca="false">IFERROR(INDEX(Scoring!$K:$K,MATCH($C209&amp;"|"&amp;$E209,Scoring!$U:$U,0)),"")</f>
        <v/>
      </c>
      <c r="AA209" s="15" t="str">
        <f aca="false">IFERROR(INDEX(Scoring!$Q:$Q,MATCH($C209&amp;"|"&amp;$E209,Scoring!$U:$U,0)),"")</f>
        <v>Priority 2</v>
      </c>
      <c r="AB209" s="15" t="str">
        <f aca="false">IFERROR(INDEX(Scoring!$AK:$AK,MATCH($C209&amp;"|"&amp;$E209,Scoring!$U:$U,0)),"")</f>
        <v>Priority 2</v>
      </c>
      <c r="AC209" s="18" t="n">
        <f aca="false">IFERROR(INDEX(Scoring!$M:$M,MATCH($C209&amp;"|"&amp;$E209,Scoring!$U:$U,0)),"")</f>
        <v>286</v>
      </c>
      <c r="AD209" s="15" t="str">
        <f aca="false">IFERROR(INDEX('Route of Administration'!$C$5:$C$155,MATCH($C209,'Route of Administration'!$A$5:$A$155,0)),"")</f>
        <v>IV, IM</v>
      </c>
      <c r="AE209" s="14" t="str">
        <f aca="false">IFERROR(INDEX('Route of Administration'!$D$5:$D$155,MATCH($C209,'Route of Administration'!$A$5:$A$155,0)),"")</f>
        <v>Yes</v>
      </c>
    </row>
    <row r="210" customFormat="false" ht="28.35" hidden="false" customHeight="false" outlineLevel="0" collapsed="false">
      <c r="B210" s="15" t="n">
        <v>208</v>
      </c>
      <c r="C210" s="15" t="s">
        <v>387</v>
      </c>
      <c r="D210" s="15" t="s">
        <v>387</v>
      </c>
      <c r="E210" s="15" t="s">
        <v>664</v>
      </c>
      <c r="F210" s="15" t="s">
        <v>1730</v>
      </c>
      <c r="G210" s="16" t="s">
        <v>1752</v>
      </c>
      <c r="H210" s="15" t="s">
        <v>1505</v>
      </c>
      <c r="I210" s="17" t="n">
        <v>36.5855</v>
      </c>
      <c r="J210" s="15" t="n">
        <v>1</v>
      </c>
      <c r="K210" s="15" t="n">
        <v>223</v>
      </c>
      <c r="L210" s="18" t="n">
        <v>53539.87</v>
      </c>
      <c r="M210" s="16" t="s">
        <v>388</v>
      </c>
      <c r="N210" s="17" t="n">
        <v>36.5855</v>
      </c>
      <c r="O210" s="15" t="s">
        <v>1506</v>
      </c>
      <c r="P210" s="15" t="s">
        <v>1672</v>
      </c>
      <c r="Q210" s="16" t="s">
        <v>1508</v>
      </c>
      <c r="R210" s="32" t="s">
        <v>1741</v>
      </c>
      <c r="S210" s="37" t="n">
        <f aca="false">IFERROR(INDEX('Injectable Value'!$Z$28:$Z$178,MATCH($C210,'Injectable Value'!$A$28:$A$178,0)),"")</f>
        <v>1</v>
      </c>
      <c r="T210" s="18" t="n">
        <f aca="false">IFERROR(ROUND(INDEX('Injectable Value'!$AA$28:$AA$178,MATCH($C210,'Injectable Value'!$A$28:$A$178,0)),1),"")</f>
        <v>53539.9</v>
      </c>
      <c r="U210" s="16" t="s">
        <v>433</v>
      </c>
      <c r="V210" s="15" t="n">
        <v>1</v>
      </c>
      <c r="W210" s="15" t="s">
        <v>429</v>
      </c>
      <c r="X210" s="15" t="s">
        <v>248</v>
      </c>
      <c r="Y210" s="15" t="s">
        <v>277</v>
      </c>
      <c r="Z210" s="16" t="str">
        <f aca="false">IFERROR(INDEX(Scoring!$K:$K,MATCH($C210&amp;"|"&amp;$E210,Scoring!$U:$U,0)),"")</f>
        <v/>
      </c>
      <c r="AA210" s="15" t="str">
        <f aca="false">IFERROR(INDEX(Scoring!$Q:$Q,MATCH($C210&amp;"|"&amp;$E210,Scoring!$U:$U,0)),"")</f>
        <v>Priority 1</v>
      </c>
      <c r="AB210" s="15" t="str">
        <f aca="false">IFERROR(INDEX(Scoring!$AK:$AK,MATCH($C210&amp;"|"&amp;$E210,Scoring!$U:$U,0)),"")</f>
        <v>Priority 2</v>
      </c>
      <c r="AC210" s="18" t="n">
        <f aca="false">IFERROR(INDEX(Scoring!$M:$M,MATCH($C210&amp;"|"&amp;$E210,Scoring!$U:$U,0)),"")</f>
        <v>223</v>
      </c>
      <c r="AD210" s="15" t="str">
        <f aca="false">IFERROR(INDEX('Route of Administration'!$C$5:$C$155,MATCH($C210,'Route of Administration'!$A$5:$A$155,0)),"")</f>
        <v>IV, IM</v>
      </c>
      <c r="AE210" s="14" t="str">
        <f aca="false">IFERROR(INDEX('Route of Administration'!$D$5:$D$155,MATCH($C210,'Route of Administration'!$A$5:$A$155,0)),"")</f>
        <v>Yes</v>
      </c>
    </row>
    <row r="211" customFormat="false" ht="28.35" hidden="false" customHeight="false" outlineLevel="0" collapsed="false">
      <c r="B211" s="15" t="n">
        <v>209</v>
      </c>
      <c r="C211" s="15" t="s">
        <v>694</v>
      </c>
      <c r="D211" s="15" t="s">
        <v>1897</v>
      </c>
      <c r="E211" s="15" t="s">
        <v>664</v>
      </c>
      <c r="F211" s="15" t="s">
        <v>1948</v>
      </c>
      <c r="G211" s="16" t="s">
        <v>1949</v>
      </c>
      <c r="H211" s="15" t="s">
        <v>1505</v>
      </c>
      <c r="I211" s="17" t="n">
        <v>378</v>
      </c>
      <c r="J211" s="15" t="n">
        <v>1</v>
      </c>
      <c r="K211" s="15" t="n">
        <v>42</v>
      </c>
      <c r="L211" s="18" t="n">
        <v>1874.63</v>
      </c>
      <c r="M211" s="16" t="s">
        <v>695</v>
      </c>
      <c r="N211" s="17" t="n">
        <v>378</v>
      </c>
      <c r="O211" s="15" t="s">
        <v>1506</v>
      </c>
      <c r="P211" s="15" t="s">
        <v>1507</v>
      </c>
      <c r="Q211" s="16" t="s">
        <v>1508</v>
      </c>
      <c r="R211" s="32" t="s">
        <v>1741</v>
      </c>
      <c r="S211" s="37" t="n">
        <f aca="false">IFERROR(INDEX('Injectable Value'!$Z$28:$Z$178,MATCH($C211,'Injectable Value'!$A$28:$A$178,0)),"")</f>
        <v>1</v>
      </c>
      <c r="T211" s="18" t="n">
        <f aca="false">IFERROR(ROUND(INDEX('Injectable Value'!$AA$28:$AA$178,MATCH($C211,'Injectable Value'!$A$28:$A$178,0)),1),"")</f>
        <v>1874.6</v>
      </c>
      <c r="U211" s="16" t="s">
        <v>700</v>
      </c>
      <c r="V211" s="15" t="n">
        <v>8</v>
      </c>
      <c r="W211" s="15" t="s">
        <v>696</v>
      </c>
      <c r="X211" s="15" t="s">
        <v>248</v>
      </c>
      <c r="Y211" s="15" t="s">
        <v>249</v>
      </c>
      <c r="Z211" s="16" t="str">
        <f aca="false">IFERROR(INDEX(Scoring!$K:$K,MATCH($C211&amp;"|"&amp;$E211,Scoring!$U:$U,0)),"")</f>
        <v>Cancer drug (cytotoxic) – less relevant</v>
      </c>
      <c r="AA211" s="15" t="str">
        <f aca="false">IFERROR(INDEX(Scoring!$Q:$Q,MATCH($C211&amp;"|"&amp;$E211,Scoring!$U:$U,0)),"")</f>
        <v>Excluded – IV only</v>
      </c>
      <c r="AB211" s="15" t="str">
        <f aca="false">IFERROR(INDEX(Scoring!$AK:$AK,MATCH($C211&amp;"|"&amp;$E211,Scoring!$U:$U,0)),"")</f>
        <v>Excluded – IV only</v>
      </c>
      <c r="AC211" s="18" t="n">
        <f aca="false">IFERROR(INDEX(Scoring!$M:$M,MATCH($C211&amp;"|"&amp;$E211,Scoring!$U:$U,0)),"")</f>
        <v>42</v>
      </c>
      <c r="AD211" s="15" t="str">
        <f aca="false">IFERROR(INDEX('Route of Administration'!$C$5:$C$155,MATCH($C211,'Route of Administration'!$A$5:$A$155,0)),"")</f>
        <v>IV</v>
      </c>
      <c r="AE211" s="14" t="str">
        <f aca="false">IFERROR(INDEX('Route of Administration'!$D$5:$D$155,MATCH($C211,'Route of Administration'!$A$5:$A$155,0)),"")</f>
        <v>No</v>
      </c>
    </row>
    <row r="212" customFormat="false" ht="41.75" hidden="false" customHeight="false" outlineLevel="0" collapsed="false">
      <c r="B212" s="15" t="n">
        <v>210</v>
      </c>
      <c r="C212" s="15" t="s">
        <v>702</v>
      </c>
      <c r="D212" s="15" t="s">
        <v>706</v>
      </c>
      <c r="E212" s="15" t="s">
        <v>664</v>
      </c>
      <c r="F212" s="15" t="s">
        <v>1950</v>
      </c>
      <c r="G212" s="16" t="s">
        <v>1877</v>
      </c>
      <c r="H212" s="15" t="s">
        <v>1505</v>
      </c>
      <c r="I212" s="17" t="n">
        <v>28.679</v>
      </c>
      <c r="J212" s="15" t="n">
        <v>1</v>
      </c>
      <c r="K212" s="15" t="n">
        <v>132</v>
      </c>
      <c r="L212" s="18" t="n">
        <v>376.39</v>
      </c>
      <c r="M212" s="16" t="s">
        <v>703</v>
      </c>
      <c r="N212" s="17" t="n">
        <v>28.679</v>
      </c>
      <c r="O212" s="15" t="s">
        <v>1506</v>
      </c>
      <c r="P212" s="15" t="s">
        <v>1672</v>
      </c>
      <c r="Q212" s="16" t="s">
        <v>1508</v>
      </c>
      <c r="R212" s="32" t="s">
        <v>1769</v>
      </c>
      <c r="S212" s="37" t="n">
        <f aca="false">IFERROR(INDEX('Injectable Value'!$Z$28:$Z$178,MATCH($C212,'Injectable Value'!$A$28:$A$178,0)),"")</f>
        <v>0.993333333333333</v>
      </c>
      <c r="T212" s="18" t="n">
        <f aca="false">IFERROR(ROUND(INDEX('Injectable Value'!$AA$28:$AA$178,MATCH($C212,'Injectable Value'!$A$28:$A$178,0)),1),"")</f>
        <v>373.9</v>
      </c>
      <c r="U212" s="16" t="s">
        <v>583</v>
      </c>
      <c r="V212" s="15" t="n">
        <v>1</v>
      </c>
      <c r="W212" s="15" t="s">
        <v>70</v>
      </c>
      <c r="X212" s="15" t="s">
        <v>248</v>
      </c>
      <c r="Y212" s="15" t="s">
        <v>249</v>
      </c>
      <c r="Z212" s="16" t="str">
        <f aca="false">IFERROR(INDEX(Scoring!$K:$K,MATCH($C212&amp;"|"&amp;$E212,Scoring!$U:$U,0)),"")</f>
        <v/>
      </c>
      <c r="AA212" s="15" t="str">
        <f aca="false">IFERROR(INDEX(Scoring!$Q:$Q,MATCH($C212&amp;"|"&amp;$E212,Scoring!$U:$U,0)),"")</f>
        <v>Excluded – IV only</v>
      </c>
      <c r="AB212" s="15" t="str">
        <f aca="false">IFERROR(INDEX(Scoring!$AK:$AK,MATCH($C212&amp;"|"&amp;$E212,Scoring!$U:$U,0)),"")</f>
        <v>Excluded – IV only</v>
      </c>
      <c r="AC212" s="18" t="n">
        <f aca="false">IFERROR(INDEX(Scoring!$M:$M,MATCH($C212&amp;"|"&amp;$E212,Scoring!$U:$U,0)),"")</f>
        <v>131</v>
      </c>
      <c r="AD212" s="15" t="str">
        <f aca="false">IFERROR(INDEX('Route of Administration'!$C$5:$C$155,MATCH($C212,'Route of Administration'!$A$5:$A$155,0)),"")</f>
        <v>IV</v>
      </c>
      <c r="AE212" s="14" t="str">
        <f aca="false">IFERROR(INDEX('Route of Administration'!$D$5:$D$155,MATCH($C212,'Route of Administration'!$A$5:$A$155,0)),"")</f>
        <v>No</v>
      </c>
    </row>
    <row r="213" customFormat="false" ht="41.75" hidden="false" customHeight="false" outlineLevel="0" collapsed="false">
      <c r="B213" s="15" t="n">
        <v>211</v>
      </c>
      <c r="C213" s="15" t="s">
        <v>702</v>
      </c>
      <c r="D213" s="15" t="s">
        <v>706</v>
      </c>
      <c r="E213" s="15" t="s">
        <v>664</v>
      </c>
      <c r="F213" s="15" t="s">
        <v>1951</v>
      </c>
      <c r="G213" s="16" t="s">
        <v>1952</v>
      </c>
      <c r="H213" s="15" t="s">
        <v>1505</v>
      </c>
      <c r="I213" s="17" t="n">
        <v>57.358</v>
      </c>
      <c r="J213" s="15" t="n">
        <v>1</v>
      </c>
      <c r="K213" s="15" t="n">
        <v>132</v>
      </c>
      <c r="L213" s="18" t="n">
        <v>376.39</v>
      </c>
      <c r="M213" s="16" t="s">
        <v>703</v>
      </c>
      <c r="N213" s="17" t="n">
        <v>57.358</v>
      </c>
      <c r="O213" s="15" t="s">
        <v>1506</v>
      </c>
      <c r="P213" s="15" t="s">
        <v>1672</v>
      </c>
      <c r="Q213" s="16" t="s">
        <v>1508</v>
      </c>
      <c r="R213" s="32" t="s">
        <v>1769</v>
      </c>
      <c r="S213" s="37" t="n">
        <f aca="false">IFERROR(INDEX('Injectable Value'!$Z$28:$Z$178,MATCH($C213,'Injectable Value'!$A$28:$A$178,0)),"")</f>
        <v>0.993333333333333</v>
      </c>
      <c r="T213" s="18" t="n">
        <f aca="false">IFERROR(ROUND(INDEX('Injectable Value'!$AA$28:$AA$178,MATCH($C213,'Injectable Value'!$A$28:$A$178,0)),1),"")</f>
        <v>373.9</v>
      </c>
      <c r="U213" s="16" t="s">
        <v>583</v>
      </c>
      <c r="V213" s="15" t="n">
        <v>1</v>
      </c>
      <c r="W213" s="15" t="s">
        <v>70</v>
      </c>
      <c r="X213" s="15" t="s">
        <v>248</v>
      </c>
      <c r="Y213" s="15" t="s">
        <v>1519</v>
      </c>
      <c r="Z213" s="16" t="str">
        <f aca="false">IFERROR(INDEX(Scoring!$K:$K,MATCH($C213&amp;"|"&amp;$E213,Scoring!$U:$U,0)),"")</f>
        <v/>
      </c>
      <c r="AA213" s="15" t="str">
        <f aca="false">IFERROR(INDEX(Scoring!$Q:$Q,MATCH($C213&amp;"|"&amp;$E213,Scoring!$U:$U,0)),"")</f>
        <v>Excluded – IV only</v>
      </c>
      <c r="AB213" s="15" t="str">
        <f aca="false">IFERROR(INDEX(Scoring!$AK:$AK,MATCH($C213&amp;"|"&amp;$E213,Scoring!$U:$U,0)),"")</f>
        <v>Excluded – IV only</v>
      </c>
      <c r="AC213" s="18" t="n">
        <f aca="false">IFERROR(INDEX(Scoring!$M:$M,MATCH($C213&amp;"|"&amp;$E213,Scoring!$U:$U,0)),"")</f>
        <v>131</v>
      </c>
      <c r="AD213" s="15" t="str">
        <f aca="false">IFERROR(INDEX('Route of Administration'!$C$5:$C$155,MATCH($C213,'Route of Administration'!$A$5:$A$155,0)),"")</f>
        <v>IV</v>
      </c>
      <c r="AE213" s="14" t="str">
        <f aca="false">IFERROR(INDEX('Route of Administration'!$D$5:$D$155,MATCH($C213,'Route of Administration'!$A$5:$A$155,0)),"")</f>
        <v>No</v>
      </c>
    </row>
    <row r="214" customFormat="false" ht="41.75" hidden="false" customHeight="false" outlineLevel="0" collapsed="false">
      <c r="B214" s="15" t="n">
        <v>212</v>
      </c>
      <c r="C214" s="15" t="s">
        <v>702</v>
      </c>
      <c r="D214" s="15" t="s">
        <v>706</v>
      </c>
      <c r="E214" s="15" t="s">
        <v>664</v>
      </c>
      <c r="F214" s="15" t="s">
        <v>1953</v>
      </c>
      <c r="G214" s="16" t="s">
        <v>1818</v>
      </c>
      <c r="H214" s="15" t="s">
        <v>1505</v>
      </c>
      <c r="I214" s="17" t="n">
        <v>5.733</v>
      </c>
      <c r="J214" s="15" t="n">
        <v>1</v>
      </c>
      <c r="K214" s="15" t="n">
        <v>132</v>
      </c>
      <c r="L214" s="18" t="n">
        <v>376.39</v>
      </c>
      <c r="M214" s="16" t="s">
        <v>703</v>
      </c>
      <c r="N214" s="17" t="n">
        <v>5.733</v>
      </c>
      <c r="O214" s="15" t="s">
        <v>1506</v>
      </c>
      <c r="P214" s="15" t="s">
        <v>1507</v>
      </c>
      <c r="Q214" s="16" t="s">
        <v>1508</v>
      </c>
      <c r="R214" s="32" t="s">
        <v>1954</v>
      </c>
      <c r="S214" s="37" t="n">
        <f aca="false">IFERROR(INDEX('Injectable Value'!$Z$28:$Z$178,MATCH($C214,'Injectable Value'!$A$28:$A$178,0)),"")</f>
        <v>0.993333333333333</v>
      </c>
      <c r="T214" s="18" t="n">
        <f aca="false">IFERROR(ROUND(INDEX('Injectable Value'!$AA$28:$AA$178,MATCH($C214,'Injectable Value'!$A$28:$A$178,0)),1),"")</f>
        <v>373.9</v>
      </c>
      <c r="U214" s="16" t="s">
        <v>583</v>
      </c>
      <c r="V214" s="15" t="n">
        <v>1</v>
      </c>
      <c r="W214" s="15" t="s">
        <v>70</v>
      </c>
      <c r="X214" s="15" t="s">
        <v>248</v>
      </c>
      <c r="Y214" s="15" t="s">
        <v>249</v>
      </c>
      <c r="Z214" s="16" t="str">
        <f aca="false">IFERROR(INDEX(Scoring!$K:$K,MATCH($C214&amp;"|"&amp;$E214,Scoring!$U:$U,0)),"")</f>
        <v/>
      </c>
      <c r="AA214" s="15" t="str">
        <f aca="false">IFERROR(INDEX(Scoring!$Q:$Q,MATCH($C214&amp;"|"&amp;$E214,Scoring!$U:$U,0)),"")</f>
        <v>Excluded – IV only</v>
      </c>
      <c r="AB214" s="15" t="str">
        <f aca="false">IFERROR(INDEX(Scoring!$AK:$AK,MATCH($C214&amp;"|"&amp;$E214,Scoring!$U:$U,0)),"")</f>
        <v>Excluded – IV only</v>
      </c>
      <c r="AC214" s="18" t="n">
        <f aca="false">IFERROR(INDEX(Scoring!$M:$M,MATCH($C214&amp;"|"&amp;$E214,Scoring!$U:$U,0)),"")</f>
        <v>131</v>
      </c>
      <c r="AD214" s="15" t="str">
        <f aca="false">IFERROR(INDEX('Route of Administration'!$C$5:$C$155,MATCH($C214,'Route of Administration'!$A$5:$A$155,0)),"")</f>
        <v>IV</v>
      </c>
      <c r="AE214" s="14" t="str">
        <f aca="false">IFERROR(INDEX('Route of Administration'!$D$5:$D$155,MATCH($C214,'Route of Administration'!$A$5:$A$155,0)),"")</f>
        <v>No</v>
      </c>
    </row>
    <row r="215" customFormat="false" ht="28.35" hidden="false" customHeight="false" outlineLevel="0" collapsed="false">
      <c r="B215" s="15" t="n">
        <v>213</v>
      </c>
      <c r="C215" s="15" t="s">
        <v>694</v>
      </c>
      <c r="D215" s="15" t="s">
        <v>1955</v>
      </c>
      <c r="E215" s="15" t="s">
        <v>664</v>
      </c>
      <c r="F215" s="15" t="s">
        <v>1956</v>
      </c>
      <c r="G215" s="16" t="s">
        <v>1818</v>
      </c>
      <c r="H215" s="15" t="s">
        <v>1505</v>
      </c>
      <c r="I215" s="17" t="n">
        <v>113.715</v>
      </c>
      <c r="J215" s="15" t="n">
        <v>1</v>
      </c>
      <c r="K215" s="15" t="n">
        <v>42</v>
      </c>
      <c r="L215" s="18" t="n">
        <v>1874.63</v>
      </c>
      <c r="M215" s="16" t="s">
        <v>695</v>
      </c>
      <c r="N215" s="17" t="n">
        <v>113.715</v>
      </c>
      <c r="O215" s="15" t="s">
        <v>1506</v>
      </c>
      <c r="P215" s="15" t="s">
        <v>1672</v>
      </c>
      <c r="Q215" s="16" t="s">
        <v>1508</v>
      </c>
      <c r="R215" s="32" t="s">
        <v>1776</v>
      </c>
      <c r="S215" s="37" t="n">
        <f aca="false">IFERROR(INDEX('Injectable Value'!$Z$28:$Z$178,MATCH($C215,'Injectable Value'!$A$28:$A$178,0)),"")</f>
        <v>1</v>
      </c>
      <c r="T215" s="18" t="n">
        <f aca="false">IFERROR(ROUND(INDEX('Injectable Value'!$AA$28:$AA$178,MATCH($C215,'Injectable Value'!$A$28:$A$178,0)),1),"")</f>
        <v>1874.6</v>
      </c>
      <c r="U215" s="16" t="s">
        <v>700</v>
      </c>
      <c r="V215" s="15" t="n">
        <v>8</v>
      </c>
      <c r="W215" s="15" t="s">
        <v>696</v>
      </c>
      <c r="X215" s="15" t="s">
        <v>248</v>
      </c>
      <c r="Y215" s="15" t="s">
        <v>249</v>
      </c>
      <c r="Z215" s="16" t="str">
        <f aca="false">IFERROR(INDEX(Scoring!$K:$K,MATCH($C215&amp;"|"&amp;$E215,Scoring!$U:$U,0)),"")</f>
        <v>Cancer drug (cytotoxic) – less relevant</v>
      </c>
      <c r="AA215" s="15" t="str">
        <f aca="false">IFERROR(INDEX(Scoring!$Q:$Q,MATCH($C215&amp;"|"&amp;$E215,Scoring!$U:$U,0)),"")</f>
        <v>Excluded – IV only</v>
      </c>
      <c r="AB215" s="15" t="str">
        <f aca="false">IFERROR(INDEX(Scoring!$AK:$AK,MATCH($C215&amp;"|"&amp;$E215,Scoring!$U:$U,0)),"")</f>
        <v>Excluded – IV only</v>
      </c>
      <c r="AC215" s="18" t="n">
        <f aca="false">IFERROR(INDEX(Scoring!$M:$M,MATCH($C215&amp;"|"&amp;$E215,Scoring!$U:$U,0)),"")</f>
        <v>42</v>
      </c>
      <c r="AD215" s="15" t="str">
        <f aca="false">IFERROR(INDEX('Route of Administration'!$C$5:$C$155,MATCH($C215,'Route of Administration'!$A$5:$A$155,0)),"")</f>
        <v>IV</v>
      </c>
      <c r="AE215" s="14" t="str">
        <f aca="false">IFERROR(INDEX('Route of Administration'!$D$5:$D$155,MATCH($C215,'Route of Administration'!$A$5:$A$155,0)),"")</f>
        <v>No</v>
      </c>
    </row>
    <row r="216" customFormat="false" ht="28.35" hidden="false" customHeight="false" outlineLevel="0" collapsed="false">
      <c r="B216" s="15" t="n">
        <v>214</v>
      </c>
      <c r="C216" s="15" t="s">
        <v>245</v>
      </c>
      <c r="D216" s="15" t="s">
        <v>1957</v>
      </c>
      <c r="E216" s="15" t="s">
        <v>664</v>
      </c>
      <c r="F216" s="15" t="s">
        <v>1958</v>
      </c>
      <c r="G216" s="16" t="s">
        <v>1838</v>
      </c>
      <c r="H216" s="15" t="s">
        <v>1505</v>
      </c>
      <c r="I216" s="17"/>
      <c r="J216" s="15" t="n">
        <v>1</v>
      </c>
      <c r="K216" s="15" t="n">
        <v>156</v>
      </c>
      <c r="L216" s="18" t="n">
        <v>3954.83</v>
      </c>
      <c r="M216" s="16" t="s">
        <v>246</v>
      </c>
      <c r="N216" s="38" t="n">
        <v>127.38</v>
      </c>
      <c r="O216" s="22" t="s">
        <v>1513</v>
      </c>
      <c r="P216" s="15" t="s">
        <v>1507</v>
      </c>
      <c r="Q216" s="16" t="s">
        <v>1832</v>
      </c>
      <c r="R216" s="32" t="s">
        <v>1833</v>
      </c>
      <c r="S216" s="37" t="n">
        <f aca="false">IFERROR(INDEX('Injectable Value'!$Z$28:$Z$178,MATCH($C216,'Injectable Value'!$A$28:$A$178,0)),"")</f>
        <v>0.916666666666667</v>
      </c>
      <c r="T216" s="18" t="n">
        <f aca="false">IFERROR(ROUND(INDEX('Injectable Value'!$AA$28:$AA$178,MATCH($C216,'Injectable Value'!$A$28:$A$178,0)),1),"")</f>
        <v>3625.3</v>
      </c>
      <c r="U216" s="16" t="s">
        <v>605</v>
      </c>
      <c r="V216" s="15" t="n">
        <v>2</v>
      </c>
      <c r="W216" s="15" t="s">
        <v>247</v>
      </c>
      <c r="X216" s="15" t="s">
        <v>248</v>
      </c>
      <c r="Y216" s="15" t="s">
        <v>249</v>
      </c>
      <c r="Z216" s="16" t="str">
        <f aca="false">IFERROR(INDEX(Scoring!$K:$K,MATCH($C216&amp;"|"&amp;$E216,Scoring!$U:$U,0)),"")</f>
        <v/>
      </c>
      <c r="AA216" s="15" t="str">
        <f aca="false">IFERROR(INDEX(Scoring!$Q:$Q,MATCH($C216&amp;"|"&amp;$E216,Scoring!$U:$U,0)),"")</f>
        <v>Priority 2</v>
      </c>
      <c r="AB216" s="15" t="str">
        <f aca="false">IFERROR(INDEX(Scoring!$AK:$AK,MATCH($C216&amp;"|"&amp;$E216,Scoring!$U:$U,0)),"")</f>
        <v>Priority 2</v>
      </c>
      <c r="AC216" s="18" t="n">
        <f aca="false">IFERROR(INDEX(Scoring!$M:$M,MATCH($C216&amp;"|"&amp;$E216,Scoring!$U:$U,0)),"")</f>
        <v>143</v>
      </c>
      <c r="AD216" s="15" t="str">
        <f aca="false">IFERROR(INDEX('Route of Administration'!$C$5:$C$155,MATCH($C216,'Route of Administration'!$A$5:$A$155,0)),"")</f>
        <v>IM</v>
      </c>
      <c r="AE216" s="14" t="str">
        <f aca="false">IFERROR(INDEX('Route of Administration'!$D$5:$D$155,MATCH($C216,'Route of Administration'!$A$5:$A$155,0)),"")</f>
        <v>Yes</v>
      </c>
    </row>
    <row r="217" customFormat="false" ht="41.75" hidden="false" customHeight="false" outlineLevel="0" collapsed="false">
      <c r="B217" s="15" t="n">
        <v>215</v>
      </c>
      <c r="C217" s="15" t="s">
        <v>356</v>
      </c>
      <c r="D217" s="15" t="s">
        <v>1959</v>
      </c>
      <c r="E217" s="15" t="s">
        <v>664</v>
      </c>
      <c r="F217" s="15" t="s">
        <v>1822</v>
      </c>
      <c r="G217" s="16" t="s">
        <v>1823</v>
      </c>
      <c r="H217" s="15" t="s">
        <v>1505</v>
      </c>
      <c r="I217" s="17"/>
      <c r="J217" s="15" t="n">
        <v>1</v>
      </c>
      <c r="K217" s="15" t="n">
        <v>312</v>
      </c>
      <c r="L217" s="18" t="n">
        <v>59827.18</v>
      </c>
      <c r="M217" s="16" t="s">
        <v>357</v>
      </c>
      <c r="N217" s="17"/>
      <c r="O217" s="15" t="s">
        <v>1545</v>
      </c>
      <c r="P217" s="15" t="s">
        <v>70</v>
      </c>
      <c r="Q217" s="16" t="s">
        <v>70</v>
      </c>
      <c r="R217" s="15"/>
      <c r="S217" s="37" t="n">
        <f aca="false">IFERROR(INDEX('Injectable Value'!$Z$28:$Z$178,MATCH($C217,'Injectable Value'!$A$28:$A$178,0)),"")</f>
        <v>1</v>
      </c>
      <c r="T217" s="18" t="n">
        <f aca="false">IFERROR(ROUND(INDEX('Injectable Value'!$AA$28:$AA$178,MATCH($C217,'Injectable Value'!$A$28:$A$178,0)),1),"")</f>
        <v>59827.2</v>
      </c>
      <c r="U217" s="16" t="s">
        <v>687</v>
      </c>
      <c r="V217" s="15" t="n">
        <v>15</v>
      </c>
      <c r="W217" s="15" t="s">
        <v>684</v>
      </c>
      <c r="X217" s="15" t="s">
        <v>248</v>
      </c>
      <c r="Y217" s="15" t="s">
        <v>299</v>
      </c>
      <c r="Z217" s="16" t="str">
        <f aca="false">IFERROR(INDEX(Scoring!$K:$K,MATCH($C217&amp;"|"&amp;$E217,Scoring!$U:$U,0)),"")</f>
        <v>Reconstitution</v>
      </c>
      <c r="AA217" s="15" t="str">
        <f aca="false">IFERROR(INDEX(Scoring!$Q:$Q,MATCH($C217&amp;"|"&amp;$E217,Scoring!$U:$U,0)),"")</f>
        <v>Excluded – IV only</v>
      </c>
      <c r="AB217" s="15" t="str">
        <f aca="false">IFERROR(INDEX(Scoring!$AK:$AK,MATCH($C217&amp;"|"&amp;$E217,Scoring!$U:$U,0)),"")</f>
        <v>Excluded – IV only</v>
      </c>
      <c r="AC217" s="18" t="n">
        <f aca="false">IFERROR(INDEX(Scoring!$M:$M,MATCH($C217&amp;"|"&amp;$E217,Scoring!$U:$U,0)),"")</f>
        <v>312</v>
      </c>
      <c r="AD217" s="15" t="str">
        <f aca="false">IFERROR(INDEX('Route of Administration'!$C$5:$C$155,MATCH($C217,'Route of Administration'!$A$5:$A$155,0)),"")</f>
        <v>IV</v>
      </c>
      <c r="AE217" s="14" t="str">
        <f aca="false">IFERROR(INDEX('Route of Administration'!$D$5:$D$155,MATCH($C217,'Route of Administration'!$A$5:$A$155,0)),"")</f>
        <v>No</v>
      </c>
    </row>
    <row r="218" customFormat="false" ht="41.75" hidden="false" customHeight="false" outlineLevel="0" collapsed="false">
      <c r="B218" s="15" t="n">
        <v>216</v>
      </c>
      <c r="C218" s="15" t="s">
        <v>356</v>
      </c>
      <c r="D218" s="15" t="s">
        <v>1959</v>
      </c>
      <c r="E218" s="15" t="s">
        <v>664</v>
      </c>
      <c r="F218" s="15" t="s">
        <v>1757</v>
      </c>
      <c r="G218" s="16" t="s">
        <v>1758</v>
      </c>
      <c r="H218" s="15" t="s">
        <v>1505</v>
      </c>
      <c r="I218" s="17"/>
      <c r="J218" s="15" t="n">
        <v>1</v>
      </c>
      <c r="K218" s="15" t="n">
        <v>312</v>
      </c>
      <c r="L218" s="18" t="n">
        <v>59827.18</v>
      </c>
      <c r="M218" s="16" t="s">
        <v>357</v>
      </c>
      <c r="N218" s="17"/>
      <c r="O218" s="15" t="s">
        <v>1545</v>
      </c>
      <c r="P218" s="15" t="s">
        <v>70</v>
      </c>
      <c r="Q218" s="16" t="s">
        <v>70</v>
      </c>
      <c r="R218" s="15"/>
      <c r="S218" s="37" t="n">
        <f aca="false">IFERROR(INDEX('Injectable Value'!$Z$28:$Z$178,MATCH($C218,'Injectable Value'!$A$28:$A$178,0)),"")</f>
        <v>1</v>
      </c>
      <c r="T218" s="18" t="n">
        <f aca="false">IFERROR(ROUND(INDEX('Injectable Value'!$AA$28:$AA$178,MATCH($C218,'Injectable Value'!$A$28:$A$178,0)),1),"")</f>
        <v>59827.2</v>
      </c>
      <c r="U218" s="16" t="s">
        <v>687</v>
      </c>
      <c r="V218" s="15" t="n">
        <v>15</v>
      </c>
      <c r="W218" s="15" t="s">
        <v>684</v>
      </c>
      <c r="X218" s="15" t="s">
        <v>248</v>
      </c>
      <c r="Y218" s="15" t="s">
        <v>299</v>
      </c>
      <c r="Z218" s="16" t="str">
        <f aca="false">IFERROR(INDEX(Scoring!$K:$K,MATCH($C218&amp;"|"&amp;$E218,Scoring!$U:$U,0)),"")</f>
        <v>Reconstitution</v>
      </c>
      <c r="AA218" s="15" t="str">
        <f aca="false">IFERROR(INDEX(Scoring!$Q:$Q,MATCH($C218&amp;"|"&amp;$E218,Scoring!$U:$U,0)),"")</f>
        <v>Excluded – IV only</v>
      </c>
      <c r="AB218" s="15" t="str">
        <f aca="false">IFERROR(INDEX(Scoring!$AK:$AK,MATCH($C218&amp;"|"&amp;$E218,Scoring!$U:$U,0)),"")</f>
        <v>Excluded – IV only</v>
      </c>
      <c r="AC218" s="18" t="n">
        <f aca="false">IFERROR(INDEX(Scoring!$M:$M,MATCH($C218&amp;"|"&amp;$E218,Scoring!$U:$U,0)),"")</f>
        <v>312</v>
      </c>
      <c r="AD218" s="15" t="str">
        <f aca="false">IFERROR(INDEX('Route of Administration'!$C$5:$C$155,MATCH($C218,'Route of Administration'!$A$5:$A$155,0)),"")</f>
        <v>IV</v>
      </c>
      <c r="AE218" s="14" t="str">
        <f aca="false">IFERROR(INDEX('Route of Administration'!$D$5:$D$155,MATCH($C218,'Route of Administration'!$A$5:$A$155,0)),"")</f>
        <v>No</v>
      </c>
    </row>
    <row r="219" customFormat="false" ht="55.2" hidden="false" customHeight="false" outlineLevel="0" collapsed="false">
      <c r="B219" s="15" t="n">
        <v>217</v>
      </c>
      <c r="C219" s="15" t="s">
        <v>635</v>
      </c>
      <c r="D219" s="15" t="s">
        <v>1960</v>
      </c>
      <c r="E219" s="15" t="s">
        <v>664</v>
      </c>
      <c r="F219" s="15" t="s">
        <v>1817</v>
      </c>
      <c r="G219" s="16" t="s">
        <v>1818</v>
      </c>
      <c r="H219" s="15" t="s">
        <v>1505</v>
      </c>
      <c r="I219" s="17"/>
      <c r="J219" s="15" t="n">
        <v>1</v>
      </c>
      <c r="K219" s="15" t="n">
        <v>346</v>
      </c>
      <c r="L219" s="18" t="n">
        <v>32830.17</v>
      </c>
      <c r="M219" s="16" t="s">
        <v>636</v>
      </c>
      <c r="N219" s="17"/>
      <c r="O219" s="15" t="s">
        <v>1545</v>
      </c>
      <c r="P219" s="15" t="s">
        <v>70</v>
      </c>
      <c r="Q219" s="16" t="s">
        <v>70</v>
      </c>
      <c r="R219" s="15"/>
      <c r="S219" s="37" t="n">
        <f aca="false">IFERROR(INDEX('Injectable Value'!$Z$28:$Z$178,MATCH($C219,'Injectable Value'!$A$28:$A$178,0)),"")</f>
        <v>1</v>
      </c>
      <c r="T219" s="18" t="n">
        <f aca="false">IFERROR(ROUND(INDEX('Injectable Value'!$AA$28:$AA$178,MATCH($C219,'Injectable Value'!$A$28:$A$178,0)),1),"")</f>
        <v>32830.2</v>
      </c>
      <c r="U219" s="16" t="s">
        <v>731</v>
      </c>
      <c r="V219" s="15" t="n">
        <v>21</v>
      </c>
      <c r="W219" s="15" t="s">
        <v>729</v>
      </c>
      <c r="X219" s="15" t="s">
        <v>248</v>
      </c>
      <c r="Y219" s="15" t="s">
        <v>249</v>
      </c>
      <c r="Z219" s="16" t="str">
        <f aca="false">IFERROR(INDEX(Scoring!$K:$K,MATCH($C219&amp;"|"&amp;$E219,Scoring!$U:$U,0)),"")</f>
        <v/>
      </c>
      <c r="AA219" s="15" t="str">
        <f aca="false">IFERROR(INDEX(Scoring!$Q:$Q,MATCH($C219&amp;"|"&amp;$E219,Scoring!$U:$U,0)),"")</f>
        <v>Excluded – IV only</v>
      </c>
      <c r="AB219" s="15" t="str">
        <f aca="false">IFERROR(INDEX(Scoring!$AK:$AK,MATCH($C219&amp;"|"&amp;$E219,Scoring!$U:$U,0)),"")</f>
        <v>Excluded – IV only</v>
      </c>
      <c r="AC219" s="18" t="n">
        <f aca="false">IFERROR(INDEX(Scoring!$M:$M,MATCH($C219&amp;"|"&amp;$E219,Scoring!$U:$U,0)),"")</f>
        <v>346</v>
      </c>
      <c r="AD219" s="15" t="str">
        <f aca="false">IFERROR(INDEX('Route of Administration'!$C$5:$C$155,MATCH($C219,'Route of Administration'!$A$5:$A$155,0)),"")</f>
        <v>IV</v>
      </c>
      <c r="AE219" s="14" t="str">
        <f aca="false">IFERROR(INDEX('Route of Administration'!$D$5:$D$155,MATCH($C219,'Route of Administration'!$A$5:$A$155,0)),"")</f>
        <v>No</v>
      </c>
    </row>
    <row r="220" customFormat="false" ht="55.2" hidden="false" customHeight="false" outlineLevel="0" collapsed="false">
      <c r="B220" s="15" t="n">
        <v>218</v>
      </c>
      <c r="C220" s="15" t="s">
        <v>635</v>
      </c>
      <c r="D220" s="15" t="s">
        <v>1961</v>
      </c>
      <c r="E220" s="15" t="s">
        <v>664</v>
      </c>
      <c r="F220" s="15" t="s">
        <v>1819</v>
      </c>
      <c r="G220" s="16" t="s">
        <v>1820</v>
      </c>
      <c r="H220" s="15" t="s">
        <v>1505</v>
      </c>
      <c r="I220" s="17"/>
      <c r="J220" s="15" t="n">
        <v>1</v>
      </c>
      <c r="K220" s="15" t="n">
        <v>346</v>
      </c>
      <c r="L220" s="18" t="n">
        <v>32830.17</v>
      </c>
      <c r="M220" s="16" t="s">
        <v>636</v>
      </c>
      <c r="N220" s="17"/>
      <c r="O220" s="15" t="s">
        <v>1545</v>
      </c>
      <c r="P220" s="15" t="s">
        <v>70</v>
      </c>
      <c r="Q220" s="16" t="s">
        <v>70</v>
      </c>
      <c r="R220" s="15"/>
      <c r="S220" s="37" t="n">
        <f aca="false">IFERROR(INDEX('Injectable Value'!$Z$28:$Z$178,MATCH($C220,'Injectable Value'!$A$28:$A$178,0)),"")</f>
        <v>1</v>
      </c>
      <c r="T220" s="18" t="n">
        <f aca="false">IFERROR(ROUND(INDEX('Injectable Value'!$AA$28:$AA$178,MATCH($C220,'Injectable Value'!$A$28:$A$178,0)),1),"")</f>
        <v>32830.2</v>
      </c>
      <c r="U220" s="16" t="s">
        <v>731</v>
      </c>
      <c r="V220" s="15" t="n">
        <v>21</v>
      </c>
      <c r="W220" s="15" t="s">
        <v>729</v>
      </c>
      <c r="X220" s="15" t="s">
        <v>248</v>
      </c>
      <c r="Y220" s="15" t="s">
        <v>249</v>
      </c>
      <c r="Z220" s="16" t="str">
        <f aca="false">IFERROR(INDEX(Scoring!$K:$K,MATCH($C220&amp;"|"&amp;$E220,Scoring!$U:$U,0)),"")</f>
        <v/>
      </c>
      <c r="AA220" s="15" t="str">
        <f aca="false">IFERROR(INDEX(Scoring!$Q:$Q,MATCH($C220&amp;"|"&amp;$E220,Scoring!$U:$U,0)),"")</f>
        <v>Excluded – IV only</v>
      </c>
      <c r="AB220" s="15" t="str">
        <f aca="false">IFERROR(INDEX(Scoring!$AK:$AK,MATCH($C220&amp;"|"&amp;$E220,Scoring!$U:$U,0)),"")</f>
        <v>Excluded – IV only</v>
      </c>
      <c r="AC220" s="18" t="n">
        <f aca="false">IFERROR(INDEX(Scoring!$M:$M,MATCH($C220&amp;"|"&amp;$E220,Scoring!$U:$U,0)),"")</f>
        <v>346</v>
      </c>
      <c r="AD220" s="15" t="str">
        <f aca="false">IFERROR(INDEX('Route of Administration'!$C$5:$C$155,MATCH($C220,'Route of Administration'!$A$5:$A$155,0)),"")</f>
        <v>IV</v>
      </c>
      <c r="AE220" s="14" t="str">
        <f aca="false">IFERROR(INDEX('Route of Administration'!$D$5:$D$155,MATCH($C220,'Route of Administration'!$A$5:$A$155,0)),"")</f>
        <v>No</v>
      </c>
    </row>
    <row r="221" customFormat="false" ht="28.35" hidden="false" customHeight="false" outlineLevel="0" collapsed="false">
      <c r="B221" s="15" t="n">
        <v>219</v>
      </c>
      <c r="C221" s="15" t="s">
        <v>498</v>
      </c>
      <c r="D221" s="15" t="s">
        <v>1962</v>
      </c>
      <c r="E221" s="15" t="s">
        <v>664</v>
      </c>
      <c r="F221" s="15" t="s">
        <v>1840</v>
      </c>
      <c r="G221" s="16" t="s">
        <v>1820</v>
      </c>
      <c r="H221" s="15" t="s">
        <v>1505</v>
      </c>
      <c r="I221" s="17" t="n">
        <v>6.937</v>
      </c>
      <c r="J221" s="15" t="n">
        <v>1</v>
      </c>
      <c r="K221" s="15" t="n">
        <v>119</v>
      </c>
      <c r="L221" s="18" t="n">
        <v>3113.83</v>
      </c>
      <c r="M221" s="16" t="s">
        <v>499</v>
      </c>
      <c r="N221" s="17" t="n">
        <v>6.937</v>
      </c>
      <c r="O221" s="15" t="s">
        <v>1506</v>
      </c>
      <c r="P221" s="15" t="s">
        <v>1672</v>
      </c>
      <c r="Q221" s="16" t="s">
        <v>1508</v>
      </c>
      <c r="R221" s="32" t="s">
        <v>1769</v>
      </c>
      <c r="S221" s="37" t="n">
        <f aca="false">IFERROR(INDEX('Injectable Value'!$Z$28:$Z$178,MATCH($C221,'Injectable Value'!$A$28:$A$178,0)),"")</f>
        <v>0.899884259259259</v>
      </c>
      <c r="T221" s="18" t="n">
        <f aca="false">IFERROR(ROUND(INDEX('Injectable Value'!$AA$28:$AA$178,MATCH($C221,'Injectable Value'!$A$28:$A$178,0)),1),"")</f>
        <v>2802.1</v>
      </c>
      <c r="U221" s="16" t="s">
        <v>722</v>
      </c>
      <c r="V221" s="15" t="n">
        <v>5</v>
      </c>
      <c r="W221" s="15" t="s">
        <v>719</v>
      </c>
      <c r="X221" s="15" t="s">
        <v>248</v>
      </c>
      <c r="Y221" s="15" t="s">
        <v>249</v>
      </c>
      <c r="Z221" s="16" t="str">
        <f aca="false">IFERROR(INDEX(Scoring!$K:$K,MATCH($C221&amp;"|"&amp;$E221,Scoring!$U:$U,0)),"")</f>
        <v/>
      </c>
      <c r="AA221" s="15" t="str">
        <f aca="false">IFERROR(INDEX(Scoring!$Q:$Q,MATCH($C221&amp;"|"&amp;$E221,Scoring!$U:$U,0)),"")</f>
        <v>Excluded – IV only</v>
      </c>
      <c r="AB221" s="15" t="str">
        <f aca="false">IFERROR(INDEX(Scoring!$AK:$AK,MATCH($C221&amp;"|"&amp;$E221,Scoring!$U:$U,0)),"")</f>
        <v>Excluded – IV only</v>
      </c>
      <c r="AC221" s="18" t="n">
        <f aca="false">IFERROR(INDEX(Scoring!$M:$M,MATCH($C221&amp;"|"&amp;$E221,Scoring!$U:$U,0)),"")</f>
        <v>107</v>
      </c>
      <c r="AD221" s="15" t="str">
        <f aca="false">IFERROR(INDEX('Route of Administration'!$C$5:$C$155,MATCH($C221,'Route of Administration'!$A$5:$A$155,0)),"")</f>
        <v>IV</v>
      </c>
      <c r="AE221" s="14" t="str">
        <f aca="false">IFERROR(INDEX('Route of Administration'!$D$5:$D$155,MATCH($C221,'Route of Administration'!$A$5:$A$155,0)),"")</f>
        <v>No</v>
      </c>
    </row>
    <row r="222" customFormat="false" ht="95.5" hidden="false" customHeight="false" outlineLevel="0" collapsed="false">
      <c r="B222" s="15" t="n">
        <v>220</v>
      </c>
      <c r="C222" s="15" t="s">
        <v>296</v>
      </c>
      <c r="D222" s="15" t="s">
        <v>1963</v>
      </c>
      <c r="E222" s="15" t="s">
        <v>664</v>
      </c>
      <c r="F222" s="15" t="s">
        <v>1771</v>
      </c>
      <c r="G222" s="16" t="s">
        <v>1772</v>
      </c>
      <c r="H222" s="15" t="s">
        <v>1505</v>
      </c>
      <c r="I222" s="17" t="n">
        <v>10.241</v>
      </c>
      <c r="J222" s="15" t="n">
        <v>1</v>
      </c>
      <c r="K222" s="15" t="n">
        <v>762</v>
      </c>
      <c r="L222" s="18" t="n">
        <v>50865.56</v>
      </c>
      <c r="M222" s="16" t="s">
        <v>297</v>
      </c>
      <c r="N222" s="17" t="n">
        <v>10.241</v>
      </c>
      <c r="O222" s="15" t="s">
        <v>1506</v>
      </c>
      <c r="P222" s="15" t="s">
        <v>1672</v>
      </c>
      <c r="Q222" s="16" t="s">
        <v>1508</v>
      </c>
      <c r="R222" s="32" t="s">
        <v>1769</v>
      </c>
      <c r="S222" s="37" t="n">
        <f aca="false">IFERROR(INDEX('Injectable Value'!$Z$28:$Z$178,MATCH($C222,'Injectable Value'!$A$28:$A$178,0)),"")</f>
        <v>0.829278792417718</v>
      </c>
      <c r="T222" s="18" t="n">
        <f aca="false">IFERROR(ROUND(INDEX('Injectable Value'!$AA$28:$AA$178,MATCH($C222,'Injectable Value'!$A$28:$A$178,0)),1),"")</f>
        <v>42181.7</v>
      </c>
      <c r="U222" s="16" t="s">
        <v>667</v>
      </c>
      <c r="V222" s="15" t="n">
        <v>34</v>
      </c>
      <c r="W222" s="15" t="s">
        <v>663</v>
      </c>
      <c r="X222" s="15" t="s">
        <v>248</v>
      </c>
      <c r="Y222" s="15" t="s">
        <v>299</v>
      </c>
      <c r="Z222" s="16" t="str">
        <f aca="false">IFERROR(INDEX(Scoring!$K:$K,MATCH($C222&amp;"|"&amp;$E222,Scoring!$U:$U,0)),"")</f>
        <v>Cancer drug (cytotoxic) – less relevant; Reconstitution</v>
      </c>
      <c r="AA222" s="15" t="str">
        <f aca="false">IFERROR(INDEX(Scoring!$Q:$Q,MATCH($C222&amp;"|"&amp;$E222,Scoring!$U:$U,0)),"")</f>
        <v>Priority 1</v>
      </c>
      <c r="AB222" s="15" t="str">
        <f aca="false">IFERROR(INDEX(Scoring!$AK:$AK,MATCH($C222&amp;"|"&amp;$E222,Scoring!$U:$U,0)),"")</f>
        <v>Priority 1</v>
      </c>
      <c r="AC222" s="18" t="n">
        <f aca="false">IFERROR(INDEX(Scoring!$M:$M,MATCH($C222&amp;"|"&amp;$E222,Scoring!$U:$U,0)),"")</f>
        <v>632</v>
      </c>
      <c r="AD222" s="15" t="str">
        <f aca="false">IFERROR(INDEX('Route of Administration'!$C$5:$C$155,MATCH($C222,'Route of Administration'!$A$5:$A$155,0)),"")</f>
        <v>IV, SC</v>
      </c>
      <c r="AE222" s="14" t="str">
        <f aca="false">IFERROR(INDEX('Route of Administration'!$D$5:$D$155,MATCH($C222,'Route of Administration'!$A$5:$A$155,0)),"")</f>
        <v>Yes</v>
      </c>
    </row>
    <row r="223" customFormat="false" ht="28.35" hidden="false" customHeight="false" outlineLevel="0" collapsed="false">
      <c r="B223" s="15" t="n">
        <v>221</v>
      </c>
      <c r="C223" s="15" t="s">
        <v>694</v>
      </c>
      <c r="D223" s="15" t="s">
        <v>1964</v>
      </c>
      <c r="E223" s="15" t="s">
        <v>664</v>
      </c>
      <c r="F223" s="15" t="s">
        <v>1965</v>
      </c>
      <c r="G223" s="16" t="s">
        <v>1966</v>
      </c>
      <c r="H223" s="15" t="s">
        <v>1505</v>
      </c>
      <c r="I223" s="17" t="n">
        <v>308.77</v>
      </c>
      <c r="J223" s="15" t="n">
        <v>1</v>
      </c>
      <c r="K223" s="15" t="n">
        <v>42</v>
      </c>
      <c r="L223" s="18" t="n">
        <v>1874.63</v>
      </c>
      <c r="M223" s="16" t="s">
        <v>695</v>
      </c>
      <c r="N223" s="17" t="n">
        <v>308.77</v>
      </c>
      <c r="O223" s="15" t="s">
        <v>1506</v>
      </c>
      <c r="P223" s="15" t="s">
        <v>1672</v>
      </c>
      <c r="Q223" s="16" t="s">
        <v>1508</v>
      </c>
      <c r="R223" s="32" t="s">
        <v>1784</v>
      </c>
      <c r="S223" s="37" t="n">
        <f aca="false">IFERROR(INDEX('Injectable Value'!$Z$28:$Z$178,MATCH($C223,'Injectable Value'!$A$28:$A$178,0)),"")</f>
        <v>1</v>
      </c>
      <c r="T223" s="18" t="n">
        <f aca="false">IFERROR(ROUND(INDEX('Injectable Value'!$AA$28:$AA$178,MATCH($C223,'Injectable Value'!$A$28:$A$178,0)),1),"")</f>
        <v>1874.6</v>
      </c>
      <c r="U223" s="16" t="s">
        <v>700</v>
      </c>
      <c r="V223" s="15" t="n">
        <v>8</v>
      </c>
      <c r="W223" s="15" t="s">
        <v>696</v>
      </c>
      <c r="X223" s="15" t="s">
        <v>248</v>
      </c>
      <c r="Y223" s="15" t="s">
        <v>249</v>
      </c>
      <c r="Z223" s="16" t="str">
        <f aca="false">IFERROR(INDEX(Scoring!$K:$K,MATCH($C223&amp;"|"&amp;$E223,Scoring!$U:$U,0)),"")</f>
        <v>Cancer drug (cytotoxic) – less relevant</v>
      </c>
      <c r="AA223" s="15" t="str">
        <f aca="false">IFERROR(INDEX(Scoring!$Q:$Q,MATCH($C223&amp;"|"&amp;$E223,Scoring!$U:$U,0)),"")</f>
        <v>Excluded – IV only</v>
      </c>
      <c r="AB223" s="15" t="str">
        <f aca="false">IFERROR(INDEX(Scoring!$AK:$AK,MATCH($C223&amp;"|"&amp;$E223,Scoring!$U:$U,0)),"")</f>
        <v>Excluded – IV only</v>
      </c>
      <c r="AC223" s="18" t="n">
        <f aca="false">IFERROR(INDEX(Scoring!$M:$M,MATCH($C223&amp;"|"&amp;$E223,Scoring!$U:$U,0)),"")</f>
        <v>42</v>
      </c>
      <c r="AD223" s="15" t="str">
        <f aca="false">IFERROR(INDEX('Route of Administration'!$C$5:$C$155,MATCH($C223,'Route of Administration'!$A$5:$A$155,0)),"")</f>
        <v>IV</v>
      </c>
      <c r="AE223" s="14" t="str">
        <f aca="false">IFERROR(INDEX('Route of Administration'!$D$5:$D$155,MATCH($C223,'Route of Administration'!$A$5:$A$155,0)),"")</f>
        <v>No</v>
      </c>
    </row>
    <row r="224" customFormat="false" ht="55.2" hidden="false" customHeight="false" outlineLevel="0" collapsed="false">
      <c r="B224" s="15" t="n">
        <v>222</v>
      </c>
      <c r="C224" s="15" t="s">
        <v>635</v>
      </c>
      <c r="D224" s="15" t="s">
        <v>1967</v>
      </c>
      <c r="E224" s="15" t="s">
        <v>664</v>
      </c>
      <c r="F224" s="15" t="s">
        <v>1854</v>
      </c>
      <c r="G224" s="16" t="s">
        <v>1855</v>
      </c>
      <c r="H224" s="15" t="s">
        <v>1505</v>
      </c>
      <c r="I224" s="17" t="n">
        <v>6.93</v>
      </c>
      <c r="J224" s="15" t="n">
        <v>1</v>
      </c>
      <c r="K224" s="15" t="n">
        <v>346</v>
      </c>
      <c r="L224" s="18" t="n">
        <v>32830.17</v>
      </c>
      <c r="M224" s="16" t="s">
        <v>636</v>
      </c>
      <c r="N224" s="17" t="n">
        <v>6.93</v>
      </c>
      <c r="O224" s="15" t="s">
        <v>1506</v>
      </c>
      <c r="P224" s="15" t="s">
        <v>1672</v>
      </c>
      <c r="Q224" s="16" t="s">
        <v>1846</v>
      </c>
      <c r="R224" s="32" t="s">
        <v>1968</v>
      </c>
      <c r="S224" s="37" t="n">
        <f aca="false">IFERROR(INDEX('Injectable Value'!$Z$28:$Z$178,MATCH($C224,'Injectable Value'!$A$28:$A$178,0)),"")</f>
        <v>1</v>
      </c>
      <c r="T224" s="18" t="n">
        <f aca="false">IFERROR(ROUND(INDEX('Injectable Value'!$AA$28:$AA$178,MATCH($C224,'Injectable Value'!$A$28:$A$178,0)),1),"")</f>
        <v>32830.2</v>
      </c>
      <c r="U224" s="16" t="s">
        <v>731</v>
      </c>
      <c r="V224" s="15" t="n">
        <v>21</v>
      </c>
      <c r="W224" s="15" t="s">
        <v>729</v>
      </c>
      <c r="X224" s="15" t="s">
        <v>248</v>
      </c>
      <c r="Y224" s="15" t="s">
        <v>249</v>
      </c>
      <c r="Z224" s="16" t="str">
        <f aca="false">IFERROR(INDEX(Scoring!$K:$K,MATCH($C224&amp;"|"&amp;$E224,Scoring!$U:$U,0)),"")</f>
        <v/>
      </c>
      <c r="AA224" s="15" t="str">
        <f aca="false">IFERROR(INDEX(Scoring!$Q:$Q,MATCH($C224&amp;"|"&amp;$E224,Scoring!$U:$U,0)),"")</f>
        <v>Excluded – IV only</v>
      </c>
      <c r="AB224" s="15" t="str">
        <f aca="false">IFERROR(INDEX(Scoring!$AK:$AK,MATCH($C224&amp;"|"&amp;$E224,Scoring!$U:$U,0)),"")</f>
        <v>Excluded – IV only</v>
      </c>
      <c r="AC224" s="18" t="n">
        <f aca="false">IFERROR(INDEX(Scoring!$M:$M,MATCH($C224&amp;"|"&amp;$E224,Scoring!$U:$U,0)),"")</f>
        <v>346</v>
      </c>
      <c r="AD224" s="15" t="str">
        <f aca="false">IFERROR(INDEX('Route of Administration'!$C$5:$C$155,MATCH($C224,'Route of Administration'!$A$5:$A$155,0)),"")</f>
        <v>IV</v>
      </c>
      <c r="AE224" s="14" t="str">
        <f aca="false">IFERROR(INDEX('Route of Administration'!$D$5:$D$155,MATCH($C224,'Route of Administration'!$A$5:$A$155,0)),"")</f>
        <v>No</v>
      </c>
    </row>
    <row r="225" customFormat="false" ht="41.75" hidden="false" customHeight="false" outlineLevel="0" collapsed="false">
      <c r="B225" s="15" t="n">
        <v>223</v>
      </c>
      <c r="C225" s="15" t="s">
        <v>262</v>
      </c>
      <c r="D225" s="15" t="s">
        <v>1969</v>
      </c>
      <c r="E225" s="15" t="s">
        <v>664</v>
      </c>
      <c r="F225" s="15" t="s">
        <v>1970</v>
      </c>
      <c r="G225" s="16" t="s">
        <v>1699</v>
      </c>
      <c r="H225" s="15" t="s">
        <v>1512</v>
      </c>
      <c r="I225" s="17" t="n">
        <v>87.27</v>
      </c>
      <c r="J225" s="15" t="n">
        <v>1</v>
      </c>
      <c r="K225" s="15" t="n">
        <v>146</v>
      </c>
      <c r="L225" s="18" t="n">
        <v>11366.06</v>
      </c>
      <c r="M225" s="16" t="s">
        <v>263</v>
      </c>
      <c r="N225" s="17" t="n">
        <v>87.27</v>
      </c>
      <c r="O225" s="15" t="s">
        <v>1506</v>
      </c>
      <c r="P225" s="15" t="s">
        <v>1672</v>
      </c>
      <c r="Q225" s="16" t="s">
        <v>1846</v>
      </c>
      <c r="R225" s="32" t="s">
        <v>1971</v>
      </c>
      <c r="S225" s="37" t="n">
        <f aca="false">IFERROR(INDEX('Injectable Value'!$Z$28:$Z$178,MATCH($C225,'Injectable Value'!$A$28:$A$178,0)),"")</f>
        <v>1</v>
      </c>
      <c r="T225" s="18" t="n">
        <f aca="false">IFERROR(ROUND(INDEX('Injectable Value'!$AA$28:$AA$178,MATCH($C225,'Injectable Value'!$A$28:$A$178,0)),1),"")</f>
        <v>11366.1</v>
      </c>
      <c r="U225" s="16" t="s">
        <v>709</v>
      </c>
      <c r="V225" s="15" t="n">
        <v>14</v>
      </c>
      <c r="W225" s="15" t="s">
        <v>707</v>
      </c>
      <c r="X225" s="15" t="s">
        <v>258</v>
      </c>
      <c r="Y225" s="15" t="s">
        <v>249</v>
      </c>
      <c r="Z225" s="16" t="str">
        <f aca="false">IFERROR(INDEX(Scoring!$K:$K,MATCH($C225&amp;"|"&amp;$E225,Scoring!$U:$U,0)),"")</f>
        <v>Prefilled only</v>
      </c>
      <c r="AA225" s="15" t="str">
        <f aca="false">IFERROR(INDEX(Scoring!$Q:$Q,MATCH($C225&amp;"|"&amp;$E225,Scoring!$U:$U,0)),"")</f>
        <v>Priority 1</v>
      </c>
      <c r="AB225" s="15" t="str">
        <f aca="false">IFERROR(INDEX(Scoring!$AK:$AK,MATCH($C225&amp;"|"&amp;$E225,Scoring!$U:$U,0)),"")</f>
        <v>Priority 2</v>
      </c>
      <c r="AC225" s="18" t="n">
        <f aca="false">IFERROR(INDEX(Scoring!$M:$M,MATCH($C225&amp;"|"&amp;$E225,Scoring!$U:$U,0)),"")</f>
        <v>146</v>
      </c>
      <c r="AD225" s="15" t="str">
        <f aca="false">IFERROR(INDEX('Route of Administration'!$C$5:$C$155,MATCH($C225,'Route of Administration'!$A$5:$A$155,0)),"")</f>
        <v>IM</v>
      </c>
      <c r="AE225" s="14" t="str">
        <f aca="false">IFERROR(INDEX('Route of Administration'!$D$5:$D$155,MATCH($C225,'Route of Administration'!$A$5:$A$155,0)),"")</f>
        <v>Yes</v>
      </c>
    </row>
    <row r="226" customFormat="false" ht="41.75" hidden="false" customHeight="false" outlineLevel="0" collapsed="false">
      <c r="B226" s="15" t="n">
        <v>224</v>
      </c>
      <c r="C226" s="15" t="s">
        <v>305</v>
      </c>
      <c r="D226" s="15" t="s">
        <v>1972</v>
      </c>
      <c r="E226" s="15" t="s">
        <v>664</v>
      </c>
      <c r="F226" s="15" t="s">
        <v>1857</v>
      </c>
      <c r="G226" s="16" t="s">
        <v>1973</v>
      </c>
      <c r="H226" s="15" t="s">
        <v>1505</v>
      </c>
      <c r="I226" s="17" t="n">
        <v>102.85</v>
      </c>
      <c r="J226" s="15" t="n">
        <v>1</v>
      </c>
      <c r="K226" s="15" t="n">
        <v>905</v>
      </c>
      <c r="L226" s="18" t="n">
        <v>28093.38</v>
      </c>
      <c r="M226" s="16" t="s">
        <v>306</v>
      </c>
      <c r="N226" s="17" t="n">
        <v>102.85</v>
      </c>
      <c r="O226" s="15" t="s">
        <v>1506</v>
      </c>
      <c r="P226" s="15" t="s">
        <v>1672</v>
      </c>
      <c r="Q226" s="16" t="s">
        <v>1846</v>
      </c>
      <c r="R226" s="32" t="s">
        <v>1974</v>
      </c>
      <c r="S226" s="37" t="n">
        <f aca="false">IFERROR(INDEX('Injectable Value'!$Z$28:$Z$178,MATCH($C226,'Injectable Value'!$A$28:$A$178,0)),"")</f>
        <v>1</v>
      </c>
      <c r="T226" s="18" t="n">
        <f aca="false">IFERROR(ROUND(INDEX('Injectable Value'!$AA$28:$AA$178,MATCH($C226,'Injectable Value'!$A$28:$A$178,0)),1),"")</f>
        <v>28093.4</v>
      </c>
      <c r="U226" s="16" t="s">
        <v>676</v>
      </c>
      <c r="V226" s="15" t="n">
        <v>18</v>
      </c>
      <c r="W226" s="15" t="s">
        <v>673</v>
      </c>
      <c r="X226" s="15" t="s">
        <v>248</v>
      </c>
      <c r="Y226" s="15" t="s">
        <v>249</v>
      </c>
      <c r="Z226" s="16" t="str">
        <f aca="false">IFERROR(INDEX(Scoring!$K:$K,MATCH($C226&amp;"|"&amp;$E226,Scoring!$U:$U,0)),"")</f>
        <v>Cancer drug (cytotoxic) – less relevant; Reconstitution</v>
      </c>
      <c r="AA226" s="15" t="str">
        <f aca="false">IFERROR(INDEX(Scoring!$Q:$Q,MATCH($C226&amp;"|"&amp;$E226,Scoring!$U:$U,0)),"")</f>
        <v>Priority 1</v>
      </c>
      <c r="AB226" s="15" t="str">
        <f aca="false">IFERROR(INDEX(Scoring!$AK:$AK,MATCH($C226&amp;"|"&amp;$E226,Scoring!$U:$U,0)),"")</f>
        <v>Priority 1</v>
      </c>
      <c r="AC226" s="18" t="n">
        <f aca="false">IFERROR(INDEX(Scoring!$M:$M,MATCH($C226&amp;"|"&amp;$E226,Scoring!$U:$U,0)),"")</f>
        <v>905</v>
      </c>
      <c r="AD226" s="15" t="str">
        <f aca="false">IFERROR(INDEX('Route of Administration'!$C$5:$C$155,MATCH($C226,'Route of Administration'!$A$5:$A$155,0)),"")</f>
        <v>IV, SC</v>
      </c>
      <c r="AE226" s="14" t="str">
        <f aca="false">IFERROR(INDEX('Route of Administration'!$D$5:$D$155,MATCH($C226,'Route of Administration'!$A$5:$A$155,0)),"")</f>
        <v>Yes</v>
      </c>
    </row>
    <row r="227" customFormat="false" ht="95.5" hidden="false" customHeight="false" outlineLevel="0" collapsed="false">
      <c r="B227" s="15" t="n">
        <v>225</v>
      </c>
      <c r="C227" s="15" t="s">
        <v>296</v>
      </c>
      <c r="D227" s="15" t="s">
        <v>1975</v>
      </c>
      <c r="E227" s="15" t="s">
        <v>664</v>
      </c>
      <c r="F227" s="15" t="s">
        <v>1976</v>
      </c>
      <c r="G227" s="16" t="s">
        <v>1977</v>
      </c>
      <c r="H227" s="15" t="s">
        <v>1505</v>
      </c>
      <c r="I227" s="17" t="n">
        <v>129.54</v>
      </c>
      <c r="J227" s="15" t="n">
        <v>1</v>
      </c>
      <c r="K227" s="15" t="n">
        <v>762</v>
      </c>
      <c r="L227" s="18" t="n">
        <v>50865.56</v>
      </c>
      <c r="M227" s="16" t="s">
        <v>297</v>
      </c>
      <c r="N227" s="17" t="n">
        <v>129.54</v>
      </c>
      <c r="O227" s="15" t="s">
        <v>1506</v>
      </c>
      <c r="P227" s="15" t="s">
        <v>1672</v>
      </c>
      <c r="Q227" s="16" t="s">
        <v>1508</v>
      </c>
      <c r="R227" s="32" t="s">
        <v>1784</v>
      </c>
      <c r="S227" s="37" t="n">
        <f aca="false">IFERROR(INDEX('Injectable Value'!$Z$28:$Z$178,MATCH($C227,'Injectable Value'!$A$28:$A$178,0)),"")</f>
        <v>0.829278792417718</v>
      </c>
      <c r="T227" s="18" t="n">
        <f aca="false">IFERROR(ROUND(INDEX('Injectable Value'!$AA$28:$AA$178,MATCH($C227,'Injectable Value'!$A$28:$A$178,0)),1),"")</f>
        <v>42181.7</v>
      </c>
      <c r="U227" s="16" t="s">
        <v>667</v>
      </c>
      <c r="V227" s="15" t="n">
        <v>34</v>
      </c>
      <c r="W227" s="15" t="s">
        <v>663</v>
      </c>
      <c r="X227" s="15" t="s">
        <v>248</v>
      </c>
      <c r="Y227" s="15" t="s">
        <v>324</v>
      </c>
      <c r="Z227" s="16" t="str">
        <f aca="false">IFERROR(INDEX(Scoring!$K:$K,MATCH($C227&amp;"|"&amp;$E227,Scoring!$U:$U,0)),"")</f>
        <v>Cancer drug (cytotoxic) – less relevant; Reconstitution</v>
      </c>
      <c r="AA227" s="15" t="str">
        <f aca="false">IFERROR(INDEX(Scoring!$Q:$Q,MATCH($C227&amp;"|"&amp;$E227,Scoring!$U:$U,0)),"")</f>
        <v>Priority 1</v>
      </c>
      <c r="AB227" s="15" t="str">
        <f aca="false">IFERROR(INDEX(Scoring!$AK:$AK,MATCH($C227&amp;"|"&amp;$E227,Scoring!$U:$U,0)),"")</f>
        <v>Priority 1</v>
      </c>
      <c r="AC227" s="18" t="n">
        <f aca="false">IFERROR(INDEX(Scoring!$M:$M,MATCH($C227&amp;"|"&amp;$E227,Scoring!$U:$U,0)),"")</f>
        <v>632</v>
      </c>
      <c r="AD227" s="15" t="str">
        <f aca="false">IFERROR(INDEX('Route of Administration'!$C$5:$C$155,MATCH($C227,'Route of Administration'!$A$5:$A$155,0)),"")</f>
        <v>IV, SC</v>
      </c>
      <c r="AE227" s="14" t="str">
        <f aca="false">IFERROR(INDEX('Route of Administration'!$D$5:$D$155,MATCH($C227,'Route of Administration'!$A$5:$A$155,0)),"")</f>
        <v>Yes</v>
      </c>
    </row>
    <row r="228" customFormat="false" ht="28.35" hidden="false" customHeight="false" outlineLevel="0" collapsed="false">
      <c r="B228" s="15" t="n">
        <v>226</v>
      </c>
      <c r="C228" s="15" t="s">
        <v>296</v>
      </c>
      <c r="D228" s="15" t="s">
        <v>1978</v>
      </c>
      <c r="E228" s="15" t="s">
        <v>741</v>
      </c>
      <c r="F228" s="15" t="s">
        <v>1661</v>
      </c>
      <c r="G228" s="16" t="s">
        <v>1662</v>
      </c>
      <c r="H228" s="15" t="s">
        <v>1505</v>
      </c>
      <c r="I228" s="17" t="n">
        <v>424.36</v>
      </c>
      <c r="J228" s="15" t="n">
        <v>1</v>
      </c>
      <c r="K228" s="15" t="n">
        <v>762</v>
      </c>
      <c r="L228" s="18" t="n">
        <v>50865.56</v>
      </c>
      <c r="M228" s="16" t="s">
        <v>297</v>
      </c>
      <c r="N228" s="17" t="n">
        <v>424.36</v>
      </c>
      <c r="O228" s="15" t="s">
        <v>1506</v>
      </c>
      <c r="P228" s="15" t="s">
        <v>1672</v>
      </c>
      <c r="Q228" s="16" t="s">
        <v>1508</v>
      </c>
      <c r="R228" s="32" t="s">
        <v>1979</v>
      </c>
      <c r="S228" s="37" t="n">
        <f aca="false">IFERROR(INDEX('Injectable Value'!$Z$28:$Z$178,MATCH($C228,'Injectable Value'!$A$28:$A$178,0)),"")</f>
        <v>0.829278792417718</v>
      </c>
      <c r="T228" s="18" t="n">
        <f aca="false">IFERROR(ROUND(INDEX('Injectable Value'!$AA$28:$AA$178,MATCH($C228,'Injectable Value'!$A$28:$A$178,0)),1),"")</f>
        <v>42181.7</v>
      </c>
      <c r="U228" s="16" t="s">
        <v>756</v>
      </c>
      <c r="V228" s="15" t="n">
        <v>11</v>
      </c>
      <c r="W228" s="15" t="s">
        <v>754</v>
      </c>
      <c r="X228" s="15" t="s">
        <v>248</v>
      </c>
      <c r="Y228" s="15" t="s">
        <v>299</v>
      </c>
      <c r="Z228" s="16" t="str">
        <f aca="false">IFERROR(INDEX(Scoring!$K:$K,MATCH($C228&amp;"|"&amp;$E228,Scoring!$U:$U,0)),"")</f>
        <v>Cancer drug (cytotoxic) – less relevant; Reconstitution</v>
      </c>
      <c r="AA228" s="15" t="str">
        <f aca="false">IFERROR(INDEX(Scoring!$Q:$Q,MATCH($C228&amp;"|"&amp;$E228,Scoring!$U:$U,0)),"")</f>
        <v>Priority 1</v>
      </c>
      <c r="AB228" s="15" t="str">
        <f aca="false">IFERROR(INDEX(Scoring!$AK:$AK,MATCH($C228&amp;"|"&amp;$E228,Scoring!$U:$U,0)),"")</f>
        <v>Priority 1</v>
      </c>
      <c r="AC228" s="18" t="n">
        <f aca="false">IFERROR(INDEX(Scoring!$M:$M,MATCH($C228&amp;"|"&amp;$E228,Scoring!$U:$U,0)),"")</f>
        <v>632</v>
      </c>
      <c r="AD228" s="15" t="str">
        <f aca="false">IFERROR(INDEX('Route of Administration'!$C$5:$C$155,MATCH($C228,'Route of Administration'!$A$5:$A$155,0)),"")</f>
        <v>IV, SC</v>
      </c>
      <c r="AE228" s="14" t="str">
        <f aca="false">IFERROR(INDEX('Route of Administration'!$D$5:$D$155,MATCH($C228,'Route of Administration'!$A$5:$A$155,0)),"")</f>
        <v>Yes</v>
      </c>
    </row>
    <row r="229" customFormat="false" ht="28.35" hidden="false" customHeight="false" outlineLevel="0" collapsed="false">
      <c r="B229" s="15" t="n">
        <v>227</v>
      </c>
      <c r="C229" s="15" t="s">
        <v>635</v>
      </c>
      <c r="D229" s="15" t="s">
        <v>635</v>
      </c>
      <c r="E229" s="15" t="s">
        <v>741</v>
      </c>
      <c r="F229" s="15" t="s">
        <v>1732</v>
      </c>
      <c r="G229" s="16" t="s">
        <v>1855</v>
      </c>
      <c r="H229" s="15" t="s">
        <v>1505</v>
      </c>
      <c r="I229" s="17" t="n">
        <v>56.77</v>
      </c>
      <c r="J229" s="15" t="n">
        <v>1</v>
      </c>
      <c r="K229" s="15" t="n">
        <v>346</v>
      </c>
      <c r="L229" s="18" t="n">
        <v>32830.17</v>
      </c>
      <c r="M229" s="16" t="s">
        <v>636</v>
      </c>
      <c r="N229" s="17" t="n">
        <v>56.77</v>
      </c>
      <c r="O229" s="15" t="s">
        <v>1506</v>
      </c>
      <c r="P229" s="15" t="s">
        <v>1672</v>
      </c>
      <c r="Q229" s="16" t="s">
        <v>1508</v>
      </c>
      <c r="R229" s="32" t="s">
        <v>1980</v>
      </c>
      <c r="S229" s="37" t="n">
        <f aca="false">IFERROR(INDEX('Injectable Value'!$Z$28:$Z$178,MATCH($C229,'Injectable Value'!$A$28:$A$178,0)),"")</f>
        <v>1</v>
      </c>
      <c r="T229" s="18" t="n">
        <f aca="false">IFERROR(ROUND(INDEX('Injectable Value'!$AA$28:$AA$178,MATCH($C229,'Injectable Value'!$A$28:$A$178,0)),1),"")</f>
        <v>32830.2</v>
      </c>
      <c r="U229" s="16" t="s">
        <v>815</v>
      </c>
      <c r="V229" s="15" t="n">
        <v>7</v>
      </c>
      <c r="W229" s="15" t="s">
        <v>754</v>
      </c>
      <c r="X229" s="15" t="s">
        <v>248</v>
      </c>
      <c r="Y229" s="15" t="s">
        <v>249</v>
      </c>
      <c r="Z229" s="16" t="str">
        <f aca="false">IFERROR(INDEX(Scoring!$K:$K,MATCH($C229&amp;"|"&amp;$E229,Scoring!$U:$U,0)),"")</f>
        <v/>
      </c>
      <c r="AA229" s="15" t="str">
        <f aca="false">IFERROR(INDEX(Scoring!$Q:$Q,MATCH($C229&amp;"|"&amp;$E229,Scoring!$U:$U,0)),"")</f>
        <v>Excluded – IV only</v>
      </c>
      <c r="AB229" s="15" t="str">
        <f aca="false">IFERROR(INDEX(Scoring!$AK:$AK,MATCH($C229&amp;"|"&amp;$E229,Scoring!$U:$U,0)),"")</f>
        <v>Excluded – IV only</v>
      </c>
      <c r="AC229" s="18" t="n">
        <f aca="false">IFERROR(INDEX(Scoring!$M:$M,MATCH($C229&amp;"|"&amp;$E229,Scoring!$U:$U,0)),"")</f>
        <v>346</v>
      </c>
      <c r="AD229" s="15" t="str">
        <f aca="false">IFERROR(INDEX('Route of Administration'!$C$5:$C$155,MATCH($C229,'Route of Administration'!$A$5:$A$155,0)),"")</f>
        <v>IV</v>
      </c>
      <c r="AE229" s="14" t="str">
        <f aca="false">IFERROR(INDEX('Route of Administration'!$D$5:$D$155,MATCH($C229,'Route of Administration'!$A$5:$A$155,0)),"")</f>
        <v>No</v>
      </c>
    </row>
    <row r="230" customFormat="false" ht="28.35" hidden="false" customHeight="false" outlineLevel="0" collapsed="false">
      <c r="B230" s="15" t="n">
        <v>228</v>
      </c>
      <c r="C230" s="15" t="s">
        <v>356</v>
      </c>
      <c r="D230" s="15" t="s">
        <v>1981</v>
      </c>
      <c r="E230" s="15" t="s">
        <v>741</v>
      </c>
      <c r="F230" s="15" t="s">
        <v>1807</v>
      </c>
      <c r="G230" s="16" t="s">
        <v>1982</v>
      </c>
      <c r="H230" s="15" t="s">
        <v>1505</v>
      </c>
      <c r="I230" s="17" t="n">
        <v>81.96</v>
      </c>
      <c r="J230" s="15" t="n">
        <v>1</v>
      </c>
      <c r="K230" s="15" t="n">
        <v>312</v>
      </c>
      <c r="L230" s="18" t="n">
        <v>59827.18</v>
      </c>
      <c r="M230" s="16" t="s">
        <v>357</v>
      </c>
      <c r="N230" s="17" t="n">
        <v>81.96</v>
      </c>
      <c r="O230" s="15" t="s">
        <v>1506</v>
      </c>
      <c r="P230" s="15" t="s">
        <v>1672</v>
      </c>
      <c r="Q230" s="16" t="s">
        <v>1508</v>
      </c>
      <c r="R230" s="32" t="s">
        <v>1983</v>
      </c>
      <c r="S230" s="37" t="n">
        <f aca="false">IFERROR(INDEX('Injectable Value'!$Z$28:$Z$178,MATCH($C230,'Injectable Value'!$A$28:$A$178,0)),"")</f>
        <v>1</v>
      </c>
      <c r="T230" s="18" t="n">
        <f aca="false">IFERROR(ROUND(INDEX('Injectable Value'!$AA$28:$AA$178,MATCH($C230,'Injectable Value'!$A$28:$A$178,0)),1),"")</f>
        <v>59827.2</v>
      </c>
      <c r="U230" s="16" t="s">
        <v>768</v>
      </c>
      <c r="V230" s="15" t="n">
        <v>5</v>
      </c>
      <c r="W230" s="15" t="s">
        <v>766</v>
      </c>
      <c r="X230" s="15" t="s">
        <v>248</v>
      </c>
      <c r="Y230" s="15" t="s">
        <v>277</v>
      </c>
      <c r="Z230" s="16" t="str">
        <f aca="false">IFERROR(INDEX(Scoring!$K:$K,MATCH($C230&amp;"|"&amp;$E230,Scoring!$U:$U,0)),"")</f>
        <v>Reconstitution</v>
      </c>
      <c r="AA230" s="15" t="str">
        <f aca="false">IFERROR(INDEX(Scoring!$Q:$Q,MATCH($C230&amp;"|"&amp;$E230,Scoring!$U:$U,0)),"")</f>
        <v>Excluded – IV only</v>
      </c>
      <c r="AB230" s="15" t="str">
        <f aca="false">IFERROR(INDEX(Scoring!$AK:$AK,MATCH($C230&amp;"|"&amp;$E230,Scoring!$U:$U,0)),"")</f>
        <v>Excluded – IV only</v>
      </c>
      <c r="AC230" s="18" t="n">
        <f aca="false">IFERROR(INDEX(Scoring!$M:$M,MATCH($C230&amp;"|"&amp;$E230,Scoring!$U:$U,0)),"")</f>
        <v>312</v>
      </c>
      <c r="AD230" s="15" t="str">
        <f aca="false">IFERROR(INDEX('Route of Administration'!$C$5:$C$155,MATCH($C230,'Route of Administration'!$A$5:$A$155,0)),"")</f>
        <v>IV</v>
      </c>
      <c r="AE230" s="14" t="str">
        <f aca="false">IFERROR(INDEX('Route of Administration'!$D$5:$D$155,MATCH($C230,'Route of Administration'!$A$5:$A$155,0)),"")</f>
        <v>No</v>
      </c>
    </row>
    <row r="231" customFormat="false" ht="28.35" hidden="false" customHeight="false" outlineLevel="0" collapsed="false">
      <c r="B231" s="15" t="n">
        <v>229</v>
      </c>
      <c r="C231" s="15" t="s">
        <v>510</v>
      </c>
      <c r="D231" s="15" t="s">
        <v>510</v>
      </c>
      <c r="E231" s="15" t="s">
        <v>741</v>
      </c>
      <c r="F231" s="15" t="s">
        <v>1658</v>
      </c>
      <c r="G231" s="16" t="s">
        <v>1659</v>
      </c>
      <c r="H231" s="15" t="s">
        <v>1505</v>
      </c>
      <c r="I231" s="17" t="n">
        <v>5023.6</v>
      </c>
      <c r="J231" s="15" t="n">
        <v>1</v>
      </c>
      <c r="K231" s="15" t="n">
        <v>47</v>
      </c>
      <c r="L231" s="18" t="n">
        <v>7904.67</v>
      </c>
      <c r="M231" s="16" t="s">
        <v>511</v>
      </c>
      <c r="N231" s="17" t="n">
        <v>5023.6</v>
      </c>
      <c r="O231" s="15" t="s">
        <v>1506</v>
      </c>
      <c r="P231" s="15" t="s">
        <v>1672</v>
      </c>
      <c r="Q231" s="16" t="s">
        <v>1508</v>
      </c>
      <c r="R231" s="32" t="s">
        <v>1984</v>
      </c>
      <c r="S231" s="37" t="n">
        <f aca="false">IFERROR(INDEX('Injectable Value'!$Z$28:$Z$178,MATCH($C231,'Injectable Value'!$A$28:$A$178,0)),"")</f>
        <v>1</v>
      </c>
      <c r="T231" s="18" t="n">
        <f aca="false">IFERROR(ROUND(INDEX('Injectable Value'!$AA$28:$AA$178,MATCH($C231,'Injectable Value'!$A$28:$A$178,0)),1),"")</f>
        <v>7904.7</v>
      </c>
      <c r="U231" s="16" t="s">
        <v>808</v>
      </c>
      <c r="V231" s="15" t="n">
        <v>4</v>
      </c>
      <c r="W231" s="15" t="s">
        <v>766</v>
      </c>
      <c r="X231" s="15" t="s">
        <v>248</v>
      </c>
      <c r="Y231" s="15" t="s">
        <v>249</v>
      </c>
      <c r="Z231" s="16" t="str">
        <f aca="false">IFERROR(INDEX(Scoring!$K:$K,MATCH($C231&amp;"|"&amp;$E231,Scoring!$U:$U,0)),"")</f>
        <v/>
      </c>
      <c r="AA231" s="15" t="str">
        <f aca="false">IFERROR(INDEX(Scoring!$Q:$Q,MATCH($C231&amp;"|"&amp;$E231,Scoring!$U:$U,0)),"")</f>
        <v>Priority 2</v>
      </c>
      <c r="AB231" s="15" t="str">
        <f aca="false">IFERROR(INDEX(Scoring!$AK:$AK,MATCH($C231&amp;"|"&amp;$E231,Scoring!$U:$U,0)),"")</f>
        <v>Priority 2</v>
      </c>
      <c r="AC231" s="18" t="n">
        <f aca="false">IFERROR(INDEX(Scoring!$M:$M,MATCH($C231&amp;"|"&amp;$E231,Scoring!$U:$U,0)),"")</f>
        <v>47</v>
      </c>
      <c r="AD231" s="15" t="str">
        <f aca="false">IFERROR(INDEX('Route of Administration'!$C$5:$C$155,MATCH($C231,'Route of Administration'!$A$5:$A$155,0)),"")</f>
        <v>SC</v>
      </c>
      <c r="AE231" s="14" t="str">
        <f aca="false">IFERROR(INDEX('Route of Administration'!$D$5:$D$155,MATCH($C231,'Route of Administration'!$A$5:$A$155,0)),"")</f>
        <v>Yes</v>
      </c>
    </row>
    <row r="232" customFormat="false" ht="41.75" hidden="false" customHeight="false" outlineLevel="0" collapsed="false">
      <c r="B232" s="15" t="n">
        <v>230</v>
      </c>
      <c r="C232" s="15" t="s">
        <v>799</v>
      </c>
      <c r="D232" s="15" t="s">
        <v>1985</v>
      </c>
      <c r="E232" s="15" t="s">
        <v>741</v>
      </c>
      <c r="F232" s="15" t="s">
        <v>1986</v>
      </c>
      <c r="G232" s="16" t="s">
        <v>1987</v>
      </c>
      <c r="H232" s="15" t="s">
        <v>1505</v>
      </c>
      <c r="I232" s="17" t="n">
        <v>452.12</v>
      </c>
      <c r="J232" s="15" t="n">
        <v>1</v>
      </c>
      <c r="K232" s="15" t="n">
        <v>12</v>
      </c>
      <c r="L232" s="18" t="n">
        <v>2202.64</v>
      </c>
      <c r="M232" s="16" t="s">
        <v>800</v>
      </c>
      <c r="N232" s="17" t="n">
        <v>452.12</v>
      </c>
      <c r="O232" s="15" t="s">
        <v>1506</v>
      </c>
      <c r="P232" s="15" t="s">
        <v>1672</v>
      </c>
      <c r="Q232" s="16" t="s">
        <v>1508</v>
      </c>
      <c r="R232" s="32" t="s">
        <v>1988</v>
      </c>
      <c r="S232" s="37" t="n">
        <f aca="false">IFERROR(INDEX('Injectable Value'!$Z$28:$Z$178,MATCH($C232,'Injectable Value'!$A$28:$A$178,0)),"")</f>
        <v>0.75</v>
      </c>
      <c r="T232" s="18" t="n">
        <f aca="false">IFERROR(ROUND(INDEX('Injectable Value'!$AA$28:$AA$178,MATCH($C232,'Injectable Value'!$A$28:$A$178,0)),1),"")</f>
        <v>1652</v>
      </c>
      <c r="U232" s="16" t="s">
        <v>805</v>
      </c>
      <c r="V232" s="15" t="n">
        <v>12</v>
      </c>
      <c r="W232" s="15" t="s">
        <v>801</v>
      </c>
      <c r="X232" s="15" t="s">
        <v>248</v>
      </c>
      <c r="Y232" s="15" t="s">
        <v>299</v>
      </c>
      <c r="Z232" s="16" t="str">
        <f aca="false">IFERROR(INDEX(Scoring!$K:$K,MATCH($C232&amp;"|"&amp;$E232,Scoring!$U:$U,0)),"")</f>
        <v>Reconstitution</v>
      </c>
      <c r="AA232" s="15" t="str">
        <f aca="false">IFERROR(INDEX(Scoring!$Q:$Q,MATCH($C232&amp;"|"&amp;$E232,Scoring!$U:$U,0)),"")</f>
        <v>Priority 2</v>
      </c>
      <c r="AB232" s="15" t="str">
        <f aca="false">IFERROR(INDEX(Scoring!$AK:$AK,MATCH($C232&amp;"|"&amp;$E232,Scoring!$U:$U,0)),"")</f>
        <v>Priority 2</v>
      </c>
      <c r="AC232" s="18" t="n">
        <f aca="false">IFERROR(INDEX(Scoring!$M:$M,MATCH($C232&amp;"|"&amp;$E232,Scoring!$U:$U,0)),"")</f>
        <v>9</v>
      </c>
      <c r="AD232" s="15" t="str">
        <f aca="false">IFERROR(INDEX('Route of Administration'!$C$5:$C$155,MATCH($C232,'Route of Administration'!$A$5:$A$155,0)),"")</f>
        <v>IV, IM</v>
      </c>
      <c r="AE232" s="14" t="str">
        <f aca="false">IFERROR(INDEX('Route of Administration'!$D$5:$D$155,MATCH($C232,'Route of Administration'!$A$5:$A$155,0)),"")</f>
        <v>Yes</v>
      </c>
    </row>
    <row r="233" customFormat="false" ht="28.35" hidden="false" customHeight="false" outlineLevel="0" collapsed="false">
      <c r="B233" s="15" t="n">
        <v>231</v>
      </c>
      <c r="C233" s="15" t="s">
        <v>503</v>
      </c>
      <c r="D233" s="15" t="s">
        <v>503</v>
      </c>
      <c r="E233" s="15" t="s">
        <v>741</v>
      </c>
      <c r="F233" s="15" t="s">
        <v>1664</v>
      </c>
      <c r="G233" s="16" t="s">
        <v>1989</v>
      </c>
      <c r="H233" s="15" t="s">
        <v>1505</v>
      </c>
      <c r="I233" s="17" t="n">
        <v>6.61</v>
      </c>
      <c r="J233" s="15" t="n">
        <v>1</v>
      </c>
      <c r="K233" s="15" t="n">
        <v>3515</v>
      </c>
      <c r="L233" s="18" t="n">
        <v>140084.73</v>
      </c>
      <c r="M233" s="16" t="s">
        <v>504</v>
      </c>
      <c r="N233" s="17" t="n">
        <v>6.61</v>
      </c>
      <c r="O233" s="15" t="s">
        <v>1506</v>
      </c>
      <c r="P233" s="15" t="s">
        <v>1672</v>
      </c>
      <c r="Q233" s="16" t="s">
        <v>1508</v>
      </c>
      <c r="R233" s="32" t="s">
        <v>1666</v>
      </c>
      <c r="S233" s="37" t="n">
        <f aca="false">IFERROR(INDEX('Injectable Value'!$Z$28:$Z$178,MATCH($C233,'Injectable Value'!$A$28:$A$178,0)),"")</f>
        <v>0.251824206147514</v>
      </c>
      <c r="T233" s="18" t="n">
        <f aca="false">IFERROR(ROUND(INDEX('Injectable Value'!$AA$28:$AA$178,MATCH($C233,'Injectable Value'!$A$28:$A$178,0)),1),"")</f>
        <v>35276.7</v>
      </c>
      <c r="U233" s="16" t="s">
        <v>798</v>
      </c>
      <c r="V233" s="15" t="n">
        <v>5</v>
      </c>
      <c r="W233" s="15" t="s">
        <v>797</v>
      </c>
      <c r="X233" s="15" t="s">
        <v>248</v>
      </c>
      <c r="Y233" s="15" t="s">
        <v>299</v>
      </c>
      <c r="Z233" s="16" t="str">
        <f aca="false">IFERROR(INDEX(Scoring!$K:$K,MATCH($C233&amp;"|"&amp;$E233,Scoring!$U:$U,0)),"")</f>
        <v>Reconstitution</v>
      </c>
      <c r="AA233" s="15" t="str">
        <f aca="false">IFERROR(INDEX(Scoring!$Q:$Q,MATCH($C233&amp;"|"&amp;$E233,Scoring!$U:$U,0)),"")</f>
        <v>Excluded – IV only</v>
      </c>
      <c r="AB233" s="15" t="str">
        <f aca="false">IFERROR(INDEX(Scoring!$AK:$AK,MATCH($C233&amp;"|"&amp;$E233,Scoring!$U:$U,0)),"")</f>
        <v>Excluded – IV only</v>
      </c>
      <c r="AC233" s="18" t="n">
        <f aca="false">IFERROR(INDEX(Scoring!$M:$M,MATCH($C233&amp;"|"&amp;$E233,Scoring!$U:$U,0)),"")</f>
        <v>885</v>
      </c>
      <c r="AD233" s="15" t="str">
        <f aca="false">IFERROR(INDEX('Route of Administration'!$C$5:$C$155,MATCH($C233,'Route of Administration'!$A$5:$A$155,0)),"")</f>
        <v>IV</v>
      </c>
      <c r="AE233" s="14" t="str">
        <f aca="false">IFERROR(INDEX('Route of Administration'!$D$5:$D$155,MATCH($C233,'Route of Administration'!$A$5:$A$155,0)),"")</f>
        <v>No</v>
      </c>
    </row>
    <row r="234" customFormat="false" ht="28.35" hidden="false" customHeight="false" outlineLevel="0" collapsed="false">
      <c r="B234" s="15" t="n">
        <v>232</v>
      </c>
      <c r="C234" s="15" t="s">
        <v>789</v>
      </c>
      <c r="D234" s="15" t="s">
        <v>789</v>
      </c>
      <c r="E234" s="15" t="s">
        <v>741</v>
      </c>
      <c r="F234" s="15" t="s">
        <v>1990</v>
      </c>
      <c r="G234" s="16" t="s">
        <v>1991</v>
      </c>
      <c r="H234" s="15" t="s">
        <v>1505</v>
      </c>
      <c r="I234" s="17" t="n">
        <v>23.67</v>
      </c>
      <c r="J234" s="15" t="n">
        <v>1</v>
      </c>
      <c r="K234" s="15" t="n">
        <v>133</v>
      </c>
      <c r="L234" s="18" t="n">
        <v>4036.55</v>
      </c>
      <c r="M234" s="16" t="s">
        <v>790</v>
      </c>
      <c r="N234" s="17" t="n">
        <v>23.67</v>
      </c>
      <c r="O234" s="15" t="s">
        <v>1506</v>
      </c>
      <c r="P234" s="15" t="s">
        <v>1672</v>
      </c>
      <c r="Q234" s="16" t="s">
        <v>1508</v>
      </c>
      <c r="R234" s="32" t="s">
        <v>1992</v>
      </c>
      <c r="S234" s="37" t="n">
        <f aca="false">IFERROR(INDEX('Injectable Value'!$Z$28:$Z$178,MATCH($C234,'Injectable Value'!$A$28:$A$178,0)),"")</f>
        <v>1</v>
      </c>
      <c r="T234" s="18" t="n">
        <f aca="false">IFERROR(ROUND(INDEX('Injectable Value'!$AA$28:$AA$178,MATCH($C234,'Injectable Value'!$A$28:$A$178,0)),1),"")</f>
        <v>4036.6</v>
      </c>
      <c r="U234" s="16" t="s">
        <v>793</v>
      </c>
      <c r="V234" s="15" t="n">
        <v>7</v>
      </c>
      <c r="W234" s="15" t="s">
        <v>754</v>
      </c>
      <c r="X234" s="15" t="s">
        <v>248</v>
      </c>
      <c r="Y234" s="15" t="s">
        <v>249</v>
      </c>
      <c r="Z234" s="16" t="str">
        <f aca="false">IFERROR(INDEX(Scoring!$K:$K,MATCH($C234&amp;"|"&amp;$E234,Scoring!$U:$U,0)),"")</f>
        <v/>
      </c>
      <c r="AA234" s="15" t="str">
        <f aca="false">IFERROR(INDEX(Scoring!$Q:$Q,MATCH($C234&amp;"|"&amp;$E234,Scoring!$U:$U,0)),"")</f>
        <v>Excluded – IV only</v>
      </c>
      <c r="AB234" s="15" t="str">
        <f aca="false">IFERROR(INDEX(Scoring!$AK:$AK,MATCH($C234&amp;"|"&amp;$E234,Scoring!$U:$U,0)),"")</f>
        <v>Excluded – IV only</v>
      </c>
      <c r="AC234" s="18" t="n">
        <f aca="false">IFERROR(INDEX(Scoring!$M:$M,MATCH($C234&amp;"|"&amp;$E234,Scoring!$U:$U,0)),"")</f>
        <v>133</v>
      </c>
      <c r="AD234" s="15" t="str">
        <f aca="false">IFERROR(INDEX('Route of Administration'!$C$5:$C$155,MATCH($C234,'Route of Administration'!$A$5:$A$155,0)),"")</f>
        <v>IV</v>
      </c>
      <c r="AE234" s="14" t="str">
        <f aca="false">IFERROR(INDEX('Route of Administration'!$D$5:$D$155,MATCH($C234,'Route of Administration'!$A$5:$A$155,0)),"")</f>
        <v>No</v>
      </c>
    </row>
    <row r="235" customFormat="false" ht="41.75" hidden="false" customHeight="false" outlineLevel="0" collapsed="false">
      <c r="B235" s="15" t="n">
        <v>233</v>
      </c>
      <c r="C235" s="15" t="s">
        <v>444</v>
      </c>
      <c r="D235" s="15" t="s">
        <v>444</v>
      </c>
      <c r="E235" s="15" t="s">
        <v>741</v>
      </c>
      <c r="F235" s="15" t="s">
        <v>1993</v>
      </c>
      <c r="G235" s="16" t="s">
        <v>1994</v>
      </c>
      <c r="H235" s="15" t="s">
        <v>1505</v>
      </c>
      <c r="I235" s="17" t="n">
        <v>138.81</v>
      </c>
      <c r="J235" s="15" t="n">
        <v>1</v>
      </c>
      <c r="K235" s="15" t="n">
        <v>257</v>
      </c>
      <c r="L235" s="18" t="n">
        <v>4183.29</v>
      </c>
      <c r="M235" s="16" t="s">
        <v>445</v>
      </c>
      <c r="N235" s="17" t="n">
        <v>138.81</v>
      </c>
      <c r="O235" s="15" t="s">
        <v>1506</v>
      </c>
      <c r="P235" s="15" t="s">
        <v>1672</v>
      </c>
      <c r="Q235" s="16" t="s">
        <v>1508</v>
      </c>
      <c r="R235" s="32" t="s">
        <v>1995</v>
      </c>
      <c r="S235" s="37" t="n">
        <f aca="false">IFERROR(INDEX('Injectable Value'!$Z$28:$Z$178,MATCH($C235,'Injectable Value'!$A$28:$A$178,0)),"")</f>
        <v>0.689888576486515</v>
      </c>
      <c r="T235" s="18" t="n">
        <f aca="false">IFERROR(ROUND(INDEX('Injectable Value'!$AA$28:$AA$178,MATCH($C235,'Injectable Value'!$A$28:$A$178,0)),1),"")</f>
        <v>2886</v>
      </c>
      <c r="U235" s="16" t="s">
        <v>787</v>
      </c>
      <c r="V235" s="15" t="n">
        <v>18</v>
      </c>
      <c r="W235" s="15" t="s">
        <v>505</v>
      </c>
      <c r="X235" s="15" t="s">
        <v>248</v>
      </c>
      <c r="Y235" s="15" t="s">
        <v>249</v>
      </c>
      <c r="Z235" s="16" t="str">
        <f aca="false">IFERROR(INDEX(Scoring!$K:$K,MATCH($C235&amp;"|"&amp;$E235,Scoring!$U:$U,0)),"")</f>
        <v>Cancer drug (cytotoxic) – less relevant; Reconstitution</v>
      </c>
      <c r="AA235" s="15" t="str">
        <f aca="false">IFERROR(INDEX(Scoring!$Q:$Q,MATCH($C235&amp;"|"&amp;$E235,Scoring!$U:$U,0)),"")</f>
        <v>Excluded – IV only</v>
      </c>
      <c r="AB235" s="15" t="str">
        <f aca="false">IFERROR(INDEX(Scoring!$AK:$AK,MATCH($C235&amp;"|"&amp;$E235,Scoring!$U:$U,0)),"")</f>
        <v>Excluded – IV only</v>
      </c>
      <c r="AC235" s="18" t="n">
        <f aca="false">IFERROR(INDEX(Scoring!$M:$M,MATCH($C235&amp;"|"&amp;$E235,Scoring!$U:$U,0)),"")</f>
        <v>177</v>
      </c>
      <c r="AD235" s="15" t="str">
        <f aca="false">IFERROR(INDEX('Route of Administration'!$C$5:$C$155,MATCH($C235,'Route of Administration'!$A$5:$A$155,0)),"")</f>
        <v>IV</v>
      </c>
      <c r="AE235" s="14" t="str">
        <f aca="false">IFERROR(INDEX('Route of Administration'!$D$5:$D$155,MATCH($C235,'Route of Administration'!$A$5:$A$155,0)),"")</f>
        <v>No</v>
      </c>
    </row>
    <row r="236" customFormat="false" ht="28.35" hidden="false" customHeight="false" outlineLevel="0" collapsed="false">
      <c r="B236" s="15" t="n">
        <v>234</v>
      </c>
      <c r="C236" s="15" t="s">
        <v>745</v>
      </c>
      <c r="D236" s="15" t="s">
        <v>745</v>
      </c>
      <c r="E236" s="15" t="s">
        <v>741</v>
      </c>
      <c r="F236" s="15" t="s">
        <v>1996</v>
      </c>
      <c r="G236" s="16" t="s">
        <v>1997</v>
      </c>
      <c r="H236" s="15" t="s">
        <v>1505</v>
      </c>
      <c r="I236" s="17" t="n">
        <v>15.86</v>
      </c>
      <c r="J236" s="15" t="n">
        <v>1</v>
      </c>
      <c r="K236" s="15" t="n">
        <v>684</v>
      </c>
      <c r="L236" s="18" t="n">
        <v>8785.35</v>
      </c>
      <c r="M236" s="16" t="s">
        <v>746</v>
      </c>
      <c r="N236" s="17" t="n">
        <v>15.86</v>
      </c>
      <c r="O236" s="15" t="s">
        <v>1506</v>
      </c>
      <c r="P236" s="15" t="s">
        <v>1672</v>
      </c>
      <c r="Q236" s="16" t="s">
        <v>1508</v>
      </c>
      <c r="R236" s="32" t="s">
        <v>1998</v>
      </c>
      <c r="S236" s="37" t="n">
        <f aca="false">IFERROR(INDEX('Injectable Value'!$Z$28:$Z$178,MATCH($C236,'Injectable Value'!$A$28:$A$178,0)),"")</f>
        <v>0.959959846916369</v>
      </c>
      <c r="T236" s="18" t="n">
        <f aca="false">IFERROR(ROUND(INDEX('Injectable Value'!$AA$28:$AA$178,MATCH($C236,'Injectable Value'!$A$28:$A$178,0)),1),"")</f>
        <v>8433.6</v>
      </c>
      <c r="U236" s="16" t="s">
        <v>751</v>
      </c>
      <c r="V236" s="15" t="n">
        <v>5</v>
      </c>
      <c r="W236" s="15" t="s">
        <v>747</v>
      </c>
      <c r="X236" s="15" t="s">
        <v>248</v>
      </c>
      <c r="Y236" s="15" t="s">
        <v>249</v>
      </c>
      <c r="Z236" s="16" t="str">
        <f aca="false">IFERROR(INDEX(Scoring!$K:$K,MATCH($C236&amp;"|"&amp;$E236,Scoring!$U:$U,0)),"")</f>
        <v/>
      </c>
      <c r="AA236" s="15" t="str">
        <f aca="false">IFERROR(INDEX(Scoring!$Q:$Q,MATCH($C236&amp;"|"&amp;$E236,Scoring!$U:$U,0)),"")</f>
        <v>Priority 1</v>
      </c>
      <c r="AB236" s="15" t="str">
        <f aca="false">IFERROR(INDEX(Scoring!$AK:$AK,MATCH($C236&amp;"|"&amp;$E236,Scoring!$U:$U,0)),"")</f>
        <v>Priority 1</v>
      </c>
      <c r="AC236" s="18" t="n">
        <f aca="false">IFERROR(INDEX(Scoring!$M:$M,MATCH($C236&amp;"|"&amp;$E236,Scoring!$U:$U,0)),"")</f>
        <v>657</v>
      </c>
      <c r="AD236" s="15" t="str">
        <f aca="false">IFERROR(INDEX('Route of Administration'!$C$5:$C$155,MATCH($C236,'Route of Administration'!$A$5:$A$155,0)),"")</f>
        <v>IV, IM</v>
      </c>
      <c r="AE236" s="14" t="str">
        <f aca="false">IFERROR(INDEX('Route of Administration'!$D$5:$D$155,MATCH($C236,'Route of Administration'!$A$5:$A$155,0)),"")</f>
        <v>Yes</v>
      </c>
    </row>
    <row r="237" customFormat="false" ht="28.35" hidden="false" customHeight="false" outlineLevel="0" collapsed="false">
      <c r="B237" s="15" t="n">
        <v>235</v>
      </c>
      <c r="C237" s="15" t="s">
        <v>738</v>
      </c>
      <c r="D237" s="15" t="s">
        <v>744</v>
      </c>
      <c r="E237" s="15" t="s">
        <v>741</v>
      </c>
      <c r="F237" s="15" t="s">
        <v>1999</v>
      </c>
      <c r="G237" s="16" t="s">
        <v>1665</v>
      </c>
      <c r="H237" s="15" t="s">
        <v>1505</v>
      </c>
      <c r="I237" s="17" t="n">
        <v>19.51</v>
      </c>
      <c r="J237" s="15" t="n">
        <v>1</v>
      </c>
      <c r="K237" s="15" t="n">
        <v>310</v>
      </c>
      <c r="L237" s="18" t="n">
        <v>8995.42</v>
      </c>
      <c r="M237" s="16" t="s">
        <v>739</v>
      </c>
      <c r="N237" s="17" t="n">
        <v>19.51</v>
      </c>
      <c r="O237" s="15" t="s">
        <v>1506</v>
      </c>
      <c r="P237" s="15" t="s">
        <v>1507</v>
      </c>
      <c r="Q237" s="16" t="s">
        <v>1508</v>
      </c>
      <c r="R237" s="32" t="s">
        <v>2000</v>
      </c>
      <c r="S237" s="37" t="n">
        <f aca="false">IFERROR(INDEX('Injectable Value'!$Z$28:$Z$178,MATCH($C237,'Injectable Value'!$A$28:$A$178,0)),"")</f>
        <v>0.156211180124224</v>
      </c>
      <c r="T237" s="18" t="n">
        <f aca="false">IFERROR(ROUND(INDEX('Injectable Value'!$AA$28:$AA$178,MATCH($C237,'Injectable Value'!$A$28:$A$178,0)),1),"")</f>
        <v>1405.2</v>
      </c>
      <c r="U237" s="16" t="s">
        <v>740</v>
      </c>
      <c r="V237" s="15" t="n">
        <v>2</v>
      </c>
      <c r="W237" s="15" t="s">
        <v>740</v>
      </c>
      <c r="X237" s="15" t="s">
        <v>248</v>
      </c>
      <c r="Y237" s="15" t="s">
        <v>277</v>
      </c>
      <c r="Z237" s="16" t="str">
        <f aca="false">IFERROR(INDEX(Scoring!$K:$K,MATCH($C237&amp;"|"&amp;$E237,Scoring!$U:$U,0)),"")</f>
        <v>Reconstitution</v>
      </c>
      <c r="AA237" s="15" t="str">
        <f aca="false">IFERROR(INDEX(Scoring!$Q:$Q,MATCH($C237&amp;"|"&amp;$E237,Scoring!$U:$U,0)),"")</f>
        <v>Priority 3</v>
      </c>
      <c r="AB237" s="15" t="str">
        <f aca="false">IFERROR(INDEX(Scoring!$AK:$AK,MATCH($C237&amp;"|"&amp;$E237,Scoring!$U:$U,0)),"")</f>
        <v>Priority 2</v>
      </c>
      <c r="AC237" s="18" t="n">
        <f aca="false">IFERROR(INDEX(Scoring!$M:$M,MATCH($C237&amp;"|"&amp;$E237,Scoring!$U:$U,0)),"")</f>
        <v>48</v>
      </c>
      <c r="AD237" s="15" t="str">
        <f aca="false">IFERROR(INDEX('Route of Administration'!$C$5:$C$155,MATCH($C237,'Route of Administration'!$A$5:$A$155,0)),"")</f>
        <v>IV, IM</v>
      </c>
      <c r="AE237" s="14" t="str">
        <f aca="false">IFERROR(INDEX('Route of Administration'!$D$5:$D$155,MATCH($C237,'Route of Administration'!$A$5:$A$155,0)),"")</f>
        <v>Yes</v>
      </c>
    </row>
    <row r="238" customFormat="false" ht="28.35" hidden="false" customHeight="false" outlineLevel="0" collapsed="false">
      <c r="B238" s="15" t="n">
        <v>236</v>
      </c>
      <c r="C238" s="15" t="s">
        <v>738</v>
      </c>
      <c r="D238" s="15" t="s">
        <v>744</v>
      </c>
      <c r="E238" s="15" t="s">
        <v>741</v>
      </c>
      <c r="F238" s="15" t="s">
        <v>1703</v>
      </c>
      <c r="G238" s="16" t="s">
        <v>743</v>
      </c>
      <c r="H238" s="15" t="s">
        <v>1505</v>
      </c>
      <c r="I238" s="17" t="n">
        <v>16.1025</v>
      </c>
      <c r="J238" s="15" t="n">
        <v>26</v>
      </c>
      <c r="K238" s="15" t="n">
        <v>310</v>
      </c>
      <c r="L238" s="18" t="n">
        <v>8995.42</v>
      </c>
      <c r="M238" s="16" t="s">
        <v>739</v>
      </c>
      <c r="N238" s="17" t="n">
        <v>16.1025</v>
      </c>
      <c r="O238" s="15" t="s">
        <v>1506</v>
      </c>
      <c r="P238" s="15" t="s">
        <v>1533</v>
      </c>
      <c r="Q238" s="16" t="s">
        <v>1508</v>
      </c>
      <c r="R238" s="32" t="s">
        <v>2001</v>
      </c>
      <c r="S238" s="37" t="n">
        <f aca="false">IFERROR(INDEX('Injectable Value'!$Z$28:$Z$178,MATCH($C238,'Injectable Value'!$A$28:$A$178,0)),"")</f>
        <v>0.156211180124224</v>
      </c>
      <c r="T238" s="18" t="n">
        <f aca="false">IFERROR(ROUND(INDEX('Injectable Value'!$AA$28:$AA$178,MATCH($C238,'Injectable Value'!$A$28:$A$178,0)),1),"")</f>
        <v>1405.2</v>
      </c>
      <c r="U238" s="16" t="s">
        <v>740</v>
      </c>
      <c r="V238" s="15" t="n">
        <v>2</v>
      </c>
      <c r="W238" s="15" t="s">
        <v>740</v>
      </c>
      <c r="X238" s="15" t="s">
        <v>248</v>
      </c>
      <c r="Y238" s="15" t="s">
        <v>299</v>
      </c>
      <c r="Z238" s="16" t="str">
        <f aca="false">IFERROR(INDEX(Scoring!$K:$K,MATCH($C238&amp;"|"&amp;$E238,Scoring!$U:$U,0)),"")</f>
        <v>Reconstitution</v>
      </c>
      <c r="AA238" s="15" t="str">
        <f aca="false">IFERROR(INDEX(Scoring!$Q:$Q,MATCH($C238&amp;"|"&amp;$E238,Scoring!$U:$U,0)),"")</f>
        <v>Priority 3</v>
      </c>
      <c r="AB238" s="15" t="str">
        <f aca="false">IFERROR(INDEX(Scoring!$AK:$AK,MATCH($C238&amp;"|"&amp;$E238,Scoring!$U:$U,0)),"")</f>
        <v>Priority 2</v>
      </c>
      <c r="AC238" s="18" t="n">
        <f aca="false">IFERROR(INDEX(Scoring!$M:$M,MATCH($C238&amp;"|"&amp;$E238,Scoring!$U:$U,0)),"")</f>
        <v>48</v>
      </c>
      <c r="AD238" s="15" t="str">
        <f aca="false">IFERROR(INDEX('Route of Administration'!$C$5:$C$155,MATCH($C238,'Route of Administration'!$A$5:$A$155,0)),"")</f>
        <v>IV, IM</v>
      </c>
      <c r="AE238" s="14" t="str">
        <f aca="false">IFERROR(INDEX('Route of Administration'!$D$5:$D$155,MATCH($C238,'Route of Administration'!$A$5:$A$155,0)),"")</f>
        <v>Yes</v>
      </c>
    </row>
    <row r="239" customFormat="false" ht="28.35" hidden="false" customHeight="false" outlineLevel="0" collapsed="false">
      <c r="B239" s="15" t="n">
        <v>237</v>
      </c>
      <c r="C239" s="15" t="s">
        <v>745</v>
      </c>
      <c r="D239" s="15" t="s">
        <v>2002</v>
      </c>
      <c r="E239" s="15" t="s">
        <v>741</v>
      </c>
      <c r="F239" s="15" t="s">
        <v>2003</v>
      </c>
      <c r="G239" s="16" t="s">
        <v>1997</v>
      </c>
      <c r="H239" s="15" t="s">
        <v>1505</v>
      </c>
      <c r="I239" s="17" t="n">
        <v>5.6839</v>
      </c>
      <c r="J239" s="15" t="n">
        <v>29</v>
      </c>
      <c r="K239" s="15" t="n">
        <v>684</v>
      </c>
      <c r="L239" s="18" t="n">
        <v>8785.35</v>
      </c>
      <c r="M239" s="16" t="s">
        <v>746</v>
      </c>
      <c r="N239" s="17" t="n">
        <v>5.6839</v>
      </c>
      <c r="O239" s="15" t="s">
        <v>1506</v>
      </c>
      <c r="P239" s="15" t="s">
        <v>1533</v>
      </c>
      <c r="Q239" s="16" t="s">
        <v>1508</v>
      </c>
      <c r="R239" s="32" t="s">
        <v>1687</v>
      </c>
      <c r="S239" s="37" t="n">
        <f aca="false">IFERROR(INDEX('Injectable Value'!$Z$28:$Z$178,MATCH($C239,'Injectable Value'!$A$28:$A$178,0)),"")</f>
        <v>0.959959846916369</v>
      </c>
      <c r="T239" s="18" t="n">
        <f aca="false">IFERROR(ROUND(INDEX('Injectable Value'!$AA$28:$AA$178,MATCH($C239,'Injectable Value'!$A$28:$A$178,0)),1),"")</f>
        <v>8433.6</v>
      </c>
      <c r="U239" s="16" t="s">
        <v>751</v>
      </c>
      <c r="V239" s="15" t="n">
        <v>5</v>
      </c>
      <c r="W239" s="15" t="s">
        <v>747</v>
      </c>
      <c r="X239" s="15" t="s">
        <v>248</v>
      </c>
      <c r="Y239" s="15" t="s">
        <v>249</v>
      </c>
      <c r="Z239" s="16" t="str">
        <f aca="false">IFERROR(INDEX(Scoring!$K:$K,MATCH($C239&amp;"|"&amp;$E239,Scoring!$U:$U,0)),"")</f>
        <v/>
      </c>
      <c r="AA239" s="15" t="str">
        <f aca="false">IFERROR(INDEX(Scoring!$Q:$Q,MATCH($C239&amp;"|"&amp;$E239,Scoring!$U:$U,0)),"")</f>
        <v>Priority 1</v>
      </c>
      <c r="AB239" s="15" t="str">
        <f aca="false">IFERROR(INDEX(Scoring!$AK:$AK,MATCH($C239&amp;"|"&amp;$E239,Scoring!$U:$U,0)),"")</f>
        <v>Priority 1</v>
      </c>
      <c r="AC239" s="18" t="n">
        <f aca="false">IFERROR(INDEX(Scoring!$M:$M,MATCH($C239&amp;"|"&amp;$E239,Scoring!$U:$U,0)),"")</f>
        <v>657</v>
      </c>
      <c r="AD239" s="15" t="str">
        <f aca="false">IFERROR(INDEX('Route of Administration'!$C$5:$C$155,MATCH($C239,'Route of Administration'!$A$5:$A$155,0)),"")</f>
        <v>IV, IM</v>
      </c>
      <c r="AE239" s="14" t="str">
        <f aca="false">IFERROR(INDEX('Route of Administration'!$D$5:$D$155,MATCH($C239,'Route of Administration'!$A$5:$A$155,0)),"")</f>
        <v>Yes</v>
      </c>
    </row>
    <row r="240" customFormat="false" ht="28.35" hidden="false" customHeight="false" outlineLevel="0" collapsed="false">
      <c r="B240" s="15" t="n">
        <v>238</v>
      </c>
      <c r="C240" s="15" t="s">
        <v>281</v>
      </c>
      <c r="D240" s="15" t="s">
        <v>752</v>
      </c>
      <c r="E240" s="15" t="s">
        <v>741</v>
      </c>
      <c r="F240" s="15" t="s">
        <v>1679</v>
      </c>
      <c r="G240" s="16" t="s">
        <v>2004</v>
      </c>
      <c r="H240" s="15" t="s">
        <v>1505</v>
      </c>
      <c r="I240" s="17" t="n">
        <v>9.04</v>
      </c>
      <c r="J240" s="15" t="n">
        <v>24</v>
      </c>
      <c r="K240" s="15" t="n">
        <v>1393</v>
      </c>
      <c r="L240" s="18" t="n">
        <v>52401.4</v>
      </c>
      <c r="M240" s="16" t="s">
        <v>282</v>
      </c>
      <c r="N240" s="17" t="n">
        <v>9.04</v>
      </c>
      <c r="O240" s="15" t="s">
        <v>1506</v>
      </c>
      <c r="P240" s="15" t="s">
        <v>1672</v>
      </c>
      <c r="Q240" s="16" t="s">
        <v>1508</v>
      </c>
      <c r="R240" s="32" t="s">
        <v>2005</v>
      </c>
      <c r="S240" s="37" t="n">
        <f aca="false">IFERROR(INDEX('Injectable Value'!$Z$28:$Z$178,MATCH($C240,'Injectable Value'!$A$28:$A$178,0)),"")</f>
        <v>0.670397578386193</v>
      </c>
      <c r="T240" s="18" t="n">
        <f aca="false">IFERROR(ROUND(INDEX('Injectable Value'!$AA$28:$AA$178,MATCH($C240,'Injectable Value'!$A$28:$A$178,0)),1),"")</f>
        <v>35129.8</v>
      </c>
      <c r="U240" s="16" t="s">
        <v>753</v>
      </c>
      <c r="V240" s="15" t="n">
        <v>1</v>
      </c>
      <c r="W240" s="15" t="s">
        <v>70</v>
      </c>
      <c r="X240" s="15" t="s">
        <v>248</v>
      </c>
      <c r="Y240" s="15" t="s">
        <v>277</v>
      </c>
      <c r="Z240" s="16" t="str">
        <f aca="false">IFERROR(INDEX(Scoring!$K:$K,MATCH($C240&amp;"|"&amp;$E240,Scoring!$U:$U,0)),"")</f>
        <v/>
      </c>
      <c r="AA240" s="15" t="str">
        <f aca="false">IFERROR(INDEX(Scoring!$Q:$Q,MATCH($C240&amp;"|"&amp;$E240,Scoring!$U:$U,0)),"")</f>
        <v>Priority 2</v>
      </c>
      <c r="AB240" s="15" t="str">
        <f aca="false">IFERROR(INDEX(Scoring!$AK:$AK,MATCH($C240&amp;"|"&amp;$E240,Scoring!$U:$U,0)),"")</f>
        <v>Priority 2</v>
      </c>
      <c r="AC240" s="18" t="n">
        <f aca="false">IFERROR(INDEX(Scoring!$M:$M,MATCH($C240&amp;"|"&amp;$E240,Scoring!$U:$U,0)),"")</f>
        <v>934</v>
      </c>
      <c r="AD240" s="15" t="str">
        <f aca="false">IFERROR(INDEX('Route of Administration'!$C$5:$C$155,MATCH($C240,'Route of Administration'!$A$5:$A$155,0)),"")</f>
        <v>IV, IM</v>
      </c>
      <c r="AE240" s="14" t="str">
        <f aca="false">IFERROR(INDEX('Route of Administration'!$D$5:$D$155,MATCH($C240,'Route of Administration'!$A$5:$A$155,0)),"")</f>
        <v>Yes</v>
      </c>
    </row>
    <row r="241" customFormat="false" ht="28.35" hidden="false" customHeight="false" outlineLevel="0" collapsed="false">
      <c r="B241" s="15" t="n">
        <v>239</v>
      </c>
      <c r="C241" s="15" t="s">
        <v>296</v>
      </c>
      <c r="D241" s="15" t="s">
        <v>2006</v>
      </c>
      <c r="E241" s="15" t="s">
        <v>741</v>
      </c>
      <c r="F241" s="15" t="s">
        <v>1671</v>
      </c>
      <c r="G241" s="16" t="s">
        <v>1662</v>
      </c>
      <c r="H241" s="15" t="s">
        <v>1505</v>
      </c>
      <c r="I241" s="17" t="n">
        <v>397.421</v>
      </c>
      <c r="J241" s="15" t="n">
        <v>30</v>
      </c>
      <c r="K241" s="15" t="n">
        <v>762</v>
      </c>
      <c r="L241" s="18" t="n">
        <v>50865.56</v>
      </c>
      <c r="M241" s="16" t="s">
        <v>297</v>
      </c>
      <c r="N241" s="17" t="n">
        <v>397.421</v>
      </c>
      <c r="O241" s="15" t="s">
        <v>1506</v>
      </c>
      <c r="P241" s="15" t="s">
        <v>1672</v>
      </c>
      <c r="Q241" s="16" t="s">
        <v>1508</v>
      </c>
      <c r="R241" s="32" t="s">
        <v>1673</v>
      </c>
      <c r="S241" s="37" t="n">
        <f aca="false">IFERROR(INDEX('Injectable Value'!$Z$28:$Z$178,MATCH($C241,'Injectable Value'!$A$28:$A$178,0)),"")</f>
        <v>0.829278792417718</v>
      </c>
      <c r="T241" s="18" t="n">
        <f aca="false">IFERROR(ROUND(INDEX('Injectable Value'!$AA$28:$AA$178,MATCH($C241,'Injectable Value'!$A$28:$A$178,0)),1),"")</f>
        <v>42181.7</v>
      </c>
      <c r="U241" s="16" t="s">
        <v>756</v>
      </c>
      <c r="V241" s="15" t="n">
        <v>11</v>
      </c>
      <c r="W241" s="15" t="s">
        <v>754</v>
      </c>
      <c r="X241" s="15" t="s">
        <v>248</v>
      </c>
      <c r="Y241" s="15" t="s">
        <v>299</v>
      </c>
      <c r="Z241" s="16" t="str">
        <f aca="false">IFERROR(INDEX(Scoring!$K:$K,MATCH($C241&amp;"|"&amp;$E241,Scoring!$U:$U,0)),"")</f>
        <v>Cancer drug (cytotoxic) – less relevant; Reconstitution</v>
      </c>
      <c r="AA241" s="15" t="str">
        <f aca="false">IFERROR(INDEX(Scoring!$Q:$Q,MATCH($C241&amp;"|"&amp;$E241,Scoring!$U:$U,0)),"")</f>
        <v>Priority 1</v>
      </c>
      <c r="AB241" s="15" t="str">
        <f aca="false">IFERROR(INDEX(Scoring!$AK:$AK,MATCH($C241&amp;"|"&amp;$E241,Scoring!$U:$U,0)),"")</f>
        <v>Priority 1</v>
      </c>
      <c r="AC241" s="18" t="n">
        <f aca="false">IFERROR(INDEX(Scoring!$M:$M,MATCH($C241&amp;"|"&amp;$E241,Scoring!$U:$U,0)),"")</f>
        <v>632</v>
      </c>
      <c r="AD241" s="15" t="str">
        <f aca="false">IFERROR(INDEX('Route of Administration'!$C$5:$C$155,MATCH($C241,'Route of Administration'!$A$5:$A$155,0)),"")</f>
        <v>IV, SC</v>
      </c>
      <c r="AE241" s="14" t="str">
        <f aca="false">IFERROR(INDEX('Route of Administration'!$D$5:$D$155,MATCH($C241,'Route of Administration'!$A$5:$A$155,0)),"")</f>
        <v>Yes</v>
      </c>
    </row>
    <row r="242" customFormat="false" ht="28.35" hidden="false" customHeight="false" outlineLevel="0" collapsed="false">
      <c r="B242" s="15" t="n">
        <v>240</v>
      </c>
      <c r="C242" s="15" t="s">
        <v>305</v>
      </c>
      <c r="D242" s="15" t="s">
        <v>2007</v>
      </c>
      <c r="E242" s="15" t="s">
        <v>741</v>
      </c>
      <c r="F242" s="15" t="s">
        <v>1675</v>
      </c>
      <c r="G242" s="16" t="s">
        <v>1653</v>
      </c>
      <c r="H242" s="15" t="s">
        <v>1505</v>
      </c>
      <c r="I242" s="17" t="n">
        <v>1444.1174</v>
      </c>
      <c r="J242" s="15" t="n">
        <v>29</v>
      </c>
      <c r="K242" s="15" t="n">
        <v>905</v>
      </c>
      <c r="L242" s="18" t="n">
        <v>28093.38</v>
      </c>
      <c r="M242" s="16" t="s">
        <v>306</v>
      </c>
      <c r="N242" s="17" t="n">
        <v>1444.1174</v>
      </c>
      <c r="O242" s="15" t="s">
        <v>1506</v>
      </c>
      <c r="P242" s="15" t="s">
        <v>1533</v>
      </c>
      <c r="Q242" s="16" t="s">
        <v>1508</v>
      </c>
      <c r="R242" s="32" t="s">
        <v>1673</v>
      </c>
      <c r="S242" s="37" t="n">
        <f aca="false">IFERROR(INDEX('Injectable Value'!$Z$28:$Z$178,MATCH($C242,'Injectable Value'!$A$28:$A$178,0)),"")</f>
        <v>1</v>
      </c>
      <c r="T242" s="18" t="n">
        <f aca="false">IFERROR(ROUND(INDEX('Injectable Value'!$AA$28:$AA$178,MATCH($C242,'Injectable Value'!$A$28:$A$178,0)),1),"")</f>
        <v>28093.4</v>
      </c>
      <c r="U242" s="16" t="s">
        <v>759</v>
      </c>
      <c r="V242" s="15" t="n">
        <v>4</v>
      </c>
      <c r="W242" s="15" t="s">
        <v>559</v>
      </c>
      <c r="X242" s="15" t="s">
        <v>248</v>
      </c>
      <c r="Y242" s="15" t="s">
        <v>299</v>
      </c>
      <c r="Z242" s="16" t="str">
        <f aca="false">IFERROR(INDEX(Scoring!$K:$K,MATCH($C242&amp;"|"&amp;$E242,Scoring!$U:$U,0)),"")</f>
        <v>Cancer drug (cytotoxic) – less relevant; Reconstitution</v>
      </c>
      <c r="AA242" s="15" t="str">
        <f aca="false">IFERROR(INDEX(Scoring!$Q:$Q,MATCH($C242&amp;"|"&amp;$E242,Scoring!$U:$U,0)),"")</f>
        <v>Priority 1</v>
      </c>
      <c r="AB242" s="15" t="str">
        <f aca="false">IFERROR(INDEX(Scoring!$AK:$AK,MATCH($C242&amp;"|"&amp;$E242,Scoring!$U:$U,0)),"")</f>
        <v>Priority 1</v>
      </c>
      <c r="AC242" s="18" t="n">
        <f aca="false">IFERROR(INDEX(Scoring!$M:$M,MATCH($C242&amp;"|"&amp;$E242,Scoring!$U:$U,0)),"")</f>
        <v>905</v>
      </c>
      <c r="AD242" s="15" t="str">
        <f aca="false">IFERROR(INDEX('Route of Administration'!$C$5:$C$155,MATCH($C242,'Route of Administration'!$A$5:$A$155,0)),"")</f>
        <v>IV, SC</v>
      </c>
      <c r="AE242" s="14" t="str">
        <f aca="false">IFERROR(INDEX('Route of Administration'!$D$5:$D$155,MATCH($C242,'Route of Administration'!$A$5:$A$155,0)),"")</f>
        <v>Yes</v>
      </c>
    </row>
    <row r="243" customFormat="false" ht="28.35" hidden="false" customHeight="false" outlineLevel="0" collapsed="false">
      <c r="B243" s="15" t="n">
        <v>241</v>
      </c>
      <c r="C243" s="15" t="s">
        <v>356</v>
      </c>
      <c r="D243" s="15" t="s">
        <v>2008</v>
      </c>
      <c r="E243" s="15" t="s">
        <v>741</v>
      </c>
      <c r="F243" s="15" t="s">
        <v>1688</v>
      </c>
      <c r="G243" s="16" t="s">
        <v>1689</v>
      </c>
      <c r="H243" s="15" t="s">
        <v>1505</v>
      </c>
      <c r="I243" s="17" t="n">
        <v>93.7335</v>
      </c>
      <c r="J243" s="15" t="n">
        <v>28</v>
      </c>
      <c r="K243" s="15" t="n">
        <v>312</v>
      </c>
      <c r="L243" s="18" t="n">
        <v>59827.18</v>
      </c>
      <c r="M243" s="16" t="s">
        <v>357</v>
      </c>
      <c r="N243" s="17" t="n">
        <v>93.7335</v>
      </c>
      <c r="O243" s="15" t="s">
        <v>1506</v>
      </c>
      <c r="P243" s="15" t="s">
        <v>1672</v>
      </c>
      <c r="Q243" s="16" t="s">
        <v>1508</v>
      </c>
      <c r="R243" s="32" t="s">
        <v>1673</v>
      </c>
      <c r="S243" s="37" t="n">
        <f aca="false">IFERROR(INDEX('Injectable Value'!$Z$28:$Z$178,MATCH($C243,'Injectable Value'!$A$28:$A$178,0)),"")</f>
        <v>1</v>
      </c>
      <c r="T243" s="18" t="n">
        <f aca="false">IFERROR(ROUND(INDEX('Injectable Value'!$AA$28:$AA$178,MATCH($C243,'Injectable Value'!$A$28:$A$178,0)),1),"")</f>
        <v>59827.2</v>
      </c>
      <c r="U243" s="16" t="s">
        <v>768</v>
      </c>
      <c r="V243" s="15" t="n">
        <v>5</v>
      </c>
      <c r="W243" s="15" t="s">
        <v>766</v>
      </c>
      <c r="X243" s="15" t="s">
        <v>248</v>
      </c>
      <c r="Y243" s="15" t="s">
        <v>299</v>
      </c>
      <c r="Z243" s="16" t="str">
        <f aca="false">IFERROR(INDEX(Scoring!$K:$K,MATCH($C243&amp;"|"&amp;$E243,Scoring!$U:$U,0)),"")</f>
        <v>Reconstitution</v>
      </c>
      <c r="AA243" s="15" t="str">
        <f aca="false">IFERROR(INDEX(Scoring!$Q:$Q,MATCH($C243&amp;"|"&amp;$E243,Scoring!$U:$U,0)),"")</f>
        <v>Excluded – IV only</v>
      </c>
      <c r="AB243" s="15" t="str">
        <f aca="false">IFERROR(INDEX(Scoring!$AK:$AK,MATCH($C243&amp;"|"&amp;$E243,Scoring!$U:$U,0)),"")</f>
        <v>Excluded – IV only</v>
      </c>
      <c r="AC243" s="18" t="n">
        <f aca="false">IFERROR(INDEX(Scoring!$M:$M,MATCH($C243&amp;"|"&amp;$E243,Scoring!$U:$U,0)),"")</f>
        <v>312</v>
      </c>
      <c r="AD243" s="15" t="str">
        <f aca="false">IFERROR(INDEX('Route of Administration'!$C$5:$C$155,MATCH($C243,'Route of Administration'!$A$5:$A$155,0)),"")</f>
        <v>IV</v>
      </c>
      <c r="AE243" s="14" t="str">
        <f aca="false">IFERROR(INDEX('Route of Administration'!$D$5:$D$155,MATCH($C243,'Route of Administration'!$A$5:$A$155,0)),"")</f>
        <v>No</v>
      </c>
    </row>
    <row r="244" customFormat="false" ht="28.35" hidden="false" customHeight="false" outlineLevel="0" collapsed="false">
      <c r="B244" s="15" t="n">
        <v>242</v>
      </c>
      <c r="C244" s="15" t="s">
        <v>694</v>
      </c>
      <c r="D244" s="15" t="s">
        <v>771</v>
      </c>
      <c r="E244" s="15" t="s">
        <v>741</v>
      </c>
      <c r="F244" s="15" t="s">
        <v>2009</v>
      </c>
      <c r="G244" s="16" t="s">
        <v>1966</v>
      </c>
      <c r="H244" s="15" t="s">
        <v>1505</v>
      </c>
      <c r="I244" s="17" t="n">
        <v>404.5852</v>
      </c>
      <c r="J244" s="15" t="n">
        <v>25</v>
      </c>
      <c r="K244" s="15" t="n">
        <v>42</v>
      </c>
      <c r="L244" s="18" t="n">
        <v>1874.63</v>
      </c>
      <c r="M244" s="16" t="s">
        <v>695</v>
      </c>
      <c r="N244" s="17" t="n">
        <v>404.5852</v>
      </c>
      <c r="O244" s="15" t="s">
        <v>1506</v>
      </c>
      <c r="P244" s="15" t="s">
        <v>1507</v>
      </c>
      <c r="Q244" s="16" t="s">
        <v>1508</v>
      </c>
      <c r="R244" s="32" t="s">
        <v>2010</v>
      </c>
      <c r="S244" s="37" t="n">
        <f aca="false">IFERROR(INDEX('Injectable Value'!$Z$28:$Z$178,MATCH($C244,'Injectable Value'!$A$28:$A$178,0)),"")</f>
        <v>1</v>
      </c>
      <c r="T244" s="18" t="n">
        <f aca="false">IFERROR(ROUND(INDEX('Injectable Value'!$AA$28:$AA$178,MATCH($C244,'Injectable Value'!$A$28:$A$178,0)),1),"")</f>
        <v>1874.6</v>
      </c>
      <c r="U244" s="16" t="s">
        <v>772</v>
      </c>
      <c r="V244" s="15" t="n">
        <v>7</v>
      </c>
      <c r="W244" s="15" t="s">
        <v>769</v>
      </c>
      <c r="X244" s="15" t="s">
        <v>248</v>
      </c>
      <c r="Y244" s="15" t="s">
        <v>249</v>
      </c>
      <c r="Z244" s="16" t="str">
        <f aca="false">IFERROR(INDEX(Scoring!$K:$K,MATCH($C244&amp;"|"&amp;$E244,Scoring!$U:$U,0)),"")</f>
        <v>Cancer drug (cytotoxic) – less relevant</v>
      </c>
      <c r="AA244" s="15" t="str">
        <f aca="false">IFERROR(INDEX(Scoring!$Q:$Q,MATCH($C244&amp;"|"&amp;$E244,Scoring!$U:$U,0)),"")</f>
        <v>Excluded – IV only</v>
      </c>
      <c r="AB244" s="15" t="str">
        <f aca="false">IFERROR(INDEX(Scoring!$AK:$AK,MATCH($C244&amp;"|"&amp;$E244,Scoring!$U:$U,0)),"")</f>
        <v>Excluded – IV only</v>
      </c>
      <c r="AC244" s="18" t="n">
        <f aca="false">IFERROR(INDEX(Scoring!$M:$M,MATCH($C244&amp;"|"&amp;$E244,Scoring!$U:$U,0)),"")</f>
        <v>42</v>
      </c>
      <c r="AD244" s="15" t="str">
        <f aca="false">IFERROR(INDEX('Route of Administration'!$C$5:$C$155,MATCH($C244,'Route of Administration'!$A$5:$A$155,0)),"")</f>
        <v>IV</v>
      </c>
      <c r="AE244" s="14" t="str">
        <f aca="false">IFERROR(INDEX('Route of Administration'!$D$5:$D$155,MATCH($C244,'Route of Administration'!$A$5:$A$155,0)),"")</f>
        <v>No</v>
      </c>
    </row>
    <row r="245" customFormat="false" ht="28.35" hidden="false" customHeight="false" outlineLevel="0" collapsed="false">
      <c r="B245" s="15" t="n">
        <v>243</v>
      </c>
      <c r="C245" s="15" t="s">
        <v>774</v>
      </c>
      <c r="D245" s="15" t="s">
        <v>779</v>
      </c>
      <c r="E245" s="15" t="s">
        <v>741</v>
      </c>
      <c r="F245" s="15" t="s">
        <v>2011</v>
      </c>
      <c r="G245" s="16" t="s">
        <v>2012</v>
      </c>
      <c r="H245" s="15" t="s">
        <v>1505</v>
      </c>
      <c r="I245" s="17" t="n">
        <v>7.2772</v>
      </c>
      <c r="J245" s="15" t="n">
        <v>31</v>
      </c>
      <c r="K245" s="15" t="n">
        <v>3168</v>
      </c>
      <c r="L245" s="18" t="n">
        <v>130453.11</v>
      </c>
      <c r="M245" s="16" t="s">
        <v>775</v>
      </c>
      <c r="N245" s="17" t="n">
        <v>7.2772</v>
      </c>
      <c r="O245" s="15" t="s">
        <v>1506</v>
      </c>
      <c r="P245" s="15" t="s">
        <v>1672</v>
      </c>
      <c r="Q245" s="16" t="s">
        <v>1508</v>
      </c>
      <c r="R245" s="32" t="s">
        <v>1673</v>
      </c>
      <c r="S245" s="37" t="n">
        <f aca="false">IFERROR(INDEX('Injectable Value'!$Z$28:$Z$178,MATCH($C245,'Injectable Value'!$A$28:$A$178,0)),"")</f>
        <v>0.103608949323645</v>
      </c>
      <c r="T245" s="18" t="n">
        <f aca="false">IFERROR(ROUND(INDEX('Injectable Value'!$AA$28:$AA$178,MATCH($C245,'Injectable Value'!$A$28:$A$178,0)),1),"")</f>
        <v>13516.1</v>
      </c>
      <c r="U245" s="16" t="s">
        <v>780</v>
      </c>
      <c r="V245" s="15" t="n">
        <v>8</v>
      </c>
      <c r="W245" s="15" t="s">
        <v>776</v>
      </c>
      <c r="X245" s="15" t="s">
        <v>248</v>
      </c>
      <c r="Y245" s="15" t="s">
        <v>299</v>
      </c>
      <c r="Z245" s="16" t="str">
        <f aca="false">IFERROR(INDEX(Scoring!$K:$K,MATCH($C245&amp;"|"&amp;$E245,Scoring!$U:$U,0)),"")</f>
        <v>Reconstitution</v>
      </c>
      <c r="AA245" s="15" t="str">
        <f aca="false">IFERROR(INDEX(Scoring!$Q:$Q,MATCH($C245&amp;"|"&amp;$E245,Scoring!$U:$U,0)),"")</f>
        <v>Excluded – IV only</v>
      </c>
      <c r="AB245" s="15" t="str">
        <f aca="false">IFERROR(INDEX(Scoring!$AK:$AK,MATCH($C245&amp;"|"&amp;$E245,Scoring!$U:$U,0)),"")</f>
        <v>Excluded – IV only</v>
      </c>
      <c r="AC245" s="18" t="n">
        <f aca="false">IFERROR(INDEX(Scoring!$M:$M,MATCH($C245&amp;"|"&amp;$E245,Scoring!$U:$U,0)),"")</f>
        <v>328</v>
      </c>
      <c r="AD245" s="15" t="str">
        <f aca="false">IFERROR(INDEX('Route of Administration'!$C$5:$C$155,MATCH($C245,'Route of Administration'!$A$5:$A$155,0)),"")</f>
        <v>IV</v>
      </c>
      <c r="AE245" s="14" t="str">
        <f aca="false">IFERROR(INDEX('Route of Administration'!$D$5:$D$155,MATCH($C245,'Route of Administration'!$A$5:$A$155,0)),"")</f>
        <v>No</v>
      </c>
    </row>
    <row r="246" customFormat="false" ht="41.75" hidden="false" customHeight="false" outlineLevel="0" collapsed="false">
      <c r="B246" s="15" t="n">
        <v>244</v>
      </c>
      <c r="C246" s="15" t="s">
        <v>444</v>
      </c>
      <c r="D246" s="15" t="s">
        <v>2013</v>
      </c>
      <c r="E246" s="15" t="s">
        <v>741</v>
      </c>
      <c r="F246" s="15" t="s">
        <v>1700</v>
      </c>
      <c r="G246" s="16" t="s">
        <v>1994</v>
      </c>
      <c r="H246" s="15" t="s">
        <v>1505</v>
      </c>
      <c r="I246" s="17" t="n">
        <v>189.1846</v>
      </c>
      <c r="J246" s="15" t="n">
        <v>28</v>
      </c>
      <c r="K246" s="15" t="n">
        <v>257</v>
      </c>
      <c r="L246" s="18" t="n">
        <v>4183.29</v>
      </c>
      <c r="M246" s="16" t="s">
        <v>445</v>
      </c>
      <c r="N246" s="17" t="n">
        <v>189.1846</v>
      </c>
      <c r="O246" s="15" t="s">
        <v>1506</v>
      </c>
      <c r="P246" s="15" t="s">
        <v>1672</v>
      </c>
      <c r="Q246" s="16" t="s">
        <v>1508</v>
      </c>
      <c r="R246" s="32" t="s">
        <v>1673</v>
      </c>
      <c r="S246" s="37" t="n">
        <f aca="false">IFERROR(INDEX('Injectable Value'!$Z$28:$Z$178,MATCH($C246,'Injectable Value'!$A$28:$A$178,0)),"")</f>
        <v>0.689888576486515</v>
      </c>
      <c r="T246" s="18" t="n">
        <f aca="false">IFERROR(ROUND(INDEX('Injectable Value'!$AA$28:$AA$178,MATCH($C246,'Injectable Value'!$A$28:$A$178,0)),1),"")</f>
        <v>2886</v>
      </c>
      <c r="U246" s="16" t="s">
        <v>787</v>
      </c>
      <c r="V246" s="15" t="n">
        <v>18</v>
      </c>
      <c r="W246" s="15" t="s">
        <v>505</v>
      </c>
      <c r="X246" s="15" t="s">
        <v>248</v>
      </c>
      <c r="Y246" s="15" t="s">
        <v>249</v>
      </c>
      <c r="Z246" s="16" t="str">
        <f aca="false">IFERROR(INDEX(Scoring!$K:$K,MATCH($C246&amp;"|"&amp;$E246,Scoring!$U:$U,0)),"")</f>
        <v>Cancer drug (cytotoxic) – less relevant; Reconstitution</v>
      </c>
      <c r="AA246" s="15" t="str">
        <f aca="false">IFERROR(INDEX(Scoring!$Q:$Q,MATCH($C246&amp;"|"&amp;$E246,Scoring!$U:$U,0)),"")</f>
        <v>Excluded – IV only</v>
      </c>
      <c r="AB246" s="15" t="str">
        <f aca="false">IFERROR(INDEX(Scoring!$AK:$AK,MATCH($C246&amp;"|"&amp;$E246,Scoring!$U:$U,0)),"")</f>
        <v>Excluded – IV only</v>
      </c>
      <c r="AC246" s="18" t="n">
        <f aca="false">IFERROR(INDEX(Scoring!$M:$M,MATCH($C246&amp;"|"&amp;$E246,Scoring!$U:$U,0)),"")</f>
        <v>177</v>
      </c>
      <c r="AD246" s="15" t="str">
        <f aca="false">IFERROR(INDEX('Route of Administration'!$C$5:$C$155,MATCH($C246,'Route of Administration'!$A$5:$A$155,0)),"")</f>
        <v>IV</v>
      </c>
      <c r="AE246" s="14" t="str">
        <f aca="false">IFERROR(INDEX('Route of Administration'!$D$5:$D$155,MATCH($C246,'Route of Administration'!$A$5:$A$155,0)),"")</f>
        <v>No</v>
      </c>
    </row>
    <row r="247" customFormat="false" ht="41.75" hidden="false" customHeight="false" outlineLevel="0" collapsed="false">
      <c r="B247" s="15" t="n">
        <v>245</v>
      </c>
      <c r="C247" s="15" t="s">
        <v>444</v>
      </c>
      <c r="D247" s="15" t="s">
        <v>2014</v>
      </c>
      <c r="E247" s="15" t="s">
        <v>741</v>
      </c>
      <c r="F247" s="15" t="s">
        <v>1700</v>
      </c>
      <c r="G247" s="16" t="s">
        <v>1994</v>
      </c>
      <c r="H247" s="15" t="s">
        <v>1505</v>
      </c>
      <c r="I247" s="17" t="n">
        <v>189.1846</v>
      </c>
      <c r="J247" s="15" t="n">
        <v>13</v>
      </c>
      <c r="K247" s="15" t="n">
        <v>257</v>
      </c>
      <c r="L247" s="18" t="n">
        <v>4183.29</v>
      </c>
      <c r="M247" s="16" t="s">
        <v>445</v>
      </c>
      <c r="N247" s="17" t="n">
        <v>189.1846</v>
      </c>
      <c r="O247" s="15" t="s">
        <v>1506</v>
      </c>
      <c r="P247" s="15" t="s">
        <v>1672</v>
      </c>
      <c r="Q247" s="16" t="s">
        <v>1508</v>
      </c>
      <c r="R247" s="32" t="s">
        <v>1673</v>
      </c>
      <c r="S247" s="37" t="n">
        <f aca="false">IFERROR(INDEX('Injectable Value'!$Z$28:$Z$178,MATCH($C247,'Injectable Value'!$A$28:$A$178,0)),"")</f>
        <v>0.689888576486515</v>
      </c>
      <c r="T247" s="18" t="n">
        <f aca="false">IFERROR(ROUND(INDEX('Injectable Value'!$AA$28:$AA$178,MATCH($C247,'Injectable Value'!$A$28:$A$178,0)),1),"")</f>
        <v>2886</v>
      </c>
      <c r="U247" s="16" t="s">
        <v>787</v>
      </c>
      <c r="V247" s="15" t="n">
        <v>18</v>
      </c>
      <c r="W247" s="15" t="s">
        <v>505</v>
      </c>
      <c r="X247" s="15" t="s">
        <v>248</v>
      </c>
      <c r="Y247" s="15" t="s">
        <v>249</v>
      </c>
      <c r="Z247" s="16" t="str">
        <f aca="false">IFERROR(INDEX(Scoring!$K:$K,MATCH($C247&amp;"|"&amp;$E247,Scoring!$U:$U,0)),"")</f>
        <v>Cancer drug (cytotoxic) – less relevant; Reconstitution</v>
      </c>
      <c r="AA247" s="15" t="str">
        <f aca="false">IFERROR(INDEX(Scoring!$Q:$Q,MATCH($C247&amp;"|"&amp;$E247,Scoring!$U:$U,0)),"")</f>
        <v>Excluded – IV only</v>
      </c>
      <c r="AB247" s="15" t="str">
        <f aca="false">IFERROR(INDEX(Scoring!$AK:$AK,MATCH($C247&amp;"|"&amp;$E247,Scoring!$U:$U,0)),"")</f>
        <v>Excluded – IV only</v>
      </c>
      <c r="AC247" s="18" t="n">
        <f aca="false">IFERROR(INDEX(Scoring!$M:$M,MATCH($C247&amp;"|"&amp;$E247,Scoring!$U:$U,0)),"")</f>
        <v>177</v>
      </c>
      <c r="AD247" s="15" t="str">
        <f aca="false">IFERROR(INDEX('Route of Administration'!$C$5:$C$155,MATCH($C247,'Route of Administration'!$A$5:$A$155,0)),"")</f>
        <v>IV</v>
      </c>
      <c r="AE247" s="14" t="str">
        <f aca="false">IFERROR(INDEX('Route of Administration'!$D$5:$D$155,MATCH($C247,'Route of Administration'!$A$5:$A$155,0)),"")</f>
        <v>No</v>
      </c>
    </row>
    <row r="248" customFormat="false" ht="28.35" hidden="false" customHeight="false" outlineLevel="0" collapsed="false">
      <c r="B248" s="15" t="n">
        <v>246</v>
      </c>
      <c r="C248" s="15" t="s">
        <v>789</v>
      </c>
      <c r="D248" s="15" t="s">
        <v>2015</v>
      </c>
      <c r="E248" s="15" t="s">
        <v>741</v>
      </c>
      <c r="F248" s="15" t="s">
        <v>2016</v>
      </c>
      <c r="G248" s="16" t="s">
        <v>1991</v>
      </c>
      <c r="H248" s="15" t="s">
        <v>1505</v>
      </c>
      <c r="I248" s="17" t="n">
        <v>21.0971</v>
      </c>
      <c r="J248" s="15" t="n">
        <v>24</v>
      </c>
      <c r="K248" s="15" t="n">
        <v>133</v>
      </c>
      <c r="L248" s="18" t="n">
        <v>4036.55</v>
      </c>
      <c r="M248" s="16" t="s">
        <v>790</v>
      </c>
      <c r="N248" s="17" t="n">
        <v>21.0971</v>
      </c>
      <c r="O248" s="15" t="s">
        <v>1506</v>
      </c>
      <c r="P248" s="15" t="s">
        <v>1507</v>
      </c>
      <c r="Q248" s="16" t="s">
        <v>1508</v>
      </c>
      <c r="R248" s="32" t="s">
        <v>2017</v>
      </c>
      <c r="S248" s="37" t="n">
        <f aca="false">IFERROR(INDEX('Injectable Value'!$Z$28:$Z$178,MATCH($C248,'Injectable Value'!$A$28:$A$178,0)),"")</f>
        <v>1</v>
      </c>
      <c r="T248" s="18" t="n">
        <f aca="false">IFERROR(ROUND(INDEX('Injectable Value'!$AA$28:$AA$178,MATCH($C248,'Injectable Value'!$A$28:$A$178,0)),1),"")</f>
        <v>4036.6</v>
      </c>
      <c r="U248" s="16" t="s">
        <v>793</v>
      </c>
      <c r="V248" s="15" t="n">
        <v>7</v>
      </c>
      <c r="W248" s="15" t="s">
        <v>754</v>
      </c>
      <c r="X248" s="15" t="s">
        <v>248</v>
      </c>
      <c r="Y248" s="15" t="s">
        <v>249</v>
      </c>
      <c r="Z248" s="16" t="str">
        <f aca="false">IFERROR(INDEX(Scoring!$K:$K,MATCH($C248&amp;"|"&amp;$E248,Scoring!$U:$U,0)),"")</f>
        <v/>
      </c>
      <c r="AA248" s="15" t="str">
        <f aca="false">IFERROR(INDEX(Scoring!$Q:$Q,MATCH($C248&amp;"|"&amp;$E248,Scoring!$U:$U,0)),"")</f>
        <v>Excluded – IV only</v>
      </c>
      <c r="AB248" s="15" t="str">
        <f aca="false">IFERROR(INDEX(Scoring!$AK:$AK,MATCH($C248&amp;"|"&amp;$E248,Scoring!$U:$U,0)),"")</f>
        <v>Excluded – IV only</v>
      </c>
      <c r="AC248" s="18" t="n">
        <f aca="false">IFERROR(INDEX(Scoring!$M:$M,MATCH($C248&amp;"|"&amp;$E248,Scoring!$U:$U,0)),"")</f>
        <v>133</v>
      </c>
      <c r="AD248" s="15" t="str">
        <f aca="false">IFERROR(INDEX('Route of Administration'!$C$5:$C$155,MATCH($C248,'Route of Administration'!$A$5:$A$155,0)),"")</f>
        <v>IV</v>
      </c>
      <c r="AE248" s="14" t="str">
        <f aca="false">IFERROR(INDEX('Route of Administration'!$D$5:$D$155,MATCH($C248,'Route of Administration'!$A$5:$A$155,0)),"")</f>
        <v>No</v>
      </c>
    </row>
    <row r="249" customFormat="false" ht="28.35" hidden="false" customHeight="false" outlineLevel="0" collapsed="false">
      <c r="B249" s="15" t="n">
        <v>247</v>
      </c>
      <c r="C249" s="15" t="s">
        <v>487</v>
      </c>
      <c r="D249" s="15" t="s">
        <v>796</v>
      </c>
      <c r="E249" s="15" t="s">
        <v>741</v>
      </c>
      <c r="F249" s="15" t="s">
        <v>1710</v>
      </c>
      <c r="G249" s="16" t="s">
        <v>2018</v>
      </c>
      <c r="H249" s="15" t="s">
        <v>1505</v>
      </c>
      <c r="I249" s="17" t="n">
        <v>5.3223</v>
      </c>
      <c r="J249" s="15" t="n">
        <v>28</v>
      </c>
      <c r="K249" s="15" t="n">
        <v>2546</v>
      </c>
      <c r="L249" s="18" t="n">
        <v>46507.62</v>
      </c>
      <c r="M249" s="16" t="s">
        <v>488</v>
      </c>
      <c r="N249" s="17" t="n">
        <v>5.3223</v>
      </c>
      <c r="O249" s="15" t="s">
        <v>1506</v>
      </c>
      <c r="P249" s="15" t="s">
        <v>1533</v>
      </c>
      <c r="Q249" s="16" t="s">
        <v>1508</v>
      </c>
      <c r="R249" s="32" t="s">
        <v>1673</v>
      </c>
      <c r="S249" s="37" t="n">
        <f aca="false">IFERROR(INDEX('Injectable Value'!$Z$28:$Z$178,MATCH($C249,'Injectable Value'!$A$28:$A$178,0)),"")</f>
        <v>0.378228374732698</v>
      </c>
      <c r="T249" s="18" t="n">
        <f aca="false">IFERROR(ROUND(INDEX('Injectable Value'!$AA$28:$AA$178,MATCH($C249,'Injectable Value'!$A$28:$A$178,0)),1),"")</f>
        <v>17590.5</v>
      </c>
      <c r="U249" s="16" t="s">
        <v>422</v>
      </c>
      <c r="V249" s="15" t="n">
        <v>1</v>
      </c>
      <c r="W249" s="15" t="s">
        <v>418</v>
      </c>
      <c r="X249" s="15" t="s">
        <v>316</v>
      </c>
      <c r="Y249" s="15" t="s">
        <v>249</v>
      </c>
      <c r="Z249" s="16" t="str">
        <f aca="false">IFERROR(INDEX(Scoring!$K:$K,MATCH($C249&amp;"|"&amp;$E249,Scoring!$U:$U,0)),"")</f>
        <v/>
      </c>
      <c r="AA249" s="15" t="str">
        <f aca="false">IFERROR(INDEX(Scoring!$Q:$Q,MATCH($C249&amp;"|"&amp;$E249,Scoring!$U:$U,0)),"")</f>
        <v>Priority 2</v>
      </c>
      <c r="AB249" s="15" t="str">
        <f aca="false">IFERROR(INDEX(Scoring!$AK:$AK,MATCH($C249&amp;"|"&amp;$E249,Scoring!$U:$U,0)),"")</f>
        <v>Priority 2</v>
      </c>
      <c r="AC249" s="18" t="n">
        <f aca="false">IFERROR(INDEX(Scoring!$M:$M,MATCH($C249&amp;"|"&amp;$E249,Scoring!$U:$U,0)),"")</f>
        <v>963</v>
      </c>
      <c r="AD249" s="15" t="str">
        <f aca="false">IFERROR(INDEX('Route of Administration'!$C$5:$C$155,MATCH($C249,'Route of Administration'!$A$5:$A$155,0)),"")</f>
        <v>IV, IM</v>
      </c>
      <c r="AE249" s="14" t="str">
        <f aca="false">IFERROR(INDEX('Route of Administration'!$D$5:$D$155,MATCH($C249,'Route of Administration'!$A$5:$A$155,0)),"")</f>
        <v>Yes</v>
      </c>
    </row>
    <row r="250" customFormat="false" ht="41.75" hidden="false" customHeight="false" outlineLevel="0" collapsed="false">
      <c r="B250" s="15" t="n">
        <v>248</v>
      </c>
      <c r="C250" s="15" t="s">
        <v>799</v>
      </c>
      <c r="D250" s="15" t="s">
        <v>2019</v>
      </c>
      <c r="E250" s="15" t="s">
        <v>741</v>
      </c>
      <c r="F250" s="15" t="s">
        <v>2020</v>
      </c>
      <c r="G250" s="16" t="s">
        <v>2021</v>
      </c>
      <c r="H250" s="15" t="s">
        <v>1505</v>
      </c>
      <c r="I250" s="17" t="n">
        <v>15.0064</v>
      </c>
      <c r="J250" s="15" t="n">
        <v>13</v>
      </c>
      <c r="K250" s="15" t="n">
        <v>12</v>
      </c>
      <c r="L250" s="18" t="n">
        <v>2202.64</v>
      </c>
      <c r="M250" s="16" t="s">
        <v>800</v>
      </c>
      <c r="N250" s="17" t="n">
        <v>15.0064</v>
      </c>
      <c r="O250" s="15" t="s">
        <v>1506</v>
      </c>
      <c r="P250" s="15" t="s">
        <v>1672</v>
      </c>
      <c r="Q250" s="16" t="s">
        <v>1508</v>
      </c>
      <c r="R250" s="32" t="s">
        <v>2022</v>
      </c>
      <c r="S250" s="37" t="n">
        <f aca="false">IFERROR(INDEX('Injectable Value'!$Z$28:$Z$178,MATCH($C250,'Injectable Value'!$A$28:$A$178,0)),"")</f>
        <v>0.75</v>
      </c>
      <c r="T250" s="18" t="n">
        <f aca="false">IFERROR(ROUND(INDEX('Injectable Value'!$AA$28:$AA$178,MATCH($C250,'Injectable Value'!$A$28:$A$178,0)),1),"")</f>
        <v>1652</v>
      </c>
      <c r="U250" s="16" t="s">
        <v>805</v>
      </c>
      <c r="V250" s="15" t="n">
        <v>12</v>
      </c>
      <c r="W250" s="15" t="s">
        <v>801</v>
      </c>
      <c r="X250" s="15" t="s">
        <v>248</v>
      </c>
      <c r="Y250" s="15" t="s">
        <v>299</v>
      </c>
      <c r="Z250" s="16" t="str">
        <f aca="false">IFERROR(INDEX(Scoring!$K:$K,MATCH($C250&amp;"|"&amp;$E250,Scoring!$U:$U,0)),"")</f>
        <v>Reconstitution</v>
      </c>
      <c r="AA250" s="15" t="str">
        <f aca="false">IFERROR(INDEX(Scoring!$Q:$Q,MATCH($C250&amp;"|"&amp;$E250,Scoring!$U:$U,0)),"")</f>
        <v>Priority 2</v>
      </c>
      <c r="AB250" s="15" t="str">
        <f aca="false">IFERROR(INDEX(Scoring!$AK:$AK,MATCH($C250&amp;"|"&amp;$E250,Scoring!$U:$U,0)),"")</f>
        <v>Priority 2</v>
      </c>
      <c r="AC250" s="18" t="n">
        <f aca="false">IFERROR(INDEX(Scoring!$M:$M,MATCH($C250&amp;"|"&amp;$E250,Scoring!$U:$U,0)),"")</f>
        <v>9</v>
      </c>
      <c r="AD250" s="15" t="str">
        <f aca="false">IFERROR(INDEX('Route of Administration'!$C$5:$C$155,MATCH($C250,'Route of Administration'!$A$5:$A$155,0)),"")</f>
        <v>IV, IM</v>
      </c>
      <c r="AE250" s="14" t="str">
        <f aca="false">IFERROR(INDEX('Route of Administration'!$D$5:$D$155,MATCH($C250,'Route of Administration'!$A$5:$A$155,0)),"")</f>
        <v>Yes</v>
      </c>
    </row>
    <row r="251" customFormat="false" ht="28.35" hidden="false" customHeight="false" outlineLevel="0" collapsed="false">
      <c r="B251" s="15" t="n">
        <v>249</v>
      </c>
      <c r="C251" s="15" t="s">
        <v>510</v>
      </c>
      <c r="D251" s="15" t="s">
        <v>2023</v>
      </c>
      <c r="E251" s="15" t="s">
        <v>741</v>
      </c>
      <c r="F251" s="15" t="s">
        <v>1713</v>
      </c>
      <c r="G251" s="16" t="s">
        <v>1659</v>
      </c>
      <c r="H251" s="15" t="s">
        <v>1505</v>
      </c>
      <c r="I251" s="17" t="n">
        <v>7322.4226</v>
      </c>
      <c r="J251" s="15" t="n">
        <v>25</v>
      </c>
      <c r="K251" s="15" t="n">
        <v>47</v>
      </c>
      <c r="L251" s="18" t="n">
        <v>7904.67</v>
      </c>
      <c r="M251" s="16" t="s">
        <v>511</v>
      </c>
      <c r="N251" s="17" t="n">
        <v>7322.4226</v>
      </c>
      <c r="O251" s="15" t="s">
        <v>1506</v>
      </c>
      <c r="P251" s="15" t="s">
        <v>1672</v>
      </c>
      <c r="Q251" s="16" t="s">
        <v>1508</v>
      </c>
      <c r="R251" s="32" t="s">
        <v>1673</v>
      </c>
      <c r="S251" s="37" t="n">
        <f aca="false">IFERROR(INDEX('Injectable Value'!$Z$28:$Z$178,MATCH($C251,'Injectable Value'!$A$28:$A$178,0)),"")</f>
        <v>1</v>
      </c>
      <c r="T251" s="18" t="n">
        <f aca="false">IFERROR(ROUND(INDEX('Injectable Value'!$AA$28:$AA$178,MATCH($C251,'Injectable Value'!$A$28:$A$178,0)),1),"")</f>
        <v>7904.7</v>
      </c>
      <c r="U251" s="16" t="s">
        <v>808</v>
      </c>
      <c r="V251" s="15" t="n">
        <v>4</v>
      </c>
      <c r="W251" s="15" t="s">
        <v>766</v>
      </c>
      <c r="X251" s="15" t="s">
        <v>248</v>
      </c>
      <c r="Y251" s="15" t="s">
        <v>249</v>
      </c>
      <c r="Z251" s="16" t="str">
        <f aca="false">IFERROR(INDEX(Scoring!$K:$K,MATCH($C251&amp;"|"&amp;$E251,Scoring!$U:$U,0)),"")</f>
        <v/>
      </c>
      <c r="AA251" s="15" t="str">
        <f aca="false">IFERROR(INDEX(Scoring!$Q:$Q,MATCH($C251&amp;"|"&amp;$E251,Scoring!$U:$U,0)),"")</f>
        <v>Priority 2</v>
      </c>
      <c r="AB251" s="15" t="str">
        <f aca="false">IFERROR(INDEX(Scoring!$AK:$AK,MATCH($C251&amp;"|"&amp;$E251,Scoring!$U:$U,0)),"")</f>
        <v>Priority 2</v>
      </c>
      <c r="AC251" s="18" t="n">
        <f aca="false">IFERROR(INDEX(Scoring!$M:$M,MATCH($C251&amp;"|"&amp;$E251,Scoring!$U:$U,0)),"")</f>
        <v>47</v>
      </c>
      <c r="AD251" s="15" t="str">
        <f aca="false">IFERROR(INDEX('Route of Administration'!$C$5:$C$155,MATCH($C251,'Route of Administration'!$A$5:$A$155,0)),"")</f>
        <v>SC</v>
      </c>
      <c r="AE251" s="14" t="str">
        <f aca="false">IFERROR(INDEX('Route of Administration'!$D$5:$D$155,MATCH($C251,'Route of Administration'!$A$5:$A$155,0)),"")</f>
        <v>Yes</v>
      </c>
    </row>
    <row r="252" customFormat="false" ht="28.35" hidden="false" customHeight="false" outlineLevel="0" collapsed="false">
      <c r="B252" s="15" t="n">
        <v>250</v>
      </c>
      <c r="C252" s="15" t="s">
        <v>635</v>
      </c>
      <c r="D252" s="15" t="s">
        <v>2024</v>
      </c>
      <c r="E252" s="15" t="s">
        <v>741</v>
      </c>
      <c r="F252" s="15" t="s">
        <v>1940</v>
      </c>
      <c r="G252" s="16" t="s">
        <v>1855</v>
      </c>
      <c r="H252" s="15" t="s">
        <v>1505</v>
      </c>
      <c r="I252" s="17" t="n">
        <v>92.0498</v>
      </c>
      <c r="J252" s="15" t="n">
        <v>31</v>
      </c>
      <c r="K252" s="15" t="n">
        <v>346</v>
      </c>
      <c r="L252" s="18" t="n">
        <v>32830.17</v>
      </c>
      <c r="M252" s="16" t="s">
        <v>636</v>
      </c>
      <c r="N252" s="17" t="n">
        <v>92.0498</v>
      </c>
      <c r="O252" s="15" t="s">
        <v>1506</v>
      </c>
      <c r="P252" s="15" t="s">
        <v>1672</v>
      </c>
      <c r="Q252" s="16" t="s">
        <v>1508</v>
      </c>
      <c r="R252" s="32" t="s">
        <v>1673</v>
      </c>
      <c r="S252" s="37" t="n">
        <f aca="false">IFERROR(INDEX('Injectable Value'!$Z$28:$Z$178,MATCH($C252,'Injectable Value'!$A$28:$A$178,0)),"")</f>
        <v>1</v>
      </c>
      <c r="T252" s="18" t="n">
        <f aca="false">IFERROR(ROUND(INDEX('Injectable Value'!$AA$28:$AA$178,MATCH($C252,'Injectable Value'!$A$28:$A$178,0)),1),"")</f>
        <v>32830.2</v>
      </c>
      <c r="U252" s="16" t="s">
        <v>815</v>
      </c>
      <c r="V252" s="15" t="n">
        <v>7</v>
      </c>
      <c r="W252" s="15" t="s">
        <v>754</v>
      </c>
      <c r="X252" s="15" t="s">
        <v>248</v>
      </c>
      <c r="Y252" s="15" t="s">
        <v>249</v>
      </c>
      <c r="Z252" s="16" t="str">
        <f aca="false">IFERROR(INDEX(Scoring!$K:$K,MATCH($C252&amp;"|"&amp;$E252,Scoring!$U:$U,0)),"")</f>
        <v/>
      </c>
      <c r="AA252" s="15" t="str">
        <f aca="false">IFERROR(INDEX(Scoring!$Q:$Q,MATCH($C252&amp;"|"&amp;$E252,Scoring!$U:$U,0)),"")</f>
        <v>Excluded – IV only</v>
      </c>
      <c r="AB252" s="15" t="str">
        <f aca="false">IFERROR(INDEX(Scoring!$AK:$AK,MATCH($C252&amp;"|"&amp;$E252,Scoring!$U:$U,0)),"")</f>
        <v>Excluded – IV only</v>
      </c>
      <c r="AC252" s="18" t="n">
        <f aca="false">IFERROR(INDEX(Scoring!$M:$M,MATCH($C252&amp;"|"&amp;$E252,Scoring!$U:$U,0)),"")</f>
        <v>346</v>
      </c>
      <c r="AD252" s="15" t="str">
        <f aca="false">IFERROR(INDEX('Route of Administration'!$C$5:$C$155,MATCH($C252,'Route of Administration'!$A$5:$A$155,0)),"")</f>
        <v>IV</v>
      </c>
      <c r="AE252" s="14" t="str">
        <f aca="false">IFERROR(INDEX('Route of Administration'!$D$5:$D$155,MATCH($C252,'Route of Administration'!$A$5:$A$155,0)),"")</f>
        <v>No</v>
      </c>
    </row>
    <row r="253" customFormat="false" ht="41.75" hidden="false" customHeight="false" outlineLevel="0" collapsed="false">
      <c r="B253" s="15" t="n">
        <v>251</v>
      </c>
      <c r="C253" s="15" t="s">
        <v>444</v>
      </c>
      <c r="D253" s="15" t="s">
        <v>444</v>
      </c>
      <c r="E253" s="15" t="s">
        <v>741</v>
      </c>
      <c r="F253" s="15" t="s">
        <v>2025</v>
      </c>
      <c r="G253" s="16" t="s">
        <v>2026</v>
      </c>
      <c r="H253" s="15" t="s">
        <v>1505</v>
      </c>
      <c r="I253" s="17" t="n">
        <v>265.643</v>
      </c>
      <c r="J253" s="15" t="n">
        <v>1</v>
      </c>
      <c r="K253" s="15" t="n">
        <v>257</v>
      </c>
      <c r="L253" s="18" t="n">
        <v>4183.29</v>
      </c>
      <c r="M253" s="16" t="s">
        <v>445</v>
      </c>
      <c r="N253" s="17" t="n">
        <v>265.643</v>
      </c>
      <c r="O253" s="15" t="s">
        <v>1506</v>
      </c>
      <c r="P253" s="15" t="s">
        <v>1507</v>
      </c>
      <c r="Q253" s="16" t="s">
        <v>1508</v>
      </c>
      <c r="R253" s="32" t="s">
        <v>1741</v>
      </c>
      <c r="S253" s="37" t="n">
        <f aca="false">IFERROR(INDEX('Injectable Value'!$Z$28:$Z$178,MATCH($C253,'Injectable Value'!$A$28:$A$178,0)),"")</f>
        <v>0.689888576486515</v>
      </c>
      <c r="T253" s="18" t="n">
        <f aca="false">IFERROR(ROUND(INDEX('Injectable Value'!$AA$28:$AA$178,MATCH($C253,'Injectable Value'!$A$28:$A$178,0)),1),"")</f>
        <v>2886</v>
      </c>
      <c r="U253" s="16" t="s">
        <v>787</v>
      </c>
      <c r="V253" s="15" t="n">
        <v>18</v>
      </c>
      <c r="W253" s="15" t="s">
        <v>505</v>
      </c>
      <c r="X253" s="15" t="s">
        <v>248</v>
      </c>
      <c r="Y253" s="15" t="s">
        <v>249</v>
      </c>
      <c r="Z253" s="16" t="str">
        <f aca="false">IFERROR(INDEX(Scoring!$K:$K,MATCH($C253&amp;"|"&amp;$E253,Scoring!$U:$U,0)),"")</f>
        <v>Cancer drug (cytotoxic) – less relevant; Reconstitution</v>
      </c>
      <c r="AA253" s="15" t="str">
        <f aca="false">IFERROR(INDEX(Scoring!$Q:$Q,MATCH($C253&amp;"|"&amp;$E253,Scoring!$U:$U,0)),"")</f>
        <v>Excluded – IV only</v>
      </c>
      <c r="AB253" s="15" t="str">
        <f aca="false">IFERROR(INDEX(Scoring!$AK:$AK,MATCH($C253&amp;"|"&amp;$E253,Scoring!$U:$U,0)),"")</f>
        <v>Excluded – IV only</v>
      </c>
      <c r="AC253" s="18" t="n">
        <f aca="false">IFERROR(INDEX(Scoring!$M:$M,MATCH($C253&amp;"|"&amp;$E253,Scoring!$U:$U,0)),"")</f>
        <v>177</v>
      </c>
      <c r="AD253" s="15" t="str">
        <f aca="false">IFERROR(INDEX('Route of Administration'!$C$5:$C$155,MATCH($C253,'Route of Administration'!$A$5:$A$155,0)),"")</f>
        <v>IV</v>
      </c>
      <c r="AE253" s="14" t="str">
        <f aca="false">IFERROR(INDEX('Route of Administration'!$D$5:$D$155,MATCH($C253,'Route of Administration'!$A$5:$A$155,0)),"")</f>
        <v>No</v>
      </c>
    </row>
    <row r="254" customFormat="false" ht="28.35" hidden="false" customHeight="false" outlineLevel="0" collapsed="false">
      <c r="B254" s="15" t="n">
        <v>252</v>
      </c>
      <c r="C254" s="15" t="s">
        <v>714</v>
      </c>
      <c r="D254" s="15" t="s">
        <v>718</v>
      </c>
      <c r="E254" s="15" t="s">
        <v>741</v>
      </c>
      <c r="F254" s="15" t="s">
        <v>1948</v>
      </c>
      <c r="G254" s="16" t="s">
        <v>2027</v>
      </c>
      <c r="H254" s="15" t="s">
        <v>1505</v>
      </c>
      <c r="I254" s="17" t="n">
        <v>7.56</v>
      </c>
      <c r="J254" s="15" t="n">
        <v>1</v>
      </c>
      <c r="K254" s="15" t="n">
        <v>236</v>
      </c>
      <c r="L254" s="18" t="n">
        <v>1845.67</v>
      </c>
      <c r="M254" s="16" t="s">
        <v>715</v>
      </c>
      <c r="N254" s="17" t="n">
        <v>7.56</v>
      </c>
      <c r="O254" s="15" t="s">
        <v>1506</v>
      </c>
      <c r="P254" s="15" t="s">
        <v>1507</v>
      </c>
      <c r="Q254" s="16" t="s">
        <v>1508</v>
      </c>
      <c r="R254" s="32" t="s">
        <v>1741</v>
      </c>
      <c r="S254" s="37" t="n">
        <f aca="false">IFERROR(INDEX('Injectable Value'!$Z$28:$Z$178,MATCH($C254,'Injectable Value'!$A$28:$A$178,0)),"")</f>
        <v>0.991758241758242</v>
      </c>
      <c r="T254" s="18" t="n">
        <f aca="false">IFERROR(ROUND(INDEX('Injectable Value'!$AA$28:$AA$178,MATCH($C254,'Injectable Value'!$A$28:$A$178,0)),1),"")</f>
        <v>1830.5</v>
      </c>
      <c r="U254" s="16" t="s">
        <v>433</v>
      </c>
      <c r="V254" s="15" t="n">
        <v>1</v>
      </c>
      <c r="W254" s="15" t="s">
        <v>429</v>
      </c>
      <c r="X254" s="15" t="s">
        <v>248</v>
      </c>
      <c r="Y254" s="15" t="s">
        <v>249</v>
      </c>
      <c r="Z254" s="16" t="str">
        <f aca="false">IFERROR(INDEX(Scoring!$K:$K,MATCH($C254&amp;"|"&amp;$E254,Scoring!$U:$U,0)),"")</f>
        <v/>
      </c>
      <c r="AA254" s="15" t="str">
        <f aca="false">IFERROR(INDEX(Scoring!$Q:$Q,MATCH($C254&amp;"|"&amp;$E254,Scoring!$U:$U,0)),"")</f>
        <v>Priority 2</v>
      </c>
      <c r="AB254" s="15" t="str">
        <f aca="false">IFERROR(INDEX(Scoring!$AK:$AK,MATCH($C254&amp;"|"&amp;$E254,Scoring!$U:$U,0)),"")</f>
        <v>Priority 3</v>
      </c>
      <c r="AC254" s="18" t="n">
        <f aca="false">IFERROR(INDEX(Scoring!$M:$M,MATCH($C254&amp;"|"&amp;$E254,Scoring!$U:$U,0)),"")</f>
        <v>234</v>
      </c>
      <c r="AD254" s="15" t="str">
        <f aca="false">IFERROR(INDEX('Route of Administration'!$C$5:$C$155,MATCH($C254,'Route of Administration'!$A$5:$A$155,0)),"")</f>
        <v>IV, SC, IM</v>
      </c>
      <c r="AE254" s="14" t="str">
        <f aca="false">IFERROR(INDEX('Route of Administration'!$D$5:$D$155,MATCH($C254,'Route of Administration'!$A$5:$A$155,0)),"")</f>
        <v>Yes</v>
      </c>
    </row>
    <row r="255" customFormat="false" ht="28.35" hidden="false" customHeight="false" outlineLevel="0" collapsed="false">
      <c r="B255" s="15" t="n">
        <v>253</v>
      </c>
      <c r="C255" s="15" t="s">
        <v>714</v>
      </c>
      <c r="D255" s="15" t="s">
        <v>718</v>
      </c>
      <c r="E255" s="15" t="s">
        <v>741</v>
      </c>
      <c r="F255" s="15" t="s">
        <v>1990</v>
      </c>
      <c r="G255" s="16" t="s">
        <v>2027</v>
      </c>
      <c r="H255" s="15" t="s">
        <v>1505</v>
      </c>
      <c r="I255" s="17" t="n">
        <v>8.393</v>
      </c>
      <c r="J255" s="15" t="n">
        <v>1</v>
      </c>
      <c r="K255" s="15" t="n">
        <v>236</v>
      </c>
      <c r="L255" s="18" t="n">
        <v>1845.67</v>
      </c>
      <c r="M255" s="16" t="s">
        <v>715</v>
      </c>
      <c r="N255" s="17" t="n">
        <v>8.393</v>
      </c>
      <c r="O255" s="15" t="s">
        <v>1506</v>
      </c>
      <c r="P255" s="15" t="s">
        <v>1507</v>
      </c>
      <c r="Q255" s="16" t="s">
        <v>1508</v>
      </c>
      <c r="R255" s="32" t="s">
        <v>1741</v>
      </c>
      <c r="S255" s="37" t="n">
        <f aca="false">IFERROR(INDEX('Injectable Value'!$Z$28:$Z$178,MATCH($C255,'Injectable Value'!$A$28:$A$178,0)),"")</f>
        <v>0.991758241758242</v>
      </c>
      <c r="T255" s="18" t="n">
        <f aca="false">IFERROR(ROUND(INDEX('Injectable Value'!$AA$28:$AA$178,MATCH($C255,'Injectable Value'!$A$28:$A$178,0)),1),"")</f>
        <v>1830.5</v>
      </c>
      <c r="U255" s="16" t="s">
        <v>433</v>
      </c>
      <c r="V255" s="15" t="n">
        <v>1</v>
      </c>
      <c r="W255" s="15" t="s">
        <v>429</v>
      </c>
      <c r="X255" s="15" t="s">
        <v>248</v>
      </c>
      <c r="Y255" s="15" t="s">
        <v>249</v>
      </c>
      <c r="Z255" s="16" t="str">
        <f aca="false">IFERROR(INDEX(Scoring!$K:$K,MATCH($C255&amp;"|"&amp;$E255,Scoring!$U:$U,0)),"")</f>
        <v/>
      </c>
      <c r="AA255" s="15" t="str">
        <f aca="false">IFERROR(INDEX(Scoring!$Q:$Q,MATCH($C255&amp;"|"&amp;$E255,Scoring!$U:$U,0)),"")</f>
        <v>Priority 2</v>
      </c>
      <c r="AB255" s="15" t="str">
        <f aca="false">IFERROR(INDEX(Scoring!$AK:$AK,MATCH($C255&amp;"|"&amp;$E255,Scoring!$U:$U,0)),"")</f>
        <v>Priority 3</v>
      </c>
      <c r="AC255" s="18" t="n">
        <f aca="false">IFERROR(INDEX(Scoring!$M:$M,MATCH($C255&amp;"|"&amp;$E255,Scoring!$U:$U,0)),"")</f>
        <v>234</v>
      </c>
      <c r="AD255" s="15" t="str">
        <f aca="false">IFERROR(INDEX('Route of Administration'!$C$5:$C$155,MATCH($C255,'Route of Administration'!$A$5:$A$155,0)),"")</f>
        <v>IV, SC, IM</v>
      </c>
      <c r="AE255" s="14" t="str">
        <f aca="false">IFERROR(INDEX('Route of Administration'!$D$5:$D$155,MATCH($C255,'Route of Administration'!$A$5:$A$155,0)),"")</f>
        <v>Yes</v>
      </c>
    </row>
    <row r="256" customFormat="false" ht="28.35" hidden="false" customHeight="false" outlineLevel="0" collapsed="false">
      <c r="B256" s="15" t="n">
        <v>254</v>
      </c>
      <c r="C256" s="15" t="s">
        <v>745</v>
      </c>
      <c r="D256" s="15" t="s">
        <v>2028</v>
      </c>
      <c r="E256" s="15" t="s">
        <v>741</v>
      </c>
      <c r="F256" s="15" t="s">
        <v>2029</v>
      </c>
      <c r="G256" s="16" t="s">
        <v>2030</v>
      </c>
      <c r="H256" s="15" t="s">
        <v>1505</v>
      </c>
      <c r="I256" s="17" t="n">
        <v>62.4008</v>
      </c>
      <c r="J256" s="15" t="n">
        <v>1</v>
      </c>
      <c r="K256" s="15" t="n">
        <v>684</v>
      </c>
      <c r="L256" s="18" t="n">
        <v>8785.35</v>
      </c>
      <c r="M256" s="16" t="s">
        <v>746</v>
      </c>
      <c r="N256" s="17" t="n">
        <v>62.4008</v>
      </c>
      <c r="O256" s="15" t="s">
        <v>1506</v>
      </c>
      <c r="P256" s="15" t="s">
        <v>1672</v>
      </c>
      <c r="Q256" s="16" t="s">
        <v>1508</v>
      </c>
      <c r="R256" s="32" t="s">
        <v>1734</v>
      </c>
      <c r="S256" s="37" t="n">
        <f aca="false">IFERROR(INDEX('Injectable Value'!$Z$28:$Z$178,MATCH($C256,'Injectable Value'!$A$28:$A$178,0)),"")</f>
        <v>0.959959846916369</v>
      </c>
      <c r="T256" s="18" t="n">
        <f aca="false">IFERROR(ROUND(INDEX('Injectable Value'!$AA$28:$AA$178,MATCH($C256,'Injectable Value'!$A$28:$A$178,0)),1),"")</f>
        <v>8433.6</v>
      </c>
      <c r="U256" s="16" t="s">
        <v>751</v>
      </c>
      <c r="V256" s="15" t="n">
        <v>5</v>
      </c>
      <c r="W256" s="15" t="s">
        <v>747</v>
      </c>
      <c r="X256" s="15" t="s">
        <v>248</v>
      </c>
      <c r="Y256" s="15" t="s">
        <v>249</v>
      </c>
      <c r="Z256" s="16" t="str">
        <f aca="false">IFERROR(INDEX(Scoring!$K:$K,MATCH($C256&amp;"|"&amp;$E256,Scoring!$U:$U,0)),"")</f>
        <v/>
      </c>
      <c r="AA256" s="15" t="str">
        <f aca="false">IFERROR(INDEX(Scoring!$Q:$Q,MATCH($C256&amp;"|"&amp;$E256,Scoring!$U:$U,0)),"")</f>
        <v>Priority 1</v>
      </c>
      <c r="AB256" s="15" t="str">
        <f aca="false">IFERROR(INDEX(Scoring!$AK:$AK,MATCH($C256&amp;"|"&amp;$E256,Scoring!$U:$U,0)),"")</f>
        <v>Priority 1</v>
      </c>
      <c r="AC256" s="18" t="n">
        <f aca="false">IFERROR(INDEX(Scoring!$M:$M,MATCH($C256&amp;"|"&amp;$E256,Scoring!$U:$U,0)),"")</f>
        <v>657</v>
      </c>
      <c r="AD256" s="15" t="str">
        <f aca="false">IFERROR(INDEX('Route of Administration'!$C$5:$C$155,MATCH($C256,'Route of Administration'!$A$5:$A$155,0)),"")</f>
        <v>IV, IM</v>
      </c>
      <c r="AE256" s="14" t="str">
        <f aca="false">IFERROR(INDEX('Route of Administration'!$D$5:$D$155,MATCH($C256,'Route of Administration'!$A$5:$A$155,0)),"")</f>
        <v>Yes</v>
      </c>
    </row>
    <row r="257" customFormat="false" ht="28.35" hidden="false" customHeight="false" outlineLevel="0" collapsed="false">
      <c r="B257" s="15" t="n">
        <v>255</v>
      </c>
      <c r="C257" s="15" t="s">
        <v>305</v>
      </c>
      <c r="D257" s="15" t="s">
        <v>305</v>
      </c>
      <c r="E257" s="15" t="s">
        <v>741</v>
      </c>
      <c r="F257" s="15" t="s">
        <v>1941</v>
      </c>
      <c r="G257" s="16" t="s">
        <v>2031</v>
      </c>
      <c r="H257" s="15" t="s">
        <v>1505</v>
      </c>
      <c r="I257" s="17" t="n">
        <v>981.694</v>
      </c>
      <c r="J257" s="15" t="n">
        <v>1</v>
      </c>
      <c r="K257" s="15" t="n">
        <v>905</v>
      </c>
      <c r="L257" s="18" t="n">
        <v>28093.38</v>
      </c>
      <c r="M257" s="16" t="s">
        <v>306</v>
      </c>
      <c r="N257" s="17" t="n">
        <v>981.694</v>
      </c>
      <c r="O257" s="15" t="s">
        <v>1506</v>
      </c>
      <c r="P257" s="15" t="s">
        <v>1507</v>
      </c>
      <c r="Q257" s="16" t="s">
        <v>1508</v>
      </c>
      <c r="R257" s="32" t="s">
        <v>1741</v>
      </c>
      <c r="S257" s="37" t="n">
        <f aca="false">IFERROR(INDEX('Injectable Value'!$Z$28:$Z$178,MATCH($C257,'Injectable Value'!$A$28:$A$178,0)),"")</f>
        <v>1</v>
      </c>
      <c r="T257" s="18" t="n">
        <f aca="false">IFERROR(ROUND(INDEX('Injectable Value'!$AA$28:$AA$178,MATCH($C257,'Injectable Value'!$A$28:$A$178,0)),1),"")</f>
        <v>28093.4</v>
      </c>
      <c r="U257" s="16" t="s">
        <v>759</v>
      </c>
      <c r="V257" s="15" t="n">
        <v>4</v>
      </c>
      <c r="W257" s="15" t="s">
        <v>559</v>
      </c>
      <c r="X257" s="15" t="s">
        <v>248</v>
      </c>
      <c r="Y257" s="15" t="s">
        <v>249</v>
      </c>
      <c r="Z257" s="16" t="str">
        <f aca="false">IFERROR(INDEX(Scoring!$K:$K,MATCH($C257&amp;"|"&amp;$E257,Scoring!$U:$U,0)),"")</f>
        <v>Cancer drug (cytotoxic) – less relevant; Reconstitution</v>
      </c>
      <c r="AA257" s="15" t="str">
        <f aca="false">IFERROR(INDEX(Scoring!$Q:$Q,MATCH($C257&amp;"|"&amp;$E257,Scoring!$U:$U,0)),"")</f>
        <v>Priority 1</v>
      </c>
      <c r="AB257" s="15" t="str">
        <f aca="false">IFERROR(INDEX(Scoring!$AK:$AK,MATCH($C257&amp;"|"&amp;$E257,Scoring!$U:$U,0)),"")</f>
        <v>Priority 1</v>
      </c>
      <c r="AC257" s="18" t="n">
        <f aca="false">IFERROR(INDEX(Scoring!$M:$M,MATCH($C257&amp;"|"&amp;$E257,Scoring!$U:$U,0)),"")</f>
        <v>905</v>
      </c>
      <c r="AD257" s="15" t="str">
        <f aca="false">IFERROR(INDEX('Route of Administration'!$C$5:$C$155,MATCH($C257,'Route of Administration'!$A$5:$A$155,0)),"")</f>
        <v>IV, SC</v>
      </c>
      <c r="AE257" s="14" t="str">
        <f aca="false">IFERROR(INDEX('Route of Administration'!$D$5:$D$155,MATCH($C257,'Route of Administration'!$A$5:$A$155,0)),"")</f>
        <v>Yes</v>
      </c>
    </row>
    <row r="258" customFormat="false" ht="28.35" hidden="false" customHeight="false" outlineLevel="0" collapsed="false">
      <c r="B258" s="15" t="n">
        <v>256</v>
      </c>
      <c r="C258" s="15" t="s">
        <v>606</v>
      </c>
      <c r="D258" s="15" t="s">
        <v>784</v>
      </c>
      <c r="E258" s="15" t="s">
        <v>741</v>
      </c>
      <c r="F258" s="15" t="s">
        <v>2032</v>
      </c>
      <c r="G258" s="16" t="s">
        <v>2033</v>
      </c>
      <c r="H258" s="15" t="s">
        <v>1505</v>
      </c>
      <c r="I258" s="17" t="n">
        <v>8.4133</v>
      </c>
      <c r="J258" s="15" t="n">
        <v>1</v>
      </c>
      <c r="K258" s="15" t="n">
        <v>87</v>
      </c>
      <c r="L258" s="18" t="n">
        <v>2931.42</v>
      </c>
      <c r="M258" s="16" t="s">
        <v>607</v>
      </c>
      <c r="N258" s="17" t="n">
        <v>8.4133</v>
      </c>
      <c r="O258" s="15" t="s">
        <v>1506</v>
      </c>
      <c r="P258" s="15" t="s">
        <v>1930</v>
      </c>
      <c r="Q258" s="16" t="s">
        <v>1508</v>
      </c>
      <c r="R258" s="15"/>
      <c r="S258" s="37" t="n">
        <f aca="false">IFERROR(INDEX('Injectable Value'!$Z$28:$Z$178,MATCH($C258,'Injectable Value'!$A$28:$A$178,0)),"")</f>
        <v>1</v>
      </c>
      <c r="T258" s="18" t="n">
        <f aca="false">IFERROR(ROUND(INDEX('Injectable Value'!$AA$28:$AA$178,MATCH($C258,'Injectable Value'!$A$28:$A$178,0)),1),"")</f>
        <v>2931.4</v>
      </c>
      <c r="U258" s="16" t="s">
        <v>785</v>
      </c>
      <c r="V258" s="15" t="n">
        <v>3</v>
      </c>
      <c r="W258" s="15" t="s">
        <v>782</v>
      </c>
      <c r="X258" s="15" t="s">
        <v>248</v>
      </c>
      <c r="Y258" s="15" t="s">
        <v>249</v>
      </c>
      <c r="Z258" s="16" t="str">
        <f aca="false">IFERROR(INDEX(Scoring!$K:$K,MATCH($C258&amp;"|"&amp;$E258,Scoring!$U:$U,0)),"")</f>
        <v/>
      </c>
      <c r="AA258" s="15" t="str">
        <f aca="false">IFERROR(INDEX(Scoring!$Q:$Q,MATCH($C258&amp;"|"&amp;$E258,Scoring!$U:$U,0)),"")</f>
        <v>Priority 2</v>
      </c>
      <c r="AB258" s="15" t="str">
        <f aca="false">IFERROR(INDEX(Scoring!$AK:$AK,MATCH($C258&amp;"|"&amp;$E258,Scoring!$U:$U,0)),"")</f>
        <v>Priority 2</v>
      </c>
      <c r="AC258" s="18" t="n">
        <f aca="false">IFERROR(INDEX(Scoring!$M:$M,MATCH($C258&amp;"|"&amp;$E258,Scoring!$U:$U,0)),"")</f>
        <v>87</v>
      </c>
      <c r="AD258" s="15" t="str">
        <f aca="false">IFERROR(INDEX('Route of Administration'!$C$5:$C$155,MATCH($C258,'Route of Administration'!$A$5:$A$155,0)),"")</f>
        <v>IV, IM, SC</v>
      </c>
      <c r="AE258" s="14" t="str">
        <f aca="false">IFERROR(INDEX('Route of Administration'!$D$5:$D$155,MATCH($C258,'Route of Administration'!$A$5:$A$155,0)),"")</f>
        <v>Yes</v>
      </c>
    </row>
    <row r="259" customFormat="false" ht="28.35" hidden="false" customHeight="false" outlineLevel="0" collapsed="false">
      <c r="B259" s="15" t="n">
        <v>257</v>
      </c>
      <c r="C259" s="15" t="s">
        <v>606</v>
      </c>
      <c r="D259" s="15" t="s">
        <v>784</v>
      </c>
      <c r="E259" s="15" t="s">
        <v>741</v>
      </c>
      <c r="F259" s="15" t="s">
        <v>2034</v>
      </c>
      <c r="G259" s="16" t="s">
        <v>2035</v>
      </c>
      <c r="H259" s="15" t="s">
        <v>1505</v>
      </c>
      <c r="I259" s="17" t="n">
        <v>42.0665</v>
      </c>
      <c r="J259" s="15" t="n">
        <v>1</v>
      </c>
      <c r="K259" s="15" t="n">
        <v>87</v>
      </c>
      <c r="L259" s="18" t="n">
        <v>2931.42</v>
      </c>
      <c r="M259" s="16" t="s">
        <v>607</v>
      </c>
      <c r="N259" s="17" t="n">
        <v>42.0665</v>
      </c>
      <c r="O259" s="15" t="s">
        <v>1506</v>
      </c>
      <c r="P259" s="15" t="s">
        <v>1930</v>
      </c>
      <c r="Q259" s="16" t="s">
        <v>1508</v>
      </c>
      <c r="R259" s="15"/>
      <c r="S259" s="37" t="n">
        <f aca="false">IFERROR(INDEX('Injectable Value'!$Z$28:$Z$178,MATCH($C259,'Injectable Value'!$A$28:$A$178,0)),"")</f>
        <v>1</v>
      </c>
      <c r="T259" s="18" t="n">
        <f aca="false">IFERROR(ROUND(INDEX('Injectable Value'!$AA$28:$AA$178,MATCH($C259,'Injectable Value'!$A$28:$A$178,0)),1),"")</f>
        <v>2931.4</v>
      </c>
      <c r="U259" s="16" t="s">
        <v>785</v>
      </c>
      <c r="V259" s="15" t="n">
        <v>3</v>
      </c>
      <c r="W259" s="15" t="s">
        <v>782</v>
      </c>
      <c r="X259" s="15" t="s">
        <v>248</v>
      </c>
      <c r="Y259" s="15" t="s">
        <v>249</v>
      </c>
      <c r="Z259" s="16" t="str">
        <f aca="false">IFERROR(INDEX(Scoring!$K:$K,MATCH($C259&amp;"|"&amp;$E259,Scoring!$U:$U,0)),"")</f>
        <v/>
      </c>
      <c r="AA259" s="15" t="str">
        <f aca="false">IFERROR(INDEX(Scoring!$Q:$Q,MATCH($C259&amp;"|"&amp;$E259,Scoring!$U:$U,0)),"")</f>
        <v>Priority 2</v>
      </c>
      <c r="AB259" s="15" t="str">
        <f aca="false">IFERROR(INDEX(Scoring!$AK:$AK,MATCH($C259&amp;"|"&amp;$E259,Scoring!$U:$U,0)),"")</f>
        <v>Priority 2</v>
      </c>
      <c r="AC259" s="18" t="n">
        <f aca="false">IFERROR(INDEX(Scoring!$M:$M,MATCH($C259&amp;"|"&amp;$E259,Scoring!$U:$U,0)),"")</f>
        <v>87</v>
      </c>
      <c r="AD259" s="15" t="str">
        <f aca="false">IFERROR(INDEX('Route of Administration'!$C$5:$C$155,MATCH($C259,'Route of Administration'!$A$5:$A$155,0)),"")</f>
        <v>IV, IM, SC</v>
      </c>
      <c r="AE259" s="14" t="str">
        <f aca="false">IFERROR(INDEX('Route of Administration'!$D$5:$D$155,MATCH($C259,'Route of Administration'!$A$5:$A$155,0)),"")</f>
        <v>Yes</v>
      </c>
    </row>
    <row r="260" customFormat="false" ht="41.75" hidden="false" customHeight="false" outlineLevel="0" collapsed="false">
      <c r="B260" s="15" t="n">
        <v>258</v>
      </c>
      <c r="C260" s="15" t="s">
        <v>799</v>
      </c>
      <c r="D260" s="15" t="s">
        <v>2036</v>
      </c>
      <c r="E260" s="15" t="s">
        <v>741</v>
      </c>
      <c r="F260" s="15" t="s">
        <v>2037</v>
      </c>
      <c r="G260" s="16" t="s">
        <v>2038</v>
      </c>
      <c r="H260" s="15" t="s">
        <v>1505</v>
      </c>
      <c r="I260" s="17" t="n">
        <v>91</v>
      </c>
      <c r="J260" s="15" t="n">
        <v>1</v>
      </c>
      <c r="K260" s="15" t="n">
        <v>12</v>
      </c>
      <c r="L260" s="18" t="n">
        <v>2202.64</v>
      </c>
      <c r="M260" s="16" t="s">
        <v>800</v>
      </c>
      <c r="N260" s="17" t="n">
        <v>91</v>
      </c>
      <c r="O260" s="15" t="s">
        <v>1506</v>
      </c>
      <c r="P260" s="15" t="s">
        <v>1672</v>
      </c>
      <c r="Q260" s="16" t="s">
        <v>1508</v>
      </c>
      <c r="R260" s="32" t="s">
        <v>1741</v>
      </c>
      <c r="S260" s="37" t="n">
        <f aca="false">IFERROR(INDEX('Injectable Value'!$Z$28:$Z$178,MATCH($C260,'Injectable Value'!$A$28:$A$178,0)),"")</f>
        <v>0.75</v>
      </c>
      <c r="T260" s="18" t="n">
        <f aca="false">IFERROR(ROUND(INDEX('Injectable Value'!$AA$28:$AA$178,MATCH($C260,'Injectable Value'!$A$28:$A$178,0)),1),"")</f>
        <v>1652</v>
      </c>
      <c r="U260" s="16" t="s">
        <v>805</v>
      </c>
      <c r="V260" s="15" t="n">
        <v>12</v>
      </c>
      <c r="W260" s="15" t="s">
        <v>801</v>
      </c>
      <c r="X260" s="15" t="s">
        <v>248</v>
      </c>
      <c r="Y260" s="15" t="s">
        <v>324</v>
      </c>
      <c r="Z260" s="16" t="str">
        <f aca="false">IFERROR(INDEX(Scoring!$K:$K,MATCH($C260&amp;"|"&amp;$E260,Scoring!$U:$U,0)),"")</f>
        <v>Reconstitution</v>
      </c>
      <c r="AA260" s="15" t="str">
        <f aca="false">IFERROR(INDEX(Scoring!$Q:$Q,MATCH($C260&amp;"|"&amp;$E260,Scoring!$U:$U,0)),"")</f>
        <v>Priority 2</v>
      </c>
      <c r="AB260" s="15" t="str">
        <f aca="false">IFERROR(INDEX(Scoring!$AK:$AK,MATCH($C260&amp;"|"&amp;$E260,Scoring!$U:$U,0)),"")</f>
        <v>Priority 2</v>
      </c>
      <c r="AC260" s="18" t="n">
        <f aca="false">IFERROR(INDEX(Scoring!$M:$M,MATCH($C260&amp;"|"&amp;$E260,Scoring!$U:$U,0)),"")</f>
        <v>9</v>
      </c>
      <c r="AD260" s="15" t="str">
        <f aca="false">IFERROR(INDEX('Route of Administration'!$C$5:$C$155,MATCH($C260,'Route of Administration'!$A$5:$A$155,0)),"")</f>
        <v>IV, IM</v>
      </c>
      <c r="AE260" s="14" t="str">
        <f aca="false">IFERROR(INDEX('Route of Administration'!$D$5:$D$155,MATCH($C260,'Route of Administration'!$A$5:$A$155,0)),"")</f>
        <v>Yes</v>
      </c>
    </row>
    <row r="261" customFormat="false" ht="28.35" hidden="false" customHeight="false" outlineLevel="0" collapsed="false">
      <c r="B261" s="15" t="n">
        <v>259</v>
      </c>
      <c r="C261" s="15" t="s">
        <v>809</v>
      </c>
      <c r="D261" s="15" t="s">
        <v>809</v>
      </c>
      <c r="E261" s="15" t="s">
        <v>741</v>
      </c>
      <c r="F261" s="15" t="s">
        <v>2039</v>
      </c>
      <c r="G261" s="16" t="s">
        <v>2040</v>
      </c>
      <c r="H261" s="15" t="s">
        <v>1505</v>
      </c>
      <c r="I261" s="17" t="n">
        <v>6.44</v>
      </c>
      <c r="J261" s="15" t="n">
        <v>1</v>
      </c>
      <c r="K261" s="15" t="n">
        <v>615</v>
      </c>
      <c r="L261" s="18" t="n">
        <v>54682.27</v>
      </c>
      <c r="M261" s="16" t="s">
        <v>810</v>
      </c>
      <c r="N261" s="17" t="n">
        <v>6.44</v>
      </c>
      <c r="O261" s="15" t="s">
        <v>1506</v>
      </c>
      <c r="P261" s="15" t="s">
        <v>1507</v>
      </c>
      <c r="Q261" s="16" t="s">
        <v>1508</v>
      </c>
      <c r="R261" s="32" t="s">
        <v>1741</v>
      </c>
      <c r="S261" s="37" t="n">
        <f aca="false">IFERROR(INDEX('Injectable Value'!$Z$28:$Z$178,MATCH($C261,'Injectable Value'!$A$28:$A$178,0)),"")</f>
        <v>0.998949579831933</v>
      </c>
      <c r="T261" s="18" t="n">
        <f aca="false">IFERROR(ROUND(INDEX('Injectable Value'!$AA$28:$AA$178,MATCH($C261,'Injectable Value'!$A$28:$A$178,0)),1),"")</f>
        <v>54624.8</v>
      </c>
      <c r="U261" s="16" t="s">
        <v>433</v>
      </c>
      <c r="V261" s="15" t="n">
        <v>1</v>
      </c>
      <c r="W261" s="15" t="s">
        <v>429</v>
      </c>
      <c r="X261" s="15" t="s">
        <v>248</v>
      </c>
      <c r="Y261" s="15" t="s">
        <v>1519</v>
      </c>
      <c r="Z261" s="16" t="str">
        <f aca="false">IFERROR(INDEX(Scoring!$K:$K,MATCH($C261&amp;"|"&amp;$E261,Scoring!$U:$U,0)),"")</f>
        <v/>
      </c>
      <c r="AA261" s="15" t="str">
        <f aca="false">IFERROR(INDEX(Scoring!$Q:$Q,MATCH($C261&amp;"|"&amp;$E261,Scoring!$U:$U,0)),"")</f>
        <v>Excluded – IV only</v>
      </c>
      <c r="AB261" s="15" t="str">
        <f aca="false">IFERROR(INDEX(Scoring!$AK:$AK,MATCH($C261&amp;"|"&amp;$E261,Scoring!$U:$U,0)),"")</f>
        <v>Excluded – IV only</v>
      </c>
      <c r="AC261" s="18" t="n">
        <f aca="false">IFERROR(INDEX(Scoring!$M:$M,MATCH($C261&amp;"|"&amp;$E261,Scoring!$U:$U,0)),"")</f>
        <v>614</v>
      </c>
      <c r="AD261" s="15" t="str">
        <f aca="false">IFERROR(INDEX('Route of Administration'!$C$5:$C$155,MATCH($C261,'Route of Administration'!$A$5:$A$155,0)),"")</f>
        <v>IV</v>
      </c>
      <c r="AE261" s="14" t="str">
        <f aca="false">IFERROR(INDEX('Route of Administration'!$D$5:$D$155,MATCH($C261,'Route of Administration'!$A$5:$A$155,0)),"")</f>
        <v>No</v>
      </c>
    </row>
    <row r="262" customFormat="false" ht="28.35" hidden="false" customHeight="false" outlineLevel="0" collapsed="false">
      <c r="B262" s="15" t="n">
        <v>260</v>
      </c>
      <c r="C262" s="15" t="s">
        <v>760</v>
      </c>
      <c r="D262" s="15" t="s">
        <v>764</v>
      </c>
      <c r="E262" s="15" t="s">
        <v>741</v>
      </c>
      <c r="F262" s="15" t="s">
        <v>2041</v>
      </c>
      <c r="G262" s="16" t="s">
        <v>2042</v>
      </c>
      <c r="H262" s="15" t="s">
        <v>1505</v>
      </c>
      <c r="I262" s="17" t="n">
        <v>23.975</v>
      </c>
      <c r="J262" s="15" t="n">
        <v>1</v>
      </c>
      <c r="K262" s="15" t="n">
        <v>123</v>
      </c>
      <c r="L262" s="18" t="n">
        <v>3010.2</v>
      </c>
      <c r="M262" s="16" t="s">
        <v>761</v>
      </c>
      <c r="N262" s="17" t="n">
        <v>23.975</v>
      </c>
      <c r="O262" s="15" t="s">
        <v>1506</v>
      </c>
      <c r="P262" s="15" t="s">
        <v>1507</v>
      </c>
      <c r="Q262" s="16" t="s">
        <v>1508</v>
      </c>
      <c r="R262" s="32" t="s">
        <v>1741</v>
      </c>
      <c r="S262" s="37" t="n">
        <f aca="false">IFERROR(INDEX('Injectable Value'!$Z$28:$Z$178,MATCH($C262,'Injectable Value'!$A$28:$A$178,0)),"")</f>
        <v>0.675601982054373</v>
      </c>
      <c r="T262" s="18" t="n">
        <f aca="false">IFERROR(ROUND(INDEX('Injectable Value'!$AA$28:$AA$178,MATCH($C262,'Injectable Value'!$A$28:$A$178,0)),1),"")</f>
        <v>2033.7</v>
      </c>
      <c r="U262" s="16" t="s">
        <v>433</v>
      </c>
      <c r="V262" s="15" t="n">
        <v>1</v>
      </c>
      <c r="W262" s="15" t="s">
        <v>429</v>
      </c>
      <c r="X262" s="15" t="s">
        <v>248</v>
      </c>
      <c r="Y262" s="15" t="s">
        <v>249</v>
      </c>
      <c r="Z262" s="16" t="str">
        <f aca="false">IFERROR(INDEX(Scoring!$K:$K,MATCH($C262&amp;"|"&amp;$E262,Scoring!$U:$U,0)),"")</f>
        <v/>
      </c>
      <c r="AA262" s="15" t="str">
        <f aca="false">IFERROR(INDEX(Scoring!$Q:$Q,MATCH($C262&amp;"|"&amp;$E262,Scoring!$U:$U,0)),"")</f>
        <v>Priority 3</v>
      </c>
      <c r="AB262" s="15" t="str">
        <f aca="false">IFERROR(INDEX(Scoring!$AK:$AK,MATCH($C262&amp;"|"&amp;$E262,Scoring!$U:$U,0)),"")</f>
        <v>Priority 3</v>
      </c>
      <c r="AC262" s="18" t="n">
        <f aca="false">IFERROR(INDEX(Scoring!$M:$M,MATCH($C262&amp;"|"&amp;$E262,Scoring!$U:$U,0)),"")</f>
        <v>83</v>
      </c>
      <c r="AD262" s="15" t="str">
        <f aca="false">IFERROR(INDEX('Route of Administration'!$C$5:$C$155,MATCH($C262,'Route of Administration'!$A$5:$A$155,0)),"")</f>
        <v>IV, IM</v>
      </c>
      <c r="AE262" s="14" t="str">
        <f aca="false">IFERROR(INDEX('Route of Administration'!$D$5:$D$155,MATCH($C262,'Route of Administration'!$A$5:$A$155,0)),"")</f>
        <v>Yes</v>
      </c>
    </row>
    <row r="263" customFormat="false" ht="28.35" hidden="false" customHeight="false" outlineLevel="0" collapsed="false">
      <c r="B263" s="15" t="n">
        <v>261</v>
      </c>
      <c r="C263" s="15" t="s">
        <v>348</v>
      </c>
      <c r="D263" s="15" t="s">
        <v>348</v>
      </c>
      <c r="E263" s="15" t="s">
        <v>741</v>
      </c>
      <c r="F263" s="15" t="s">
        <v>2043</v>
      </c>
      <c r="G263" s="16" t="s">
        <v>2044</v>
      </c>
      <c r="H263" s="15" t="s">
        <v>1505</v>
      </c>
      <c r="I263" s="17" t="n">
        <v>80.5</v>
      </c>
      <c r="J263" s="15" t="n">
        <v>1</v>
      </c>
      <c r="K263" s="15" t="n">
        <v>843</v>
      </c>
      <c r="L263" s="18" t="n">
        <v>4508</v>
      </c>
      <c r="M263" s="16" t="s">
        <v>349</v>
      </c>
      <c r="N263" s="17" t="n">
        <v>80.5</v>
      </c>
      <c r="O263" s="15" t="s">
        <v>1506</v>
      </c>
      <c r="P263" s="15" t="s">
        <v>1507</v>
      </c>
      <c r="Q263" s="16" t="s">
        <v>1508</v>
      </c>
      <c r="R263" s="32" t="s">
        <v>1741</v>
      </c>
      <c r="S263" s="37" t="n">
        <f aca="false">IFERROR(INDEX('Injectable Value'!$Z$28:$Z$178,MATCH($C263,'Injectable Value'!$A$28:$A$178,0)),"")</f>
        <v>0.858739397335643</v>
      </c>
      <c r="T263" s="18" t="n">
        <f aca="false">IFERROR(ROUND(INDEX('Injectable Value'!$AA$28:$AA$178,MATCH($C263,'Injectable Value'!$A$28:$A$178,0)),1),"")</f>
        <v>3871.2</v>
      </c>
      <c r="U263" s="16" t="s">
        <v>433</v>
      </c>
      <c r="V263" s="15" t="n">
        <v>1</v>
      </c>
      <c r="W263" s="15" t="s">
        <v>429</v>
      </c>
      <c r="X263" s="15" t="s">
        <v>248</v>
      </c>
      <c r="Y263" s="15" t="s">
        <v>1519</v>
      </c>
      <c r="Z263" s="16" t="str">
        <f aca="false">IFERROR(INDEX(Scoring!$K:$K,MATCH($C263&amp;"|"&amp;$E263,Scoring!$U:$U,0)),"")</f>
        <v>Cancer drug (cytotoxic) – less relevant</v>
      </c>
      <c r="AA263" s="15" t="str">
        <f aca="false">IFERROR(INDEX(Scoring!$Q:$Q,MATCH($C263&amp;"|"&amp;$E263,Scoring!$U:$U,0)),"")</f>
        <v>Excluded – IV only</v>
      </c>
      <c r="AB263" s="15" t="str">
        <f aca="false">IFERROR(INDEX(Scoring!$AK:$AK,MATCH($C263&amp;"|"&amp;$E263,Scoring!$U:$U,0)),"")</f>
        <v>Excluded – IV only</v>
      </c>
      <c r="AC263" s="18" t="n">
        <f aca="false">IFERROR(INDEX(Scoring!$M:$M,MATCH($C263&amp;"|"&amp;$E263,Scoring!$U:$U,0)),"")</f>
        <v>724</v>
      </c>
      <c r="AD263" s="15" t="str">
        <f aca="false">IFERROR(INDEX('Route of Administration'!$C$5:$C$155,MATCH($C263,'Route of Administration'!$A$5:$A$155,0)),"")</f>
        <v>IV</v>
      </c>
      <c r="AE263" s="14" t="str">
        <f aca="false">IFERROR(INDEX('Route of Administration'!$D$5:$D$155,MATCH($C263,'Route of Administration'!$A$5:$A$155,0)),"")</f>
        <v>No</v>
      </c>
    </row>
    <row r="264" customFormat="false" ht="28.35" hidden="false" customHeight="false" outlineLevel="0" collapsed="false">
      <c r="B264" s="15" t="n">
        <v>262</v>
      </c>
      <c r="C264" s="15" t="s">
        <v>348</v>
      </c>
      <c r="D264" s="15" t="s">
        <v>348</v>
      </c>
      <c r="E264" s="15" t="s">
        <v>741</v>
      </c>
      <c r="F264" s="15" t="s">
        <v>2045</v>
      </c>
      <c r="G264" s="16" t="s">
        <v>2046</v>
      </c>
      <c r="H264" s="15" t="s">
        <v>1505</v>
      </c>
      <c r="I264" s="17" t="n">
        <v>105</v>
      </c>
      <c r="J264" s="15" t="n">
        <v>1</v>
      </c>
      <c r="K264" s="15" t="n">
        <v>843</v>
      </c>
      <c r="L264" s="18" t="n">
        <v>4508</v>
      </c>
      <c r="M264" s="16" t="s">
        <v>349</v>
      </c>
      <c r="N264" s="17" t="n">
        <v>105</v>
      </c>
      <c r="O264" s="15" t="s">
        <v>1506</v>
      </c>
      <c r="P264" s="15" t="s">
        <v>1507</v>
      </c>
      <c r="Q264" s="16" t="s">
        <v>1508</v>
      </c>
      <c r="R264" s="32" t="s">
        <v>1741</v>
      </c>
      <c r="S264" s="37" t="n">
        <f aca="false">IFERROR(INDEX('Injectable Value'!$Z$28:$Z$178,MATCH($C264,'Injectable Value'!$A$28:$A$178,0)),"")</f>
        <v>0.858739397335643</v>
      </c>
      <c r="T264" s="18" t="n">
        <f aca="false">IFERROR(ROUND(INDEX('Injectable Value'!$AA$28:$AA$178,MATCH($C264,'Injectable Value'!$A$28:$A$178,0)),1),"")</f>
        <v>3871.2</v>
      </c>
      <c r="U264" s="16" t="s">
        <v>433</v>
      </c>
      <c r="V264" s="15" t="n">
        <v>1</v>
      </c>
      <c r="W264" s="15" t="s">
        <v>429</v>
      </c>
      <c r="X264" s="15" t="s">
        <v>248</v>
      </c>
      <c r="Y264" s="15" t="s">
        <v>1519</v>
      </c>
      <c r="Z264" s="16" t="str">
        <f aca="false">IFERROR(INDEX(Scoring!$K:$K,MATCH($C264&amp;"|"&amp;$E264,Scoring!$U:$U,0)),"")</f>
        <v>Cancer drug (cytotoxic) – less relevant</v>
      </c>
      <c r="AA264" s="15" t="str">
        <f aca="false">IFERROR(INDEX(Scoring!$Q:$Q,MATCH($C264&amp;"|"&amp;$E264,Scoring!$U:$U,0)),"")</f>
        <v>Excluded – IV only</v>
      </c>
      <c r="AB264" s="15" t="str">
        <f aca="false">IFERROR(INDEX(Scoring!$AK:$AK,MATCH($C264&amp;"|"&amp;$E264,Scoring!$U:$U,0)),"")</f>
        <v>Excluded – IV only</v>
      </c>
      <c r="AC264" s="18" t="n">
        <f aca="false">IFERROR(INDEX(Scoring!$M:$M,MATCH($C264&amp;"|"&amp;$E264,Scoring!$U:$U,0)),"")</f>
        <v>724</v>
      </c>
      <c r="AD264" s="15" t="str">
        <f aca="false">IFERROR(INDEX('Route of Administration'!$C$5:$C$155,MATCH($C264,'Route of Administration'!$A$5:$A$155,0)),"")</f>
        <v>IV</v>
      </c>
      <c r="AE264" s="14" t="str">
        <f aca="false">IFERROR(INDEX('Route of Administration'!$D$5:$D$155,MATCH($C264,'Route of Administration'!$A$5:$A$155,0)),"")</f>
        <v>No</v>
      </c>
    </row>
    <row r="265" customFormat="false" ht="41.75" hidden="false" customHeight="false" outlineLevel="0" collapsed="false">
      <c r="B265" s="15" t="n">
        <v>263</v>
      </c>
      <c r="C265" s="15" t="s">
        <v>799</v>
      </c>
      <c r="D265" s="15" t="s">
        <v>2047</v>
      </c>
      <c r="E265" s="15" t="s">
        <v>741</v>
      </c>
      <c r="F265" s="15" t="s">
        <v>2048</v>
      </c>
      <c r="G265" s="16" t="s">
        <v>2049</v>
      </c>
      <c r="H265" s="15" t="s">
        <v>1505</v>
      </c>
      <c r="I265" s="17"/>
      <c r="J265" s="15" t="n">
        <v>1</v>
      </c>
      <c r="K265" s="15" t="n">
        <v>12</v>
      </c>
      <c r="L265" s="18" t="n">
        <v>2202.64</v>
      </c>
      <c r="M265" s="16" t="s">
        <v>800</v>
      </c>
      <c r="N265" s="17"/>
      <c r="O265" s="15" t="s">
        <v>1545</v>
      </c>
      <c r="P265" s="15" t="s">
        <v>70</v>
      </c>
      <c r="Q265" s="16" t="s">
        <v>70</v>
      </c>
      <c r="R265" s="15"/>
      <c r="S265" s="37" t="n">
        <f aca="false">IFERROR(INDEX('Injectable Value'!$Z$28:$Z$178,MATCH($C265,'Injectable Value'!$A$28:$A$178,0)),"")</f>
        <v>0.75</v>
      </c>
      <c r="T265" s="18" t="n">
        <f aca="false">IFERROR(ROUND(INDEX('Injectable Value'!$AA$28:$AA$178,MATCH($C265,'Injectable Value'!$A$28:$A$178,0)),1),"")</f>
        <v>1652</v>
      </c>
      <c r="U265" s="16" t="s">
        <v>805</v>
      </c>
      <c r="V265" s="15" t="n">
        <v>12</v>
      </c>
      <c r="W265" s="15" t="s">
        <v>801</v>
      </c>
      <c r="X265" s="15" t="s">
        <v>248</v>
      </c>
      <c r="Y265" s="15" t="s">
        <v>299</v>
      </c>
      <c r="Z265" s="16" t="str">
        <f aca="false">IFERROR(INDEX(Scoring!$K:$K,MATCH($C265&amp;"|"&amp;$E265,Scoring!$U:$U,0)),"")</f>
        <v>Reconstitution</v>
      </c>
      <c r="AA265" s="15" t="str">
        <f aca="false">IFERROR(INDEX(Scoring!$Q:$Q,MATCH($C265&amp;"|"&amp;$E265,Scoring!$U:$U,0)),"")</f>
        <v>Priority 2</v>
      </c>
      <c r="AB265" s="15" t="str">
        <f aca="false">IFERROR(INDEX(Scoring!$AK:$AK,MATCH($C265&amp;"|"&amp;$E265,Scoring!$U:$U,0)),"")</f>
        <v>Priority 2</v>
      </c>
      <c r="AC265" s="18" t="n">
        <f aca="false">IFERROR(INDEX(Scoring!$M:$M,MATCH($C265&amp;"|"&amp;$E265,Scoring!$U:$U,0)),"")</f>
        <v>9</v>
      </c>
      <c r="AD265" s="15" t="str">
        <f aca="false">IFERROR(INDEX('Route of Administration'!$C$5:$C$155,MATCH($C265,'Route of Administration'!$A$5:$A$155,0)),"")</f>
        <v>IV, IM</v>
      </c>
      <c r="AE265" s="14" t="str">
        <f aca="false">IFERROR(INDEX('Route of Administration'!$D$5:$D$155,MATCH($C265,'Route of Administration'!$A$5:$A$155,0)),"")</f>
        <v>Yes</v>
      </c>
    </row>
    <row r="266" customFormat="false" ht="28.35" hidden="false" customHeight="false" outlineLevel="0" collapsed="false">
      <c r="B266" s="15" t="n">
        <v>264</v>
      </c>
      <c r="C266" s="15" t="s">
        <v>745</v>
      </c>
      <c r="D266" s="15" t="s">
        <v>2050</v>
      </c>
      <c r="E266" s="15" t="s">
        <v>741</v>
      </c>
      <c r="F266" s="15" t="s">
        <v>2051</v>
      </c>
      <c r="G266" s="16" t="s">
        <v>1818</v>
      </c>
      <c r="H266" s="15" t="s">
        <v>1505</v>
      </c>
      <c r="I266" s="17"/>
      <c r="J266" s="15" t="n">
        <v>1</v>
      </c>
      <c r="K266" s="15" t="n">
        <v>684</v>
      </c>
      <c r="L266" s="18" t="n">
        <v>8785.35</v>
      </c>
      <c r="M266" s="16" t="s">
        <v>746</v>
      </c>
      <c r="N266" s="17"/>
      <c r="O266" s="15" t="s">
        <v>1545</v>
      </c>
      <c r="P266" s="15" t="s">
        <v>70</v>
      </c>
      <c r="Q266" s="16" t="s">
        <v>70</v>
      </c>
      <c r="R266" s="15"/>
      <c r="S266" s="37" t="n">
        <f aca="false">IFERROR(INDEX('Injectable Value'!$Z$28:$Z$178,MATCH($C266,'Injectable Value'!$A$28:$A$178,0)),"")</f>
        <v>0.959959846916369</v>
      </c>
      <c r="T266" s="18" t="n">
        <f aca="false">IFERROR(ROUND(INDEX('Injectable Value'!$AA$28:$AA$178,MATCH($C266,'Injectable Value'!$A$28:$A$178,0)),1),"")</f>
        <v>8433.6</v>
      </c>
      <c r="U266" s="16" t="s">
        <v>751</v>
      </c>
      <c r="V266" s="15" t="n">
        <v>5</v>
      </c>
      <c r="W266" s="15" t="s">
        <v>747</v>
      </c>
      <c r="X266" s="15" t="s">
        <v>248</v>
      </c>
      <c r="Y266" s="15" t="s">
        <v>249</v>
      </c>
      <c r="Z266" s="16" t="str">
        <f aca="false">IFERROR(INDEX(Scoring!$K:$K,MATCH($C266&amp;"|"&amp;$E266,Scoring!$U:$U,0)),"")</f>
        <v/>
      </c>
      <c r="AA266" s="15" t="str">
        <f aca="false">IFERROR(INDEX(Scoring!$Q:$Q,MATCH($C266&amp;"|"&amp;$E266,Scoring!$U:$U,0)),"")</f>
        <v>Priority 1</v>
      </c>
      <c r="AB266" s="15" t="str">
        <f aca="false">IFERROR(INDEX(Scoring!$AK:$AK,MATCH($C266&amp;"|"&amp;$E266,Scoring!$U:$U,0)),"")</f>
        <v>Priority 1</v>
      </c>
      <c r="AC266" s="18" t="n">
        <f aca="false">IFERROR(INDEX(Scoring!$M:$M,MATCH($C266&amp;"|"&amp;$E266,Scoring!$U:$U,0)),"")</f>
        <v>657</v>
      </c>
      <c r="AD266" s="15" t="str">
        <f aca="false">IFERROR(INDEX('Route of Administration'!$C$5:$C$155,MATCH($C266,'Route of Administration'!$A$5:$A$155,0)),"")</f>
        <v>IV, IM</v>
      </c>
      <c r="AE266" s="14" t="str">
        <f aca="false">IFERROR(INDEX('Route of Administration'!$D$5:$D$155,MATCH($C266,'Route of Administration'!$A$5:$A$155,0)),"")</f>
        <v>Yes</v>
      </c>
    </row>
    <row r="267" customFormat="false" ht="41.75" hidden="false" customHeight="false" outlineLevel="0" collapsed="false">
      <c r="B267" s="15" t="n">
        <v>265</v>
      </c>
      <c r="C267" s="15" t="s">
        <v>444</v>
      </c>
      <c r="D267" s="15" t="s">
        <v>2052</v>
      </c>
      <c r="E267" s="15" t="s">
        <v>741</v>
      </c>
      <c r="F267" s="15" t="s">
        <v>2053</v>
      </c>
      <c r="G267" s="16" t="s">
        <v>2054</v>
      </c>
      <c r="H267" s="15" t="s">
        <v>1505</v>
      </c>
      <c r="I267" s="17"/>
      <c r="J267" s="15" t="n">
        <v>1</v>
      </c>
      <c r="K267" s="15" t="n">
        <v>257</v>
      </c>
      <c r="L267" s="18" t="n">
        <v>4183.29</v>
      </c>
      <c r="M267" s="16" t="s">
        <v>445</v>
      </c>
      <c r="N267" s="17"/>
      <c r="O267" s="15" t="s">
        <v>1545</v>
      </c>
      <c r="P267" s="15" t="s">
        <v>70</v>
      </c>
      <c r="Q267" s="16" t="s">
        <v>70</v>
      </c>
      <c r="R267" s="15"/>
      <c r="S267" s="37" t="n">
        <f aca="false">IFERROR(INDEX('Injectable Value'!$Z$28:$Z$178,MATCH($C267,'Injectable Value'!$A$28:$A$178,0)),"")</f>
        <v>0.689888576486515</v>
      </c>
      <c r="T267" s="18" t="n">
        <f aca="false">IFERROR(ROUND(INDEX('Injectable Value'!$AA$28:$AA$178,MATCH($C267,'Injectable Value'!$A$28:$A$178,0)),1),"")</f>
        <v>2886</v>
      </c>
      <c r="U267" s="16" t="s">
        <v>787</v>
      </c>
      <c r="V267" s="15" t="n">
        <v>18</v>
      </c>
      <c r="W267" s="15" t="s">
        <v>505</v>
      </c>
      <c r="X267" s="15" t="s">
        <v>248</v>
      </c>
      <c r="Y267" s="15" t="s">
        <v>299</v>
      </c>
      <c r="Z267" s="16" t="str">
        <f aca="false">IFERROR(INDEX(Scoring!$K:$K,MATCH($C267&amp;"|"&amp;$E267,Scoring!$U:$U,0)),"")</f>
        <v>Cancer drug (cytotoxic) – less relevant; Reconstitution</v>
      </c>
      <c r="AA267" s="15" t="str">
        <f aca="false">IFERROR(INDEX(Scoring!$Q:$Q,MATCH($C267&amp;"|"&amp;$E267,Scoring!$U:$U,0)),"")</f>
        <v>Excluded – IV only</v>
      </c>
      <c r="AB267" s="15" t="str">
        <f aca="false">IFERROR(INDEX(Scoring!$AK:$AK,MATCH($C267&amp;"|"&amp;$E267,Scoring!$U:$U,0)),"")</f>
        <v>Excluded – IV only</v>
      </c>
      <c r="AC267" s="18" t="n">
        <f aca="false">IFERROR(INDEX(Scoring!$M:$M,MATCH($C267&amp;"|"&amp;$E267,Scoring!$U:$U,0)),"")</f>
        <v>177</v>
      </c>
      <c r="AD267" s="15" t="str">
        <f aca="false">IFERROR(INDEX('Route of Administration'!$C$5:$C$155,MATCH($C267,'Route of Administration'!$A$5:$A$155,0)),"")</f>
        <v>IV</v>
      </c>
      <c r="AE267" s="14" t="str">
        <f aca="false">IFERROR(INDEX('Route of Administration'!$D$5:$D$155,MATCH($C267,'Route of Administration'!$A$5:$A$155,0)),"")</f>
        <v>No</v>
      </c>
    </row>
    <row r="268" customFormat="false" ht="28.35" hidden="false" customHeight="false" outlineLevel="0" collapsed="false">
      <c r="B268" s="15" t="n">
        <v>266</v>
      </c>
      <c r="C268" s="15" t="s">
        <v>262</v>
      </c>
      <c r="D268" s="15" t="s">
        <v>262</v>
      </c>
      <c r="E268" s="15" t="s">
        <v>816</v>
      </c>
      <c r="F268" s="15" t="s">
        <v>1526</v>
      </c>
      <c r="G268" s="16" t="s">
        <v>2055</v>
      </c>
      <c r="H268" s="15" t="s">
        <v>1528</v>
      </c>
      <c r="I268" s="17" t="n">
        <v>29.97</v>
      </c>
      <c r="J268" s="15" t="n">
        <v>1</v>
      </c>
      <c r="K268" s="15" t="n">
        <v>146</v>
      </c>
      <c r="L268" s="18" t="n">
        <v>11366.06</v>
      </c>
      <c r="M268" s="16" t="s">
        <v>263</v>
      </c>
      <c r="N268" s="17" t="n">
        <v>29.97</v>
      </c>
      <c r="O268" s="15" t="s">
        <v>1506</v>
      </c>
      <c r="P268" s="15" t="s">
        <v>1507</v>
      </c>
      <c r="Q268" s="16" t="s">
        <v>1508</v>
      </c>
      <c r="R268" s="32" t="s">
        <v>1529</v>
      </c>
      <c r="S268" s="37" t="n">
        <f aca="false">IFERROR(INDEX('Injectable Value'!$Z$28:$Z$178,MATCH($C268,'Injectable Value'!$A$28:$A$178,0)),"")</f>
        <v>1</v>
      </c>
      <c r="T268" s="18" t="n">
        <f aca="false">IFERROR(ROUND(INDEX('Injectable Value'!$AA$28:$AA$178,MATCH($C268,'Injectable Value'!$A$28:$A$178,0)),1),"")</f>
        <v>11366.1</v>
      </c>
      <c r="U268" s="16" t="s">
        <v>830</v>
      </c>
      <c r="V268" s="15" t="n">
        <v>8</v>
      </c>
      <c r="W268" s="15" t="s">
        <v>827</v>
      </c>
      <c r="X268" s="15" t="s">
        <v>258</v>
      </c>
      <c r="Y268" s="15" t="s">
        <v>249</v>
      </c>
      <c r="Z268" s="16" t="str">
        <f aca="false">IFERROR(INDEX(Scoring!$K:$K,MATCH($C268&amp;"|"&amp;$E268,Scoring!$U:$U,0)),"")</f>
        <v>Prefilled only</v>
      </c>
      <c r="AA268" s="15" t="str">
        <f aca="false">IFERROR(INDEX(Scoring!$Q:$Q,MATCH($C268&amp;"|"&amp;$E268,Scoring!$U:$U,0)),"")</f>
        <v>Priority 1</v>
      </c>
      <c r="AB268" s="15" t="str">
        <f aca="false">IFERROR(INDEX(Scoring!$AK:$AK,MATCH($C268&amp;"|"&amp;$E268,Scoring!$U:$U,0)),"")</f>
        <v>Priority 2</v>
      </c>
      <c r="AC268" s="18" t="n">
        <f aca="false">IFERROR(INDEX(Scoring!$M:$M,MATCH($C268&amp;"|"&amp;$E268,Scoring!$U:$U,0)),"")</f>
        <v>146</v>
      </c>
      <c r="AD268" s="15" t="str">
        <f aca="false">IFERROR(INDEX('Route of Administration'!$C$5:$C$155,MATCH($C268,'Route of Administration'!$A$5:$A$155,0)),"")</f>
        <v>IM</v>
      </c>
      <c r="AE268" s="14" t="str">
        <f aca="false">IFERROR(INDEX('Route of Administration'!$D$5:$D$155,MATCH($C268,'Route of Administration'!$A$5:$A$155,0)),"")</f>
        <v>Yes</v>
      </c>
    </row>
    <row r="269" customFormat="false" ht="28.35" hidden="false" customHeight="false" outlineLevel="0" collapsed="false">
      <c r="B269" s="15" t="n">
        <v>267</v>
      </c>
      <c r="C269" s="15" t="s">
        <v>694</v>
      </c>
      <c r="D269" s="15" t="s">
        <v>1897</v>
      </c>
      <c r="E269" s="15" t="s">
        <v>816</v>
      </c>
      <c r="F269" s="15" t="s">
        <v>1898</v>
      </c>
      <c r="G269" s="16" t="s">
        <v>2056</v>
      </c>
      <c r="H269" s="15" t="s">
        <v>248</v>
      </c>
      <c r="I269" s="17" t="n">
        <v>301.8</v>
      </c>
      <c r="J269" s="15" t="n">
        <v>1</v>
      </c>
      <c r="K269" s="15" t="n">
        <v>42</v>
      </c>
      <c r="L269" s="18" t="n">
        <v>1874.63</v>
      </c>
      <c r="M269" s="16" t="s">
        <v>695</v>
      </c>
      <c r="N269" s="17" t="n">
        <v>301.8</v>
      </c>
      <c r="O269" s="15" t="s">
        <v>1506</v>
      </c>
      <c r="P269" s="15" t="s">
        <v>1507</v>
      </c>
      <c r="Q269" s="16" t="s">
        <v>1508</v>
      </c>
      <c r="R269" s="32" t="s">
        <v>1900</v>
      </c>
      <c r="S269" s="37" t="n">
        <f aca="false">IFERROR(INDEX('Injectable Value'!$Z$28:$Z$178,MATCH($C269,'Injectable Value'!$A$28:$A$178,0)),"")</f>
        <v>1</v>
      </c>
      <c r="T269" s="18" t="n">
        <f aca="false">IFERROR(ROUND(INDEX('Injectable Value'!$AA$28:$AA$178,MATCH($C269,'Injectable Value'!$A$28:$A$178,0)),1),"")</f>
        <v>1874.6</v>
      </c>
      <c r="U269" s="16" t="s">
        <v>826</v>
      </c>
      <c r="V269" s="15" t="n">
        <v>9</v>
      </c>
      <c r="W269" s="15" t="s">
        <v>823</v>
      </c>
      <c r="X269" s="15" t="s">
        <v>248</v>
      </c>
      <c r="Y269" s="15" t="s">
        <v>249</v>
      </c>
      <c r="Z269" s="16" t="str">
        <f aca="false">IFERROR(INDEX(Scoring!$K:$K,MATCH($C269&amp;"|"&amp;$E269,Scoring!$U:$U,0)),"")</f>
        <v>Cancer drug (cytotoxic) – less relevant</v>
      </c>
      <c r="AA269" s="15" t="str">
        <f aca="false">IFERROR(INDEX(Scoring!$Q:$Q,MATCH($C269&amp;"|"&amp;$E269,Scoring!$U:$U,0)),"")</f>
        <v>Excluded – IV only</v>
      </c>
      <c r="AB269" s="15" t="str">
        <f aca="false">IFERROR(INDEX(Scoring!$AK:$AK,MATCH($C269&amp;"|"&amp;$E269,Scoring!$U:$U,0)),"")</f>
        <v>Excluded – IV only</v>
      </c>
      <c r="AC269" s="18" t="n">
        <f aca="false">IFERROR(INDEX(Scoring!$M:$M,MATCH($C269&amp;"|"&amp;$E269,Scoring!$U:$U,0)),"")</f>
        <v>42</v>
      </c>
      <c r="AD269" s="15" t="str">
        <f aca="false">IFERROR(INDEX('Route of Administration'!$C$5:$C$155,MATCH($C269,'Route of Administration'!$A$5:$A$155,0)),"")</f>
        <v>IV</v>
      </c>
      <c r="AE269" s="14" t="str">
        <f aca="false">IFERROR(INDEX('Route of Administration'!$D$5:$D$155,MATCH($C269,'Route of Administration'!$A$5:$A$155,0)),"")</f>
        <v>No</v>
      </c>
    </row>
    <row r="270" customFormat="false" ht="28.35" hidden="false" customHeight="false" outlineLevel="0" collapsed="false">
      <c r="B270" s="15" t="n">
        <v>268</v>
      </c>
      <c r="C270" s="15" t="s">
        <v>262</v>
      </c>
      <c r="D270" s="15" t="s">
        <v>262</v>
      </c>
      <c r="E270" s="15" t="s">
        <v>816</v>
      </c>
      <c r="F270" s="15" t="s">
        <v>1655</v>
      </c>
      <c r="G270" s="16" t="s">
        <v>2057</v>
      </c>
      <c r="H270" s="15" t="s">
        <v>1512</v>
      </c>
      <c r="I270" s="17" t="n">
        <v>345.31</v>
      </c>
      <c r="J270" s="15" t="n">
        <v>1</v>
      </c>
      <c r="K270" s="15" t="n">
        <v>146</v>
      </c>
      <c r="L270" s="18" t="n">
        <v>11366.06</v>
      </c>
      <c r="M270" s="16" t="s">
        <v>263</v>
      </c>
      <c r="N270" s="17" t="n">
        <v>345.31</v>
      </c>
      <c r="O270" s="15" t="s">
        <v>1506</v>
      </c>
      <c r="P270" s="15" t="s">
        <v>1507</v>
      </c>
      <c r="Q270" s="16" t="s">
        <v>1508</v>
      </c>
      <c r="R270" s="32" t="s">
        <v>1657</v>
      </c>
      <c r="S270" s="37" t="n">
        <f aca="false">IFERROR(INDEX('Injectable Value'!$Z$28:$Z$178,MATCH($C270,'Injectable Value'!$A$28:$A$178,0)),"")</f>
        <v>1</v>
      </c>
      <c r="T270" s="18" t="n">
        <f aca="false">IFERROR(ROUND(INDEX('Injectable Value'!$AA$28:$AA$178,MATCH($C270,'Injectable Value'!$A$28:$A$178,0)),1),"")</f>
        <v>11366.1</v>
      </c>
      <c r="U270" s="16" t="s">
        <v>830</v>
      </c>
      <c r="V270" s="15" t="n">
        <v>8</v>
      </c>
      <c r="W270" s="15" t="s">
        <v>827</v>
      </c>
      <c r="X270" s="15" t="s">
        <v>258</v>
      </c>
      <c r="Y270" s="15" t="s">
        <v>277</v>
      </c>
      <c r="Z270" s="16" t="str">
        <f aca="false">IFERROR(INDEX(Scoring!$K:$K,MATCH($C270&amp;"|"&amp;$E270,Scoring!$U:$U,0)),"")</f>
        <v>Prefilled only</v>
      </c>
      <c r="AA270" s="15" t="str">
        <f aca="false">IFERROR(INDEX(Scoring!$Q:$Q,MATCH($C270&amp;"|"&amp;$E270,Scoring!$U:$U,0)),"")</f>
        <v>Priority 1</v>
      </c>
      <c r="AB270" s="15" t="str">
        <f aca="false">IFERROR(INDEX(Scoring!$AK:$AK,MATCH($C270&amp;"|"&amp;$E270,Scoring!$U:$U,0)),"")</f>
        <v>Priority 2</v>
      </c>
      <c r="AC270" s="18" t="n">
        <f aca="false">IFERROR(INDEX(Scoring!$M:$M,MATCH($C270&amp;"|"&amp;$E270,Scoring!$U:$U,0)),"")</f>
        <v>146</v>
      </c>
      <c r="AD270" s="15" t="str">
        <f aca="false">IFERROR(INDEX('Route of Administration'!$C$5:$C$155,MATCH($C270,'Route of Administration'!$A$5:$A$155,0)),"")</f>
        <v>IM</v>
      </c>
      <c r="AE270" s="14" t="str">
        <f aca="false">IFERROR(INDEX('Route of Administration'!$D$5:$D$155,MATCH($C270,'Route of Administration'!$A$5:$A$155,0)),"")</f>
        <v>Yes</v>
      </c>
    </row>
    <row r="271" customFormat="false" ht="28.35" hidden="false" customHeight="false" outlineLevel="0" collapsed="false">
      <c r="B271" s="15" t="n">
        <v>269</v>
      </c>
      <c r="C271" s="15" t="s">
        <v>635</v>
      </c>
      <c r="D271" s="15" t="s">
        <v>635</v>
      </c>
      <c r="E271" s="15" t="s">
        <v>816</v>
      </c>
      <c r="F271" s="15" t="s">
        <v>1732</v>
      </c>
      <c r="G271" s="16" t="s">
        <v>2058</v>
      </c>
      <c r="H271" s="15" t="s">
        <v>1505</v>
      </c>
      <c r="I271" s="17" t="n">
        <v>67.02</v>
      </c>
      <c r="J271" s="15" t="n">
        <v>1</v>
      </c>
      <c r="K271" s="15" t="n">
        <v>346</v>
      </c>
      <c r="L271" s="18" t="n">
        <v>32830.17</v>
      </c>
      <c r="M271" s="16" t="s">
        <v>636</v>
      </c>
      <c r="N271" s="17" t="n">
        <v>67.02</v>
      </c>
      <c r="O271" s="15" t="s">
        <v>1506</v>
      </c>
      <c r="P271" s="15" t="s">
        <v>1507</v>
      </c>
      <c r="Q271" s="16" t="s">
        <v>1508</v>
      </c>
      <c r="R271" s="32" t="s">
        <v>2059</v>
      </c>
      <c r="S271" s="37" t="n">
        <f aca="false">IFERROR(INDEX('Injectable Value'!$Z$28:$Z$178,MATCH($C271,'Injectable Value'!$A$28:$A$178,0)),"")</f>
        <v>1</v>
      </c>
      <c r="T271" s="18" t="n">
        <f aca="false">IFERROR(ROUND(INDEX('Injectable Value'!$AA$28:$AA$178,MATCH($C271,'Injectable Value'!$A$28:$A$178,0)),1),"")</f>
        <v>32830.2</v>
      </c>
      <c r="U271" s="16" t="s">
        <v>836</v>
      </c>
      <c r="V271" s="15" t="n">
        <v>9</v>
      </c>
      <c r="W271" s="15" t="s">
        <v>833</v>
      </c>
      <c r="X271" s="15" t="s">
        <v>248</v>
      </c>
      <c r="Y271" s="15" t="s">
        <v>277</v>
      </c>
      <c r="Z271" s="16" t="str">
        <f aca="false">IFERROR(INDEX(Scoring!$K:$K,MATCH($C271&amp;"|"&amp;$E271,Scoring!$U:$U,0)),"")</f>
        <v/>
      </c>
      <c r="AA271" s="15" t="str">
        <f aca="false">IFERROR(INDEX(Scoring!$Q:$Q,MATCH($C271&amp;"|"&amp;$E271,Scoring!$U:$U,0)),"")</f>
        <v>Excluded – IV only</v>
      </c>
      <c r="AB271" s="15" t="str">
        <f aca="false">IFERROR(INDEX(Scoring!$AK:$AK,MATCH($C271&amp;"|"&amp;$E271,Scoring!$U:$U,0)),"")</f>
        <v>Excluded – IV only</v>
      </c>
      <c r="AC271" s="18" t="n">
        <f aca="false">IFERROR(INDEX(Scoring!$M:$M,MATCH($C271&amp;"|"&amp;$E271,Scoring!$U:$U,0)),"")</f>
        <v>346</v>
      </c>
      <c r="AD271" s="15" t="str">
        <f aca="false">IFERROR(INDEX('Route of Administration'!$C$5:$C$155,MATCH($C271,'Route of Administration'!$A$5:$A$155,0)),"")</f>
        <v>IV</v>
      </c>
      <c r="AE271" s="14" t="str">
        <f aca="false">IFERROR(INDEX('Route of Administration'!$D$5:$D$155,MATCH($C271,'Route of Administration'!$A$5:$A$155,0)),"")</f>
        <v>No</v>
      </c>
    </row>
    <row r="272" customFormat="false" ht="28.35" hidden="false" customHeight="false" outlineLevel="0" collapsed="false">
      <c r="B272" s="15" t="n">
        <v>270</v>
      </c>
      <c r="C272" s="15" t="s">
        <v>694</v>
      </c>
      <c r="D272" s="15" t="s">
        <v>694</v>
      </c>
      <c r="E272" s="15" t="s">
        <v>816</v>
      </c>
      <c r="F272" s="15" t="s">
        <v>1922</v>
      </c>
      <c r="G272" s="16" t="s">
        <v>1665</v>
      </c>
      <c r="H272" s="15" t="s">
        <v>1505</v>
      </c>
      <c r="I272" s="17" t="n">
        <v>429.52</v>
      </c>
      <c r="J272" s="15" t="n">
        <v>1</v>
      </c>
      <c r="K272" s="15" t="n">
        <v>42</v>
      </c>
      <c r="L272" s="18" t="n">
        <v>1874.63</v>
      </c>
      <c r="M272" s="16" t="s">
        <v>695</v>
      </c>
      <c r="N272" s="17" t="n">
        <v>429.52</v>
      </c>
      <c r="O272" s="15" t="s">
        <v>1506</v>
      </c>
      <c r="P272" s="15" t="s">
        <v>1507</v>
      </c>
      <c r="Q272" s="16" t="s">
        <v>1508</v>
      </c>
      <c r="R272" s="32" t="s">
        <v>2060</v>
      </c>
      <c r="S272" s="37" t="n">
        <f aca="false">IFERROR(INDEX('Injectable Value'!$Z$28:$Z$178,MATCH($C272,'Injectable Value'!$A$28:$A$178,0)),"")</f>
        <v>1</v>
      </c>
      <c r="T272" s="18" t="n">
        <f aca="false">IFERROR(ROUND(INDEX('Injectable Value'!$AA$28:$AA$178,MATCH($C272,'Injectable Value'!$A$28:$A$178,0)),1),"")</f>
        <v>1874.6</v>
      </c>
      <c r="U272" s="16" t="s">
        <v>826</v>
      </c>
      <c r="V272" s="15" t="n">
        <v>9</v>
      </c>
      <c r="W272" s="15" t="s">
        <v>823</v>
      </c>
      <c r="X272" s="15" t="s">
        <v>248</v>
      </c>
      <c r="Y272" s="15" t="s">
        <v>277</v>
      </c>
      <c r="Z272" s="16" t="str">
        <f aca="false">IFERROR(INDEX(Scoring!$K:$K,MATCH($C272&amp;"|"&amp;$E272,Scoring!$U:$U,0)),"")</f>
        <v>Cancer drug (cytotoxic) – less relevant</v>
      </c>
      <c r="AA272" s="15" t="str">
        <f aca="false">IFERROR(INDEX(Scoring!$Q:$Q,MATCH($C272&amp;"|"&amp;$E272,Scoring!$U:$U,0)),"")</f>
        <v>Excluded – IV only</v>
      </c>
      <c r="AB272" s="15" t="str">
        <f aca="false">IFERROR(INDEX(Scoring!$AK:$AK,MATCH($C272&amp;"|"&amp;$E272,Scoring!$U:$U,0)),"")</f>
        <v>Excluded – IV only</v>
      </c>
      <c r="AC272" s="18" t="n">
        <f aca="false">IFERROR(INDEX(Scoring!$M:$M,MATCH($C272&amp;"|"&amp;$E272,Scoring!$U:$U,0)),"")</f>
        <v>42</v>
      </c>
      <c r="AD272" s="15" t="str">
        <f aca="false">IFERROR(INDEX('Route of Administration'!$C$5:$C$155,MATCH($C272,'Route of Administration'!$A$5:$A$155,0)),"")</f>
        <v>IV</v>
      </c>
      <c r="AE272" s="14" t="str">
        <f aca="false">IFERROR(INDEX('Route of Administration'!$D$5:$D$155,MATCH($C272,'Route of Administration'!$A$5:$A$155,0)),"")</f>
        <v>No</v>
      </c>
    </row>
    <row r="273" customFormat="false" ht="28.35" hidden="false" customHeight="false" outlineLevel="0" collapsed="false">
      <c r="B273" s="15" t="n">
        <v>271</v>
      </c>
      <c r="C273" s="15" t="s">
        <v>296</v>
      </c>
      <c r="D273" s="15" t="s">
        <v>817</v>
      </c>
      <c r="E273" s="15" t="s">
        <v>816</v>
      </c>
      <c r="F273" s="15" t="s">
        <v>1671</v>
      </c>
      <c r="G273" s="16" t="s">
        <v>1662</v>
      </c>
      <c r="H273" s="15" t="s">
        <v>1505</v>
      </c>
      <c r="I273" s="17" t="n">
        <v>397.421</v>
      </c>
      <c r="J273" s="15" t="n">
        <v>30</v>
      </c>
      <c r="K273" s="15" t="n">
        <v>762</v>
      </c>
      <c r="L273" s="18" t="n">
        <v>50865.56</v>
      </c>
      <c r="M273" s="16" t="s">
        <v>297</v>
      </c>
      <c r="N273" s="17" t="n">
        <v>397.421</v>
      </c>
      <c r="O273" s="15" t="s">
        <v>1506</v>
      </c>
      <c r="P273" s="15" t="s">
        <v>1533</v>
      </c>
      <c r="Q273" s="16" t="s">
        <v>1508</v>
      </c>
      <c r="R273" s="32" t="s">
        <v>1673</v>
      </c>
      <c r="S273" s="37" t="n">
        <f aca="false">IFERROR(INDEX('Injectable Value'!$Z$28:$Z$178,MATCH($C273,'Injectable Value'!$A$28:$A$178,0)),"")</f>
        <v>0.829278792417718</v>
      </c>
      <c r="T273" s="18" t="n">
        <f aca="false">IFERROR(ROUND(INDEX('Injectable Value'!$AA$28:$AA$178,MATCH($C273,'Injectable Value'!$A$28:$A$178,0)),1),"")</f>
        <v>42181.7</v>
      </c>
      <c r="U273" s="16" t="s">
        <v>818</v>
      </c>
      <c r="V273" s="15" t="n">
        <v>3</v>
      </c>
      <c r="W273" s="15" t="s">
        <v>70</v>
      </c>
      <c r="X273" s="15" t="s">
        <v>248</v>
      </c>
      <c r="Y273" s="15" t="s">
        <v>299</v>
      </c>
      <c r="Z273" s="16" t="str">
        <f aca="false">IFERROR(INDEX(Scoring!$K:$K,MATCH($C273&amp;"|"&amp;$E273,Scoring!$U:$U,0)),"")</f>
        <v>Cancer drug (cytotoxic) – less relevant; Reconstitution</v>
      </c>
      <c r="AA273" s="15" t="str">
        <f aca="false">IFERROR(INDEX(Scoring!$Q:$Q,MATCH($C273&amp;"|"&amp;$E273,Scoring!$U:$U,0)),"")</f>
        <v>Priority 1</v>
      </c>
      <c r="AB273" s="15" t="str">
        <f aca="false">IFERROR(INDEX(Scoring!$AK:$AK,MATCH($C273&amp;"|"&amp;$E273,Scoring!$U:$U,0)),"")</f>
        <v>Priority 1</v>
      </c>
      <c r="AC273" s="18" t="n">
        <f aca="false">IFERROR(INDEX(Scoring!$M:$M,MATCH($C273&amp;"|"&amp;$E273,Scoring!$U:$U,0)),"")</f>
        <v>632</v>
      </c>
      <c r="AD273" s="15" t="str">
        <f aca="false">IFERROR(INDEX('Route of Administration'!$C$5:$C$155,MATCH($C273,'Route of Administration'!$A$5:$A$155,0)),"")</f>
        <v>IV, SC</v>
      </c>
      <c r="AE273" s="14" t="str">
        <f aca="false">IFERROR(INDEX('Route of Administration'!$D$5:$D$155,MATCH($C273,'Route of Administration'!$A$5:$A$155,0)),"")</f>
        <v>Yes</v>
      </c>
    </row>
    <row r="274" customFormat="false" ht="41.75" hidden="false" customHeight="false" outlineLevel="0" collapsed="false">
      <c r="B274" s="15" t="n">
        <v>272</v>
      </c>
      <c r="C274" s="15" t="s">
        <v>305</v>
      </c>
      <c r="D274" s="15" t="s">
        <v>2061</v>
      </c>
      <c r="E274" s="15" t="s">
        <v>816</v>
      </c>
      <c r="F274" s="15" t="s">
        <v>1714</v>
      </c>
      <c r="G274" s="16" t="s">
        <v>2062</v>
      </c>
      <c r="H274" s="15" t="s">
        <v>1505</v>
      </c>
      <c r="I274" s="17" t="n">
        <v>162.9686</v>
      </c>
      <c r="J274" s="15" t="n">
        <v>29</v>
      </c>
      <c r="K274" s="15" t="n">
        <v>905</v>
      </c>
      <c r="L274" s="18" t="n">
        <v>28093.38</v>
      </c>
      <c r="M274" s="16" t="s">
        <v>306</v>
      </c>
      <c r="N274" s="17" t="n">
        <v>162.9686</v>
      </c>
      <c r="O274" s="15" t="s">
        <v>1506</v>
      </c>
      <c r="P274" s="15" t="s">
        <v>1507</v>
      </c>
      <c r="Q274" s="16" t="s">
        <v>1508</v>
      </c>
      <c r="R274" s="32" t="s">
        <v>1928</v>
      </c>
      <c r="S274" s="37" t="n">
        <f aca="false">IFERROR(INDEX('Injectable Value'!$Z$28:$Z$178,MATCH($C274,'Injectable Value'!$A$28:$A$178,0)),"")</f>
        <v>1</v>
      </c>
      <c r="T274" s="18" t="n">
        <f aca="false">IFERROR(ROUND(INDEX('Injectable Value'!$AA$28:$AA$178,MATCH($C274,'Injectable Value'!$A$28:$A$178,0)),1),"")</f>
        <v>28093.4</v>
      </c>
      <c r="U274" s="16" t="s">
        <v>821</v>
      </c>
      <c r="V274" s="15" t="n">
        <v>12</v>
      </c>
      <c r="W274" s="15" t="s">
        <v>364</v>
      </c>
      <c r="X274" s="15" t="s">
        <v>248</v>
      </c>
      <c r="Y274" s="15" t="s">
        <v>299</v>
      </c>
      <c r="Z274" s="16" t="str">
        <f aca="false">IFERROR(INDEX(Scoring!$K:$K,MATCH($C274&amp;"|"&amp;$E274,Scoring!$U:$U,0)),"")</f>
        <v>Cancer drug (cytotoxic) – less relevant; Reconstitution</v>
      </c>
      <c r="AA274" s="15" t="str">
        <f aca="false">IFERROR(INDEX(Scoring!$Q:$Q,MATCH($C274&amp;"|"&amp;$E274,Scoring!$U:$U,0)),"")</f>
        <v>Priority 1</v>
      </c>
      <c r="AB274" s="15" t="str">
        <f aca="false">IFERROR(INDEX(Scoring!$AK:$AK,MATCH($C274&amp;"|"&amp;$E274,Scoring!$U:$U,0)),"")</f>
        <v>Priority 1</v>
      </c>
      <c r="AC274" s="18" t="n">
        <f aca="false">IFERROR(INDEX(Scoring!$M:$M,MATCH($C274&amp;"|"&amp;$E274,Scoring!$U:$U,0)),"")</f>
        <v>905</v>
      </c>
      <c r="AD274" s="15" t="str">
        <f aca="false">IFERROR(INDEX('Route of Administration'!$C$5:$C$155,MATCH($C274,'Route of Administration'!$A$5:$A$155,0)),"")</f>
        <v>IV, SC</v>
      </c>
      <c r="AE274" s="14" t="str">
        <f aca="false">IFERROR(INDEX('Route of Administration'!$D$5:$D$155,MATCH($C274,'Route of Administration'!$A$5:$A$155,0)),"")</f>
        <v>Yes</v>
      </c>
    </row>
    <row r="275" customFormat="false" ht="28.35" hidden="false" customHeight="false" outlineLevel="0" collapsed="false">
      <c r="B275" s="15" t="n">
        <v>273</v>
      </c>
      <c r="C275" s="15" t="s">
        <v>694</v>
      </c>
      <c r="D275" s="15" t="s">
        <v>2063</v>
      </c>
      <c r="E275" s="15" t="s">
        <v>816</v>
      </c>
      <c r="F275" s="15" t="s">
        <v>1932</v>
      </c>
      <c r="G275" s="16" t="s">
        <v>1966</v>
      </c>
      <c r="H275" s="15" t="s">
        <v>1505</v>
      </c>
      <c r="I275" s="17" t="n">
        <v>471.2665</v>
      </c>
      <c r="J275" s="15" t="n">
        <v>25</v>
      </c>
      <c r="K275" s="15" t="n">
        <v>42</v>
      </c>
      <c r="L275" s="18" t="n">
        <v>1874.63</v>
      </c>
      <c r="M275" s="16" t="s">
        <v>695</v>
      </c>
      <c r="N275" s="17" t="n">
        <v>471.2665</v>
      </c>
      <c r="O275" s="15" t="s">
        <v>1506</v>
      </c>
      <c r="P275" s="15" t="s">
        <v>1672</v>
      </c>
      <c r="Q275" s="16" t="s">
        <v>1508</v>
      </c>
      <c r="R275" s="32" t="s">
        <v>1673</v>
      </c>
      <c r="S275" s="37" t="n">
        <f aca="false">IFERROR(INDEX('Injectable Value'!$Z$28:$Z$178,MATCH($C275,'Injectable Value'!$A$28:$A$178,0)),"")</f>
        <v>1</v>
      </c>
      <c r="T275" s="18" t="n">
        <f aca="false">IFERROR(ROUND(INDEX('Injectable Value'!$AA$28:$AA$178,MATCH($C275,'Injectable Value'!$A$28:$A$178,0)),1),"")</f>
        <v>1874.6</v>
      </c>
      <c r="U275" s="16" t="s">
        <v>826</v>
      </c>
      <c r="V275" s="15" t="n">
        <v>9</v>
      </c>
      <c r="W275" s="15" t="s">
        <v>823</v>
      </c>
      <c r="X275" s="15" t="s">
        <v>248</v>
      </c>
      <c r="Y275" s="15" t="s">
        <v>249</v>
      </c>
      <c r="Z275" s="16" t="str">
        <f aca="false">IFERROR(INDEX(Scoring!$K:$K,MATCH($C275&amp;"|"&amp;$E275,Scoring!$U:$U,0)),"")</f>
        <v>Cancer drug (cytotoxic) – less relevant</v>
      </c>
      <c r="AA275" s="15" t="str">
        <f aca="false">IFERROR(INDEX(Scoring!$Q:$Q,MATCH($C275&amp;"|"&amp;$E275,Scoring!$U:$U,0)),"")</f>
        <v>Excluded – IV only</v>
      </c>
      <c r="AB275" s="15" t="str">
        <f aca="false">IFERROR(INDEX(Scoring!$AK:$AK,MATCH($C275&amp;"|"&amp;$E275,Scoring!$U:$U,0)),"")</f>
        <v>Excluded – IV only</v>
      </c>
      <c r="AC275" s="18" t="n">
        <f aca="false">IFERROR(INDEX(Scoring!$M:$M,MATCH($C275&amp;"|"&amp;$E275,Scoring!$U:$U,0)),"")</f>
        <v>42</v>
      </c>
      <c r="AD275" s="15" t="str">
        <f aca="false">IFERROR(INDEX('Route of Administration'!$C$5:$C$155,MATCH($C275,'Route of Administration'!$A$5:$A$155,0)),"")</f>
        <v>IV</v>
      </c>
      <c r="AE275" s="14" t="str">
        <f aca="false">IFERROR(INDEX('Route of Administration'!$D$5:$D$155,MATCH($C275,'Route of Administration'!$A$5:$A$155,0)),"")</f>
        <v>No</v>
      </c>
    </row>
    <row r="276" customFormat="false" ht="28.35" hidden="false" customHeight="false" outlineLevel="0" collapsed="false">
      <c r="B276" s="15" t="n">
        <v>274</v>
      </c>
      <c r="C276" s="15" t="s">
        <v>262</v>
      </c>
      <c r="D276" s="15" t="s">
        <v>2064</v>
      </c>
      <c r="E276" s="15" t="s">
        <v>816</v>
      </c>
      <c r="F276" s="15" t="s">
        <v>2065</v>
      </c>
      <c r="G276" s="16" t="s">
        <v>2066</v>
      </c>
      <c r="H276" s="15" t="s">
        <v>1512</v>
      </c>
      <c r="I276" s="17" t="n">
        <v>531.8684</v>
      </c>
      <c r="J276" s="15" t="n">
        <v>31</v>
      </c>
      <c r="K276" s="15" t="n">
        <v>146</v>
      </c>
      <c r="L276" s="18" t="n">
        <v>11366.06</v>
      </c>
      <c r="M276" s="16" t="s">
        <v>263</v>
      </c>
      <c r="N276" s="17" t="n">
        <v>531.8684</v>
      </c>
      <c r="O276" s="15" t="s">
        <v>1506</v>
      </c>
      <c r="P276" s="15" t="s">
        <v>1533</v>
      </c>
      <c r="Q276" s="16" t="s">
        <v>1508</v>
      </c>
      <c r="R276" s="32" t="s">
        <v>1673</v>
      </c>
      <c r="S276" s="37" t="n">
        <f aca="false">IFERROR(INDEX('Injectable Value'!$Z$28:$Z$178,MATCH($C276,'Injectable Value'!$A$28:$A$178,0)),"")</f>
        <v>1</v>
      </c>
      <c r="T276" s="18" t="n">
        <f aca="false">IFERROR(ROUND(INDEX('Injectable Value'!$AA$28:$AA$178,MATCH($C276,'Injectable Value'!$A$28:$A$178,0)),1),"")</f>
        <v>11366.1</v>
      </c>
      <c r="U276" s="16" t="s">
        <v>830</v>
      </c>
      <c r="V276" s="15" t="n">
        <v>8</v>
      </c>
      <c r="W276" s="15" t="s">
        <v>827</v>
      </c>
      <c r="X276" s="15" t="s">
        <v>258</v>
      </c>
      <c r="Y276" s="15" t="s">
        <v>277</v>
      </c>
      <c r="Z276" s="16" t="str">
        <f aca="false">IFERROR(INDEX(Scoring!$K:$K,MATCH($C276&amp;"|"&amp;$E276,Scoring!$U:$U,0)),"")</f>
        <v>Prefilled only</v>
      </c>
      <c r="AA276" s="15" t="str">
        <f aca="false">IFERROR(INDEX(Scoring!$Q:$Q,MATCH($C276&amp;"|"&amp;$E276,Scoring!$U:$U,0)),"")</f>
        <v>Priority 1</v>
      </c>
      <c r="AB276" s="15" t="str">
        <f aca="false">IFERROR(INDEX(Scoring!$AK:$AK,MATCH($C276&amp;"|"&amp;$E276,Scoring!$U:$U,0)),"")</f>
        <v>Priority 2</v>
      </c>
      <c r="AC276" s="18" t="n">
        <f aca="false">IFERROR(INDEX(Scoring!$M:$M,MATCH($C276&amp;"|"&amp;$E276,Scoring!$U:$U,0)),"")</f>
        <v>146</v>
      </c>
      <c r="AD276" s="15" t="str">
        <f aca="false">IFERROR(INDEX('Route of Administration'!$C$5:$C$155,MATCH($C276,'Route of Administration'!$A$5:$A$155,0)),"")</f>
        <v>IM</v>
      </c>
      <c r="AE276" s="14" t="str">
        <f aca="false">IFERROR(INDEX('Route of Administration'!$D$5:$D$155,MATCH($C276,'Route of Administration'!$A$5:$A$155,0)),"")</f>
        <v>Yes</v>
      </c>
    </row>
    <row r="277" customFormat="false" ht="28.35" hidden="false" customHeight="false" outlineLevel="0" collapsed="false">
      <c r="B277" s="15" t="n">
        <v>275</v>
      </c>
      <c r="C277" s="15" t="s">
        <v>510</v>
      </c>
      <c r="D277" s="15" t="s">
        <v>831</v>
      </c>
      <c r="E277" s="15" t="s">
        <v>816</v>
      </c>
      <c r="F277" s="15" t="s">
        <v>2067</v>
      </c>
      <c r="G277" s="16" t="s">
        <v>2068</v>
      </c>
      <c r="H277" s="15" t="s">
        <v>1505</v>
      </c>
      <c r="I277" s="17" t="n">
        <v>7322.4226</v>
      </c>
      <c r="J277" s="15" t="n">
        <v>25</v>
      </c>
      <c r="K277" s="15" t="n">
        <v>47</v>
      </c>
      <c r="L277" s="18" t="n">
        <v>7904.67</v>
      </c>
      <c r="M277" s="16" t="s">
        <v>511</v>
      </c>
      <c r="N277" s="17" t="n">
        <v>7322.4226</v>
      </c>
      <c r="O277" s="15" t="s">
        <v>1506</v>
      </c>
      <c r="P277" s="15" t="s">
        <v>1533</v>
      </c>
      <c r="Q277" s="16" t="s">
        <v>1508</v>
      </c>
      <c r="R277" s="32" t="s">
        <v>1673</v>
      </c>
      <c r="S277" s="37" t="n">
        <f aca="false">IFERROR(INDEX('Injectable Value'!$Z$28:$Z$178,MATCH($C277,'Injectable Value'!$A$28:$A$178,0)),"")</f>
        <v>1</v>
      </c>
      <c r="T277" s="18" t="n">
        <f aca="false">IFERROR(ROUND(INDEX('Injectable Value'!$AA$28:$AA$178,MATCH($C277,'Injectable Value'!$A$28:$A$178,0)),1),"")</f>
        <v>7904.7</v>
      </c>
      <c r="U277" s="16" t="s">
        <v>832</v>
      </c>
      <c r="V277" s="15" t="n">
        <v>1</v>
      </c>
      <c r="W277" s="15" t="s">
        <v>70</v>
      </c>
      <c r="X277" s="15" t="s">
        <v>248</v>
      </c>
      <c r="Y277" s="15" t="s">
        <v>249</v>
      </c>
      <c r="Z277" s="16" t="str">
        <f aca="false">IFERROR(INDEX(Scoring!$K:$K,MATCH($C277&amp;"|"&amp;$E277,Scoring!$U:$U,0)),"")</f>
        <v/>
      </c>
      <c r="AA277" s="15" t="str">
        <f aca="false">IFERROR(INDEX(Scoring!$Q:$Q,MATCH($C277&amp;"|"&amp;$E277,Scoring!$U:$U,0)),"")</f>
        <v>Priority 2</v>
      </c>
      <c r="AB277" s="15" t="str">
        <f aca="false">IFERROR(INDEX(Scoring!$AK:$AK,MATCH($C277&amp;"|"&amp;$E277,Scoring!$U:$U,0)),"")</f>
        <v>Priority 2</v>
      </c>
      <c r="AC277" s="18" t="n">
        <f aca="false">IFERROR(INDEX(Scoring!$M:$M,MATCH($C277&amp;"|"&amp;$E277,Scoring!$U:$U,0)),"")</f>
        <v>47</v>
      </c>
      <c r="AD277" s="15" t="str">
        <f aca="false">IFERROR(INDEX('Route of Administration'!$C$5:$C$155,MATCH($C277,'Route of Administration'!$A$5:$A$155,0)),"")</f>
        <v>SC</v>
      </c>
      <c r="AE277" s="14" t="str">
        <f aca="false">IFERROR(INDEX('Route of Administration'!$D$5:$D$155,MATCH($C277,'Route of Administration'!$A$5:$A$155,0)),"")</f>
        <v>Yes</v>
      </c>
    </row>
    <row r="278" customFormat="false" ht="28.35" hidden="false" customHeight="false" outlineLevel="0" collapsed="false">
      <c r="B278" s="15" t="n">
        <v>276</v>
      </c>
      <c r="C278" s="15" t="s">
        <v>635</v>
      </c>
      <c r="D278" s="15" t="s">
        <v>2069</v>
      </c>
      <c r="E278" s="15" t="s">
        <v>816</v>
      </c>
      <c r="F278" s="15" t="s">
        <v>1940</v>
      </c>
      <c r="G278" s="16" t="s">
        <v>1855</v>
      </c>
      <c r="H278" s="15" t="s">
        <v>1505</v>
      </c>
      <c r="I278" s="17" t="n">
        <v>92.0498</v>
      </c>
      <c r="J278" s="15" t="n">
        <v>31</v>
      </c>
      <c r="K278" s="15" t="n">
        <v>346</v>
      </c>
      <c r="L278" s="18" t="n">
        <v>32830.17</v>
      </c>
      <c r="M278" s="16" t="s">
        <v>636</v>
      </c>
      <c r="N278" s="17" t="n">
        <v>92.0498</v>
      </c>
      <c r="O278" s="15" t="s">
        <v>1506</v>
      </c>
      <c r="P278" s="15" t="s">
        <v>1507</v>
      </c>
      <c r="Q278" s="16" t="s">
        <v>1508</v>
      </c>
      <c r="R278" s="32" t="s">
        <v>1673</v>
      </c>
      <c r="S278" s="37" t="n">
        <f aca="false">IFERROR(INDEX('Injectable Value'!$Z$28:$Z$178,MATCH($C278,'Injectable Value'!$A$28:$A$178,0)),"")</f>
        <v>1</v>
      </c>
      <c r="T278" s="18" t="n">
        <f aca="false">IFERROR(ROUND(INDEX('Injectable Value'!$AA$28:$AA$178,MATCH($C278,'Injectable Value'!$A$28:$A$178,0)),1),"")</f>
        <v>32830.2</v>
      </c>
      <c r="U278" s="16" t="s">
        <v>836</v>
      </c>
      <c r="V278" s="15" t="n">
        <v>9</v>
      </c>
      <c r="W278" s="15" t="s">
        <v>833</v>
      </c>
      <c r="X278" s="15" t="s">
        <v>248</v>
      </c>
      <c r="Y278" s="15" t="s">
        <v>249</v>
      </c>
      <c r="Z278" s="16" t="str">
        <f aca="false">IFERROR(INDEX(Scoring!$K:$K,MATCH($C278&amp;"|"&amp;$E278,Scoring!$U:$U,0)),"")</f>
        <v/>
      </c>
      <c r="AA278" s="15" t="str">
        <f aca="false">IFERROR(INDEX(Scoring!$Q:$Q,MATCH($C278&amp;"|"&amp;$E278,Scoring!$U:$U,0)),"")</f>
        <v>Excluded – IV only</v>
      </c>
      <c r="AB278" s="15" t="str">
        <f aca="false">IFERROR(INDEX(Scoring!$AK:$AK,MATCH($C278&amp;"|"&amp;$E278,Scoring!$U:$U,0)),"")</f>
        <v>Excluded – IV only</v>
      </c>
      <c r="AC278" s="18" t="n">
        <f aca="false">IFERROR(INDEX(Scoring!$M:$M,MATCH($C278&amp;"|"&amp;$E278,Scoring!$U:$U,0)),"")</f>
        <v>346</v>
      </c>
      <c r="AD278" s="15" t="str">
        <f aca="false">IFERROR(INDEX('Route of Administration'!$C$5:$C$155,MATCH($C278,'Route of Administration'!$A$5:$A$155,0)),"")</f>
        <v>IV</v>
      </c>
      <c r="AE278" s="14" t="str">
        <f aca="false">IFERROR(INDEX('Route of Administration'!$D$5:$D$155,MATCH($C278,'Route of Administration'!$A$5:$A$155,0)),"")</f>
        <v>No</v>
      </c>
    </row>
    <row r="279" customFormat="false" ht="41.75" hidden="false" customHeight="false" outlineLevel="0" collapsed="false">
      <c r="B279" s="15" t="n">
        <v>277</v>
      </c>
      <c r="C279" s="15" t="s">
        <v>305</v>
      </c>
      <c r="D279" s="15" t="s">
        <v>2070</v>
      </c>
      <c r="E279" s="15" t="s">
        <v>816</v>
      </c>
      <c r="F279" s="15" t="s">
        <v>2071</v>
      </c>
      <c r="G279" s="16" t="s">
        <v>1838</v>
      </c>
      <c r="H279" s="15" t="s">
        <v>1505</v>
      </c>
      <c r="I279" s="17" t="n">
        <v>17.444</v>
      </c>
      <c r="J279" s="15" t="n">
        <v>1</v>
      </c>
      <c r="K279" s="15" t="n">
        <v>905</v>
      </c>
      <c r="L279" s="18" t="n">
        <v>28093.38</v>
      </c>
      <c r="M279" s="16" t="s">
        <v>306</v>
      </c>
      <c r="N279" s="17" t="n">
        <v>17.444</v>
      </c>
      <c r="O279" s="15" t="s">
        <v>1506</v>
      </c>
      <c r="P279" s="15" t="s">
        <v>1672</v>
      </c>
      <c r="Q279" s="16" t="s">
        <v>1508</v>
      </c>
      <c r="R279" s="32" t="s">
        <v>1776</v>
      </c>
      <c r="S279" s="37" t="n">
        <f aca="false">IFERROR(INDEX('Injectable Value'!$Z$28:$Z$178,MATCH($C279,'Injectable Value'!$A$28:$A$178,0)),"")</f>
        <v>1</v>
      </c>
      <c r="T279" s="18" t="n">
        <f aca="false">IFERROR(ROUND(INDEX('Injectable Value'!$AA$28:$AA$178,MATCH($C279,'Injectable Value'!$A$28:$A$178,0)),1),"")</f>
        <v>28093.4</v>
      </c>
      <c r="U279" s="16" t="s">
        <v>821</v>
      </c>
      <c r="V279" s="15" t="n">
        <v>12</v>
      </c>
      <c r="W279" s="15" t="s">
        <v>364</v>
      </c>
      <c r="X279" s="15" t="s">
        <v>248</v>
      </c>
      <c r="Y279" s="15" t="s">
        <v>249</v>
      </c>
      <c r="Z279" s="16" t="str">
        <f aca="false">IFERROR(INDEX(Scoring!$K:$K,MATCH($C279&amp;"|"&amp;$E279,Scoring!$U:$U,0)),"")</f>
        <v>Cancer drug (cytotoxic) – less relevant; Reconstitution</v>
      </c>
      <c r="AA279" s="15" t="str">
        <f aca="false">IFERROR(INDEX(Scoring!$Q:$Q,MATCH($C279&amp;"|"&amp;$E279,Scoring!$U:$U,0)),"")</f>
        <v>Priority 1</v>
      </c>
      <c r="AB279" s="15" t="str">
        <f aca="false">IFERROR(INDEX(Scoring!$AK:$AK,MATCH($C279&amp;"|"&amp;$E279,Scoring!$U:$U,0)),"")</f>
        <v>Priority 1</v>
      </c>
      <c r="AC279" s="18" t="n">
        <f aca="false">IFERROR(INDEX(Scoring!$M:$M,MATCH($C279&amp;"|"&amp;$E279,Scoring!$U:$U,0)),"")</f>
        <v>905</v>
      </c>
      <c r="AD279" s="15" t="str">
        <f aca="false">IFERROR(INDEX('Route of Administration'!$C$5:$C$155,MATCH($C279,'Route of Administration'!$A$5:$A$155,0)),"")</f>
        <v>IV, SC</v>
      </c>
      <c r="AE279" s="14" t="str">
        <f aca="false">IFERROR(INDEX('Route of Administration'!$D$5:$D$155,MATCH($C279,'Route of Administration'!$A$5:$A$155,0)),"")</f>
        <v>Yes</v>
      </c>
    </row>
    <row r="280" customFormat="false" ht="41.75" hidden="false" customHeight="false" outlineLevel="0" collapsed="false">
      <c r="B280" s="15" t="n">
        <v>278</v>
      </c>
      <c r="C280" s="15" t="s">
        <v>305</v>
      </c>
      <c r="D280" s="15" t="s">
        <v>2070</v>
      </c>
      <c r="E280" s="15" t="s">
        <v>816</v>
      </c>
      <c r="F280" s="15" t="s">
        <v>2072</v>
      </c>
      <c r="G280" s="16" t="s">
        <v>2073</v>
      </c>
      <c r="H280" s="15" t="s">
        <v>1505</v>
      </c>
      <c r="I280" s="17" t="n">
        <v>14.329</v>
      </c>
      <c r="J280" s="15" t="n">
        <v>1</v>
      </c>
      <c r="K280" s="15" t="n">
        <v>905</v>
      </c>
      <c r="L280" s="18" t="n">
        <v>28093.38</v>
      </c>
      <c r="M280" s="16" t="s">
        <v>306</v>
      </c>
      <c r="N280" s="17" t="n">
        <v>14.329</v>
      </c>
      <c r="O280" s="15" t="s">
        <v>1506</v>
      </c>
      <c r="P280" s="15" t="s">
        <v>1672</v>
      </c>
      <c r="Q280" s="16" t="s">
        <v>1508</v>
      </c>
      <c r="R280" s="32" t="s">
        <v>1776</v>
      </c>
      <c r="S280" s="37" t="n">
        <f aca="false">IFERROR(INDEX('Injectable Value'!$Z$28:$Z$178,MATCH($C280,'Injectable Value'!$A$28:$A$178,0)),"")</f>
        <v>1</v>
      </c>
      <c r="T280" s="18" t="n">
        <f aca="false">IFERROR(ROUND(INDEX('Injectable Value'!$AA$28:$AA$178,MATCH($C280,'Injectable Value'!$A$28:$A$178,0)),1),"")</f>
        <v>28093.4</v>
      </c>
      <c r="U280" s="16" t="s">
        <v>821</v>
      </c>
      <c r="V280" s="15" t="n">
        <v>12</v>
      </c>
      <c r="W280" s="15" t="s">
        <v>364</v>
      </c>
      <c r="X280" s="15" t="s">
        <v>248</v>
      </c>
      <c r="Y280" s="15" t="s">
        <v>249</v>
      </c>
      <c r="Z280" s="16" t="str">
        <f aca="false">IFERROR(INDEX(Scoring!$K:$K,MATCH($C280&amp;"|"&amp;$E280,Scoring!$U:$U,0)),"")</f>
        <v>Cancer drug (cytotoxic) – less relevant; Reconstitution</v>
      </c>
      <c r="AA280" s="15" t="str">
        <f aca="false">IFERROR(INDEX(Scoring!$Q:$Q,MATCH($C280&amp;"|"&amp;$E280,Scoring!$U:$U,0)),"")</f>
        <v>Priority 1</v>
      </c>
      <c r="AB280" s="15" t="str">
        <f aca="false">IFERROR(INDEX(Scoring!$AK:$AK,MATCH($C280&amp;"|"&amp;$E280,Scoring!$U:$U,0)),"")</f>
        <v>Priority 1</v>
      </c>
      <c r="AC280" s="18" t="n">
        <f aca="false">IFERROR(INDEX(Scoring!$M:$M,MATCH($C280&amp;"|"&amp;$E280,Scoring!$U:$U,0)),"")</f>
        <v>905</v>
      </c>
      <c r="AD280" s="15" t="str">
        <f aca="false">IFERROR(INDEX('Route of Administration'!$C$5:$C$155,MATCH($C280,'Route of Administration'!$A$5:$A$155,0)),"")</f>
        <v>IV, SC</v>
      </c>
      <c r="AE280" s="14" t="str">
        <f aca="false">IFERROR(INDEX('Route of Administration'!$D$5:$D$155,MATCH($C280,'Route of Administration'!$A$5:$A$155,0)),"")</f>
        <v>Yes</v>
      </c>
    </row>
    <row r="281" customFormat="false" ht="28.35" hidden="false" customHeight="false" outlineLevel="0" collapsed="false">
      <c r="B281" s="15" t="n">
        <v>279</v>
      </c>
      <c r="C281" s="15" t="s">
        <v>343</v>
      </c>
      <c r="D281" s="15" t="s">
        <v>347</v>
      </c>
      <c r="E281" s="15" t="s">
        <v>838</v>
      </c>
      <c r="F281" s="15" t="s">
        <v>1535</v>
      </c>
      <c r="G281" s="16" t="s">
        <v>2074</v>
      </c>
      <c r="H281" s="15" t="s">
        <v>1505</v>
      </c>
      <c r="I281" s="17" t="n">
        <v>14.96</v>
      </c>
      <c r="J281" s="15" t="n">
        <v>1</v>
      </c>
      <c r="K281" s="15" t="n">
        <v>472</v>
      </c>
      <c r="L281" s="18" t="n">
        <v>7831.08</v>
      </c>
      <c r="M281" s="16" t="s">
        <v>344</v>
      </c>
      <c r="N281" s="17" t="n">
        <v>14.96</v>
      </c>
      <c r="O281" s="15" t="s">
        <v>1506</v>
      </c>
      <c r="P281" s="15" t="s">
        <v>1507</v>
      </c>
      <c r="Q281" s="16" t="s">
        <v>1508</v>
      </c>
      <c r="R281" s="32" t="s">
        <v>1537</v>
      </c>
      <c r="S281" s="37" t="n">
        <f aca="false">IFERROR(INDEX('Injectable Value'!$Z$28:$Z$178,MATCH($C281,'Injectable Value'!$A$28:$A$178,0)),"")</f>
        <v>0.1734375</v>
      </c>
      <c r="T281" s="18" t="n">
        <f aca="false">IFERROR(ROUND(INDEX('Injectable Value'!$AA$28:$AA$178,MATCH($C281,'Injectable Value'!$A$28:$A$178,0)),1),"")</f>
        <v>1358.2</v>
      </c>
      <c r="U281" s="16" t="s">
        <v>247</v>
      </c>
      <c r="V281" s="15" t="n">
        <v>1</v>
      </c>
      <c r="W281" s="15" t="s">
        <v>247</v>
      </c>
      <c r="X281" s="15" t="s">
        <v>248</v>
      </c>
      <c r="Y281" s="15" t="s">
        <v>249</v>
      </c>
      <c r="Z281" s="16" t="str">
        <f aca="false">IFERROR(INDEX(Scoring!$K:$K,MATCH($C281&amp;"|"&amp;$E281,Scoring!$U:$U,0)),"")</f>
        <v/>
      </c>
      <c r="AA281" s="15" t="str">
        <f aca="false">IFERROR(INDEX(Scoring!$Q:$Q,MATCH($C281&amp;"|"&amp;$E281,Scoring!$U:$U,0)),"")</f>
        <v>Priority 3</v>
      </c>
      <c r="AB281" s="15" t="str">
        <f aca="false">IFERROR(INDEX(Scoring!$AK:$AK,MATCH($C281&amp;"|"&amp;$E281,Scoring!$U:$U,0)),"")</f>
        <v>Priority 2</v>
      </c>
      <c r="AC281" s="18" t="n">
        <f aca="false">IFERROR(INDEX(Scoring!$M:$M,MATCH($C281&amp;"|"&amp;$E281,Scoring!$U:$U,0)),"")</f>
        <v>82</v>
      </c>
      <c r="AD281" s="15" t="str">
        <f aca="false">IFERROR(INDEX('Route of Administration'!$C$5:$C$155,MATCH($C281,'Route of Administration'!$A$5:$A$155,0)),"")</f>
        <v>IM</v>
      </c>
      <c r="AE281" s="14" t="str">
        <f aca="false">IFERROR(INDEX('Route of Administration'!$D$5:$D$155,MATCH($C281,'Route of Administration'!$A$5:$A$155,0)),"")</f>
        <v>Yes</v>
      </c>
    </row>
    <row r="282" customFormat="false" ht="28.35" hidden="false" customHeight="false" outlineLevel="0" collapsed="false">
      <c r="B282" s="15" t="n">
        <v>280</v>
      </c>
      <c r="C282" s="15" t="s">
        <v>851</v>
      </c>
      <c r="D282" s="15" t="s">
        <v>851</v>
      </c>
      <c r="E282" s="15" t="s">
        <v>838</v>
      </c>
      <c r="F282" s="15" t="s">
        <v>1572</v>
      </c>
      <c r="G282" s="16"/>
      <c r="H282" s="15"/>
      <c r="I282" s="17"/>
      <c r="J282" s="15" t="n">
        <v>1</v>
      </c>
      <c r="K282" s="15" t="n">
        <v>445</v>
      </c>
      <c r="L282" s="18" t="n">
        <v>8796.85</v>
      </c>
      <c r="M282" s="16" t="s">
        <v>852</v>
      </c>
      <c r="N282" s="38" t="n">
        <v>0.65</v>
      </c>
      <c r="O282" s="22" t="s">
        <v>1513</v>
      </c>
      <c r="P282" s="15" t="s">
        <v>1507</v>
      </c>
      <c r="Q282" s="16" t="s">
        <v>1514</v>
      </c>
      <c r="R282" s="32" t="s">
        <v>1515</v>
      </c>
      <c r="S282" s="37" t="n">
        <f aca="false">IFERROR(INDEX('Injectable Value'!$Z$28:$Z$178,MATCH($C282,'Injectable Value'!$A$28:$A$178,0)),"")</f>
        <v>0.274306714947369</v>
      </c>
      <c r="T282" s="18" t="n">
        <f aca="false">IFERROR(ROUND(INDEX('Injectable Value'!$AA$28:$AA$178,MATCH($C282,'Injectable Value'!$A$28:$A$178,0)),1),"")</f>
        <v>2413</v>
      </c>
      <c r="U282" s="16" t="s">
        <v>247</v>
      </c>
      <c r="V282" s="15" t="n">
        <v>1</v>
      </c>
      <c r="W282" s="15" t="s">
        <v>247</v>
      </c>
      <c r="X282" s="15" t="s">
        <v>277</v>
      </c>
      <c r="Y282" s="15" t="s">
        <v>277</v>
      </c>
      <c r="Z282" s="16" t="str">
        <f aca="false">IFERROR(INDEX(Scoring!$K:$K,MATCH($C282&amp;"|"&amp;$E282,Scoring!$U:$U,0)),"")</f>
        <v/>
      </c>
      <c r="AA282" s="15" t="str">
        <f aca="false">IFERROR(INDEX(Scoring!$Q:$Q,MATCH($C282&amp;"|"&amp;$E282,Scoring!$U:$U,0)),"")</f>
        <v>Excluded – price ≤ $5</v>
      </c>
      <c r="AB282" s="15" t="str">
        <f aca="false">IFERROR(INDEX(Scoring!$AK:$AK,MATCH($C282&amp;"|"&amp;$E282,Scoring!$U:$U,0)),"")</f>
        <v>Excluded – price ≤ $5</v>
      </c>
      <c r="AC282" s="18" t="n">
        <f aca="false">IFERROR(INDEX(Scoring!$M:$M,MATCH($C282&amp;"|"&amp;$E282,Scoring!$U:$U,0)),"")</f>
        <v>122</v>
      </c>
      <c r="AD282" s="15" t="str">
        <f aca="false">IFERROR(INDEX('Route of Administration'!$C$5:$C$155,MATCH($C282,'Route of Administration'!$A$5:$A$155,0)),"")</f>
        <v>IM, SC</v>
      </c>
      <c r="AE282" s="14" t="str">
        <f aca="false">IFERROR(INDEX('Route of Administration'!$D$5:$D$155,MATCH($C282,'Route of Administration'!$A$5:$A$155,0)),"")</f>
        <v>Yes</v>
      </c>
    </row>
    <row r="283" customFormat="false" ht="28.35" hidden="false" customHeight="false" outlineLevel="0" collapsed="false">
      <c r="B283" s="15" t="n">
        <v>281</v>
      </c>
      <c r="C283" s="15" t="s">
        <v>606</v>
      </c>
      <c r="D283" s="15" t="s">
        <v>784</v>
      </c>
      <c r="E283" s="15" t="s">
        <v>838</v>
      </c>
      <c r="F283" s="15" t="s">
        <v>2075</v>
      </c>
      <c r="G283" s="16"/>
      <c r="H283" s="15"/>
      <c r="I283" s="17"/>
      <c r="J283" s="15" t="n">
        <v>1</v>
      </c>
      <c r="K283" s="15" t="n">
        <v>87</v>
      </c>
      <c r="L283" s="18" t="n">
        <v>2931.42</v>
      </c>
      <c r="M283" s="16" t="s">
        <v>607</v>
      </c>
      <c r="N283" s="38" t="n">
        <v>69.18</v>
      </c>
      <c r="O283" s="22" t="s">
        <v>1513</v>
      </c>
      <c r="P283" s="15" t="s">
        <v>1507</v>
      </c>
      <c r="Q283" s="16" t="s">
        <v>1832</v>
      </c>
      <c r="R283" s="32" t="s">
        <v>1833</v>
      </c>
      <c r="S283" s="37" t="n">
        <f aca="false">IFERROR(INDEX('Injectable Value'!$Z$28:$Z$178,MATCH($C283,'Injectable Value'!$A$28:$A$178,0)),"")</f>
        <v>1</v>
      </c>
      <c r="T283" s="18" t="n">
        <f aca="false">IFERROR(ROUND(INDEX('Injectable Value'!$AA$28:$AA$178,MATCH($C283,'Injectable Value'!$A$28:$A$178,0)),1),"")</f>
        <v>2931.4</v>
      </c>
      <c r="U283" s="16" t="s">
        <v>247</v>
      </c>
      <c r="V283" s="15" t="n">
        <v>1</v>
      </c>
      <c r="W283" s="15" t="s">
        <v>247</v>
      </c>
      <c r="X283" s="15" t="s">
        <v>277</v>
      </c>
      <c r="Y283" s="15" t="s">
        <v>277</v>
      </c>
      <c r="Z283" s="16" t="str">
        <f aca="false">IFERROR(INDEX(Scoring!$K:$K,MATCH($C283&amp;"|"&amp;$E283,Scoring!$U:$U,0)),"")</f>
        <v/>
      </c>
      <c r="AA283" s="15" t="str">
        <f aca="false">IFERROR(INDEX(Scoring!$Q:$Q,MATCH($C283&amp;"|"&amp;$E283,Scoring!$U:$U,0)),"")</f>
        <v>Priority 2</v>
      </c>
      <c r="AB283" s="15" t="str">
        <f aca="false">IFERROR(INDEX(Scoring!$AK:$AK,MATCH($C283&amp;"|"&amp;$E283,Scoring!$U:$U,0)),"")</f>
        <v>Priority 2</v>
      </c>
      <c r="AC283" s="18" t="n">
        <f aca="false">IFERROR(INDEX(Scoring!$M:$M,MATCH($C283&amp;"|"&amp;$E283,Scoring!$U:$U,0)),"")</f>
        <v>87</v>
      </c>
      <c r="AD283" s="15" t="str">
        <f aca="false">IFERROR(INDEX('Route of Administration'!$C$5:$C$155,MATCH($C283,'Route of Administration'!$A$5:$A$155,0)),"")</f>
        <v>IV, IM, SC</v>
      </c>
      <c r="AE283" s="14" t="str">
        <f aca="false">IFERROR(INDEX('Route of Administration'!$D$5:$D$155,MATCH($C283,'Route of Administration'!$A$5:$A$155,0)),"")</f>
        <v>Yes</v>
      </c>
    </row>
    <row r="284" customFormat="false" ht="28.35" hidden="false" customHeight="false" outlineLevel="0" collapsed="false">
      <c r="B284" s="15" t="n">
        <v>282</v>
      </c>
      <c r="C284" s="15" t="s">
        <v>864</v>
      </c>
      <c r="D284" s="15" t="s">
        <v>868</v>
      </c>
      <c r="E284" s="15" t="s">
        <v>838</v>
      </c>
      <c r="F284" s="15" t="s">
        <v>2076</v>
      </c>
      <c r="G284" s="16" t="s">
        <v>2077</v>
      </c>
      <c r="H284" s="15" t="s">
        <v>1505</v>
      </c>
      <c r="I284" s="17"/>
      <c r="J284" s="15" t="n">
        <v>1</v>
      </c>
      <c r="K284" s="15" t="n">
        <v>1683</v>
      </c>
      <c r="L284" s="18" t="n">
        <v>46739.27</v>
      </c>
      <c r="M284" s="16" t="s">
        <v>865</v>
      </c>
      <c r="N284" s="38" t="n">
        <v>1.91</v>
      </c>
      <c r="O284" s="22" t="s">
        <v>1513</v>
      </c>
      <c r="P284" s="15" t="s">
        <v>1507</v>
      </c>
      <c r="Q284" s="16" t="s">
        <v>1832</v>
      </c>
      <c r="R284" s="32" t="s">
        <v>1833</v>
      </c>
      <c r="S284" s="37" t="n">
        <f aca="false">IFERROR(INDEX('Injectable Value'!$Z$28:$Z$178,MATCH($C284,'Injectable Value'!$A$28:$A$178,0)),"")</f>
        <v>0.398200810013986</v>
      </c>
      <c r="T284" s="18" t="n">
        <f aca="false">IFERROR(ROUND(INDEX('Injectable Value'!$AA$28:$AA$178,MATCH($C284,'Injectable Value'!$A$28:$A$178,0)),1),"")</f>
        <v>18611.6</v>
      </c>
      <c r="U284" s="16" t="s">
        <v>247</v>
      </c>
      <c r="V284" s="15" t="n">
        <v>1</v>
      </c>
      <c r="W284" s="15" t="s">
        <v>247</v>
      </c>
      <c r="X284" s="15" t="s">
        <v>248</v>
      </c>
      <c r="Y284" s="15" t="s">
        <v>1519</v>
      </c>
      <c r="Z284" s="16" t="str">
        <f aca="false">IFERROR(INDEX(Scoring!$K:$K,MATCH($C284&amp;"|"&amp;$E284,Scoring!$U:$U,0)),"")</f>
        <v/>
      </c>
      <c r="AA284" s="15" t="str">
        <f aca="false">IFERROR(INDEX(Scoring!$Q:$Q,MATCH($C284&amp;"|"&amp;$E284,Scoring!$U:$U,0)),"")</f>
        <v>Excluded – price ≤ $5</v>
      </c>
      <c r="AB284" s="15" t="str">
        <f aca="false">IFERROR(INDEX(Scoring!$AK:$AK,MATCH($C284&amp;"|"&amp;$E284,Scoring!$U:$U,0)),"")</f>
        <v>Excluded – price ≤ $5</v>
      </c>
      <c r="AC284" s="18" t="n">
        <f aca="false">IFERROR(INDEX(Scoring!$M:$M,MATCH($C284&amp;"|"&amp;$E284,Scoring!$U:$U,0)),"")</f>
        <v>670</v>
      </c>
      <c r="AD284" s="15" t="str">
        <f aca="false">IFERROR(INDEX('Route of Administration'!$C$5:$C$155,MATCH($C284,'Route of Administration'!$A$5:$A$155,0)),"")</f>
        <v>IV, infiltration (ID, SC), perineural</v>
      </c>
      <c r="AE284" s="14" t="str">
        <f aca="false">IFERROR(INDEX('Route of Administration'!$D$5:$D$155,MATCH($C284,'Route of Administration'!$A$5:$A$155,0)),"")</f>
        <v>Yes</v>
      </c>
    </row>
    <row r="285" customFormat="false" ht="41.75" hidden="false" customHeight="false" outlineLevel="0" collapsed="false">
      <c r="B285" s="15" t="n">
        <v>283</v>
      </c>
      <c r="C285" s="15" t="s">
        <v>266</v>
      </c>
      <c r="D285" s="15" t="s">
        <v>270</v>
      </c>
      <c r="E285" s="15" t="s">
        <v>838</v>
      </c>
      <c r="F285" s="15" t="s">
        <v>1520</v>
      </c>
      <c r="G285" s="16"/>
      <c r="H285" s="15"/>
      <c r="I285" s="17" t="n">
        <v>7.15</v>
      </c>
      <c r="J285" s="15" t="n">
        <v>1</v>
      </c>
      <c r="K285" s="15" t="n">
        <v>1282</v>
      </c>
      <c r="L285" s="18" t="n">
        <v>16792.84</v>
      </c>
      <c r="M285" s="16" t="s">
        <v>267</v>
      </c>
      <c r="N285" s="17" t="n">
        <v>7.15</v>
      </c>
      <c r="O285" s="15" t="s">
        <v>1506</v>
      </c>
      <c r="P285" s="15" t="s">
        <v>1507</v>
      </c>
      <c r="Q285" s="16" t="s">
        <v>1508</v>
      </c>
      <c r="R285" s="32" t="s">
        <v>1518</v>
      </c>
      <c r="S285" s="37" t="n">
        <f aca="false">IFERROR(INDEX('Injectable Value'!$Z$28:$Z$178,MATCH($C285,'Injectable Value'!$A$28:$A$178,0)),"")</f>
        <v>0.776857437207773</v>
      </c>
      <c r="T285" s="18" t="n">
        <f aca="false">IFERROR(ROUND(INDEX('Injectable Value'!$AA$28:$AA$178,MATCH($C285,'Injectable Value'!$A$28:$A$178,0)),1),"")</f>
        <v>13045.6</v>
      </c>
      <c r="U285" s="16" t="s">
        <v>247</v>
      </c>
      <c r="V285" s="15" t="n">
        <v>1</v>
      </c>
      <c r="W285" s="15" t="s">
        <v>247</v>
      </c>
      <c r="X285" s="15" t="s">
        <v>277</v>
      </c>
      <c r="Y285" s="15" t="s">
        <v>249</v>
      </c>
      <c r="Z285" s="16" t="str">
        <f aca="false">IFERROR(INDEX(Scoring!$K:$K,MATCH($C285&amp;"|"&amp;$E285,Scoring!$U:$U,0)),"")</f>
        <v>Cancer drug (cytotoxic) – less relevant</v>
      </c>
      <c r="AA285" s="15" t="str">
        <f aca="false">IFERROR(INDEX(Scoring!$Q:$Q,MATCH($C285&amp;"|"&amp;$E285,Scoring!$U:$U,0)),"")</f>
        <v>Priority 2</v>
      </c>
      <c r="AB285" s="15" t="str">
        <f aca="false">IFERROR(INDEX(Scoring!$AK:$AK,MATCH($C285&amp;"|"&amp;$E285,Scoring!$U:$U,0)),"")</f>
        <v>Priority 2</v>
      </c>
      <c r="AC285" s="18" t="n">
        <f aca="false">IFERROR(INDEX(Scoring!$M:$M,MATCH($C285&amp;"|"&amp;$E285,Scoring!$U:$U,0)),"")</f>
        <v>996</v>
      </c>
      <c r="AD285" s="15" t="str">
        <f aca="false">IFERROR(INDEX('Route of Administration'!$C$5:$C$155,MATCH($C285,'Route of Administration'!$A$5:$A$155,0)),"")</f>
        <v>IV, IM, SC</v>
      </c>
      <c r="AE285" s="14" t="str">
        <f aca="false">IFERROR(INDEX('Route of Administration'!$D$5:$D$155,MATCH($C285,'Route of Administration'!$A$5:$A$155,0)),"")</f>
        <v>Yes</v>
      </c>
    </row>
    <row r="286" customFormat="false" ht="28.35" hidden="false" customHeight="false" outlineLevel="0" collapsed="false">
      <c r="B286" s="15" t="n">
        <v>284</v>
      </c>
      <c r="C286" s="15" t="s">
        <v>809</v>
      </c>
      <c r="D286" s="15" t="s">
        <v>809</v>
      </c>
      <c r="E286" s="15" t="s">
        <v>838</v>
      </c>
      <c r="F286" s="15" t="s">
        <v>1794</v>
      </c>
      <c r="G286" s="16"/>
      <c r="H286" s="15"/>
      <c r="I286" s="17"/>
      <c r="J286" s="15" t="n">
        <v>1</v>
      </c>
      <c r="K286" s="15" t="n">
        <v>615</v>
      </c>
      <c r="L286" s="18" t="n">
        <v>54682.27</v>
      </c>
      <c r="M286" s="16" t="s">
        <v>810</v>
      </c>
      <c r="N286" s="38" t="n">
        <v>1.86</v>
      </c>
      <c r="O286" s="22" t="s">
        <v>1513</v>
      </c>
      <c r="P286" s="15" t="s">
        <v>1507</v>
      </c>
      <c r="Q286" s="16" t="s">
        <v>1514</v>
      </c>
      <c r="R286" s="32" t="s">
        <v>1515</v>
      </c>
      <c r="S286" s="37" t="n">
        <f aca="false">IFERROR(INDEX('Injectable Value'!$Z$28:$Z$178,MATCH($C286,'Injectable Value'!$A$28:$A$178,0)),"")</f>
        <v>0.998949579831933</v>
      </c>
      <c r="T286" s="18" t="n">
        <f aca="false">IFERROR(ROUND(INDEX('Injectable Value'!$AA$28:$AA$178,MATCH($C286,'Injectable Value'!$A$28:$A$178,0)),1),"")</f>
        <v>54624.8</v>
      </c>
      <c r="U286" s="16" t="s">
        <v>247</v>
      </c>
      <c r="V286" s="15" t="n">
        <v>1</v>
      </c>
      <c r="W286" s="15" t="s">
        <v>247</v>
      </c>
      <c r="X286" s="15" t="s">
        <v>277</v>
      </c>
      <c r="Y286" s="15" t="s">
        <v>277</v>
      </c>
      <c r="Z286" s="16" t="str">
        <f aca="false">IFERROR(INDEX(Scoring!$K:$K,MATCH($C286&amp;"|"&amp;$E286,Scoring!$U:$U,0)),"")</f>
        <v/>
      </c>
      <c r="AA286" s="15" t="str">
        <f aca="false">IFERROR(INDEX(Scoring!$Q:$Q,MATCH($C286&amp;"|"&amp;$E286,Scoring!$U:$U,0)),"")</f>
        <v>Excluded – IV only</v>
      </c>
      <c r="AB286" s="15" t="str">
        <f aca="false">IFERROR(INDEX(Scoring!$AK:$AK,MATCH($C286&amp;"|"&amp;$E286,Scoring!$U:$U,0)),"")</f>
        <v>Excluded – IV only</v>
      </c>
      <c r="AC286" s="18" t="n">
        <f aca="false">IFERROR(INDEX(Scoring!$M:$M,MATCH($C286&amp;"|"&amp;$E286,Scoring!$U:$U,0)),"")</f>
        <v>614</v>
      </c>
      <c r="AD286" s="15" t="str">
        <f aca="false">IFERROR(INDEX('Route of Administration'!$C$5:$C$155,MATCH($C286,'Route of Administration'!$A$5:$A$155,0)),"")</f>
        <v>IV</v>
      </c>
      <c r="AE286" s="14" t="str">
        <f aca="false">IFERROR(INDEX('Route of Administration'!$D$5:$D$155,MATCH($C286,'Route of Administration'!$A$5:$A$155,0)),"")</f>
        <v>No</v>
      </c>
    </row>
    <row r="287" customFormat="false" ht="41.75" hidden="false" customHeight="false" outlineLevel="0" collapsed="false">
      <c r="B287" s="15" t="n">
        <v>285</v>
      </c>
      <c r="C287" s="15" t="s">
        <v>724</v>
      </c>
      <c r="D287" s="15" t="s">
        <v>728</v>
      </c>
      <c r="E287" s="15" t="s">
        <v>838</v>
      </c>
      <c r="F287" s="15" t="s">
        <v>1882</v>
      </c>
      <c r="G287" s="16" t="s">
        <v>2078</v>
      </c>
      <c r="H287" s="15" t="s">
        <v>1505</v>
      </c>
      <c r="I287" s="17"/>
      <c r="J287" s="15" t="n">
        <v>1</v>
      </c>
      <c r="K287" s="15" t="n">
        <v>286</v>
      </c>
      <c r="L287" s="18" t="n">
        <v>3067.39</v>
      </c>
      <c r="M287" s="16" t="s">
        <v>725</v>
      </c>
      <c r="N287" s="38" t="n">
        <v>5.03</v>
      </c>
      <c r="O287" s="22" t="s">
        <v>1513</v>
      </c>
      <c r="P287" s="15" t="s">
        <v>1507</v>
      </c>
      <c r="Q287" s="16" t="s">
        <v>1832</v>
      </c>
      <c r="R287" s="32" t="s">
        <v>1833</v>
      </c>
      <c r="S287" s="37" t="n">
        <f aca="false">IFERROR(INDEX('Injectable Value'!$Z$28:$Z$178,MATCH($C287,'Injectable Value'!$A$28:$A$178,0)),"")</f>
        <v>1</v>
      </c>
      <c r="T287" s="18" t="n">
        <f aca="false">IFERROR(ROUND(INDEX('Injectable Value'!$AA$28:$AA$178,MATCH($C287,'Injectable Value'!$A$28:$A$178,0)),1),"")</f>
        <v>3067.4</v>
      </c>
      <c r="U287" s="16" t="s">
        <v>247</v>
      </c>
      <c r="V287" s="15" t="n">
        <v>1</v>
      </c>
      <c r="W287" s="15" t="s">
        <v>247</v>
      </c>
      <c r="X287" s="15" t="s">
        <v>248</v>
      </c>
      <c r="Y287" s="15" t="s">
        <v>249</v>
      </c>
      <c r="Z287" s="16" t="str">
        <f aca="false">IFERROR(INDEX(Scoring!$K:$K,MATCH($C287&amp;"|"&amp;$E287,Scoring!$U:$U,0)),"")</f>
        <v/>
      </c>
      <c r="AA287" s="15" t="str">
        <f aca="false">IFERROR(INDEX(Scoring!$Q:$Q,MATCH($C287&amp;"|"&amp;$E287,Scoring!$U:$U,0)),"")</f>
        <v>Priority 2</v>
      </c>
      <c r="AB287" s="15" t="str">
        <f aca="false">IFERROR(INDEX(Scoring!$AK:$AK,MATCH($C287&amp;"|"&amp;$E287,Scoring!$U:$U,0)),"")</f>
        <v>Priority 2</v>
      </c>
      <c r="AC287" s="18" t="n">
        <f aca="false">IFERROR(INDEX(Scoring!$M:$M,MATCH($C287&amp;"|"&amp;$E287,Scoring!$U:$U,0)),"")</f>
        <v>286</v>
      </c>
      <c r="AD287" s="15" t="str">
        <f aca="false">IFERROR(INDEX('Route of Administration'!$C$5:$C$155,MATCH($C287,'Route of Administration'!$A$5:$A$155,0)),"")</f>
        <v>IV, IM</v>
      </c>
      <c r="AE287" s="14" t="str">
        <f aca="false">IFERROR(INDEX('Route of Administration'!$D$5:$D$155,MATCH($C287,'Route of Administration'!$A$5:$A$155,0)),"")</f>
        <v>Yes</v>
      </c>
    </row>
    <row r="288" customFormat="false" ht="28.35" hidden="false" customHeight="false" outlineLevel="0" collapsed="false">
      <c r="B288" s="15" t="n">
        <v>286</v>
      </c>
      <c r="C288" s="15" t="s">
        <v>568</v>
      </c>
      <c r="D288" s="15" t="s">
        <v>572</v>
      </c>
      <c r="E288" s="15" t="s">
        <v>838</v>
      </c>
      <c r="F288" s="15" t="s">
        <v>1594</v>
      </c>
      <c r="G288" s="16" t="s">
        <v>1525</v>
      </c>
      <c r="H288" s="15" t="s">
        <v>1525</v>
      </c>
      <c r="I288" s="17"/>
      <c r="J288" s="15" t="n">
        <v>1</v>
      </c>
      <c r="K288" s="15" t="n">
        <v>374</v>
      </c>
      <c r="L288" s="18" t="n">
        <v>13615.47</v>
      </c>
      <c r="M288" s="16" t="s">
        <v>569</v>
      </c>
      <c r="N288" s="38" t="n">
        <v>2.67</v>
      </c>
      <c r="O288" s="22" t="s">
        <v>1513</v>
      </c>
      <c r="P288" s="15" t="s">
        <v>1507</v>
      </c>
      <c r="Q288" s="16" t="s">
        <v>1832</v>
      </c>
      <c r="R288" s="32" t="s">
        <v>1833</v>
      </c>
      <c r="S288" s="37" t="n">
        <f aca="false">IFERROR(INDEX('Injectable Value'!$Z$28:$Z$178,MATCH($C288,'Injectable Value'!$A$28:$A$178,0)),"")</f>
        <v>0.18191811645244</v>
      </c>
      <c r="T288" s="18" t="n">
        <f aca="false">IFERROR(ROUND(INDEX('Injectable Value'!$AA$28:$AA$178,MATCH($C288,'Injectable Value'!$A$28:$A$178,0)),1),"")</f>
        <v>2476.9</v>
      </c>
      <c r="U288" s="16" t="s">
        <v>247</v>
      </c>
      <c r="V288" s="15" t="n">
        <v>1</v>
      </c>
      <c r="W288" s="15" t="s">
        <v>247</v>
      </c>
      <c r="X288" s="15" t="s">
        <v>277</v>
      </c>
      <c r="Y288" s="15" t="s">
        <v>277</v>
      </c>
      <c r="Z288" s="16" t="str">
        <f aca="false">IFERROR(INDEX(Scoring!$K:$K,MATCH($C288&amp;"|"&amp;$E288,Scoring!$U:$U,0)),"")</f>
        <v/>
      </c>
      <c r="AA288" s="15" t="str">
        <f aca="false">IFERROR(INDEX(Scoring!$Q:$Q,MATCH($C288&amp;"|"&amp;$E288,Scoring!$U:$U,0)),"")</f>
        <v>Excluded – IV only</v>
      </c>
      <c r="AB288" s="15" t="str">
        <f aca="false">IFERROR(INDEX(Scoring!$AK:$AK,MATCH($C288&amp;"|"&amp;$E288,Scoring!$U:$U,0)),"")</f>
        <v>Excluded – IV only</v>
      </c>
      <c r="AC288" s="18" t="n">
        <f aca="false">IFERROR(INDEX(Scoring!$M:$M,MATCH($C288&amp;"|"&amp;$E288,Scoring!$U:$U,0)),"")</f>
        <v>68</v>
      </c>
      <c r="AD288" s="15" t="str">
        <f aca="false">IFERROR(INDEX('Route of Administration'!$C$5:$C$155,MATCH($C288,'Route of Administration'!$A$5:$A$155,0)),"")</f>
        <v>IV</v>
      </c>
      <c r="AE288" s="14" t="str">
        <f aca="false">IFERROR(INDEX('Route of Administration'!$D$5:$D$155,MATCH($C288,'Route of Administration'!$A$5:$A$155,0)),"")</f>
        <v>No</v>
      </c>
    </row>
    <row r="289" customFormat="false" ht="28.35" hidden="false" customHeight="false" outlineLevel="0" collapsed="false">
      <c r="B289" s="15" t="n">
        <v>287</v>
      </c>
      <c r="C289" s="15" t="s">
        <v>305</v>
      </c>
      <c r="D289" s="15" t="s">
        <v>305</v>
      </c>
      <c r="E289" s="15" t="s">
        <v>838</v>
      </c>
      <c r="F289" s="15" t="s">
        <v>1608</v>
      </c>
      <c r="G289" s="16" t="s">
        <v>2079</v>
      </c>
      <c r="H289" s="15" t="s">
        <v>248</v>
      </c>
      <c r="I289" s="17" t="n">
        <v>22.25</v>
      </c>
      <c r="J289" s="15" t="n">
        <v>1</v>
      </c>
      <c r="K289" s="15" t="n">
        <v>905</v>
      </c>
      <c r="L289" s="18" t="n">
        <v>28093.38</v>
      </c>
      <c r="M289" s="16" t="s">
        <v>306</v>
      </c>
      <c r="N289" s="17" t="n">
        <v>22.25</v>
      </c>
      <c r="O289" s="15" t="s">
        <v>1506</v>
      </c>
      <c r="P289" s="15" t="s">
        <v>1507</v>
      </c>
      <c r="Q289" s="16" t="s">
        <v>1508</v>
      </c>
      <c r="R289" s="32" t="s">
        <v>1610</v>
      </c>
      <c r="S289" s="37" t="n">
        <f aca="false">IFERROR(INDEX('Injectable Value'!$Z$28:$Z$178,MATCH($C289,'Injectable Value'!$A$28:$A$178,0)),"")</f>
        <v>1</v>
      </c>
      <c r="T289" s="18" t="n">
        <f aca="false">IFERROR(ROUND(INDEX('Injectable Value'!$AA$28:$AA$178,MATCH($C289,'Injectable Value'!$A$28:$A$178,0)),1),"")</f>
        <v>28093.4</v>
      </c>
      <c r="U289" s="16" t="s">
        <v>843</v>
      </c>
      <c r="V289" s="15" t="n">
        <v>8</v>
      </c>
      <c r="W289" s="15" t="s">
        <v>827</v>
      </c>
      <c r="X289" s="15" t="s">
        <v>248</v>
      </c>
      <c r="Y289" s="15" t="s">
        <v>299</v>
      </c>
      <c r="Z289" s="16" t="str">
        <f aca="false">IFERROR(INDEX(Scoring!$K:$K,MATCH($C289&amp;"|"&amp;$E289,Scoring!$U:$U,0)),"")</f>
        <v>Cancer drug (cytotoxic) – less relevant; Reconstitution</v>
      </c>
      <c r="AA289" s="15" t="str">
        <f aca="false">IFERROR(INDEX(Scoring!$Q:$Q,MATCH($C289&amp;"|"&amp;$E289,Scoring!$U:$U,0)),"")</f>
        <v>Priority 1</v>
      </c>
      <c r="AB289" s="15" t="str">
        <f aca="false">IFERROR(INDEX(Scoring!$AK:$AK,MATCH($C289&amp;"|"&amp;$E289,Scoring!$U:$U,0)),"")</f>
        <v>Priority 1</v>
      </c>
      <c r="AC289" s="18" t="n">
        <f aca="false">IFERROR(INDEX(Scoring!$M:$M,MATCH($C289&amp;"|"&amp;$E289,Scoring!$U:$U,0)),"")</f>
        <v>905</v>
      </c>
      <c r="AD289" s="15" t="str">
        <f aca="false">IFERROR(INDEX('Route of Administration'!$C$5:$C$155,MATCH($C289,'Route of Administration'!$A$5:$A$155,0)),"")</f>
        <v>IV, SC</v>
      </c>
      <c r="AE289" s="14" t="str">
        <f aca="false">IFERROR(INDEX('Route of Administration'!$D$5:$D$155,MATCH($C289,'Route of Administration'!$A$5:$A$155,0)),"")</f>
        <v>Yes</v>
      </c>
    </row>
    <row r="290" customFormat="false" ht="28.35" hidden="false" customHeight="false" outlineLevel="0" collapsed="false">
      <c r="B290" s="15" t="n">
        <v>288</v>
      </c>
      <c r="C290" s="15" t="s">
        <v>869</v>
      </c>
      <c r="D290" s="15" t="s">
        <v>869</v>
      </c>
      <c r="E290" s="15" t="s">
        <v>838</v>
      </c>
      <c r="F290" s="15" t="s">
        <v>2080</v>
      </c>
      <c r="G290" s="16" t="s">
        <v>2081</v>
      </c>
      <c r="H290" s="15" t="s">
        <v>248</v>
      </c>
      <c r="I290" s="17" t="n">
        <v>9.12</v>
      </c>
      <c r="J290" s="15" t="n">
        <v>1</v>
      </c>
      <c r="K290" s="15" t="n">
        <v>160</v>
      </c>
      <c r="L290" s="18" t="n">
        <v>16781.35</v>
      </c>
      <c r="M290" s="16" t="s">
        <v>870</v>
      </c>
      <c r="N290" s="17" t="n">
        <v>9.12</v>
      </c>
      <c r="O290" s="15" t="s">
        <v>1506</v>
      </c>
      <c r="P290" s="15" t="s">
        <v>1507</v>
      </c>
      <c r="Q290" s="16" t="s">
        <v>1508</v>
      </c>
      <c r="R290" s="32" t="s">
        <v>2082</v>
      </c>
      <c r="S290" s="37" t="n">
        <f aca="false">IFERROR(INDEX('Injectable Value'!$Z$28:$Z$178,MATCH($C290,'Injectable Value'!$A$28:$A$178,0)),"")</f>
        <v>0.727614400337057</v>
      </c>
      <c r="T290" s="18" t="n">
        <f aca="false">IFERROR(ROUND(INDEX('Injectable Value'!$AA$28:$AA$178,MATCH($C290,'Injectable Value'!$A$28:$A$178,0)),1),"")</f>
        <v>12210.4</v>
      </c>
      <c r="U290" s="16" t="s">
        <v>247</v>
      </c>
      <c r="V290" s="15" t="n">
        <v>1</v>
      </c>
      <c r="W290" s="15" t="s">
        <v>247</v>
      </c>
      <c r="X290" s="15" t="s">
        <v>248</v>
      </c>
      <c r="Y290" s="15" t="s">
        <v>1519</v>
      </c>
      <c r="Z290" s="16" t="str">
        <f aca="false">IFERROR(INDEX(Scoring!$K:$K,MATCH($C290&amp;"|"&amp;$E290,Scoring!$U:$U,0)),"")</f>
        <v/>
      </c>
      <c r="AA290" s="15" t="str">
        <f aca="false">IFERROR(INDEX(Scoring!$Q:$Q,MATCH($C290&amp;"|"&amp;$E290,Scoring!$U:$U,0)),"")</f>
        <v>Priority 3</v>
      </c>
      <c r="AB290" s="15" t="str">
        <f aca="false">IFERROR(INDEX(Scoring!$AK:$AK,MATCH($C290&amp;"|"&amp;$E290,Scoring!$U:$U,0)),"")</f>
        <v>Priority 3</v>
      </c>
      <c r="AC290" s="18" t="n">
        <f aca="false">IFERROR(INDEX(Scoring!$M:$M,MATCH($C290&amp;"|"&amp;$E290,Scoring!$U:$U,0)),"")</f>
        <v>116</v>
      </c>
      <c r="AD290" s="15" t="str">
        <f aca="false">IFERROR(INDEX('Route of Administration'!$C$5:$C$155,MATCH($C290,'Route of Administration'!$A$5:$A$155,0)),"")</f>
        <v>IV, IM</v>
      </c>
      <c r="AE290" s="14" t="str">
        <f aca="false">IFERROR(INDEX('Route of Administration'!$D$5:$D$155,MATCH($C290,'Route of Administration'!$A$5:$A$155,0)),"")</f>
        <v>Yes</v>
      </c>
    </row>
    <row r="291" customFormat="false" ht="28.35" hidden="false" customHeight="false" outlineLevel="0" collapsed="false">
      <c r="B291" s="15" t="n">
        <v>289</v>
      </c>
      <c r="C291" s="15" t="s">
        <v>884</v>
      </c>
      <c r="D291" s="15" t="s">
        <v>884</v>
      </c>
      <c r="E291" s="15" t="s">
        <v>838</v>
      </c>
      <c r="F291" s="15" t="s">
        <v>2083</v>
      </c>
      <c r="G291" s="16" t="s">
        <v>2084</v>
      </c>
      <c r="H291" s="15" t="s">
        <v>248</v>
      </c>
      <c r="I291" s="17" t="n">
        <v>6.53</v>
      </c>
      <c r="J291" s="15" t="n">
        <v>1</v>
      </c>
      <c r="K291" s="15" t="n">
        <v>1011</v>
      </c>
      <c r="L291" s="18" t="n">
        <v>19666.38</v>
      </c>
      <c r="M291" s="16" t="s">
        <v>885</v>
      </c>
      <c r="N291" s="17" t="n">
        <v>6.53</v>
      </c>
      <c r="O291" s="15" t="s">
        <v>1506</v>
      </c>
      <c r="P291" s="15" t="s">
        <v>1507</v>
      </c>
      <c r="Q291" s="16" t="s">
        <v>1508</v>
      </c>
      <c r="R291" s="32" t="s">
        <v>2085</v>
      </c>
      <c r="S291" s="37" t="n">
        <f aca="false">IFERROR(INDEX('Injectable Value'!$Z$28:$Z$178,MATCH($C291,'Injectable Value'!$A$28:$A$178,0)),"")</f>
        <v>0.185632969158154</v>
      </c>
      <c r="T291" s="18" t="n">
        <f aca="false">IFERROR(ROUND(INDEX('Injectable Value'!$AA$28:$AA$178,MATCH($C291,'Injectable Value'!$A$28:$A$178,0)),1),"")</f>
        <v>3650.7</v>
      </c>
      <c r="U291" s="16" t="s">
        <v>247</v>
      </c>
      <c r="V291" s="15" t="n">
        <v>1</v>
      </c>
      <c r="W291" s="15" t="s">
        <v>247</v>
      </c>
      <c r="X291" s="15" t="s">
        <v>248</v>
      </c>
      <c r="Y291" s="15" t="s">
        <v>249</v>
      </c>
      <c r="Z291" s="16" t="str">
        <f aca="false">IFERROR(INDEX(Scoring!$K:$K,MATCH($C291&amp;"|"&amp;$E291,Scoring!$U:$U,0)),"")</f>
        <v/>
      </c>
      <c r="AA291" s="15" t="str">
        <f aca="false">IFERROR(INDEX(Scoring!$Q:$Q,MATCH($C291&amp;"|"&amp;$E291,Scoring!$U:$U,0)),"")</f>
        <v>Excluded – IV only</v>
      </c>
      <c r="AB291" s="15" t="str">
        <f aca="false">IFERROR(INDEX(Scoring!$AK:$AK,MATCH($C291&amp;"|"&amp;$E291,Scoring!$U:$U,0)),"")</f>
        <v>Excluded – IV only</v>
      </c>
      <c r="AC291" s="18" t="n">
        <f aca="false">IFERROR(INDEX(Scoring!$M:$M,MATCH($C291&amp;"|"&amp;$E291,Scoring!$U:$U,0)),"")</f>
        <v>188</v>
      </c>
      <c r="AD291" s="15" t="str">
        <f aca="false">IFERROR(INDEX('Route of Administration'!$C$5:$C$155,MATCH($C291,'Route of Administration'!$A$5:$A$155,0)),"")</f>
        <v>IV</v>
      </c>
      <c r="AE291" s="14" t="str">
        <f aca="false">IFERROR(INDEX('Route of Administration'!$D$5:$D$155,MATCH($C291,'Route of Administration'!$A$5:$A$155,0)),"")</f>
        <v>No</v>
      </c>
    </row>
    <row r="292" customFormat="false" ht="28.35" hidden="false" customHeight="false" outlineLevel="0" collapsed="false">
      <c r="B292" s="15" t="n">
        <v>290</v>
      </c>
      <c r="C292" s="15" t="s">
        <v>635</v>
      </c>
      <c r="D292" s="15" t="s">
        <v>1475</v>
      </c>
      <c r="E292" s="15" t="s">
        <v>838</v>
      </c>
      <c r="F292" s="15" t="s">
        <v>1910</v>
      </c>
      <c r="G292" s="16" t="s">
        <v>2086</v>
      </c>
      <c r="H292" s="15" t="s">
        <v>248</v>
      </c>
      <c r="I292" s="17" t="n">
        <v>21.78</v>
      </c>
      <c r="J292" s="15" t="n">
        <v>1</v>
      </c>
      <c r="K292" s="15" t="n">
        <v>346</v>
      </c>
      <c r="L292" s="18" t="n">
        <v>32830.17</v>
      </c>
      <c r="M292" s="16" t="s">
        <v>636</v>
      </c>
      <c r="N292" s="17" t="n">
        <v>21.78</v>
      </c>
      <c r="O292" s="15" t="s">
        <v>1506</v>
      </c>
      <c r="P292" s="15" t="s">
        <v>1507</v>
      </c>
      <c r="Q292" s="16" t="s">
        <v>1508</v>
      </c>
      <c r="R292" s="32" t="s">
        <v>1912</v>
      </c>
      <c r="S292" s="37" t="n">
        <f aca="false">IFERROR(INDEX('Injectable Value'!$Z$28:$Z$178,MATCH($C292,'Injectable Value'!$A$28:$A$178,0)),"")</f>
        <v>1</v>
      </c>
      <c r="T292" s="18" t="n">
        <f aca="false">IFERROR(ROUND(INDEX('Injectable Value'!$AA$28:$AA$178,MATCH($C292,'Injectable Value'!$A$28:$A$178,0)),1),"")</f>
        <v>32830.2</v>
      </c>
      <c r="U292" s="16" t="s">
        <v>878</v>
      </c>
      <c r="V292" s="15" t="n">
        <v>7</v>
      </c>
      <c r="W292" s="15" t="s">
        <v>827</v>
      </c>
      <c r="X292" s="15" t="s">
        <v>248</v>
      </c>
      <c r="Y292" s="15" t="s">
        <v>249</v>
      </c>
      <c r="Z292" s="16" t="str">
        <f aca="false">IFERROR(INDEX(Scoring!$K:$K,MATCH($C292&amp;"|"&amp;$E292,Scoring!$U:$U,0)),"")</f>
        <v/>
      </c>
      <c r="AA292" s="15" t="str">
        <f aca="false">IFERROR(INDEX(Scoring!$Q:$Q,MATCH($C292&amp;"|"&amp;$E292,Scoring!$U:$U,0)),"")</f>
        <v>Excluded – IV only</v>
      </c>
      <c r="AB292" s="15" t="str">
        <f aca="false">IFERROR(INDEX(Scoring!$AK:$AK,MATCH($C292&amp;"|"&amp;$E292,Scoring!$U:$U,0)),"")</f>
        <v>Excluded – IV only</v>
      </c>
      <c r="AC292" s="18" t="n">
        <f aca="false">IFERROR(INDEX(Scoring!$M:$M,MATCH($C292&amp;"|"&amp;$E292,Scoring!$U:$U,0)),"")</f>
        <v>346</v>
      </c>
      <c r="AD292" s="15" t="str">
        <f aca="false">IFERROR(INDEX('Route of Administration'!$C$5:$C$155,MATCH($C292,'Route of Administration'!$A$5:$A$155,0)),"")</f>
        <v>IV</v>
      </c>
      <c r="AE292" s="14" t="str">
        <f aca="false">IFERROR(INDEX('Route of Administration'!$D$5:$D$155,MATCH($C292,'Route of Administration'!$A$5:$A$155,0)),"")</f>
        <v>No</v>
      </c>
    </row>
    <row r="293" customFormat="false" ht="28.35" hidden="false" customHeight="false" outlineLevel="0" collapsed="false">
      <c r="B293" s="15" t="n">
        <v>291</v>
      </c>
      <c r="C293" s="15" t="s">
        <v>635</v>
      </c>
      <c r="D293" s="15" t="s">
        <v>1475</v>
      </c>
      <c r="E293" s="15" t="s">
        <v>838</v>
      </c>
      <c r="F293" s="15" t="s">
        <v>1913</v>
      </c>
      <c r="G293" s="16" t="s">
        <v>1914</v>
      </c>
      <c r="H293" s="15" t="s">
        <v>248</v>
      </c>
      <c r="I293" s="17" t="n">
        <v>48.28</v>
      </c>
      <c r="J293" s="15" t="n">
        <v>1</v>
      </c>
      <c r="K293" s="15" t="n">
        <v>346</v>
      </c>
      <c r="L293" s="18" t="n">
        <v>32830.17</v>
      </c>
      <c r="M293" s="16" t="s">
        <v>636</v>
      </c>
      <c r="N293" s="17" t="n">
        <v>48.28</v>
      </c>
      <c r="O293" s="15" t="s">
        <v>1506</v>
      </c>
      <c r="P293" s="15" t="s">
        <v>1507</v>
      </c>
      <c r="Q293" s="16" t="s">
        <v>1508</v>
      </c>
      <c r="R293" s="32" t="s">
        <v>1912</v>
      </c>
      <c r="S293" s="37" t="n">
        <f aca="false">IFERROR(INDEX('Injectable Value'!$Z$28:$Z$178,MATCH($C293,'Injectable Value'!$A$28:$A$178,0)),"")</f>
        <v>1</v>
      </c>
      <c r="T293" s="18" t="n">
        <f aca="false">IFERROR(ROUND(INDEX('Injectable Value'!$AA$28:$AA$178,MATCH($C293,'Injectable Value'!$A$28:$A$178,0)),1),"")</f>
        <v>32830.2</v>
      </c>
      <c r="U293" s="16" t="s">
        <v>878</v>
      </c>
      <c r="V293" s="15" t="n">
        <v>7</v>
      </c>
      <c r="W293" s="15" t="s">
        <v>827</v>
      </c>
      <c r="X293" s="15" t="s">
        <v>248</v>
      </c>
      <c r="Y293" s="15" t="s">
        <v>249</v>
      </c>
      <c r="Z293" s="16" t="str">
        <f aca="false">IFERROR(INDEX(Scoring!$K:$K,MATCH($C293&amp;"|"&amp;$E293,Scoring!$U:$U,0)),"")</f>
        <v/>
      </c>
      <c r="AA293" s="15" t="str">
        <f aca="false">IFERROR(INDEX(Scoring!$Q:$Q,MATCH($C293&amp;"|"&amp;$E293,Scoring!$U:$U,0)),"")</f>
        <v>Excluded – IV only</v>
      </c>
      <c r="AB293" s="15" t="str">
        <f aca="false">IFERROR(INDEX(Scoring!$AK:$AK,MATCH($C293&amp;"|"&amp;$E293,Scoring!$U:$U,0)),"")</f>
        <v>Excluded – IV only</v>
      </c>
      <c r="AC293" s="18" t="n">
        <f aca="false">IFERROR(INDEX(Scoring!$M:$M,MATCH($C293&amp;"|"&amp;$E293,Scoring!$U:$U,0)),"")</f>
        <v>346</v>
      </c>
      <c r="AD293" s="15" t="str">
        <f aca="false">IFERROR(INDEX('Route of Administration'!$C$5:$C$155,MATCH($C293,'Route of Administration'!$A$5:$A$155,0)),"")</f>
        <v>IV</v>
      </c>
      <c r="AE293" s="14" t="str">
        <f aca="false">IFERROR(INDEX('Route of Administration'!$D$5:$D$155,MATCH($C293,'Route of Administration'!$A$5:$A$155,0)),"")</f>
        <v>No</v>
      </c>
    </row>
    <row r="294" customFormat="false" ht="28.35" hidden="false" customHeight="false" outlineLevel="0" collapsed="false">
      <c r="B294" s="15" t="n">
        <v>292</v>
      </c>
      <c r="C294" s="15" t="s">
        <v>510</v>
      </c>
      <c r="D294" s="15" t="s">
        <v>510</v>
      </c>
      <c r="E294" s="15" t="s">
        <v>838</v>
      </c>
      <c r="F294" s="15" t="s">
        <v>1648</v>
      </c>
      <c r="G294" s="16" t="s">
        <v>2087</v>
      </c>
      <c r="H294" s="15" t="s">
        <v>1505</v>
      </c>
      <c r="I294" s="17" t="n">
        <v>343.8</v>
      </c>
      <c r="J294" s="15" t="n">
        <v>1</v>
      </c>
      <c r="K294" s="15" t="n">
        <v>47</v>
      </c>
      <c r="L294" s="18" t="n">
        <v>7904.67</v>
      </c>
      <c r="M294" s="16" t="s">
        <v>511</v>
      </c>
      <c r="N294" s="17" t="n">
        <v>343.8</v>
      </c>
      <c r="O294" s="15" t="s">
        <v>1506</v>
      </c>
      <c r="P294" s="15" t="s">
        <v>1507</v>
      </c>
      <c r="Q294" s="16" t="s">
        <v>1508</v>
      </c>
      <c r="R294" s="32" t="s">
        <v>1650</v>
      </c>
      <c r="S294" s="37" t="n">
        <f aca="false">IFERROR(INDEX('Injectable Value'!$Z$28:$Z$178,MATCH($C294,'Injectable Value'!$A$28:$A$178,0)),"")</f>
        <v>1</v>
      </c>
      <c r="T294" s="18" t="n">
        <f aca="false">IFERROR(ROUND(INDEX('Injectable Value'!$AA$28:$AA$178,MATCH($C294,'Injectable Value'!$A$28:$A$178,0)),1),"")</f>
        <v>7904.7</v>
      </c>
      <c r="U294" s="16" t="s">
        <v>878</v>
      </c>
      <c r="V294" s="15" t="n">
        <v>7</v>
      </c>
      <c r="W294" s="15" t="s">
        <v>827</v>
      </c>
      <c r="X294" s="15" t="s">
        <v>248</v>
      </c>
      <c r="Y294" s="15" t="s">
        <v>249</v>
      </c>
      <c r="Z294" s="16" t="str">
        <f aca="false">IFERROR(INDEX(Scoring!$K:$K,MATCH($C294&amp;"|"&amp;$E294,Scoring!$U:$U,0)),"")</f>
        <v/>
      </c>
      <c r="AA294" s="15" t="str">
        <f aca="false">IFERROR(INDEX(Scoring!$Q:$Q,MATCH($C294&amp;"|"&amp;$E294,Scoring!$U:$U,0)),"")</f>
        <v>Priority 2</v>
      </c>
      <c r="AB294" s="15" t="str">
        <f aca="false">IFERROR(INDEX(Scoring!$AK:$AK,MATCH($C294&amp;"|"&amp;$E294,Scoring!$U:$U,0)),"")</f>
        <v>Priority 2</v>
      </c>
      <c r="AC294" s="18" t="n">
        <f aca="false">IFERROR(INDEX(Scoring!$M:$M,MATCH($C294&amp;"|"&amp;$E294,Scoring!$U:$U,0)),"")</f>
        <v>47</v>
      </c>
      <c r="AD294" s="15" t="str">
        <f aca="false">IFERROR(INDEX('Route of Administration'!$C$5:$C$155,MATCH($C294,'Route of Administration'!$A$5:$A$155,0)),"")</f>
        <v>SC</v>
      </c>
      <c r="AE294" s="14" t="str">
        <f aca="false">IFERROR(INDEX('Route of Administration'!$D$5:$D$155,MATCH($C294,'Route of Administration'!$A$5:$A$155,0)),"")</f>
        <v>Yes</v>
      </c>
    </row>
    <row r="295" customFormat="false" ht="28.35" hidden="false" customHeight="false" outlineLevel="0" collapsed="false">
      <c r="B295" s="15" t="n">
        <v>293</v>
      </c>
      <c r="C295" s="15" t="s">
        <v>635</v>
      </c>
      <c r="D295" s="15" t="s">
        <v>635</v>
      </c>
      <c r="E295" s="15" t="s">
        <v>838</v>
      </c>
      <c r="F295" s="15" t="s">
        <v>1732</v>
      </c>
      <c r="G295" s="16" t="s">
        <v>1855</v>
      </c>
      <c r="H295" s="15" t="s">
        <v>1505</v>
      </c>
      <c r="I295" s="17" t="n">
        <v>67.02</v>
      </c>
      <c r="J295" s="15" t="n">
        <v>1</v>
      </c>
      <c r="K295" s="15" t="n">
        <v>346</v>
      </c>
      <c r="L295" s="18" t="n">
        <v>32830.17</v>
      </c>
      <c r="M295" s="16" t="s">
        <v>636</v>
      </c>
      <c r="N295" s="17" t="n">
        <v>67.02</v>
      </c>
      <c r="O295" s="15" t="s">
        <v>1506</v>
      </c>
      <c r="P295" s="15" t="s">
        <v>1507</v>
      </c>
      <c r="Q295" s="16" t="s">
        <v>1508</v>
      </c>
      <c r="R295" s="32" t="s">
        <v>2059</v>
      </c>
      <c r="S295" s="37" t="n">
        <f aca="false">IFERROR(INDEX('Injectable Value'!$Z$28:$Z$178,MATCH($C295,'Injectable Value'!$A$28:$A$178,0)),"")</f>
        <v>1</v>
      </c>
      <c r="T295" s="18" t="n">
        <f aca="false">IFERROR(ROUND(INDEX('Injectable Value'!$AA$28:$AA$178,MATCH($C295,'Injectable Value'!$A$28:$A$178,0)),1),"")</f>
        <v>32830.2</v>
      </c>
      <c r="U295" s="16" t="s">
        <v>878</v>
      </c>
      <c r="V295" s="15" t="n">
        <v>7</v>
      </c>
      <c r="W295" s="15" t="s">
        <v>827</v>
      </c>
      <c r="X295" s="15" t="s">
        <v>248</v>
      </c>
      <c r="Y295" s="15" t="s">
        <v>249</v>
      </c>
      <c r="Z295" s="16" t="str">
        <f aca="false">IFERROR(INDEX(Scoring!$K:$K,MATCH($C295&amp;"|"&amp;$E295,Scoring!$U:$U,0)),"")</f>
        <v/>
      </c>
      <c r="AA295" s="15" t="str">
        <f aca="false">IFERROR(INDEX(Scoring!$Q:$Q,MATCH($C295&amp;"|"&amp;$E295,Scoring!$U:$U,0)),"")</f>
        <v>Excluded – IV only</v>
      </c>
      <c r="AB295" s="15" t="str">
        <f aca="false">IFERROR(INDEX(Scoring!$AK:$AK,MATCH($C295&amp;"|"&amp;$E295,Scoring!$U:$U,0)),"")</f>
        <v>Excluded – IV only</v>
      </c>
      <c r="AC295" s="18" t="n">
        <f aca="false">IFERROR(INDEX(Scoring!$M:$M,MATCH($C295&amp;"|"&amp;$E295,Scoring!$U:$U,0)),"")</f>
        <v>346</v>
      </c>
      <c r="AD295" s="15" t="str">
        <f aca="false">IFERROR(INDEX('Route of Administration'!$C$5:$C$155,MATCH($C295,'Route of Administration'!$A$5:$A$155,0)),"")</f>
        <v>IV</v>
      </c>
      <c r="AE295" s="14" t="str">
        <f aca="false">IFERROR(INDEX('Route of Administration'!$D$5:$D$155,MATCH($C295,'Route of Administration'!$A$5:$A$155,0)),"")</f>
        <v>No</v>
      </c>
    </row>
    <row r="296" customFormat="false" ht="28.35" hidden="false" customHeight="false" outlineLevel="0" collapsed="false">
      <c r="B296" s="15" t="n">
        <v>294</v>
      </c>
      <c r="C296" s="15" t="s">
        <v>296</v>
      </c>
      <c r="D296" s="15" t="s">
        <v>296</v>
      </c>
      <c r="E296" s="15" t="s">
        <v>838</v>
      </c>
      <c r="F296" s="15" t="s">
        <v>1661</v>
      </c>
      <c r="G296" s="16" t="s">
        <v>1662</v>
      </c>
      <c r="H296" s="15" t="s">
        <v>1505</v>
      </c>
      <c r="I296" s="17" t="n">
        <v>360.71</v>
      </c>
      <c r="J296" s="15" t="n">
        <v>1</v>
      </c>
      <c r="K296" s="15" t="n">
        <v>762</v>
      </c>
      <c r="L296" s="18" t="n">
        <v>50865.56</v>
      </c>
      <c r="M296" s="16" t="s">
        <v>297</v>
      </c>
      <c r="N296" s="17" t="n">
        <v>360.71</v>
      </c>
      <c r="O296" s="15" t="s">
        <v>1506</v>
      </c>
      <c r="P296" s="15" t="s">
        <v>1507</v>
      </c>
      <c r="Q296" s="16" t="s">
        <v>1508</v>
      </c>
      <c r="R296" s="32" t="s">
        <v>1663</v>
      </c>
      <c r="S296" s="37" t="n">
        <f aca="false">IFERROR(INDEX('Injectable Value'!$Z$28:$Z$178,MATCH($C296,'Injectable Value'!$A$28:$A$178,0)),"")</f>
        <v>0.829278792417718</v>
      </c>
      <c r="T296" s="18" t="n">
        <f aca="false">IFERROR(ROUND(INDEX('Injectable Value'!$AA$28:$AA$178,MATCH($C296,'Injectable Value'!$A$28:$A$178,0)),1),"")</f>
        <v>42181.7</v>
      </c>
      <c r="U296" s="16" t="s">
        <v>740</v>
      </c>
      <c r="V296" s="15" t="n">
        <v>2</v>
      </c>
      <c r="W296" s="15" t="s">
        <v>740</v>
      </c>
      <c r="X296" s="15" t="s">
        <v>248</v>
      </c>
      <c r="Y296" s="15" t="s">
        <v>299</v>
      </c>
      <c r="Z296" s="16" t="str">
        <f aca="false">IFERROR(INDEX(Scoring!$K:$K,MATCH($C296&amp;"|"&amp;$E296,Scoring!$U:$U,0)),"")</f>
        <v>Cancer drug (cytotoxic) – less relevant; Reconstitution</v>
      </c>
      <c r="AA296" s="15" t="str">
        <f aca="false">IFERROR(INDEX(Scoring!$Q:$Q,MATCH($C296&amp;"|"&amp;$E296,Scoring!$U:$U,0)),"")</f>
        <v>Priority 1</v>
      </c>
      <c r="AB296" s="15" t="str">
        <f aca="false">IFERROR(INDEX(Scoring!$AK:$AK,MATCH($C296&amp;"|"&amp;$E296,Scoring!$U:$U,0)),"")</f>
        <v>Priority 1</v>
      </c>
      <c r="AC296" s="18" t="n">
        <f aca="false">IFERROR(INDEX(Scoring!$M:$M,MATCH($C296&amp;"|"&amp;$E296,Scoring!$U:$U,0)),"")</f>
        <v>632</v>
      </c>
      <c r="AD296" s="15" t="str">
        <f aca="false">IFERROR(INDEX('Route of Administration'!$C$5:$C$155,MATCH($C296,'Route of Administration'!$A$5:$A$155,0)),"")</f>
        <v>IV, SC</v>
      </c>
      <c r="AE296" s="14" t="str">
        <f aca="false">IFERROR(INDEX('Route of Administration'!$D$5:$D$155,MATCH($C296,'Route of Administration'!$A$5:$A$155,0)),"")</f>
        <v>Yes</v>
      </c>
    </row>
    <row r="297" customFormat="false" ht="28.35" hidden="false" customHeight="false" outlineLevel="0" collapsed="false">
      <c r="B297" s="15" t="n">
        <v>295</v>
      </c>
      <c r="C297" s="15" t="s">
        <v>356</v>
      </c>
      <c r="D297" s="15" t="s">
        <v>356</v>
      </c>
      <c r="E297" s="15" t="s">
        <v>838</v>
      </c>
      <c r="F297" s="15" t="s">
        <v>1807</v>
      </c>
      <c r="G297" s="16" t="s">
        <v>1689</v>
      </c>
      <c r="H297" s="15" t="s">
        <v>1505</v>
      </c>
      <c r="I297" s="17" t="n">
        <v>73.77</v>
      </c>
      <c r="J297" s="15" t="n">
        <v>1</v>
      </c>
      <c r="K297" s="15" t="n">
        <v>312</v>
      </c>
      <c r="L297" s="18" t="n">
        <v>59827.18</v>
      </c>
      <c r="M297" s="16" t="s">
        <v>357</v>
      </c>
      <c r="N297" s="17" t="n">
        <v>73.77</v>
      </c>
      <c r="O297" s="15" t="s">
        <v>1506</v>
      </c>
      <c r="P297" s="15" t="s">
        <v>1507</v>
      </c>
      <c r="Q297" s="16" t="s">
        <v>1508</v>
      </c>
      <c r="R297" s="32" t="s">
        <v>2088</v>
      </c>
      <c r="S297" s="37" t="n">
        <f aca="false">IFERROR(INDEX('Injectable Value'!$Z$28:$Z$178,MATCH($C297,'Injectable Value'!$A$28:$A$178,0)),"")</f>
        <v>1</v>
      </c>
      <c r="T297" s="18" t="n">
        <f aca="false">IFERROR(ROUND(INDEX('Injectable Value'!$AA$28:$AA$178,MATCH($C297,'Injectable Value'!$A$28:$A$178,0)),1),"")</f>
        <v>59827.2</v>
      </c>
      <c r="U297" s="16" t="s">
        <v>857</v>
      </c>
      <c r="V297" s="15" t="n">
        <v>5</v>
      </c>
      <c r="W297" s="15" t="s">
        <v>855</v>
      </c>
      <c r="X297" s="15" t="s">
        <v>248</v>
      </c>
      <c r="Y297" s="15" t="s">
        <v>299</v>
      </c>
      <c r="Z297" s="16" t="str">
        <f aca="false">IFERROR(INDEX(Scoring!$K:$K,MATCH($C297&amp;"|"&amp;$E297,Scoring!$U:$U,0)),"")</f>
        <v>Reconstitution</v>
      </c>
      <c r="AA297" s="15" t="str">
        <f aca="false">IFERROR(INDEX(Scoring!$Q:$Q,MATCH($C297&amp;"|"&amp;$E297,Scoring!$U:$U,0)),"")</f>
        <v>Excluded – IV only</v>
      </c>
      <c r="AB297" s="15" t="str">
        <f aca="false">IFERROR(INDEX(Scoring!$AK:$AK,MATCH($C297&amp;"|"&amp;$E297,Scoring!$U:$U,0)),"")</f>
        <v>Excluded – IV only</v>
      </c>
      <c r="AC297" s="18" t="n">
        <f aca="false">IFERROR(INDEX(Scoring!$M:$M,MATCH($C297&amp;"|"&amp;$E297,Scoring!$U:$U,0)),"")</f>
        <v>312</v>
      </c>
      <c r="AD297" s="15" t="str">
        <f aca="false">IFERROR(INDEX('Route of Administration'!$C$5:$C$155,MATCH($C297,'Route of Administration'!$A$5:$A$155,0)),"")</f>
        <v>IV</v>
      </c>
      <c r="AE297" s="14" t="str">
        <f aca="false">IFERROR(INDEX('Route of Administration'!$D$5:$D$155,MATCH($C297,'Route of Administration'!$A$5:$A$155,0)),"")</f>
        <v>No</v>
      </c>
    </row>
    <row r="298" customFormat="false" ht="28.35" hidden="false" customHeight="false" outlineLevel="0" collapsed="false">
      <c r="B298" s="15" t="n">
        <v>296</v>
      </c>
      <c r="C298" s="15" t="s">
        <v>510</v>
      </c>
      <c r="D298" s="15" t="s">
        <v>510</v>
      </c>
      <c r="E298" s="15" t="s">
        <v>838</v>
      </c>
      <c r="F298" s="15" t="s">
        <v>1658</v>
      </c>
      <c r="G298" s="16" t="s">
        <v>1659</v>
      </c>
      <c r="H298" s="15" t="s">
        <v>1505</v>
      </c>
      <c r="I298" s="17" t="n">
        <v>6345.6</v>
      </c>
      <c r="J298" s="15" t="n">
        <v>1</v>
      </c>
      <c r="K298" s="15" t="n">
        <v>47</v>
      </c>
      <c r="L298" s="18" t="n">
        <v>7904.67</v>
      </c>
      <c r="M298" s="16" t="s">
        <v>511</v>
      </c>
      <c r="N298" s="17" t="n">
        <v>6345.6</v>
      </c>
      <c r="O298" s="15" t="s">
        <v>1506</v>
      </c>
      <c r="P298" s="15" t="s">
        <v>1507</v>
      </c>
      <c r="Q298" s="16" t="s">
        <v>1508</v>
      </c>
      <c r="R298" s="32" t="s">
        <v>1660</v>
      </c>
      <c r="S298" s="37" t="n">
        <f aca="false">IFERROR(INDEX('Injectable Value'!$Z$28:$Z$178,MATCH($C298,'Injectable Value'!$A$28:$A$178,0)),"")</f>
        <v>1</v>
      </c>
      <c r="T298" s="18" t="n">
        <f aca="false">IFERROR(ROUND(INDEX('Injectable Value'!$AA$28:$AA$178,MATCH($C298,'Injectable Value'!$A$28:$A$178,0)),1),"")</f>
        <v>7904.7</v>
      </c>
      <c r="U298" s="16" t="s">
        <v>878</v>
      </c>
      <c r="V298" s="15" t="n">
        <v>7</v>
      </c>
      <c r="W298" s="15" t="s">
        <v>827</v>
      </c>
      <c r="X298" s="15" t="s">
        <v>248</v>
      </c>
      <c r="Y298" s="15" t="s">
        <v>249</v>
      </c>
      <c r="Z298" s="16" t="str">
        <f aca="false">IFERROR(INDEX(Scoring!$K:$K,MATCH($C298&amp;"|"&amp;$E298,Scoring!$U:$U,0)),"")</f>
        <v/>
      </c>
      <c r="AA298" s="15" t="str">
        <f aca="false">IFERROR(INDEX(Scoring!$Q:$Q,MATCH($C298&amp;"|"&amp;$E298,Scoring!$U:$U,0)),"")</f>
        <v>Priority 2</v>
      </c>
      <c r="AB298" s="15" t="str">
        <f aca="false">IFERROR(INDEX(Scoring!$AK:$AK,MATCH($C298&amp;"|"&amp;$E298,Scoring!$U:$U,0)),"")</f>
        <v>Priority 2</v>
      </c>
      <c r="AC298" s="18" t="n">
        <f aca="false">IFERROR(INDEX(Scoring!$M:$M,MATCH($C298&amp;"|"&amp;$E298,Scoring!$U:$U,0)),"")</f>
        <v>47</v>
      </c>
      <c r="AD298" s="15" t="str">
        <f aca="false">IFERROR(INDEX('Route of Administration'!$C$5:$C$155,MATCH($C298,'Route of Administration'!$A$5:$A$155,0)),"")</f>
        <v>SC</v>
      </c>
      <c r="AE298" s="14" t="str">
        <f aca="false">IFERROR(INDEX('Route of Administration'!$D$5:$D$155,MATCH($C298,'Route of Administration'!$A$5:$A$155,0)),"")</f>
        <v>Yes</v>
      </c>
    </row>
    <row r="299" customFormat="false" ht="15" hidden="false" customHeight="false" outlineLevel="0" collapsed="false">
      <c r="B299" s="15" t="n">
        <v>297</v>
      </c>
      <c r="C299" s="15" t="s">
        <v>844</v>
      </c>
      <c r="D299" s="15" t="s">
        <v>844</v>
      </c>
      <c r="E299" s="15" t="s">
        <v>838</v>
      </c>
      <c r="F299" s="15" t="s">
        <v>2039</v>
      </c>
      <c r="G299" s="16" t="s">
        <v>2089</v>
      </c>
      <c r="H299" s="15" t="s">
        <v>1505</v>
      </c>
      <c r="I299" s="17" t="n">
        <v>29.45</v>
      </c>
      <c r="J299" s="15" t="n">
        <v>1</v>
      </c>
      <c r="K299" s="15" t="n">
        <v>45</v>
      </c>
      <c r="L299" s="18" t="n">
        <v>263.65</v>
      </c>
      <c r="M299" s="16" t="s">
        <v>845</v>
      </c>
      <c r="N299" s="17" t="n">
        <v>29.45</v>
      </c>
      <c r="O299" s="15" t="s">
        <v>1506</v>
      </c>
      <c r="P299" s="15" t="s">
        <v>1507</v>
      </c>
      <c r="Q299" s="16" t="s">
        <v>1508</v>
      </c>
      <c r="R299" s="32" t="s">
        <v>2090</v>
      </c>
      <c r="S299" s="37" t="n">
        <f aca="false">IFERROR(INDEX('Injectable Value'!$Z$28:$Z$178,MATCH($C299,'Injectable Value'!$A$28:$A$178,0)),"")</f>
        <v>0.0828659263441872</v>
      </c>
      <c r="T299" s="18" t="n">
        <f aca="false">IFERROR(ROUND(INDEX('Injectable Value'!$AA$28:$AA$178,MATCH($C299,'Injectable Value'!$A$28:$A$178,0)),1),"")</f>
        <v>21.8</v>
      </c>
      <c r="U299" s="16" t="s">
        <v>849</v>
      </c>
      <c r="V299" s="15" t="n">
        <v>5</v>
      </c>
      <c r="W299" s="15" t="s">
        <v>833</v>
      </c>
      <c r="X299" s="15" t="s">
        <v>248</v>
      </c>
      <c r="Y299" s="15" t="s">
        <v>249</v>
      </c>
      <c r="Z299" s="16" t="str">
        <f aca="false">IFERROR(INDEX(Scoring!$K:$K,MATCH($C299&amp;"|"&amp;$E299,Scoring!$U:$U,0)),"")</f>
        <v/>
      </c>
      <c r="AA299" s="15" t="str">
        <f aca="false">IFERROR(INDEX(Scoring!$Q:$Q,MATCH($C299&amp;"|"&amp;$E299,Scoring!$U:$U,0)),"")</f>
        <v>Excluded – IV only</v>
      </c>
      <c r="AB299" s="15" t="str">
        <f aca="false">IFERROR(INDEX(Scoring!$AK:$AK,MATCH($C299&amp;"|"&amp;$E299,Scoring!$U:$U,0)),"")</f>
        <v>Excluded – IV only</v>
      </c>
      <c r="AC299" s="18" t="n">
        <f aca="false">IFERROR(INDEX(Scoring!$M:$M,MATCH($C299&amp;"|"&amp;$E299,Scoring!$U:$U,0)),"")</f>
        <v>4</v>
      </c>
      <c r="AD299" s="15" t="str">
        <f aca="false">IFERROR(INDEX('Route of Administration'!$C$5:$C$155,MATCH($C299,'Route of Administration'!$A$5:$A$155,0)),"")</f>
        <v>IV</v>
      </c>
      <c r="AE299" s="14" t="str">
        <f aca="false">IFERROR(INDEX('Route of Administration'!$D$5:$D$155,MATCH($C299,'Route of Administration'!$A$5:$A$155,0)),"")</f>
        <v>No</v>
      </c>
    </row>
    <row r="300" customFormat="false" ht="28.35" hidden="false" customHeight="false" outlineLevel="0" collapsed="false">
      <c r="B300" s="15" t="n">
        <v>298</v>
      </c>
      <c r="C300" s="15" t="s">
        <v>305</v>
      </c>
      <c r="D300" s="15" t="s">
        <v>305</v>
      </c>
      <c r="E300" s="15" t="s">
        <v>838</v>
      </c>
      <c r="F300" s="15" t="s">
        <v>2091</v>
      </c>
      <c r="G300" s="16" t="s">
        <v>2092</v>
      </c>
      <c r="H300" s="15" t="s">
        <v>1505</v>
      </c>
      <c r="I300" s="17" t="n">
        <v>187.18</v>
      </c>
      <c r="J300" s="15" t="n">
        <v>1</v>
      </c>
      <c r="K300" s="15" t="n">
        <v>905</v>
      </c>
      <c r="L300" s="18" t="n">
        <v>28093.38</v>
      </c>
      <c r="M300" s="16" t="s">
        <v>306</v>
      </c>
      <c r="N300" s="17" t="n">
        <v>187.18</v>
      </c>
      <c r="O300" s="15" t="s">
        <v>1506</v>
      </c>
      <c r="P300" s="15" t="s">
        <v>1507</v>
      </c>
      <c r="Q300" s="16" t="s">
        <v>1508</v>
      </c>
      <c r="R300" s="32" t="s">
        <v>2093</v>
      </c>
      <c r="S300" s="37" t="n">
        <f aca="false">IFERROR(INDEX('Injectable Value'!$Z$28:$Z$178,MATCH($C300,'Injectable Value'!$A$28:$A$178,0)),"")</f>
        <v>1</v>
      </c>
      <c r="T300" s="18" t="n">
        <f aca="false">IFERROR(ROUND(INDEX('Injectable Value'!$AA$28:$AA$178,MATCH($C300,'Injectable Value'!$A$28:$A$178,0)),1),"")</f>
        <v>28093.4</v>
      </c>
      <c r="U300" s="16" t="s">
        <v>843</v>
      </c>
      <c r="V300" s="15" t="n">
        <v>8</v>
      </c>
      <c r="W300" s="15" t="s">
        <v>827</v>
      </c>
      <c r="X300" s="15" t="s">
        <v>248</v>
      </c>
      <c r="Y300" s="15" t="s">
        <v>249</v>
      </c>
      <c r="Z300" s="16" t="str">
        <f aca="false">IFERROR(INDEX(Scoring!$K:$K,MATCH($C300&amp;"|"&amp;$E300,Scoring!$U:$U,0)),"")</f>
        <v>Cancer drug (cytotoxic) – less relevant; Reconstitution</v>
      </c>
      <c r="AA300" s="15" t="str">
        <f aca="false">IFERROR(INDEX(Scoring!$Q:$Q,MATCH($C300&amp;"|"&amp;$E300,Scoring!$U:$U,0)),"")</f>
        <v>Priority 1</v>
      </c>
      <c r="AB300" s="15" t="str">
        <f aca="false">IFERROR(INDEX(Scoring!$AK:$AK,MATCH($C300&amp;"|"&amp;$E300,Scoring!$U:$U,0)),"")</f>
        <v>Priority 1</v>
      </c>
      <c r="AC300" s="18" t="n">
        <f aca="false">IFERROR(INDEX(Scoring!$M:$M,MATCH($C300&amp;"|"&amp;$E300,Scoring!$U:$U,0)),"")</f>
        <v>905</v>
      </c>
      <c r="AD300" s="15" t="str">
        <f aca="false">IFERROR(INDEX('Route of Administration'!$C$5:$C$155,MATCH($C300,'Route of Administration'!$A$5:$A$155,0)),"")</f>
        <v>IV, SC</v>
      </c>
      <c r="AE300" s="14" t="str">
        <f aca="false">IFERROR(INDEX('Route of Administration'!$D$5:$D$155,MATCH($C300,'Route of Administration'!$A$5:$A$155,0)),"")</f>
        <v>Yes</v>
      </c>
    </row>
    <row r="301" customFormat="false" ht="28.35" hidden="false" customHeight="false" outlineLevel="0" collapsed="false">
      <c r="B301" s="15" t="n">
        <v>299</v>
      </c>
      <c r="C301" s="15" t="s">
        <v>641</v>
      </c>
      <c r="D301" s="15" t="s">
        <v>641</v>
      </c>
      <c r="E301" s="15" t="s">
        <v>838</v>
      </c>
      <c r="F301" s="15" t="s">
        <v>2094</v>
      </c>
      <c r="G301" s="16" t="s">
        <v>2095</v>
      </c>
      <c r="H301" s="15" t="s">
        <v>1505</v>
      </c>
      <c r="I301" s="17" t="n">
        <v>10.85</v>
      </c>
      <c r="J301" s="15" t="n">
        <v>1</v>
      </c>
      <c r="K301" s="15" t="n">
        <v>106</v>
      </c>
      <c r="L301" s="18" t="n">
        <v>7074.72</v>
      </c>
      <c r="M301" s="16" t="s">
        <v>642</v>
      </c>
      <c r="N301" s="17" t="n">
        <v>10.85</v>
      </c>
      <c r="O301" s="15" t="s">
        <v>1506</v>
      </c>
      <c r="P301" s="15" t="s">
        <v>1507</v>
      </c>
      <c r="Q301" s="16" t="s">
        <v>1508</v>
      </c>
      <c r="R301" s="32" t="s">
        <v>1657</v>
      </c>
      <c r="S301" s="37" t="n">
        <f aca="false">IFERROR(INDEX('Injectable Value'!$Z$28:$Z$178,MATCH($C301,'Injectable Value'!$A$28:$A$178,0)),"")</f>
        <v>0.9375</v>
      </c>
      <c r="T301" s="18" t="n">
        <f aca="false">IFERROR(ROUND(INDEX('Injectable Value'!$AA$28:$AA$178,MATCH($C301,'Injectable Value'!$A$28:$A$178,0)),1),"")</f>
        <v>6632.6</v>
      </c>
      <c r="U301" s="16" t="s">
        <v>740</v>
      </c>
      <c r="V301" s="15" t="n">
        <v>2</v>
      </c>
      <c r="W301" s="15" t="s">
        <v>740</v>
      </c>
      <c r="X301" s="15" t="s">
        <v>248</v>
      </c>
      <c r="Y301" s="15" t="s">
        <v>299</v>
      </c>
      <c r="Z301" s="16" t="str">
        <f aca="false">IFERROR(INDEX(Scoring!$K:$K,MATCH($C301&amp;"|"&amp;$E301,Scoring!$U:$U,0)),"")</f>
        <v>Reconstitution</v>
      </c>
      <c r="AA301" s="15" t="str">
        <f aca="false">IFERROR(INDEX(Scoring!$Q:$Q,MATCH($C301&amp;"|"&amp;$E301,Scoring!$U:$U,0)),"")</f>
        <v>Priority 2</v>
      </c>
      <c r="AB301" s="15" t="str">
        <f aca="false">IFERROR(INDEX(Scoring!$AK:$AK,MATCH($C301&amp;"|"&amp;$E301,Scoring!$U:$U,0)),"")</f>
        <v>Priority 2</v>
      </c>
      <c r="AC301" s="18" t="n">
        <f aca="false">IFERROR(INDEX(Scoring!$M:$M,MATCH($C301&amp;"|"&amp;$E301,Scoring!$U:$U,0)),"")</f>
        <v>99</v>
      </c>
      <c r="AD301" s="15" t="str">
        <f aca="false">IFERROR(INDEX('Route of Administration'!$C$5:$C$155,MATCH($C301,'Route of Administration'!$A$5:$A$155,0)),"")</f>
        <v>IV, IM</v>
      </c>
      <c r="AE301" s="14" t="str">
        <f aca="false">IFERROR(INDEX('Route of Administration'!$D$5:$D$155,MATCH($C301,'Route of Administration'!$A$5:$A$155,0)),"")</f>
        <v>Yes</v>
      </c>
    </row>
    <row r="302" customFormat="false" ht="28.35" hidden="false" customHeight="false" outlineLevel="0" collapsed="false">
      <c r="B302" s="15" t="n">
        <v>300</v>
      </c>
      <c r="C302" s="15" t="s">
        <v>503</v>
      </c>
      <c r="D302" s="15" t="s">
        <v>503</v>
      </c>
      <c r="E302" s="15" t="s">
        <v>838</v>
      </c>
      <c r="F302" s="15" t="s">
        <v>1664</v>
      </c>
      <c r="G302" s="16" t="s">
        <v>1665</v>
      </c>
      <c r="H302" s="15" t="s">
        <v>1505</v>
      </c>
      <c r="I302" s="17" t="n">
        <v>6.61</v>
      </c>
      <c r="J302" s="15" t="n">
        <v>1</v>
      </c>
      <c r="K302" s="15" t="n">
        <v>3515</v>
      </c>
      <c r="L302" s="18" t="n">
        <v>140084.73</v>
      </c>
      <c r="M302" s="16" t="s">
        <v>504</v>
      </c>
      <c r="N302" s="17" t="n">
        <v>6.61</v>
      </c>
      <c r="O302" s="15" t="s">
        <v>1506</v>
      </c>
      <c r="P302" s="15" t="s">
        <v>1507</v>
      </c>
      <c r="Q302" s="16" t="s">
        <v>1508</v>
      </c>
      <c r="R302" s="32" t="s">
        <v>1666</v>
      </c>
      <c r="S302" s="37" t="n">
        <f aca="false">IFERROR(INDEX('Injectable Value'!$Z$28:$Z$178,MATCH($C302,'Injectable Value'!$A$28:$A$178,0)),"")</f>
        <v>0.251824206147514</v>
      </c>
      <c r="T302" s="18" t="n">
        <f aca="false">IFERROR(ROUND(INDEX('Injectable Value'!$AA$28:$AA$178,MATCH($C302,'Injectable Value'!$A$28:$A$178,0)),1),"")</f>
        <v>35276.7</v>
      </c>
      <c r="U302" s="16" t="s">
        <v>857</v>
      </c>
      <c r="V302" s="15" t="n">
        <v>5</v>
      </c>
      <c r="W302" s="15" t="s">
        <v>855</v>
      </c>
      <c r="X302" s="15" t="s">
        <v>248</v>
      </c>
      <c r="Y302" s="15" t="s">
        <v>277</v>
      </c>
      <c r="Z302" s="16" t="str">
        <f aca="false">IFERROR(INDEX(Scoring!$K:$K,MATCH($C302&amp;"|"&amp;$E302,Scoring!$U:$U,0)),"")</f>
        <v>Reconstitution</v>
      </c>
      <c r="AA302" s="15" t="str">
        <f aca="false">IFERROR(INDEX(Scoring!$Q:$Q,MATCH($C302&amp;"|"&amp;$E302,Scoring!$U:$U,0)),"")</f>
        <v>Excluded – IV only</v>
      </c>
      <c r="AB302" s="15" t="str">
        <f aca="false">IFERROR(INDEX(Scoring!$AK:$AK,MATCH($C302&amp;"|"&amp;$E302,Scoring!$U:$U,0)),"")</f>
        <v>Excluded – IV only</v>
      </c>
      <c r="AC302" s="18" t="n">
        <f aca="false">IFERROR(INDEX(Scoring!$M:$M,MATCH($C302&amp;"|"&amp;$E302,Scoring!$U:$U,0)),"")</f>
        <v>885</v>
      </c>
      <c r="AD302" s="15" t="str">
        <f aca="false">IFERROR(INDEX('Route of Administration'!$C$5:$C$155,MATCH($C302,'Route of Administration'!$A$5:$A$155,0)),"")</f>
        <v>IV</v>
      </c>
      <c r="AE302" s="14" t="str">
        <f aca="false">IFERROR(INDEX('Route of Administration'!$D$5:$D$155,MATCH($C302,'Route of Administration'!$A$5:$A$155,0)),"")</f>
        <v>No</v>
      </c>
    </row>
    <row r="303" customFormat="false" ht="28.35" hidden="false" customHeight="false" outlineLevel="0" collapsed="false">
      <c r="B303" s="15" t="n">
        <v>301</v>
      </c>
      <c r="C303" s="15" t="s">
        <v>444</v>
      </c>
      <c r="D303" s="15" t="s">
        <v>444</v>
      </c>
      <c r="E303" s="15" t="s">
        <v>838</v>
      </c>
      <c r="F303" s="15" t="s">
        <v>1993</v>
      </c>
      <c r="G303" s="16" t="s">
        <v>1994</v>
      </c>
      <c r="H303" s="15" t="s">
        <v>1505</v>
      </c>
      <c r="I303" s="17" t="n">
        <v>35.22</v>
      </c>
      <c r="J303" s="15" t="n">
        <v>1</v>
      </c>
      <c r="K303" s="15" t="n">
        <v>257</v>
      </c>
      <c r="L303" s="18" t="n">
        <v>4183.29</v>
      </c>
      <c r="M303" s="16" t="s">
        <v>445</v>
      </c>
      <c r="N303" s="17" t="n">
        <v>35.22</v>
      </c>
      <c r="O303" s="15" t="s">
        <v>1506</v>
      </c>
      <c r="P303" s="15" t="s">
        <v>1507</v>
      </c>
      <c r="Q303" s="16" t="s">
        <v>1508</v>
      </c>
      <c r="R303" s="32" t="s">
        <v>2096</v>
      </c>
      <c r="S303" s="37" t="n">
        <f aca="false">IFERROR(INDEX('Injectable Value'!$Z$28:$Z$178,MATCH($C303,'Injectable Value'!$A$28:$A$178,0)),"")</f>
        <v>0.689888576486515</v>
      </c>
      <c r="T303" s="18" t="n">
        <f aca="false">IFERROR(ROUND(INDEX('Injectable Value'!$AA$28:$AA$178,MATCH($C303,'Injectable Value'!$A$28:$A$178,0)),1),"")</f>
        <v>2886</v>
      </c>
      <c r="U303" s="16" t="s">
        <v>857</v>
      </c>
      <c r="V303" s="15" t="n">
        <v>5</v>
      </c>
      <c r="W303" s="15" t="s">
        <v>855</v>
      </c>
      <c r="X303" s="15" t="s">
        <v>248</v>
      </c>
      <c r="Y303" s="15" t="s">
        <v>249</v>
      </c>
      <c r="Z303" s="16" t="str">
        <f aca="false">IFERROR(INDEX(Scoring!$K:$K,MATCH($C303&amp;"|"&amp;$E303,Scoring!$U:$U,0)),"")</f>
        <v>Cancer drug (cytotoxic) – less relevant; Reconstitution</v>
      </c>
      <c r="AA303" s="15" t="str">
        <f aca="false">IFERROR(INDEX(Scoring!$Q:$Q,MATCH($C303&amp;"|"&amp;$E303,Scoring!$U:$U,0)),"")</f>
        <v>Excluded – IV only</v>
      </c>
      <c r="AB303" s="15" t="str">
        <f aca="false">IFERROR(INDEX(Scoring!$AK:$AK,MATCH($C303&amp;"|"&amp;$E303,Scoring!$U:$U,0)),"")</f>
        <v>Excluded – IV only</v>
      </c>
      <c r="AC303" s="18" t="n">
        <f aca="false">IFERROR(INDEX(Scoring!$M:$M,MATCH($C303&amp;"|"&amp;$E303,Scoring!$U:$U,0)),"")</f>
        <v>177</v>
      </c>
      <c r="AD303" s="15" t="str">
        <f aca="false">IFERROR(INDEX('Route of Administration'!$C$5:$C$155,MATCH($C303,'Route of Administration'!$A$5:$A$155,0)),"")</f>
        <v>IV</v>
      </c>
      <c r="AE303" s="14" t="str">
        <f aca="false">IFERROR(INDEX('Route of Administration'!$D$5:$D$155,MATCH($C303,'Route of Administration'!$A$5:$A$155,0)),"")</f>
        <v>No</v>
      </c>
    </row>
    <row r="304" customFormat="false" ht="28.35" hidden="false" customHeight="false" outlineLevel="0" collapsed="false">
      <c r="B304" s="15" t="n">
        <v>302</v>
      </c>
      <c r="C304" s="15" t="s">
        <v>296</v>
      </c>
      <c r="D304" s="15" t="s">
        <v>2097</v>
      </c>
      <c r="E304" s="15" t="s">
        <v>838</v>
      </c>
      <c r="F304" s="15"/>
      <c r="G304" s="16"/>
      <c r="H304" s="15"/>
      <c r="I304" s="17"/>
      <c r="J304" s="15" t="n">
        <v>30</v>
      </c>
      <c r="K304" s="15" t="n">
        <v>762</v>
      </c>
      <c r="L304" s="18" t="n">
        <v>50865.56</v>
      </c>
      <c r="M304" s="16" t="s">
        <v>297</v>
      </c>
      <c r="N304" s="17"/>
      <c r="O304" s="15" t="s">
        <v>1545</v>
      </c>
      <c r="P304" s="15" t="s">
        <v>70</v>
      </c>
      <c r="Q304" s="16" t="s">
        <v>70</v>
      </c>
      <c r="R304" s="15"/>
      <c r="S304" s="37" t="n">
        <f aca="false">IFERROR(INDEX('Injectable Value'!$Z$28:$Z$178,MATCH($C304,'Injectable Value'!$A$28:$A$178,0)),"")</f>
        <v>0.829278792417718</v>
      </c>
      <c r="T304" s="18" t="n">
        <f aca="false">IFERROR(ROUND(INDEX('Injectable Value'!$AA$28:$AA$178,MATCH($C304,'Injectable Value'!$A$28:$A$178,0)),1),"")</f>
        <v>42181.7</v>
      </c>
      <c r="U304" s="16" t="s">
        <v>740</v>
      </c>
      <c r="V304" s="15" t="n">
        <v>2</v>
      </c>
      <c r="W304" s="15" t="s">
        <v>740</v>
      </c>
      <c r="X304" s="15" t="s">
        <v>277</v>
      </c>
      <c r="Y304" s="15" t="s">
        <v>277</v>
      </c>
      <c r="Z304" s="16" t="str">
        <f aca="false">IFERROR(INDEX(Scoring!$K:$K,MATCH($C304&amp;"|"&amp;$E304,Scoring!$U:$U,0)),"")</f>
        <v>Cancer drug (cytotoxic) – less relevant; Reconstitution</v>
      </c>
      <c r="AA304" s="15" t="str">
        <f aca="false">IFERROR(INDEX(Scoring!$Q:$Q,MATCH($C304&amp;"|"&amp;$E304,Scoring!$U:$U,0)),"")</f>
        <v>Priority 1</v>
      </c>
      <c r="AB304" s="15" t="str">
        <f aca="false">IFERROR(INDEX(Scoring!$AK:$AK,MATCH($C304&amp;"|"&amp;$E304,Scoring!$U:$U,0)),"")</f>
        <v>Priority 1</v>
      </c>
      <c r="AC304" s="18" t="n">
        <f aca="false">IFERROR(INDEX(Scoring!$M:$M,MATCH($C304&amp;"|"&amp;$E304,Scoring!$U:$U,0)),"")</f>
        <v>632</v>
      </c>
      <c r="AD304" s="15" t="str">
        <f aca="false">IFERROR(INDEX('Route of Administration'!$C$5:$C$155,MATCH($C304,'Route of Administration'!$A$5:$A$155,0)),"")</f>
        <v>IV, SC</v>
      </c>
      <c r="AE304" s="14" t="str">
        <f aca="false">IFERROR(INDEX('Route of Administration'!$D$5:$D$155,MATCH($C304,'Route of Administration'!$A$5:$A$155,0)),"")</f>
        <v>Yes</v>
      </c>
    </row>
    <row r="305" customFormat="false" ht="28.35" hidden="false" customHeight="false" outlineLevel="0" collapsed="false">
      <c r="B305" s="15" t="n">
        <v>303</v>
      </c>
      <c r="C305" s="15" t="s">
        <v>305</v>
      </c>
      <c r="D305" s="15" t="s">
        <v>2098</v>
      </c>
      <c r="E305" s="15" t="s">
        <v>838</v>
      </c>
      <c r="F305" s="15" t="s">
        <v>2099</v>
      </c>
      <c r="G305" s="16" t="s">
        <v>2100</v>
      </c>
      <c r="H305" s="15" t="s">
        <v>1505</v>
      </c>
      <c r="I305" s="17" t="n">
        <v>1444.1174</v>
      </c>
      <c r="J305" s="15" t="n">
        <v>29</v>
      </c>
      <c r="K305" s="15" t="n">
        <v>905</v>
      </c>
      <c r="L305" s="18" t="n">
        <v>28093.38</v>
      </c>
      <c r="M305" s="16" t="s">
        <v>306</v>
      </c>
      <c r="N305" s="17" t="n">
        <v>1444.1174</v>
      </c>
      <c r="O305" s="15" t="s">
        <v>1506</v>
      </c>
      <c r="P305" s="15" t="s">
        <v>1533</v>
      </c>
      <c r="Q305" s="16" t="s">
        <v>1508</v>
      </c>
      <c r="R305" s="32" t="s">
        <v>1673</v>
      </c>
      <c r="S305" s="37" t="n">
        <f aca="false">IFERROR(INDEX('Injectable Value'!$Z$28:$Z$178,MATCH($C305,'Injectable Value'!$A$28:$A$178,0)),"")</f>
        <v>1</v>
      </c>
      <c r="T305" s="18" t="n">
        <f aca="false">IFERROR(ROUND(INDEX('Injectable Value'!$AA$28:$AA$178,MATCH($C305,'Injectable Value'!$A$28:$A$178,0)),1),"")</f>
        <v>28093.4</v>
      </c>
      <c r="U305" s="16" t="s">
        <v>843</v>
      </c>
      <c r="V305" s="15" t="n">
        <v>8</v>
      </c>
      <c r="W305" s="15" t="s">
        <v>827</v>
      </c>
      <c r="X305" s="15" t="s">
        <v>248</v>
      </c>
      <c r="Y305" s="15" t="s">
        <v>249</v>
      </c>
      <c r="Z305" s="16" t="str">
        <f aca="false">IFERROR(INDEX(Scoring!$K:$K,MATCH($C305&amp;"|"&amp;$E305,Scoring!$U:$U,0)),"")</f>
        <v>Cancer drug (cytotoxic) – less relevant; Reconstitution</v>
      </c>
      <c r="AA305" s="15" t="str">
        <f aca="false">IFERROR(INDEX(Scoring!$Q:$Q,MATCH($C305&amp;"|"&amp;$E305,Scoring!$U:$U,0)),"")</f>
        <v>Priority 1</v>
      </c>
      <c r="AB305" s="15" t="str">
        <f aca="false">IFERROR(INDEX(Scoring!$AK:$AK,MATCH($C305&amp;"|"&amp;$E305,Scoring!$U:$U,0)),"")</f>
        <v>Priority 1</v>
      </c>
      <c r="AC305" s="18" t="n">
        <f aca="false">IFERROR(INDEX(Scoring!$M:$M,MATCH($C305&amp;"|"&amp;$E305,Scoring!$U:$U,0)),"")</f>
        <v>905</v>
      </c>
      <c r="AD305" s="15" t="str">
        <f aca="false">IFERROR(INDEX('Route of Administration'!$C$5:$C$155,MATCH($C305,'Route of Administration'!$A$5:$A$155,0)),"")</f>
        <v>IV, SC</v>
      </c>
      <c r="AE305" s="14" t="str">
        <f aca="false">IFERROR(INDEX('Route of Administration'!$D$5:$D$155,MATCH($C305,'Route of Administration'!$A$5:$A$155,0)),"")</f>
        <v>Yes</v>
      </c>
    </row>
    <row r="306" customFormat="false" ht="15" hidden="false" customHeight="false" outlineLevel="0" collapsed="false">
      <c r="B306" s="15" t="n">
        <v>304</v>
      </c>
      <c r="C306" s="15" t="s">
        <v>844</v>
      </c>
      <c r="D306" s="15" t="s">
        <v>2101</v>
      </c>
      <c r="E306" s="15" t="s">
        <v>838</v>
      </c>
      <c r="F306" s="15" t="s">
        <v>1694</v>
      </c>
      <c r="G306" s="16" t="s">
        <v>2089</v>
      </c>
      <c r="H306" s="15" t="s">
        <v>1505</v>
      </c>
      <c r="I306" s="17" t="n">
        <v>48.3866</v>
      </c>
      <c r="J306" s="15" t="n">
        <v>26</v>
      </c>
      <c r="K306" s="15" t="n">
        <v>45</v>
      </c>
      <c r="L306" s="18" t="n">
        <v>263.65</v>
      </c>
      <c r="M306" s="16" t="s">
        <v>845</v>
      </c>
      <c r="N306" s="17" t="n">
        <v>48.3866</v>
      </c>
      <c r="O306" s="15" t="s">
        <v>1506</v>
      </c>
      <c r="P306" s="15" t="s">
        <v>1533</v>
      </c>
      <c r="Q306" s="16" t="s">
        <v>1508</v>
      </c>
      <c r="R306" s="32" t="s">
        <v>2102</v>
      </c>
      <c r="S306" s="37" t="n">
        <f aca="false">IFERROR(INDEX('Injectable Value'!$Z$28:$Z$178,MATCH($C306,'Injectable Value'!$A$28:$A$178,0)),"")</f>
        <v>0.0828659263441872</v>
      </c>
      <c r="T306" s="18" t="n">
        <f aca="false">IFERROR(ROUND(INDEX('Injectable Value'!$AA$28:$AA$178,MATCH($C306,'Injectable Value'!$A$28:$A$178,0)),1),"")</f>
        <v>21.8</v>
      </c>
      <c r="U306" s="16" t="s">
        <v>849</v>
      </c>
      <c r="V306" s="15" t="n">
        <v>5</v>
      </c>
      <c r="W306" s="15" t="s">
        <v>833</v>
      </c>
      <c r="X306" s="15" t="s">
        <v>248</v>
      </c>
      <c r="Y306" s="15" t="s">
        <v>249</v>
      </c>
      <c r="Z306" s="16" t="str">
        <f aca="false">IFERROR(INDEX(Scoring!$K:$K,MATCH($C306&amp;"|"&amp;$E306,Scoring!$U:$U,0)),"")</f>
        <v/>
      </c>
      <c r="AA306" s="15" t="str">
        <f aca="false">IFERROR(INDEX(Scoring!$Q:$Q,MATCH($C306&amp;"|"&amp;$E306,Scoring!$U:$U,0)),"")</f>
        <v>Excluded – IV only</v>
      </c>
      <c r="AB306" s="15" t="str">
        <f aca="false">IFERROR(INDEX(Scoring!$AK:$AK,MATCH($C306&amp;"|"&amp;$E306,Scoring!$U:$U,0)),"")</f>
        <v>Excluded – IV only</v>
      </c>
      <c r="AC306" s="18" t="n">
        <f aca="false">IFERROR(INDEX(Scoring!$M:$M,MATCH($C306&amp;"|"&amp;$E306,Scoring!$U:$U,0)),"")</f>
        <v>4</v>
      </c>
      <c r="AD306" s="15" t="str">
        <f aca="false">IFERROR(INDEX('Route of Administration'!$C$5:$C$155,MATCH($C306,'Route of Administration'!$A$5:$A$155,0)),"")</f>
        <v>IV</v>
      </c>
      <c r="AE306" s="14" t="str">
        <f aca="false">IFERROR(INDEX('Route of Administration'!$D$5:$D$155,MATCH($C306,'Route of Administration'!$A$5:$A$155,0)),"")</f>
        <v>No</v>
      </c>
    </row>
    <row r="307" customFormat="false" ht="28.35" hidden="false" customHeight="false" outlineLevel="0" collapsed="false">
      <c r="B307" s="15" t="n">
        <v>305</v>
      </c>
      <c r="C307" s="15" t="s">
        <v>356</v>
      </c>
      <c r="D307" s="15" t="s">
        <v>2103</v>
      </c>
      <c r="E307" s="15" t="s">
        <v>838</v>
      </c>
      <c r="F307" s="15" t="s">
        <v>1688</v>
      </c>
      <c r="G307" s="16" t="s">
        <v>1689</v>
      </c>
      <c r="H307" s="15" t="s">
        <v>1505</v>
      </c>
      <c r="I307" s="17" t="n">
        <v>93.7335</v>
      </c>
      <c r="J307" s="15" t="n">
        <v>28</v>
      </c>
      <c r="K307" s="15" t="n">
        <v>312</v>
      </c>
      <c r="L307" s="18" t="n">
        <v>59827.18</v>
      </c>
      <c r="M307" s="16" t="s">
        <v>357</v>
      </c>
      <c r="N307" s="17" t="n">
        <v>93.7335</v>
      </c>
      <c r="O307" s="15" t="s">
        <v>1506</v>
      </c>
      <c r="P307" s="15" t="s">
        <v>1533</v>
      </c>
      <c r="Q307" s="16" t="s">
        <v>1508</v>
      </c>
      <c r="R307" s="32" t="s">
        <v>1673</v>
      </c>
      <c r="S307" s="37" t="n">
        <f aca="false">IFERROR(INDEX('Injectable Value'!$Z$28:$Z$178,MATCH($C307,'Injectable Value'!$A$28:$A$178,0)),"")</f>
        <v>1</v>
      </c>
      <c r="T307" s="18" t="n">
        <f aca="false">IFERROR(ROUND(INDEX('Injectable Value'!$AA$28:$AA$178,MATCH($C307,'Injectable Value'!$A$28:$A$178,0)),1),"")</f>
        <v>59827.2</v>
      </c>
      <c r="U307" s="16" t="s">
        <v>857</v>
      </c>
      <c r="V307" s="15" t="n">
        <v>5</v>
      </c>
      <c r="W307" s="15" t="s">
        <v>855</v>
      </c>
      <c r="X307" s="15" t="s">
        <v>248</v>
      </c>
      <c r="Y307" s="15" t="s">
        <v>299</v>
      </c>
      <c r="Z307" s="16" t="str">
        <f aca="false">IFERROR(INDEX(Scoring!$K:$K,MATCH($C307&amp;"|"&amp;$E307,Scoring!$U:$U,0)),"")</f>
        <v>Reconstitution</v>
      </c>
      <c r="AA307" s="15" t="str">
        <f aca="false">IFERROR(INDEX(Scoring!$Q:$Q,MATCH($C307&amp;"|"&amp;$E307,Scoring!$U:$U,0)),"")</f>
        <v>Excluded – IV only</v>
      </c>
      <c r="AB307" s="15" t="str">
        <f aca="false">IFERROR(INDEX(Scoring!$AK:$AK,MATCH($C307&amp;"|"&amp;$E307,Scoring!$U:$U,0)),"")</f>
        <v>Excluded – IV only</v>
      </c>
      <c r="AC307" s="18" t="n">
        <f aca="false">IFERROR(INDEX(Scoring!$M:$M,MATCH($C307&amp;"|"&amp;$E307,Scoring!$U:$U,0)),"")</f>
        <v>312</v>
      </c>
      <c r="AD307" s="15" t="str">
        <f aca="false">IFERROR(INDEX('Route of Administration'!$C$5:$C$155,MATCH($C307,'Route of Administration'!$A$5:$A$155,0)),"")</f>
        <v>IV</v>
      </c>
      <c r="AE307" s="14" t="str">
        <f aca="false">IFERROR(INDEX('Route of Administration'!$D$5:$D$155,MATCH($C307,'Route of Administration'!$A$5:$A$155,0)),"")</f>
        <v>No</v>
      </c>
    </row>
    <row r="308" customFormat="false" ht="28.35" hidden="false" customHeight="false" outlineLevel="0" collapsed="false">
      <c r="B308" s="15" t="n">
        <v>306</v>
      </c>
      <c r="C308" s="15" t="s">
        <v>444</v>
      </c>
      <c r="D308" s="15" t="s">
        <v>2104</v>
      </c>
      <c r="E308" s="15" t="s">
        <v>838</v>
      </c>
      <c r="F308" s="15" t="s">
        <v>1700</v>
      </c>
      <c r="G308" s="16" t="s">
        <v>2105</v>
      </c>
      <c r="H308" s="15" t="s">
        <v>1505</v>
      </c>
      <c r="I308" s="17" t="n">
        <v>147.804</v>
      </c>
      <c r="J308" s="15" t="n">
        <v>13</v>
      </c>
      <c r="K308" s="15" t="n">
        <v>257</v>
      </c>
      <c r="L308" s="18" t="n">
        <v>4183.29</v>
      </c>
      <c r="M308" s="16" t="s">
        <v>445</v>
      </c>
      <c r="N308" s="17" t="n">
        <v>147.804</v>
      </c>
      <c r="O308" s="15" t="s">
        <v>1506</v>
      </c>
      <c r="P308" s="15" t="s">
        <v>1672</v>
      </c>
      <c r="Q308" s="16" t="s">
        <v>1508</v>
      </c>
      <c r="R308" s="32" t="s">
        <v>2106</v>
      </c>
      <c r="S308" s="37" t="n">
        <f aca="false">IFERROR(INDEX('Injectable Value'!$Z$28:$Z$178,MATCH($C308,'Injectable Value'!$A$28:$A$178,0)),"")</f>
        <v>0.689888576486515</v>
      </c>
      <c r="T308" s="18" t="n">
        <f aca="false">IFERROR(ROUND(INDEX('Injectable Value'!$AA$28:$AA$178,MATCH($C308,'Injectable Value'!$A$28:$A$178,0)),1),"")</f>
        <v>2886</v>
      </c>
      <c r="U308" s="16" t="s">
        <v>857</v>
      </c>
      <c r="V308" s="15" t="n">
        <v>5</v>
      </c>
      <c r="W308" s="15" t="s">
        <v>855</v>
      </c>
      <c r="X308" s="15" t="s">
        <v>248</v>
      </c>
      <c r="Y308" s="15" t="s">
        <v>249</v>
      </c>
      <c r="Z308" s="16" t="str">
        <f aca="false">IFERROR(INDEX(Scoring!$K:$K,MATCH($C308&amp;"|"&amp;$E308,Scoring!$U:$U,0)),"")</f>
        <v>Cancer drug (cytotoxic) – less relevant; Reconstitution</v>
      </c>
      <c r="AA308" s="15" t="str">
        <f aca="false">IFERROR(INDEX(Scoring!$Q:$Q,MATCH($C308&amp;"|"&amp;$E308,Scoring!$U:$U,0)),"")</f>
        <v>Excluded – IV only</v>
      </c>
      <c r="AB308" s="15" t="str">
        <f aca="false">IFERROR(INDEX(Scoring!$AK:$AK,MATCH($C308&amp;"|"&amp;$E308,Scoring!$U:$U,0)),"")</f>
        <v>Excluded – IV only</v>
      </c>
      <c r="AC308" s="18" t="n">
        <f aca="false">IFERROR(INDEX(Scoring!$M:$M,MATCH($C308&amp;"|"&amp;$E308,Scoring!$U:$U,0)),"")</f>
        <v>177</v>
      </c>
      <c r="AD308" s="15" t="str">
        <f aca="false">IFERROR(INDEX('Route of Administration'!$C$5:$C$155,MATCH($C308,'Route of Administration'!$A$5:$A$155,0)),"")</f>
        <v>IV</v>
      </c>
      <c r="AE308" s="14" t="str">
        <f aca="false">IFERROR(INDEX('Route of Administration'!$D$5:$D$155,MATCH($C308,'Route of Administration'!$A$5:$A$155,0)),"")</f>
        <v>No</v>
      </c>
    </row>
    <row r="309" customFormat="false" ht="28.35" hidden="false" customHeight="false" outlineLevel="0" collapsed="false">
      <c r="B309" s="15" t="n">
        <v>307</v>
      </c>
      <c r="C309" s="15" t="s">
        <v>444</v>
      </c>
      <c r="D309" s="15" t="s">
        <v>2107</v>
      </c>
      <c r="E309" s="15" t="s">
        <v>838</v>
      </c>
      <c r="F309" s="15" t="s">
        <v>1700</v>
      </c>
      <c r="G309" s="16" t="s">
        <v>1994</v>
      </c>
      <c r="H309" s="15" t="s">
        <v>1505</v>
      </c>
      <c r="I309" s="17" t="n">
        <v>95.2025</v>
      </c>
      <c r="J309" s="15" t="n">
        <v>28</v>
      </c>
      <c r="K309" s="15" t="n">
        <v>257</v>
      </c>
      <c r="L309" s="18" t="n">
        <v>4183.29</v>
      </c>
      <c r="M309" s="16" t="s">
        <v>445</v>
      </c>
      <c r="N309" s="17" t="n">
        <v>95.2025</v>
      </c>
      <c r="O309" s="15" t="s">
        <v>1506</v>
      </c>
      <c r="P309" s="15" t="s">
        <v>1533</v>
      </c>
      <c r="Q309" s="16" t="s">
        <v>1508</v>
      </c>
      <c r="R309" s="32" t="s">
        <v>1673</v>
      </c>
      <c r="S309" s="37" t="n">
        <f aca="false">IFERROR(INDEX('Injectable Value'!$Z$28:$Z$178,MATCH($C309,'Injectable Value'!$A$28:$A$178,0)),"")</f>
        <v>0.689888576486515</v>
      </c>
      <c r="T309" s="18" t="n">
        <f aca="false">IFERROR(ROUND(INDEX('Injectable Value'!$AA$28:$AA$178,MATCH($C309,'Injectable Value'!$A$28:$A$178,0)),1),"")</f>
        <v>2886</v>
      </c>
      <c r="U309" s="16" t="s">
        <v>857</v>
      </c>
      <c r="V309" s="15" t="n">
        <v>5</v>
      </c>
      <c r="W309" s="15" t="s">
        <v>855</v>
      </c>
      <c r="X309" s="15" t="s">
        <v>248</v>
      </c>
      <c r="Y309" s="15" t="s">
        <v>249</v>
      </c>
      <c r="Z309" s="16" t="str">
        <f aca="false">IFERROR(INDEX(Scoring!$K:$K,MATCH($C309&amp;"|"&amp;$E309,Scoring!$U:$U,0)),"")</f>
        <v>Cancer drug (cytotoxic) – less relevant; Reconstitution</v>
      </c>
      <c r="AA309" s="15" t="str">
        <f aca="false">IFERROR(INDEX(Scoring!$Q:$Q,MATCH($C309&amp;"|"&amp;$E309,Scoring!$U:$U,0)),"")</f>
        <v>Excluded – IV only</v>
      </c>
      <c r="AB309" s="15" t="str">
        <f aca="false">IFERROR(INDEX(Scoring!$AK:$AK,MATCH($C309&amp;"|"&amp;$E309,Scoring!$U:$U,0)),"")</f>
        <v>Excluded – IV only</v>
      </c>
      <c r="AC309" s="18" t="n">
        <f aca="false">IFERROR(INDEX(Scoring!$M:$M,MATCH($C309&amp;"|"&amp;$E309,Scoring!$U:$U,0)),"")</f>
        <v>177</v>
      </c>
      <c r="AD309" s="15" t="str">
        <f aca="false">IFERROR(INDEX('Route of Administration'!$C$5:$C$155,MATCH($C309,'Route of Administration'!$A$5:$A$155,0)),"")</f>
        <v>IV</v>
      </c>
      <c r="AE309" s="14" t="str">
        <f aca="false">IFERROR(INDEX('Route of Administration'!$D$5:$D$155,MATCH($C309,'Route of Administration'!$A$5:$A$155,0)),"")</f>
        <v>No</v>
      </c>
    </row>
    <row r="310" customFormat="false" ht="28.35" hidden="false" customHeight="false" outlineLevel="0" collapsed="false">
      <c r="B310" s="15" t="n">
        <v>308</v>
      </c>
      <c r="C310" s="15" t="s">
        <v>503</v>
      </c>
      <c r="D310" s="15" t="s">
        <v>2108</v>
      </c>
      <c r="E310" s="15" t="s">
        <v>838</v>
      </c>
      <c r="F310" s="15" t="s">
        <v>2011</v>
      </c>
      <c r="G310" s="16" t="s">
        <v>1989</v>
      </c>
      <c r="H310" s="15" t="s">
        <v>1505</v>
      </c>
      <c r="I310" s="17" t="n">
        <v>5.5596</v>
      </c>
      <c r="J310" s="15" t="n">
        <v>31</v>
      </c>
      <c r="K310" s="15" t="n">
        <v>3515</v>
      </c>
      <c r="L310" s="18" t="n">
        <v>140084.73</v>
      </c>
      <c r="M310" s="16" t="s">
        <v>504</v>
      </c>
      <c r="N310" s="17" t="n">
        <v>5.5596</v>
      </c>
      <c r="O310" s="15" t="s">
        <v>1506</v>
      </c>
      <c r="P310" s="15" t="s">
        <v>1533</v>
      </c>
      <c r="Q310" s="16" t="s">
        <v>1508</v>
      </c>
      <c r="R310" s="32" t="s">
        <v>1673</v>
      </c>
      <c r="S310" s="37" t="n">
        <f aca="false">IFERROR(INDEX('Injectable Value'!$Z$28:$Z$178,MATCH($C310,'Injectable Value'!$A$28:$A$178,0)),"")</f>
        <v>0.251824206147514</v>
      </c>
      <c r="T310" s="18" t="n">
        <f aca="false">IFERROR(ROUND(INDEX('Injectable Value'!$AA$28:$AA$178,MATCH($C310,'Injectable Value'!$A$28:$A$178,0)),1),"")</f>
        <v>35276.7</v>
      </c>
      <c r="U310" s="16" t="s">
        <v>857</v>
      </c>
      <c r="V310" s="15" t="n">
        <v>5</v>
      </c>
      <c r="W310" s="15" t="s">
        <v>855</v>
      </c>
      <c r="X310" s="15" t="s">
        <v>248</v>
      </c>
      <c r="Y310" s="15" t="s">
        <v>299</v>
      </c>
      <c r="Z310" s="16" t="str">
        <f aca="false">IFERROR(INDEX(Scoring!$K:$K,MATCH($C310&amp;"|"&amp;$E310,Scoring!$U:$U,0)),"")</f>
        <v>Reconstitution</v>
      </c>
      <c r="AA310" s="15" t="str">
        <f aca="false">IFERROR(INDEX(Scoring!$Q:$Q,MATCH($C310&amp;"|"&amp;$E310,Scoring!$U:$U,0)),"")</f>
        <v>Excluded – IV only</v>
      </c>
      <c r="AB310" s="15" t="str">
        <f aca="false">IFERROR(INDEX(Scoring!$AK:$AK,MATCH($C310&amp;"|"&amp;$E310,Scoring!$U:$U,0)),"")</f>
        <v>Excluded – IV only</v>
      </c>
      <c r="AC310" s="18" t="n">
        <f aca="false">IFERROR(INDEX(Scoring!$M:$M,MATCH($C310&amp;"|"&amp;$E310,Scoring!$U:$U,0)),"")</f>
        <v>885</v>
      </c>
      <c r="AD310" s="15" t="str">
        <f aca="false">IFERROR(INDEX('Route of Administration'!$C$5:$C$155,MATCH($C310,'Route of Administration'!$A$5:$A$155,0)),"")</f>
        <v>IV</v>
      </c>
      <c r="AE310" s="14" t="str">
        <f aca="false">IFERROR(INDEX('Route of Administration'!$D$5:$D$155,MATCH($C310,'Route of Administration'!$A$5:$A$155,0)),"")</f>
        <v>No</v>
      </c>
    </row>
    <row r="311" customFormat="false" ht="28.35" hidden="false" customHeight="false" outlineLevel="0" collapsed="false">
      <c r="B311" s="15" t="n">
        <v>309</v>
      </c>
      <c r="C311" s="15" t="s">
        <v>510</v>
      </c>
      <c r="D311" s="15" t="s">
        <v>2109</v>
      </c>
      <c r="E311" s="15" t="s">
        <v>838</v>
      </c>
      <c r="F311" s="15" t="s">
        <v>1713</v>
      </c>
      <c r="G311" s="16" t="s">
        <v>1659</v>
      </c>
      <c r="H311" s="15" t="s">
        <v>1505</v>
      </c>
      <c r="I311" s="17" t="n">
        <v>7322.4226</v>
      </c>
      <c r="J311" s="15" t="n">
        <v>25</v>
      </c>
      <c r="K311" s="15" t="n">
        <v>47</v>
      </c>
      <c r="L311" s="18" t="n">
        <v>7904.67</v>
      </c>
      <c r="M311" s="16" t="s">
        <v>511</v>
      </c>
      <c r="N311" s="17" t="n">
        <v>7322.4226</v>
      </c>
      <c r="O311" s="15" t="s">
        <v>1506</v>
      </c>
      <c r="P311" s="15" t="s">
        <v>1533</v>
      </c>
      <c r="Q311" s="16" t="s">
        <v>1508</v>
      </c>
      <c r="R311" s="32" t="s">
        <v>1673</v>
      </c>
      <c r="S311" s="37" t="n">
        <f aca="false">IFERROR(INDEX('Injectable Value'!$Z$28:$Z$178,MATCH($C311,'Injectable Value'!$A$28:$A$178,0)),"")</f>
        <v>1</v>
      </c>
      <c r="T311" s="18" t="n">
        <f aca="false">IFERROR(ROUND(INDEX('Injectable Value'!$AA$28:$AA$178,MATCH($C311,'Injectable Value'!$A$28:$A$178,0)),1),"")</f>
        <v>7904.7</v>
      </c>
      <c r="U311" s="16" t="s">
        <v>878</v>
      </c>
      <c r="V311" s="15" t="n">
        <v>7</v>
      </c>
      <c r="W311" s="15" t="s">
        <v>827</v>
      </c>
      <c r="X311" s="15" t="s">
        <v>248</v>
      </c>
      <c r="Y311" s="15" t="s">
        <v>249</v>
      </c>
      <c r="Z311" s="16" t="str">
        <f aca="false">IFERROR(INDEX(Scoring!$K:$K,MATCH($C311&amp;"|"&amp;$E311,Scoring!$U:$U,0)),"")</f>
        <v/>
      </c>
      <c r="AA311" s="15" t="str">
        <f aca="false">IFERROR(INDEX(Scoring!$Q:$Q,MATCH($C311&amp;"|"&amp;$E311,Scoring!$U:$U,0)),"")</f>
        <v>Priority 2</v>
      </c>
      <c r="AB311" s="15" t="str">
        <f aca="false">IFERROR(INDEX(Scoring!$AK:$AK,MATCH($C311&amp;"|"&amp;$E311,Scoring!$U:$U,0)),"")</f>
        <v>Priority 2</v>
      </c>
      <c r="AC311" s="18" t="n">
        <f aca="false">IFERROR(INDEX(Scoring!$M:$M,MATCH($C311&amp;"|"&amp;$E311,Scoring!$U:$U,0)),"")</f>
        <v>47</v>
      </c>
      <c r="AD311" s="15" t="str">
        <f aca="false">IFERROR(INDEX('Route of Administration'!$C$5:$C$155,MATCH($C311,'Route of Administration'!$A$5:$A$155,0)),"")</f>
        <v>SC</v>
      </c>
      <c r="AE311" s="14" t="str">
        <f aca="false">IFERROR(INDEX('Route of Administration'!$D$5:$D$155,MATCH($C311,'Route of Administration'!$A$5:$A$155,0)),"")</f>
        <v>Yes</v>
      </c>
    </row>
    <row r="312" customFormat="false" ht="28.35" hidden="false" customHeight="false" outlineLevel="0" collapsed="false">
      <c r="B312" s="15" t="n">
        <v>310</v>
      </c>
      <c r="C312" s="15" t="s">
        <v>880</v>
      </c>
      <c r="D312" s="15" t="s">
        <v>883</v>
      </c>
      <c r="E312" s="15" t="s">
        <v>838</v>
      </c>
      <c r="F312" s="15" t="s">
        <v>2110</v>
      </c>
      <c r="G312" s="16" t="s">
        <v>2089</v>
      </c>
      <c r="H312" s="15" t="s">
        <v>1505</v>
      </c>
      <c r="I312" s="17" t="n">
        <v>6.1698</v>
      </c>
      <c r="J312" s="15" t="n">
        <v>30</v>
      </c>
      <c r="K312" s="15" t="n">
        <v>264</v>
      </c>
      <c r="L312" s="18" t="n">
        <v>20408.58</v>
      </c>
      <c r="M312" s="16" t="s">
        <v>564</v>
      </c>
      <c r="N312" s="17" t="n">
        <v>6.1698</v>
      </c>
      <c r="O312" s="15" t="s">
        <v>1506</v>
      </c>
      <c r="P312" s="15" t="s">
        <v>1533</v>
      </c>
      <c r="Q312" s="16" t="s">
        <v>1508</v>
      </c>
      <c r="R312" s="32" t="s">
        <v>1673</v>
      </c>
      <c r="S312" s="37" t="n">
        <f aca="false">IFERROR(INDEX('Injectable Value'!$Z$28:$Z$178,MATCH($C312,'Injectable Value'!$A$28:$A$178,0)),"")</f>
        <v>0.989010989010989</v>
      </c>
      <c r="T312" s="18" t="n">
        <f aca="false">IFERROR(ROUND(INDEX('Injectable Value'!$AA$28:$AA$178,MATCH($C312,'Injectable Value'!$A$28:$A$178,0)),1),"")</f>
        <v>20184.3</v>
      </c>
      <c r="U312" s="16" t="s">
        <v>881</v>
      </c>
      <c r="V312" s="15" t="n">
        <v>1</v>
      </c>
      <c r="W312" s="15" t="s">
        <v>881</v>
      </c>
      <c r="X312" s="15" t="s">
        <v>248</v>
      </c>
      <c r="Y312" s="15" t="s">
        <v>249</v>
      </c>
      <c r="Z312" s="16" t="str">
        <f aca="false">IFERROR(INDEX(Scoring!$K:$K,MATCH($C312&amp;"|"&amp;$E312,Scoring!$U:$U,0)),"")</f>
        <v/>
      </c>
      <c r="AA312" s="15" t="str">
        <f aca="false">IFERROR(INDEX(Scoring!$Q:$Q,MATCH($C312&amp;"|"&amp;$E312,Scoring!$U:$U,0)),"")</f>
        <v>Excluded – IV only</v>
      </c>
      <c r="AB312" s="15" t="str">
        <f aca="false">IFERROR(INDEX(Scoring!$AK:$AK,MATCH($C312&amp;"|"&amp;$E312,Scoring!$U:$U,0)),"")</f>
        <v>Excluded – IV only</v>
      </c>
      <c r="AC312" s="18" t="n">
        <f aca="false">IFERROR(INDEX(Scoring!$M:$M,MATCH($C312&amp;"|"&amp;$E312,Scoring!$U:$U,0)),"")</f>
        <v>261</v>
      </c>
      <c r="AD312" s="15" t="str">
        <f aca="false">IFERROR(INDEX('Route of Administration'!$C$5:$C$155,MATCH($C312,'Route of Administration'!$A$5:$A$155,0)),"")</f>
        <v>IV</v>
      </c>
      <c r="AE312" s="14" t="str">
        <f aca="false">IFERROR(INDEX('Route of Administration'!$D$5:$D$155,MATCH($C312,'Route of Administration'!$A$5:$A$155,0)),"")</f>
        <v>No</v>
      </c>
    </row>
    <row r="313" customFormat="false" ht="28.35" hidden="false" customHeight="false" outlineLevel="0" collapsed="false">
      <c r="B313" s="15" t="n">
        <v>311</v>
      </c>
      <c r="C313" s="15" t="s">
        <v>635</v>
      </c>
      <c r="D313" s="15" t="s">
        <v>2111</v>
      </c>
      <c r="E313" s="15" t="s">
        <v>838</v>
      </c>
      <c r="F313" s="15" t="s">
        <v>1940</v>
      </c>
      <c r="G313" s="16" t="s">
        <v>2112</v>
      </c>
      <c r="H313" s="15" t="s">
        <v>1505</v>
      </c>
      <c r="I313" s="17" t="n">
        <v>65.0089</v>
      </c>
      <c r="J313" s="15" t="n">
        <v>31</v>
      </c>
      <c r="K313" s="15" t="n">
        <v>346</v>
      </c>
      <c r="L313" s="18" t="n">
        <v>32830.17</v>
      </c>
      <c r="M313" s="16" t="s">
        <v>636</v>
      </c>
      <c r="N313" s="17" t="n">
        <v>65.0089</v>
      </c>
      <c r="O313" s="15" t="s">
        <v>1506</v>
      </c>
      <c r="P313" s="15" t="s">
        <v>1672</v>
      </c>
      <c r="Q313" s="16" t="s">
        <v>1508</v>
      </c>
      <c r="R313" s="32" t="s">
        <v>1815</v>
      </c>
      <c r="S313" s="37" t="n">
        <f aca="false">IFERROR(INDEX('Injectable Value'!$Z$28:$Z$178,MATCH($C313,'Injectable Value'!$A$28:$A$178,0)),"")</f>
        <v>1</v>
      </c>
      <c r="T313" s="18" t="n">
        <f aca="false">IFERROR(ROUND(INDEX('Injectable Value'!$AA$28:$AA$178,MATCH($C313,'Injectable Value'!$A$28:$A$178,0)),1),"")</f>
        <v>32830.2</v>
      </c>
      <c r="U313" s="16" t="s">
        <v>878</v>
      </c>
      <c r="V313" s="15" t="n">
        <v>7</v>
      </c>
      <c r="W313" s="15" t="s">
        <v>827</v>
      </c>
      <c r="X313" s="15" t="s">
        <v>277</v>
      </c>
      <c r="Y313" s="15" t="s">
        <v>249</v>
      </c>
      <c r="Z313" s="16" t="str">
        <f aca="false">IFERROR(INDEX(Scoring!$K:$K,MATCH($C313&amp;"|"&amp;$E313,Scoring!$U:$U,0)),"")</f>
        <v/>
      </c>
      <c r="AA313" s="15" t="str">
        <f aca="false">IFERROR(INDEX(Scoring!$Q:$Q,MATCH($C313&amp;"|"&amp;$E313,Scoring!$U:$U,0)),"")</f>
        <v>Excluded – IV only</v>
      </c>
      <c r="AB313" s="15" t="str">
        <f aca="false">IFERROR(INDEX(Scoring!$AK:$AK,MATCH($C313&amp;"|"&amp;$E313,Scoring!$U:$U,0)),"")</f>
        <v>Excluded – IV only</v>
      </c>
      <c r="AC313" s="18" t="n">
        <f aca="false">IFERROR(INDEX(Scoring!$M:$M,MATCH($C313&amp;"|"&amp;$E313,Scoring!$U:$U,0)),"")</f>
        <v>346</v>
      </c>
      <c r="AD313" s="15" t="str">
        <f aca="false">IFERROR(INDEX('Route of Administration'!$C$5:$C$155,MATCH($C313,'Route of Administration'!$A$5:$A$155,0)),"")</f>
        <v>IV</v>
      </c>
      <c r="AE313" s="14" t="str">
        <f aca="false">IFERROR(INDEX('Route of Administration'!$D$5:$D$155,MATCH($C313,'Route of Administration'!$A$5:$A$155,0)),"")</f>
        <v>No</v>
      </c>
    </row>
    <row r="314" customFormat="false" ht="28.35" hidden="false" customHeight="false" outlineLevel="0" collapsed="false">
      <c r="B314" s="15" t="n">
        <v>312</v>
      </c>
      <c r="C314" s="15" t="s">
        <v>641</v>
      </c>
      <c r="D314" s="15" t="s">
        <v>2113</v>
      </c>
      <c r="E314" s="15" t="s">
        <v>838</v>
      </c>
      <c r="F314" s="15" t="s">
        <v>2114</v>
      </c>
      <c r="G314" s="16" t="s">
        <v>2115</v>
      </c>
      <c r="H314" s="15" t="s">
        <v>1505</v>
      </c>
      <c r="I314" s="17" t="n">
        <v>62.2065</v>
      </c>
      <c r="J314" s="15" t="n">
        <v>26</v>
      </c>
      <c r="K314" s="15" t="n">
        <v>106</v>
      </c>
      <c r="L314" s="18" t="n">
        <v>7074.72</v>
      </c>
      <c r="M314" s="16" t="s">
        <v>642</v>
      </c>
      <c r="N314" s="17" t="n">
        <v>62.2065</v>
      </c>
      <c r="O314" s="15" t="s">
        <v>1506</v>
      </c>
      <c r="P314" s="15" t="s">
        <v>1533</v>
      </c>
      <c r="Q314" s="16" t="s">
        <v>1508</v>
      </c>
      <c r="R314" s="32" t="s">
        <v>1673</v>
      </c>
      <c r="S314" s="37" t="n">
        <f aca="false">IFERROR(INDEX('Injectable Value'!$Z$28:$Z$178,MATCH($C314,'Injectable Value'!$A$28:$A$178,0)),"")</f>
        <v>0.9375</v>
      </c>
      <c r="T314" s="18" t="n">
        <f aca="false">IFERROR(ROUND(INDEX('Injectable Value'!$AA$28:$AA$178,MATCH($C314,'Injectable Value'!$A$28:$A$178,0)),1),"")</f>
        <v>6632.6</v>
      </c>
      <c r="U314" s="16" t="s">
        <v>740</v>
      </c>
      <c r="V314" s="15" t="n">
        <v>2</v>
      </c>
      <c r="W314" s="15" t="s">
        <v>740</v>
      </c>
      <c r="X314" s="15" t="s">
        <v>248</v>
      </c>
      <c r="Y314" s="15" t="s">
        <v>249</v>
      </c>
      <c r="Z314" s="16" t="str">
        <f aca="false">IFERROR(INDEX(Scoring!$K:$K,MATCH($C314&amp;"|"&amp;$E314,Scoring!$U:$U,0)),"")</f>
        <v>Reconstitution</v>
      </c>
      <c r="AA314" s="15" t="str">
        <f aca="false">IFERROR(INDEX(Scoring!$Q:$Q,MATCH($C314&amp;"|"&amp;$E314,Scoring!$U:$U,0)),"")</f>
        <v>Priority 2</v>
      </c>
      <c r="AB314" s="15" t="str">
        <f aca="false">IFERROR(INDEX(Scoring!$AK:$AK,MATCH($C314&amp;"|"&amp;$E314,Scoring!$U:$U,0)),"")</f>
        <v>Priority 2</v>
      </c>
      <c r="AC314" s="18" t="n">
        <f aca="false">IFERROR(INDEX(Scoring!$M:$M,MATCH($C314&amp;"|"&amp;$E314,Scoring!$U:$U,0)),"")</f>
        <v>99</v>
      </c>
      <c r="AD314" s="15" t="str">
        <f aca="false">IFERROR(INDEX('Route of Administration'!$C$5:$C$155,MATCH($C314,'Route of Administration'!$A$5:$A$155,0)),"")</f>
        <v>IV, IM</v>
      </c>
      <c r="AE314" s="14" t="str">
        <f aca="false">IFERROR(INDEX('Route of Administration'!$D$5:$D$155,MATCH($C314,'Route of Administration'!$A$5:$A$155,0)),"")</f>
        <v>Yes</v>
      </c>
    </row>
    <row r="315" customFormat="false" ht="28.35" hidden="false" customHeight="false" outlineLevel="0" collapsed="false">
      <c r="B315" s="15" t="n">
        <v>313</v>
      </c>
      <c r="C315" s="15" t="s">
        <v>305</v>
      </c>
      <c r="D315" s="15" t="s">
        <v>2116</v>
      </c>
      <c r="E315" s="15" t="s">
        <v>838</v>
      </c>
      <c r="F315" s="15" t="s">
        <v>1774</v>
      </c>
      <c r="G315" s="16" t="s">
        <v>1775</v>
      </c>
      <c r="H315" s="15" t="s">
        <v>1505</v>
      </c>
      <c r="I315" s="17"/>
      <c r="J315" s="15" t="n">
        <v>1</v>
      </c>
      <c r="K315" s="15" t="n">
        <v>905</v>
      </c>
      <c r="L315" s="18" t="n">
        <v>28093.38</v>
      </c>
      <c r="M315" s="16" t="s">
        <v>306</v>
      </c>
      <c r="N315" s="17"/>
      <c r="O315" s="15" t="s">
        <v>1545</v>
      </c>
      <c r="P315" s="15" t="s">
        <v>70</v>
      </c>
      <c r="Q315" s="16" t="s">
        <v>70</v>
      </c>
      <c r="R315" s="15"/>
      <c r="S315" s="37" t="n">
        <f aca="false">IFERROR(INDEX('Injectable Value'!$Z$28:$Z$178,MATCH($C315,'Injectable Value'!$A$28:$A$178,0)),"")</f>
        <v>1</v>
      </c>
      <c r="T315" s="18" t="n">
        <f aca="false">IFERROR(ROUND(INDEX('Injectable Value'!$AA$28:$AA$178,MATCH($C315,'Injectable Value'!$A$28:$A$178,0)),1),"")</f>
        <v>28093.4</v>
      </c>
      <c r="U315" s="16" t="s">
        <v>843</v>
      </c>
      <c r="V315" s="15" t="n">
        <v>8</v>
      </c>
      <c r="W315" s="15" t="s">
        <v>827</v>
      </c>
      <c r="X315" s="15" t="s">
        <v>248</v>
      </c>
      <c r="Y315" s="15" t="s">
        <v>299</v>
      </c>
      <c r="Z315" s="16" t="str">
        <f aca="false">IFERROR(INDEX(Scoring!$K:$K,MATCH($C315&amp;"|"&amp;$E315,Scoring!$U:$U,0)),"")</f>
        <v>Cancer drug (cytotoxic) – less relevant; Reconstitution</v>
      </c>
      <c r="AA315" s="15" t="str">
        <f aca="false">IFERROR(INDEX(Scoring!$Q:$Q,MATCH($C315&amp;"|"&amp;$E315,Scoring!$U:$U,0)),"")</f>
        <v>Priority 1</v>
      </c>
      <c r="AB315" s="15" t="str">
        <f aca="false">IFERROR(INDEX(Scoring!$AK:$AK,MATCH($C315&amp;"|"&amp;$E315,Scoring!$U:$U,0)),"")</f>
        <v>Priority 1</v>
      </c>
      <c r="AC315" s="18" t="n">
        <f aca="false">IFERROR(INDEX(Scoring!$M:$M,MATCH($C315&amp;"|"&amp;$E315,Scoring!$U:$U,0)),"")</f>
        <v>905</v>
      </c>
      <c r="AD315" s="15" t="str">
        <f aca="false">IFERROR(INDEX('Route of Administration'!$C$5:$C$155,MATCH($C315,'Route of Administration'!$A$5:$A$155,0)),"")</f>
        <v>IV, SC</v>
      </c>
      <c r="AE315" s="14" t="str">
        <f aca="false">IFERROR(INDEX('Route of Administration'!$D$5:$D$155,MATCH($C315,'Route of Administration'!$A$5:$A$155,0)),"")</f>
        <v>Yes</v>
      </c>
    </row>
    <row r="316" customFormat="false" ht="28.35" hidden="false" customHeight="false" outlineLevel="0" collapsed="false">
      <c r="B316" s="15" t="n">
        <v>314</v>
      </c>
      <c r="C316" s="15" t="s">
        <v>858</v>
      </c>
      <c r="D316" s="15" t="s">
        <v>862</v>
      </c>
      <c r="E316" s="15" t="s">
        <v>838</v>
      </c>
      <c r="F316" s="15" t="s">
        <v>2117</v>
      </c>
      <c r="G316" s="16" t="s">
        <v>2118</v>
      </c>
      <c r="H316" s="15" t="s">
        <v>1505</v>
      </c>
      <c r="I316" s="17" t="n">
        <v>30.23</v>
      </c>
      <c r="J316" s="15" t="n">
        <v>1</v>
      </c>
      <c r="K316" s="15" t="n">
        <v>286</v>
      </c>
      <c r="L316" s="18" t="n">
        <v>3193.58</v>
      </c>
      <c r="M316" s="16" t="s">
        <v>859</v>
      </c>
      <c r="N316" s="17" t="n">
        <v>30.23</v>
      </c>
      <c r="O316" s="15" t="s">
        <v>1506</v>
      </c>
      <c r="P316" s="15" t="s">
        <v>1672</v>
      </c>
      <c r="Q316" s="16" t="s">
        <v>1846</v>
      </c>
      <c r="R316" s="15"/>
      <c r="S316" s="37" t="n">
        <f aca="false">IFERROR(INDEX('Injectable Value'!$Z$28:$Z$178,MATCH($C316,'Injectable Value'!$A$28:$A$178,0)),"")</f>
        <v>0.4171983066393</v>
      </c>
      <c r="T316" s="18" t="n">
        <f aca="false">IFERROR(ROUND(INDEX('Injectable Value'!$AA$28:$AA$178,MATCH($C316,'Injectable Value'!$A$28:$A$178,0)),1),"")</f>
        <v>1332.4</v>
      </c>
      <c r="U316" s="16" t="s">
        <v>328</v>
      </c>
      <c r="V316" s="15" t="n">
        <v>1</v>
      </c>
      <c r="W316" s="15" t="s">
        <v>70</v>
      </c>
      <c r="X316" s="15" t="s">
        <v>248</v>
      </c>
      <c r="Y316" s="15" t="s">
        <v>249</v>
      </c>
      <c r="Z316" s="16" t="str">
        <f aca="false">IFERROR(INDEX(Scoring!$K:$K,MATCH($C316&amp;"|"&amp;$E316,Scoring!$U:$U,0)),"")</f>
        <v/>
      </c>
      <c r="AA316" s="15" t="str">
        <f aca="false">IFERROR(INDEX(Scoring!$Q:$Q,MATCH($C316&amp;"|"&amp;$E316,Scoring!$U:$U,0)),"")</f>
        <v>Priority 2</v>
      </c>
      <c r="AB316" s="15" t="str">
        <f aca="false">IFERROR(INDEX(Scoring!$AK:$AK,MATCH($C316&amp;"|"&amp;$E316,Scoring!$U:$U,0)),"")</f>
        <v>Priority 1</v>
      </c>
      <c r="AC316" s="18" t="n">
        <f aca="false">IFERROR(INDEX(Scoring!$M:$M,MATCH($C316&amp;"|"&amp;$E316,Scoring!$U:$U,0)),"")</f>
        <v>119</v>
      </c>
      <c r="AD316" s="15" t="str">
        <f aca="false">IFERROR(INDEX('Route of Administration'!$C$5:$C$155,MATCH($C316,'Route of Administration'!$A$5:$A$155,0)),"")</f>
        <v>IV, IM</v>
      </c>
      <c r="AE316" s="14" t="str">
        <f aca="false">IFERROR(INDEX('Route of Administration'!$D$5:$D$155,MATCH($C316,'Route of Administration'!$A$5:$A$155,0)),"")</f>
        <v>Yes</v>
      </c>
    </row>
    <row r="317" customFormat="false" ht="28.35" hidden="false" customHeight="false" outlineLevel="0" collapsed="false">
      <c r="B317" s="15" t="n">
        <v>315</v>
      </c>
      <c r="C317" s="15" t="s">
        <v>305</v>
      </c>
      <c r="D317" s="15" t="s">
        <v>2119</v>
      </c>
      <c r="E317" s="15" t="s">
        <v>838</v>
      </c>
      <c r="F317" s="15" t="s">
        <v>2120</v>
      </c>
      <c r="G317" s="16" t="s">
        <v>1719</v>
      </c>
      <c r="H317" s="15" t="s">
        <v>1505</v>
      </c>
      <c r="I317" s="17" t="n">
        <v>118.13</v>
      </c>
      <c r="J317" s="15" t="n">
        <v>1</v>
      </c>
      <c r="K317" s="15" t="n">
        <v>905</v>
      </c>
      <c r="L317" s="18" t="n">
        <v>28093.38</v>
      </c>
      <c r="M317" s="16" t="s">
        <v>306</v>
      </c>
      <c r="N317" s="17" t="n">
        <v>118.13</v>
      </c>
      <c r="O317" s="15" t="s">
        <v>1506</v>
      </c>
      <c r="P317" s="15" t="s">
        <v>1672</v>
      </c>
      <c r="Q317" s="16" t="s">
        <v>1846</v>
      </c>
      <c r="R317" s="32" t="s">
        <v>2121</v>
      </c>
      <c r="S317" s="37" t="n">
        <f aca="false">IFERROR(INDEX('Injectable Value'!$Z$28:$Z$178,MATCH($C317,'Injectable Value'!$A$28:$A$178,0)),"")</f>
        <v>1</v>
      </c>
      <c r="T317" s="18" t="n">
        <f aca="false">IFERROR(ROUND(INDEX('Injectable Value'!$AA$28:$AA$178,MATCH($C317,'Injectable Value'!$A$28:$A$178,0)),1),"")</f>
        <v>28093.4</v>
      </c>
      <c r="U317" s="16" t="s">
        <v>843</v>
      </c>
      <c r="V317" s="15" t="n">
        <v>8</v>
      </c>
      <c r="W317" s="15" t="s">
        <v>827</v>
      </c>
      <c r="X317" s="15" t="s">
        <v>248</v>
      </c>
      <c r="Y317" s="15" t="s">
        <v>249</v>
      </c>
      <c r="Z317" s="16" t="str">
        <f aca="false">IFERROR(INDEX(Scoring!$K:$K,MATCH($C317&amp;"|"&amp;$E317,Scoring!$U:$U,0)),"")</f>
        <v>Cancer drug (cytotoxic) – less relevant; Reconstitution</v>
      </c>
      <c r="AA317" s="15" t="str">
        <f aca="false">IFERROR(INDEX(Scoring!$Q:$Q,MATCH($C317&amp;"|"&amp;$E317,Scoring!$U:$U,0)),"")</f>
        <v>Priority 1</v>
      </c>
      <c r="AB317" s="15" t="str">
        <f aca="false">IFERROR(INDEX(Scoring!$AK:$AK,MATCH($C317&amp;"|"&amp;$E317,Scoring!$U:$U,0)),"")</f>
        <v>Priority 1</v>
      </c>
      <c r="AC317" s="18" t="n">
        <f aca="false">IFERROR(INDEX(Scoring!$M:$M,MATCH($C317&amp;"|"&amp;$E317,Scoring!$U:$U,0)),"")</f>
        <v>905</v>
      </c>
      <c r="AD317" s="15" t="str">
        <f aca="false">IFERROR(INDEX('Route of Administration'!$C$5:$C$155,MATCH($C317,'Route of Administration'!$A$5:$A$155,0)),"")</f>
        <v>IV, SC</v>
      </c>
      <c r="AE317" s="14" t="str">
        <f aca="false">IFERROR(INDEX('Route of Administration'!$D$5:$D$155,MATCH($C317,'Route of Administration'!$A$5:$A$155,0)),"")</f>
        <v>Yes</v>
      </c>
    </row>
    <row r="318" customFormat="false" ht="28.35" hidden="false" customHeight="false" outlineLevel="0" collapsed="false">
      <c r="B318" s="15" t="n">
        <v>316</v>
      </c>
      <c r="C318" s="15" t="s">
        <v>305</v>
      </c>
      <c r="D318" s="15" t="s">
        <v>2119</v>
      </c>
      <c r="E318" s="15" t="s">
        <v>838</v>
      </c>
      <c r="F318" s="15" t="s">
        <v>2122</v>
      </c>
      <c r="G318" s="16" t="s">
        <v>1858</v>
      </c>
      <c r="H318" s="15" t="s">
        <v>1505</v>
      </c>
      <c r="I318" s="17" t="n">
        <v>102.88</v>
      </c>
      <c r="J318" s="15" t="n">
        <v>1</v>
      </c>
      <c r="K318" s="15" t="n">
        <v>905</v>
      </c>
      <c r="L318" s="18" t="n">
        <v>28093.38</v>
      </c>
      <c r="M318" s="16" t="s">
        <v>306</v>
      </c>
      <c r="N318" s="17" t="n">
        <v>102.88</v>
      </c>
      <c r="O318" s="15" t="s">
        <v>1506</v>
      </c>
      <c r="P318" s="15" t="s">
        <v>1672</v>
      </c>
      <c r="Q318" s="16" t="s">
        <v>1846</v>
      </c>
      <c r="R318" s="32" t="s">
        <v>2121</v>
      </c>
      <c r="S318" s="37" t="n">
        <f aca="false">IFERROR(INDEX('Injectable Value'!$Z$28:$Z$178,MATCH($C318,'Injectable Value'!$A$28:$A$178,0)),"")</f>
        <v>1</v>
      </c>
      <c r="T318" s="18" t="n">
        <f aca="false">IFERROR(ROUND(INDEX('Injectable Value'!$AA$28:$AA$178,MATCH($C318,'Injectable Value'!$A$28:$A$178,0)),1),"")</f>
        <v>28093.4</v>
      </c>
      <c r="U318" s="16" t="s">
        <v>843</v>
      </c>
      <c r="V318" s="15" t="n">
        <v>8</v>
      </c>
      <c r="W318" s="15" t="s">
        <v>827</v>
      </c>
      <c r="X318" s="15" t="s">
        <v>248</v>
      </c>
      <c r="Y318" s="15" t="s">
        <v>249</v>
      </c>
      <c r="Z318" s="16" t="str">
        <f aca="false">IFERROR(INDEX(Scoring!$K:$K,MATCH($C318&amp;"|"&amp;$E318,Scoring!$U:$U,0)),"")</f>
        <v>Cancer drug (cytotoxic) – less relevant; Reconstitution</v>
      </c>
      <c r="AA318" s="15" t="str">
        <f aca="false">IFERROR(INDEX(Scoring!$Q:$Q,MATCH($C318&amp;"|"&amp;$E318,Scoring!$U:$U,0)),"")</f>
        <v>Priority 1</v>
      </c>
      <c r="AB318" s="15" t="str">
        <f aca="false">IFERROR(INDEX(Scoring!$AK:$AK,MATCH($C318&amp;"|"&amp;$E318,Scoring!$U:$U,0)),"")</f>
        <v>Priority 1</v>
      </c>
      <c r="AC318" s="18" t="n">
        <f aca="false">IFERROR(INDEX(Scoring!$M:$M,MATCH($C318&amp;"|"&amp;$E318,Scoring!$U:$U,0)),"")</f>
        <v>905</v>
      </c>
      <c r="AD318" s="15" t="str">
        <f aca="false">IFERROR(INDEX('Route of Administration'!$C$5:$C$155,MATCH($C318,'Route of Administration'!$A$5:$A$155,0)),"")</f>
        <v>IV, SC</v>
      </c>
      <c r="AE318" s="14" t="str">
        <f aca="false">IFERROR(INDEX('Route of Administration'!$D$5:$D$155,MATCH($C318,'Route of Administration'!$A$5:$A$155,0)),"")</f>
        <v>Yes</v>
      </c>
    </row>
    <row r="319" customFormat="false" ht="28.35" hidden="false" customHeight="false" outlineLevel="0" collapsed="false">
      <c r="B319" s="15" t="n">
        <v>317</v>
      </c>
      <c r="C319" s="15" t="s">
        <v>305</v>
      </c>
      <c r="D319" s="15" t="s">
        <v>2119</v>
      </c>
      <c r="E319" s="15" t="s">
        <v>838</v>
      </c>
      <c r="F319" s="15" t="s">
        <v>2123</v>
      </c>
      <c r="G319" s="16" t="s">
        <v>2124</v>
      </c>
      <c r="H319" s="15" t="s">
        <v>1505</v>
      </c>
      <c r="I319" s="17" t="n">
        <v>92.78</v>
      </c>
      <c r="J319" s="15" t="n">
        <v>1</v>
      </c>
      <c r="K319" s="15" t="n">
        <v>905</v>
      </c>
      <c r="L319" s="18" t="n">
        <v>28093.38</v>
      </c>
      <c r="M319" s="16" t="s">
        <v>306</v>
      </c>
      <c r="N319" s="17" t="n">
        <v>92.78</v>
      </c>
      <c r="O319" s="15" t="s">
        <v>1506</v>
      </c>
      <c r="P319" s="15" t="s">
        <v>1672</v>
      </c>
      <c r="Q319" s="16" t="s">
        <v>1846</v>
      </c>
      <c r="R319" s="32" t="s">
        <v>2121</v>
      </c>
      <c r="S319" s="37" t="n">
        <f aca="false">IFERROR(INDEX('Injectable Value'!$Z$28:$Z$178,MATCH($C319,'Injectable Value'!$A$28:$A$178,0)),"")</f>
        <v>1</v>
      </c>
      <c r="T319" s="18" t="n">
        <f aca="false">IFERROR(ROUND(INDEX('Injectable Value'!$AA$28:$AA$178,MATCH($C319,'Injectable Value'!$A$28:$A$178,0)),1),"")</f>
        <v>28093.4</v>
      </c>
      <c r="U319" s="16" t="s">
        <v>843</v>
      </c>
      <c r="V319" s="15" t="n">
        <v>8</v>
      </c>
      <c r="W319" s="15" t="s">
        <v>827</v>
      </c>
      <c r="X319" s="15" t="s">
        <v>248</v>
      </c>
      <c r="Y319" s="15" t="s">
        <v>249</v>
      </c>
      <c r="Z319" s="16" t="str">
        <f aca="false">IFERROR(INDEX(Scoring!$K:$K,MATCH($C319&amp;"|"&amp;$E319,Scoring!$U:$U,0)),"")</f>
        <v>Cancer drug (cytotoxic) – less relevant; Reconstitution</v>
      </c>
      <c r="AA319" s="15" t="str">
        <f aca="false">IFERROR(INDEX(Scoring!$Q:$Q,MATCH($C319&amp;"|"&amp;$E319,Scoring!$U:$U,0)),"")</f>
        <v>Priority 1</v>
      </c>
      <c r="AB319" s="15" t="str">
        <f aca="false">IFERROR(INDEX(Scoring!$AK:$AK,MATCH($C319&amp;"|"&amp;$E319,Scoring!$U:$U,0)),"")</f>
        <v>Priority 1</v>
      </c>
      <c r="AC319" s="18" t="n">
        <f aca="false">IFERROR(INDEX(Scoring!$M:$M,MATCH($C319&amp;"|"&amp;$E319,Scoring!$U:$U,0)),"")</f>
        <v>905</v>
      </c>
      <c r="AD319" s="15" t="str">
        <f aca="false">IFERROR(INDEX('Route of Administration'!$C$5:$C$155,MATCH($C319,'Route of Administration'!$A$5:$A$155,0)),"")</f>
        <v>IV, SC</v>
      </c>
      <c r="AE319" s="14" t="str">
        <f aca="false">IFERROR(INDEX('Route of Administration'!$D$5:$D$155,MATCH($C319,'Route of Administration'!$A$5:$A$155,0)),"")</f>
        <v>Yes</v>
      </c>
    </row>
    <row r="320" customFormat="false" ht="28.35" hidden="false" customHeight="false" outlineLevel="0" collapsed="false">
      <c r="B320" s="15" t="n">
        <v>318</v>
      </c>
      <c r="C320" s="15" t="s">
        <v>498</v>
      </c>
      <c r="D320" s="15" t="s">
        <v>875</v>
      </c>
      <c r="E320" s="15" t="s">
        <v>838</v>
      </c>
      <c r="F320" s="15" t="s">
        <v>2125</v>
      </c>
      <c r="G320" s="16" t="s">
        <v>1691</v>
      </c>
      <c r="H320" s="15" t="s">
        <v>1505</v>
      </c>
      <c r="I320" s="17" t="n">
        <v>13.99</v>
      </c>
      <c r="J320" s="15" t="n">
        <v>1</v>
      </c>
      <c r="K320" s="15" t="n">
        <v>119</v>
      </c>
      <c r="L320" s="18" t="n">
        <v>3113.83</v>
      </c>
      <c r="M320" s="16" t="s">
        <v>499</v>
      </c>
      <c r="N320" s="17" t="n">
        <v>13.99</v>
      </c>
      <c r="O320" s="15" t="s">
        <v>1506</v>
      </c>
      <c r="P320" s="15" t="s">
        <v>1672</v>
      </c>
      <c r="Q320" s="16" t="s">
        <v>1508</v>
      </c>
      <c r="R320" s="32" t="s">
        <v>1784</v>
      </c>
      <c r="S320" s="37" t="n">
        <f aca="false">IFERROR(INDEX('Injectable Value'!$Z$28:$Z$178,MATCH($C320,'Injectable Value'!$A$28:$A$178,0)),"")</f>
        <v>0.899884259259259</v>
      </c>
      <c r="T320" s="18" t="n">
        <f aca="false">IFERROR(ROUND(INDEX('Injectable Value'!$AA$28:$AA$178,MATCH($C320,'Injectable Value'!$A$28:$A$178,0)),1),"")</f>
        <v>2802.1</v>
      </c>
      <c r="U320" s="16" t="s">
        <v>328</v>
      </c>
      <c r="V320" s="15" t="n">
        <v>1</v>
      </c>
      <c r="W320" s="15" t="s">
        <v>70</v>
      </c>
      <c r="X320" s="15" t="s">
        <v>248</v>
      </c>
      <c r="Y320" s="15" t="s">
        <v>249</v>
      </c>
      <c r="Z320" s="16" t="str">
        <f aca="false">IFERROR(INDEX(Scoring!$K:$K,MATCH($C320&amp;"|"&amp;$E320,Scoring!$U:$U,0)),"")</f>
        <v/>
      </c>
      <c r="AA320" s="15" t="str">
        <f aca="false">IFERROR(INDEX(Scoring!$Q:$Q,MATCH($C320&amp;"|"&amp;$E320,Scoring!$U:$U,0)),"")</f>
        <v>Excluded – IV only</v>
      </c>
      <c r="AB320" s="15" t="str">
        <f aca="false">IFERROR(INDEX(Scoring!$AK:$AK,MATCH($C320&amp;"|"&amp;$E320,Scoring!$U:$U,0)),"")</f>
        <v>Excluded – IV only</v>
      </c>
      <c r="AC320" s="18" t="n">
        <f aca="false">IFERROR(INDEX(Scoring!$M:$M,MATCH($C320&amp;"|"&amp;$E320,Scoring!$U:$U,0)),"")</f>
        <v>107</v>
      </c>
      <c r="AD320" s="15" t="str">
        <f aca="false">IFERROR(INDEX('Route of Administration'!$C$5:$C$155,MATCH($C320,'Route of Administration'!$A$5:$A$155,0)),"")</f>
        <v>IV</v>
      </c>
      <c r="AE320" s="14" t="str">
        <f aca="false">IFERROR(INDEX('Route of Administration'!$D$5:$D$155,MATCH($C320,'Route of Administration'!$A$5:$A$155,0)),"")</f>
        <v>No</v>
      </c>
    </row>
    <row r="321" customFormat="false" ht="28.35" hidden="false" customHeight="false" outlineLevel="0" collapsed="false">
      <c r="B321" s="15" t="n">
        <v>319</v>
      </c>
      <c r="C321" s="15" t="s">
        <v>635</v>
      </c>
      <c r="D321" s="15" t="s">
        <v>2126</v>
      </c>
      <c r="E321" s="15" t="s">
        <v>838</v>
      </c>
      <c r="F321" s="15" t="s">
        <v>2127</v>
      </c>
      <c r="G321" s="16" t="s">
        <v>2128</v>
      </c>
      <c r="H321" s="15" t="s">
        <v>1505</v>
      </c>
      <c r="I321" s="17" t="n">
        <v>8.68</v>
      </c>
      <c r="J321" s="15" t="n">
        <v>1</v>
      </c>
      <c r="K321" s="15" t="n">
        <v>346</v>
      </c>
      <c r="L321" s="18" t="n">
        <v>32830.17</v>
      </c>
      <c r="M321" s="16" t="s">
        <v>636</v>
      </c>
      <c r="N321" s="17" t="n">
        <v>8.68</v>
      </c>
      <c r="O321" s="15" t="s">
        <v>1506</v>
      </c>
      <c r="P321" s="15" t="s">
        <v>1672</v>
      </c>
      <c r="Q321" s="16" t="s">
        <v>1846</v>
      </c>
      <c r="R321" s="32" t="s">
        <v>2129</v>
      </c>
      <c r="S321" s="37" t="n">
        <f aca="false">IFERROR(INDEX('Injectable Value'!$Z$28:$Z$178,MATCH($C321,'Injectable Value'!$A$28:$A$178,0)),"")</f>
        <v>1</v>
      </c>
      <c r="T321" s="18" t="n">
        <f aca="false">IFERROR(ROUND(INDEX('Injectable Value'!$AA$28:$AA$178,MATCH($C321,'Injectable Value'!$A$28:$A$178,0)),1),"")</f>
        <v>32830.2</v>
      </c>
      <c r="U321" s="16" t="s">
        <v>878</v>
      </c>
      <c r="V321" s="15" t="n">
        <v>7</v>
      </c>
      <c r="W321" s="15" t="s">
        <v>827</v>
      </c>
      <c r="X321" s="15" t="s">
        <v>248</v>
      </c>
      <c r="Y321" s="15" t="s">
        <v>249</v>
      </c>
      <c r="Z321" s="16" t="str">
        <f aca="false">IFERROR(INDEX(Scoring!$K:$K,MATCH($C321&amp;"|"&amp;$E321,Scoring!$U:$U,0)),"")</f>
        <v/>
      </c>
      <c r="AA321" s="15" t="str">
        <f aca="false">IFERROR(INDEX(Scoring!$Q:$Q,MATCH($C321&amp;"|"&amp;$E321,Scoring!$U:$U,0)),"")</f>
        <v>Excluded – IV only</v>
      </c>
      <c r="AB321" s="15" t="str">
        <f aca="false">IFERROR(INDEX(Scoring!$AK:$AK,MATCH($C321&amp;"|"&amp;$E321,Scoring!$U:$U,0)),"")</f>
        <v>Excluded – IV only</v>
      </c>
      <c r="AC321" s="18" t="n">
        <f aca="false">IFERROR(INDEX(Scoring!$M:$M,MATCH($C321&amp;"|"&amp;$E321,Scoring!$U:$U,0)),"")</f>
        <v>346</v>
      </c>
      <c r="AD321" s="15" t="str">
        <f aca="false">IFERROR(INDEX('Route of Administration'!$C$5:$C$155,MATCH($C321,'Route of Administration'!$A$5:$A$155,0)),"")</f>
        <v>IV</v>
      </c>
      <c r="AE321" s="14" t="str">
        <f aca="false">IFERROR(INDEX('Route of Administration'!$D$5:$D$155,MATCH($C321,'Route of Administration'!$A$5:$A$155,0)),"")</f>
        <v>No</v>
      </c>
    </row>
    <row r="322" customFormat="false" ht="28.35" hidden="false" customHeight="false" outlineLevel="0" collapsed="false">
      <c r="B322" s="15" t="n">
        <v>320</v>
      </c>
      <c r="C322" s="15" t="s">
        <v>510</v>
      </c>
      <c r="D322" s="15" t="s">
        <v>2130</v>
      </c>
      <c r="E322" s="15" t="s">
        <v>838</v>
      </c>
      <c r="F322" s="15" t="s">
        <v>2131</v>
      </c>
      <c r="G322" s="16" t="s">
        <v>1659</v>
      </c>
      <c r="H322" s="15" t="s">
        <v>1505</v>
      </c>
      <c r="I322" s="17" t="n">
        <v>3147.91</v>
      </c>
      <c r="J322" s="15" t="n">
        <v>1</v>
      </c>
      <c r="K322" s="15" t="n">
        <v>47</v>
      </c>
      <c r="L322" s="18" t="n">
        <v>7904.67</v>
      </c>
      <c r="M322" s="16" t="s">
        <v>511</v>
      </c>
      <c r="N322" s="17" t="n">
        <v>3147.91</v>
      </c>
      <c r="O322" s="15" t="s">
        <v>1506</v>
      </c>
      <c r="P322" s="15" t="s">
        <v>1672</v>
      </c>
      <c r="Q322" s="16" t="s">
        <v>1846</v>
      </c>
      <c r="R322" s="32" t="s">
        <v>2132</v>
      </c>
      <c r="S322" s="37" t="n">
        <f aca="false">IFERROR(INDEX('Injectable Value'!$Z$28:$Z$178,MATCH($C322,'Injectable Value'!$A$28:$A$178,0)),"")</f>
        <v>1</v>
      </c>
      <c r="T322" s="18" t="n">
        <f aca="false">IFERROR(ROUND(INDEX('Injectable Value'!$AA$28:$AA$178,MATCH($C322,'Injectable Value'!$A$28:$A$178,0)),1),"")</f>
        <v>7904.7</v>
      </c>
      <c r="U322" s="16" t="s">
        <v>878</v>
      </c>
      <c r="V322" s="15" t="n">
        <v>7</v>
      </c>
      <c r="W322" s="15" t="s">
        <v>827</v>
      </c>
      <c r="X322" s="15" t="s">
        <v>248</v>
      </c>
      <c r="Y322" s="15" t="s">
        <v>249</v>
      </c>
      <c r="Z322" s="16" t="str">
        <f aca="false">IFERROR(INDEX(Scoring!$K:$K,MATCH($C322&amp;"|"&amp;$E322,Scoring!$U:$U,0)),"")</f>
        <v/>
      </c>
      <c r="AA322" s="15" t="str">
        <f aca="false">IFERROR(INDEX(Scoring!$Q:$Q,MATCH($C322&amp;"|"&amp;$E322,Scoring!$U:$U,0)),"")</f>
        <v>Priority 2</v>
      </c>
      <c r="AB322" s="15" t="str">
        <f aca="false">IFERROR(INDEX(Scoring!$AK:$AK,MATCH($C322&amp;"|"&amp;$E322,Scoring!$U:$U,0)),"")</f>
        <v>Priority 2</v>
      </c>
      <c r="AC322" s="18" t="n">
        <f aca="false">IFERROR(INDEX(Scoring!$M:$M,MATCH($C322&amp;"|"&amp;$E322,Scoring!$U:$U,0)),"")</f>
        <v>47</v>
      </c>
      <c r="AD322" s="15" t="str">
        <f aca="false">IFERROR(INDEX('Route of Administration'!$C$5:$C$155,MATCH($C322,'Route of Administration'!$A$5:$A$155,0)),"")</f>
        <v>SC</v>
      </c>
      <c r="AE322" s="14" t="str">
        <f aca="false">IFERROR(INDEX('Route of Administration'!$D$5:$D$155,MATCH($C322,'Route of Administration'!$A$5:$A$155,0)),"")</f>
        <v>Yes</v>
      </c>
    </row>
    <row r="323" customFormat="false" ht="28.35" hidden="false" customHeight="false" outlineLevel="0" collapsed="false">
      <c r="B323" s="15" t="n">
        <v>321</v>
      </c>
      <c r="C323" s="15" t="s">
        <v>305</v>
      </c>
      <c r="D323" s="15" t="s">
        <v>2119</v>
      </c>
      <c r="E323" s="15" t="s">
        <v>838</v>
      </c>
      <c r="F323" s="15" t="s">
        <v>2133</v>
      </c>
      <c r="G323" s="16" t="s">
        <v>1973</v>
      </c>
      <c r="H323" s="15" t="s">
        <v>1505</v>
      </c>
      <c r="I323" s="17" t="n">
        <v>102.88</v>
      </c>
      <c r="J323" s="15" t="n">
        <v>1</v>
      </c>
      <c r="K323" s="15" t="n">
        <v>905</v>
      </c>
      <c r="L323" s="18" t="n">
        <v>28093.38</v>
      </c>
      <c r="M323" s="16" t="s">
        <v>306</v>
      </c>
      <c r="N323" s="17" t="n">
        <v>102.88</v>
      </c>
      <c r="O323" s="15" t="s">
        <v>1506</v>
      </c>
      <c r="P323" s="15" t="s">
        <v>1672</v>
      </c>
      <c r="Q323" s="16" t="s">
        <v>1508</v>
      </c>
      <c r="R323" s="32" t="s">
        <v>1784</v>
      </c>
      <c r="S323" s="37" t="n">
        <f aca="false">IFERROR(INDEX('Injectable Value'!$Z$28:$Z$178,MATCH($C323,'Injectable Value'!$A$28:$A$178,0)),"")</f>
        <v>1</v>
      </c>
      <c r="T323" s="18" t="n">
        <f aca="false">IFERROR(ROUND(INDEX('Injectable Value'!$AA$28:$AA$178,MATCH($C323,'Injectable Value'!$A$28:$A$178,0)),1),"")</f>
        <v>28093.4</v>
      </c>
      <c r="U323" s="16" t="s">
        <v>843</v>
      </c>
      <c r="V323" s="15" t="n">
        <v>8</v>
      </c>
      <c r="W323" s="15" t="s">
        <v>827</v>
      </c>
      <c r="X323" s="15" t="s">
        <v>248</v>
      </c>
      <c r="Y323" s="15" t="s">
        <v>249</v>
      </c>
      <c r="Z323" s="16" t="str">
        <f aca="false">IFERROR(INDEX(Scoring!$K:$K,MATCH($C323&amp;"|"&amp;$E323,Scoring!$U:$U,0)),"")</f>
        <v>Cancer drug (cytotoxic) – less relevant; Reconstitution</v>
      </c>
      <c r="AA323" s="15" t="str">
        <f aca="false">IFERROR(INDEX(Scoring!$Q:$Q,MATCH($C323&amp;"|"&amp;$E323,Scoring!$U:$U,0)),"")</f>
        <v>Priority 1</v>
      </c>
      <c r="AB323" s="15" t="str">
        <f aca="false">IFERROR(INDEX(Scoring!$AK:$AK,MATCH($C323&amp;"|"&amp;$E323,Scoring!$U:$U,0)),"")</f>
        <v>Priority 1</v>
      </c>
      <c r="AC323" s="18" t="n">
        <f aca="false">IFERROR(INDEX(Scoring!$M:$M,MATCH($C323&amp;"|"&amp;$E323,Scoring!$U:$U,0)),"")</f>
        <v>905</v>
      </c>
      <c r="AD323" s="15" t="str">
        <f aca="false">IFERROR(INDEX('Route of Administration'!$C$5:$C$155,MATCH($C323,'Route of Administration'!$A$5:$A$155,0)),"")</f>
        <v>IV, SC</v>
      </c>
      <c r="AE323" s="14" t="str">
        <f aca="false">IFERROR(INDEX('Route of Administration'!$D$5:$D$155,MATCH($C323,'Route of Administration'!$A$5:$A$155,0)),"")</f>
        <v>Yes</v>
      </c>
    </row>
    <row r="324" customFormat="false" ht="41.75" hidden="false" customHeight="false" outlineLevel="0" collapsed="false">
      <c r="B324" s="15" t="n">
        <v>322</v>
      </c>
      <c r="C324" s="15" t="s">
        <v>480</v>
      </c>
      <c r="D324" s="15" t="s">
        <v>485</v>
      </c>
      <c r="E324" s="15" t="s">
        <v>894</v>
      </c>
      <c r="F324" s="15" t="s">
        <v>1574</v>
      </c>
      <c r="G324" s="16"/>
      <c r="H324" s="15"/>
      <c r="I324" s="17"/>
      <c r="J324" s="15" t="n">
        <v>1</v>
      </c>
      <c r="K324" s="15" t="n">
        <v>365</v>
      </c>
      <c r="L324" s="18" t="n">
        <v>5976.94</v>
      </c>
      <c r="M324" s="16" t="s">
        <v>481</v>
      </c>
      <c r="N324" s="17"/>
      <c r="O324" s="15" t="s">
        <v>1545</v>
      </c>
      <c r="P324" s="15" t="s">
        <v>70</v>
      </c>
      <c r="Q324" s="16" t="s">
        <v>70</v>
      </c>
      <c r="R324" s="15"/>
      <c r="S324" s="37" t="n">
        <f aca="false">IFERROR(INDEX('Injectable Value'!$Z$28:$Z$178,MATCH($C324,'Injectable Value'!$A$28:$A$178,0)),"")</f>
        <v>0.240571827983426</v>
      </c>
      <c r="T324" s="18" t="n">
        <f aca="false">IFERROR(ROUND(INDEX('Injectable Value'!$AA$28:$AA$178,MATCH($C324,'Injectable Value'!$A$28:$A$178,0)),1),"")</f>
        <v>1437.9</v>
      </c>
      <c r="U324" s="16" t="s">
        <v>1069</v>
      </c>
      <c r="V324" s="15" t="n">
        <v>15</v>
      </c>
      <c r="W324" s="15" t="s">
        <v>729</v>
      </c>
      <c r="X324" s="15" t="s">
        <v>277</v>
      </c>
      <c r="Y324" s="15" t="s">
        <v>277</v>
      </c>
      <c r="Z324" s="16" t="str">
        <f aca="false">IFERROR(INDEX(Scoring!$K:$K,MATCH($C324&amp;"|"&amp;$E324,Scoring!$U:$U,0)),"")</f>
        <v>Prefilled only</v>
      </c>
      <c r="AA324" s="15" t="str">
        <f aca="false">IFERROR(INDEX(Scoring!$Q:$Q,MATCH($C324&amp;"|"&amp;$E324,Scoring!$U:$U,0)),"")</f>
        <v>Priority 3</v>
      </c>
      <c r="AB324" s="15" t="str">
        <f aca="false">IFERROR(INDEX(Scoring!$AK:$AK,MATCH($C324&amp;"|"&amp;$E324,Scoring!$U:$U,0)),"")</f>
        <v>Priority 2</v>
      </c>
      <c r="AC324" s="18" t="n">
        <f aca="false">IFERROR(INDEX(Scoring!$M:$M,MATCH($C324&amp;"|"&amp;$E324,Scoring!$U:$U,0)),"")</f>
        <v>88</v>
      </c>
      <c r="AD324" s="15" t="str">
        <f aca="false">IFERROR(INDEX('Route of Administration'!$C$5:$C$155,MATCH($C324,'Route of Administration'!$A$5:$A$155,0)),"")</f>
        <v>IV, IM, SC</v>
      </c>
      <c r="AE324" s="14" t="str">
        <f aca="false">IFERROR(INDEX('Route of Administration'!$D$5:$D$155,MATCH($C324,'Route of Administration'!$A$5:$A$155,0)),"")</f>
        <v>Yes</v>
      </c>
    </row>
    <row r="325" customFormat="false" ht="41.75" hidden="false" customHeight="false" outlineLevel="0" collapsed="false">
      <c r="B325" s="15" t="n">
        <v>323</v>
      </c>
      <c r="C325" s="15" t="s">
        <v>480</v>
      </c>
      <c r="D325" s="15" t="s">
        <v>485</v>
      </c>
      <c r="E325" s="15" t="s">
        <v>894</v>
      </c>
      <c r="F325" s="15" t="s">
        <v>1572</v>
      </c>
      <c r="G325" s="16"/>
      <c r="H325" s="15"/>
      <c r="I325" s="17"/>
      <c r="J325" s="15" t="n">
        <v>1</v>
      </c>
      <c r="K325" s="15" t="n">
        <v>365</v>
      </c>
      <c r="L325" s="18" t="n">
        <v>5976.94</v>
      </c>
      <c r="M325" s="16" t="s">
        <v>481</v>
      </c>
      <c r="N325" s="17"/>
      <c r="O325" s="15" t="s">
        <v>1545</v>
      </c>
      <c r="P325" s="15" t="s">
        <v>70</v>
      </c>
      <c r="Q325" s="16" t="s">
        <v>70</v>
      </c>
      <c r="R325" s="15"/>
      <c r="S325" s="37" t="n">
        <f aca="false">IFERROR(INDEX('Injectable Value'!$Z$28:$Z$178,MATCH($C325,'Injectable Value'!$A$28:$A$178,0)),"")</f>
        <v>0.240571827983426</v>
      </c>
      <c r="T325" s="18" t="n">
        <f aca="false">IFERROR(ROUND(INDEX('Injectable Value'!$AA$28:$AA$178,MATCH($C325,'Injectable Value'!$A$28:$A$178,0)),1),"")</f>
        <v>1437.9</v>
      </c>
      <c r="U325" s="16" t="s">
        <v>1069</v>
      </c>
      <c r="V325" s="15" t="n">
        <v>15</v>
      </c>
      <c r="W325" s="15" t="s">
        <v>729</v>
      </c>
      <c r="X325" s="15" t="s">
        <v>277</v>
      </c>
      <c r="Y325" s="15" t="s">
        <v>277</v>
      </c>
      <c r="Z325" s="16" t="str">
        <f aca="false">IFERROR(INDEX(Scoring!$K:$K,MATCH($C325&amp;"|"&amp;$E325,Scoring!$U:$U,0)),"")</f>
        <v>Prefilled only</v>
      </c>
      <c r="AA325" s="15" t="str">
        <f aca="false">IFERROR(INDEX(Scoring!$Q:$Q,MATCH($C325&amp;"|"&amp;$E325,Scoring!$U:$U,0)),"")</f>
        <v>Priority 3</v>
      </c>
      <c r="AB325" s="15" t="str">
        <f aca="false">IFERROR(INDEX(Scoring!$AK:$AK,MATCH($C325&amp;"|"&amp;$E325,Scoring!$U:$U,0)),"")</f>
        <v>Priority 2</v>
      </c>
      <c r="AC325" s="18" t="n">
        <f aca="false">IFERROR(INDEX(Scoring!$M:$M,MATCH($C325&amp;"|"&amp;$E325,Scoring!$U:$U,0)),"")</f>
        <v>88</v>
      </c>
      <c r="AD325" s="15" t="str">
        <f aca="false">IFERROR(INDEX('Route of Administration'!$C$5:$C$155,MATCH($C325,'Route of Administration'!$A$5:$A$155,0)),"")</f>
        <v>IV, IM, SC</v>
      </c>
      <c r="AE325" s="14" t="str">
        <f aca="false">IFERROR(INDEX('Route of Administration'!$D$5:$D$155,MATCH($C325,'Route of Administration'!$A$5:$A$155,0)),"")</f>
        <v>Yes</v>
      </c>
    </row>
    <row r="326" customFormat="false" ht="68.65" hidden="false" customHeight="false" outlineLevel="0" collapsed="false">
      <c r="B326" s="15" t="n">
        <v>324</v>
      </c>
      <c r="C326" s="15" t="s">
        <v>487</v>
      </c>
      <c r="D326" s="15" t="s">
        <v>2134</v>
      </c>
      <c r="E326" s="15" t="s">
        <v>894</v>
      </c>
      <c r="F326" s="15" t="s">
        <v>2135</v>
      </c>
      <c r="G326" s="16" t="s">
        <v>2136</v>
      </c>
      <c r="H326" s="15" t="s">
        <v>1505</v>
      </c>
      <c r="I326" s="17" t="n">
        <v>6.32</v>
      </c>
      <c r="J326" s="15" t="n">
        <v>1</v>
      </c>
      <c r="K326" s="15" t="n">
        <v>2546</v>
      </c>
      <c r="L326" s="18" t="n">
        <v>46507.62</v>
      </c>
      <c r="M326" s="16" t="s">
        <v>488</v>
      </c>
      <c r="N326" s="17" t="n">
        <v>6.32</v>
      </c>
      <c r="O326" s="15" t="s">
        <v>1506</v>
      </c>
      <c r="P326" s="15" t="s">
        <v>1507</v>
      </c>
      <c r="Q326" s="16" t="s">
        <v>1508</v>
      </c>
      <c r="R326" s="32" t="s">
        <v>2137</v>
      </c>
      <c r="S326" s="37" t="n">
        <f aca="false">IFERROR(INDEX('Injectable Value'!$Z$28:$Z$178,MATCH($C326,'Injectable Value'!$A$28:$A$178,0)),"")</f>
        <v>0.378228374732698</v>
      </c>
      <c r="T326" s="18" t="n">
        <f aca="false">IFERROR(ROUND(INDEX('Injectable Value'!$AA$28:$AA$178,MATCH($C326,'Injectable Value'!$A$28:$A$178,0)),1),"")</f>
        <v>17590.5</v>
      </c>
      <c r="U326" s="16" t="s">
        <v>1074</v>
      </c>
      <c r="V326" s="15" t="n">
        <v>27</v>
      </c>
      <c r="W326" s="15" t="s">
        <v>307</v>
      </c>
      <c r="X326" s="15" t="s">
        <v>248</v>
      </c>
      <c r="Y326" s="15" t="s">
        <v>1519</v>
      </c>
      <c r="Z326" s="16" t="str">
        <f aca="false">IFERROR(INDEX(Scoring!$K:$K,MATCH($C326&amp;"|"&amp;$E326,Scoring!$U:$U,0)),"")</f>
        <v/>
      </c>
      <c r="AA326" s="15" t="str">
        <f aca="false">IFERROR(INDEX(Scoring!$Q:$Q,MATCH($C326&amp;"|"&amp;$E326,Scoring!$U:$U,0)),"")</f>
        <v>Priority 2</v>
      </c>
      <c r="AB326" s="15" t="str">
        <f aca="false">IFERROR(INDEX(Scoring!$AK:$AK,MATCH($C326&amp;"|"&amp;$E326,Scoring!$U:$U,0)),"")</f>
        <v>Priority 2</v>
      </c>
      <c r="AC326" s="18" t="n">
        <f aca="false">IFERROR(INDEX(Scoring!$M:$M,MATCH($C326&amp;"|"&amp;$E326,Scoring!$U:$U,0)),"")</f>
        <v>963</v>
      </c>
      <c r="AD326" s="15" t="str">
        <f aca="false">IFERROR(INDEX('Route of Administration'!$C$5:$C$155,MATCH($C326,'Route of Administration'!$A$5:$A$155,0)),"")</f>
        <v>IV, IM</v>
      </c>
      <c r="AE326" s="14" t="str">
        <f aca="false">IFERROR(INDEX('Route of Administration'!$D$5:$D$155,MATCH($C326,'Route of Administration'!$A$5:$A$155,0)),"")</f>
        <v>Yes</v>
      </c>
    </row>
    <row r="327" customFormat="false" ht="28.35" hidden="false" customHeight="false" outlineLevel="0" collapsed="false">
      <c r="B327" s="15" t="n">
        <v>325</v>
      </c>
      <c r="C327" s="15" t="s">
        <v>517</v>
      </c>
      <c r="D327" s="15" t="s">
        <v>517</v>
      </c>
      <c r="E327" s="15" t="s">
        <v>894</v>
      </c>
      <c r="F327" s="15" t="s">
        <v>1579</v>
      </c>
      <c r="G327" s="16"/>
      <c r="H327" s="15"/>
      <c r="I327" s="17"/>
      <c r="J327" s="15" t="n">
        <v>1</v>
      </c>
      <c r="K327" s="15" t="n">
        <v>736</v>
      </c>
      <c r="L327" s="18" t="n">
        <v>22018.81</v>
      </c>
      <c r="M327" s="16" t="s">
        <v>518</v>
      </c>
      <c r="N327" s="38" t="n">
        <v>6.23</v>
      </c>
      <c r="O327" s="22" t="s">
        <v>1513</v>
      </c>
      <c r="P327" s="15" t="s">
        <v>1507</v>
      </c>
      <c r="Q327" s="16" t="s">
        <v>1514</v>
      </c>
      <c r="R327" s="32" t="s">
        <v>1515</v>
      </c>
      <c r="S327" s="37" t="n">
        <f aca="false">IFERROR(INDEX('Injectable Value'!$Z$28:$Z$178,MATCH($C327,'Injectable Value'!$A$28:$A$178,0)),"")</f>
        <v>0.120198430249293</v>
      </c>
      <c r="T327" s="18" t="n">
        <f aca="false">IFERROR(ROUND(INDEX('Injectable Value'!$AA$28:$AA$178,MATCH($C327,'Injectable Value'!$A$28:$A$178,0)),1),"")</f>
        <v>2646.6</v>
      </c>
      <c r="U327" s="16" t="s">
        <v>247</v>
      </c>
      <c r="V327" s="15" t="n">
        <v>1</v>
      </c>
      <c r="W327" s="15" t="s">
        <v>247</v>
      </c>
      <c r="X327" s="15" t="s">
        <v>277</v>
      </c>
      <c r="Y327" s="15" t="s">
        <v>277</v>
      </c>
      <c r="Z327" s="16" t="str">
        <f aca="false">IFERROR(INDEX(Scoring!$K:$K,MATCH($C327&amp;"|"&amp;$E327,Scoring!$U:$U,0)),"")</f>
        <v/>
      </c>
      <c r="AA327" s="15" t="str">
        <f aca="false">IFERROR(INDEX(Scoring!$Q:$Q,MATCH($C327&amp;"|"&amp;$E327,Scoring!$U:$U,0)),"")</f>
        <v>Priority 3</v>
      </c>
      <c r="AB327" s="15" t="str">
        <f aca="false">IFERROR(INDEX(Scoring!$AK:$AK,MATCH($C327&amp;"|"&amp;$E327,Scoring!$U:$U,0)),"")</f>
        <v>Priority 2</v>
      </c>
      <c r="AC327" s="18" t="n">
        <f aca="false">IFERROR(INDEX(Scoring!$M:$M,MATCH($C327&amp;"|"&amp;$E327,Scoring!$U:$U,0)),"")</f>
        <v>88</v>
      </c>
      <c r="AD327" s="15" t="str">
        <f aca="false">IFERROR(INDEX('Route of Administration'!$C$5:$C$155,MATCH($C327,'Route of Administration'!$A$5:$A$155,0)),"")</f>
        <v>IM</v>
      </c>
      <c r="AE327" s="14" t="str">
        <f aca="false">IFERROR(INDEX('Route of Administration'!$D$5:$D$155,MATCH($C327,'Route of Administration'!$A$5:$A$155,0)),"")</f>
        <v>Yes</v>
      </c>
    </row>
    <row r="328" customFormat="false" ht="41.75" hidden="false" customHeight="false" outlineLevel="0" collapsed="false">
      <c r="B328" s="15" t="n">
        <v>326</v>
      </c>
      <c r="C328" s="15" t="s">
        <v>669</v>
      </c>
      <c r="D328" s="15" t="s">
        <v>669</v>
      </c>
      <c r="E328" s="15" t="s">
        <v>894</v>
      </c>
      <c r="F328" s="15" t="s">
        <v>2138</v>
      </c>
      <c r="G328" s="16" t="s">
        <v>2139</v>
      </c>
      <c r="H328" s="15" t="s">
        <v>1505</v>
      </c>
      <c r="I328" s="17" t="n">
        <v>31.16</v>
      </c>
      <c r="J328" s="15" t="n">
        <v>1</v>
      </c>
      <c r="K328" s="15" t="n">
        <v>5</v>
      </c>
      <c r="L328" s="18" t="n">
        <v>806.34</v>
      </c>
      <c r="M328" s="16" t="s">
        <v>670</v>
      </c>
      <c r="N328" s="17" t="n">
        <v>31.16</v>
      </c>
      <c r="O328" s="15" t="s">
        <v>1506</v>
      </c>
      <c r="P328" s="15" t="s">
        <v>1507</v>
      </c>
      <c r="Q328" s="16" t="s">
        <v>1508</v>
      </c>
      <c r="R328" s="32" t="s">
        <v>1889</v>
      </c>
      <c r="S328" s="37" t="n">
        <f aca="false">IFERROR(INDEX('Injectable Value'!$Z$28:$Z$178,MATCH($C328,'Injectable Value'!$A$28:$A$178,0)),"")</f>
        <v>1</v>
      </c>
      <c r="T328" s="18" t="n">
        <f aca="false">IFERROR(ROUND(INDEX('Injectable Value'!$AA$28:$AA$178,MATCH($C328,'Injectable Value'!$A$28:$A$178,0)),1),"")</f>
        <v>806.3</v>
      </c>
      <c r="U328" s="16" t="s">
        <v>923</v>
      </c>
      <c r="V328" s="15" t="n">
        <v>12</v>
      </c>
      <c r="W328" s="15" t="s">
        <v>307</v>
      </c>
      <c r="X328" s="15" t="s">
        <v>248</v>
      </c>
      <c r="Y328" s="15" t="s">
        <v>299</v>
      </c>
      <c r="Z328" s="16" t="str">
        <f aca="false">IFERROR(INDEX(Scoring!$K:$K,MATCH($C328&amp;"|"&amp;$E328,Scoring!$U:$U,0)),"")</f>
        <v>Reconstitution</v>
      </c>
      <c r="AA328" s="15" t="str">
        <f aca="false">IFERROR(INDEX(Scoring!$Q:$Q,MATCH($C328&amp;"|"&amp;$E328,Scoring!$U:$U,0)),"")</f>
        <v>Excluded – IV only</v>
      </c>
      <c r="AB328" s="15" t="str">
        <f aca="false">IFERROR(INDEX(Scoring!$AK:$AK,MATCH($C328&amp;"|"&amp;$E328,Scoring!$U:$U,0)),"")</f>
        <v>Excluded – IV only</v>
      </c>
      <c r="AC328" s="18" t="n">
        <f aca="false">IFERROR(INDEX(Scoring!$M:$M,MATCH($C328&amp;"|"&amp;$E328,Scoring!$U:$U,0)),"")</f>
        <v>5</v>
      </c>
      <c r="AD328" s="15" t="str">
        <f aca="false">IFERROR(INDEX('Route of Administration'!$C$5:$C$155,MATCH($C328,'Route of Administration'!$A$5:$A$155,0)),"")</f>
        <v>IV</v>
      </c>
      <c r="AE328" s="14" t="str">
        <f aca="false">IFERROR(INDEX('Route of Administration'!$D$5:$D$155,MATCH($C328,'Route of Administration'!$A$5:$A$155,0)),"")</f>
        <v>No</v>
      </c>
    </row>
    <row r="329" customFormat="false" ht="82.05" hidden="false" customHeight="false" outlineLevel="0" collapsed="false">
      <c r="B329" s="15" t="n">
        <v>327</v>
      </c>
      <c r="C329" s="15" t="s">
        <v>434</v>
      </c>
      <c r="D329" s="15" t="s">
        <v>438</v>
      </c>
      <c r="E329" s="15" t="s">
        <v>894</v>
      </c>
      <c r="F329" s="15" t="s">
        <v>1600</v>
      </c>
      <c r="G329" s="16" t="s">
        <v>2140</v>
      </c>
      <c r="H329" s="15" t="s">
        <v>1512</v>
      </c>
      <c r="I329" s="17" t="n">
        <v>125</v>
      </c>
      <c r="J329" s="15" t="n">
        <v>1</v>
      </c>
      <c r="K329" s="15" t="n">
        <v>116</v>
      </c>
      <c r="L329" s="18" t="n">
        <v>1162.12</v>
      </c>
      <c r="M329" s="16" t="s">
        <v>435</v>
      </c>
      <c r="N329" s="17" t="n">
        <v>125</v>
      </c>
      <c r="O329" s="15" t="s">
        <v>1506</v>
      </c>
      <c r="P329" s="15" t="s">
        <v>1507</v>
      </c>
      <c r="Q329" s="16" t="s">
        <v>1508</v>
      </c>
      <c r="R329" s="32" t="s">
        <v>1602</v>
      </c>
      <c r="S329" s="37" t="n">
        <f aca="false">IFERROR(INDEX('Injectable Value'!$Z$28:$Z$178,MATCH($C329,'Injectable Value'!$A$28:$A$178,0)),"")</f>
        <v>0.444974105461394</v>
      </c>
      <c r="T329" s="18" t="n">
        <f aca="false">IFERROR(ROUND(INDEX('Injectable Value'!$AA$28:$AA$178,MATCH($C329,'Injectable Value'!$A$28:$A$178,0)),1),"")</f>
        <v>517.1</v>
      </c>
      <c r="U329" s="16" t="s">
        <v>1027</v>
      </c>
      <c r="V329" s="15" t="n">
        <v>32</v>
      </c>
      <c r="W329" s="15" t="s">
        <v>1025</v>
      </c>
      <c r="X329" s="15" t="s">
        <v>258</v>
      </c>
      <c r="Y329" s="15" t="s">
        <v>249</v>
      </c>
      <c r="Z329" s="16" t="str">
        <f aca="false">IFERROR(INDEX(Scoring!$K:$K,MATCH($C329&amp;"|"&amp;$E329,Scoring!$U:$U,0)),"")</f>
        <v>Prefilled only</v>
      </c>
      <c r="AA329" s="15" t="str">
        <f aca="false">IFERROR(INDEX(Scoring!$Q:$Q,MATCH($C329&amp;"|"&amp;$E329,Scoring!$U:$U,0)),"")</f>
        <v>Excluded – IV only</v>
      </c>
      <c r="AB329" s="15" t="str">
        <f aca="false">IFERROR(INDEX(Scoring!$AK:$AK,MATCH($C329&amp;"|"&amp;$E329,Scoring!$U:$U,0)),"")</f>
        <v>Excluded – IV only</v>
      </c>
      <c r="AC329" s="18" t="n">
        <f aca="false">IFERROR(INDEX(Scoring!$M:$M,MATCH($C329&amp;"|"&amp;$E329,Scoring!$U:$U,0)),"")</f>
        <v>52</v>
      </c>
      <c r="AD329" s="15" t="str">
        <f aca="false">IFERROR(INDEX('Route of Administration'!$C$5:$C$155,MATCH($C329,'Route of Administration'!$A$5:$A$155,0)),"")</f>
        <v>IV</v>
      </c>
      <c r="AE329" s="14" t="str">
        <f aca="false">IFERROR(INDEX('Route of Administration'!$D$5:$D$155,MATCH($C329,'Route of Administration'!$A$5:$A$155,0)),"")</f>
        <v>No</v>
      </c>
    </row>
    <row r="330" customFormat="false" ht="82.05" hidden="false" customHeight="false" outlineLevel="0" collapsed="false">
      <c r="B330" s="15" t="n">
        <v>328</v>
      </c>
      <c r="C330" s="15" t="s">
        <v>262</v>
      </c>
      <c r="D330" s="15" t="s">
        <v>262</v>
      </c>
      <c r="E330" s="15" t="s">
        <v>894</v>
      </c>
      <c r="F330" s="15" t="s">
        <v>1526</v>
      </c>
      <c r="G330" s="16" t="s">
        <v>2141</v>
      </c>
      <c r="H330" s="15" t="s">
        <v>1528</v>
      </c>
      <c r="I330" s="17" t="n">
        <v>29.97</v>
      </c>
      <c r="J330" s="15" t="n">
        <v>1</v>
      </c>
      <c r="K330" s="15" t="n">
        <v>146</v>
      </c>
      <c r="L330" s="18" t="n">
        <v>11366.06</v>
      </c>
      <c r="M330" s="16" t="s">
        <v>263</v>
      </c>
      <c r="N330" s="17" t="n">
        <v>29.97</v>
      </c>
      <c r="O330" s="15" t="s">
        <v>1506</v>
      </c>
      <c r="P330" s="15" t="s">
        <v>1507</v>
      </c>
      <c r="Q330" s="16" t="s">
        <v>1508</v>
      </c>
      <c r="R330" s="32" t="s">
        <v>1529</v>
      </c>
      <c r="S330" s="37" t="n">
        <f aca="false">IFERROR(INDEX('Injectable Value'!$Z$28:$Z$178,MATCH($C330,'Injectable Value'!$A$28:$A$178,0)),"")</f>
        <v>1</v>
      </c>
      <c r="T330" s="18" t="n">
        <f aca="false">IFERROR(ROUND(INDEX('Injectable Value'!$AA$28:$AA$178,MATCH($C330,'Injectable Value'!$A$28:$A$178,0)),1),"")</f>
        <v>11366.1</v>
      </c>
      <c r="U330" s="16" t="s">
        <v>1015</v>
      </c>
      <c r="V330" s="15" t="n">
        <v>30</v>
      </c>
      <c r="W330" s="15" t="s">
        <v>307</v>
      </c>
      <c r="X330" s="15" t="s">
        <v>258</v>
      </c>
      <c r="Y330" s="15" t="s">
        <v>249</v>
      </c>
      <c r="Z330" s="16" t="str">
        <f aca="false">IFERROR(INDEX(Scoring!$K:$K,MATCH($C330&amp;"|"&amp;$E330,Scoring!$U:$U,0)),"")</f>
        <v>Prefilled only</v>
      </c>
      <c r="AA330" s="15" t="str">
        <f aca="false">IFERROR(INDEX(Scoring!$Q:$Q,MATCH($C330&amp;"|"&amp;$E330,Scoring!$U:$U,0)),"")</f>
        <v>Priority 1</v>
      </c>
      <c r="AB330" s="15" t="str">
        <f aca="false">IFERROR(INDEX(Scoring!$AK:$AK,MATCH($C330&amp;"|"&amp;$E330,Scoring!$U:$U,0)),"")</f>
        <v>Priority 2</v>
      </c>
      <c r="AC330" s="18" t="n">
        <f aca="false">IFERROR(INDEX(Scoring!$M:$M,MATCH($C330&amp;"|"&amp;$E330,Scoring!$U:$U,0)),"")</f>
        <v>146</v>
      </c>
      <c r="AD330" s="15" t="str">
        <f aca="false">IFERROR(INDEX('Route of Administration'!$C$5:$C$155,MATCH($C330,'Route of Administration'!$A$5:$A$155,0)),"")</f>
        <v>IM</v>
      </c>
      <c r="AE330" s="14" t="str">
        <f aca="false">IFERROR(INDEX('Route of Administration'!$D$5:$D$155,MATCH($C330,'Route of Administration'!$A$5:$A$155,0)),"")</f>
        <v>Yes</v>
      </c>
    </row>
    <row r="331" customFormat="false" ht="28.35" hidden="false" customHeight="false" outlineLevel="0" collapsed="false">
      <c r="B331" s="15" t="n">
        <v>329</v>
      </c>
      <c r="C331" s="15" t="s">
        <v>291</v>
      </c>
      <c r="D331" s="15" t="s">
        <v>295</v>
      </c>
      <c r="E331" s="15" t="s">
        <v>894</v>
      </c>
      <c r="F331" s="15" t="s">
        <v>1624</v>
      </c>
      <c r="G331" s="16" t="s">
        <v>2142</v>
      </c>
      <c r="H331" s="15" t="s">
        <v>248</v>
      </c>
      <c r="I331" s="17" t="n">
        <v>90.4</v>
      </c>
      <c r="J331" s="15" t="n">
        <v>1</v>
      </c>
      <c r="K331" s="15" t="n">
        <v>22</v>
      </c>
      <c r="L331" s="18" t="n">
        <v>2127.31</v>
      </c>
      <c r="M331" s="16" t="s">
        <v>292</v>
      </c>
      <c r="N331" s="17" t="n">
        <v>90.4</v>
      </c>
      <c r="O331" s="15" t="s">
        <v>1506</v>
      </c>
      <c r="P331" s="15" t="s">
        <v>1507</v>
      </c>
      <c r="Q331" s="16" t="s">
        <v>1508</v>
      </c>
      <c r="R331" s="32" t="s">
        <v>1626</v>
      </c>
      <c r="S331" s="37" t="n">
        <f aca="false">IFERROR(INDEX('Injectable Value'!$Z$28:$Z$178,MATCH($C331,'Injectable Value'!$A$28:$A$178,0)),"")</f>
        <v>1</v>
      </c>
      <c r="T331" s="18" t="n">
        <f aca="false">IFERROR(ROUND(INDEX('Injectable Value'!$AA$28:$AA$178,MATCH($C331,'Injectable Value'!$A$28:$A$178,0)),1),"")</f>
        <v>2127.3</v>
      </c>
      <c r="U331" s="16" t="s">
        <v>906</v>
      </c>
      <c r="V331" s="15" t="n">
        <v>5</v>
      </c>
      <c r="W331" s="15" t="s">
        <v>905</v>
      </c>
      <c r="X331" s="15" t="s">
        <v>248</v>
      </c>
      <c r="Y331" s="15" t="s">
        <v>1519</v>
      </c>
      <c r="Z331" s="16" t="str">
        <f aca="false">IFERROR(INDEX(Scoring!$K:$K,MATCH($C331&amp;"|"&amp;$E331,Scoring!$U:$U,0)),"")</f>
        <v/>
      </c>
      <c r="AA331" s="15" t="str">
        <f aca="false">IFERROR(INDEX(Scoring!$Q:$Q,MATCH($C331&amp;"|"&amp;$E331,Scoring!$U:$U,0)),"")</f>
        <v>Excluded – IV only</v>
      </c>
      <c r="AB331" s="15" t="str">
        <f aca="false">IFERROR(INDEX(Scoring!$AK:$AK,MATCH($C331&amp;"|"&amp;$E331,Scoring!$U:$U,0)),"")</f>
        <v>Excluded – IV only</v>
      </c>
      <c r="AC331" s="18" t="n">
        <f aca="false">IFERROR(INDEX(Scoring!$M:$M,MATCH($C331&amp;"|"&amp;$E331,Scoring!$U:$U,0)),"")</f>
        <v>22</v>
      </c>
      <c r="AD331" s="15" t="str">
        <f aca="false">IFERROR(INDEX('Route of Administration'!$C$5:$C$155,MATCH($C331,'Route of Administration'!$A$5:$A$155,0)),"")</f>
        <v>IV</v>
      </c>
      <c r="AE331" s="14" t="str">
        <f aca="false">IFERROR(INDEX('Route of Administration'!$D$5:$D$155,MATCH($C331,'Route of Administration'!$A$5:$A$155,0)),"")</f>
        <v>No</v>
      </c>
    </row>
    <row r="332" customFormat="false" ht="41.75" hidden="false" customHeight="false" outlineLevel="0" collapsed="false">
      <c r="B332" s="15" t="n">
        <v>330</v>
      </c>
      <c r="C332" s="15" t="s">
        <v>910</v>
      </c>
      <c r="D332" s="15" t="s">
        <v>2143</v>
      </c>
      <c r="E332" s="15" t="s">
        <v>894</v>
      </c>
      <c r="F332" s="15" t="s">
        <v>2144</v>
      </c>
      <c r="G332" s="16" t="s">
        <v>2145</v>
      </c>
      <c r="H332" s="15" t="s">
        <v>258</v>
      </c>
      <c r="I332" s="17" t="n">
        <v>31.1</v>
      </c>
      <c r="J332" s="15" t="n">
        <v>1</v>
      </c>
      <c r="K332" s="15" t="n">
        <v>976</v>
      </c>
      <c r="L332" s="18" t="n">
        <v>9295.14</v>
      </c>
      <c r="M332" s="16" t="s">
        <v>911</v>
      </c>
      <c r="N332" s="17" t="n">
        <v>31.1</v>
      </c>
      <c r="O332" s="15" t="s">
        <v>1506</v>
      </c>
      <c r="P332" s="15" t="s">
        <v>1507</v>
      </c>
      <c r="Q332" s="16" t="s">
        <v>1508</v>
      </c>
      <c r="R332" s="32" t="s">
        <v>2146</v>
      </c>
      <c r="S332" s="37" t="n">
        <f aca="false">IFERROR(INDEX('Injectable Value'!$Z$28:$Z$178,MATCH($C332,'Injectable Value'!$A$28:$A$178,0)),"")</f>
        <v>0.732106666907168</v>
      </c>
      <c r="T332" s="18" t="n">
        <f aca="false">IFERROR(ROUND(INDEX('Injectable Value'!$AA$28:$AA$178,MATCH($C332,'Injectable Value'!$A$28:$A$178,0)),1),"")</f>
        <v>6805</v>
      </c>
      <c r="U332" s="16" t="s">
        <v>915</v>
      </c>
      <c r="V332" s="15" t="n">
        <v>16</v>
      </c>
      <c r="W332" s="15" t="s">
        <v>729</v>
      </c>
      <c r="X332" s="15" t="s">
        <v>258</v>
      </c>
      <c r="Y332" s="15" t="s">
        <v>249</v>
      </c>
      <c r="Z332" s="16" t="str">
        <f aca="false">IFERROR(INDEX(Scoring!$K:$K,MATCH($C332&amp;"|"&amp;$E332,Scoring!$U:$U,0)),"")</f>
        <v/>
      </c>
      <c r="AA332" s="15" t="str">
        <f aca="false">IFERROR(INDEX(Scoring!$Q:$Q,MATCH($C332&amp;"|"&amp;$E332,Scoring!$U:$U,0)),"")</f>
        <v>Priority 2</v>
      </c>
      <c r="AB332" s="15" t="str">
        <f aca="false">IFERROR(INDEX(Scoring!$AK:$AK,MATCH($C332&amp;"|"&amp;$E332,Scoring!$U:$U,0)),"")</f>
        <v>Priority 2</v>
      </c>
      <c r="AC332" s="18" t="n">
        <f aca="false">IFERROR(INDEX(Scoring!$M:$M,MATCH($C332&amp;"|"&amp;$E332,Scoring!$U:$U,0)),"")</f>
        <v>715</v>
      </c>
      <c r="AD332" s="15" t="str">
        <f aca="false">IFERROR(INDEX('Route of Administration'!$C$5:$C$155,MATCH($C332,'Route of Administration'!$A$5:$A$155,0)),"")</f>
        <v>IV, IM, SC</v>
      </c>
      <c r="AE332" s="14" t="str">
        <f aca="false">IFERROR(INDEX('Route of Administration'!$D$5:$D$155,MATCH($C332,'Route of Administration'!$A$5:$A$155,0)),"")</f>
        <v>Yes</v>
      </c>
    </row>
    <row r="333" customFormat="false" ht="41.75" hidden="false" customHeight="false" outlineLevel="0" collapsed="false">
      <c r="B333" s="15" t="n">
        <v>331</v>
      </c>
      <c r="C333" s="15" t="s">
        <v>910</v>
      </c>
      <c r="D333" s="15" t="s">
        <v>2143</v>
      </c>
      <c r="E333" s="15" t="s">
        <v>894</v>
      </c>
      <c r="F333" s="15" t="s">
        <v>2147</v>
      </c>
      <c r="G333" s="16" t="s">
        <v>2148</v>
      </c>
      <c r="H333" s="15" t="s">
        <v>248</v>
      </c>
      <c r="I333" s="17" t="n">
        <v>9.25</v>
      </c>
      <c r="J333" s="15" t="n">
        <v>1</v>
      </c>
      <c r="K333" s="15" t="n">
        <v>976</v>
      </c>
      <c r="L333" s="18" t="n">
        <v>9295.14</v>
      </c>
      <c r="M333" s="16" t="s">
        <v>911</v>
      </c>
      <c r="N333" s="17" t="n">
        <v>9.25</v>
      </c>
      <c r="O333" s="15" t="s">
        <v>1506</v>
      </c>
      <c r="P333" s="15" t="s">
        <v>1507</v>
      </c>
      <c r="Q333" s="16" t="s">
        <v>1508</v>
      </c>
      <c r="R333" s="32" t="s">
        <v>2146</v>
      </c>
      <c r="S333" s="37" t="n">
        <f aca="false">IFERROR(INDEX('Injectable Value'!$Z$28:$Z$178,MATCH($C333,'Injectable Value'!$A$28:$A$178,0)),"")</f>
        <v>0.732106666907168</v>
      </c>
      <c r="T333" s="18" t="n">
        <f aca="false">IFERROR(ROUND(INDEX('Injectable Value'!$AA$28:$AA$178,MATCH($C333,'Injectable Value'!$A$28:$A$178,0)),1),"")</f>
        <v>6805</v>
      </c>
      <c r="U333" s="16" t="s">
        <v>915</v>
      </c>
      <c r="V333" s="15" t="n">
        <v>16</v>
      </c>
      <c r="W333" s="15" t="s">
        <v>729</v>
      </c>
      <c r="X333" s="15" t="s">
        <v>248</v>
      </c>
      <c r="Y333" s="15" t="s">
        <v>249</v>
      </c>
      <c r="Z333" s="16" t="str">
        <f aca="false">IFERROR(INDEX(Scoring!$K:$K,MATCH($C333&amp;"|"&amp;$E333,Scoring!$U:$U,0)),"")</f>
        <v/>
      </c>
      <c r="AA333" s="15" t="str">
        <f aca="false">IFERROR(INDEX(Scoring!$Q:$Q,MATCH($C333&amp;"|"&amp;$E333,Scoring!$U:$U,0)),"")</f>
        <v>Priority 2</v>
      </c>
      <c r="AB333" s="15" t="str">
        <f aca="false">IFERROR(INDEX(Scoring!$AK:$AK,MATCH($C333&amp;"|"&amp;$E333,Scoring!$U:$U,0)),"")</f>
        <v>Priority 2</v>
      </c>
      <c r="AC333" s="18" t="n">
        <f aca="false">IFERROR(INDEX(Scoring!$M:$M,MATCH($C333&amp;"|"&amp;$E333,Scoring!$U:$U,0)),"")</f>
        <v>715</v>
      </c>
      <c r="AD333" s="15" t="str">
        <f aca="false">IFERROR(INDEX('Route of Administration'!$C$5:$C$155,MATCH($C333,'Route of Administration'!$A$5:$A$155,0)),"")</f>
        <v>IV, IM, SC</v>
      </c>
      <c r="AE333" s="14" t="str">
        <f aca="false">IFERROR(INDEX('Route of Administration'!$D$5:$D$155,MATCH($C333,'Route of Administration'!$A$5:$A$155,0)),"")</f>
        <v>Yes</v>
      </c>
    </row>
    <row r="334" customFormat="false" ht="41.75" hidden="false" customHeight="false" outlineLevel="0" collapsed="false">
      <c r="B334" s="15" t="n">
        <v>332</v>
      </c>
      <c r="C334" s="15" t="s">
        <v>910</v>
      </c>
      <c r="D334" s="15" t="s">
        <v>2143</v>
      </c>
      <c r="E334" s="15" t="s">
        <v>894</v>
      </c>
      <c r="F334" s="15" t="s">
        <v>2149</v>
      </c>
      <c r="G334" s="16" t="s">
        <v>2150</v>
      </c>
      <c r="H334" s="15" t="s">
        <v>258</v>
      </c>
      <c r="I334" s="17" t="n">
        <v>8.8</v>
      </c>
      <c r="J334" s="15" t="n">
        <v>1</v>
      </c>
      <c r="K334" s="15" t="n">
        <v>976</v>
      </c>
      <c r="L334" s="18" t="n">
        <v>9295.14</v>
      </c>
      <c r="M334" s="16" t="s">
        <v>911</v>
      </c>
      <c r="N334" s="17" t="n">
        <v>8.8</v>
      </c>
      <c r="O334" s="15" t="s">
        <v>1506</v>
      </c>
      <c r="P334" s="15" t="s">
        <v>1507</v>
      </c>
      <c r="Q334" s="16" t="s">
        <v>1508</v>
      </c>
      <c r="R334" s="32" t="s">
        <v>2146</v>
      </c>
      <c r="S334" s="37" t="n">
        <f aca="false">IFERROR(INDEX('Injectable Value'!$Z$28:$Z$178,MATCH($C334,'Injectable Value'!$A$28:$A$178,0)),"")</f>
        <v>0.732106666907168</v>
      </c>
      <c r="T334" s="18" t="n">
        <f aca="false">IFERROR(ROUND(INDEX('Injectable Value'!$AA$28:$AA$178,MATCH($C334,'Injectable Value'!$A$28:$A$178,0)),1),"")</f>
        <v>6805</v>
      </c>
      <c r="U334" s="16" t="s">
        <v>915</v>
      </c>
      <c r="V334" s="15" t="n">
        <v>16</v>
      </c>
      <c r="W334" s="15" t="s">
        <v>729</v>
      </c>
      <c r="X334" s="15" t="s">
        <v>258</v>
      </c>
      <c r="Y334" s="15" t="s">
        <v>249</v>
      </c>
      <c r="Z334" s="16" t="str">
        <f aca="false">IFERROR(INDEX(Scoring!$K:$K,MATCH($C334&amp;"|"&amp;$E334,Scoring!$U:$U,0)),"")</f>
        <v/>
      </c>
      <c r="AA334" s="15" t="str">
        <f aca="false">IFERROR(INDEX(Scoring!$Q:$Q,MATCH($C334&amp;"|"&amp;$E334,Scoring!$U:$U,0)),"")</f>
        <v>Priority 2</v>
      </c>
      <c r="AB334" s="15" t="str">
        <f aca="false">IFERROR(INDEX(Scoring!$AK:$AK,MATCH($C334&amp;"|"&amp;$E334,Scoring!$U:$U,0)),"")</f>
        <v>Priority 2</v>
      </c>
      <c r="AC334" s="18" t="n">
        <f aca="false">IFERROR(INDEX(Scoring!$M:$M,MATCH($C334&amp;"|"&amp;$E334,Scoring!$U:$U,0)),"")</f>
        <v>715</v>
      </c>
      <c r="AD334" s="15" t="str">
        <f aca="false">IFERROR(INDEX('Route of Administration'!$C$5:$C$155,MATCH($C334,'Route of Administration'!$A$5:$A$155,0)),"")</f>
        <v>IV, IM, SC</v>
      </c>
      <c r="AE334" s="14" t="str">
        <f aca="false">IFERROR(INDEX('Route of Administration'!$D$5:$D$155,MATCH($C334,'Route of Administration'!$A$5:$A$155,0)),"")</f>
        <v>Yes</v>
      </c>
    </row>
    <row r="335" customFormat="false" ht="41.75" hidden="false" customHeight="false" outlineLevel="0" collapsed="false">
      <c r="B335" s="15" t="n">
        <v>333</v>
      </c>
      <c r="C335" s="15" t="s">
        <v>910</v>
      </c>
      <c r="D335" s="15" t="s">
        <v>2143</v>
      </c>
      <c r="E335" s="15" t="s">
        <v>894</v>
      </c>
      <c r="F335" s="15" t="s">
        <v>2151</v>
      </c>
      <c r="G335" s="16" t="s">
        <v>2152</v>
      </c>
      <c r="H335" s="15" t="s">
        <v>258</v>
      </c>
      <c r="I335" s="17" t="n">
        <v>9.18</v>
      </c>
      <c r="J335" s="15" t="n">
        <v>1</v>
      </c>
      <c r="K335" s="15" t="n">
        <v>976</v>
      </c>
      <c r="L335" s="18" t="n">
        <v>9295.14</v>
      </c>
      <c r="M335" s="16" t="s">
        <v>911</v>
      </c>
      <c r="N335" s="17" t="n">
        <v>9.18</v>
      </c>
      <c r="O335" s="15" t="s">
        <v>1506</v>
      </c>
      <c r="P335" s="15" t="s">
        <v>1507</v>
      </c>
      <c r="Q335" s="16" t="s">
        <v>1508</v>
      </c>
      <c r="R335" s="32" t="s">
        <v>2146</v>
      </c>
      <c r="S335" s="37" t="n">
        <f aca="false">IFERROR(INDEX('Injectable Value'!$Z$28:$Z$178,MATCH($C335,'Injectable Value'!$A$28:$A$178,0)),"")</f>
        <v>0.732106666907168</v>
      </c>
      <c r="T335" s="18" t="n">
        <f aca="false">IFERROR(ROUND(INDEX('Injectable Value'!$AA$28:$AA$178,MATCH($C335,'Injectable Value'!$A$28:$A$178,0)),1),"")</f>
        <v>6805</v>
      </c>
      <c r="U335" s="16" t="s">
        <v>915</v>
      </c>
      <c r="V335" s="15" t="n">
        <v>16</v>
      </c>
      <c r="W335" s="15" t="s">
        <v>729</v>
      </c>
      <c r="X335" s="15" t="s">
        <v>258</v>
      </c>
      <c r="Y335" s="15" t="s">
        <v>249</v>
      </c>
      <c r="Z335" s="16" t="str">
        <f aca="false">IFERROR(INDEX(Scoring!$K:$K,MATCH($C335&amp;"|"&amp;$E335,Scoring!$U:$U,0)),"")</f>
        <v/>
      </c>
      <c r="AA335" s="15" t="str">
        <f aca="false">IFERROR(INDEX(Scoring!$Q:$Q,MATCH($C335&amp;"|"&amp;$E335,Scoring!$U:$U,0)),"")</f>
        <v>Priority 2</v>
      </c>
      <c r="AB335" s="15" t="str">
        <f aca="false">IFERROR(INDEX(Scoring!$AK:$AK,MATCH($C335&amp;"|"&amp;$E335,Scoring!$U:$U,0)),"")</f>
        <v>Priority 2</v>
      </c>
      <c r="AC335" s="18" t="n">
        <f aca="false">IFERROR(INDEX(Scoring!$M:$M,MATCH($C335&amp;"|"&amp;$E335,Scoring!$U:$U,0)),"")</f>
        <v>715</v>
      </c>
      <c r="AD335" s="15" t="str">
        <f aca="false">IFERROR(INDEX('Route of Administration'!$C$5:$C$155,MATCH($C335,'Route of Administration'!$A$5:$A$155,0)),"")</f>
        <v>IV, IM, SC</v>
      </c>
      <c r="AE335" s="14" t="str">
        <f aca="false">IFERROR(INDEX('Route of Administration'!$D$5:$D$155,MATCH($C335,'Route of Administration'!$A$5:$A$155,0)),"")</f>
        <v>Yes</v>
      </c>
    </row>
    <row r="336" customFormat="false" ht="41.75" hidden="false" customHeight="false" outlineLevel="0" collapsed="false">
      <c r="B336" s="15" t="n">
        <v>334</v>
      </c>
      <c r="C336" s="15" t="s">
        <v>910</v>
      </c>
      <c r="D336" s="15" t="s">
        <v>2143</v>
      </c>
      <c r="E336" s="15" t="s">
        <v>894</v>
      </c>
      <c r="F336" s="15" t="s">
        <v>2153</v>
      </c>
      <c r="G336" s="16" t="s">
        <v>2154</v>
      </c>
      <c r="H336" s="15" t="s">
        <v>248</v>
      </c>
      <c r="I336" s="17" t="n">
        <v>12.74</v>
      </c>
      <c r="J336" s="15" t="n">
        <v>1</v>
      </c>
      <c r="K336" s="15" t="n">
        <v>976</v>
      </c>
      <c r="L336" s="18" t="n">
        <v>9295.14</v>
      </c>
      <c r="M336" s="16" t="s">
        <v>911</v>
      </c>
      <c r="N336" s="17" t="n">
        <v>12.74</v>
      </c>
      <c r="O336" s="15" t="s">
        <v>1506</v>
      </c>
      <c r="P336" s="15" t="s">
        <v>1507</v>
      </c>
      <c r="Q336" s="16" t="s">
        <v>1508</v>
      </c>
      <c r="R336" s="32" t="s">
        <v>2146</v>
      </c>
      <c r="S336" s="37" t="n">
        <f aca="false">IFERROR(INDEX('Injectable Value'!$Z$28:$Z$178,MATCH($C336,'Injectable Value'!$A$28:$A$178,0)),"")</f>
        <v>0.732106666907168</v>
      </c>
      <c r="T336" s="18" t="n">
        <f aca="false">IFERROR(ROUND(INDEX('Injectable Value'!$AA$28:$AA$178,MATCH($C336,'Injectable Value'!$A$28:$A$178,0)),1),"")</f>
        <v>6805</v>
      </c>
      <c r="U336" s="16" t="s">
        <v>915</v>
      </c>
      <c r="V336" s="15" t="n">
        <v>16</v>
      </c>
      <c r="W336" s="15" t="s">
        <v>729</v>
      </c>
      <c r="X336" s="15" t="s">
        <v>248</v>
      </c>
      <c r="Y336" s="15" t="s">
        <v>249</v>
      </c>
      <c r="Z336" s="16" t="str">
        <f aca="false">IFERROR(INDEX(Scoring!$K:$K,MATCH($C336&amp;"|"&amp;$E336,Scoring!$U:$U,0)),"")</f>
        <v/>
      </c>
      <c r="AA336" s="15" t="str">
        <f aca="false">IFERROR(INDEX(Scoring!$Q:$Q,MATCH($C336&amp;"|"&amp;$E336,Scoring!$U:$U,0)),"")</f>
        <v>Priority 2</v>
      </c>
      <c r="AB336" s="15" t="str">
        <f aca="false">IFERROR(INDEX(Scoring!$AK:$AK,MATCH($C336&amp;"|"&amp;$E336,Scoring!$U:$U,0)),"")</f>
        <v>Priority 2</v>
      </c>
      <c r="AC336" s="18" t="n">
        <f aca="false">IFERROR(INDEX(Scoring!$M:$M,MATCH($C336&amp;"|"&amp;$E336,Scoring!$U:$U,0)),"")</f>
        <v>715</v>
      </c>
      <c r="AD336" s="15" t="str">
        <f aca="false">IFERROR(INDEX('Route of Administration'!$C$5:$C$155,MATCH($C336,'Route of Administration'!$A$5:$A$155,0)),"")</f>
        <v>IV, IM, SC</v>
      </c>
      <c r="AE336" s="14" t="str">
        <f aca="false">IFERROR(INDEX('Route of Administration'!$D$5:$D$155,MATCH($C336,'Route of Administration'!$A$5:$A$155,0)),"")</f>
        <v>Yes</v>
      </c>
    </row>
    <row r="337" customFormat="false" ht="28.35" hidden="false" customHeight="false" outlineLevel="0" collapsed="false">
      <c r="B337" s="15" t="n">
        <v>335</v>
      </c>
      <c r="C337" s="15" t="s">
        <v>1090</v>
      </c>
      <c r="D337" s="15" t="s">
        <v>1090</v>
      </c>
      <c r="E337" s="15" t="s">
        <v>894</v>
      </c>
      <c r="F337" s="15" t="s">
        <v>2155</v>
      </c>
      <c r="G337" s="16" t="s">
        <v>2156</v>
      </c>
      <c r="H337" s="15" t="s">
        <v>248</v>
      </c>
      <c r="I337" s="17" t="n">
        <v>9.13</v>
      </c>
      <c r="J337" s="15" t="n">
        <v>1</v>
      </c>
      <c r="K337" s="15" t="n">
        <v>55</v>
      </c>
      <c r="L337" s="18" t="n">
        <v>6450.54</v>
      </c>
      <c r="M337" s="16" t="s">
        <v>1091</v>
      </c>
      <c r="N337" s="17" t="n">
        <v>9.13</v>
      </c>
      <c r="O337" s="15" t="s">
        <v>1506</v>
      </c>
      <c r="P337" s="15" t="s">
        <v>1507</v>
      </c>
      <c r="Q337" s="16" t="s">
        <v>1508</v>
      </c>
      <c r="R337" s="32" t="s">
        <v>2157</v>
      </c>
      <c r="S337" s="37" t="n">
        <f aca="false">IFERROR(INDEX('Injectable Value'!$Z$28:$Z$178,MATCH($C337,'Injectable Value'!$A$28:$A$178,0)),"")</f>
        <v>0.449896846448571</v>
      </c>
      <c r="T337" s="18" t="n">
        <f aca="false">IFERROR(ROUND(INDEX('Injectable Value'!$AA$28:$AA$178,MATCH($C337,'Injectable Value'!$A$28:$A$178,0)),1),"")</f>
        <v>2902.1</v>
      </c>
      <c r="U337" s="16" t="s">
        <v>1095</v>
      </c>
      <c r="V337" s="15" t="n">
        <v>6</v>
      </c>
      <c r="W337" s="15" t="s">
        <v>1092</v>
      </c>
      <c r="X337" s="15" t="s">
        <v>248</v>
      </c>
      <c r="Y337" s="15" t="s">
        <v>249</v>
      </c>
      <c r="Z337" s="16" t="str">
        <f aca="false">IFERROR(INDEX(Scoring!$K:$K,MATCH($C337&amp;"|"&amp;$E337,Scoring!$U:$U,0)),"")</f>
        <v/>
      </c>
      <c r="AA337" s="15" t="str">
        <f aca="false">IFERROR(INDEX(Scoring!$Q:$Q,MATCH($C337&amp;"|"&amp;$E337,Scoring!$U:$U,0)),"")</f>
        <v>Excluded – IV only</v>
      </c>
      <c r="AB337" s="15" t="str">
        <f aca="false">IFERROR(INDEX(Scoring!$AK:$AK,MATCH($C337&amp;"|"&amp;$E337,Scoring!$U:$U,0)),"")</f>
        <v>Excluded – IV only</v>
      </c>
      <c r="AC337" s="18" t="n">
        <f aca="false">IFERROR(INDEX(Scoring!$M:$M,MATCH($C337&amp;"|"&amp;$E337,Scoring!$U:$U,0)),"")</f>
        <v>25</v>
      </c>
      <c r="AD337" s="15" t="str">
        <f aca="false">IFERROR(INDEX('Route of Administration'!$C$5:$C$155,MATCH($C337,'Route of Administration'!$A$5:$A$155,0)),"")</f>
        <v>IV</v>
      </c>
      <c r="AE337" s="14" t="str">
        <f aca="false">IFERROR(INDEX('Route of Administration'!$D$5:$D$155,MATCH($C337,'Route of Administration'!$A$5:$A$155,0)),"")</f>
        <v>No</v>
      </c>
    </row>
    <row r="338" customFormat="false" ht="28.35" hidden="false" customHeight="false" outlineLevel="0" collapsed="false">
      <c r="B338" s="15" t="n">
        <v>336</v>
      </c>
      <c r="C338" s="15" t="s">
        <v>1090</v>
      </c>
      <c r="D338" s="15" t="s">
        <v>1090</v>
      </c>
      <c r="E338" s="15" t="s">
        <v>894</v>
      </c>
      <c r="F338" s="15" t="s">
        <v>2158</v>
      </c>
      <c r="G338" s="16" t="s">
        <v>2159</v>
      </c>
      <c r="H338" s="15" t="s">
        <v>248</v>
      </c>
      <c r="I338" s="17" t="n">
        <v>17.95</v>
      </c>
      <c r="J338" s="15" t="n">
        <v>1</v>
      </c>
      <c r="K338" s="15" t="n">
        <v>55</v>
      </c>
      <c r="L338" s="18" t="n">
        <v>6450.54</v>
      </c>
      <c r="M338" s="16" t="s">
        <v>1091</v>
      </c>
      <c r="N338" s="17" t="n">
        <v>17.95</v>
      </c>
      <c r="O338" s="15" t="s">
        <v>1506</v>
      </c>
      <c r="P338" s="15" t="s">
        <v>1507</v>
      </c>
      <c r="Q338" s="16" t="s">
        <v>1508</v>
      </c>
      <c r="R338" s="32" t="s">
        <v>2157</v>
      </c>
      <c r="S338" s="37" t="n">
        <f aca="false">IFERROR(INDEX('Injectable Value'!$Z$28:$Z$178,MATCH($C338,'Injectable Value'!$A$28:$A$178,0)),"")</f>
        <v>0.449896846448571</v>
      </c>
      <c r="T338" s="18" t="n">
        <f aca="false">IFERROR(ROUND(INDEX('Injectable Value'!$AA$28:$AA$178,MATCH($C338,'Injectable Value'!$A$28:$A$178,0)),1),"")</f>
        <v>2902.1</v>
      </c>
      <c r="U338" s="16" t="s">
        <v>1095</v>
      </c>
      <c r="V338" s="15" t="n">
        <v>6</v>
      </c>
      <c r="W338" s="15" t="s">
        <v>1092</v>
      </c>
      <c r="X338" s="15" t="s">
        <v>248</v>
      </c>
      <c r="Y338" s="15" t="s">
        <v>249</v>
      </c>
      <c r="Z338" s="16" t="str">
        <f aca="false">IFERROR(INDEX(Scoring!$K:$K,MATCH($C338&amp;"|"&amp;$E338,Scoring!$U:$U,0)),"")</f>
        <v/>
      </c>
      <c r="AA338" s="15" t="str">
        <f aca="false">IFERROR(INDEX(Scoring!$Q:$Q,MATCH($C338&amp;"|"&amp;$E338,Scoring!$U:$U,0)),"")</f>
        <v>Excluded – IV only</v>
      </c>
      <c r="AB338" s="15" t="str">
        <f aca="false">IFERROR(INDEX(Scoring!$AK:$AK,MATCH($C338&amp;"|"&amp;$E338,Scoring!$U:$U,0)),"")</f>
        <v>Excluded – IV only</v>
      </c>
      <c r="AC338" s="18" t="n">
        <f aca="false">IFERROR(INDEX(Scoring!$M:$M,MATCH($C338&amp;"|"&amp;$E338,Scoring!$U:$U,0)),"")</f>
        <v>25</v>
      </c>
      <c r="AD338" s="15" t="str">
        <f aca="false">IFERROR(INDEX('Route of Administration'!$C$5:$C$155,MATCH($C338,'Route of Administration'!$A$5:$A$155,0)),"")</f>
        <v>IV</v>
      </c>
      <c r="AE338" s="14" t="str">
        <f aca="false">IFERROR(INDEX('Route of Administration'!$D$5:$D$155,MATCH($C338,'Route of Administration'!$A$5:$A$155,0)),"")</f>
        <v>No</v>
      </c>
    </row>
    <row r="339" customFormat="false" ht="28.35" hidden="false" customHeight="false" outlineLevel="0" collapsed="false">
      <c r="B339" s="15" t="n">
        <v>337</v>
      </c>
      <c r="C339" s="15" t="s">
        <v>521</v>
      </c>
      <c r="D339" s="15" t="s">
        <v>521</v>
      </c>
      <c r="E339" s="15" t="s">
        <v>894</v>
      </c>
      <c r="F339" s="15" t="s">
        <v>1637</v>
      </c>
      <c r="G339" s="16" t="s">
        <v>2160</v>
      </c>
      <c r="H339" s="15" t="s">
        <v>1639</v>
      </c>
      <c r="I339" s="17"/>
      <c r="J339" s="15" t="n">
        <v>1</v>
      </c>
      <c r="K339" s="15" t="n">
        <v>9</v>
      </c>
      <c r="L339" s="18" t="n">
        <v>1127.64</v>
      </c>
      <c r="M339" s="16" t="s">
        <v>522</v>
      </c>
      <c r="N339" s="38" t="n">
        <v>10.03</v>
      </c>
      <c r="O339" s="22" t="s">
        <v>1513</v>
      </c>
      <c r="P339" s="15" t="s">
        <v>1507</v>
      </c>
      <c r="Q339" s="16" t="s">
        <v>1514</v>
      </c>
      <c r="R339" s="32" t="s">
        <v>1515</v>
      </c>
      <c r="S339" s="37" t="n">
        <f aca="false">IFERROR(INDEX('Injectable Value'!$Z$28:$Z$178,MATCH($C339,'Injectable Value'!$A$28:$A$178,0)),"")</f>
        <v>1</v>
      </c>
      <c r="T339" s="18" t="n">
        <f aca="false">IFERROR(ROUND(INDEX('Injectable Value'!$AA$28:$AA$178,MATCH($C339,'Injectable Value'!$A$28:$A$178,0)),1),"")</f>
        <v>1127.6</v>
      </c>
      <c r="U339" s="16" t="s">
        <v>247</v>
      </c>
      <c r="V339" s="15" t="n">
        <v>1</v>
      </c>
      <c r="W339" s="15" t="s">
        <v>247</v>
      </c>
      <c r="X339" s="15" t="s">
        <v>258</v>
      </c>
      <c r="Y339" s="15" t="s">
        <v>249</v>
      </c>
      <c r="Z339" s="16" t="str">
        <f aca="false">IFERROR(INDEX(Scoring!$K:$K,MATCH($C339&amp;"|"&amp;$E339,Scoring!$U:$U,0)),"")</f>
        <v>Prefilled only</v>
      </c>
      <c r="AA339" s="15" t="str">
        <f aca="false">IFERROR(INDEX(Scoring!$Q:$Q,MATCH($C339&amp;"|"&amp;$E339,Scoring!$U:$U,0)),"")</f>
        <v>Excluded – IV only</v>
      </c>
      <c r="AB339" s="15" t="str">
        <f aca="false">IFERROR(INDEX(Scoring!$AK:$AK,MATCH($C339&amp;"|"&amp;$E339,Scoring!$U:$U,0)),"")</f>
        <v>Excluded – IV only</v>
      </c>
      <c r="AC339" s="18" t="n">
        <f aca="false">IFERROR(INDEX(Scoring!$M:$M,MATCH($C339&amp;"|"&amp;$E339,Scoring!$U:$U,0)),"")</f>
        <v>9</v>
      </c>
      <c r="AD339" s="15" t="str">
        <f aca="false">IFERROR(INDEX('Route of Administration'!$C$5:$C$155,MATCH($C339,'Route of Administration'!$A$5:$A$155,0)),"")</f>
        <v>IV</v>
      </c>
      <c r="AE339" s="14" t="str">
        <f aca="false">IFERROR(INDEX('Route of Administration'!$D$5:$D$155,MATCH($C339,'Route of Administration'!$A$5:$A$155,0)),"")</f>
        <v>No</v>
      </c>
    </row>
    <row r="340" customFormat="false" ht="55.2" hidden="false" customHeight="false" outlineLevel="0" collapsed="false">
      <c r="B340" s="15" t="n">
        <v>338</v>
      </c>
      <c r="C340" s="15" t="s">
        <v>356</v>
      </c>
      <c r="D340" s="15" t="s">
        <v>356</v>
      </c>
      <c r="E340" s="15" t="s">
        <v>894</v>
      </c>
      <c r="F340" s="15" t="s">
        <v>1807</v>
      </c>
      <c r="G340" s="16" t="s">
        <v>1689</v>
      </c>
      <c r="H340" s="15" t="s">
        <v>1505</v>
      </c>
      <c r="I340" s="17" t="n">
        <v>79.32</v>
      </c>
      <c r="J340" s="15" t="n">
        <v>1</v>
      </c>
      <c r="K340" s="15" t="n">
        <v>312</v>
      </c>
      <c r="L340" s="18" t="n">
        <v>59827.18</v>
      </c>
      <c r="M340" s="16" t="s">
        <v>357</v>
      </c>
      <c r="N340" s="17" t="n">
        <v>79.32</v>
      </c>
      <c r="O340" s="15" t="s">
        <v>1506</v>
      </c>
      <c r="P340" s="15" t="s">
        <v>1672</v>
      </c>
      <c r="Q340" s="16" t="s">
        <v>1508</v>
      </c>
      <c r="R340" s="32" t="s">
        <v>2161</v>
      </c>
      <c r="S340" s="37" t="n">
        <f aca="false">IFERROR(INDEX('Injectable Value'!$Z$28:$Z$178,MATCH($C340,'Injectable Value'!$A$28:$A$178,0)),"")</f>
        <v>1</v>
      </c>
      <c r="T340" s="18" t="n">
        <f aca="false">IFERROR(ROUND(INDEX('Injectable Value'!$AA$28:$AA$178,MATCH($C340,'Injectable Value'!$A$28:$A$178,0)),1),"")</f>
        <v>59827.2</v>
      </c>
      <c r="U340" s="16" t="s">
        <v>963</v>
      </c>
      <c r="V340" s="15" t="n">
        <v>21</v>
      </c>
      <c r="W340" s="15" t="s">
        <v>754</v>
      </c>
      <c r="X340" s="15" t="s">
        <v>248</v>
      </c>
      <c r="Y340" s="15" t="s">
        <v>299</v>
      </c>
      <c r="Z340" s="16" t="str">
        <f aca="false">IFERROR(INDEX(Scoring!$K:$K,MATCH($C340&amp;"|"&amp;$E340,Scoring!$U:$U,0)),"")</f>
        <v>Reconstitution</v>
      </c>
      <c r="AA340" s="15" t="str">
        <f aca="false">IFERROR(INDEX(Scoring!$Q:$Q,MATCH($C340&amp;"|"&amp;$E340,Scoring!$U:$U,0)),"")</f>
        <v>Excluded – IV only</v>
      </c>
      <c r="AB340" s="15" t="str">
        <f aca="false">IFERROR(INDEX(Scoring!$AK:$AK,MATCH($C340&amp;"|"&amp;$E340,Scoring!$U:$U,0)),"")</f>
        <v>Excluded – IV only</v>
      </c>
      <c r="AC340" s="18" t="n">
        <f aca="false">IFERROR(INDEX(Scoring!$M:$M,MATCH($C340&amp;"|"&amp;$E340,Scoring!$U:$U,0)),"")</f>
        <v>312</v>
      </c>
      <c r="AD340" s="15" t="str">
        <f aca="false">IFERROR(INDEX('Route of Administration'!$C$5:$C$155,MATCH($C340,'Route of Administration'!$A$5:$A$155,0)),"")</f>
        <v>IV</v>
      </c>
      <c r="AE340" s="14" t="str">
        <f aca="false">IFERROR(INDEX('Route of Administration'!$D$5:$D$155,MATCH($C340,'Route of Administration'!$A$5:$A$155,0)),"")</f>
        <v>No</v>
      </c>
    </row>
    <row r="341" customFormat="false" ht="41.75" hidden="false" customHeight="false" outlineLevel="0" collapsed="false">
      <c r="B341" s="15" t="n">
        <v>339</v>
      </c>
      <c r="C341" s="15" t="s">
        <v>669</v>
      </c>
      <c r="D341" s="15" t="s">
        <v>669</v>
      </c>
      <c r="E341" s="15" t="s">
        <v>894</v>
      </c>
      <c r="F341" s="15" t="s">
        <v>1655</v>
      </c>
      <c r="G341" s="16" t="s">
        <v>2162</v>
      </c>
      <c r="H341" s="15" t="s">
        <v>1505</v>
      </c>
      <c r="I341" s="17" t="n">
        <v>231.35</v>
      </c>
      <c r="J341" s="15" t="n">
        <v>1</v>
      </c>
      <c r="K341" s="15" t="n">
        <v>5</v>
      </c>
      <c r="L341" s="18" t="n">
        <v>806.34</v>
      </c>
      <c r="M341" s="16" t="s">
        <v>670</v>
      </c>
      <c r="N341" s="17" t="n">
        <v>231.35</v>
      </c>
      <c r="O341" s="15" t="s">
        <v>1506</v>
      </c>
      <c r="P341" s="15" t="s">
        <v>1672</v>
      </c>
      <c r="Q341" s="16" t="s">
        <v>1508</v>
      </c>
      <c r="R341" s="32" t="s">
        <v>2163</v>
      </c>
      <c r="S341" s="37" t="n">
        <f aca="false">IFERROR(INDEX('Injectable Value'!$Z$28:$Z$178,MATCH($C341,'Injectable Value'!$A$28:$A$178,0)),"")</f>
        <v>1</v>
      </c>
      <c r="T341" s="18" t="n">
        <f aca="false">IFERROR(ROUND(INDEX('Injectable Value'!$AA$28:$AA$178,MATCH($C341,'Injectable Value'!$A$28:$A$178,0)),1),"")</f>
        <v>806.3</v>
      </c>
      <c r="U341" s="16" t="s">
        <v>923</v>
      </c>
      <c r="V341" s="15" t="n">
        <v>12</v>
      </c>
      <c r="W341" s="15" t="s">
        <v>307</v>
      </c>
      <c r="X341" s="15" t="s">
        <v>248</v>
      </c>
      <c r="Y341" s="15" t="s">
        <v>299</v>
      </c>
      <c r="Z341" s="16" t="str">
        <f aca="false">IFERROR(INDEX(Scoring!$K:$K,MATCH($C341&amp;"|"&amp;$E341,Scoring!$U:$U,0)),"")</f>
        <v>Reconstitution</v>
      </c>
      <c r="AA341" s="15" t="str">
        <f aca="false">IFERROR(INDEX(Scoring!$Q:$Q,MATCH($C341&amp;"|"&amp;$E341,Scoring!$U:$U,0)),"")</f>
        <v>Excluded – IV only</v>
      </c>
      <c r="AB341" s="15" t="str">
        <f aca="false">IFERROR(INDEX(Scoring!$AK:$AK,MATCH($C341&amp;"|"&amp;$E341,Scoring!$U:$U,0)),"")</f>
        <v>Excluded – IV only</v>
      </c>
      <c r="AC341" s="18" t="n">
        <f aca="false">IFERROR(INDEX(Scoring!$M:$M,MATCH($C341&amp;"|"&amp;$E341,Scoring!$U:$U,0)),"")</f>
        <v>5</v>
      </c>
      <c r="AD341" s="15" t="str">
        <f aca="false">IFERROR(INDEX('Route of Administration'!$C$5:$C$155,MATCH($C341,'Route of Administration'!$A$5:$A$155,0)),"")</f>
        <v>IV</v>
      </c>
      <c r="AE341" s="14" t="str">
        <f aca="false">IFERROR(INDEX('Route of Administration'!$D$5:$D$155,MATCH($C341,'Route of Administration'!$A$5:$A$155,0)),"")</f>
        <v>No</v>
      </c>
    </row>
    <row r="342" customFormat="false" ht="82.05" hidden="false" customHeight="false" outlineLevel="0" collapsed="false">
      <c r="B342" s="15" t="n">
        <v>340</v>
      </c>
      <c r="C342" s="15" t="s">
        <v>262</v>
      </c>
      <c r="D342" s="15" t="s">
        <v>262</v>
      </c>
      <c r="E342" s="15" t="s">
        <v>894</v>
      </c>
      <c r="F342" s="15" t="s">
        <v>1655</v>
      </c>
      <c r="G342" s="16" t="s">
        <v>1656</v>
      </c>
      <c r="H342" s="15" t="s">
        <v>1512</v>
      </c>
      <c r="I342" s="17" t="n">
        <v>345.31</v>
      </c>
      <c r="J342" s="15" t="n">
        <v>1</v>
      </c>
      <c r="K342" s="15" t="n">
        <v>146</v>
      </c>
      <c r="L342" s="18" t="n">
        <v>11366.06</v>
      </c>
      <c r="M342" s="16" t="s">
        <v>263</v>
      </c>
      <c r="N342" s="17" t="n">
        <v>345.31</v>
      </c>
      <c r="O342" s="15" t="s">
        <v>1506</v>
      </c>
      <c r="P342" s="15" t="s">
        <v>1507</v>
      </c>
      <c r="Q342" s="16" t="s">
        <v>1508</v>
      </c>
      <c r="R342" s="32" t="s">
        <v>1657</v>
      </c>
      <c r="S342" s="37" t="n">
        <f aca="false">IFERROR(INDEX('Injectable Value'!$Z$28:$Z$178,MATCH($C342,'Injectable Value'!$A$28:$A$178,0)),"")</f>
        <v>1</v>
      </c>
      <c r="T342" s="18" t="n">
        <f aca="false">IFERROR(ROUND(INDEX('Injectable Value'!$AA$28:$AA$178,MATCH($C342,'Injectable Value'!$A$28:$A$178,0)),1),"")</f>
        <v>11366.1</v>
      </c>
      <c r="U342" s="16" t="s">
        <v>1015</v>
      </c>
      <c r="V342" s="15" t="n">
        <v>30</v>
      </c>
      <c r="W342" s="15" t="s">
        <v>307</v>
      </c>
      <c r="X342" s="15" t="s">
        <v>258</v>
      </c>
      <c r="Y342" s="15" t="s">
        <v>249</v>
      </c>
      <c r="Z342" s="16" t="str">
        <f aca="false">IFERROR(INDEX(Scoring!$K:$K,MATCH($C342&amp;"|"&amp;$E342,Scoring!$U:$U,0)),"")</f>
        <v>Prefilled only</v>
      </c>
      <c r="AA342" s="15" t="str">
        <f aca="false">IFERROR(INDEX(Scoring!$Q:$Q,MATCH($C342&amp;"|"&amp;$E342,Scoring!$U:$U,0)),"")</f>
        <v>Priority 1</v>
      </c>
      <c r="AB342" s="15" t="str">
        <f aca="false">IFERROR(INDEX(Scoring!$AK:$AK,MATCH($C342&amp;"|"&amp;$E342,Scoring!$U:$U,0)),"")</f>
        <v>Priority 2</v>
      </c>
      <c r="AC342" s="18" t="n">
        <f aca="false">IFERROR(INDEX(Scoring!$M:$M,MATCH($C342&amp;"|"&amp;$E342,Scoring!$U:$U,0)),"")</f>
        <v>146</v>
      </c>
      <c r="AD342" s="15" t="str">
        <f aca="false">IFERROR(INDEX('Route of Administration'!$C$5:$C$155,MATCH($C342,'Route of Administration'!$A$5:$A$155,0)),"")</f>
        <v>IM</v>
      </c>
      <c r="AE342" s="14" t="str">
        <f aca="false">IFERROR(INDEX('Route of Administration'!$D$5:$D$155,MATCH($C342,'Route of Administration'!$A$5:$A$155,0)),"")</f>
        <v>Yes</v>
      </c>
    </row>
    <row r="343" customFormat="false" ht="95.5" hidden="false" customHeight="false" outlineLevel="0" collapsed="false">
      <c r="B343" s="15" t="n">
        <v>341</v>
      </c>
      <c r="C343" s="15" t="s">
        <v>305</v>
      </c>
      <c r="D343" s="15" t="s">
        <v>305</v>
      </c>
      <c r="E343" s="15" t="s">
        <v>894</v>
      </c>
      <c r="F343" s="15" t="s">
        <v>2164</v>
      </c>
      <c r="G343" s="16" t="s">
        <v>2165</v>
      </c>
      <c r="H343" s="15" t="s">
        <v>1512</v>
      </c>
      <c r="I343" s="17"/>
      <c r="J343" s="15" t="n">
        <v>1</v>
      </c>
      <c r="K343" s="15" t="n">
        <v>905</v>
      </c>
      <c r="L343" s="18" t="n">
        <v>28093.38</v>
      </c>
      <c r="M343" s="16" t="s">
        <v>306</v>
      </c>
      <c r="N343" s="17"/>
      <c r="O343" s="15" t="s">
        <v>1545</v>
      </c>
      <c r="P343" s="15" t="s">
        <v>70</v>
      </c>
      <c r="Q343" s="16" t="s">
        <v>70</v>
      </c>
      <c r="R343" s="15"/>
      <c r="S343" s="37" t="n">
        <f aca="false">IFERROR(INDEX('Injectable Value'!$Z$28:$Z$178,MATCH($C343,'Injectable Value'!$A$28:$A$178,0)),"")</f>
        <v>1</v>
      </c>
      <c r="T343" s="18" t="n">
        <f aca="false">IFERROR(ROUND(INDEX('Injectable Value'!$AA$28:$AA$178,MATCH($C343,'Injectable Value'!$A$28:$A$178,0)),1),"")</f>
        <v>28093.4</v>
      </c>
      <c r="U343" s="16" t="s">
        <v>931</v>
      </c>
      <c r="V343" s="15" t="n">
        <v>34</v>
      </c>
      <c r="W343" s="15" t="s">
        <v>298</v>
      </c>
      <c r="X343" s="15" t="s">
        <v>258</v>
      </c>
      <c r="Y343" s="15" t="s">
        <v>277</v>
      </c>
      <c r="Z343" s="16" t="str">
        <f aca="false">IFERROR(INDEX(Scoring!$K:$K,MATCH($C343&amp;"|"&amp;$E343,Scoring!$U:$U,0)),"")</f>
        <v>Cancer drug (cytotoxic) – less relevant; Reconstitution</v>
      </c>
      <c r="AA343" s="15" t="str">
        <f aca="false">IFERROR(INDEX(Scoring!$Q:$Q,MATCH($C343&amp;"|"&amp;$E343,Scoring!$U:$U,0)),"")</f>
        <v>Priority 1</v>
      </c>
      <c r="AB343" s="15" t="str">
        <f aca="false">IFERROR(INDEX(Scoring!$AK:$AK,MATCH($C343&amp;"|"&amp;$E343,Scoring!$U:$U,0)),"")</f>
        <v>Priority 1</v>
      </c>
      <c r="AC343" s="18" t="n">
        <f aca="false">IFERROR(INDEX(Scoring!$M:$M,MATCH($C343&amp;"|"&amp;$E343,Scoring!$U:$U,0)),"")</f>
        <v>905</v>
      </c>
      <c r="AD343" s="15" t="str">
        <f aca="false">IFERROR(INDEX('Route of Administration'!$C$5:$C$155,MATCH($C343,'Route of Administration'!$A$5:$A$155,0)),"")</f>
        <v>IV, SC</v>
      </c>
      <c r="AE343" s="14" t="str">
        <f aca="false">IFERROR(INDEX('Route of Administration'!$D$5:$D$155,MATCH($C343,'Route of Administration'!$A$5:$A$155,0)),"")</f>
        <v>Yes</v>
      </c>
    </row>
    <row r="344" customFormat="false" ht="55.2" hidden="false" customHeight="false" outlineLevel="0" collapsed="false">
      <c r="B344" s="15" t="n">
        <v>342</v>
      </c>
      <c r="C344" s="15" t="s">
        <v>635</v>
      </c>
      <c r="D344" s="15" t="s">
        <v>635</v>
      </c>
      <c r="E344" s="15" t="s">
        <v>894</v>
      </c>
      <c r="F344" s="15" t="s">
        <v>1732</v>
      </c>
      <c r="G344" s="16" t="s">
        <v>2058</v>
      </c>
      <c r="H344" s="15" t="s">
        <v>1505</v>
      </c>
      <c r="I344" s="17" t="n">
        <v>67.02</v>
      </c>
      <c r="J344" s="15" t="n">
        <v>1</v>
      </c>
      <c r="K344" s="15" t="n">
        <v>346</v>
      </c>
      <c r="L344" s="18" t="n">
        <v>32830.17</v>
      </c>
      <c r="M344" s="16" t="s">
        <v>636</v>
      </c>
      <c r="N344" s="17" t="n">
        <v>67.02</v>
      </c>
      <c r="O344" s="15" t="s">
        <v>1506</v>
      </c>
      <c r="P344" s="15" t="s">
        <v>1507</v>
      </c>
      <c r="Q344" s="16" t="s">
        <v>1508</v>
      </c>
      <c r="R344" s="32" t="s">
        <v>2059</v>
      </c>
      <c r="S344" s="37" t="n">
        <f aca="false">IFERROR(INDEX('Injectable Value'!$Z$28:$Z$178,MATCH($C344,'Injectable Value'!$A$28:$A$178,0)),"")</f>
        <v>1</v>
      </c>
      <c r="T344" s="18" t="n">
        <f aca="false">IFERROR(ROUND(INDEX('Injectable Value'!$AA$28:$AA$178,MATCH($C344,'Injectable Value'!$A$28:$A$178,0)),1),"")</f>
        <v>32830.2</v>
      </c>
      <c r="U344" s="16" t="s">
        <v>1124</v>
      </c>
      <c r="V344" s="15" t="n">
        <v>21</v>
      </c>
      <c r="W344" s="15" t="s">
        <v>939</v>
      </c>
      <c r="X344" s="15" t="s">
        <v>248</v>
      </c>
      <c r="Y344" s="15" t="s">
        <v>277</v>
      </c>
      <c r="Z344" s="16" t="str">
        <f aca="false">IFERROR(INDEX(Scoring!$K:$K,MATCH($C344&amp;"|"&amp;$E344,Scoring!$U:$U,0)),"")</f>
        <v/>
      </c>
      <c r="AA344" s="15" t="str">
        <f aca="false">IFERROR(INDEX(Scoring!$Q:$Q,MATCH($C344&amp;"|"&amp;$E344,Scoring!$U:$U,0)),"")</f>
        <v>Excluded – IV only</v>
      </c>
      <c r="AB344" s="15" t="str">
        <f aca="false">IFERROR(INDEX(Scoring!$AK:$AK,MATCH($C344&amp;"|"&amp;$E344,Scoring!$U:$U,0)),"")</f>
        <v>Excluded – IV only</v>
      </c>
      <c r="AC344" s="18" t="n">
        <f aca="false">IFERROR(INDEX(Scoring!$M:$M,MATCH($C344&amp;"|"&amp;$E344,Scoring!$U:$U,0)),"")</f>
        <v>346</v>
      </c>
      <c r="AD344" s="15" t="str">
        <f aca="false">IFERROR(INDEX('Route of Administration'!$C$5:$C$155,MATCH($C344,'Route of Administration'!$A$5:$A$155,0)),"")</f>
        <v>IV</v>
      </c>
      <c r="AE344" s="14" t="str">
        <f aca="false">IFERROR(INDEX('Route of Administration'!$D$5:$D$155,MATCH($C344,'Route of Administration'!$A$5:$A$155,0)),"")</f>
        <v>No</v>
      </c>
    </row>
    <row r="345" customFormat="false" ht="82.05" hidden="false" customHeight="false" outlineLevel="0" collapsed="false">
      <c r="B345" s="15" t="n">
        <v>343</v>
      </c>
      <c r="C345" s="15" t="s">
        <v>972</v>
      </c>
      <c r="D345" s="15" t="s">
        <v>2166</v>
      </c>
      <c r="E345" s="15" t="s">
        <v>894</v>
      </c>
      <c r="F345" s="15" t="s">
        <v>2167</v>
      </c>
      <c r="G345" s="16" t="s">
        <v>2168</v>
      </c>
      <c r="H345" s="15" t="s">
        <v>1505</v>
      </c>
      <c r="I345" s="17" t="n">
        <v>145.71</v>
      </c>
      <c r="J345" s="15" t="n">
        <v>1</v>
      </c>
      <c r="K345" s="15" t="n">
        <v>314</v>
      </c>
      <c r="L345" s="18" t="n">
        <v>3429.51</v>
      </c>
      <c r="M345" s="16" t="s">
        <v>973</v>
      </c>
      <c r="N345" s="17" t="n">
        <v>145.71</v>
      </c>
      <c r="O345" s="15" t="s">
        <v>1506</v>
      </c>
      <c r="P345" s="15" t="s">
        <v>1672</v>
      </c>
      <c r="Q345" s="16" t="s">
        <v>2169</v>
      </c>
      <c r="R345" s="15"/>
      <c r="S345" s="37" t="n">
        <f aca="false">IFERROR(INDEX('Injectable Value'!$Z$28:$Z$178,MATCH($C345,'Injectable Value'!$A$28:$A$178,0)),"")</f>
        <v>1</v>
      </c>
      <c r="T345" s="18" t="n">
        <f aca="false">IFERROR(ROUND(INDEX('Injectable Value'!$AA$28:$AA$178,MATCH($C345,'Injectable Value'!$A$28:$A$178,0)),1),"")</f>
        <v>3429.5</v>
      </c>
      <c r="U345" s="16" t="s">
        <v>919</v>
      </c>
      <c r="V345" s="15" t="n">
        <v>32</v>
      </c>
      <c r="W345" s="15" t="s">
        <v>423</v>
      </c>
      <c r="X345" s="15" t="s">
        <v>248</v>
      </c>
      <c r="Y345" s="15" t="s">
        <v>249</v>
      </c>
      <c r="Z345" s="16" t="str">
        <f aca="false">IFERROR(INDEX(Scoring!$K:$K,MATCH($C345&amp;"|"&amp;$E345,Scoring!$U:$U,0)),"")</f>
        <v/>
      </c>
      <c r="AA345" s="15" t="str">
        <f aca="false">IFERROR(INDEX(Scoring!$Q:$Q,MATCH($C345&amp;"|"&amp;$E345,Scoring!$U:$U,0)),"")</f>
        <v>Priority 1</v>
      </c>
      <c r="AB345" s="15" t="str">
        <f aca="false">IFERROR(INDEX(Scoring!$AK:$AK,MATCH($C345&amp;"|"&amp;$E345,Scoring!$U:$U,0)),"")</f>
        <v>Priority 1</v>
      </c>
      <c r="AC345" s="18" t="n">
        <f aca="false">IFERROR(INDEX(Scoring!$M:$M,MATCH($C345&amp;"|"&amp;$E345,Scoring!$U:$U,0)),"")</f>
        <v>314</v>
      </c>
      <c r="AD345" s="15" t="str">
        <f aca="false">IFERROR(INDEX('Route of Administration'!$C$5:$C$155,MATCH($C345,'Route of Administration'!$A$5:$A$155,0)),"")</f>
        <v>SC</v>
      </c>
      <c r="AE345" s="14" t="str">
        <f aca="false">IFERROR(INDEX('Route of Administration'!$D$5:$D$155,MATCH($C345,'Route of Administration'!$A$5:$A$155,0)),"")</f>
        <v>Yes</v>
      </c>
    </row>
    <row r="346" customFormat="false" ht="41.75" hidden="false" customHeight="false" outlineLevel="0" collapsed="false">
      <c r="B346" s="15" t="n">
        <v>344</v>
      </c>
      <c r="C346" s="15" t="s">
        <v>1110</v>
      </c>
      <c r="D346" s="15" t="s">
        <v>1115</v>
      </c>
      <c r="E346" s="15" t="s">
        <v>894</v>
      </c>
      <c r="F346" s="15" t="s">
        <v>2039</v>
      </c>
      <c r="G346" s="16" t="s">
        <v>2170</v>
      </c>
      <c r="H346" s="15" t="s">
        <v>1505</v>
      </c>
      <c r="I346" s="17" t="n">
        <v>655.58</v>
      </c>
      <c r="J346" s="15" t="n">
        <v>1</v>
      </c>
      <c r="K346" s="15" t="n">
        <v>64</v>
      </c>
      <c r="L346" s="18" t="n">
        <v>843.51</v>
      </c>
      <c r="M346" s="16" t="s">
        <v>1111</v>
      </c>
      <c r="N346" s="17" t="n">
        <v>655.58</v>
      </c>
      <c r="O346" s="15" t="s">
        <v>1506</v>
      </c>
      <c r="P346" s="15" t="s">
        <v>1930</v>
      </c>
      <c r="Q346" s="16" t="s">
        <v>1508</v>
      </c>
      <c r="R346" s="15"/>
      <c r="S346" s="37" t="n">
        <f aca="false">IFERROR(INDEX('Injectable Value'!$Z$28:$Z$178,MATCH($C346,'Injectable Value'!$A$28:$A$178,0)),"")</f>
        <v>1</v>
      </c>
      <c r="T346" s="18" t="n">
        <f aca="false">IFERROR(ROUND(INDEX('Injectable Value'!$AA$28:$AA$178,MATCH($C346,'Injectable Value'!$A$28:$A$178,0)),1),"")</f>
        <v>843.5</v>
      </c>
      <c r="U346" s="16" t="s">
        <v>1112</v>
      </c>
      <c r="V346" s="15" t="n">
        <v>1</v>
      </c>
      <c r="W346" s="15" t="s">
        <v>1112</v>
      </c>
      <c r="X346" s="15" t="s">
        <v>248</v>
      </c>
      <c r="Y346" s="15" t="s">
        <v>249</v>
      </c>
      <c r="Z346" s="16" t="str">
        <f aca="false">IFERROR(INDEX(Scoring!$K:$K,MATCH($C346&amp;"|"&amp;$E346,Scoring!$U:$U,0)),"")</f>
        <v/>
      </c>
      <c r="AA346" s="15" t="str">
        <f aca="false">IFERROR(INDEX(Scoring!$Q:$Q,MATCH($C346&amp;"|"&amp;$E346,Scoring!$U:$U,0)),"")</f>
        <v>Excluded – IV only</v>
      </c>
      <c r="AB346" s="15" t="str">
        <f aca="false">IFERROR(INDEX(Scoring!$AK:$AK,MATCH($C346&amp;"|"&amp;$E346,Scoring!$U:$U,0)),"")</f>
        <v>Excluded – IV only</v>
      </c>
      <c r="AC346" s="18" t="n">
        <f aca="false">IFERROR(INDEX(Scoring!$M:$M,MATCH($C346&amp;"|"&amp;$E346,Scoring!$U:$U,0)),"")</f>
        <v>64</v>
      </c>
      <c r="AD346" s="15" t="str">
        <f aca="false">IFERROR(INDEX('Route of Administration'!$C$5:$C$155,MATCH($C346,'Route of Administration'!$A$5:$A$155,0)),"")</f>
        <v>Intravitreal</v>
      </c>
      <c r="AE346" s="14" t="str">
        <f aca="false">IFERROR(INDEX('Route of Administration'!$D$5:$D$155,MATCH($C346,'Route of Administration'!$A$5:$A$155,0)),"")</f>
        <v>No</v>
      </c>
    </row>
    <row r="347" customFormat="false" ht="82.05" hidden="false" customHeight="false" outlineLevel="0" collapsed="false">
      <c r="B347" s="15" t="n">
        <v>345</v>
      </c>
      <c r="C347" s="15" t="s">
        <v>434</v>
      </c>
      <c r="D347" s="15" t="s">
        <v>2171</v>
      </c>
      <c r="E347" s="15" t="s">
        <v>894</v>
      </c>
      <c r="F347" s="15" t="s">
        <v>2172</v>
      </c>
      <c r="G347" s="16" t="s">
        <v>2173</v>
      </c>
      <c r="H347" s="15" t="s">
        <v>1512</v>
      </c>
      <c r="I347" s="17" t="n">
        <v>86.46</v>
      </c>
      <c r="J347" s="15" t="n">
        <v>1</v>
      </c>
      <c r="K347" s="15" t="n">
        <v>116</v>
      </c>
      <c r="L347" s="18" t="n">
        <v>1162.12</v>
      </c>
      <c r="M347" s="16" t="s">
        <v>435</v>
      </c>
      <c r="N347" s="17" t="n">
        <v>86.46</v>
      </c>
      <c r="O347" s="15" t="s">
        <v>1506</v>
      </c>
      <c r="P347" s="15" t="s">
        <v>1672</v>
      </c>
      <c r="Q347" s="16" t="s">
        <v>1508</v>
      </c>
      <c r="R347" s="32" t="s">
        <v>2174</v>
      </c>
      <c r="S347" s="37" t="n">
        <f aca="false">IFERROR(INDEX('Injectable Value'!$Z$28:$Z$178,MATCH($C347,'Injectable Value'!$A$28:$A$178,0)),"")</f>
        <v>0.444974105461394</v>
      </c>
      <c r="T347" s="18" t="n">
        <f aca="false">IFERROR(ROUND(INDEX('Injectable Value'!$AA$28:$AA$178,MATCH($C347,'Injectable Value'!$A$28:$A$178,0)),1),"")</f>
        <v>517.1</v>
      </c>
      <c r="U347" s="16" t="s">
        <v>1027</v>
      </c>
      <c r="V347" s="15" t="n">
        <v>32</v>
      </c>
      <c r="W347" s="15" t="s">
        <v>1025</v>
      </c>
      <c r="X347" s="15" t="s">
        <v>258</v>
      </c>
      <c r="Y347" s="15" t="s">
        <v>249</v>
      </c>
      <c r="Z347" s="16" t="str">
        <f aca="false">IFERROR(INDEX(Scoring!$K:$K,MATCH($C347&amp;"|"&amp;$E347,Scoring!$U:$U,0)),"")</f>
        <v>Prefilled only</v>
      </c>
      <c r="AA347" s="15" t="str">
        <f aca="false">IFERROR(INDEX(Scoring!$Q:$Q,MATCH($C347&amp;"|"&amp;$E347,Scoring!$U:$U,0)),"")</f>
        <v>Excluded – IV only</v>
      </c>
      <c r="AB347" s="15" t="str">
        <f aca="false">IFERROR(INDEX(Scoring!$AK:$AK,MATCH($C347&amp;"|"&amp;$E347,Scoring!$U:$U,0)),"")</f>
        <v>Excluded – IV only</v>
      </c>
      <c r="AC347" s="18" t="n">
        <f aca="false">IFERROR(INDEX(Scoring!$M:$M,MATCH($C347&amp;"|"&amp;$E347,Scoring!$U:$U,0)),"")</f>
        <v>52</v>
      </c>
      <c r="AD347" s="15" t="str">
        <f aca="false">IFERROR(INDEX('Route of Administration'!$C$5:$C$155,MATCH($C347,'Route of Administration'!$A$5:$A$155,0)),"")</f>
        <v>IV</v>
      </c>
      <c r="AE347" s="14" t="str">
        <f aca="false">IFERROR(INDEX('Route of Administration'!$D$5:$D$155,MATCH($C347,'Route of Administration'!$A$5:$A$155,0)),"")</f>
        <v>No</v>
      </c>
    </row>
    <row r="348" customFormat="false" ht="82.05" hidden="false" customHeight="false" outlineLevel="0" collapsed="false">
      <c r="B348" s="15" t="n">
        <v>346</v>
      </c>
      <c r="C348" s="15" t="s">
        <v>498</v>
      </c>
      <c r="D348" s="15" t="s">
        <v>2175</v>
      </c>
      <c r="E348" s="15" t="s">
        <v>894</v>
      </c>
      <c r="F348" s="15" t="s">
        <v>2176</v>
      </c>
      <c r="G348" s="16" t="s">
        <v>2177</v>
      </c>
      <c r="H348" s="15" t="s">
        <v>1505</v>
      </c>
      <c r="I348" s="17" t="n">
        <v>70.2</v>
      </c>
      <c r="J348" s="15" t="n">
        <v>1</v>
      </c>
      <c r="K348" s="15" t="n">
        <v>119</v>
      </c>
      <c r="L348" s="18" t="n">
        <v>3113.83</v>
      </c>
      <c r="M348" s="16" t="s">
        <v>499</v>
      </c>
      <c r="N348" s="17" t="n">
        <v>70.2</v>
      </c>
      <c r="O348" s="15" t="s">
        <v>1506</v>
      </c>
      <c r="P348" s="15" t="s">
        <v>1672</v>
      </c>
      <c r="Q348" s="16" t="s">
        <v>1508</v>
      </c>
      <c r="R348" s="32" t="s">
        <v>2178</v>
      </c>
      <c r="S348" s="37" t="n">
        <f aca="false">IFERROR(INDEX('Injectable Value'!$Z$28:$Z$178,MATCH($C348,'Injectable Value'!$A$28:$A$178,0)),"")</f>
        <v>0.899884259259259</v>
      </c>
      <c r="T348" s="18" t="n">
        <f aca="false">IFERROR(ROUND(INDEX('Injectable Value'!$AA$28:$AA$178,MATCH($C348,'Injectable Value'!$A$28:$A$178,0)),1),"")</f>
        <v>2802.1</v>
      </c>
      <c r="U348" s="16" t="s">
        <v>1084</v>
      </c>
      <c r="V348" s="15" t="n">
        <v>32</v>
      </c>
      <c r="W348" s="15" t="s">
        <v>423</v>
      </c>
      <c r="X348" s="15" t="s">
        <v>248</v>
      </c>
      <c r="Y348" s="15" t="s">
        <v>249</v>
      </c>
      <c r="Z348" s="16" t="str">
        <f aca="false">IFERROR(INDEX(Scoring!$K:$K,MATCH($C348&amp;"|"&amp;$E348,Scoring!$U:$U,0)),"")</f>
        <v/>
      </c>
      <c r="AA348" s="15" t="str">
        <f aca="false">IFERROR(INDEX(Scoring!$Q:$Q,MATCH($C348&amp;"|"&amp;$E348,Scoring!$U:$U,0)),"")</f>
        <v>Excluded – IV only</v>
      </c>
      <c r="AB348" s="15" t="str">
        <f aca="false">IFERROR(INDEX(Scoring!$AK:$AK,MATCH($C348&amp;"|"&amp;$E348,Scoring!$U:$U,0)),"")</f>
        <v>Excluded – IV only</v>
      </c>
      <c r="AC348" s="18" t="n">
        <f aca="false">IFERROR(INDEX(Scoring!$M:$M,MATCH($C348&amp;"|"&amp;$E348,Scoring!$U:$U,0)),"")</f>
        <v>107</v>
      </c>
      <c r="AD348" s="15" t="str">
        <f aca="false">IFERROR(INDEX('Route of Administration'!$C$5:$C$155,MATCH($C348,'Route of Administration'!$A$5:$A$155,0)),"")</f>
        <v>IV</v>
      </c>
      <c r="AE348" s="14" t="str">
        <f aca="false">IFERROR(INDEX('Route of Administration'!$D$5:$D$155,MATCH($C348,'Route of Administration'!$A$5:$A$155,0)),"")</f>
        <v>No</v>
      </c>
    </row>
    <row r="349" customFormat="false" ht="82.05" hidden="false" customHeight="false" outlineLevel="0" collapsed="false">
      <c r="B349" s="15" t="n">
        <v>347</v>
      </c>
      <c r="C349" s="15" t="s">
        <v>1096</v>
      </c>
      <c r="D349" s="15" t="s">
        <v>1100</v>
      </c>
      <c r="E349" s="15" t="s">
        <v>894</v>
      </c>
      <c r="F349" s="15" t="s">
        <v>2179</v>
      </c>
      <c r="G349" s="16" t="s">
        <v>2180</v>
      </c>
      <c r="H349" s="15" t="s">
        <v>1512</v>
      </c>
      <c r="I349" s="17" t="n">
        <v>907.38</v>
      </c>
      <c r="J349" s="15" t="n">
        <v>1</v>
      </c>
      <c r="K349" s="15" t="n">
        <v>157</v>
      </c>
      <c r="L349" s="18" t="n">
        <v>22355.46</v>
      </c>
      <c r="M349" s="16" t="s">
        <v>1097</v>
      </c>
      <c r="N349" s="17" t="n">
        <v>907.38</v>
      </c>
      <c r="O349" s="15" t="s">
        <v>1506</v>
      </c>
      <c r="P349" s="15" t="s">
        <v>1672</v>
      </c>
      <c r="Q349" s="16" t="s">
        <v>2169</v>
      </c>
      <c r="R349" s="15"/>
      <c r="S349" s="37" t="n">
        <f aca="false">IFERROR(INDEX('Injectable Value'!$Z$28:$Z$178,MATCH($C349,'Injectable Value'!$A$28:$A$178,0)),"")</f>
        <v>0.985714285714286</v>
      </c>
      <c r="T349" s="18" t="n">
        <f aca="false">IFERROR(ROUND(INDEX('Injectable Value'!$AA$28:$AA$178,MATCH($C349,'Injectable Value'!$A$28:$A$178,0)),1),"")</f>
        <v>22036.1</v>
      </c>
      <c r="U349" s="16" t="s">
        <v>970</v>
      </c>
      <c r="V349" s="15" t="n">
        <v>31</v>
      </c>
      <c r="W349" s="15" t="s">
        <v>423</v>
      </c>
      <c r="X349" s="15" t="s">
        <v>258</v>
      </c>
      <c r="Y349" s="15" t="s">
        <v>249</v>
      </c>
      <c r="Z349" s="16" t="str">
        <f aca="false">IFERROR(INDEX(Scoring!$K:$K,MATCH($C349&amp;"|"&amp;$E349,Scoring!$U:$U,0)),"")</f>
        <v>Prefilled only</v>
      </c>
      <c r="AA349" s="15" t="str">
        <f aca="false">IFERROR(INDEX(Scoring!$Q:$Q,MATCH($C349&amp;"|"&amp;$E349,Scoring!$U:$U,0)),"")</f>
        <v>Priority 1</v>
      </c>
      <c r="AB349" s="15" t="str">
        <f aca="false">IFERROR(INDEX(Scoring!$AK:$AK,MATCH($C349&amp;"|"&amp;$E349,Scoring!$U:$U,0)),"")</f>
        <v>Priority 2</v>
      </c>
      <c r="AC349" s="18" t="n">
        <f aca="false">IFERROR(INDEX(Scoring!$M:$M,MATCH($C349&amp;"|"&amp;$E349,Scoring!$U:$U,0)),"")</f>
        <v>155</v>
      </c>
      <c r="AD349" s="15" t="str">
        <f aca="false">IFERROR(INDEX('Route of Administration'!$C$5:$C$155,MATCH($C349,'Route of Administration'!$A$5:$A$155,0)),"")</f>
        <v>SC</v>
      </c>
      <c r="AE349" s="14" t="str">
        <f aca="false">IFERROR(INDEX('Route of Administration'!$D$5:$D$155,MATCH($C349,'Route of Administration'!$A$5:$A$155,0)),"")</f>
        <v>Yes</v>
      </c>
    </row>
    <row r="350" customFormat="false" ht="82.05" hidden="false" customHeight="false" outlineLevel="0" collapsed="false">
      <c r="B350" s="15" t="n">
        <v>348</v>
      </c>
      <c r="C350" s="15" t="s">
        <v>296</v>
      </c>
      <c r="D350" s="15" t="s">
        <v>2181</v>
      </c>
      <c r="E350" s="15" t="s">
        <v>894</v>
      </c>
      <c r="F350" s="15" t="s">
        <v>1661</v>
      </c>
      <c r="G350" s="16" t="s">
        <v>2182</v>
      </c>
      <c r="H350" s="15" t="s">
        <v>1505</v>
      </c>
      <c r="I350" s="17" t="n">
        <v>360.71</v>
      </c>
      <c r="J350" s="15" t="n">
        <v>1</v>
      </c>
      <c r="K350" s="15" t="n">
        <v>762</v>
      </c>
      <c r="L350" s="18" t="n">
        <v>50865.56</v>
      </c>
      <c r="M350" s="16" t="s">
        <v>297</v>
      </c>
      <c r="N350" s="17" t="n">
        <v>360.71</v>
      </c>
      <c r="O350" s="15" t="s">
        <v>1506</v>
      </c>
      <c r="P350" s="15" t="s">
        <v>1507</v>
      </c>
      <c r="Q350" s="16" t="s">
        <v>1508</v>
      </c>
      <c r="R350" s="32" t="s">
        <v>1663</v>
      </c>
      <c r="S350" s="37" t="n">
        <f aca="false">IFERROR(INDEX('Injectable Value'!$Z$28:$Z$178,MATCH($C350,'Injectable Value'!$A$28:$A$178,0)),"")</f>
        <v>0.829278792417718</v>
      </c>
      <c r="T350" s="18" t="n">
        <f aca="false">IFERROR(ROUND(INDEX('Injectable Value'!$AA$28:$AA$178,MATCH($C350,'Injectable Value'!$A$28:$A$178,0)),1),"")</f>
        <v>42181.7</v>
      </c>
      <c r="U350" s="16" t="s">
        <v>919</v>
      </c>
      <c r="V350" s="15" t="n">
        <v>32</v>
      </c>
      <c r="W350" s="15" t="s">
        <v>423</v>
      </c>
      <c r="X350" s="15" t="s">
        <v>248</v>
      </c>
      <c r="Y350" s="15" t="s">
        <v>277</v>
      </c>
      <c r="Z350" s="16" t="str">
        <f aca="false">IFERROR(INDEX(Scoring!$K:$K,MATCH($C350&amp;"|"&amp;$E350,Scoring!$U:$U,0)),"")</f>
        <v>Cancer drug (cytotoxic) – less relevant; Reconstitution</v>
      </c>
      <c r="AA350" s="15" t="str">
        <f aca="false">IFERROR(INDEX(Scoring!$Q:$Q,MATCH($C350&amp;"|"&amp;$E350,Scoring!$U:$U,0)),"")</f>
        <v>Priority 1</v>
      </c>
      <c r="AB350" s="15" t="str">
        <f aca="false">IFERROR(INDEX(Scoring!$AK:$AK,MATCH($C350&amp;"|"&amp;$E350,Scoring!$U:$U,0)),"")</f>
        <v>Priority 1</v>
      </c>
      <c r="AC350" s="18" t="n">
        <f aca="false">IFERROR(INDEX(Scoring!$M:$M,MATCH($C350&amp;"|"&amp;$E350,Scoring!$U:$U,0)),"")</f>
        <v>632</v>
      </c>
      <c r="AD350" s="15" t="str">
        <f aca="false">IFERROR(INDEX('Route of Administration'!$C$5:$C$155,MATCH($C350,'Route of Administration'!$A$5:$A$155,0)),"")</f>
        <v>IV, SC</v>
      </c>
      <c r="AE350" s="14" t="str">
        <f aca="false">IFERROR(INDEX('Route of Administration'!$D$5:$D$155,MATCH($C350,'Route of Administration'!$A$5:$A$155,0)),"")</f>
        <v>Yes</v>
      </c>
    </row>
    <row r="351" customFormat="false" ht="82.05" hidden="false" customHeight="false" outlineLevel="0" collapsed="false">
      <c r="B351" s="15" t="n">
        <v>349</v>
      </c>
      <c r="C351" s="15" t="s">
        <v>510</v>
      </c>
      <c r="D351" s="15" t="s">
        <v>510</v>
      </c>
      <c r="E351" s="15" t="s">
        <v>894</v>
      </c>
      <c r="F351" s="15" t="s">
        <v>1658</v>
      </c>
      <c r="G351" s="16" t="s">
        <v>1659</v>
      </c>
      <c r="H351" s="15" t="s">
        <v>1505</v>
      </c>
      <c r="I351" s="17" t="n">
        <v>6455.02</v>
      </c>
      <c r="J351" s="15" t="n">
        <v>1</v>
      </c>
      <c r="K351" s="15" t="n">
        <v>47</v>
      </c>
      <c r="L351" s="18" t="n">
        <v>7904.67</v>
      </c>
      <c r="M351" s="16" t="s">
        <v>511</v>
      </c>
      <c r="N351" s="17" t="n">
        <v>6455.02</v>
      </c>
      <c r="O351" s="15" t="s">
        <v>1506</v>
      </c>
      <c r="P351" s="15" t="s">
        <v>1672</v>
      </c>
      <c r="Q351" s="16" t="s">
        <v>1508</v>
      </c>
      <c r="R351" s="32" t="s">
        <v>2183</v>
      </c>
      <c r="S351" s="37" t="n">
        <f aca="false">IFERROR(INDEX('Injectable Value'!$Z$28:$Z$178,MATCH($C351,'Injectable Value'!$A$28:$A$178,0)),"")</f>
        <v>1</v>
      </c>
      <c r="T351" s="18" t="n">
        <f aca="false">IFERROR(ROUND(INDEX('Injectable Value'!$AA$28:$AA$178,MATCH($C351,'Injectable Value'!$A$28:$A$178,0)),1),"")</f>
        <v>7904.7</v>
      </c>
      <c r="U351" s="16" t="s">
        <v>919</v>
      </c>
      <c r="V351" s="15" t="n">
        <v>32</v>
      </c>
      <c r="W351" s="15" t="s">
        <v>423</v>
      </c>
      <c r="X351" s="15" t="s">
        <v>248</v>
      </c>
      <c r="Y351" s="15" t="s">
        <v>249</v>
      </c>
      <c r="Z351" s="16" t="str">
        <f aca="false">IFERROR(INDEX(Scoring!$K:$K,MATCH($C351&amp;"|"&amp;$E351,Scoring!$U:$U,0)),"")</f>
        <v/>
      </c>
      <c r="AA351" s="15" t="str">
        <f aca="false">IFERROR(INDEX(Scoring!$Q:$Q,MATCH($C351&amp;"|"&amp;$E351,Scoring!$U:$U,0)),"")</f>
        <v>Priority 2</v>
      </c>
      <c r="AB351" s="15" t="str">
        <f aca="false">IFERROR(INDEX(Scoring!$AK:$AK,MATCH($C351&amp;"|"&amp;$E351,Scoring!$U:$U,0)),"")</f>
        <v>Priority 2</v>
      </c>
      <c r="AC351" s="18" t="n">
        <f aca="false">IFERROR(INDEX(Scoring!$M:$M,MATCH($C351&amp;"|"&amp;$E351,Scoring!$U:$U,0)),"")</f>
        <v>47</v>
      </c>
      <c r="AD351" s="15" t="str">
        <f aca="false">IFERROR(INDEX('Route of Administration'!$C$5:$C$155,MATCH($C351,'Route of Administration'!$A$5:$A$155,0)),"")</f>
        <v>SC</v>
      </c>
      <c r="AE351" s="14" t="str">
        <f aca="false">IFERROR(INDEX('Route of Administration'!$D$5:$D$155,MATCH($C351,'Route of Administration'!$A$5:$A$155,0)),"")</f>
        <v>Yes</v>
      </c>
    </row>
    <row r="352" customFormat="false" ht="82.05" hidden="false" customHeight="false" outlineLevel="0" collapsed="false">
      <c r="B352" s="15" t="n">
        <v>350</v>
      </c>
      <c r="C352" s="15" t="s">
        <v>965</v>
      </c>
      <c r="D352" s="15" t="s">
        <v>965</v>
      </c>
      <c r="E352" s="15" t="s">
        <v>894</v>
      </c>
      <c r="F352" s="15" t="s">
        <v>2184</v>
      </c>
      <c r="G352" s="16" t="s">
        <v>2185</v>
      </c>
      <c r="H352" s="15" t="s">
        <v>1505</v>
      </c>
      <c r="I352" s="17" t="n">
        <v>132.2</v>
      </c>
      <c r="J352" s="15" t="n">
        <v>1</v>
      </c>
      <c r="K352" s="15" t="n">
        <v>26</v>
      </c>
      <c r="L352" s="18" t="n">
        <v>140.86</v>
      </c>
      <c r="M352" s="16" t="s">
        <v>966</v>
      </c>
      <c r="N352" s="17" t="n">
        <v>132.2</v>
      </c>
      <c r="O352" s="15" t="s">
        <v>1506</v>
      </c>
      <c r="P352" s="15" t="s">
        <v>1672</v>
      </c>
      <c r="Q352" s="16" t="s">
        <v>1508</v>
      </c>
      <c r="R352" s="32" t="s">
        <v>2186</v>
      </c>
      <c r="S352" s="37" t="n">
        <f aca="false">IFERROR(INDEX('Injectable Value'!$Z$28:$Z$178,MATCH($C352,'Injectable Value'!$A$28:$A$178,0)),"")</f>
        <v>1</v>
      </c>
      <c r="T352" s="18" t="n">
        <f aca="false">IFERROR(ROUND(INDEX('Injectable Value'!$AA$28:$AA$178,MATCH($C352,'Injectable Value'!$A$28:$A$178,0)),1),"")</f>
        <v>140.9</v>
      </c>
      <c r="U352" s="16" t="s">
        <v>970</v>
      </c>
      <c r="V352" s="15" t="n">
        <v>31</v>
      </c>
      <c r="W352" s="15" t="s">
        <v>423</v>
      </c>
      <c r="X352" s="15" t="s">
        <v>248</v>
      </c>
      <c r="Y352" s="15" t="s">
        <v>277</v>
      </c>
      <c r="Z352" s="16" t="str">
        <f aca="false">IFERROR(INDEX(Scoring!$K:$K,MATCH($C352&amp;"|"&amp;$E352,Scoring!$U:$U,0)),"")</f>
        <v>Reconstitution</v>
      </c>
      <c r="AA352" s="15" t="str">
        <f aca="false">IFERROR(INDEX(Scoring!$Q:$Q,MATCH($C352&amp;"|"&amp;$E352,Scoring!$U:$U,0)),"")</f>
        <v>Priority 2</v>
      </c>
      <c r="AB352" s="15" t="str">
        <f aca="false">IFERROR(INDEX(Scoring!$AK:$AK,MATCH($C352&amp;"|"&amp;$E352,Scoring!$U:$U,0)),"")</f>
        <v>Priority 2</v>
      </c>
      <c r="AC352" s="18" t="n">
        <f aca="false">IFERROR(INDEX(Scoring!$M:$M,MATCH($C352&amp;"|"&amp;$E352,Scoring!$U:$U,0)),"")</f>
        <v>26</v>
      </c>
      <c r="AD352" s="15" t="str">
        <f aca="false">IFERROR(INDEX('Route of Administration'!$C$5:$C$155,MATCH($C352,'Route of Administration'!$A$5:$A$155,0)),"")</f>
        <v>SC</v>
      </c>
      <c r="AE352" s="14" t="str">
        <f aca="false">IFERROR(INDEX('Route of Administration'!$D$5:$D$155,MATCH($C352,'Route of Administration'!$A$5:$A$155,0)),"")</f>
        <v>Yes</v>
      </c>
    </row>
    <row r="353" customFormat="false" ht="82.05" hidden="false" customHeight="false" outlineLevel="0" collapsed="false">
      <c r="B353" s="15" t="n">
        <v>351</v>
      </c>
      <c r="C353" s="15" t="s">
        <v>1135</v>
      </c>
      <c r="D353" s="15" t="s">
        <v>1139</v>
      </c>
      <c r="E353" s="15" t="s">
        <v>894</v>
      </c>
      <c r="F353" s="15" t="s">
        <v>2187</v>
      </c>
      <c r="G353" s="16" t="s">
        <v>2188</v>
      </c>
      <c r="H353" s="15" t="s">
        <v>1512</v>
      </c>
      <c r="I353" s="17" t="n">
        <v>2838.33</v>
      </c>
      <c r="J353" s="15" t="n">
        <v>1</v>
      </c>
      <c r="K353" s="15" t="n">
        <v>125</v>
      </c>
      <c r="L353" s="18" t="n">
        <v>2485.93</v>
      </c>
      <c r="M353" s="16" t="s">
        <v>1136</v>
      </c>
      <c r="N353" s="17" t="n">
        <v>2838.33</v>
      </c>
      <c r="O353" s="15" t="s">
        <v>1506</v>
      </c>
      <c r="P353" s="15" t="s">
        <v>1672</v>
      </c>
      <c r="Q353" s="16" t="s">
        <v>2169</v>
      </c>
      <c r="R353" s="15"/>
      <c r="S353" s="37" t="n">
        <f aca="false">IFERROR(INDEX('Injectable Value'!$Z$28:$Z$178,MATCH($C353,'Injectable Value'!$A$28:$A$178,0)),"")</f>
        <v>1</v>
      </c>
      <c r="T353" s="18" t="n">
        <f aca="false">IFERROR(ROUND(INDEX('Injectable Value'!$AA$28:$AA$178,MATCH($C353,'Injectable Value'!$A$28:$A$178,0)),1),"")</f>
        <v>2485.9</v>
      </c>
      <c r="U353" s="16" t="s">
        <v>1140</v>
      </c>
      <c r="V353" s="15" t="n">
        <v>32</v>
      </c>
      <c r="W353" s="15" t="s">
        <v>298</v>
      </c>
      <c r="X353" s="15" t="s">
        <v>258</v>
      </c>
      <c r="Y353" s="15" t="s">
        <v>249</v>
      </c>
      <c r="Z353" s="16" t="str">
        <f aca="false">IFERROR(INDEX(Scoring!$K:$K,MATCH($C353&amp;"|"&amp;$E353,Scoring!$U:$U,0)),"")</f>
        <v>Prefilled only</v>
      </c>
      <c r="AA353" s="15" t="str">
        <f aca="false">IFERROR(INDEX(Scoring!$Q:$Q,MATCH($C353&amp;"|"&amp;$E353,Scoring!$U:$U,0)),"")</f>
        <v>Priority 2</v>
      </c>
      <c r="AB353" s="15" t="str">
        <f aca="false">IFERROR(INDEX(Scoring!$AK:$AK,MATCH($C353&amp;"|"&amp;$E353,Scoring!$U:$U,0)),"")</f>
        <v>Priority 2</v>
      </c>
      <c r="AC353" s="18" t="n">
        <f aca="false">IFERROR(INDEX(Scoring!$M:$M,MATCH($C353&amp;"|"&amp;$E353,Scoring!$U:$U,0)),"")</f>
        <v>125</v>
      </c>
      <c r="AD353" s="15" t="str">
        <f aca="false">IFERROR(INDEX('Route of Administration'!$C$5:$C$155,MATCH($C353,'Route of Administration'!$A$5:$A$155,0)),"")</f>
        <v>IV, SC</v>
      </c>
      <c r="AE353" s="14" t="str">
        <f aca="false">IFERROR(INDEX('Route of Administration'!$D$5:$D$155,MATCH($C353,'Route of Administration'!$A$5:$A$155,0)),"")</f>
        <v>Yes</v>
      </c>
    </row>
    <row r="354" customFormat="false" ht="41.75" hidden="false" customHeight="false" outlineLevel="0" collapsed="false">
      <c r="B354" s="15" t="n">
        <v>352</v>
      </c>
      <c r="C354" s="15" t="s">
        <v>503</v>
      </c>
      <c r="D354" s="15" t="s">
        <v>503</v>
      </c>
      <c r="E354" s="15" t="s">
        <v>894</v>
      </c>
      <c r="F354" s="15" t="s">
        <v>1664</v>
      </c>
      <c r="G354" s="16" t="s">
        <v>1665</v>
      </c>
      <c r="H354" s="15" t="s">
        <v>1505</v>
      </c>
      <c r="I354" s="17" t="n">
        <v>6.61</v>
      </c>
      <c r="J354" s="15" t="n">
        <v>1</v>
      </c>
      <c r="K354" s="15" t="n">
        <v>3515</v>
      </c>
      <c r="L354" s="18" t="n">
        <v>140084.73</v>
      </c>
      <c r="M354" s="16" t="s">
        <v>504</v>
      </c>
      <c r="N354" s="17" t="n">
        <v>6.61</v>
      </c>
      <c r="O354" s="15" t="s">
        <v>1506</v>
      </c>
      <c r="P354" s="15" t="s">
        <v>1507</v>
      </c>
      <c r="Q354" s="16" t="s">
        <v>1508</v>
      </c>
      <c r="R354" s="32" t="s">
        <v>1666</v>
      </c>
      <c r="S354" s="37" t="n">
        <f aca="false">IFERROR(INDEX('Injectable Value'!$Z$28:$Z$178,MATCH($C354,'Injectable Value'!$A$28:$A$178,0)),"")</f>
        <v>0.251824206147514</v>
      </c>
      <c r="T354" s="18" t="n">
        <f aca="false">IFERROR(ROUND(INDEX('Injectable Value'!$AA$28:$AA$178,MATCH($C354,'Injectable Value'!$A$28:$A$178,0)),1),"")</f>
        <v>35276.7</v>
      </c>
      <c r="U354" s="16" t="s">
        <v>1088</v>
      </c>
      <c r="V354" s="15" t="n">
        <v>14</v>
      </c>
      <c r="W354" s="15" t="s">
        <v>1086</v>
      </c>
      <c r="X354" s="15" t="s">
        <v>248</v>
      </c>
      <c r="Y354" s="15" t="s">
        <v>277</v>
      </c>
      <c r="Z354" s="16" t="str">
        <f aca="false">IFERROR(INDEX(Scoring!$K:$K,MATCH($C354&amp;"|"&amp;$E354,Scoring!$U:$U,0)),"")</f>
        <v>Reconstitution</v>
      </c>
      <c r="AA354" s="15" t="str">
        <f aca="false">IFERROR(INDEX(Scoring!$Q:$Q,MATCH($C354&amp;"|"&amp;$E354,Scoring!$U:$U,0)),"")</f>
        <v>Excluded – IV only</v>
      </c>
      <c r="AB354" s="15" t="str">
        <f aca="false">IFERROR(INDEX(Scoring!$AK:$AK,MATCH($C354&amp;"|"&amp;$E354,Scoring!$U:$U,0)),"")</f>
        <v>Excluded – IV only</v>
      </c>
      <c r="AC354" s="18" t="n">
        <f aca="false">IFERROR(INDEX(Scoring!$M:$M,MATCH($C354&amp;"|"&amp;$E354,Scoring!$U:$U,0)),"")</f>
        <v>885</v>
      </c>
      <c r="AD354" s="15" t="str">
        <f aca="false">IFERROR(INDEX('Route of Administration'!$C$5:$C$155,MATCH($C354,'Route of Administration'!$A$5:$A$155,0)),"")</f>
        <v>IV</v>
      </c>
      <c r="AE354" s="14" t="str">
        <f aca="false">IFERROR(INDEX('Route of Administration'!$D$5:$D$155,MATCH($C354,'Route of Administration'!$A$5:$A$155,0)),"")</f>
        <v>No</v>
      </c>
    </row>
    <row r="355" customFormat="false" ht="68.65" hidden="false" customHeight="false" outlineLevel="0" collapsed="false">
      <c r="B355" s="15" t="n">
        <v>353</v>
      </c>
      <c r="C355" s="15" t="s">
        <v>487</v>
      </c>
      <c r="D355" s="15" t="s">
        <v>487</v>
      </c>
      <c r="E355" s="15" t="s">
        <v>894</v>
      </c>
      <c r="F355" s="15" t="s">
        <v>2189</v>
      </c>
      <c r="G355" s="16" t="s">
        <v>2190</v>
      </c>
      <c r="H355" s="15" t="s">
        <v>1512</v>
      </c>
      <c r="I355" s="17" t="n">
        <v>79.25</v>
      </c>
      <c r="J355" s="15" t="n">
        <v>1</v>
      </c>
      <c r="K355" s="15" t="n">
        <v>2546</v>
      </c>
      <c r="L355" s="18" t="n">
        <v>46507.62</v>
      </c>
      <c r="M355" s="16" t="s">
        <v>488</v>
      </c>
      <c r="N355" s="17" t="n">
        <v>79.25</v>
      </c>
      <c r="O355" s="15" t="s">
        <v>1506</v>
      </c>
      <c r="P355" s="15" t="s">
        <v>1672</v>
      </c>
      <c r="Q355" s="16" t="s">
        <v>1508</v>
      </c>
      <c r="R355" s="32" t="s">
        <v>2191</v>
      </c>
      <c r="S355" s="37" t="n">
        <f aca="false">IFERROR(INDEX('Injectable Value'!$Z$28:$Z$178,MATCH($C355,'Injectable Value'!$A$28:$A$178,0)),"")</f>
        <v>0.378228374732698</v>
      </c>
      <c r="T355" s="18" t="n">
        <f aca="false">IFERROR(ROUND(INDEX('Injectable Value'!$AA$28:$AA$178,MATCH($C355,'Injectable Value'!$A$28:$A$178,0)),1),"")</f>
        <v>17590.5</v>
      </c>
      <c r="U355" s="16" t="s">
        <v>1074</v>
      </c>
      <c r="V355" s="15" t="n">
        <v>27</v>
      </c>
      <c r="W355" s="15" t="s">
        <v>307</v>
      </c>
      <c r="X355" s="15" t="s">
        <v>258</v>
      </c>
      <c r="Y355" s="15" t="s">
        <v>249</v>
      </c>
      <c r="Z355" s="16" t="str">
        <f aca="false">IFERROR(INDEX(Scoring!$K:$K,MATCH($C355&amp;"|"&amp;$E355,Scoring!$U:$U,0)),"")</f>
        <v/>
      </c>
      <c r="AA355" s="15" t="str">
        <f aca="false">IFERROR(INDEX(Scoring!$Q:$Q,MATCH($C355&amp;"|"&amp;$E355,Scoring!$U:$U,0)),"")</f>
        <v>Priority 2</v>
      </c>
      <c r="AB355" s="15" t="str">
        <f aca="false">IFERROR(INDEX(Scoring!$AK:$AK,MATCH($C355&amp;"|"&amp;$E355,Scoring!$U:$U,0)),"")</f>
        <v>Priority 2</v>
      </c>
      <c r="AC355" s="18" t="n">
        <f aca="false">IFERROR(INDEX(Scoring!$M:$M,MATCH($C355&amp;"|"&amp;$E355,Scoring!$U:$U,0)),"")</f>
        <v>963</v>
      </c>
      <c r="AD355" s="15" t="str">
        <f aca="false">IFERROR(INDEX('Route of Administration'!$C$5:$C$155,MATCH($C355,'Route of Administration'!$A$5:$A$155,0)),"")</f>
        <v>IV, IM</v>
      </c>
      <c r="AE355" s="14" t="str">
        <f aca="false">IFERROR(INDEX('Route of Administration'!$D$5:$D$155,MATCH($C355,'Route of Administration'!$A$5:$A$155,0)),"")</f>
        <v>Yes</v>
      </c>
    </row>
    <row r="356" customFormat="false" ht="41.75" hidden="false" customHeight="false" outlineLevel="0" collapsed="false">
      <c r="B356" s="15" t="n">
        <v>354</v>
      </c>
      <c r="C356" s="15" t="s">
        <v>480</v>
      </c>
      <c r="D356" s="15" t="s">
        <v>480</v>
      </c>
      <c r="E356" s="15" t="s">
        <v>894</v>
      </c>
      <c r="F356" s="15" t="s">
        <v>2192</v>
      </c>
      <c r="G356" s="16" t="s">
        <v>2193</v>
      </c>
      <c r="H356" s="15" t="s">
        <v>1512</v>
      </c>
      <c r="I356" s="17" t="n">
        <v>5.42</v>
      </c>
      <c r="J356" s="15" t="n">
        <v>1</v>
      </c>
      <c r="K356" s="15" t="n">
        <v>365</v>
      </c>
      <c r="L356" s="18" t="n">
        <v>5976.94</v>
      </c>
      <c r="M356" s="16" t="s">
        <v>481</v>
      </c>
      <c r="N356" s="17" t="n">
        <v>5.42</v>
      </c>
      <c r="O356" s="15" t="s">
        <v>1506</v>
      </c>
      <c r="P356" s="15" t="s">
        <v>1507</v>
      </c>
      <c r="Q356" s="16" t="s">
        <v>1508</v>
      </c>
      <c r="R356" s="32" t="s">
        <v>2194</v>
      </c>
      <c r="S356" s="37" t="n">
        <f aca="false">IFERROR(INDEX('Injectable Value'!$Z$28:$Z$178,MATCH($C356,'Injectable Value'!$A$28:$A$178,0)),"")</f>
        <v>0.240571827983426</v>
      </c>
      <c r="T356" s="18" t="n">
        <f aca="false">IFERROR(ROUND(INDEX('Injectable Value'!$AA$28:$AA$178,MATCH($C356,'Injectable Value'!$A$28:$A$178,0)),1),"")</f>
        <v>1437.9</v>
      </c>
      <c r="U356" s="16" t="s">
        <v>1069</v>
      </c>
      <c r="V356" s="15" t="n">
        <v>15</v>
      </c>
      <c r="W356" s="15" t="s">
        <v>729</v>
      </c>
      <c r="X356" s="15" t="s">
        <v>258</v>
      </c>
      <c r="Y356" s="15" t="s">
        <v>277</v>
      </c>
      <c r="Z356" s="16" t="str">
        <f aca="false">IFERROR(INDEX(Scoring!$K:$K,MATCH($C356&amp;"|"&amp;$E356,Scoring!$U:$U,0)),"")</f>
        <v>Prefilled only</v>
      </c>
      <c r="AA356" s="15" t="str">
        <f aca="false">IFERROR(INDEX(Scoring!$Q:$Q,MATCH($C356&amp;"|"&amp;$E356,Scoring!$U:$U,0)),"")</f>
        <v>Priority 3</v>
      </c>
      <c r="AB356" s="15" t="str">
        <f aca="false">IFERROR(INDEX(Scoring!$AK:$AK,MATCH($C356&amp;"|"&amp;$E356,Scoring!$U:$U,0)),"")</f>
        <v>Priority 2</v>
      </c>
      <c r="AC356" s="18" t="n">
        <f aca="false">IFERROR(INDEX(Scoring!$M:$M,MATCH($C356&amp;"|"&amp;$E356,Scoring!$U:$U,0)),"")</f>
        <v>88</v>
      </c>
      <c r="AD356" s="15" t="str">
        <f aca="false">IFERROR(INDEX('Route of Administration'!$C$5:$C$155,MATCH($C356,'Route of Administration'!$A$5:$A$155,0)),"")</f>
        <v>IV, IM, SC</v>
      </c>
      <c r="AE356" s="14" t="str">
        <f aca="false">IFERROR(INDEX('Route of Administration'!$D$5:$D$155,MATCH($C356,'Route of Administration'!$A$5:$A$155,0)),"")</f>
        <v>Yes</v>
      </c>
    </row>
    <row r="357" customFormat="false" ht="55.2" hidden="false" customHeight="false" outlineLevel="0" collapsed="false">
      <c r="B357" s="15" t="n">
        <v>355</v>
      </c>
      <c r="C357" s="15" t="s">
        <v>469</v>
      </c>
      <c r="D357" s="15" t="s">
        <v>469</v>
      </c>
      <c r="E357" s="15" t="s">
        <v>894</v>
      </c>
      <c r="F357" s="15" t="s">
        <v>1664</v>
      </c>
      <c r="G357" s="16" t="s">
        <v>1989</v>
      </c>
      <c r="H357" s="15" t="s">
        <v>1505</v>
      </c>
      <c r="I357" s="17" t="n">
        <v>100.33</v>
      </c>
      <c r="J357" s="15" t="n">
        <v>1</v>
      </c>
      <c r="K357" s="15" t="n">
        <v>544</v>
      </c>
      <c r="L357" s="18" t="n">
        <v>7654.85</v>
      </c>
      <c r="M357" s="16" t="s">
        <v>470</v>
      </c>
      <c r="N357" s="17" t="n">
        <v>100.33</v>
      </c>
      <c r="O357" s="15" t="s">
        <v>1506</v>
      </c>
      <c r="P357" s="15" t="s">
        <v>1672</v>
      </c>
      <c r="Q357" s="16" t="s">
        <v>1508</v>
      </c>
      <c r="R357" s="32" t="s">
        <v>2195</v>
      </c>
      <c r="S357" s="37" t="n">
        <f aca="false">IFERROR(INDEX('Injectable Value'!$Z$28:$Z$178,MATCH($C357,'Injectable Value'!$A$28:$A$178,0)),"")</f>
        <v>0.882348668280872</v>
      </c>
      <c r="T357" s="18" t="n">
        <f aca="false">IFERROR(ROUND(INDEX('Injectable Value'!$AA$28:$AA$178,MATCH($C357,'Injectable Value'!$A$28:$A$178,0)),1),"")</f>
        <v>6754.2</v>
      </c>
      <c r="U357" s="16" t="s">
        <v>1059</v>
      </c>
      <c r="V357" s="15" t="n">
        <v>19</v>
      </c>
      <c r="W357" s="15" t="s">
        <v>505</v>
      </c>
      <c r="X357" s="15" t="s">
        <v>248</v>
      </c>
      <c r="Y357" s="15" t="s">
        <v>299</v>
      </c>
      <c r="Z357" s="16" t="str">
        <f aca="false">IFERROR(INDEX(Scoring!$K:$K,MATCH($C357&amp;"|"&amp;$E357,Scoring!$U:$U,0)),"")</f>
        <v>Cancer drug (cytotoxic) – less relevant; Reconstitution</v>
      </c>
      <c r="AA357" s="15" t="str">
        <f aca="false">IFERROR(INDEX(Scoring!$Q:$Q,MATCH($C357&amp;"|"&amp;$E357,Scoring!$U:$U,0)),"")</f>
        <v>Excluded – IV only</v>
      </c>
      <c r="AB357" s="15" t="str">
        <f aca="false">IFERROR(INDEX(Scoring!$AK:$AK,MATCH($C357&amp;"|"&amp;$E357,Scoring!$U:$U,0)),"")</f>
        <v>Excluded – IV only</v>
      </c>
      <c r="AC357" s="18" t="n">
        <f aca="false">IFERROR(INDEX(Scoring!$M:$M,MATCH($C357&amp;"|"&amp;$E357,Scoring!$U:$U,0)),"")</f>
        <v>480</v>
      </c>
      <c r="AD357" s="15" t="str">
        <f aca="false">IFERROR(INDEX('Route of Administration'!$C$5:$C$155,MATCH($C357,'Route of Administration'!$A$5:$A$155,0)),"")</f>
        <v>IV</v>
      </c>
      <c r="AE357" s="14" t="str">
        <f aca="false">IFERROR(INDEX('Route of Administration'!$D$5:$D$155,MATCH($C357,'Route of Administration'!$A$5:$A$155,0)),"")</f>
        <v>No</v>
      </c>
    </row>
    <row r="358" customFormat="false" ht="68.65" hidden="false" customHeight="false" outlineLevel="0" collapsed="false">
      <c r="B358" s="15" t="n">
        <v>356</v>
      </c>
      <c r="C358" s="15" t="s">
        <v>266</v>
      </c>
      <c r="D358" s="15" t="s">
        <v>266</v>
      </c>
      <c r="E358" s="15" t="s">
        <v>894</v>
      </c>
      <c r="F358" s="15" t="s">
        <v>1661</v>
      </c>
      <c r="G358" s="16" t="s">
        <v>1966</v>
      </c>
      <c r="H358" s="15" t="s">
        <v>1505</v>
      </c>
      <c r="I358" s="17" t="n">
        <v>96.02</v>
      </c>
      <c r="J358" s="15" t="n">
        <v>1</v>
      </c>
      <c r="K358" s="15" t="n">
        <v>1282</v>
      </c>
      <c r="L358" s="18" t="n">
        <v>16792.84</v>
      </c>
      <c r="M358" s="16" t="s">
        <v>267</v>
      </c>
      <c r="N358" s="17" t="n">
        <v>96.02</v>
      </c>
      <c r="O358" s="15" t="s">
        <v>1506</v>
      </c>
      <c r="P358" s="15" t="s">
        <v>1672</v>
      </c>
      <c r="Q358" s="16" t="s">
        <v>1508</v>
      </c>
      <c r="R358" s="32" t="s">
        <v>2196</v>
      </c>
      <c r="S358" s="37" t="n">
        <f aca="false">IFERROR(INDEX('Injectable Value'!$Z$28:$Z$178,MATCH($C358,'Injectable Value'!$A$28:$A$178,0)),"")</f>
        <v>0.776857437207773</v>
      </c>
      <c r="T358" s="18" t="n">
        <f aca="false">IFERROR(ROUND(INDEX('Injectable Value'!$AA$28:$AA$178,MATCH($C358,'Injectable Value'!$A$28:$A$178,0)),1),"")</f>
        <v>13045.6</v>
      </c>
      <c r="U358" s="16" t="s">
        <v>1047</v>
      </c>
      <c r="V358" s="15" t="n">
        <v>29</v>
      </c>
      <c r="W358" s="15" t="s">
        <v>505</v>
      </c>
      <c r="X358" s="15" t="s">
        <v>248</v>
      </c>
      <c r="Y358" s="15" t="s">
        <v>249</v>
      </c>
      <c r="Z358" s="16" t="str">
        <f aca="false">IFERROR(INDEX(Scoring!$K:$K,MATCH($C358&amp;"|"&amp;$E358,Scoring!$U:$U,0)),"")</f>
        <v>Cancer drug (cytotoxic) – less relevant</v>
      </c>
      <c r="AA358" s="15" t="str">
        <f aca="false">IFERROR(INDEX(Scoring!$Q:$Q,MATCH($C358&amp;"|"&amp;$E358,Scoring!$U:$U,0)),"")</f>
        <v>Priority 1</v>
      </c>
      <c r="AB358" s="15" t="str">
        <f aca="false">IFERROR(INDEX(Scoring!$AK:$AK,MATCH($C358&amp;"|"&amp;$E358,Scoring!$U:$U,0)),"")</f>
        <v>Priority 1</v>
      </c>
      <c r="AC358" s="18" t="n">
        <f aca="false">IFERROR(INDEX(Scoring!$M:$M,MATCH($C358&amp;"|"&amp;$E358,Scoring!$U:$U,0)),"")</f>
        <v>996</v>
      </c>
      <c r="AD358" s="15" t="str">
        <f aca="false">IFERROR(INDEX('Route of Administration'!$C$5:$C$155,MATCH($C358,'Route of Administration'!$A$5:$A$155,0)),"")</f>
        <v>IV, IM, SC</v>
      </c>
      <c r="AE358" s="14" t="str">
        <f aca="false">IFERROR(INDEX('Route of Administration'!$D$5:$D$155,MATCH($C358,'Route of Administration'!$A$5:$A$155,0)),"")</f>
        <v>Yes</v>
      </c>
    </row>
    <row r="359" customFormat="false" ht="28.35" hidden="false" customHeight="false" outlineLevel="0" collapsed="false">
      <c r="B359" s="15" t="n">
        <v>357</v>
      </c>
      <c r="C359" s="15" t="s">
        <v>444</v>
      </c>
      <c r="D359" s="15" t="s">
        <v>444</v>
      </c>
      <c r="E359" s="15" t="s">
        <v>894</v>
      </c>
      <c r="F359" s="15" t="s">
        <v>1993</v>
      </c>
      <c r="G359" s="16" t="s">
        <v>2197</v>
      </c>
      <c r="H359" s="15" t="s">
        <v>1505</v>
      </c>
      <c r="I359" s="17"/>
      <c r="J359" s="15" t="n">
        <v>1</v>
      </c>
      <c r="K359" s="15" t="n">
        <v>257</v>
      </c>
      <c r="L359" s="18" t="n">
        <v>4183.29</v>
      </c>
      <c r="M359" s="16" t="s">
        <v>445</v>
      </c>
      <c r="N359" s="17"/>
      <c r="O359" s="15" t="s">
        <v>1545</v>
      </c>
      <c r="P359" s="15" t="s">
        <v>70</v>
      </c>
      <c r="Q359" s="16" t="s">
        <v>70</v>
      </c>
      <c r="R359" s="15"/>
      <c r="S359" s="37" t="n">
        <f aca="false">IFERROR(INDEX('Injectable Value'!$Z$28:$Z$178,MATCH($C359,'Injectable Value'!$A$28:$A$178,0)),"")</f>
        <v>0.689888576486515</v>
      </c>
      <c r="T359" s="18" t="n">
        <f aca="false">IFERROR(ROUND(INDEX('Injectable Value'!$AA$28:$AA$178,MATCH($C359,'Injectable Value'!$A$28:$A$178,0)),1),"")</f>
        <v>2886</v>
      </c>
      <c r="U359" s="16" t="s">
        <v>740</v>
      </c>
      <c r="V359" s="15" t="n">
        <v>2</v>
      </c>
      <c r="W359" s="15" t="s">
        <v>740</v>
      </c>
      <c r="X359" s="15" t="s">
        <v>248</v>
      </c>
      <c r="Y359" s="15" t="s">
        <v>249</v>
      </c>
      <c r="Z359" s="16" t="str">
        <f aca="false">IFERROR(INDEX(Scoring!$K:$K,MATCH($C359&amp;"|"&amp;$E359,Scoring!$U:$U,0)),"")</f>
        <v>Cancer drug (cytotoxic) – less relevant; Reconstitution</v>
      </c>
      <c r="AA359" s="15" t="str">
        <f aca="false">IFERROR(INDEX(Scoring!$Q:$Q,MATCH($C359&amp;"|"&amp;$E359,Scoring!$U:$U,0)),"")</f>
        <v>Excluded – IV only</v>
      </c>
      <c r="AB359" s="15" t="str">
        <f aca="false">IFERROR(INDEX(Scoring!$AK:$AK,MATCH($C359&amp;"|"&amp;$E359,Scoring!$U:$U,0)),"")</f>
        <v>Excluded – IV only</v>
      </c>
      <c r="AC359" s="18" t="n">
        <f aca="false">IFERROR(INDEX(Scoring!$M:$M,MATCH($C359&amp;"|"&amp;$E359,Scoring!$U:$U,0)),"")</f>
        <v>177</v>
      </c>
      <c r="AD359" s="15" t="str">
        <f aca="false">IFERROR(INDEX('Route of Administration'!$C$5:$C$155,MATCH($C359,'Route of Administration'!$A$5:$A$155,0)),"")</f>
        <v>IV</v>
      </c>
      <c r="AE359" s="14" t="str">
        <f aca="false">IFERROR(INDEX('Route of Administration'!$D$5:$D$155,MATCH($C359,'Route of Administration'!$A$5:$A$155,0)),"")</f>
        <v>No</v>
      </c>
    </row>
    <row r="360" customFormat="false" ht="82.05" hidden="false" customHeight="false" outlineLevel="0" collapsed="false">
      <c r="B360" s="15" t="n">
        <v>358</v>
      </c>
      <c r="C360" s="15" t="s">
        <v>408</v>
      </c>
      <c r="D360" s="15" t="s">
        <v>408</v>
      </c>
      <c r="E360" s="15" t="s">
        <v>894</v>
      </c>
      <c r="F360" s="15" t="s">
        <v>2198</v>
      </c>
      <c r="G360" s="16" t="s">
        <v>2199</v>
      </c>
      <c r="H360" s="15" t="s">
        <v>1505</v>
      </c>
      <c r="I360" s="17" t="n">
        <v>8.46</v>
      </c>
      <c r="J360" s="15" t="n">
        <v>1</v>
      </c>
      <c r="K360" s="15" t="n">
        <v>727</v>
      </c>
      <c r="L360" s="18" t="n">
        <v>7496</v>
      </c>
      <c r="M360" s="16" t="s">
        <v>409</v>
      </c>
      <c r="N360" s="17" t="n">
        <v>8.46</v>
      </c>
      <c r="O360" s="15" t="s">
        <v>1506</v>
      </c>
      <c r="P360" s="15" t="s">
        <v>1672</v>
      </c>
      <c r="Q360" s="16" t="s">
        <v>1508</v>
      </c>
      <c r="R360" s="32" t="s">
        <v>2200</v>
      </c>
      <c r="S360" s="37" t="n">
        <f aca="false">IFERROR(INDEX('Injectable Value'!$Z$28:$Z$178,MATCH($C360,'Injectable Value'!$A$28:$A$178,0)),"")</f>
        <v>0.650751867180439</v>
      </c>
      <c r="T360" s="18" t="n">
        <f aca="false">IFERROR(ROUND(INDEX('Injectable Value'!$AA$28:$AA$178,MATCH($C360,'Injectable Value'!$A$28:$A$178,0)),1),"")</f>
        <v>4878</v>
      </c>
      <c r="U360" s="16" t="s">
        <v>1012</v>
      </c>
      <c r="V360" s="15" t="n">
        <v>30</v>
      </c>
      <c r="W360" s="15" t="s">
        <v>505</v>
      </c>
      <c r="X360" s="15" t="s">
        <v>248</v>
      </c>
      <c r="Y360" s="15" t="s">
        <v>249</v>
      </c>
      <c r="Z360" s="16" t="str">
        <f aca="false">IFERROR(INDEX(Scoring!$K:$K,MATCH($C360&amp;"|"&amp;$E360,Scoring!$U:$U,0)),"")</f>
        <v>Cancer drug (cytotoxic) – less relevant</v>
      </c>
      <c r="AA360" s="15" t="str">
        <f aca="false">IFERROR(INDEX(Scoring!$Q:$Q,MATCH($C360&amp;"|"&amp;$E360,Scoring!$U:$U,0)),"")</f>
        <v>Excluded – IV only</v>
      </c>
      <c r="AB360" s="15" t="str">
        <f aca="false">IFERROR(INDEX(Scoring!$AK:$AK,MATCH($C360&amp;"|"&amp;$E360,Scoring!$U:$U,0)),"")</f>
        <v>Excluded – IV only</v>
      </c>
      <c r="AC360" s="18" t="n">
        <f aca="false">IFERROR(INDEX(Scoring!$M:$M,MATCH($C360&amp;"|"&amp;$E360,Scoring!$U:$U,0)),"")</f>
        <v>473</v>
      </c>
      <c r="AD360" s="15" t="str">
        <f aca="false">IFERROR(INDEX('Route of Administration'!$C$5:$C$155,MATCH($C360,'Route of Administration'!$A$5:$A$155,0)),"")</f>
        <v>IV</v>
      </c>
      <c r="AE360" s="14" t="str">
        <f aca="false">IFERROR(INDEX('Route of Administration'!$D$5:$D$155,MATCH($C360,'Route of Administration'!$A$5:$A$155,0)),"")</f>
        <v>No</v>
      </c>
    </row>
    <row r="361" customFormat="false" ht="68.65" hidden="false" customHeight="false" outlineLevel="0" collapsed="false">
      <c r="B361" s="15" t="n">
        <v>359</v>
      </c>
      <c r="C361" s="15" t="s">
        <v>1004</v>
      </c>
      <c r="D361" s="15" t="s">
        <v>1004</v>
      </c>
      <c r="E361" s="15" t="s">
        <v>894</v>
      </c>
      <c r="F361" s="15" t="s">
        <v>1661</v>
      </c>
      <c r="G361" s="16" t="s">
        <v>1966</v>
      </c>
      <c r="H361" s="15" t="s">
        <v>1505</v>
      </c>
      <c r="I361" s="17" t="n">
        <v>204.91</v>
      </c>
      <c r="J361" s="15" t="n">
        <v>1</v>
      </c>
      <c r="K361" s="15" t="n">
        <v>120</v>
      </c>
      <c r="L361" s="18" t="n">
        <v>5234.47</v>
      </c>
      <c r="M361" s="16" t="s">
        <v>1005</v>
      </c>
      <c r="N361" s="17" t="n">
        <v>204.91</v>
      </c>
      <c r="O361" s="15" t="s">
        <v>1506</v>
      </c>
      <c r="P361" s="15" t="s">
        <v>1672</v>
      </c>
      <c r="Q361" s="16" t="s">
        <v>1508</v>
      </c>
      <c r="R361" s="32" t="s">
        <v>2201</v>
      </c>
      <c r="S361" s="37" t="n">
        <f aca="false">IFERROR(INDEX('Injectable Value'!$Z$28:$Z$178,MATCH($C361,'Injectable Value'!$A$28:$A$178,0)),"")</f>
        <v>0.833333333333333</v>
      </c>
      <c r="T361" s="18" t="n">
        <f aca="false">IFERROR(ROUND(INDEX('Injectable Value'!$AA$28:$AA$178,MATCH($C361,'Injectable Value'!$A$28:$A$178,0)),1),"")</f>
        <v>4362.1</v>
      </c>
      <c r="U361" s="16" t="s">
        <v>1009</v>
      </c>
      <c r="V361" s="15" t="n">
        <v>23</v>
      </c>
      <c r="W361" s="15" t="s">
        <v>298</v>
      </c>
      <c r="X361" s="15" t="s">
        <v>248</v>
      </c>
      <c r="Y361" s="15" t="s">
        <v>249</v>
      </c>
      <c r="Z361" s="16" t="str">
        <f aca="false">IFERROR(INDEX(Scoring!$K:$K,MATCH($C361&amp;"|"&amp;$E361,Scoring!$U:$U,0)),"")</f>
        <v>Cancer drug (cytotoxic) – less relevant</v>
      </c>
      <c r="AA361" s="15" t="str">
        <f aca="false">IFERROR(INDEX(Scoring!$Q:$Q,MATCH($C361&amp;"|"&amp;$E361,Scoring!$U:$U,0)),"")</f>
        <v>Excluded – IV only</v>
      </c>
      <c r="AB361" s="15" t="str">
        <f aca="false">IFERROR(INDEX(Scoring!$AK:$AK,MATCH($C361&amp;"|"&amp;$E361,Scoring!$U:$U,0)),"")</f>
        <v>Excluded – IV only</v>
      </c>
      <c r="AC361" s="18" t="n">
        <f aca="false">IFERROR(INDEX(Scoring!$M:$M,MATCH($C361&amp;"|"&amp;$E361,Scoring!$U:$U,0)),"")</f>
        <v>100</v>
      </c>
      <c r="AD361" s="15" t="str">
        <f aca="false">IFERROR(INDEX('Route of Administration'!$C$5:$C$155,MATCH($C361,'Route of Administration'!$A$5:$A$155,0)),"")</f>
        <v>IV</v>
      </c>
      <c r="AE361" s="14" t="str">
        <f aca="false">IFERROR(INDEX('Route of Administration'!$D$5:$D$155,MATCH($C361,'Route of Administration'!$A$5:$A$155,0)),"")</f>
        <v>No</v>
      </c>
    </row>
    <row r="362" customFormat="false" ht="28.35" hidden="false" customHeight="false" outlineLevel="0" collapsed="false">
      <c r="B362" s="15" t="n">
        <v>360</v>
      </c>
      <c r="C362" s="15" t="s">
        <v>774</v>
      </c>
      <c r="D362" s="15" t="s">
        <v>774</v>
      </c>
      <c r="E362" s="15" t="s">
        <v>894</v>
      </c>
      <c r="F362" s="15" t="s">
        <v>1664</v>
      </c>
      <c r="G362" s="16" t="s">
        <v>1665</v>
      </c>
      <c r="H362" s="15" t="s">
        <v>1505</v>
      </c>
      <c r="I362" s="17" t="n">
        <v>5.62</v>
      </c>
      <c r="J362" s="15" t="n">
        <v>1</v>
      </c>
      <c r="K362" s="15" t="n">
        <v>3168</v>
      </c>
      <c r="L362" s="18" t="n">
        <v>130453.11</v>
      </c>
      <c r="M362" s="16" t="s">
        <v>775</v>
      </c>
      <c r="N362" s="17" t="n">
        <v>5.62</v>
      </c>
      <c r="O362" s="15" t="s">
        <v>1506</v>
      </c>
      <c r="P362" s="15" t="s">
        <v>1507</v>
      </c>
      <c r="Q362" s="16" t="s">
        <v>1508</v>
      </c>
      <c r="R362" s="32" t="s">
        <v>2202</v>
      </c>
      <c r="S362" s="37" t="n">
        <f aca="false">IFERROR(INDEX('Injectable Value'!$Z$28:$Z$178,MATCH($C362,'Injectable Value'!$A$28:$A$178,0)),"")</f>
        <v>0.103608949323645</v>
      </c>
      <c r="T362" s="18" t="n">
        <f aca="false">IFERROR(ROUND(INDEX('Injectable Value'!$AA$28:$AA$178,MATCH($C362,'Injectable Value'!$A$28:$A$178,0)),1),"")</f>
        <v>13516.1</v>
      </c>
      <c r="U362" s="16" t="s">
        <v>1002</v>
      </c>
      <c r="V362" s="15" t="n">
        <v>6</v>
      </c>
      <c r="W362" s="15" t="s">
        <v>1000</v>
      </c>
      <c r="X362" s="15" t="s">
        <v>248</v>
      </c>
      <c r="Y362" s="15" t="s">
        <v>277</v>
      </c>
      <c r="Z362" s="16" t="str">
        <f aca="false">IFERROR(INDEX(Scoring!$K:$K,MATCH($C362&amp;"|"&amp;$E362,Scoring!$U:$U,0)),"")</f>
        <v>Reconstitution</v>
      </c>
      <c r="AA362" s="15" t="str">
        <f aca="false">IFERROR(INDEX(Scoring!$Q:$Q,MATCH($C362&amp;"|"&amp;$E362,Scoring!$U:$U,0)),"")</f>
        <v>Excluded – IV only</v>
      </c>
      <c r="AB362" s="15" t="str">
        <f aca="false">IFERROR(INDEX(Scoring!$AK:$AK,MATCH($C362&amp;"|"&amp;$E362,Scoring!$U:$U,0)),"")</f>
        <v>Excluded – IV only</v>
      </c>
      <c r="AC362" s="18" t="n">
        <f aca="false">IFERROR(INDEX(Scoring!$M:$M,MATCH($C362&amp;"|"&amp;$E362,Scoring!$U:$U,0)),"")</f>
        <v>328</v>
      </c>
      <c r="AD362" s="15" t="str">
        <f aca="false">IFERROR(INDEX('Route of Administration'!$C$5:$C$155,MATCH($C362,'Route of Administration'!$A$5:$A$155,0)),"")</f>
        <v>IV</v>
      </c>
      <c r="AE362" s="14" t="str">
        <f aca="false">IFERROR(INDEX('Route of Administration'!$D$5:$D$155,MATCH($C362,'Route of Administration'!$A$5:$A$155,0)),"")</f>
        <v>No</v>
      </c>
    </row>
    <row r="363" customFormat="false" ht="55.2" hidden="false" customHeight="false" outlineLevel="0" collapsed="false">
      <c r="B363" s="15" t="n">
        <v>361</v>
      </c>
      <c r="C363" s="15" t="s">
        <v>376</v>
      </c>
      <c r="D363" s="15" t="s">
        <v>2203</v>
      </c>
      <c r="E363" s="15" t="s">
        <v>894</v>
      </c>
      <c r="F363" s="15" t="s">
        <v>1667</v>
      </c>
      <c r="G363" s="16" t="s">
        <v>1691</v>
      </c>
      <c r="H363" s="15" t="s">
        <v>1505</v>
      </c>
      <c r="I363" s="17" t="n">
        <v>26.68</v>
      </c>
      <c r="J363" s="15" t="n">
        <v>1</v>
      </c>
      <c r="K363" s="15" t="n">
        <v>345</v>
      </c>
      <c r="L363" s="18" t="n">
        <v>2783.28</v>
      </c>
      <c r="M363" s="16" t="s">
        <v>377</v>
      </c>
      <c r="N363" s="17" t="n">
        <v>26.68</v>
      </c>
      <c r="O363" s="15" t="s">
        <v>1506</v>
      </c>
      <c r="P363" s="15" t="s">
        <v>1672</v>
      </c>
      <c r="Q363" s="16" t="s">
        <v>1508</v>
      </c>
      <c r="R363" s="32" t="s">
        <v>2204</v>
      </c>
      <c r="S363" s="37" t="n">
        <f aca="false">IFERROR(INDEX('Injectable Value'!$Z$28:$Z$178,MATCH($C363,'Injectable Value'!$A$28:$A$178,0)),"")</f>
        <v>0.995283018867925</v>
      </c>
      <c r="T363" s="18" t="n">
        <f aca="false">IFERROR(ROUND(INDEX('Injectable Value'!$AA$28:$AA$178,MATCH($C363,'Injectable Value'!$A$28:$A$178,0)),1),"")</f>
        <v>2770.2</v>
      </c>
      <c r="U363" s="16" t="s">
        <v>990</v>
      </c>
      <c r="V363" s="15" t="n">
        <v>24</v>
      </c>
      <c r="W363" s="15" t="s">
        <v>945</v>
      </c>
      <c r="X363" s="15" t="s">
        <v>248</v>
      </c>
      <c r="Y363" s="15" t="s">
        <v>249</v>
      </c>
      <c r="Z363" s="16" t="str">
        <f aca="false">IFERROR(INDEX(Scoring!$K:$K,MATCH($C363&amp;"|"&amp;$E363,Scoring!$U:$U,0)),"")</f>
        <v>Cancer drug (cytotoxic) – less relevant</v>
      </c>
      <c r="AA363" s="15" t="str">
        <f aca="false">IFERROR(INDEX(Scoring!$Q:$Q,MATCH($C363&amp;"|"&amp;$E363,Scoring!$U:$U,0)),"")</f>
        <v>Excluded – IV only</v>
      </c>
      <c r="AB363" s="15" t="str">
        <f aca="false">IFERROR(INDEX(Scoring!$AK:$AK,MATCH($C363&amp;"|"&amp;$E363,Scoring!$U:$U,0)),"")</f>
        <v>Excluded – IV only</v>
      </c>
      <c r="AC363" s="18" t="n">
        <f aca="false">IFERROR(INDEX(Scoring!$M:$M,MATCH($C363&amp;"|"&amp;$E363,Scoring!$U:$U,0)),"")</f>
        <v>343</v>
      </c>
      <c r="AD363" s="15" t="str">
        <f aca="false">IFERROR(INDEX('Route of Administration'!$C$5:$C$155,MATCH($C363,'Route of Administration'!$A$5:$A$155,0)),"")</f>
        <v>IV</v>
      </c>
      <c r="AE363" s="14" t="str">
        <f aca="false">IFERROR(INDEX('Route of Administration'!$D$5:$D$155,MATCH($C363,'Route of Administration'!$A$5:$A$155,0)),"")</f>
        <v>No</v>
      </c>
    </row>
    <row r="364" customFormat="false" ht="68.65" hidden="false" customHeight="false" outlineLevel="0" collapsed="false">
      <c r="B364" s="15" t="n">
        <v>362</v>
      </c>
      <c r="C364" s="15" t="s">
        <v>954</v>
      </c>
      <c r="D364" s="15" t="s">
        <v>954</v>
      </c>
      <c r="E364" s="15" t="s">
        <v>894</v>
      </c>
      <c r="F364" s="15" t="s">
        <v>1658</v>
      </c>
      <c r="G364" s="16" t="s">
        <v>2205</v>
      </c>
      <c r="H364" s="15" t="s">
        <v>1505</v>
      </c>
      <c r="I364" s="17" t="n">
        <v>5.41</v>
      </c>
      <c r="J364" s="15" t="n">
        <v>1</v>
      </c>
      <c r="K364" s="15" t="n">
        <v>799</v>
      </c>
      <c r="L364" s="18" t="n">
        <v>7738.99</v>
      </c>
      <c r="M364" s="16" t="s">
        <v>955</v>
      </c>
      <c r="N364" s="17" t="n">
        <v>5.41</v>
      </c>
      <c r="O364" s="15" t="s">
        <v>1506</v>
      </c>
      <c r="P364" s="15" t="s">
        <v>1672</v>
      </c>
      <c r="Q364" s="16" t="s">
        <v>1508</v>
      </c>
      <c r="R364" s="32" t="s">
        <v>2206</v>
      </c>
      <c r="S364" s="37" t="n">
        <f aca="false">IFERROR(INDEX('Injectable Value'!$Z$28:$Z$178,MATCH($C364,'Injectable Value'!$A$28:$A$178,0)),"")</f>
        <v>1</v>
      </c>
      <c r="T364" s="18" t="n">
        <f aca="false">IFERROR(ROUND(INDEX('Injectable Value'!$AA$28:$AA$178,MATCH($C364,'Injectable Value'!$A$28:$A$178,0)),1),"")</f>
        <v>7739</v>
      </c>
      <c r="U364" s="16" t="s">
        <v>959</v>
      </c>
      <c r="V364" s="15" t="n">
        <v>28</v>
      </c>
      <c r="W364" s="15" t="s">
        <v>298</v>
      </c>
      <c r="X364" s="15" t="s">
        <v>248</v>
      </c>
      <c r="Y364" s="15" t="s">
        <v>249</v>
      </c>
      <c r="Z364" s="16" t="str">
        <f aca="false">IFERROR(INDEX(Scoring!$K:$K,MATCH($C364&amp;"|"&amp;$E364,Scoring!$U:$U,0)),"")</f>
        <v>Cancer drug (cytotoxic) – less relevant</v>
      </c>
      <c r="AA364" s="15" t="str">
        <f aca="false">IFERROR(INDEX(Scoring!$Q:$Q,MATCH($C364&amp;"|"&amp;$E364,Scoring!$U:$U,0)),"")</f>
        <v>Priority 2</v>
      </c>
      <c r="AB364" s="15" t="str">
        <f aca="false">IFERROR(INDEX(Scoring!$AK:$AK,MATCH($C364&amp;"|"&amp;$E364,Scoring!$U:$U,0)),"")</f>
        <v>Priority 2</v>
      </c>
      <c r="AC364" s="18" t="n">
        <f aca="false">IFERROR(INDEX(Scoring!$M:$M,MATCH($C364&amp;"|"&amp;$E364,Scoring!$U:$U,0)),"")</f>
        <v>799</v>
      </c>
      <c r="AD364" s="15" t="str">
        <f aca="false">IFERROR(INDEX('Route of Administration'!$C$5:$C$155,MATCH($C364,'Route of Administration'!$A$5:$A$155,0)),"")</f>
        <v>IV, SC</v>
      </c>
      <c r="AE364" s="14" t="str">
        <f aca="false">IFERROR(INDEX('Route of Administration'!$D$5:$D$155,MATCH($C364,'Route of Administration'!$A$5:$A$155,0)),"")</f>
        <v>Yes</v>
      </c>
    </row>
    <row r="365" customFormat="false" ht="68.65" hidden="false" customHeight="false" outlineLevel="0" collapsed="false">
      <c r="B365" s="15" t="n">
        <v>363</v>
      </c>
      <c r="C365" s="15" t="s">
        <v>348</v>
      </c>
      <c r="D365" s="15" t="s">
        <v>2207</v>
      </c>
      <c r="E365" s="15" t="s">
        <v>894</v>
      </c>
      <c r="F365" s="15" t="s">
        <v>2208</v>
      </c>
      <c r="G365" s="16" t="s">
        <v>2209</v>
      </c>
      <c r="H365" s="15" t="s">
        <v>1505</v>
      </c>
      <c r="I365" s="17" t="n">
        <v>56.21</v>
      </c>
      <c r="J365" s="15" t="n">
        <v>1</v>
      </c>
      <c r="K365" s="15" t="n">
        <v>843</v>
      </c>
      <c r="L365" s="18" t="n">
        <v>4508</v>
      </c>
      <c r="M365" s="16" t="s">
        <v>349</v>
      </c>
      <c r="N365" s="17" t="n">
        <v>56.21</v>
      </c>
      <c r="O365" s="15" t="s">
        <v>1506</v>
      </c>
      <c r="P365" s="15" t="s">
        <v>1507</v>
      </c>
      <c r="Q365" s="16" t="s">
        <v>1508</v>
      </c>
      <c r="R365" s="32" t="s">
        <v>2210</v>
      </c>
      <c r="S365" s="37" t="n">
        <f aca="false">IFERROR(INDEX('Injectable Value'!$Z$28:$Z$178,MATCH($C365,'Injectable Value'!$A$28:$A$178,0)),"")</f>
        <v>0.858739397335643</v>
      </c>
      <c r="T365" s="18" t="n">
        <f aca="false">IFERROR(ROUND(INDEX('Injectable Value'!$AA$28:$AA$178,MATCH($C365,'Injectable Value'!$A$28:$A$178,0)),1),"")</f>
        <v>3871.2</v>
      </c>
      <c r="U365" s="16" t="s">
        <v>952</v>
      </c>
      <c r="V365" s="15" t="n">
        <v>23</v>
      </c>
      <c r="W365" s="15" t="s">
        <v>298</v>
      </c>
      <c r="X365" s="15" t="s">
        <v>248</v>
      </c>
      <c r="Y365" s="15" t="s">
        <v>299</v>
      </c>
      <c r="Z365" s="16" t="str">
        <f aca="false">IFERROR(INDEX(Scoring!$K:$K,MATCH($C365&amp;"|"&amp;$E365,Scoring!$U:$U,0)),"")</f>
        <v>Cancer drug (cytotoxic) – less relevant; Reconstitution</v>
      </c>
      <c r="AA365" s="15" t="str">
        <f aca="false">IFERROR(INDEX(Scoring!$Q:$Q,MATCH($C365&amp;"|"&amp;$E365,Scoring!$U:$U,0)),"")</f>
        <v>Excluded – IV only</v>
      </c>
      <c r="AB365" s="15" t="str">
        <f aca="false">IFERROR(INDEX(Scoring!$AK:$AK,MATCH($C365&amp;"|"&amp;$E365,Scoring!$U:$U,0)),"")</f>
        <v>Excluded – IV only</v>
      </c>
      <c r="AC365" s="18" t="n">
        <f aca="false">IFERROR(INDEX(Scoring!$M:$M,MATCH($C365&amp;"|"&amp;$E365,Scoring!$U:$U,0)),"")</f>
        <v>724</v>
      </c>
      <c r="AD365" s="15" t="str">
        <f aca="false">IFERROR(INDEX('Route of Administration'!$C$5:$C$155,MATCH($C365,'Route of Administration'!$A$5:$A$155,0)),"")</f>
        <v>IV</v>
      </c>
      <c r="AE365" s="14" t="str">
        <f aca="false">IFERROR(INDEX('Route of Administration'!$D$5:$D$155,MATCH($C365,'Route of Administration'!$A$5:$A$155,0)),"")</f>
        <v>No</v>
      </c>
    </row>
    <row r="366" customFormat="false" ht="55.2" hidden="false" customHeight="false" outlineLevel="0" collapsed="false">
      <c r="B366" s="15" t="n">
        <v>364</v>
      </c>
      <c r="C366" s="15" t="s">
        <v>760</v>
      </c>
      <c r="D366" s="15" t="s">
        <v>760</v>
      </c>
      <c r="E366" s="15" t="s">
        <v>894</v>
      </c>
      <c r="F366" s="15" t="s">
        <v>2211</v>
      </c>
      <c r="G366" s="16" t="s">
        <v>2212</v>
      </c>
      <c r="H366" s="15" t="s">
        <v>1505</v>
      </c>
      <c r="I366" s="17" t="n">
        <v>7.27</v>
      </c>
      <c r="J366" s="15" t="n">
        <v>1</v>
      </c>
      <c r="K366" s="15" t="n">
        <v>123</v>
      </c>
      <c r="L366" s="18" t="n">
        <v>3010.2</v>
      </c>
      <c r="M366" s="16" t="s">
        <v>761</v>
      </c>
      <c r="N366" s="17" t="n">
        <v>7.27</v>
      </c>
      <c r="O366" s="15" t="s">
        <v>1506</v>
      </c>
      <c r="P366" s="15" t="s">
        <v>1507</v>
      </c>
      <c r="Q366" s="16" t="s">
        <v>1508</v>
      </c>
      <c r="R366" s="32" t="s">
        <v>1657</v>
      </c>
      <c r="S366" s="37" t="n">
        <f aca="false">IFERROR(INDEX('Injectable Value'!$Z$28:$Z$178,MATCH($C366,'Injectable Value'!$A$28:$A$178,0)),"")</f>
        <v>0.675601982054373</v>
      </c>
      <c r="T366" s="18" t="n">
        <f aca="false">IFERROR(ROUND(INDEX('Injectable Value'!$AA$28:$AA$178,MATCH($C366,'Injectable Value'!$A$28:$A$178,0)),1),"")</f>
        <v>2033.7</v>
      </c>
      <c r="U366" s="16" t="s">
        <v>948</v>
      </c>
      <c r="V366" s="15" t="n">
        <v>22</v>
      </c>
      <c r="W366" s="15" t="s">
        <v>945</v>
      </c>
      <c r="X366" s="15" t="s">
        <v>248</v>
      </c>
      <c r="Y366" s="15" t="s">
        <v>299</v>
      </c>
      <c r="Z366" s="16" t="str">
        <f aca="false">IFERROR(INDEX(Scoring!$K:$K,MATCH($C366&amp;"|"&amp;$E366,Scoring!$U:$U,0)),"")</f>
        <v>Reconstitution</v>
      </c>
      <c r="AA366" s="15" t="str">
        <f aca="false">IFERROR(INDEX(Scoring!$Q:$Q,MATCH($C366&amp;"|"&amp;$E366,Scoring!$U:$U,0)),"")</f>
        <v>Priority 3</v>
      </c>
      <c r="AB366" s="15" t="str">
        <f aca="false">IFERROR(INDEX(Scoring!$AK:$AK,MATCH($C366&amp;"|"&amp;$E366,Scoring!$U:$U,0)),"")</f>
        <v>Priority 3</v>
      </c>
      <c r="AC366" s="18" t="n">
        <f aca="false">IFERROR(INDEX(Scoring!$M:$M,MATCH($C366&amp;"|"&amp;$E366,Scoring!$U:$U,0)),"")</f>
        <v>83</v>
      </c>
      <c r="AD366" s="15" t="str">
        <f aca="false">IFERROR(INDEX('Route of Administration'!$C$5:$C$155,MATCH($C366,'Route of Administration'!$A$5:$A$155,0)),"")</f>
        <v>IV, IM</v>
      </c>
      <c r="AE366" s="14" t="str">
        <f aca="false">IFERROR(INDEX('Route of Administration'!$D$5:$D$155,MATCH($C366,'Route of Administration'!$A$5:$A$155,0)),"")</f>
        <v>Yes</v>
      </c>
    </row>
    <row r="367" customFormat="false" ht="41.75" hidden="false" customHeight="false" outlineLevel="0" collapsed="false">
      <c r="B367" s="15" t="n">
        <v>365</v>
      </c>
      <c r="C367" s="15" t="s">
        <v>937</v>
      </c>
      <c r="D367" s="15" t="s">
        <v>937</v>
      </c>
      <c r="E367" s="15" t="s">
        <v>894</v>
      </c>
      <c r="F367" s="15" t="s">
        <v>2213</v>
      </c>
      <c r="G367" s="16" t="s">
        <v>2214</v>
      </c>
      <c r="H367" s="15" t="s">
        <v>1505</v>
      </c>
      <c r="I367" s="17" t="n">
        <v>39.05</v>
      </c>
      <c r="J367" s="15" t="n">
        <v>1</v>
      </c>
      <c r="K367" s="15" t="n">
        <v>117</v>
      </c>
      <c r="L367" s="18" t="n">
        <v>2508.09</v>
      </c>
      <c r="M367" s="16" t="s">
        <v>938</v>
      </c>
      <c r="N367" s="17" t="n">
        <v>39.05</v>
      </c>
      <c r="O367" s="15" t="s">
        <v>1506</v>
      </c>
      <c r="P367" s="15" t="s">
        <v>1672</v>
      </c>
      <c r="Q367" s="16" t="s">
        <v>1508</v>
      </c>
      <c r="R367" s="32" t="s">
        <v>2215</v>
      </c>
      <c r="S367" s="37" t="n">
        <f aca="false">IFERROR(INDEX('Injectable Value'!$Z$28:$Z$178,MATCH($C367,'Injectable Value'!$A$28:$A$178,0)),"")</f>
        <v>1</v>
      </c>
      <c r="T367" s="18" t="n">
        <f aca="false">IFERROR(ROUND(INDEX('Injectable Value'!$AA$28:$AA$178,MATCH($C367,'Injectable Value'!$A$28:$A$178,0)),1),"")</f>
        <v>2508.1</v>
      </c>
      <c r="U367" s="16" t="s">
        <v>943</v>
      </c>
      <c r="V367" s="15" t="n">
        <v>15</v>
      </c>
      <c r="W367" s="15" t="s">
        <v>939</v>
      </c>
      <c r="X367" s="15" t="s">
        <v>248</v>
      </c>
      <c r="Y367" s="15" t="s">
        <v>1519</v>
      </c>
      <c r="Z367" s="16" t="str">
        <f aca="false">IFERROR(INDEX(Scoring!$K:$K,MATCH($C367&amp;"|"&amp;$E367,Scoring!$U:$U,0)),"")</f>
        <v/>
      </c>
      <c r="AA367" s="15" t="str">
        <f aca="false">IFERROR(INDEX(Scoring!$Q:$Q,MATCH($C367&amp;"|"&amp;$E367,Scoring!$U:$U,0)),"")</f>
        <v>Excluded – IV only</v>
      </c>
      <c r="AB367" s="15" t="str">
        <f aca="false">IFERROR(INDEX(Scoring!$AK:$AK,MATCH($C367&amp;"|"&amp;$E367,Scoring!$U:$U,0)),"")</f>
        <v>Excluded – IV only</v>
      </c>
      <c r="AC367" s="18" t="n">
        <f aca="false">IFERROR(INDEX(Scoring!$M:$M,MATCH($C367&amp;"|"&amp;$E367,Scoring!$U:$U,0)),"")</f>
        <v>117</v>
      </c>
      <c r="AD367" s="15" t="str">
        <f aca="false">IFERROR(INDEX('Route of Administration'!$C$5:$C$155,MATCH($C367,'Route of Administration'!$A$5:$A$155,0)),"")</f>
        <v>IV</v>
      </c>
      <c r="AE367" s="14" t="str">
        <f aca="false">IFERROR(INDEX('Route of Administration'!$D$5:$D$155,MATCH($C367,'Route of Administration'!$A$5:$A$155,0)),"")</f>
        <v>No</v>
      </c>
    </row>
    <row r="368" customFormat="false" ht="55.2" hidden="false" customHeight="false" outlineLevel="0" collapsed="false">
      <c r="B368" s="15" t="n">
        <v>366</v>
      </c>
      <c r="C368" s="15" t="s">
        <v>584</v>
      </c>
      <c r="D368" s="15" t="s">
        <v>584</v>
      </c>
      <c r="E368" s="15" t="s">
        <v>894</v>
      </c>
      <c r="F368" s="15" t="s">
        <v>2216</v>
      </c>
      <c r="G368" s="16" t="s">
        <v>2217</v>
      </c>
      <c r="H368" s="15" t="s">
        <v>1505</v>
      </c>
      <c r="I368" s="17" t="n">
        <v>25.2</v>
      </c>
      <c r="J368" s="15" t="n">
        <v>1</v>
      </c>
      <c r="K368" s="15" t="n">
        <v>441</v>
      </c>
      <c r="L368" s="18" t="n">
        <v>3973.65</v>
      </c>
      <c r="M368" s="16" t="s">
        <v>585</v>
      </c>
      <c r="N368" s="17" t="n">
        <v>25.2</v>
      </c>
      <c r="O368" s="15" t="s">
        <v>1506</v>
      </c>
      <c r="P368" s="15" t="s">
        <v>1672</v>
      </c>
      <c r="Q368" s="16" t="s">
        <v>1508</v>
      </c>
      <c r="R368" s="32" t="s">
        <v>2218</v>
      </c>
      <c r="S368" s="37" t="n">
        <f aca="false">IFERROR(INDEX('Injectable Value'!$Z$28:$Z$178,MATCH($C368,'Injectable Value'!$A$28:$A$178,0)),"")</f>
        <v>1</v>
      </c>
      <c r="T368" s="18" t="n">
        <f aca="false">IFERROR(ROUND(INDEX('Injectable Value'!$AA$28:$AA$178,MATCH($C368,'Injectable Value'!$A$28:$A$178,0)),1),"")</f>
        <v>3973.7</v>
      </c>
      <c r="U368" s="16" t="s">
        <v>927</v>
      </c>
      <c r="V368" s="15" t="n">
        <v>17</v>
      </c>
      <c r="W368" s="15" t="s">
        <v>298</v>
      </c>
      <c r="X368" s="15" t="s">
        <v>248</v>
      </c>
      <c r="Y368" s="15" t="s">
        <v>299</v>
      </c>
      <c r="Z368" s="16" t="str">
        <f aca="false">IFERROR(INDEX(Scoring!$K:$K,MATCH($C368&amp;"|"&amp;$E368,Scoring!$U:$U,0)),"")</f>
        <v>Cancer drug (cytotoxic) – less relevant; Reconstitution</v>
      </c>
      <c r="AA368" s="15" t="str">
        <f aca="false">IFERROR(INDEX(Scoring!$Q:$Q,MATCH($C368&amp;"|"&amp;$E368,Scoring!$U:$U,0)),"")</f>
        <v>Priority 1</v>
      </c>
      <c r="AB368" s="15" t="str">
        <f aca="false">IFERROR(INDEX(Scoring!$AK:$AK,MATCH($C368&amp;"|"&amp;$E368,Scoring!$U:$U,0)),"")</f>
        <v>Priority 1</v>
      </c>
      <c r="AC368" s="18" t="n">
        <f aca="false">IFERROR(INDEX(Scoring!$M:$M,MATCH($C368&amp;"|"&amp;$E368,Scoring!$U:$U,0)),"")</f>
        <v>441</v>
      </c>
      <c r="AD368" s="15" t="str">
        <f aca="false">IFERROR(INDEX('Route of Administration'!$C$5:$C$155,MATCH($C368,'Route of Administration'!$A$5:$A$155,0)),"")</f>
        <v>IV, IM, SC</v>
      </c>
      <c r="AE368" s="14" t="str">
        <f aca="false">IFERROR(INDEX('Route of Administration'!$D$5:$D$155,MATCH($C368,'Route of Administration'!$A$5:$A$155,0)),"")</f>
        <v>Yes</v>
      </c>
    </row>
    <row r="369" customFormat="false" ht="41.75" hidden="false" customHeight="false" outlineLevel="0" collapsed="false">
      <c r="B369" s="15" t="n">
        <v>367</v>
      </c>
      <c r="C369" s="15" t="s">
        <v>910</v>
      </c>
      <c r="D369" s="15" t="s">
        <v>2143</v>
      </c>
      <c r="E369" s="15" t="s">
        <v>894</v>
      </c>
      <c r="F369" s="15" t="s">
        <v>2219</v>
      </c>
      <c r="G369" s="16" t="s">
        <v>2220</v>
      </c>
      <c r="H369" s="15" t="s">
        <v>2221</v>
      </c>
      <c r="I369" s="17" t="n">
        <v>16.33</v>
      </c>
      <c r="J369" s="15" t="n">
        <v>1</v>
      </c>
      <c r="K369" s="15" t="n">
        <v>976</v>
      </c>
      <c r="L369" s="18" t="n">
        <v>9295.14</v>
      </c>
      <c r="M369" s="16" t="s">
        <v>911</v>
      </c>
      <c r="N369" s="17" t="n">
        <v>16.33</v>
      </c>
      <c r="O369" s="15" t="s">
        <v>1506</v>
      </c>
      <c r="P369" s="15" t="s">
        <v>1672</v>
      </c>
      <c r="Q369" s="16" t="s">
        <v>1508</v>
      </c>
      <c r="R369" s="32" t="s">
        <v>2222</v>
      </c>
      <c r="S369" s="37" t="n">
        <f aca="false">IFERROR(INDEX('Injectable Value'!$Z$28:$Z$178,MATCH($C369,'Injectable Value'!$A$28:$A$178,0)),"")</f>
        <v>0.732106666907168</v>
      </c>
      <c r="T369" s="18" t="n">
        <f aca="false">IFERROR(ROUND(INDEX('Injectable Value'!$AA$28:$AA$178,MATCH($C369,'Injectable Value'!$A$28:$A$178,0)),1),"")</f>
        <v>6805</v>
      </c>
      <c r="U369" s="16" t="s">
        <v>915</v>
      </c>
      <c r="V369" s="15" t="n">
        <v>16</v>
      </c>
      <c r="W369" s="15" t="s">
        <v>729</v>
      </c>
      <c r="X369" s="15" t="s">
        <v>258</v>
      </c>
      <c r="Y369" s="15" t="s">
        <v>277</v>
      </c>
      <c r="Z369" s="16" t="str">
        <f aca="false">IFERROR(INDEX(Scoring!$K:$K,MATCH($C369&amp;"|"&amp;$E369,Scoring!$U:$U,0)),"")</f>
        <v/>
      </c>
      <c r="AA369" s="15" t="str">
        <f aca="false">IFERROR(INDEX(Scoring!$Q:$Q,MATCH($C369&amp;"|"&amp;$E369,Scoring!$U:$U,0)),"")</f>
        <v>Priority 2</v>
      </c>
      <c r="AB369" s="15" t="str">
        <f aca="false">IFERROR(INDEX(Scoring!$AK:$AK,MATCH($C369&amp;"|"&amp;$E369,Scoring!$U:$U,0)),"")</f>
        <v>Priority 2</v>
      </c>
      <c r="AC369" s="18" t="n">
        <f aca="false">IFERROR(INDEX(Scoring!$M:$M,MATCH($C369&amp;"|"&amp;$E369,Scoring!$U:$U,0)),"")</f>
        <v>715</v>
      </c>
      <c r="AD369" s="15" t="str">
        <f aca="false">IFERROR(INDEX('Route of Administration'!$C$5:$C$155,MATCH($C369,'Route of Administration'!$A$5:$A$155,0)),"")</f>
        <v>IV, IM, SC</v>
      </c>
      <c r="AE369" s="14" t="str">
        <f aca="false">IFERROR(INDEX('Route of Administration'!$D$5:$D$155,MATCH($C369,'Route of Administration'!$A$5:$A$155,0)),"")</f>
        <v>Yes</v>
      </c>
    </row>
    <row r="370" customFormat="false" ht="82.05" hidden="false" customHeight="false" outlineLevel="0" collapsed="false">
      <c r="B370" s="15" t="n">
        <v>368</v>
      </c>
      <c r="C370" s="15" t="s">
        <v>1035</v>
      </c>
      <c r="D370" s="15" t="s">
        <v>1038</v>
      </c>
      <c r="E370" s="15" t="s">
        <v>894</v>
      </c>
      <c r="F370" s="15" t="s">
        <v>2223</v>
      </c>
      <c r="G370" s="16" t="s">
        <v>2224</v>
      </c>
      <c r="H370" s="15" t="s">
        <v>2221</v>
      </c>
      <c r="I370" s="17"/>
      <c r="J370" s="15" t="n">
        <v>1</v>
      </c>
      <c r="K370" s="15" t="n">
        <v>121</v>
      </c>
      <c r="L370" s="18" t="n">
        <v>2714.83</v>
      </c>
      <c r="M370" s="16" t="s">
        <v>966</v>
      </c>
      <c r="N370" s="17"/>
      <c r="O370" s="15" t="s">
        <v>1545</v>
      </c>
      <c r="P370" s="15" t="s">
        <v>70</v>
      </c>
      <c r="Q370" s="16" t="s">
        <v>70</v>
      </c>
      <c r="R370" s="15"/>
      <c r="S370" s="37" t="n">
        <f aca="false">IFERROR(INDEX('Injectable Value'!$Z$28:$Z$178,MATCH($C370,'Injectable Value'!$A$28:$A$178,0)),"")</f>
        <v>0.916950682168073</v>
      </c>
      <c r="T370" s="18" t="n">
        <f aca="false">IFERROR(ROUND(INDEX('Injectable Value'!$AA$28:$AA$178,MATCH($C370,'Injectable Value'!$A$28:$A$178,0)),1),"")</f>
        <v>2489.4</v>
      </c>
      <c r="U370" s="16" t="s">
        <v>970</v>
      </c>
      <c r="V370" s="15" t="n">
        <v>31</v>
      </c>
      <c r="W370" s="15" t="s">
        <v>423</v>
      </c>
      <c r="X370" s="15" t="s">
        <v>258</v>
      </c>
      <c r="Y370" s="15" t="s">
        <v>277</v>
      </c>
      <c r="Z370" s="16" t="str">
        <f aca="false">IFERROR(INDEX(Scoring!$K:$K,MATCH($C370&amp;"|"&amp;$E370,Scoring!$U:$U,0)),"")</f>
        <v>Prefilled only</v>
      </c>
      <c r="AA370" s="15" t="str">
        <f aca="false">IFERROR(INDEX(Scoring!$Q:$Q,MATCH($C370&amp;"|"&amp;$E370,Scoring!$U:$U,0)),"")</f>
        <v>Priority 2</v>
      </c>
      <c r="AB370" s="15" t="str">
        <f aca="false">IFERROR(INDEX(Scoring!$AK:$AK,MATCH($C370&amp;"|"&amp;$E370,Scoring!$U:$U,0)),"")</f>
        <v>Priority 2</v>
      </c>
      <c r="AC370" s="18" t="n">
        <f aca="false">IFERROR(INDEX(Scoring!$M:$M,MATCH($C370&amp;"|"&amp;$E370,Scoring!$U:$U,0)),"")</f>
        <v>111</v>
      </c>
      <c r="AD370" s="15" t="str">
        <f aca="false">IFERROR(INDEX('Route of Administration'!$C$5:$C$155,MATCH($C370,'Route of Administration'!$A$5:$A$155,0)),"")</f>
        <v>SC (some depots IM)</v>
      </c>
      <c r="AE370" s="14" t="str">
        <f aca="false">IFERROR(INDEX('Route of Administration'!$D$5:$D$155,MATCH($C370,'Route of Administration'!$A$5:$A$155,0)),"")</f>
        <v>Yes</v>
      </c>
    </row>
    <row r="371" customFormat="false" ht="15" hidden="false" customHeight="false" outlineLevel="0" collapsed="false">
      <c r="B371" s="15" t="n">
        <v>369</v>
      </c>
      <c r="C371" s="15" t="s">
        <v>982</v>
      </c>
      <c r="D371" s="15" t="s">
        <v>986</v>
      </c>
      <c r="E371" s="15" t="s">
        <v>894</v>
      </c>
      <c r="F371" s="15" t="s">
        <v>2225</v>
      </c>
      <c r="G371" s="16" t="s">
        <v>2226</v>
      </c>
      <c r="H371" s="15" t="s">
        <v>1512</v>
      </c>
      <c r="I371" s="17" t="n">
        <v>28.6681</v>
      </c>
      <c r="J371" s="15" t="n">
        <v>31</v>
      </c>
      <c r="K371" s="15" t="n">
        <v>912</v>
      </c>
      <c r="L371" s="18" t="n">
        <v>4620.39</v>
      </c>
      <c r="M371" s="16" t="s">
        <v>983</v>
      </c>
      <c r="N371" s="17" t="n">
        <v>28.6681</v>
      </c>
      <c r="O371" s="15" t="s">
        <v>1506</v>
      </c>
      <c r="P371" s="15" t="s">
        <v>1533</v>
      </c>
      <c r="Q371" s="16" t="s">
        <v>1508</v>
      </c>
      <c r="R371" s="32" t="s">
        <v>2227</v>
      </c>
      <c r="S371" s="37" t="n">
        <f aca="false">IFERROR(INDEX('Injectable Value'!$Z$28:$Z$178,MATCH($C371,'Injectable Value'!$A$28:$A$178,0)),"")</f>
        <v>0.876447689591637</v>
      </c>
      <c r="T371" s="18" t="n">
        <f aca="false">IFERROR(ROUND(INDEX('Injectable Value'!$AA$28:$AA$178,MATCH($C371,'Injectable Value'!$A$28:$A$178,0)),1),"")</f>
        <v>4049.5</v>
      </c>
      <c r="U371" s="16" t="s">
        <v>987</v>
      </c>
      <c r="V371" s="15" t="n">
        <v>3</v>
      </c>
      <c r="W371" s="15" t="s">
        <v>769</v>
      </c>
      <c r="X371" s="15" t="s">
        <v>258</v>
      </c>
      <c r="Y371" s="15" t="s">
        <v>249</v>
      </c>
      <c r="Z371" s="16" t="str">
        <f aca="false">IFERROR(INDEX(Scoring!$K:$K,MATCH($C371&amp;"|"&amp;$E371,Scoring!$U:$U,0)),"")</f>
        <v>Prefilled only</v>
      </c>
      <c r="AA371" s="15" t="str">
        <f aca="false">IFERROR(INDEX(Scoring!$Q:$Q,MATCH($C371&amp;"|"&amp;$E371,Scoring!$U:$U,0)),"")</f>
        <v>Priority 1</v>
      </c>
      <c r="AB371" s="15" t="str">
        <f aca="false">IFERROR(INDEX(Scoring!$AK:$AK,MATCH($C371&amp;"|"&amp;$E371,Scoring!$U:$U,0)),"")</f>
        <v>Priority 1</v>
      </c>
      <c r="AC371" s="18" t="n">
        <f aca="false">IFERROR(INDEX(Scoring!$M:$M,MATCH($C371&amp;"|"&amp;$E371,Scoring!$U:$U,0)),"")</f>
        <v>799</v>
      </c>
      <c r="AD371" s="15" t="str">
        <f aca="false">IFERROR(INDEX('Route of Administration'!$C$5:$C$155,MATCH($C371,'Route of Administration'!$A$5:$A$155,0)),"")</f>
        <v>IV, IM, SC</v>
      </c>
      <c r="AE371" s="14" t="str">
        <f aca="false">IFERROR(INDEX('Route of Administration'!$D$5:$D$155,MATCH($C371,'Route of Administration'!$A$5:$A$155,0)),"")</f>
        <v>Yes</v>
      </c>
    </row>
    <row r="372" customFormat="false" ht="28.35" hidden="false" customHeight="false" outlineLevel="0" collapsed="false">
      <c r="B372" s="15" t="n">
        <v>370</v>
      </c>
      <c r="C372" s="15" t="s">
        <v>892</v>
      </c>
      <c r="D372" s="15" t="s">
        <v>2228</v>
      </c>
      <c r="E372" s="15" t="s">
        <v>894</v>
      </c>
      <c r="F372" s="15" t="s">
        <v>2229</v>
      </c>
      <c r="G372" s="16" t="s">
        <v>2226</v>
      </c>
      <c r="H372" s="15" t="s">
        <v>1512</v>
      </c>
      <c r="I372" s="17"/>
      <c r="J372" s="15" t="n">
        <v>30</v>
      </c>
      <c r="K372" s="15" t="n">
        <v>646</v>
      </c>
      <c r="L372" s="18" t="n">
        <v>19089.13</v>
      </c>
      <c r="M372" s="16" t="s">
        <v>893</v>
      </c>
      <c r="N372" s="17"/>
      <c r="O372" s="15" t="s">
        <v>1545</v>
      </c>
      <c r="P372" s="15" t="s">
        <v>70</v>
      </c>
      <c r="Q372" s="16" t="s">
        <v>70</v>
      </c>
      <c r="R372" s="15"/>
      <c r="S372" s="37" t="n">
        <f aca="false">IFERROR(INDEX('Injectable Value'!$Z$28:$Z$178,MATCH($C372,'Injectable Value'!$A$28:$A$178,0)),"")</f>
        <v>0.295137394358018</v>
      </c>
      <c r="T372" s="18" t="n">
        <f aca="false">IFERROR(ROUND(INDEX('Injectable Value'!$AA$28:$AA$178,MATCH($C372,'Injectable Value'!$A$28:$A$178,0)),1),"")</f>
        <v>5633.9</v>
      </c>
      <c r="U372" s="16" t="s">
        <v>898</v>
      </c>
      <c r="V372" s="15" t="n">
        <v>2</v>
      </c>
      <c r="W372" s="15" t="s">
        <v>881</v>
      </c>
      <c r="X372" s="15" t="s">
        <v>258</v>
      </c>
      <c r="Y372" s="15" t="s">
        <v>249</v>
      </c>
      <c r="Z372" s="16" t="str">
        <f aca="false">IFERROR(INDEX(Scoring!$K:$K,MATCH($C372&amp;"|"&amp;$E372,Scoring!$U:$U,0)),"")</f>
        <v>Prefilled only</v>
      </c>
      <c r="AA372" s="15" t="str">
        <f aca="false">IFERROR(INDEX(Scoring!$Q:$Q,MATCH($C372&amp;"|"&amp;$E372,Scoring!$U:$U,0)),"")</f>
        <v>Excluded – IV only</v>
      </c>
      <c r="AB372" s="15" t="str">
        <f aca="false">IFERROR(INDEX(Scoring!$AK:$AK,MATCH($C372&amp;"|"&amp;$E372,Scoring!$U:$U,0)),"")</f>
        <v>Excluded – IV only</v>
      </c>
      <c r="AC372" s="18" t="n">
        <f aca="false">IFERROR(INDEX(Scoring!$M:$M,MATCH($C372&amp;"|"&amp;$E372,Scoring!$U:$U,0)),"")</f>
        <v>191</v>
      </c>
      <c r="AD372" s="15" t="str">
        <f aca="false">IFERROR(INDEX('Route of Administration'!$C$5:$C$155,MATCH($C372,'Route of Administration'!$A$5:$A$155,0)),"")</f>
        <v>IV</v>
      </c>
      <c r="AE372" s="14" t="str">
        <f aca="false">IFERROR(INDEX('Route of Administration'!$D$5:$D$155,MATCH($C372,'Route of Administration'!$A$5:$A$155,0)),"")</f>
        <v>No</v>
      </c>
    </row>
    <row r="373" customFormat="false" ht="41.75" hidden="false" customHeight="false" outlineLevel="0" collapsed="false">
      <c r="B373" s="15" t="n">
        <v>371</v>
      </c>
      <c r="C373" s="15" t="s">
        <v>899</v>
      </c>
      <c r="D373" s="15" t="s">
        <v>903</v>
      </c>
      <c r="E373" s="15" t="s">
        <v>894</v>
      </c>
      <c r="F373" s="15" t="s">
        <v>1703</v>
      </c>
      <c r="G373" s="16"/>
      <c r="H373" s="15"/>
      <c r="I373" s="17"/>
      <c r="J373" s="15" t="n">
        <v>29</v>
      </c>
      <c r="K373" s="15" t="n">
        <v>9172</v>
      </c>
      <c r="L373" s="18" t="n">
        <v>433588.09</v>
      </c>
      <c r="M373" s="16" t="s">
        <v>900</v>
      </c>
      <c r="N373" s="38" t="n">
        <v>1.59</v>
      </c>
      <c r="O373" s="22" t="s">
        <v>1513</v>
      </c>
      <c r="P373" s="15" t="s">
        <v>1507</v>
      </c>
      <c r="Q373" s="16" t="s">
        <v>2230</v>
      </c>
      <c r="R373" s="32" t="s">
        <v>2231</v>
      </c>
      <c r="S373" s="37" t="n">
        <f aca="false">IFERROR(INDEX('Injectable Value'!$Z$28:$Z$178,MATCH($C373,'Injectable Value'!$A$28:$A$178,0)),"")</f>
        <v>0.0779425190719572</v>
      </c>
      <c r="T373" s="18" t="n">
        <f aca="false">IFERROR(ROUND(INDEX('Injectable Value'!$AA$28:$AA$178,MATCH($C373,'Injectable Value'!$A$28:$A$178,0)),1),"")</f>
        <v>33794.9</v>
      </c>
      <c r="U373" s="16" t="s">
        <v>904</v>
      </c>
      <c r="V373" s="15" t="n">
        <v>2</v>
      </c>
      <c r="W373" s="15" t="s">
        <v>881</v>
      </c>
      <c r="X373" s="15" t="s">
        <v>277</v>
      </c>
      <c r="Y373" s="15" t="s">
        <v>277</v>
      </c>
      <c r="Z373" s="16" t="str">
        <f aca="false">IFERROR(INDEX(Scoring!$K:$K,MATCH($C373&amp;"|"&amp;$E373,Scoring!$U:$U,0)),"")</f>
        <v/>
      </c>
      <c r="AA373" s="15" t="str">
        <f aca="false">IFERROR(INDEX(Scoring!$Q:$Q,MATCH($C373&amp;"|"&amp;$E373,Scoring!$U:$U,0)),"")</f>
        <v>Excluded – price ≤ $5</v>
      </c>
      <c r="AB373" s="15" t="str">
        <f aca="false">IFERROR(INDEX(Scoring!$AK:$AK,MATCH($C373&amp;"|"&amp;$E373,Scoring!$U:$U,0)),"")</f>
        <v>Excluded – price ≤ $5</v>
      </c>
      <c r="AC373" s="18" t="n">
        <f aca="false">IFERROR(INDEX(Scoring!$M:$M,MATCH($C373&amp;"|"&amp;$E373,Scoring!$U:$U,0)),"")</f>
        <v>715</v>
      </c>
      <c r="AD373" s="15" t="str">
        <f aca="false">IFERROR(INDEX('Route of Administration'!$C$5:$C$155,MATCH($C373,'Route of Administration'!$A$5:$A$155,0)),"")</f>
        <v>IV, IM</v>
      </c>
      <c r="AE373" s="14" t="str">
        <f aca="false">IFERROR(INDEX('Route of Administration'!$D$5:$D$155,MATCH($C373,'Route of Administration'!$A$5:$A$155,0)),"")</f>
        <v>Yes</v>
      </c>
    </row>
    <row r="374" customFormat="false" ht="28.35" hidden="false" customHeight="false" outlineLevel="0" collapsed="false">
      <c r="B374" s="15" t="n">
        <v>372</v>
      </c>
      <c r="C374" s="15" t="s">
        <v>907</v>
      </c>
      <c r="D374" s="15" t="s">
        <v>909</v>
      </c>
      <c r="E374" s="15" t="s">
        <v>894</v>
      </c>
      <c r="F374" s="15" t="s">
        <v>1694</v>
      </c>
      <c r="G374" s="16"/>
      <c r="H374" s="15"/>
      <c r="I374" s="17" t="n">
        <v>5.4805</v>
      </c>
      <c r="J374" s="15" t="n">
        <v>21</v>
      </c>
      <c r="K374" s="15" t="n">
        <v>252</v>
      </c>
      <c r="L374" s="18" t="n">
        <v>3257.58</v>
      </c>
      <c r="M374" s="16" t="s">
        <v>564</v>
      </c>
      <c r="N374" s="17" t="n">
        <v>5.4805</v>
      </c>
      <c r="O374" s="15" t="s">
        <v>1506</v>
      </c>
      <c r="P374" s="15" t="s">
        <v>1533</v>
      </c>
      <c r="Q374" s="16" t="s">
        <v>1508</v>
      </c>
      <c r="R374" s="32" t="s">
        <v>2232</v>
      </c>
      <c r="S374" s="37" t="n">
        <f aca="false">IFERROR(INDEX('Injectable Value'!$Z$28:$Z$178,MATCH($C374,'Injectable Value'!$A$28:$A$178,0)),"")</f>
        <v>1</v>
      </c>
      <c r="T374" s="18" t="n">
        <f aca="false">IFERROR(ROUND(INDEX('Injectable Value'!$AA$28:$AA$178,MATCH($C374,'Injectable Value'!$A$28:$A$178,0)),1),"")</f>
        <v>3257.6</v>
      </c>
      <c r="U374" s="16" t="s">
        <v>881</v>
      </c>
      <c r="V374" s="15" t="n">
        <v>1</v>
      </c>
      <c r="W374" s="15" t="s">
        <v>881</v>
      </c>
      <c r="X374" s="15" t="s">
        <v>277</v>
      </c>
      <c r="Y374" s="15" t="s">
        <v>277</v>
      </c>
      <c r="Z374" s="16" t="str">
        <f aca="false">IFERROR(INDEX(Scoring!$K:$K,MATCH($C374&amp;"|"&amp;$E374,Scoring!$U:$U,0)),"")</f>
        <v/>
      </c>
      <c r="AA374" s="15" t="str">
        <f aca="false">IFERROR(INDEX(Scoring!$Q:$Q,MATCH($C374&amp;"|"&amp;$E374,Scoring!$U:$U,0)),"")</f>
        <v>Excluded – IV only</v>
      </c>
      <c r="AB374" s="15" t="str">
        <f aca="false">IFERROR(INDEX(Scoring!$AK:$AK,MATCH($C374&amp;"|"&amp;$E374,Scoring!$U:$U,0)),"")</f>
        <v>Excluded – IV only</v>
      </c>
      <c r="AC374" s="18" t="n">
        <f aca="false">IFERROR(INDEX(Scoring!$M:$M,MATCH($C374&amp;"|"&amp;$E374,Scoring!$U:$U,0)),"")</f>
        <v>252</v>
      </c>
      <c r="AD374" s="15" t="str">
        <f aca="false">IFERROR(INDEX('Route of Administration'!$C$5:$C$155,MATCH($C374,'Route of Administration'!$A$5:$A$155,0)),"")</f>
        <v>IV</v>
      </c>
      <c r="AE374" s="14" t="str">
        <f aca="false">IFERROR(INDEX('Route of Administration'!$D$5:$D$155,MATCH($C374,'Route of Administration'!$A$5:$A$155,0)),"")</f>
        <v>No</v>
      </c>
    </row>
    <row r="375" customFormat="false" ht="41.75" hidden="false" customHeight="false" outlineLevel="0" collapsed="false">
      <c r="B375" s="15" t="n">
        <v>373</v>
      </c>
      <c r="C375" s="15" t="s">
        <v>910</v>
      </c>
      <c r="D375" s="15" t="s">
        <v>2233</v>
      </c>
      <c r="E375" s="15" t="s">
        <v>894</v>
      </c>
      <c r="F375" s="15" t="s">
        <v>2234</v>
      </c>
      <c r="G375" s="16" t="s">
        <v>2235</v>
      </c>
      <c r="H375" s="15" t="s">
        <v>1512</v>
      </c>
      <c r="I375" s="17" t="n">
        <v>22.2384</v>
      </c>
      <c r="J375" s="15" t="n">
        <v>2</v>
      </c>
      <c r="K375" s="15" t="n">
        <v>976</v>
      </c>
      <c r="L375" s="18" t="n">
        <v>9295.14</v>
      </c>
      <c r="M375" s="16" t="s">
        <v>911</v>
      </c>
      <c r="N375" s="17" t="n">
        <v>22.2384</v>
      </c>
      <c r="O375" s="15" t="s">
        <v>1506</v>
      </c>
      <c r="P375" s="15" t="s">
        <v>1672</v>
      </c>
      <c r="Q375" s="16" t="s">
        <v>1508</v>
      </c>
      <c r="R375" s="32" t="s">
        <v>2236</v>
      </c>
      <c r="S375" s="37" t="n">
        <f aca="false">IFERROR(INDEX('Injectable Value'!$Z$28:$Z$178,MATCH($C375,'Injectable Value'!$A$28:$A$178,0)),"")</f>
        <v>0.732106666907168</v>
      </c>
      <c r="T375" s="18" t="n">
        <f aca="false">IFERROR(ROUND(INDEX('Injectable Value'!$AA$28:$AA$178,MATCH($C375,'Injectable Value'!$A$28:$A$178,0)),1),"")</f>
        <v>6805</v>
      </c>
      <c r="U375" s="16" t="s">
        <v>915</v>
      </c>
      <c r="V375" s="15" t="n">
        <v>16</v>
      </c>
      <c r="W375" s="15" t="s">
        <v>729</v>
      </c>
      <c r="X375" s="15" t="s">
        <v>258</v>
      </c>
      <c r="Y375" s="15" t="s">
        <v>249</v>
      </c>
      <c r="Z375" s="16" t="str">
        <f aca="false">IFERROR(INDEX(Scoring!$K:$K,MATCH($C375&amp;"|"&amp;$E375,Scoring!$U:$U,0)),"")</f>
        <v/>
      </c>
      <c r="AA375" s="15" t="str">
        <f aca="false">IFERROR(INDEX(Scoring!$Q:$Q,MATCH($C375&amp;"|"&amp;$E375,Scoring!$U:$U,0)),"")</f>
        <v>Priority 2</v>
      </c>
      <c r="AB375" s="15" t="str">
        <f aca="false">IFERROR(INDEX(Scoring!$AK:$AK,MATCH($C375&amp;"|"&amp;$E375,Scoring!$U:$U,0)),"")</f>
        <v>Priority 2</v>
      </c>
      <c r="AC375" s="18" t="n">
        <f aca="false">IFERROR(INDEX(Scoring!$M:$M,MATCH($C375&amp;"|"&amp;$E375,Scoring!$U:$U,0)),"")</f>
        <v>715</v>
      </c>
      <c r="AD375" s="15" t="str">
        <f aca="false">IFERROR(INDEX('Route of Administration'!$C$5:$C$155,MATCH($C375,'Route of Administration'!$A$5:$A$155,0)),"")</f>
        <v>IV, IM, SC</v>
      </c>
      <c r="AE375" s="14" t="str">
        <f aca="false">IFERROR(INDEX('Route of Administration'!$D$5:$D$155,MATCH($C375,'Route of Administration'!$A$5:$A$155,0)),"")</f>
        <v>Yes</v>
      </c>
    </row>
    <row r="376" customFormat="false" ht="41.75" hidden="false" customHeight="false" outlineLevel="0" collapsed="false">
      <c r="B376" s="15" t="n">
        <v>374</v>
      </c>
      <c r="C376" s="15" t="s">
        <v>910</v>
      </c>
      <c r="D376" s="15" t="s">
        <v>2237</v>
      </c>
      <c r="E376" s="15" t="s">
        <v>894</v>
      </c>
      <c r="F376" s="15" t="s">
        <v>2238</v>
      </c>
      <c r="G376" s="16" t="s">
        <v>2235</v>
      </c>
      <c r="H376" s="15" t="s">
        <v>1512</v>
      </c>
      <c r="I376" s="17" t="n">
        <v>22.2384</v>
      </c>
      <c r="J376" s="15" t="n">
        <v>19</v>
      </c>
      <c r="K376" s="15" t="n">
        <v>976</v>
      </c>
      <c r="L376" s="18" t="n">
        <v>9295.14</v>
      </c>
      <c r="M376" s="16" t="s">
        <v>911</v>
      </c>
      <c r="N376" s="17" t="n">
        <v>22.2384</v>
      </c>
      <c r="O376" s="15" t="s">
        <v>1506</v>
      </c>
      <c r="P376" s="15" t="s">
        <v>1672</v>
      </c>
      <c r="Q376" s="16" t="s">
        <v>1508</v>
      </c>
      <c r="R376" s="32" t="s">
        <v>2236</v>
      </c>
      <c r="S376" s="37" t="n">
        <f aca="false">IFERROR(INDEX('Injectable Value'!$Z$28:$Z$178,MATCH($C376,'Injectable Value'!$A$28:$A$178,0)),"")</f>
        <v>0.732106666907168</v>
      </c>
      <c r="T376" s="18" t="n">
        <f aca="false">IFERROR(ROUND(INDEX('Injectable Value'!$AA$28:$AA$178,MATCH($C376,'Injectable Value'!$A$28:$A$178,0)),1),"")</f>
        <v>6805</v>
      </c>
      <c r="U376" s="16" t="s">
        <v>915</v>
      </c>
      <c r="V376" s="15" t="n">
        <v>16</v>
      </c>
      <c r="W376" s="15" t="s">
        <v>729</v>
      </c>
      <c r="X376" s="15" t="s">
        <v>258</v>
      </c>
      <c r="Y376" s="15" t="s">
        <v>249</v>
      </c>
      <c r="Z376" s="16" t="str">
        <f aca="false">IFERROR(INDEX(Scoring!$K:$K,MATCH($C376&amp;"|"&amp;$E376,Scoring!$U:$U,0)),"")</f>
        <v/>
      </c>
      <c r="AA376" s="15" t="str">
        <f aca="false">IFERROR(INDEX(Scoring!$Q:$Q,MATCH($C376&amp;"|"&amp;$E376,Scoring!$U:$U,0)),"")</f>
        <v>Priority 2</v>
      </c>
      <c r="AB376" s="15" t="str">
        <f aca="false">IFERROR(INDEX(Scoring!$AK:$AK,MATCH($C376&amp;"|"&amp;$E376,Scoring!$U:$U,0)),"")</f>
        <v>Priority 2</v>
      </c>
      <c r="AC376" s="18" t="n">
        <f aca="false">IFERROR(INDEX(Scoring!$M:$M,MATCH($C376&amp;"|"&amp;$E376,Scoring!$U:$U,0)),"")</f>
        <v>715</v>
      </c>
      <c r="AD376" s="15" t="str">
        <f aca="false">IFERROR(INDEX('Route of Administration'!$C$5:$C$155,MATCH($C376,'Route of Administration'!$A$5:$A$155,0)),"")</f>
        <v>IV, IM, SC</v>
      </c>
      <c r="AE376" s="14" t="str">
        <f aca="false">IFERROR(INDEX('Route of Administration'!$D$5:$D$155,MATCH($C376,'Route of Administration'!$A$5:$A$155,0)),"")</f>
        <v>Yes</v>
      </c>
    </row>
    <row r="377" customFormat="false" ht="82.05" hidden="false" customHeight="false" outlineLevel="0" collapsed="false">
      <c r="B377" s="15" t="n">
        <v>375</v>
      </c>
      <c r="C377" s="15" t="s">
        <v>296</v>
      </c>
      <c r="D377" s="15" t="s">
        <v>2181</v>
      </c>
      <c r="E377" s="15" t="s">
        <v>894</v>
      </c>
      <c r="F377" s="15" t="s">
        <v>1671</v>
      </c>
      <c r="G377" s="16" t="s">
        <v>1662</v>
      </c>
      <c r="H377" s="15" t="s">
        <v>1505</v>
      </c>
      <c r="I377" s="17" t="n">
        <v>397.421</v>
      </c>
      <c r="J377" s="15" t="n">
        <v>30</v>
      </c>
      <c r="K377" s="15" t="n">
        <v>762</v>
      </c>
      <c r="L377" s="18" t="n">
        <v>50865.56</v>
      </c>
      <c r="M377" s="16" t="s">
        <v>297</v>
      </c>
      <c r="N377" s="17" t="n">
        <v>397.421</v>
      </c>
      <c r="O377" s="15" t="s">
        <v>1506</v>
      </c>
      <c r="P377" s="15" t="s">
        <v>1672</v>
      </c>
      <c r="Q377" s="16" t="s">
        <v>1508</v>
      </c>
      <c r="R377" s="32" t="s">
        <v>1673</v>
      </c>
      <c r="S377" s="37" t="n">
        <f aca="false">IFERROR(INDEX('Injectable Value'!$Z$28:$Z$178,MATCH($C377,'Injectable Value'!$A$28:$A$178,0)),"")</f>
        <v>0.829278792417718</v>
      </c>
      <c r="T377" s="18" t="n">
        <f aca="false">IFERROR(ROUND(INDEX('Injectable Value'!$AA$28:$AA$178,MATCH($C377,'Injectable Value'!$A$28:$A$178,0)),1),"")</f>
        <v>42181.7</v>
      </c>
      <c r="U377" s="16" t="s">
        <v>919</v>
      </c>
      <c r="V377" s="15" t="n">
        <v>32</v>
      </c>
      <c r="W377" s="15" t="s">
        <v>423</v>
      </c>
      <c r="X377" s="15" t="s">
        <v>248</v>
      </c>
      <c r="Y377" s="15" t="s">
        <v>299</v>
      </c>
      <c r="Z377" s="16" t="str">
        <f aca="false">IFERROR(INDEX(Scoring!$K:$K,MATCH($C377&amp;"|"&amp;$E377,Scoring!$U:$U,0)),"")</f>
        <v>Cancer drug (cytotoxic) – less relevant; Reconstitution</v>
      </c>
      <c r="AA377" s="15" t="str">
        <f aca="false">IFERROR(INDEX(Scoring!$Q:$Q,MATCH($C377&amp;"|"&amp;$E377,Scoring!$U:$U,0)),"")</f>
        <v>Priority 1</v>
      </c>
      <c r="AB377" s="15" t="str">
        <f aca="false">IFERROR(INDEX(Scoring!$AK:$AK,MATCH($C377&amp;"|"&amp;$E377,Scoring!$U:$U,0)),"")</f>
        <v>Priority 1</v>
      </c>
      <c r="AC377" s="18" t="n">
        <f aca="false">IFERROR(INDEX(Scoring!$M:$M,MATCH($C377&amp;"|"&amp;$E377,Scoring!$U:$U,0)),"")</f>
        <v>632</v>
      </c>
      <c r="AD377" s="15" t="str">
        <f aca="false">IFERROR(INDEX('Route of Administration'!$C$5:$C$155,MATCH($C377,'Route of Administration'!$A$5:$A$155,0)),"")</f>
        <v>IV, SC</v>
      </c>
      <c r="AE377" s="14" t="str">
        <f aca="false">IFERROR(INDEX('Route of Administration'!$D$5:$D$155,MATCH($C377,'Route of Administration'!$A$5:$A$155,0)),"")</f>
        <v>Yes</v>
      </c>
    </row>
    <row r="378" customFormat="false" ht="41.75" hidden="false" customHeight="false" outlineLevel="0" collapsed="false">
      <c r="B378" s="15" t="n">
        <v>376</v>
      </c>
      <c r="C378" s="15" t="s">
        <v>669</v>
      </c>
      <c r="D378" s="15" t="s">
        <v>2239</v>
      </c>
      <c r="E378" s="15" t="s">
        <v>894</v>
      </c>
      <c r="F378" s="15" t="s">
        <v>2065</v>
      </c>
      <c r="G378" s="16" t="s">
        <v>2240</v>
      </c>
      <c r="H378" s="15" t="s">
        <v>1505</v>
      </c>
      <c r="I378" s="17" t="n">
        <v>503.5393</v>
      </c>
      <c r="J378" s="15" t="n">
        <v>14</v>
      </c>
      <c r="K378" s="15" t="n">
        <v>5</v>
      </c>
      <c r="L378" s="18" t="n">
        <v>806.34</v>
      </c>
      <c r="M378" s="16" t="s">
        <v>670</v>
      </c>
      <c r="N378" s="17" t="n">
        <v>503.5393</v>
      </c>
      <c r="O378" s="15" t="s">
        <v>1506</v>
      </c>
      <c r="P378" s="15" t="s">
        <v>1672</v>
      </c>
      <c r="Q378" s="16" t="s">
        <v>1508</v>
      </c>
      <c r="R378" s="32" t="s">
        <v>1673</v>
      </c>
      <c r="S378" s="37" t="n">
        <f aca="false">IFERROR(INDEX('Injectable Value'!$Z$28:$Z$178,MATCH($C378,'Injectable Value'!$A$28:$A$178,0)),"")</f>
        <v>1</v>
      </c>
      <c r="T378" s="18" t="n">
        <f aca="false">IFERROR(ROUND(INDEX('Injectable Value'!$AA$28:$AA$178,MATCH($C378,'Injectable Value'!$A$28:$A$178,0)),1),"")</f>
        <v>806.3</v>
      </c>
      <c r="U378" s="16" t="s">
        <v>923</v>
      </c>
      <c r="V378" s="15" t="n">
        <v>12</v>
      </c>
      <c r="W378" s="15" t="s">
        <v>307</v>
      </c>
      <c r="X378" s="15" t="s">
        <v>248</v>
      </c>
      <c r="Y378" s="15" t="s">
        <v>277</v>
      </c>
      <c r="Z378" s="16" t="str">
        <f aca="false">IFERROR(INDEX(Scoring!$K:$K,MATCH($C378&amp;"|"&amp;$E378,Scoring!$U:$U,0)),"")</f>
        <v>Reconstitution</v>
      </c>
      <c r="AA378" s="15" t="str">
        <f aca="false">IFERROR(INDEX(Scoring!$Q:$Q,MATCH($C378&amp;"|"&amp;$E378,Scoring!$U:$U,0)),"")</f>
        <v>Excluded – IV only</v>
      </c>
      <c r="AB378" s="15" t="str">
        <f aca="false">IFERROR(INDEX(Scoring!$AK:$AK,MATCH($C378&amp;"|"&amp;$E378,Scoring!$U:$U,0)),"")</f>
        <v>Excluded – IV only</v>
      </c>
      <c r="AC378" s="18" t="n">
        <f aca="false">IFERROR(INDEX(Scoring!$M:$M,MATCH($C378&amp;"|"&amp;$E378,Scoring!$U:$U,0)),"")</f>
        <v>5</v>
      </c>
      <c r="AD378" s="15" t="str">
        <f aca="false">IFERROR(INDEX('Route of Administration'!$C$5:$C$155,MATCH($C378,'Route of Administration'!$A$5:$A$155,0)),"")</f>
        <v>IV</v>
      </c>
      <c r="AE378" s="14" t="str">
        <f aca="false">IFERROR(INDEX('Route of Administration'!$D$5:$D$155,MATCH($C378,'Route of Administration'!$A$5:$A$155,0)),"")</f>
        <v>No</v>
      </c>
    </row>
    <row r="379" customFormat="false" ht="55.2" hidden="false" customHeight="false" outlineLevel="0" collapsed="false">
      <c r="B379" s="15" t="n">
        <v>377</v>
      </c>
      <c r="C379" s="15" t="s">
        <v>584</v>
      </c>
      <c r="D379" s="15" t="s">
        <v>2241</v>
      </c>
      <c r="E379" s="15" t="s">
        <v>894</v>
      </c>
      <c r="F379" s="15" t="s">
        <v>2216</v>
      </c>
      <c r="G379" s="16" t="s">
        <v>2242</v>
      </c>
      <c r="H379" s="15" t="s">
        <v>1505</v>
      </c>
      <c r="I379" s="17" t="n">
        <v>95.0217</v>
      </c>
      <c r="J379" s="15" t="n">
        <v>16</v>
      </c>
      <c r="K379" s="15" t="n">
        <v>441</v>
      </c>
      <c r="L379" s="18" t="n">
        <v>3973.65</v>
      </c>
      <c r="M379" s="16" t="s">
        <v>585</v>
      </c>
      <c r="N379" s="17" t="n">
        <v>95.0217</v>
      </c>
      <c r="O379" s="15" t="s">
        <v>1506</v>
      </c>
      <c r="P379" s="15" t="s">
        <v>1672</v>
      </c>
      <c r="Q379" s="16" t="s">
        <v>1508</v>
      </c>
      <c r="R379" s="32" t="s">
        <v>2243</v>
      </c>
      <c r="S379" s="37" t="n">
        <f aca="false">IFERROR(INDEX('Injectable Value'!$Z$28:$Z$178,MATCH($C379,'Injectable Value'!$A$28:$A$178,0)),"")</f>
        <v>1</v>
      </c>
      <c r="T379" s="18" t="n">
        <f aca="false">IFERROR(ROUND(INDEX('Injectable Value'!$AA$28:$AA$178,MATCH($C379,'Injectable Value'!$A$28:$A$178,0)),1),"")</f>
        <v>3973.7</v>
      </c>
      <c r="U379" s="16" t="s">
        <v>927</v>
      </c>
      <c r="V379" s="15" t="n">
        <v>17</v>
      </c>
      <c r="W379" s="15" t="s">
        <v>298</v>
      </c>
      <c r="X379" s="15" t="s">
        <v>248</v>
      </c>
      <c r="Y379" s="15" t="s">
        <v>299</v>
      </c>
      <c r="Z379" s="16" t="str">
        <f aca="false">IFERROR(INDEX(Scoring!$K:$K,MATCH($C379&amp;"|"&amp;$E379,Scoring!$U:$U,0)),"")</f>
        <v>Cancer drug (cytotoxic) – less relevant; Reconstitution</v>
      </c>
      <c r="AA379" s="15" t="str">
        <f aca="false">IFERROR(INDEX(Scoring!$Q:$Q,MATCH($C379&amp;"|"&amp;$E379,Scoring!$U:$U,0)),"")</f>
        <v>Priority 1</v>
      </c>
      <c r="AB379" s="15" t="str">
        <f aca="false">IFERROR(INDEX(Scoring!$AK:$AK,MATCH($C379&amp;"|"&amp;$E379,Scoring!$U:$U,0)),"")</f>
        <v>Priority 1</v>
      </c>
      <c r="AC379" s="18" t="n">
        <f aca="false">IFERROR(INDEX(Scoring!$M:$M,MATCH($C379&amp;"|"&amp;$E379,Scoring!$U:$U,0)),"")</f>
        <v>441</v>
      </c>
      <c r="AD379" s="15" t="str">
        <f aca="false">IFERROR(INDEX('Route of Administration'!$C$5:$C$155,MATCH($C379,'Route of Administration'!$A$5:$A$155,0)),"")</f>
        <v>IV, IM, SC</v>
      </c>
      <c r="AE379" s="14" t="str">
        <f aca="false">IFERROR(INDEX('Route of Administration'!$D$5:$D$155,MATCH($C379,'Route of Administration'!$A$5:$A$155,0)),"")</f>
        <v>Yes</v>
      </c>
    </row>
    <row r="380" customFormat="false" ht="95.5" hidden="false" customHeight="false" outlineLevel="0" collapsed="false">
      <c r="B380" s="15" t="n">
        <v>378</v>
      </c>
      <c r="C380" s="15" t="s">
        <v>305</v>
      </c>
      <c r="D380" s="15" t="s">
        <v>2244</v>
      </c>
      <c r="E380" s="15" t="s">
        <v>894</v>
      </c>
      <c r="F380" s="15" t="s">
        <v>2099</v>
      </c>
      <c r="G380" s="16" t="s">
        <v>2100</v>
      </c>
      <c r="H380" s="15" t="s">
        <v>1505</v>
      </c>
      <c r="I380" s="17" t="n">
        <v>1444.1174</v>
      </c>
      <c r="J380" s="15" t="n">
        <v>29</v>
      </c>
      <c r="K380" s="15" t="n">
        <v>905</v>
      </c>
      <c r="L380" s="18" t="n">
        <v>28093.38</v>
      </c>
      <c r="M380" s="16" t="s">
        <v>306</v>
      </c>
      <c r="N380" s="17" t="n">
        <v>1444.1174</v>
      </c>
      <c r="O380" s="15" t="s">
        <v>1506</v>
      </c>
      <c r="P380" s="15" t="s">
        <v>1672</v>
      </c>
      <c r="Q380" s="16" t="s">
        <v>1508</v>
      </c>
      <c r="R380" s="32" t="s">
        <v>1673</v>
      </c>
      <c r="S380" s="37" t="n">
        <f aca="false">IFERROR(INDEX('Injectable Value'!$Z$28:$Z$178,MATCH($C380,'Injectable Value'!$A$28:$A$178,0)),"")</f>
        <v>1</v>
      </c>
      <c r="T380" s="18" t="n">
        <f aca="false">IFERROR(ROUND(INDEX('Injectable Value'!$AA$28:$AA$178,MATCH($C380,'Injectable Value'!$A$28:$A$178,0)),1),"")</f>
        <v>28093.4</v>
      </c>
      <c r="U380" s="16" t="s">
        <v>931</v>
      </c>
      <c r="V380" s="15" t="n">
        <v>34</v>
      </c>
      <c r="W380" s="15" t="s">
        <v>298</v>
      </c>
      <c r="X380" s="15" t="s">
        <v>248</v>
      </c>
      <c r="Y380" s="15" t="s">
        <v>249</v>
      </c>
      <c r="Z380" s="16" t="str">
        <f aca="false">IFERROR(INDEX(Scoring!$K:$K,MATCH($C380&amp;"|"&amp;$E380,Scoring!$U:$U,0)),"")</f>
        <v>Cancer drug (cytotoxic) – less relevant; Reconstitution</v>
      </c>
      <c r="AA380" s="15" t="str">
        <f aca="false">IFERROR(INDEX(Scoring!$Q:$Q,MATCH($C380&amp;"|"&amp;$E380,Scoring!$U:$U,0)),"")</f>
        <v>Priority 1</v>
      </c>
      <c r="AB380" s="15" t="str">
        <f aca="false">IFERROR(INDEX(Scoring!$AK:$AK,MATCH($C380&amp;"|"&amp;$E380,Scoring!$U:$U,0)),"")</f>
        <v>Priority 1</v>
      </c>
      <c r="AC380" s="18" t="n">
        <f aca="false">IFERROR(INDEX(Scoring!$M:$M,MATCH($C380&amp;"|"&amp;$E380,Scoring!$U:$U,0)),"")</f>
        <v>905</v>
      </c>
      <c r="AD380" s="15" t="str">
        <f aca="false">IFERROR(INDEX('Route of Administration'!$C$5:$C$155,MATCH($C380,'Route of Administration'!$A$5:$A$155,0)),"")</f>
        <v>IV, SC</v>
      </c>
      <c r="AE380" s="14" t="str">
        <f aca="false">IFERROR(INDEX('Route of Administration'!$D$5:$D$155,MATCH($C380,'Route of Administration'!$A$5:$A$155,0)),"")</f>
        <v>Yes</v>
      </c>
    </row>
    <row r="381" customFormat="false" ht="82.05" hidden="false" customHeight="false" outlineLevel="0" collapsed="false">
      <c r="B381" s="15" t="n">
        <v>379</v>
      </c>
      <c r="C381" s="15" t="s">
        <v>1035</v>
      </c>
      <c r="D381" s="15" t="s">
        <v>1038</v>
      </c>
      <c r="E381" s="15" t="s">
        <v>894</v>
      </c>
      <c r="F381" s="15" t="s">
        <v>2245</v>
      </c>
      <c r="G381" s="16" t="s">
        <v>2246</v>
      </c>
      <c r="H381" s="15" t="s">
        <v>1512</v>
      </c>
      <c r="I381" s="17" t="n">
        <v>433.9426</v>
      </c>
      <c r="J381" s="15" t="n">
        <v>23</v>
      </c>
      <c r="K381" s="15" t="n">
        <v>121</v>
      </c>
      <c r="L381" s="18" t="n">
        <v>2714.83</v>
      </c>
      <c r="M381" s="16" t="s">
        <v>966</v>
      </c>
      <c r="N381" s="17" t="n">
        <v>433.9426</v>
      </c>
      <c r="O381" s="15" t="s">
        <v>1506</v>
      </c>
      <c r="P381" s="15" t="s">
        <v>1672</v>
      </c>
      <c r="Q381" s="16" t="s">
        <v>1508</v>
      </c>
      <c r="R381" s="32" t="s">
        <v>2247</v>
      </c>
      <c r="S381" s="37" t="n">
        <f aca="false">IFERROR(INDEX('Injectable Value'!$Z$28:$Z$178,MATCH($C381,'Injectable Value'!$A$28:$A$178,0)),"")</f>
        <v>0.916950682168073</v>
      </c>
      <c r="T381" s="18" t="n">
        <f aca="false">IFERROR(ROUND(INDEX('Injectable Value'!$AA$28:$AA$178,MATCH($C381,'Injectable Value'!$A$28:$A$178,0)),1),"")</f>
        <v>2489.4</v>
      </c>
      <c r="U381" s="16" t="s">
        <v>970</v>
      </c>
      <c r="V381" s="15" t="n">
        <v>31</v>
      </c>
      <c r="W381" s="15" t="s">
        <v>423</v>
      </c>
      <c r="X381" s="15" t="s">
        <v>258</v>
      </c>
      <c r="Y381" s="15" t="s">
        <v>249</v>
      </c>
      <c r="Z381" s="16" t="str">
        <f aca="false">IFERROR(INDEX(Scoring!$K:$K,MATCH($C381&amp;"|"&amp;$E381,Scoring!$U:$U,0)),"")</f>
        <v>Prefilled only</v>
      </c>
      <c r="AA381" s="15" t="str">
        <f aca="false">IFERROR(INDEX(Scoring!$Q:$Q,MATCH($C381&amp;"|"&amp;$E381,Scoring!$U:$U,0)),"")</f>
        <v>Priority 2</v>
      </c>
      <c r="AB381" s="15" t="str">
        <f aca="false">IFERROR(INDEX(Scoring!$AK:$AK,MATCH($C381&amp;"|"&amp;$E381,Scoring!$U:$U,0)),"")</f>
        <v>Priority 2</v>
      </c>
      <c r="AC381" s="18" t="n">
        <f aca="false">IFERROR(INDEX(Scoring!$M:$M,MATCH($C381&amp;"|"&amp;$E381,Scoring!$U:$U,0)),"")</f>
        <v>111</v>
      </c>
      <c r="AD381" s="15" t="str">
        <f aca="false">IFERROR(INDEX('Route of Administration'!$C$5:$C$155,MATCH($C381,'Route of Administration'!$A$5:$A$155,0)),"")</f>
        <v>SC (some depots IM)</v>
      </c>
      <c r="AE381" s="14" t="str">
        <f aca="false">IFERROR(INDEX('Route of Administration'!$D$5:$D$155,MATCH($C381,'Route of Administration'!$A$5:$A$155,0)),"")</f>
        <v>Yes</v>
      </c>
    </row>
    <row r="382" customFormat="false" ht="28.35" hidden="false" customHeight="false" outlineLevel="0" collapsed="false">
      <c r="B382" s="15" t="n">
        <v>380</v>
      </c>
      <c r="C382" s="15" t="s">
        <v>322</v>
      </c>
      <c r="D382" s="15" t="s">
        <v>2248</v>
      </c>
      <c r="E382" s="15" t="s">
        <v>894</v>
      </c>
      <c r="F382" s="15" t="s">
        <v>1679</v>
      </c>
      <c r="G382" s="16" t="s">
        <v>2249</v>
      </c>
      <c r="H382" s="15" t="s">
        <v>1505</v>
      </c>
      <c r="I382" s="17" t="n">
        <v>9.6502</v>
      </c>
      <c r="J382" s="15" t="n">
        <v>20</v>
      </c>
      <c r="K382" s="15" t="n">
        <v>290</v>
      </c>
      <c r="L382" s="18" t="n">
        <v>6348.25</v>
      </c>
      <c r="M382" s="16" t="s">
        <v>323</v>
      </c>
      <c r="N382" s="17" t="n">
        <v>9.6502</v>
      </c>
      <c r="O382" s="15" t="s">
        <v>1506</v>
      </c>
      <c r="P382" s="15" t="s">
        <v>1533</v>
      </c>
      <c r="Q382" s="16" t="s">
        <v>1508</v>
      </c>
      <c r="R382" s="32" t="s">
        <v>1673</v>
      </c>
      <c r="S382" s="37" t="n">
        <f aca="false">IFERROR(INDEX('Injectable Value'!$Z$28:$Z$178,MATCH($C382,'Injectable Value'!$A$28:$A$178,0)),"")</f>
        <v>0.991596638655462</v>
      </c>
      <c r="T382" s="18" t="n">
        <f aca="false">IFERROR(ROUND(INDEX('Injectable Value'!$AA$28:$AA$178,MATCH($C382,'Injectable Value'!$A$28:$A$178,0)),1),"")</f>
        <v>6294.9</v>
      </c>
      <c r="U382" s="16" t="s">
        <v>934</v>
      </c>
      <c r="V382" s="15" t="n">
        <v>4</v>
      </c>
      <c r="W382" s="15" t="s">
        <v>338</v>
      </c>
      <c r="X382" s="15" t="s">
        <v>248</v>
      </c>
      <c r="Y382" s="15" t="s">
        <v>299</v>
      </c>
      <c r="Z382" s="16" t="str">
        <f aca="false">IFERROR(INDEX(Scoring!$K:$K,MATCH($C382&amp;"|"&amp;$E382,Scoring!$U:$U,0)),"")</f>
        <v>Reconstitution</v>
      </c>
      <c r="AA382" s="15" t="str">
        <f aca="false">IFERROR(INDEX(Scoring!$Q:$Q,MATCH($C382&amp;"|"&amp;$E382,Scoring!$U:$U,0)),"")</f>
        <v>Priority 2</v>
      </c>
      <c r="AB382" s="15" t="str">
        <f aca="false">IFERROR(INDEX(Scoring!$AK:$AK,MATCH($C382&amp;"|"&amp;$E382,Scoring!$U:$U,0)),"")</f>
        <v>Priority 2</v>
      </c>
      <c r="AC382" s="18" t="n">
        <f aca="false">IFERROR(INDEX(Scoring!$M:$M,MATCH($C382&amp;"|"&amp;$E382,Scoring!$U:$U,0)),"")</f>
        <v>288</v>
      </c>
      <c r="AD382" s="15" t="str">
        <f aca="false">IFERROR(INDEX('Route of Administration'!$C$5:$C$155,MATCH($C382,'Route of Administration'!$A$5:$A$155,0)),"")</f>
        <v>IV, IM</v>
      </c>
      <c r="AE382" s="14" t="str">
        <f aca="false">IFERROR(INDEX('Route of Administration'!$D$5:$D$155,MATCH($C382,'Route of Administration'!$A$5:$A$155,0)),"")</f>
        <v>Yes</v>
      </c>
    </row>
    <row r="383" customFormat="false" ht="28.35" hidden="false" customHeight="false" outlineLevel="0" collapsed="false">
      <c r="B383" s="15" t="n">
        <v>381</v>
      </c>
      <c r="C383" s="15" t="s">
        <v>322</v>
      </c>
      <c r="D383" s="15" t="s">
        <v>2250</v>
      </c>
      <c r="E383" s="15" t="s">
        <v>894</v>
      </c>
      <c r="F383" s="15" t="s">
        <v>1679</v>
      </c>
      <c r="G383" s="16" t="s">
        <v>2249</v>
      </c>
      <c r="H383" s="15" t="s">
        <v>1505</v>
      </c>
      <c r="I383" s="17" t="n">
        <v>9.6502</v>
      </c>
      <c r="J383" s="15" t="n">
        <v>23</v>
      </c>
      <c r="K383" s="15" t="n">
        <v>290</v>
      </c>
      <c r="L383" s="18" t="n">
        <v>6348.25</v>
      </c>
      <c r="M383" s="16" t="s">
        <v>323</v>
      </c>
      <c r="N383" s="17" t="n">
        <v>9.6502</v>
      </c>
      <c r="O383" s="15" t="s">
        <v>1506</v>
      </c>
      <c r="P383" s="15" t="s">
        <v>1533</v>
      </c>
      <c r="Q383" s="16" t="s">
        <v>1508</v>
      </c>
      <c r="R383" s="32" t="s">
        <v>1673</v>
      </c>
      <c r="S383" s="37" t="n">
        <f aca="false">IFERROR(INDEX('Injectable Value'!$Z$28:$Z$178,MATCH($C383,'Injectable Value'!$A$28:$A$178,0)),"")</f>
        <v>0.991596638655462</v>
      </c>
      <c r="T383" s="18" t="n">
        <f aca="false">IFERROR(ROUND(INDEX('Injectable Value'!$AA$28:$AA$178,MATCH($C383,'Injectable Value'!$A$28:$A$178,0)),1),"")</f>
        <v>6294.9</v>
      </c>
      <c r="U383" s="16" t="s">
        <v>934</v>
      </c>
      <c r="V383" s="15" t="n">
        <v>4</v>
      </c>
      <c r="W383" s="15" t="s">
        <v>338</v>
      </c>
      <c r="X383" s="15" t="s">
        <v>248</v>
      </c>
      <c r="Y383" s="15" t="s">
        <v>299</v>
      </c>
      <c r="Z383" s="16" t="str">
        <f aca="false">IFERROR(INDEX(Scoring!$K:$K,MATCH($C383&amp;"|"&amp;$E383,Scoring!$U:$U,0)),"")</f>
        <v>Reconstitution</v>
      </c>
      <c r="AA383" s="15" t="str">
        <f aca="false">IFERROR(INDEX(Scoring!$Q:$Q,MATCH($C383&amp;"|"&amp;$E383,Scoring!$U:$U,0)),"")</f>
        <v>Priority 2</v>
      </c>
      <c r="AB383" s="15" t="str">
        <f aca="false">IFERROR(INDEX(Scoring!$AK:$AK,MATCH($C383&amp;"|"&amp;$E383,Scoring!$U:$U,0)),"")</f>
        <v>Priority 2</v>
      </c>
      <c r="AC383" s="18" t="n">
        <f aca="false">IFERROR(INDEX(Scoring!$M:$M,MATCH($C383&amp;"|"&amp;$E383,Scoring!$U:$U,0)),"")</f>
        <v>288</v>
      </c>
      <c r="AD383" s="15" t="str">
        <f aca="false">IFERROR(INDEX('Route of Administration'!$C$5:$C$155,MATCH($C383,'Route of Administration'!$A$5:$A$155,0)),"")</f>
        <v>IV, IM</v>
      </c>
      <c r="AE383" s="14" t="str">
        <f aca="false">IFERROR(INDEX('Route of Administration'!$D$5:$D$155,MATCH($C383,'Route of Administration'!$A$5:$A$155,0)),"")</f>
        <v>Yes</v>
      </c>
    </row>
    <row r="384" customFormat="false" ht="28.35" hidden="false" customHeight="false" outlineLevel="0" collapsed="false">
      <c r="B384" s="15" t="n">
        <v>382</v>
      </c>
      <c r="C384" s="15" t="s">
        <v>336</v>
      </c>
      <c r="D384" s="15" t="s">
        <v>936</v>
      </c>
      <c r="E384" s="15" t="s">
        <v>894</v>
      </c>
      <c r="F384" s="15" t="s">
        <v>2251</v>
      </c>
      <c r="G384" s="16"/>
      <c r="H384" s="15"/>
      <c r="I384" s="17"/>
      <c r="J384" s="15" t="n">
        <v>28</v>
      </c>
      <c r="K384" s="15" t="n">
        <v>3110</v>
      </c>
      <c r="L384" s="18" t="n">
        <v>93119.22</v>
      </c>
      <c r="M384" s="16" t="s">
        <v>337</v>
      </c>
      <c r="N384" s="38" t="n">
        <v>5.6</v>
      </c>
      <c r="O384" s="22" t="s">
        <v>1513</v>
      </c>
      <c r="P384" s="15" t="s">
        <v>1507</v>
      </c>
      <c r="Q384" s="16" t="s">
        <v>2252</v>
      </c>
      <c r="R384" s="32" t="s">
        <v>2253</v>
      </c>
      <c r="S384" s="37" t="n">
        <f aca="false">IFERROR(INDEX('Injectable Value'!$Z$28:$Z$178,MATCH($C384,'Injectable Value'!$A$28:$A$178,0)),"")</f>
        <v>1</v>
      </c>
      <c r="T384" s="18" t="n">
        <f aca="false">IFERROR(ROUND(INDEX('Injectable Value'!$AA$28:$AA$178,MATCH($C384,'Injectable Value'!$A$28:$A$178,0)),1),"")</f>
        <v>93119.2</v>
      </c>
      <c r="U384" s="16" t="s">
        <v>753</v>
      </c>
      <c r="V384" s="15" t="n">
        <v>1</v>
      </c>
      <c r="W384" s="15" t="s">
        <v>70</v>
      </c>
      <c r="X384" s="15" t="s">
        <v>277</v>
      </c>
      <c r="Y384" s="15" t="s">
        <v>277</v>
      </c>
      <c r="Z384" s="16" t="str">
        <f aca="false">IFERROR(INDEX(Scoring!$K:$K,MATCH($C384&amp;"|"&amp;$E384,Scoring!$U:$U,0)),"")</f>
        <v/>
      </c>
      <c r="AA384" s="15" t="str">
        <f aca="false">IFERROR(INDEX(Scoring!$Q:$Q,MATCH($C384&amp;"|"&amp;$E384,Scoring!$U:$U,0)),"")</f>
        <v>Priority 2</v>
      </c>
      <c r="AB384" s="15" t="str">
        <f aca="false">IFERROR(INDEX(Scoring!$AK:$AK,MATCH($C384&amp;"|"&amp;$E384,Scoring!$U:$U,0)),"")</f>
        <v>Priority 2</v>
      </c>
      <c r="AC384" s="18" t="n">
        <f aca="false">IFERROR(INDEX(Scoring!$M:$M,MATCH($C384&amp;"|"&amp;$E384,Scoring!$U:$U,0)),"")</f>
        <v>3110</v>
      </c>
      <c r="AD384" s="15" t="str">
        <f aca="false">IFERROR(INDEX('Route of Administration'!$C$5:$C$155,MATCH($C384,'Route of Administration'!$A$5:$A$155,0)),"")</f>
        <v>IV, IM</v>
      </c>
      <c r="AE384" s="14" t="str">
        <f aca="false">IFERROR(INDEX('Route of Administration'!$D$5:$D$155,MATCH($C384,'Route of Administration'!$A$5:$A$155,0)),"")</f>
        <v>Yes</v>
      </c>
    </row>
    <row r="385" customFormat="false" ht="55.2" hidden="false" customHeight="false" outlineLevel="0" collapsed="false">
      <c r="B385" s="15" t="n">
        <v>383</v>
      </c>
      <c r="C385" s="15" t="s">
        <v>760</v>
      </c>
      <c r="D385" s="15" t="s">
        <v>2254</v>
      </c>
      <c r="E385" s="15" t="s">
        <v>894</v>
      </c>
      <c r="F385" s="15" t="s">
        <v>2255</v>
      </c>
      <c r="G385" s="16" t="s">
        <v>2256</v>
      </c>
      <c r="H385" s="15" t="s">
        <v>1505</v>
      </c>
      <c r="I385" s="17" t="n">
        <v>12.2266</v>
      </c>
      <c r="J385" s="15" t="n">
        <v>30</v>
      </c>
      <c r="K385" s="15" t="n">
        <v>123</v>
      </c>
      <c r="L385" s="18" t="n">
        <v>3010.2</v>
      </c>
      <c r="M385" s="16" t="s">
        <v>761</v>
      </c>
      <c r="N385" s="17" t="n">
        <v>12.2266</v>
      </c>
      <c r="O385" s="15" t="s">
        <v>1506</v>
      </c>
      <c r="P385" s="15" t="s">
        <v>1672</v>
      </c>
      <c r="Q385" s="16" t="s">
        <v>1508</v>
      </c>
      <c r="R385" s="32" t="s">
        <v>2257</v>
      </c>
      <c r="S385" s="37" t="n">
        <f aca="false">IFERROR(INDEX('Injectable Value'!$Z$28:$Z$178,MATCH($C385,'Injectable Value'!$A$28:$A$178,0)),"")</f>
        <v>0.675601982054373</v>
      </c>
      <c r="T385" s="18" t="n">
        <f aca="false">IFERROR(ROUND(INDEX('Injectable Value'!$AA$28:$AA$178,MATCH($C385,'Injectable Value'!$A$28:$A$178,0)),1),"")</f>
        <v>2033.7</v>
      </c>
      <c r="U385" s="16" t="s">
        <v>948</v>
      </c>
      <c r="V385" s="15" t="n">
        <v>22</v>
      </c>
      <c r="W385" s="15" t="s">
        <v>945</v>
      </c>
      <c r="X385" s="15" t="s">
        <v>248</v>
      </c>
      <c r="Y385" s="15" t="s">
        <v>299</v>
      </c>
      <c r="Z385" s="16" t="str">
        <f aca="false">IFERROR(INDEX(Scoring!$K:$K,MATCH($C385&amp;"|"&amp;$E385,Scoring!$U:$U,0)),"")</f>
        <v>Reconstitution</v>
      </c>
      <c r="AA385" s="15" t="str">
        <f aca="false">IFERROR(INDEX(Scoring!$Q:$Q,MATCH($C385&amp;"|"&amp;$E385,Scoring!$U:$U,0)),"")</f>
        <v>Priority 3</v>
      </c>
      <c r="AB385" s="15" t="str">
        <f aca="false">IFERROR(INDEX(Scoring!$AK:$AK,MATCH($C385&amp;"|"&amp;$E385,Scoring!$U:$U,0)),"")</f>
        <v>Priority 3</v>
      </c>
      <c r="AC385" s="18" t="n">
        <f aca="false">IFERROR(INDEX(Scoring!$M:$M,MATCH($C385&amp;"|"&amp;$E385,Scoring!$U:$U,0)),"")</f>
        <v>83</v>
      </c>
      <c r="AD385" s="15" t="str">
        <f aca="false">IFERROR(INDEX('Route of Administration'!$C$5:$C$155,MATCH($C385,'Route of Administration'!$A$5:$A$155,0)),"")</f>
        <v>IV, IM</v>
      </c>
      <c r="AE385" s="14" t="str">
        <f aca="false">IFERROR(INDEX('Route of Administration'!$D$5:$D$155,MATCH($C385,'Route of Administration'!$A$5:$A$155,0)),"")</f>
        <v>Yes</v>
      </c>
    </row>
    <row r="386" customFormat="false" ht="55.2" hidden="false" customHeight="false" outlineLevel="0" collapsed="false">
      <c r="B386" s="15" t="n">
        <v>384</v>
      </c>
      <c r="C386" s="15" t="s">
        <v>356</v>
      </c>
      <c r="D386" s="15" t="s">
        <v>2258</v>
      </c>
      <c r="E386" s="15" t="s">
        <v>894</v>
      </c>
      <c r="F386" s="15" t="s">
        <v>1688</v>
      </c>
      <c r="G386" s="16" t="s">
        <v>1689</v>
      </c>
      <c r="H386" s="15" t="s">
        <v>1505</v>
      </c>
      <c r="I386" s="17" t="n">
        <v>93.7335</v>
      </c>
      <c r="J386" s="15" t="n">
        <v>28</v>
      </c>
      <c r="K386" s="15" t="n">
        <v>312</v>
      </c>
      <c r="L386" s="18" t="n">
        <v>59827.18</v>
      </c>
      <c r="M386" s="16" t="s">
        <v>357</v>
      </c>
      <c r="N386" s="17" t="n">
        <v>93.7335</v>
      </c>
      <c r="O386" s="15" t="s">
        <v>1506</v>
      </c>
      <c r="P386" s="15" t="s">
        <v>1672</v>
      </c>
      <c r="Q386" s="16" t="s">
        <v>1508</v>
      </c>
      <c r="R386" s="32" t="s">
        <v>1673</v>
      </c>
      <c r="S386" s="37" t="n">
        <f aca="false">IFERROR(INDEX('Injectable Value'!$Z$28:$Z$178,MATCH($C386,'Injectable Value'!$A$28:$A$178,0)),"")</f>
        <v>1</v>
      </c>
      <c r="T386" s="18" t="n">
        <f aca="false">IFERROR(ROUND(INDEX('Injectable Value'!$AA$28:$AA$178,MATCH($C386,'Injectable Value'!$A$28:$A$178,0)),1),"")</f>
        <v>59827.2</v>
      </c>
      <c r="U386" s="16" t="s">
        <v>963</v>
      </c>
      <c r="V386" s="15" t="n">
        <v>21</v>
      </c>
      <c r="W386" s="15" t="s">
        <v>754</v>
      </c>
      <c r="X386" s="15" t="s">
        <v>248</v>
      </c>
      <c r="Y386" s="15" t="s">
        <v>299</v>
      </c>
      <c r="Z386" s="16" t="str">
        <f aca="false">IFERROR(INDEX(Scoring!$K:$K,MATCH($C386&amp;"|"&amp;$E386,Scoring!$U:$U,0)),"")</f>
        <v>Reconstitution</v>
      </c>
      <c r="AA386" s="15" t="str">
        <f aca="false">IFERROR(INDEX(Scoring!$Q:$Q,MATCH($C386&amp;"|"&amp;$E386,Scoring!$U:$U,0)),"")</f>
        <v>Excluded – IV only</v>
      </c>
      <c r="AB386" s="15" t="str">
        <f aca="false">IFERROR(INDEX(Scoring!$AK:$AK,MATCH($C386&amp;"|"&amp;$E386,Scoring!$U:$U,0)),"")</f>
        <v>Excluded – IV only</v>
      </c>
      <c r="AC386" s="18" t="n">
        <f aca="false">IFERROR(INDEX(Scoring!$M:$M,MATCH($C386&amp;"|"&amp;$E386,Scoring!$U:$U,0)),"")</f>
        <v>312</v>
      </c>
      <c r="AD386" s="15" t="str">
        <f aca="false">IFERROR(INDEX('Route of Administration'!$C$5:$C$155,MATCH($C386,'Route of Administration'!$A$5:$A$155,0)),"")</f>
        <v>IV</v>
      </c>
      <c r="AE386" s="14" t="str">
        <f aca="false">IFERROR(INDEX('Route of Administration'!$D$5:$D$155,MATCH($C386,'Route of Administration'!$A$5:$A$155,0)),"")</f>
        <v>No</v>
      </c>
    </row>
    <row r="387" customFormat="false" ht="82.05" hidden="false" customHeight="false" outlineLevel="0" collapsed="false">
      <c r="B387" s="15" t="n">
        <v>385</v>
      </c>
      <c r="C387" s="15" t="s">
        <v>965</v>
      </c>
      <c r="D387" s="15" t="s">
        <v>2259</v>
      </c>
      <c r="E387" s="15" t="s">
        <v>894</v>
      </c>
      <c r="F387" s="15" t="s">
        <v>2260</v>
      </c>
      <c r="G387" s="16" t="s">
        <v>2261</v>
      </c>
      <c r="H387" s="15" t="s">
        <v>1505</v>
      </c>
      <c r="I387" s="17" t="n">
        <v>53.0422</v>
      </c>
      <c r="J387" s="15" t="n">
        <v>3</v>
      </c>
      <c r="K387" s="15" t="n">
        <v>26</v>
      </c>
      <c r="L387" s="18" t="n">
        <v>140.86</v>
      </c>
      <c r="M387" s="16" t="s">
        <v>966</v>
      </c>
      <c r="N387" s="17" t="n">
        <v>53.0422</v>
      </c>
      <c r="O387" s="15" t="s">
        <v>1506</v>
      </c>
      <c r="P387" s="15" t="s">
        <v>1672</v>
      </c>
      <c r="Q387" s="16" t="s">
        <v>1508</v>
      </c>
      <c r="R387" s="32" t="s">
        <v>2262</v>
      </c>
      <c r="S387" s="37" t="n">
        <f aca="false">IFERROR(INDEX('Injectable Value'!$Z$28:$Z$178,MATCH($C387,'Injectable Value'!$A$28:$A$178,0)),"")</f>
        <v>1</v>
      </c>
      <c r="T387" s="18" t="n">
        <f aca="false">IFERROR(ROUND(INDEX('Injectable Value'!$AA$28:$AA$178,MATCH($C387,'Injectable Value'!$A$28:$A$178,0)),1),"")</f>
        <v>140.9</v>
      </c>
      <c r="U387" s="16" t="s">
        <v>970</v>
      </c>
      <c r="V387" s="15" t="n">
        <v>31</v>
      </c>
      <c r="W387" s="15" t="s">
        <v>423</v>
      </c>
      <c r="X387" s="15" t="s">
        <v>248</v>
      </c>
      <c r="Y387" s="15" t="s">
        <v>249</v>
      </c>
      <c r="Z387" s="16" t="str">
        <f aca="false">IFERROR(INDEX(Scoring!$K:$K,MATCH($C387&amp;"|"&amp;$E387,Scoring!$U:$U,0)),"")</f>
        <v>Reconstitution</v>
      </c>
      <c r="AA387" s="15" t="str">
        <f aca="false">IFERROR(INDEX(Scoring!$Q:$Q,MATCH($C387&amp;"|"&amp;$E387,Scoring!$U:$U,0)),"")</f>
        <v>Priority 2</v>
      </c>
      <c r="AB387" s="15" t="str">
        <f aca="false">IFERROR(INDEX(Scoring!$AK:$AK,MATCH($C387&amp;"|"&amp;$E387,Scoring!$U:$U,0)),"")</f>
        <v>Priority 2</v>
      </c>
      <c r="AC387" s="18" t="n">
        <f aca="false">IFERROR(INDEX(Scoring!$M:$M,MATCH($C387&amp;"|"&amp;$E387,Scoring!$U:$U,0)),"")</f>
        <v>26</v>
      </c>
      <c r="AD387" s="15" t="str">
        <f aca="false">IFERROR(INDEX('Route of Administration'!$C$5:$C$155,MATCH($C387,'Route of Administration'!$A$5:$A$155,0)),"")</f>
        <v>SC</v>
      </c>
      <c r="AE387" s="14" t="str">
        <f aca="false">IFERROR(INDEX('Route of Administration'!$D$5:$D$155,MATCH($C387,'Route of Administration'!$A$5:$A$155,0)),"")</f>
        <v>Yes</v>
      </c>
    </row>
    <row r="388" customFormat="false" ht="95.5" hidden="false" customHeight="false" outlineLevel="0" collapsed="false">
      <c r="B388" s="15" t="n">
        <v>386</v>
      </c>
      <c r="C388" s="15" t="s">
        <v>362</v>
      </c>
      <c r="D388" s="15" t="s">
        <v>2263</v>
      </c>
      <c r="E388" s="15" t="s">
        <v>894</v>
      </c>
      <c r="F388" s="15" t="s">
        <v>1690</v>
      </c>
      <c r="G388" s="16" t="s">
        <v>1691</v>
      </c>
      <c r="H388" s="15" t="s">
        <v>1505</v>
      </c>
      <c r="I388" s="17" t="n">
        <v>16.837</v>
      </c>
      <c r="J388" s="15" t="n">
        <v>31</v>
      </c>
      <c r="K388" s="15" t="n">
        <v>1644</v>
      </c>
      <c r="L388" s="18" t="n">
        <v>41889.23</v>
      </c>
      <c r="M388" s="16" t="s">
        <v>363</v>
      </c>
      <c r="N388" s="17" t="n">
        <v>16.837</v>
      </c>
      <c r="O388" s="15" t="s">
        <v>1506</v>
      </c>
      <c r="P388" s="15" t="s">
        <v>1672</v>
      </c>
      <c r="Q388" s="16" t="s">
        <v>1508</v>
      </c>
      <c r="R388" s="32" t="s">
        <v>1673</v>
      </c>
      <c r="S388" s="37" t="n">
        <f aca="false">IFERROR(INDEX('Injectable Value'!$Z$28:$Z$178,MATCH($C388,'Injectable Value'!$A$28:$A$178,0)),"")</f>
        <v>0.990783410138249</v>
      </c>
      <c r="T388" s="18" t="n">
        <f aca="false">IFERROR(ROUND(INDEX('Injectable Value'!$AA$28:$AA$178,MATCH($C388,'Injectable Value'!$A$28:$A$178,0)),1),"")</f>
        <v>41503.2</v>
      </c>
      <c r="U388" s="16" t="s">
        <v>980</v>
      </c>
      <c r="V388" s="15" t="n">
        <v>34</v>
      </c>
      <c r="W388" s="15" t="s">
        <v>977</v>
      </c>
      <c r="X388" s="15" t="s">
        <v>248</v>
      </c>
      <c r="Y388" s="15" t="s">
        <v>249</v>
      </c>
      <c r="Z388" s="16" t="str">
        <f aca="false">IFERROR(INDEX(Scoring!$K:$K,MATCH($C388&amp;"|"&amp;$E388,Scoring!$U:$U,0)),"")</f>
        <v>Cancer drug (cytotoxic) – less relevant</v>
      </c>
      <c r="AA388" s="15" t="str">
        <f aca="false">IFERROR(INDEX(Scoring!$Q:$Q,MATCH($C388&amp;"|"&amp;$E388,Scoring!$U:$U,0)),"")</f>
        <v>Excluded – IV only</v>
      </c>
      <c r="AB388" s="15" t="str">
        <f aca="false">IFERROR(INDEX(Scoring!$AK:$AK,MATCH($C388&amp;"|"&amp;$E388,Scoring!$U:$U,0)),"")</f>
        <v>Excluded – IV only</v>
      </c>
      <c r="AC388" s="18" t="n">
        <f aca="false">IFERROR(INDEX(Scoring!$M:$M,MATCH($C388&amp;"|"&amp;$E388,Scoring!$U:$U,0)),"")</f>
        <v>1629</v>
      </c>
      <c r="AD388" s="15" t="str">
        <f aca="false">IFERROR(INDEX('Route of Administration'!$C$5:$C$155,MATCH($C388,'Route of Administration'!$A$5:$A$155,0)),"")</f>
        <v>IV</v>
      </c>
      <c r="AE388" s="14" t="str">
        <f aca="false">IFERROR(INDEX('Route of Administration'!$D$5:$D$155,MATCH($C388,'Route of Administration'!$A$5:$A$155,0)),"")</f>
        <v>No</v>
      </c>
    </row>
    <row r="389" customFormat="false" ht="55.2" hidden="false" customHeight="false" outlineLevel="0" collapsed="false">
      <c r="B389" s="15" t="n">
        <v>387</v>
      </c>
      <c r="C389" s="15" t="s">
        <v>376</v>
      </c>
      <c r="D389" s="15" t="s">
        <v>2264</v>
      </c>
      <c r="E389" s="15" t="s">
        <v>894</v>
      </c>
      <c r="F389" s="15" t="s">
        <v>1690</v>
      </c>
      <c r="G389" s="16" t="s">
        <v>1691</v>
      </c>
      <c r="H389" s="15" t="s">
        <v>1505</v>
      </c>
      <c r="I389" s="17" t="n">
        <v>22.2158</v>
      </c>
      <c r="J389" s="15" t="n">
        <v>29</v>
      </c>
      <c r="K389" s="15" t="n">
        <v>345</v>
      </c>
      <c r="L389" s="18" t="n">
        <v>2783.28</v>
      </c>
      <c r="M389" s="16" t="s">
        <v>377</v>
      </c>
      <c r="N389" s="17" t="n">
        <v>22.2158</v>
      </c>
      <c r="O389" s="15" t="s">
        <v>1506</v>
      </c>
      <c r="P389" s="15" t="s">
        <v>1507</v>
      </c>
      <c r="Q389" s="16" t="s">
        <v>1508</v>
      </c>
      <c r="R389" s="32" t="s">
        <v>1673</v>
      </c>
      <c r="S389" s="37" t="n">
        <f aca="false">IFERROR(INDEX('Injectable Value'!$Z$28:$Z$178,MATCH($C389,'Injectable Value'!$A$28:$A$178,0)),"")</f>
        <v>0.995283018867925</v>
      </c>
      <c r="T389" s="18" t="n">
        <f aca="false">IFERROR(ROUND(INDEX('Injectable Value'!$AA$28:$AA$178,MATCH($C389,'Injectable Value'!$A$28:$A$178,0)),1),"")</f>
        <v>2770.2</v>
      </c>
      <c r="U389" s="16" t="s">
        <v>990</v>
      </c>
      <c r="V389" s="15" t="n">
        <v>24</v>
      </c>
      <c r="W389" s="15" t="s">
        <v>945</v>
      </c>
      <c r="X389" s="15" t="s">
        <v>248</v>
      </c>
      <c r="Y389" s="15" t="s">
        <v>249</v>
      </c>
      <c r="Z389" s="16" t="str">
        <f aca="false">IFERROR(INDEX(Scoring!$K:$K,MATCH($C389&amp;"|"&amp;$E389,Scoring!$U:$U,0)),"")</f>
        <v>Cancer drug (cytotoxic) – less relevant</v>
      </c>
      <c r="AA389" s="15" t="str">
        <f aca="false">IFERROR(INDEX(Scoring!$Q:$Q,MATCH($C389&amp;"|"&amp;$E389,Scoring!$U:$U,0)),"")</f>
        <v>Excluded – IV only</v>
      </c>
      <c r="AB389" s="15" t="str">
        <f aca="false">IFERROR(INDEX(Scoring!$AK:$AK,MATCH($C389&amp;"|"&amp;$E389,Scoring!$U:$U,0)),"")</f>
        <v>Excluded – IV only</v>
      </c>
      <c r="AC389" s="18" t="n">
        <f aca="false">IFERROR(INDEX(Scoring!$M:$M,MATCH($C389&amp;"|"&amp;$E389,Scoring!$U:$U,0)),"")</f>
        <v>343</v>
      </c>
      <c r="AD389" s="15" t="str">
        <f aca="false">IFERROR(INDEX('Route of Administration'!$C$5:$C$155,MATCH($C389,'Route of Administration'!$A$5:$A$155,0)),"")</f>
        <v>IV</v>
      </c>
      <c r="AE389" s="14" t="str">
        <f aca="false">IFERROR(INDEX('Route of Administration'!$D$5:$D$155,MATCH($C389,'Route of Administration'!$A$5:$A$155,0)),"")</f>
        <v>No</v>
      </c>
    </row>
    <row r="390" customFormat="false" ht="82.05" hidden="false" customHeight="false" outlineLevel="0" collapsed="false">
      <c r="B390" s="15" t="n">
        <v>388</v>
      </c>
      <c r="C390" s="15" t="s">
        <v>383</v>
      </c>
      <c r="D390" s="15" t="s">
        <v>993</v>
      </c>
      <c r="E390" s="15" t="s">
        <v>894</v>
      </c>
      <c r="F390" s="15" t="s">
        <v>2265</v>
      </c>
      <c r="G390" s="16" t="s">
        <v>2199</v>
      </c>
      <c r="H390" s="15" t="s">
        <v>1505</v>
      </c>
      <c r="I390" s="17" t="n">
        <v>62.0257</v>
      </c>
      <c r="J390" s="15" t="n">
        <v>14</v>
      </c>
      <c r="K390" s="15" t="n">
        <v>149</v>
      </c>
      <c r="L390" s="18" t="n">
        <v>5255.61</v>
      </c>
      <c r="M390" s="16" t="s">
        <v>384</v>
      </c>
      <c r="N390" s="17" t="n">
        <v>62.0257</v>
      </c>
      <c r="O390" s="15" t="s">
        <v>1506</v>
      </c>
      <c r="P390" s="15" t="s">
        <v>1672</v>
      </c>
      <c r="Q390" s="16" t="s">
        <v>1508</v>
      </c>
      <c r="R390" s="32" t="s">
        <v>2266</v>
      </c>
      <c r="S390" s="37" t="n">
        <f aca="false">IFERROR(INDEX('Injectable Value'!$Z$28:$Z$178,MATCH($C390,'Injectable Value'!$A$28:$A$178,0)),"")</f>
        <v>0.985294117647059</v>
      </c>
      <c r="T390" s="18" t="n">
        <f aca="false">IFERROR(ROUND(INDEX('Injectable Value'!$AA$28:$AA$178,MATCH($C390,'Injectable Value'!$A$28:$A$178,0)),1),"")</f>
        <v>5178.3</v>
      </c>
      <c r="U390" s="16" t="s">
        <v>994</v>
      </c>
      <c r="V390" s="15" t="n">
        <v>30</v>
      </c>
      <c r="W390" s="15" t="s">
        <v>992</v>
      </c>
      <c r="X390" s="15" t="s">
        <v>248</v>
      </c>
      <c r="Y390" s="15" t="s">
        <v>249</v>
      </c>
      <c r="Z390" s="16" t="str">
        <f aca="false">IFERROR(INDEX(Scoring!$K:$K,MATCH($C390&amp;"|"&amp;$E390,Scoring!$U:$U,0)),"")</f>
        <v/>
      </c>
      <c r="AA390" s="15" t="str">
        <f aca="false">IFERROR(INDEX(Scoring!$Q:$Q,MATCH($C390&amp;"|"&amp;$E390,Scoring!$U:$U,0)),"")</f>
        <v>Excluded – IV only</v>
      </c>
      <c r="AB390" s="15" t="str">
        <f aca="false">IFERROR(INDEX(Scoring!$AK:$AK,MATCH($C390&amp;"|"&amp;$E390,Scoring!$U:$U,0)),"")</f>
        <v>Excluded – IV only</v>
      </c>
      <c r="AC390" s="18" t="n">
        <f aca="false">IFERROR(INDEX(Scoring!$M:$M,MATCH($C390&amp;"|"&amp;$E390,Scoring!$U:$U,0)),"")</f>
        <v>147</v>
      </c>
      <c r="AD390" s="15" t="str">
        <f aca="false">IFERROR(INDEX('Route of Administration'!$C$5:$C$155,MATCH($C390,'Route of Administration'!$A$5:$A$155,0)),"")</f>
        <v>IV</v>
      </c>
      <c r="AE390" s="14" t="str">
        <f aca="false">IFERROR(INDEX('Route of Administration'!$D$5:$D$155,MATCH($C390,'Route of Administration'!$A$5:$A$155,0)),"")</f>
        <v>No</v>
      </c>
    </row>
    <row r="391" customFormat="false" ht="41.75" hidden="false" customHeight="false" outlineLevel="0" collapsed="false">
      <c r="B391" s="15" t="n">
        <v>389</v>
      </c>
      <c r="C391" s="15" t="s">
        <v>694</v>
      </c>
      <c r="D391" s="15" t="s">
        <v>997</v>
      </c>
      <c r="E391" s="15" t="s">
        <v>894</v>
      </c>
      <c r="F391" s="15" t="s">
        <v>1932</v>
      </c>
      <c r="G391" s="16" t="s">
        <v>2267</v>
      </c>
      <c r="H391" s="15" t="s">
        <v>1505</v>
      </c>
      <c r="I391" s="17" t="n">
        <v>471.2665</v>
      </c>
      <c r="J391" s="15" t="n">
        <v>25</v>
      </c>
      <c r="K391" s="15" t="n">
        <v>42</v>
      </c>
      <c r="L391" s="18" t="n">
        <v>1874.63</v>
      </c>
      <c r="M391" s="16" t="s">
        <v>695</v>
      </c>
      <c r="N391" s="17" t="n">
        <v>471.2665</v>
      </c>
      <c r="O391" s="15" t="s">
        <v>1506</v>
      </c>
      <c r="P391" s="15" t="s">
        <v>1533</v>
      </c>
      <c r="Q391" s="16" t="s">
        <v>1508</v>
      </c>
      <c r="R391" s="32" t="s">
        <v>1673</v>
      </c>
      <c r="S391" s="37" t="n">
        <f aca="false">IFERROR(INDEX('Injectable Value'!$Z$28:$Z$178,MATCH($C391,'Injectable Value'!$A$28:$A$178,0)),"")</f>
        <v>1</v>
      </c>
      <c r="T391" s="18" t="n">
        <f aca="false">IFERROR(ROUND(INDEX('Injectable Value'!$AA$28:$AA$178,MATCH($C391,'Injectable Value'!$A$28:$A$178,0)),1),"")</f>
        <v>1874.6</v>
      </c>
      <c r="U391" s="16" t="s">
        <v>998</v>
      </c>
      <c r="V391" s="15" t="n">
        <v>9</v>
      </c>
      <c r="W391" s="15" t="s">
        <v>331</v>
      </c>
      <c r="X391" s="15" t="s">
        <v>248</v>
      </c>
      <c r="Y391" s="15" t="s">
        <v>249</v>
      </c>
      <c r="Z391" s="16" t="str">
        <f aca="false">IFERROR(INDEX(Scoring!$K:$K,MATCH($C391&amp;"|"&amp;$E391,Scoring!$U:$U,0)),"")</f>
        <v>Cancer drug (cytotoxic) – less relevant</v>
      </c>
      <c r="AA391" s="15" t="str">
        <f aca="false">IFERROR(INDEX(Scoring!$Q:$Q,MATCH($C391&amp;"|"&amp;$E391,Scoring!$U:$U,0)),"")</f>
        <v>Excluded – IV only</v>
      </c>
      <c r="AB391" s="15" t="str">
        <f aca="false">IFERROR(INDEX(Scoring!$AK:$AK,MATCH($C391&amp;"|"&amp;$E391,Scoring!$U:$U,0)),"")</f>
        <v>Excluded – IV only</v>
      </c>
      <c r="AC391" s="18" t="n">
        <f aca="false">IFERROR(INDEX(Scoring!$M:$M,MATCH($C391&amp;"|"&amp;$E391,Scoring!$U:$U,0)),"")</f>
        <v>42</v>
      </c>
      <c r="AD391" s="15" t="str">
        <f aca="false">IFERROR(INDEX('Route of Administration'!$C$5:$C$155,MATCH($C391,'Route of Administration'!$A$5:$A$155,0)),"")</f>
        <v>IV</v>
      </c>
      <c r="AE391" s="14" t="str">
        <f aca="false">IFERROR(INDEX('Route of Administration'!$D$5:$D$155,MATCH($C391,'Route of Administration'!$A$5:$A$155,0)),"")</f>
        <v>No</v>
      </c>
    </row>
    <row r="392" customFormat="false" ht="28.35" hidden="false" customHeight="false" outlineLevel="0" collapsed="false">
      <c r="B392" s="15" t="n">
        <v>390</v>
      </c>
      <c r="C392" s="15" t="s">
        <v>774</v>
      </c>
      <c r="D392" s="15" t="s">
        <v>2268</v>
      </c>
      <c r="E392" s="15" t="s">
        <v>894</v>
      </c>
      <c r="F392" s="15" t="s">
        <v>2011</v>
      </c>
      <c r="G392" s="16" t="s">
        <v>1989</v>
      </c>
      <c r="H392" s="15" t="s">
        <v>1505</v>
      </c>
      <c r="I392" s="17" t="n">
        <v>7.2659</v>
      </c>
      <c r="J392" s="15" t="n">
        <v>31</v>
      </c>
      <c r="K392" s="15" t="n">
        <v>3168</v>
      </c>
      <c r="L392" s="18" t="n">
        <v>130453.11</v>
      </c>
      <c r="M392" s="16" t="s">
        <v>775</v>
      </c>
      <c r="N392" s="17" t="n">
        <v>7.2659</v>
      </c>
      <c r="O392" s="15" t="s">
        <v>1506</v>
      </c>
      <c r="P392" s="15" t="s">
        <v>1507</v>
      </c>
      <c r="Q392" s="16" t="s">
        <v>1508</v>
      </c>
      <c r="R392" s="32" t="s">
        <v>1673</v>
      </c>
      <c r="S392" s="37" t="n">
        <f aca="false">IFERROR(INDEX('Injectable Value'!$Z$28:$Z$178,MATCH($C392,'Injectable Value'!$A$28:$A$178,0)),"")</f>
        <v>0.103608949323645</v>
      </c>
      <c r="T392" s="18" t="n">
        <f aca="false">IFERROR(ROUND(INDEX('Injectable Value'!$AA$28:$AA$178,MATCH($C392,'Injectable Value'!$A$28:$A$178,0)),1),"")</f>
        <v>13516.1</v>
      </c>
      <c r="U392" s="16" t="s">
        <v>1002</v>
      </c>
      <c r="V392" s="15" t="n">
        <v>6</v>
      </c>
      <c r="W392" s="15" t="s">
        <v>1000</v>
      </c>
      <c r="X392" s="15" t="s">
        <v>248</v>
      </c>
      <c r="Y392" s="15" t="s">
        <v>299</v>
      </c>
      <c r="Z392" s="16" t="str">
        <f aca="false">IFERROR(INDEX(Scoring!$K:$K,MATCH($C392&amp;"|"&amp;$E392,Scoring!$U:$U,0)),"")</f>
        <v>Reconstitution</v>
      </c>
      <c r="AA392" s="15" t="str">
        <f aca="false">IFERROR(INDEX(Scoring!$Q:$Q,MATCH($C392&amp;"|"&amp;$E392,Scoring!$U:$U,0)),"")</f>
        <v>Excluded – IV only</v>
      </c>
      <c r="AB392" s="15" t="str">
        <f aca="false">IFERROR(INDEX(Scoring!$AK:$AK,MATCH($C392&amp;"|"&amp;$E392,Scoring!$U:$U,0)),"")</f>
        <v>Excluded – IV only</v>
      </c>
      <c r="AC392" s="18" t="n">
        <f aca="false">IFERROR(INDEX(Scoring!$M:$M,MATCH($C392&amp;"|"&amp;$E392,Scoring!$U:$U,0)),"")</f>
        <v>328</v>
      </c>
      <c r="AD392" s="15" t="str">
        <f aca="false">IFERROR(INDEX('Route of Administration'!$C$5:$C$155,MATCH($C392,'Route of Administration'!$A$5:$A$155,0)),"")</f>
        <v>IV</v>
      </c>
      <c r="AE392" s="14" t="str">
        <f aca="false">IFERROR(INDEX('Route of Administration'!$D$5:$D$155,MATCH($C392,'Route of Administration'!$A$5:$A$155,0)),"")</f>
        <v>No</v>
      </c>
    </row>
    <row r="393" customFormat="false" ht="28.35" hidden="false" customHeight="false" outlineLevel="0" collapsed="false">
      <c r="B393" s="15" t="n">
        <v>391</v>
      </c>
      <c r="C393" s="15" t="s">
        <v>401</v>
      </c>
      <c r="D393" s="15" t="s">
        <v>1003</v>
      </c>
      <c r="E393" s="15" t="s">
        <v>894</v>
      </c>
      <c r="F393" s="15" t="s">
        <v>1703</v>
      </c>
      <c r="G393" s="16" t="s">
        <v>2269</v>
      </c>
      <c r="H393" s="15" t="s">
        <v>1505</v>
      </c>
      <c r="I393" s="17" t="n">
        <v>6.0681</v>
      </c>
      <c r="J393" s="15" t="n">
        <v>20</v>
      </c>
      <c r="K393" s="15" t="n">
        <v>347</v>
      </c>
      <c r="L393" s="18" t="n">
        <v>18803.98</v>
      </c>
      <c r="M393" s="16" t="s">
        <v>402</v>
      </c>
      <c r="N393" s="17" t="n">
        <v>6.0681</v>
      </c>
      <c r="O393" s="15" t="s">
        <v>1506</v>
      </c>
      <c r="P393" s="15" t="s">
        <v>1533</v>
      </c>
      <c r="Q393" s="16" t="s">
        <v>1508</v>
      </c>
      <c r="R393" s="32" t="s">
        <v>2270</v>
      </c>
      <c r="S393" s="37" t="n">
        <f aca="false">IFERROR(INDEX('Injectable Value'!$Z$28:$Z$178,MATCH($C393,'Injectable Value'!$A$28:$A$178,0)),"")</f>
        <v>0.334376150165624</v>
      </c>
      <c r="T393" s="18" t="n">
        <f aca="false">IFERROR(ROUND(INDEX('Injectable Value'!$AA$28:$AA$178,MATCH($C393,'Injectable Value'!$A$28:$A$178,0)),1),"")</f>
        <v>6287.6</v>
      </c>
      <c r="U393" s="16" t="s">
        <v>881</v>
      </c>
      <c r="V393" s="15" t="n">
        <v>1</v>
      </c>
      <c r="W393" s="15" t="s">
        <v>881</v>
      </c>
      <c r="X393" s="15" t="s">
        <v>248</v>
      </c>
      <c r="Y393" s="15" t="s">
        <v>299</v>
      </c>
      <c r="Z393" s="16" t="str">
        <f aca="false">IFERROR(INDEX(Scoring!$K:$K,MATCH($C393&amp;"|"&amp;$E393,Scoring!$U:$U,0)),"")</f>
        <v>Reconstitution</v>
      </c>
      <c r="AA393" s="15" t="str">
        <f aca="false">IFERROR(INDEX(Scoring!$Q:$Q,MATCH($C393&amp;"|"&amp;$E393,Scoring!$U:$U,0)),"")</f>
        <v>Priority 3</v>
      </c>
      <c r="AB393" s="15" t="str">
        <f aca="false">IFERROR(INDEX(Scoring!$AK:$AK,MATCH($C393&amp;"|"&amp;$E393,Scoring!$U:$U,0)),"")</f>
        <v>Priority 2</v>
      </c>
      <c r="AC393" s="18" t="n">
        <f aca="false">IFERROR(INDEX(Scoring!$M:$M,MATCH($C393&amp;"|"&amp;$E393,Scoring!$U:$U,0)),"")</f>
        <v>116</v>
      </c>
      <c r="AD393" s="15" t="str">
        <f aca="false">IFERROR(INDEX('Route of Administration'!$C$5:$C$155,MATCH($C393,'Route of Administration'!$A$5:$A$155,0)),"")</f>
        <v>IV, IM (also intra-articular, intrapleural)</v>
      </c>
      <c r="AE393" s="14" t="str">
        <f aca="false">IFERROR(INDEX('Route of Administration'!$D$5:$D$155,MATCH($C393,'Route of Administration'!$A$5:$A$155,0)),"")</f>
        <v>Yes</v>
      </c>
    </row>
    <row r="394" customFormat="false" ht="68.65" hidden="false" customHeight="false" outlineLevel="0" collapsed="false">
      <c r="B394" s="15" t="n">
        <v>392</v>
      </c>
      <c r="C394" s="15" t="s">
        <v>1004</v>
      </c>
      <c r="D394" s="15" t="s">
        <v>2271</v>
      </c>
      <c r="E394" s="15" t="s">
        <v>894</v>
      </c>
      <c r="F394" s="15" t="s">
        <v>2272</v>
      </c>
      <c r="G394" s="16" t="s">
        <v>1966</v>
      </c>
      <c r="H394" s="15" t="s">
        <v>1505</v>
      </c>
      <c r="I394" s="17" t="n">
        <v>129.159</v>
      </c>
      <c r="J394" s="15" t="n">
        <v>30</v>
      </c>
      <c r="K394" s="15" t="n">
        <v>120</v>
      </c>
      <c r="L394" s="18" t="n">
        <v>5234.47</v>
      </c>
      <c r="M394" s="16" t="s">
        <v>1005</v>
      </c>
      <c r="N394" s="17" t="n">
        <v>129.159</v>
      </c>
      <c r="O394" s="15" t="s">
        <v>1506</v>
      </c>
      <c r="P394" s="15" t="s">
        <v>1672</v>
      </c>
      <c r="Q394" s="16" t="s">
        <v>1508</v>
      </c>
      <c r="R394" s="32" t="s">
        <v>1673</v>
      </c>
      <c r="S394" s="37" t="n">
        <f aca="false">IFERROR(INDEX('Injectable Value'!$Z$28:$Z$178,MATCH($C394,'Injectable Value'!$A$28:$A$178,0)),"")</f>
        <v>0.833333333333333</v>
      </c>
      <c r="T394" s="18" t="n">
        <f aca="false">IFERROR(ROUND(INDEX('Injectable Value'!$AA$28:$AA$178,MATCH($C394,'Injectable Value'!$A$28:$A$178,0)),1),"")</f>
        <v>4362.1</v>
      </c>
      <c r="U394" s="16" t="s">
        <v>1009</v>
      </c>
      <c r="V394" s="15" t="n">
        <v>23</v>
      </c>
      <c r="W394" s="15" t="s">
        <v>298</v>
      </c>
      <c r="X394" s="15" t="s">
        <v>248</v>
      </c>
      <c r="Y394" s="15" t="s">
        <v>249</v>
      </c>
      <c r="Z394" s="16" t="str">
        <f aca="false">IFERROR(INDEX(Scoring!$K:$K,MATCH($C394&amp;"|"&amp;$E394,Scoring!$U:$U,0)),"")</f>
        <v>Cancer drug (cytotoxic) – less relevant</v>
      </c>
      <c r="AA394" s="15" t="str">
        <f aca="false">IFERROR(INDEX(Scoring!$Q:$Q,MATCH($C394&amp;"|"&amp;$E394,Scoring!$U:$U,0)),"")</f>
        <v>Excluded – IV only</v>
      </c>
      <c r="AB394" s="15" t="str">
        <f aca="false">IFERROR(INDEX(Scoring!$AK:$AK,MATCH($C394&amp;"|"&amp;$E394,Scoring!$U:$U,0)),"")</f>
        <v>Excluded – IV only</v>
      </c>
      <c r="AC394" s="18" t="n">
        <f aca="false">IFERROR(INDEX(Scoring!$M:$M,MATCH($C394&amp;"|"&amp;$E394,Scoring!$U:$U,0)),"")</f>
        <v>100</v>
      </c>
      <c r="AD394" s="15" t="str">
        <f aca="false">IFERROR(INDEX('Route of Administration'!$C$5:$C$155,MATCH($C394,'Route of Administration'!$A$5:$A$155,0)),"")</f>
        <v>IV</v>
      </c>
      <c r="AE394" s="14" t="str">
        <f aca="false">IFERROR(INDEX('Route of Administration'!$D$5:$D$155,MATCH($C394,'Route of Administration'!$A$5:$A$155,0)),"")</f>
        <v>No</v>
      </c>
    </row>
    <row r="395" customFormat="false" ht="82.05" hidden="false" customHeight="false" outlineLevel="0" collapsed="false">
      <c r="B395" s="15" t="n">
        <v>393</v>
      </c>
      <c r="C395" s="15" t="s">
        <v>262</v>
      </c>
      <c r="D395" s="15" t="s">
        <v>2273</v>
      </c>
      <c r="E395" s="15" t="s">
        <v>894</v>
      </c>
      <c r="F395" s="15" t="s">
        <v>1698</v>
      </c>
      <c r="G395" s="16" t="s">
        <v>1699</v>
      </c>
      <c r="H395" s="15" t="s">
        <v>1512</v>
      </c>
      <c r="I395" s="17" t="n">
        <v>531.8684</v>
      </c>
      <c r="J395" s="15" t="n">
        <v>31</v>
      </c>
      <c r="K395" s="15" t="n">
        <v>146</v>
      </c>
      <c r="L395" s="18" t="n">
        <v>11366.06</v>
      </c>
      <c r="M395" s="16" t="s">
        <v>263</v>
      </c>
      <c r="N395" s="17" t="n">
        <v>531.8684</v>
      </c>
      <c r="O395" s="15" t="s">
        <v>1506</v>
      </c>
      <c r="P395" s="15" t="s">
        <v>1672</v>
      </c>
      <c r="Q395" s="16" t="s">
        <v>1508</v>
      </c>
      <c r="R395" s="32" t="s">
        <v>1673</v>
      </c>
      <c r="S395" s="37" t="n">
        <f aca="false">IFERROR(INDEX('Injectable Value'!$Z$28:$Z$178,MATCH($C395,'Injectable Value'!$A$28:$A$178,0)),"")</f>
        <v>1</v>
      </c>
      <c r="T395" s="18" t="n">
        <f aca="false">IFERROR(ROUND(INDEX('Injectable Value'!$AA$28:$AA$178,MATCH($C395,'Injectable Value'!$A$28:$A$178,0)),1),"")</f>
        <v>11366.1</v>
      </c>
      <c r="U395" s="16" t="s">
        <v>1015</v>
      </c>
      <c r="V395" s="15" t="n">
        <v>30</v>
      </c>
      <c r="W395" s="15" t="s">
        <v>307</v>
      </c>
      <c r="X395" s="15" t="s">
        <v>258</v>
      </c>
      <c r="Y395" s="15" t="s">
        <v>249</v>
      </c>
      <c r="Z395" s="16" t="str">
        <f aca="false">IFERROR(INDEX(Scoring!$K:$K,MATCH($C395&amp;"|"&amp;$E395,Scoring!$U:$U,0)),"")</f>
        <v>Prefilled only</v>
      </c>
      <c r="AA395" s="15" t="str">
        <f aca="false">IFERROR(INDEX(Scoring!$Q:$Q,MATCH($C395&amp;"|"&amp;$E395,Scoring!$U:$U,0)),"")</f>
        <v>Priority 1</v>
      </c>
      <c r="AB395" s="15" t="str">
        <f aca="false">IFERROR(INDEX(Scoring!$AK:$AK,MATCH($C395&amp;"|"&amp;$E395,Scoring!$U:$U,0)),"")</f>
        <v>Priority 2</v>
      </c>
      <c r="AC395" s="18" t="n">
        <f aca="false">IFERROR(INDEX(Scoring!$M:$M,MATCH($C395&amp;"|"&amp;$E395,Scoring!$U:$U,0)),"")</f>
        <v>146</v>
      </c>
      <c r="AD395" s="15" t="str">
        <f aca="false">IFERROR(INDEX('Route of Administration'!$C$5:$C$155,MATCH($C395,'Route of Administration'!$A$5:$A$155,0)),"")</f>
        <v>IM</v>
      </c>
      <c r="AE395" s="14" t="str">
        <f aca="false">IFERROR(INDEX('Route of Administration'!$D$5:$D$155,MATCH($C395,'Route of Administration'!$A$5:$A$155,0)),"")</f>
        <v>Yes</v>
      </c>
    </row>
    <row r="396" customFormat="false" ht="28.35" hidden="false" customHeight="false" outlineLevel="0" collapsed="false">
      <c r="B396" s="15" t="n">
        <v>394</v>
      </c>
      <c r="C396" s="15" t="s">
        <v>1021</v>
      </c>
      <c r="D396" s="15" t="s">
        <v>1024</v>
      </c>
      <c r="E396" s="15" t="s">
        <v>894</v>
      </c>
      <c r="F396" s="15" t="s">
        <v>2274</v>
      </c>
      <c r="G396" s="16" t="s">
        <v>2275</v>
      </c>
      <c r="H396" s="15" t="s">
        <v>1505</v>
      </c>
      <c r="I396" s="17" t="n">
        <v>9.831</v>
      </c>
      <c r="J396" s="15" t="n">
        <v>17</v>
      </c>
      <c r="K396" s="15" t="n">
        <v>32</v>
      </c>
      <c r="L396" s="18" t="n">
        <v>457.96</v>
      </c>
      <c r="M396" s="16" t="s">
        <v>1022</v>
      </c>
      <c r="N396" s="17" t="n">
        <v>9.831</v>
      </c>
      <c r="O396" s="15" t="s">
        <v>1506</v>
      </c>
      <c r="P396" s="15" t="s">
        <v>1533</v>
      </c>
      <c r="Q396" s="16" t="s">
        <v>1508</v>
      </c>
      <c r="R396" s="32" t="s">
        <v>2276</v>
      </c>
      <c r="S396" s="37" t="n">
        <f aca="false">IFERROR(INDEX('Injectable Value'!$Z$28:$Z$178,MATCH($C396,'Injectable Value'!$A$28:$A$178,0)),"")</f>
        <v>0.689259259259259</v>
      </c>
      <c r="T396" s="18" t="n">
        <f aca="false">IFERROR(ROUND(INDEX('Injectable Value'!$AA$28:$AA$178,MATCH($C396,'Injectable Value'!$A$28:$A$178,0)),1),"")</f>
        <v>315.7</v>
      </c>
      <c r="U396" s="16" t="s">
        <v>881</v>
      </c>
      <c r="V396" s="15" t="n">
        <v>1</v>
      </c>
      <c r="W396" s="15" t="s">
        <v>881</v>
      </c>
      <c r="X396" s="15" t="s">
        <v>277</v>
      </c>
      <c r="Y396" s="15" t="s">
        <v>249</v>
      </c>
      <c r="Z396" s="16" t="str">
        <f aca="false">IFERROR(INDEX(Scoring!$K:$K,MATCH($C396&amp;"|"&amp;$E396,Scoring!$U:$U,0)),"")</f>
        <v/>
      </c>
      <c r="AA396" s="15" t="str">
        <f aca="false">IFERROR(INDEX(Scoring!$Q:$Q,MATCH($C396&amp;"|"&amp;$E396,Scoring!$U:$U,0)),"")</f>
        <v>Priority 3</v>
      </c>
      <c r="AB396" s="15" t="str">
        <f aca="false">IFERROR(INDEX(Scoring!$AK:$AK,MATCH($C396&amp;"|"&amp;$E396,Scoring!$U:$U,0)),"")</f>
        <v>Priority 3</v>
      </c>
      <c r="AC396" s="18" t="n">
        <f aca="false">IFERROR(INDEX(Scoring!$M:$M,MATCH($C396&amp;"|"&amp;$E396,Scoring!$U:$U,0)),"")</f>
        <v>22</v>
      </c>
      <c r="AD396" s="15" t="str">
        <f aca="false">IFERROR(INDEX('Route of Administration'!$C$5:$C$155,MATCH($C396,'Route of Administration'!$A$5:$A$155,0)),"")</f>
        <v>IV, IM, SC</v>
      </c>
      <c r="AE396" s="14" t="str">
        <f aca="false">IFERROR(INDEX('Route of Administration'!$D$5:$D$155,MATCH($C396,'Route of Administration'!$A$5:$A$155,0)),"")</f>
        <v>Yes</v>
      </c>
    </row>
    <row r="397" customFormat="false" ht="82.05" hidden="false" customHeight="false" outlineLevel="0" collapsed="false">
      <c r="B397" s="15" t="n">
        <v>395</v>
      </c>
      <c r="C397" s="15" t="s">
        <v>434</v>
      </c>
      <c r="D397" s="15" t="s">
        <v>2171</v>
      </c>
      <c r="E397" s="15" t="s">
        <v>894</v>
      </c>
      <c r="F397" s="15" t="s">
        <v>2277</v>
      </c>
      <c r="G397" s="16" t="s">
        <v>2278</v>
      </c>
      <c r="H397" s="15" t="s">
        <v>1512</v>
      </c>
      <c r="I397" s="17" t="n">
        <v>93.8126</v>
      </c>
      <c r="J397" s="15" t="n">
        <v>29</v>
      </c>
      <c r="K397" s="15" t="n">
        <v>116</v>
      </c>
      <c r="L397" s="18" t="n">
        <v>1162.12</v>
      </c>
      <c r="M397" s="16" t="s">
        <v>435</v>
      </c>
      <c r="N397" s="17" t="n">
        <v>93.8126</v>
      </c>
      <c r="O397" s="15" t="s">
        <v>1506</v>
      </c>
      <c r="P397" s="15" t="s">
        <v>1672</v>
      </c>
      <c r="Q397" s="16" t="s">
        <v>1508</v>
      </c>
      <c r="R397" s="32" t="s">
        <v>1673</v>
      </c>
      <c r="S397" s="37" t="n">
        <f aca="false">IFERROR(INDEX('Injectable Value'!$Z$28:$Z$178,MATCH($C397,'Injectable Value'!$A$28:$A$178,0)),"")</f>
        <v>0.444974105461394</v>
      </c>
      <c r="T397" s="18" t="n">
        <f aca="false">IFERROR(ROUND(INDEX('Injectable Value'!$AA$28:$AA$178,MATCH($C397,'Injectable Value'!$A$28:$A$178,0)),1),"")</f>
        <v>517.1</v>
      </c>
      <c r="U397" s="16" t="s">
        <v>1027</v>
      </c>
      <c r="V397" s="15" t="n">
        <v>32</v>
      </c>
      <c r="W397" s="15" t="s">
        <v>1025</v>
      </c>
      <c r="X397" s="15" t="s">
        <v>258</v>
      </c>
      <c r="Y397" s="15" t="s">
        <v>249</v>
      </c>
      <c r="Z397" s="16" t="str">
        <f aca="false">IFERROR(INDEX(Scoring!$K:$K,MATCH($C397&amp;"|"&amp;$E397,Scoring!$U:$U,0)),"")</f>
        <v>Prefilled only</v>
      </c>
      <c r="AA397" s="15" t="str">
        <f aca="false">IFERROR(INDEX(Scoring!$Q:$Q,MATCH($C397&amp;"|"&amp;$E397,Scoring!$U:$U,0)),"")</f>
        <v>Excluded – IV only</v>
      </c>
      <c r="AB397" s="15" t="str">
        <f aca="false">IFERROR(INDEX(Scoring!$AK:$AK,MATCH($C397&amp;"|"&amp;$E397,Scoring!$U:$U,0)),"")</f>
        <v>Excluded – IV only</v>
      </c>
      <c r="AC397" s="18" t="n">
        <f aca="false">IFERROR(INDEX(Scoring!$M:$M,MATCH($C397&amp;"|"&amp;$E397,Scoring!$U:$U,0)),"")</f>
        <v>52</v>
      </c>
      <c r="AD397" s="15" t="str">
        <f aca="false">IFERROR(INDEX('Route of Administration'!$C$5:$C$155,MATCH($C397,'Route of Administration'!$A$5:$A$155,0)),"")</f>
        <v>IV</v>
      </c>
      <c r="AE397" s="14" t="str">
        <f aca="false">IFERROR(INDEX('Route of Administration'!$D$5:$D$155,MATCH($C397,'Route of Administration'!$A$5:$A$155,0)),"")</f>
        <v>No</v>
      </c>
    </row>
    <row r="398" customFormat="false" ht="28.35" hidden="false" customHeight="false" outlineLevel="0" collapsed="false">
      <c r="B398" s="15" t="n">
        <v>396</v>
      </c>
      <c r="C398" s="15" t="s">
        <v>1029</v>
      </c>
      <c r="D398" s="15" t="s">
        <v>1033</v>
      </c>
      <c r="E398" s="15" t="s">
        <v>894</v>
      </c>
      <c r="F398" s="15" t="s">
        <v>2279</v>
      </c>
      <c r="G398" s="16" t="s">
        <v>1691</v>
      </c>
      <c r="H398" s="15" t="s">
        <v>1505</v>
      </c>
      <c r="I398" s="17" t="n">
        <v>149.0357</v>
      </c>
      <c r="J398" s="15" t="n">
        <v>27</v>
      </c>
      <c r="K398" s="15" t="n">
        <v>40</v>
      </c>
      <c r="L398" s="18" t="n">
        <v>2015.78</v>
      </c>
      <c r="M398" s="16" t="s">
        <v>1030</v>
      </c>
      <c r="N398" s="17" t="n">
        <v>149.0357</v>
      </c>
      <c r="O398" s="15" t="s">
        <v>1506</v>
      </c>
      <c r="P398" s="15" t="s">
        <v>1533</v>
      </c>
      <c r="Q398" s="16" t="s">
        <v>1508</v>
      </c>
      <c r="R398" s="32" t="s">
        <v>1673</v>
      </c>
      <c r="S398" s="37" t="n">
        <f aca="false">IFERROR(INDEX('Injectable Value'!$Z$28:$Z$178,MATCH($C398,'Injectable Value'!$A$28:$A$178,0)),"")</f>
        <v>0.922757475083057</v>
      </c>
      <c r="T398" s="18" t="n">
        <f aca="false">IFERROR(ROUND(INDEX('Injectable Value'!$AA$28:$AA$178,MATCH($C398,'Injectable Value'!$A$28:$A$178,0)),1),"")</f>
        <v>1860.1</v>
      </c>
      <c r="U398" s="16" t="s">
        <v>1034</v>
      </c>
      <c r="V398" s="15" t="n">
        <v>5</v>
      </c>
      <c r="W398" s="15" t="s">
        <v>1031</v>
      </c>
      <c r="X398" s="15" t="s">
        <v>248</v>
      </c>
      <c r="Y398" s="15" t="s">
        <v>249</v>
      </c>
      <c r="Z398" s="16" t="str">
        <f aca="false">IFERROR(INDEX(Scoring!$K:$K,MATCH($C398&amp;"|"&amp;$E398,Scoring!$U:$U,0)),"")</f>
        <v>Cancer drug (cytotoxic) – less relevant</v>
      </c>
      <c r="AA398" s="15" t="str">
        <f aca="false">IFERROR(INDEX(Scoring!$Q:$Q,MATCH($C398&amp;"|"&amp;$E398,Scoring!$U:$U,0)),"")</f>
        <v>Excluded – IV only</v>
      </c>
      <c r="AB398" s="15" t="str">
        <f aca="false">IFERROR(INDEX(Scoring!$AK:$AK,MATCH($C398&amp;"|"&amp;$E398,Scoring!$U:$U,0)),"")</f>
        <v>Excluded – IV only</v>
      </c>
      <c r="AC398" s="18" t="n">
        <f aca="false">IFERROR(INDEX(Scoring!$M:$M,MATCH($C398&amp;"|"&amp;$E398,Scoring!$U:$U,0)),"")</f>
        <v>37</v>
      </c>
      <c r="AD398" s="15" t="str">
        <f aca="false">IFERROR(INDEX('Route of Administration'!$C$5:$C$155,MATCH($C398,'Route of Administration'!$A$5:$A$155,0)),"")</f>
        <v>IV</v>
      </c>
      <c r="AE398" s="14" t="str">
        <f aca="false">IFERROR(INDEX('Route of Administration'!$D$5:$D$155,MATCH($C398,'Route of Administration'!$A$5:$A$155,0)),"")</f>
        <v>No</v>
      </c>
    </row>
    <row r="399" customFormat="false" ht="28.35" hidden="false" customHeight="false" outlineLevel="0" collapsed="false">
      <c r="B399" s="15" t="n">
        <v>397</v>
      </c>
      <c r="C399" s="15" t="s">
        <v>444</v>
      </c>
      <c r="D399" s="15" t="s">
        <v>2280</v>
      </c>
      <c r="E399" s="15" t="s">
        <v>894</v>
      </c>
      <c r="F399" s="15" t="s">
        <v>1700</v>
      </c>
      <c r="G399" s="16" t="s">
        <v>1994</v>
      </c>
      <c r="H399" s="15" t="s">
        <v>1505</v>
      </c>
      <c r="I399" s="17" t="n">
        <v>147.804</v>
      </c>
      <c r="J399" s="15" t="n">
        <v>28</v>
      </c>
      <c r="K399" s="15" t="n">
        <v>257</v>
      </c>
      <c r="L399" s="18" t="n">
        <v>4183.29</v>
      </c>
      <c r="M399" s="16" t="s">
        <v>445</v>
      </c>
      <c r="N399" s="17" t="n">
        <v>147.804</v>
      </c>
      <c r="O399" s="15" t="s">
        <v>1506</v>
      </c>
      <c r="P399" s="15" t="s">
        <v>1533</v>
      </c>
      <c r="Q399" s="16" t="s">
        <v>1508</v>
      </c>
      <c r="R399" s="32" t="s">
        <v>2106</v>
      </c>
      <c r="S399" s="37" t="n">
        <f aca="false">IFERROR(INDEX('Injectable Value'!$Z$28:$Z$178,MATCH($C399,'Injectable Value'!$A$28:$A$178,0)),"")</f>
        <v>0.689888576486515</v>
      </c>
      <c r="T399" s="18" t="n">
        <f aca="false">IFERROR(ROUND(INDEX('Injectable Value'!$AA$28:$AA$178,MATCH($C399,'Injectable Value'!$A$28:$A$178,0)),1),"")</f>
        <v>2886</v>
      </c>
      <c r="U399" s="16" t="s">
        <v>740</v>
      </c>
      <c r="V399" s="15" t="n">
        <v>2</v>
      </c>
      <c r="W399" s="15" t="s">
        <v>740</v>
      </c>
      <c r="X399" s="15" t="s">
        <v>248</v>
      </c>
      <c r="Y399" s="15" t="s">
        <v>249</v>
      </c>
      <c r="Z399" s="16" t="str">
        <f aca="false">IFERROR(INDEX(Scoring!$K:$K,MATCH($C399&amp;"|"&amp;$E399,Scoring!$U:$U,0)),"")</f>
        <v>Cancer drug (cytotoxic) – less relevant; Reconstitution</v>
      </c>
      <c r="AA399" s="15" t="str">
        <f aca="false">IFERROR(INDEX(Scoring!$Q:$Q,MATCH($C399&amp;"|"&amp;$E399,Scoring!$U:$U,0)),"")</f>
        <v>Excluded – IV only</v>
      </c>
      <c r="AB399" s="15" t="str">
        <f aca="false">IFERROR(INDEX(Scoring!$AK:$AK,MATCH($C399&amp;"|"&amp;$E399,Scoring!$U:$U,0)),"")</f>
        <v>Excluded – IV only</v>
      </c>
      <c r="AC399" s="18" t="n">
        <f aca="false">IFERROR(INDEX(Scoring!$M:$M,MATCH($C399&amp;"|"&amp;$E399,Scoring!$U:$U,0)),"")</f>
        <v>177</v>
      </c>
      <c r="AD399" s="15" t="str">
        <f aca="false">IFERROR(INDEX('Route of Administration'!$C$5:$C$155,MATCH($C399,'Route of Administration'!$A$5:$A$155,0)),"")</f>
        <v>IV</v>
      </c>
      <c r="AE399" s="14" t="str">
        <f aca="false">IFERROR(INDEX('Route of Administration'!$D$5:$D$155,MATCH($C399,'Route of Administration'!$A$5:$A$155,0)),"")</f>
        <v>No</v>
      </c>
    </row>
    <row r="400" customFormat="false" ht="55.2" hidden="false" customHeight="false" outlineLevel="0" collapsed="false">
      <c r="B400" s="15" t="n">
        <v>398</v>
      </c>
      <c r="C400" s="15" t="s">
        <v>469</v>
      </c>
      <c r="D400" s="15" t="s">
        <v>2281</v>
      </c>
      <c r="E400" s="15" t="s">
        <v>894</v>
      </c>
      <c r="F400" s="15" t="s">
        <v>2282</v>
      </c>
      <c r="G400" s="16" t="s">
        <v>2283</v>
      </c>
      <c r="H400" s="15" t="s">
        <v>1505</v>
      </c>
      <c r="I400" s="17" t="n">
        <v>27.9449</v>
      </c>
      <c r="J400" s="15" t="n">
        <v>26</v>
      </c>
      <c r="K400" s="15" t="n">
        <v>544</v>
      </c>
      <c r="L400" s="18" t="n">
        <v>7654.85</v>
      </c>
      <c r="M400" s="16" t="s">
        <v>470</v>
      </c>
      <c r="N400" s="17" t="n">
        <v>27.9449</v>
      </c>
      <c r="O400" s="15" t="s">
        <v>1506</v>
      </c>
      <c r="P400" s="15" t="s">
        <v>1507</v>
      </c>
      <c r="Q400" s="16" t="s">
        <v>1508</v>
      </c>
      <c r="R400" s="32" t="s">
        <v>1673</v>
      </c>
      <c r="S400" s="37" t="n">
        <f aca="false">IFERROR(INDEX('Injectable Value'!$Z$28:$Z$178,MATCH($C400,'Injectable Value'!$A$28:$A$178,0)),"")</f>
        <v>0.882348668280872</v>
      </c>
      <c r="T400" s="18" t="n">
        <f aca="false">IFERROR(ROUND(INDEX('Injectable Value'!$AA$28:$AA$178,MATCH($C400,'Injectable Value'!$A$28:$A$178,0)),1),"")</f>
        <v>6754.2</v>
      </c>
      <c r="U400" s="16" t="s">
        <v>1059</v>
      </c>
      <c r="V400" s="15" t="n">
        <v>19</v>
      </c>
      <c r="W400" s="15" t="s">
        <v>505</v>
      </c>
      <c r="X400" s="15" t="s">
        <v>248</v>
      </c>
      <c r="Y400" s="15" t="s">
        <v>299</v>
      </c>
      <c r="Z400" s="16" t="str">
        <f aca="false">IFERROR(INDEX(Scoring!$K:$K,MATCH($C400&amp;"|"&amp;$E400,Scoring!$U:$U,0)),"")</f>
        <v>Cancer drug (cytotoxic) – less relevant; Reconstitution</v>
      </c>
      <c r="AA400" s="15" t="str">
        <f aca="false">IFERROR(INDEX(Scoring!$Q:$Q,MATCH($C400&amp;"|"&amp;$E400,Scoring!$U:$U,0)),"")</f>
        <v>Excluded – IV only</v>
      </c>
      <c r="AB400" s="15" t="str">
        <f aca="false">IFERROR(INDEX(Scoring!$AK:$AK,MATCH($C400&amp;"|"&amp;$E400,Scoring!$U:$U,0)),"")</f>
        <v>Excluded – IV only</v>
      </c>
      <c r="AC400" s="18" t="n">
        <f aca="false">IFERROR(INDEX(Scoring!$M:$M,MATCH($C400&amp;"|"&amp;$E400,Scoring!$U:$U,0)),"")</f>
        <v>480</v>
      </c>
      <c r="AD400" s="15" t="str">
        <f aca="false">IFERROR(INDEX('Route of Administration'!$C$5:$C$155,MATCH($C400,'Route of Administration'!$A$5:$A$155,0)),"")</f>
        <v>IV</v>
      </c>
      <c r="AE400" s="14" t="str">
        <f aca="false">IFERROR(INDEX('Route of Administration'!$D$5:$D$155,MATCH($C400,'Route of Administration'!$A$5:$A$155,0)),"")</f>
        <v>No</v>
      </c>
    </row>
    <row r="401" customFormat="false" ht="28.35" hidden="false" customHeight="false" outlineLevel="0" collapsed="false">
      <c r="B401" s="15" t="n">
        <v>399</v>
      </c>
      <c r="C401" s="15" t="s">
        <v>1061</v>
      </c>
      <c r="D401" s="15" t="s">
        <v>1065</v>
      </c>
      <c r="E401" s="15" t="s">
        <v>894</v>
      </c>
      <c r="F401" s="15" t="s">
        <v>1690</v>
      </c>
      <c r="G401" s="16" t="s">
        <v>1691</v>
      </c>
      <c r="H401" s="15" t="s">
        <v>1505</v>
      </c>
      <c r="I401" s="17" t="n">
        <v>122.2095</v>
      </c>
      <c r="J401" s="15" t="n">
        <v>16</v>
      </c>
      <c r="K401" s="15" t="n">
        <v>43</v>
      </c>
      <c r="L401" s="18" t="n">
        <v>693.76</v>
      </c>
      <c r="M401" s="16" t="s">
        <v>1062</v>
      </c>
      <c r="N401" s="17" t="n">
        <v>122.2095</v>
      </c>
      <c r="O401" s="15" t="s">
        <v>1506</v>
      </c>
      <c r="P401" s="15" t="s">
        <v>1533</v>
      </c>
      <c r="Q401" s="16" t="s">
        <v>1508</v>
      </c>
      <c r="R401" s="32" t="s">
        <v>1673</v>
      </c>
      <c r="S401" s="37" t="n">
        <f aca="false">IFERROR(INDEX('Injectable Value'!$Z$28:$Z$178,MATCH($C401,'Injectable Value'!$A$28:$A$178,0)),"")</f>
        <v>0.833333333333333</v>
      </c>
      <c r="T401" s="18" t="n">
        <f aca="false">IFERROR(ROUND(INDEX('Injectable Value'!$AA$28:$AA$178,MATCH($C401,'Injectable Value'!$A$28:$A$178,0)),1),"")</f>
        <v>578.1</v>
      </c>
      <c r="U401" s="16" t="s">
        <v>1066</v>
      </c>
      <c r="V401" s="15" t="n">
        <v>4</v>
      </c>
      <c r="W401" s="15" t="s">
        <v>1063</v>
      </c>
      <c r="X401" s="15" t="s">
        <v>248</v>
      </c>
      <c r="Y401" s="15" t="s">
        <v>249</v>
      </c>
      <c r="Z401" s="16" t="str">
        <f aca="false">IFERROR(INDEX(Scoring!$K:$K,MATCH($C401&amp;"|"&amp;$E401,Scoring!$U:$U,0)),"")</f>
        <v>Cancer drug (cytotoxic) – less relevant</v>
      </c>
      <c r="AA401" s="15" t="str">
        <f aca="false">IFERROR(INDEX(Scoring!$Q:$Q,MATCH($C401&amp;"|"&amp;$E401,Scoring!$U:$U,0)),"")</f>
        <v>Excluded – IV only</v>
      </c>
      <c r="AB401" s="15" t="str">
        <f aca="false">IFERROR(INDEX(Scoring!$AK:$AK,MATCH($C401&amp;"|"&amp;$E401,Scoring!$U:$U,0)),"")</f>
        <v>Excluded – IV only</v>
      </c>
      <c r="AC401" s="18" t="n">
        <f aca="false">IFERROR(INDEX(Scoring!$M:$M,MATCH($C401&amp;"|"&amp;$E401,Scoring!$U:$U,0)),"")</f>
        <v>36</v>
      </c>
      <c r="AD401" s="15" t="str">
        <f aca="false">IFERROR(INDEX('Route of Administration'!$C$5:$C$155,MATCH($C401,'Route of Administration'!$A$5:$A$155,0)),"")</f>
        <v>IV</v>
      </c>
      <c r="AE401" s="14" t="str">
        <f aca="false">IFERROR(INDEX('Route of Administration'!$D$5:$D$155,MATCH($C401,'Route of Administration'!$A$5:$A$155,0)),"")</f>
        <v>No</v>
      </c>
    </row>
    <row r="402" customFormat="false" ht="68.65" hidden="false" customHeight="false" outlineLevel="0" collapsed="false">
      <c r="B402" s="15" t="n">
        <v>400</v>
      </c>
      <c r="C402" s="15" t="s">
        <v>487</v>
      </c>
      <c r="D402" s="15" t="s">
        <v>2284</v>
      </c>
      <c r="E402" s="15" t="s">
        <v>894</v>
      </c>
      <c r="F402" s="15" t="s">
        <v>1710</v>
      </c>
      <c r="G402" s="16" t="s">
        <v>1711</v>
      </c>
      <c r="H402" s="15" t="s">
        <v>1505</v>
      </c>
      <c r="I402" s="17" t="n">
        <v>5.3223</v>
      </c>
      <c r="J402" s="15" t="n">
        <v>30</v>
      </c>
      <c r="K402" s="15" t="n">
        <v>2546</v>
      </c>
      <c r="L402" s="18" t="n">
        <v>46507.62</v>
      </c>
      <c r="M402" s="16" t="s">
        <v>488</v>
      </c>
      <c r="N402" s="17" t="n">
        <v>5.3223</v>
      </c>
      <c r="O402" s="15" t="s">
        <v>1506</v>
      </c>
      <c r="P402" s="15" t="s">
        <v>1672</v>
      </c>
      <c r="Q402" s="16" t="s">
        <v>1508</v>
      </c>
      <c r="R402" s="32" t="s">
        <v>1673</v>
      </c>
      <c r="S402" s="37" t="n">
        <f aca="false">IFERROR(INDEX('Injectable Value'!$Z$28:$Z$178,MATCH($C402,'Injectable Value'!$A$28:$A$178,0)),"")</f>
        <v>0.378228374732698</v>
      </c>
      <c r="T402" s="18" t="n">
        <f aca="false">IFERROR(ROUND(INDEX('Injectable Value'!$AA$28:$AA$178,MATCH($C402,'Injectable Value'!$A$28:$A$178,0)),1),"")</f>
        <v>17590.5</v>
      </c>
      <c r="U402" s="16" t="s">
        <v>1074</v>
      </c>
      <c r="V402" s="15" t="n">
        <v>27</v>
      </c>
      <c r="W402" s="15" t="s">
        <v>307</v>
      </c>
      <c r="X402" s="15" t="s">
        <v>316</v>
      </c>
      <c r="Y402" s="15" t="s">
        <v>249</v>
      </c>
      <c r="Z402" s="16" t="str">
        <f aca="false">IFERROR(INDEX(Scoring!$K:$K,MATCH($C402&amp;"|"&amp;$E402,Scoring!$U:$U,0)),"")</f>
        <v/>
      </c>
      <c r="AA402" s="15" t="str">
        <f aca="false">IFERROR(INDEX(Scoring!$Q:$Q,MATCH($C402&amp;"|"&amp;$E402,Scoring!$U:$U,0)),"")</f>
        <v>Priority 2</v>
      </c>
      <c r="AB402" s="15" t="str">
        <f aca="false">IFERROR(INDEX(Scoring!$AK:$AK,MATCH($C402&amp;"|"&amp;$E402,Scoring!$U:$U,0)),"")</f>
        <v>Priority 2</v>
      </c>
      <c r="AC402" s="18" t="n">
        <f aca="false">IFERROR(INDEX(Scoring!$M:$M,MATCH($C402&amp;"|"&amp;$E402,Scoring!$U:$U,0)),"")</f>
        <v>963</v>
      </c>
      <c r="AD402" s="15" t="str">
        <f aca="false">IFERROR(INDEX('Route of Administration'!$C$5:$C$155,MATCH($C402,'Route of Administration'!$A$5:$A$155,0)),"")</f>
        <v>IV, IM</v>
      </c>
      <c r="AE402" s="14" t="str">
        <f aca="false">IFERROR(INDEX('Route of Administration'!$D$5:$D$155,MATCH($C402,'Route of Administration'!$A$5:$A$155,0)),"")</f>
        <v>Yes</v>
      </c>
    </row>
    <row r="403" customFormat="false" ht="68.65" hidden="false" customHeight="false" outlineLevel="0" collapsed="false">
      <c r="B403" s="15" t="n">
        <v>401</v>
      </c>
      <c r="C403" s="15" t="s">
        <v>487</v>
      </c>
      <c r="D403" s="15" t="s">
        <v>2284</v>
      </c>
      <c r="E403" s="15" t="s">
        <v>894</v>
      </c>
      <c r="F403" s="15" t="s">
        <v>1710</v>
      </c>
      <c r="G403" s="16" t="s">
        <v>1711</v>
      </c>
      <c r="H403" s="15" t="s">
        <v>1505</v>
      </c>
      <c r="I403" s="17" t="n">
        <v>5.3223</v>
      </c>
      <c r="J403" s="15" t="n">
        <v>28</v>
      </c>
      <c r="K403" s="15" t="n">
        <v>2546</v>
      </c>
      <c r="L403" s="18" t="n">
        <v>46507.62</v>
      </c>
      <c r="M403" s="16" t="s">
        <v>488</v>
      </c>
      <c r="N403" s="17" t="n">
        <v>5.3223</v>
      </c>
      <c r="O403" s="15" t="s">
        <v>1506</v>
      </c>
      <c r="P403" s="15" t="s">
        <v>1672</v>
      </c>
      <c r="Q403" s="16" t="s">
        <v>1508</v>
      </c>
      <c r="R403" s="32" t="s">
        <v>1673</v>
      </c>
      <c r="S403" s="37" t="n">
        <f aca="false">IFERROR(INDEX('Injectable Value'!$Z$28:$Z$178,MATCH($C403,'Injectable Value'!$A$28:$A$178,0)),"")</f>
        <v>0.378228374732698</v>
      </c>
      <c r="T403" s="18" t="n">
        <f aca="false">IFERROR(ROUND(INDEX('Injectable Value'!$AA$28:$AA$178,MATCH($C403,'Injectable Value'!$A$28:$A$178,0)),1),"")</f>
        <v>17590.5</v>
      </c>
      <c r="U403" s="16" t="s">
        <v>1074</v>
      </c>
      <c r="V403" s="15" t="n">
        <v>27</v>
      </c>
      <c r="W403" s="15" t="s">
        <v>307</v>
      </c>
      <c r="X403" s="15" t="s">
        <v>316</v>
      </c>
      <c r="Y403" s="15" t="s">
        <v>249</v>
      </c>
      <c r="Z403" s="16" t="str">
        <f aca="false">IFERROR(INDEX(Scoring!$K:$K,MATCH($C403&amp;"|"&amp;$E403,Scoring!$U:$U,0)),"")</f>
        <v/>
      </c>
      <c r="AA403" s="15" t="str">
        <f aca="false">IFERROR(INDEX(Scoring!$Q:$Q,MATCH($C403&amp;"|"&amp;$E403,Scoring!$U:$U,0)),"")</f>
        <v>Priority 2</v>
      </c>
      <c r="AB403" s="15" t="str">
        <f aca="false">IFERROR(INDEX(Scoring!$AK:$AK,MATCH($C403&amp;"|"&amp;$E403,Scoring!$U:$U,0)),"")</f>
        <v>Priority 2</v>
      </c>
      <c r="AC403" s="18" t="n">
        <f aca="false">IFERROR(INDEX(Scoring!$M:$M,MATCH($C403&amp;"|"&amp;$E403,Scoring!$U:$U,0)),"")</f>
        <v>963</v>
      </c>
      <c r="AD403" s="15" t="str">
        <f aca="false">IFERROR(INDEX('Route of Administration'!$C$5:$C$155,MATCH($C403,'Route of Administration'!$A$5:$A$155,0)),"")</f>
        <v>IV, IM</v>
      </c>
      <c r="AE403" s="14" t="str">
        <f aca="false">IFERROR(INDEX('Route of Administration'!$D$5:$D$155,MATCH($C403,'Route of Administration'!$A$5:$A$155,0)),"")</f>
        <v>Yes</v>
      </c>
    </row>
    <row r="404" customFormat="false" ht="82.05" hidden="false" customHeight="false" outlineLevel="0" collapsed="false">
      <c r="B404" s="15" t="n">
        <v>402</v>
      </c>
      <c r="C404" s="15" t="s">
        <v>498</v>
      </c>
      <c r="D404" s="15" t="s">
        <v>2175</v>
      </c>
      <c r="E404" s="15" t="s">
        <v>894</v>
      </c>
      <c r="F404" s="15" t="s">
        <v>1939</v>
      </c>
      <c r="G404" s="16" t="s">
        <v>1691</v>
      </c>
      <c r="H404" s="15" t="s">
        <v>1505</v>
      </c>
      <c r="I404" s="17" t="n">
        <v>96.9427</v>
      </c>
      <c r="J404" s="15" t="n">
        <v>27</v>
      </c>
      <c r="K404" s="15" t="n">
        <v>119</v>
      </c>
      <c r="L404" s="18" t="n">
        <v>3113.83</v>
      </c>
      <c r="M404" s="16" t="s">
        <v>499</v>
      </c>
      <c r="N404" s="17" t="n">
        <v>96.9427</v>
      </c>
      <c r="O404" s="15" t="s">
        <v>1506</v>
      </c>
      <c r="P404" s="15" t="s">
        <v>1672</v>
      </c>
      <c r="Q404" s="16" t="s">
        <v>1508</v>
      </c>
      <c r="R404" s="32" t="s">
        <v>1673</v>
      </c>
      <c r="S404" s="37" t="n">
        <f aca="false">IFERROR(INDEX('Injectable Value'!$Z$28:$Z$178,MATCH($C404,'Injectable Value'!$A$28:$A$178,0)),"")</f>
        <v>0.899884259259259</v>
      </c>
      <c r="T404" s="18" t="n">
        <f aca="false">IFERROR(ROUND(INDEX('Injectable Value'!$AA$28:$AA$178,MATCH($C404,'Injectable Value'!$A$28:$A$178,0)),1),"")</f>
        <v>2802.1</v>
      </c>
      <c r="U404" s="16" t="s">
        <v>1084</v>
      </c>
      <c r="V404" s="15" t="n">
        <v>32</v>
      </c>
      <c r="W404" s="15" t="s">
        <v>423</v>
      </c>
      <c r="X404" s="15" t="s">
        <v>248</v>
      </c>
      <c r="Y404" s="15" t="s">
        <v>249</v>
      </c>
      <c r="Z404" s="16" t="str">
        <f aca="false">IFERROR(INDEX(Scoring!$K:$K,MATCH($C404&amp;"|"&amp;$E404,Scoring!$U:$U,0)),"")</f>
        <v/>
      </c>
      <c r="AA404" s="15" t="str">
        <f aca="false">IFERROR(INDEX(Scoring!$Q:$Q,MATCH($C404&amp;"|"&amp;$E404,Scoring!$U:$U,0)),"")</f>
        <v>Excluded – IV only</v>
      </c>
      <c r="AB404" s="15" t="str">
        <f aca="false">IFERROR(INDEX(Scoring!$AK:$AK,MATCH($C404&amp;"|"&amp;$E404,Scoring!$U:$U,0)),"")</f>
        <v>Excluded – IV only</v>
      </c>
      <c r="AC404" s="18" t="n">
        <f aca="false">IFERROR(INDEX(Scoring!$M:$M,MATCH($C404&amp;"|"&amp;$E404,Scoring!$U:$U,0)),"")</f>
        <v>107</v>
      </c>
      <c r="AD404" s="15" t="str">
        <f aca="false">IFERROR(INDEX('Route of Administration'!$C$5:$C$155,MATCH($C404,'Route of Administration'!$A$5:$A$155,0)),"")</f>
        <v>IV</v>
      </c>
      <c r="AE404" s="14" t="str">
        <f aca="false">IFERROR(INDEX('Route of Administration'!$D$5:$D$155,MATCH($C404,'Route of Administration'!$A$5:$A$155,0)),"")</f>
        <v>No</v>
      </c>
    </row>
    <row r="405" customFormat="false" ht="41.75" hidden="false" customHeight="false" outlineLevel="0" collapsed="false">
      <c r="B405" s="15" t="n">
        <v>403</v>
      </c>
      <c r="C405" s="15" t="s">
        <v>503</v>
      </c>
      <c r="D405" s="15" t="s">
        <v>2285</v>
      </c>
      <c r="E405" s="15" t="s">
        <v>894</v>
      </c>
      <c r="F405" s="15" t="s">
        <v>2011</v>
      </c>
      <c r="G405" s="16" t="s">
        <v>1989</v>
      </c>
      <c r="H405" s="15" t="s">
        <v>1505</v>
      </c>
      <c r="I405" s="17" t="n">
        <v>5.5596</v>
      </c>
      <c r="J405" s="15" t="n">
        <v>31</v>
      </c>
      <c r="K405" s="15" t="n">
        <v>3515</v>
      </c>
      <c r="L405" s="18" t="n">
        <v>140084.73</v>
      </c>
      <c r="M405" s="16" t="s">
        <v>504</v>
      </c>
      <c r="N405" s="17" t="n">
        <v>5.5596</v>
      </c>
      <c r="O405" s="15" t="s">
        <v>1506</v>
      </c>
      <c r="P405" s="15" t="s">
        <v>1533</v>
      </c>
      <c r="Q405" s="16" t="s">
        <v>1508</v>
      </c>
      <c r="R405" s="32" t="s">
        <v>1673</v>
      </c>
      <c r="S405" s="37" t="n">
        <f aca="false">IFERROR(INDEX('Injectable Value'!$Z$28:$Z$178,MATCH($C405,'Injectable Value'!$A$28:$A$178,0)),"")</f>
        <v>0.251824206147514</v>
      </c>
      <c r="T405" s="18" t="n">
        <f aca="false">IFERROR(ROUND(INDEX('Injectable Value'!$AA$28:$AA$178,MATCH($C405,'Injectable Value'!$A$28:$A$178,0)),1),"")</f>
        <v>35276.7</v>
      </c>
      <c r="U405" s="16" t="s">
        <v>1088</v>
      </c>
      <c r="V405" s="15" t="n">
        <v>14</v>
      </c>
      <c r="W405" s="15" t="s">
        <v>1086</v>
      </c>
      <c r="X405" s="15" t="s">
        <v>248</v>
      </c>
      <c r="Y405" s="15" t="s">
        <v>299</v>
      </c>
      <c r="Z405" s="16" t="str">
        <f aca="false">IFERROR(INDEX(Scoring!$K:$K,MATCH($C405&amp;"|"&amp;$E405,Scoring!$U:$U,0)),"")</f>
        <v>Reconstitution</v>
      </c>
      <c r="AA405" s="15" t="str">
        <f aca="false">IFERROR(INDEX(Scoring!$Q:$Q,MATCH($C405&amp;"|"&amp;$E405,Scoring!$U:$U,0)),"")</f>
        <v>Excluded – IV only</v>
      </c>
      <c r="AB405" s="15" t="str">
        <f aca="false">IFERROR(INDEX(Scoring!$AK:$AK,MATCH($C405&amp;"|"&amp;$E405,Scoring!$U:$U,0)),"")</f>
        <v>Excluded – IV only</v>
      </c>
      <c r="AC405" s="18" t="n">
        <f aca="false">IFERROR(INDEX(Scoring!$M:$M,MATCH($C405&amp;"|"&amp;$E405,Scoring!$U:$U,0)),"")</f>
        <v>885</v>
      </c>
      <c r="AD405" s="15" t="str">
        <f aca="false">IFERROR(INDEX('Route of Administration'!$C$5:$C$155,MATCH($C405,'Route of Administration'!$A$5:$A$155,0)),"")</f>
        <v>IV</v>
      </c>
      <c r="AE405" s="14" t="str">
        <f aca="false">IFERROR(INDEX('Route of Administration'!$D$5:$D$155,MATCH($C405,'Route of Administration'!$A$5:$A$155,0)),"")</f>
        <v>No</v>
      </c>
    </row>
    <row r="406" customFormat="false" ht="28.35" hidden="false" customHeight="false" outlineLevel="0" collapsed="false">
      <c r="B406" s="15" t="n">
        <v>404</v>
      </c>
      <c r="C406" s="15" t="s">
        <v>1103</v>
      </c>
      <c r="D406" s="15" t="s">
        <v>1107</v>
      </c>
      <c r="E406" s="15" t="s">
        <v>894</v>
      </c>
      <c r="F406" s="15" t="s">
        <v>2286</v>
      </c>
      <c r="G406" s="16"/>
      <c r="H406" s="15"/>
      <c r="I406" s="17"/>
      <c r="J406" s="15" t="n">
        <v>20</v>
      </c>
      <c r="K406" s="15" t="n">
        <v>627</v>
      </c>
      <c r="L406" s="18" t="n">
        <v>6050.02</v>
      </c>
      <c r="M406" s="16" t="s">
        <v>1104</v>
      </c>
      <c r="N406" s="38" t="n">
        <v>4.49</v>
      </c>
      <c r="O406" s="22" t="s">
        <v>1513</v>
      </c>
      <c r="P406" s="15" t="s">
        <v>1507</v>
      </c>
      <c r="Q406" s="16" t="s">
        <v>2287</v>
      </c>
      <c r="R406" s="32" t="s">
        <v>2288</v>
      </c>
      <c r="S406" s="37" t="n">
        <f aca="false">IFERROR(INDEX('Injectable Value'!$Z$28:$Z$178,MATCH($C406,'Injectable Value'!$A$28:$A$178,0)),"")</f>
        <v>0.332148543177955</v>
      </c>
      <c r="T406" s="18" t="n">
        <f aca="false">IFERROR(ROUND(INDEX('Injectable Value'!$AA$28:$AA$178,MATCH($C406,'Injectable Value'!$A$28:$A$178,0)),1),"")</f>
        <v>2009.5</v>
      </c>
      <c r="U406" s="16" t="s">
        <v>904</v>
      </c>
      <c r="V406" s="15" t="n">
        <v>2</v>
      </c>
      <c r="W406" s="15" t="s">
        <v>881</v>
      </c>
      <c r="X406" s="15" t="s">
        <v>277</v>
      </c>
      <c r="Y406" s="15" t="s">
        <v>249</v>
      </c>
      <c r="Z406" s="16" t="str">
        <f aca="false">IFERROR(INDEX(Scoring!$K:$K,MATCH($C406&amp;"|"&amp;$E406,Scoring!$U:$U,0)),"")</f>
        <v/>
      </c>
      <c r="AA406" s="15" t="str">
        <f aca="false">IFERROR(INDEX(Scoring!$Q:$Q,MATCH($C406&amp;"|"&amp;$E406,Scoring!$U:$U,0)),"")</f>
        <v>Excluded – price ≤ $5</v>
      </c>
      <c r="AB406" s="15" t="str">
        <f aca="false">IFERROR(INDEX(Scoring!$AK:$AK,MATCH($C406&amp;"|"&amp;$E406,Scoring!$U:$U,0)),"")</f>
        <v>Excluded – price ≤ $5</v>
      </c>
      <c r="AC406" s="18" t="n">
        <f aca="false">IFERROR(INDEX(Scoring!$M:$M,MATCH($C406&amp;"|"&amp;$E406,Scoring!$U:$U,0)),"")</f>
        <v>208</v>
      </c>
      <c r="AD406" s="15" t="str">
        <f aca="false">IFERROR(INDEX('Route of Administration'!$C$5:$C$155,MATCH($C406,'Route of Administration'!$A$5:$A$155,0)),"")</f>
        <v>IV, IM</v>
      </c>
      <c r="AE406" s="14" t="str">
        <f aca="false">IFERROR(INDEX('Route of Administration'!$D$5:$D$155,MATCH($C406,'Route of Administration'!$A$5:$A$155,0)),"")</f>
        <v>Yes</v>
      </c>
    </row>
    <row r="407" customFormat="false" ht="82.05" hidden="false" customHeight="false" outlineLevel="0" collapsed="false">
      <c r="B407" s="15" t="n">
        <v>405</v>
      </c>
      <c r="C407" s="15" t="s">
        <v>510</v>
      </c>
      <c r="D407" s="15" t="s">
        <v>2289</v>
      </c>
      <c r="E407" s="15" t="s">
        <v>894</v>
      </c>
      <c r="F407" s="15" t="s">
        <v>1713</v>
      </c>
      <c r="G407" s="16" t="s">
        <v>1659</v>
      </c>
      <c r="H407" s="15" t="s">
        <v>1505</v>
      </c>
      <c r="I407" s="17" t="n">
        <v>7322.4226</v>
      </c>
      <c r="J407" s="15" t="n">
        <v>25</v>
      </c>
      <c r="K407" s="15" t="n">
        <v>47</v>
      </c>
      <c r="L407" s="18" t="n">
        <v>7904.67</v>
      </c>
      <c r="M407" s="16" t="s">
        <v>511</v>
      </c>
      <c r="N407" s="17" t="n">
        <v>7322.4226</v>
      </c>
      <c r="O407" s="15" t="s">
        <v>1506</v>
      </c>
      <c r="P407" s="15" t="s">
        <v>1672</v>
      </c>
      <c r="Q407" s="16" t="s">
        <v>1508</v>
      </c>
      <c r="R407" s="32" t="s">
        <v>1673</v>
      </c>
      <c r="S407" s="37" t="n">
        <f aca="false">IFERROR(INDEX('Injectable Value'!$Z$28:$Z$178,MATCH($C407,'Injectable Value'!$A$28:$A$178,0)),"")</f>
        <v>1</v>
      </c>
      <c r="T407" s="18" t="n">
        <f aca="false">IFERROR(ROUND(INDEX('Injectable Value'!$AA$28:$AA$178,MATCH($C407,'Injectable Value'!$A$28:$A$178,0)),1),"")</f>
        <v>7904.7</v>
      </c>
      <c r="U407" s="16" t="s">
        <v>919</v>
      </c>
      <c r="V407" s="15" t="n">
        <v>32</v>
      </c>
      <c r="W407" s="15" t="s">
        <v>423</v>
      </c>
      <c r="X407" s="15" t="s">
        <v>248</v>
      </c>
      <c r="Y407" s="15" t="s">
        <v>249</v>
      </c>
      <c r="Z407" s="16" t="str">
        <f aca="false">IFERROR(INDEX(Scoring!$K:$K,MATCH($C407&amp;"|"&amp;$E407,Scoring!$U:$U,0)),"")</f>
        <v/>
      </c>
      <c r="AA407" s="15" t="str">
        <f aca="false">IFERROR(INDEX(Scoring!$Q:$Q,MATCH($C407&amp;"|"&amp;$E407,Scoring!$U:$U,0)),"")</f>
        <v>Priority 2</v>
      </c>
      <c r="AB407" s="15" t="str">
        <f aca="false">IFERROR(INDEX(Scoring!$AK:$AK,MATCH($C407&amp;"|"&amp;$E407,Scoring!$U:$U,0)),"")</f>
        <v>Priority 2</v>
      </c>
      <c r="AC407" s="18" t="n">
        <f aca="false">IFERROR(INDEX(Scoring!$M:$M,MATCH($C407&amp;"|"&amp;$E407,Scoring!$U:$U,0)),"")</f>
        <v>47</v>
      </c>
      <c r="AD407" s="15" t="str">
        <f aca="false">IFERROR(INDEX('Route of Administration'!$C$5:$C$155,MATCH($C407,'Route of Administration'!$A$5:$A$155,0)),"")</f>
        <v>SC</v>
      </c>
      <c r="AE407" s="14" t="str">
        <f aca="false">IFERROR(INDEX('Route of Administration'!$D$5:$D$155,MATCH($C407,'Route of Administration'!$A$5:$A$155,0)),"")</f>
        <v>Yes</v>
      </c>
    </row>
    <row r="408" customFormat="false" ht="41.75" hidden="false" customHeight="false" outlineLevel="0" collapsed="false">
      <c r="B408" s="15" t="n">
        <v>406</v>
      </c>
      <c r="C408" s="15" t="s">
        <v>880</v>
      </c>
      <c r="D408" s="15" t="s">
        <v>1117</v>
      </c>
      <c r="E408" s="15" t="s">
        <v>894</v>
      </c>
      <c r="F408" s="15" t="s">
        <v>2110</v>
      </c>
      <c r="G408" s="16" t="s">
        <v>2290</v>
      </c>
      <c r="H408" s="15" t="s">
        <v>1505</v>
      </c>
      <c r="I408" s="17" t="n">
        <v>5.0963</v>
      </c>
      <c r="J408" s="15" t="n">
        <v>30</v>
      </c>
      <c r="K408" s="15" t="n">
        <v>264</v>
      </c>
      <c r="L408" s="18" t="n">
        <v>20408.58</v>
      </c>
      <c r="M408" s="16" t="s">
        <v>564</v>
      </c>
      <c r="N408" s="17" t="n">
        <v>5.0963</v>
      </c>
      <c r="O408" s="15" t="s">
        <v>1506</v>
      </c>
      <c r="P408" s="15" t="s">
        <v>1507</v>
      </c>
      <c r="Q408" s="16" t="s">
        <v>1508</v>
      </c>
      <c r="R408" s="32" t="s">
        <v>1673</v>
      </c>
      <c r="S408" s="37" t="n">
        <f aca="false">IFERROR(INDEX('Injectable Value'!$Z$28:$Z$178,MATCH($C408,'Injectable Value'!$A$28:$A$178,0)),"")</f>
        <v>0.989010989010989</v>
      </c>
      <c r="T408" s="18" t="n">
        <f aca="false">IFERROR(ROUND(INDEX('Injectable Value'!$AA$28:$AA$178,MATCH($C408,'Injectable Value'!$A$28:$A$178,0)),1),"")</f>
        <v>20184.3</v>
      </c>
      <c r="U408" s="16" t="s">
        <v>1118</v>
      </c>
      <c r="V408" s="15" t="n">
        <v>12</v>
      </c>
      <c r="W408" s="15" t="s">
        <v>315</v>
      </c>
      <c r="X408" s="15" t="s">
        <v>316</v>
      </c>
      <c r="Y408" s="15" t="s">
        <v>249</v>
      </c>
      <c r="Z408" s="16" t="str">
        <f aca="false">IFERROR(INDEX(Scoring!$K:$K,MATCH($C408&amp;"|"&amp;$E408,Scoring!$U:$U,0)),"")</f>
        <v/>
      </c>
      <c r="AA408" s="15" t="str">
        <f aca="false">IFERROR(INDEX(Scoring!$Q:$Q,MATCH($C408&amp;"|"&amp;$E408,Scoring!$U:$U,0)),"")</f>
        <v>Excluded – IV only</v>
      </c>
      <c r="AB408" s="15" t="str">
        <f aca="false">IFERROR(INDEX(Scoring!$AK:$AK,MATCH($C408&amp;"|"&amp;$E408,Scoring!$U:$U,0)),"")</f>
        <v>Excluded – IV only</v>
      </c>
      <c r="AC408" s="18" t="n">
        <f aca="false">IFERROR(INDEX(Scoring!$M:$M,MATCH($C408&amp;"|"&amp;$E408,Scoring!$U:$U,0)),"")</f>
        <v>261</v>
      </c>
      <c r="AD408" s="15" t="str">
        <f aca="false">IFERROR(INDEX('Route of Administration'!$C$5:$C$155,MATCH($C408,'Route of Administration'!$A$5:$A$155,0)),"")</f>
        <v>IV</v>
      </c>
      <c r="AE408" s="14" t="str">
        <f aca="false">IFERROR(INDEX('Route of Administration'!$D$5:$D$155,MATCH($C408,'Route of Administration'!$A$5:$A$155,0)),"")</f>
        <v>No</v>
      </c>
    </row>
    <row r="409" customFormat="false" ht="55.2" hidden="false" customHeight="false" outlineLevel="0" collapsed="false">
      <c r="B409" s="15" t="n">
        <v>407</v>
      </c>
      <c r="C409" s="15" t="s">
        <v>635</v>
      </c>
      <c r="D409" s="15" t="s">
        <v>2291</v>
      </c>
      <c r="E409" s="15" t="s">
        <v>894</v>
      </c>
      <c r="F409" s="15" t="s">
        <v>1940</v>
      </c>
      <c r="G409" s="16" t="s">
        <v>1855</v>
      </c>
      <c r="H409" s="15" t="s">
        <v>1505</v>
      </c>
      <c r="I409" s="17" t="n">
        <v>92.0498</v>
      </c>
      <c r="J409" s="15" t="n">
        <v>31</v>
      </c>
      <c r="K409" s="15" t="n">
        <v>346</v>
      </c>
      <c r="L409" s="18" t="n">
        <v>32830.17</v>
      </c>
      <c r="M409" s="16" t="s">
        <v>636</v>
      </c>
      <c r="N409" s="17" t="n">
        <v>92.0498</v>
      </c>
      <c r="O409" s="15" t="s">
        <v>1506</v>
      </c>
      <c r="P409" s="15" t="s">
        <v>1672</v>
      </c>
      <c r="Q409" s="16" t="s">
        <v>1508</v>
      </c>
      <c r="R409" s="32" t="s">
        <v>1673</v>
      </c>
      <c r="S409" s="37" t="n">
        <f aca="false">IFERROR(INDEX('Injectable Value'!$Z$28:$Z$178,MATCH($C409,'Injectable Value'!$A$28:$A$178,0)),"")</f>
        <v>1</v>
      </c>
      <c r="T409" s="18" t="n">
        <f aca="false">IFERROR(ROUND(INDEX('Injectable Value'!$AA$28:$AA$178,MATCH($C409,'Injectable Value'!$A$28:$A$178,0)),1),"")</f>
        <v>32830.2</v>
      </c>
      <c r="U409" s="16" t="s">
        <v>1124</v>
      </c>
      <c r="V409" s="15" t="n">
        <v>21</v>
      </c>
      <c r="W409" s="15" t="s">
        <v>939</v>
      </c>
      <c r="X409" s="15" t="s">
        <v>248</v>
      </c>
      <c r="Y409" s="15" t="s">
        <v>249</v>
      </c>
      <c r="Z409" s="16" t="str">
        <f aca="false">IFERROR(INDEX(Scoring!$K:$K,MATCH($C409&amp;"|"&amp;$E409,Scoring!$U:$U,0)),"")</f>
        <v/>
      </c>
      <c r="AA409" s="15" t="str">
        <f aca="false">IFERROR(INDEX(Scoring!$Q:$Q,MATCH($C409&amp;"|"&amp;$E409,Scoring!$U:$U,0)),"")</f>
        <v>Excluded – IV only</v>
      </c>
      <c r="AB409" s="15" t="str">
        <f aca="false">IFERROR(INDEX(Scoring!$AK:$AK,MATCH($C409&amp;"|"&amp;$E409,Scoring!$U:$U,0)),"")</f>
        <v>Excluded – IV only</v>
      </c>
      <c r="AC409" s="18" t="n">
        <f aca="false">IFERROR(INDEX(Scoring!$M:$M,MATCH($C409&amp;"|"&amp;$E409,Scoring!$U:$U,0)),"")</f>
        <v>346</v>
      </c>
      <c r="AD409" s="15" t="str">
        <f aca="false">IFERROR(INDEX('Route of Administration'!$C$5:$C$155,MATCH($C409,'Route of Administration'!$A$5:$A$155,0)),"")</f>
        <v>IV</v>
      </c>
      <c r="AE409" s="14" t="str">
        <f aca="false">IFERROR(INDEX('Route of Administration'!$D$5:$D$155,MATCH($C409,'Route of Administration'!$A$5:$A$155,0)),"")</f>
        <v>No</v>
      </c>
    </row>
    <row r="410" customFormat="false" ht="28.35" hidden="false" customHeight="false" outlineLevel="0" collapsed="false">
      <c r="B410" s="15" t="n">
        <v>408</v>
      </c>
      <c r="C410" s="15" t="s">
        <v>641</v>
      </c>
      <c r="D410" s="15" t="s">
        <v>1127</v>
      </c>
      <c r="E410" s="15" t="s">
        <v>894</v>
      </c>
      <c r="F410" s="15" t="s">
        <v>2292</v>
      </c>
      <c r="G410" s="16" t="s">
        <v>2293</v>
      </c>
      <c r="H410" s="15" t="s">
        <v>1505</v>
      </c>
      <c r="I410" s="17" t="n">
        <v>35.2673</v>
      </c>
      <c r="J410" s="15" t="n">
        <v>26</v>
      </c>
      <c r="K410" s="15" t="n">
        <v>106</v>
      </c>
      <c r="L410" s="18" t="n">
        <v>7074.72</v>
      </c>
      <c r="M410" s="16" t="s">
        <v>642</v>
      </c>
      <c r="N410" s="17" t="n">
        <v>35.2673</v>
      </c>
      <c r="O410" s="15" t="s">
        <v>1506</v>
      </c>
      <c r="P410" s="15" t="s">
        <v>1533</v>
      </c>
      <c r="Q410" s="16" t="s">
        <v>1508</v>
      </c>
      <c r="R410" s="32" t="s">
        <v>1687</v>
      </c>
      <c r="S410" s="37" t="n">
        <f aca="false">IFERROR(INDEX('Injectable Value'!$Z$28:$Z$178,MATCH($C410,'Injectable Value'!$A$28:$A$178,0)),"")</f>
        <v>0.9375</v>
      </c>
      <c r="T410" s="18" t="n">
        <f aca="false">IFERROR(ROUND(INDEX('Injectable Value'!$AA$28:$AA$178,MATCH($C410,'Injectable Value'!$A$28:$A$178,0)),1),"")</f>
        <v>6632.6</v>
      </c>
      <c r="U410" s="16" t="s">
        <v>1128</v>
      </c>
      <c r="V410" s="15" t="n">
        <v>3</v>
      </c>
      <c r="W410" s="15" t="s">
        <v>70</v>
      </c>
      <c r="X410" s="15" t="s">
        <v>248</v>
      </c>
      <c r="Y410" s="15" t="s">
        <v>299</v>
      </c>
      <c r="Z410" s="16" t="str">
        <f aca="false">IFERROR(INDEX(Scoring!$K:$K,MATCH($C410&amp;"|"&amp;$E410,Scoring!$U:$U,0)),"")</f>
        <v>Reconstitution</v>
      </c>
      <c r="AA410" s="15" t="str">
        <f aca="false">IFERROR(INDEX(Scoring!$Q:$Q,MATCH($C410&amp;"|"&amp;$E410,Scoring!$U:$U,0)),"")</f>
        <v>Priority 2</v>
      </c>
      <c r="AB410" s="15" t="str">
        <f aca="false">IFERROR(INDEX(Scoring!$AK:$AK,MATCH($C410&amp;"|"&amp;$E410,Scoring!$U:$U,0)),"")</f>
        <v>Priority 2</v>
      </c>
      <c r="AC410" s="18" t="n">
        <f aca="false">IFERROR(INDEX(Scoring!$M:$M,MATCH($C410&amp;"|"&amp;$E410,Scoring!$U:$U,0)),"")</f>
        <v>99</v>
      </c>
      <c r="AD410" s="15" t="str">
        <f aca="false">IFERROR(INDEX('Route of Administration'!$C$5:$C$155,MATCH($C410,'Route of Administration'!$A$5:$A$155,0)),"")</f>
        <v>IV, IM</v>
      </c>
      <c r="AE410" s="14" t="str">
        <f aca="false">IFERROR(INDEX('Route of Administration'!$D$5:$D$155,MATCH($C410,'Route of Administration'!$A$5:$A$155,0)),"")</f>
        <v>Yes</v>
      </c>
    </row>
    <row r="411" customFormat="false" ht="55.2" hidden="false" customHeight="false" outlineLevel="0" collapsed="false">
      <c r="B411" s="15" t="n">
        <v>409</v>
      </c>
      <c r="C411" s="15" t="s">
        <v>573</v>
      </c>
      <c r="D411" s="15" t="s">
        <v>2294</v>
      </c>
      <c r="E411" s="15" t="s">
        <v>894</v>
      </c>
      <c r="F411" s="15" t="s">
        <v>2110</v>
      </c>
      <c r="G411" s="16" t="s">
        <v>1691</v>
      </c>
      <c r="H411" s="15" t="s">
        <v>1505</v>
      </c>
      <c r="I411" s="17" t="n">
        <v>113.7345</v>
      </c>
      <c r="J411" s="15" t="n">
        <v>29</v>
      </c>
      <c r="K411" s="15" t="n">
        <v>93</v>
      </c>
      <c r="L411" s="18" t="n">
        <v>528.18</v>
      </c>
      <c r="M411" s="16" t="s">
        <v>574</v>
      </c>
      <c r="N411" s="17" t="n">
        <v>113.7345</v>
      </c>
      <c r="O411" s="15" t="s">
        <v>1506</v>
      </c>
      <c r="P411" s="15" t="s">
        <v>1672</v>
      </c>
      <c r="Q411" s="16" t="s">
        <v>1508</v>
      </c>
      <c r="R411" s="32" t="s">
        <v>1673</v>
      </c>
      <c r="S411" s="37" t="n">
        <f aca="false">IFERROR(INDEX('Injectable Value'!$Z$28:$Z$178,MATCH($C411,'Injectable Value'!$A$28:$A$178,0)),"")</f>
        <v>0.571145833333333</v>
      </c>
      <c r="T411" s="18" t="n">
        <f aca="false">IFERROR(ROUND(INDEX('Injectable Value'!$AA$28:$AA$178,MATCH($C411,'Injectable Value'!$A$28:$A$178,0)),1),"")</f>
        <v>301.7</v>
      </c>
      <c r="U411" s="16" t="s">
        <v>1148</v>
      </c>
      <c r="V411" s="15" t="n">
        <v>22</v>
      </c>
      <c r="W411" s="15" t="s">
        <v>403</v>
      </c>
      <c r="X411" s="15" t="s">
        <v>248</v>
      </c>
      <c r="Y411" s="15" t="s">
        <v>249</v>
      </c>
      <c r="Z411" s="16" t="str">
        <f aca="false">IFERROR(INDEX(Scoring!$K:$K,MATCH($C411&amp;"|"&amp;$E411,Scoring!$U:$U,0)),"")</f>
        <v>Cancer drug (cytotoxic) – less relevant</v>
      </c>
      <c r="AA411" s="15" t="str">
        <f aca="false">IFERROR(INDEX(Scoring!$Q:$Q,MATCH($C411&amp;"|"&amp;$E411,Scoring!$U:$U,0)),"")</f>
        <v>Excluded – IV only</v>
      </c>
      <c r="AB411" s="15" t="str">
        <f aca="false">IFERROR(INDEX(Scoring!$AK:$AK,MATCH($C411&amp;"|"&amp;$E411,Scoring!$U:$U,0)),"")</f>
        <v>Excluded – IV only</v>
      </c>
      <c r="AC411" s="18" t="n">
        <f aca="false">IFERROR(INDEX(Scoring!$M:$M,MATCH($C411&amp;"|"&amp;$E411,Scoring!$U:$U,0)),"")</f>
        <v>53</v>
      </c>
      <c r="AD411" s="15" t="str">
        <f aca="false">IFERROR(INDEX('Route of Administration'!$C$5:$C$155,MATCH($C411,'Route of Administration'!$A$5:$A$155,0)),"")</f>
        <v>IV</v>
      </c>
      <c r="AE411" s="14" t="str">
        <f aca="false">IFERROR(INDEX('Route of Administration'!$D$5:$D$155,MATCH($C411,'Route of Administration'!$A$5:$A$155,0)),"")</f>
        <v>No</v>
      </c>
    </row>
    <row r="412" customFormat="false" ht="55.2" hidden="false" customHeight="false" outlineLevel="0" collapsed="false">
      <c r="B412" s="15" t="n">
        <v>410</v>
      </c>
      <c r="C412" s="15" t="s">
        <v>573</v>
      </c>
      <c r="D412" s="15" t="s">
        <v>2295</v>
      </c>
      <c r="E412" s="15" t="s">
        <v>894</v>
      </c>
      <c r="F412" s="15" t="s">
        <v>2110</v>
      </c>
      <c r="G412" s="16" t="s">
        <v>1691</v>
      </c>
      <c r="H412" s="15" t="s">
        <v>1505</v>
      </c>
      <c r="I412" s="17" t="n">
        <v>113.7345</v>
      </c>
      <c r="J412" s="15" t="n">
        <v>21</v>
      </c>
      <c r="K412" s="15" t="n">
        <v>93</v>
      </c>
      <c r="L412" s="18" t="n">
        <v>528.18</v>
      </c>
      <c r="M412" s="16" t="s">
        <v>574</v>
      </c>
      <c r="N412" s="17" t="n">
        <v>113.7345</v>
      </c>
      <c r="O412" s="15" t="s">
        <v>1506</v>
      </c>
      <c r="P412" s="15" t="s">
        <v>1672</v>
      </c>
      <c r="Q412" s="16" t="s">
        <v>1508</v>
      </c>
      <c r="R412" s="32" t="s">
        <v>1673</v>
      </c>
      <c r="S412" s="37" t="n">
        <f aca="false">IFERROR(INDEX('Injectable Value'!$Z$28:$Z$178,MATCH($C412,'Injectable Value'!$A$28:$A$178,0)),"")</f>
        <v>0.571145833333333</v>
      </c>
      <c r="T412" s="18" t="n">
        <f aca="false">IFERROR(ROUND(INDEX('Injectable Value'!$AA$28:$AA$178,MATCH($C412,'Injectable Value'!$A$28:$A$178,0)),1),"")</f>
        <v>301.7</v>
      </c>
      <c r="U412" s="16" t="s">
        <v>1148</v>
      </c>
      <c r="V412" s="15" t="n">
        <v>22</v>
      </c>
      <c r="W412" s="15" t="s">
        <v>403</v>
      </c>
      <c r="X412" s="15" t="s">
        <v>248</v>
      </c>
      <c r="Y412" s="15" t="s">
        <v>249</v>
      </c>
      <c r="Z412" s="16" t="str">
        <f aca="false">IFERROR(INDEX(Scoring!$K:$K,MATCH($C412&amp;"|"&amp;$E412,Scoring!$U:$U,0)),"")</f>
        <v>Cancer drug (cytotoxic) – less relevant</v>
      </c>
      <c r="AA412" s="15" t="str">
        <f aca="false">IFERROR(INDEX(Scoring!$Q:$Q,MATCH($C412&amp;"|"&amp;$E412,Scoring!$U:$U,0)),"")</f>
        <v>Excluded – IV only</v>
      </c>
      <c r="AB412" s="15" t="str">
        <f aca="false">IFERROR(INDEX(Scoring!$AK:$AK,MATCH($C412&amp;"|"&amp;$E412,Scoring!$U:$U,0)),"")</f>
        <v>Excluded – IV only</v>
      </c>
      <c r="AC412" s="18" t="n">
        <f aca="false">IFERROR(INDEX(Scoring!$M:$M,MATCH($C412&amp;"|"&amp;$E412,Scoring!$U:$U,0)),"")</f>
        <v>53</v>
      </c>
      <c r="AD412" s="15" t="str">
        <f aca="false">IFERROR(INDEX('Route of Administration'!$C$5:$C$155,MATCH($C412,'Route of Administration'!$A$5:$A$155,0)),"")</f>
        <v>IV</v>
      </c>
      <c r="AE412" s="14" t="str">
        <f aca="false">IFERROR(INDEX('Route of Administration'!$D$5:$D$155,MATCH($C412,'Route of Administration'!$A$5:$A$155,0)),"")</f>
        <v>No</v>
      </c>
    </row>
    <row r="413" customFormat="false" ht="68.65" hidden="false" customHeight="false" outlineLevel="0" collapsed="false">
      <c r="B413" s="15" t="n">
        <v>411</v>
      </c>
      <c r="C413" s="15" t="s">
        <v>266</v>
      </c>
      <c r="D413" s="15" t="s">
        <v>266</v>
      </c>
      <c r="E413" s="15" t="s">
        <v>894</v>
      </c>
      <c r="F413" s="15" t="s">
        <v>1661</v>
      </c>
      <c r="G413" s="16" t="s">
        <v>2296</v>
      </c>
      <c r="H413" s="15" t="s">
        <v>1505</v>
      </c>
      <c r="I413" s="17" t="n">
        <v>11.2</v>
      </c>
      <c r="J413" s="15" t="n">
        <v>1</v>
      </c>
      <c r="K413" s="15" t="n">
        <v>1282</v>
      </c>
      <c r="L413" s="18" t="n">
        <v>16792.84</v>
      </c>
      <c r="M413" s="16" t="s">
        <v>267</v>
      </c>
      <c r="N413" s="17" t="n">
        <v>11.2</v>
      </c>
      <c r="O413" s="15" t="s">
        <v>1506</v>
      </c>
      <c r="P413" s="15" t="s">
        <v>1672</v>
      </c>
      <c r="Q413" s="16" t="s">
        <v>1508</v>
      </c>
      <c r="R413" s="32" t="s">
        <v>1726</v>
      </c>
      <c r="S413" s="37" t="n">
        <f aca="false">IFERROR(INDEX('Injectable Value'!$Z$28:$Z$178,MATCH($C413,'Injectable Value'!$A$28:$A$178,0)),"")</f>
        <v>0.776857437207773</v>
      </c>
      <c r="T413" s="18" t="n">
        <f aca="false">IFERROR(ROUND(INDEX('Injectable Value'!$AA$28:$AA$178,MATCH($C413,'Injectable Value'!$A$28:$A$178,0)),1),"")</f>
        <v>13045.6</v>
      </c>
      <c r="U413" s="16" t="s">
        <v>1047</v>
      </c>
      <c r="V413" s="15" t="n">
        <v>29</v>
      </c>
      <c r="W413" s="15" t="s">
        <v>505</v>
      </c>
      <c r="X413" s="15" t="s">
        <v>248</v>
      </c>
      <c r="Y413" s="15" t="s">
        <v>249</v>
      </c>
      <c r="Z413" s="16" t="str">
        <f aca="false">IFERROR(INDEX(Scoring!$K:$K,MATCH($C413&amp;"|"&amp;$E413,Scoring!$U:$U,0)),"")</f>
        <v>Cancer drug (cytotoxic) – less relevant</v>
      </c>
      <c r="AA413" s="15" t="str">
        <f aca="false">IFERROR(INDEX(Scoring!$Q:$Q,MATCH($C413&amp;"|"&amp;$E413,Scoring!$U:$U,0)),"")</f>
        <v>Priority 1</v>
      </c>
      <c r="AB413" s="15" t="str">
        <f aca="false">IFERROR(INDEX(Scoring!$AK:$AK,MATCH($C413&amp;"|"&amp;$E413,Scoring!$U:$U,0)),"")</f>
        <v>Priority 1</v>
      </c>
      <c r="AC413" s="18" t="n">
        <f aca="false">IFERROR(INDEX(Scoring!$M:$M,MATCH($C413&amp;"|"&amp;$E413,Scoring!$U:$U,0)),"")</f>
        <v>996</v>
      </c>
      <c r="AD413" s="15" t="str">
        <f aca="false">IFERROR(INDEX('Route of Administration'!$C$5:$C$155,MATCH($C413,'Route of Administration'!$A$5:$A$155,0)),"")</f>
        <v>IV, IM, SC</v>
      </c>
      <c r="AE413" s="14" t="str">
        <f aca="false">IFERROR(INDEX('Route of Administration'!$D$5:$D$155,MATCH($C413,'Route of Administration'!$A$5:$A$155,0)),"")</f>
        <v>Yes</v>
      </c>
    </row>
    <row r="414" customFormat="false" ht="95.5" hidden="false" customHeight="false" outlineLevel="0" collapsed="false">
      <c r="B414" s="15" t="n">
        <v>412</v>
      </c>
      <c r="C414" s="15" t="s">
        <v>362</v>
      </c>
      <c r="D414" s="15" t="s">
        <v>362</v>
      </c>
      <c r="E414" s="15" t="s">
        <v>894</v>
      </c>
      <c r="F414" s="15" t="s">
        <v>1667</v>
      </c>
      <c r="G414" s="16" t="s">
        <v>2297</v>
      </c>
      <c r="H414" s="15" t="s">
        <v>1505</v>
      </c>
      <c r="I414" s="17" t="n">
        <v>35</v>
      </c>
      <c r="J414" s="15" t="n">
        <v>1</v>
      </c>
      <c r="K414" s="15" t="n">
        <v>1644</v>
      </c>
      <c r="L414" s="18" t="n">
        <v>41889.23</v>
      </c>
      <c r="M414" s="16" t="s">
        <v>363</v>
      </c>
      <c r="N414" s="17" t="n">
        <v>35</v>
      </c>
      <c r="O414" s="15" t="s">
        <v>1506</v>
      </c>
      <c r="P414" s="15" t="s">
        <v>1507</v>
      </c>
      <c r="Q414" s="16" t="s">
        <v>1508</v>
      </c>
      <c r="R414" s="32" t="s">
        <v>2298</v>
      </c>
      <c r="S414" s="37" t="n">
        <f aca="false">IFERROR(INDEX('Injectable Value'!$Z$28:$Z$178,MATCH($C414,'Injectable Value'!$A$28:$A$178,0)),"")</f>
        <v>0.990783410138249</v>
      </c>
      <c r="T414" s="18" t="n">
        <f aca="false">IFERROR(ROUND(INDEX('Injectable Value'!$AA$28:$AA$178,MATCH($C414,'Injectable Value'!$A$28:$A$178,0)),1),"")</f>
        <v>41503.2</v>
      </c>
      <c r="U414" s="16" t="s">
        <v>980</v>
      </c>
      <c r="V414" s="15" t="n">
        <v>34</v>
      </c>
      <c r="W414" s="15" t="s">
        <v>977</v>
      </c>
      <c r="X414" s="15" t="s">
        <v>248</v>
      </c>
      <c r="Y414" s="15" t="s">
        <v>249</v>
      </c>
      <c r="Z414" s="16" t="str">
        <f aca="false">IFERROR(INDEX(Scoring!$K:$K,MATCH($C414&amp;"|"&amp;$E414,Scoring!$U:$U,0)),"")</f>
        <v>Cancer drug (cytotoxic) – less relevant</v>
      </c>
      <c r="AA414" s="15" t="str">
        <f aca="false">IFERROR(INDEX(Scoring!$Q:$Q,MATCH($C414&amp;"|"&amp;$E414,Scoring!$U:$U,0)),"")</f>
        <v>Excluded – IV only</v>
      </c>
      <c r="AB414" s="15" t="str">
        <f aca="false">IFERROR(INDEX(Scoring!$AK:$AK,MATCH($C414&amp;"|"&amp;$E414,Scoring!$U:$U,0)),"")</f>
        <v>Excluded – IV only</v>
      </c>
      <c r="AC414" s="18" t="n">
        <f aca="false">IFERROR(INDEX(Scoring!$M:$M,MATCH($C414&amp;"|"&amp;$E414,Scoring!$U:$U,0)),"")</f>
        <v>1629</v>
      </c>
      <c r="AD414" s="15" t="str">
        <f aca="false">IFERROR(INDEX('Route of Administration'!$C$5:$C$155,MATCH($C414,'Route of Administration'!$A$5:$A$155,0)),"")</f>
        <v>IV</v>
      </c>
      <c r="AE414" s="14" t="str">
        <f aca="false">IFERROR(INDEX('Route of Administration'!$D$5:$D$155,MATCH($C414,'Route of Administration'!$A$5:$A$155,0)),"")</f>
        <v>No</v>
      </c>
    </row>
    <row r="415" customFormat="false" ht="82.05" hidden="false" customHeight="false" outlineLevel="0" collapsed="false">
      <c r="B415" s="15" t="n">
        <v>413</v>
      </c>
      <c r="C415" s="15" t="s">
        <v>1076</v>
      </c>
      <c r="D415" s="15" t="s">
        <v>1076</v>
      </c>
      <c r="E415" s="15" t="s">
        <v>894</v>
      </c>
      <c r="F415" s="15" t="s">
        <v>2299</v>
      </c>
      <c r="G415" s="16" t="s">
        <v>2300</v>
      </c>
      <c r="H415" s="15" t="s">
        <v>1505</v>
      </c>
      <c r="I415" s="17" t="n">
        <v>261.8</v>
      </c>
      <c r="J415" s="15" t="n">
        <v>1</v>
      </c>
      <c r="K415" s="15" t="n">
        <v>1289</v>
      </c>
      <c r="L415" s="18" t="n">
        <v>29883.81</v>
      </c>
      <c r="M415" s="16" t="s">
        <v>1077</v>
      </c>
      <c r="N415" s="17" t="n">
        <v>261.8</v>
      </c>
      <c r="O415" s="15" t="s">
        <v>1506</v>
      </c>
      <c r="P415" s="15" t="s">
        <v>1507</v>
      </c>
      <c r="Q415" s="16" t="s">
        <v>1508</v>
      </c>
      <c r="R415" s="32" t="s">
        <v>1734</v>
      </c>
      <c r="S415" s="37" t="n">
        <f aca="false">IFERROR(INDEX('Injectable Value'!$Z$28:$Z$178,MATCH($C415,'Injectable Value'!$A$28:$A$178,0)),"")</f>
        <v>0.901785714285714</v>
      </c>
      <c r="T415" s="18" t="n">
        <f aca="false">IFERROR(ROUND(INDEX('Injectable Value'!$AA$28:$AA$178,MATCH($C415,'Injectable Value'!$A$28:$A$178,0)),1),"")</f>
        <v>26948.8</v>
      </c>
      <c r="U415" s="16" t="s">
        <v>1080</v>
      </c>
      <c r="V415" s="15" t="n">
        <v>32</v>
      </c>
      <c r="W415" s="15" t="s">
        <v>977</v>
      </c>
      <c r="X415" s="15" t="s">
        <v>248</v>
      </c>
      <c r="Y415" s="15" t="s">
        <v>249</v>
      </c>
      <c r="Z415" s="16" t="str">
        <f aca="false">IFERROR(INDEX(Scoring!$K:$K,MATCH($C415&amp;"|"&amp;$E415,Scoring!$U:$U,0)),"")</f>
        <v>Cancer drug (cytotoxic) – less relevant</v>
      </c>
      <c r="AA415" s="15" t="str">
        <f aca="false">IFERROR(INDEX(Scoring!$Q:$Q,MATCH($C415&amp;"|"&amp;$E415,Scoring!$U:$U,0)),"")</f>
        <v>Excluded – IV only</v>
      </c>
      <c r="AB415" s="15" t="str">
        <f aca="false">IFERROR(INDEX(Scoring!$AK:$AK,MATCH($C415&amp;"|"&amp;$E415,Scoring!$U:$U,0)),"")</f>
        <v>Excluded – IV only</v>
      </c>
      <c r="AC415" s="18" t="n">
        <f aca="false">IFERROR(INDEX(Scoring!$M:$M,MATCH($C415&amp;"|"&amp;$E415,Scoring!$U:$U,0)),"")</f>
        <v>1162</v>
      </c>
      <c r="AD415" s="15" t="str">
        <f aca="false">IFERROR(INDEX('Route of Administration'!$C$5:$C$155,MATCH($C415,'Route of Administration'!$A$5:$A$155,0)),"")</f>
        <v>IV</v>
      </c>
      <c r="AE415" s="14" t="str">
        <f aca="false">IFERROR(INDEX('Route of Administration'!$D$5:$D$155,MATCH($C415,'Route of Administration'!$A$5:$A$155,0)),"")</f>
        <v>No</v>
      </c>
    </row>
    <row r="416" customFormat="false" ht="82.05" hidden="false" customHeight="false" outlineLevel="0" collapsed="false">
      <c r="B416" s="15" t="n">
        <v>414</v>
      </c>
      <c r="C416" s="15" t="s">
        <v>408</v>
      </c>
      <c r="D416" s="15" t="s">
        <v>408</v>
      </c>
      <c r="E416" s="15" t="s">
        <v>894</v>
      </c>
      <c r="F416" s="15" t="s">
        <v>2198</v>
      </c>
      <c r="G416" s="16" t="s">
        <v>2301</v>
      </c>
      <c r="H416" s="15" t="s">
        <v>1505</v>
      </c>
      <c r="I416" s="17" t="n">
        <v>112.63</v>
      </c>
      <c r="J416" s="15" t="n">
        <v>1</v>
      </c>
      <c r="K416" s="15" t="n">
        <v>727</v>
      </c>
      <c r="L416" s="18" t="n">
        <v>7496</v>
      </c>
      <c r="M416" s="16" t="s">
        <v>409</v>
      </c>
      <c r="N416" s="17" t="n">
        <v>112.63</v>
      </c>
      <c r="O416" s="15" t="s">
        <v>1506</v>
      </c>
      <c r="P416" s="15" t="s">
        <v>1507</v>
      </c>
      <c r="Q416" s="16" t="s">
        <v>1508</v>
      </c>
      <c r="R416" s="32" t="s">
        <v>2302</v>
      </c>
      <c r="S416" s="37" t="n">
        <f aca="false">IFERROR(INDEX('Injectable Value'!$Z$28:$Z$178,MATCH($C416,'Injectable Value'!$A$28:$A$178,0)),"")</f>
        <v>0.650751867180439</v>
      </c>
      <c r="T416" s="18" t="n">
        <f aca="false">IFERROR(ROUND(INDEX('Injectable Value'!$AA$28:$AA$178,MATCH($C416,'Injectable Value'!$A$28:$A$178,0)),1),"")</f>
        <v>4878</v>
      </c>
      <c r="U416" s="16" t="s">
        <v>1012</v>
      </c>
      <c r="V416" s="15" t="n">
        <v>30</v>
      </c>
      <c r="W416" s="15" t="s">
        <v>505</v>
      </c>
      <c r="X416" s="15" t="s">
        <v>248</v>
      </c>
      <c r="Y416" s="15" t="s">
        <v>1519</v>
      </c>
      <c r="Z416" s="16" t="str">
        <f aca="false">IFERROR(INDEX(Scoring!$K:$K,MATCH($C416&amp;"|"&amp;$E416,Scoring!$U:$U,0)),"")</f>
        <v>Cancer drug (cytotoxic) – less relevant</v>
      </c>
      <c r="AA416" s="15" t="str">
        <f aca="false">IFERROR(INDEX(Scoring!$Q:$Q,MATCH($C416&amp;"|"&amp;$E416,Scoring!$U:$U,0)),"")</f>
        <v>Excluded – IV only</v>
      </c>
      <c r="AB416" s="15" t="str">
        <f aca="false">IFERROR(INDEX(Scoring!$AK:$AK,MATCH($C416&amp;"|"&amp;$E416,Scoring!$U:$U,0)),"")</f>
        <v>Excluded – IV only</v>
      </c>
      <c r="AC416" s="18" t="n">
        <f aca="false">IFERROR(INDEX(Scoring!$M:$M,MATCH($C416&amp;"|"&amp;$E416,Scoring!$U:$U,0)),"")</f>
        <v>473</v>
      </c>
      <c r="AD416" s="15" t="str">
        <f aca="false">IFERROR(INDEX('Route of Administration'!$C$5:$C$155,MATCH($C416,'Route of Administration'!$A$5:$A$155,0)),"")</f>
        <v>IV</v>
      </c>
      <c r="AE416" s="14" t="str">
        <f aca="false">IFERROR(INDEX('Route of Administration'!$D$5:$D$155,MATCH($C416,'Route of Administration'!$A$5:$A$155,0)),"")</f>
        <v>No</v>
      </c>
    </row>
    <row r="417" customFormat="false" ht="68.65" hidden="false" customHeight="false" outlineLevel="0" collapsed="false">
      <c r="B417" s="15" t="n">
        <v>415</v>
      </c>
      <c r="C417" s="15" t="s">
        <v>266</v>
      </c>
      <c r="D417" s="15" t="s">
        <v>266</v>
      </c>
      <c r="E417" s="15" t="s">
        <v>894</v>
      </c>
      <c r="F417" s="15" t="s">
        <v>1661</v>
      </c>
      <c r="G417" s="16" t="s">
        <v>2303</v>
      </c>
      <c r="H417" s="15" t="s">
        <v>1505</v>
      </c>
      <c r="I417" s="17" t="n">
        <v>6.244</v>
      </c>
      <c r="J417" s="15" t="n">
        <v>1</v>
      </c>
      <c r="K417" s="15" t="n">
        <v>1282</v>
      </c>
      <c r="L417" s="18" t="n">
        <v>16792.84</v>
      </c>
      <c r="M417" s="16" t="s">
        <v>267</v>
      </c>
      <c r="N417" s="17" t="n">
        <v>6.244</v>
      </c>
      <c r="O417" s="15" t="s">
        <v>1506</v>
      </c>
      <c r="P417" s="15" t="s">
        <v>1672</v>
      </c>
      <c r="Q417" s="16" t="s">
        <v>1508</v>
      </c>
      <c r="R417" s="32" t="s">
        <v>2304</v>
      </c>
      <c r="S417" s="37" t="n">
        <f aca="false">IFERROR(INDEX('Injectable Value'!$Z$28:$Z$178,MATCH($C417,'Injectable Value'!$A$28:$A$178,0)),"")</f>
        <v>0.776857437207773</v>
      </c>
      <c r="T417" s="18" t="n">
        <f aca="false">IFERROR(ROUND(INDEX('Injectable Value'!$AA$28:$AA$178,MATCH($C417,'Injectable Value'!$A$28:$A$178,0)),1),"")</f>
        <v>13045.6</v>
      </c>
      <c r="U417" s="16" t="s">
        <v>1047</v>
      </c>
      <c r="V417" s="15" t="n">
        <v>29</v>
      </c>
      <c r="W417" s="15" t="s">
        <v>505</v>
      </c>
      <c r="X417" s="15" t="s">
        <v>248</v>
      </c>
      <c r="Y417" s="15" t="s">
        <v>249</v>
      </c>
      <c r="Z417" s="16" t="str">
        <f aca="false">IFERROR(INDEX(Scoring!$K:$K,MATCH($C417&amp;"|"&amp;$E417,Scoring!$U:$U,0)),"")</f>
        <v>Cancer drug (cytotoxic) – less relevant</v>
      </c>
      <c r="AA417" s="15" t="str">
        <f aca="false">IFERROR(INDEX(Scoring!$Q:$Q,MATCH($C417&amp;"|"&amp;$E417,Scoring!$U:$U,0)),"")</f>
        <v>Priority 1</v>
      </c>
      <c r="AB417" s="15" t="str">
        <f aca="false">IFERROR(INDEX(Scoring!$AK:$AK,MATCH($C417&amp;"|"&amp;$E417,Scoring!$U:$U,0)),"")</f>
        <v>Priority 1</v>
      </c>
      <c r="AC417" s="18" t="n">
        <f aca="false">IFERROR(INDEX(Scoring!$M:$M,MATCH($C417&amp;"|"&amp;$E417,Scoring!$U:$U,0)),"")</f>
        <v>996</v>
      </c>
      <c r="AD417" s="15" t="str">
        <f aca="false">IFERROR(INDEX('Route of Administration'!$C$5:$C$155,MATCH($C417,'Route of Administration'!$A$5:$A$155,0)),"")</f>
        <v>IV, IM, SC</v>
      </c>
      <c r="AE417" s="14" t="str">
        <f aca="false">IFERROR(INDEX('Route of Administration'!$D$5:$D$155,MATCH($C417,'Route of Administration'!$A$5:$A$155,0)),"")</f>
        <v>Yes</v>
      </c>
    </row>
    <row r="418" customFormat="false" ht="55.2" hidden="false" customHeight="false" outlineLevel="0" collapsed="false">
      <c r="B418" s="15" t="n">
        <v>416</v>
      </c>
      <c r="C418" s="15" t="s">
        <v>469</v>
      </c>
      <c r="D418" s="15" t="s">
        <v>469</v>
      </c>
      <c r="E418" s="15" t="s">
        <v>894</v>
      </c>
      <c r="F418" s="15" t="s">
        <v>2305</v>
      </c>
      <c r="G418" s="16" t="s">
        <v>2306</v>
      </c>
      <c r="H418" s="15" t="s">
        <v>1505</v>
      </c>
      <c r="I418" s="17" t="n">
        <v>264.04</v>
      </c>
      <c r="J418" s="15" t="n">
        <v>1</v>
      </c>
      <c r="K418" s="15" t="n">
        <v>544</v>
      </c>
      <c r="L418" s="18" t="n">
        <v>7654.85</v>
      </c>
      <c r="M418" s="16" t="s">
        <v>470</v>
      </c>
      <c r="N418" s="17" t="n">
        <v>264.04</v>
      </c>
      <c r="O418" s="15" t="s">
        <v>1506</v>
      </c>
      <c r="P418" s="15" t="s">
        <v>1507</v>
      </c>
      <c r="Q418" s="16" t="s">
        <v>1508</v>
      </c>
      <c r="R418" s="32" t="s">
        <v>1734</v>
      </c>
      <c r="S418" s="37" t="n">
        <f aca="false">IFERROR(INDEX('Injectable Value'!$Z$28:$Z$178,MATCH($C418,'Injectable Value'!$A$28:$A$178,0)),"")</f>
        <v>0.882348668280872</v>
      </c>
      <c r="T418" s="18" t="n">
        <f aca="false">IFERROR(ROUND(INDEX('Injectable Value'!$AA$28:$AA$178,MATCH($C418,'Injectable Value'!$A$28:$A$178,0)),1),"")</f>
        <v>6754.2</v>
      </c>
      <c r="U418" s="16" t="s">
        <v>1059</v>
      </c>
      <c r="V418" s="15" t="n">
        <v>19</v>
      </c>
      <c r="W418" s="15" t="s">
        <v>505</v>
      </c>
      <c r="X418" s="15" t="s">
        <v>248</v>
      </c>
      <c r="Y418" s="15" t="s">
        <v>277</v>
      </c>
      <c r="Z418" s="16" t="str">
        <f aca="false">IFERROR(INDEX(Scoring!$K:$K,MATCH($C418&amp;"|"&amp;$E418,Scoring!$U:$U,0)),"")</f>
        <v>Cancer drug (cytotoxic) – less relevant; Reconstitution</v>
      </c>
      <c r="AA418" s="15" t="str">
        <f aca="false">IFERROR(INDEX(Scoring!$Q:$Q,MATCH($C418&amp;"|"&amp;$E418,Scoring!$U:$U,0)),"")</f>
        <v>Excluded – IV only</v>
      </c>
      <c r="AB418" s="15" t="str">
        <f aca="false">IFERROR(INDEX(Scoring!$AK:$AK,MATCH($C418&amp;"|"&amp;$E418,Scoring!$U:$U,0)),"")</f>
        <v>Excluded – IV only</v>
      </c>
      <c r="AC418" s="18" t="n">
        <f aca="false">IFERROR(INDEX(Scoring!$M:$M,MATCH($C418&amp;"|"&amp;$E418,Scoring!$U:$U,0)),"")</f>
        <v>480</v>
      </c>
      <c r="AD418" s="15" t="str">
        <f aca="false">IFERROR(INDEX('Route of Administration'!$C$5:$C$155,MATCH($C418,'Route of Administration'!$A$5:$A$155,0)),"")</f>
        <v>IV</v>
      </c>
      <c r="AE418" s="14" t="str">
        <f aca="false">IFERROR(INDEX('Route of Administration'!$D$5:$D$155,MATCH($C418,'Route of Administration'!$A$5:$A$155,0)),"")</f>
        <v>No</v>
      </c>
    </row>
    <row r="419" customFormat="false" ht="68.65" hidden="false" customHeight="false" outlineLevel="0" collapsed="false">
      <c r="B419" s="15" t="n">
        <v>417</v>
      </c>
      <c r="C419" s="15" t="s">
        <v>266</v>
      </c>
      <c r="D419" s="15" t="s">
        <v>266</v>
      </c>
      <c r="E419" s="15" t="s">
        <v>894</v>
      </c>
      <c r="F419" s="15" t="s">
        <v>1661</v>
      </c>
      <c r="G419" s="16" t="s">
        <v>2307</v>
      </c>
      <c r="H419" s="15" t="s">
        <v>1505</v>
      </c>
      <c r="I419" s="17" t="n">
        <v>87.5</v>
      </c>
      <c r="J419" s="15" t="n">
        <v>1</v>
      </c>
      <c r="K419" s="15" t="n">
        <v>1282</v>
      </c>
      <c r="L419" s="18" t="n">
        <v>16792.84</v>
      </c>
      <c r="M419" s="16" t="s">
        <v>267</v>
      </c>
      <c r="N419" s="17" t="n">
        <v>87.5</v>
      </c>
      <c r="O419" s="15" t="s">
        <v>1506</v>
      </c>
      <c r="P419" s="15" t="s">
        <v>1672</v>
      </c>
      <c r="Q419" s="16" t="s">
        <v>1508</v>
      </c>
      <c r="R419" s="32" t="s">
        <v>1741</v>
      </c>
      <c r="S419" s="37" t="n">
        <f aca="false">IFERROR(INDEX('Injectable Value'!$Z$28:$Z$178,MATCH($C419,'Injectable Value'!$A$28:$A$178,0)),"")</f>
        <v>0.776857437207773</v>
      </c>
      <c r="T419" s="18" t="n">
        <f aca="false">IFERROR(ROUND(INDEX('Injectable Value'!$AA$28:$AA$178,MATCH($C419,'Injectable Value'!$A$28:$A$178,0)),1),"")</f>
        <v>13045.6</v>
      </c>
      <c r="U419" s="16" t="s">
        <v>1047</v>
      </c>
      <c r="V419" s="15" t="n">
        <v>29</v>
      </c>
      <c r="W419" s="15" t="s">
        <v>505</v>
      </c>
      <c r="X419" s="15" t="s">
        <v>248</v>
      </c>
      <c r="Y419" s="15" t="s">
        <v>1519</v>
      </c>
      <c r="Z419" s="16" t="str">
        <f aca="false">IFERROR(INDEX(Scoring!$K:$K,MATCH($C419&amp;"|"&amp;$E419,Scoring!$U:$U,0)),"")</f>
        <v>Cancer drug (cytotoxic) – less relevant</v>
      </c>
      <c r="AA419" s="15" t="str">
        <f aca="false">IFERROR(INDEX(Scoring!$Q:$Q,MATCH($C419&amp;"|"&amp;$E419,Scoring!$U:$U,0)),"")</f>
        <v>Priority 1</v>
      </c>
      <c r="AB419" s="15" t="str">
        <f aca="false">IFERROR(INDEX(Scoring!$AK:$AK,MATCH($C419&amp;"|"&amp;$E419,Scoring!$U:$U,0)),"")</f>
        <v>Priority 1</v>
      </c>
      <c r="AC419" s="18" t="n">
        <f aca="false">IFERROR(INDEX(Scoring!$M:$M,MATCH($C419&amp;"|"&amp;$E419,Scoring!$U:$U,0)),"")</f>
        <v>996</v>
      </c>
      <c r="AD419" s="15" t="str">
        <f aca="false">IFERROR(INDEX('Route of Administration'!$C$5:$C$155,MATCH($C419,'Route of Administration'!$A$5:$A$155,0)),"")</f>
        <v>IV, IM, SC</v>
      </c>
      <c r="AE419" s="14" t="str">
        <f aca="false">IFERROR(INDEX('Route of Administration'!$D$5:$D$155,MATCH($C419,'Route of Administration'!$A$5:$A$155,0)),"")</f>
        <v>Yes</v>
      </c>
    </row>
    <row r="420" customFormat="false" ht="68.65" hidden="false" customHeight="false" outlineLevel="0" collapsed="false">
      <c r="B420" s="15" t="n">
        <v>418</v>
      </c>
      <c r="C420" s="15" t="s">
        <v>266</v>
      </c>
      <c r="D420" s="15" t="s">
        <v>266</v>
      </c>
      <c r="E420" s="15" t="s">
        <v>894</v>
      </c>
      <c r="F420" s="15" t="s">
        <v>1661</v>
      </c>
      <c r="G420" s="16" t="s">
        <v>2308</v>
      </c>
      <c r="H420" s="15" t="s">
        <v>1505</v>
      </c>
      <c r="I420" s="17" t="n">
        <v>157.5</v>
      </c>
      <c r="J420" s="15" t="n">
        <v>1</v>
      </c>
      <c r="K420" s="15" t="n">
        <v>1282</v>
      </c>
      <c r="L420" s="18" t="n">
        <v>16792.84</v>
      </c>
      <c r="M420" s="16" t="s">
        <v>267</v>
      </c>
      <c r="N420" s="17" t="n">
        <v>157.5</v>
      </c>
      <c r="O420" s="15" t="s">
        <v>1506</v>
      </c>
      <c r="P420" s="15" t="s">
        <v>1672</v>
      </c>
      <c r="Q420" s="16" t="s">
        <v>1508</v>
      </c>
      <c r="R420" s="32" t="s">
        <v>1741</v>
      </c>
      <c r="S420" s="37" t="n">
        <f aca="false">IFERROR(INDEX('Injectable Value'!$Z$28:$Z$178,MATCH($C420,'Injectable Value'!$A$28:$A$178,0)),"")</f>
        <v>0.776857437207773</v>
      </c>
      <c r="T420" s="18" t="n">
        <f aca="false">IFERROR(ROUND(INDEX('Injectable Value'!$AA$28:$AA$178,MATCH($C420,'Injectable Value'!$A$28:$A$178,0)),1),"")</f>
        <v>13045.6</v>
      </c>
      <c r="U420" s="16" t="s">
        <v>1047</v>
      </c>
      <c r="V420" s="15" t="n">
        <v>29</v>
      </c>
      <c r="W420" s="15" t="s">
        <v>505</v>
      </c>
      <c r="X420" s="15" t="s">
        <v>248</v>
      </c>
      <c r="Y420" s="15" t="s">
        <v>1519</v>
      </c>
      <c r="Z420" s="16" t="str">
        <f aca="false">IFERROR(INDEX(Scoring!$K:$K,MATCH($C420&amp;"|"&amp;$E420,Scoring!$U:$U,0)),"")</f>
        <v>Cancer drug (cytotoxic) – less relevant</v>
      </c>
      <c r="AA420" s="15" t="str">
        <f aca="false">IFERROR(INDEX(Scoring!$Q:$Q,MATCH($C420&amp;"|"&amp;$E420,Scoring!$U:$U,0)),"")</f>
        <v>Priority 1</v>
      </c>
      <c r="AB420" s="15" t="str">
        <f aca="false">IFERROR(INDEX(Scoring!$AK:$AK,MATCH($C420&amp;"|"&amp;$E420,Scoring!$U:$U,0)),"")</f>
        <v>Priority 1</v>
      </c>
      <c r="AC420" s="18" t="n">
        <f aca="false">IFERROR(INDEX(Scoring!$M:$M,MATCH($C420&amp;"|"&amp;$E420,Scoring!$U:$U,0)),"")</f>
        <v>996</v>
      </c>
      <c r="AD420" s="15" t="str">
        <f aca="false">IFERROR(INDEX('Route of Administration'!$C$5:$C$155,MATCH($C420,'Route of Administration'!$A$5:$A$155,0)),"")</f>
        <v>IV, IM, SC</v>
      </c>
      <c r="AE420" s="14" t="str">
        <f aca="false">IFERROR(INDEX('Route of Administration'!$D$5:$D$155,MATCH($C420,'Route of Administration'!$A$5:$A$155,0)),"")</f>
        <v>Yes</v>
      </c>
    </row>
    <row r="421" customFormat="false" ht="68.65" hidden="false" customHeight="false" outlineLevel="0" collapsed="false">
      <c r="B421" s="15" t="n">
        <v>419</v>
      </c>
      <c r="C421" s="15" t="s">
        <v>266</v>
      </c>
      <c r="D421" s="15" t="s">
        <v>2309</v>
      </c>
      <c r="E421" s="15" t="s">
        <v>894</v>
      </c>
      <c r="F421" s="15" t="s">
        <v>2310</v>
      </c>
      <c r="G421" s="16" t="s">
        <v>2311</v>
      </c>
      <c r="H421" s="15" t="s">
        <v>249</v>
      </c>
      <c r="I421" s="17" t="n">
        <v>10.374</v>
      </c>
      <c r="J421" s="15" t="n">
        <v>1</v>
      </c>
      <c r="K421" s="15" t="n">
        <v>1282</v>
      </c>
      <c r="L421" s="18" t="n">
        <v>16792.84</v>
      </c>
      <c r="M421" s="16" t="s">
        <v>267</v>
      </c>
      <c r="N421" s="17" t="n">
        <v>10.374</v>
      </c>
      <c r="O421" s="15" t="s">
        <v>1506</v>
      </c>
      <c r="P421" s="15" t="s">
        <v>1672</v>
      </c>
      <c r="Q421" s="16" t="s">
        <v>1508</v>
      </c>
      <c r="R421" s="32" t="s">
        <v>2312</v>
      </c>
      <c r="S421" s="37" t="n">
        <f aca="false">IFERROR(INDEX('Injectable Value'!$Z$28:$Z$178,MATCH($C421,'Injectable Value'!$A$28:$A$178,0)),"")</f>
        <v>0.776857437207773</v>
      </c>
      <c r="T421" s="18" t="n">
        <f aca="false">IFERROR(ROUND(INDEX('Injectable Value'!$AA$28:$AA$178,MATCH($C421,'Injectable Value'!$A$28:$A$178,0)),1),"")</f>
        <v>13045.6</v>
      </c>
      <c r="U421" s="16" t="s">
        <v>1047</v>
      </c>
      <c r="V421" s="15" t="n">
        <v>29</v>
      </c>
      <c r="W421" s="15" t="s">
        <v>505</v>
      </c>
      <c r="X421" s="15" t="s">
        <v>258</v>
      </c>
      <c r="Y421" s="15" t="s">
        <v>249</v>
      </c>
      <c r="Z421" s="16" t="str">
        <f aca="false">IFERROR(INDEX(Scoring!$K:$K,MATCH($C421&amp;"|"&amp;$E421,Scoring!$U:$U,0)),"")</f>
        <v>Cancer drug (cytotoxic) – less relevant</v>
      </c>
      <c r="AA421" s="15" t="str">
        <f aca="false">IFERROR(INDEX(Scoring!$Q:$Q,MATCH($C421&amp;"|"&amp;$E421,Scoring!$U:$U,0)),"")</f>
        <v>Priority 1</v>
      </c>
      <c r="AB421" s="15" t="str">
        <f aca="false">IFERROR(INDEX(Scoring!$AK:$AK,MATCH($C421&amp;"|"&amp;$E421,Scoring!$U:$U,0)),"")</f>
        <v>Priority 1</v>
      </c>
      <c r="AC421" s="18" t="n">
        <f aca="false">IFERROR(INDEX(Scoring!$M:$M,MATCH($C421&amp;"|"&amp;$E421,Scoring!$U:$U,0)),"")</f>
        <v>996</v>
      </c>
      <c r="AD421" s="15" t="str">
        <f aca="false">IFERROR(INDEX('Route of Administration'!$C$5:$C$155,MATCH($C421,'Route of Administration'!$A$5:$A$155,0)),"")</f>
        <v>IV, IM, SC</v>
      </c>
      <c r="AE421" s="14" t="str">
        <f aca="false">IFERROR(INDEX('Route of Administration'!$D$5:$D$155,MATCH($C421,'Route of Administration'!$A$5:$A$155,0)),"")</f>
        <v>Yes</v>
      </c>
    </row>
    <row r="422" customFormat="false" ht="68.65" hidden="false" customHeight="false" outlineLevel="0" collapsed="false">
      <c r="B422" s="15" t="n">
        <v>420</v>
      </c>
      <c r="C422" s="15" t="s">
        <v>266</v>
      </c>
      <c r="D422" s="15" t="s">
        <v>2309</v>
      </c>
      <c r="E422" s="15" t="s">
        <v>894</v>
      </c>
      <c r="F422" s="15" t="s">
        <v>2313</v>
      </c>
      <c r="G422" s="16" t="s">
        <v>2314</v>
      </c>
      <c r="H422" s="15" t="s">
        <v>249</v>
      </c>
      <c r="I422" s="17" t="n">
        <v>10.92</v>
      </c>
      <c r="J422" s="15" t="n">
        <v>1</v>
      </c>
      <c r="K422" s="15" t="n">
        <v>1282</v>
      </c>
      <c r="L422" s="18" t="n">
        <v>16792.84</v>
      </c>
      <c r="M422" s="16" t="s">
        <v>267</v>
      </c>
      <c r="N422" s="17" t="n">
        <v>10.92</v>
      </c>
      <c r="O422" s="15" t="s">
        <v>1506</v>
      </c>
      <c r="P422" s="15" t="s">
        <v>1672</v>
      </c>
      <c r="Q422" s="16" t="s">
        <v>1508</v>
      </c>
      <c r="R422" s="32" t="s">
        <v>2315</v>
      </c>
      <c r="S422" s="37" t="n">
        <f aca="false">IFERROR(INDEX('Injectable Value'!$Z$28:$Z$178,MATCH($C422,'Injectable Value'!$A$28:$A$178,0)),"")</f>
        <v>0.776857437207773</v>
      </c>
      <c r="T422" s="18" t="n">
        <f aca="false">IFERROR(ROUND(INDEX('Injectable Value'!$AA$28:$AA$178,MATCH($C422,'Injectable Value'!$A$28:$A$178,0)),1),"")</f>
        <v>13045.6</v>
      </c>
      <c r="U422" s="16" t="s">
        <v>1047</v>
      </c>
      <c r="V422" s="15" t="n">
        <v>29</v>
      </c>
      <c r="W422" s="15" t="s">
        <v>505</v>
      </c>
      <c r="X422" s="15" t="s">
        <v>258</v>
      </c>
      <c r="Y422" s="15" t="s">
        <v>249</v>
      </c>
      <c r="Z422" s="16" t="str">
        <f aca="false">IFERROR(INDEX(Scoring!$K:$K,MATCH($C422&amp;"|"&amp;$E422,Scoring!$U:$U,0)),"")</f>
        <v>Cancer drug (cytotoxic) – less relevant</v>
      </c>
      <c r="AA422" s="15" t="str">
        <f aca="false">IFERROR(INDEX(Scoring!$Q:$Q,MATCH($C422&amp;"|"&amp;$E422,Scoring!$U:$U,0)),"")</f>
        <v>Priority 1</v>
      </c>
      <c r="AB422" s="15" t="str">
        <f aca="false">IFERROR(INDEX(Scoring!$AK:$AK,MATCH($C422&amp;"|"&amp;$E422,Scoring!$U:$U,0)),"")</f>
        <v>Priority 1</v>
      </c>
      <c r="AC422" s="18" t="n">
        <f aca="false">IFERROR(INDEX(Scoring!$M:$M,MATCH($C422&amp;"|"&amp;$E422,Scoring!$U:$U,0)),"")</f>
        <v>996</v>
      </c>
      <c r="AD422" s="15" t="str">
        <f aca="false">IFERROR(INDEX('Route of Administration'!$C$5:$C$155,MATCH($C422,'Route of Administration'!$A$5:$A$155,0)),"")</f>
        <v>IV, IM, SC</v>
      </c>
      <c r="AE422" s="14" t="str">
        <f aca="false">IFERROR(INDEX('Route of Administration'!$D$5:$D$155,MATCH($C422,'Route of Administration'!$A$5:$A$155,0)),"")</f>
        <v>Yes</v>
      </c>
    </row>
    <row r="423" customFormat="false" ht="82.05" hidden="false" customHeight="false" outlineLevel="0" collapsed="false">
      <c r="B423" s="15" t="n">
        <v>421</v>
      </c>
      <c r="C423" s="15" t="s">
        <v>510</v>
      </c>
      <c r="D423" s="15" t="s">
        <v>2289</v>
      </c>
      <c r="E423" s="15" t="s">
        <v>894</v>
      </c>
      <c r="F423" s="15" t="s">
        <v>1778</v>
      </c>
      <c r="G423" s="16" t="s">
        <v>1779</v>
      </c>
      <c r="H423" s="15" t="s">
        <v>1505</v>
      </c>
      <c r="I423" s="17" t="n">
        <v>559.566</v>
      </c>
      <c r="J423" s="15" t="n">
        <v>1</v>
      </c>
      <c r="K423" s="15" t="n">
        <v>47</v>
      </c>
      <c r="L423" s="18" t="n">
        <v>7904.67</v>
      </c>
      <c r="M423" s="16" t="s">
        <v>511</v>
      </c>
      <c r="N423" s="17" t="n">
        <v>559.566</v>
      </c>
      <c r="O423" s="15" t="s">
        <v>1506</v>
      </c>
      <c r="P423" s="15" t="s">
        <v>1507</v>
      </c>
      <c r="Q423" s="16" t="s">
        <v>1508</v>
      </c>
      <c r="R423" s="32" t="s">
        <v>1780</v>
      </c>
      <c r="S423" s="37" t="n">
        <f aca="false">IFERROR(INDEX('Injectable Value'!$Z$28:$Z$178,MATCH($C423,'Injectable Value'!$A$28:$A$178,0)),"")</f>
        <v>1</v>
      </c>
      <c r="T423" s="18" t="n">
        <f aca="false">IFERROR(ROUND(INDEX('Injectable Value'!$AA$28:$AA$178,MATCH($C423,'Injectable Value'!$A$28:$A$178,0)),1),"")</f>
        <v>7904.7</v>
      </c>
      <c r="U423" s="16" t="s">
        <v>919</v>
      </c>
      <c r="V423" s="15" t="n">
        <v>32</v>
      </c>
      <c r="W423" s="15" t="s">
        <v>423</v>
      </c>
      <c r="X423" s="15" t="s">
        <v>248</v>
      </c>
      <c r="Y423" s="15" t="s">
        <v>249</v>
      </c>
      <c r="Z423" s="16" t="str">
        <f aca="false">IFERROR(INDEX(Scoring!$K:$K,MATCH($C423&amp;"|"&amp;$E423,Scoring!$U:$U,0)),"")</f>
        <v/>
      </c>
      <c r="AA423" s="15" t="str">
        <f aca="false">IFERROR(INDEX(Scoring!$Q:$Q,MATCH($C423&amp;"|"&amp;$E423,Scoring!$U:$U,0)),"")</f>
        <v>Priority 2</v>
      </c>
      <c r="AB423" s="15" t="str">
        <f aca="false">IFERROR(INDEX(Scoring!$AK:$AK,MATCH($C423&amp;"|"&amp;$E423,Scoring!$U:$U,0)),"")</f>
        <v>Priority 2</v>
      </c>
      <c r="AC423" s="18" t="n">
        <f aca="false">IFERROR(INDEX(Scoring!$M:$M,MATCH($C423&amp;"|"&amp;$E423,Scoring!$U:$U,0)),"")</f>
        <v>47</v>
      </c>
      <c r="AD423" s="15" t="str">
        <f aca="false">IFERROR(INDEX('Route of Administration'!$C$5:$C$155,MATCH($C423,'Route of Administration'!$A$5:$A$155,0)),"")</f>
        <v>SC</v>
      </c>
      <c r="AE423" s="14" t="str">
        <f aca="false">IFERROR(INDEX('Route of Administration'!$D$5:$D$155,MATCH($C423,'Route of Administration'!$A$5:$A$155,0)),"")</f>
        <v>Yes</v>
      </c>
    </row>
    <row r="424" customFormat="false" ht="82.05" hidden="false" customHeight="false" outlineLevel="0" collapsed="false">
      <c r="B424" s="15" t="n">
        <v>422</v>
      </c>
      <c r="C424" s="15" t="s">
        <v>972</v>
      </c>
      <c r="D424" s="15" t="s">
        <v>2316</v>
      </c>
      <c r="E424" s="15" t="s">
        <v>894</v>
      </c>
      <c r="F424" s="15" t="s">
        <v>2317</v>
      </c>
      <c r="G424" s="16" t="s">
        <v>2318</v>
      </c>
      <c r="H424" s="15" t="s">
        <v>1505</v>
      </c>
      <c r="I424" s="17" t="n">
        <v>179.823</v>
      </c>
      <c r="J424" s="15" t="n">
        <v>1</v>
      </c>
      <c r="K424" s="15" t="n">
        <v>314</v>
      </c>
      <c r="L424" s="18" t="n">
        <v>3429.51</v>
      </c>
      <c r="M424" s="16" t="s">
        <v>973</v>
      </c>
      <c r="N424" s="17" t="n">
        <v>179.823</v>
      </c>
      <c r="O424" s="15" t="s">
        <v>1506</v>
      </c>
      <c r="P424" s="15" t="s">
        <v>1507</v>
      </c>
      <c r="Q424" s="16" t="s">
        <v>1508</v>
      </c>
      <c r="R424" s="32" t="s">
        <v>1780</v>
      </c>
      <c r="S424" s="37" t="n">
        <f aca="false">IFERROR(INDEX('Injectable Value'!$Z$28:$Z$178,MATCH($C424,'Injectable Value'!$A$28:$A$178,0)),"")</f>
        <v>1</v>
      </c>
      <c r="T424" s="18" t="n">
        <f aca="false">IFERROR(ROUND(INDEX('Injectable Value'!$AA$28:$AA$178,MATCH($C424,'Injectable Value'!$A$28:$A$178,0)),1),"")</f>
        <v>3429.5</v>
      </c>
      <c r="U424" s="16" t="s">
        <v>919</v>
      </c>
      <c r="V424" s="15" t="n">
        <v>32</v>
      </c>
      <c r="W424" s="15" t="s">
        <v>423</v>
      </c>
      <c r="X424" s="15" t="s">
        <v>248</v>
      </c>
      <c r="Y424" s="15" t="s">
        <v>249</v>
      </c>
      <c r="Z424" s="16" t="str">
        <f aca="false">IFERROR(INDEX(Scoring!$K:$K,MATCH($C424&amp;"|"&amp;$E424,Scoring!$U:$U,0)),"")</f>
        <v/>
      </c>
      <c r="AA424" s="15" t="str">
        <f aca="false">IFERROR(INDEX(Scoring!$Q:$Q,MATCH($C424&amp;"|"&amp;$E424,Scoring!$U:$U,0)),"")</f>
        <v>Priority 1</v>
      </c>
      <c r="AB424" s="15" t="str">
        <f aca="false">IFERROR(INDEX(Scoring!$AK:$AK,MATCH($C424&amp;"|"&amp;$E424,Scoring!$U:$U,0)),"")</f>
        <v>Priority 1</v>
      </c>
      <c r="AC424" s="18" t="n">
        <f aca="false">IFERROR(INDEX(Scoring!$M:$M,MATCH($C424&amp;"|"&amp;$E424,Scoring!$U:$U,0)),"")</f>
        <v>314</v>
      </c>
      <c r="AD424" s="15" t="str">
        <f aca="false">IFERROR(INDEX('Route of Administration'!$C$5:$C$155,MATCH($C424,'Route of Administration'!$A$5:$A$155,0)),"")</f>
        <v>SC</v>
      </c>
      <c r="AE424" s="14" t="str">
        <f aca="false">IFERROR(INDEX('Route of Administration'!$D$5:$D$155,MATCH($C424,'Route of Administration'!$A$5:$A$155,0)),"")</f>
        <v>Yes</v>
      </c>
    </row>
    <row r="425" customFormat="false" ht="55.2" hidden="false" customHeight="false" outlineLevel="0" collapsed="false">
      <c r="B425" s="15" t="n">
        <v>423</v>
      </c>
      <c r="C425" s="15" t="s">
        <v>584</v>
      </c>
      <c r="D425" s="15" t="s">
        <v>2319</v>
      </c>
      <c r="E425" s="15" t="s">
        <v>894</v>
      </c>
      <c r="F425" s="15" t="s">
        <v>2320</v>
      </c>
      <c r="G425" s="16" t="s">
        <v>2321</v>
      </c>
      <c r="H425" s="15" t="s">
        <v>1505</v>
      </c>
      <c r="I425" s="17" t="n">
        <v>30.583</v>
      </c>
      <c r="J425" s="15" t="n">
        <v>1</v>
      </c>
      <c r="K425" s="15" t="n">
        <v>441</v>
      </c>
      <c r="L425" s="18" t="n">
        <v>3973.65</v>
      </c>
      <c r="M425" s="16" t="s">
        <v>585</v>
      </c>
      <c r="N425" s="17" t="n">
        <v>30.583</v>
      </c>
      <c r="O425" s="15" t="s">
        <v>1506</v>
      </c>
      <c r="P425" s="15" t="s">
        <v>1507</v>
      </c>
      <c r="Q425" s="16" t="s">
        <v>1508</v>
      </c>
      <c r="R425" s="32" t="s">
        <v>1776</v>
      </c>
      <c r="S425" s="37" t="n">
        <f aca="false">IFERROR(INDEX('Injectable Value'!$Z$28:$Z$178,MATCH($C425,'Injectable Value'!$A$28:$A$178,0)),"")</f>
        <v>1</v>
      </c>
      <c r="T425" s="18" t="n">
        <f aca="false">IFERROR(ROUND(INDEX('Injectable Value'!$AA$28:$AA$178,MATCH($C425,'Injectable Value'!$A$28:$A$178,0)),1),"")</f>
        <v>3973.7</v>
      </c>
      <c r="U425" s="16" t="s">
        <v>927</v>
      </c>
      <c r="V425" s="15" t="n">
        <v>17</v>
      </c>
      <c r="W425" s="15" t="s">
        <v>298</v>
      </c>
      <c r="X425" s="15" t="s">
        <v>248</v>
      </c>
      <c r="Y425" s="15" t="s">
        <v>299</v>
      </c>
      <c r="Z425" s="16" t="str">
        <f aca="false">IFERROR(INDEX(Scoring!$K:$K,MATCH($C425&amp;"|"&amp;$E425,Scoring!$U:$U,0)),"")</f>
        <v>Cancer drug (cytotoxic) – less relevant; Reconstitution</v>
      </c>
      <c r="AA425" s="15" t="str">
        <f aca="false">IFERROR(INDEX(Scoring!$Q:$Q,MATCH($C425&amp;"|"&amp;$E425,Scoring!$U:$U,0)),"")</f>
        <v>Priority 1</v>
      </c>
      <c r="AB425" s="15" t="str">
        <f aca="false">IFERROR(INDEX(Scoring!$AK:$AK,MATCH($C425&amp;"|"&amp;$E425,Scoring!$U:$U,0)),"")</f>
        <v>Priority 1</v>
      </c>
      <c r="AC425" s="18" t="n">
        <f aca="false">IFERROR(INDEX(Scoring!$M:$M,MATCH($C425&amp;"|"&amp;$E425,Scoring!$U:$U,0)),"")</f>
        <v>441</v>
      </c>
      <c r="AD425" s="15" t="str">
        <f aca="false">IFERROR(INDEX('Route of Administration'!$C$5:$C$155,MATCH($C425,'Route of Administration'!$A$5:$A$155,0)),"")</f>
        <v>IV, IM, SC</v>
      </c>
      <c r="AE425" s="14" t="str">
        <f aca="false">IFERROR(INDEX('Route of Administration'!$D$5:$D$155,MATCH($C425,'Route of Administration'!$A$5:$A$155,0)),"")</f>
        <v>Yes</v>
      </c>
    </row>
    <row r="426" customFormat="false" ht="55.2" hidden="false" customHeight="false" outlineLevel="0" collapsed="false">
      <c r="B426" s="15" t="n">
        <v>424</v>
      </c>
      <c r="C426" s="15" t="s">
        <v>635</v>
      </c>
      <c r="D426" s="15" t="s">
        <v>2291</v>
      </c>
      <c r="E426" s="15" t="s">
        <v>894</v>
      </c>
      <c r="F426" s="15" t="s">
        <v>1817</v>
      </c>
      <c r="G426" s="16" t="s">
        <v>1818</v>
      </c>
      <c r="H426" s="15" t="s">
        <v>1505</v>
      </c>
      <c r="I426" s="17"/>
      <c r="J426" s="15" t="n">
        <v>1</v>
      </c>
      <c r="K426" s="15" t="n">
        <v>346</v>
      </c>
      <c r="L426" s="18" t="n">
        <v>32830.17</v>
      </c>
      <c r="M426" s="16" t="s">
        <v>636</v>
      </c>
      <c r="N426" s="17"/>
      <c r="O426" s="15" t="s">
        <v>1545</v>
      </c>
      <c r="P426" s="15" t="s">
        <v>70</v>
      </c>
      <c r="Q426" s="16" t="s">
        <v>70</v>
      </c>
      <c r="R426" s="15"/>
      <c r="S426" s="37" t="n">
        <f aca="false">IFERROR(INDEX('Injectable Value'!$Z$28:$Z$178,MATCH($C426,'Injectable Value'!$A$28:$A$178,0)),"")</f>
        <v>1</v>
      </c>
      <c r="T426" s="18" t="n">
        <f aca="false">IFERROR(ROUND(INDEX('Injectable Value'!$AA$28:$AA$178,MATCH($C426,'Injectable Value'!$A$28:$A$178,0)),1),"")</f>
        <v>32830.2</v>
      </c>
      <c r="U426" s="16" t="s">
        <v>1124</v>
      </c>
      <c r="V426" s="15" t="n">
        <v>21</v>
      </c>
      <c r="W426" s="15" t="s">
        <v>939</v>
      </c>
      <c r="X426" s="15" t="s">
        <v>248</v>
      </c>
      <c r="Y426" s="15" t="s">
        <v>249</v>
      </c>
      <c r="Z426" s="16" t="str">
        <f aca="false">IFERROR(INDEX(Scoring!$K:$K,MATCH($C426&amp;"|"&amp;$E426,Scoring!$U:$U,0)),"")</f>
        <v/>
      </c>
      <c r="AA426" s="15" t="str">
        <f aca="false">IFERROR(INDEX(Scoring!$Q:$Q,MATCH($C426&amp;"|"&amp;$E426,Scoring!$U:$U,0)),"")</f>
        <v>Excluded – IV only</v>
      </c>
      <c r="AB426" s="15" t="str">
        <f aca="false">IFERROR(INDEX(Scoring!$AK:$AK,MATCH($C426&amp;"|"&amp;$E426,Scoring!$U:$U,0)),"")</f>
        <v>Excluded – IV only</v>
      </c>
      <c r="AC426" s="18" t="n">
        <f aca="false">IFERROR(INDEX(Scoring!$M:$M,MATCH($C426&amp;"|"&amp;$E426,Scoring!$U:$U,0)),"")</f>
        <v>346</v>
      </c>
      <c r="AD426" s="15" t="str">
        <f aca="false">IFERROR(INDEX('Route of Administration'!$C$5:$C$155,MATCH($C426,'Route of Administration'!$A$5:$A$155,0)),"")</f>
        <v>IV</v>
      </c>
      <c r="AE426" s="14" t="str">
        <f aca="false">IFERROR(INDEX('Route of Administration'!$D$5:$D$155,MATCH($C426,'Route of Administration'!$A$5:$A$155,0)),"")</f>
        <v>No</v>
      </c>
    </row>
    <row r="427" customFormat="false" ht="55.2" hidden="false" customHeight="false" outlineLevel="0" collapsed="false">
      <c r="B427" s="15" t="n">
        <v>425</v>
      </c>
      <c r="C427" s="15" t="s">
        <v>635</v>
      </c>
      <c r="D427" s="15" t="s">
        <v>2291</v>
      </c>
      <c r="E427" s="15" t="s">
        <v>894</v>
      </c>
      <c r="F427" s="15" t="s">
        <v>1819</v>
      </c>
      <c r="G427" s="16" t="s">
        <v>1820</v>
      </c>
      <c r="H427" s="15" t="s">
        <v>1505</v>
      </c>
      <c r="I427" s="17"/>
      <c r="J427" s="15" t="n">
        <v>1</v>
      </c>
      <c r="K427" s="15" t="n">
        <v>346</v>
      </c>
      <c r="L427" s="18" t="n">
        <v>32830.17</v>
      </c>
      <c r="M427" s="16" t="s">
        <v>636</v>
      </c>
      <c r="N427" s="17"/>
      <c r="O427" s="15" t="s">
        <v>1545</v>
      </c>
      <c r="P427" s="15" t="s">
        <v>70</v>
      </c>
      <c r="Q427" s="16" t="s">
        <v>70</v>
      </c>
      <c r="R427" s="15"/>
      <c r="S427" s="37" t="n">
        <f aca="false">IFERROR(INDEX('Injectable Value'!$Z$28:$Z$178,MATCH($C427,'Injectable Value'!$A$28:$A$178,0)),"")</f>
        <v>1</v>
      </c>
      <c r="T427" s="18" t="n">
        <f aca="false">IFERROR(ROUND(INDEX('Injectable Value'!$AA$28:$AA$178,MATCH($C427,'Injectable Value'!$A$28:$A$178,0)),1),"")</f>
        <v>32830.2</v>
      </c>
      <c r="U427" s="16" t="s">
        <v>1124</v>
      </c>
      <c r="V427" s="15" t="n">
        <v>21</v>
      </c>
      <c r="W427" s="15" t="s">
        <v>939</v>
      </c>
      <c r="X427" s="15" t="s">
        <v>248</v>
      </c>
      <c r="Y427" s="15" t="s">
        <v>249</v>
      </c>
      <c r="Z427" s="16" t="str">
        <f aca="false">IFERROR(INDEX(Scoring!$K:$K,MATCH($C427&amp;"|"&amp;$E427,Scoring!$U:$U,0)),"")</f>
        <v/>
      </c>
      <c r="AA427" s="15" t="str">
        <f aca="false">IFERROR(INDEX(Scoring!$Q:$Q,MATCH($C427&amp;"|"&amp;$E427,Scoring!$U:$U,0)),"")</f>
        <v>Excluded – IV only</v>
      </c>
      <c r="AB427" s="15" t="str">
        <f aca="false">IFERROR(INDEX(Scoring!$AK:$AK,MATCH($C427&amp;"|"&amp;$E427,Scoring!$U:$U,0)),"")</f>
        <v>Excluded – IV only</v>
      </c>
      <c r="AC427" s="18" t="n">
        <f aca="false">IFERROR(INDEX(Scoring!$M:$M,MATCH($C427&amp;"|"&amp;$E427,Scoring!$U:$U,0)),"")</f>
        <v>346</v>
      </c>
      <c r="AD427" s="15" t="str">
        <f aca="false">IFERROR(INDEX('Route of Administration'!$C$5:$C$155,MATCH($C427,'Route of Administration'!$A$5:$A$155,0)),"")</f>
        <v>IV</v>
      </c>
      <c r="AE427" s="14" t="str">
        <f aca="false">IFERROR(INDEX('Route of Administration'!$D$5:$D$155,MATCH($C427,'Route of Administration'!$A$5:$A$155,0)),"")</f>
        <v>No</v>
      </c>
    </row>
    <row r="428" customFormat="false" ht="95.5" hidden="false" customHeight="false" outlineLevel="0" collapsed="false">
      <c r="B428" s="15" t="n">
        <v>426</v>
      </c>
      <c r="C428" s="15" t="s">
        <v>305</v>
      </c>
      <c r="D428" s="15" t="s">
        <v>2244</v>
      </c>
      <c r="E428" s="15" t="s">
        <v>894</v>
      </c>
      <c r="F428" s="15" t="s">
        <v>2071</v>
      </c>
      <c r="G428" s="16" t="s">
        <v>1838</v>
      </c>
      <c r="H428" s="15" t="s">
        <v>1505</v>
      </c>
      <c r="I428" s="17"/>
      <c r="J428" s="15" t="n">
        <v>1</v>
      </c>
      <c r="K428" s="15" t="n">
        <v>905</v>
      </c>
      <c r="L428" s="18" t="n">
        <v>28093.38</v>
      </c>
      <c r="M428" s="16" t="s">
        <v>306</v>
      </c>
      <c r="N428" s="17"/>
      <c r="O428" s="15" t="s">
        <v>1545</v>
      </c>
      <c r="P428" s="15" t="s">
        <v>70</v>
      </c>
      <c r="Q428" s="16" t="s">
        <v>70</v>
      </c>
      <c r="R428" s="15"/>
      <c r="S428" s="37" t="n">
        <f aca="false">IFERROR(INDEX('Injectable Value'!$Z$28:$Z$178,MATCH($C428,'Injectable Value'!$A$28:$A$178,0)),"")</f>
        <v>1</v>
      </c>
      <c r="T428" s="18" t="n">
        <f aca="false">IFERROR(ROUND(INDEX('Injectable Value'!$AA$28:$AA$178,MATCH($C428,'Injectable Value'!$A$28:$A$178,0)),1),"")</f>
        <v>28093.4</v>
      </c>
      <c r="U428" s="16" t="s">
        <v>931</v>
      </c>
      <c r="V428" s="15" t="n">
        <v>34</v>
      </c>
      <c r="W428" s="15" t="s">
        <v>298</v>
      </c>
      <c r="X428" s="15" t="s">
        <v>248</v>
      </c>
      <c r="Y428" s="15" t="s">
        <v>249</v>
      </c>
      <c r="Z428" s="16" t="str">
        <f aca="false">IFERROR(INDEX(Scoring!$K:$K,MATCH($C428&amp;"|"&amp;$E428,Scoring!$U:$U,0)),"")</f>
        <v>Cancer drug (cytotoxic) – less relevant; Reconstitution</v>
      </c>
      <c r="AA428" s="15" t="str">
        <f aca="false">IFERROR(INDEX(Scoring!$Q:$Q,MATCH($C428&amp;"|"&amp;$E428,Scoring!$U:$U,0)),"")</f>
        <v>Priority 1</v>
      </c>
      <c r="AB428" s="15" t="str">
        <f aca="false">IFERROR(INDEX(Scoring!$AK:$AK,MATCH($C428&amp;"|"&amp;$E428,Scoring!$U:$U,0)),"")</f>
        <v>Priority 1</v>
      </c>
      <c r="AC428" s="18" t="n">
        <f aca="false">IFERROR(INDEX(Scoring!$M:$M,MATCH($C428&amp;"|"&amp;$E428,Scoring!$U:$U,0)),"")</f>
        <v>905</v>
      </c>
      <c r="AD428" s="15" t="str">
        <f aca="false">IFERROR(INDEX('Route of Administration'!$C$5:$C$155,MATCH($C428,'Route of Administration'!$A$5:$A$155,0)),"")</f>
        <v>IV, SC</v>
      </c>
      <c r="AE428" s="14" t="str">
        <f aca="false">IFERROR(INDEX('Route of Administration'!$D$5:$D$155,MATCH($C428,'Route of Administration'!$A$5:$A$155,0)),"")</f>
        <v>Yes</v>
      </c>
    </row>
    <row r="429" customFormat="false" ht="95.5" hidden="false" customHeight="false" outlineLevel="0" collapsed="false">
      <c r="B429" s="15" t="n">
        <v>427</v>
      </c>
      <c r="C429" s="15" t="s">
        <v>305</v>
      </c>
      <c r="D429" s="15" t="s">
        <v>2322</v>
      </c>
      <c r="E429" s="15" t="s">
        <v>894</v>
      </c>
      <c r="F429" s="15" t="s">
        <v>2072</v>
      </c>
      <c r="G429" s="16" t="s">
        <v>2073</v>
      </c>
      <c r="H429" s="15" t="s">
        <v>1505</v>
      </c>
      <c r="I429" s="17"/>
      <c r="J429" s="15" t="n">
        <v>1</v>
      </c>
      <c r="K429" s="15" t="n">
        <v>905</v>
      </c>
      <c r="L429" s="18" t="n">
        <v>28093.38</v>
      </c>
      <c r="M429" s="16" t="s">
        <v>306</v>
      </c>
      <c r="N429" s="17"/>
      <c r="O429" s="15" t="s">
        <v>1545</v>
      </c>
      <c r="P429" s="15" t="s">
        <v>70</v>
      </c>
      <c r="Q429" s="16" t="s">
        <v>70</v>
      </c>
      <c r="R429" s="15"/>
      <c r="S429" s="37" t="n">
        <f aca="false">IFERROR(INDEX('Injectable Value'!$Z$28:$Z$178,MATCH($C429,'Injectable Value'!$A$28:$A$178,0)),"")</f>
        <v>1</v>
      </c>
      <c r="T429" s="18" t="n">
        <f aca="false">IFERROR(ROUND(INDEX('Injectable Value'!$AA$28:$AA$178,MATCH($C429,'Injectable Value'!$A$28:$A$178,0)),1),"")</f>
        <v>28093.4</v>
      </c>
      <c r="U429" s="16" t="s">
        <v>931</v>
      </c>
      <c r="V429" s="15" t="n">
        <v>34</v>
      </c>
      <c r="W429" s="15" t="s">
        <v>298</v>
      </c>
      <c r="X429" s="15" t="s">
        <v>248</v>
      </c>
      <c r="Y429" s="15" t="s">
        <v>249</v>
      </c>
      <c r="Z429" s="16" t="str">
        <f aca="false">IFERROR(INDEX(Scoring!$K:$K,MATCH($C429&amp;"|"&amp;$E429,Scoring!$U:$U,0)),"")</f>
        <v>Cancer drug (cytotoxic) – less relevant; Reconstitution</v>
      </c>
      <c r="AA429" s="15" t="str">
        <f aca="false">IFERROR(INDEX(Scoring!$Q:$Q,MATCH($C429&amp;"|"&amp;$E429,Scoring!$U:$U,0)),"")</f>
        <v>Priority 1</v>
      </c>
      <c r="AB429" s="15" t="str">
        <f aca="false">IFERROR(INDEX(Scoring!$AK:$AK,MATCH($C429&amp;"|"&amp;$E429,Scoring!$U:$U,0)),"")</f>
        <v>Priority 1</v>
      </c>
      <c r="AC429" s="18" t="n">
        <f aca="false">IFERROR(INDEX(Scoring!$M:$M,MATCH($C429&amp;"|"&amp;$E429,Scoring!$U:$U,0)),"")</f>
        <v>905</v>
      </c>
      <c r="AD429" s="15" t="str">
        <f aca="false">IFERROR(INDEX('Route of Administration'!$C$5:$C$155,MATCH($C429,'Route of Administration'!$A$5:$A$155,0)),"")</f>
        <v>IV, SC</v>
      </c>
      <c r="AE429" s="14" t="str">
        <f aca="false">IFERROR(INDEX('Route of Administration'!$D$5:$D$155,MATCH($C429,'Route of Administration'!$A$5:$A$155,0)),"")</f>
        <v>Yes</v>
      </c>
    </row>
    <row r="430" customFormat="false" ht="68.65" hidden="false" customHeight="false" outlineLevel="0" collapsed="false">
      <c r="B430" s="15" t="n">
        <v>428</v>
      </c>
      <c r="C430" s="15" t="s">
        <v>348</v>
      </c>
      <c r="D430" s="15" t="s">
        <v>2323</v>
      </c>
      <c r="E430" s="15" t="s">
        <v>894</v>
      </c>
      <c r="F430" s="15" t="s">
        <v>1757</v>
      </c>
      <c r="G430" s="16" t="s">
        <v>1758</v>
      </c>
      <c r="H430" s="15" t="s">
        <v>1505</v>
      </c>
      <c r="I430" s="17"/>
      <c r="J430" s="15" t="n">
        <v>1</v>
      </c>
      <c r="K430" s="15" t="n">
        <v>843</v>
      </c>
      <c r="L430" s="18" t="n">
        <v>4508</v>
      </c>
      <c r="M430" s="16" t="s">
        <v>349</v>
      </c>
      <c r="N430" s="17"/>
      <c r="O430" s="15" t="s">
        <v>1545</v>
      </c>
      <c r="P430" s="15" t="s">
        <v>70</v>
      </c>
      <c r="Q430" s="16" t="s">
        <v>70</v>
      </c>
      <c r="R430" s="15"/>
      <c r="S430" s="37" t="n">
        <f aca="false">IFERROR(INDEX('Injectable Value'!$Z$28:$Z$178,MATCH($C430,'Injectable Value'!$A$28:$A$178,0)),"")</f>
        <v>0.858739397335643</v>
      </c>
      <c r="T430" s="18" t="n">
        <f aca="false">IFERROR(ROUND(INDEX('Injectable Value'!$AA$28:$AA$178,MATCH($C430,'Injectable Value'!$A$28:$A$178,0)),1),"")</f>
        <v>3871.2</v>
      </c>
      <c r="U430" s="16" t="s">
        <v>952</v>
      </c>
      <c r="V430" s="15" t="n">
        <v>23</v>
      </c>
      <c r="W430" s="15" t="s">
        <v>298</v>
      </c>
      <c r="X430" s="15" t="s">
        <v>248</v>
      </c>
      <c r="Y430" s="15" t="s">
        <v>299</v>
      </c>
      <c r="Z430" s="16" t="str">
        <f aca="false">IFERROR(INDEX(Scoring!$K:$K,MATCH($C430&amp;"|"&amp;$E430,Scoring!$U:$U,0)),"")</f>
        <v>Cancer drug (cytotoxic) – less relevant; Reconstitution</v>
      </c>
      <c r="AA430" s="15" t="str">
        <f aca="false">IFERROR(INDEX(Scoring!$Q:$Q,MATCH($C430&amp;"|"&amp;$E430,Scoring!$U:$U,0)),"")</f>
        <v>Excluded – IV only</v>
      </c>
      <c r="AB430" s="15" t="str">
        <f aca="false">IFERROR(INDEX(Scoring!$AK:$AK,MATCH($C430&amp;"|"&amp;$E430,Scoring!$U:$U,0)),"")</f>
        <v>Excluded – IV only</v>
      </c>
      <c r="AC430" s="18" t="n">
        <f aca="false">IFERROR(INDEX(Scoring!$M:$M,MATCH($C430&amp;"|"&amp;$E430,Scoring!$U:$U,0)),"")</f>
        <v>724</v>
      </c>
      <c r="AD430" s="15" t="str">
        <f aca="false">IFERROR(INDEX('Route of Administration'!$C$5:$C$155,MATCH($C430,'Route of Administration'!$A$5:$A$155,0)),"")</f>
        <v>IV</v>
      </c>
      <c r="AE430" s="14" t="str">
        <f aca="false">IFERROR(INDEX('Route of Administration'!$D$5:$D$155,MATCH($C430,'Route of Administration'!$A$5:$A$155,0)),"")</f>
        <v>No</v>
      </c>
    </row>
    <row r="431" customFormat="false" ht="68.65" hidden="false" customHeight="false" outlineLevel="0" collapsed="false">
      <c r="B431" s="15" t="n">
        <v>429</v>
      </c>
      <c r="C431" s="15" t="s">
        <v>348</v>
      </c>
      <c r="D431" s="15" t="s">
        <v>2323</v>
      </c>
      <c r="E431" s="15" t="s">
        <v>894</v>
      </c>
      <c r="F431" s="15" t="s">
        <v>1761</v>
      </c>
      <c r="G431" s="16" t="s">
        <v>1762</v>
      </c>
      <c r="H431" s="15" t="s">
        <v>1505</v>
      </c>
      <c r="I431" s="17"/>
      <c r="J431" s="15" t="n">
        <v>1</v>
      </c>
      <c r="K431" s="15" t="n">
        <v>843</v>
      </c>
      <c r="L431" s="18" t="n">
        <v>4508</v>
      </c>
      <c r="M431" s="16" t="s">
        <v>349</v>
      </c>
      <c r="N431" s="17"/>
      <c r="O431" s="15" t="s">
        <v>1545</v>
      </c>
      <c r="P431" s="15" t="s">
        <v>70</v>
      </c>
      <c r="Q431" s="16" t="s">
        <v>70</v>
      </c>
      <c r="R431" s="15"/>
      <c r="S431" s="37" t="n">
        <f aca="false">IFERROR(INDEX('Injectable Value'!$Z$28:$Z$178,MATCH($C431,'Injectable Value'!$A$28:$A$178,0)),"")</f>
        <v>0.858739397335643</v>
      </c>
      <c r="T431" s="18" t="n">
        <f aca="false">IFERROR(ROUND(INDEX('Injectable Value'!$AA$28:$AA$178,MATCH($C431,'Injectable Value'!$A$28:$A$178,0)),1),"")</f>
        <v>3871.2</v>
      </c>
      <c r="U431" s="16" t="s">
        <v>952</v>
      </c>
      <c r="V431" s="15" t="n">
        <v>23</v>
      </c>
      <c r="W431" s="15" t="s">
        <v>298</v>
      </c>
      <c r="X431" s="15" t="s">
        <v>248</v>
      </c>
      <c r="Y431" s="15" t="s">
        <v>299</v>
      </c>
      <c r="Z431" s="16" t="str">
        <f aca="false">IFERROR(INDEX(Scoring!$K:$K,MATCH($C431&amp;"|"&amp;$E431,Scoring!$U:$U,0)),"")</f>
        <v>Cancer drug (cytotoxic) – less relevant; Reconstitution</v>
      </c>
      <c r="AA431" s="15" t="str">
        <f aca="false">IFERROR(INDEX(Scoring!$Q:$Q,MATCH($C431&amp;"|"&amp;$E431,Scoring!$U:$U,0)),"")</f>
        <v>Excluded – IV only</v>
      </c>
      <c r="AB431" s="15" t="str">
        <f aca="false">IFERROR(INDEX(Scoring!$AK:$AK,MATCH($C431&amp;"|"&amp;$E431,Scoring!$U:$U,0)),"")</f>
        <v>Excluded – IV only</v>
      </c>
      <c r="AC431" s="18" t="n">
        <f aca="false">IFERROR(INDEX(Scoring!$M:$M,MATCH($C431&amp;"|"&amp;$E431,Scoring!$U:$U,0)),"")</f>
        <v>724</v>
      </c>
      <c r="AD431" s="15" t="str">
        <f aca="false">IFERROR(INDEX('Route of Administration'!$C$5:$C$155,MATCH($C431,'Route of Administration'!$A$5:$A$155,0)),"")</f>
        <v>IV</v>
      </c>
      <c r="AE431" s="14" t="str">
        <f aca="false">IFERROR(INDEX('Route of Administration'!$D$5:$D$155,MATCH($C431,'Route of Administration'!$A$5:$A$155,0)),"")</f>
        <v>No</v>
      </c>
    </row>
    <row r="432" customFormat="false" ht="68.65" hidden="false" customHeight="false" outlineLevel="0" collapsed="false">
      <c r="B432" s="15" t="n">
        <v>430</v>
      </c>
      <c r="C432" s="15" t="s">
        <v>348</v>
      </c>
      <c r="D432" s="15" t="s">
        <v>2207</v>
      </c>
      <c r="E432" s="15" t="s">
        <v>894</v>
      </c>
      <c r="F432" s="15" t="s">
        <v>1764</v>
      </c>
      <c r="G432" s="16" t="s">
        <v>1765</v>
      </c>
      <c r="H432" s="15" t="s">
        <v>1505</v>
      </c>
      <c r="I432" s="17"/>
      <c r="J432" s="15" t="n">
        <v>1</v>
      </c>
      <c r="K432" s="15" t="n">
        <v>843</v>
      </c>
      <c r="L432" s="18" t="n">
        <v>4508</v>
      </c>
      <c r="M432" s="16" t="s">
        <v>349</v>
      </c>
      <c r="N432" s="17"/>
      <c r="O432" s="15" t="s">
        <v>1545</v>
      </c>
      <c r="P432" s="15" t="s">
        <v>70</v>
      </c>
      <c r="Q432" s="16" t="s">
        <v>70</v>
      </c>
      <c r="R432" s="15"/>
      <c r="S432" s="37" t="n">
        <f aca="false">IFERROR(INDEX('Injectable Value'!$Z$28:$Z$178,MATCH($C432,'Injectable Value'!$A$28:$A$178,0)),"")</f>
        <v>0.858739397335643</v>
      </c>
      <c r="T432" s="18" t="n">
        <f aca="false">IFERROR(ROUND(INDEX('Injectable Value'!$AA$28:$AA$178,MATCH($C432,'Injectable Value'!$A$28:$A$178,0)),1),"")</f>
        <v>3871.2</v>
      </c>
      <c r="U432" s="16" t="s">
        <v>952</v>
      </c>
      <c r="V432" s="15" t="n">
        <v>23</v>
      </c>
      <c r="W432" s="15" t="s">
        <v>298</v>
      </c>
      <c r="X432" s="15" t="s">
        <v>248</v>
      </c>
      <c r="Y432" s="15" t="s">
        <v>299</v>
      </c>
      <c r="Z432" s="16" t="str">
        <f aca="false">IFERROR(INDEX(Scoring!$K:$K,MATCH($C432&amp;"|"&amp;$E432,Scoring!$U:$U,0)),"")</f>
        <v>Cancer drug (cytotoxic) – less relevant; Reconstitution</v>
      </c>
      <c r="AA432" s="15" t="str">
        <f aca="false">IFERROR(INDEX(Scoring!$Q:$Q,MATCH($C432&amp;"|"&amp;$E432,Scoring!$U:$U,0)),"")</f>
        <v>Excluded – IV only</v>
      </c>
      <c r="AB432" s="15" t="str">
        <f aca="false">IFERROR(INDEX(Scoring!$AK:$AK,MATCH($C432&amp;"|"&amp;$E432,Scoring!$U:$U,0)),"")</f>
        <v>Excluded – IV only</v>
      </c>
      <c r="AC432" s="18" t="n">
        <f aca="false">IFERROR(INDEX(Scoring!$M:$M,MATCH($C432&amp;"|"&amp;$E432,Scoring!$U:$U,0)),"")</f>
        <v>724</v>
      </c>
      <c r="AD432" s="15" t="str">
        <f aca="false">IFERROR(INDEX('Route of Administration'!$C$5:$C$155,MATCH($C432,'Route of Administration'!$A$5:$A$155,0)),"")</f>
        <v>IV</v>
      </c>
      <c r="AE432" s="14" t="str">
        <f aca="false">IFERROR(INDEX('Route of Administration'!$D$5:$D$155,MATCH($C432,'Route of Administration'!$A$5:$A$155,0)),"")</f>
        <v>No</v>
      </c>
    </row>
    <row r="433" customFormat="false" ht="28.35" hidden="false" customHeight="false" outlineLevel="0" collapsed="false">
      <c r="B433" s="15" t="n">
        <v>431</v>
      </c>
      <c r="C433" s="15" t="s">
        <v>724</v>
      </c>
      <c r="D433" s="15" t="s">
        <v>1121</v>
      </c>
      <c r="E433" s="15" t="s">
        <v>894</v>
      </c>
      <c r="F433" s="15" t="s">
        <v>1953</v>
      </c>
      <c r="G433" s="16" t="s">
        <v>2324</v>
      </c>
      <c r="H433" s="15" t="s">
        <v>1512</v>
      </c>
      <c r="I433" s="17"/>
      <c r="J433" s="15" t="n">
        <v>1</v>
      </c>
      <c r="K433" s="15" t="n">
        <v>286</v>
      </c>
      <c r="L433" s="18" t="n">
        <v>3067.39</v>
      </c>
      <c r="M433" s="16" t="s">
        <v>725</v>
      </c>
      <c r="N433" s="38" t="n">
        <v>5.12</v>
      </c>
      <c r="O433" s="22" t="s">
        <v>1513</v>
      </c>
      <c r="P433" s="15" t="s">
        <v>1533</v>
      </c>
      <c r="Q433" s="16" t="s">
        <v>1832</v>
      </c>
      <c r="R433" s="32" t="s">
        <v>1833</v>
      </c>
      <c r="S433" s="37" t="n">
        <f aca="false">IFERROR(INDEX('Injectable Value'!$Z$28:$Z$178,MATCH($C433,'Injectable Value'!$A$28:$A$178,0)),"")</f>
        <v>1</v>
      </c>
      <c r="T433" s="18" t="n">
        <f aca="false">IFERROR(ROUND(INDEX('Injectable Value'!$AA$28:$AA$178,MATCH($C433,'Injectable Value'!$A$28:$A$178,0)),1),"")</f>
        <v>3067.4</v>
      </c>
      <c r="U433" s="16" t="s">
        <v>583</v>
      </c>
      <c r="V433" s="15" t="n">
        <v>1</v>
      </c>
      <c r="W433" s="15" t="s">
        <v>70</v>
      </c>
      <c r="X433" s="15" t="s">
        <v>258</v>
      </c>
      <c r="Y433" s="15" t="s">
        <v>249</v>
      </c>
      <c r="Z433" s="16" t="str">
        <f aca="false">IFERROR(INDEX(Scoring!$K:$K,MATCH($C433&amp;"|"&amp;$E433,Scoring!$U:$U,0)),"")</f>
        <v>Prefilled only</v>
      </c>
      <c r="AA433" s="15" t="str">
        <f aca="false">IFERROR(INDEX(Scoring!$Q:$Q,MATCH($C433&amp;"|"&amp;$E433,Scoring!$U:$U,0)),"")</f>
        <v>Priority 2</v>
      </c>
      <c r="AB433" s="15" t="str">
        <f aca="false">IFERROR(INDEX(Scoring!$AK:$AK,MATCH($C433&amp;"|"&amp;$E433,Scoring!$U:$U,0)),"")</f>
        <v>Priority 2</v>
      </c>
      <c r="AC433" s="18" t="n">
        <f aca="false">IFERROR(INDEX(Scoring!$M:$M,MATCH($C433&amp;"|"&amp;$E433,Scoring!$U:$U,0)),"")</f>
        <v>286</v>
      </c>
      <c r="AD433" s="15" t="str">
        <f aca="false">IFERROR(INDEX('Route of Administration'!$C$5:$C$155,MATCH($C433,'Route of Administration'!$A$5:$A$155,0)),"")</f>
        <v>IV, IM</v>
      </c>
      <c r="AE433" s="14" t="str">
        <f aca="false">IFERROR(INDEX('Route of Administration'!$D$5:$D$155,MATCH($C433,'Route of Administration'!$A$5:$A$155,0)),"")</f>
        <v>Yes</v>
      </c>
    </row>
    <row r="434" customFormat="false" ht="82.05" hidden="false" customHeight="false" outlineLevel="0" collapsed="false">
      <c r="B434" s="15" t="n">
        <v>432</v>
      </c>
      <c r="C434" s="15" t="s">
        <v>1129</v>
      </c>
      <c r="D434" s="15" t="s">
        <v>1132</v>
      </c>
      <c r="E434" s="15" t="s">
        <v>894</v>
      </c>
      <c r="F434" s="15" t="s">
        <v>2053</v>
      </c>
      <c r="G434" s="16" t="s">
        <v>2325</v>
      </c>
      <c r="H434" s="15" t="s">
        <v>1505</v>
      </c>
      <c r="I434" s="17"/>
      <c r="J434" s="15" t="n">
        <v>1</v>
      </c>
      <c r="K434" s="15" t="n">
        <v>136</v>
      </c>
      <c r="L434" s="18" t="n">
        <v>6629.25</v>
      </c>
      <c r="M434" s="16" t="s">
        <v>1130</v>
      </c>
      <c r="N434" s="38" t="n">
        <v>23.95</v>
      </c>
      <c r="O434" s="22" t="s">
        <v>1513</v>
      </c>
      <c r="P434" s="15" t="s">
        <v>1533</v>
      </c>
      <c r="Q434" s="16" t="s">
        <v>1514</v>
      </c>
      <c r="R434" s="32" t="s">
        <v>1515</v>
      </c>
      <c r="S434" s="37" t="n">
        <f aca="false">IFERROR(INDEX('Injectable Value'!$Z$28:$Z$178,MATCH($C434,'Injectable Value'!$A$28:$A$178,0)),"")</f>
        <v>0.998427672955975</v>
      </c>
      <c r="T434" s="18" t="n">
        <f aca="false">IFERROR(ROUND(INDEX('Injectable Value'!$AA$28:$AA$178,MATCH($C434,'Injectable Value'!$A$28:$A$178,0)),1),"")</f>
        <v>6618.8</v>
      </c>
      <c r="U434" s="16" t="s">
        <v>1133</v>
      </c>
      <c r="V434" s="15" t="n">
        <v>31</v>
      </c>
      <c r="W434" s="15" t="s">
        <v>992</v>
      </c>
      <c r="X434" s="15" t="s">
        <v>248</v>
      </c>
      <c r="Y434" s="15" t="s">
        <v>299</v>
      </c>
      <c r="Z434" s="16" t="str">
        <f aca="false">IFERROR(INDEX(Scoring!$K:$K,MATCH($C434&amp;"|"&amp;$E434,Scoring!$U:$U,0)),"")</f>
        <v>Reconstitution</v>
      </c>
      <c r="AA434" s="15" t="str">
        <f aca="false">IFERROR(INDEX(Scoring!$Q:$Q,MATCH($C434&amp;"|"&amp;$E434,Scoring!$U:$U,0)),"")</f>
        <v>Excluded – IV only</v>
      </c>
      <c r="AB434" s="15" t="str">
        <f aca="false">IFERROR(INDEX(Scoring!$AK:$AK,MATCH($C434&amp;"|"&amp;$E434,Scoring!$U:$U,0)),"")</f>
        <v>Excluded – IV only</v>
      </c>
      <c r="AC434" s="18" t="n">
        <f aca="false">IFERROR(INDEX(Scoring!$M:$M,MATCH($C434&amp;"|"&amp;$E434,Scoring!$U:$U,0)),"")</f>
        <v>136</v>
      </c>
      <c r="AD434" s="15" t="str">
        <f aca="false">IFERROR(INDEX('Route of Administration'!$C$5:$C$155,MATCH($C434,'Route of Administration'!$A$5:$A$155,0)),"")</f>
        <v>IV</v>
      </c>
      <c r="AE434" s="14" t="str">
        <f aca="false">IFERROR(INDEX('Route of Administration'!$D$5:$D$155,MATCH($C434,'Route of Administration'!$A$5:$A$155,0)),"")</f>
        <v>No</v>
      </c>
    </row>
    <row r="435" customFormat="false" ht="95.5" hidden="false" customHeight="false" outlineLevel="0" collapsed="false">
      <c r="B435" s="15" t="n">
        <v>433</v>
      </c>
      <c r="C435" s="15" t="s">
        <v>305</v>
      </c>
      <c r="D435" s="15" t="s">
        <v>2322</v>
      </c>
      <c r="E435" s="15" t="s">
        <v>894</v>
      </c>
      <c r="F435" s="15" t="s">
        <v>2326</v>
      </c>
      <c r="G435" s="16" t="s">
        <v>2327</v>
      </c>
      <c r="H435" s="15" t="s">
        <v>1505</v>
      </c>
      <c r="I435" s="17"/>
      <c r="J435" s="15" t="n">
        <v>1</v>
      </c>
      <c r="K435" s="15" t="n">
        <v>905</v>
      </c>
      <c r="L435" s="18" t="n">
        <v>28093.38</v>
      </c>
      <c r="M435" s="16" t="s">
        <v>306</v>
      </c>
      <c r="N435" s="17"/>
      <c r="O435" s="15" t="s">
        <v>1545</v>
      </c>
      <c r="P435" s="15" t="s">
        <v>70</v>
      </c>
      <c r="Q435" s="16" t="s">
        <v>70</v>
      </c>
      <c r="R435" s="15"/>
      <c r="S435" s="37" t="n">
        <f aca="false">IFERROR(INDEX('Injectable Value'!$Z$28:$Z$178,MATCH($C435,'Injectable Value'!$A$28:$A$178,0)),"")</f>
        <v>1</v>
      </c>
      <c r="T435" s="18" t="n">
        <f aca="false">IFERROR(ROUND(INDEX('Injectable Value'!$AA$28:$AA$178,MATCH($C435,'Injectable Value'!$A$28:$A$178,0)),1),"")</f>
        <v>28093.4</v>
      </c>
      <c r="U435" s="16" t="s">
        <v>931</v>
      </c>
      <c r="V435" s="15" t="n">
        <v>34</v>
      </c>
      <c r="W435" s="15" t="s">
        <v>298</v>
      </c>
      <c r="X435" s="15" t="s">
        <v>248</v>
      </c>
      <c r="Y435" s="15" t="s">
        <v>299</v>
      </c>
      <c r="Z435" s="16" t="str">
        <f aca="false">IFERROR(INDEX(Scoring!$K:$K,MATCH($C435&amp;"|"&amp;$E435,Scoring!$U:$U,0)),"")</f>
        <v>Cancer drug (cytotoxic) – less relevant; Reconstitution</v>
      </c>
      <c r="AA435" s="15" t="str">
        <f aca="false">IFERROR(INDEX(Scoring!$Q:$Q,MATCH($C435&amp;"|"&amp;$E435,Scoring!$U:$U,0)),"")</f>
        <v>Priority 1</v>
      </c>
      <c r="AB435" s="15" t="str">
        <f aca="false">IFERROR(INDEX(Scoring!$AK:$AK,MATCH($C435&amp;"|"&amp;$E435,Scoring!$U:$U,0)),"")</f>
        <v>Priority 1</v>
      </c>
      <c r="AC435" s="18" t="n">
        <f aca="false">IFERROR(INDEX(Scoring!$M:$M,MATCH($C435&amp;"|"&amp;$E435,Scoring!$U:$U,0)),"")</f>
        <v>905</v>
      </c>
      <c r="AD435" s="15" t="str">
        <f aca="false">IFERROR(INDEX('Route of Administration'!$C$5:$C$155,MATCH($C435,'Route of Administration'!$A$5:$A$155,0)),"")</f>
        <v>IV, SC</v>
      </c>
      <c r="AE435" s="14" t="str">
        <f aca="false">IFERROR(INDEX('Route of Administration'!$D$5:$D$155,MATCH($C435,'Route of Administration'!$A$5:$A$155,0)),"")</f>
        <v>Yes</v>
      </c>
    </row>
    <row r="436" customFormat="false" ht="82.05" hidden="false" customHeight="false" outlineLevel="0" collapsed="false">
      <c r="B436" s="15" t="n">
        <v>434</v>
      </c>
      <c r="C436" s="15" t="s">
        <v>262</v>
      </c>
      <c r="D436" s="15" t="s">
        <v>2328</v>
      </c>
      <c r="E436" s="15" t="s">
        <v>894</v>
      </c>
      <c r="F436" s="15" t="s">
        <v>1767</v>
      </c>
      <c r="G436" s="16" t="s">
        <v>1768</v>
      </c>
      <c r="H436" s="15" t="s">
        <v>1512</v>
      </c>
      <c r="I436" s="17"/>
      <c r="J436" s="15" t="n">
        <v>1</v>
      </c>
      <c r="K436" s="15" t="n">
        <v>146</v>
      </c>
      <c r="L436" s="18" t="n">
        <v>11366.06</v>
      </c>
      <c r="M436" s="16" t="s">
        <v>263</v>
      </c>
      <c r="N436" s="17"/>
      <c r="O436" s="15" t="s">
        <v>1545</v>
      </c>
      <c r="P436" s="15" t="s">
        <v>70</v>
      </c>
      <c r="Q436" s="16" t="s">
        <v>70</v>
      </c>
      <c r="R436" s="15"/>
      <c r="S436" s="37" t="n">
        <f aca="false">IFERROR(INDEX('Injectable Value'!$Z$28:$Z$178,MATCH($C436,'Injectable Value'!$A$28:$A$178,0)),"")</f>
        <v>1</v>
      </c>
      <c r="T436" s="18" t="n">
        <f aca="false">IFERROR(ROUND(INDEX('Injectable Value'!$AA$28:$AA$178,MATCH($C436,'Injectable Value'!$A$28:$A$178,0)),1),"")</f>
        <v>11366.1</v>
      </c>
      <c r="U436" s="16" t="s">
        <v>1015</v>
      </c>
      <c r="V436" s="15" t="n">
        <v>30</v>
      </c>
      <c r="W436" s="15" t="s">
        <v>307</v>
      </c>
      <c r="X436" s="15" t="s">
        <v>258</v>
      </c>
      <c r="Y436" s="15" t="s">
        <v>249</v>
      </c>
      <c r="Z436" s="16" t="str">
        <f aca="false">IFERROR(INDEX(Scoring!$K:$K,MATCH($C436&amp;"|"&amp;$E436,Scoring!$U:$U,0)),"")</f>
        <v>Prefilled only</v>
      </c>
      <c r="AA436" s="15" t="str">
        <f aca="false">IFERROR(INDEX(Scoring!$Q:$Q,MATCH($C436&amp;"|"&amp;$E436,Scoring!$U:$U,0)),"")</f>
        <v>Priority 1</v>
      </c>
      <c r="AB436" s="15" t="str">
        <f aca="false">IFERROR(INDEX(Scoring!$AK:$AK,MATCH($C436&amp;"|"&amp;$E436,Scoring!$U:$U,0)),"")</f>
        <v>Priority 2</v>
      </c>
      <c r="AC436" s="18" t="n">
        <f aca="false">IFERROR(INDEX(Scoring!$M:$M,MATCH($C436&amp;"|"&amp;$E436,Scoring!$U:$U,0)),"")</f>
        <v>146</v>
      </c>
      <c r="AD436" s="15" t="str">
        <f aca="false">IFERROR(INDEX('Route of Administration'!$C$5:$C$155,MATCH($C436,'Route of Administration'!$A$5:$A$155,0)),"")</f>
        <v>IM</v>
      </c>
      <c r="AE436" s="14" t="str">
        <f aca="false">IFERROR(INDEX('Route of Administration'!$D$5:$D$155,MATCH($C436,'Route of Administration'!$A$5:$A$155,0)),"")</f>
        <v>Yes</v>
      </c>
    </row>
    <row r="437" customFormat="false" ht="28.35" hidden="false" customHeight="false" outlineLevel="0" collapsed="false">
      <c r="B437" s="15" t="n">
        <v>435</v>
      </c>
      <c r="C437" s="15" t="s">
        <v>625</v>
      </c>
      <c r="D437" s="15" t="s">
        <v>2329</v>
      </c>
      <c r="E437" s="15" t="s">
        <v>894</v>
      </c>
      <c r="F437" s="15" t="s">
        <v>1718</v>
      </c>
      <c r="G437" s="16" t="s">
        <v>1838</v>
      </c>
      <c r="H437" s="15" t="s">
        <v>1505</v>
      </c>
      <c r="I437" s="17"/>
      <c r="J437" s="15" t="n">
        <v>1</v>
      </c>
      <c r="K437" s="15" t="n">
        <v>1963</v>
      </c>
      <c r="L437" s="18" t="n">
        <v>49365.77</v>
      </c>
      <c r="M437" s="16" t="s">
        <v>626</v>
      </c>
      <c r="N437" s="17"/>
      <c r="O437" s="15" t="s">
        <v>1545</v>
      </c>
      <c r="P437" s="15" t="s">
        <v>70</v>
      </c>
      <c r="Q437" s="16" t="s">
        <v>70</v>
      </c>
      <c r="R437" s="15"/>
      <c r="S437" s="37" t="n">
        <f aca="false">IFERROR(INDEX('Injectable Value'!$Z$28:$Z$178,MATCH($C437,'Injectable Value'!$A$28:$A$178,0)),"")</f>
        <v>0.115367076010264</v>
      </c>
      <c r="T437" s="18" t="n">
        <f aca="false">IFERROR(ROUND(INDEX('Injectable Value'!$AA$28:$AA$178,MATCH($C437,'Injectable Value'!$A$28:$A$178,0)),1),"")</f>
        <v>5695.2</v>
      </c>
      <c r="U437" s="16" t="s">
        <v>589</v>
      </c>
      <c r="V437" s="15" t="n">
        <v>2</v>
      </c>
      <c r="W437" s="15" t="s">
        <v>70</v>
      </c>
      <c r="X437" s="15" t="s">
        <v>248</v>
      </c>
      <c r="Y437" s="15" t="s">
        <v>249</v>
      </c>
      <c r="Z437" s="16" t="str">
        <f aca="false">IFERROR(INDEX(Scoring!$K:$K,MATCH($C437&amp;"|"&amp;$E437,Scoring!$U:$U,0)),"")</f>
        <v/>
      </c>
      <c r="AA437" s="15" t="str">
        <f aca="false">IFERROR(INDEX(Scoring!$Q:$Q,MATCH($C437&amp;"|"&amp;$E437,Scoring!$U:$U,0)),"")</f>
        <v>Priority 1</v>
      </c>
      <c r="AB437" s="15" t="str">
        <f aca="false">IFERROR(INDEX(Scoring!$AK:$AK,MATCH($C437&amp;"|"&amp;$E437,Scoring!$U:$U,0)),"")</f>
        <v>Priority 1</v>
      </c>
      <c r="AC437" s="18" t="n">
        <f aca="false">IFERROR(INDEX(Scoring!$M:$M,MATCH($C437&amp;"|"&amp;$E437,Scoring!$U:$U,0)),"")</f>
        <v>226</v>
      </c>
      <c r="AD437" s="15" t="str">
        <f aca="false">IFERROR(INDEX('Route of Administration'!$C$5:$C$155,MATCH($C437,'Route of Administration'!$A$5:$A$155,0)),"")</f>
        <v>IV, IM, SC</v>
      </c>
      <c r="AE437" s="14" t="str">
        <f aca="false">IFERROR(INDEX('Route of Administration'!$D$5:$D$155,MATCH($C437,'Route of Administration'!$A$5:$A$155,0)),"")</f>
        <v>Yes</v>
      </c>
    </row>
    <row r="438" customFormat="false" ht="68.65" hidden="false" customHeight="false" outlineLevel="0" collapsed="false">
      <c r="B438" s="15" t="n">
        <v>436</v>
      </c>
      <c r="C438" s="15" t="s">
        <v>487</v>
      </c>
      <c r="D438" s="15" t="s">
        <v>2284</v>
      </c>
      <c r="E438" s="15" t="s">
        <v>894</v>
      </c>
      <c r="F438" s="15" t="s">
        <v>2330</v>
      </c>
      <c r="G438" s="16" t="s">
        <v>2324</v>
      </c>
      <c r="H438" s="15" t="s">
        <v>1512</v>
      </c>
      <c r="I438" s="17"/>
      <c r="J438" s="15" t="n">
        <v>1</v>
      </c>
      <c r="K438" s="15" t="n">
        <v>2546</v>
      </c>
      <c r="L438" s="18" t="n">
        <v>46507.62</v>
      </c>
      <c r="M438" s="16" t="s">
        <v>488</v>
      </c>
      <c r="N438" s="17"/>
      <c r="O438" s="15" t="s">
        <v>1545</v>
      </c>
      <c r="P438" s="15" t="s">
        <v>70</v>
      </c>
      <c r="Q438" s="16" t="s">
        <v>70</v>
      </c>
      <c r="R438" s="15"/>
      <c r="S438" s="37" t="n">
        <f aca="false">IFERROR(INDEX('Injectable Value'!$Z$28:$Z$178,MATCH($C438,'Injectable Value'!$A$28:$A$178,0)),"")</f>
        <v>0.378228374732698</v>
      </c>
      <c r="T438" s="18" t="n">
        <f aca="false">IFERROR(ROUND(INDEX('Injectable Value'!$AA$28:$AA$178,MATCH($C438,'Injectable Value'!$A$28:$A$178,0)),1),"")</f>
        <v>17590.5</v>
      </c>
      <c r="U438" s="16" t="s">
        <v>1074</v>
      </c>
      <c r="V438" s="15" t="n">
        <v>27</v>
      </c>
      <c r="W438" s="15" t="s">
        <v>307</v>
      </c>
      <c r="X438" s="15" t="s">
        <v>258</v>
      </c>
      <c r="Y438" s="15" t="s">
        <v>249</v>
      </c>
      <c r="Z438" s="16" t="str">
        <f aca="false">IFERROR(INDEX(Scoring!$K:$K,MATCH($C438&amp;"|"&amp;$E438,Scoring!$U:$U,0)),"")</f>
        <v/>
      </c>
      <c r="AA438" s="15" t="str">
        <f aca="false">IFERROR(INDEX(Scoring!$Q:$Q,MATCH($C438&amp;"|"&amp;$E438,Scoring!$U:$U,0)),"")</f>
        <v>Priority 2</v>
      </c>
      <c r="AB438" s="15" t="str">
        <f aca="false">IFERROR(INDEX(Scoring!$AK:$AK,MATCH($C438&amp;"|"&amp;$E438,Scoring!$U:$U,0)),"")</f>
        <v>Priority 2</v>
      </c>
      <c r="AC438" s="18" t="n">
        <f aca="false">IFERROR(INDEX(Scoring!$M:$M,MATCH($C438&amp;"|"&amp;$E438,Scoring!$U:$U,0)),"")</f>
        <v>963</v>
      </c>
      <c r="AD438" s="15" t="str">
        <f aca="false">IFERROR(INDEX('Route of Administration'!$C$5:$C$155,MATCH($C438,'Route of Administration'!$A$5:$A$155,0)),"")</f>
        <v>IV, IM</v>
      </c>
      <c r="AE438" s="14" t="str">
        <f aca="false">IFERROR(INDEX('Route of Administration'!$D$5:$D$155,MATCH($C438,'Route of Administration'!$A$5:$A$155,0)),"")</f>
        <v>Yes</v>
      </c>
    </row>
    <row r="439" customFormat="false" ht="68.65" hidden="false" customHeight="false" outlineLevel="0" collapsed="false">
      <c r="B439" s="15" t="n">
        <v>437</v>
      </c>
      <c r="C439" s="15" t="s">
        <v>487</v>
      </c>
      <c r="D439" s="15" t="s">
        <v>2284</v>
      </c>
      <c r="E439" s="15" t="s">
        <v>894</v>
      </c>
      <c r="F439" s="15" t="s">
        <v>2331</v>
      </c>
      <c r="G439" s="16" t="s">
        <v>2332</v>
      </c>
      <c r="H439" s="15" t="s">
        <v>1512</v>
      </c>
      <c r="I439" s="17"/>
      <c r="J439" s="15" t="n">
        <v>1</v>
      </c>
      <c r="K439" s="15" t="n">
        <v>2546</v>
      </c>
      <c r="L439" s="18" t="n">
        <v>46507.62</v>
      </c>
      <c r="M439" s="16" t="s">
        <v>488</v>
      </c>
      <c r="N439" s="17"/>
      <c r="O439" s="15" t="s">
        <v>1545</v>
      </c>
      <c r="P439" s="15" t="s">
        <v>70</v>
      </c>
      <c r="Q439" s="16" t="s">
        <v>70</v>
      </c>
      <c r="R439" s="15"/>
      <c r="S439" s="37" t="n">
        <f aca="false">IFERROR(INDEX('Injectable Value'!$Z$28:$Z$178,MATCH($C439,'Injectable Value'!$A$28:$A$178,0)),"")</f>
        <v>0.378228374732698</v>
      </c>
      <c r="T439" s="18" t="n">
        <f aca="false">IFERROR(ROUND(INDEX('Injectable Value'!$AA$28:$AA$178,MATCH($C439,'Injectable Value'!$A$28:$A$178,0)),1),"")</f>
        <v>17590.5</v>
      </c>
      <c r="U439" s="16" t="s">
        <v>1074</v>
      </c>
      <c r="V439" s="15" t="n">
        <v>27</v>
      </c>
      <c r="W439" s="15" t="s">
        <v>307</v>
      </c>
      <c r="X439" s="15" t="s">
        <v>258</v>
      </c>
      <c r="Y439" s="15" t="s">
        <v>249</v>
      </c>
      <c r="Z439" s="16" t="str">
        <f aca="false">IFERROR(INDEX(Scoring!$K:$K,MATCH($C439&amp;"|"&amp;$E439,Scoring!$U:$U,0)),"")</f>
        <v/>
      </c>
      <c r="AA439" s="15" t="str">
        <f aca="false">IFERROR(INDEX(Scoring!$Q:$Q,MATCH($C439&amp;"|"&amp;$E439,Scoring!$U:$U,0)),"")</f>
        <v>Priority 2</v>
      </c>
      <c r="AB439" s="15" t="str">
        <f aca="false">IFERROR(INDEX(Scoring!$AK:$AK,MATCH($C439&amp;"|"&amp;$E439,Scoring!$U:$U,0)),"")</f>
        <v>Priority 2</v>
      </c>
      <c r="AC439" s="18" t="n">
        <f aca="false">IFERROR(INDEX(Scoring!$M:$M,MATCH($C439&amp;"|"&amp;$E439,Scoring!$U:$U,0)),"")</f>
        <v>963</v>
      </c>
      <c r="AD439" s="15" t="str">
        <f aca="false">IFERROR(INDEX('Route of Administration'!$C$5:$C$155,MATCH($C439,'Route of Administration'!$A$5:$A$155,0)),"")</f>
        <v>IV, IM</v>
      </c>
      <c r="AE439" s="14" t="str">
        <f aca="false">IFERROR(INDEX('Route of Administration'!$D$5:$D$155,MATCH($C439,'Route of Administration'!$A$5:$A$155,0)),"")</f>
        <v>Yes</v>
      </c>
    </row>
    <row r="440" customFormat="false" ht="68.65" hidden="false" customHeight="false" outlineLevel="0" collapsed="false">
      <c r="B440" s="15" t="n">
        <v>438</v>
      </c>
      <c r="C440" s="15" t="s">
        <v>1049</v>
      </c>
      <c r="D440" s="15" t="s">
        <v>2333</v>
      </c>
      <c r="E440" s="15" t="s">
        <v>894</v>
      </c>
      <c r="F440" s="15" t="s">
        <v>2334</v>
      </c>
      <c r="G440" s="16" t="s">
        <v>2335</v>
      </c>
      <c r="H440" s="15" t="s">
        <v>1512</v>
      </c>
      <c r="I440" s="17" t="n">
        <v>17.5</v>
      </c>
      <c r="J440" s="15" t="n">
        <v>1</v>
      </c>
      <c r="K440" s="15" t="n">
        <v>221</v>
      </c>
      <c r="L440" s="18" t="n">
        <v>5838.25</v>
      </c>
      <c r="M440" s="16" t="s">
        <v>1050</v>
      </c>
      <c r="N440" s="17" t="n">
        <v>17.5</v>
      </c>
      <c r="O440" s="15" t="s">
        <v>1506</v>
      </c>
      <c r="P440" s="15" t="s">
        <v>1507</v>
      </c>
      <c r="Q440" s="16" t="s">
        <v>1508</v>
      </c>
      <c r="R440" s="32" t="s">
        <v>2336</v>
      </c>
      <c r="S440" s="37" t="n">
        <f aca="false">IFERROR(INDEX('Injectable Value'!$Z$28:$Z$178,MATCH($C440,'Injectable Value'!$A$28:$A$178,0)),"")</f>
        <v>0.800763686706633</v>
      </c>
      <c r="T440" s="18" t="n">
        <f aca="false">IFERROR(ROUND(INDEX('Injectable Value'!$AA$28:$AA$178,MATCH($C440,'Injectable Value'!$A$28:$A$178,0)),1),"")</f>
        <v>4675.1</v>
      </c>
      <c r="U440" s="16" t="s">
        <v>1055</v>
      </c>
      <c r="V440" s="15" t="n">
        <v>24</v>
      </c>
      <c r="W440" s="15" t="s">
        <v>403</v>
      </c>
      <c r="X440" s="15" t="s">
        <v>258</v>
      </c>
      <c r="Y440" s="15" t="s">
        <v>249</v>
      </c>
      <c r="Z440" s="16" t="str">
        <f aca="false">IFERROR(INDEX(Scoring!$K:$K,MATCH($C440&amp;"|"&amp;$E440,Scoring!$U:$U,0)),"")</f>
        <v/>
      </c>
      <c r="AA440" s="15" t="str">
        <f aca="false">IFERROR(INDEX(Scoring!$Q:$Q,MATCH($C440&amp;"|"&amp;$E440,Scoring!$U:$U,0)),"")</f>
        <v>Priority 2</v>
      </c>
      <c r="AB440" s="15" t="str">
        <f aca="false">IFERROR(INDEX(Scoring!$AK:$AK,MATCH($C440&amp;"|"&amp;$E440,Scoring!$U:$U,0)),"")</f>
        <v>Priority 3</v>
      </c>
      <c r="AC440" s="18" t="n">
        <f aca="false">IFERROR(INDEX(Scoring!$M:$M,MATCH($C440&amp;"|"&amp;$E440,Scoring!$U:$U,0)),"")</f>
        <v>177</v>
      </c>
      <c r="AD440" s="15" t="str">
        <f aca="false">IFERROR(INDEX('Route of Administration'!$C$5:$C$155,MATCH($C440,'Route of Administration'!$A$5:$A$155,0)),"")</f>
        <v>IV, IM</v>
      </c>
      <c r="AE440" s="14" t="str">
        <f aca="false">IFERROR(INDEX('Route of Administration'!$D$5:$D$155,MATCH($C440,'Route of Administration'!$A$5:$A$155,0)),"")</f>
        <v>Yes</v>
      </c>
    </row>
    <row r="441" customFormat="false" ht="68.65" hidden="false" customHeight="false" outlineLevel="0" collapsed="false">
      <c r="B441" s="15" t="n">
        <v>439</v>
      </c>
      <c r="C441" s="15" t="s">
        <v>1049</v>
      </c>
      <c r="D441" s="15" t="s">
        <v>2333</v>
      </c>
      <c r="E441" s="15" t="s">
        <v>894</v>
      </c>
      <c r="F441" s="15" t="s">
        <v>2337</v>
      </c>
      <c r="G441" s="16" t="s">
        <v>2338</v>
      </c>
      <c r="H441" s="15" t="s">
        <v>1512</v>
      </c>
      <c r="I441" s="17"/>
      <c r="J441" s="15" t="n">
        <v>1</v>
      </c>
      <c r="K441" s="15" t="n">
        <v>221</v>
      </c>
      <c r="L441" s="18" t="n">
        <v>5838.25</v>
      </c>
      <c r="M441" s="16" t="s">
        <v>1050</v>
      </c>
      <c r="N441" s="17"/>
      <c r="O441" s="15" t="s">
        <v>1545</v>
      </c>
      <c r="P441" s="15" t="s">
        <v>70</v>
      </c>
      <c r="Q441" s="16" t="s">
        <v>70</v>
      </c>
      <c r="R441" s="15"/>
      <c r="S441" s="37" t="n">
        <f aca="false">IFERROR(INDEX('Injectable Value'!$Z$28:$Z$178,MATCH($C441,'Injectable Value'!$A$28:$A$178,0)),"")</f>
        <v>0.800763686706633</v>
      </c>
      <c r="T441" s="18" t="n">
        <f aca="false">IFERROR(ROUND(INDEX('Injectable Value'!$AA$28:$AA$178,MATCH($C441,'Injectable Value'!$A$28:$A$178,0)),1),"")</f>
        <v>4675.1</v>
      </c>
      <c r="U441" s="16" t="s">
        <v>1055</v>
      </c>
      <c r="V441" s="15" t="n">
        <v>24</v>
      </c>
      <c r="W441" s="15" t="s">
        <v>403</v>
      </c>
      <c r="X441" s="15" t="s">
        <v>258</v>
      </c>
      <c r="Y441" s="15" t="s">
        <v>249</v>
      </c>
      <c r="Z441" s="16" t="str">
        <f aca="false">IFERROR(INDEX(Scoring!$K:$K,MATCH($C441&amp;"|"&amp;$E441,Scoring!$U:$U,0)),"")</f>
        <v/>
      </c>
      <c r="AA441" s="15" t="str">
        <f aca="false">IFERROR(INDEX(Scoring!$Q:$Q,MATCH($C441&amp;"|"&amp;$E441,Scoring!$U:$U,0)),"")</f>
        <v>Priority 2</v>
      </c>
      <c r="AB441" s="15" t="str">
        <f aca="false">IFERROR(INDEX(Scoring!$AK:$AK,MATCH($C441&amp;"|"&amp;$E441,Scoring!$U:$U,0)),"")</f>
        <v>Priority 3</v>
      </c>
      <c r="AC441" s="18" t="n">
        <f aca="false">IFERROR(INDEX(Scoring!$M:$M,MATCH($C441&amp;"|"&amp;$E441,Scoring!$U:$U,0)),"")</f>
        <v>177</v>
      </c>
      <c r="AD441" s="15" t="str">
        <f aca="false">IFERROR(INDEX('Route of Administration'!$C$5:$C$155,MATCH($C441,'Route of Administration'!$A$5:$A$155,0)),"")</f>
        <v>IV, IM</v>
      </c>
      <c r="AE441" s="14" t="str">
        <f aca="false">IFERROR(INDEX('Route of Administration'!$D$5:$D$155,MATCH($C441,'Route of Administration'!$A$5:$A$155,0)),"")</f>
        <v>Yes</v>
      </c>
    </row>
    <row r="442" customFormat="false" ht="55.2" hidden="false" customHeight="false" outlineLevel="0" collapsed="false">
      <c r="B442" s="15" t="n">
        <v>440</v>
      </c>
      <c r="C442" s="15" t="s">
        <v>356</v>
      </c>
      <c r="D442" s="15" t="s">
        <v>2339</v>
      </c>
      <c r="E442" s="15" t="s">
        <v>894</v>
      </c>
      <c r="F442" s="15" t="s">
        <v>1822</v>
      </c>
      <c r="G442" s="16" t="s">
        <v>1823</v>
      </c>
      <c r="H442" s="15" t="s">
        <v>1505</v>
      </c>
      <c r="I442" s="17"/>
      <c r="J442" s="15" t="n">
        <v>1</v>
      </c>
      <c r="K442" s="15" t="n">
        <v>312</v>
      </c>
      <c r="L442" s="18" t="n">
        <v>59827.18</v>
      </c>
      <c r="M442" s="16" t="s">
        <v>357</v>
      </c>
      <c r="N442" s="17"/>
      <c r="O442" s="15" t="s">
        <v>1545</v>
      </c>
      <c r="P442" s="15" t="s">
        <v>70</v>
      </c>
      <c r="Q442" s="16" t="s">
        <v>70</v>
      </c>
      <c r="R442" s="15"/>
      <c r="S442" s="37" t="n">
        <f aca="false">IFERROR(INDEX('Injectable Value'!$Z$28:$Z$178,MATCH($C442,'Injectable Value'!$A$28:$A$178,0)),"")</f>
        <v>1</v>
      </c>
      <c r="T442" s="18" t="n">
        <f aca="false">IFERROR(ROUND(INDEX('Injectable Value'!$AA$28:$AA$178,MATCH($C442,'Injectable Value'!$A$28:$A$178,0)),1),"")</f>
        <v>59827.2</v>
      </c>
      <c r="U442" s="16" t="s">
        <v>963</v>
      </c>
      <c r="V442" s="15" t="n">
        <v>21</v>
      </c>
      <c r="W442" s="15" t="s">
        <v>754</v>
      </c>
      <c r="X442" s="15" t="s">
        <v>248</v>
      </c>
      <c r="Y442" s="15" t="s">
        <v>299</v>
      </c>
      <c r="Z442" s="16" t="str">
        <f aca="false">IFERROR(INDEX(Scoring!$K:$K,MATCH($C442&amp;"|"&amp;$E442,Scoring!$U:$U,0)),"")</f>
        <v>Reconstitution</v>
      </c>
      <c r="AA442" s="15" t="str">
        <f aca="false">IFERROR(INDEX(Scoring!$Q:$Q,MATCH($C442&amp;"|"&amp;$E442,Scoring!$U:$U,0)),"")</f>
        <v>Excluded – IV only</v>
      </c>
      <c r="AB442" s="15" t="str">
        <f aca="false">IFERROR(INDEX(Scoring!$AK:$AK,MATCH($C442&amp;"|"&amp;$E442,Scoring!$U:$U,0)),"")</f>
        <v>Excluded – IV only</v>
      </c>
      <c r="AC442" s="18" t="n">
        <f aca="false">IFERROR(INDEX(Scoring!$M:$M,MATCH($C442&amp;"|"&amp;$E442,Scoring!$U:$U,0)),"")</f>
        <v>312</v>
      </c>
      <c r="AD442" s="15" t="str">
        <f aca="false">IFERROR(INDEX('Route of Administration'!$C$5:$C$155,MATCH($C442,'Route of Administration'!$A$5:$A$155,0)),"")</f>
        <v>IV</v>
      </c>
      <c r="AE442" s="14" t="str">
        <f aca="false">IFERROR(INDEX('Route of Administration'!$D$5:$D$155,MATCH($C442,'Route of Administration'!$A$5:$A$155,0)),"")</f>
        <v>No</v>
      </c>
    </row>
    <row r="443" customFormat="false" ht="55.2" hidden="false" customHeight="false" outlineLevel="0" collapsed="false">
      <c r="B443" s="15" t="n">
        <v>441</v>
      </c>
      <c r="C443" s="15" t="s">
        <v>356</v>
      </c>
      <c r="D443" s="15" t="s">
        <v>2339</v>
      </c>
      <c r="E443" s="15" t="s">
        <v>894</v>
      </c>
      <c r="F443" s="15" t="s">
        <v>1757</v>
      </c>
      <c r="G443" s="16" t="s">
        <v>1758</v>
      </c>
      <c r="H443" s="15" t="s">
        <v>1505</v>
      </c>
      <c r="I443" s="17"/>
      <c r="J443" s="15" t="n">
        <v>1</v>
      </c>
      <c r="K443" s="15" t="n">
        <v>312</v>
      </c>
      <c r="L443" s="18" t="n">
        <v>59827.18</v>
      </c>
      <c r="M443" s="16" t="s">
        <v>357</v>
      </c>
      <c r="N443" s="17"/>
      <c r="O443" s="15" t="s">
        <v>1545</v>
      </c>
      <c r="P443" s="15" t="s">
        <v>70</v>
      </c>
      <c r="Q443" s="16" t="s">
        <v>70</v>
      </c>
      <c r="R443" s="15"/>
      <c r="S443" s="37" t="n">
        <f aca="false">IFERROR(INDEX('Injectable Value'!$Z$28:$Z$178,MATCH($C443,'Injectable Value'!$A$28:$A$178,0)),"")</f>
        <v>1</v>
      </c>
      <c r="T443" s="18" t="n">
        <f aca="false">IFERROR(ROUND(INDEX('Injectable Value'!$AA$28:$AA$178,MATCH($C443,'Injectable Value'!$A$28:$A$178,0)),1),"")</f>
        <v>59827.2</v>
      </c>
      <c r="U443" s="16" t="s">
        <v>963</v>
      </c>
      <c r="V443" s="15" t="n">
        <v>21</v>
      </c>
      <c r="W443" s="15" t="s">
        <v>754</v>
      </c>
      <c r="X443" s="15" t="s">
        <v>248</v>
      </c>
      <c r="Y443" s="15" t="s">
        <v>299</v>
      </c>
      <c r="Z443" s="16" t="str">
        <f aca="false">IFERROR(INDEX(Scoring!$K:$K,MATCH($C443&amp;"|"&amp;$E443,Scoring!$U:$U,0)),"")</f>
        <v>Reconstitution</v>
      </c>
      <c r="AA443" s="15" t="str">
        <f aca="false">IFERROR(INDEX(Scoring!$Q:$Q,MATCH($C443&amp;"|"&amp;$E443,Scoring!$U:$U,0)),"")</f>
        <v>Excluded – IV only</v>
      </c>
      <c r="AB443" s="15" t="str">
        <f aca="false">IFERROR(INDEX(Scoring!$AK:$AK,MATCH($C443&amp;"|"&amp;$E443,Scoring!$U:$U,0)),"")</f>
        <v>Excluded – IV only</v>
      </c>
      <c r="AC443" s="18" t="n">
        <f aca="false">IFERROR(INDEX(Scoring!$M:$M,MATCH($C443&amp;"|"&amp;$E443,Scoring!$U:$U,0)),"")</f>
        <v>312</v>
      </c>
      <c r="AD443" s="15" t="str">
        <f aca="false">IFERROR(INDEX('Route of Administration'!$C$5:$C$155,MATCH($C443,'Route of Administration'!$A$5:$A$155,0)),"")</f>
        <v>IV</v>
      </c>
      <c r="AE443" s="14" t="str">
        <f aca="false">IFERROR(INDEX('Route of Administration'!$D$5:$D$155,MATCH($C443,'Route of Administration'!$A$5:$A$155,0)),"")</f>
        <v>No</v>
      </c>
    </row>
    <row r="444" customFormat="false" ht="41.75" hidden="false" customHeight="false" outlineLevel="0" collapsed="false">
      <c r="B444" s="15" t="n">
        <v>442</v>
      </c>
      <c r="C444" s="15" t="s">
        <v>864</v>
      </c>
      <c r="D444" s="15" t="s">
        <v>2340</v>
      </c>
      <c r="E444" s="15" t="s">
        <v>894</v>
      </c>
      <c r="F444" s="15" t="s">
        <v>2341</v>
      </c>
      <c r="G444" s="16" t="s">
        <v>1836</v>
      </c>
      <c r="H444" s="15" t="s">
        <v>1505</v>
      </c>
      <c r="I444" s="17"/>
      <c r="J444" s="15" t="n">
        <v>1</v>
      </c>
      <c r="K444" s="15" t="n">
        <v>1683</v>
      </c>
      <c r="L444" s="18" t="n">
        <v>46739.27</v>
      </c>
      <c r="M444" s="16" t="s">
        <v>865</v>
      </c>
      <c r="N444" s="38" t="n">
        <v>1.08</v>
      </c>
      <c r="O444" s="22" t="s">
        <v>1513</v>
      </c>
      <c r="P444" s="15" t="s">
        <v>1507</v>
      </c>
      <c r="Q444" s="16" t="s">
        <v>2230</v>
      </c>
      <c r="R444" s="32" t="s">
        <v>2231</v>
      </c>
      <c r="S444" s="37" t="n">
        <f aca="false">IFERROR(INDEX('Injectable Value'!$Z$28:$Z$178,MATCH($C444,'Injectable Value'!$A$28:$A$178,0)),"")</f>
        <v>0.398200810013986</v>
      </c>
      <c r="T444" s="18" t="n">
        <f aca="false">IFERROR(ROUND(INDEX('Injectable Value'!$AA$28:$AA$178,MATCH($C444,'Injectable Value'!$A$28:$A$178,0)),1),"")</f>
        <v>18611.6</v>
      </c>
      <c r="U444" s="16" t="s">
        <v>1041</v>
      </c>
      <c r="V444" s="15" t="n">
        <v>9</v>
      </c>
      <c r="W444" s="15" t="s">
        <v>881</v>
      </c>
      <c r="X444" s="15" t="s">
        <v>316</v>
      </c>
      <c r="Y444" s="15" t="s">
        <v>249</v>
      </c>
      <c r="Z444" s="16" t="str">
        <f aca="false">IFERROR(INDEX(Scoring!$K:$K,MATCH($C444&amp;"|"&amp;$E444,Scoring!$U:$U,0)),"")</f>
        <v/>
      </c>
      <c r="AA444" s="15" t="str">
        <f aca="false">IFERROR(INDEX(Scoring!$Q:$Q,MATCH($C444&amp;"|"&amp;$E444,Scoring!$U:$U,0)),"")</f>
        <v>Excluded – price ≤ $5</v>
      </c>
      <c r="AB444" s="15" t="str">
        <f aca="false">IFERROR(INDEX(Scoring!$AK:$AK,MATCH($C444&amp;"|"&amp;$E444,Scoring!$U:$U,0)),"")</f>
        <v>Excluded – price ≤ $5</v>
      </c>
      <c r="AC444" s="18" t="n">
        <f aca="false">IFERROR(INDEX(Scoring!$M:$M,MATCH($C444&amp;"|"&amp;$E444,Scoring!$U:$U,0)),"")</f>
        <v>670</v>
      </c>
      <c r="AD444" s="15" t="str">
        <f aca="false">IFERROR(INDEX('Route of Administration'!$C$5:$C$155,MATCH($C444,'Route of Administration'!$A$5:$A$155,0)),"")</f>
        <v>IV, infiltration (ID, SC), perineural</v>
      </c>
      <c r="AE444" s="14" t="str">
        <f aca="false">IFERROR(INDEX('Route of Administration'!$D$5:$D$155,MATCH($C444,'Route of Administration'!$A$5:$A$155,0)),"")</f>
        <v>Yes</v>
      </c>
    </row>
    <row r="445" customFormat="false" ht="41.75" hidden="false" customHeight="false" outlineLevel="0" collapsed="false">
      <c r="B445" s="15" t="n">
        <v>443</v>
      </c>
      <c r="C445" s="15" t="s">
        <v>864</v>
      </c>
      <c r="D445" s="15" t="s">
        <v>2340</v>
      </c>
      <c r="E445" s="15" t="s">
        <v>894</v>
      </c>
      <c r="F445" s="15" t="s">
        <v>2342</v>
      </c>
      <c r="G445" s="16" t="s">
        <v>1952</v>
      </c>
      <c r="H445" s="15" t="s">
        <v>1505</v>
      </c>
      <c r="I445" s="17"/>
      <c r="J445" s="15" t="n">
        <v>1</v>
      </c>
      <c r="K445" s="15" t="n">
        <v>1683</v>
      </c>
      <c r="L445" s="18" t="n">
        <v>46739.27</v>
      </c>
      <c r="M445" s="16" t="s">
        <v>865</v>
      </c>
      <c r="N445" s="38" t="n">
        <v>1.98</v>
      </c>
      <c r="O445" s="22" t="s">
        <v>1513</v>
      </c>
      <c r="P445" s="15" t="s">
        <v>1507</v>
      </c>
      <c r="Q445" s="16" t="s">
        <v>2230</v>
      </c>
      <c r="R445" s="32" t="s">
        <v>2231</v>
      </c>
      <c r="S445" s="37" t="n">
        <f aca="false">IFERROR(INDEX('Injectable Value'!$Z$28:$Z$178,MATCH($C445,'Injectable Value'!$A$28:$A$178,0)),"")</f>
        <v>0.398200810013986</v>
      </c>
      <c r="T445" s="18" t="n">
        <f aca="false">IFERROR(ROUND(INDEX('Injectable Value'!$AA$28:$AA$178,MATCH($C445,'Injectable Value'!$A$28:$A$178,0)),1),"")</f>
        <v>18611.6</v>
      </c>
      <c r="U445" s="16" t="s">
        <v>1041</v>
      </c>
      <c r="V445" s="15" t="n">
        <v>9</v>
      </c>
      <c r="W445" s="15" t="s">
        <v>881</v>
      </c>
      <c r="X445" s="15" t="s">
        <v>248</v>
      </c>
      <c r="Y445" s="15" t="s">
        <v>1519</v>
      </c>
      <c r="Z445" s="16" t="str">
        <f aca="false">IFERROR(INDEX(Scoring!$K:$K,MATCH($C445&amp;"|"&amp;$E445,Scoring!$U:$U,0)),"")</f>
        <v/>
      </c>
      <c r="AA445" s="15" t="str">
        <f aca="false">IFERROR(INDEX(Scoring!$Q:$Q,MATCH($C445&amp;"|"&amp;$E445,Scoring!$U:$U,0)),"")</f>
        <v>Excluded – price ≤ $5</v>
      </c>
      <c r="AB445" s="15" t="str">
        <f aca="false">IFERROR(INDEX(Scoring!$AK:$AK,MATCH($C445&amp;"|"&amp;$E445,Scoring!$U:$U,0)),"")</f>
        <v>Excluded – price ≤ $5</v>
      </c>
      <c r="AC445" s="18" t="n">
        <f aca="false">IFERROR(INDEX(Scoring!$M:$M,MATCH($C445&amp;"|"&amp;$E445,Scoring!$U:$U,0)),"")</f>
        <v>670</v>
      </c>
      <c r="AD445" s="15" t="str">
        <f aca="false">IFERROR(INDEX('Route of Administration'!$C$5:$C$155,MATCH($C445,'Route of Administration'!$A$5:$A$155,0)),"")</f>
        <v>IV, infiltration (ID, SC), perineural</v>
      </c>
      <c r="AE445" s="14" t="str">
        <f aca="false">IFERROR(INDEX('Route of Administration'!$D$5:$D$155,MATCH($C445,'Route of Administration'!$A$5:$A$155,0)),"")</f>
        <v>Yes</v>
      </c>
    </row>
    <row r="446" customFormat="false" ht="41.75" hidden="false" customHeight="false" outlineLevel="0" collapsed="false">
      <c r="B446" s="15" t="n">
        <v>444</v>
      </c>
      <c r="C446" s="15" t="s">
        <v>864</v>
      </c>
      <c r="D446" s="15" t="s">
        <v>2343</v>
      </c>
      <c r="E446" s="15" t="s">
        <v>894</v>
      </c>
      <c r="F446" s="15" t="s">
        <v>2344</v>
      </c>
      <c r="G446" s="16" t="s">
        <v>2345</v>
      </c>
      <c r="H446" s="15" t="s">
        <v>1505</v>
      </c>
      <c r="I446" s="17"/>
      <c r="J446" s="15" t="n">
        <v>1</v>
      </c>
      <c r="K446" s="15" t="n">
        <v>1683</v>
      </c>
      <c r="L446" s="18" t="n">
        <v>46739.27</v>
      </c>
      <c r="M446" s="16" t="s">
        <v>865</v>
      </c>
      <c r="N446" s="38" t="n">
        <v>0.75</v>
      </c>
      <c r="O446" s="22" t="s">
        <v>1513</v>
      </c>
      <c r="P446" s="15" t="s">
        <v>1507</v>
      </c>
      <c r="Q446" s="16" t="s">
        <v>2230</v>
      </c>
      <c r="R446" s="32" t="s">
        <v>2231</v>
      </c>
      <c r="S446" s="37" t="n">
        <f aca="false">IFERROR(INDEX('Injectable Value'!$Z$28:$Z$178,MATCH($C446,'Injectable Value'!$A$28:$A$178,0)),"")</f>
        <v>0.398200810013986</v>
      </c>
      <c r="T446" s="18" t="n">
        <f aca="false">IFERROR(ROUND(INDEX('Injectable Value'!$AA$28:$AA$178,MATCH($C446,'Injectable Value'!$A$28:$A$178,0)),1),"")</f>
        <v>18611.6</v>
      </c>
      <c r="U446" s="16" t="s">
        <v>1041</v>
      </c>
      <c r="V446" s="15" t="n">
        <v>9</v>
      </c>
      <c r="W446" s="15" t="s">
        <v>881</v>
      </c>
      <c r="X446" s="15" t="s">
        <v>316</v>
      </c>
      <c r="Y446" s="15" t="s">
        <v>249</v>
      </c>
      <c r="Z446" s="16" t="str">
        <f aca="false">IFERROR(INDEX(Scoring!$K:$K,MATCH($C446&amp;"|"&amp;$E446,Scoring!$U:$U,0)),"")</f>
        <v/>
      </c>
      <c r="AA446" s="15" t="str">
        <f aca="false">IFERROR(INDEX(Scoring!$Q:$Q,MATCH($C446&amp;"|"&amp;$E446,Scoring!$U:$U,0)),"")</f>
        <v>Excluded – price ≤ $5</v>
      </c>
      <c r="AB446" s="15" t="str">
        <f aca="false">IFERROR(INDEX(Scoring!$AK:$AK,MATCH($C446&amp;"|"&amp;$E446,Scoring!$U:$U,0)),"")</f>
        <v>Excluded – price ≤ $5</v>
      </c>
      <c r="AC446" s="18" t="n">
        <f aca="false">IFERROR(INDEX(Scoring!$M:$M,MATCH($C446&amp;"|"&amp;$E446,Scoring!$U:$U,0)),"")</f>
        <v>670</v>
      </c>
      <c r="AD446" s="15" t="str">
        <f aca="false">IFERROR(INDEX('Route of Administration'!$C$5:$C$155,MATCH($C446,'Route of Administration'!$A$5:$A$155,0)),"")</f>
        <v>IV, infiltration (ID, SC), perineural</v>
      </c>
      <c r="AE446" s="14" t="str">
        <f aca="false">IFERROR(INDEX('Route of Administration'!$D$5:$D$155,MATCH($C446,'Route of Administration'!$A$5:$A$155,0)),"")</f>
        <v>Yes</v>
      </c>
    </row>
    <row r="447" customFormat="false" ht="41.75" hidden="false" customHeight="false" outlineLevel="0" collapsed="false">
      <c r="B447" s="15" t="n">
        <v>445</v>
      </c>
      <c r="C447" s="15" t="s">
        <v>864</v>
      </c>
      <c r="D447" s="15" t="s">
        <v>2343</v>
      </c>
      <c r="E447" s="15" t="s">
        <v>894</v>
      </c>
      <c r="F447" s="15" t="s">
        <v>2346</v>
      </c>
      <c r="G447" s="16" t="s">
        <v>1952</v>
      </c>
      <c r="H447" s="15" t="s">
        <v>1505</v>
      </c>
      <c r="I447" s="17"/>
      <c r="J447" s="15" t="n">
        <v>1</v>
      </c>
      <c r="K447" s="15" t="n">
        <v>1683</v>
      </c>
      <c r="L447" s="18" t="n">
        <v>46739.27</v>
      </c>
      <c r="M447" s="16" t="s">
        <v>865</v>
      </c>
      <c r="N447" s="38" t="n">
        <v>1.85</v>
      </c>
      <c r="O447" s="22" t="s">
        <v>1513</v>
      </c>
      <c r="P447" s="15" t="s">
        <v>1507</v>
      </c>
      <c r="Q447" s="16" t="s">
        <v>2230</v>
      </c>
      <c r="R447" s="32" t="s">
        <v>2231</v>
      </c>
      <c r="S447" s="37" t="n">
        <f aca="false">IFERROR(INDEX('Injectable Value'!$Z$28:$Z$178,MATCH($C447,'Injectable Value'!$A$28:$A$178,0)),"")</f>
        <v>0.398200810013986</v>
      </c>
      <c r="T447" s="18" t="n">
        <f aca="false">IFERROR(ROUND(INDEX('Injectable Value'!$AA$28:$AA$178,MATCH($C447,'Injectable Value'!$A$28:$A$178,0)),1),"")</f>
        <v>18611.6</v>
      </c>
      <c r="U447" s="16" t="s">
        <v>1041</v>
      </c>
      <c r="V447" s="15" t="n">
        <v>9</v>
      </c>
      <c r="W447" s="15" t="s">
        <v>881</v>
      </c>
      <c r="X447" s="15" t="s">
        <v>248</v>
      </c>
      <c r="Y447" s="15" t="s">
        <v>1519</v>
      </c>
      <c r="Z447" s="16" t="str">
        <f aca="false">IFERROR(INDEX(Scoring!$K:$K,MATCH($C447&amp;"|"&amp;$E447,Scoring!$U:$U,0)),"")</f>
        <v/>
      </c>
      <c r="AA447" s="15" t="str">
        <f aca="false">IFERROR(INDEX(Scoring!$Q:$Q,MATCH($C447&amp;"|"&amp;$E447,Scoring!$U:$U,0)),"")</f>
        <v>Excluded – price ≤ $5</v>
      </c>
      <c r="AB447" s="15" t="str">
        <f aca="false">IFERROR(INDEX(Scoring!$AK:$AK,MATCH($C447&amp;"|"&amp;$E447,Scoring!$U:$U,0)),"")</f>
        <v>Excluded – price ≤ $5</v>
      </c>
      <c r="AC447" s="18" t="n">
        <f aca="false">IFERROR(INDEX(Scoring!$M:$M,MATCH($C447&amp;"|"&amp;$E447,Scoring!$U:$U,0)),"")</f>
        <v>670</v>
      </c>
      <c r="AD447" s="15" t="str">
        <f aca="false">IFERROR(INDEX('Route of Administration'!$C$5:$C$155,MATCH($C447,'Route of Administration'!$A$5:$A$155,0)),"")</f>
        <v>IV, infiltration (ID, SC), perineural</v>
      </c>
      <c r="AE447" s="14" t="str">
        <f aca="false">IFERROR(INDEX('Route of Administration'!$D$5:$D$155,MATCH($C447,'Route of Administration'!$A$5:$A$155,0)),"")</f>
        <v>Yes</v>
      </c>
    </row>
    <row r="448" customFormat="false" ht="68.65" hidden="false" customHeight="false" outlineLevel="0" collapsed="false">
      <c r="B448" s="15" t="n">
        <v>446</v>
      </c>
      <c r="C448" s="15" t="s">
        <v>954</v>
      </c>
      <c r="D448" s="15" t="s">
        <v>2347</v>
      </c>
      <c r="E448" s="15" t="s">
        <v>894</v>
      </c>
      <c r="F448" s="15" t="s">
        <v>2348</v>
      </c>
      <c r="G448" s="16" t="s">
        <v>2349</v>
      </c>
      <c r="H448" s="15" t="s">
        <v>1505</v>
      </c>
      <c r="I448" s="17"/>
      <c r="J448" s="15" t="n">
        <v>1</v>
      </c>
      <c r="K448" s="15" t="n">
        <v>799</v>
      </c>
      <c r="L448" s="18" t="n">
        <v>7738.99</v>
      </c>
      <c r="M448" s="16" t="s">
        <v>955</v>
      </c>
      <c r="N448" s="17"/>
      <c r="O448" s="15" t="s">
        <v>1545</v>
      </c>
      <c r="P448" s="15" t="s">
        <v>70</v>
      </c>
      <c r="Q448" s="16" t="s">
        <v>70</v>
      </c>
      <c r="R448" s="15"/>
      <c r="S448" s="37" t="n">
        <f aca="false">IFERROR(INDEX('Injectable Value'!$Z$28:$Z$178,MATCH($C448,'Injectable Value'!$A$28:$A$178,0)),"")</f>
        <v>1</v>
      </c>
      <c r="T448" s="18" t="n">
        <f aca="false">IFERROR(ROUND(INDEX('Injectable Value'!$AA$28:$AA$178,MATCH($C448,'Injectable Value'!$A$28:$A$178,0)),1),"")</f>
        <v>7739</v>
      </c>
      <c r="U448" s="16" t="s">
        <v>959</v>
      </c>
      <c r="V448" s="15" t="n">
        <v>28</v>
      </c>
      <c r="W448" s="15" t="s">
        <v>298</v>
      </c>
      <c r="X448" s="15" t="s">
        <v>248</v>
      </c>
      <c r="Y448" s="15" t="s">
        <v>1519</v>
      </c>
      <c r="Z448" s="16" t="str">
        <f aca="false">IFERROR(INDEX(Scoring!$K:$K,MATCH($C448&amp;"|"&amp;$E448,Scoring!$U:$U,0)),"")</f>
        <v>Cancer drug (cytotoxic) – less relevant</v>
      </c>
      <c r="AA448" s="15" t="str">
        <f aca="false">IFERROR(INDEX(Scoring!$Q:$Q,MATCH($C448&amp;"|"&amp;$E448,Scoring!$U:$U,0)),"")</f>
        <v>Priority 2</v>
      </c>
      <c r="AB448" s="15" t="str">
        <f aca="false">IFERROR(INDEX(Scoring!$AK:$AK,MATCH($C448&amp;"|"&amp;$E448,Scoring!$U:$U,0)),"")</f>
        <v>Priority 2</v>
      </c>
      <c r="AC448" s="18" t="n">
        <f aca="false">IFERROR(INDEX(Scoring!$M:$M,MATCH($C448&amp;"|"&amp;$E448,Scoring!$U:$U,0)),"")</f>
        <v>799</v>
      </c>
      <c r="AD448" s="15" t="str">
        <f aca="false">IFERROR(INDEX('Route of Administration'!$C$5:$C$155,MATCH($C448,'Route of Administration'!$A$5:$A$155,0)),"")</f>
        <v>IV, SC</v>
      </c>
      <c r="AE448" s="14" t="str">
        <f aca="false">IFERROR(INDEX('Route of Administration'!$D$5:$D$155,MATCH($C448,'Route of Administration'!$A$5:$A$155,0)),"")</f>
        <v>Yes</v>
      </c>
    </row>
    <row r="449" customFormat="false" ht="68.65" hidden="false" customHeight="false" outlineLevel="0" collapsed="false">
      <c r="B449" s="15" t="n">
        <v>447</v>
      </c>
      <c r="C449" s="15" t="s">
        <v>954</v>
      </c>
      <c r="D449" s="15" t="s">
        <v>2350</v>
      </c>
      <c r="E449" s="15" t="s">
        <v>894</v>
      </c>
      <c r="F449" s="15" t="s">
        <v>2341</v>
      </c>
      <c r="G449" s="16" t="s">
        <v>1820</v>
      </c>
      <c r="H449" s="15" t="s">
        <v>1505</v>
      </c>
      <c r="I449" s="17" t="n">
        <v>7.98</v>
      </c>
      <c r="J449" s="15" t="n">
        <v>1</v>
      </c>
      <c r="K449" s="15" t="n">
        <v>799</v>
      </c>
      <c r="L449" s="18" t="n">
        <v>7738.99</v>
      </c>
      <c r="M449" s="16" t="s">
        <v>955</v>
      </c>
      <c r="N449" s="17" t="n">
        <v>7.98</v>
      </c>
      <c r="O449" s="15" t="s">
        <v>1506</v>
      </c>
      <c r="P449" s="15" t="s">
        <v>1507</v>
      </c>
      <c r="Q449" s="16" t="s">
        <v>1508</v>
      </c>
      <c r="R449" s="32" t="s">
        <v>1776</v>
      </c>
      <c r="S449" s="37" t="n">
        <f aca="false">IFERROR(INDEX('Injectable Value'!$Z$28:$Z$178,MATCH($C449,'Injectable Value'!$A$28:$A$178,0)),"")</f>
        <v>1</v>
      </c>
      <c r="T449" s="18" t="n">
        <f aca="false">IFERROR(ROUND(INDEX('Injectable Value'!$AA$28:$AA$178,MATCH($C449,'Injectable Value'!$A$28:$A$178,0)),1),"")</f>
        <v>7739</v>
      </c>
      <c r="U449" s="16" t="s">
        <v>959</v>
      </c>
      <c r="V449" s="15" t="n">
        <v>28</v>
      </c>
      <c r="W449" s="15" t="s">
        <v>298</v>
      </c>
      <c r="X449" s="15" t="s">
        <v>248</v>
      </c>
      <c r="Y449" s="15" t="s">
        <v>249</v>
      </c>
      <c r="Z449" s="16" t="str">
        <f aca="false">IFERROR(INDEX(Scoring!$K:$K,MATCH($C449&amp;"|"&amp;$E449,Scoring!$U:$U,0)),"")</f>
        <v>Cancer drug (cytotoxic) – less relevant</v>
      </c>
      <c r="AA449" s="15" t="str">
        <f aca="false">IFERROR(INDEX(Scoring!$Q:$Q,MATCH($C449&amp;"|"&amp;$E449,Scoring!$U:$U,0)),"")</f>
        <v>Priority 2</v>
      </c>
      <c r="AB449" s="15" t="str">
        <f aca="false">IFERROR(INDEX(Scoring!$AK:$AK,MATCH($C449&amp;"|"&amp;$E449,Scoring!$U:$U,0)),"")</f>
        <v>Priority 2</v>
      </c>
      <c r="AC449" s="18" t="n">
        <f aca="false">IFERROR(INDEX(Scoring!$M:$M,MATCH($C449&amp;"|"&amp;$E449,Scoring!$U:$U,0)),"")</f>
        <v>799</v>
      </c>
      <c r="AD449" s="15" t="str">
        <f aca="false">IFERROR(INDEX('Route of Administration'!$C$5:$C$155,MATCH($C449,'Route of Administration'!$A$5:$A$155,0)),"")</f>
        <v>IV, SC</v>
      </c>
      <c r="AE449" s="14" t="str">
        <f aca="false">IFERROR(INDEX('Route of Administration'!$D$5:$D$155,MATCH($C449,'Route of Administration'!$A$5:$A$155,0)),"")</f>
        <v>Yes</v>
      </c>
    </row>
    <row r="450" customFormat="false" ht="68.65" hidden="false" customHeight="false" outlineLevel="0" collapsed="false">
      <c r="B450" s="15" t="n">
        <v>448</v>
      </c>
      <c r="C450" s="15" t="s">
        <v>954</v>
      </c>
      <c r="D450" s="15" t="s">
        <v>2347</v>
      </c>
      <c r="E450" s="15" t="s">
        <v>894</v>
      </c>
      <c r="F450" s="15" t="s">
        <v>2351</v>
      </c>
      <c r="G450" s="16" t="s">
        <v>1952</v>
      </c>
      <c r="H450" s="15" t="s">
        <v>1505</v>
      </c>
      <c r="I450" s="17"/>
      <c r="J450" s="15" t="n">
        <v>1</v>
      </c>
      <c r="K450" s="15" t="n">
        <v>799</v>
      </c>
      <c r="L450" s="18" t="n">
        <v>7738.99</v>
      </c>
      <c r="M450" s="16" t="s">
        <v>955</v>
      </c>
      <c r="N450" s="17"/>
      <c r="O450" s="15" t="s">
        <v>1545</v>
      </c>
      <c r="P450" s="15" t="s">
        <v>70</v>
      </c>
      <c r="Q450" s="16" t="s">
        <v>70</v>
      </c>
      <c r="R450" s="15"/>
      <c r="S450" s="37" t="n">
        <f aca="false">IFERROR(INDEX('Injectable Value'!$Z$28:$Z$178,MATCH($C450,'Injectable Value'!$A$28:$A$178,0)),"")</f>
        <v>1</v>
      </c>
      <c r="T450" s="18" t="n">
        <f aca="false">IFERROR(ROUND(INDEX('Injectable Value'!$AA$28:$AA$178,MATCH($C450,'Injectable Value'!$A$28:$A$178,0)),1),"")</f>
        <v>7739</v>
      </c>
      <c r="U450" s="16" t="s">
        <v>959</v>
      </c>
      <c r="V450" s="15" t="n">
        <v>28</v>
      </c>
      <c r="W450" s="15" t="s">
        <v>298</v>
      </c>
      <c r="X450" s="15" t="s">
        <v>248</v>
      </c>
      <c r="Y450" s="15" t="s">
        <v>1519</v>
      </c>
      <c r="Z450" s="16" t="str">
        <f aca="false">IFERROR(INDEX(Scoring!$K:$K,MATCH($C450&amp;"|"&amp;$E450,Scoring!$U:$U,0)),"")</f>
        <v>Cancer drug (cytotoxic) – less relevant</v>
      </c>
      <c r="AA450" s="15" t="str">
        <f aca="false">IFERROR(INDEX(Scoring!$Q:$Q,MATCH($C450&amp;"|"&amp;$E450,Scoring!$U:$U,0)),"")</f>
        <v>Priority 2</v>
      </c>
      <c r="AB450" s="15" t="str">
        <f aca="false">IFERROR(INDEX(Scoring!$AK:$AK,MATCH($C450&amp;"|"&amp;$E450,Scoring!$U:$U,0)),"")</f>
        <v>Priority 2</v>
      </c>
      <c r="AC450" s="18" t="n">
        <f aca="false">IFERROR(INDEX(Scoring!$M:$M,MATCH($C450&amp;"|"&amp;$E450,Scoring!$U:$U,0)),"")</f>
        <v>799</v>
      </c>
      <c r="AD450" s="15" t="str">
        <f aca="false">IFERROR(INDEX('Route of Administration'!$C$5:$C$155,MATCH($C450,'Route of Administration'!$A$5:$A$155,0)),"")</f>
        <v>IV, SC</v>
      </c>
      <c r="AE450" s="14" t="str">
        <f aca="false">IFERROR(INDEX('Route of Administration'!$D$5:$D$155,MATCH($C450,'Route of Administration'!$A$5:$A$155,0)),"")</f>
        <v>Yes</v>
      </c>
    </row>
    <row r="451" customFormat="false" ht="68.65" hidden="false" customHeight="false" outlineLevel="0" collapsed="false">
      <c r="B451" s="15" t="n">
        <v>449</v>
      </c>
      <c r="C451" s="15" t="s">
        <v>954</v>
      </c>
      <c r="D451" s="15" t="s">
        <v>2347</v>
      </c>
      <c r="E451" s="15" t="s">
        <v>894</v>
      </c>
      <c r="F451" s="15" t="s">
        <v>1819</v>
      </c>
      <c r="G451" s="16" t="s">
        <v>1820</v>
      </c>
      <c r="H451" s="15" t="s">
        <v>1505</v>
      </c>
      <c r="I451" s="17"/>
      <c r="J451" s="15" t="n">
        <v>1</v>
      </c>
      <c r="K451" s="15" t="n">
        <v>799</v>
      </c>
      <c r="L451" s="18" t="n">
        <v>7738.99</v>
      </c>
      <c r="M451" s="16" t="s">
        <v>955</v>
      </c>
      <c r="N451" s="17"/>
      <c r="O451" s="15" t="s">
        <v>1545</v>
      </c>
      <c r="P451" s="15" t="s">
        <v>70</v>
      </c>
      <c r="Q451" s="16" t="s">
        <v>70</v>
      </c>
      <c r="R451" s="15"/>
      <c r="S451" s="37" t="n">
        <f aca="false">IFERROR(INDEX('Injectable Value'!$Z$28:$Z$178,MATCH($C451,'Injectable Value'!$A$28:$A$178,0)),"")</f>
        <v>1</v>
      </c>
      <c r="T451" s="18" t="n">
        <f aca="false">IFERROR(ROUND(INDEX('Injectable Value'!$AA$28:$AA$178,MATCH($C451,'Injectable Value'!$A$28:$A$178,0)),1),"")</f>
        <v>7739</v>
      </c>
      <c r="U451" s="16" t="s">
        <v>959</v>
      </c>
      <c r="V451" s="15" t="n">
        <v>28</v>
      </c>
      <c r="W451" s="15" t="s">
        <v>298</v>
      </c>
      <c r="X451" s="15" t="s">
        <v>248</v>
      </c>
      <c r="Y451" s="15" t="s">
        <v>249</v>
      </c>
      <c r="Z451" s="16" t="str">
        <f aca="false">IFERROR(INDEX(Scoring!$K:$K,MATCH($C451&amp;"|"&amp;$E451,Scoring!$U:$U,0)),"")</f>
        <v>Cancer drug (cytotoxic) – less relevant</v>
      </c>
      <c r="AA451" s="15" t="str">
        <f aca="false">IFERROR(INDEX(Scoring!$Q:$Q,MATCH($C451&amp;"|"&amp;$E451,Scoring!$U:$U,0)),"")</f>
        <v>Priority 2</v>
      </c>
      <c r="AB451" s="15" t="str">
        <f aca="false">IFERROR(INDEX(Scoring!$AK:$AK,MATCH($C451&amp;"|"&amp;$E451,Scoring!$U:$U,0)),"")</f>
        <v>Priority 2</v>
      </c>
      <c r="AC451" s="18" t="n">
        <f aca="false">IFERROR(INDEX(Scoring!$M:$M,MATCH($C451&amp;"|"&amp;$E451,Scoring!$U:$U,0)),"")</f>
        <v>799</v>
      </c>
      <c r="AD451" s="15" t="str">
        <f aca="false">IFERROR(INDEX('Route of Administration'!$C$5:$C$155,MATCH($C451,'Route of Administration'!$A$5:$A$155,0)),"")</f>
        <v>IV, SC</v>
      </c>
      <c r="AE451" s="14" t="str">
        <f aca="false">IFERROR(INDEX('Route of Administration'!$D$5:$D$155,MATCH($C451,'Route of Administration'!$A$5:$A$155,0)),"")</f>
        <v>Yes</v>
      </c>
    </row>
    <row r="452" customFormat="false" ht="68.65" hidden="false" customHeight="false" outlineLevel="0" collapsed="false">
      <c r="B452" s="15" t="n">
        <v>450</v>
      </c>
      <c r="C452" s="15" t="s">
        <v>954</v>
      </c>
      <c r="D452" s="15" t="s">
        <v>2350</v>
      </c>
      <c r="E452" s="15" t="s">
        <v>894</v>
      </c>
      <c r="F452" s="15" t="s">
        <v>2344</v>
      </c>
      <c r="G452" s="16" t="s">
        <v>1818</v>
      </c>
      <c r="H452" s="15" t="s">
        <v>1505</v>
      </c>
      <c r="I452" s="17"/>
      <c r="J452" s="15" t="n">
        <v>1</v>
      </c>
      <c r="K452" s="15" t="n">
        <v>799</v>
      </c>
      <c r="L452" s="18" t="n">
        <v>7738.99</v>
      </c>
      <c r="M452" s="16" t="s">
        <v>955</v>
      </c>
      <c r="N452" s="17"/>
      <c r="O452" s="15" t="s">
        <v>1545</v>
      </c>
      <c r="P452" s="15" t="s">
        <v>70</v>
      </c>
      <c r="Q452" s="16" t="s">
        <v>70</v>
      </c>
      <c r="R452" s="15"/>
      <c r="S452" s="37" t="n">
        <f aca="false">IFERROR(INDEX('Injectable Value'!$Z$28:$Z$178,MATCH($C452,'Injectable Value'!$A$28:$A$178,0)),"")</f>
        <v>1</v>
      </c>
      <c r="T452" s="18" t="n">
        <f aca="false">IFERROR(ROUND(INDEX('Injectable Value'!$AA$28:$AA$178,MATCH($C452,'Injectable Value'!$A$28:$A$178,0)),1),"")</f>
        <v>7739</v>
      </c>
      <c r="U452" s="16" t="s">
        <v>959</v>
      </c>
      <c r="V452" s="15" t="n">
        <v>28</v>
      </c>
      <c r="W452" s="15" t="s">
        <v>298</v>
      </c>
      <c r="X452" s="15" t="s">
        <v>248</v>
      </c>
      <c r="Y452" s="15" t="s">
        <v>249</v>
      </c>
      <c r="Z452" s="16" t="str">
        <f aca="false">IFERROR(INDEX(Scoring!$K:$K,MATCH($C452&amp;"|"&amp;$E452,Scoring!$U:$U,0)),"")</f>
        <v>Cancer drug (cytotoxic) – less relevant</v>
      </c>
      <c r="AA452" s="15" t="str">
        <f aca="false">IFERROR(INDEX(Scoring!$Q:$Q,MATCH($C452&amp;"|"&amp;$E452,Scoring!$U:$U,0)),"")</f>
        <v>Priority 2</v>
      </c>
      <c r="AB452" s="15" t="str">
        <f aca="false">IFERROR(INDEX(Scoring!$AK:$AK,MATCH($C452&amp;"|"&amp;$E452,Scoring!$U:$U,0)),"")</f>
        <v>Priority 2</v>
      </c>
      <c r="AC452" s="18" t="n">
        <f aca="false">IFERROR(INDEX(Scoring!$M:$M,MATCH($C452&amp;"|"&amp;$E452,Scoring!$U:$U,0)),"")</f>
        <v>799</v>
      </c>
      <c r="AD452" s="15" t="str">
        <f aca="false">IFERROR(INDEX('Route of Administration'!$C$5:$C$155,MATCH($C452,'Route of Administration'!$A$5:$A$155,0)),"")</f>
        <v>IV, SC</v>
      </c>
      <c r="AE452" s="14" t="str">
        <f aca="false">IFERROR(INDEX('Route of Administration'!$D$5:$D$155,MATCH($C452,'Route of Administration'!$A$5:$A$155,0)),"")</f>
        <v>Yes</v>
      </c>
    </row>
    <row r="453" customFormat="false" ht="68.65" hidden="false" customHeight="false" outlineLevel="0" collapsed="false">
      <c r="B453" s="15" t="n">
        <v>451</v>
      </c>
      <c r="C453" s="15" t="s">
        <v>954</v>
      </c>
      <c r="D453" s="15" t="s">
        <v>2347</v>
      </c>
      <c r="E453" s="15" t="s">
        <v>894</v>
      </c>
      <c r="F453" s="15" t="s">
        <v>2352</v>
      </c>
      <c r="G453" s="16" t="s">
        <v>1877</v>
      </c>
      <c r="H453" s="15" t="s">
        <v>1505</v>
      </c>
      <c r="I453" s="17"/>
      <c r="J453" s="15" t="n">
        <v>1</v>
      </c>
      <c r="K453" s="15" t="n">
        <v>799</v>
      </c>
      <c r="L453" s="18" t="n">
        <v>7738.99</v>
      </c>
      <c r="M453" s="16" t="s">
        <v>955</v>
      </c>
      <c r="N453" s="17"/>
      <c r="O453" s="15" t="s">
        <v>1545</v>
      </c>
      <c r="P453" s="15" t="s">
        <v>70</v>
      </c>
      <c r="Q453" s="16" t="s">
        <v>70</v>
      </c>
      <c r="R453" s="15"/>
      <c r="S453" s="37" t="n">
        <f aca="false">IFERROR(INDEX('Injectable Value'!$Z$28:$Z$178,MATCH($C453,'Injectable Value'!$A$28:$A$178,0)),"")</f>
        <v>1</v>
      </c>
      <c r="T453" s="18" t="n">
        <f aca="false">IFERROR(ROUND(INDEX('Injectable Value'!$AA$28:$AA$178,MATCH($C453,'Injectable Value'!$A$28:$A$178,0)),1),"")</f>
        <v>7739</v>
      </c>
      <c r="U453" s="16" t="s">
        <v>959</v>
      </c>
      <c r="V453" s="15" t="n">
        <v>28</v>
      </c>
      <c r="W453" s="15" t="s">
        <v>298</v>
      </c>
      <c r="X453" s="15" t="s">
        <v>248</v>
      </c>
      <c r="Y453" s="15" t="s">
        <v>249</v>
      </c>
      <c r="Z453" s="16" t="str">
        <f aca="false">IFERROR(INDEX(Scoring!$K:$K,MATCH($C453&amp;"|"&amp;$E453,Scoring!$U:$U,0)),"")</f>
        <v>Cancer drug (cytotoxic) – less relevant</v>
      </c>
      <c r="AA453" s="15" t="str">
        <f aca="false">IFERROR(INDEX(Scoring!$Q:$Q,MATCH($C453&amp;"|"&amp;$E453,Scoring!$U:$U,0)),"")</f>
        <v>Priority 2</v>
      </c>
      <c r="AB453" s="15" t="str">
        <f aca="false">IFERROR(INDEX(Scoring!$AK:$AK,MATCH($C453&amp;"|"&amp;$E453,Scoring!$U:$U,0)),"")</f>
        <v>Priority 2</v>
      </c>
      <c r="AC453" s="18" t="n">
        <f aca="false">IFERROR(INDEX(Scoring!$M:$M,MATCH($C453&amp;"|"&amp;$E453,Scoring!$U:$U,0)),"")</f>
        <v>799</v>
      </c>
      <c r="AD453" s="15" t="str">
        <f aca="false">IFERROR(INDEX('Route of Administration'!$C$5:$C$155,MATCH($C453,'Route of Administration'!$A$5:$A$155,0)),"")</f>
        <v>IV, SC</v>
      </c>
      <c r="AE453" s="14" t="str">
        <f aca="false">IFERROR(INDEX('Route of Administration'!$D$5:$D$155,MATCH($C453,'Route of Administration'!$A$5:$A$155,0)),"")</f>
        <v>Yes</v>
      </c>
    </row>
    <row r="454" customFormat="false" ht="68.65" hidden="false" customHeight="false" outlineLevel="0" collapsed="false">
      <c r="B454" s="15" t="n">
        <v>452</v>
      </c>
      <c r="C454" s="15" t="s">
        <v>954</v>
      </c>
      <c r="D454" s="15" t="s">
        <v>2347</v>
      </c>
      <c r="E454" s="15" t="s">
        <v>894</v>
      </c>
      <c r="F454" s="15" t="s">
        <v>2353</v>
      </c>
      <c r="G454" s="16" t="s">
        <v>2354</v>
      </c>
      <c r="H454" s="15" t="s">
        <v>1505</v>
      </c>
      <c r="I454" s="17"/>
      <c r="J454" s="15" t="n">
        <v>1</v>
      </c>
      <c r="K454" s="15" t="n">
        <v>799</v>
      </c>
      <c r="L454" s="18" t="n">
        <v>7738.99</v>
      </c>
      <c r="M454" s="16" t="s">
        <v>955</v>
      </c>
      <c r="N454" s="17"/>
      <c r="O454" s="15" t="s">
        <v>1545</v>
      </c>
      <c r="P454" s="15" t="s">
        <v>70</v>
      </c>
      <c r="Q454" s="16" t="s">
        <v>70</v>
      </c>
      <c r="R454" s="15"/>
      <c r="S454" s="37" t="n">
        <f aca="false">IFERROR(INDEX('Injectable Value'!$Z$28:$Z$178,MATCH($C454,'Injectable Value'!$A$28:$A$178,0)),"")</f>
        <v>1</v>
      </c>
      <c r="T454" s="18" t="n">
        <f aca="false">IFERROR(ROUND(INDEX('Injectable Value'!$AA$28:$AA$178,MATCH($C454,'Injectable Value'!$A$28:$A$178,0)),1),"")</f>
        <v>7739</v>
      </c>
      <c r="U454" s="16" t="s">
        <v>959</v>
      </c>
      <c r="V454" s="15" t="n">
        <v>28</v>
      </c>
      <c r="W454" s="15" t="s">
        <v>298</v>
      </c>
      <c r="X454" s="15" t="s">
        <v>248</v>
      </c>
      <c r="Y454" s="15" t="s">
        <v>1519</v>
      </c>
      <c r="Z454" s="16" t="str">
        <f aca="false">IFERROR(INDEX(Scoring!$K:$K,MATCH($C454&amp;"|"&amp;$E454,Scoring!$U:$U,0)),"")</f>
        <v>Cancer drug (cytotoxic) – less relevant</v>
      </c>
      <c r="AA454" s="15" t="str">
        <f aca="false">IFERROR(INDEX(Scoring!$Q:$Q,MATCH($C454&amp;"|"&amp;$E454,Scoring!$U:$U,0)),"")</f>
        <v>Priority 2</v>
      </c>
      <c r="AB454" s="15" t="str">
        <f aca="false">IFERROR(INDEX(Scoring!$AK:$AK,MATCH($C454&amp;"|"&amp;$E454,Scoring!$U:$U,0)),"")</f>
        <v>Priority 2</v>
      </c>
      <c r="AC454" s="18" t="n">
        <f aca="false">IFERROR(INDEX(Scoring!$M:$M,MATCH($C454&amp;"|"&amp;$E454,Scoring!$U:$U,0)),"")</f>
        <v>799</v>
      </c>
      <c r="AD454" s="15" t="str">
        <f aca="false">IFERROR(INDEX('Route of Administration'!$C$5:$C$155,MATCH($C454,'Route of Administration'!$A$5:$A$155,0)),"")</f>
        <v>IV, SC</v>
      </c>
      <c r="AE454" s="14" t="str">
        <f aca="false">IFERROR(INDEX('Route of Administration'!$D$5:$D$155,MATCH($C454,'Route of Administration'!$A$5:$A$155,0)),"")</f>
        <v>Yes</v>
      </c>
    </row>
    <row r="455" customFormat="false" ht="82.05" hidden="false" customHeight="false" outlineLevel="0" collapsed="false">
      <c r="B455" s="15" t="n">
        <v>453</v>
      </c>
      <c r="C455" s="15" t="s">
        <v>296</v>
      </c>
      <c r="D455" s="15" t="s">
        <v>2355</v>
      </c>
      <c r="E455" s="15" t="s">
        <v>894</v>
      </c>
      <c r="F455" s="15" t="s">
        <v>1771</v>
      </c>
      <c r="G455" s="16" t="s">
        <v>1772</v>
      </c>
      <c r="H455" s="15" t="s">
        <v>1505</v>
      </c>
      <c r="I455" s="17" t="n">
        <v>10.241</v>
      </c>
      <c r="J455" s="15" t="n">
        <v>1</v>
      </c>
      <c r="K455" s="15" t="n">
        <v>762</v>
      </c>
      <c r="L455" s="18" t="n">
        <v>50865.56</v>
      </c>
      <c r="M455" s="16" t="s">
        <v>297</v>
      </c>
      <c r="N455" s="17" t="n">
        <v>10.241</v>
      </c>
      <c r="O455" s="15" t="s">
        <v>1506</v>
      </c>
      <c r="P455" s="15" t="s">
        <v>1672</v>
      </c>
      <c r="Q455" s="16" t="s">
        <v>1508</v>
      </c>
      <c r="R455" s="32" t="s">
        <v>1769</v>
      </c>
      <c r="S455" s="37" t="n">
        <f aca="false">IFERROR(INDEX('Injectable Value'!$Z$28:$Z$178,MATCH($C455,'Injectable Value'!$A$28:$A$178,0)),"")</f>
        <v>0.829278792417718</v>
      </c>
      <c r="T455" s="18" t="n">
        <f aca="false">IFERROR(ROUND(INDEX('Injectable Value'!$AA$28:$AA$178,MATCH($C455,'Injectable Value'!$A$28:$A$178,0)),1),"")</f>
        <v>42181.7</v>
      </c>
      <c r="U455" s="16" t="s">
        <v>919</v>
      </c>
      <c r="V455" s="15" t="n">
        <v>32</v>
      </c>
      <c r="W455" s="15" t="s">
        <v>423</v>
      </c>
      <c r="X455" s="15" t="s">
        <v>248</v>
      </c>
      <c r="Y455" s="15" t="s">
        <v>299</v>
      </c>
      <c r="Z455" s="16" t="str">
        <f aca="false">IFERROR(INDEX(Scoring!$K:$K,MATCH($C455&amp;"|"&amp;$E455,Scoring!$U:$U,0)),"")</f>
        <v>Cancer drug (cytotoxic) – less relevant; Reconstitution</v>
      </c>
      <c r="AA455" s="15" t="str">
        <f aca="false">IFERROR(INDEX(Scoring!$Q:$Q,MATCH($C455&amp;"|"&amp;$E455,Scoring!$U:$U,0)),"")</f>
        <v>Priority 1</v>
      </c>
      <c r="AB455" s="15" t="str">
        <f aca="false">IFERROR(INDEX(Scoring!$AK:$AK,MATCH($C455&amp;"|"&amp;$E455,Scoring!$U:$U,0)),"")</f>
        <v>Priority 1</v>
      </c>
      <c r="AC455" s="18" t="n">
        <f aca="false">IFERROR(INDEX(Scoring!$M:$M,MATCH($C455&amp;"|"&amp;$E455,Scoring!$U:$U,0)),"")</f>
        <v>632</v>
      </c>
      <c r="AD455" s="15" t="str">
        <f aca="false">IFERROR(INDEX('Route of Administration'!$C$5:$C$155,MATCH($C455,'Route of Administration'!$A$5:$A$155,0)),"")</f>
        <v>IV, SC</v>
      </c>
      <c r="AE455" s="14" t="str">
        <f aca="false">IFERROR(INDEX('Route of Administration'!$D$5:$D$155,MATCH($C455,'Route of Administration'!$A$5:$A$155,0)),"")</f>
        <v>Yes</v>
      </c>
    </row>
    <row r="456" customFormat="false" ht="41.75" hidden="false" customHeight="false" outlineLevel="0" collapsed="false">
      <c r="B456" s="15" t="n">
        <v>454</v>
      </c>
      <c r="C456" s="15" t="s">
        <v>858</v>
      </c>
      <c r="D456" s="15" t="s">
        <v>1019</v>
      </c>
      <c r="E456" s="15" t="s">
        <v>894</v>
      </c>
      <c r="F456" s="15" t="s">
        <v>2356</v>
      </c>
      <c r="G456" s="16" t="s">
        <v>2357</v>
      </c>
      <c r="H456" s="15" t="s">
        <v>1505</v>
      </c>
      <c r="I456" s="17"/>
      <c r="J456" s="15" t="n">
        <v>1</v>
      </c>
      <c r="K456" s="15" t="n">
        <v>286</v>
      </c>
      <c r="L456" s="18" t="n">
        <v>3193.58</v>
      </c>
      <c r="M456" s="16" t="s">
        <v>859</v>
      </c>
      <c r="N456" s="38" t="n">
        <v>3</v>
      </c>
      <c r="O456" s="22" t="s">
        <v>1513</v>
      </c>
      <c r="P456" s="15" t="s">
        <v>1507</v>
      </c>
      <c r="Q456" s="16" t="s">
        <v>2230</v>
      </c>
      <c r="R456" s="32" t="s">
        <v>2231</v>
      </c>
      <c r="S456" s="37" t="n">
        <f aca="false">IFERROR(INDEX('Injectable Value'!$Z$28:$Z$178,MATCH($C456,'Injectable Value'!$A$28:$A$178,0)),"")</f>
        <v>0.4171983066393</v>
      </c>
      <c r="T456" s="18" t="n">
        <f aca="false">IFERROR(ROUND(INDEX('Injectable Value'!$AA$28:$AA$178,MATCH($C456,'Injectable Value'!$A$28:$A$178,0)),1),"")</f>
        <v>1332.4</v>
      </c>
      <c r="U456" s="16" t="s">
        <v>1020</v>
      </c>
      <c r="V456" s="15" t="n">
        <v>8</v>
      </c>
      <c r="W456" s="15" t="s">
        <v>1017</v>
      </c>
      <c r="X456" s="15" t="s">
        <v>316</v>
      </c>
      <c r="Y456" s="15" t="s">
        <v>249</v>
      </c>
      <c r="Z456" s="16" t="str">
        <f aca="false">IFERROR(INDEX(Scoring!$K:$K,MATCH($C456&amp;"|"&amp;$E456,Scoring!$U:$U,0)),"")</f>
        <v/>
      </c>
      <c r="AA456" s="15" t="str">
        <f aca="false">IFERROR(INDEX(Scoring!$Q:$Q,MATCH($C456&amp;"|"&amp;$E456,Scoring!$U:$U,0)),"")</f>
        <v>Excluded – price ≤ $5</v>
      </c>
      <c r="AB456" s="15" t="str">
        <f aca="false">IFERROR(INDEX(Scoring!$AK:$AK,MATCH($C456&amp;"|"&amp;$E456,Scoring!$U:$U,0)),"")</f>
        <v>Excluded – price ≤ $5</v>
      </c>
      <c r="AC456" s="18" t="n">
        <f aca="false">IFERROR(INDEX(Scoring!$M:$M,MATCH($C456&amp;"|"&amp;$E456,Scoring!$U:$U,0)),"")</f>
        <v>119</v>
      </c>
      <c r="AD456" s="15" t="str">
        <f aca="false">IFERROR(INDEX('Route of Administration'!$C$5:$C$155,MATCH($C456,'Route of Administration'!$A$5:$A$155,0)),"")</f>
        <v>IV, IM</v>
      </c>
      <c r="AE456" s="14" t="str">
        <f aca="false">IFERROR(INDEX('Route of Administration'!$D$5:$D$155,MATCH($C456,'Route of Administration'!$A$5:$A$155,0)),"")</f>
        <v>Yes</v>
      </c>
    </row>
    <row r="457" customFormat="false" ht="41.75" hidden="false" customHeight="false" outlineLevel="0" collapsed="false">
      <c r="B457" s="15" t="n">
        <v>455</v>
      </c>
      <c r="C457" s="15" t="s">
        <v>937</v>
      </c>
      <c r="D457" s="15" t="s">
        <v>2358</v>
      </c>
      <c r="E457" s="15" t="s">
        <v>894</v>
      </c>
      <c r="F457" s="15" t="s">
        <v>2359</v>
      </c>
      <c r="G457" s="16" t="s">
        <v>1820</v>
      </c>
      <c r="H457" s="15" t="s">
        <v>1505</v>
      </c>
      <c r="I457" s="17"/>
      <c r="J457" s="15" t="n">
        <v>1</v>
      </c>
      <c r="K457" s="15" t="n">
        <v>117</v>
      </c>
      <c r="L457" s="18" t="n">
        <v>2508.09</v>
      </c>
      <c r="M457" s="16" t="s">
        <v>938</v>
      </c>
      <c r="N457" s="17"/>
      <c r="O457" s="15" t="s">
        <v>1545</v>
      </c>
      <c r="P457" s="15" t="s">
        <v>70</v>
      </c>
      <c r="Q457" s="16" t="s">
        <v>70</v>
      </c>
      <c r="R457" s="15"/>
      <c r="S457" s="37" t="n">
        <f aca="false">IFERROR(INDEX('Injectable Value'!$Z$28:$Z$178,MATCH($C457,'Injectable Value'!$A$28:$A$178,0)),"")</f>
        <v>1</v>
      </c>
      <c r="T457" s="18" t="n">
        <f aca="false">IFERROR(ROUND(INDEX('Injectable Value'!$AA$28:$AA$178,MATCH($C457,'Injectable Value'!$A$28:$A$178,0)),1),"")</f>
        <v>2508.1</v>
      </c>
      <c r="U457" s="16" t="s">
        <v>943</v>
      </c>
      <c r="V457" s="15" t="n">
        <v>15</v>
      </c>
      <c r="W457" s="15" t="s">
        <v>939</v>
      </c>
      <c r="X457" s="15" t="s">
        <v>248</v>
      </c>
      <c r="Y457" s="15" t="s">
        <v>249</v>
      </c>
      <c r="Z457" s="16" t="str">
        <f aca="false">IFERROR(INDEX(Scoring!$K:$K,MATCH($C457&amp;"|"&amp;$E457,Scoring!$U:$U,0)),"")</f>
        <v/>
      </c>
      <c r="AA457" s="15" t="str">
        <f aca="false">IFERROR(INDEX(Scoring!$Q:$Q,MATCH($C457&amp;"|"&amp;$E457,Scoring!$U:$U,0)),"")</f>
        <v>Excluded – IV only</v>
      </c>
      <c r="AB457" s="15" t="str">
        <f aca="false">IFERROR(INDEX(Scoring!$AK:$AK,MATCH($C457&amp;"|"&amp;$E457,Scoring!$U:$U,0)),"")</f>
        <v>Excluded – IV only</v>
      </c>
      <c r="AC457" s="18" t="n">
        <f aca="false">IFERROR(INDEX(Scoring!$M:$M,MATCH($C457&amp;"|"&amp;$E457,Scoring!$U:$U,0)),"")</f>
        <v>117</v>
      </c>
      <c r="AD457" s="15" t="str">
        <f aca="false">IFERROR(INDEX('Route of Administration'!$C$5:$C$155,MATCH($C457,'Route of Administration'!$A$5:$A$155,0)),"")</f>
        <v>IV</v>
      </c>
      <c r="AE457" s="14" t="str">
        <f aca="false">IFERROR(INDEX('Route of Administration'!$D$5:$D$155,MATCH($C457,'Route of Administration'!$A$5:$A$155,0)),"")</f>
        <v>No</v>
      </c>
    </row>
    <row r="458" customFormat="false" ht="41.75" hidden="false" customHeight="false" outlineLevel="0" collapsed="false">
      <c r="B458" s="15" t="n">
        <v>456</v>
      </c>
      <c r="C458" s="15" t="s">
        <v>937</v>
      </c>
      <c r="D458" s="15" t="s">
        <v>2358</v>
      </c>
      <c r="E458" s="15" t="s">
        <v>894</v>
      </c>
      <c r="F458" s="15" t="s">
        <v>2360</v>
      </c>
      <c r="G458" s="16" t="s">
        <v>2361</v>
      </c>
      <c r="H458" s="15" t="s">
        <v>1505</v>
      </c>
      <c r="I458" s="17"/>
      <c r="J458" s="15" t="n">
        <v>1</v>
      </c>
      <c r="K458" s="15" t="n">
        <v>117</v>
      </c>
      <c r="L458" s="18" t="n">
        <v>2508.09</v>
      </c>
      <c r="M458" s="16" t="s">
        <v>938</v>
      </c>
      <c r="N458" s="17"/>
      <c r="O458" s="15" t="s">
        <v>1545</v>
      </c>
      <c r="P458" s="15" t="s">
        <v>70</v>
      </c>
      <c r="Q458" s="16" t="s">
        <v>70</v>
      </c>
      <c r="R458" s="15"/>
      <c r="S458" s="37" t="n">
        <f aca="false">IFERROR(INDEX('Injectable Value'!$Z$28:$Z$178,MATCH($C458,'Injectable Value'!$A$28:$A$178,0)),"")</f>
        <v>1</v>
      </c>
      <c r="T458" s="18" t="n">
        <f aca="false">IFERROR(ROUND(INDEX('Injectable Value'!$AA$28:$AA$178,MATCH($C458,'Injectable Value'!$A$28:$A$178,0)),1),"")</f>
        <v>2508.1</v>
      </c>
      <c r="U458" s="16" t="s">
        <v>943</v>
      </c>
      <c r="V458" s="15" t="n">
        <v>15</v>
      </c>
      <c r="W458" s="15" t="s">
        <v>939</v>
      </c>
      <c r="X458" s="15" t="s">
        <v>248</v>
      </c>
      <c r="Y458" s="15" t="s">
        <v>1519</v>
      </c>
      <c r="Z458" s="16" t="str">
        <f aca="false">IFERROR(INDEX(Scoring!$K:$K,MATCH($C458&amp;"|"&amp;$E458,Scoring!$U:$U,0)),"")</f>
        <v/>
      </c>
      <c r="AA458" s="15" t="str">
        <f aca="false">IFERROR(INDEX(Scoring!$Q:$Q,MATCH($C458&amp;"|"&amp;$E458,Scoring!$U:$U,0)),"")</f>
        <v>Excluded – IV only</v>
      </c>
      <c r="AB458" s="15" t="str">
        <f aca="false">IFERROR(INDEX(Scoring!$AK:$AK,MATCH($C458&amp;"|"&amp;$E458,Scoring!$U:$U,0)),"")</f>
        <v>Excluded – IV only</v>
      </c>
      <c r="AC458" s="18" t="n">
        <f aca="false">IFERROR(INDEX(Scoring!$M:$M,MATCH($C458&amp;"|"&amp;$E458,Scoring!$U:$U,0)),"")</f>
        <v>117</v>
      </c>
      <c r="AD458" s="15" t="str">
        <f aca="false">IFERROR(INDEX('Route of Administration'!$C$5:$C$155,MATCH($C458,'Route of Administration'!$A$5:$A$155,0)),"")</f>
        <v>IV</v>
      </c>
      <c r="AE458" s="14" t="str">
        <f aca="false">IFERROR(INDEX('Route of Administration'!$D$5:$D$155,MATCH($C458,'Route of Administration'!$A$5:$A$155,0)),"")</f>
        <v>No</v>
      </c>
    </row>
    <row r="459" customFormat="false" ht="41.75" hidden="false" customHeight="false" outlineLevel="0" collapsed="false">
      <c r="B459" s="15" t="n">
        <v>457</v>
      </c>
      <c r="C459" s="15" t="s">
        <v>937</v>
      </c>
      <c r="D459" s="15" t="s">
        <v>2358</v>
      </c>
      <c r="E459" s="15" t="s">
        <v>894</v>
      </c>
      <c r="F459" s="15" t="s">
        <v>2362</v>
      </c>
      <c r="G459" s="16" t="s">
        <v>1877</v>
      </c>
      <c r="H459" s="15" t="s">
        <v>1505</v>
      </c>
      <c r="I459" s="17"/>
      <c r="J459" s="15" t="n">
        <v>1</v>
      </c>
      <c r="K459" s="15" t="n">
        <v>117</v>
      </c>
      <c r="L459" s="18" t="n">
        <v>2508.09</v>
      </c>
      <c r="M459" s="16" t="s">
        <v>938</v>
      </c>
      <c r="N459" s="17"/>
      <c r="O459" s="15" t="s">
        <v>1545</v>
      </c>
      <c r="P459" s="15" t="s">
        <v>70</v>
      </c>
      <c r="Q459" s="16" t="s">
        <v>70</v>
      </c>
      <c r="R459" s="15"/>
      <c r="S459" s="37" t="n">
        <f aca="false">IFERROR(INDEX('Injectable Value'!$Z$28:$Z$178,MATCH($C459,'Injectable Value'!$A$28:$A$178,0)),"")</f>
        <v>1</v>
      </c>
      <c r="T459" s="18" t="n">
        <f aca="false">IFERROR(ROUND(INDEX('Injectable Value'!$AA$28:$AA$178,MATCH($C459,'Injectable Value'!$A$28:$A$178,0)),1),"")</f>
        <v>2508.1</v>
      </c>
      <c r="U459" s="16" t="s">
        <v>943</v>
      </c>
      <c r="V459" s="15" t="n">
        <v>15</v>
      </c>
      <c r="W459" s="15" t="s">
        <v>939</v>
      </c>
      <c r="X459" s="15" t="s">
        <v>248</v>
      </c>
      <c r="Y459" s="15" t="s">
        <v>249</v>
      </c>
      <c r="Z459" s="16" t="str">
        <f aca="false">IFERROR(INDEX(Scoring!$K:$K,MATCH($C459&amp;"|"&amp;$E459,Scoring!$U:$U,0)),"")</f>
        <v/>
      </c>
      <c r="AA459" s="15" t="str">
        <f aca="false">IFERROR(INDEX(Scoring!$Q:$Q,MATCH($C459&amp;"|"&amp;$E459,Scoring!$U:$U,0)),"")</f>
        <v>Excluded – IV only</v>
      </c>
      <c r="AB459" s="15" t="str">
        <f aca="false">IFERROR(INDEX(Scoring!$AK:$AK,MATCH($C459&amp;"|"&amp;$E459,Scoring!$U:$U,0)),"")</f>
        <v>Excluded – IV only</v>
      </c>
      <c r="AC459" s="18" t="n">
        <f aca="false">IFERROR(INDEX(Scoring!$M:$M,MATCH($C459&amp;"|"&amp;$E459,Scoring!$U:$U,0)),"")</f>
        <v>117</v>
      </c>
      <c r="AD459" s="15" t="str">
        <f aca="false">IFERROR(INDEX('Route of Administration'!$C$5:$C$155,MATCH($C459,'Route of Administration'!$A$5:$A$155,0)),"")</f>
        <v>IV</v>
      </c>
      <c r="AE459" s="14" t="str">
        <f aca="false">IFERROR(INDEX('Route of Administration'!$D$5:$D$155,MATCH($C459,'Route of Administration'!$A$5:$A$155,0)),"")</f>
        <v>No</v>
      </c>
    </row>
    <row r="460" customFormat="false" ht="41.75" hidden="false" customHeight="false" outlineLevel="0" collapsed="false">
      <c r="B460" s="15" t="n">
        <v>458</v>
      </c>
      <c r="C460" s="15" t="s">
        <v>937</v>
      </c>
      <c r="D460" s="15" t="s">
        <v>2358</v>
      </c>
      <c r="E460" s="15" t="s">
        <v>894</v>
      </c>
      <c r="F460" s="15" t="s">
        <v>2363</v>
      </c>
      <c r="G460" s="16" t="s">
        <v>2364</v>
      </c>
      <c r="H460" s="15" t="s">
        <v>1505</v>
      </c>
      <c r="I460" s="17"/>
      <c r="J460" s="15" t="n">
        <v>1</v>
      </c>
      <c r="K460" s="15" t="n">
        <v>117</v>
      </c>
      <c r="L460" s="18" t="n">
        <v>2508.09</v>
      </c>
      <c r="M460" s="16" t="s">
        <v>938</v>
      </c>
      <c r="N460" s="17"/>
      <c r="O460" s="15" t="s">
        <v>1545</v>
      </c>
      <c r="P460" s="15" t="s">
        <v>70</v>
      </c>
      <c r="Q460" s="16" t="s">
        <v>70</v>
      </c>
      <c r="R460" s="15"/>
      <c r="S460" s="37" t="n">
        <f aca="false">IFERROR(INDEX('Injectable Value'!$Z$28:$Z$178,MATCH($C460,'Injectable Value'!$A$28:$A$178,0)),"")</f>
        <v>1</v>
      </c>
      <c r="T460" s="18" t="n">
        <f aca="false">IFERROR(ROUND(INDEX('Injectable Value'!$AA$28:$AA$178,MATCH($C460,'Injectable Value'!$A$28:$A$178,0)),1),"")</f>
        <v>2508.1</v>
      </c>
      <c r="U460" s="16" t="s">
        <v>943</v>
      </c>
      <c r="V460" s="15" t="n">
        <v>15</v>
      </c>
      <c r="W460" s="15" t="s">
        <v>939</v>
      </c>
      <c r="X460" s="15" t="s">
        <v>248</v>
      </c>
      <c r="Y460" s="15" t="s">
        <v>249</v>
      </c>
      <c r="Z460" s="16" t="str">
        <f aca="false">IFERROR(INDEX(Scoring!$K:$K,MATCH($C460&amp;"|"&amp;$E460,Scoring!$U:$U,0)),"")</f>
        <v/>
      </c>
      <c r="AA460" s="15" t="str">
        <f aca="false">IFERROR(INDEX(Scoring!$Q:$Q,MATCH($C460&amp;"|"&amp;$E460,Scoring!$U:$U,0)),"")</f>
        <v>Excluded – IV only</v>
      </c>
      <c r="AB460" s="15" t="str">
        <f aca="false">IFERROR(INDEX(Scoring!$AK:$AK,MATCH($C460&amp;"|"&amp;$E460,Scoring!$U:$U,0)),"")</f>
        <v>Excluded – IV only</v>
      </c>
      <c r="AC460" s="18" t="n">
        <f aca="false">IFERROR(INDEX(Scoring!$M:$M,MATCH($C460&amp;"|"&amp;$E460,Scoring!$U:$U,0)),"")</f>
        <v>117</v>
      </c>
      <c r="AD460" s="15" t="str">
        <f aca="false">IFERROR(INDEX('Route of Administration'!$C$5:$C$155,MATCH($C460,'Route of Administration'!$A$5:$A$155,0)),"")</f>
        <v>IV</v>
      </c>
      <c r="AE460" s="14" t="str">
        <f aca="false">IFERROR(INDEX('Route of Administration'!$D$5:$D$155,MATCH($C460,'Route of Administration'!$A$5:$A$155,0)),"")</f>
        <v>No</v>
      </c>
    </row>
    <row r="461" customFormat="false" ht="41.75" hidden="false" customHeight="false" outlineLevel="0" collapsed="false">
      <c r="B461" s="15" t="n">
        <v>459</v>
      </c>
      <c r="C461" s="15" t="s">
        <v>937</v>
      </c>
      <c r="D461" s="15" t="s">
        <v>2358</v>
      </c>
      <c r="E461" s="15" t="s">
        <v>894</v>
      </c>
      <c r="F461" s="15" t="s">
        <v>2365</v>
      </c>
      <c r="G461" s="16" t="s">
        <v>2366</v>
      </c>
      <c r="H461" s="15" t="s">
        <v>1505</v>
      </c>
      <c r="I461" s="17"/>
      <c r="J461" s="15" t="n">
        <v>1</v>
      </c>
      <c r="K461" s="15" t="n">
        <v>117</v>
      </c>
      <c r="L461" s="18" t="n">
        <v>2508.09</v>
      </c>
      <c r="M461" s="16" t="s">
        <v>938</v>
      </c>
      <c r="N461" s="17"/>
      <c r="O461" s="15" t="s">
        <v>1545</v>
      </c>
      <c r="P461" s="15" t="s">
        <v>70</v>
      </c>
      <c r="Q461" s="16" t="s">
        <v>70</v>
      </c>
      <c r="R461" s="15"/>
      <c r="S461" s="37" t="n">
        <f aca="false">IFERROR(INDEX('Injectable Value'!$Z$28:$Z$178,MATCH($C461,'Injectable Value'!$A$28:$A$178,0)),"")</f>
        <v>1</v>
      </c>
      <c r="T461" s="18" t="n">
        <f aca="false">IFERROR(ROUND(INDEX('Injectable Value'!$AA$28:$AA$178,MATCH($C461,'Injectable Value'!$A$28:$A$178,0)),1),"")</f>
        <v>2508.1</v>
      </c>
      <c r="U461" s="16" t="s">
        <v>943</v>
      </c>
      <c r="V461" s="15" t="n">
        <v>15</v>
      </c>
      <c r="W461" s="15" t="s">
        <v>939</v>
      </c>
      <c r="X461" s="15" t="s">
        <v>248</v>
      </c>
      <c r="Y461" s="15" t="s">
        <v>1519</v>
      </c>
      <c r="Z461" s="16" t="str">
        <f aca="false">IFERROR(INDEX(Scoring!$K:$K,MATCH($C461&amp;"|"&amp;$E461,Scoring!$U:$U,0)),"")</f>
        <v/>
      </c>
      <c r="AA461" s="15" t="str">
        <f aca="false">IFERROR(INDEX(Scoring!$Q:$Q,MATCH($C461&amp;"|"&amp;$E461,Scoring!$U:$U,0)),"")</f>
        <v>Excluded – IV only</v>
      </c>
      <c r="AB461" s="15" t="str">
        <f aca="false">IFERROR(INDEX(Scoring!$AK:$AK,MATCH($C461&amp;"|"&amp;$E461,Scoring!$U:$U,0)),"")</f>
        <v>Excluded – IV only</v>
      </c>
      <c r="AC461" s="18" t="n">
        <f aca="false">IFERROR(INDEX(Scoring!$M:$M,MATCH($C461&amp;"|"&amp;$E461,Scoring!$U:$U,0)),"")</f>
        <v>117</v>
      </c>
      <c r="AD461" s="15" t="str">
        <f aca="false">IFERROR(INDEX('Route of Administration'!$C$5:$C$155,MATCH($C461,'Route of Administration'!$A$5:$A$155,0)),"")</f>
        <v>IV</v>
      </c>
      <c r="AE461" s="14" t="str">
        <f aca="false">IFERROR(INDEX('Route of Administration'!$D$5:$D$155,MATCH($C461,'Route of Administration'!$A$5:$A$155,0)),"")</f>
        <v>No</v>
      </c>
    </row>
    <row r="462" customFormat="false" ht="68.65" hidden="false" customHeight="false" outlineLevel="0" collapsed="false">
      <c r="B462" s="15" t="n">
        <v>460</v>
      </c>
      <c r="C462" s="15" t="s">
        <v>266</v>
      </c>
      <c r="D462" s="15" t="s">
        <v>2367</v>
      </c>
      <c r="E462" s="15" t="s">
        <v>894</v>
      </c>
      <c r="F462" s="15" t="s">
        <v>2352</v>
      </c>
      <c r="G462" s="16" t="s">
        <v>2368</v>
      </c>
      <c r="H462" s="15" t="s">
        <v>1505</v>
      </c>
      <c r="I462" s="17" t="n">
        <v>26.369</v>
      </c>
      <c r="J462" s="15" t="n">
        <v>1</v>
      </c>
      <c r="K462" s="15" t="n">
        <v>1282</v>
      </c>
      <c r="L462" s="18" t="n">
        <v>16792.84</v>
      </c>
      <c r="M462" s="16" t="s">
        <v>267</v>
      </c>
      <c r="N462" s="17" t="n">
        <v>26.369</v>
      </c>
      <c r="O462" s="15" t="s">
        <v>1506</v>
      </c>
      <c r="P462" s="15" t="s">
        <v>1507</v>
      </c>
      <c r="Q462" s="16" t="s">
        <v>1508</v>
      </c>
      <c r="R462" s="32" t="s">
        <v>1776</v>
      </c>
      <c r="S462" s="37" t="n">
        <f aca="false">IFERROR(INDEX('Injectable Value'!$Z$28:$Z$178,MATCH($C462,'Injectable Value'!$A$28:$A$178,0)),"")</f>
        <v>0.776857437207773</v>
      </c>
      <c r="T462" s="18" t="n">
        <f aca="false">IFERROR(ROUND(INDEX('Injectable Value'!$AA$28:$AA$178,MATCH($C462,'Injectable Value'!$A$28:$A$178,0)),1),"")</f>
        <v>13045.6</v>
      </c>
      <c r="U462" s="16" t="s">
        <v>1047</v>
      </c>
      <c r="V462" s="15" t="n">
        <v>29</v>
      </c>
      <c r="W462" s="15" t="s">
        <v>505</v>
      </c>
      <c r="X462" s="15" t="s">
        <v>248</v>
      </c>
      <c r="Y462" s="15" t="s">
        <v>249</v>
      </c>
      <c r="Z462" s="16" t="str">
        <f aca="false">IFERROR(INDEX(Scoring!$K:$K,MATCH($C462&amp;"|"&amp;$E462,Scoring!$U:$U,0)),"")</f>
        <v>Cancer drug (cytotoxic) – less relevant</v>
      </c>
      <c r="AA462" s="15" t="str">
        <f aca="false">IFERROR(INDEX(Scoring!$Q:$Q,MATCH($C462&amp;"|"&amp;$E462,Scoring!$U:$U,0)),"")</f>
        <v>Priority 1</v>
      </c>
      <c r="AB462" s="15" t="str">
        <f aca="false">IFERROR(INDEX(Scoring!$AK:$AK,MATCH($C462&amp;"|"&amp;$E462,Scoring!$U:$U,0)),"")</f>
        <v>Priority 1</v>
      </c>
      <c r="AC462" s="18" t="n">
        <f aca="false">IFERROR(INDEX(Scoring!$M:$M,MATCH($C462&amp;"|"&amp;$E462,Scoring!$U:$U,0)),"")</f>
        <v>996</v>
      </c>
      <c r="AD462" s="15" t="str">
        <f aca="false">IFERROR(INDEX('Route of Administration'!$C$5:$C$155,MATCH($C462,'Route of Administration'!$A$5:$A$155,0)),"")</f>
        <v>IV, IM, SC</v>
      </c>
      <c r="AE462" s="14" t="str">
        <f aca="false">IFERROR(INDEX('Route of Administration'!$D$5:$D$155,MATCH($C462,'Route of Administration'!$A$5:$A$155,0)),"")</f>
        <v>Yes</v>
      </c>
    </row>
    <row r="463" customFormat="false" ht="55.2" hidden="false" customHeight="false" outlineLevel="0" collapsed="false">
      <c r="B463" s="15" t="n">
        <v>461</v>
      </c>
      <c r="C463" s="15" t="s">
        <v>376</v>
      </c>
      <c r="D463" s="15" t="s">
        <v>2369</v>
      </c>
      <c r="E463" s="15" t="s">
        <v>894</v>
      </c>
      <c r="F463" s="15" t="s">
        <v>2362</v>
      </c>
      <c r="G463" s="16" t="s">
        <v>2368</v>
      </c>
      <c r="H463" s="15" t="s">
        <v>1505</v>
      </c>
      <c r="I463" s="17" t="n">
        <v>6.23</v>
      </c>
      <c r="J463" s="15" t="n">
        <v>1</v>
      </c>
      <c r="K463" s="15" t="n">
        <v>345</v>
      </c>
      <c r="L463" s="18" t="n">
        <v>2783.28</v>
      </c>
      <c r="M463" s="16" t="s">
        <v>377</v>
      </c>
      <c r="N463" s="17" t="n">
        <v>6.23</v>
      </c>
      <c r="O463" s="15" t="s">
        <v>1506</v>
      </c>
      <c r="P463" s="15" t="s">
        <v>1507</v>
      </c>
      <c r="Q463" s="16" t="s">
        <v>1508</v>
      </c>
      <c r="R463" s="32" t="s">
        <v>1776</v>
      </c>
      <c r="S463" s="37" t="n">
        <f aca="false">IFERROR(INDEX('Injectable Value'!$Z$28:$Z$178,MATCH($C463,'Injectable Value'!$A$28:$A$178,0)),"")</f>
        <v>0.995283018867925</v>
      </c>
      <c r="T463" s="18" t="n">
        <f aca="false">IFERROR(ROUND(INDEX('Injectable Value'!$AA$28:$AA$178,MATCH($C463,'Injectable Value'!$A$28:$A$178,0)),1),"")</f>
        <v>2770.2</v>
      </c>
      <c r="U463" s="16" t="s">
        <v>990</v>
      </c>
      <c r="V463" s="15" t="n">
        <v>24</v>
      </c>
      <c r="W463" s="15" t="s">
        <v>945</v>
      </c>
      <c r="X463" s="15" t="s">
        <v>248</v>
      </c>
      <c r="Y463" s="15" t="s">
        <v>249</v>
      </c>
      <c r="Z463" s="16" t="str">
        <f aca="false">IFERROR(INDEX(Scoring!$K:$K,MATCH($C463&amp;"|"&amp;$E463,Scoring!$U:$U,0)),"")</f>
        <v>Cancer drug (cytotoxic) – less relevant</v>
      </c>
      <c r="AA463" s="15" t="str">
        <f aca="false">IFERROR(INDEX(Scoring!$Q:$Q,MATCH($C463&amp;"|"&amp;$E463,Scoring!$U:$U,0)),"")</f>
        <v>Excluded – IV only</v>
      </c>
      <c r="AB463" s="15" t="str">
        <f aca="false">IFERROR(INDEX(Scoring!$AK:$AK,MATCH($C463&amp;"|"&amp;$E463,Scoring!$U:$U,0)),"")</f>
        <v>Excluded – IV only</v>
      </c>
      <c r="AC463" s="18" t="n">
        <f aca="false">IFERROR(INDEX(Scoring!$M:$M,MATCH($C463&amp;"|"&amp;$E463,Scoring!$U:$U,0)),"")</f>
        <v>343</v>
      </c>
      <c r="AD463" s="15" t="str">
        <f aca="false">IFERROR(INDEX('Route of Administration'!$C$5:$C$155,MATCH($C463,'Route of Administration'!$A$5:$A$155,0)),"")</f>
        <v>IV</v>
      </c>
      <c r="AE463" s="14" t="str">
        <f aca="false">IFERROR(INDEX('Route of Administration'!$D$5:$D$155,MATCH($C463,'Route of Administration'!$A$5:$A$155,0)),"")</f>
        <v>No</v>
      </c>
    </row>
    <row r="464" customFormat="false" ht="55.2" hidden="false" customHeight="false" outlineLevel="0" collapsed="false">
      <c r="B464" s="15" t="n">
        <v>462</v>
      </c>
      <c r="C464" s="15" t="s">
        <v>376</v>
      </c>
      <c r="D464" s="15" t="s">
        <v>2369</v>
      </c>
      <c r="E464" s="15" t="s">
        <v>894</v>
      </c>
      <c r="F464" s="15" t="s">
        <v>2360</v>
      </c>
      <c r="G464" s="16" t="s">
        <v>2370</v>
      </c>
      <c r="H464" s="15" t="s">
        <v>1505</v>
      </c>
      <c r="I464" s="17" t="n">
        <v>15.568</v>
      </c>
      <c r="J464" s="15" t="n">
        <v>1</v>
      </c>
      <c r="K464" s="15" t="n">
        <v>345</v>
      </c>
      <c r="L464" s="18" t="n">
        <v>2783.28</v>
      </c>
      <c r="M464" s="16" t="s">
        <v>377</v>
      </c>
      <c r="N464" s="17" t="n">
        <v>15.568</v>
      </c>
      <c r="O464" s="15" t="s">
        <v>1506</v>
      </c>
      <c r="P464" s="15" t="s">
        <v>1507</v>
      </c>
      <c r="Q464" s="16" t="s">
        <v>1508</v>
      </c>
      <c r="R464" s="32" t="s">
        <v>1776</v>
      </c>
      <c r="S464" s="37" t="n">
        <f aca="false">IFERROR(INDEX('Injectable Value'!$Z$28:$Z$178,MATCH($C464,'Injectable Value'!$A$28:$A$178,0)),"")</f>
        <v>0.995283018867925</v>
      </c>
      <c r="T464" s="18" t="n">
        <f aca="false">IFERROR(ROUND(INDEX('Injectable Value'!$AA$28:$AA$178,MATCH($C464,'Injectable Value'!$A$28:$A$178,0)),1),"")</f>
        <v>2770.2</v>
      </c>
      <c r="U464" s="16" t="s">
        <v>990</v>
      </c>
      <c r="V464" s="15" t="n">
        <v>24</v>
      </c>
      <c r="W464" s="15" t="s">
        <v>945</v>
      </c>
      <c r="X464" s="15" t="s">
        <v>248</v>
      </c>
      <c r="Y464" s="15" t="s">
        <v>1519</v>
      </c>
      <c r="Z464" s="16" t="str">
        <f aca="false">IFERROR(INDEX(Scoring!$K:$K,MATCH($C464&amp;"|"&amp;$E464,Scoring!$U:$U,0)),"")</f>
        <v>Cancer drug (cytotoxic) – less relevant</v>
      </c>
      <c r="AA464" s="15" t="str">
        <f aca="false">IFERROR(INDEX(Scoring!$Q:$Q,MATCH($C464&amp;"|"&amp;$E464,Scoring!$U:$U,0)),"")</f>
        <v>Excluded – IV only</v>
      </c>
      <c r="AB464" s="15" t="str">
        <f aca="false">IFERROR(INDEX(Scoring!$AK:$AK,MATCH($C464&amp;"|"&amp;$E464,Scoring!$U:$U,0)),"")</f>
        <v>Excluded – IV only</v>
      </c>
      <c r="AC464" s="18" t="n">
        <f aca="false">IFERROR(INDEX(Scoring!$M:$M,MATCH($C464&amp;"|"&amp;$E464,Scoring!$U:$U,0)),"")</f>
        <v>343</v>
      </c>
      <c r="AD464" s="15" t="str">
        <f aca="false">IFERROR(INDEX('Route of Administration'!$C$5:$C$155,MATCH($C464,'Route of Administration'!$A$5:$A$155,0)),"")</f>
        <v>IV</v>
      </c>
      <c r="AE464" s="14" t="str">
        <f aca="false">IFERROR(INDEX('Route of Administration'!$D$5:$D$155,MATCH($C464,'Route of Administration'!$A$5:$A$155,0)),"")</f>
        <v>No</v>
      </c>
    </row>
    <row r="465" customFormat="false" ht="55.2" hidden="false" customHeight="false" outlineLevel="0" collapsed="false">
      <c r="B465" s="15" t="n">
        <v>463</v>
      </c>
      <c r="C465" s="15" t="s">
        <v>376</v>
      </c>
      <c r="D465" s="15" t="s">
        <v>2369</v>
      </c>
      <c r="E465" s="15" t="s">
        <v>894</v>
      </c>
      <c r="F465" s="15" t="s">
        <v>2371</v>
      </c>
      <c r="G465" s="16" t="s">
        <v>2372</v>
      </c>
      <c r="H465" s="15" t="s">
        <v>1505</v>
      </c>
      <c r="I465" s="17" t="n">
        <v>62.265</v>
      </c>
      <c r="J465" s="15" t="n">
        <v>1</v>
      </c>
      <c r="K465" s="15" t="n">
        <v>345</v>
      </c>
      <c r="L465" s="18" t="n">
        <v>2783.28</v>
      </c>
      <c r="M465" s="16" t="s">
        <v>377</v>
      </c>
      <c r="N465" s="17" t="n">
        <v>62.265</v>
      </c>
      <c r="O465" s="15" t="s">
        <v>1506</v>
      </c>
      <c r="P465" s="15" t="s">
        <v>1672</v>
      </c>
      <c r="Q465" s="16" t="s">
        <v>1508</v>
      </c>
      <c r="R465" s="32" t="s">
        <v>1776</v>
      </c>
      <c r="S465" s="37" t="n">
        <f aca="false">IFERROR(INDEX('Injectable Value'!$Z$28:$Z$178,MATCH($C465,'Injectable Value'!$A$28:$A$178,0)),"")</f>
        <v>0.995283018867925</v>
      </c>
      <c r="T465" s="18" t="n">
        <f aca="false">IFERROR(ROUND(INDEX('Injectable Value'!$AA$28:$AA$178,MATCH($C465,'Injectable Value'!$A$28:$A$178,0)),1),"")</f>
        <v>2770.2</v>
      </c>
      <c r="U465" s="16" t="s">
        <v>990</v>
      </c>
      <c r="V465" s="15" t="n">
        <v>24</v>
      </c>
      <c r="W465" s="15" t="s">
        <v>945</v>
      </c>
      <c r="X465" s="15" t="s">
        <v>248</v>
      </c>
      <c r="Y465" s="15" t="s">
        <v>1519</v>
      </c>
      <c r="Z465" s="16" t="str">
        <f aca="false">IFERROR(INDEX(Scoring!$K:$K,MATCH($C465&amp;"|"&amp;$E465,Scoring!$U:$U,0)),"")</f>
        <v>Cancer drug (cytotoxic) – less relevant</v>
      </c>
      <c r="AA465" s="15" t="str">
        <f aca="false">IFERROR(INDEX(Scoring!$Q:$Q,MATCH($C465&amp;"|"&amp;$E465,Scoring!$U:$U,0)),"")</f>
        <v>Excluded – IV only</v>
      </c>
      <c r="AB465" s="15" t="str">
        <f aca="false">IFERROR(INDEX(Scoring!$AK:$AK,MATCH($C465&amp;"|"&amp;$E465,Scoring!$U:$U,0)),"")</f>
        <v>Excluded – IV only</v>
      </c>
      <c r="AC465" s="18" t="n">
        <f aca="false">IFERROR(INDEX(Scoring!$M:$M,MATCH($C465&amp;"|"&amp;$E465,Scoring!$U:$U,0)),"")</f>
        <v>343</v>
      </c>
      <c r="AD465" s="15" t="str">
        <f aca="false">IFERROR(INDEX('Route of Administration'!$C$5:$C$155,MATCH($C465,'Route of Administration'!$A$5:$A$155,0)),"")</f>
        <v>IV</v>
      </c>
      <c r="AE465" s="14" t="str">
        <f aca="false">IFERROR(INDEX('Route of Administration'!$D$5:$D$155,MATCH($C465,'Route of Administration'!$A$5:$A$155,0)),"")</f>
        <v>No</v>
      </c>
    </row>
    <row r="466" customFormat="false" ht="68.65" hidden="false" customHeight="false" outlineLevel="0" collapsed="false">
      <c r="B466" s="15" t="n">
        <v>464</v>
      </c>
      <c r="C466" s="15" t="s">
        <v>1049</v>
      </c>
      <c r="D466" s="15" t="s">
        <v>2373</v>
      </c>
      <c r="E466" s="15" t="s">
        <v>894</v>
      </c>
      <c r="F466" s="15" t="s">
        <v>2374</v>
      </c>
      <c r="G466" s="16" t="s">
        <v>2357</v>
      </c>
      <c r="H466" s="15" t="s">
        <v>1505</v>
      </c>
      <c r="I466" s="17" t="n">
        <v>5.152</v>
      </c>
      <c r="J466" s="15" t="n">
        <v>1</v>
      </c>
      <c r="K466" s="15" t="n">
        <v>221</v>
      </c>
      <c r="L466" s="18" t="n">
        <v>5838.25</v>
      </c>
      <c r="M466" s="16" t="s">
        <v>1050</v>
      </c>
      <c r="N466" s="17" t="n">
        <v>5.152</v>
      </c>
      <c r="O466" s="15" t="s">
        <v>1506</v>
      </c>
      <c r="P466" s="15" t="s">
        <v>1507</v>
      </c>
      <c r="Q466" s="16" t="s">
        <v>1508</v>
      </c>
      <c r="R466" s="32" t="s">
        <v>1769</v>
      </c>
      <c r="S466" s="37" t="n">
        <f aca="false">IFERROR(INDEX('Injectable Value'!$Z$28:$Z$178,MATCH($C466,'Injectable Value'!$A$28:$A$178,0)),"")</f>
        <v>0.800763686706633</v>
      </c>
      <c r="T466" s="18" t="n">
        <f aca="false">IFERROR(ROUND(INDEX('Injectable Value'!$AA$28:$AA$178,MATCH($C466,'Injectable Value'!$A$28:$A$178,0)),1),"")</f>
        <v>4675.1</v>
      </c>
      <c r="U466" s="16" t="s">
        <v>1055</v>
      </c>
      <c r="V466" s="15" t="n">
        <v>24</v>
      </c>
      <c r="W466" s="15" t="s">
        <v>403</v>
      </c>
      <c r="X466" s="15" t="s">
        <v>316</v>
      </c>
      <c r="Y466" s="15" t="s">
        <v>249</v>
      </c>
      <c r="Z466" s="16" t="str">
        <f aca="false">IFERROR(INDEX(Scoring!$K:$K,MATCH($C466&amp;"|"&amp;$E466,Scoring!$U:$U,0)),"")</f>
        <v/>
      </c>
      <c r="AA466" s="15" t="str">
        <f aca="false">IFERROR(INDEX(Scoring!$Q:$Q,MATCH($C466&amp;"|"&amp;$E466,Scoring!$U:$U,0)),"")</f>
        <v>Priority 2</v>
      </c>
      <c r="AB466" s="15" t="str">
        <f aca="false">IFERROR(INDEX(Scoring!$AK:$AK,MATCH($C466&amp;"|"&amp;$E466,Scoring!$U:$U,0)),"")</f>
        <v>Priority 3</v>
      </c>
      <c r="AC466" s="18" t="n">
        <f aca="false">IFERROR(INDEX(Scoring!$M:$M,MATCH($C466&amp;"|"&amp;$E466,Scoring!$U:$U,0)),"")</f>
        <v>177</v>
      </c>
      <c r="AD466" s="15" t="str">
        <f aca="false">IFERROR(INDEX('Route of Administration'!$C$5:$C$155,MATCH($C466,'Route of Administration'!$A$5:$A$155,0)),"")</f>
        <v>IV, IM</v>
      </c>
      <c r="AE466" s="14" t="str">
        <f aca="false">IFERROR(INDEX('Route of Administration'!$D$5:$D$155,MATCH($C466,'Route of Administration'!$A$5:$A$155,0)),"")</f>
        <v>Yes</v>
      </c>
    </row>
    <row r="467" customFormat="false" ht="95.5" hidden="false" customHeight="false" outlineLevel="0" collapsed="false">
      <c r="B467" s="15" t="n">
        <v>465</v>
      </c>
      <c r="C467" s="15" t="s">
        <v>362</v>
      </c>
      <c r="D467" s="15" t="s">
        <v>2263</v>
      </c>
      <c r="E467" s="15" t="s">
        <v>894</v>
      </c>
      <c r="F467" s="15" t="s">
        <v>2371</v>
      </c>
      <c r="G467" s="16" t="s">
        <v>2375</v>
      </c>
      <c r="H467" s="15" t="s">
        <v>1505</v>
      </c>
      <c r="I467" s="17" t="n">
        <v>54.572</v>
      </c>
      <c r="J467" s="15" t="n">
        <v>1</v>
      </c>
      <c r="K467" s="15" t="n">
        <v>1644</v>
      </c>
      <c r="L467" s="18" t="n">
        <v>41889.23</v>
      </c>
      <c r="M467" s="16" t="s">
        <v>363</v>
      </c>
      <c r="N467" s="17" t="n">
        <v>54.572</v>
      </c>
      <c r="O467" s="15" t="s">
        <v>1506</v>
      </c>
      <c r="P467" s="15" t="s">
        <v>1672</v>
      </c>
      <c r="Q467" s="16" t="s">
        <v>1508</v>
      </c>
      <c r="R467" s="32" t="s">
        <v>1776</v>
      </c>
      <c r="S467" s="37" t="n">
        <f aca="false">IFERROR(INDEX('Injectable Value'!$Z$28:$Z$178,MATCH($C467,'Injectable Value'!$A$28:$A$178,0)),"")</f>
        <v>0.990783410138249</v>
      </c>
      <c r="T467" s="18" t="n">
        <f aca="false">IFERROR(ROUND(INDEX('Injectable Value'!$AA$28:$AA$178,MATCH($C467,'Injectable Value'!$A$28:$A$178,0)),1),"")</f>
        <v>41503.2</v>
      </c>
      <c r="U467" s="16" t="s">
        <v>980</v>
      </c>
      <c r="V467" s="15" t="n">
        <v>34</v>
      </c>
      <c r="W467" s="15" t="s">
        <v>977</v>
      </c>
      <c r="X467" s="15" t="s">
        <v>248</v>
      </c>
      <c r="Y467" s="15" t="s">
        <v>1519</v>
      </c>
      <c r="Z467" s="16" t="str">
        <f aca="false">IFERROR(INDEX(Scoring!$K:$K,MATCH($C467&amp;"|"&amp;$E467,Scoring!$U:$U,0)),"")</f>
        <v>Cancer drug (cytotoxic) – less relevant</v>
      </c>
      <c r="AA467" s="15" t="str">
        <f aca="false">IFERROR(INDEX(Scoring!$Q:$Q,MATCH($C467&amp;"|"&amp;$E467,Scoring!$U:$U,0)),"")</f>
        <v>Excluded – IV only</v>
      </c>
      <c r="AB467" s="15" t="str">
        <f aca="false">IFERROR(INDEX(Scoring!$AK:$AK,MATCH($C467&amp;"|"&amp;$E467,Scoring!$U:$U,0)),"")</f>
        <v>Excluded – IV only</v>
      </c>
      <c r="AC467" s="18" t="n">
        <f aca="false">IFERROR(INDEX(Scoring!$M:$M,MATCH($C467&amp;"|"&amp;$E467,Scoring!$U:$U,0)),"")</f>
        <v>1629</v>
      </c>
      <c r="AD467" s="15" t="str">
        <f aca="false">IFERROR(INDEX('Route of Administration'!$C$5:$C$155,MATCH($C467,'Route of Administration'!$A$5:$A$155,0)),"")</f>
        <v>IV</v>
      </c>
      <c r="AE467" s="14" t="str">
        <f aca="false">IFERROR(INDEX('Route of Administration'!$D$5:$D$155,MATCH($C467,'Route of Administration'!$A$5:$A$155,0)),"")</f>
        <v>No</v>
      </c>
    </row>
    <row r="468" customFormat="false" ht="28.35" hidden="false" customHeight="false" outlineLevel="0" collapsed="false">
      <c r="B468" s="15" t="n">
        <v>466</v>
      </c>
      <c r="C468" s="15" t="s">
        <v>892</v>
      </c>
      <c r="D468" s="15" t="s">
        <v>2376</v>
      </c>
      <c r="E468" s="15" t="s">
        <v>894</v>
      </c>
      <c r="F468" s="15" t="s">
        <v>2377</v>
      </c>
      <c r="G468" s="16" t="s">
        <v>2226</v>
      </c>
      <c r="H468" s="15" t="s">
        <v>1512</v>
      </c>
      <c r="I468" s="17" t="n">
        <v>14.69</v>
      </c>
      <c r="J468" s="15" t="n">
        <v>1</v>
      </c>
      <c r="K468" s="15" t="n">
        <v>646</v>
      </c>
      <c r="L468" s="18" t="n">
        <v>19089.13</v>
      </c>
      <c r="M468" s="16" t="s">
        <v>893</v>
      </c>
      <c r="N468" s="17" t="n">
        <v>14.69</v>
      </c>
      <c r="O468" s="15" t="s">
        <v>1506</v>
      </c>
      <c r="P468" s="15" t="s">
        <v>1672</v>
      </c>
      <c r="Q468" s="16" t="s">
        <v>1508</v>
      </c>
      <c r="R468" s="32" t="s">
        <v>1784</v>
      </c>
      <c r="S468" s="37" t="n">
        <f aca="false">IFERROR(INDEX('Injectable Value'!$Z$28:$Z$178,MATCH($C468,'Injectable Value'!$A$28:$A$178,0)),"")</f>
        <v>0.295137394358018</v>
      </c>
      <c r="T468" s="18" t="n">
        <f aca="false">IFERROR(ROUND(INDEX('Injectable Value'!$AA$28:$AA$178,MATCH($C468,'Injectable Value'!$A$28:$A$178,0)),1),"")</f>
        <v>5633.9</v>
      </c>
      <c r="U468" s="16" t="s">
        <v>898</v>
      </c>
      <c r="V468" s="15" t="n">
        <v>2</v>
      </c>
      <c r="W468" s="15" t="s">
        <v>881</v>
      </c>
      <c r="X468" s="15" t="s">
        <v>258</v>
      </c>
      <c r="Y468" s="15" t="s">
        <v>249</v>
      </c>
      <c r="Z468" s="16" t="str">
        <f aca="false">IFERROR(INDEX(Scoring!$K:$K,MATCH($C468&amp;"|"&amp;$E468,Scoring!$U:$U,0)),"")</f>
        <v>Prefilled only</v>
      </c>
      <c r="AA468" s="15" t="str">
        <f aca="false">IFERROR(INDEX(Scoring!$Q:$Q,MATCH($C468&amp;"|"&amp;$E468,Scoring!$U:$U,0)),"")</f>
        <v>Excluded – IV only</v>
      </c>
      <c r="AB468" s="15" t="str">
        <f aca="false">IFERROR(INDEX(Scoring!$AK:$AK,MATCH($C468&amp;"|"&amp;$E468,Scoring!$U:$U,0)),"")</f>
        <v>Excluded – IV only</v>
      </c>
      <c r="AC468" s="18" t="n">
        <f aca="false">IFERROR(INDEX(Scoring!$M:$M,MATCH($C468&amp;"|"&amp;$E468,Scoring!$U:$U,0)),"")</f>
        <v>191</v>
      </c>
      <c r="AD468" s="15" t="str">
        <f aca="false">IFERROR(INDEX('Route of Administration'!$C$5:$C$155,MATCH($C468,'Route of Administration'!$A$5:$A$155,0)),"")</f>
        <v>IV</v>
      </c>
      <c r="AE468" s="14" t="str">
        <f aca="false">IFERROR(INDEX('Route of Administration'!$D$5:$D$155,MATCH($C468,'Route of Administration'!$A$5:$A$155,0)),"")</f>
        <v>No</v>
      </c>
    </row>
    <row r="469" customFormat="false" ht="28.35" hidden="false" customHeight="false" outlineLevel="0" collapsed="false">
      <c r="B469" s="15" t="n">
        <v>467</v>
      </c>
      <c r="C469" s="15" t="s">
        <v>625</v>
      </c>
      <c r="D469" s="15" t="s">
        <v>2378</v>
      </c>
      <c r="E469" s="15" t="s">
        <v>894</v>
      </c>
      <c r="F469" s="15" t="s">
        <v>1859</v>
      </c>
      <c r="G469" s="16" t="s">
        <v>2199</v>
      </c>
      <c r="H469" s="15" t="s">
        <v>1505</v>
      </c>
      <c r="I469" s="17" t="n">
        <v>32.6</v>
      </c>
      <c r="J469" s="15" t="n">
        <v>1</v>
      </c>
      <c r="K469" s="15" t="n">
        <v>1963</v>
      </c>
      <c r="L469" s="18" t="n">
        <v>49365.77</v>
      </c>
      <c r="M469" s="16" t="s">
        <v>626</v>
      </c>
      <c r="N469" s="17" t="n">
        <v>32.6</v>
      </c>
      <c r="O469" s="15" t="s">
        <v>1506</v>
      </c>
      <c r="P469" s="15" t="s">
        <v>1672</v>
      </c>
      <c r="Q469" s="16" t="s">
        <v>1846</v>
      </c>
      <c r="R469" s="32" t="s">
        <v>2379</v>
      </c>
      <c r="S469" s="37" t="n">
        <f aca="false">IFERROR(INDEX('Injectable Value'!$Z$28:$Z$178,MATCH($C469,'Injectable Value'!$A$28:$A$178,0)),"")</f>
        <v>0.115367076010264</v>
      </c>
      <c r="T469" s="18" t="n">
        <f aca="false">IFERROR(ROUND(INDEX('Injectable Value'!$AA$28:$AA$178,MATCH($C469,'Injectable Value'!$A$28:$A$178,0)),1),"")</f>
        <v>5695.2</v>
      </c>
      <c r="U469" s="16" t="s">
        <v>589</v>
      </c>
      <c r="V469" s="15" t="n">
        <v>2</v>
      </c>
      <c r="W469" s="15" t="s">
        <v>70</v>
      </c>
      <c r="X469" s="15" t="s">
        <v>248</v>
      </c>
      <c r="Y469" s="15" t="s">
        <v>249</v>
      </c>
      <c r="Z469" s="16" t="str">
        <f aca="false">IFERROR(INDEX(Scoring!$K:$K,MATCH($C469&amp;"|"&amp;$E469,Scoring!$U:$U,0)),"")</f>
        <v/>
      </c>
      <c r="AA469" s="15" t="str">
        <f aca="false">IFERROR(INDEX(Scoring!$Q:$Q,MATCH($C469&amp;"|"&amp;$E469,Scoring!$U:$U,0)),"")</f>
        <v>Priority 1</v>
      </c>
      <c r="AB469" s="15" t="str">
        <f aca="false">IFERROR(INDEX(Scoring!$AK:$AK,MATCH($C469&amp;"|"&amp;$E469,Scoring!$U:$U,0)),"")</f>
        <v>Priority 1</v>
      </c>
      <c r="AC469" s="18" t="n">
        <f aca="false">IFERROR(INDEX(Scoring!$M:$M,MATCH($C469&amp;"|"&amp;$E469,Scoring!$U:$U,0)),"")</f>
        <v>226</v>
      </c>
      <c r="AD469" s="15" t="str">
        <f aca="false">IFERROR(INDEX('Route of Administration'!$C$5:$C$155,MATCH($C469,'Route of Administration'!$A$5:$A$155,0)),"")</f>
        <v>IV, IM, SC</v>
      </c>
      <c r="AE469" s="14" t="str">
        <f aca="false">IFERROR(INDEX('Route of Administration'!$D$5:$D$155,MATCH($C469,'Route of Administration'!$A$5:$A$155,0)),"")</f>
        <v>Yes</v>
      </c>
    </row>
    <row r="470" customFormat="false" ht="55.2" hidden="false" customHeight="false" outlineLevel="0" collapsed="false">
      <c r="B470" s="15" t="n">
        <v>468</v>
      </c>
      <c r="C470" s="15" t="s">
        <v>356</v>
      </c>
      <c r="D470" s="15" t="s">
        <v>2380</v>
      </c>
      <c r="E470" s="15" t="s">
        <v>894</v>
      </c>
      <c r="F470" s="15" t="s">
        <v>2381</v>
      </c>
      <c r="G470" s="16" t="s">
        <v>2382</v>
      </c>
      <c r="H470" s="15" t="s">
        <v>1505</v>
      </c>
      <c r="I470" s="17" t="n">
        <v>27.22</v>
      </c>
      <c r="J470" s="15" t="n">
        <v>1</v>
      </c>
      <c r="K470" s="15" t="n">
        <v>312</v>
      </c>
      <c r="L470" s="18" t="n">
        <v>59827.18</v>
      </c>
      <c r="M470" s="16" t="s">
        <v>357</v>
      </c>
      <c r="N470" s="17" t="n">
        <v>27.22</v>
      </c>
      <c r="O470" s="15" t="s">
        <v>1506</v>
      </c>
      <c r="P470" s="15" t="s">
        <v>1672</v>
      </c>
      <c r="Q470" s="16" t="s">
        <v>1846</v>
      </c>
      <c r="R470" s="32" t="s">
        <v>2383</v>
      </c>
      <c r="S470" s="37" t="n">
        <f aca="false">IFERROR(INDEX('Injectable Value'!$Z$28:$Z$178,MATCH($C470,'Injectable Value'!$A$28:$A$178,0)),"")</f>
        <v>1</v>
      </c>
      <c r="T470" s="18" t="n">
        <f aca="false">IFERROR(ROUND(INDEX('Injectable Value'!$AA$28:$AA$178,MATCH($C470,'Injectable Value'!$A$28:$A$178,0)),1),"")</f>
        <v>59827.2</v>
      </c>
      <c r="U470" s="16" t="s">
        <v>963</v>
      </c>
      <c r="V470" s="15" t="n">
        <v>21</v>
      </c>
      <c r="W470" s="15" t="s">
        <v>754</v>
      </c>
      <c r="X470" s="15" t="s">
        <v>248</v>
      </c>
      <c r="Y470" s="15" t="s">
        <v>1519</v>
      </c>
      <c r="Z470" s="16" t="str">
        <f aca="false">IFERROR(INDEX(Scoring!$K:$K,MATCH($C470&amp;"|"&amp;$E470,Scoring!$U:$U,0)),"")</f>
        <v>Reconstitution</v>
      </c>
      <c r="AA470" s="15" t="str">
        <f aca="false">IFERROR(INDEX(Scoring!$Q:$Q,MATCH($C470&amp;"|"&amp;$E470,Scoring!$U:$U,0)),"")</f>
        <v>Excluded – IV only</v>
      </c>
      <c r="AB470" s="15" t="str">
        <f aca="false">IFERROR(INDEX(Scoring!$AK:$AK,MATCH($C470&amp;"|"&amp;$E470,Scoring!$U:$U,0)),"")</f>
        <v>Excluded – IV only</v>
      </c>
      <c r="AC470" s="18" t="n">
        <f aca="false">IFERROR(INDEX(Scoring!$M:$M,MATCH($C470&amp;"|"&amp;$E470,Scoring!$U:$U,0)),"")</f>
        <v>312</v>
      </c>
      <c r="AD470" s="15" t="str">
        <f aca="false">IFERROR(INDEX('Route of Administration'!$C$5:$C$155,MATCH($C470,'Route of Administration'!$A$5:$A$155,0)),"")</f>
        <v>IV</v>
      </c>
      <c r="AE470" s="14" t="str">
        <f aca="false">IFERROR(INDEX('Route of Administration'!$D$5:$D$155,MATCH($C470,'Route of Administration'!$A$5:$A$155,0)),"")</f>
        <v>No</v>
      </c>
    </row>
    <row r="471" customFormat="false" ht="82.05" hidden="false" customHeight="false" outlineLevel="0" collapsed="false">
      <c r="B471" s="15" t="n">
        <v>469</v>
      </c>
      <c r="C471" s="15" t="s">
        <v>262</v>
      </c>
      <c r="D471" s="15" t="s">
        <v>2384</v>
      </c>
      <c r="E471" s="15" t="s">
        <v>894</v>
      </c>
      <c r="F471" s="15" t="s">
        <v>1970</v>
      </c>
      <c r="G471" s="16" t="s">
        <v>1699</v>
      </c>
      <c r="H471" s="15" t="s">
        <v>1512</v>
      </c>
      <c r="I471" s="17" t="n">
        <v>78.71</v>
      </c>
      <c r="J471" s="15" t="n">
        <v>1</v>
      </c>
      <c r="K471" s="15" t="n">
        <v>146</v>
      </c>
      <c r="L471" s="18" t="n">
        <v>11366.06</v>
      </c>
      <c r="M471" s="16" t="s">
        <v>263</v>
      </c>
      <c r="N471" s="17" t="n">
        <v>78.71</v>
      </c>
      <c r="O471" s="15" t="s">
        <v>1506</v>
      </c>
      <c r="P471" s="15" t="s">
        <v>1672</v>
      </c>
      <c r="Q471" s="16" t="s">
        <v>1508</v>
      </c>
      <c r="R471" s="32" t="s">
        <v>1784</v>
      </c>
      <c r="S471" s="37" t="n">
        <f aca="false">IFERROR(INDEX('Injectable Value'!$Z$28:$Z$178,MATCH($C471,'Injectable Value'!$A$28:$A$178,0)),"")</f>
        <v>1</v>
      </c>
      <c r="T471" s="18" t="n">
        <f aca="false">IFERROR(ROUND(INDEX('Injectable Value'!$AA$28:$AA$178,MATCH($C471,'Injectable Value'!$A$28:$A$178,0)),1),"")</f>
        <v>11366.1</v>
      </c>
      <c r="U471" s="16" t="s">
        <v>1015</v>
      </c>
      <c r="V471" s="15" t="n">
        <v>30</v>
      </c>
      <c r="W471" s="15" t="s">
        <v>307</v>
      </c>
      <c r="X471" s="15" t="s">
        <v>258</v>
      </c>
      <c r="Y471" s="15" t="s">
        <v>249</v>
      </c>
      <c r="Z471" s="16" t="str">
        <f aca="false">IFERROR(INDEX(Scoring!$K:$K,MATCH($C471&amp;"|"&amp;$E471,Scoring!$U:$U,0)),"")</f>
        <v>Prefilled only</v>
      </c>
      <c r="AA471" s="15" t="str">
        <f aca="false">IFERROR(INDEX(Scoring!$Q:$Q,MATCH($C471&amp;"|"&amp;$E471,Scoring!$U:$U,0)),"")</f>
        <v>Priority 1</v>
      </c>
      <c r="AB471" s="15" t="str">
        <f aca="false">IFERROR(INDEX(Scoring!$AK:$AK,MATCH($C471&amp;"|"&amp;$E471,Scoring!$U:$U,0)),"")</f>
        <v>Priority 2</v>
      </c>
      <c r="AC471" s="18" t="n">
        <f aca="false">IFERROR(INDEX(Scoring!$M:$M,MATCH($C471&amp;"|"&amp;$E471,Scoring!$U:$U,0)),"")</f>
        <v>146</v>
      </c>
      <c r="AD471" s="15" t="str">
        <f aca="false">IFERROR(INDEX('Route of Administration'!$C$5:$C$155,MATCH($C471,'Route of Administration'!$A$5:$A$155,0)),"")</f>
        <v>IM</v>
      </c>
      <c r="AE471" s="14" t="str">
        <f aca="false">IFERROR(INDEX('Route of Administration'!$D$5:$D$155,MATCH($C471,'Route of Administration'!$A$5:$A$155,0)),"")</f>
        <v>Yes</v>
      </c>
    </row>
    <row r="472" customFormat="false" ht="82.05" hidden="false" customHeight="false" outlineLevel="0" collapsed="false">
      <c r="B472" s="15" t="n">
        <v>470</v>
      </c>
      <c r="C472" s="15" t="s">
        <v>498</v>
      </c>
      <c r="D472" s="15" t="s">
        <v>2385</v>
      </c>
      <c r="E472" s="15" t="s">
        <v>894</v>
      </c>
      <c r="F472" s="15" t="s">
        <v>2125</v>
      </c>
      <c r="G472" s="16" t="s">
        <v>1691</v>
      </c>
      <c r="H472" s="15" t="s">
        <v>1505</v>
      </c>
      <c r="I472" s="17" t="n">
        <v>15.39</v>
      </c>
      <c r="J472" s="15" t="n">
        <v>1</v>
      </c>
      <c r="K472" s="15" t="n">
        <v>119</v>
      </c>
      <c r="L472" s="18" t="n">
        <v>3113.83</v>
      </c>
      <c r="M472" s="16" t="s">
        <v>499</v>
      </c>
      <c r="N472" s="17" t="n">
        <v>15.39</v>
      </c>
      <c r="O472" s="15" t="s">
        <v>1506</v>
      </c>
      <c r="P472" s="15" t="s">
        <v>1672</v>
      </c>
      <c r="Q472" s="16" t="s">
        <v>1508</v>
      </c>
      <c r="R472" s="32" t="s">
        <v>1784</v>
      </c>
      <c r="S472" s="37" t="n">
        <f aca="false">IFERROR(INDEX('Injectable Value'!$Z$28:$Z$178,MATCH($C472,'Injectable Value'!$A$28:$A$178,0)),"")</f>
        <v>0.899884259259259</v>
      </c>
      <c r="T472" s="18" t="n">
        <f aca="false">IFERROR(ROUND(INDEX('Injectable Value'!$AA$28:$AA$178,MATCH($C472,'Injectable Value'!$A$28:$A$178,0)),1),"")</f>
        <v>2802.1</v>
      </c>
      <c r="U472" s="16" t="s">
        <v>1084</v>
      </c>
      <c r="V472" s="15" t="n">
        <v>32</v>
      </c>
      <c r="W472" s="15" t="s">
        <v>423</v>
      </c>
      <c r="X472" s="15" t="s">
        <v>248</v>
      </c>
      <c r="Y472" s="15" t="s">
        <v>249</v>
      </c>
      <c r="Z472" s="16" t="str">
        <f aca="false">IFERROR(INDEX(Scoring!$K:$K,MATCH($C472&amp;"|"&amp;$E472,Scoring!$U:$U,0)),"")</f>
        <v/>
      </c>
      <c r="AA472" s="15" t="str">
        <f aca="false">IFERROR(INDEX(Scoring!$Q:$Q,MATCH($C472&amp;"|"&amp;$E472,Scoring!$U:$U,0)),"")</f>
        <v>Excluded – IV only</v>
      </c>
      <c r="AB472" s="15" t="str">
        <f aca="false">IFERROR(INDEX(Scoring!$AK:$AK,MATCH($C472&amp;"|"&amp;$E472,Scoring!$U:$U,0)),"")</f>
        <v>Excluded – IV only</v>
      </c>
      <c r="AC472" s="18" t="n">
        <f aca="false">IFERROR(INDEX(Scoring!$M:$M,MATCH($C472&amp;"|"&amp;$E472,Scoring!$U:$U,0)),"")</f>
        <v>107</v>
      </c>
      <c r="AD472" s="15" t="str">
        <f aca="false">IFERROR(INDEX('Route of Administration'!$C$5:$C$155,MATCH($C472,'Route of Administration'!$A$5:$A$155,0)),"")</f>
        <v>IV</v>
      </c>
      <c r="AE472" s="14" t="str">
        <f aca="false">IFERROR(INDEX('Route of Administration'!$D$5:$D$155,MATCH($C472,'Route of Administration'!$A$5:$A$155,0)),"")</f>
        <v>No</v>
      </c>
    </row>
    <row r="473" customFormat="false" ht="95.5" hidden="false" customHeight="false" outlineLevel="0" collapsed="false">
      <c r="B473" s="15" t="n">
        <v>471</v>
      </c>
      <c r="C473" s="15" t="s">
        <v>305</v>
      </c>
      <c r="D473" s="15" t="s">
        <v>2386</v>
      </c>
      <c r="E473" s="15" t="s">
        <v>894</v>
      </c>
      <c r="F473" s="15" t="s">
        <v>2387</v>
      </c>
      <c r="G473" s="16" t="s">
        <v>2388</v>
      </c>
      <c r="H473" s="15" t="s">
        <v>1505</v>
      </c>
      <c r="I473" s="17" t="n">
        <v>97.6</v>
      </c>
      <c r="J473" s="15" t="n">
        <v>1</v>
      </c>
      <c r="K473" s="15" t="n">
        <v>905</v>
      </c>
      <c r="L473" s="18" t="n">
        <v>28093.38</v>
      </c>
      <c r="M473" s="16" t="s">
        <v>306</v>
      </c>
      <c r="N473" s="17" t="n">
        <v>97.6</v>
      </c>
      <c r="O473" s="15" t="s">
        <v>1506</v>
      </c>
      <c r="P473" s="15" t="s">
        <v>1672</v>
      </c>
      <c r="Q473" s="16" t="s">
        <v>1846</v>
      </c>
      <c r="R473" s="32" t="s">
        <v>2389</v>
      </c>
      <c r="S473" s="37" t="n">
        <f aca="false">IFERROR(INDEX('Injectable Value'!$Z$28:$Z$178,MATCH($C473,'Injectable Value'!$A$28:$A$178,0)),"")</f>
        <v>1</v>
      </c>
      <c r="T473" s="18" t="n">
        <f aca="false">IFERROR(ROUND(INDEX('Injectable Value'!$AA$28:$AA$178,MATCH($C473,'Injectable Value'!$A$28:$A$178,0)),1),"")</f>
        <v>28093.4</v>
      </c>
      <c r="U473" s="16" t="s">
        <v>931</v>
      </c>
      <c r="V473" s="15" t="n">
        <v>34</v>
      </c>
      <c r="W473" s="15" t="s">
        <v>298</v>
      </c>
      <c r="X473" s="15" t="s">
        <v>248</v>
      </c>
      <c r="Y473" s="15" t="s">
        <v>299</v>
      </c>
      <c r="Z473" s="16" t="str">
        <f aca="false">IFERROR(INDEX(Scoring!$K:$K,MATCH($C473&amp;"|"&amp;$E473,Scoring!$U:$U,0)),"")</f>
        <v>Cancer drug (cytotoxic) – less relevant; Reconstitution</v>
      </c>
      <c r="AA473" s="15" t="str">
        <f aca="false">IFERROR(INDEX(Scoring!$Q:$Q,MATCH($C473&amp;"|"&amp;$E473,Scoring!$U:$U,0)),"")</f>
        <v>Priority 1</v>
      </c>
      <c r="AB473" s="15" t="str">
        <f aca="false">IFERROR(INDEX(Scoring!$AK:$AK,MATCH($C473&amp;"|"&amp;$E473,Scoring!$U:$U,0)),"")</f>
        <v>Priority 1</v>
      </c>
      <c r="AC473" s="18" t="n">
        <f aca="false">IFERROR(INDEX(Scoring!$M:$M,MATCH($C473&amp;"|"&amp;$E473,Scoring!$U:$U,0)),"")</f>
        <v>905</v>
      </c>
      <c r="AD473" s="15" t="str">
        <f aca="false">IFERROR(INDEX('Route of Administration'!$C$5:$C$155,MATCH($C473,'Route of Administration'!$A$5:$A$155,0)),"")</f>
        <v>IV, SC</v>
      </c>
      <c r="AE473" s="14" t="str">
        <f aca="false">IFERROR(INDEX('Route of Administration'!$D$5:$D$155,MATCH($C473,'Route of Administration'!$A$5:$A$155,0)),"")</f>
        <v>Yes</v>
      </c>
    </row>
    <row r="474" customFormat="false" ht="28.35" hidden="false" customHeight="false" outlineLevel="0" collapsed="false">
      <c r="B474" s="15" t="n">
        <v>472</v>
      </c>
      <c r="C474" s="15" t="s">
        <v>1142</v>
      </c>
      <c r="D474" s="15" t="s">
        <v>1146</v>
      </c>
      <c r="E474" s="15" t="s">
        <v>894</v>
      </c>
      <c r="F474" s="15" t="s">
        <v>2390</v>
      </c>
      <c r="G474" s="16" t="s">
        <v>1966</v>
      </c>
      <c r="H474" s="15" t="s">
        <v>1505</v>
      </c>
      <c r="I474" s="17" t="n">
        <v>9.93</v>
      </c>
      <c r="J474" s="15" t="n">
        <v>1</v>
      </c>
      <c r="K474" s="15" t="n">
        <v>484</v>
      </c>
      <c r="L474" s="18" t="n">
        <v>1326.8</v>
      </c>
      <c r="M474" s="16" t="s">
        <v>1143</v>
      </c>
      <c r="N474" s="17" t="n">
        <v>9.93</v>
      </c>
      <c r="O474" s="15" t="s">
        <v>1506</v>
      </c>
      <c r="P474" s="15" t="s">
        <v>1672</v>
      </c>
      <c r="Q474" s="16" t="s">
        <v>1508</v>
      </c>
      <c r="R474" s="32" t="s">
        <v>1784</v>
      </c>
      <c r="S474" s="37" t="n">
        <f aca="false">IFERROR(INDEX('Injectable Value'!$Z$28:$Z$178,MATCH($C474,'Injectable Value'!$A$28:$A$178,0)),"")</f>
        <v>0.925925925925926</v>
      </c>
      <c r="T474" s="18" t="n">
        <f aca="false">IFERROR(ROUND(INDEX('Injectable Value'!$AA$28:$AA$178,MATCH($C474,'Injectable Value'!$A$28:$A$178,0)),1),"")</f>
        <v>1228.5</v>
      </c>
      <c r="U474" s="16" t="s">
        <v>328</v>
      </c>
      <c r="V474" s="15" t="n">
        <v>1</v>
      </c>
      <c r="W474" s="15" t="s">
        <v>70</v>
      </c>
      <c r="X474" s="15" t="s">
        <v>248</v>
      </c>
      <c r="Y474" s="15" t="s">
        <v>249</v>
      </c>
      <c r="Z474" s="16" t="str">
        <f aca="false">IFERROR(INDEX(Scoring!$K:$K,MATCH($C474&amp;"|"&amp;$E474,Scoring!$U:$U,0)),"")</f>
        <v>Cancer drug (cytotoxic) – less relevant</v>
      </c>
      <c r="AA474" s="15" t="str">
        <f aca="false">IFERROR(INDEX(Scoring!$Q:$Q,MATCH($C474&amp;"|"&amp;$E474,Scoring!$U:$U,0)),"")</f>
        <v>Excluded – IV only</v>
      </c>
      <c r="AB474" s="15" t="str">
        <f aca="false">IFERROR(INDEX(Scoring!$AK:$AK,MATCH($C474&amp;"|"&amp;$E474,Scoring!$U:$U,0)),"")</f>
        <v>Excluded – IV only</v>
      </c>
      <c r="AC474" s="18" t="n">
        <f aca="false">IFERROR(INDEX(Scoring!$M:$M,MATCH($C474&amp;"|"&amp;$E474,Scoring!$U:$U,0)),"")</f>
        <v>448</v>
      </c>
      <c r="AD474" s="15" t="str">
        <f aca="false">IFERROR(INDEX('Route of Administration'!$C$5:$C$155,MATCH($C474,'Route of Administration'!$A$5:$A$155,0)),"")</f>
        <v>IV</v>
      </c>
      <c r="AE474" s="14" t="str">
        <f aca="false">IFERROR(INDEX('Route of Administration'!$D$5:$D$155,MATCH($C474,'Route of Administration'!$A$5:$A$155,0)),"")</f>
        <v>No</v>
      </c>
    </row>
    <row r="475" customFormat="false" ht="55.2" hidden="false" customHeight="false" outlineLevel="0" collapsed="false">
      <c r="B475" s="15" t="n">
        <v>473</v>
      </c>
      <c r="C475" s="15" t="s">
        <v>376</v>
      </c>
      <c r="D475" s="15" t="s">
        <v>2391</v>
      </c>
      <c r="E475" s="15" t="s">
        <v>894</v>
      </c>
      <c r="F475" s="15" t="s">
        <v>2392</v>
      </c>
      <c r="G475" s="16" t="s">
        <v>1691</v>
      </c>
      <c r="H475" s="15" t="s">
        <v>1505</v>
      </c>
      <c r="I475" s="17" t="n">
        <v>7.79</v>
      </c>
      <c r="J475" s="15" t="n">
        <v>1</v>
      </c>
      <c r="K475" s="15" t="n">
        <v>345</v>
      </c>
      <c r="L475" s="18" t="n">
        <v>2783.28</v>
      </c>
      <c r="M475" s="16" t="s">
        <v>377</v>
      </c>
      <c r="N475" s="17" t="n">
        <v>7.79</v>
      </c>
      <c r="O475" s="15" t="s">
        <v>1506</v>
      </c>
      <c r="P475" s="15" t="s">
        <v>1672</v>
      </c>
      <c r="Q475" s="16" t="s">
        <v>1508</v>
      </c>
      <c r="R475" s="32" t="s">
        <v>1784</v>
      </c>
      <c r="S475" s="37" t="n">
        <f aca="false">IFERROR(INDEX('Injectable Value'!$Z$28:$Z$178,MATCH($C475,'Injectable Value'!$A$28:$A$178,0)),"")</f>
        <v>0.995283018867925</v>
      </c>
      <c r="T475" s="18" t="n">
        <f aca="false">IFERROR(ROUND(INDEX('Injectable Value'!$AA$28:$AA$178,MATCH($C475,'Injectable Value'!$A$28:$A$178,0)),1),"")</f>
        <v>2770.2</v>
      </c>
      <c r="U475" s="16" t="s">
        <v>990</v>
      </c>
      <c r="V475" s="15" t="n">
        <v>24</v>
      </c>
      <c r="W475" s="15" t="s">
        <v>945</v>
      </c>
      <c r="X475" s="15" t="s">
        <v>248</v>
      </c>
      <c r="Y475" s="15" t="s">
        <v>249</v>
      </c>
      <c r="Z475" s="16" t="str">
        <f aca="false">IFERROR(INDEX(Scoring!$K:$K,MATCH($C475&amp;"|"&amp;$E475,Scoring!$U:$U,0)),"")</f>
        <v>Cancer drug (cytotoxic) – less relevant</v>
      </c>
      <c r="AA475" s="15" t="str">
        <f aca="false">IFERROR(INDEX(Scoring!$Q:$Q,MATCH($C475&amp;"|"&amp;$E475,Scoring!$U:$U,0)),"")</f>
        <v>Excluded – IV only</v>
      </c>
      <c r="AB475" s="15" t="str">
        <f aca="false">IFERROR(INDEX(Scoring!$AK:$AK,MATCH($C475&amp;"|"&amp;$E475,Scoring!$U:$U,0)),"")</f>
        <v>Excluded – IV only</v>
      </c>
      <c r="AC475" s="18" t="n">
        <f aca="false">IFERROR(INDEX(Scoring!$M:$M,MATCH($C475&amp;"|"&amp;$E475,Scoring!$U:$U,0)),"")</f>
        <v>343</v>
      </c>
      <c r="AD475" s="15" t="str">
        <f aca="false">IFERROR(INDEX('Route of Administration'!$C$5:$C$155,MATCH($C475,'Route of Administration'!$A$5:$A$155,0)),"")</f>
        <v>IV</v>
      </c>
      <c r="AE475" s="14" t="str">
        <f aca="false">IFERROR(INDEX('Route of Administration'!$D$5:$D$155,MATCH($C475,'Route of Administration'!$A$5:$A$155,0)),"")</f>
        <v>No</v>
      </c>
    </row>
    <row r="476" customFormat="false" ht="55.2" hidden="false" customHeight="false" outlineLevel="0" collapsed="false">
      <c r="B476" s="15" t="n">
        <v>474</v>
      </c>
      <c r="C476" s="15" t="s">
        <v>376</v>
      </c>
      <c r="D476" s="15" t="s">
        <v>2391</v>
      </c>
      <c r="E476" s="15" t="s">
        <v>894</v>
      </c>
      <c r="F476" s="15" t="s">
        <v>2392</v>
      </c>
      <c r="G476" s="16" t="s">
        <v>2393</v>
      </c>
      <c r="H476" s="15" t="s">
        <v>1505</v>
      </c>
      <c r="I476" s="17" t="n">
        <v>38.94</v>
      </c>
      <c r="J476" s="15" t="n">
        <v>1</v>
      </c>
      <c r="K476" s="15" t="n">
        <v>345</v>
      </c>
      <c r="L476" s="18" t="n">
        <v>2783.28</v>
      </c>
      <c r="M476" s="16" t="s">
        <v>377</v>
      </c>
      <c r="N476" s="17" t="n">
        <v>38.94</v>
      </c>
      <c r="O476" s="15" t="s">
        <v>1506</v>
      </c>
      <c r="P476" s="15" t="s">
        <v>1672</v>
      </c>
      <c r="Q476" s="16" t="s">
        <v>1508</v>
      </c>
      <c r="R476" s="32" t="s">
        <v>1784</v>
      </c>
      <c r="S476" s="37" t="n">
        <f aca="false">IFERROR(INDEX('Injectable Value'!$Z$28:$Z$178,MATCH($C476,'Injectable Value'!$A$28:$A$178,0)),"")</f>
        <v>0.995283018867925</v>
      </c>
      <c r="T476" s="18" t="n">
        <f aca="false">IFERROR(ROUND(INDEX('Injectable Value'!$AA$28:$AA$178,MATCH($C476,'Injectable Value'!$A$28:$A$178,0)),1),"")</f>
        <v>2770.2</v>
      </c>
      <c r="U476" s="16" t="s">
        <v>990</v>
      </c>
      <c r="V476" s="15" t="n">
        <v>24</v>
      </c>
      <c r="W476" s="15" t="s">
        <v>945</v>
      </c>
      <c r="X476" s="15" t="s">
        <v>248</v>
      </c>
      <c r="Y476" s="15" t="s">
        <v>1519</v>
      </c>
      <c r="Z476" s="16" t="str">
        <f aca="false">IFERROR(INDEX(Scoring!$K:$K,MATCH($C476&amp;"|"&amp;$E476,Scoring!$U:$U,0)),"")</f>
        <v>Cancer drug (cytotoxic) – less relevant</v>
      </c>
      <c r="AA476" s="15" t="str">
        <f aca="false">IFERROR(INDEX(Scoring!$Q:$Q,MATCH($C476&amp;"|"&amp;$E476,Scoring!$U:$U,0)),"")</f>
        <v>Excluded – IV only</v>
      </c>
      <c r="AB476" s="15" t="str">
        <f aca="false">IFERROR(INDEX(Scoring!$AK:$AK,MATCH($C476&amp;"|"&amp;$E476,Scoring!$U:$U,0)),"")</f>
        <v>Excluded – IV only</v>
      </c>
      <c r="AC476" s="18" t="n">
        <f aca="false">IFERROR(INDEX(Scoring!$M:$M,MATCH($C476&amp;"|"&amp;$E476,Scoring!$U:$U,0)),"")</f>
        <v>343</v>
      </c>
      <c r="AD476" s="15" t="str">
        <f aca="false">IFERROR(INDEX('Route of Administration'!$C$5:$C$155,MATCH($C476,'Route of Administration'!$A$5:$A$155,0)),"")</f>
        <v>IV</v>
      </c>
      <c r="AE476" s="14" t="str">
        <f aca="false">IFERROR(INDEX('Route of Administration'!$D$5:$D$155,MATCH($C476,'Route of Administration'!$A$5:$A$155,0)),"")</f>
        <v>No</v>
      </c>
    </row>
    <row r="477" customFormat="false" ht="55.2" hidden="false" customHeight="false" outlineLevel="0" collapsed="false">
      <c r="B477" s="15" t="n">
        <v>475</v>
      </c>
      <c r="C477" s="15" t="s">
        <v>376</v>
      </c>
      <c r="D477" s="15" t="s">
        <v>2394</v>
      </c>
      <c r="E477" s="15" t="s">
        <v>894</v>
      </c>
      <c r="F477" s="15" t="s">
        <v>2392</v>
      </c>
      <c r="G477" s="16" t="s">
        <v>1691</v>
      </c>
      <c r="H477" s="15" t="s">
        <v>1505</v>
      </c>
      <c r="I477" s="17" t="n">
        <v>7.79</v>
      </c>
      <c r="J477" s="15" t="n">
        <v>1</v>
      </c>
      <c r="K477" s="15" t="n">
        <v>345</v>
      </c>
      <c r="L477" s="18" t="n">
        <v>2783.28</v>
      </c>
      <c r="M477" s="16" t="s">
        <v>377</v>
      </c>
      <c r="N477" s="17" t="n">
        <v>7.79</v>
      </c>
      <c r="O477" s="15" t="s">
        <v>1506</v>
      </c>
      <c r="P477" s="15" t="s">
        <v>1672</v>
      </c>
      <c r="Q477" s="16" t="s">
        <v>1508</v>
      </c>
      <c r="R477" s="32" t="s">
        <v>1784</v>
      </c>
      <c r="S477" s="37" t="n">
        <f aca="false">IFERROR(INDEX('Injectable Value'!$Z$28:$Z$178,MATCH($C477,'Injectable Value'!$A$28:$A$178,0)),"")</f>
        <v>0.995283018867925</v>
      </c>
      <c r="T477" s="18" t="n">
        <f aca="false">IFERROR(ROUND(INDEX('Injectable Value'!$AA$28:$AA$178,MATCH($C477,'Injectable Value'!$A$28:$A$178,0)),1),"")</f>
        <v>2770.2</v>
      </c>
      <c r="U477" s="16" t="s">
        <v>990</v>
      </c>
      <c r="V477" s="15" t="n">
        <v>24</v>
      </c>
      <c r="W477" s="15" t="s">
        <v>945</v>
      </c>
      <c r="X477" s="15" t="s">
        <v>248</v>
      </c>
      <c r="Y477" s="15" t="s">
        <v>249</v>
      </c>
      <c r="Z477" s="16" t="str">
        <f aca="false">IFERROR(INDEX(Scoring!$K:$K,MATCH($C477&amp;"|"&amp;$E477,Scoring!$U:$U,0)),"")</f>
        <v>Cancer drug (cytotoxic) – less relevant</v>
      </c>
      <c r="AA477" s="15" t="str">
        <f aca="false">IFERROR(INDEX(Scoring!$Q:$Q,MATCH($C477&amp;"|"&amp;$E477,Scoring!$U:$U,0)),"")</f>
        <v>Excluded – IV only</v>
      </c>
      <c r="AB477" s="15" t="str">
        <f aca="false">IFERROR(INDEX(Scoring!$AK:$AK,MATCH($C477&amp;"|"&amp;$E477,Scoring!$U:$U,0)),"")</f>
        <v>Excluded – IV only</v>
      </c>
      <c r="AC477" s="18" t="n">
        <f aca="false">IFERROR(INDEX(Scoring!$M:$M,MATCH($C477&amp;"|"&amp;$E477,Scoring!$U:$U,0)),"")</f>
        <v>343</v>
      </c>
      <c r="AD477" s="15" t="str">
        <f aca="false">IFERROR(INDEX('Route of Administration'!$C$5:$C$155,MATCH($C477,'Route of Administration'!$A$5:$A$155,0)),"")</f>
        <v>IV</v>
      </c>
      <c r="AE477" s="14" t="str">
        <f aca="false">IFERROR(INDEX('Route of Administration'!$D$5:$D$155,MATCH($C477,'Route of Administration'!$A$5:$A$155,0)),"")</f>
        <v>No</v>
      </c>
    </row>
    <row r="478" customFormat="false" ht="55.2" hidden="false" customHeight="false" outlineLevel="0" collapsed="false">
      <c r="B478" s="15" t="n">
        <v>476</v>
      </c>
      <c r="C478" s="15" t="s">
        <v>376</v>
      </c>
      <c r="D478" s="15" t="s">
        <v>2394</v>
      </c>
      <c r="E478" s="15" t="s">
        <v>894</v>
      </c>
      <c r="F478" s="15" t="s">
        <v>2392</v>
      </c>
      <c r="G478" s="16" t="s">
        <v>2393</v>
      </c>
      <c r="H478" s="15" t="s">
        <v>1505</v>
      </c>
      <c r="I478" s="17" t="n">
        <v>38.94</v>
      </c>
      <c r="J478" s="15" t="n">
        <v>1</v>
      </c>
      <c r="K478" s="15" t="n">
        <v>345</v>
      </c>
      <c r="L478" s="18" t="n">
        <v>2783.28</v>
      </c>
      <c r="M478" s="16" t="s">
        <v>377</v>
      </c>
      <c r="N478" s="17" t="n">
        <v>38.94</v>
      </c>
      <c r="O478" s="15" t="s">
        <v>1506</v>
      </c>
      <c r="P478" s="15" t="s">
        <v>1672</v>
      </c>
      <c r="Q478" s="16" t="s">
        <v>1508</v>
      </c>
      <c r="R478" s="32" t="s">
        <v>1784</v>
      </c>
      <c r="S478" s="37" t="n">
        <f aca="false">IFERROR(INDEX('Injectable Value'!$Z$28:$Z$178,MATCH($C478,'Injectable Value'!$A$28:$A$178,0)),"")</f>
        <v>0.995283018867925</v>
      </c>
      <c r="T478" s="18" t="n">
        <f aca="false">IFERROR(ROUND(INDEX('Injectable Value'!$AA$28:$AA$178,MATCH($C478,'Injectable Value'!$A$28:$A$178,0)),1),"")</f>
        <v>2770.2</v>
      </c>
      <c r="U478" s="16" t="s">
        <v>990</v>
      </c>
      <c r="V478" s="15" t="n">
        <v>24</v>
      </c>
      <c r="W478" s="15" t="s">
        <v>945</v>
      </c>
      <c r="X478" s="15" t="s">
        <v>248</v>
      </c>
      <c r="Y478" s="15" t="s">
        <v>1519</v>
      </c>
      <c r="Z478" s="16" t="str">
        <f aca="false">IFERROR(INDEX(Scoring!$K:$K,MATCH($C478&amp;"|"&amp;$E478,Scoring!$U:$U,0)),"")</f>
        <v>Cancer drug (cytotoxic) – less relevant</v>
      </c>
      <c r="AA478" s="15" t="str">
        <f aca="false">IFERROR(INDEX(Scoring!$Q:$Q,MATCH($C478&amp;"|"&amp;$E478,Scoring!$U:$U,0)),"")</f>
        <v>Excluded – IV only</v>
      </c>
      <c r="AB478" s="15" t="str">
        <f aca="false">IFERROR(INDEX(Scoring!$AK:$AK,MATCH($C478&amp;"|"&amp;$E478,Scoring!$U:$U,0)),"")</f>
        <v>Excluded – IV only</v>
      </c>
      <c r="AC478" s="18" t="n">
        <f aca="false">IFERROR(INDEX(Scoring!$M:$M,MATCH($C478&amp;"|"&amp;$E478,Scoring!$U:$U,0)),"")</f>
        <v>343</v>
      </c>
      <c r="AD478" s="15" t="str">
        <f aca="false">IFERROR(INDEX('Route of Administration'!$C$5:$C$155,MATCH($C478,'Route of Administration'!$A$5:$A$155,0)),"")</f>
        <v>IV</v>
      </c>
      <c r="AE478" s="14" t="str">
        <f aca="false">IFERROR(INDEX('Route of Administration'!$D$5:$D$155,MATCH($C478,'Route of Administration'!$A$5:$A$155,0)),"")</f>
        <v>No</v>
      </c>
    </row>
    <row r="479" customFormat="false" ht="95.5" hidden="false" customHeight="false" outlineLevel="0" collapsed="false">
      <c r="B479" s="15" t="n">
        <v>477</v>
      </c>
      <c r="C479" s="15" t="s">
        <v>362</v>
      </c>
      <c r="D479" s="15" t="s">
        <v>2395</v>
      </c>
      <c r="E479" s="15" t="s">
        <v>894</v>
      </c>
      <c r="F479" s="15" t="s">
        <v>2396</v>
      </c>
      <c r="G479" s="16" t="s">
        <v>2393</v>
      </c>
      <c r="H479" s="15" t="s">
        <v>1505</v>
      </c>
      <c r="I479" s="17" t="n">
        <v>17.14</v>
      </c>
      <c r="J479" s="15" t="n">
        <v>1</v>
      </c>
      <c r="K479" s="15" t="n">
        <v>1644</v>
      </c>
      <c r="L479" s="18" t="n">
        <v>41889.23</v>
      </c>
      <c r="M479" s="16" t="s">
        <v>363</v>
      </c>
      <c r="N479" s="17" t="n">
        <v>17.14</v>
      </c>
      <c r="O479" s="15" t="s">
        <v>1506</v>
      </c>
      <c r="P479" s="15" t="s">
        <v>1672</v>
      </c>
      <c r="Q479" s="16" t="s">
        <v>1846</v>
      </c>
      <c r="R479" s="32" t="s">
        <v>2397</v>
      </c>
      <c r="S479" s="37" t="n">
        <f aca="false">IFERROR(INDEX('Injectable Value'!$Z$28:$Z$178,MATCH($C479,'Injectable Value'!$A$28:$A$178,0)),"")</f>
        <v>0.990783410138249</v>
      </c>
      <c r="T479" s="18" t="n">
        <f aca="false">IFERROR(ROUND(INDEX('Injectable Value'!$AA$28:$AA$178,MATCH($C479,'Injectable Value'!$A$28:$A$178,0)),1),"")</f>
        <v>41503.2</v>
      </c>
      <c r="U479" s="16" t="s">
        <v>980</v>
      </c>
      <c r="V479" s="15" t="n">
        <v>34</v>
      </c>
      <c r="W479" s="15" t="s">
        <v>977</v>
      </c>
      <c r="X479" s="15" t="s">
        <v>248</v>
      </c>
      <c r="Y479" s="15" t="s">
        <v>1519</v>
      </c>
      <c r="Z479" s="16" t="str">
        <f aca="false">IFERROR(INDEX(Scoring!$K:$K,MATCH($C479&amp;"|"&amp;$E479,Scoring!$U:$U,0)),"")</f>
        <v>Cancer drug (cytotoxic) – less relevant</v>
      </c>
      <c r="AA479" s="15" t="str">
        <f aca="false">IFERROR(INDEX(Scoring!$Q:$Q,MATCH($C479&amp;"|"&amp;$E479,Scoring!$U:$U,0)),"")</f>
        <v>Excluded – IV only</v>
      </c>
      <c r="AB479" s="15" t="str">
        <f aca="false">IFERROR(INDEX(Scoring!$AK:$AK,MATCH($C479&amp;"|"&amp;$E479,Scoring!$U:$U,0)),"")</f>
        <v>Excluded – IV only</v>
      </c>
      <c r="AC479" s="18" t="n">
        <f aca="false">IFERROR(INDEX(Scoring!$M:$M,MATCH($C479&amp;"|"&amp;$E479,Scoring!$U:$U,0)),"")</f>
        <v>1629</v>
      </c>
      <c r="AD479" s="15" t="str">
        <f aca="false">IFERROR(INDEX('Route of Administration'!$C$5:$C$155,MATCH($C479,'Route of Administration'!$A$5:$A$155,0)),"")</f>
        <v>IV</v>
      </c>
      <c r="AE479" s="14" t="str">
        <f aca="false">IFERROR(INDEX('Route of Administration'!$D$5:$D$155,MATCH($C479,'Route of Administration'!$A$5:$A$155,0)),"")</f>
        <v>No</v>
      </c>
    </row>
    <row r="480" customFormat="false" ht="95.5" hidden="false" customHeight="false" outlineLevel="0" collapsed="false">
      <c r="B480" s="15" t="n">
        <v>478</v>
      </c>
      <c r="C480" s="15" t="s">
        <v>362</v>
      </c>
      <c r="D480" s="15" t="s">
        <v>2395</v>
      </c>
      <c r="E480" s="15" t="s">
        <v>894</v>
      </c>
      <c r="F480" s="15" t="s">
        <v>2398</v>
      </c>
      <c r="G480" s="16" t="s">
        <v>1695</v>
      </c>
      <c r="H480" s="15" t="s">
        <v>1505</v>
      </c>
      <c r="I480" s="17" t="n">
        <v>105.46</v>
      </c>
      <c r="J480" s="15" t="n">
        <v>1</v>
      </c>
      <c r="K480" s="15" t="n">
        <v>1644</v>
      </c>
      <c r="L480" s="18" t="n">
        <v>41889.23</v>
      </c>
      <c r="M480" s="16" t="s">
        <v>363</v>
      </c>
      <c r="N480" s="17" t="n">
        <v>105.46</v>
      </c>
      <c r="O480" s="15" t="s">
        <v>1506</v>
      </c>
      <c r="P480" s="15" t="s">
        <v>1672</v>
      </c>
      <c r="Q480" s="16" t="s">
        <v>1846</v>
      </c>
      <c r="R480" s="32" t="s">
        <v>2397</v>
      </c>
      <c r="S480" s="37" t="n">
        <f aca="false">IFERROR(INDEX('Injectable Value'!$Z$28:$Z$178,MATCH($C480,'Injectable Value'!$A$28:$A$178,0)),"")</f>
        <v>0.990783410138249</v>
      </c>
      <c r="T480" s="18" t="n">
        <f aca="false">IFERROR(ROUND(INDEX('Injectable Value'!$AA$28:$AA$178,MATCH($C480,'Injectable Value'!$A$28:$A$178,0)),1),"")</f>
        <v>41503.2</v>
      </c>
      <c r="U480" s="16" t="s">
        <v>980</v>
      </c>
      <c r="V480" s="15" t="n">
        <v>34</v>
      </c>
      <c r="W480" s="15" t="s">
        <v>977</v>
      </c>
      <c r="X480" s="15" t="s">
        <v>248</v>
      </c>
      <c r="Y480" s="15" t="s">
        <v>1519</v>
      </c>
      <c r="Z480" s="16" t="str">
        <f aca="false">IFERROR(INDEX(Scoring!$K:$K,MATCH($C480&amp;"|"&amp;$E480,Scoring!$U:$U,0)),"")</f>
        <v>Cancer drug (cytotoxic) – less relevant</v>
      </c>
      <c r="AA480" s="15" t="str">
        <f aca="false">IFERROR(INDEX(Scoring!$Q:$Q,MATCH($C480&amp;"|"&amp;$E480,Scoring!$U:$U,0)),"")</f>
        <v>Excluded – IV only</v>
      </c>
      <c r="AB480" s="15" t="str">
        <f aca="false">IFERROR(INDEX(Scoring!$AK:$AK,MATCH($C480&amp;"|"&amp;$E480,Scoring!$U:$U,0)),"")</f>
        <v>Excluded – IV only</v>
      </c>
      <c r="AC480" s="18" t="n">
        <f aca="false">IFERROR(INDEX(Scoring!$M:$M,MATCH($C480&amp;"|"&amp;$E480,Scoring!$U:$U,0)),"")</f>
        <v>1629</v>
      </c>
      <c r="AD480" s="15" t="str">
        <f aca="false">IFERROR(INDEX('Route of Administration'!$C$5:$C$155,MATCH($C480,'Route of Administration'!$A$5:$A$155,0)),"")</f>
        <v>IV</v>
      </c>
      <c r="AE480" s="14" t="str">
        <f aca="false">IFERROR(INDEX('Route of Administration'!$D$5:$D$155,MATCH($C480,'Route of Administration'!$A$5:$A$155,0)),"")</f>
        <v>No</v>
      </c>
    </row>
    <row r="481" customFormat="false" ht="95.5" hidden="false" customHeight="false" outlineLevel="0" collapsed="false">
      <c r="B481" s="15" t="n">
        <v>479</v>
      </c>
      <c r="C481" s="15" t="s">
        <v>362</v>
      </c>
      <c r="D481" s="15" t="s">
        <v>2263</v>
      </c>
      <c r="E481" s="15" t="s">
        <v>894</v>
      </c>
      <c r="F481" s="15" t="s">
        <v>2396</v>
      </c>
      <c r="G481" s="16" t="s">
        <v>2393</v>
      </c>
      <c r="H481" s="15" t="s">
        <v>1505</v>
      </c>
      <c r="I481" s="17" t="n">
        <v>18.89</v>
      </c>
      <c r="J481" s="15" t="n">
        <v>1</v>
      </c>
      <c r="K481" s="15" t="n">
        <v>1644</v>
      </c>
      <c r="L481" s="18" t="n">
        <v>41889.23</v>
      </c>
      <c r="M481" s="16" t="s">
        <v>363</v>
      </c>
      <c r="N481" s="17" t="n">
        <v>18.89</v>
      </c>
      <c r="O481" s="15" t="s">
        <v>1506</v>
      </c>
      <c r="P481" s="15" t="s">
        <v>1672</v>
      </c>
      <c r="Q481" s="16" t="s">
        <v>1508</v>
      </c>
      <c r="R481" s="32" t="s">
        <v>1784</v>
      </c>
      <c r="S481" s="37" t="n">
        <f aca="false">IFERROR(INDEX('Injectable Value'!$Z$28:$Z$178,MATCH($C481,'Injectable Value'!$A$28:$A$178,0)),"")</f>
        <v>0.990783410138249</v>
      </c>
      <c r="T481" s="18" t="n">
        <f aca="false">IFERROR(ROUND(INDEX('Injectable Value'!$AA$28:$AA$178,MATCH($C481,'Injectable Value'!$A$28:$A$178,0)),1),"")</f>
        <v>41503.2</v>
      </c>
      <c r="U481" s="16" t="s">
        <v>980</v>
      </c>
      <c r="V481" s="15" t="n">
        <v>34</v>
      </c>
      <c r="W481" s="15" t="s">
        <v>977</v>
      </c>
      <c r="X481" s="15" t="s">
        <v>248</v>
      </c>
      <c r="Y481" s="15" t="s">
        <v>1519</v>
      </c>
      <c r="Z481" s="16" t="str">
        <f aca="false">IFERROR(INDEX(Scoring!$K:$K,MATCH($C481&amp;"|"&amp;$E481,Scoring!$U:$U,0)),"")</f>
        <v>Cancer drug (cytotoxic) – less relevant</v>
      </c>
      <c r="AA481" s="15" t="str">
        <f aca="false">IFERROR(INDEX(Scoring!$Q:$Q,MATCH($C481&amp;"|"&amp;$E481,Scoring!$U:$U,0)),"")</f>
        <v>Excluded – IV only</v>
      </c>
      <c r="AB481" s="15" t="str">
        <f aca="false">IFERROR(INDEX(Scoring!$AK:$AK,MATCH($C481&amp;"|"&amp;$E481,Scoring!$U:$U,0)),"")</f>
        <v>Excluded – IV only</v>
      </c>
      <c r="AC481" s="18" t="n">
        <f aca="false">IFERROR(INDEX(Scoring!$M:$M,MATCH($C481&amp;"|"&amp;$E481,Scoring!$U:$U,0)),"")</f>
        <v>1629</v>
      </c>
      <c r="AD481" s="15" t="str">
        <f aca="false">IFERROR(INDEX('Route of Administration'!$C$5:$C$155,MATCH($C481,'Route of Administration'!$A$5:$A$155,0)),"")</f>
        <v>IV</v>
      </c>
      <c r="AE481" s="14" t="str">
        <f aca="false">IFERROR(INDEX('Route of Administration'!$D$5:$D$155,MATCH($C481,'Route of Administration'!$A$5:$A$155,0)),"")</f>
        <v>No</v>
      </c>
    </row>
    <row r="482" customFormat="false" ht="95.5" hidden="false" customHeight="false" outlineLevel="0" collapsed="false">
      <c r="B482" s="15" t="n">
        <v>480</v>
      </c>
      <c r="C482" s="15" t="s">
        <v>305</v>
      </c>
      <c r="D482" s="15" t="s">
        <v>2386</v>
      </c>
      <c r="E482" s="15" t="s">
        <v>894</v>
      </c>
      <c r="F482" s="15" t="s">
        <v>2133</v>
      </c>
      <c r="G482" s="16" t="s">
        <v>1870</v>
      </c>
      <c r="H482" s="15" t="s">
        <v>1505</v>
      </c>
      <c r="I482" s="17" t="n">
        <v>166.1</v>
      </c>
      <c r="J482" s="15" t="n">
        <v>1</v>
      </c>
      <c r="K482" s="15" t="n">
        <v>905</v>
      </c>
      <c r="L482" s="18" t="n">
        <v>28093.38</v>
      </c>
      <c r="M482" s="16" t="s">
        <v>306</v>
      </c>
      <c r="N482" s="17" t="n">
        <v>166.1</v>
      </c>
      <c r="O482" s="15" t="s">
        <v>1506</v>
      </c>
      <c r="P482" s="15" t="s">
        <v>1672</v>
      </c>
      <c r="Q482" s="16" t="s">
        <v>1508</v>
      </c>
      <c r="R482" s="32" t="s">
        <v>1784</v>
      </c>
      <c r="S482" s="37" t="n">
        <f aca="false">IFERROR(INDEX('Injectable Value'!$Z$28:$Z$178,MATCH($C482,'Injectable Value'!$A$28:$A$178,0)),"")</f>
        <v>1</v>
      </c>
      <c r="T482" s="18" t="n">
        <f aca="false">IFERROR(ROUND(INDEX('Injectable Value'!$AA$28:$AA$178,MATCH($C482,'Injectable Value'!$A$28:$A$178,0)),1),"")</f>
        <v>28093.4</v>
      </c>
      <c r="U482" s="16" t="s">
        <v>931</v>
      </c>
      <c r="V482" s="15" t="n">
        <v>34</v>
      </c>
      <c r="W482" s="15" t="s">
        <v>298</v>
      </c>
      <c r="X482" s="15" t="s">
        <v>248</v>
      </c>
      <c r="Y482" s="15" t="s">
        <v>249</v>
      </c>
      <c r="Z482" s="16" t="str">
        <f aca="false">IFERROR(INDEX(Scoring!$K:$K,MATCH($C482&amp;"|"&amp;$E482,Scoring!$U:$U,0)),"")</f>
        <v>Cancer drug (cytotoxic) – less relevant; Reconstitution</v>
      </c>
      <c r="AA482" s="15" t="str">
        <f aca="false">IFERROR(INDEX(Scoring!$Q:$Q,MATCH($C482&amp;"|"&amp;$E482,Scoring!$U:$U,0)),"")</f>
        <v>Priority 1</v>
      </c>
      <c r="AB482" s="15" t="str">
        <f aca="false">IFERROR(INDEX(Scoring!$AK:$AK,MATCH($C482&amp;"|"&amp;$E482,Scoring!$U:$U,0)),"")</f>
        <v>Priority 1</v>
      </c>
      <c r="AC482" s="18" t="n">
        <f aca="false">IFERROR(INDEX(Scoring!$M:$M,MATCH($C482&amp;"|"&amp;$E482,Scoring!$U:$U,0)),"")</f>
        <v>905</v>
      </c>
      <c r="AD482" s="15" t="str">
        <f aca="false">IFERROR(INDEX('Route of Administration'!$C$5:$C$155,MATCH($C482,'Route of Administration'!$A$5:$A$155,0)),"")</f>
        <v>IV, SC</v>
      </c>
      <c r="AE482" s="14" t="str">
        <f aca="false">IFERROR(INDEX('Route of Administration'!$D$5:$D$155,MATCH($C482,'Route of Administration'!$A$5:$A$155,0)),"")</f>
        <v>Yes</v>
      </c>
    </row>
    <row r="483" customFormat="false" ht="28.35" hidden="false" customHeight="false" outlineLevel="0" collapsed="false">
      <c r="B483" s="15" t="n">
        <v>481</v>
      </c>
      <c r="C483" s="15" t="s">
        <v>256</v>
      </c>
      <c r="D483" s="15" t="s">
        <v>256</v>
      </c>
      <c r="E483" s="15" t="s">
        <v>193</v>
      </c>
      <c r="F483" s="15" t="s">
        <v>1510</v>
      </c>
      <c r="G483" s="16"/>
      <c r="H483" s="15"/>
      <c r="I483" s="17"/>
      <c r="J483" s="15" t="n">
        <v>1</v>
      </c>
      <c r="K483" s="15" t="n">
        <v>180</v>
      </c>
      <c r="L483" s="18" t="n">
        <v>5403.25</v>
      </c>
      <c r="M483" s="16" t="s">
        <v>257</v>
      </c>
      <c r="N483" s="38" t="n">
        <v>10.14</v>
      </c>
      <c r="O483" s="22" t="s">
        <v>1513</v>
      </c>
      <c r="P483" s="15" t="s">
        <v>1507</v>
      </c>
      <c r="Q483" s="16" t="s">
        <v>1514</v>
      </c>
      <c r="R483" s="32" t="s">
        <v>1515</v>
      </c>
      <c r="S483" s="37" t="n">
        <f aca="false">IFERROR(INDEX('Injectable Value'!$Z$28:$Z$178,MATCH($C483,'Injectable Value'!$A$28:$A$178,0)),"")</f>
        <v>0.194998811159637</v>
      </c>
      <c r="T483" s="18" t="n">
        <f aca="false">IFERROR(ROUND(INDEX('Injectable Value'!$AA$28:$AA$178,MATCH($C483,'Injectable Value'!$A$28:$A$178,0)),1),"")</f>
        <v>1053.6</v>
      </c>
      <c r="U483" s="16" t="s">
        <v>247</v>
      </c>
      <c r="V483" s="15" t="n">
        <v>1</v>
      </c>
      <c r="W483" s="15" t="s">
        <v>247</v>
      </c>
      <c r="X483" s="15" t="s">
        <v>277</v>
      </c>
      <c r="Y483" s="15" t="s">
        <v>249</v>
      </c>
      <c r="Z483" s="16" t="str">
        <f aca="false">IFERROR(INDEX(Scoring!$K:$K,MATCH($C483&amp;"|"&amp;$E483,Scoring!$U:$U,0)),"")</f>
        <v/>
      </c>
      <c r="AA483" s="15" t="str">
        <f aca="false">IFERROR(INDEX(Scoring!$Q:$Q,MATCH($C483&amp;"|"&amp;$E483,Scoring!$U:$U,0)),"")</f>
        <v>Priority 3</v>
      </c>
      <c r="AB483" s="15" t="str">
        <f aca="false">IFERROR(INDEX(Scoring!$AK:$AK,MATCH($C483&amp;"|"&amp;$E483,Scoring!$U:$U,0)),"")</f>
        <v>Priority 3</v>
      </c>
      <c r="AC483" s="18" t="n">
        <f aca="false">IFERROR(INDEX(Scoring!$M:$M,MATCH($C483&amp;"|"&amp;$E483,Scoring!$U:$U,0)),"")</f>
        <v>35</v>
      </c>
      <c r="AD483" s="15" t="str">
        <f aca="false">IFERROR(INDEX('Route of Administration'!$C$5:$C$155,MATCH($C483,'Route of Administration'!$A$5:$A$155,0)),"")</f>
        <v>IV, IM</v>
      </c>
      <c r="AE483" s="14" t="str">
        <f aca="false">IFERROR(INDEX('Route of Administration'!$D$5:$D$155,MATCH($C483,'Route of Administration'!$A$5:$A$155,0)),"")</f>
        <v>Yes</v>
      </c>
    </row>
    <row r="484" customFormat="false" ht="28.35" hidden="false" customHeight="false" outlineLevel="0" collapsed="false">
      <c r="B484" s="15" t="n">
        <v>482</v>
      </c>
      <c r="C484" s="15" t="s">
        <v>1178</v>
      </c>
      <c r="D484" s="15" t="s">
        <v>1178</v>
      </c>
      <c r="E484" s="15" t="s">
        <v>193</v>
      </c>
      <c r="F484" s="15" t="s">
        <v>1794</v>
      </c>
      <c r="G484" s="16"/>
      <c r="H484" s="15"/>
      <c r="I484" s="17"/>
      <c r="J484" s="15" t="n">
        <v>1</v>
      </c>
      <c r="K484" s="15" t="n">
        <v>706</v>
      </c>
      <c r="L484" s="18" t="n">
        <v>34008.96</v>
      </c>
      <c r="M484" s="16" t="s">
        <v>1179</v>
      </c>
      <c r="N484" s="38" t="n">
        <v>0.72</v>
      </c>
      <c r="O484" s="22" t="s">
        <v>1513</v>
      </c>
      <c r="P484" s="15" t="s">
        <v>1507</v>
      </c>
      <c r="Q484" s="16" t="s">
        <v>1514</v>
      </c>
      <c r="R484" s="32" t="s">
        <v>1515</v>
      </c>
      <c r="S484" s="37" t="n">
        <f aca="false">IFERROR(INDEX('Injectable Value'!$Z$28:$Z$178,MATCH($C484,'Injectable Value'!$A$28:$A$178,0)),"")</f>
        <v>0.0464246545295021</v>
      </c>
      <c r="T484" s="18" t="n">
        <f aca="false">IFERROR(ROUND(INDEX('Injectable Value'!$AA$28:$AA$178,MATCH($C484,'Injectable Value'!$A$28:$A$178,0)),1),"")</f>
        <v>1578.9</v>
      </c>
      <c r="U484" s="16" t="s">
        <v>247</v>
      </c>
      <c r="V484" s="15" t="n">
        <v>1</v>
      </c>
      <c r="W484" s="15" t="s">
        <v>247</v>
      </c>
      <c r="X484" s="15" t="s">
        <v>277</v>
      </c>
      <c r="Y484" s="15" t="s">
        <v>277</v>
      </c>
      <c r="Z484" s="16" t="str">
        <f aca="false">IFERROR(INDEX(Scoring!$K:$K,MATCH($C484&amp;"|"&amp;$E484,Scoring!$U:$U,0)),"")</f>
        <v/>
      </c>
      <c r="AA484" s="15" t="str">
        <f aca="false">IFERROR(INDEX(Scoring!$Q:$Q,MATCH($C484&amp;"|"&amp;$E484,Scoring!$U:$U,0)),"")</f>
        <v>Excluded – IV only</v>
      </c>
      <c r="AB484" s="15" t="str">
        <f aca="false">IFERROR(INDEX(Scoring!$AK:$AK,MATCH($C484&amp;"|"&amp;$E484,Scoring!$U:$U,0)),"")</f>
        <v>Excluded – IV only</v>
      </c>
      <c r="AC484" s="18" t="n">
        <f aca="false">IFERROR(INDEX(Scoring!$M:$M,MATCH($C484&amp;"|"&amp;$E484,Scoring!$U:$U,0)),"")</f>
        <v>33</v>
      </c>
      <c r="AD484" s="15" t="str">
        <f aca="false">IFERROR(INDEX('Route of Administration'!$C$5:$C$155,MATCH($C484,'Route of Administration'!$A$5:$A$155,0)),"")</f>
        <v>IV</v>
      </c>
      <c r="AE484" s="14" t="str">
        <f aca="false">IFERROR(INDEX('Route of Administration'!$D$5:$D$155,MATCH($C484,'Route of Administration'!$A$5:$A$155,0)),"")</f>
        <v>No</v>
      </c>
    </row>
    <row r="485" customFormat="false" ht="28.35" hidden="false" customHeight="false" outlineLevel="0" collapsed="false">
      <c r="B485" s="15" t="n">
        <v>483</v>
      </c>
      <c r="C485" s="15" t="s">
        <v>635</v>
      </c>
      <c r="D485" s="15" t="s">
        <v>1475</v>
      </c>
      <c r="E485" s="15" t="s">
        <v>193</v>
      </c>
      <c r="F485" s="15" t="s">
        <v>1910</v>
      </c>
      <c r="G485" s="16" t="s">
        <v>2399</v>
      </c>
      <c r="H485" s="15" t="s">
        <v>248</v>
      </c>
      <c r="I485" s="17" t="n">
        <v>21.78</v>
      </c>
      <c r="J485" s="15" t="n">
        <v>1</v>
      </c>
      <c r="K485" s="15" t="n">
        <v>346</v>
      </c>
      <c r="L485" s="18" t="n">
        <v>32830.17</v>
      </c>
      <c r="M485" s="16" t="s">
        <v>636</v>
      </c>
      <c r="N485" s="17" t="n">
        <v>21.78</v>
      </c>
      <c r="O485" s="15" t="s">
        <v>1506</v>
      </c>
      <c r="P485" s="15" t="s">
        <v>1507</v>
      </c>
      <c r="Q485" s="16" t="s">
        <v>1508</v>
      </c>
      <c r="R485" s="32" t="s">
        <v>1912</v>
      </c>
      <c r="S485" s="37" t="n">
        <f aca="false">IFERROR(INDEX('Injectable Value'!$Z$28:$Z$178,MATCH($C485,'Injectable Value'!$A$28:$A$178,0)),"")</f>
        <v>1</v>
      </c>
      <c r="T485" s="18" t="n">
        <f aca="false">IFERROR(ROUND(INDEX('Injectable Value'!$AA$28:$AA$178,MATCH($C485,'Injectable Value'!$A$28:$A$178,0)),1),"")</f>
        <v>32830.2</v>
      </c>
      <c r="U485" s="16" t="s">
        <v>605</v>
      </c>
      <c r="V485" s="15" t="n">
        <v>2</v>
      </c>
      <c r="W485" s="15" t="s">
        <v>247</v>
      </c>
      <c r="X485" s="15" t="s">
        <v>248</v>
      </c>
      <c r="Y485" s="15" t="s">
        <v>249</v>
      </c>
      <c r="Z485" s="16" t="str">
        <f aca="false">IFERROR(INDEX(Scoring!$K:$K,MATCH($C485&amp;"|"&amp;$E485,Scoring!$U:$U,0)),"")</f>
        <v/>
      </c>
      <c r="AA485" s="15" t="str">
        <f aca="false">IFERROR(INDEX(Scoring!$Q:$Q,MATCH($C485&amp;"|"&amp;$E485,Scoring!$U:$U,0)),"")</f>
        <v>Excluded – IV only</v>
      </c>
      <c r="AB485" s="15" t="str">
        <f aca="false">IFERROR(INDEX(Scoring!$AK:$AK,MATCH($C485&amp;"|"&amp;$E485,Scoring!$U:$U,0)),"")</f>
        <v>Excluded – IV only</v>
      </c>
      <c r="AC485" s="18" t="n">
        <f aca="false">IFERROR(INDEX(Scoring!$M:$M,MATCH($C485&amp;"|"&amp;$E485,Scoring!$U:$U,0)),"")</f>
        <v>346</v>
      </c>
      <c r="AD485" s="15" t="str">
        <f aca="false">IFERROR(INDEX('Route of Administration'!$C$5:$C$155,MATCH($C485,'Route of Administration'!$A$5:$A$155,0)),"")</f>
        <v>IV</v>
      </c>
      <c r="AE485" s="14" t="str">
        <f aca="false">IFERROR(INDEX('Route of Administration'!$D$5:$D$155,MATCH($C485,'Route of Administration'!$A$5:$A$155,0)),"")</f>
        <v>No</v>
      </c>
    </row>
    <row r="486" customFormat="false" ht="28.35" hidden="false" customHeight="false" outlineLevel="0" collapsed="false">
      <c r="B486" s="15" t="n">
        <v>484</v>
      </c>
      <c r="C486" s="15" t="s">
        <v>635</v>
      </c>
      <c r="D486" s="15" t="s">
        <v>1475</v>
      </c>
      <c r="E486" s="15" t="s">
        <v>193</v>
      </c>
      <c r="F486" s="15" t="s">
        <v>1913</v>
      </c>
      <c r="G486" s="16" t="s">
        <v>2400</v>
      </c>
      <c r="H486" s="15" t="s">
        <v>1505</v>
      </c>
      <c r="I486" s="17" t="n">
        <v>48.28</v>
      </c>
      <c r="J486" s="15" t="n">
        <v>1</v>
      </c>
      <c r="K486" s="15" t="n">
        <v>346</v>
      </c>
      <c r="L486" s="18" t="n">
        <v>32830.17</v>
      </c>
      <c r="M486" s="16" t="s">
        <v>636</v>
      </c>
      <c r="N486" s="17" t="n">
        <v>48.28</v>
      </c>
      <c r="O486" s="15" t="s">
        <v>1506</v>
      </c>
      <c r="P486" s="15" t="s">
        <v>1507</v>
      </c>
      <c r="Q486" s="16" t="s">
        <v>1508</v>
      </c>
      <c r="R486" s="32" t="s">
        <v>1912</v>
      </c>
      <c r="S486" s="37" t="n">
        <f aca="false">IFERROR(INDEX('Injectable Value'!$Z$28:$Z$178,MATCH($C486,'Injectable Value'!$A$28:$A$178,0)),"")</f>
        <v>1</v>
      </c>
      <c r="T486" s="18" t="n">
        <f aca="false">IFERROR(ROUND(INDEX('Injectable Value'!$AA$28:$AA$178,MATCH($C486,'Injectable Value'!$A$28:$A$178,0)),1),"")</f>
        <v>32830.2</v>
      </c>
      <c r="U486" s="16" t="s">
        <v>605</v>
      </c>
      <c r="V486" s="15" t="n">
        <v>2</v>
      </c>
      <c r="W486" s="15" t="s">
        <v>247</v>
      </c>
      <c r="X486" s="15" t="s">
        <v>248</v>
      </c>
      <c r="Y486" s="15" t="s">
        <v>249</v>
      </c>
      <c r="Z486" s="16" t="str">
        <f aca="false">IFERROR(INDEX(Scoring!$K:$K,MATCH($C486&amp;"|"&amp;$E486,Scoring!$U:$U,0)),"")</f>
        <v/>
      </c>
      <c r="AA486" s="15" t="str">
        <f aca="false">IFERROR(INDEX(Scoring!$Q:$Q,MATCH($C486&amp;"|"&amp;$E486,Scoring!$U:$U,0)),"")</f>
        <v>Excluded – IV only</v>
      </c>
      <c r="AB486" s="15" t="str">
        <f aca="false">IFERROR(INDEX(Scoring!$AK:$AK,MATCH($C486&amp;"|"&amp;$E486,Scoring!$U:$U,0)),"")</f>
        <v>Excluded – IV only</v>
      </c>
      <c r="AC486" s="18" t="n">
        <f aca="false">IFERROR(INDEX(Scoring!$M:$M,MATCH($C486&amp;"|"&amp;$E486,Scoring!$U:$U,0)),"")</f>
        <v>346</v>
      </c>
      <c r="AD486" s="15" t="str">
        <f aca="false">IFERROR(INDEX('Route of Administration'!$C$5:$C$155,MATCH($C486,'Route of Administration'!$A$5:$A$155,0)),"")</f>
        <v>IV</v>
      </c>
      <c r="AE486" s="14" t="str">
        <f aca="false">IFERROR(INDEX('Route of Administration'!$D$5:$D$155,MATCH($C486,'Route of Administration'!$A$5:$A$155,0)),"")</f>
        <v>No</v>
      </c>
    </row>
    <row r="487" customFormat="false" ht="28.35" hidden="false" customHeight="false" outlineLevel="0" collapsed="false">
      <c r="B487" s="15" t="n">
        <v>485</v>
      </c>
      <c r="C487" s="15" t="s">
        <v>1190</v>
      </c>
      <c r="D487" s="15" t="s">
        <v>1194</v>
      </c>
      <c r="E487" s="15" t="s">
        <v>193</v>
      </c>
      <c r="F487" s="15" t="s">
        <v>2401</v>
      </c>
      <c r="G487" s="16" t="s">
        <v>2402</v>
      </c>
      <c r="H487" s="15" t="s">
        <v>1505</v>
      </c>
      <c r="I487" s="17" t="n">
        <v>18.277</v>
      </c>
      <c r="J487" s="15" t="n">
        <v>1</v>
      </c>
      <c r="K487" s="15" t="n">
        <v>2061</v>
      </c>
      <c r="L487" s="18" t="n">
        <v>38680.23</v>
      </c>
      <c r="M487" s="16" t="s">
        <v>1191</v>
      </c>
      <c r="N487" s="17" t="n">
        <v>18.277</v>
      </c>
      <c r="O487" s="15" t="s">
        <v>1506</v>
      </c>
      <c r="P487" s="15" t="s">
        <v>1507</v>
      </c>
      <c r="Q487" s="16" t="s">
        <v>1508</v>
      </c>
      <c r="R487" s="32" t="s">
        <v>2403</v>
      </c>
      <c r="S487" s="37" t="n">
        <f aca="false">IFERROR(INDEX('Injectable Value'!$Z$28:$Z$178,MATCH($C487,'Injectable Value'!$A$28:$A$178,0)),"")</f>
        <v>0.0316233131485411</v>
      </c>
      <c r="T487" s="18" t="n">
        <f aca="false">IFERROR(ROUND(INDEX('Injectable Value'!$AA$28:$AA$178,MATCH($C487,'Injectable Value'!$A$28:$A$178,0)),1),"")</f>
        <v>1223.2</v>
      </c>
      <c r="U487" s="16" t="s">
        <v>583</v>
      </c>
      <c r="V487" s="15" t="n">
        <v>1</v>
      </c>
      <c r="W487" s="15" t="s">
        <v>70</v>
      </c>
      <c r="X487" s="15" t="s">
        <v>248</v>
      </c>
      <c r="Y487" s="15" t="s">
        <v>299</v>
      </c>
      <c r="Z487" s="16" t="str">
        <f aca="false">IFERROR(INDEX(Scoring!$K:$K,MATCH($C487&amp;"|"&amp;$E487,Scoring!$U:$U,0)),"")</f>
        <v>Reconstitution</v>
      </c>
      <c r="AA487" s="15" t="str">
        <f aca="false">IFERROR(INDEX(Scoring!$Q:$Q,MATCH($C487&amp;"|"&amp;$E487,Scoring!$U:$U,0)),"")</f>
        <v>Priority 3</v>
      </c>
      <c r="AB487" s="15" t="str">
        <f aca="false">IFERROR(INDEX(Scoring!$AK:$AK,MATCH($C487&amp;"|"&amp;$E487,Scoring!$U:$U,0)),"")</f>
        <v>Priority 2</v>
      </c>
      <c r="AC487" s="18" t="n">
        <f aca="false">IFERROR(INDEX(Scoring!$M:$M,MATCH($C487&amp;"|"&amp;$E487,Scoring!$U:$U,0)),"")</f>
        <v>65</v>
      </c>
      <c r="AD487" s="15" t="str">
        <f aca="false">IFERROR(INDEX('Route of Administration'!$C$5:$C$155,MATCH($C487,'Route of Administration'!$A$5:$A$155,0)),"")</f>
        <v>IM</v>
      </c>
      <c r="AE487" s="14" t="str">
        <f aca="false">IFERROR(INDEX('Route of Administration'!$D$5:$D$155,MATCH($C487,'Route of Administration'!$A$5:$A$155,0)),"")</f>
        <v>Yes</v>
      </c>
    </row>
    <row r="488" customFormat="false" ht="28.35" hidden="false" customHeight="false" outlineLevel="0" collapsed="false">
      <c r="B488" s="15" t="n">
        <v>486</v>
      </c>
      <c r="C488" s="15" t="s">
        <v>635</v>
      </c>
      <c r="D488" s="15" t="s">
        <v>2404</v>
      </c>
      <c r="E488" s="15" t="s">
        <v>193</v>
      </c>
      <c r="F488" s="15" t="s">
        <v>1817</v>
      </c>
      <c r="G488" s="16" t="s">
        <v>1818</v>
      </c>
      <c r="H488" s="15" t="s">
        <v>1505</v>
      </c>
      <c r="I488" s="17"/>
      <c r="J488" s="15" t="n">
        <v>1</v>
      </c>
      <c r="K488" s="15" t="n">
        <v>346</v>
      </c>
      <c r="L488" s="18" t="n">
        <v>32830.17</v>
      </c>
      <c r="M488" s="16" t="s">
        <v>636</v>
      </c>
      <c r="N488" s="17"/>
      <c r="O488" s="15" t="s">
        <v>1545</v>
      </c>
      <c r="P488" s="15" t="s">
        <v>70</v>
      </c>
      <c r="Q488" s="16" t="s">
        <v>70</v>
      </c>
      <c r="R488" s="15"/>
      <c r="S488" s="37" t="n">
        <f aca="false">IFERROR(INDEX('Injectable Value'!$Z$28:$Z$178,MATCH($C488,'Injectable Value'!$A$28:$A$178,0)),"")</f>
        <v>1</v>
      </c>
      <c r="T488" s="18" t="n">
        <f aca="false">IFERROR(ROUND(INDEX('Injectable Value'!$AA$28:$AA$178,MATCH($C488,'Injectable Value'!$A$28:$A$178,0)),1),"")</f>
        <v>32830.2</v>
      </c>
      <c r="U488" s="16" t="s">
        <v>605</v>
      </c>
      <c r="V488" s="15" t="n">
        <v>2</v>
      </c>
      <c r="W488" s="15" t="s">
        <v>247</v>
      </c>
      <c r="X488" s="15" t="s">
        <v>248</v>
      </c>
      <c r="Y488" s="15" t="s">
        <v>249</v>
      </c>
      <c r="Z488" s="16" t="str">
        <f aca="false">IFERROR(INDEX(Scoring!$K:$K,MATCH($C488&amp;"|"&amp;$E488,Scoring!$U:$U,0)),"")</f>
        <v/>
      </c>
      <c r="AA488" s="15" t="str">
        <f aca="false">IFERROR(INDEX(Scoring!$Q:$Q,MATCH($C488&amp;"|"&amp;$E488,Scoring!$U:$U,0)),"")</f>
        <v>Excluded – IV only</v>
      </c>
      <c r="AB488" s="15" t="str">
        <f aca="false">IFERROR(INDEX(Scoring!$AK:$AK,MATCH($C488&amp;"|"&amp;$E488,Scoring!$U:$U,0)),"")</f>
        <v>Excluded – IV only</v>
      </c>
      <c r="AC488" s="18" t="n">
        <f aca="false">IFERROR(INDEX(Scoring!$M:$M,MATCH($C488&amp;"|"&amp;$E488,Scoring!$U:$U,0)),"")</f>
        <v>346</v>
      </c>
      <c r="AD488" s="15" t="str">
        <f aca="false">IFERROR(INDEX('Route of Administration'!$C$5:$C$155,MATCH($C488,'Route of Administration'!$A$5:$A$155,0)),"")</f>
        <v>IV</v>
      </c>
      <c r="AE488" s="14" t="str">
        <f aca="false">IFERROR(INDEX('Route of Administration'!$D$5:$D$155,MATCH($C488,'Route of Administration'!$A$5:$A$155,0)),"")</f>
        <v>No</v>
      </c>
    </row>
    <row r="489" customFormat="false" ht="28.35" hidden="false" customHeight="false" outlineLevel="0" collapsed="false">
      <c r="B489" s="15" t="n">
        <v>487</v>
      </c>
      <c r="C489" s="15" t="s">
        <v>635</v>
      </c>
      <c r="D489" s="15" t="s">
        <v>2405</v>
      </c>
      <c r="E489" s="15" t="s">
        <v>193</v>
      </c>
      <c r="F489" s="15" t="s">
        <v>1819</v>
      </c>
      <c r="G489" s="16" t="s">
        <v>1820</v>
      </c>
      <c r="H489" s="15" t="s">
        <v>1505</v>
      </c>
      <c r="I489" s="17"/>
      <c r="J489" s="15" t="n">
        <v>1</v>
      </c>
      <c r="K489" s="15" t="n">
        <v>346</v>
      </c>
      <c r="L489" s="18" t="n">
        <v>32830.17</v>
      </c>
      <c r="M489" s="16" t="s">
        <v>636</v>
      </c>
      <c r="N489" s="17"/>
      <c r="O489" s="15" t="s">
        <v>1545</v>
      </c>
      <c r="P489" s="15" t="s">
        <v>70</v>
      </c>
      <c r="Q489" s="16" t="s">
        <v>70</v>
      </c>
      <c r="R489" s="15"/>
      <c r="S489" s="37" t="n">
        <f aca="false">IFERROR(INDEX('Injectable Value'!$Z$28:$Z$178,MATCH($C489,'Injectable Value'!$A$28:$A$178,0)),"")</f>
        <v>1</v>
      </c>
      <c r="T489" s="18" t="n">
        <f aca="false">IFERROR(ROUND(INDEX('Injectable Value'!$AA$28:$AA$178,MATCH($C489,'Injectable Value'!$A$28:$A$178,0)),1),"")</f>
        <v>32830.2</v>
      </c>
      <c r="U489" s="16" t="s">
        <v>605</v>
      </c>
      <c r="V489" s="15" t="n">
        <v>2</v>
      </c>
      <c r="W489" s="15" t="s">
        <v>247</v>
      </c>
      <c r="X489" s="15" t="s">
        <v>248</v>
      </c>
      <c r="Y489" s="15" t="s">
        <v>249</v>
      </c>
      <c r="Z489" s="16" t="str">
        <f aca="false">IFERROR(INDEX(Scoring!$K:$K,MATCH($C489&amp;"|"&amp;$E489,Scoring!$U:$U,0)),"")</f>
        <v/>
      </c>
      <c r="AA489" s="15" t="str">
        <f aca="false">IFERROR(INDEX(Scoring!$Q:$Q,MATCH($C489&amp;"|"&amp;$E489,Scoring!$U:$U,0)),"")</f>
        <v>Excluded – IV only</v>
      </c>
      <c r="AB489" s="15" t="str">
        <f aca="false">IFERROR(INDEX(Scoring!$AK:$AK,MATCH($C489&amp;"|"&amp;$E489,Scoring!$U:$U,0)),"")</f>
        <v>Excluded – IV only</v>
      </c>
      <c r="AC489" s="18" t="n">
        <f aca="false">IFERROR(INDEX(Scoring!$M:$M,MATCH($C489&amp;"|"&amp;$E489,Scoring!$U:$U,0)),"")</f>
        <v>346</v>
      </c>
      <c r="AD489" s="15" t="str">
        <f aca="false">IFERROR(INDEX('Route of Administration'!$C$5:$C$155,MATCH($C489,'Route of Administration'!$A$5:$A$155,0)),"")</f>
        <v>IV</v>
      </c>
      <c r="AE489" s="14" t="str">
        <f aca="false">IFERROR(INDEX('Route of Administration'!$D$5:$D$155,MATCH($C489,'Route of Administration'!$A$5:$A$155,0)),"")</f>
        <v>No</v>
      </c>
    </row>
    <row r="490" customFormat="false" ht="28.35" hidden="false" customHeight="false" outlineLevel="0" collapsed="false">
      <c r="B490" s="15" t="n">
        <v>488</v>
      </c>
      <c r="C490" s="15" t="s">
        <v>356</v>
      </c>
      <c r="D490" s="15" t="s">
        <v>1162</v>
      </c>
      <c r="E490" s="15" t="s">
        <v>193</v>
      </c>
      <c r="F490" s="15" t="s">
        <v>1822</v>
      </c>
      <c r="G490" s="16" t="s">
        <v>1823</v>
      </c>
      <c r="H490" s="15" t="s">
        <v>1505</v>
      </c>
      <c r="I490" s="17"/>
      <c r="J490" s="15" t="n">
        <v>1</v>
      </c>
      <c r="K490" s="15" t="n">
        <v>312</v>
      </c>
      <c r="L490" s="18" t="n">
        <v>59827.18</v>
      </c>
      <c r="M490" s="16" t="s">
        <v>357</v>
      </c>
      <c r="N490" s="38" t="n">
        <v>9.45</v>
      </c>
      <c r="O490" s="22" t="s">
        <v>1513</v>
      </c>
      <c r="P490" s="15" t="s">
        <v>1533</v>
      </c>
      <c r="Q490" s="16" t="s">
        <v>1514</v>
      </c>
      <c r="R490" s="32" t="s">
        <v>1515</v>
      </c>
      <c r="S490" s="37" t="n">
        <f aca="false">IFERROR(INDEX('Injectable Value'!$Z$28:$Z$178,MATCH($C490,'Injectable Value'!$A$28:$A$178,0)),"")</f>
        <v>1</v>
      </c>
      <c r="T490" s="18" t="n">
        <f aca="false">IFERROR(ROUND(INDEX('Injectable Value'!$AA$28:$AA$178,MATCH($C490,'Injectable Value'!$A$28:$A$178,0)),1),"")</f>
        <v>59827.2</v>
      </c>
      <c r="U490" s="16" t="s">
        <v>583</v>
      </c>
      <c r="V490" s="15" t="n">
        <v>1</v>
      </c>
      <c r="W490" s="15" t="s">
        <v>70</v>
      </c>
      <c r="X490" s="15" t="s">
        <v>248</v>
      </c>
      <c r="Y490" s="15" t="s">
        <v>299</v>
      </c>
      <c r="Z490" s="16" t="str">
        <f aca="false">IFERROR(INDEX(Scoring!$K:$K,MATCH($C490&amp;"|"&amp;$E490,Scoring!$U:$U,0)),"")</f>
        <v>Reconstitution</v>
      </c>
      <c r="AA490" s="15" t="str">
        <f aca="false">IFERROR(INDEX(Scoring!$Q:$Q,MATCH($C490&amp;"|"&amp;$E490,Scoring!$U:$U,0)),"")</f>
        <v>Excluded – IV only</v>
      </c>
      <c r="AB490" s="15" t="str">
        <f aca="false">IFERROR(INDEX(Scoring!$AK:$AK,MATCH($C490&amp;"|"&amp;$E490,Scoring!$U:$U,0)),"")</f>
        <v>Excluded – IV only</v>
      </c>
      <c r="AC490" s="18" t="n">
        <f aca="false">IFERROR(INDEX(Scoring!$M:$M,MATCH($C490&amp;"|"&amp;$E490,Scoring!$U:$U,0)),"")</f>
        <v>312</v>
      </c>
      <c r="AD490" s="15" t="str">
        <f aca="false">IFERROR(INDEX('Route of Administration'!$C$5:$C$155,MATCH($C490,'Route of Administration'!$A$5:$A$155,0)),"")</f>
        <v>IV</v>
      </c>
      <c r="AE490" s="14" t="str">
        <f aca="false">IFERROR(INDEX('Route of Administration'!$D$5:$D$155,MATCH($C490,'Route of Administration'!$A$5:$A$155,0)),"")</f>
        <v>No</v>
      </c>
    </row>
    <row r="491" customFormat="false" ht="28.35" hidden="false" customHeight="false" outlineLevel="0" collapsed="false">
      <c r="B491" s="15" t="n">
        <v>489</v>
      </c>
      <c r="C491" s="15" t="s">
        <v>356</v>
      </c>
      <c r="D491" s="15" t="s">
        <v>1162</v>
      </c>
      <c r="E491" s="15" t="s">
        <v>193</v>
      </c>
      <c r="F491" s="15" t="s">
        <v>1757</v>
      </c>
      <c r="G491" s="16" t="s">
        <v>1758</v>
      </c>
      <c r="H491" s="15" t="s">
        <v>1505</v>
      </c>
      <c r="I491" s="17"/>
      <c r="J491" s="15" t="n">
        <v>1</v>
      </c>
      <c r="K491" s="15" t="n">
        <v>312</v>
      </c>
      <c r="L491" s="18" t="n">
        <v>59827.18</v>
      </c>
      <c r="M491" s="16" t="s">
        <v>357</v>
      </c>
      <c r="N491" s="38" t="n">
        <v>13.5</v>
      </c>
      <c r="O491" s="22" t="s">
        <v>1513</v>
      </c>
      <c r="P491" s="15" t="s">
        <v>1533</v>
      </c>
      <c r="Q491" s="16" t="s">
        <v>1514</v>
      </c>
      <c r="R491" s="32" t="s">
        <v>1515</v>
      </c>
      <c r="S491" s="37" t="n">
        <f aca="false">IFERROR(INDEX('Injectable Value'!$Z$28:$Z$178,MATCH($C491,'Injectable Value'!$A$28:$A$178,0)),"")</f>
        <v>1</v>
      </c>
      <c r="T491" s="18" t="n">
        <f aca="false">IFERROR(ROUND(INDEX('Injectable Value'!$AA$28:$AA$178,MATCH($C491,'Injectable Value'!$A$28:$A$178,0)),1),"")</f>
        <v>59827.2</v>
      </c>
      <c r="U491" s="16" t="s">
        <v>583</v>
      </c>
      <c r="V491" s="15" t="n">
        <v>1</v>
      </c>
      <c r="W491" s="15" t="s">
        <v>70</v>
      </c>
      <c r="X491" s="15" t="s">
        <v>248</v>
      </c>
      <c r="Y491" s="15" t="s">
        <v>299</v>
      </c>
      <c r="Z491" s="16" t="str">
        <f aca="false">IFERROR(INDEX(Scoring!$K:$K,MATCH($C491&amp;"|"&amp;$E491,Scoring!$U:$U,0)),"")</f>
        <v>Reconstitution</v>
      </c>
      <c r="AA491" s="15" t="str">
        <f aca="false">IFERROR(INDEX(Scoring!$Q:$Q,MATCH($C491&amp;"|"&amp;$E491,Scoring!$U:$U,0)),"")</f>
        <v>Excluded – IV only</v>
      </c>
      <c r="AB491" s="15" t="str">
        <f aca="false">IFERROR(INDEX(Scoring!$AK:$AK,MATCH($C491&amp;"|"&amp;$E491,Scoring!$U:$U,0)),"")</f>
        <v>Excluded – IV only</v>
      </c>
      <c r="AC491" s="18" t="n">
        <f aca="false">IFERROR(INDEX(Scoring!$M:$M,MATCH($C491&amp;"|"&amp;$E491,Scoring!$U:$U,0)),"")</f>
        <v>312</v>
      </c>
      <c r="AD491" s="15" t="str">
        <f aca="false">IFERROR(INDEX('Route of Administration'!$C$5:$C$155,MATCH($C491,'Route of Administration'!$A$5:$A$155,0)),"")</f>
        <v>IV</v>
      </c>
      <c r="AE491" s="14" t="str">
        <f aca="false">IFERROR(INDEX('Route of Administration'!$D$5:$D$155,MATCH($C491,'Route of Administration'!$A$5:$A$155,0)),"")</f>
        <v>No</v>
      </c>
    </row>
    <row r="492" customFormat="false" ht="28.35" hidden="false" customHeight="false" outlineLevel="0" collapsed="false">
      <c r="B492" s="15" t="n">
        <v>490</v>
      </c>
      <c r="C492" s="15" t="s">
        <v>1155</v>
      </c>
      <c r="D492" s="15" t="s">
        <v>1159</v>
      </c>
      <c r="E492" s="15" t="s">
        <v>193</v>
      </c>
      <c r="F492" s="15" t="s">
        <v>1761</v>
      </c>
      <c r="G492" s="16" t="s">
        <v>1762</v>
      </c>
      <c r="H492" s="15" t="s">
        <v>1505</v>
      </c>
      <c r="I492" s="17"/>
      <c r="J492" s="15" t="n">
        <v>1</v>
      </c>
      <c r="K492" s="15" t="n">
        <v>93</v>
      </c>
      <c r="L492" s="18" t="n">
        <v>1929.98</v>
      </c>
      <c r="M492" s="16" t="s">
        <v>1156</v>
      </c>
      <c r="N492" s="38" t="n">
        <v>0.57</v>
      </c>
      <c r="O492" s="22" t="s">
        <v>1513</v>
      </c>
      <c r="P492" s="15" t="s">
        <v>1507</v>
      </c>
      <c r="Q492" s="16" t="s">
        <v>1826</v>
      </c>
      <c r="R492" s="32" t="s">
        <v>2406</v>
      </c>
      <c r="S492" s="37" t="n">
        <f aca="false">IFERROR(INDEX('Injectable Value'!$Z$28:$Z$178,MATCH($C492,'Injectable Value'!$A$28:$A$178,0)),"")</f>
        <v>1</v>
      </c>
      <c r="T492" s="18" t="n">
        <f aca="false">IFERROR(ROUND(INDEX('Injectable Value'!$AA$28:$AA$178,MATCH($C492,'Injectable Value'!$A$28:$A$178,0)),1),"")</f>
        <v>1930</v>
      </c>
      <c r="U492" s="16" t="s">
        <v>583</v>
      </c>
      <c r="V492" s="15" t="n">
        <v>1</v>
      </c>
      <c r="W492" s="15" t="s">
        <v>70</v>
      </c>
      <c r="X492" s="15" t="s">
        <v>248</v>
      </c>
      <c r="Y492" s="15" t="s">
        <v>299</v>
      </c>
      <c r="Z492" s="16" t="str">
        <f aca="false">IFERROR(INDEX(Scoring!$K:$K,MATCH($C492&amp;"|"&amp;$E492,Scoring!$U:$U,0)),"")</f>
        <v>Reconstitution</v>
      </c>
      <c r="AA492" s="15" t="str">
        <f aca="false">IFERROR(INDEX(Scoring!$Q:$Q,MATCH($C492&amp;"|"&amp;$E492,Scoring!$U:$U,0)),"")</f>
        <v>Excluded – price ≤ $5</v>
      </c>
      <c r="AB492" s="15" t="str">
        <f aca="false">IFERROR(INDEX(Scoring!$AK:$AK,MATCH($C492&amp;"|"&amp;$E492,Scoring!$U:$U,0)),"")</f>
        <v>Excluded – price ≤ $5</v>
      </c>
      <c r="AC492" s="18" t="n">
        <f aca="false">IFERROR(INDEX(Scoring!$M:$M,MATCH($C492&amp;"|"&amp;$E492,Scoring!$U:$U,0)),"")</f>
        <v>93</v>
      </c>
      <c r="AD492" s="15" t="str">
        <f aca="false">IFERROR(INDEX('Route of Administration'!$C$5:$C$155,MATCH($C492,'Route of Administration'!$A$5:$A$155,0)),"")</f>
        <v>IV, IM</v>
      </c>
      <c r="AE492" s="14" t="str">
        <f aca="false">IFERROR(INDEX('Route of Administration'!$D$5:$D$155,MATCH($C492,'Route of Administration'!$A$5:$A$155,0)),"")</f>
        <v>Yes</v>
      </c>
    </row>
    <row r="493" customFormat="false" ht="28.35" hidden="false" customHeight="false" outlineLevel="0" collapsed="false">
      <c r="B493" s="15" t="n">
        <v>491</v>
      </c>
      <c r="C493" s="15" t="s">
        <v>641</v>
      </c>
      <c r="D493" s="15" t="s">
        <v>2407</v>
      </c>
      <c r="E493" s="15" t="s">
        <v>193</v>
      </c>
      <c r="F493" s="15" t="s">
        <v>2408</v>
      </c>
      <c r="G493" s="16" t="s">
        <v>2409</v>
      </c>
      <c r="H493" s="15" t="s">
        <v>1505</v>
      </c>
      <c r="I493" s="17" t="n">
        <v>75.992</v>
      </c>
      <c r="J493" s="15" t="n">
        <v>1</v>
      </c>
      <c r="K493" s="15" t="n">
        <v>106</v>
      </c>
      <c r="L493" s="18" t="n">
        <v>7074.72</v>
      </c>
      <c r="M493" s="16" t="s">
        <v>642</v>
      </c>
      <c r="N493" s="17" t="n">
        <v>75.992</v>
      </c>
      <c r="O493" s="15" t="s">
        <v>1506</v>
      </c>
      <c r="P493" s="15" t="s">
        <v>1507</v>
      </c>
      <c r="Q493" s="16" t="s">
        <v>1508</v>
      </c>
      <c r="R493" s="32" t="s">
        <v>2410</v>
      </c>
      <c r="S493" s="37" t="n">
        <f aca="false">IFERROR(INDEX('Injectable Value'!$Z$28:$Z$178,MATCH($C493,'Injectable Value'!$A$28:$A$178,0)),"")</f>
        <v>0.9375</v>
      </c>
      <c r="T493" s="18" t="n">
        <f aca="false">IFERROR(ROUND(INDEX('Injectable Value'!$AA$28:$AA$178,MATCH($C493,'Injectable Value'!$A$28:$A$178,0)),1),"")</f>
        <v>6632.6</v>
      </c>
      <c r="U493" s="16" t="s">
        <v>589</v>
      </c>
      <c r="V493" s="15" t="n">
        <v>2</v>
      </c>
      <c r="W493" s="15" t="s">
        <v>70</v>
      </c>
      <c r="X493" s="15" t="s">
        <v>248</v>
      </c>
      <c r="Y493" s="15" t="s">
        <v>299</v>
      </c>
      <c r="Z493" s="16" t="str">
        <f aca="false">IFERROR(INDEX(Scoring!$K:$K,MATCH($C493&amp;"|"&amp;$E493,Scoring!$U:$U,0)),"")</f>
        <v>Reconstitution</v>
      </c>
      <c r="AA493" s="15" t="str">
        <f aca="false">IFERROR(INDEX(Scoring!$Q:$Q,MATCH($C493&amp;"|"&amp;$E493,Scoring!$U:$U,0)),"")</f>
        <v>Priority 2</v>
      </c>
      <c r="AB493" s="15" t="str">
        <f aca="false">IFERROR(INDEX(Scoring!$AK:$AK,MATCH($C493&amp;"|"&amp;$E493,Scoring!$U:$U,0)),"")</f>
        <v>Priority 2</v>
      </c>
      <c r="AC493" s="18" t="n">
        <f aca="false">IFERROR(INDEX(Scoring!$M:$M,MATCH($C493&amp;"|"&amp;$E493,Scoring!$U:$U,0)),"")</f>
        <v>99</v>
      </c>
      <c r="AD493" s="15" t="str">
        <f aca="false">IFERROR(INDEX('Route of Administration'!$C$5:$C$155,MATCH($C493,'Route of Administration'!$A$5:$A$155,0)),"")</f>
        <v>IV, IM</v>
      </c>
      <c r="AE493" s="14" t="str">
        <f aca="false">IFERROR(INDEX('Route of Administration'!$D$5:$D$155,MATCH($C493,'Route of Administration'!$A$5:$A$155,0)),"")</f>
        <v>Yes</v>
      </c>
    </row>
    <row r="494" customFormat="false" ht="28.35" hidden="false" customHeight="false" outlineLevel="0" collapsed="false">
      <c r="B494" s="15" t="n">
        <v>492</v>
      </c>
      <c r="C494" s="15" t="s">
        <v>1164</v>
      </c>
      <c r="D494" s="15" t="s">
        <v>2411</v>
      </c>
      <c r="E494" s="15" t="s">
        <v>193</v>
      </c>
      <c r="F494" s="15" t="s">
        <v>2071</v>
      </c>
      <c r="G494" s="16" t="s">
        <v>2412</v>
      </c>
      <c r="H494" s="15" t="s">
        <v>1505</v>
      </c>
      <c r="I494" s="17"/>
      <c r="J494" s="15" t="n">
        <v>1</v>
      </c>
      <c r="K494" s="15" t="n">
        <v>17</v>
      </c>
      <c r="L494" s="18" t="n">
        <v>170.54</v>
      </c>
      <c r="M494" s="16" t="s">
        <v>1165</v>
      </c>
      <c r="N494" s="38" t="n">
        <v>5.35</v>
      </c>
      <c r="O494" s="22" t="s">
        <v>1513</v>
      </c>
      <c r="P494" s="15" t="s">
        <v>1533</v>
      </c>
      <c r="Q494" s="16" t="s">
        <v>1514</v>
      </c>
      <c r="R494" s="32" t="s">
        <v>1515</v>
      </c>
      <c r="S494" s="37" t="n">
        <f aca="false">IFERROR(INDEX('Injectable Value'!$Z$28:$Z$178,MATCH($C494,'Injectable Value'!$A$28:$A$178,0)),"")</f>
        <v>1</v>
      </c>
      <c r="T494" s="18" t="n">
        <f aca="false">IFERROR(ROUND(INDEX('Injectable Value'!$AA$28:$AA$178,MATCH($C494,'Injectable Value'!$A$28:$A$178,0)),1),"")</f>
        <v>170.5</v>
      </c>
      <c r="U494" s="16" t="s">
        <v>583</v>
      </c>
      <c r="V494" s="15" t="n">
        <v>1</v>
      </c>
      <c r="W494" s="15" t="s">
        <v>70</v>
      </c>
      <c r="X494" s="15" t="s">
        <v>316</v>
      </c>
      <c r="Y494" s="15" t="s">
        <v>249</v>
      </c>
      <c r="Z494" s="16" t="str">
        <f aca="false">IFERROR(INDEX(Scoring!$K:$K,MATCH($C494&amp;"|"&amp;$E494,Scoring!$U:$U,0)),"")</f>
        <v/>
      </c>
      <c r="AA494" s="15" t="str">
        <f aca="false">IFERROR(INDEX(Scoring!$Q:$Q,MATCH($C494&amp;"|"&amp;$E494,Scoring!$U:$U,0)),"")</f>
        <v>Priority 3</v>
      </c>
      <c r="AB494" s="15" t="str">
        <f aca="false">IFERROR(INDEX(Scoring!$AK:$AK,MATCH($C494&amp;"|"&amp;$E494,Scoring!$U:$U,0)),"")</f>
        <v>Priority 3</v>
      </c>
      <c r="AC494" s="18" t="n">
        <f aca="false">IFERROR(INDEX(Scoring!$M:$M,MATCH($C494&amp;"|"&amp;$E494,Scoring!$U:$U,0)),"")</f>
        <v>17</v>
      </c>
      <c r="AD494" s="15" t="str">
        <f aca="false">IFERROR(INDEX('Route of Administration'!$C$5:$C$155,MATCH($C494,'Route of Administration'!$A$5:$A$155,0)),"")</f>
        <v>IV, IM</v>
      </c>
      <c r="AE494" s="14" t="str">
        <f aca="false">IFERROR(INDEX('Route of Administration'!$D$5:$D$155,MATCH($C494,'Route of Administration'!$A$5:$A$155,0)),"")</f>
        <v>Yes</v>
      </c>
    </row>
    <row r="495" customFormat="false" ht="28.35" hidden="false" customHeight="false" outlineLevel="0" collapsed="false">
      <c r="B495" s="15" t="n">
        <v>493</v>
      </c>
      <c r="C495" s="15" t="s">
        <v>1164</v>
      </c>
      <c r="D495" s="15" t="s">
        <v>2413</v>
      </c>
      <c r="E495" s="15" t="s">
        <v>193</v>
      </c>
      <c r="F495" s="15" t="s">
        <v>2414</v>
      </c>
      <c r="G495" s="16" t="s">
        <v>2415</v>
      </c>
      <c r="H495" s="15" t="s">
        <v>1505</v>
      </c>
      <c r="I495" s="17"/>
      <c r="J495" s="15" t="n">
        <v>1</v>
      </c>
      <c r="K495" s="15" t="n">
        <v>17</v>
      </c>
      <c r="L495" s="18" t="n">
        <v>170.54</v>
      </c>
      <c r="M495" s="16" t="s">
        <v>1165</v>
      </c>
      <c r="N495" s="38" t="n">
        <v>5.35</v>
      </c>
      <c r="O495" s="22" t="s">
        <v>1513</v>
      </c>
      <c r="P495" s="15" t="s">
        <v>1533</v>
      </c>
      <c r="Q495" s="16" t="s">
        <v>1514</v>
      </c>
      <c r="R495" s="32" t="s">
        <v>1515</v>
      </c>
      <c r="S495" s="37" t="n">
        <f aca="false">IFERROR(INDEX('Injectable Value'!$Z$28:$Z$178,MATCH($C495,'Injectable Value'!$A$28:$A$178,0)),"")</f>
        <v>1</v>
      </c>
      <c r="T495" s="18" t="n">
        <f aca="false">IFERROR(ROUND(INDEX('Injectable Value'!$AA$28:$AA$178,MATCH($C495,'Injectable Value'!$A$28:$A$178,0)),1),"")</f>
        <v>170.5</v>
      </c>
      <c r="U495" s="16" t="s">
        <v>583</v>
      </c>
      <c r="V495" s="15" t="n">
        <v>1</v>
      </c>
      <c r="W495" s="15" t="s">
        <v>70</v>
      </c>
      <c r="X495" s="15" t="s">
        <v>316</v>
      </c>
      <c r="Y495" s="15" t="s">
        <v>249</v>
      </c>
      <c r="Z495" s="16" t="str">
        <f aca="false">IFERROR(INDEX(Scoring!$K:$K,MATCH($C495&amp;"|"&amp;$E495,Scoring!$U:$U,0)),"")</f>
        <v/>
      </c>
      <c r="AA495" s="15" t="str">
        <f aca="false">IFERROR(INDEX(Scoring!$Q:$Q,MATCH($C495&amp;"|"&amp;$E495,Scoring!$U:$U,0)),"")</f>
        <v>Priority 3</v>
      </c>
      <c r="AB495" s="15" t="str">
        <f aca="false">IFERROR(INDEX(Scoring!$AK:$AK,MATCH($C495&amp;"|"&amp;$E495,Scoring!$U:$U,0)),"")</f>
        <v>Priority 3</v>
      </c>
      <c r="AC495" s="18" t="n">
        <f aca="false">IFERROR(INDEX(Scoring!$M:$M,MATCH($C495&amp;"|"&amp;$E495,Scoring!$U:$U,0)),"")</f>
        <v>17</v>
      </c>
      <c r="AD495" s="15" t="str">
        <f aca="false">IFERROR(INDEX('Route of Administration'!$C$5:$C$155,MATCH($C495,'Route of Administration'!$A$5:$A$155,0)),"")</f>
        <v>IV, IM</v>
      </c>
      <c r="AE495" s="14" t="str">
        <f aca="false">IFERROR(INDEX('Route of Administration'!$D$5:$D$155,MATCH($C495,'Route of Administration'!$A$5:$A$155,0)),"")</f>
        <v>Yes</v>
      </c>
    </row>
    <row r="496" customFormat="false" ht="28.35" hidden="false" customHeight="false" outlineLevel="0" collapsed="false">
      <c r="B496" s="15" t="n">
        <v>494</v>
      </c>
      <c r="C496" s="15" t="s">
        <v>369</v>
      </c>
      <c r="D496" s="15" t="s">
        <v>1175</v>
      </c>
      <c r="E496" s="15" t="s">
        <v>193</v>
      </c>
      <c r="F496" s="15" t="s">
        <v>2416</v>
      </c>
      <c r="G496" s="16" t="s">
        <v>2417</v>
      </c>
      <c r="H496" s="15" t="s">
        <v>1505</v>
      </c>
      <c r="I496" s="17"/>
      <c r="J496" s="15" t="n">
        <v>1</v>
      </c>
      <c r="K496" s="15" t="n">
        <v>78</v>
      </c>
      <c r="L496" s="18" t="n">
        <v>4714.67</v>
      </c>
      <c r="M496" s="16" t="s">
        <v>370</v>
      </c>
      <c r="N496" s="38" t="n">
        <v>3.53</v>
      </c>
      <c r="O496" s="22" t="s">
        <v>1513</v>
      </c>
      <c r="P496" s="15" t="s">
        <v>1533</v>
      </c>
      <c r="Q496" s="16" t="s">
        <v>1832</v>
      </c>
      <c r="R496" s="32" t="s">
        <v>1833</v>
      </c>
      <c r="S496" s="37" t="n">
        <f aca="false">IFERROR(INDEX('Injectable Value'!$Z$28:$Z$178,MATCH($C496,'Injectable Value'!$A$28:$A$178,0)),"")</f>
        <v>0.623015352554995</v>
      </c>
      <c r="T496" s="18" t="n">
        <f aca="false">IFERROR(ROUND(INDEX('Injectable Value'!$AA$28:$AA$178,MATCH($C496,'Injectable Value'!$A$28:$A$178,0)),1),"")</f>
        <v>2937.3</v>
      </c>
      <c r="U496" s="16" t="s">
        <v>583</v>
      </c>
      <c r="V496" s="15" t="n">
        <v>1</v>
      </c>
      <c r="W496" s="15" t="s">
        <v>70</v>
      </c>
      <c r="X496" s="15" t="s">
        <v>316</v>
      </c>
      <c r="Y496" s="15" t="s">
        <v>277</v>
      </c>
      <c r="Z496" s="16" t="str">
        <f aca="false">IFERROR(INDEX(Scoring!$K:$K,MATCH($C496&amp;"|"&amp;$E496,Scoring!$U:$U,0)),"")</f>
        <v>Low price from another market – confirm with company</v>
      </c>
      <c r="AA496" s="15" t="str">
        <f aca="false">IFERROR(INDEX(Scoring!$Q:$Q,MATCH($C496&amp;"|"&amp;$E496,Scoring!$U:$U,0)),"")</f>
        <v>Excluded – price ≤ $5</v>
      </c>
      <c r="AB496" s="15" t="str">
        <f aca="false">IFERROR(INDEX(Scoring!$AK:$AK,MATCH($C496&amp;"|"&amp;$E496,Scoring!$U:$U,0)),"")</f>
        <v>Excluded – price ≤ $5</v>
      </c>
      <c r="AC496" s="18" t="n">
        <f aca="false">IFERROR(INDEX(Scoring!$M:$M,MATCH($C496&amp;"|"&amp;$E496,Scoring!$U:$U,0)),"")</f>
        <v>49</v>
      </c>
      <c r="AD496" s="15" t="str">
        <f aca="false">IFERROR(INDEX('Route of Administration'!$C$5:$C$155,MATCH($C496,'Route of Administration'!$A$5:$A$155,0)),"")</f>
        <v>IV, IM, SC</v>
      </c>
      <c r="AE496" s="14" t="str">
        <f aca="false">IFERROR(INDEX('Route of Administration'!$D$5:$D$155,MATCH($C496,'Route of Administration'!$A$5:$A$155,0)),"")</f>
        <v>Yes</v>
      </c>
    </row>
    <row r="497" customFormat="false" ht="28.35" hidden="false" customHeight="false" outlineLevel="0" collapsed="false">
      <c r="B497" s="15" t="n">
        <v>495</v>
      </c>
      <c r="C497" s="15" t="s">
        <v>451</v>
      </c>
      <c r="D497" s="15" t="s">
        <v>2418</v>
      </c>
      <c r="E497" s="15" t="s">
        <v>193</v>
      </c>
      <c r="F497" s="15" t="s">
        <v>1757</v>
      </c>
      <c r="G497" s="16" t="s">
        <v>1758</v>
      </c>
      <c r="H497" s="15" t="s">
        <v>1505</v>
      </c>
      <c r="I497" s="17" t="n">
        <v>9.107</v>
      </c>
      <c r="J497" s="15" t="n">
        <v>1</v>
      </c>
      <c r="K497" s="15" t="n">
        <v>1185</v>
      </c>
      <c r="L497" s="18" t="n">
        <v>59407.06</v>
      </c>
      <c r="M497" s="16" t="s">
        <v>452</v>
      </c>
      <c r="N497" s="17" t="n">
        <v>9.107</v>
      </c>
      <c r="O497" s="15" t="s">
        <v>1506</v>
      </c>
      <c r="P497" s="15" t="s">
        <v>1507</v>
      </c>
      <c r="Q497" s="16" t="s">
        <v>1508</v>
      </c>
      <c r="R497" s="32" t="s">
        <v>2419</v>
      </c>
      <c r="S497" s="37" t="n">
        <f aca="false">IFERROR(INDEX('Injectable Value'!$Z$28:$Z$178,MATCH($C497,'Injectable Value'!$A$28:$A$178,0)),"")</f>
        <v>0.991808067465962</v>
      </c>
      <c r="T497" s="18" t="n">
        <f aca="false">IFERROR(ROUND(INDEX('Injectable Value'!$AA$28:$AA$178,MATCH($C497,'Injectable Value'!$A$28:$A$178,0)),1),"")</f>
        <v>58920.4</v>
      </c>
      <c r="U497" s="16" t="s">
        <v>589</v>
      </c>
      <c r="V497" s="15" t="n">
        <v>2</v>
      </c>
      <c r="W497" s="15" t="s">
        <v>70</v>
      </c>
      <c r="X497" s="15" t="s">
        <v>248</v>
      </c>
      <c r="Y497" s="15" t="s">
        <v>299</v>
      </c>
      <c r="Z497" s="16" t="str">
        <f aca="false">IFERROR(INDEX(Scoring!$K:$K,MATCH($C497&amp;"|"&amp;$E497,Scoring!$U:$U,0)),"")</f>
        <v>Reconstitution</v>
      </c>
      <c r="AA497" s="15" t="str">
        <f aca="false">IFERROR(INDEX(Scoring!$Q:$Q,MATCH($C497&amp;"|"&amp;$E497,Scoring!$U:$U,0)),"")</f>
        <v>Excluded – IV only</v>
      </c>
      <c r="AB497" s="15" t="str">
        <f aca="false">IFERROR(INDEX(Scoring!$AK:$AK,MATCH($C497&amp;"|"&amp;$E497,Scoring!$U:$U,0)),"")</f>
        <v>Excluded – IV only</v>
      </c>
      <c r="AC497" s="18" t="n">
        <f aca="false">IFERROR(INDEX(Scoring!$M:$M,MATCH($C497&amp;"|"&amp;$E497,Scoring!$U:$U,0)),"")</f>
        <v>1175</v>
      </c>
      <c r="AD497" s="15" t="str">
        <f aca="false">IFERROR(INDEX('Route of Administration'!$C$5:$C$155,MATCH($C497,'Route of Administration'!$A$5:$A$155,0)),"")</f>
        <v>IV</v>
      </c>
      <c r="AE497" s="14" t="str">
        <f aca="false">IFERROR(INDEX('Route of Administration'!$D$5:$D$155,MATCH($C497,'Route of Administration'!$A$5:$A$155,0)),"")</f>
        <v>No</v>
      </c>
    </row>
    <row r="498" customFormat="false" ht="28.35" hidden="false" customHeight="false" outlineLevel="0" collapsed="false">
      <c r="B498" s="15" t="n">
        <v>496</v>
      </c>
      <c r="C498" s="15" t="s">
        <v>451</v>
      </c>
      <c r="D498" s="15" t="s">
        <v>2418</v>
      </c>
      <c r="E498" s="15" t="s">
        <v>193</v>
      </c>
      <c r="F498" s="15" t="s">
        <v>2420</v>
      </c>
      <c r="G498" s="16" t="s">
        <v>2421</v>
      </c>
      <c r="H498" s="15" t="s">
        <v>1505</v>
      </c>
      <c r="I498" s="17" t="n">
        <v>23.422</v>
      </c>
      <c r="J498" s="15" t="n">
        <v>1</v>
      </c>
      <c r="K498" s="15" t="n">
        <v>1185</v>
      </c>
      <c r="L498" s="18" t="n">
        <v>59407.06</v>
      </c>
      <c r="M498" s="16" t="s">
        <v>452</v>
      </c>
      <c r="N498" s="17" t="n">
        <v>23.422</v>
      </c>
      <c r="O498" s="15" t="s">
        <v>1506</v>
      </c>
      <c r="P498" s="15" t="s">
        <v>1507</v>
      </c>
      <c r="Q498" s="16" t="s">
        <v>1508</v>
      </c>
      <c r="R498" s="32" t="s">
        <v>2422</v>
      </c>
      <c r="S498" s="37" t="n">
        <f aca="false">IFERROR(INDEX('Injectable Value'!$Z$28:$Z$178,MATCH($C498,'Injectable Value'!$A$28:$A$178,0)),"")</f>
        <v>0.991808067465962</v>
      </c>
      <c r="T498" s="18" t="n">
        <f aca="false">IFERROR(ROUND(INDEX('Injectable Value'!$AA$28:$AA$178,MATCH($C498,'Injectable Value'!$A$28:$A$178,0)),1),"")</f>
        <v>58920.4</v>
      </c>
      <c r="U498" s="16" t="s">
        <v>589</v>
      </c>
      <c r="V498" s="15" t="n">
        <v>2</v>
      </c>
      <c r="W498" s="15" t="s">
        <v>70</v>
      </c>
      <c r="X498" s="15" t="s">
        <v>248</v>
      </c>
      <c r="Y498" s="15" t="s">
        <v>299</v>
      </c>
      <c r="Z498" s="16" t="str">
        <f aca="false">IFERROR(INDEX(Scoring!$K:$K,MATCH($C498&amp;"|"&amp;$E498,Scoring!$U:$U,0)),"")</f>
        <v>Reconstitution</v>
      </c>
      <c r="AA498" s="15" t="str">
        <f aca="false">IFERROR(INDEX(Scoring!$Q:$Q,MATCH($C498&amp;"|"&amp;$E498,Scoring!$U:$U,0)),"")</f>
        <v>Excluded – IV only</v>
      </c>
      <c r="AB498" s="15" t="str">
        <f aca="false">IFERROR(INDEX(Scoring!$AK:$AK,MATCH($C498&amp;"|"&amp;$E498,Scoring!$U:$U,0)),"")</f>
        <v>Excluded – IV only</v>
      </c>
      <c r="AC498" s="18" t="n">
        <f aca="false">IFERROR(INDEX(Scoring!$M:$M,MATCH($C498&amp;"|"&amp;$E498,Scoring!$U:$U,0)),"")</f>
        <v>1175</v>
      </c>
      <c r="AD498" s="15" t="str">
        <f aca="false">IFERROR(INDEX('Route of Administration'!$C$5:$C$155,MATCH($C498,'Route of Administration'!$A$5:$A$155,0)),"")</f>
        <v>IV</v>
      </c>
      <c r="AE498" s="14" t="str">
        <f aca="false">IFERROR(INDEX('Route of Administration'!$D$5:$D$155,MATCH($C498,'Route of Administration'!$A$5:$A$155,0)),"")</f>
        <v>No</v>
      </c>
    </row>
    <row r="499" customFormat="false" ht="28.35" hidden="false" customHeight="false" outlineLevel="0" collapsed="false">
      <c r="B499" s="15" t="n">
        <v>497</v>
      </c>
      <c r="C499" s="15" t="s">
        <v>1181</v>
      </c>
      <c r="D499" s="15" t="s">
        <v>1185</v>
      </c>
      <c r="E499" s="15" t="s">
        <v>193</v>
      </c>
      <c r="F499" s="15" t="s">
        <v>2423</v>
      </c>
      <c r="G499" s="16" t="s">
        <v>2424</v>
      </c>
      <c r="H499" s="15" t="s">
        <v>1505</v>
      </c>
      <c r="I499" s="17"/>
      <c r="J499" s="15" t="n">
        <v>1</v>
      </c>
      <c r="K499" s="15" t="n">
        <v>58</v>
      </c>
      <c r="L499" s="18" t="n">
        <v>1115.28</v>
      </c>
      <c r="M499" s="16" t="s">
        <v>1182</v>
      </c>
      <c r="N499" s="38" t="n">
        <v>6.81</v>
      </c>
      <c r="O499" s="22" t="s">
        <v>1513</v>
      </c>
      <c r="P499" s="15" t="s">
        <v>1533</v>
      </c>
      <c r="Q499" s="16" t="s">
        <v>1514</v>
      </c>
      <c r="R499" s="32" t="s">
        <v>1515</v>
      </c>
      <c r="S499" s="37" t="n">
        <f aca="false">IFERROR(INDEX('Injectable Value'!$Z$28:$Z$178,MATCH($C499,'Injectable Value'!$A$28:$A$178,0)),"")</f>
        <v>0.257790111422073</v>
      </c>
      <c r="T499" s="18" t="n">
        <f aca="false">IFERROR(ROUND(INDEX('Injectable Value'!$AA$28:$AA$178,MATCH($C499,'Injectable Value'!$A$28:$A$178,0)),1),"")</f>
        <v>287.5</v>
      </c>
      <c r="U499" s="16" t="s">
        <v>583</v>
      </c>
      <c r="V499" s="15" t="n">
        <v>1</v>
      </c>
      <c r="W499" s="15" t="s">
        <v>70</v>
      </c>
      <c r="X499" s="15" t="s">
        <v>316</v>
      </c>
      <c r="Y499" s="15" t="s">
        <v>249</v>
      </c>
      <c r="Z499" s="16" t="str">
        <f aca="false">IFERROR(INDEX(Scoring!$K:$K,MATCH($C499&amp;"|"&amp;$E499,Scoring!$U:$U,0)),"")</f>
        <v/>
      </c>
      <c r="AA499" s="15" t="str">
        <f aca="false">IFERROR(INDEX(Scoring!$Q:$Q,MATCH($C499&amp;"|"&amp;$E499,Scoring!$U:$U,0)),"")</f>
        <v>Priority 3</v>
      </c>
      <c r="AB499" s="15" t="str">
        <f aca="false">IFERROR(INDEX(Scoring!$AK:$AK,MATCH($C499&amp;"|"&amp;$E499,Scoring!$U:$U,0)),"")</f>
        <v>Priority 3</v>
      </c>
      <c r="AC499" s="18" t="n">
        <f aca="false">IFERROR(INDEX(Scoring!$M:$M,MATCH($C499&amp;"|"&amp;$E499,Scoring!$U:$U,0)),"")</f>
        <v>15</v>
      </c>
      <c r="AD499" s="15" t="str">
        <f aca="false">IFERROR(INDEX('Route of Administration'!$C$5:$C$155,MATCH($C499,'Route of Administration'!$A$5:$A$155,0)),"")</f>
        <v>IV, IM</v>
      </c>
      <c r="AE499" s="14" t="str">
        <f aca="false">IFERROR(INDEX('Route of Administration'!$D$5:$D$155,MATCH($C499,'Route of Administration'!$A$5:$A$155,0)),"")</f>
        <v>Yes</v>
      </c>
    </row>
    <row r="500" customFormat="false" ht="28.35" hidden="false" customHeight="false" outlineLevel="0" collapsed="false">
      <c r="B500" s="15" t="n">
        <v>498</v>
      </c>
      <c r="C500" s="15" t="s">
        <v>1181</v>
      </c>
      <c r="D500" s="15" t="s">
        <v>1185</v>
      </c>
      <c r="E500" s="15" t="s">
        <v>193</v>
      </c>
      <c r="F500" s="15" t="s">
        <v>2425</v>
      </c>
      <c r="G500" s="16" t="s">
        <v>2415</v>
      </c>
      <c r="H500" s="15" t="s">
        <v>1505</v>
      </c>
      <c r="I500" s="17"/>
      <c r="J500" s="15" t="n">
        <v>1</v>
      </c>
      <c r="K500" s="15" t="n">
        <v>58</v>
      </c>
      <c r="L500" s="18" t="n">
        <v>1115.28</v>
      </c>
      <c r="M500" s="16" t="s">
        <v>1182</v>
      </c>
      <c r="N500" s="38" t="n">
        <v>1.36</v>
      </c>
      <c r="O500" s="22" t="s">
        <v>1513</v>
      </c>
      <c r="P500" s="15" t="s">
        <v>1533</v>
      </c>
      <c r="Q500" s="16" t="s">
        <v>1514</v>
      </c>
      <c r="R500" s="32" t="s">
        <v>1515</v>
      </c>
      <c r="S500" s="37" t="n">
        <f aca="false">IFERROR(INDEX('Injectable Value'!$Z$28:$Z$178,MATCH($C500,'Injectable Value'!$A$28:$A$178,0)),"")</f>
        <v>0.257790111422073</v>
      </c>
      <c r="T500" s="18" t="n">
        <f aca="false">IFERROR(ROUND(INDEX('Injectable Value'!$AA$28:$AA$178,MATCH($C500,'Injectable Value'!$A$28:$A$178,0)),1),"")</f>
        <v>287.5</v>
      </c>
      <c r="U500" s="16" t="s">
        <v>583</v>
      </c>
      <c r="V500" s="15" t="n">
        <v>1</v>
      </c>
      <c r="W500" s="15" t="s">
        <v>70</v>
      </c>
      <c r="X500" s="15" t="s">
        <v>316</v>
      </c>
      <c r="Y500" s="15" t="s">
        <v>249</v>
      </c>
      <c r="Z500" s="16" t="str">
        <f aca="false">IFERROR(INDEX(Scoring!$K:$K,MATCH($C500&amp;"|"&amp;$E500,Scoring!$U:$U,0)),"")</f>
        <v/>
      </c>
      <c r="AA500" s="15" t="str">
        <f aca="false">IFERROR(INDEX(Scoring!$Q:$Q,MATCH($C500&amp;"|"&amp;$E500,Scoring!$U:$U,0)),"")</f>
        <v>Priority 3</v>
      </c>
      <c r="AB500" s="15" t="str">
        <f aca="false">IFERROR(INDEX(Scoring!$AK:$AK,MATCH($C500&amp;"|"&amp;$E500,Scoring!$U:$U,0)),"")</f>
        <v>Priority 3</v>
      </c>
      <c r="AC500" s="18" t="n">
        <f aca="false">IFERROR(INDEX(Scoring!$M:$M,MATCH($C500&amp;"|"&amp;$E500,Scoring!$U:$U,0)),"")</f>
        <v>15</v>
      </c>
      <c r="AD500" s="15" t="str">
        <f aca="false">IFERROR(INDEX('Route of Administration'!$C$5:$C$155,MATCH($C500,'Route of Administration'!$A$5:$A$155,0)),"")</f>
        <v>IV, IM</v>
      </c>
      <c r="AE500" s="14" t="str">
        <f aca="false">IFERROR(INDEX('Route of Administration'!$D$5:$D$155,MATCH($C500,'Route of Administration'!$A$5:$A$155,0)),"")</f>
        <v>Yes</v>
      </c>
    </row>
    <row r="501" customFormat="false" ht="28.35" hidden="false" customHeight="false" outlineLevel="0" collapsed="false">
      <c r="B501" s="15" t="n">
        <v>499</v>
      </c>
      <c r="C501" s="15" t="s">
        <v>1195</v>
      </c>
      <c r="D501" s="15" t="s">
        <v>1199</v>
      </c>
      <c r="E501" s="15" t="s">
        <v>193</v>
      </c>
      <c r="F501" s="15" t="s">
        <v>2426</v>
      </c>
      <c r="G501" s="16" t="s">
        <v>2412</v>
      </c>
      <c r="H501" s="15" t="s">
        <v>1505</v>
      </c>
      <c r="I501" s="17" t="n">
        <v>8.113</v>
      </c>
      <c r="J501" s="15" t="n">
        <v>1</v>
      </c>
      <c r="K501" s="15" t="n">
        <v>309</v>
      </c>
      <c r="L501" s="18" t="n">
        <v>8362.23</v>
      </c>
      <c r="M501" s="16" t="s">
        <v>1196</v>
      </c>
      <c r="N501" s="17" t="n">
        <v>8.113</v>
      </c>
      <c r="O501" s="15" t="s">
        <v>1506</v>
      </c>
      <c r="P501" s="15" t="s">
        <v>1507</v>
      </c>
      <c r="Q501" s="16" t="s">
        <v>1508</v>
      </c>
      <c r="R501" s="32" t="s">
        <v>2427</v>
      </c>
      <c r="S501" s="37" t="n">
        <f aca="false">IFERROR(INDEX('Injectable Value'!$Z$28:$Z$178,MATCH($C501,'Injectable Value'!$A$28:$A$178,0)),"")</f>
        <v>0.983493397358944</v>
      </c>
      <c r="T501" s="18" t="n">
        <f aca="false">IFERROR(ROUND(INDEX('Injectable Value'!$AA$28:$AA$178,MATCH($C501,'Injectable Value'!$A$28:$A$178,0)),1),"")</f>
        <v>8224.2</v>
      </c>
      <c r="U501" s="16" t="s">
        <v>583</v>
      </c>
      <c r="V501" s="15" t="n">
        <v>1</v>
      </c>
      <c r="W501" s="15" t="s">
        <v>70</v>
      </c>
      <c r="X501" s="15" t="s">
        <v>316</v>
      </c>
      <c r="Y501" s="15" t="s">
        <v>249</v>
      </c>
      <c r="Z501" s="16" t="str">
        <f aca="false">IFERROR(INDEX(Scoring!$K:$K,MATCH($C501&amp;"|"&amp;$E501,Scoring!$U:$U,0)),"")</f>
        <v/>
      </c>
      <c r="AA501" s="15" t="str">
        <f aca="false">IFERROR(INDEX(Scoring!$Q:$Q,MATCH($C501&amp;"|"&amp;$E501,Scoring!$U:$U,0)),"")</f>
        <v>Priority 2</v>
      </c>
      <c r="AB501" s="15" t="str">
        <f aca="false">IFERROR(INDEX(Scoring!$AK:$AK,MATCH($C501&amp;"|"&amp;$E501,Scoring!$U:$U,0)),"")</f>
        <v>Priority 2</v>
      </c>
      <c r="AC501" s="18" t="n">
        <f aca="false">IFERROR(INDEX(Scoring!$M:$M,MATCH($C501&amp;"|"&amp;$E501,Scoring!$U:$U,0)),"")</f>
        <v>304</v>
      </c>
      <c r="AD501" s="15" t="str">
        <f aca="false">IFERROR(INDEX('Route of Administration'!$C$5:$C$155,MATCH($C501,'Route of Administration'!$A$5:$A$155,0)),"")</f>
        <v>IV, IM</v>
      </c>
      <c r="AE501" s="14" t="str">
        <f aca="false">IFERROR(INDEX('Route of Administration'!$D$5:$D$155,MATCH($C501,'Route of Administration'!$A$5:$A$155,0)),"")</f>
        <v>Yes</v>
      </c>
    </row>
    <row r="502" customFormat="false" ht="28.35" hidden="false" customHeight="false" outlineLevel="0" collapsed="false">
      <c r="B502" s="15" t="n">
        <v>500</v>
      </c>
      <c r="C502" s="15" t="s">
        <v>789</v>
      </c>
      <c r="D502" s="15" t="s">
        <v>1189</v>
      </c>
      <c r="E502" s="15" t="s">
        <v>193</v>
      </c>
      <c r="F502" s="15" t="s">
        <v>2428</v>
      </c>
      <c r="G502" s="16" t="s">
        <v>2429</v>
      </c>
      <c r="H502" s="15" t="s">
        <v>1505</v>
      </c>
      <c r="I502" s="17"/>
      <c r="J502" s="15" t="n">
        <v>1</v>
      </c>
      <c r="K502" s="15" t="n">
        <v>133</v>
      </c>
      <c r="L502" s="18" t="n">
        <v>4036.55</v>
      </c>
      <c r="M502" s="16" t="s">
        <v>790</v>
      </c>
      <c r="N502" s="38" t="n">
        <v>2.29</v>
      </c>
      <c r="O502" s="22" t="s">
        <v>1513</v>
      </c>
      <c r="P502" s="15" t="s">
        <v>1533</v>
      </c>
      <c r="Q502" s="16" t="s">
        <v>1514</v>
      </c>
      <c r="R502" s="32" t="s">
        <v>1515</v>
      </c>
      <c r="S502" s="37" t="n">
        <f aca="false">IFERROR(INDEX('Injectable Value'!$Z$28:$Z$178,MATCH($C502,'Injectable Value'!$A$28:$A$178,0)),"")</f>
        <v>1</v>
      </c>
      <c r="T502" s="18" t="n">
        <f aca="false">IFERROR(ROUND(INDEX('Injectable Value'!$AA$28:$AA$178,MATCH($C502,'Injectable Value'!$A$28:$A$178,0)),1),"")</f>
        <v>4036.6</v>
      </c>
      <c r="U502" s="16" t="s">
        <v>583</v>
      </c>
      <c r="V502" s="15" t="n">
        <v>1</v>
      </c>
      <c r="W502" s="15" t="s">
        <v>70</v>
      </c>
      <c r="X502" s="15" t="s">
        <v>316</v>
      </c>
      <c r="Y502" s="15" t="s">
        <v>249</v>
      </c>
      <c r="Z502" s="16" t="str">
        <f aca="false">IFERROR(INDEX(Scoring!$K:$K,MATCH($C502&amp;"|"&amp;$E502,Scoring!$U:$U,0)),"")</f>
        <v>Low price from another market – confirm with company</v>
      </c>
      <c r="AA502" s="15" t="str">
        <f aca="false">IFERROR(INDEX(Scoring!$Q:$Q,MATCH($C502&amp;"|"&amp;$E502,Scoring!$U:$U,0)),"")</f>
        <v>Excluded – IV only</v>
      </c>
      <c r="AB502" s="15" t="str">
        <f aca="false">IFERROR(INDEX(Scoring!$AK:$AK,MATCH($C502&amp;"|"&amp;$E502,Scoring!$U:$U,0)),"")</f>
        <v>Excluded – IV only</v>
      </c>
      <c r="AC502" s="18" t="n">
        <f aca="false">IFERROR(INDEX(Scoring!$M:$M,MATCH($C502&amp;"|"&amp;$E502,Scoring!$U:$U,0)),"")</f>
        <v>133</v>
      </c>
      <c r="AD502" s="15" t="str">
        <f aca="false">IFERROR(INDEX('Route of Administration'!$C$5:$C$155,MATCH($C502,'Route of Administration'!$A$5:$A$155,0)),"")</f>
        <v>IV</v>
      </c>
      <c r="AE502" s="14" t="str">
        <f aca="false">IFERROR(INDEX('Route of Administration'!$D$5:$D$155,MATCH($C502,'Route of Administration'!$A$5:$A$155,0)),"")</f>
        <v>No</v>
      </c>
    </row>
    <row r="503" customFormat="false" ht="28.35" hidden="false" customHeight="false" outlineLevel="0" collapsed="false">
      <c r="B503" s="15" t="n">
        <v>501</v>
      </c>
      <c r="C503" s="15" t="s">
        <v>1150</v>
      </c>
      <c r="D503" s="15" t="s">
        <v>1154</v>
      </c>
      <c r="E503" s="15" t="s">
        <v>193</v>
      </c>
      <c r="F503" s="15" t="s">
        <v>2430</v>
      </c>
      <c r="G503" s="16" t="s">
        <v>2424</v>
      </c>
      <c r="H503" s="15" t="s">
        <v>1505</v>
      </c>
      <c r="I503" s="17" t="n">
        <v>24.71</v>
      </c>
      <c r="J503" s="15" t="n">
        <v>1</v>
      </c>
      <c r="K503" s="15" t="n">
        <v>1</v>
      </c>
      <c r="L503" s="18" t="n">
        <v>15.02</v>
      </c>
      <c r="M503" s="16" t="s">
        <v>1151</v>
      </c>
      <c r="N503" s="17" t="n">
        <v>24.71</v>
      </c>
      <c r="O503" s="15" t="s">
        <v>1506</v>
      </c>
      <c r="P503" s="15" t="s">
        <v>1507</v>
      </c>
      <c r="Q503" s="16" t="s">
        <v>1508</v>
      </c>
      <c r="R503" s="32" t="s">
        <v>2431</v>
      </c>
      <c r="S503" s="37" t="n">
        <f aca="false">IFERROR(INDEX('Injectable Value'!$Z$28:$Z$178,MATCH($C503,'Injectable Value'!$A$28:$A$178,0)),"")</f>
        <v>0.952380952380952</v>
      </c>
      <c r="T503" s="18" t="n">
        <f aca="false">IFERROR(ROUND(INDEX('Injectable Value'!$AA$28:$AA$178,MATCH($C503,'Injectable Value'!$A$28:$A$178,0)),1),"")</f>
        <v>14.3</v>
      </c>
      <c r="U503" s="16" t="s">
        <v>583</v>
      </c>
      <c r="V503" s="15" t="n">
        <v>1</v>
      </c>
      <c r="W503" s="15" t="s">
        <v>70</v>
      </c>
      <c r="X503" s="15" t="s">
        <v>316</v>
      </c>
      <c r="Y503" s="15" t="s">
        <v>249</v>
      </c>
      <c r="Z503" s="16" t="str">
        <f aca="false">IFERROR(INDEX(Scoring!$K:$K,MATCH($C503&amp;"|"&amp;$E503,Scoring!$U:$U,0)),"")</f>
        <v/>
      </c>
      <c r="AA503" s="15" t="str">
        <f aca="false">IFERROR(INDEX(Scoring!$Q:$Q,MATCH($C503&amp;"|"&amp;$E503,Scoring!$U:$U,0)),"")</f>
        <v>Excluded – IV only</v>
      </c>
      <c r="AB503" s="15" t="str">
        <f aca="false">IFERROR(INDEX(Scoring!$AK:$AK,MATCH($C503&amp;"|"&amp;$E503,Scoring!$U:$U,0)),"")</f>
        <v>Excluded – IV only</v>
      </c>
      <c r="AC503" s="18" t="n">
        <f aca="false">IFERROR(INDEX(Scoring!$M:$M,MATCH($C503&amp;"|"&amp;$E503,Scoring!$U:$U,0)),"")</f>
        <v>1</v>
      </c>
      <c r="AD503" s="15" t="str">
        <f aca="false">IFERROR(INDEX('Route of Administration'!$C$5:$C$155,MATCH($C503,'Route of Administration'!$A$5:$A$155,0)),"")</f>
        <v>IV</v>
      </c>
      <c r="AE503" s="14" t="str">
        <f aca="false">IFERROR(INDEX('Route of Administration'!$D$5:$D$155,MATCH($C503,'Route of Administration'!$A$5:$A$155,0)),"")</f>
        <v>No</v>
      </c>
    </row>
    <row r="504" customFormat="false" ht="28.35" hidden="false" customHeight="false" outlineLevel="0" collapsed="false">
      <c r="B504" s="15" t="n">
        <v>502</v>
      </c>
      <c r="C504" s="15" t="s">
        <v>937</v>
      </c>
      <c r="D504" s="15" t="s">
        <v>1161</v>
      </c>
      <c r="E504" s="15" t="s">
        <v>193</v>
      </c>
      <c r="F504" s="15" t="s">
        <v>2359</v>
      </c>
      <c r="G504" s="16" t="s">
        <v>1820</v>
      </c>
      <c r="H504" s="15" t="s">
        <v>1505</v>
      </c>
      <c r="I504" s="17"/>
      <c r="J504" s="15" t="n">
        <v>1</v>
      </c>
      <c r="K504" s="15" t="n">
        <v>117</v>
      </c>
      <c r="L504" s="18" t="n">
        <v>2508.09</v>
      </c>
      <c r="M504" s="16" t="s">
        <v>938</v>
      </c>
      <c r="N504" s="38" t="n">
        <v>7.47</v>
      </c>
      <c r="O504" s="22" t="s">
        <v>1513</v>
      </c>
      <c r="P504" s="15" t="s">
        <v>1533</v>
      </c>
      <c r="Q504" s="16" t="s">
        <v>1832</v>
      </c>
      <c r="R504" s="32" t="s">
        <v>1833</v>
      </c>
      <c r="S504" s="37" t="n">
        <f aca="false">IFERROR(INDEX('Injectable Value'!$Z$28:$Z$178,MATCH($C504,'Injectable Value'!$A$28:$A$178,0)),"")</f>
        <v>1</v>
      </c>
      <c r="T504" s="18" t="n">
        <f aca="false">IFERROR(ROUND(INDEX('Injectable Value'!$AA$28:$AA$178,MATCH($C504,'Injectable Value'!$A$28:$A$178,0)),1),"")</f>
        <v>2508.1</v>
      </c>
      <c r="U504" s="16" t="s">
        <v>583</v>
      </c>
      <c r="V504" s="15" t="n">
        <v>1</v>
      </c>
      <c r="W504" s="15" t="s">
        <v>70</v>
      </c>
      <c r="X504" s="15" t="s">
        <v>248</v>
      </c>
      <c r="Y504" s="15" t="s">
        <v>249</v>
      </c>
      <c r="Z504" s="16" t="str">
        <f aca="false">IFERROR(INDEX(Scoring!$K:$K,MATCH($C504&amp;"|"&amp;$E504,Scoring!$U:$U,0)),"")</f>
        <v/>
      </c>
      <c r="AA504" s="15" t="str">
        <f aca="false">IFERROR(INDEX(Scoring!$Q:$Q,MATCH($C504&amp;"|"&amp;$E504,Scoring!$U:$U,0)),"")</f>
        <v>Excluded – IV only</v>
      </c>
      <c r="AB504" s="15" t="str">
        <f aca="false">IFERROR(INDEX(Scoring!$AK:$AK,MATCH($C504&amp;"|"&amp;$E504,Scoring!$U:$U,0)),"")</f>
        <v>Excluded – IV only</v>
      </c>
      <c r="AC504" s="18" t="n">
        <f aca="false">IFERROR(INDEX(Scoring!$M:$M,MATCH($C504&amp;"|"&amp;$E504,Scoring!$U:$U,0)),"")</f>
        <v>117</v>
      </c>
      <c r="AD504" s="15" t="str">
        <f aca="false">IFERROR(INDEX('Route of Administration'!$C$5:$C$155,MATCH($C504,'Route of Administration'!$A$5:$A$155,0)),"")</f>
        <v>IV</v>
      </c>
      <c r="AE504" s="14" t="str">
        <f aca="false">IFERROR(INDEX('Route of Administration'!$D$5:$D$155,MATCH($C504,'Route of Administration'!$A$5:$A$155,0)),"")</f>
        <v>No</v>
      </c>
    </row>
    <row r="505" customFormat="false" ht="28.35" hidden="false" customHeight="false" outlineLevel="0" collapsed="false">
      <c r="B505" s="15" t="n">
        <v>503</v>
      </c>
      <c r="C505" s="15" t="s">
        <v>937</v>
      </c>
      <c r="D505" s="15" t="s">
        <v>1161</v>
      </c>
      <c r="E505" s="15" t="s">
        <v>193</v>
      </c>
      <c r="F505" s="15" t="s">
        <v>2365</v>
      </c>
      <c r="G505" s="16" t="s">
        <v>2366</v>
      </c>
      <c r="H505" s="15" t="s">
        <v>1505</v>
      </c>
      <c r="I505" s="17"/>
      <c r="J505" s="15" t="n">
        <v>1</v>
      </c>
      <c r="K505" s="15" t="n">
        <v>117</v>
      </c>
      <c r="L505" s="18" t="n">
        <v>2508.09</v>
      </c>
      <c r="M505" s="16" t="s">
        <v>938</v>
      </c>
      <c r="N505" s="38" t="n">
        <v>58.29</v>
      </c>
      <c r="O505" s="22" t="s">
        <v>1513</v>
      </c>
      <c r="P505" s="15" t="s">
        <v>1533</v>
      </c>
      <c r="Q505" s="16" t="s">
        <v>1590</v>
      </c>
      <c r="R505" s="32" t="s">
        <v>2432</v>
      </c>
      <c r="S505" s="37" t="n">
        <f aca="false">IFERROR(INDEX('Injectable Value'!$Z$28:$Z$178,MATCH($C505,'Injectable Value'!$A$28:$A$178,0)),"")</f>
        <v>1</v>
      </c>
      <c r="T505" s="18" t="n">
        <f aca="false">IFERROR(ROUND(INDEX('Injectable Value'!$AA$28:$AA$178,MATCH($C505,'Injectable Value'!$A$28:$A$178,0)),1),"")</f>
        <v>2508.1</v>
      </c>
      <c r="U505" s="16" t="s">
        <v>583</v>
      </c>
      <c r="V505" s="15" t="n">
        <v>1</v>
      </c>
      <c r="W505" s="15" t="s">
        <v>70</v>
      </c>
      <c r="X505" s="15" t="s">
        <v>248</v>
      </c>
      <c r="Y505" s="15" t="s">
        <v>1519</v>
      </c>
      <c r="Z505" s="16" t="str">
        <f aca="false">IFERROR(INDEX(Scoring!$K:$K,MATCH($C505&amp;"|"&amp;$E505,Scoring!$U:$U,0)),"")</f>
        <v/>
      </c>
      <c r="AA505" s="15" t="str">
        <f aca="false">IFERROR(INDEX(Scoring!$Q:$Q,MATCH($C505&amp;"|"&amp;$E505,Scoring!$U:$U,0)),"")</f>
        <v>Excluded – IV only</v>
      </c>
      <c r="AB505" s="15" t="str">
        <f aca="false">IFERROR(INDEX(Scoring!$AK:$AK,MATCH($C505&amp;"|"&amp;$E505,Scoring!$U:$U,0)),"")</f>
        <v>Excluded – IV only</v>
      </c>
      <c r="AC505" s="18" t="n">
        <f aca="false">IFERROR(INDEX(Scoring!$M:$M,MATCH($C505&amp;"|"&amp;$E505,Scoring!$U:$U,0)),"")</f>
        <v>117</v>
      </c>
      <c r="AD505" s="15" t="str">
        <f aca="false">IFERROR(INDEX('Route of Administration'!$C$5:$C$155,MATCH($C505,'Route of Administration'!$A$5:$A$155,0)),"")</f>
        <v>IV</v>
      </c>
      <c r="AE505" s="14" t="str">
        <f aca="false">IFERROR(INDEX('Route of Administration'!$D$5:$D$155,MATCH($C505,'Route of Administration'!$A$5:$A$155,0)),"")</f>
        <v>No</v>
      </c>
    </row>
    <row r="506" customFormat="false" ht="28.35" hidden="false" customHeight="false" outlineLevel="0" collapsed="false">
      <c r="B506" s="15" t="n">
        <v>504</v>
      </c>
      <c r="C506" s="15" t="s">
        <v>646</v>
      </c>
      <c r="D506" s="15" t="s">
        <v>1205</v>
      </c>
      <c r="E506" s="15" t="s">
        <v>193</v>
      </c>
      <c r="F506" s="15" t="s">
        <v>1851</v>
      </c>
      <c r="G506" s="16" t="s">
        <v>1852</v>
      </c>
      <c r="H506" s="15" t="s">
        <v>1505</v>
      </c>
      <c r="I506" s="17" t="n">
        <v>125.38</v>
      </c>
      <c r="J506" s="15" t="n">
        <v>1</v>
      </c>
      <c r="K506" s="15" t="n">
        <v>188</v>
      </c>
      <c r="L506" s="18" t="n">
        <v>262.84</v>
      </c>
      <c r="M506" s="16" t="s">
        <v>647</v>
      </c>
      <c r="N506" s="17" t="n">
        <v>125.38</v>
      </c>
      <c r="O506" s="15" t="s">
        <v>1506</v>
      </c>
      <c r="P506" s="15" t="s">
        <v>1672</v>
      </c>
      <c r="Q506" s="16" t="s">
        <v>1508</v>
      </c>
      <c r="R506" s="32" t="s">
        <v>1784</v>
      </c>
      <c r="S506" s="37" t="n">
        <f aca="false">IFERROR(INDEX('Injectable Value'!$Z$28:$Z$178,MATCH($C506,'Injectable Value'!$A$28:$A$178,0)),"")</f>
        <v>0.703571428571429</v>
      </c>
      <c r="T506" s="18" t="n">
        <f aca="false">IFERROR(ROUND(INDEX('Injectable Value'!$AA$28:$AA$178,MATCH($C506,'Injectable Value'!$A$28:$A$178,0)),1),"")</f>
        <v>184.9</v>
      </c>
      <c r="U506" s="16" t="s">
        <v>328</v>
      </c>
      <c r="V506" s="15" t="n">
        <v>1</v>
      </c>
      <c r="W506" s="15" t="s">
        <v>70</v>
      </c>
      <c r="X506" s="15" t="s">
        <v>248</v>
      </c>
      <c r="Y506" s="15" t="s">
        <v>249</v>
      </c>
      <c r="Z506" s="16" t="str">
        <f aca="false">IFERROR(INDEX(Scoring!$K:$K,MATCH($C506&amp;"|"&amp;$E506,Scoring!$U:$U,0)),"")</f>
        <v/>
      </c>
      <c r="AA506" s="15" t="str">
        <f aca="false">IFERROR(INDEX(Scoring!$Q:$Q,MATCH($C506&amp;"|"&amp;$E506,Scoring!$U:$U,0)),"")</f>
        <v>Priority 2</v>
      </c>
      <c r="AB506" s="15" t="str">
        <f aca="false">IFERROR(INDEX(Scoring!$AK:$AK,MATCH($C506&amp;"|"&amp;$E506,Scoring!$U:$U,0)),"")</f>
        <v>Priority 2</v>
      </c>
      <c r="AC506" s="18" t="n">
        <f aca="false">IFERROR(INDEX(Scoring!$M:$M,MATCH($C506&amp;"|"&amp;$E506,Scoring!$U:$U,0)),"")</f>
        <v>132</v>
      </c>
      <c r="AD506" s="15" t="str">
        <f aca="false">IFERROR(INDEX('Route of Administration'!$C$5:$C$155,MATCH($C506,'Route of Administration'!$A$5:$A$155,0)),"")</f>
        <v>IM</v>
      </c>
      <c r="AE506" s="14" t="str">
        <f aca="false">IFERROR(INDEX('Route of Administration'!$D$5:$D$155,MATCH($C506,'Route of Administration'!$A$5:$A$155,0)),"")</f>
        <v>Yes</v>
      </c>
    </row>
    <row r="507" customFormat="false" ht="28.35" hidden="false" customHeight="false" outlineLevel="0" collapsed="false">
      <c r="B507" s="15" t="n">
        <v>505</v>
      </c>
      <c r="C507" s="15" t="s">
        <v>387</v>
      </c>
      <c r="D507" s="15" t="s">
        <v>1177</v>
      </c>
      <c r="E507" s="15" t="s">
        <v>193</v>
      </c>
      <c r="F507" s="15" t="s">
        <v>1782</v>
      </c>
      <c r="G507" s="16" t="s">
        <v>1785</v>
      </c>
      <c r="H507" s="15" t="s">
        <v>1505</v>
      </c>
      <c r="I507" s="17" t="n">
        <v>21.3</v>
      </c>
      <c r="J507" s="15" t="n">
        <v>1</v>
      </c>
      <c r="K507" s="15" t="n">
        <v>223</v>
      </c>
      <c r="L507" s="18" t="n">
        <v>53539.87</v>
      </c>
      <c r="M507" s="16" t="s">
        <v>388</v>
      </c>
      <c r="N507" s="17" t="n">
        <v>21.3</v>
      </c>
      <c r="O507" s="15" t="s">
        <v>1506</v>
      </c>
      <c r="P507" s="15" t="s">
        <v>1672</v>
      </c>
      <c r="Q507" s="16" t="s">
        <v>1508</v>
      </c>
      <c r="R507" s="32" t="s">
        <v>1784</v>
      </c>
      <c r="S507" s="37" t="n">
        <f aca="false">IFERROR(INDEX('Injectable Value'!$Z$28:$Z$178,MATCH($C507,'Injectable Value'!$A$28:$A$178,0)),"")</f>
        <v>1</v>
      </c>
      <c r="T507" s="18" t="n">
        <f aca="false">IFERROR(ROUND(INDEX('Injectable Value'!$AA$28:$AA$178,MATCH($C507,'Injectable Value'!$A$28:$A$178,0)),1),"")</f>
        <v>53539.9</v>
      </c>
      <c r="U507" s="16" t="s">
        <v>328</v>
      </c>
      <c r="V507" s="15" t="n">
        <v>1</v>
      </c>
      <c r="W507" s="15" t="s">
        <v>70</v>
      </c>
      <c r="X507" s="15" t="s">
        <v>248</v>
      </c>
      <c r="Y507" s="15" t="s">
        <v>324</v>
      </c>
      <c r="Z507" s="16" t="str">
        <f aca="false">IFERROR(INDEX(Scoring!$K:$K,MATCH($C507&amp;"|"&amp;$E507,Scoring!$U:$U,0)),"")</f>
        <v>Reconstitution</v>
      </c>
      <c r="AA507" s="15" t="str">
        <f aca="false">IFERROR(INDEX(Scoring!$Q:$Q,MATCH($C507&amp;"|"&amp;$E507,Scoring!$U:$U,0)),"")</f>
        <v>Priority 2</v>
      </c>
      <c r="AB507" s="15" t="str">
        <f aca="false">IFERROR(INDEX(Scoring!$AK:$AK,MATCH($C507&amp;"|"&amp;$E507,Scoring!$U:$U,0)),"")</f>
        <v>Priority 3</v>
      </c>
      <c r="AC507" s="18" t="n">
        <f aca="false">IFERROR(INDEX(Scoring!$M:$M,MATCH($C507&amp;"|"&amp;$E507,Scoring!$U:$U,0)),"")</f>
        <v>223</v>
      </c>
      <c r="AD507" s="15" t="str">
        <f aca="false">IFERROR(INDEX('Route of Administration'!$C$5:$C$155,MATCH($C507,'Route of Administration'!$A$5:$A$155,0)),"")</f>
        <v>IV, IM</v>
      </c>
      <c r="AE507" s="14" t="str">
        <f aca="false">IFERROR(INDEX('Route of Administration'!$D$5:$D$155,MATCH($C507,'Route of Administration'!$A$5:$A$155,0)),"")</f>
        <v>Yes</v>
      </c>
    </row>
    <row r="508" customFormat="false" ht="28.35" hidden="false" customHeight="false" outlineLevel="0" collapsed="false">
      <c r="B508" s="15" t="n">
        <v>506</v>
      </c>
      <c r="C508" s="15" t="s">
        <v>525</v>
      </c>
      <c r="D508" s="15" t="s">
        <v>1201</v>
      </c>
      <c r="E508" s="15" t="s">
        <v>193</v>
      </c>
      <c r="F508" s="15" t="s">
        <v>2392</v>
      </c>
      <c r="G508" s="16" t="s">
        <v>2433</v>
      </c>
      <c r="H508" s="15" t="s">
        <v>1505</v>
      </c>
      <c r="I508" s="17" t="n">
        <v>7.18</v>
      </c>
      <c r="J508" s="15" t="n">
        <v>1</v>
      </c>
      <c r="K508" s="15" t="n">
        <v>2</v>
      </c>
      <c r="L508" s="18" t="n">
        <v>71.73</v>
      </c>
      <c r="M508" s="16" t="s">
        <v>526</v>
      </c>
      <c r="N508" s="17" t="n">
        <v>7.18</v>
      </c>
      <c r="O508" s="15" t="s">
        <v>1506</v>
      </c>
      <c r="P508" s="15" t="s">
        <v>1672</v>
      </c>
      <c r="Q508" s="16" t="s">
        <v>1846</v>
      </c>
      <c r="R508" s="32" t="s">
        <v>2434</v>
      </c>
      <c r="S508" s="37" t="n">
        <f aca="false">IFERROR(INDEX('Injectable Value'!$Z$28:$Z$178,MATCH($C508,'Injectable Value'!$A$28:$A$178,0)),"")</f>
        <v>0.996078431372549</v>
      </c>
      <c r="T508" s="18" t="n">
        <f aca="false">IFERROR(ROUND(INDEX('Injectable Value'!$AA$28:$AA$178,MATCH($C508,'Injectable Value'!$A$28:$A$178,0)),1),"")</f>
        <v>71.4</v>
      </c>
      <c r="U508" s="16" t="s">
        <v>328</v>
      </c>
      <c r="V508" s="15" t="n">
        <v>1</v>
      </c>
      <c r="W508" s="15" t="s">
        <v>70</v>
      </c>
      <c r="X508" s="15" t="s">
        <v>248</v>
      </c>
      <c r="Y508" s="15" t="s">
        <v>249</v>
      </c>
      <c r="Z508" s="16" t="str">
        <f aca="false">IFERROR(INDEX(Scoring!$K:$K,MATCH($C508&amp;"|"&amp;$E508,Scoring!$U:$U,0)),"")</f>
        <v>Reconstitution</v>
      </c>
      <c r="AA508" s="15" t="str">
        <f aca="false">IFERROR(INDEX(Scoring!$Q:$Q,MATCH($C508&amp;"|"&amp;$E508,Scoring!$U:$U,0)),"")</f>
        <v>Excluded – IV only</v>
      </c>
      <c r="AB508" s="15" t="str">
        <f aca="false">IFERROR(INDEX(Scoring!$AK:$AK,MATCH($C508&amp;"|"&amp;$E508,Scoring!$U:$U,0)),"")</f>
        <v>Excluded – IV only</v>
      </c>
      <c r="AC508" s="18" t="n">
        <f aca="false">IFERROR(INDEX(Scoring!$M:$M,MATCH($C508&amp;"|"&amp;$E508,Scoring!$U:$U,0)),"")</f>
        <v>2</v>
      </c>
      <c r="AD508" s="15" t="str">
        <f aca="false">IFERROR(INDEX('Route of Administration'!$C$5:$C$155,MATCH($C508,'Route of Administration'!$A$5:$A$155,0)),"")</f>
        <v>IV</v>
      </c>
      <c r="AE508" s="14" t="str">
        <f aca="false">IFERROR(INDEX('Route of Administration'!$D$5:$D$155,MATCH($C508,'Route of Administration'!$A$5:$A$155,0)),"")</f>
        <v>No</v>
      </c>
    </row>
    <row r="509" customFormat="false" ht="28.35" hidden="false" customHeight="false" outlineLevel="0" collapsed="false">
      <c r="B509" s="15" t="n">
        <v>507</v>
      </c>
      <c r="C509" s="15" t="s">
        <v>525</v>
      </c>
      <c r="D509" s="15" t="s">
        <v>1201</v>
      </c>
      <c r="E509" s="15" t="s">
        <v>193</v>
      </c>
      <c r="F509" s="15" t="s">
        <v>2435</v>
      </c>
      <c r="G509" s="16" t="s">
        <v>2436</v>
      </c>
      <c r="H509" s="15" t="s">
        <v>1505</v>
      </c>
      <c r="I509" s="17" t="n">
        <v>20.69</v>
      </c>
      <c r="J509" s="15" t="n">
        <v>1</v>
      </c>
      <c r="K509" s="15" t="n">
        <v>2</v>
      </c>
      <c r="L509" s="18" t="n">
        <v>71.73</v>
      </c>
      <c r="M509" s="16" t="s">
        <v>526</v>
      </c>
      <c r="N509" s="17" t="n">
        <v>20.69</v>
      </c>
      <c r="O509" s="15" t="s">
        <v>1506</v>
      </c>
      <c r="P509" s="15" t="s">
        <v>1672</v>
      </c>
      <c r="Q509" s="16" t="s">
        <v>1846</v>
      </c>
      <c r="R509" s="32" t="s">
        <v>2434</v>
      </c>
      <c r="S509" s="37" t="n">
        <f aca="false">IFERROR(INDEX('Injectable Value'!$Z$28:$Z$178,MATCH($C509,'Injectable Value'!$A$28:$A$178,0)),"")</f>
        <v>0.996078431372549</v>
      </c>
      <c r="T509" s="18" t="n">
        <f aca="false">IFERROR(ROUND(INDEX('Injectable Value'!$AA$28:$AA$178,MATCH($C509,'Injectable Value'!$A$28:$A$178,0)),1),"")</f>
        <v>71.4</v>
      </c>
      <c r="U509" s="16" t="s">
        <v>328</v>
      </c>
      <c r="V509" s="15" t="n">
        <v>1</v>
      </c>
      <c r="W509" s="15" t="s">
        <v>70</v>
      </c>
      <c r="X509" s="15" t="s">
        <v>248</v>
      </c>
      <c r="Y509" s="15" t="s">
        <v>249</v>
      </c>
      <c r="Z509" s="16" t="str">
        <f aca="false">IFERROR(INDEX(Scoring!$K:$K,MATCH($C509&amp;"|"&amp;$E509,Scoring!$U:$U,0)),"")</f>
        <v>Reconstitution</v>
      </c>
      <c r="AA509" s="15" t="str">
        <f aca="false">IFERROR(INDEX(Scoring!$Q:$Q,MATCH($C509&amp;"|"&amp;$E509,Scoring!$U:$U,0)),"")</f>
        <v>Excluded – IV only</v>
      </c>
      <c r="AB509" s="15" t="str">
        <f aca="false">IFERROR(INDEX(Scoring!$AK:$AK,MATCH($C509&amp;"|"&amp;$E509,Scoring!$U:$U,0)),"")</f>
        <v>Excluded – IV only</v>
      </c>
      <c r="AC509" s="18" t="n">
        <f aca="false">IFERROR(INDEX(Scoring!$M:$M,MATCH($C509&amp;"|"&amp;$E509,Scoring!$U:$U,0)),"")</f>
        <v>2</v>
      </c>
      <c r="AD509" s="15" t="str">
        <f aca="false">IFERROR(INDEX('Route of Administration'!$C$5:$C$155,MATCH($C509,'Route of Administration'!$A$5:$A$155,0)),"")</f>
        <v>IV</v>
      </c>
      <c r="AE509" s="14" t="str">
        <f aca="false">IFERROR(INDEX('Route of Administration'!$D$5:$D$155,MATCH($C509,'Route of Administration'!$A$5:$A$155,0)),"")</f>
        <v>No</v>
      </c>
    </row>
    <row r="510" customFormat="false" ht="28.35" hidden="false" customHeight="false" outlineLevel="0" collapsed="false">
      <c r="B510" s="15" t="n">
        <v>508</v>
      </c>
      <c r="C510" s="15" t="s">
        <v>451</v>
      </c>
      <c r="D510" s="15" t="s">
        <v>2437</v>
      </c>
      <c r="E510" s="15" t="s">
        <v>193</v>
      </c>
      <c r="F510" s="15" t="s">
        <v>2438</v>
      </c>
      <c r="G510" s="16" t="s">
        <v>2439</v>
      </c>
      <c r="H510" s="15" t="s">
        <v>1505</v>
      </c>
      <c r="I510" s="17" t="n">
        <v>5.94</v>
      </c>
      <c r="J510" s="15" t="n">
        <v>1</v>
      </c>
      <c r="K510" s="15" t="n">
        <v>1185</v>
      </c>
      <c r="L510" s="18" t="n">
        <v>59407.06</v>
      </c>
      <c r="M510" s="16" t="s">
        <v>452</v>
      </c>
      <c r="N510" s="17" t="n">
        <v>5.94</v>
      </c>
      <c r="O510" s="15" t="s">
        <v>1506</v>
      </c>
      <c r="P510" s="15" t="s">
        <v>1672</v>
      </c>
      <c r="Q510" s="16" t="s">
        <v>1846</v>
      </c>
      <c r="R510" s="32" t="s">
        <v>2440</v>
      </c>
      <c r="S510" s="37" t="n">
        <f aca="false">IFERROR(INDEX('Injectable Value'!$Z$28:$Z$178,MATCH($C510,'Injectable Value'!$A$28:$A$178,0)),"")</f>
        <v>0.991808067465962</v>
      </c>
      <c r="T510" s="18" t="n">
        <f aca="false">IFERROR(ROUND(INDEX('Injectable Value'!$AA$28:$AA$178,MATCH($C510,'Injectable Value'!$A$28:$A$178,0)),1),"")</f>
        <v>58920.4</v>
      </c>
      <c r="U510" s="16" t="s">
        <v>589</v>
      </c>
      <c r="V510" s="15" t="n">
        <v>2</v>
      </c>
      <c r="W510" s="15" t="s">
        <v>70</v>
      </c>
      <c r="X510" s="15" t="s">
        <v>248</v>
      </c>
      <c r="Y510" s="15" t="s">
        <v>324</v>
      </c>
      <c r="Z510" s="16" t="str">
        <f aca="false">IFERROR(INDEX(Scoring!$K:$K,MATCH($C510&amp;"|"&amp;$E510,Scoring!$U:$U,0)),"")</f>
        <v>Reconstitution</v>
      </c>
      <c r="AA510" s="15" t="str">
        <f aca="false">IFERROR(INDEX(Scoring!$Q:$Q,MATCH($C510&amp;"|"&amp;$E510,Scoring!$U:$U,0)),"")</f>
        <v>Excluded – IV only</v>
      </c>
      <c r="AB510" s="15" t="str">
        <f aca="false">IFERROR(INDEX(Scoring!$AK:$AK,MATCH($C510&amp;"|"&amp;$E510,Scoring!$U:$U,0)),"")</f>
        <v>Excluded – IV only</v>
      </c>
      <c r="AC510" s="18" t="n">
        <f aca="false">IFERROR(INDEX(Scoring!$M:$M,MATCH($C510&amp;"|"&amp;$E510,Scoring!$U:$U,0)),"")</f>
        <v>1175</v>
      </c>
      <c r="AD510" s="15" t="str">
        <f aca="false">IFERROR(INDEX('Route of Administration'!$C$5:$C$155,MATCH($C510,'Route of Administration'!$A$5:$A$155,0)),"")</f>
        <v>IV</v>
      </c>
      <c r="AE510" s="14" t="str">
        <f aca="false">IFERROR(INDEX('Route of Administration'!$D$5:$D$155,MATCH($C510,'Route of Administration'!$A$5:$A$155,0)),"")</f>
        <v>No</v>
      </c>
    </row>
    <row r="511" customFormat="false" ht="28.35" hidden="false" customHeight="false" outlineLevel="0" collapsed="false">
      <c r="B511" s="15" t="n">
        <v>509</v>
      </c>
      <c r="C511" s="15" t="s">
        <v>451</v>
      </c>
      <c r="D511" s="15" t="s">
        <v>2437</v>
      </c>
      <c r="E511" s="15" t="s">
        <v>193</v>
      </c>
      <c r="F511" s="15" t="s">
        <v>2438</v>
      </c>
      <c r="G511" s="16" t="s">
        <v>1977</v>
      </c>
      <c r="H511" s="15" t="s">
        <v>1505</v>
      </c>
      <c r="I511" s="17" t="n">
        <v>5.94</v>
      </c>
      <c r="J511" s="15" t="n">
        <v>1</v>
      </c>
      <c r="K511" s="15" t="n">
        <v>1185</v>
      </c>
      <c r="L511" s="18" t="n">
        <v>59407.06</v>
      </c>
      <c r="M511" s="16" t="s">
        <v>452</v>
      </c>
      <c r="N511" s="17" t="n">
        <v>5.94</v>
      </c>
      <c r="O511" s="15" t="s">
        <v>1506</v>
      </c>
      <c r="P511" s="15" t="s">
        <v>1672</v>
      </c>
      <c r="Q511" s="16" t="s">
        <v>1846</v>
      </c>
      <c r="R511" s="32" t="s">
        <v>2440</v>
      </c>
      <c r="S511" s="37" t="n">
        <f aca="false">IFERROR(INDEX('Injectable Value'!$Z$28:$Z$178,MATCH($C511,'Injectable Value'!$A$28:$A$178,0)),"")</f>
        <v>0.991808067465962</v>
      </c>
      <c r="T511" s="18" t="n">
        <f aca="false">IFERROR(ROUND(INDEX('Injectable Value'!$AA$28:$AA$178,MATCH($C511,'Injectable Value'!$A$28:$A$178,0)),1),"")</f>
        <v>58920.4</v>
      </c>
      <c r="U511" s="16" t="s">
        <v>589</v>
      </c>
      <c r="V511" s="15" t="n">
        <v>2</v>
      </c>
      <c r="W511" s="15" t="s">
        <v>70</v>
      </c>
      <c r="X511" s="15" t="s">
        <v>248</v>
      </c>
      <c r="Y511" s="15" t="s">
        <v>324</v>
      </c>
      <c r="Z511" s="16" t="str">
        <f aca="false">IFERROR(INDEX(Scoring!$K:$K,MATCH($C511&amp;"|"&amp;$E511,Scoring!$U:$U,0)),"")</f>
        <v>Reconstitution</v>
      </c>
      <c r="AA511" s="15" t="str">
        <f aca="false">IFERROR(INDEX(Scoring!$Q:$Q,MATCH($C511&amp;"|"&amp;$E511,Scoring!$U:$U,0)),"")</f>
        <v>Excluded – IV only</v>
      </c>
      <c r="AB511" s="15" t="str">
        <f aca="false">IFERROR(INDEX(Scoring!$AK:$AK,MATCH($C511&amp;"|"&amp;$E511,Scoring!$U:$U,0)),"")</f>
        <v>Excluded – IV only</v>
      </c>
      <c r="AC511" s="18" t="n">
        <f aca="false">IFERROR(INDEX(Scoring!$M:$M,MATCH($C511&amp;"|"&amp;$E511,Scoring!$U:$U,0)),"")</f>
        <v>1175</v>
      </c>
      <c r="AD511" s="15" t="str">
        <f aca="false">IFERROR(INDEX('Route of Administration'!$C$5:$C$155,MATCH($C511,'Route of Administration'!$A$5:$A$155,0)),"")</f>
        <v>IV</v>
      </c>
      <c r="AE511" s="14" t="str">
        <f aca="false">IFERROR(INDEX('Route of Administration'!$D$5:$D$155,MATCH($C511,'Route of Administration'!$A$5:$A$155,0)),"")</f>
        <v>No</v>
      </c>
    </row>
    <row r="512" customFormat="false" ht="28.35" hidden="false" customHeight="false" outlineLevel="0" collapsed="false">
      <c r="B512" s="15" t="n">
        <v>510</v>
      </c>
      <c r="C512" s="15" t="s">
        <v>641</v>
      </c>
      <c r="D512" s="15" t="s">
        <v>2441</v>
      </c>
      <c r="E512" s="15" t="s">
        <v>193</v>
      </c>
      <c r="F512" s="15" t="s">
        <v>2442</v>
      </c>
      <c r="G512" s="16" t="s">
        <v>2443</v>
      </c>
      <c r="H512" s="15" t="s">
        <v>1505</v>
      </c>
      <c r="I512" s="17" t="n">
        <v>8.52</v>
      </c>
      <c r="J512" s="15" t="n">
        <v>1</v>
      </c>
      <c r="K512" s="15" t="n">
        <v>106</v>
      </c>
      <c r="L512" s="18" t="n">
        <v>7074.72</v>
      </c>
      <c r="M512" s="16" t="s">
        <v>642</v>
      </c>
      <c r="N512" s="17" t="n">
        <v>8.52</v>
      </c>
      <c r="O512" s="15" t="s">
        <v>1506</v>
      </c>
      <c r="P512" s="15" t="s">
        <v>1672</v>
      </c>
      <c r="Q512" s="16" t="s">
        <v>1508</v>
      </c>
      <c r="R512" s="32" t="s">
        <v>1784</v>
      </c>
      <c r="S512" s="37" t="n">
        <f aca="false">IFERROR(INDEX('Injectable Value'!$Z$28:$Z$178,MATCH($C512,'Injectable Value'!$A$28:$A$178,0)),"")</f>
        <v>0.9375</v>
      </c>
      <c r="T512" s="18" t="n">
        <f aca="false">IFERROR(ROUND(INDEX('Injectable Value'!$AA$28:$AA$178,MATCH($C512,'Injectable Value'!$A$28:$A$178,0)),1),"")</f>
        <v>6632.6</v>
      </c>
      <c r="U512" s="16" t="s">
        <v>589</v>
      </c>
      <c r="V512" s="15" t="n">
        <v>2</v>
      </c>
      <c r="W512" s="15" t="s">
        <v>70</v>
      </c>
      <c r="X512" s="15" t="s">
        <v>248</v>
      </c>
      <c r="Y512" s="15" t="s">
        <v>249</v>
      </c>
      <c r="Z512" s="16" t="str">
        <f aca="false">IFERROR(INDEX(Scoring!$K:$K,MATCH($C512&amp;"|"&amp;$E512,Scoring!$U:$U,0)),"")</f>
        <v>Reconstitution</v>
      </c>
      <c r="AA512" s="15" t="str">
        <f aca="false">IFERROR(INDEX(Scoring!$Q:$Q,MATCH($C512&amp;"|"&amp;$E512,Scoring!$U:$U,0)),"")</f>
        <v>Priority 2</v>
      </c>
      <c r="AB512" s="15" t="str">
        <f aca="false">IFERROR(INDEX(Scoring!$AK:$AK,MATCH($C512&amp;"|"&amp;$E512,Scoring!$U:$U,0)),"")</f>
        <v>Priority 2</v>
      </c>
      <c r="AC512" s="18" t="n">
        <f aca="false">IFERROR(INDEX(Scoring!$M:$M,MATCH($C512&amp;"|"&amp;$E512,Scoring!$U:$U,0)),"")</f>
        <v>99</v>
      </c>
      <c r="AD512" s="15" t="str">
        <f aca="false">IFERROR(INDEX('Route of Administration'!$C$5:$C$155,MATCH($C512,'Route of Administration'!$A$5:$A$155,0)),"")</f>
        <v>IV, IM</v>
      </c>
      <c r="AE512" s="14" t="str">
        <f aca="false">IFERROR(INDEX('Route of Administration'!$D$5:$D$155,MATCH($C512,'Route of Administration'!$A$5:$A$155,0)),"")</f>
        <v>Yes</v>
      </c>
    </row>
    <row r="513" customFormat="false" ht="28.35" hidden="false" customHeight="false" outlineLevel="0" collapsed="false">
      <c r="B513" s="15" t="n">
        <v>511</v>
      </c>
      <c r="C513" s="15" t="s">
        <v>641</v>
      </c>
      <c r="D513" s="15" t="s">
        <v>2444</v>
      </c>
      <c r="E513" s="15" t="s">
        <v>193</v>
      </c>
      <c r="F513" s="15" t="s">
        <v>1867</v>
      </c>
      <c r="G513" s="16" t="s">
        <v>2443</v>
      </c>
      <c r="H513" s="15" t="s">
        <v>1505</v>
      </c>
      <c r="I513" s="17" t="n">
        <v>12.78</v>
      </c>
      <c r="J513" s="15" t="n">
        <v>1</v>
      </c>
      <c r="K513" s="15" t="n">
        <v>106</v>
      </c>
      <c r="L513" s="18" t="n">
        <v>7074.72</v>
      </c>
      <c r="M513" s="16" t="s">
        <v>642</v>
      </c>
      <c r="N513" s="17" t="n">
        <v>12.78</v>
      </c>
      <c r="O513" s="15" t="s">
        <v>1506</v>
      </c>
      <c r="P513" s="15" t="s">
        <v>1672</v>
      </c>
      <c r="Q513" s="16" t="s">
        <v>1508</v>
      </c>
      <c r="R513" s="32" t="s">
        <v>1784</v>
      </c>
      <c r="S513" s="37" t="n">
        <f aca="false">IFERROR(INDEX('Injectable Value'!$Z$28:$Z$178,MATCH($C513,'Injectable Value'!$A$28:$A$178,0)),"")</f>
        <v>0.9375</v>
      </c>
      <c r="T513" s="18" t="n">
        <f aca="false">IFERROR(ROUND(INDEX('Injectable Value'!$AA$28:$AA$178,MATCH($C513,'Injectable Value'!$A$28:$A$178,0)),1),"")</f>
        <v>6632.6</v>
      </c>
      <c r="U513" s="16" t="s">
        <v>589</v>
      </c>
      <c r="V513" s="15" t="n">
        <v>2</v>
      </c>
      <c r="W513" s="15" t="s">
        <v>70</v>
      </c>
      <c r="X513" s="15" t="s">
        <v>248</v>
      </c>
      <c r="Y513" s="15" t="s">
        <v>249</v>
      </c>
      <c r="Z513" s="16" t="str">
        <f aca="false">IFERROR(INDEX(Scoring!$K:$K,MATCH($C513&amp;"|"&amp;$E513,Scoring!$U:$U,0)),"")</f>
        <v>Reconstitution</v>
      </c>
      <c r="AA513" s="15" t="str">
        <f aca="false">IFERROR(INDEX(Scoring!$Q:$Q,MATCH($C513&amp;"|"&amp;$E513,Scoring!$U:$U,0)),"")</f>
        <v>Priority 2</v>
      </c>
      <c r="AB513" s="15" t="str">
        <f aca="false">IFERROR(INDEX(Scoring!$AK:$AK,MATCH($C513&amp;"|"&amp;$E513,Scoring!$U:$U,0)),"")</f>
        <v>Priority 2</v>
      </c>
      <c r="AC513" s="18" t="n">
        <f aca="false">IFERROR(INDEX(Scoring!$M:$M,MATCH($C513&amp;"|"&amp;$E513,Scoring!$U:$U,0)),"")</f>
        <v>99</v>
      </c>
      <c r="AD513" s="15" t="str">
        <f aca="false">IFERROR(INDEX('Route of Administration'!$C$5:$C$155,MATCH($C513,'Route of Administration'!$A$5:$A$155,0)),"")</f>
        <v>IV, IM</v>
      </c>
      <c r="AE513" s="14" t="str">
        <f aca="false">IFERROR(INDEX('Route of Administration'!$D$5:$D$155,MATCH($C513,'Route of Administration'!$A$5:$A$155,0)),"")</f>
        <v>Yes</v>
      </c>
    </row>
    <row r="514" customFormat="false" ht="28.35" hidden="false" customHeight="false" outlineLevel="0" collapsed="false">
      <c r="B514" s="15" t="n">
        <v>512</v>
      </c>
      <c r="C514" s="15" t="s">
        <v>1169</v>
      </c>
      <c r="D514" s="15" t="s">
        <v>1173</v>
      </c>
      <c r="E514" s="15" t="s">
        <v>193</v>
      </c>
      <c r="F514" s="15" t="s">
        <v>2131</v>
      </c>
      <c r="G514" s="16" t="s">
        <v>2445</v>
      </c>
      <c r="H514" s="15" t="s">
        <v>1505</v>
      </c>
      <c r="I514" s="17" t="n">
        <v>7.55</v>
      </c>
      <c r="J514" s="15" t="n">
        <v>1</v>
      </c>
      <c r="K514" s="15" t="n">
        <v>176</v>
      </c>
      <c r="L514" s="18" t="n">
        <v>5190.07</v>
      </c>
      <c r="M514" s="16" t="s">
        <v>1170</v>
      </c>
      <c r="N514" s="17" t="n">
        <v>7.55</v>
      </c>
      <c r="O514" s="15" t="s">
        <v>1506</v>
      </c>
      <c r="P514" s="15" t="s">
        <v>1672</v>
      </c>
      <c r="Q514" s="16" t="s">
        <v>1508</v>
      </c>
      <c r="R514" s="32" t="s">
        <v>1784</v>
      </c>
      <c r="S514" s="37" t="n">
        <f aca="false">IFERROR(INDEX('Injectable Value'!$Z$28:$Z$178,MATCH($C514,'Injectable Value'!$A$28:$A$178,0)),"")</f>
        <v>0.95</v>
      </c>
      <c r="T514" s="18" t="n">
        <f aca="false">IFERROR(ROUND(INDEX('Injectable Value'!$AA$28:$AA$178,MATCH($C514,'Injectable Value'!$A$28:$A$178,0)),1),"")</f>
        <v>4930.6</v>
      </c>
      <c r="U514" s="16" t="s">
        <v>328</v>
      </c>
      <c r="V514" s="15" t="n">
        <v>1</v>
      </c>
      <c r="W514" s="15" t="s">
        <v>70</v>
      </c>
      <c r="X514" s="15" t="s">
        <v>248</v>
      </c>
      <c r="Y514" s="15" t="s">
        <v>249</v>
      </c>
      <c r="Z514" s="16" t="str">
        <f aca="false">IFERROR(INDEX(Scoring!$K:$K,MATCH($C514&amp;"|"&amp;$E514,Scoring!$U:$U,0)),"")</f>
        <v/>
      </c>
      <c r="AA514" s="15" t="str">
        <f aca="false">IFERROR(INDEX(Scoring!$Q:$Q,MATCH($C514&amp;"|"&amp;$E514,Scoring!$U:$U,0)),"")</f>
        <v>Excluded – IV only</v>
      </c>
      <c r="AB514" s="15" t="str">
        <f aca="false">IFERROR(INDEX(Scoring!$AK:$AK,MATCH($C514&amp;"|"&amp;$E514,Scoring!$U:$U,0)),"")</f>
        <v>Excluded – IV only</v>
      </c>
      <c r="AC514" s="18" t="n">
        <f aca="false">IFERROR(INDEX(Scoring!$M:$M,MATCH($C514&amp;"|"&amp;$E514,Scoring!$U:$U,0)),"")</f>
        <v>167</v>
      </c>
      <c r="AD514" s="15" t="str">
        <f aca="false">IFERROR(INDEX('Route of Administration'!$C$5:$C$155,MATCH($C514,'Route of Administration'!$A$5:$A$155,0)),"")</f>
        <v>IV</v>
      </c>
      <c r="AE514" s="14" t="str">
        <f aca="false">IFERROR(INDEX('Route of Administration'!$D$5:$D$155,MATCH($C514,'Route of Administration'!$A$5:$A$155,0)),"")</f>
        <v>No</v>
      </c>
    </row>
    <row r="515" customFormat="false" ht="28.35" hidden="false" customHeight="false" outlineLevel="0" collapsed="false">
      <c r="B515" s="15" t="n">
        <v>513</v>
      </c>
      <c r="C515" s="15" t="s">
        <v>245</v>
      </c>
      <c r="D515" s="15" t="s">
        <v>321</v>
      </c>
      <c r="E515" s="15" t="s">
        <v>195</v>
      </c>
      <c r="F515" s="15" t="s">
        <v>1503</v>
      </c>
      <c r="G515" s="16" t="s">
        <v>1504</v>
      </c>
      <c r="H515" s="15" t="s">
        <v>1505</v>
      </c>
      <c r="I515" s="17" t="n">
        <v>30.01</v>
      </c>
      <c r="J515" s="15" t="n">
        <v>1</v>
      </c>
      <c r="K515" s="15" t="n">
        <v>156</v>
      </c>
      <c r="L515" s="18" t="n">
        <v>3954.83</v>
      </c>
      <c r="M515" s="16" t="s">
        <v>246</v>
      </c>
      <c r="N515" s="17" t="n">
        <v>30.01</v>
      </c>
      <c r="O515" s="15" t="s">
        <v>1506</v>
      </c>
      <c r="P515" s="15" t="s">
        <v>1507</v>
      </c>
      <c r="Q515" s="16" t="s">
        <v>1508</v>
      </c>
      <c r="R515" s="32" t="s">
        <v>1509</v>
      </c>
      <c r="S515" s="37" t="n">
        <f aca="false">IFERROR(INDEX('Injectable Value'!$Z$28:$Z$178,MATCH($C515,'Injectable Value'!$A$28:$A$178,0)),"")</f>
        <v>0.916666666666667</v>
      </c>
      <c r="T515" s="18" t="n">
        <f aca="false">IFERROR(ROUND(INDEX('Injectable Value'!$AA$28:$AA$178,MATCH($C515,'Injectable Value'!$A$28:$A$178,0)),1),"")</f>
        <v>3625.3</v>
      </c>
      <c r="U515" s="16" t="s">
        <v>247</v>
      </c>
      <c r="V515" s="15" t="n">
        <v>1</v>
      </c>
      <c r="W515" s="15" t="s">
        <v>247</v>
      </c>
      <c r="X515" s="15" t="s">
        <v>248</v>
      </c>
      <c r="Y515" s="15" t="s">
        <v>249</v>
      </c>
      <c r="Z515" s="16" t="str">
        <f aca="false">IFERROR(INDEX(Scoring!$K:$K,MATCH($C515&amp;"|"&amp;$E515,Scoring!$U:$U,0)),"")</f>
        <v/>
      </c>
      <c r="AA515" s="15" t="str">
        <f aca="false">IFERROR(INDEX(Scoring!$Q:$Q,MATCH($C515&amp;"|"&amp;$E515,Scoring!$U:$U,0)),"")</f>
        <v>Priority 2</v>
      </c>
      <c r="AB515" s="15" t="str">
        <f aca="false">IFERROR(INDEX(Scoring!$AK:$AK,MATCH($C515&amp;"|"&amp;$E515,Scoring!$U:$U,0)),"")</f>
        <v>Priority 2</v>
      </c>
      <c r="AC515" s="18" t="n">
        <f aca="false">IFERROR(INDEX(Scoring!$M:$M,MATCH($C515&amp;"|"&amp;$E515,Scoring!$U:$U,0)),"")</f>
        <v>143</v>
      </c>
      <c r="AD515" s="15" t="str">
        <f aca="false">IFERROR(INDEX('Route of Administration'!$C$5:$C$155,MATCH($C515,'Route of Administration'!$A$5:$A$155,0)),"")</f>
        <v>IM</v>
      </c>
      <c r="AE515" s="14" t="str">
        <f aca="false">IFERROR(INDEX('Route of Administration'!$D$5:$D$155,MATCH($C515,'Route of Administration'!$A$5:$A$155,0)),"")</f>
        <v>Yes</v>
      </c>
    </row>
    <row r="516" customFormat="false" ht="28.35" hidden="false" customHeight="false" outlineLevel="0" collapsed="false">
      <c r="B516" s="15" t="n">
        <v>514</v>
      </c>
      <c r="C516" s="15" t="s">
        <v>1231</v>
      </c>
      <c r="D516" s="15" t="s">
        <v>1234</v>
      </c>
      <c r="E516" s="15" t="s">
        <v>195</v>
      </c>
      <c r="F516" s="15" t="s">
        <v>1579</v>
      </c>
      <c r="G516" s="16" t="s">
        <v>1877</v>
      </c>
      <c r="H516" s="15" t="s">
        <v>1505</v>
      </c>
      <c r="I516" s="17" t="n">
        <v>18</v>
      </c>
      <c r="J516" s="15" t="n">
        <v>1</v>
      </c>
      <c r="K516" s="15" t="n">
        <v>582</v>
      </c>
      <c r="L516" s="18" t="n">
        <v>21989.37</v>
      </c>
      <c r="M516" s="16" t="s">
        <v>1232</v>
      </c>
      <c r="N516" s="17" t="n">
        <v>18</v>
      </c>
      <c r="O516" s="15" t="s">
        <v>1506</v>
      </c>
      <c r="P516" s="15" t="s">
        <v>1507</v>
      </c>
      <c r="Q516" s="16" t="s">
        <v>1508</v>
      </c>
      <c r="R516" s="32" t="s">
        <v>2446</v>
      </c>
      <c r="S516" s="37" t="n">
        <f aca="false">IFERROR(INDEX('Injectable Value'!$Z$28:$Z$178,MATCH($C516,'Injectable Value'!$A$28:$A$178,0)),"")</f>
        <v>0.0233396995161701</v>
      </c>
      <c r="T516" s="18" t="n">
        <f aca="false">IFERROR(ROUND(INDEX('Injectable Value'!$AA$28:$AA$178,MATCH($C516,'Injectable Value'!$A$28:$A$178,0)),1),"")</f>
        <v>513.2</v>
      </c>
      <c r="U516" s="16" t="s">
        <v>247</v>
      </c>
      <c r="V516" s="15" t="n">
        <v>1</v>
      </c>
      <c r="W516" s="15" t="s">
        <v>247</v>
      </c>
      <c r="X516" s="15" t="s">
        <v>248</v>
      </c>
      <c r="Y516" s="15" t="s">
        <v>249</v>
      </c>
      <c r="Z516" s="16" t="str">
        <f aca="false">IFERROR(INDEX(Scoring!$K:$K,MATCH($C516&amp;"|"&amp;$E516,Scoring!$U:$U,0)),"")</f>
        <v/>
      </c>
      <c r="AA516" s="15" t="str">
        <f aca="false">IFERROR(INDEX(Scoring!$Q:$Q,MATCH($C516&amp;"|"&amp;$E516,Scoring!$U:$U,0)),"")</f>
        <v>Priority 3</v>
      </c>
      <c r="AB516" s="15" t="str">
        <f aca="false">IFERROR(INDEX(Scoring!$AK:$AK,MATCH($C516&amp;"|"&amp;$E516,Scoring!$U:$U,0)),"")</f>
        <v>Priority 2</v>
      </c>
      <c r="AC516" s="18" t="n">
        <f aca="false">IFERROR(INDEX(Scoring!$M:$M,MATCH($C516&amp;"|"&amp;$E516,Scoring!$U:$U,0)),"")</f>
        <v>14</v>
      </c>
      <c r="AD516" s="15" t="str">
        <f aca="false">IFERROR(INDEX('Route of Administration'!$C$5:$C$155,MATCH($C516,'Route of Administration'!$A$5:$A$155,0)),"")</f>
        <v>IV, IM</v>
      </c>
      <c r="AE516" s="14" t="str">
        <f aca="false">IFERROR(INDEX('Route of Administration'!$D$5:$D$155,MATCH($C516,'Route of Administration'!$A$5:$A$155,0)),"")</f>
        <v>Yes</v>
      </c>
    </row>
    <row r="517" customFormat="false" ht="28.35" hidden="false" customHeight="false" outlineLevel="0" collapsed="false">
      <c r="B517" s="15" t="n">
        <v>515</v>
      </c>
      <c r="C517" s="15" t="s">
        <v>606</v>
      </c>
      <c r="D517" s="15" t="s">
        <v>784</v>
      </c>
      <c r="E517" s="15" t="s">
        <v>195</v>
      </c>
      <c r="F517" s="15" t="s">
        <v>2075</v>
      </c>
      <c r="G517" s="16" t="s">
        <v>2447</v>
      </c>
      <c r="H517" s="15" t="s">
        <v>1505</v>
      </c>
      <c r="I517" s="17" t="n">
        <v>51.18</v>
      </c>
      <c r="J517" s="15" t="n">
        <v>1</v>
      </c>
      <c r="K517" s="15" t="n">
        <v>87</v>
      </c>
      <c r="L517" s="18" t="n">
        <v>2931.42</v>
      </c>
      <c r="M517" s="16" t="s">
        <v>607</v>
      </c>
      <c r="N517" s="17" t="n">
        <v>51.18</v>
      </c>
      <c r="O517" s="15" t="s">
        <v>1506</v>
      </c>
      <c r="P517" s="15" t="s">
        <v>1507</v>
      </c>
      <c r="Q517" s="16" t="s">
        <v>1508</v>
      </c>
      <c r="R517" s="32" t="s">
        <v>2448</v>
      </c>
      <c r="S517" s="37" t="n">
        <f aca="false">IFERROR(INDEX('Injectable Value'!$Z$28:$Z$178,MATCH($C517,'Injectable Value'!$A$28:$A$178,0)),"")</f>
        <v>1</v>
      </c>
      <c r="T517" s="18" t="n">
        <f aca="false">IFERROR(ROUND(INDEX('Injectable Value'!$AA$28:$AA$178,MATCH($C517,'Injectable Value'!$A$28:$A$178,0)),1),"")</f>
        <v>2931.4</v>
      </c>
      <c r="U517" s="16" t="s">
        <v>605</v>
      </c>
      <c r="V517" s="15" t="n">
        <v>2</v>
      </c>
      <c r="W517" s="15" t="s">
        <v>247</v>
      </c>
      <c r="X517" s="15" t="s">
        <v>316</v>
      </c>
      <c r="Y517" s="15" t="s">
        <v>249</v>
      </c>
      <c r="Z517" s="16" t="str">
        <f aca="false">IFERROR(INDEX(Scoring!$K:$K,MATCH($C517&amp;"|"&amp;$E517,Scoring!$U:$U,0)),"")</f>
        <v/>
      </c>
      <c r="AA517" s="15" t="str">
        <f aca="false">IFERROR(INDEX(Scoring!$Q:$Q,MATCH($C517&amp;"|"&amp;$E517,Scoring!$U:$U,0)),"")</f>
        <v>Priority 2</v>
      </c>
      <c r="AB517" s="15" t="str">
        <f aca="false">IFERROR(INDEX(Scoring!$AK:$AK,MATCH($C517&amp;"|"&amp;$E517,Scoring!$U:$U,0)),"")</f>
        <v>Priority 2</v>
      </c>
      <c r="AC517" s="18" t="n">
        <f aca="false">IFERROR(INDEX(Scoring!$M:$M,MATCH($C517&amp;"|"&amp;$E517,Scoring!$U:$U,0)),"")</f>
        <v>87</v>
      </c>
      <c r="AD517" s="15" t="str">
        <f aca="false">IFERROR(INDEX('Route of Administration'!$C$5:$C$155,MATCH($C517,'Route of Administration'!$A$5:$A$155,0)),"")</f>
        <v>IV, IM, SC</v>
      </c>
      <c r="AE517" s="14" t="str">
        <f aca="false">IFERROR(INDEX('Route of Administration'!$D$5:$D$155,MATCH($C517,'Route of Administration'!$A$5:$A$155,0)),"")</f>
        <v>Yes</v>
      </c>
    </row>
    <row r="518" customFormat="false" ht="28.35" hidden="false" customHeight="false" outlineLevel="0" collapsed="false">
      <c r="B518" s="15" t="n">
        <v>516</v>
      </c>
      <c r="C518" s="15" t="s">
        <v>1242</v>
      </c>
      <c r="D518" s="15" t="s">
        <v>1246</v>
      </c>
      <c r="E518" s="15" t="s">
        <v>195</v>
      </c>
      <c r="F518" s="15" t="s">
        <v>2449</v>
      </c>
      <c r="G518" s="16" t="s">
        <v>2450</v>
      </c>
      <c r="H518" s="15" t="s">
        <v>1505</v>
      </c>
      <c r="I518" s="17" t="n">
        <v>22.55</v>
      </c>
      <c r="J518" s="15" t="n">
        <v>1</v>
      </c>
      <c r="K518" s="15" t="n">
        <v>61</v>
      </c>
      <c r="L518" s="18" t="n">
        <v>1210.6</v>
      </c>
      <c r="M518" s="16" t="s">
        <v>1243</v>
      </c>
      <c r="N518" s="17" t="n">
        <v>22.55</v>
      </c>
      <c r="O518" s="15" t="s">
        <v>1506</v>
      </c>
      <c r="P518" s="15" t="s">
        <v>1507</v>
      </c>
      <c r="Q518" s="16" t="s">
        <v>1508</v>
      </c>
      <c r="R518" s="32" t="s">
        <v>2451</v>
      </c>
      <c r="S518" s="37" t="n">
        <f aca="false">IFERROR(INDEX('Injectable Value'!$Z$28:$Z$178,MATCH($C518,'Injectable Value'!$A$28:$A$178,0)),"")</f>
        <v>0.888888888888889</v>
      </c>
      <c r="T518" s="18" t="n">
        <f aca="false">IFERROR(ROUND(INDEX('Injectable Value'!$AA$28:$AA$178,MATCH($C518,'Injectable Value'!$A$28:$A$178,0)),1),"")</f>
        <v>1076.1</v>
      </c>
      <c r="U518" s="16" t="s">
        <v>247</v>
      </c>
      <c r="V518" s="15" t="n">
        <v>1</v>
      </c>
      <c r="W518" s="15" t="s">
        <v>247</v>
      </c>
      <c r="X518" s="15" t="s">
        <v>248</v>
      </c>
      <c r="Y518" s="15" t="s">
        <v>249</v>
      </c>
      <c r="Z518" s="16" t="str">
        <f aca="false">IFERROR(INDEX(Scoring!$K:$K,MATCH($C518&amp;"|"&amp;$E518,Scoring!$U:$U,0)),"")</f>
        <v/>
      </c>
      <c r="AA518" s="15" t="str">
        <f aca="false">IFERROR(INDEX(Scoring!$Q:$Q,MATCH($C518&amp;"|"&amp;$E518,Scoring!$U:$U,0)),"")</f>
        <v>Priority 3</v>
      </c>
      <c r="AB518" s="15" t="str">
        <f aca="false">IFERROR(INDEX(Scoring!$AK:$AK,MATCH($C518&amp;"|"&amp;$E518,Scoring!$U:$U,0)),"")</f>
        <v>Priority 3</v>
      </c>
      <c r="AC518" s="18" t="n">
        <f aca="false">IFERROR(INDEX(Scoring!$M:$M,MATCH($C518&amp;"|"&amp;$E518,Scoring!$U:$U,0)),"")</f>
        <v>54</v>
      </c>
      <c r="AD518" s="15" t="str">
        <f aca="false">IFERROR(INDEX('Route of Administration'!$C$5:$C$155,MATCH($C518,'Route of Administration'!$A$5:$A$155,0)),"")</f>
        <v>IV, IM</v>
      </c>
      <c r="AE518" s="14" t="str">
        <f aca="false">IFERROR(INDEX('Route of Administration'!$D$5:$D$155,MATCH($C518,'Route of Administration'!$A$5:$A$155,0)),"")</f>
        <v>Yes</v>
      </c>
    </row>
    <row r="519" customFormat="false" ht="28.35" hidden="false" customHeight="false" outlineLevel="0" collapsed="false">
      <c r="B519" s="15" t="n">
        <v>517</v>
      </c>
      <c r="C519" s="15" t="s">
        <v>724</v>
      </c>
      <c r="D519" s="15" t="s">
        <v>728</v>
      </c>
      <c r="E519" s="15" t="s">
        <v>195</v>
      </c>
      <c r="F519" s="15" t="s">
        <v>1882</v>
      </c>
      <c r="G519" s="16" t="s">
        <v>2452</v>
      </c>
      <c r="H519" s="15" t="s">
        <v>1505</v>
      </c>
      <c r="I519" s="17"/>
      <c r="J519" s="15" t="n">
        <v>1</v>
      </c>
      <c r="K519" s="15" t="n">
        <v>286</v>
      </c>
      <c r="L519" s="18" t="n">
        <v>3067.39</v>
      </c>
      <c r="M519" s="16" t="s">
        <v>725</v>
      </c>
      <c r="N519" s="38" t="n">
        <v>5.03</v>
      </c>
      <c r="O519" s="22" t="s">
        <v>1513</v>
      </c>
      <c r="P519" s="15" t="s">
        <v>1507</v>
      </c>
      <c r="Q519" s="16" t="s">
        <v>1832</v>
      </c>
      <c r="R519" s="32" t="s">
        <v>1833</v>
      </c>
      <c r="S519" s="37" t="n">
        <f aca="false">IFERROR(INDEX('Injectable Value'!$Z$28:$Z$178,MATCH($C519,'Injectable Value'!$A$28:$A$178,0)),"")</f>
        <v>1</v>
      </c>
      <c r="T519" s="18" t="n">
        <f aca="false">IFERROR(ROUND(INDEX('Injectable Value'!$AA$28:$AA$178,MATCH($C519,'Injectable Value'!$A$28:$A$178,0)),1),"")</f>
        <v>3067.4</v>
      </c>
      <c r="U519" s="16" t="s">
        <v>247</v>
      </c>
      <c r="V519" s="15" t="n">
        <v>1</v>
      </c>
      <c r="W519" s="15" t="s">
        <v>247</v>
      </c>
      <c r="X519" s="15" t="s">
        <v>248</v>
      </c>
      <c r="Y519" s="15" t="s">
        <v>249</v>
      </c>
      <c r="Z519" s="16" t="str">
        <f aca="false">IFERROR(INDEX(Scoring!$K:$K,MATCH($C519&amp;"|"&amp;$E519,Scoring!$U:$U,0)),"")</f>
        <v/>
      </c>
      <c r="AA519" s="15" t="str">
        <f aca="false">IFERROR(INDEX(Scoring!$Q:$Q,MATCH($C519&amp;"|"&amp;$E519,Scoring!$U:$U,0)),"")</f>
        <v>Priority 2</v>
      </c>
      <c r="AB519" s="15" t="str">
        <f aca="false">IFERROR(INDEX(Scoring!$AK:$AK,MATCH($C519&amp;"|"&amp;$E519,Scoring!$U:$U,0)),"")</f>
        <v>Priority 2</v>
      </c>
      <c r="AC519" s="18" t="n">
        <f aca="false">IFERROR(INDEX(Scoring!$M:$M,MATCH($C519&amp;"|"&amp;$E519,Scoring!$U:$U,0)),"")</f>
        <v>286</v>
      </c>
      <c r="AD519" s="15" t="str">
        <f aca="false">IFERROR(INDEX('Route of Administration'!$C$5:$C$155,MATCH($C519,'Route of Administration'!$A$5:$A$155,0)),"")</f>
        <v>IV, IM</v>
      </c>
      <c r="AE519" s="14" t="str">
        <f aca="false">IFERROR(INDEX('Route of Administration'!$D$5:$D$155,MATCH($C519,'Route of Administration'!$A$5:$A$155,0)),"")</f>
        <v>Yes</v>
      </c>
    </row>
    <row r="520" customFormat="false" ht="28.35" hidden="false" customHeight="false" outlineLevel="0" collapsed="false">
      <c r="B520" s="15" t="n">
        <v>518</v>
      </c>
      <c r="C520" s="15" t="s">
        <v>844</v>
      </c>
      <c r="D520" s="15" t="s">
        <v>844</v>
      </c>
      <c r="E520" s="15" t="s">
        <v>195</v>
      </c>
      <c r="F520" s="15" t="s">
        <v>2453</v>
      </c>
      <c r="G520" s="16" t="s">
        <v>2454</v>
      </c>
      <c r="H520" s="15" t="s">
        <v>2455</v>
      </c>
      <c r="I520" s="17" t="n">
        <v>51.79</v>
      </c>
      <c r="J520" s="15" t="n">
        <v>1</v>
      </c>
      <c r="K520" s="15" t="n">
        <v>45</v>
      </c>
      <c r="L520" s="18" t="n">
        <v>263.65</v>
      </c>
      <c r="M520" s="16" t="s">
        <v>845</v>
      </c>
      <c r="N520" s="17" t="n">
        <v>51.79</v>
      </c>
      <c r="O520" s="15" t="s">
        <v>1506</v>
      </c>
      <c r="P520" s="15" t="s">
        <v>1507</v>
      </c>
      <c r="Q520" s="16" t="s">
        <v>1508</v>
      </c>
      <c r="R520" s="32" t="s">
        <v>2456</v>
      </c>
      <c r="S520" s="37" t="n">
        <f aca="false">IFERROR(INDEX('Injectable Value'!$Z$28:$Z$178,MATCH($C520,'Injectable Value'!$A$28:$A$178,0)),"")</f>
        <v>0.0828659263441872</v>
      </c>
      <c r="T520" s="18" t="n">
        <f aca="false">IFERROR(ROUND(INDEX('Injectable Value'!$AA$28:$AA$178,MATCH($C520,'Injectable Value'!$A$28:$A$178,0)),1),"")</f>
        <v>21.8</v>
      </c>
      <c r="U520" s="16" t="s">
        <v>247</v>
      </c>
      <c r="V520" s="15" t="n">
        <v>1</v>
      </c>
      <c r="W520" s="15" t="s">
        <v>247</v>
      </c>
      <c r="X520" s="15" t="s">
        <v>248</v>
      </c>
      <c r="Y520" s="15" t="s">
        <v>249</v>
      </c>
      <c r="Z520" s="16" t="str">
        <f aca="false">IFERROR(INDEX(Scoring!$K:$K,MATCH($C520&amp;"|"&amp;$E520,Scoring!$U:$U,0)),"")</f>
        <v/>
      </c>
      <c r="AA520" s="15" t="str">
        <f aca="false">IFERROR(INDEX(Scoring!$Q:$Q,MATCH($C520&amp;"|"&amp;$E520,Scoring!$U:$U,0)),"")</f>
        <v>Excluded – IV only</v>
      </c>
      <c r="AB520" s="15" t="str">
        <f aca="false">IFERROR(INDEX(Scoring!$AK:$AK,MATCH($C520&amp;"|"&amp;$E520,Scoring!$U:$U,0)),"")</f>
        <v>Excluded – IV only</v>
      </c>
      <c r="AC520" s="18" t="n">
        <f aca="false">IFERROR(INDEX(Scoring!$M:$M,MATCH($C520&amp;"|"&amp;$E520,Scoring!$U:$U,0)),"")</f>
        <v>4</v>
      </c>
      <c r="AD520" s="15" t="str">
        <f aca="false">IFERROR(INDEX('Route of Administration'!$C$5:$C$155,MATCH($C520,'Route of Administration'!$A$5:$A$155,0)),"")</f>
        <v>IV</v>
      </c>
      <c r="AE520" s="14" t="str">
        <f aca="false">IFERROR(INDEX('Route of Administration'!$D$5:$D$155,MATCH($C520,'Route of Administration'!$A$5:$A$155,0)),"")</f>
        <v>No</v>
      </c>
    </row>
    <row r="521" customFormat="false" ht="28.35" hidden="false" customHeight="false" outlineLevel="0" collapsed="false">
      <c r="B521" s="15" t="n">
        <v>519</v>
      </c>
      <c r="C521" s="15" t="s">
        <v>568</v>
      </c>
      <c r="D521" s="15" t="s">
        <v>572</v>
      </c>
      <c r="E521" s="15" t="s">
        <v>195</v>
      </c>
      <c r="F521" s="15" t="s">
        <v>2457</v>
      </c>
      <c r="G521" s="16" t="s">
        <v>1818</v>
      </c>
      <c r="H521" s="15" t="s">
        <v>1505</v>
      </c>
      <c r="I521" s="17" t="n">
        <v>13.63</v>
      </c>
      <c r="J521" s="15" t="n">
        <v>1</v>
      </c>
      <c r="K521" s="15" t="n">
        <v>374</v>
      </c>
      <c r="L521" s="18" t="n">
        <v>13615.47</v>
      </c>
      <c r="M521" s="16" t="s">
        <v>569</v>
      </c>
      <c r="N521" s="17" t="n">
        <v>13.63</v>
      </c>
      <c r="O521" s="15" t="s">
        <v>1506</v>
      </c>
      <c r="P521" s="15" t="s">
        <v>1507</v>
      </c>
      <c r="Q521" s="16" t="s">
        <v>1508</v>
      </c>
      <c r="R521" s="32" t="s">
        <v>1596</v>
      </c>
      <c r="S521" s="37" t="n">
        <f aca="false">IFERROR(INDEX('Injectable Value'!$Z$28:$Z$178,MATCH($C521,'Injectable Value'!$A$28:$A$178,0)),"")</f>
        <v>0.18191811645244</v>
      </c>
      <c r="T521" s="18" t="n">
        <f aca="false">IFERROR(ROUND(INDEX('Injectable Value'!$AA$28:$AA$178,MATCH($C521,'Injectable Value'!$A$28:$A$178,0)),1),"")</f>
        <v>2476.9</v>
      </c>
      <c r="U521" s="16" t="s">
        <v>247</v>
      </c>
      <c r="V521" s="15" t="n">
        <v>1</v>
      </c>
      <c r="W521" s="15" t="s">
        <v>247</v>
      </c>
      <c r="X521" s="15" t="s">
        <v>248</v>
      </c>
      <c r="Y521" s="15" t="s">
        <v>249</v>
      </c>
      <c r="Z521" s="16" t="str">
        <f aca="false">IFERROR(INDEX(Scoring!$K:$K,MATCH($C521&amp;"|"&amp;$E521,Scoring!$U:$U,0)),"")</f>
        <v/>
      </c>
      <c r="AA521" s="15" t="str">
        <f aca="false">IFERROR(INDEX(Scoring!$Q:$Q,MATCH($C521&amp;"|"&amp;$E521,Scoring!$U:$U,0)),"")</f>
        <v>Excluded – IV only</v>
      </c>
      <c r="AB521" s="15" t="str">
        <f aca="false">IFERROR(INDEX(Scoring!$AK:$AK,MATCH($C521&amp;"|"&amp;$E521,Scoring!$U:$U,0)),"")</f>
        <v>Excluded – IV only</v>
      </c>
      <c r="AC521" s="18" t="n">
        <f aca="false">IFERROR(INDEX(Scoring!$M:$M,MATCH($C521&amp;"|"&amp;$E521,Scoring!$U:$U,0)),"")</f>
        <v>68</v>
      </c>
      <c r="AD521" s="15" t="str">
        <f aca="false">IFERROR(INDEX('Route of Administration'!$C$5:$C$155,MATCH($C521,'Route of Administration'!$A$5:$A$155,0)),"")</f>
        <v>IV</v>
      </c>
      <c r="AE521" s="14" t="str">
        <f aca="false">IFERROR(INDEX('Route of Administration'!$D$5:$D$155,MATCH($C521,'Route of Administration'!$A$5:$A$155,0)),"")</f>
        <v>No</v>
      </c>
    </row>
    <row r="522" customFormat="false" ht="28.35" hidden="false" customHeight="false" outlineLevel="0" collapsed="false">
      <c r="B522" s="15" t="n">
        <v>520</v>
      </c>
      <c r="C522" s="15" t="s">
        <v>568</v>
      </c>
      <c r="D522" s="15" t="s">
        <v>572</v>
      </c>
      <c r="E522" s="15" t="s">
        <v>195</v>
      </c>
      <c r="F522" s="15" t="s">
        <v>2458</v>
      </c>
      <c r="G522" s="16" t="s">
        <v>2459</v>
      </c>
      <c r="H522" s="15" t="s">
        <v>1505</v>
      </c>
      <c r="I522" s="17" t="n">
        <v>6.62</v>
      </c>
      <c r="J522" s="15" t="n">
        <v>1</v>
      </c>
      <c r="K522" s="15" t="n">
        <v>374</v>
      </c>
      <c r="L522" s="18" t="n">
        <v>13615.47</v>
      </c>
      <c r="M522" s="16" t="s">
        <v>569</v>
      </c>
      <c r="N522" s="17" t="n">
        <v>6.62</v>
      </c>
      <c r="O522" s="15" t="s">
        <v>1506</v>
      </c>
      <c r="P522" s="15" t="s">
        <v>1507</v>
      </c>
      <c r="Q522" s="16" t="s">
        <v>1508</v>
      </c>
      <c r="R522" s="32" t="s">
        <v>1596</v>
      </c>
      <c r="S522" s="37" t="n">
        <f aca="false">IFERROR(INDEX('Injectable Value'!$Z$28:$Z$178,MATCH($C522,'Injectable Value'!$A$28:$A$178,0)),"")</f>
        <v>0.18191811645244</v>
      </c>
      <c r="T522" s="18" t="n">
        <f aca="false">IFERROR(ROUND(INDEX('Injectable Value'!$AA$28:$AA$178,MATCH($C522,'Injectable Value'!$A$28:$A$178,0)),1),"")</f>
        <v>2476.9</v>
      </c>
      <c r="U522" s="16" t="s">
        <v>247</v>
      </c>
      <c r="V522" s="15" t="n">
        <v>1</v>
      </c>
      <c r="W522" s="15" t="s">
        <v>247</v>
      </c>
      <c r="X522" s="15" t="s">
        <v>248</v>
      </c>
      <c r="Y522" s="15" t="s">
        <v>249</v>
      </c>
      <c r="Z522" s="16" t="str">
        <f aca="false">IFERROR(INDEX(Scoring!$K:$K,MATCH($C522&amp;"|"&amp;$E522,Scoring!$U:$U,0)),"")</f>
        <v/>
      </c>
      <c r="AA522" s="15" t="str">
        <f aca="false">IFERROR(INDEX(Scoring!$Q:$Q,MATCH($C522&amp;"|"&amp;$E522,Scoring!$U:$U,0)),"")</f>
        <v>Excluded – IV only</v>
      </c>
      <c r="AB522" s="15" t="str">
        <f aca="false">IFERROR(INDEX(Scoring!$AK:$AK,MATCH($C522&amp;"|"&amp;$E522,Scoring!$U:$U,0)),"")</f>
        <v>Excluded – IV only</v>
      </c>
      <c r="AC522" s="18" t="n">
        <f aca="false">IFERROR(INDEX(Scoring!$M:$M,MATCH($C522&amp;"|"&amp;$E522,Scoring!$U:$U,0)),"")</f>
        <v>68</v>
      </c>
      <c r="AD522" s="15" t="str">
        <f aca="false">IFERROR(INDEX('Route of Administration'!$C$5:$C$155,MATCH($C522,'Route of Administration'!$A$5:$A$155,0)),"")</f>
        <v>IV</v>
      </c>
      <c r="AE522" s="14" t="str">
        <f aca="false">IFERROR(INDEX('Route of Administration'!$D$5:$D$155,MATCH($C522,'Route of Administration'!$A$5:$A$155,0)),"")</f>
        <v>No</v>
      </c>
    </row>
    <row r="523" customFormat="false" ht="28.35" hidden="false" customHeight="false" outlineLevel="0" collapsed="false">
      <c r="B523" s="15" t="n">
        <v>521</v>
      </c>
      <c r="C523" s="15" t="s">
        <v>1220</v>
      </c>
      <c r="D523" s="15" t="s">
        <v>1224</v>
      </c>
      <c r="E523" s="15" t="s">
        <v>195</v>
      </c>
      <c r="F523" s="15" t="s">
        <v>2460</v>
      </c>
      <c r="G523" s="16" t="s">
        <v>2461</v>
      </c>
      <c r="H523" s="15" t="s">
        <v>1505</v>
      </c>
      <c r="I523" s="17" t="n">
        <v>69.3707</v>
      </c>
      <c r="J523" s="15" t="n">
        <v>8</v>
      </c>
      <c r="K523" s="15" t="n">
        <v>2221</v>
      </c>
      <c r="L523" s="18" t="n">
        <v>49989.33</v>
      </c>
      <c r="M523" s="16" t="s">
        <v>1221</v>
      </c>
      <c r="N523" s="17" t="n">
        <v>69.3707</v>
      </c>
      <c r="O523" s="15" t="s">
        <v>1506</v>
      </c>
      <c r="P523" s="15" t="s">
        <v>1533</v>
      </c>
      <c r="Q523" s="16" t="s">
        <v>1508</v>
      </c>
      <c r="R523" s="32" t="s">
        <v>2462</v>
      </c>
      <c r="S523" s="37" t="n">
        <f aca="false">IFERROR(INDEX('Injectable Value'!$Z$28:$Z$178,MATCH($C523,'Injectable Value'!$A$28:$A$178,0)),"")</f>
        <v>0.0524659711687654</v>
      </c>
      <c r="T523" s="18" t="n">
        <f aca="false">IFERROR(ROUND(INDEX('Injectable Value'!$AA$28:$AA$178,MATCH($C523,'Injectable Value'!$A$28:$A$178,0)),1),"")</f>
        <v>2622.7</v>
      </c>
      <c r="U523" s="16" t="s">
        <v>881</v>
      </c>
      <c r="V523" s="15" t="n">
        <v>1</v>
      </c>
      <c r="W523" s="15" t="s">
        <v>881</v>
      </c>
      <c r="X523" s="15" t="s">
        <v>248</v>
      </c>
      <c r="Y523" s="15" t="s">
        <v>249</v>
      </c>
      <c r="Z523" s="16" t="str">
        <f aca="false">IFERROR(INDEX(Scoring!$K:$K,MATCH($C523&amp;"|"&amp;$E523,Scoring!$U:$U,0)),"")</f>
        <v/>
      </c>
      <c r="AA523" s="15" t="str">
        <f aca="false">IFERROR(INDEX(Scoring!$Q:$Q,MATCH($C523&amp;"|"&amp;$E523,Scoring!$U:$U,0)),"")</f>
        <v>Excluded – IV only</v>
      </c>
      <c r="AB523" s="15" t="str">
        <f aca="false">IFERROR(INDEX(Scoring!$AK:$AK,MATCH($C523&amp;"|"&amp;$E523,Scoring!$U:$U,0)),"")</f>
        <v>Excluded – IV only</v>
      </c>
      <c r="AC523" s="18" t="n">
        <f aca="false">IFERROR(INDEX(Scoring!$M:$M,MATCH($C523&amp;"|"&amp;$E523,Scoring!$U:$U,0)),"")</f>
        <v>117</v>
      </c>
      <c r="AD523" s="15" t="str">
        <f aca="false">IFERROR(INDEX('Route of Administration'!$C$5:$C$155,MATCH($C523,'Route of Administration'!$A$5:$A$155,0)),"")</f>
        <v>IV</v>
      </c>
      <c r="AE523" s="14" t="str">
        <f aca="false">IFERROR(INDEX('Route of Administration'!$D$5:$D$155,MATCH($C523,'Route of Administration'!$A$5:$A$155,0)),"")</f>
        <v>No</v>
      </c>
    </row>
    <row r="524" customFormat="false" ht="28.35" hidden="false" customHeight="false" outlineLevel="0" collapsed="false">
      <c r="B524" s="15" t="n">
        <v>522</v>
      </c>
      <c r="C524" s="15" t="s">
        <v>1220</v>
      </c>
      <c r="D524" s="15" t="s">
        <v>1224</v>
      </c>
      <c r="E524" s="15" t="s">
        <v>195</v>
      </c>
      <c r="F524" s="15" t="s">
        <v>2460</v>
      </c>
      <c r="G524" s="16" t="s">
        <v>2463</v>
      </c>
      <c r="H524" s="15" t="s">
        <v>1505</v>
      </c>
      <c r="I524" s="17" t="n">
        <v>69.3707</v>
      </c>
      <c r="J524" s="15" t="n">
        <v>7</v>
      </c>
      <c r="K524" s="15" t="n">
        <v>2221</v>
      </c>
      <c r="L524" s="18" t="n">
        <v>49989.33</v>
      </c>
      <c r="M524" s="16" t="s">
        <v>1221</v>
      </c>
      <c r="N524" s="17" t="n">
        <v>69.3707</v>
      </c>
      <c r="O524" s="15" t="s">
        <v>1506</v>
      </c>
      <c r="P524" s="15" t="s">
        <v>1533</v>
      </c>
      <c r="Q524" s="16" t="s">
        <v>1508</v>
      </c>
      <c r="R524" s="32" t="s">
        <v>2462</v>
      </c>
      <c r="S524" s="37" t="n">
        <f aca="false">IFERROR(INDEX('Injectable Value'!$Z$28:$Z$178,MATCH($C524,'Injectable Value'!$A$28:$A$178,0)),"")</f>
        <v>0.0524659711687654</v>
      </c>
      <c r="T524" s="18" t="n">
        <f aca="false">IFERROR(ROUND(INDEX('Injectable Value'!$AA$28:$AA$178,MATCH($C524,'Injectable Value'!$A$28:$A$178,0)),1),"")</f>
        <v>2622.7</v>
      </c>
      <c r="U524" s="16" t="s">
        <v>881</v>
      </c>
      <c r="V524" s="15" t="n">
        <v>1</v>
      </c>
      <c r="W524" s="15" t="s">
        <v>881</v>
      </c>
      <c r="X524" s="15" t="s">
        <v>248</v>
      </c>
      <c r="Y524" s="15" t="s">
        <v>249</v>
      </c>
      <c r="Z524" s="16" t="str">
        <f aca="false">IFERROR(INDEX(Scoring!$K:$K,MATCH($C524&amp;"|"&amp;$E524,Scoring!$U:$U,0)),"")</f>
        <v/>
      </c>
      <c r="AA524" s="15" t="str">
        <f aca="false">IFERROR(INDEX(Scoring!$Q:$Q,MATCH($C524&amp;"|"&amp;$E524,Scoring!$U:$U,0)),"")</f>
        <v>Excluded – IV only</v>
      </c>
      <c r="AB524" s="15" t="str">
        <f aca="false">IFERROR(INDEX(Scoring!$AK:$AK,MATCH($C524&amp;"|"&amp;$E524,Scoring!$U:$U,0)),"")</f>
        <v>Excluded – IV only</v>
      </c>
      <c r="AC524" s="18" t="n">
        <f aca="false">IFERROR(INDEX(Scoring!$M:$M,MATCH($C524&amp;"|"&amp;$E524,Scoring!$U:$U,0)),"")</f>
        <v>117</v>
      </c>
      <c r="AD524" s="15" t="str">
        <f aca="false">IFERROR(INDEX('Route of Administration'!$C$5:$C$155,MATCH($C524,'Route of Administration'!$A$5:$A$155,0)),"")</f>
        <v>IV</v>
      </c>
      <c r="AE524" s="14" t="str">
        <f aca="false">IFERROR(INDEX('Route of Administration'!$D$5:$D$155,MATCH($C524,'Route of Administration'!$A$5:$A$155,0)),"")</f>
        <v>No</v>
      </c>
    </row>
    <row r="525" customFormat="false" ht="28.35" hidden="false" customHeight="false" outlineLevel="0" collapsed="false">
      <c r="B525" s="15" t="n">
        <v>523</v>
      </c>
      <c r="C525" s="15" t="s">
        <v>1225</v>
      </c>
      <c r="D525" s="15" t="s">
        <v>1229</v>
      </c>
      <c r="E525" s="15" t="s">
        <v>195</v>
      </c>
      <c r="F525" s="15" t="s">
        <v>2464</v>
      </c>
      <c r="G525" s="16" t="s">
        <v>1831</v>
      </c>
      <c r="H525" s="15" t="s">
        <v>1505</v>
      </c>
      <c r="I525" s="17" t="n">
        <v>30.352</v>
      </c>
      <c r="J525" s="15" t="n">
        <v>1</v>
      </c>
      <c r="K525" s="15" t="n">
        <v>44</v>
      </c>
      <c r="L525" s="18" t="n">
        <v>2375.17</v>
      </c>
      <c r="M525" s="16" t="s">
        <v>1226</v>
      </c>
      <c r="N525" s="17" t="n">
        <v>30.352</v>
      </c>
      <c r="O525" s="15" t="s">
        <v>1506</v>
      </c>
      <c r="P525" s="15" t="s">
        <v>1507</v>
      </c>
      <c r="Q525" s="16" t="s">
        <v>1508</v>
      </c>
      <c r="R525" s="32" t="s">
        <v>2465</v>
      </c>
      <c r="S525" s="37" t="n">
        <f aca="false">IFERROR(INDEX('Injectable Value'!$Z$28:$Z$178,MATCH($C525,'Injectable Value'!$A$28:$A$178,0)),"")</f>
        <v>0.545991045991046</v>
      </c>
      <c r="T525" s="18" t="n">
        <f aca="false">IFERROR(ROUND(INDEX('Injectable Value'!$AA$28:$AA$178,MATCH($C525,'Injectable Value'!$A$28:$A$178,0)),1),"")</f>
        <v>1296.8</v>
      </c>
      <c r="U525" s="16" t="s">
        <v>1230</v>
      </c>
      <c r="V525" s="15" t="n">
        <v>2</v>
      </c>
      <c r="W525" s="15" t="s">
        <v>881</v>
      </c>
      <c r="X525" s="15" t="s">
        <v>316</v>
      </c>
      <c r="Y525" s="15" t="s">
        <v>249</v>
      </c>
      <c r="Z525" s="16" t="str">
        <f aca="false">IFERROR(INDEX(Scoring!$K:$K,MATCH($C525&amp;"|"&amp;$E525,Scoring!$U:$U,0)),"")</f>
        <v/>
      </c>
      <c r="AA525" s="15" t="str">
        <f aca="false">IFERROR(INDEX(Scoring!$Q:$Q,MATCH($C525&amp;"|"&amp;$E525,Scoring!$U:$U,0)),"")</f>
        <v>Priority 2</v>
      </c>
      <c r="AB525" s="15" t="str">
        <f aca="false">IFERROR(INDEX(Scoring!$AK:$AK,MATCH($C525&amp;"|"&amp;$E525,Scoring!$U:$U,0)),"")</f>
        <v>Priority 2</v>
      </c>
      <c r="AC525" s="18" t="n">
        <f aca="false">IFERROR(INDEX(Scoring!$M:$M,MATCH($C525&amp;"|"&amp;$E525,Scoring!$U:$U,0)),"")</f>
        <v>24</v>
      </c>
      <c r="AD525" s="15" t="str">
        <f aca="false">IFERROR(INDEX('Route of Administration'!$C$5:$C$155,MATCH($C525,'Route of Administration'!$A$5:$A$155,0)),"")</f>
        <v>IV, IM</v>
      </c>
      <c r="AE525" s="14" t="str">
        <f aca="false">IFERROR(INDEX('Route of Administration'!$D$5:$D$155,MATCH($C525,'Route of Administration'!$A$5:$A$155,0)),"")</f>
        <v>Yes</v>
      </c>
    </row>
    <row r="526" customFormat="false" ht="28.35" hidden="false" customHeight="false" outlineLevel="0" collapsed="false">
      <c r="B526" s="15" t="n">
        <v>524</v>
      </c>
      <c r="C526" s="15" t="s">
        <v>1236</v>
      </c>
      <c r="D526" s="15" t="s">
        <v>1240</v>
      </c>
      <c r="E526" s="15" t="s">
        <v>195</v>
      </c>
      <c r="F526" s="15" t="s">
        <v>1819</v>
      </c>
      <c r="G526" s="16" t="s">
        <v>1820</v>
      </c>
      <c r="H526" s="15" t="s">
        <v>1505</v>
      </c>
      <c r="I526" s="17" t="n">
        <v>90.209</v>
      </c>
      <c r="J526" s="15" t="n">
        <v>1</v>
      </c>
      <c r="K526" s="15" t="n">
        <v>2286</v>
      </c>
      <c r="L526" s="18" t="n">
        <v>106496.78</v>
      </c>
      <c r="M526" s="16" t="s">
        <v>1237</v>
      </c>
      <c r="N526" s="17" t="n">
        <v>90.209</v>
      </c>
      <c r="O526" s="15" t="s">
        <v>1506</v>
      </c>
      <c r="P526" s="15" t="s">
        <v>1507</v>
      </c>
      <c r="Q526" s="16" t="s">
        <v>1508</v>
      </c>
      <c r="R526" s="32" t="s">
        <v>2466</v>
      </c>
      <c r="S526" s="37" t="n">
        <f aca="false">IFERROR(INDEX('Injectable Value'!$Z$28:$Z$178,MATCH($C526,'Injectable Value'!$A$28:$A$178,0)),"")</f>
        <v>0.174359744408496</v>
      </c>
      <c r="T526" s="18" t="n">
        <f aca="false">IFERROR(ROUND(INDEX('Injectable Value'!$AA$28:$AA$178,MATCH($C526,'Injectable Value'!$A$28:$A$178,0)),1),"")</f>
        <v>18568.8</v>
      </c>
      <c r="U526" s="16" t="s">
        <v>1241</v>
      </c>
      <c r="V526" s="15" t="n">
        <v>3</v>
      </c>
      <c r="W526" s="15" t="s">
        <v>418</v>
      </c>
      <c r="X526" s="15" t="s">
        <v>248</v>
      </c>
      <c r="Y526" s="15" t="s">
        <v>249</v>
      </c>
      <c r="Z526" s="16" t="str">
        <f aca="false">IFERROR(INDEX(Scoring!$K:$K,MATCH($C526&amp;"|"&amp;$E526,Scoring!$U:$U,0)),"")</f>
        <v/>
      </c>
      <c r="AA526" s="15" t="str">
        <f aca="false">IFERROR(INDEX(Scoring!$Q:$Q,MATCH($C526&amp;"|"&amp;$E526,Scoring!$U:$U,0)),"")</f>
        <v>Excluded – IV only</v>
      </c>
      <c r="AB526" s="15" t="str">
        <f aca="false">IFERROR(INDEX(Scoring!$AK:$AK,MATCH($C526&amp;"|"&amp;$E526,Scoring!$U:$U,0)),"")</f>
        <v>Excluded – IV only</v>
      </c>
      <c r="AC526" s="18" t="n">
        <f aca="false">IFERROR(INDEX(Scoring!$M:$M,MATCH($C526&amp;"|"&amp;$E526,Scoring!$U:$U,0)),"")</f>
        <v>399</v>
      </c>
      <c r="AD526" s="15" t="str">
        <f aca="false">IFERROR(INDEX('Route of Administration'!$C$5:$C$155,MATCH($C526,'Route of Administration'!$A$5:$A$155,0)),"")</f>
        <v>IV</v>
      </c>
      <c r="AE526" s="14" t="str">
        <f aca="false">IFERROR(INDEX('Route of Administration'!$D$5:$D$155,MATCH($C526,'Route of Administration'!$A$5:$A$155,0)),"")</f>
        <v>No</v>
      </c>
    </row>
    <row r="527" customFormat="false" ht="28.35" hidden="false" customHeight="false" outlineLevel="0" collapsed="false">
      <c r="B527" s="15" t="n">
        <v>525</v>
      </c>
      <c r="C527" s="15" t="s">
        <v>606</v>
      </c>
      <c r="D527" s="15" t="s">
        <v>2467</v>
      </c>
      <c r="E527" s="15" t="s">
        <v>195</v>
      </c>
      <c r="F527" s="15" t="s">
        <v>1835</v>
      </c>
      <c r="G527" s="16" t="s">
        <v>1836</v>
      </c>
      <c r="H527" s="15" t="s">
        <v>1505</v>
      </c>
      <c r="I527" s="17"/>
      <c r="J527" s="15" t="n">
        <v>1</v>
      </c>
      <c r="K527" s="15" t="n">
        <v>87</v>
      </c>
      <c r="L527" s="18" t="n">
        <v>2931.42</v>
      </c>
      <c r="M527" s="16" t="s">
        <v>607</v>
      </c>
      <c r="N527" s="17"/>
      <c r="O527" s="15" t="s">
        <v>1545</v>
      </c>
      <c r="P527" s="15" t="s">
        <v>70</v>
      </c>
      <c r="Q527" s="16" t="s">
        <v>70</v>
      </c>
      <c r="R527" s="15"/>
      <c r="S527" s="37" t="n">
        <f aca="false">IFERROR(INDEX('Injectable Value'!$Z$28:$Z$178,MATCH($C527,'Injectable Value'!$A$28:$A$178,0)),"")</f>
        <v>1</v>
      </c>
      <c r="T527" s="18" t="n">
        <f aca="false">IFERROR(ROUND(INDEX('Injectable Value'!$AA$28:$AA$178,MATCH($C527,'Injectable Value'!$A$28:$A$178,0)),1),"")</f>
        <v>2931.4</v>
      </c>
      <c r="U527" s="16" t="s">
        <v>605</v>
      </c>
      <c r="V527" s="15" t="n">
        <v>2</v>
      </c>
      <c r="W527" s="15" t="s">
        <v>247</v>
      </c>
      <c r="X527" s="15" t="s">
        <v>316</v>
      </c>
      <c r="Y527" s="15" t="s">
        <v>249</v>
      </c>
      <c r="Z527" s="16" t="str">
        <f aca="false">IFERROR(INDEX(Scoring!$K:$K,MATCH($C527&amp;"|"&amp;$E527,Scoring!$U:$U,0)),"")</f>
        <v/>
      </c>
      <c r="AA527" s="15" t="str">
        <f aca="false">IFERROR(INDEX(Scoring!$Q:$Q,MATCH($C527&amp;"|"&amp;$E527,Scoring!$U:$U,0)),"")</f>
        <v>Priority 2</v>
      </c>
      <c r="AB527" s="15" t="str">
        <f aca="false">IFERROR(INDEX(Scoring!$AK:$AK,MATCH($C527&amp;"|"&amp;$E527,Scoring!$U:$U,0)),"")</f>
        <v>Priority 2</v>
      </c>
      <c r="AC527" s="18" t="n">
        <f aca="false">IFERROR(INDEX(Scoring!$M:$M,MATCH($C527&amp;"|"&amp;$E527,Scoring!$U:$U,0)),"")</f>
        <v>87</v>
      </c>
      <c r="AD527" s="15" t="str">
        <f aca="false">IFERROR(INDEX('Route of Administration'!$C$5:$C$155,MATCH($C527,'Route of Administration'!$A$5:$A$155,0)),"")</f>
        <v>IV, IM, SC</v>
      </c>
      <c r="AE527" s="14" t="str">
        <f aca="false">IFERROR(INDEX('Route of Administration'!$D$5:$D$155,MATCH($C527,'Route of Administration'!$A$5:$A$155,0)),"")</f>
        <v>Yes</v>
      </c>
    </row>
    <row r="528" customFormat="false" ht="28.35" hidden="false" customHeight="false" outlineLevel="0" collapsed="false">
      <c r="B528" s="15" t="n">
        <v>526</v>
      </c>
      <c r="C528" s="15" t="s">
        <v>606</v>
      </c>
      <c r="D528" s="15" t="s">
        <v>2467</v>
      </c>
      <c r="E528" s="15" t="s">
        <v>195</v>
      </c>
      <c r="F528" s="15" t="s">
        <v>1830</v>
      </c>
      <c r="G528" s="16" t="s">
        <v>1831</v>
      </c>
      <c r="H528" s="15" t="s">
        <v>1505</v>
      </c>
      <c r="I528" s="17"/>
      <c r="J528" s="15" t="n">
        <v>1</v>
      </c>
      <c r="K528" s="15" t="n">
        <v>87</v>
      </c>
      <c r="L528" s="18" t="n">
        <v>2931.42</v>
      </c>
      <c r="M528" s="16" t="s">
        <v>607</v>
      </c>
      <c r="N528" s="17"/>
      <c r="O528" s="15" t="s">
        <v>1545</v>
      </c>
      <c r="P528" s="15" t="s">
        <v>70</v>
      </c>
      <c r="Q528" s="16" t="s">
        <v>70</v>
      </c>
      <c r="R528" s="15"/>
      <c r="S528" s="37" t="n">
        <f aca="false">IFERROR(INDEX('Injectable Value'!$Z$28:$Z$178,MATCH($C528,'Injectable Value'!$A$28:$A$178,0)),"")</f>
        <v>1</v>
      </c>
      <c r="T528" s="18" t="n">
        <f aca="false">IFERROR(ROUND(INDEX('Injectable Value'!$AA$28:$AA$178,MATCH($C528,'Injectable Value'!$A$28:$A$178,0)),1),"")</f>
        <v>2931.4</v>
      </c>
      <c r="U528" s="16" t="s">
        <v>605</v>
      </c>
      <c r="V528" s="15" t="n">
        <v>2</v>
      </c>
      <c r="W528" s="15" t="s">
        <v>247</v>
      </c>
      <c r="X528" s="15" t="s">
        <v>316</v>
      </c>
      <c r="Y528" s="15" t="s">
        <v>249</v>
      </c>
      <c r="Z528" s="16" t="str">
        <f aca="false">IFERROR(INDEX(Scoring!$K:$K,MATCH($C528&amp;"|"&amp;$E528,Scoring!$U:$U,0)),"")</f>
        <v/>
      </c>
      <c r="AA528" s="15" t="str">
        <f aca="false">IFERROR(INDEX(Scoring!$Q:$Q,MATCH($C528&amp;"|"&amp;$E528,Scoring!$U:$U,0)),"")</f>
        <v>Priority 2</v>
      </c>
      <c r="AB528" s="15" t="str">
        <f aca="false">IFERROR(INDEX(Scoring!$AK:$AK,MATCH($C528&amp;"|"&amp;$E528,Scoring!$U:$U,0)),"")</f>
        <v>Priority 2</v>
      </c>
      <c r="AC528" s="18" t="n">
        <f aca="false">IFERROR(INDEX(Scoring!$M:$M,MATCH($C528&amp;"|"&amp;$E528,Scoring!$U:$U,0)),"")</f>
        <v>87</v>
      </c>
      <c r="AD528" s="15" t="str">
        <f aca="false">IFERROR(INDEX('Route of Administration'!$C$5:$C$155,MATCH($C528,'Route of Administration'!$A$5:$A$155,0)),"")</f>
        <v>IV, IM, SC</v>
      </c>
      <c r="AE528" s="14" t="str">
        <f aca="false">IFERROR(INDEX('Route of Administration'!$D$5:$D$155,MATCH($C528,'Route of Administration'!$A$5:$A$155,0)),"")</f>
        <v>Yes</v>
      </c>
    </row>
    <row r="529" customFormat="false" ht="28.35" hidden="false" customHeight="false" outlineLevel="0" collapsed="false">
      <c r="B529" s="15" t="n">
        <v>527</v>
      </c>
      <c r="C529" s="15" t="s">
        <v>343</v>
      </c>
      <c r="D529" s="15" t="s">
        <v>347</v>
      </c>
      <c r="E529" s="15" t="s">
        <v>1206</v>
      </c>
      <c r="F529" s="15" t="s">
        <v>1535</v>
      </c>
      <c r="G529" s="16" t="s">
        <v>2468</v>
      </c>
      <c r="H529" s="15" t="s">
        <v>1505</v>
      </c>
      <c r="I529" s="17" t="n">
        <v>14.96</v>
      </c>
      <c r="J529" s="15" t="n">
        <v>1</v>
      </c>
      <c r="K529" s="15" t="n">
        <v>472</v>
      </c>
      <c r="L529" s="18" t="n">
        <v>7831.08</v>
      </c>
      <c r="M529" s="16" t="s">
        <v>344</v>
      </c>
      <c r="N529" s="17" t="n">
        <v>14.96</v>
      </c>
      <c r="O529" s="15" t="s">
        <v>1506</v>
      </c>
      <c r="P529" s="15" t="s">
        <v>1507</v>
      </c>
      <c r="Q529" s="16" t="s">
        <v>1508</v>
      </c>
      <c r="R529" s="32" t="s">
        <v>1537</v>
      </c>
      <c r="S529" s="37" t="n">
        <f aca="false">IFERROR(INDEX('Injectable Value'!$Z$28:$Z$178,MATCH($C529,'Injectable Value'!$A$28:$A$178,0)),"")</f>
        <v>0.1734375</v>
      </c>
      <c r="T529" s="18" t="n">
        <f aca="false">IFERROR(ROUND(INDEX('Injectable Value'!$AA$28:$AA$178,MATCH($C529,'Injectable Value'!$A$28:$A$178,0)),1),"")</f>
        <v>1358.2</v>
      </c>
      <c r="U529" s="16" t="s">
        <v>247</v>
      </c>
      <c r="V529" s="15" t="n">
        <v>1</v>
      </c>
      <c r="W529" s="15" t="s">
        <v>247</v>
      </c>
      <c r="X529" s="15" t="s">
        <v>248</v>
      </c>
      <c r="Y529" s="15" t="s">
        <v>249</v>
      </c>
      <c r="Z529" s="16" t="str">
        <f aca="false">IFERROR(INDEX(Scoring!$K:$K,MATCH($C529&amp;"|"&amp;$E529,Scoring!$U:$U,0)),"")</f>
        <v/>
      </c>
      <c r="AA529" s="15" t="str">
        <f aca="false">IFERROR(INDEX(Scoring!$Q:$Q,MATCH($C529&amp;"|"&amp;$E529,Scoring!$U:$U,0)),"")</f>
        <v>Priority 3</v>
      </c>
      <c r="AB529" s="15" t="str">
        <f aca="false">IFERROR(INDEX(Scoring!$AK:$AK,MATCH($C529&amp;"|"&amp;$E529,Scoring!$U:$U,0)),"")</f>
        <v>Priority 2</v>
      </c>
      <c r="AC529" s="18" t="n">
        <f aca="false">IFERROR(INDEX(Scoring!$M:$M,MATCH($C529&amp;"|"&amp;$E529,Scoring!$U:$U,0)),"")</f>
        <v>82</v>
      </c>
      <c r="AD529" s="15" t="str">
        <f aca="false">IFERROR(INDEX('Route of Administration'!$C$5:$C$155,MATCH($C529,'Route of Administration'!$A$5:$A$155,0)),"")</f>
        <v>IM</v>
      </c>
      <c r="AE529" s="14" t="str">
        <f aca="false">IFERROR(INDEX('Route of Administration'!$D$5:$D$155,MATCH($C529,'Route of Administration'!$A$5:$A$155,0)),"")</f>
        <v>Yes</v>
      </c>
    </row>
    <row r="530" customFormat="false" ht="28.35" hidden="false" customHeight="false" outlineLevel="0" collapsed="false">
      <c r="B530" s="15" t="n">
        <v>528</v>
      </c>
      <c r="C530" s="15" t="s">
        <v>412</v>
      </c>
      <c r="D530" s="15" t="s">
        <v>412</v>
      </c>
      <c r="E530" s="15" t="s">
        <v>1206</v>
      </c>
      <c r="F530" s="15" t="s">
        <v>1535</v>
      </c>
      <c r="G530" s="16" t="s">
        <v>2469</v>
      </c>
      <c r="H530" s="15" t="s">
        <v>1505</v>
      </c>
      <c r="I530" s="17" t="n">
        <v>54.55</v>
      </c>
      <c r="J530" s="15" t="n">
        <v>1</v>
      </c>
      <c r="K530" s="15" t="n">
        <v>126</v>
      </c>
      <c r="L530" s="18" t="n">
        <v>3407.51</v>
      </c>
      <c r="M530" s="16" t="s">
        <v>413</v>
      </c>
      <c r="N530" s="17" t="n">
        <v>54.55</v>
      </c>
      <c r="O530" s="15" t="s">
        <v>1506</v>
      </c>
      <c r="P530" s="15" t="s">
        <v>1507</v>
      </c>
      <c r="Q530" s="16" t="s">
        <v>1508</v>
      </c>
      <c r="R530" s="32" t="s">
        <v>1553</v>
      </c>
      <c r="S530" s="37" t="n">
        <f aca="false">IFERROR(INDEX('Injectable Value'!$Z$28:$Z$178,MATCH($C530,'Injectable Value'!$A$28:$A$178,0)),"")</f>
        <v>1</v>
      </c>
      <c r="T530" s="18" t="n">
        <f aca="false">IFERROR(ROUND(INDEX('Injectable Value'!$AA$28:$AA$178,MATCH($C530,'Injectable Value'!$A$28:$A$178,0)),1),"")</f>
        <v>3407.5</v>
      </c>
      <c r="U530" s="16" t="s">
        <v>247</v>
      </c>
      <c r="V530" s="15" t="n">
        <v>1</v>
      </c>
      <c r="W530" s="15" t="s">
        <v>247</v>
      </c>
      <c r="X530" s="15" t="s">
        <v>248</v>
      </c>
      <c r="Y530" s="15" t="s">
        <v>249</v>
      </c>
      <c r="Z530" s="16" t="str">
        <f aca="false">IFERROR(INDEX(Scoring!$K:$K,MATCH($C530&amp;"|"&amp;$E530,Scoring!$U:$U,0)),"")</f>
        <v/>
      </c>
      <c r="AA530" s="15" t="str">
        <f aca="false">IFERROR(INDEX(Scoring!$Q:$Q,MATCH($C530&amp;"|"&amp;$E530,Scoring!$U:$U,0)),"")</f>
        <v>Priority 2</v>
      </c>
      <c r="AB530" s="15" t="str">
        <f aca="false">IFERROR(INDEX(Scoring!$AK:$AK,MATCH($C530&amp;"|"&amp;$E530,Scoring!$U:$U,0)),"")</f>
        <v>Priority 2</v>
      </c>
      <c r="AC530" s="18" t="n">
        <f aca="false">IFERROR(INDEX(Scoring!$M:$M,MATCH($C530&amp;"|"&amp;$E530,Scoring!$U:$U,0)),"")</f>
        <v>126</v>
      </c>
      <c r="AD530" s="15" t="str">
        <f aca="false">IFERROR(INDEX('Route of Administration'!$C$5:$C$155,MATCH($C530,'Route of Administration'!$A$5:$A$155,0)),"")</f>
        <v>IM, SC</v>
      </c>
      <c r="AE530" s="14" t="str">
        <f aca="false">IFERROR(INDEX('Route of Administration'!$D$5:$D$155,MATCH($C530,'Route of Administration'!$A$5:$A$155,0)),"")</f>
        <v>Yes</v>
      </c>
    </row>
    <row r="531" customFormat="false" ht="28.35" hidden="false" customHeight="false" outlineLevel="0" collapsed="false">
      <c r="B531" s="15" t="n">
        <v>529</v>
      </c>
      <c r="C531" s="15" t="s">
        <v>305</v>
      </c>
      <c r="D531" s="15" t="s">
        <v>305</v>
      </c>
      <c r="E531" s="15" t="s">
        <v>1206</v>
      </c>
      <c r="F531" s="15" t="s">
        <v>1608</v>
      </c>
      <c r="G531" s="16" t="s">
        <v>2470</v>
      </c>
      <c r="H531" s="15" t="s">
        <v>248</v>
      </c>
      <c r="I531" s="17" t="n">
        <v>22.25</v>
      </c>
      <c r="J531" s="15" t="n">
        <v>1</v>
      </c>
      <c r="K531" s="15" t="n">
        <v>905</v>
      </c>
      <c r="L531" s="18" t="n">
        <v>28093.38</v>
      </c>
      <c r="M531" s="16" t="s">
        <v>306</v>
      </c>
      <c r="N531" s="17" t="n">
        <v>22.25</v>
      </c>
      <c r="O531" s="15" t="s">
        <v>1506</v>
      </c>
      <c r="P531" s="15" t="s">
        <v>1507</v>
      </c>
      <c r="Q531" s="16" t="s">
        <v>1508</v>
      </c>
      <c r="R531" s="32" t="s">
        <v>1610</v>
      </c>
      <c r="S531" s="37" t="n">
        <f aca="false">IFERROR(INDEX('Injectable Value'!$Z$28:$Z$178,MATCH($C531,'Injectable Value'!$A$28:$A$178,0)),"")</f>
        <v>1</v>
      </c>
      <c r="T531" s="18" t="n">
        <f aca="false">IFERROR(ROUND(INDEX('Injectable Value'!$AA$28:$AA$178,MATCH($C531,'Injectable Value'!$A$28:$A$178,0)),1),"")</f>
        <v>28093.4</v>
      </c>
      <c r="U531" s="16" t="s">
        <v>1208</v>
      </c>
      <c r="V531" s="15" t="n">
        <v>5</v>
      </c>
      <c r="W531" s="15" t="s">
        <v>823</v>
      </c>
      <c r="X531" s="15" t="s">
        <v>248</v>
      </c>
      <c r="Y531" s="15" t="s">
        <v>299</v>
      </c>
      <c r="Z531" s="16" t="str">
        <f aca="false">IFERROR(INDEX(Scoring!$K:$K,MATCH($C531&amp;"|"&amp;$E531,Scoring!$U:$U,0)),"")</f>
        <v>Cancer drug (cytotoxic) – less relevant; Reconstitution</v>
      </c>
      <c r="AA531" s="15" t="str">
        <f aca="false">IFERROR(INDEX(Scoring!$Q:$Q,MATCH($C531&amp;"|"&amp;$E531,Scoring!$U:$U,0)),"")</f>
        <v>Priority 1</v>
      </c>
      <c r="AB531" s="15" t="str">
        <f aca="false">IFERROR(INDEX(Scoring!$AK:$AK,MATCH($C531&amp;"|"&amp;$E531,Scoring!$U:$U,0)),"")</f>
        <v>Priority 1</v>
      </c>
      <c r="AC531" s="18" t="n">
        <f aca="false">IFERROR(INDEX(Scoring!$M:$M,MATCH($C531&amp;"|"&amp;$E531,Scoring!$U:$U,0)),"")</f>
        <v>905</v>
      </c>
      <c r="AD531" s="15" t="str">
        <f aca="false">IFERROR(INDEX('Route of Administration'!$C$5:$C$155,MATCH($C531,'Route of Administration'!$A$5:$A$155,0)),"")</f>
        <v>IV, SC</v>
      </c>
      <c r="AE531" s="14" t="str">
        <f aca="false">IFERROR(INDEX('Route of Administration'!$D$5:$D$155,MATCH($C531,'Route of Administration'!$A$5:$A$155,0)),"")</f>
        <v>Yes</v>
      </c>
    </row>
    <row r="532" customFormat="false" ht="28.35" hidden="false" customHeight="false" outlineLevel="0" collapsed="false">
      <c r="B532" s="15" t="n">
        <v>530</v>
      </c>
      <c r="C532" s="15" t="s">
        <v>844</v>
      </c>
      <c r="D532" s="15" t="s">
        <v>844</v>
      </c>
      <c r="E532" s="15" t="s">
        <v>1206</v>
      </c>
      <c r="F532" s="15" t="s">
        <v>2453</v>
      </c>
      <c r="G532" s="16" t="s">
        <v>2471</v>
      </c>
      <c r="H532" s="15" t="s">
        <v>2455</v>
      </c>
      <c r="I532" s="17" t="n">
        <v>51.79</v>
      </c>
      <c r="J532" s="15" t="n">
        <v>1</v>
      </c>
      <c r="K532" s="15" t="n">
        <v>45</v>
      </c>
      <c r="L532" s="18" t="n">
        <v>263.65</v>
      </c>
      <c r="M532" s="16" t="s">
        <v>845</v>
      </c>
      <c r="N532" s="17" t="n">
        <v>51.79</v>
      </c>
      <c r="O532" s="15" t="s">
        <v>1506</v>
      </c>
      <c r="P532" s="15" t="s">
        <v>1507</v>
      </c>
      <c r="Q532" s="16" t="s">
        <v>1508</v>
      </c>
      <c r="R532" s="32" t="s">
        <v>2456</v>
      </c>
      <c r="S532" s="37" t="n">
        <f aca="false">IFERROR(INDEX('Injectable Value'!$Z$28:$Z$178,MATCH($C532,'Injectable Value'!$A$28:$A$178,0)),"")</f>
        <v>0.0828659263441872</v>
      </c>
      <c r="T532" s="18" t="n">
        <f aca="false">IFERROR(ROUND(INDEX('Injectable Value'!$AA$28:$AA$178,MATCH($C532,'Injectable Value'!$A$28:$A$178,0)),1),"")</f>
        <v>21.8</v>
      </c>
      <c r="U532" s="16" t="s">
        <v>247</v>
      </c>
      <c r="V532" s="15" t="n">
        <v>1</v>
      </c>
      <c r="W532" s="15" t="s">
        <v>247</v>
      </c>
      <c r="X532" s="15" t="s">
        <v>248</v>
      </c>
      <c r="Y532" s="15" t="s">
        <v>249</v>
      </c>
      <c r="Z532" s="16" t="str">
        <f aca="false">IFERROR(INDEX(Scoring!$K:$K,MATCH($C532&amp;"|"&amp;$E532,Scoring!$U:$U,0)),"")</f>
        <v/>
      </c>
      <c r="AA532" s="15" t="str">
        <f aca="false">IFERROR(INDEX(Scoring!$Q:$Q,MATCH($C532&amp;"|"&amp;$E532,Scoring!$U:$U,0)),"")</f>
        <v>Excluded – IV only</v>
      </c>
      <c r="AB532" s="15" t="str">
        <f aca="false">IFERROR(INDEX(Scoring!$AK:$AK,MATCH($C532&amp;"|"&amp;$E532,Scoring!$U:$U,0)),"")</f>
        <v>Excluded – IV only</v>
      </c>
      <c r="AC532" s="18" t="n">
        <f aca="false">IFERROR(INDEX(Scoring!$M:$M,MATCH($C532&amp;"|"&amp;$E532,Scoring!$U:$U,0)),"")</f>
        <v>4</v>
      </c>
      <c r="AD532" s="15" t="str">
        <f aca="false">IFERROR(INDEX('Route of Administration'!$C$5:$C$155,MATCH($C532,'Route of Administration'!$A$5:$A$155,0)),"")</f>
        <v>IV</v>
      </c>
      <c r="AE532" s="14" t="str">
        <f aca="false">IFERROR(INDEX('Route of Administration'!$D$5:$D$155,MATCH($C532,'Route of Administration'!$A$5:$A$155,0)),"")</f>
        <v>No</v>
      </c>
    </row>
    <row r="533" customFormat="false" ht="28.35" hidden="false" customHeight="false" outlineLevel="0" collapsed="false">
      <c r="B533" s="15" t="n">
        <v>531</v>
      </c>
      <c r="C533" s="15" t="s">
        <v>635</v>
      </c>
      <c r="D533" s="15" t="s">
        <v>1475</v>
      </c>
      <c r="E533" s="15" t="s">
        <v>1206</v>
      </c>
      <c r="F533" s="15" t="s">
        <v>1910</v>
      </c>
      <c r="G533" s="16" t="s">
        <v>2472</v>
      </c>
      <c r="H533" s="15" t="s">
        <v>1505</v>
      </c>
      <c r="I533" s="17" t="n">
        <v>21.78</v>
      </c>
      <c r="J533" s="15" t="n">
        <v>1</v>
      </c>
      <c r="K533" s="15" t="n">
        <v>346</v>
      </c>
      <c r="L533" s="18" t="n">
        <v>32830.17</v>
      </c>
      <c r="M533" s="16" t="s">
        <v>636</v>
      </c>
      <c r="N533" s="17" t="n">
        <v>21.78</v>
      </c>
      <c r="O533" s="15" t="s">
        <v>1506</v>
      </c>
      <c r="P533" s="15" t="s">
        <v>1507</v>
      </c>
      <c r="Q533" s="16" t="s">
        <v>1508</v>
      </c>
      <c r="R533" s="32" t="s">
        <v>1912</v>
      </c>
      <c r="S533" s="37" t="n">
        <f aca="false">IFERROR(INDEX('Injectable Value'!$Z$28:$Z$178,MATCH($C533,'Injectable Value'!$A$28:$A$178,0)),"")</f>
        <v>1</v>
      </c>
      <c r="T533" s="18" t="n">
        <f aca="false">IFERROR(ROUND(INDEX('Injectable Value'!$AA$28:$AA$178,MATCH($C533,'Injectable Value'!$A$28:$A$178,0)),1),"")</f>
        <v>32830.2</v>
      </c>
      <c r="U533" s="16" t="s">
        <v>1218</v>
      </c>
      <c r="V533" s="15" t="n">
        <v>11</v>
      </c>
      <c r="W533" s="15" t="s">
        <v>1216</v>
      </c>
      <c r="X533" s="15" t="s">
        <v>248</v>
      </c>
      <c r="Y533" s="15" t="s">
        <v>249</v>
      </c>
      <c r="Z533" s="16" t="str">
        <f aca="false">IFERROR(INDEX(Scoring!$K:$K,MATCH($C533&amp;"|"&amp;$E533,Scoring!$U:$U,0)),"")</f>
        <v/>
      </c>
      <c r="AA533" s="15" t="str">
        <f aca="false">IFERROR(INDEX(Scoring!$Q:$Q,MATCH($C533&amp;"|"&amp;$E533,Scoring!$U:$U,0)),"")</f>
        <v>Excluded – IV only</v>
      </c>
      <c r="AB533" s="15" t="str">
        <f aca="false">IFERROR(INDEX(Scoring!$AK:$AK,MATCH($C533&amp;"|"&amp;$E533,Scoring!$U:$U,0)),"")</f>
        <v>Excluded – IV only</v>
      </c>
      <c r="AC533" s="18" t="n">
        <f aca="false">IFERROR(INDEX(Scoring!$M:$M,MATCH($C533&amp;"|"&amp;$E533,Scoring!$U:$U,0)),"")</f>
        <v>346</v>
      </c>
      <c r="AD533" s="15" t="str">
        <f aca="false">IFERROR(INDEX('Route of Administration'!$C$5:$C$155,MATCH($C533,'Route of Administration'!$A$5:$A$155,0)),"")</f>
        <v>IV</v>
      </c>
      <c r="AE533" s="14" t="str">
        <f aca="false">IFERROR(INDEX('Route of Administration'!$D$5:$D$155,MATCH($C533,'Route of Administration'!$A$5:$A$155,0)),"")</f>
        <v>No</v>
      </c>
    </row>
    <row r="534" customFormat="false" ht="28.35" hidden="false" customHeight="false" outlineLevel="0" collapsed="false">
      <c r="B534" s="15" t="n">
        <v>532</v>
      </c>
      <c r="C534" s="15" t="s">
        <v>635</v>
      </c>
      <c r="D534" s="15" t="s">
        <v>1475</v>
      </c>
      <c r="E534" s="15" t="s">
        <v>1206</v>
      </c>
      <c r="F534" s="15" t="s">
        <v>1913</v>
      </c>
      <c r="G534" s="16" t="s">
        <v>2400</v>
      </c>
      <c r="H534" s="15" t="s">
        <v>1505</v>
      </c>
      <c r="I534" s="17" t="n">
        <v>48.28</v>
      </c>
      <c r="J534" s="15" t="n">
        <v>1</v>
      </c>
      <c r="K534" s="15" t="n">
        <v>346</v>
      </c>
      <c r="L534" s="18" t="n">
        <v>32830.17</v>
      </c>
      <c r="M534" s="16" t="s">
        <v>636</v>
      </c>
      <c r="N534" s="17" t="n">
        <v>48.28</v>
      </c>
      <c r="O534" s="15" t="s">
        <v>1506</v>
      </c>
      <c r="P534" s="15" t="s">
        <v>1507</v>
      </c>
      <c r="Q534" s="16" t="s">
        <v>1508</v>
      </c>
      <c r="R534" s="32" t="s">
        <v>1912</v>
      </c>
      <c r="S534" s="37" t="n">
        <f aca="false">IFERROR(INDEX('Injectable Value'!$Z$28:$Z$178,MATCH($C534,'Injectable Value'!$A$28:$A$178,0)),"")</f>
        <v>1</v>
      </c>
      <c r="T534" s="18" t="n">
        <f aca="false">IFERROR(ROUND(INDEX('Injectable Value'!$AA$28:$AA$178,MATCH($C534,'Injectable Value'!$A$28:$A$178,0)),1),"")</f>
        <v>32830.2</v>
      </c>
      <c r="U534" s="16" t="s">
        <v>1218</v>
      </c>
      <c r="V534" s="15" t="n">
        <v>11</v>
      </c>
      <c r="W534" s="15" t="s">
        <v>1216</v>
      </c>
      <c r="X534" s="15" t="s">
        <v>248</v>
      </c>
      <c r="Y534" s="15" t="s">
        <v>249</v>
      </c>
      <c r="Z534" s="16" t="str">
        <f aca="false">IFERROR(INDEX(Scoring!$K:$K,MATCH($C534&amp;"|"&amp;$E534,Scoring!$U:$U,0)),"")</f>
        <v/>
      </c>
      <c r="AA534" s="15" t="str">
        <f aca="false">IFERROR(INDEX(Scoring!$Q:$Q,MATCH($C534&amp;"|"&amp;$E534,Scoring!$U:$U,0)),"")</f>
        <v>Excluded – IV only</v>
      </c>
      <c r="AB534" s="15" t="str">
        <f aca="false">IFERROR(INDEX(Scoring!$AK:$AK,MATCH($C534&amp;"|"&amp;$E534,Scoring!$U:$U,0)),"")</f>
        <v>Excluded – IV only</v>
      </c>
      <c r="AC534" s="18" t="n">
        <f aca="false">IFERROR(INDEX(Scoring!$M:$M,MATCH($C534&amp;"|"&amp;$E534,Scoring!$U:$U,0)),"")</f>
        <v>346</v>
      </c>
      <c r="AD534" s="15" t="str">
        <f aca="false">IFERROR(INDEX('Route of Administration'!$C$5:$C$155,MATCH($C534,'Route of Administration'!$A$5:$A$155,0)),"")</f>
        <v>IV</v>
      </c>
      <c r="AE534" s="14" t="str">
        <f aca="false">IFERROR(INDEX('Route of Administration'!$D$5:$D$155,MATCH($C534,'Route of Administration'!$A$5:$A$155,0)),"")</f>
        <v>No</v>
      </c>
    </row>
    <row r="535" customFormat="false" ht="28.35" hidden="false" customHeight="false" outlineLevel="0" collapsed="false">
      <c r="B535" s="15" t="n">
        <v>533</v>
      </c>
      <c r="C535" s="15" t="s">
        <v>510</v>
      </c>
      <c r="D535" s="15" t="s">
        <v>510</v>
      </c>
      <c r="E535" s="15" t="s">
        <v>1206</v>
      </c>
      <c r="F535" s="15" t="s">
        <v>1648</v>
      </c>
      <c r="G535" s="16" t="s">
        <v>1649</v>
      </c>
      <c r="H535" s="15" t="s">
        <v>1505</v>
      </c>
      <c r="I535" s="17" t="n">
        <v>343.8</v>
      </c>
      <c r="J535" s="15" t="n">
        <v>1</v>
      </c>
      <c r="K535" s="15" t="n">
        <v>47</v>
      </c>
      <c r="L535" s="18" t="n">
        <v>7904.67</v>
      </c>
      <c r="M535" s="16" t="s">
        <v>511</v>
      </c>
      <c r="N535" s="17" t="n">
        <v>343.8</v>
      </c>
      <c r="O535" s="15" t="s">
        <v>1506</v>
      </c>
      <c r="P535" s="15" t="s">
        <v>1507</v>
      </c>
      <c r="Q535" s="16" t="s">
        <v>1508</v>
      </c>
      <c r="R535" s="32" t="s">
        <v>1650</v>
      </c>
      <c r="S535" s="37" t="n">
        <f aca="false">IFERROR(INDEX('Injectable Value'!$Z$28:$Z$178,MATCH($C535,'Injectable Value'!$A$28:$A$178,0)),"")</f>
        <v>1</v>
      </c>
      <c r="T535" s="18" t="n">
        <f aca="false">IFERROR(ROUND(INDEX('Injectable Value'!$AA$28:$AA$178,MATCH($C535,'Injectable Value'!$A$28:$A$178,0)),1),"")</f>
        <v>7904.7</v>
      </c>
      <c r="U535" s="16" t="s">
        <v>1214</v>
      </c>
      <c r="V535" s="15" t="n">
        <v>9</v>
      </c>
      <c r="W535" s="15" t="s">
        <v>247</v>
      </c>
      <c r="X535" s="15" t="s">
        <v>248</v>
      </c>
      <c r="Y535" s="15" t="s">
        <v>249</v>
      </c>
      <c r="Z535" s="16" t="str">
        <f aca="false">IFERROR(INDEX(Scoring!$K:$K,MATCH($C535&amp;"|"&amp;$E535,Scoring!$U:$U,0)),"")</f>
        <v/>
      </c>
      <c r="AA535" s="15" t="str">
        <f aca="false">IFERROR(INDEX(Scoring!$Q:$Q,MATCH($C535&amp;"|"&amp;$E535,Scoring!$U:$U,0)),"")</f>
        <v>Priority 2</v>
      </c>
      <c r="AB535" s="15" t="str">
        <f aca="false">IFERROR(INDEX(Scoring!$AK:$AK,MATCH($C535&amp;"|"&amp;$E535,Scoring!$U:$U,0)),"")</f>
        <v>Priority 2</v>
      </c>
      <c r="AC535" s="18" t="n">
        <f aca="false">IFERROR(INDEX(Scoring!$M:$M,MATCH($C535&amp;"|"&amp;$E535,Scoring!$U:$U,0)),"")</f>
        <v>47</v>
      </c>
      <c r="AD535" s="15" t="str">
        <f aca="false">IFERROR(INDEX('Route of Administration'!$C$5:$C$155,MATCH($C535,'Route of Administration'!$A$5:$A$155,0)),"")</f>
        <v>SC</v>
      </c>
      <c r="AE535" s="14" t="str">
        <f aca="false">IFERROR(INDEX('Route of Administration'!$D$5:$D$155,MATCH($C535,'Route of Administration'!$A$5:$A$155,0)),"")</f>
        <v>Yes</v>
      </c>
    </row>
    <row r="536" customFormat="false" ht="28.35" hidden="false" customHeight="false" outlineLevel="0" collapsed="false">
      <c r="B536" s="15" t="n">
        <v>534</v>
      </c>
      <c r="C536" s="15" t="s">
        <v>635</v>
      </c>
      <c r="D536" s="15" t="s">
        <v>635</v>
      </c>
      <c r="E536" s="15" t="s">
        <v>1206</v>
      </c>
      <c r="F536" s="15" t="s">
        <v>1732</v>
      </c>
      <c r="G536" s="16" t="s">
        <v>1855</v>
      </c>
      <c r="H536" s="15" t="s">
        <v>1505</v>
      </c>
      <c r="I536" s="17" t="n">
        <v>55.26</v>
      </c>
      <c r="J536" s="15" t="n">
        <v>1</v>
      </c>
      <c r="K536" s="15" t="n">
        <v>346</v>
      </c>
      <c r="L536" s="18" t="n">
        <v>32830.17</v>
      </c>
      <c r="M536" s="16" t="s">
        <v>636</v>
      </c>
      <c r="N536" s="17" t="n">
        <v>55.26</v>
      </c>
      <c r="O536" s="15" t="s">
        <v>1506</v>
      </c>
      <c r="P536" s="15" t="s">
        <v>1672</v>
      </c>
      <c r="Q536" s="16" t="s">
        <v>1508</v>
      </c>
      <c r="R536" s="32" t="s">
        <v>2473</v>
      </c>
      <c r="S536" s="37" t="n">
        <f aca="false">IFERROR(INDEX('Injectable Value'!$Z$28:$Z$178,MATCH($C536,'Injectable Value'!$A$28:$A$178,0)),"")</f>
        <v>1</v>
      </c>
      <c r="T536" s="18" t="n">
        <f aca="false">IFERROR(ROUND(INDEX('Injectable Value'!$AA$28:$AA$178,MATCH($C536,'Injectable Value'!$A$28:$A$178,0)),1),"")</f>
        <v>32830.2</v>
      </c>
      <c r="U536" s="16" t="s">
        <v>1218</v>
      </c>
      <c r="V536" s="15" t="n">
        <v>11</v>
      </c>
      <c r="W536" s="15" t="s">
        <v>1216</v>
      </c>
      <c r="X536" s="15" t="s">
        <v>248</v>
      </c>
      <c r="Y536" s="15" t="s">
        <v>249</v>
      </c>
      <c r="Z536" s="16" t="str">
        <f aca="false">IFERROR(INDEX(Scoring!$K:$K,MATCH($C536&amp;"|"&amp;$E536,Scoring!$U:$U,0)),"")</f>
        <v/>
      </c>
      <c r="AA536" s="15" t="str">
        <f aca="false">IFERROR(INDEX(Scoring!$Q:$Q,MATCH($C536&amp;"|"&amp;$E536,Scoring!$U:$U,0)),"")</f>
        <v>Excluded – IV only</v>
      </c>
      <c r="AB536" s="15" t="str">
        <f aca="false">IFERROR(INDEX(Scoring!$AK:$AK,MATCH($C536&amp;"|"&amp;$E536,Scoring!$U:$U,0)),"")</f>
        <v>Excluded – IV only</v>
      </c>
      <c r="AC536" s="18" t="n">
        <f aca="false">IFERROR(INDEX(Scoring!$M:$M,MATCH($C536&amp;"|"&amp;$E536,Scoring!$U:$U,0)),"")</f>
        <v>346</v>
      </c>
      <c r="AD536" s="15" t="str">
        <f aca="false">IFERROR(INDEX('Route of Administration'!$C$5:$C$155,MATCH($C536,'Route of Administration'!$A$5:$A$155,0)),"")</f>
        <v>IV</v>
      </c>
      <c r="AE536" s="14" t="str">
        <f aca="false">IFERROR(INDEX('Route of Administration'!$D$5:$D$155,MATCH($C536,'Route of Administration'!$A$5:$A$155,0)),"")</f>
        <v>No</v>
      </c>
    </row>
    <row r="537" customFormat="false" ht="28.35" hidden="false" customHeight="false" outlineLevel="0" collapsed="false">
      <c r="B537" s="15" t="n">
        <v>535</v>
      </c>
      <c r="C537" s="15" t="s">
        <v>305</v>
      </c>
      <c r="D537" s="15" t="s">
        <v>305</v>
      </c>
      <c r="E537" s="15" t="s">
        <v>1206</v>
      </c>
      <c r="F537" s="15" t="s">
        <v>1652</v>
      </c>
      <c r="G537" s="16" t="s">
        <v>1653</v>
      </c>
      <c r="H537" s="15" t="s">
        <v>1505</v>
      </c>
      <c r="I537" s="17" t="n">
        <v>698.02</v>
      </c>
      <c r="J537" s="15" t="n">
        <v>1</v>
      </c>
      <c r="K537" s="15" t="n">
        <v>905</v>
      </c>
      <c r="L537" s="18" t="n">
        <v>28093.38</v>
      </c>
      <c r="M537" s="16" t="s">
        <v>306</v>
      </c>
      <c r="N537" s="17" t="n">
        <v>698.02</v>
      </c>
      <c r="O537" s="15" t="s">
        <v>1506</v>
      </c>
      <c r="P537" s="15" t="s">
        <v>1672</v>
      </c>
      <c r="Q537" s="16" t="s">
        <v>1508</v>
      </c>
      <c r="R537" s="32" t="s">
        <v>2474</v>
      </c>
      <c r="S537" s="37" t="n">
        <f aca="false">IFERROR(INDEX('Injectable Value'!$Z$28:$Z$178,MATCH($C537,'Injectable Value'!$A$28:$A$178,0)),"")</f>
        <v>1</v>
      </c>
      <c r="T537" s="18" t="n">
        <f aca="false">IFERROR(ROUND(INDEX('Injectable Value'!$AA$28:$AA$178,MATCH($C537,'Injectable Value'!$A$28:$A$178,0)),1),"")</f>
        <v>28093.4</v>
      </c>
      <c r="U537" s="16" t="s">
        <v>1208</v>
      </c>
      <c r="V537" s="15" t="n">
        <v>5</v>
      </c>
      <c r="W537" s="15" t="s">
        <v>823</v>
      </c>
      <c r="X537" s="15" t="s">
        <v>248</v>
      </c>
      <c r="Y537" s="15" t="s">
        <v>299</v>
      </c>
      <c r="Z537" s="16" t="str">
        <f aca="false">IFERROR(INDEX(Scoring!$K:$K,MATCH($C537&amp;"|"&amp;$E537,Scoring!$U:$U,0)),"")</f>
        <v>Cancer drug (cytotoxic) – less relevant; Reconstitution</v>
      </c>
      <c r="AA537" s="15" t="str">
        <f aca="false">IFERROR(INDEX(Scoring!$Q:$Q,MATCH($C537&amp;"|"&amp;$E537,Scoring!$U:$U,0)),"")</f>
        <v>Priority 1</v>
      </c>
      <c r="AB537" s="15" t="str">
        <f aca="false">IFERROR(INDEX(Scoring!$AK:$AK,MATCH($C537&amp;"|"&amp;$E537,Scoring!$U:$U,0)),"")</f>
        <v>Priority 1</v>
      </c>
      <c r="AC537" s="18" t="n">
        <f aca="false">IFERROR(INDEX(Scoring!$M:$M,MATCH($C537&amp;"|"&amp;$E537,Scoring!$U:$U,0)),"")</f>
        <v>905</v>
      </c>
      <c r="AD537" s="15" t="str">
        <f aca="false">IFERROR(INDEX('Route of Administration'!$C$5:$C$155,MATCH($C537,'Route of Administration'!$A$5:$A$155,0)),"")</f>
        <v>IV, SC</v>
      </c>
      <c r="AE537" s="14" t="str">
        <f aca="false">IFERROR(INDEX('Route of Administration'!$D$5:$D$155,MATCH($C537,'Route of Administration'!$A$5:$A$155,0)),"")</f>
        <v>Yes</v>
      </c>
    </row>
    <row r="538" customFormat="false" ht="28.35" hidden="false" customHeight="false" outlineLevel="0" collapsed="false">
      <c r="B538" s="15" t="n">
        <v>536</v>
      </c>
      <c r="C538" s="15" t="s">
        <v>1209</v>
      </c>
      <c r="D538" s="15" t="s">
        <v>1209</v>
      </c>
      <c r="E538" s="15" t="s">
        <v>1206</v>
      </c>
      <c r="F538" s="15" t="s">
        <v>2475</v>
      </c>
      <c r="G538" s="16" t="s">
        <v>2476</v>
      </c>
      <c r="H538" s="15" t="s">
        <v>1505</v>
      </c>
      <c r="I538" s="17" t="n">
        <v>66.93</v>
      </c>
      <c r="J538" s="15" t="n">
        <v>1</v>
      </c>
      <c r="K538" s="15" t="n">
        <v>5</v>
      </c>
      <c r="L538" s="18" t="n">
        <v>135.07</v>
      </c>
      <c r="M538" s="16" t="s">
        <v>1210</v>
      </c>
      <c r="N538" s="17" t="n">
        <v>66.93</v>
      </c>
      <c r="O538" s="15" t="s">
        <v>1506</v>
      </c>
      <c r="P538" s="15" t="s">
        <v>1507</v>
      </c>
      <c r="Q538" s="16" t="s">
        <v>1508</v>
      </c>
      <c r="R538" s="32" t="s">
        <v>2477</v>
      </c>
      <c r="S538" s="37" t="n">
        <f aca="false">IFERROR(INDEX('Injectable Value'!$Z$28:$Z$178,MATCH($C538,'Injectable Value'!$A$28:$A$178,0)),"")</f>
        <v>1</v>
      </c>
      <c r="T538" s="18" t="n">
        <f aca="false">IFERROR(ROUND(INDEX('Injectable Value'!$AA$28:$AA$178,MATCH($C538,'Injectable Value'!$A$28:$A$178,0)),1),"")</f>
        <v>135.1</v>
      </c>
      <c r="U538" s="16" t="s">
        <v>740</v>
      </c>
      <c r="V538" s="15" t="n">
        <v>2</v>
      </c>
      <c r="W538" s="15" t="s">
        <v>740</v>
      </c>
      <c r="X538" s="15" t="s">
        <v>248</v>
      </c>
      <c r="Y538" s="15" t="s">
        <v>249</v>
      </c>
      <c r="Z538" s="16" t="str">
        <f aca="false">IFERROR(INDEX(Scoring!$K:$K,MATCH($C538&amp;"|"&amp;$E538,Scoring!$U:$U,0)),"")</f>
        <v/>
      </c>
      <c r="AA538" s="15" t="str">
        <f aca="false">IFERROR(INDEX(Scoring!$Q:$Q,MATCH($C538&amp;"|"&amp;$E538,Scoring!$U:$U,0)),"")</f>
        <v>Excluded – IV only</v>
      </c>
      <c r="AB538" s="15" t="str">
        <f aca="false">IFERROR(INDEX(Scoring!$AK:$AK,MATCH($C538&amp;"|"&amp;$E538,Scoring!$U:$U,0)),"")</f>
        <v>Excluded – IV only</v>
      </c>
      <c r="AC538" s="18" t="n">
        <f aca="false">IFERROR(INDEX(Scoring!$M:$M,MATCH($C538&amp;"|"&amp;$E538,Scoring!$U:$U,0)),"")</f>
        <v>5</v>
      </c>
      <c r="AD538" s="15" t="str">
        <f aca="false">IFERROR(INDEX('Route of Administration'!$C$5:$C$155,MATCH($C538,'Route of Administration'!$A$5:$A$155,0)),"")</f>
        <v>IV</v>
      </c>
      <c r="AE538" s="14" t="str">
        <f aca="false">IFERROR(INDEX('Route of Administration'!$D$5:$D$155,MATCH($C538,'Route of Administration'!$A$5:$A$155,0)),"")</f>
        <v>No</v>
      </c>
    </row>
    <row r="539" customFormat="false" ht="28.35" hidden="false" customHeight="false" outlineLevel="0" collapsed="false">
      <c r="B539" s="15" t="n">
        <v>537</v>
      </c>
      <c r="C539" s="15" t="s">
        <v>305</v>
      </c>
      <c r="D539" s="15" t="s">
        <v>2478</v>
      </c>
      <c r="E539" s="15" t="s">
        <v>1206</v>
      </c>
      <c r="F539" s="15" t="s">
        <v>1675</v>
      </c>
      <c r="G539" s="16" t="s">
        <v>1653</v>
      </c>
      <c r="H539" s="15" t="s">
        <v>1505</v>
      </c>
      <c r="I539" s="17" t="n">
        <v>705.4703</v>
      </c>
      <c r="J539" s="15" t="n">
        <v>29</v>
      </c>
      <c r="K539" s="15" t="n">
        <v>905</v>
      </c>
      <c r="L539" s="18" t="n">
        <v>28093.38</v>
      </c>
      <c r="M539" s="16" t="s">
        <v>306</v>
      </c>
      <c r="N539" s="17" t="n">
        <v>705.4703</v>
      </c>
      <c r="O539" s="15" t="s">
        <v>1506</v>
      </c>
      <c r="P539" s="15" t="s">
        <v>1672</v>
      </c>
      <c r="Q539" s="16" t="s">
        <v>1508</v>
      </c>
      <c r="R539" s="32" t="s">
        <v>2479</v>
      </c>
      <c r="S539" s="37" t="n">
        <f aca="false">IFERROR(INDEX('Injectable Value'!$Z$28:$Z$178,MATCH($C539,'Injectable Value'!$A$28:$A$178,0)),"")</f>
        <v>1</v>
      </c>
      <c r="T539" s="18" t="n">
        <f aca="false">IFERROR(ROUND(INDEX('Injectable Value'!$AA$28:$AA$178,MATCH($C539,'Injectable Value'!$A$28:$A$178,0)),1),"")</f>
        <v>28093.4</v>
      </c>
      <c r="U539" s="16" t="s">
        <v>1208</v>
      </c>
      <c r="V539" s="15" t="n">
        <v>5</v>
      </c>
      <c r="W539" s="15" t="s">
        <v>823</v>
      </c>
      <c r="X539" s="15" t="s">
        <v>248</v>
      </c>
      <c r="Y539" s="15" t="s">
        <v>299</v>
      </c>
      <c r="Z539" s="16" t="str">
        <f aca="false">IFERROR(INDEX(Scoring!$K:$K,MATCH($C539&amp;"|"&amp;$E539,Scoring!$U:$U,0)),"")</f>
        <v>Cancer drug (cytotoxic) – less relevant; Reconstitution</v>
      </c>
      <c r="AA539" s="15" t="str">
        <f aca="false">IFERROR(INDEX(Scoring!$Q:$Q,MATCH($C539&amp;"|"&amp;$E539,Scoring!$U:$U,0)),"")</f>
        <v>Priority 1</v>
      </c>
      <c r="AB539" s="15" t="str">
        <f aca="false">IFERROR(INDEX(Scoring!$AK:$AK,MATCH($C539&amp;"|"&amp;$E539,Scoring!$U:$U,0)),"")</f>
        <v>Priority 1</v>
      </c>
      <c r="AC539" s="18" t="n">
        <f aca="false">IFERROR(INDEX(Scoring!$M:$M,MATCH($C539&amp;"|"&amp;$E539,Scoring!$U:$U,0)),"")</f>
        <v>905</v>
      </c>
      <c r="AD539" s="15" t="str">
        <f aca="false">IFERROR(INDEX('Route of Administration'!$C$5:$C$155,MATCH($C539,'Route of Administration'!$A$5:$A$155,0)),"")</f>
        <v>IV, SC</v>
      </c>
      <c r="AE539" s="14" t="str">
        <f aca="false">IFERROR(INDEX('Route of Administration'!$D$5:$D$155,MATCH($C539,'Route of Administration'!$A$5:$A$155,0)),"")</f>
        <v>Yes</v>
      </c>
    </row>
    <row r="540" customFormat="false" ht="15" hidden="false" customHeight="false" outlineLevel="0" collapsed="false">
      <c r="B540" s="15" t="n">
        <v>538</v>
      </c>
      <c r="C540" s="15" t="s">
        <v>1209</v>
      </c>
      <c r="D540" s="15" t="s">
        <v>2480</v>
      </c>
      <c r="E540" s="15" t="s">
        <v>1206</v>
      </c>
      <c r="F540" s="15" t="s">
        <v>2481</v>
      </c>
      <c r="G540" s="16"/>
      <c r="H540" s="15"/>
      <c r="I540" s="17"/>
      <c r="J540" s="15" t="n">
        <v>30</v>
      </c>
      <c r="K540" s="15" t="n">
        <v>5</v>
      </c>
      <c r="L540" s="18" t="n">
        <v>135.07</v>
      </c>
      <c r="M540" s="16" t="s">
        <v>1210</v>
      </c>
      <c r="N540" s="17"/>
      <c r="O540" s="15" t="s">
        <v>1545</v>
      </c>
      <c r="P540" s="15" t="s">
        <v>70</v>
      </c>
      <c r="Q540" s="16" t="s">
        <v>70</v>
      </c>
      <c r="R540" s="15"/>
      <c r="S540" s="37" t="n">
        <f aca="false">IFERROR(INDEX('Injectable Value'!$Z$28:$Z$178,MATCH($C540,'Injectable Value'!$A$28:$A$178,0)),"")</f>
        <v>1</v>
      </c>
      <c r="T540" s="18" t="n">
        <f aca="false">IFERROR(ROUND(INDEX('Injectable Value'!$AA$28:$AA$178,MATCH($C540,'Injectable Value'!$A$28:$A$178,0)),1),"")</f>
        <v>135.1</v>
      </c>
      <c r="U540" s="16" t="s">
        <v>740</v>
      </c>
      <c r="V540" s="15" t="n">
        <v>2</v>
      </c>
      <c r="W540" s="15" t="s">
        <v>740</v>
      </c>
      <c r="X540" s="15" t="s">
        <v>277</v>
      </c>
      <c r="Y540" s="15" t="s">
        <v>277</v>
      </c>
      <c r="Z540" s="16" t="str">
        <f aca="false">IFERROR(INDEX(Scoring!$K:$K,MATCH($C540&amp;"|"&amp;$E540,Scoring!$U:$U,0)),"")</f>
        <v/>
      </c>
      <c r="AA540" s="15" t="str">
        <f aca="false">IFERROR(INDEX(Scoring!$Q:$Q,MATCH($C540&amp;"|"&amp;$E540,Scoring!$U:$U,0)),"")</f>
        <v>Excluded – IV only</v>
      </c>
      <c r="AB540" s="15" t="str">
        <f aca="false">IFERROR(INDEX(Scoring!$AK:$AK,MATCH($C540&amp;"|"&amp;$E540,Scoring!$U:$U,0)),"")</f>
        <v>Excluded – IV only</v>
      </c>
      <c r="AC540" s="18" t="n">
        <f aca="false">IFERROR(INDEX(Scoring!$M:$M,MATCH($C540&amp;"|"&amp;$E540,Scoring!$U:$U,0)),"")</f>
        <v>5</v>
      </c>
      <c r="AD540" s="15" t="str">
        <f aca="false">IFERROR(INDEX('Route of Administration'!$C$5:$C$155,MATCH($C540,'Route of Administration'!$A$5:$A$155,0)),"")</f>
        <v>IV</v>
      </c>
      <c r="AE540" s="14" t="str">
        <f aca="false">IFERROR(INDEX('Route of Administration'!$D$5:$D$155,MATCH($C540,'Route of Administration'!$A$5:$A$155,0)),"")</f>
        <v>No</v>
      </c>
    </row>
    <row r="541" customFormat="false" ht="28.35" hidden="false" customHeight="false" outlineLevel="0" collapsed="false">
      <c r="B541" s="15" t="n">
        <v>539</v>
      </c>
      <c r="C541" s="15" t="s">
        <v>635</v>
      </c>
      <c r="D541" s="15" t="s">
        <v>2482</v>
      </c>
      <c r="E541" s="15" t="s">
        <v>1206</v>
      </c>
      <c r="F541" s="15" t="s">
        <v>1817</v>
      </c>
      <c r="G541" s="16" t="s">
        <v>1818</v>
      </c>
      <c r="H541" s="15" t="s">
        <v>1505</v>
      </c>
      <c r="I541" s="17"/>
      <c r="J541" s="15" t="n">
        <v>1</v>
      </c>
      <c r="K541" s="15" t="n">
        <v>346</v>
      </c>
      <c r="L541" s="18" t="n">
        <v>32830.17</v>
      </c>
      <c r="M541" s="16" t="s">
        <v>636</v>
      </c>
      <c r="N541" s="17"/>
      <c r="O541" s="15" t="s">
        <v>1545</v>
      </c>
      <c r="P541" s="15" t="s">
        <v>70</v>
      </c>
      <c r="Q541" s="16" t="s">
        <v>70</v>
      </c>
      <c r="R541" s="15"/>
      <c r="S541" s="37" t="n">
        <f aca="false">IFERROR(INDEX('Injectable Value'!$Z$28:$Z$178,MATCH($C541,'Injectable Value'!$A$28:$A$178,0)),"")</f>
        <v>1</v>
      </c>
      <c r="T541" s="18" t="n">
        <f aca="false">IFERROR(ROUND(INDEX('Injectable Value'!$AA$28:$AA$178,MATCH($C541,'Injectable Value'!$A$28:$A$178,0)),1),"")</f>
        <v>32830.2</v>
      </c>
      <c r="U541" s="16" t="s">
        <v>1218</v>
      </c>
      <c r="V541" s="15" t="n">
        <v>11</v>
      </c>
      <c r="W541" s="15" t="s">
        <v>1216</v>
      </c>
      <c r="X541" s="15" t="s">
        <v>248</v>
      </c>
      <c r="Y541" s="15" t="s">
        <v>249</v>
      </c>
      <c r="Z541" s="16" t="str">
        <f aca="false">IFERROR(INDEX(Scoring!$K:$K,MATCH($C541&amp;"|"&amp;$E541,Scoring!$U:$U,0)),"")</f>
        <v/>
      </c>
      <c r="AA541" s="15" t="str">
        <f aca="false">IFERROR(INDEX(Scoring!$Q:$Q,MATCH($C541&amp;"|"&amp;$E541,Scoring!$U:$U,0)),"")</f>
        <v>Excluded – IV only</v>
      </c>
      <c r="AB541" s="15" t="str">
        <f aca="false">IFERROR(INDEX(Scoring!$AK:$AK,MATCH($C541&amp;"|"&amp;$E541,Scoring!$U:$U,0)),"")</f>
        <v>Excluded – IV only</v>
      </c>
      <c r="AC541" s="18" t="n">
        <f aca="false">IFERROR(INDEX(Scoring!$M:$M,MATCH($C541&amp;"|"&amp;$E541,Scoring!$U:$U,0)),"")</f>
        <v>346</v>
      </c>
      <c r="AD541" s="15" t="str">
        <f aca="false">IFERROR(INDEX('Route of Administration'!$C$5:$C$155,MATCH($C541,'Route of Administration'!$A$5:$A$155,0)),"")</f>
        <v>IV</v>
      </c>
      <c r="AE541" s="14" t="str">
        <f aca="false">IFERROR(INDEX('Route of Administration'!$D$5:$D$155,MATCH($C541,'Route of Administration'!$A$5:$A$155,0)),"")</f>
        <v>No</v>
      </c>
    </row>
    <row r="542" customFormat="false" ht="28.35" hidden="false" customHeight="false" outlineLevel="0" collapsed="false">
      <c r="B542" s="15" t="n">
        <v>540</v>
      </c>
      <c r="C542" s="15" t="s">
        <v>635</v>
      </c>
      <c r="D542" s="15" t="s">
        <v>2482</v>
      </c>
      <c r="E542" s="15" t="s">
        <v>1206</v>
      </c>
      <c r="F542" s="15" t="s">
        <v>1819</v>
      </c>
      <c r="G542" s="16" t="s">
        <v>1820</v>
      </c>
      <c r="H542" s="15" t="s">
        <v>1505</v>
      </c>
      <c r="I542" s="17"/>
      <c r="J542" s="15" t="n">
        <v>1</v>
      </c>
      <c r="K542" s="15" t="n">
        <v>346</v>
      </c>
      <c r="L542" s="18" t="n">
        <v>32830.17</v>
      </c>
      <c r="M542" s="16" t="s">
        <v>636</v>
      </c>
      <c r="N542" s="17"/>
      <c r="O542" s="15" t="s">
        <v>1545</v>
      </c>
      <c r="P542" s="15" t="s">
        <v>70</v>
      </c>
      <c r="Q542" s="16" t="s">
        <v>70</v>
      </c>
      <c r="R542" s="15"/>
      <c r="S542" s="37" t="n">
        <f aca="false">IFERROR(INDEX('Injectable Value'!$Z$28:$Z$178,MATCH($C542,'Injectable Value'!$A$28:$A$178,0)),"")</f>
        <v>1</v>
      </c>
      <c r="T542" s="18" t="n">
        <f aca="false">IFERROR(ROUND(INDEX('Injectable Value'!$AA$28:$AA$178,MATCH($C542,'Injectable Value'!$A$28:$A$178,0)),1),"")</f>
        <v>32830.2</v>
      </c>
      <c r="U542" s="16" t="s">
        <v>1218</v>
      </c>
      <c r="V542" s="15" t="n">
        <v>11</v>
      </c>
      <c r="W542" s="15" t="s">
        <v>1216</v>
      </c>
      <c r="X542" s="15" t="s">
        <v>248</v>
      </c>
      <c r="Y542" s="15" t="s">
        <v>249</v>
      </c>
      <c r="Z542" s="16" t="str">
        <f aca="false">IFERROR(INDEX(Scoring!$K:$K,MATCH($C542&amp;"|"&amp;$E542,Scoring!$U:$U,0)),"")</f>
        <v/>
      </c>
      <c r="AA542" s="15" t="str">
        <f aca="false">IFERROR(INDEX(Scoring!$Q:$Q,MATCH($C542&amp;"|"&amp;$E542,Scoring!$U:$U,0)),"")</f>
        <v>Excluded – IV only</v>
      </c>
      <c r="AB542" s="15" t="str">
        <f aca="false">IFERROR(INDEX(Scoring!$AK:$AK,MATCH($C542&amp;"|"&amp;$E542,Scoring!$U:$U,0)),"")</f>
        <v>Excluded – IV only</v>
      </c>
      <c r="AC542" s="18" t="n">
        <f aca="false">IFERROR(INDEX(Scoring!$M:$M,MATCH($C542&amp;"|"&amp;$E542,Scoring!$U:$U,0)),"")</f>
        <v>346</v>
      </c>
      <c r="AD542" s="15" t="str">
        <f aca="false">IFERROR(INDEX('Route of Administration'!$C$5:$C$155,MATCH($C542,'Route of Administration'!$A$5:$A$155,0)),"")</f>
        <v>IV</v>
      </c>
      <c r="AE542" s="14" t="str">
        <f aca="false">IFERROR(INDEX('Route of Administration'!$D$5:$D$155,MATCH($C542,'Route of Administration'!$A$5:$A$155,0)),"")</f>
        <v>No</v>
      </c>
    </row>
    <row r="543" customFormat="false" ht="28.35" hidden="false" customHeight="false" outlineLevel="0" collapsed="false">
      <c r="B543" s="15" t="n">
        <v>541</v>
      </c>
      <c r="C543" s="15" t="s">
        <v>305</v>
      </c>
      <c r="D543" s="15" t="s">
        <v>2483</v>
      </c>
      <c r="E543" s="15" t="s">
        <v>1206</v>
      </c>
      <c r="F543" s="15" t="s">
        <v>1774</v>
      </c>
      <c r="G543" s="16" t="s">
        <v>1775</v>
      </c>
      <c r="H543" s="15" t="s">
        <v>1505</v>
      </c>
      <c r="I543" s="17" t="n">
        <v>14.329</v>
      </c>
      <c r="J543" s="15" t="n">
        <v>1</v>
      </c>
      <c r="K543" s="15" t="n">
        <v>905</v>
      </c>
      <c r="L543" s="18" t="n">
        <v>28093.38</v>
      </c>
      <c r="M543" s="16" t="s">
        <v>306</v>
      </c>
      <c r="N543" s="17" t="n">
        <v>14.329</v>
      </c>
      <c r="O543" s="15" t="s">
        <v>1506</v>
      </c>
      <c r="P543" s="15" t="s">
        <v>1507</v>
      </c>
      <c r="Q543" s="16" t="s">
        <v>1508</v>
      </c>
      <c r="R543" s="32" t="s">
        <v>1776</v>
      </c>
      <c r="S543" s="37" t="n">
        <f aca="false">IFERROR(INDEX('Injectable Value'!$Z$28:$Z$178,MATCH($C543,'Injectable Value'!$A$28:$A$178,0)),"")</f>
        <v>1</v>
      </c>
      <c r="T543" s="18" t="n">
        <f aca="false">IFERROR(ROUND(INDEX('Injectable Value'!$AA$28:$AA$178,MATCH($C543,'Injectable Value'!$A$28:$A$178,0)),1),"")</f>
        <v>28093.4</v>
      </c>
      <c r="U543" s="16" t="s">
        <v>1208</v>
      </c>
      <c r="V543" s="15" t="n">
        <v>5</v>
      </c>
      <c r="W543" s="15" t="s">
        <v>823</v>
      </c>
      <c r="X543" s="15" t="s">
        <v>248</v>
      </c>
      <c r="Y543" s="15" t="s">
        <v>299</v>
      </c>
      <c r="Z543" s="16" t="str">
        <f aca="false">IFERROR(INDEX(Scoring!$K:$K,MATCH($C543&amp;"|"&amp;$E543,Scoring!$U:$U,0)),"")</f>
        <v>Cancer drug (cytotoxic) – less relevant; Reconstitution</v>
      </c>
      <c r="AA543" s="15" t="str">
        <f aca="false">IFERROR(INDEX(Scoring!$Q:$Q,MATCH($C543&amp;"|"&amp;$E543,Scoring!$U:$U,0)),"")</f>
        <v>Priority 1</v>
      </c>
      <c r="AB543" s="15" t="str">
        <f aca="false">IFERROR(INDEX(Scoring!$AK:$AK,MATCH($C543&amp;"|"&amp;$E543,Scoring!$U:$U,0)),"")</f>
        <v>Priority 1</v>
      </c>
      <c r="AC543" s="18" t="n">
        <f aca="false">IFERROR(INDEX(Scoring!$M:$M,MATCH($C543&amp;"|"&amp;$E543,Scoring!$U:$U,0)),"")</f>
        <v>905</v>
      </c>
      <c r="AD543" s="15" t="str">
        <f aca="false">IFERROR(INDEX('Route of Administration'!$C$5:$C$155,MATCH($C543,'Route of Administration'!$A$5:$A$155,0)),"")</f>
        <v>IV, SC</v>
      </c>
      <c r="AE543" s="14" t="str">
        <f aca="false">IFERROR(INDEX('Route of Administration'!$D$5:$D$155,MATCH($C543,'Route of Administration'!$A$5:$A$155,0)),"")</f>
        <v>Yes</v>
      </c>
    </row>
    <row r="544" customFormat="false" ht="28.35" hidden="false" customHeight="false" outlineLevel="0" collapsed="false">
      <c r="B544" s="15" t="n">
        <v>542</v>
      </c>
      <c r="C544" s="15" t="s">
        <v>313</v>
      </c>
      <c r="D544" s="15" t="s">
        <v>1250</v>
      </c>
      <c r="E544" s="15" t="s">
        <v>1248</v>
      </c>
      <c r="F544" s="15" t="s">
        <v>2484</v>
      </c>
      <c r="G544" s="16" t="s">
        <v>2485</v>
      </c>
      <c r="H544" s="15" t="s">
        <v>1505</v>
      </c>
      <c r="I544" s="17" t="n">
        <v>6.47</v>
      </c>
      <c r="J544" s="15" t="n">
        <v>1</v>
      </c>
      <c r="K544" s="15" t="n">
        <v>598</v>
      </c>
      <c r="L544" s="18" t="n">
        <v>16840.43</v>
      </c>
      <c r="M544" s="16" t="s">
        <v>314</v>
      </c>
      <c r="N544" s="17" t="n">
        <v>6.47</v>
      </c>
      <c r="O544" s="15" t="s">
        <v>1506</v>
      </c>
      <c r="P544" s="15" t="s">
        <v>1507</v>
      </c>
      <c r="Q544" s="16" t="s">
        <v>1508</v>
      </c>
      <c r="R544" s="32" t="s">
        <v>2486</v>
      </c>
      <c r="S544" s="37" t="n">
        <f aca="false">IFERROR(INDEX('Injectable Value'!$Z$28:$Z$178,MATCH($C544,'Injectable Value'!$A$28:$A$178,0)),"")</f>
        <v>0.971428571428571</v>
      </c>
      <c r="T544" s="18" t="n">
        <f aca="false">IFERROR(ROUND(INDEX('Injectable Value'!$AA$28:$AA$178,MATCH($C544,'Injectable Value'!$A$28:$A$178,0)),1),"")</f>
        <v>16359.3</v>
      </c>
      <c r="U544" s="16" t="s">
        <v>247</v>
      </c>
      <c r="V544" s="15" t="n">
        <v>1</v>
      </c>
      <c r="W544" s="15" t="s">
        <v>247</v>
      </c>
      <c r="X544" s="15" t="s">
        <v>248</v>
      </c>
      <c r="Y544" s="15" t="s">
        <v>249</v>
      </c>
      <c r="Z544" s="16" t="str">
        <f aca="false">IFERROR(INDEX(Scoring!$K:$K,MATCH($C544&amp;"|"&amp;$E544,Scoring!$U:$U,0)),"")</f>
        <v/>
      </c>
      <c r="AA544" s="15" t="str">
        <f aca="false">IFERROR(INDEX(Scoring!$Q:$Q,MATCH($C544&amp;"|"&amp;$E544,Scoring!$U:$U,0)),"")</f>
        <v>Priority 2</v>
      </c>
      <c r="AB544" s="15" t="str">
        <f aca="false">IFERROR(INDEX(Scoring!$AK:$AK,MATCH($C544&amp;"|"&amp;$E544,Scoring!$U:$U,0)),"")</f>
        <v>Priority 2</v>
      </c>
      <c r="AC544" s="18" t="n">
        <f aca="false">IFERROR(INDEX(Scoring!$M:$M,MATCH($C544&amp;"|"&amp;$E544,Scoring!$U:$U,0)),"")</f>
        <v>581</v>
      </c>
      <c r="AD544" s="15" t="str">
        <f aca="false">IFERROR(INDEX('Route of Administration'!$C$5:$C$155,MATCH($C544,'Route of Administration'!$A$5:$A$155,0)),"")</f>
        <v>Epidural, intra-articular, SC, perineural</v>
      </c>
      <c r="AE544" s="14" t="str">
        <f aca="false">IFERROR(INDEX('Route of Administration'!$D$5:$D$155,MATCH($C544,'Route of Administration'!$A$5:$A$155,0)),"")</f>
        <v>Yes</v>
      </c>
    </row>
    <row r="545" customFormat="false" ht="28.35" hidden="false" customHeight="false" outlineLevel="0" collapsed="false">
      <c r="B545" s="15" t="n">
        <v>543</v>
      </c>
      <c r="C545" s="15" t="s">
        <v>313</v>
      </c>
      <c r="D545" s="15" t="s">
        <v>1250</v>
      </c>
      <c r="E545" s="15" t="s">
        <v>1248</v>
      </c>
      <c r="F545" s="15" t="s">
        <v>2487</v>
      </c>
      <c r="G545" s="16" t="s">
        <v>2488</v>
      </c>
      <c r="H545" s="15" t="s">
        <v>1505</v>
      </c>
      <c r="I545" s="17" t="n">
        <v>6.28</v>
      </c>
      <c r="J545" s="15" t="n">
        <v>1</v>
      </c>
      <c r="K545" s="15" t="n">
        <v>598</v>
      </c>
      <c r="L545" s="18" t="n">
        <v>16840.43</v>
      </c>
      <c r="M545" s="16" t="s">
        <v>314</v>
      </c>
      <c r="N545" s="17" t="n">
        <v>6.28</v>
      </c>
      <c r="O545" s="15" t="s">
        <v>1506</v>
      </c>
      <c r="P545" s="15" t="s">
        <v>1507</v>
      </c>
      <c r="Q545" s="16" t="s">
        <v>1508</v>
      </c>
      <c r="R545" s="32" t="s">
        <v>2486</v>
      </c>
      <c r="S545" s="37" t="n">
        <f aca="false">IFERROR(INDEX('Injectable Value'!$Z$28:$Z$178,MATCH($C545,'Injectable Value'!$A$28:$A$178,0)),"")</f>
        <v>0.971428571428571</v>
      </c>
      <c r="T545" s="18" t="n">
        <f aca="false">IFERROR(ROUND(INDEX('Injectable Value'!$AA$28:$AA$178,MATCH($C545,'Injectable Value'!$A$28:$A$178,0)),1),"")</f>
        <v>16359.3</v>
      </c>
      <c r="U545" s="16" t="s">
        <v>247</v>
      </c>
      <c r="V545" s="15" t="n">
        <v>1</v>
      </c>
      <c r="W545" s="15" t="s">
        <v>247</v>
      </c>
      <c r="X545" s="15" t="s">
        <v>248</v>
      </c>
      <c r="Y545" s="15" t="s">
        <v>249</v>
      </c>
      <c r="Z545" s="16" t="str">
        <f aca="false">IFERROR(INDEX(Scoring!$K:$K,MATCH($C545&amp;"|"&amp;$E545,Scoring!$U:$U,0)),"")</f>
        <v/>
      </c>
      <c r="AA545" s="15" t="str">
        <f aca="false">IFERROR(INDEX(Scoring!$Q:$Q,MATCH($C545&amp;"|"&amp;$E545,Scoring!$U:$U,0)),"")</f>
        <v>Priority 2</v>
      </c>
      <c r="AB545" s="15" t="str">
        <f aca="false">IFERROR(INDEX(Scoring!$AK:$AK,MATCH($C545&amp;"|"&amp;$E545,Scoring!$U:$U,0)),"")</f>
        <v>Priority 2</v>
      </c>
      <c r="AC545" s="18" t="n">
        <f aca="false">IFERROR(INDEX(Scoring!$M:$M,MATCH($C545&amp;"|"&amp;$E545,Scoring!$U:$U,0)),"")</f>
        <v>581</v>
      </c>
      <c r="AD545" s="15" t="str">
        <f aca="false">IFERROR(INDEX('Route of Administration'!$C$5:$C$155,MATCH($C545,'Route of Administration'!$A$5:$A$155,0)),"")</f>
        <v>Epidural, intra-articular, SC, perineural</v>
      </c>
      <c r="AE545" s="14" t="str">
        <f aca="false">IFERROR(INDEX('Route of Administration'!$D$5:$D$155,MATCH($C545,'Route of Administration'!$A$5:$A$155,0)),"")</f>
        <v>Yes</v>
      </c>
    </row>
    <row r="546" customFormat="false" ht="28.35" hidden="false" customHeight="false" outlineLevel="0" collapsed="false">
      <c r="B546" s="15" t="n">
        <v>544</v>
      </c>
      <c r="C546" s="15" t="s">
        <v>245</v>
      </c>
      <c r="D546" s="15" t="s">
        <v>321</v>
      </c>
      <c r="E546" s="15" t="s">
        <v>1248</v>
      </c>
      <c r="F546" s="15" t="s">
        <v>1503</v>
      </c>
      <c r="G546" s="16" t="s">
        <v>1504</v>
      </c>
      <c r="H546" s="15" t="s">
        <v>1505</v>
      </c>
      <c r="I546" s="17" t="n">
        <v>30.01</v>
      </c>
      <c r="J546" s="15" t="n">
        <v>1</v>
      </c>
      <c r="K546" s="15" t="n">
        <v>156</v>
      </c>
      <c r="L546" s="18" t="n">
        <v>3954.83</v>
      </c>
      <c r="M546" s="16" t="s">
        <v>246</v>
      </c>
      <c r="N546" s="17" t="n">
        <v>30.01</v>
      </c>
      <c r="O546" s="15" t="s">
        <v>1506</v>
      </c>
      <c r="P546" s="15" t="s">
        <v>1507</v>
      </c>
      <c r="Q546" s="16" t="s">
        <v>1508</v>
      </c>
      <c r="R546" s="32" t="s">
        <v>1509</v>
      </c>
      <c r="S546" s="37" t="n">
        <f aca="false">IFERROR(INDEX('Injectable Value'!$Z$28:$Z$178,MATCH($C546,'Injectable Value'!$A$28:$A$178,0)),"")</f>
        <v>0.916666666666667</v>
      </c>
      <c r="T546" s="18" t="n">
        <f aca="false">IFERROR(ROUND(INDEX('Injectable Value'!$AA$28:$AA$178,MATCH($C546,'Injectable Value'!$A$28:$A$178,0)),1),"")</f>
        <v>3625.3</v>
      </c>
      <c r="U546" s="16" t="s">
        <v>247</v>
      </c>
      <c r="V546" s="15" t="n">
        <v>1</v>
      </c>
      <c r="W546" s="15" t="s">
        <v>247</v>
      </c>
      <c r="X546" s="15" t="s">
        <v>248</v>
      </c>
      <c r="Y546" s="15" t="s">
        <v>249</v>
      </c>
      <c r="Z546" s="16" t="str">
        <f aca="false">IFERROR(INDEX(Scoring!$K:$K,MATCH($C546&amp;"|"&amp;$E546,Scoring!$U:$U,0)),"")</f>
        <v/>
      </c>
      <c r="AA546" s="15" t="str">
        <f aca="false">IFERROR(INDEX(Scoring!$Q:$Q,MATCH($C546&amp;"|"&amp;$E546,Scoring!$U:$U,0)),"")</f>
        <v>Priority 2</v>
      </c>
      <c r="AB546" s="15" t="str">
        <f aca="false">IFERROR(INDEX(Scoring!$AK:$AK,MATCH($C546&amp;"|"&amp;$E546,Scoring!$U:$U,0)),"")</f>
        <v>Priority 2</v>
      </c>
      <c r="AC546" s="18" t="n">
        <f aca="false">IFERROR(INDEX(Scoring!$M:$M,MATCH($C546&amp;"|"&amp;$E546,Scoring!$U:$U,0)),"")</f>
        <v>143</v>
      </c>
      <c r="AD546" s="15" t="str">
        <f aca="false">IFERROR(INDEX('Route of Administration'!$C$5:$C$155,MATCH($C546,'Route of Administration'!$A$5:$A$155,0)),"")</f>
        <v>IM</v>
      </c>
      <c r="AE546" s="14" t="str">
        <f aca="false">IFERROR(INDEX('Route of Administration'!$D$5:$D$155,MATCH($C546,'Route of Administration'!$A$5:$A$155,0)),"")</f>
        <v>Yes</v>
      </c>
    </row>
    <row r="547" customFormat="false" ht="28.35" hidden="false" customHeight="false" outlineLevel="0" collapsed="false">
      <c r="B547" s="15" t="n">
        <v>545</v>
      </c>
      <c r="C547" s="15" t="s">
        <v>1255</v>
      </c>
      <c r="D547" s="15" t="s">
        <v>1259</v>
      </c>
      <c r="E547" s="15" t="s">
        <v>1248</v>
      </c>
      <c r="F547" s="15" t="s">
        <v>2489</v>
      </c>
      <c r="G547" s="16" t="s">
        <v>2490</v>
      </c>
      <c r="H547" s="15" t="s">
        <v>1505</v>
      </c>
      <c r="I547" s="17"/>
      <c r="J547" s="15" t="n">
        <v>1</v>
      </c>
      <c r="K547" s="15" t="n">
        <v>2</v>
      </c>
      <c r="L547" s="18" t="n">
        <v>117.07</v>
      </c>
      <c r="M547" s="16" t="s">
        <v>1256</v>
      </c>
      <c r="N547" s="38" t="n">
        <v>54.62</v>
      </c>
      <c r="O547" s="22" t="s">
        <v>1513</v>
      </c>
      <c r="P547" s="15" t="s">
        <v>1507</v>
      </c>
      <c r="Q547" s="16" t="s">
        <v>1832</v>
      </c>
      <c r="R547" s="32" t="s">
        <v>1833</v>
      </c>
      <c r="S547" s="37" t="n">
        <f aca="false">IFERROR(INDEX('Injectable Value'!$Z$28:$Z$178,MATCH($C547,'Injectable Value'!$A$28:$A$178,0)),"")</f>
        <v>1</v>
      </c>
      <c r="T547" s="18" t="n">
        <f aca="false">IFERROR(ROUND(INDEX('Injectable Value'!$AA$28:$AA$178,MATCH($C547,'Injectable Value'!$A$28:$A$178,0)),1),"")</f>
        <v>117.1</v>
      </c>
      <c r="U547" s="16" t="s">
        <v>247</v>
      </c>
      <c r="V547" s="15" t="n">
        <v>1</v>
      </c>
      <c r="W547" s="15" t="s">
        <v>247</v>
      </c>
      <c r="X547" s="15" t="s">
        <v>248</v>
      </c>
      <c r="Y547" s="15" t="s">
        <v>277</v>
      </c>
      <c r="Z547" s="16" t="str">
        <f aca="false">IFERROR(INDEX(Scoring!$K:$K,MATCH($C547&amp;"|"&amp;$E547,Scoring!$U:$U,0)),"")</f>
        <v/>
      </c>
      <c r="AA547" s="15" t="str">
        <f aca="false">IFERROR(INDEX(Scoring!$Q:$Q,MATCH($C547&amp;"|"&amp;$E547,Scoring!$U:$U,0)),"")</f>
        <v>Priority 2</v>
      </c>
      <c r="AB547" s="15" t="str">
        <f aca="false">IFERROR(INDEX(Scoring!$AK:$AK,MATCH($C547&amp;"|"&amp;$E547,Scoring!$U:$U,0)),"")</f>
        <v>Priority 2</v>
      </c>
      <c r="AC547" s="18" t="n">
        <f aca="false">IFERROR(INDEX(Scoring!$M:$M,MATCH($C547&amp;"|"&amp;$E547,Scoring!$U:$U,0)),"")</f>
        <v>2</v>
      </c>
      <c r="AD547" s="15" t="str">
        <f aca="false">IFERROR(INDEX('Route of Administration'!$C$5:$C$155,MATCH($C547,'Route of Administration'!$A$5:$A$155,0)),"")</f>
        <v>IV, IM</v>
      </c>
      <c r="AE547" s="14" t="str">
        <f aca="false">IFERROR(INDEX('Route of Administration'!$D$5:$D$155,MATCH($C547,'Route of Administration'!$A$5:$A$155,0)),"")</f>
        <v>Yes</v>
      </c>
    </row>
    <row r="548" customFormat="false" ht="15" hidden="false" customHeight="false" outlineLevel="0" collapsed="false">
      <c r="B548" s="15" t="n">
        <v>546</v>
      </c>
      <c r="C548" s="15" t="s">
        <v>475</v>
      </c>
      <c r="D548" s="15" t="s">
        <v>479</v>
      </c>
      <c r="E548" s="15" t="s">
        <v>1248</v>
      </c>
      <c r="F548" s="15" t="s">
        <v>1567</v>
      </c>
      <c r="G548" s="16" t="s">
        <v>2491</v>
      </c>
      <c r="H548" s="15" t="s">
        <v>1505</v>
      </c>
      <c r="I548" s="17" t="n">
        <v>8.76</v>
      </c>
      <c r="J548" s="15" t="n">
        <v>1</v>
      </c>
      <c r="K548" s="15" t="n">
        <v>4</v>
      </c>
      <c r="L548" s="18" t="n">
        <v>570.1</v>
      </c>
      <c r="M548" s="16" t="s">
        <v>476</v>
      </c>
      <c r="N548" s="17" t="n">
        <v>8.76</v>
      </c>
      <c r="O548" s="15" t="s">
        <v>1506</v>
      </c>
      <c r="P548" s="15" t="s">
        <v>1507</v>
      </c>
      <c r="Q548" s="16" t="s">
        <v>1508</v>
      </c>
      <c r="R548" s="32" t="s">
        <v>1569</v>
      </c>
      <c r="S548" s="37" t="n">
        <f aca="false">IFERROR(INDEX('Injectable Value'!$Z$28:$Z$178,MATCH($C548,'Injectable Value'!$A$28:$A$178,0)),"")</f>
        <v>1</v>
      </c>
      <c r="T548" s="18" t="n">
        <f aca="false">IFERROR(ROUND(INDEX('Injectable Value'!$AA$28:$AA$178,MATCH($C548,'Injectable Value'!$A$28:$A$178,0)),1),"")</f>
        <v>570.1</v>
      </c>
      <c r="U548" s="16" t="s">
        <v>247</v>
      </c>
      <c r="V548" s="15" t="n">
        <v>1</v>
      </c>
      <c r="W548" s="15" t="s">
        <v>247</v>
      </c>
      <c r="X548" s="15" t="s">
        <v>248</v>
      </c>
      <c r="Y548" s="15" t="s">
        <v>299</v>
      </c>
      <c r="Z548" s="16" t="str">
        <f aca="false">IFERROR(INDEX(Scoring!$K:$K,MATCH($C548&amp;"|"&amp;$E548,Scoring!$U:$U,0)),"")</f>
        <v>Reconstitution</v>
      </c>
      <c r="AA548" s="15" t="str">
        <f aca="false">IFERROR(INDEX(Scoring!$Q:$Q,MATCH($C548&amp;"|"&amp;$E548,Scoring!$U:$U,0)),"")</f>
        <v>Priority 3</v>
      </c>
      <c r="AB548" s="15" t="str">
        <f aca="false">IFERROR(INDEX(Scoring!$AK:$AK,MATCH($C548&amp;"|"&amp;$E548,Scoring!$U:$U,0)),"")</f>
        <v>Priority 3</v>
      </c>
      <c r="AC548" s="18" t="n">
        <f aca="false">IFERROR(INDEX(Scoring!$M:$M,MATCH($C548&amp;"|"&amp;$E548,Scoring!$U:$U,0)),"")</f>
        <v>4</v>
      </c>
      <c r="AD548" s="15" t="str">
        <f aca="false">IFERROR(INDEX('Route of Administration'!$C$5:$C$155,MATCH($C548,'Route of Administration'!$A$5:$A$155,0)),"")</f>
        <v>IV, IM</v>
      </c>
      <c r="AE548" s="14" t="str">
        <f aca="false">IFERROR(INDEX('Route of Administration'!$D$5:$D$155,MATCH($C548,'Route of Administration'!$A$5:$A$155,0)),"")</f>
        <v>Yes</v>
      </c>
    </row>
    <row r="549" customFormat="false" ht="15" hidden="false" customHeight="false" outlineLevel="0" collapsed="false">
      <c r="B549" s="15" t="n">
        <v>547</v>
      </c>
      <c r="C549" s="15" t="s">
        <v>475</v>
      </c>
      <c r="D549" s="15" t="s">
        <v>479</v>
      </c>
      <c r="E549" s="15" t="s">
        <v>1248</v>
      </c>
      <c r="F549" s="15" t="s">
        <v>1570</v>
      </c>
      <c r="G549" s="16" t="s">
        <v>2492</v>
      </c>
      <c r="H549" s="15" t="s">
        <v>1505</v>
      </c>
      <c r="I549" s="17" t="n">
        <v>6.06</v>
      </c>
      <c r="J549" s="15" t="n">
        <v>1</v>
      </c>
      <c r="K549" s="15" t="n">
        <v>4</v>
      </c>
      <c r="L549" s="18" t="n">
        <v>570.1</v>
      </c>
      <c r="M549" s="16" t="s">
        <v>476</v>
      </c>
      <c r="N549" s="17" t="n">
        <v>6.06</v>
      </c>
      <c r="O549" s="15" t="s">
        <v>1506</v>
      </c>
      <c r="P549" s="15" t="s">
        <v>1507</v>
      </c>
      <c r="Q549" s="16" t="s">
        <v>1508</v>
      </c>
      <c r="R549" s="32" t="s">
        <v>1569</v>
      </c>
      <c r="S549" s="37" t="n">
        <f aca="false">IFERROR(INDEX('Injectable Value'!$Z$28:$Z$178,MATCH($C549,'Injectable Value'!$A$28:$A$178,0)),"")</f>
        <v>1</v>
      </c>
      <c r="T549" s="18" t="n">
        <f aca="false">IFERROR(ROUND(INDEX('Injectable Value'!$AA$28:$AA$178,MATCH($C549,'Injectable Value'!$A$28:$A$178,0)),1),"")</f>
        <v>570.1</v>
      </c>
      <c r="U549" s="16" t="s">
        <v>247</v>
      </c>
      <c r="V549" s="15" t="n">
        <v>1</v>
      </c>
      <c r="W549" s="15" t="s">
        <v>247</v>
      </c>
      <c r="X549" s="15" t="s">
        <v>248</v>
      </c>
      <c r="Y549" s="15" t="s">
        <v>299</v>
      </c>
      <c r="Z549" s="16" t="str">
        <f aca="false">IFERROR(INDEX(Scoring!$K:$K,MATCH($C549&amp;"|"&amp;$E549,Scoring!$U:$U,0)),"")</f>
        <v>Reconstitution</v>
      </c>
      <c r="AA549" s="15" t="str">
        <f aca="false">IFERROR(INDEX(Scoring!$Q:$Q,MATCH($C549&amp;"|"&amp;$E549,Scoring!$U:$U,0)),"")</f>
        <v>Priority 3</v>
      </c>
      <c r="AB549" s="15" t="str">
        <f aca="false">IFERROR(INDEX(Scoring!$AK:$AK,MATCH($C549&amp;"|"&amp;$E549,Scoring!$U:$U,0)),"")</f>
        <v>Priority 3</v>
      </c>
      <c r="AC549" s="18" t="n">
        <f aca="false">IFERROR(INDEX(Scoring!$M:$M,MATCH($C549&amp;"|"&amp;$E549,Scoring!$U:$U,0)),"")</f>
        <v>4</v>
      </c>
      <c r="AD549" s="15" t="str">
        <f aca="false">IFERROR(INDEX('Route of Administration'!$C$5:$C$155,MATCH($C549,'Route of Administration'!$A$5:$A$155,0)),"")</f>
        <v>IV, IM</v>
      </c>
      <c r="AE549" s="14" t="str">
        <f aca="false">IFERROR(INDEX('Route of Administration'!$D$5:$D$155,MATCH($C549,'Route of Administration'!$A$5:$A$155,0)),"")</f>
        <v>Yes</v>
      </c>
    </row>
    <row r="550" customFormat="false" ht="68.65" hidden="false" customHeight="false" outlineLevel="0" collapsed="false">
      <c r="B550" s="15" t="n">
        <v>548</v>
      </c>
      <c r="C550" s="15" t="s">
        <v>451</v>
      </c>
      <c r="D550" s="15" t="s">
        <v>1252</v>
      </c>
      <c r="E550" s="15" t="s">
        <v>1248</v>
      </c>
      <c r="F550" s="15" t="s">
        <v>1703</v>
      </c>
      <c r="G550" s="16" t="s">
        <v>1704</v>
      </c>
      <c r="H550" s="15" t="s">
        <v>1505</v>
      </c>
      <c r="I550" s="17" t="n">
        <v>12.0797</v>
      </c>
      <c r="J550" s="15" t="n">
        <v>29</v>
      </c>
      <c r="K550" s="15" t="n">
        <v>1185</v>
      </c>
      <c r="L550" s="18" t="n">
        <v>59407.06</v>
      </c>
      <c r="M550" s="16" t="s">
        <v>452</v>
      </c>
      <c r="N550" s="17" t="n">
        <v>12.0797</v>
      </c>
      <c r="O550" s="15" t="s">
        <v>1506</v>
      </c>
      <c r="P550" s="15" t="s">
        <v>1507</v>
      </c>
      <c r="Q550" s="16" t="s">
        <v>1508</v>
      </c>
      <c r="R550" s="32" t="s">
        <v>2493</v>
      </c>
      <c r="S550" s="37" t="n">
        <f aca="false">IFERROR(INDEX('Injectable Value'!$Z$28:$Z$178,MATCH($C550,'Injectable Value'!$A$28:$A$178,0)),"")</f>
        <v>0.991808067465962</v>
      </c>
      <c r="T550" s="18" t="n">
        <f aca="false">IFERROR(ROUND(INDEX('Injectable Value'!$AA$28:$AA$178,MATCH($C550,'Injectable Value'!$A$28:$A$178,0)),1),"")</f>
        <v>58920.4</v>
      </c>
      <c r="U550" s="16" t="s">
        <v>1253</v>
      </c>
      <c r="V550" s="15" t="n">
        <v>23</v>
      </c>
      <c r="W550" s="15" t="s">
        <v>992</v>
      </c>
      <c r="X550" s="15" t="s">
        <v>248</v>
      </c>
      <c r="Y550" s="15" t="s">
        <v>299</v>
      </c>
      <c r="Z550" s="16" t="str">
        <f aca="false">IFERROR(INDEX(Scoring!$K:$K,MATCH($C550&amp;"|"&amp;$E550,Scoring!$U:$U,0)),"")</f>
        <v>Reconstitution</v>
      </c>
      <c r="AA550" s="15" t="str">
        <f aca="false">IFERROR(INDEX(Scoring!$Q:$Q,MATCH($C550&amp;"|"&amp;$E550,Scoring!$U:$U,0)),"")</f>
        <v>Excluded – IV only</v>
      </c>
      <c r="AB550" s="15" t="str">
        <f aca="false">IFERROR(INDEX(Scoring!$AK:$AK,MATCH($C550&amp;"|"&amp;$E550,Scoring!$U:$U,0)),"")</f>
        <v>Excluded – IV only</v>
      </c>
      <c r="AC550" s="18" t="n">
        <f aca="false">IFERROR(INDEX(Scoring!$M:$M,MATCH($C550&amp;"|"&amp;$E550,Scoring!$U:$U,0)),"")</f>
        <v>1175</v>
      </c>
      <c r="AD550" s="15" t="str">
        <f aca="false">IFERROR(INDEX('Route of Administration'!$C$5:$C$155,MATCH($C550,'Route of Administration'!$A$5:$A$155,0)),"")</f>
        <v>IV</v>
      </c>
      <c r="AE550" s="14" t="str">
        <f aca="false">IFERROR(INDEX('Route of Administration'!$D$5:$D$155,MATCH($C550,'Route of Administration'!$A$5:$A$155,0)),"")</f>
        <v>No</v>
      </c>
    </row>
    <row r="551" customFormat="false" ht="68.65" hidden="false" customHeight="false" outlineLevel="0" collapsed="false">
      <c r="B551" s="15" t="n">
        <v>549</v>
      </c>
      <c r="C551" s="15" t="s">
        <v>451</v>
      </c>
      <c r="D551" s="15" t="s">
        <v>1252</v>
      </c>
      <c r="E551" s="15" t="s">
        <v>1248</v>
      </c>
      <c r="F551" s="15" t="s">
        <v>2494</v>
      </c>
      <c r="G551" s="16" t="s">
        <v>2495</v>
      </c>
      <c r="H551" s="15" t="s">
        <v>1505</v>
      </c>
      <c r="I551" s="17" t="n">
        <v>44.7141</v>
      </c>
      <c r="J551" s="15" t="n">
        <v>30</v>
      </c>
      <c r="K551" s="15" t="n">
        <v>1185</v>
      </c>
      <c r="L551" s="18" t="n">
        <v>59407.06</v>
      </c>
      <c r="M551" s="16" t="s">
        <v>452</v>
      </c>
      <c r="N551" s="17" t="n">
        <v>44.7141</v>
      </c>
      <c r="O551" s="15" t="s">
        <v>1506</v>
      </c>
      <c r="P551" s="15" t="s">
        <v>1507</v>
      </c>
      <c r="Q551" s="16" t="s">
        <v>1508</v>
      </c>
      <c r="R551" s="32" t="s">
        <v>1673</v>
      </c>
      <c r="S551" s="37" t="n">
        <f aca="false">IFERROR(INDEX('Injectable Value'!$Z$28:$Z$178,MATCH($C551,'Injectable Value'!$A$28:$A$178,0)),"")</f>
        <v>0.991808067465962</v>
      </c>
      <c r="T551" s="18" t="n">
        <f aca="false">IFERROR(ROUND(INDEX('Injectable Value'!$AA$28:$AA$178,MATCH($C551,'Injectable Value'!$A$28:$A$178,0)),1),"")</f>
        <v>58920.4</v>
      </c>
      <c r="U551" s="16" t="s">
        <v>1253</v>
      </c>
      <c r="V551" s="15" t="n">
        <v>23</v>
      </c>
      <c r="W551" s="15" t="s">
        <v>992</v>
      </c>
      <c r="X551" s="15" t="s">
        <v>248</v>
      </c>
      <c r="Y551" s="15" t="s">
        <v>299</v>
      </c>
      <c r="Z551" s="16" t="str">
        <f aca="false">IFERROR(INDEX(Scoring!$K:$K,MATCH($C551&amp;"|"&amp;$E551,Scoring!$U:$U,0)),"")</f>
        <v>Reconstitution</v>
      </c>
      <c r="AA551" s="15" t="str">
        <f aca="false">IFERROR(INDEX(Scoring!$Q:$Q,MATCH($C551&amp;"|"&amp;$E551,Scoring!$U:$U,0)),"")</f>
        <v>Excluded – IV only</v>
      </c>
      <c r="AB551" s="15" t="str">
        <f aca="false">IFERROR(INDEX(Scoring!$AK:$AK,MATCH($C551&amp;"|"&amp;$E551,Scoring!$U:$U,0)),"")</f>
        <v>Excluded – IV only</v>
      </c>
      <c r="AC551" s="18" t="n">
        <f aca="false">IFERROR(INDEX(Scoring!$M:$M,MATCH($C551&amp;"|"&amp;$E551,Scoring!$U:$U,0)),"")</f>
        <v>1175</v>
      </c>
      <c r="AD551" s="15" t="str">
        <f aca="false">IFERROR(INDEX('Route of Administration'!$C$5:$C$155,MATCH($C551,'Route of Administration'!$A$5:$A$155,0)),"")</f>
        <v>IV</v>
      </c>
      <c r="AE551" s="14" t="str">
        <f aca="false">IFERROR(INDEX('Route of Administration'!$D$5:$D$155,MATCH($C551,'Route of Administration'!$A$5:$A$155,0)),"")</f>
        <v>No</v>
      </c>
    </row>
    <row r="552" customFormat="false" ht="68.65" hidden="false" customHeight="false" outlineLevel="0" collapsed="false">
      <c r="B552" s="15" t="n">
        <v>550</v>
      </c>
      <c r="C552" s="15" t="s">
        <v>451</v>
      </c>
      <c r="D552" s="15" t="s">
        <v>1252</v>
      </c>
      <c r="E552" s="15" t="s">
        <v>1248</v>
      </c>
      <c r="F552" s="15" t="s">
        <v>1703</v>
      </c>
      <c r="G552" s="16" t="s">
        <v>1704</v>
      </c>
      <c r="H552" s="15" t="s">
        <v>1505</v>
      </c>
      <c r="I552" s="17" t="n">
        <v>15.5149</v>
      </c>
      <c r="J552" s="15" t="n">
        <v>30</v>
      </c>
      <c r="K552" s="15" t="n">
        <v>1185</v>
      </c>
      <c r="L552" s="18" t="n">
        <v>59407.06</v>
      </c>
      <c r="M552" s="16" t="s">
        <v>452</v>
      </c>
      <c r="N552" s="17" t="n">
        <v>15.5149</v>
      </c>
      <c r="O552" s="15" t="s">
        <v>1506</v>
      </c>
      <c r="P552" s="15" t="s">
        <v>1507</v>
      </c>
      <c r="Q552" s="16" t="s">
        <v>1508</v>
      </c>
      <c r="R552" s="32" t="s">
        <v>2493</v>
      </c>
      <c r="S552" s="37" t="n">
        <f aca="false">IFERROR(INDEX('Injectable Value'!$Z$28:$Z$178,MATCH($C552,'Injectable Value'!$A$28:$A$178,0)),"")</f>
        <v>0.991808067465962</v>
      </c>
      <c r="T552" s="18" t="n">
        <f aca="false">IFERROR(ROUND(INDEX('Injectable Value'!$AA$28:$AA$178,MATCH($C552,'Injectable Value'!$A$28:$A$178,0)),1),"")</f>
        <v>58920.4</v>
      </c>
      <c r="U552" s="16" t="s">
        <v>1253</v>
      </c>
      <c r="V552" s="15" t="n">
        <v>23</v>
      </c>
      <c r="W552" s="15" t="s">
        <v>992</v>
      </c>
      <c r="X552" s="15" t="s">
        <v>248</v>
      </c>
      <c r="Y552" s="15" t="s">
        <v>299</v>
      </c>
      <c r="Z552" s="16" t="str">
        <f aca="false">IFERROR(INDEX(Scoring!$K:$K,MATCH($C552&amp;"|"&amp;$E552,Scoring!$U:$U,0)),"")</f>
        <v>Reconstitution</v>
      </c>
      <c r="AA552" s="15" t="str">
        <f aca="false">IFERROR(INDEX(Scoring!$Q:$Q,MATCH($C552&amp;"|"&amp;$E552,Scoring!$U:$U,0)),"")</f>
        <v>Excluded – IV only</v>
      </c>
      <c r="AB552" s="15" t="str">
        <f aca="false">IFERROR(INDEX(Scoring!$AK:$AK,MATCH($C552&amp;"|"&amp;$E552,Scoring!$U:$U,0)),"")</f>
        <v>Excluded – IV only</v>
      </c>
      <c r="AC552" s="18" t="n">
        <f aca="false">IFERROR(INDEX(Scoring!$M:$M,MATCH($C552&amp;"|"&amp;$E552,Scoring!$U:$U,0)),"")</f>
        <v>1175</v>
      </c>
      <c r="AD552" s="15" t="str">
        <f aca="false">IFERROR(INDEX('Route of Administration'!$C$5:$C$155,MATCH($C552,'Route of Administration'!$A$5:$A$155,0)),"")</f>
        <v>IV</v>
      </c>
      <c r="AE552" s="14" t="str">
        <f aca="false">IFERROR(INDEX('Route of Administration'!$D$5:$D$155,MATCH($C552,'Route of Administration'!$A$5:$A$155,0)),"")</f>
        <v>No</v>
      </c>
    </row>
    <row r="553" customFormat="false" ht="28.35" hidden="false" customHeight="false" outlineLevel="0" collapsed="false">
      <c r="B553" s="15" t="n">
        <v>551</v>
      </c>
      <c r="C553" s="15" t="s">
        <v>937</v>
      </c>
      <c r="D553" s="15" t="s">
        <v>1272</v>
      </c>
      <c r="E553" s="15" t="s">
        <v>1260</v>
      </c>
      <c r="F553" s="15" t="s">
        <v>2135</v>
      </c>
      <c r="G553" s="16" t="s">
        <v>2496</v>
      </c>
      <c r="H553" s="15" t="s">
        <v>1505</v>
      </c>
      <c r="I553" s="17" t="n">
        <v>6.66</v>
      </c>
      <c r="J553" s="15" t="n">
        <v>1</v>
      </c>
      <c r="K553" s="15" t="n">
        <v>117</v>
      </c>
      <c r="L553" s="18" t="n">
        <v>2508.09</v>
      </c>
      <c r="M553" s="16" t="s">
        <v>938</v>
      </c>
      <c r="N553" s="17" t="n">
        <v>6.66</v>
      </c>
      <c r="O553" s="15" t="s">
        <v>1506</v>
      </c>
      <c r="P553" s="15" t="s">
        <v>1507</v>
      </c>
      <c r="Q553" s="16" t="s">
        <v>1508</v>
      </c>
      <c r="R553" s="32" t="s">
        <v>2497</v>
      </c>
      <c r="S553" s="37" t="n">
        <f aca="false">IFERROR(INDEX('Injectable Value'!$Z$28:$Z$178,MATCH($C553,'Injectable Value'!$A$28:$A$178,0)),"")</f>
        <v>1</v>
      </c>
      <c r="T553" s="18" t="n">
        <f aca="false">IFERROR(ROUND(INDEX('Injectable Value'!$AA$28:$AA$178,MATCH($C553,'Injectable Value'!$A$28:$A$178,0)),1),"")</f>
        <v>2508.1</v>
      </c>
      <c r="U553" s="16" t="s">
        <v>247</v>
      </c>
      <c r="V553" s="15" t="n">
        <v>1</v>
      </c>
      <c r="W553" s="15" t="s">
        <v>247</v>
      </c>
      <c r="X553" s="15" t="s">
        <v>248</v>
      </c>
      <c r="Y553" s="15" t="s">
        <v>249</v>
      </c>
      <c r="Z553" s="16" t="str">
        <f aca="false">IFERROR(INDEX(Scoring!$K:$K,MATCH($C553&amp;"|"&amp;$E553,Scoring!$U:$U,0)),"")</f>
        <v/>
      </c>
      <c r="AA553" s="15" t="str">
        <f aca="false">IFERROR(INDEX(Scoring!$Q:$Q,MATCH($C553&amp;"|"&amp;$E553,Scoring!$U:$U,0)),"")</f>
        <v>Excluded – IV only</v>
      </c>
      <c r="AB553" s="15" t="str">
        <f aca="false">IFERROR(INDEX(Scoring!$AK:$AK,MATCH($C553&amp;"|"&amp;$E553,Scoring!$U:$U,0)),"")</f>
        <v>Excluded – IV only</v>
      </c>
      <c r="AC553" s="18" t="n">
        <f aca="false">IFERROR(INDEX(Scoring!$M:$M,MATCH($C553&amp;"|"&amp;$E553,Scoring!$U:$U,0)),"")</f>
        <v>117</v>
      </c>
      <c r="AD553" s="15" t="str">
        <f aca="false">IFERROR(INDEX('Route of Administration'!$C$5:$C$155,MATCH($C553,'Route of Administration'!$A$5:$A$155,0)),"")</f>
        <v>IV</v>
      </c>
      <c r="AE553" s="14" t="str">
        <f aca="false">IFERROR(INDEX('Route of Administration'!$D$5:$D$155,MATCH($C553,'Route of Administration'!$A$5:$A$155,0)),"")</f>
        <v>No</v>
      </c>
    </row>
    <row r="554" customFormat="false" ht="28.35" hidden="false" customHeight="false" outlineLevel="0" collapsed="false">
      <c r="B554" s="15" t="n">
        <v>552</v>
      </c>
      <c r="C554" s="15" t="s">
        <v>937</v>
      </c>
      <c r="D554" s="15" t="s">
        <v>1272</v>
      </c>
      <c r="E554" s="15" t="s">
        <v>1260</v>
      </c>
      <c r="F554" s="15" t="s">
        <v>2498</v>
      </c>
      <c r="G554" s="16" t="s">
        <v>1550</v>
      </c>
      <c r="H554" s="15" t="s">
        <v>1505</v>
      </c>
      <c r="I554" s="17" t="n">
        <v>38.11</v>
      </c>
      <c r="J554" s="15" t="n">
        <v>1</v>
      </c>
      <c r="K554" s="15" t="n">
        <v>117</v>
      </c>
      <c r="L554" s="18" t="n">
        <v>2508.09</v>
      </c>
      <c r="M554" s="16" t="s">
        <v>938</v>
      </c>
      <c r="N554" s="17" t="n">
        <v>38.11</v>
      </c>
      <c r="O554" s="15" t="s">
        <v>1506</v>
      </c>
      <c r="P554" s="15" t="s">
        <v>1507</v>
      </c>
      <c r="Q554" s="16" t="s">
        <v>1508</v>
      </c>
      <c r="R554" s="32" t="s">
        <v>2497</v>
      </c>
      <c r="S554" s="37" t="n">
        <f aca="false">IFERROR(INDEX('Injectable Value'!$Z$28:$Z$178,MATCH($C554,'Injectable Value'!$A$28:$A$178,0)),"")</f>
        <v>1</v>
      </c>
      <c r="T554" s="18" t="n">
        <f aca="false">IFERROR(ROUND(INDEX('Injectable Value'!$AA$28:$AA$178,MATCH($C554,'Injectable Value'!$A$28:$A$178,0)),1),"")</f>
        <v>2508.1</v>
      </c>
      <c r="U554" s="16" t="s">
        <v>247</v>
      </c>
      <c r="V554" s="15" t="n">
        <v>1</v>
      </c>
      <c r="W554" s="15" t="s">
        <v>247</v>
      </c>
      <c r="X554" s="15" t="s">
        <v>248</v>
      </c>
      <c r="Y554" s="15" t="s">
        <v>1519</v>
      </c>
      <c r="Z554" s="16" t="str">
        <f aca="false">IFERROR(INDEX(Scoring!$K:$K,MATCH($C554&amp;"|"&amp;$E554,Scoring!$U:$U,0)),"")</f>
        <v/>
      </c>
      <c r="AA554" s="15" t="str">
        <f aca="false">IFERROR(INDEX(Scoring!$Q:$Q,MATCH($C554&amp;"|"&amp;$E554,Scoring!$U:$U,0)),"")</f>
        <v>Excluded – IV only</v>
      </c>
      <c r="AB554" s="15" t="str">
        <f aca="false">IFERROR(INDEX(Scoring!$AK:$AK,MATCH($C554&amp;"|"&amp;$E554,Scoring!$U:$U,0)),"")</f>
        <v>Excluded – IV only</v>
      </c>
      <c r="AC554" s="18" t="n">
        <f aca="false">IFERROR(INDEX(Scoring!$M:$M,MATCH($C554&amp;"|"&amp;$E554,Scoring!$U:$U,0)),"")</f>
        <v>117</v>
      </c>
      <c r="AD554" s="15" t="str">
        <f aca="false">IFERROR(INDEX('Route of Administration'!$C$5:$C$155,MATCH($C554,'Route of Administration'!$A$5:$A$155,0)),"")</f>
        <v>IV</v>
      </c>
      <c r="AE554" s="14" t="str">
        <f aca="false">IFERROR(INDEX('Route of Administration'!$D$5:$D$155,MATCH($C554,'Route of Administration'!$A$5:$A$155,0)),"")</f>
        <v>No</v>
      </c>
    </row>
    <row r="555" customFormat="false" ht="28.35" hidden="false" customHeight="false" outlineLevel="0" collapsed="false">
      <c r="B555" s="15" t="n">
        <v>553</v>
      </c>
      <c r="C555" s="15" t="s">
        <v>1265</v>
      </c>
      <c r="D555" s="15" t="s">
        <v>1269</v>
      </c>
      <c r="E555" s="15" t="s">
        <v>1260</v>
      </c>
      <c r="F555" s="15" t="s">
        <v>2499</v>
      </c>
      <c r="G555" s="16" t="s">
        <v>2500</v>
      </c>
      <c r="H555" s="15" t="s">
        <v>1512</v>
      </c>
      <c r="I555" s="17"/>
      <c r="J555" s="15" t="n">
        <v>1</v>
      </c>
      <c r="K555" s="15" t="n">
        <v>858</v>
      </c>
      <c r="L555" s="18" t="n">
        <v>13738.53</v>
      </c>
      <c r="M555" s="16" t="s">
        <v>1266</v>
      </c>
      <c r="N555" s="38" t="n">
        <v>59.3</v>
      </c>
      <c r="O555" s="22" t="s">
        <v>1513</v>
      </c>
      <c r="P555" s="15" t="s">
        <v>1672</v>
      </c>
      <c r="Q555" s="16" t="s">
        <v>1832</v>
      </c>
      <c r="R555" s="32" t="s">
        <v>1833</v>
      </c>
      <c r="S555" s="37" t="n">
        <f aca="false">IFERROR(INDEX('Injectable Value'!$Z$28:$Z$178,MATCH($C555,'Injectable Value'!$A$28:$A$178,0)),"")</f>
        <v>0.372538609534506</v>
      </c>
      <c r="T555" s="18" t="n">
        <f aca="false">IFERROR(ROUND(INDEX('Injectable Value'!$AA$28:$AA$178,MATCH($C555,'Injectable Value'!$A$28:$A$178,0)),1),"")</f>
        <v>5118.1</v>
      </c>
      <c r="U555" s="16" t="s">
        <v>1270</v>
      </c>
      <c r="V555" s="15" t="n">
        <v>9</v>
      </c>
      <c r="W555" s="15" t="s">
        <v>307</v>
      </c>
      <c r="X555" s="15" t="s">
        <v>258</v>
      </c>
      <c r="Y555" s="15" t="s">
        <v>249</v>
      </c>
      <c r="Z555" s="16" t="str">
        <f aca="false">IFERROR(INDEX(Scoring!$K:$K,MATCH($C555&amp;"|"&amp;$E555,Scoring!$U:$U,0)),"")</f>
        <v>Prefilled only</v>
      </c>
      <c r="AA555" s="15" t="str">
        <f aca="false">IFERROR(INDEX(Scoring!$Q:$Q,MATCH($C555&amp;"|"&amp;$E555,Scoring!$U:$U,0)),"")</f>
        <v>Excluded – IV only</v>
      </c>
      <c r="AB555" s="15" t="str">
        <f aca="false">IFERROR(INDEX(Scoring!$AK:$AK,MATCH($C555&amp;"|"&amp;$E555,Scoring!$U:$U,0)),"")</f>
        <v>Excluded – IV only</v>
      </c>
      <c r="AC555" s="18" t="n">
        <f aca="false">IFERROR(INDEX(Scoring!$M:$M,MATCH($C555&amp;"|"&amp;$E555,Scoring!$U:$U,0)),"")</f>
        <v>320</v>
      </c>
      <c r="AD555" s="15" t="str">
        <f aca="false">IFERROR(INDEX('Route of Administration'!$C$5:$C$155,MATCH($C555,'Route of Administration'!$A$5:$A$155,0)),"")</f>
        <v>Intrathecal</v>
      </c>
      <c r="AE555" s="14" t="str">
        <f aca="false">IFERROR(INDEX('Route of Administration'!$D$5:$D$155,MATCH($C555,'Route of Administration'!$A$5:$A$155,0)),"")</f>
        <v>No</v>
      </c>
    </row>
    <row r="556" customFormat="false" ht="82.05" hidden="false" customHeight="false" outlineLevel="0" collapsed="false">
      <c r="B556" s="15" t="n">
        <v>554</v>
      </c>
      <c r="C556" s="15" t="s">
        <v>635</v>
      </c>
      <c r="D556" s="15" t="s">
        <v>635</v>
      </c>
      <c r="E556" s="15" t="s">
        <v>1260</v>
      </c>
      <c r="F556" s="15" t="s">
        <v>1732</v>
      </c>
      <c r="G556" s="16" t="s">
        <v>1855</v>
      </c>
      <c r="H556" s="15" t="s">
        <v>1505</v>
      </c>
      <c r="I556" s="17" t="n">
        <v>67.02</v>
      </c>
      <c r="J556" s="15" t="n">
        <v>1</v>
      </c>
      <c r="K556" s="15" t="n">
        <v>346</v>
      </c>
      <c r="L556" s="18" t="n">
        <v>32830.17</v>
      </c>
      <c r="M556" s="16" t="s">
        <v>636</v>
      </c>
      <c r="N556" s="17" t="n">
        <v>67.02</v>
      </c>
      <c r="O556" s="15" t="s">
        <v>1506</v>
      </c>
      <c r="P556" s="15" t="s">
        <v>1507</v>
      </c>
      <c r="Q556" s="16" t="s">
        <v>1508</v>
      </c>
      <c r="R556" s="32" t="s">
        <v>2059</v>
      </c>
      <c r="S556" s="37" t="n">
        <f aca="false">IFERROR(INDEX('Injectable Value'!$Z$28:$Z$178,MATCH($C556,'Injectable Value'!$A$28:$A$178,0)),"")</f>
        <v>1</v>
      </c>
      <c r="T556" s="18" t="n">
        <f aca="false">IFERROR(ROUND(INDEX('Injectable Value'!$AA$28:$AA$178,MATCH($C556,'Injectable Value'!$A$28:$A$178,0)),1),"")</f>
        <v>32830.2</v>
      </c>
      <c r="U556" s="16" t="s">
        <v>1140</v>
      </c>
      <c r="V556" s="15" t="n">
        <v>32</v>
      </c>
      <c r="W556" s="15" t="s">
        <v>298</v>
      </c>
      <c r="X556" s="15" t="s">
        <v>248</v>
      </c>
      <c r="Y556" s="15" t="s">
        <v>249</v>
      </c>
      <c r="Z556" s="16" t="str">
        <f aca="false">IFERROR(INDEX(Scoring!$K:$K,MATCH($C556&amp;"|"&amp;$E556,Scoring!$U:$U,0)),"")</f>
        <v/>
      </c>
      <c r="AA556" s="15" t="str">
        <f aca="false">IFERROR(INDEX(Scoring!$Q:$Q,MATCH($C556&amp;"|"&amp;$E556,Scoring!$U:$U,0)),"")</f>
        <v>Excluded – IV only</v>
      </c>
      <c r="AB556" s="15" t="str">
        <f aca="false">IFERROR(INDEX(Scoring!$AK:$AK,MATCH($C556&amp;"|"&amp;$E556,Scoring!$U:$U,0)),"")</f>
        <v>Excluded – IV only</v>
      </c>
      <c r="AC556" s="18" t="n">
        <f aca="false">IFERROR(INDEX(Scoring!$M:$M,MATCH($C556&amp;"|"&amp;$E556,Scoring!$U:$U,0)),"")</f>
        <v>346</v>
      </c>
      <c r="AD556" s="15" t="str">
        <f aca="false">IFERROR(INDEX('Route of Administration'!$C$5:$C$155,MATCH($C556,'Route of Administration'!$A$5:$A$155,0)),"")</f>
        <v>IV</v>
      </c>
      <c r="AE556" s="14" t="str">
        <f aca="false">IFERROR(INDEX('Route of Administration'!$D$5:$D$155,MATCH($C556,'Route of Administration'!$A$5:$A$155,0)),"")</f>
        <v>No</v>
      </c>
    </row>
    <row r="557" customFormat="false" ht="55.2" hidden="false" customHeight="false" outlineLevel="0" collapsed="false">
      <c r="B557" s="15" t="n">
        <v>555</v>
      </c>
      <c r="C557" s="15" t="s">
        <v>1150</v>
      </c>
      <c r="D557" s="15" t="s">
        <v>2501</v>
      </c>
      <c r="E557" s="15" t="s">
        <v>1260</v>
      </c>
      <c r="F557" s="15"/>
      <c r="G557" s="16" t="s">
        <v>2502</v>
      </c>
      <c r="H557" s="15" t="s">
        <v>1505</v>
      </c>
      <c r="I557" s="17" t="n">
        <v>634</v>
      </c>
      <c r="J557" s="15" t="n">
        <v>1</v>
      </c>
      <c r="K557" s="15" t="n">
        <v>1</v>
      </c>
      <c r="L557" s="18" t="n">
        <v>15.02</v>
      </c>
      <c r="M557" s="16" t="s">
        <v>1151</v>
      </c>
      <c r="N557" s="17" t="n">
        <v>634</v>
      </c>
      <c r="O557" s="15" t="s">
        <v>1506</v>
      </c>
      <c r="P557" s="15" t="s">
        <v>1672</v>
      </c>
      <c r="Q557" s="16" t="s">
        <v>1846</v>
      </c>
      <c r="R557" s="32" t="s">
        <v>2503</v>
      </c>
      <c r="S557" s="37" t="n">
        <f aca="false">IFERROR(INDEX('Injectable Value'!$Z$28:$Z$178,MATCH($C557,'Injectable Value'!$A$28:$A$178,0)),"")</f>
        <v>0.952380952380952</v>
      </c>
      <c r="T557" s="18" t="n">
        <f aca="false">IFERROR(ROUND(INDEX('Injectable Value'!$AA$28:$AA$178,MATCH($C557,'Injectable Value'!$A$28:$A$178,0)),1),"")</f>
        <v>14.3</v>
      </c>
      <c r="U557" s="16" t="s">
        <v>1263</v>
      </c>
      <c r="V557" s="15" t="n">
        <v>19</v>
      </c>
      <c r="W557" s="15" t="s">
        <v>298</v>
      </c>
      <c r="X557" s="15" t="s">
        <v>316</v>
      </c>
      <c r="Y557" s="15" t="s">
        <v>249</v>
      </c>
      <c r="Z557" s="16" t="str">
        <f aca="false">IFERROR(INDEX(Scoring!$K:$K,MATCH($C557&amp;"|"&amp;$E557,Scoring!$U:$U,0)),"")</f>
        <v/>
      </c>
      <c r="AA557" s="15" t="str">
        <f aca="false">IFERROR(INDEX(Scoring!$Q:$Q,MATCH($C557&amp;"|"&amp;$E557,Scoring!$U:$U,0)),"")</f>
        <v>Excluded – IV only</v>
      </c>
      <c r="AB557" s="15" t="str">
        <f aca="false">IFERROR(INDEX(Scoring!$AK:$AK,MATCH($C557&amp;"|"&amp;$E557,Scoring!$U:$U,0)),"")</f>
        <v>Excluded – IV only</v>
      </c>
      <c r="AC557" s="18" t="n">
        <f aca="false">IFERROR(INDEX(Scoring!$M:$M,MATCH($C557&amp;"|"&amp;$E557,Scoring!$U:$U,0)),"")</f>
        <v>1</v>
      </c>
      <c r="AD557" s="15" t="str">
        <f aca="false">IFERROR(INDEX('Route of Administration'!$C$5:$C$155,MATCH($C557,'Route of Administration'!$A$5:$A$155,0)),"")</f>
        <v>IV</v>
      </c>
      <c r="AE557" s="14" t="str">
        <f aca="false">IFERROR(INDEX('Route of Administration'!$D$5:$D$155,MATCH($C557,'Route of Administration'!$A$5:$A$155,0)),"")</f>
        <v>No</v>
      </c>
    </row>
    <row r="558" customFormat="false" ht="28.35" hidden="false" customHeight="false" outlineLevel="0" collapsed="false">
      <c r="B558" s="15" t="n">
        <v>556</v>
      </c>
      <c r="C558" s="15" t="s">
        <v>1265</v>
      </c>
      <c r="D558" s="15" t="s">
        <v>1269</v>
      </c>
      <c r="E558" s="15" t="s">
        <v>1260</v>
      </c>
      <c r="F558" s="15" t="s">
        <v>1667</v>
      </c>
      <c r="G558" s="16" t="s">
        <v>2220</v>
      </c>
      <c r="H558" s="15" t="s">
        <v>1512</v>
      </c>
      <c r="I558" s="17"/>
      <c r="J558" s="15" t="n">
        <v>1</v>
      </c>
      <c r="K558" s="15" t="n">
        <v>858</v>
      </c>
      <c r="L558" s="18" t="n">
        <v>13738.53</v>
      </c>
      <c r="M558" s="16" t="s">
        <v>1266</v>
      </c>
      <c r="N558" s="17"/>
      <c r="O558" s="15" t="s">
        <v>1545</v>
      </c>
      <c r="P558" s="15" t="s">
        <v>70</v>
      </c>
      <c r="Q558" s="16" t="s">
        <v>70</v>
      </c>
      <c r="R558" s="15"/>
      <c r="S558" s="37" t="n">
        <f aca="false">IFERROR(INDEX('Injectable Value'!$Z$28:$Z$178,MATCH($C558,'Injectable Value'!$A$28:$A$178,0)),"")</f>
        <v>0.372538609534506</v>
      </c>
      <c r="T558" s="18" t="n">
        <f aca="false">IFERROR(ROUND(INDEX('Injectable Value'!$AA$28:$AA$178,MATCH($C558,'Injectable Value'!$A$28:$A$178,0)),1),"")</f>
        <v>5118.1</v>
      </c>
      <c r="U558" s="16" t="s">
        <v>1270</v>
      </c>
      <c r="V558" s="15" t="n">
        <v>9</v>
      </c>
      <c r="W558" s="15" t="s">
        <v>307</v>
      </c>
      <c r="X558" s="15" t="s">
        <v>258</v>
      </c>
      <c r="Y558" s="15" t="s">
        <v>277</v>
      </c>
      <c r="Z558" s="16" t="str">
        <f aca="false">IFERROR(INDEX(Scoring!$K:$K,MATCH($C558&amp;"|"&amp;$E558,Scoring!$U:$U,0)),"")</f>
        <v>Prefilled only</v>
      </c>
      <c r="AA558" s="15" t="str">
        <f aca="false">IFERROR(INDEX(Scoring!$Q:$Q,MATCH($C558&amp;"|"&amp;$E558,Scoring!$U:$U,0)),"")</f>
        <v>Excluded – IV only</v>
      </c>
      <c r="AB558" s="15" t="str">
        <f aca="false">IFERROR(INDEX(Scoring!$AK:$AK,MATCH($C558&amp;"|"&amp;$E558,Scoring!$U:$U,0)),"")</f>
        <v>Excluded – IV only</v>
      </c>
      <c r="AC558" s="18" t="n">
        <f aca="false">IFERROR(INDEX(Scoring!$M:$M,MATCH($C558&amp;"|"&amp;$E558,Scoring!$U:$U,0)),"")</f>
        <v>320</v>
      </c>
      <c r="AD558" s="15" t="str">
        <f aca="false">IFERROR(INDEX('Route of Administration'!$C$5:$C$155,MATCH($C558,'Route of Administration'!$A$5:$A$155,0)),"")</f>
        <v>Intrathecal</v>
      </c>
      <c r="AE558" s="14" t="str">
        <f aca="false">IFERROR(INDEX('Route of Administration'!$D$5:$D$155,MATCH($C558,'Route of Administration'!$A$5:$A$155,0)),"")</f>
        <v>No</v>
      </c>
    </row>
    <row r="559" customFormat="false" ht="55.2" hidden="false" customHeight="false" outlineLevel="0" collapsed="false">
      <c r="B559" s="15" t="n">
        <v>557</v>
      </c>
      <c r="C559" s="15" t="s">
        <v>1150</v>
      </c>
      <c r="D559" s="15" t="s">
        <v>2504</v>
      </c>
      <c r="E559" s="15" t="s">
        <v>1260</v>
      </c>
      <c r="F559" s="15" t="s">
        <v>2505</v>
      </c>
      <c r="G559" s="16" t="s">
        <v>2506</v>
      </c>
      <c r="H559" s="15" t="s">
        <v>1505</v>
      </c>
      <c r="I559" s="17" t="n">
        <v>7.2659</v>
      </c>
      <c r="J559" s="15" t="n">
        <v>13</v>
      </c>
      <c r="K559" s="15" t="n">
        <v>1</v>
      </c>
      <c r="L559" s="18" t="n">
        <v>15.02</v>
      </c>
      <c r="M559" s="16" t="s">
        <v>1151</v>
      </c>
      <c r="N559" s="17" t="n">
        <v>7.2659</v>
      </c>
      <c r="O559" s="15" t="s">
        <v>1506</v>
      </c>
      <c r="P559" s="15" t="s">
        <v>1672</v>
      </c>
      <c r="Q559" s="16" t="s">
        <v>1508</v>
      </c>
      <c r="R559" s="32" t="s">
        <v>2507</v>
      </c>
      <c r="S559" s="37" t="n">
        <f aca="false">IFERROR(INDEX('Injectable Value'!$Z$28:$Z$178,MATCH($C559,'Injectable Value'!$A$28:$A$178,0)),"")</f>
        <v>0.952380952380952</v>
      </c>
      <c r="T559" s="18" t="n">
        <f aca="false">IFERROR(ROUND(INDEX('Injectable Value'!$AA$28:$AA$178,MATCH($C559,'Injectable Value'!$A$28:$A$178,0)),1),"")</f>
        <v>14.3</v>
      </c>
      <c r="U559" s="16" t="s">
        <v>1263</v>
      </c>
      <c r="V559" s="15" t="n">
        <v>19</v>
      </c>
      <c r="W559" s="15" t="s">
        <v>298</v>
      </c>
      <c r="X559" s="15" t="s">
        <v>316</v>
      </c>
      <c r="Y559" s="15" t="s">
        <v>249</v>
      </c>
      <c r="Z559" s="16" t="str">
        <f aca="false">IFERROR(INDEX(Scoring!$K:$K,MATCH($C559&amp;"|"&amp;$E559,Scoring!$U:$U,0)),"")</f>
        <v/>
      </c>
      <c r="AA559" s="15" t="str">
        <f aca="false">IFERROR(INDEX(Scoring!$Q:$Q,MATCH($C559&amp;"|"&amp;$E559,Scoring!$U:$U,0)),"")</f>
        <v>Excluded – IV only</v>
      </c>
      <c r="AB559" s="15" t="str">
        <f aca="false">IFERROR(INDEX(Scoring!$AK:$AK,MATCH($C559&amp;"|"&amp;$E559,Scoring!$U:$U,0)),"")</f>
        <v>Excluded – IV only</v>
      </c>
      <c r="AC559" s="18" t="n">
        <f aca="false">IFERROR(INDEX(Scoring!$M:$M,MATCH($C559&amp;"|"&amp;$E559,Scoring!$U:$U,0)),"")</f>
        <v>1</v>
      </c>
      <c r="AD559" s="15" t="str">
        <f aca="false">IFERROR(INDEX('Route of Administration'!$C$5:$C$155,MATCH($C559,'Route of Administration'!$A$5:$A$155,0)),"")</f>
        <v>IV</v>
      </c>
      <c r="AE559" s="14" t="str">
        <f aca="false">IFERROR(INDEX('Route of Administration'!$D$5:$D$155,MATCH($C559,'Route of Administration'!$A$5:$A$155,0)),"")</f>
        <v>No</v>
      </c>
    </row>
    <row r="560" customFormat="false" ht="41.75" hidden="false" customHeight="false" outlineLevel="0" collapsed="false">
      <c r="B560" s="15" t="n">
        <v>558</v>
      </c>
      <c r="C560" s="15" t="s">
        <v>1273</v>
      </c>
      <c r="D560" s="15" t="s">
        <v>1277</v>
      </c>
      <c r="E560" s="15" t="s">
        <v>1260</v>
      </c>
      <c r="F560" s="15" t="s">
        <v>2508</v>
      </c>
      <c r="G560" s="16" t="s">
        <v>2506</v>
      </c>
      <c r="H560" s="15" t="s">
        <v>1505</v>
      </c>
      <c r="I560" s="17" t="n">
        <v>6.0342</v>
      </c>
      <c r="J560" s="15" t="n">
        <v>15</v>
      </c>
      <c r="K560" s="15" t="n">
        <v>69</v>
      </c>
      <c r="L560" s="18" t="n">
        <v>1781.11</v>
      </c>
      <c r="M560" s="16" t="s">
        <v>1274</v>
      </c>
      <c r="N560" s="17" t="n">
        <v>6.0342</v>
      </c>
      <c r="O560" s="15" t="s">
        <v>1506</v>
      </c>
      <c r="P560" s="15" t="s">
        <v>1672</v>
      </c>
      <c r="Q560" s="16" t="s">
        <v>1508</v>
      </c>
      <c r="R560" s="32" t="s">
        <v>2509</v>
      </c>
      <c r="S560" s="37" t="n">
        <f aca="false">IFERROR(INDEX('Injectable Value'!$Z$28:$Z$178,MATCH($C560,'Injectable Value'!$A$28:$A$178,0)),"")</f>
        <v>1</v>
      </c>
      <c r="T560" s="18" t="n">
        <f aca="false">IFERROR(ROUND(INDEX('Injectable Value'!$AA$28:$AA$178,MATCH($C560,'Injectable Value'!$A$28:$A$178,0)),1),"")</f>
        <v>1781.1</v>
      </c>
      <c r="U560" s="16" t="s">
        <v>1278</v>
      </c>
      <c r="V560" s="15" t="n">
        <v>12</v>
      </c>
      <c r="W560" s="15" t="s">
        <v>403</v>
      </c>
      <c r="X560" s="15" t="s">
        <v>316</v>
      </c>
      <c r="Y560" s="15" t="s">
        <v>249</v>
      </c>
      <c r="Z560" s="16" t="str">
        <f aca="false">IFERROR(INDEX(Scoring!$K:$K,MATCH($C560&amp;"|"&amp;$E560,Scoring!$U:$U,0)),"")</f>
        <v/>
      </c>
      <c r="AA560" s="15" t="str">
        <f aca="false">IFERROR(INDEX(Scoring!$Q:$Q,MATCH($C560&amp;"|"&amp;$E560,Scoring!$U:$U,0)),"")</f>
        <v>Excluded – IV only</v>
      </c>
      <c r="AB560" s="15" t="str">
        <f aca="false">IFERROR(INDEX(Scoring!$AK:$AK,MATCH($C560&amp;"|"&amp;$E560,Scoring!$U:$U,0)),"")</f>
        <v>Excluded – IV only</v>
      </c>
      <c r="AC560" s="18" t="n">
        <f aca="false">IFERROR(INDEX(Scoring!$M:$M,MATCH($C560&amp;"|"&amp;$E560,Scoring!$U:$U,0)),"")</f>
        <v>69</v>
      </c>
      <c r="AD560" s="15" t="str">
        <f aca="false">IFERROR(INDEX('Route of Administration'!$C$5:$C$155,MATCH($C560,'Route of Administration'!$A$5:$A$155,0)),"")</f>
        <v>IV</v>
      </c>
      <c r="AE560" s="14" t="str">
        <f aca="false">IFERROR(INDEX('Route of Administration'!$D$5:$D$155,MATCH($C560,'Route of Administration'!$A$5:$A$155,0)),"")</f>
        <v>No</v>
      </c>
    </row>
    <row r="561" customFormat="false" ht="28.35" hidden="false" customHeight="false" outlineLevel="0" collapsed="false">
      <c r="B561" s="15" t="n">
        <v>559</v>
      </c>
      <c r="C561" s="15" t="s">
        <v>525</v>
      </c>
      <c r="D561" s="15" t="s">
        <v>1285</v>
      </c>
      <c r="E561" s="15" t="s">
        <v>1260</v>
      </c>
      <c r="F561" s="15" t="s">
        <v>1714</v>
      </c>
      <c r="G561" s="16"/>
      <c r="H561" s="15"/>
      <c r="I561" s="17"/>
      <c r="J561" s="15" t="n">
        <v>22</v>
      </c>
      <c r="K561" s="15" t="n">
        <v>2</v>
      </c>
      <c r="L561" s="18" t="n">
        <v>71.73</v>
      </c>
      <c r="M561" s="16" t="s">
        <v>526</v>
      </c>
      <c r="N561" s="38" t="n">
        <v>42.21</v>
      </c>
      <c r="O561" s="22" t="s">
        <v>1513</v>
      </c>
      <c r="P561" s="15" t="s">
        <v>1533</v>
      </c>
      <c r="Q561" s="16" t="s">
        <v>1832</v>
      </c>
      <c r="R561" s="32" t="s">
        <v>1833</v>
      </c>
      <c r="S561" s="37" t="n">
        <f aca="false">IFERROR(INDEX('Injectable Value'!$Z$28:$Z$178,MATCH($C561,'Injectable Value'!$A$28:$A$178,0)),"")</f>
        <v>0.996078431372549</v>
      </c>
      <c r="T561" s="18" t="n">
        <f aca="false">IFERROR(ROUND(INDEX('Injectable Value'!$AA$28:$AA$178,MATCH($C561,'Injectable Value'!$A$28:$A$178,0)),1),"")</f>
        <v>71.4</v>
      </c>
      <c r="U561" s="16" t="s">
        <v>335</v>
      </c>
      <c r="V561" s="15" t="n">
        <v>1</v>
      </c>
      <c r="W561" s="15" t="s">
        <v>331</v>
      </c>
      <c r="X561" s="15" t="s">
        <v>277</v>
      </c>
      <c r="Y561" s="15" t="s">
        <v>277</v>
      </c>
      <c r="Z561" s="16" t="str">
        <f aca="false">IFERROR(INDEX(Scoring!$K:$K,MATCH($C561&amp;"|"&amp;$E561,Scoring!$U:$U,0)),"")</f>
        <v/>
      </c>
      <c r="AA561" s="15" t="str">
        <f aca="false">IFERROR(INDEX(Scoring!$Q:$Q,MATCH($C561&amp;"|"&amp;$E561,Scoring!$U:$U,0)),"")</f>
        <v>Excluded – IV only</v>
      </c>
      <c r="AB561" s="15" t="str">
        <f aca="false">IFERROR(INDEX(Scoring!$AK:$AK,MATCH($C561&amp;"|"&amp;$E561,Scoring!$U:$U,0)),"")</f>
        <v>Excluded – IV only</v>
      </c>
      <c r="AC561" s="18" t="n">
        <f aca="false">IFERROR(INDEX(Scoring!$M:$M,MATCH($C561&amp;"|"&amp;$E561,Scoring!$U:$U,0)),"")</f>
        <v>2</v>
      </c>
      <c r="AD561" s="15" t="str">
        <f aca="false">IFERROR(INDEX('Route of Administration'!$C$5:$C$155,MATCH($C561,'Route of Administration'!$A$5:$A$155,0)),"")</f>
        <v>IV</v>
      </c>
      <c r="AE561" s="14" t="str">
        <f aca="false">IFERROR(INDEX('Route of Administration'!$D$5:$D$155,MATCH($C561,'Route of Administration'!$A$5:$A$155,0)),"")</f>
        <v>No</v>
      </c>
    </row>
    <row r="562" customFormat="false" ht="82.05" hidden="false" customHeight="false" outlineLevel="0" collapsed="false">
      <c r="B562" s="15" t="n">
        <v>560</v>
      </c>
      <c r="C562" s="15" t="s">
        <v>635</v>
      </c>
      <c r="D562" s="15" t="s">
        <v>2510</v>
      </c>
      <c r="E562" s="15" t="s">
        <v>1260</v>
      </c>
      <c r="F562" s="15" t="s">
        <v>1940</v>
      </c>
      <c r="G562" s="16" t="s">
        <v>1855</v>
      </c>
      <c r="H562" s="15" t="s">
        <v>1505</v>
      </c>
      <c r="I562" s="17" t="n">
        <v>92.0498</v>
      </c>
      <c r="J562" s="15" t="n">
        <v>31</v>
      </c>
      <c r="K562" s="15" t="n">
        <v>346</v>
      </c>
      <c r="L562" s="18" t="n">
        <v>32830.17</v>
      </c>
      <c r="M562" s="16" t="s">
        <v>636</v>
      </c>
      <c r="N562" s="17" t="n">
        <v>92.0498</v>
      </c>
      <c r="O562" s="15" t="s">
        <v>1506</v>
      </c>
      <c r="P562" s="15" t="s">
        <v>1507</v>
      </c>
      <c r="Q562" s="16" t="s">
        <v>1508</v>
      </c>
      <c r="R562" s="32" t="s">
        <v>1673</v>
      </c>
      <c r="S562" s="37" t="n">
        <f aca="false">IFERROR(INDEX('Injectable Value'!$Z$28:$Z$178,MATCH($C562,'Injectable Value'!$A$28:$A$178,0)),"")</f>
        <v>1</v>
      </c>
      <c r="T562" s="18" t="n">
        <f aca="false">IFERROR(ROUND(INDEX('Injectable Value'!$AA$28:$AA$178,MATCH($C562,'Injectable Value'!$A$28:$A$178,0)),1),"")</f>
        <v>32830.2</v>
      </c>
      <c r="U562" s="16" t="s">
        <v>1140</v>
      </c>
      <c r="V562" s="15" t="n">
        <v>32</v>
      </c>
      <c r="W562" s="15" t="s">
        <v>298</v>
      </c>
      <c r="X562" s="15" t="s">
        <v>248</v>
      </c>
      <c r="Y562" s="15" t="s">
        <v>249</v>
      </c>
      <c r="Z562" s="16" t="str">
        <f aca="false">IFERROR(INDEX(Scoring!$K:$K,MATCH($C562&amp;"|"&amp;$E562,Scoring!$U:$U,0)),"")</f>
        <v/>
      </c>
      <c r="AA562" s="15" t="str">
        <f aca="false">IFERROR(INDEX(Scoring!$Q:$Q,MATCH($C562&amp;"|"&amp;$E562,Scoring!$U:$U,0)),"")</f>
        <v>Excluded – IV only</v>
      </c>
      <c r="AB562" s="15" t="str">
        <f aca="false">IFERROR(INDEX(Scoring!$AK:$AK,MATCH($C562&amp;"|"&amp;$E562,Scoring!$U:$U,0)),"")</f>
        <v>Excluded – IV only</v>
      </c>
      <c r="AC562" s="18" t="n">
        <f aca="false">IFERROR(INDEX(Scoring!$M:$M,MATCH($C562&amp;"|"&amp;$E562,Scoring!$U:$U,0)),"")</f>
        <v>346</v>
      </c>
      <c r="AD562" s="15" t="str">
        <f aca="false">IFERROR(INDEX('Route of Administration'!$C$5:$C$155,MATCH($C562,'Route of Administration'!$A$5:$A$155,0)),"")</f>
        <v>IV</v>
      </c>
      <c r="AE562" s="14" t="str">
        <f aca="false">IFERROR(INDEX('Route of Administration'!$D$5:$D$155,MATCH($C562,'Route of Administration'!$A$5:$A$155,0)),"")</f>
        <v>No</v>
      </c>
    </row>
    <row r="563" customFormat="false" ht="55.2" hidden="false" customHeight="false" outlineLevel="0" collapsed="false">
      <c r="B563" s="15" t="n">
        <v>561</v>
      </c>
      <c r="C563" s="15" t="s">
        <v>1150</v>
      </c>
      <c r="D563" s="15" t="s">
        <v>2501</v>
      </c>
      <c r="E563" s="15" t="s">
        <v>1260</v>
      </c>
      <c r="F563" s="15" t="s">
        <v>1956</v>
      </c>
      <c r="G563" s="16" t="s">
        <v>2345</v>
      </c>
      <c r="H563" s="15" t="s">
        <v>1505</v>
      </c>
      <c r="I563" s="17" t="n">
        <v>5.579</v>
      </c>
      <c r="J563" s="15" t="n">
        <v>1</v>
      </c>
      <c r="K563" s="15" t="n">
        <v>1</v>
      </c>
      <c r="L563" s="18" t="n">
        <v>15.02</v>
      </c>
      <c r="M563" s="16" t="s">
        <v>1151</v>
      </c>
      <c r="N563" s="17" t="n">
        <v>5.579</v>
      </c>
      <c r="O563" s="15" t="s">
        <v>1506</v>
      </c>
      <c r="P563" s="15" t="s">
        <v>1672</v>
      </c>
      <c r="Q563" s="16" t="s">
        <v>1508</v>
      </c>
      <c r="R563" s="32" t="s">
        <v>2431</v>
      </c>
      <c r="S563" s="37" t="n">
        <f aca="false">IFERROR(INDEX('Injectable Value'!$Z$28:$Z$178,MATCH($C563,'Injectable Value'!$A$28:$A$178,0)),"")</f>
        <v>0.952380952380952</v>
      </c>
      <c r="T563" s="18" t="n">
        <f aca="false">IFERROR(ROUND(INDEX('Injectable Value'!$AA$28:$AA$178,MATCH($C563,'Injectable Value'!$A$28:$A$178,0)),1),"")</f>
        <v>14.3</v>
      </c>
      <c r="U563" s="16" t="s">
        <v>1263</v>
      </c>
      <c r="V563" s="15" t="n">
        <v>19</v>
      </c>
      <c r="W563" s="15" t="s">
        <v>298</v>
      </c>
      <c r="X563" s="15" t="s">
        <v>316</v>
      </c>
      <c r="Y563" s="15" t="s">
        <v>249</v>
      </c>
      <c r="Z563" s="16" t="str">
        <f aca="false">IFERROR(INDEX(Scoring!$K:$K,MATCH($C563&amp;"|"&amp;$E563,Scoring!$U:$U,0)),"")</f>
        <v/>
      </c>
      <c r="AA563" s="15" t="str">
        <f aca="false">IFERROR(INDEX(Scoring!$Q:$Q,MATCH($C563&amp;"|"&amp;$E563,Scoring!$U:$U,0)),"")</f>
        <v>Excluded – IV only</v>
      </c>
      <c r="AB563" s="15" t="str">
        <f aca="false">IFERROR(INDEX(Scoring!$AK:$AK,MATCH($C563&amp;"|"&amp;$E563,Scoring!$U:$U,0)),"")</f>
        <v>Excluded – IV only</v>
      </c>
      <c r="AC563" s="18" t="n">
        <f aca="false">IFERROR(INDEX(Scoring!$M:$M,MATCH($C563&amp;"|"&amp;$E563,Scoring!$U:$U,0)),"")</f>
        <v>1</v>
      </c>
      <c r="AD563" s="15" t="str">
        <f aca="false">IFERROR(INDEX('Route of Administration'!$C$5:$C$155,MATCH($C563,'Route of Administration'!$A$5:$A$155,0)),"")</f>
        <v>IV</v>
      </c>
      <c r="AE563" s="14" t="str">
        <f aca="false">IFERROR(INDEX('Route of Administration'!$D$5:$D$155,MATCH($C563,'Route of Administration'!$A$5:$A$155,0)),"")</f>
        <v>No</v>
      </c>
    </row>
    <row r="564" customFormat="false" ht="41.75" hidden="false" customHeight="false" outlineLevel="0" collapsed="false">
      <c r="B564" s="15" t="n">
        <v>562</v>
      </c>
      <c r="C564" s="15" t="s">
        <v>1273</v>
      </c>
      <c r="D564" s="15" t="s">
        <v>1277</v>
      </c>
      <c r="E564" s="15" t="s">
        <v>1260</v>
      </c>
      <c r="F564" s="15" t="s">
        <v>2392</v>
      </c>
      <c r="G564" s="16" t="s">
        <v>2506</v>
      </c>
      <c r="H564" s="15" t="s">
        <v>1505</v>
      </c>
      <c r="I564" s="17" t="n">
        <v>11.39</v>
      </c>
      <c r="J564" s="15" t="n">
        <v>1</v>
      </c>
      <c r="K564" s="15" t="n">
        <v>69</v>
      </c>
      <c r="L564" s="18" t="n">
        <v>1781.11</v>
      </c>
      <c r="M564" s="16" t="s">
        <v>1274</v>
      </c>
      <c r="N564" s="17" t="n">
        <v>11.39</v>
      </c>
      <c r="O564" s="15" t="s">
        <v>1506</v>
      </c>
      <c r="P564" s="15" t="s">
        <v>1672</v>
      </c>
      <c r="Q564" s="16" t="s">
        <v>1508</v>
      </c>
      <c r="R564" s="32" t="s">
        <v>1784</v>
      </c>
      <c r="S564" s="37" t="n">
        <f aca="false">IFERROR(INDEX('Injectable Value'!$Z$28:$Z$178,MATCH($C564,'Injectable Value'!$A$28:$A$178,0)),"")</f>
        <v>1</v>
      </c>
      <c r="T564" s="18" t="n">
        <f aca="false">IFERROR(ROUND(INDEX('Injectable Value'!$AA$28:$AA$178,MATCH($C564,'Injectable Value'!$A$28:$A$178,0)),1),"")</f>
        <v>1781.1</v>
      </c>
      <c r="U564" s="16" t="s">
        <v>1278</v>
      </c>
      <c r="V564" s="15" t="n">
        <v>12</v>
      </c>
      <c r="W564" s="15" t="s">
        <v>403</v>
      </c>
      <c r="X564" s="15" t="s">
        <v>316</v>
      </c>
      <c r="Y564" s="15" t="s">
        <v>249</v>
      </c>
      <c r="Z564" s="16" t="str">
        <f aca="false">IFERROR(INDEX(Scoring!$K:$K,MATCH($C564&amp;"|"&amp;$E564,Scoring!$U:$U,0)),"")</f>
        <v/>
      </c>
      <c r="AA564" s="15" t="str">
        <f aca="false">IFERROR(INDEX(Scoring!$Q:$Q,MATCH($C564&amp;"|"&amp;$E564,Scoring!$U:$U,0)),"")</f>
        <v>Excluded – IV only</v>
      </c>
      <c r="AB564" s="15" t="str">
        <f aca="false">IFERROR(INDEX(Scoring!$AK:$AK,MATCH($C564&amp;"|"&amp;$E564,Scoring!$U:$U,0)),"")</f>
        <v>Excluded – IV only</v>
      </c>
      <c r="AC564" s="18" t="n">
        <f aca="false">IFERROR(INDEX(Scoring!$M:$M,MATCH($C564&amp;"|"&amp;$E564,Scoring!$U:$U,0)),"")</f>
        <v>69</v>
      </c>
      <c r="AD564" s="15" t="str">
        <f aca="false">IFERROR(INDEX('Route of Administration'!$C$5:$C$155,MATCH($C564,'Route of Administration'!$A$5:$A$155,0)),"")</f>
        <v>IV</v>
      </c>
      <c r="AE564" s="14" t="str">
        <f aca="false">IFERROR(INDEX('Route of Administration'!$D$5:$D$155,MATCH($C564,'Route of Administration'!$A$5:$A$155,0)),"")</f>
        <v>No</v>
      </c>
    </row>
    <row r="565" customFormat="false" ht="55.2" hidden="false" customHeight="false" outlineLevel="0" collapsed="false">
      <c r="B565" s="15" t="n">
        <v>563</v>
      </c>
      <c r="C565" s="15" t="s">
        <v>1150</v>
      </c>
      <c r="D565" s="15" t="s">
        <v>2501</v>
      </c>
      <c r="E565" s="15" t="s">
        <v>1260</v>
      </c>
      <c r="F565" s="15" t="s">
        <v>2511</v>
      </c>
      <c r="G565" s="16" t="s">
        <v>2018</v>
      </c>
      <c r="H565" s="15" t="s">
        <v>1505</v>
      </c>
      <c r="I565" s="17" t="n">
        <v>7.18</v>
      </c>
      <c r="J565" s="15" t="n">
        <v>1</v>
      </c>
      <c r="K565" s="15" t="n">
        <v>1</v>
      </c>
      <c r="L565" s="18" t="n">
        <v>15.02</v>
      </c>
      <c r="M565" s="16" t="s">
        <v>1151</v>
      </c>
      <c r="N565" s="17" t="n">
        <v>7.18</v>
      </c>
      <c r="O565" s="15" t="s">
        <v>1506</v>
      </c>
      <c r="P565" s="15" t="s">
        <v>1672</v>
      </c>
      <c r="Q565" s="16" t="s">
        <v>1846</v>
      </c>
      <c r="R565" s="32" t="s">
        <v>2503</v>
      </c>
      <c r="S565" s="37" t="n">
        <f aca="false">IFERROR(INDEX('Injectable Value'!$Z$28:$Z$178,MATCH($C565,'Injectable Value'!$A$28:$A$178,0)),"")</f>
        <v>0.952380952380952</v>
      </c>
      <c r="T565" s="18" t="n">
        <f aca="false">IFERROR(ROUND(INDEX('Injectable Value'!$AA$28:$AA$178,MATCH($C565,'Injectable Value'!$A$28:$A$178,0)),1),"")</f>
        <v>14.3</v>
      </c>
      <c r="U565" s="16" t="s">
        <v>1263</v>
      </c>
      <c r="V565" s="15" t="n">
        <v>19</v>
      </c>
      <c r="W565" s="15" t="s">
        <v>298</v>
      </c>
      <c r="X565" s="15" t="s">
        <v>316</v>
      </c>
      <c r="Y565" s="15" t="s">
        <v>249</v>
      </c>
      <c r="Z565" s="16" t="str">
        <f aca="false">IFERROR(INDEX(Scoring!$K:$K,MATCH($C565&amp;"|"&amp;$E565,Scoring!$U:$U,0)),"")</f>
        <v/>
      </c>
      <c r="AA565" s="15" t="str">
        <f aca="false">IFERROR(INDEX(Scoring!$Q:$Q,MATCH($C565&amp;"|"&amp;$E565,Scoring!$U:$U,0)),"")</f>
        <v>Excluded – IV only</v>
      </c>
      <c r="AB565" s="15" t="str">
        <f aca="false">IFERROR(INDEX(Scoring!$AK:$AK,MATCH($C565&amp;"|"&amp;$E565,Scoring!$U:$U,0)),"")</f>
        <v>Excluded – IV only</v>
      </c>
      <c r="AC565" s="18" t="n">
        <f aca="false">IFERROR(INDEX(Scoring!$M:$M,MATCH($C565&amp;"|"&amp;$E565,Scoring!$U:$U,0)),"")</f>
        <v>1</v>
      </c>
      <c r="AD565" s="15" t="str">
        <f aca="false">IFERROR(INDEX('Route of Administration'!$C$5:$C$155,MATCH($C565,'Route of Administration'!$A$5:$A$155,0)),"")</f>
        <v>IV</v>
      </c>
      <c r="AE565" s="14" t="str">
        <f aca="false">IFERROR(INDEX('Route of Administration'!$D$5:$D$155,MATCH($C565,'Route of Administration'!$A$5:$A$155,0)),"")</f>
        <v>No</v>
      </c>
    </row>
    <row r="566" customFormat="false" ht="55.2" hidden="false" customHeight="false" outlineLevel="0" collapsed="false">
      <c r="B566" s="15" t="n">
        <v>564</v>
      </c>
      <c r="C566" s="15" t="s">
        <v>1181</v>
      </c>
      <c r="D566" s="15" t="s">
        <v>1281</v>
      </c>
      <c r="E566" s="15" t="s">
        <v>1260</v>
      </c>
      <c r="F566" s="15" t="s">
        <v>2512</v>
      </c>
      <c r="G566" s="16" t="s">
        <v>2018</v>
      </c>
      <c r="H566" s="15" t="s">
        <v>1505</v>
      </c>
      <c r="I566" s="17" t="n">
        <v>5.27</v>
      </c>
      <c r="J566" s="15" t="n">
        <v>1</v>
      </c>
      <c r="K566" s="15" t="n">
        <v>58</v>
      </c>
      <c r="L566" s="18" t="n">
        <v>1115.28</v>
      </c>
      <c r="M566" s="16" t="s">
        <v>1182</v>
      </c>
      <c r="N566" s="17" t="n">
        <v>5.27</v>
      </c>
      <c r="O566" s="15" t="s">
        <v>1506</v>
      </c>
      <c r="P566" s="15" t="s">
        <v>1672</v>
      </c>
      <c r="Q566" s="16" t="s">
        <v>1846</v>
      </c>
      <c r="R566" s="32" t="s">
        <v>2513</v>
      </c>
      <c r="S566" s="37" t="n">
        <f aca="false">IFERROR(INDEX('Injectable Value'!$Z$28:$Z$178,MATCH($C566,'Injectable Value'!$A$28:$A$178,0)),"")</f>
        <v>0.257790111422073</v>
      </c>
      <c r="T566" s="18" t="n">
        <f aca="false">IFERROR(ROUND(INDEX('Injectable Value'!$AA$28:$AA$178,MATCH($C566,'Injectable Value'!$A$28:$A$178,0)),1),"")</f>
        <v>287.5</v>
      </c>
      <c r="U566" s="16" t="s">
        <v>1282</v>
      </c>
      <c r="V566" s="15" t="n">
        <v>18</v>
      </c>
      <c r="W566" s="15" t="s">
        <v>403</v>
      </c>
      <c r="X566" s="15" t="s">
        <v>316</v>
      </c>
      <c r="Y566" s="15" t="s">
        <v>249</v>
      </c>
      <c r="Z566" s="16" t="str">
        <f aca="false">IFERROR(INDEX(Scoring!$K:$K,MATCH($C566&amp;"|"&amp;$E566,Scoring!$U:$U,0)),"")</f>
        <v/>
      </c>
      <c r="AA566" s="15" t="str">
        <f aca="false">IFERROR(INDEX(Scoring!$Q:$Q,MATCH($C566&amp;"|"&amp;$E566,Scoring!$U:$U,0)),"")</f>
        <v>Priority 3</v>
      </c>
      <c r="AB566" s="15" t="str">
        <f aca="false">IFERROR(INDEX(Scoring!$AK:$AK,MATCH($C566&amp;"|"&amp;$E566,Scoring!$U:$U,0)),"")</f>
        <v>Priority 3</v>
      </c>
      <c r="AC566" s="18" t="n">
        <f aca="false">IFERROR(INDEX(Scoring!$M:$M,MATCH($C566&amp;"|"&amp;$E566,Scoring!$U:$U,0)),"")</f>
        <v>15</v>
      </c>
      <c r="AD566" s="15" t="str">
        <f aca="false">IFERROR(INDEX('Route of Administration'!$C$5:$C$155,MATCH($C566,'Route of Administration'!$A$5:$A$155,0)),"")</f>
        <v>IV, IM</v>
      </c>
      <c r="AE566" s="14" t="str">
        <f aca="false">IFERROR(INDEX('Route of Administration'!$D$5:$D$155,MATCH($C566,'Route of Administration'!$A$5:$A$155,0)),"")</f>
        <v>Yes</v>
      </c>
    </row>
    <row r="567" customFormat="false" ht="55.2" hidden="false" customHeight="false" outlineLevel="0" collapsed="false">
      <c r="B567" s="15" t="n">
        <v>565</v>
      </c>
      <c r="C567" s="15" t="s">
        <v>1181</v>
      </c>
      <c r="D567" s="15" t="s">
        <v>1281</v>
      </c>
      <c r="E567" s="15" t="s">
        <v>1260</v>
      </c>
      <c r="F567" s="15" t="s">
        <v>2512</v>
      </c>
      <c r="G567" s="16" t="s">
        <v>2506</v>
      </c>
      <c r="H567" s="15" t="s">
        <v>1505</v>
      </c>
      <c r="I567" s="17" t="n">
        <v>26.33</v>
      </c>
      <c r="J567" s="15" t="n">
        <v>1</v>
      </c>
      <c r="K567" s="15" t="n">
        <v>58</v>
      </c>
      <c r="L567" s="18" t="n">
        <v>1115.28</v>
      </c>
      <c r="M567" s="16" t="s">
        <v>1182</v>
      </c>
      <c r="N567" s="17" t="n">
        <v>26.33</v>
      </c>
      <c r="O567" s="15" t="s">
        <v>1506</v>
      </c>
      <c r="P567" s="15" t="s">
        <v>1672</v>
      </c>
      <c r="Q567" s="16" t="s">
        <v>1846</v>
      </c>
      <c r="R567" s="32" t="s">
        <v>2513</v>
      </c>
      <c r="S567" s="37" t="n">
        <f aca="false">IFERROR(INDEX('Injectable Value'!$Z$28:$Z$178,MATCH($C567,'Injectable Value'!$A$28:$A$178,0)),"")</f>
        <v>0.257790111422073</v>
      </c>
      <c r="T567" s="18" t="n">
        <f aca="false">IFERROR(ROUND(INDEX('Injectable Value'!$AA$28:$AA$178,MATCH($C567,'Injectable Value'!$A$28:$A$178,0)),1),"")</f>
        <v>287.5</v>
      </c>
      <c r="U567" s="16" t="s">
        <v>1282</v>
      </c>
      <c r="V567" s="15" t="n">
        <v>18</v>
      </c>
      <c r="W567" s="15" t="s">
        <v>403</v>
      </c>
      <c r="X567" s="15" t="s">
        <v>316</v>
      </c>
      <c r="Y567" s="15" t="s">
        <v>249</v>
      </c>
      <c r="Z567" s="16" t="str">
        <f aca="false">IFERROR(INDEX(Scoring!$K:$K,MATCH($C567&amp;"|"&amp;$E567,Scoring!$U:$U,0)),"")</f>
        <v/>
      </c>
      <c r="AA567" s="15" t="str">
        <f aca="false">IFERROR(INDEX(Scoring!$Q:$Q,MATCH($C567&amp;"|"&amp;$E567,Scoring!$U:$U,0)),"")</f>
        <v>Priority 3</v>
      </c>
      <c r="AB567" s="15" t="str">
        <f aca="false">IFERROR(INDEX(Scoring!$AK:$AK,MATCH($C567&amp;"|"&amp;$E567,Scoring!$U:$U,0)),"")</f>
        <v>Priority 3</v>
      </c>
      <c r="AC567" s="18" t="n">
        <f aca="false">IFERROR(INDEX(Scoring!$M:$M,MATCH($C567&amp;"|"&amp;$E567,Scoring!$U:$U,0)),"")</f>
        <v>15</v>
      </c>
      <c r="AD567" s="15" t="str">
        <f aca="false">IFERROR(INDEX('Route of Administration'!$C$5:$C$155,MATCH($C567,'Route of Administration'!$A$5:$A$155,0)),"")</f>
        <v>IV, IM</v>
      </c>
      <c r="AE567" s="14" t="str">
        <f aca="false">IFERROR(INDEX('Route of Administration'!$D$5:$D$155,MATCH($C567,'Route of Administration'!$A$5:$A$155,0)),"")</f>
        <v>Yes</v>
      </c>
    </row>
    <row r="568" customFormat="false" ht="28.35" hidden="false" customHeight="false" outlineLevel="0" collapsed="false">
      <c r="B568" s="15" t="n">
        <v>566</v>
      </c>
      <c r="C568" s="15" t="s">
        <v>451</v>
      </c>
      <c r="D568" s="15" t="s">
        <v>451</v>
      </c>
      <c r="E568" s="15" t="s">
        <v>1287</v>
      </c>
      <c r="F568" s="15" t="s">
        <v>1999</v>
      </c>
      <c r="G568" s="16" t="s">
        <v>2514</v>
      </c>
      <c r="H568" s="15" t="s">
        <v>1505</v>
      </c>
      <c r="I568" s="17" t="n">
        <v>10.97</v>
      </c>
      <c r="J568" s="15" t="n">
        <v>1</v>
      </c>
      <c r="K568" s="15" t="n">
        <v>1185</v>
      </c>
      <c r="L568" s="18" t="n">
        <v>59407.06</v>
      </c>
      <c r="M568" s="16" t="s">
        <v>452</v>
      </c>
      <c r="N568" s="17" t="n">
        <v>10.97</v>
      </c>
      <c r="O568" s="15" t="s">
        <v>1506</v>
      </c>
      <c r="P568" s="15" t="s">
        <v>1507</v>
      </c>
      <c r="Q568" s="16" t="s">
        <v>1508</v>
      </c>
      <c r="R568" s="32" t="s">
        <v>2515</v>
      </c>
      <c r="S568" s="37" t="n">
        <f aca="false">IFERROR(INDEX('Injectable Value'!$Z$28:$Z$178,MATCH($C568,'Injectable Value'!$A$28:$A$178,0)),"")</f>
        <v>0.991808067465962</v>
      </c>
      <c r="T568" s="18" t="n">
        <f aca="false">IFERROR(ROUND(INDEX('Injectable Value'!$AA$28:$AA$178,MATCH($C568,'Injectable Value'!$A$28:$A$178,0)),1),"")</f>
        <v>58920.4</v>
      </c>
      <c r="U568" s="16" t="s">
        <v>740</v>
      </c>
      <c r="V568" s="15" t="n">
        <v>2</v>
      </c>
      <c r="W568" s="15" t="s">
        <v>740</v>
      </c>
      <c r="X568" s="15" t="s">
        <v>248</v>
      </c>
      <c r="Y568" s="15" t="s">
        <v>277</v>
      </c>
      <c r="Z568" s="16" t="str">
        <f aca="false">IFERROR(INDEX(Scoring!$K:$K,MATCH($C568&amp;"|"&amp;$E568,Scoring!$U:$U,0)),"")</f>
        <v>Reconstitution</v>
      </c>
      <c r="AA568" s="15" t="str">
        <f aca="false">IFERROR(INDEX(Scoring!$Q:$Q,MATCH($C568&amp;"|"&amp;$E568,Scoring!$U:$U,0)),"")</f>
        <v>Excluded – IV only</v>
      </c>
      <c r="AB568" s="15" t="str">
        <f aca="false">IFERROR(INDEX(Scoring!$AK:$AK,MATCH($C568&amp;"|"&amp;$E568,Scoring!$U:$U,0)),"")</f>
        <v>Excluded – IV only</v>
      </c>
      <c r="AC568" s="18" t="n">
        <f aca="false">IFERROR(INDEX(Scoring!$M:$M,MATCH($C568&amp;"|"&amp;$E568,Scoring!$U:$U,0)),"")</f>
        <v>1175</v>
      </c>
      <c r="AD568" s="15" t="str">
        <f aca="false">IFERROR(INDEX('Route of Administration'!$C$5:$C$155,MATCH($C568,'Route of Administration'!$A$5:$A$155,0)),"")</f>
        <v>IV</v>
      </c>
      <c r="AE568" s="14" t="str">
        <f aca="false">IFERROR(INDEX('Route of Administration'!$D$5:$D$155,MATCH($C568,'Route of Administration'!$A$5:$A$155,0)),"")</f>
        <v>No</v>
      </c>
    </row>
    <row r="569" customFormat="false" ht="28.35" hidden="false" customHeight="false" outlineLevel="0" collapsed="false">
      <c r="B569" s="15" t="n">
        <v>567</v>
      </c>
      <c r="C569" s="15" t="s">
        <v>451</v>
      </c>
      <c r="D569" s="15" t="s">
        <v>2516</v>
      </c>
      <c r="E569" s="15" t="s">
        <v>1287</v>
      </c>
      <c r="F569" s="15" t="s">
        <v>1703</v>
      </c>
      <c r="G569" s="16" t="s">
        <v>2517</v>
      </c>
      <c r="H569" s="15" t="s">
        <v>1505</v>
      </c>
      <c r="I569" s="17" t="n">
        <v>12.0797</v>
      </c>
      <c r="J569" s="15" t="n">
        <v>29</v>
      </c>
      <c r="K569" s="15" t="n">
        <v>1185</v>
      </c>
      <c r="L569" s="18" t="n">
        <v>59407.06</v>
      </c>
      <c r="M569" s="16" t="s">
        <v>452</v>
      </c>
      <c r="N569" s="17" t="n">
        <v>12.0797</v>
      </c>
      <c r="O569" s="15" t="s">
        <v>1506</v>
      </c>
      <c r="P569" s="15" t="s">
        <v>1533</v>
      </c>
      <c r="Q569" s="16" t="s">
        <v>1508</v>
      </c>
      <c r="R569" s="32" t="s">
        <v>1673</v>
      </c>
      <c r="S569" s="37" t="n">
        <f aca="false">IFERROR(INDEX('Injectable Value'!$Z$28:$Z$178,MATCH($C569,'Injectable Value'!$A$28:$A$178,0)),"")</f>
        <v>0.991808067465962</v>
      </c>
      <c r="T569" s="18" t="n">
        <f aca="false">IFERROR(ROUND(INDEX('Injectable Value'!$AA$28:$AA$178,MATCH($C569,'Injectable Value'!$A$28:$A$178,0)),1),"")</f>
        <v>58920.4</v>
      </c>
      <c r="U569" s="16" t="s">
        <v>740</v>
      </c>
      <c r="V569" s="15" t="n">
        <v>2</v>
      </c>
      <c r="W569" s="15" t="s">
        <v>740</v>
      </c>
      <c r="X569" s="15" t="s">
        <v>248</v>
      </c>
      <c r="Y569" s="15" t="s">
        <v>299</v>
      </c>
      <c r="Z569" s="16" t="str">
        <f aca="false">IFERROR(INDEX(Scoring!$K:$K,MATCH($C569&amp;"|"&amp;$E569,Scoring!$U:$U,0)),"")</f>
        <v>Reconstitution</v>
      </c>
      <c r="AA569" s="15" t="str">
        <f aca="false">IFERROR(INDEX(Scoring!$Q:$Q,MATCH($C569&amp;"|"&amp;$E569,Scoring!$U:$U,0)),"")</f>
        <v>Excluded – IV only</v>
      </c>
      <c r="AB569" s="15" t="str">
        <f aca="false">IFERROR(INDEX(Scoring!$AK:$AK,MATCH($C569&amp;"|"&amp;$E569,Scoring!$U:$U,0)),"")</f>
        <v>Excluded – IV only</v>
      </c>
      <c r="AC569" s="18" t="n">
        <f aca="false">IFERROR(INDEX(Scoring!$M:$M,MATCH($C569&amp;"|"&amp;$E569,Scoring!$U:$U,0)),"")</f>
        <v>1175</v>
      </c>
      <c r="AD569" s="15" t="str">
        <f aca="false">IFERROR(INDEX('Route of Administration'!$C$5:$C$155,MATCH($C569,'Route of Administration'!$A$5:$A$155,0)),"")</f>
        <v>IV</v>
      </c>
      <c r="AE569" s="14" t="str">
        <f aca="false">IFERROR(INDEX('Route of Administration'!$D$5:$D$155,MATCH($C569,'Route of Administration'!$A$5:$A$155,0)),"")</f>
        <v>No</v>
      </c>
    </row>
    <row r="570" customFormat="false" ht="28.35" hidden="false" customHeight="false" outlineLevel="0" collapsed="false">
      <c r="B570" s="15" t="n">
        <v>568</v>
      </c>
      <c r="C570" s="15" t="s">
        <v>451</v>
      </c>
      <c r="D570" s="15" t="s">
        <v>2516</v>
      </c>
      <c r="E570" s="15" t="s">
        <v>1287</v>
      </c>
      <c r="F570" s="15" t="s">
        <v>1703</v>
      </c>
      <c r="G570" s="16" t="s">
        <v>2517</v>
      </c>
      <c r="H570" s="15" t="s">
        <v>1505</v>
      </c>
      <c r="I570" s="17" t="n">
        <v>12.0797</v>
      </c>
      <c r="J570" s="15" t="n">
        <v>30</v>
      </c>
      <c r="K570" s="15" t="n">
        <v>1185</v>
      </c>
      <c r="L570" s="18" t="n">
        <v>59407.06</v>
      </c>
      <c r="M570" s="16" t="s">
        <v>452</v>
      </c>
      <c r="N570" s="17" t="n">
        <v>12.0797</v>
      </c>
      <c r="O570" s="15" t="s">
        <v>1506</v>
      </c>
      <c r="P570" s="15" t="s">
        <v>1533</v>
      </c>
      <c r="Q570" s="16" t="s">
        <v>1508</v>
      </c>
      <c r="R570" s="32" t="s">
        <v>1673</v>
      </c>
      <c r="S570" s="37" t="n">
        <f aca="false">IFERROR(INDEX('Injectable Value'!$Z$28:$Z$178,MATCH($C570,'Injectable Value'!$A$28:$A$178,0)),"")</f>
        <v>0.991808067465962</v>
      </c>
      <c r="T570" s="18" t="n">
        <f aca="false">IFERROR(ROUND(INDEX('Injectable Value'!$AA$28:$AA$178,MATCH($C570,'Injectable Value'!$A$28:$A$178,0)),1),"")</f>
        <v>58920.4</v>
      </c>
      <c r="U570" s="16" t="s">
        <v>740</v>
      </c>
      <c r="V570" s="15" t="n">
        <v>2</v>
      </c>
      <c r="W570" s="15" t="s">
        <v>740</v>
      </c>
      <c r="X570" s="15" t="s">
        <v>248</v>
      </c>
      <c r="Y570" s="15" t="s">
        <v>299</v>
      </c>
      <c r="Z570" s="16" t="str">
        <f aca="false">IFERROR(INDEX(Scoring!$K:$K,MATCH($C570&amp;"|"&amp;$E570,Scoring!$U:$U,0)),"")</f>
        <v>Reconstitution</v>
      </c>
      <c r="AA570" s="15" t="str">
        <f aca="false">IFERROR(INDEX(Scoring!$Q:$Q,MATCH($C570&amp;"|"&amp;$E570,Scoring!$U:$U,0)),"")</f>
        <v>Excluded – IV only</v>
      </c>
      <c r="AB570" s="15" t="str">
        <f aca="false">IFERROR(INDEX(Scoring!$AK:$AK,MATCH($C570&amp;"|"&amp;$E570,Scoring!$U:$U,0)),"")</f>
        <v>Excluded – IV only</v>
      </c>
      <c r="AC570" s="18" t="n">
        <f aca="false">IFERROR(INDEX(Scoring!$M:$M,MATCH($C570&amp;"|"&amp;$E570,Scoring!$U:$U,0)),"")</f>
        <v>1175</v>
      </c>
      <c r="AD570" s="15" t="str">
        <f aca="false">IFERROR(INDEX('Route of Administration'!$C$5:$C$155,MATCH($C570,'Route of Administration'!$A$5:$A$155,0)),"")</f>
        <v>IV</v>
      </c>
      <c r="AE570" s="14" t="str">
        <f aca="false">IFERROR(INDEX('Route of Administration'!$D$5:$D$155,MATCH($C570,'Route of Administration'!$A$5:$A$155,0)),"")</f>
        <v>No</v>
      </c>
    </row>
    <row r="571" customFormat="false" ht="28.35" hidden="false" customHeight="false" outlineLevel="0" collapsed="false">
      <c r="B571" s="15" t="n">
        <v>569</v>
      </c>
      <c r="C571" s="15" t="s">
        <v>329</v>
      </c>
      <c r="D571" s="15" t="s">
        <v>1290</v>
      </c>
      <c r="E571" s="15" t="s">
        <v>1287</v>
      </c>
      <c r="F571" s="15" t="s">
        <v>2518</v>
      </c>
      <c r="G571" s="16" t="s">
        <v>2519</v>
      </c>
      <c r="H571" s="15" t="s">
        <v>1505</v>
      </c>
      <c r="I571" s="17" t="n">
        <v>30.73</v>
      </c>
      <c r="J571" s="15" t="n">
        <v>1</v>
      </c>
      <c r="K571" s="15" t="n">
        <v>335</v>
      </c>
      <c r="L571" s="18" t="n">
        <v>5713.56</v>
      </c>
      <c r="M571" s="16" t="s">
        <v>330</v>
      </c>
      <c r="N571" s="17" t="n">
        <v>30.73</v>
      </c>
      <c r="O571" s="15" t="s">
        <v>1506</v>
      </c>
      <c r="P571" s="15" t="s">
        <v>1507</v>
      </c>
      <c r="Q571" s="16" t="s">
        <v>1508</v>
      </c>
      <c r="R571" s="32" t="s">
        <v>2520</v>
      </c>
      <c r="S571" s="37" t="n">
        <f aca="false">IFERROR(INDEX('Injectable Value'!$Z$28:$Z$178,MATCH($C571,'Injectable Value'!$A$28:$A$178,0)),"")</f>
        <v>1</v>
      </c>
      <c r="T571" s="18" t="n">
        <f aca="false">IFERROR(ROUND(INDEX('Injectable Value'!$AA$28:$AA$178,MATCH($C571,'Injectable Value'!$A$28:$A$178,0)),1),"")</f>
        <v>5713.6</v>
      </c>
      <c r="U571" s="16" t="s">
        <v>583</v>
      </c>
      <c r="V571" s="15" t="n">
        <v>1</v>
      </c>
      <c r="W571" s="15" t="s">
        <v>70</v>
      </c>
      <c r="X571" s="15" t="s">
        <v>248</v>
      </c>
      <c r="Y571" s="15" t="s">
        <v>299</v>
      </c>
      <c r="Z571" s="16" t="str">
        <f aca="false">IFERROR(INDEX(Scoring!$K:$K,MATCH($C571&amp;"|"&amp;$E571,Scoring!$U:$U,0)),"")</f>
        <v>Reconstitution</v>
      </c>
      <c r="AA571" s="15" t="str">
        <f aca="false">IFERROR(INDEX(Scoring!$Q:$Q,MATCH($C571&amp;"|"&amp;$E571,Scoring!$U:$U,0)),"")</f>
        <v>Priority 2</v>
      </c>
      <c r="AB571" s="15" t="str">
        <f aca="false">IFERROR(INDEX(Scoring!$AK:$AK,MATCH($C571&amp;"|"&amp;$E571,Scoring!$U:$U,0)),"")</f>
        <v>Priority 2</v>
      </c>
      <c r="AC571" s="18" t="n">
        <f aca="false">IFERROR(INDEX(Scoring!$M:$M,MATCH($C571&amp;"|"&amp;$E571,Scoring!$U:$U,0)),"")</f>
        <v>335</v>
      </c>
      <c r="AD571" s="15" t="str">
        <f aca="false">IFERROR(INDEX('Route of Administration'!$C$5:$C$155,MATCH($C571,'Route of Administration'!$A$5:$A$155,0)),"")</f>
        <v>IV, IM</v>
      </c>
      <c r="AE571" s="14" t="str">
        <f aca="false">IFERROR(INDEX('Route of Administration'!$D$5:$D$155,MATCH($C571,'Route of Administration'!$A$5:$A$155,0)),"")</f>
        <v>Yes</v>
      </c>
    </row>
    <row r="572" customFormat="false" ht="28.35" hidden="false" customHeight="false" outlineLevel="0" collapsed="false">
      <c r="B572" s="15" t="n">
        <v>570</v>
      </c>
      <c r="C572" s="15" t="s">
        <v>329</v>
      </c>
      <c r="D572" s="15" t="s">
        <v>1290</v>
      </c>
      <c r="E572" s="15" t="s">
        <v>1287</v>
      </c>
      <c r="F572" s="15" t="s">
        <v>2420</v>
      </c>
      <c r="G572" s="16" t="s">
        <v>2421</v>
      </c>
      <c r="H572" s="15" t="s">
        <v>1505</v>
      </c>
      <c r="I572" s="17" t="n">
        <v>15.365</v>
      </c>
      <c r="J572" s="15" t="n">
        <v>1</v>
      </c>
      <c r="K572" s="15" t="n">
        <v>335</v>
      </c>
      <c r="L572" s="18" t="n">
        <v>5713.56</v>
      </c>
      <c r="M572" s="16" t="s">
        <v>330</v>
      </c>
      <c r="N572" s="17" t="n">
        <v>15.365</v>
      </c>
      <c r="O572" s="15" t="s">
        <v>1506</v>
      </c>
      <c r="P572" s="15" t="s">
        <v>1507</v>
      </c>
      <c r="Q572" s="16" t="s">
        <v>1508</v>
      </c>
      <c r="R572" s="32" t="s">
        <v>2520</v>
      </c>
      <c r="S572" s="37" t="n">
        <f aca="false">IFERROR(INDEX('Injectable Value'!$Z$28:$Z$178,MATCH($C572,'Injectable Value'!$A$28:$A$178,0)),"")</f>
        <v>1</v>
      </c>
      <c r="T572" s="18" t="n">
        <f aca="false">IFERROR(ROUND(INDEX('Injectable Value'!$AA$28:$AA$178,MATCH($C572,'Injectable Value'!$A$28:$A$178,0)),1),"")</f>
        <v>5713.6</v>
      </c>
      <c r="U572" s="16" t="s">
        <v>583</v>
      </c>
      <c r="V572" s="15" t="n">
        <v>1</v>
      </c>
      <c r="W572" s="15" t="s">
        <v>70</v>
      </c>
      <c r="X572" s="15" t="s">
        <v>248</v>
      </c>
      <c r="Y572" s="15" t="s">
        <v>299</v>
      </c>
      <c r="Z572" s="16" t="str">
        <f aca="false">IFERROR(INDEX(Scoring!$K:$K,MATCH($C572&amp;"|"&amp;$E572,Scoring!$U:$U,0)),"")</f>
        <v>Reconstitution</v>
      </c>
      <c r="AA572" s="15" t="str">
        <f aca="false">IFERROR(INDEX(Scoring!$Q:$Q,MATCH($C572&amp;"|"&amp;$E572,Scoring!$U:$U,0)),"")</f>
        <v>Priority 2</v>
      </c>
      <c r="AB572" s="15" t="str">
        <f aca="false">IFERROR(INDEX(Scoring!$AK:$AK,MATCH($C572&amp;"|"&amp;$E572,Scoring!$U:$U,0)),"")</f>
        <v>Priority 2</v>
      </c>
      <c r="AC572" s="18" t="n">
        <f aca="false">IFERROR(INDEX(Scoring!$M:$M,MATCH($C572&amp;"|"&amp;$E572,Scoring!$U:$U,0)),"")</f>
        <v>335</v>
      </c>
      <c r="AD572" s="15" t="str">
        <f aca="false">IFERROR(INDEX('Route of Administration'!$C$5:$C$155,MATCH($C572,'Route of Administration'!$A$5:$A$155,0)),"")</f>
        <v>IV, IM</v>
      </c>
      <c r="AE572" s="14" t="str">
        <f aca="false">IFERROR(INDEX('Route of Administration'!$D$5:$D$155,MATCH($C572,'Route of Administration'!$A$5:$A$155,0)),"")</f>
        <v>Yes</v>
      </c>
    </row>
    <row r="573" customFormat="false" ht="28.35" hidden="false" customHeight="false" outlineLevel="0" collapsed="false">
      <c r="B573" s="15" t="n">
        <v>571</v>
      </c>
      <c r="C573" s="15" t="s">
        <v>322</v>
      </c>
      <c r="D573" s="15" t="s">
        <v>1288</v>
      </c>
      <c r="E573" s="15" t="s">
        <v>1287</v>
      </c>
      <c r="F573" s="15" t="s">
        <v>2420</v>
      </c>
      <c r="G573" s="16" t="s">
        <v>2421</v>
      </c>
      <c r="H573" s="15" t="s">
        <v>1505</v>
      </c>
      <c r="I573" s="17" t="n">
        <v>8.323</v>
      </c>
      <c r="J573" s="15" t="n">
        <v>1</v>
      </c>
      <c r="K573" s="15" t="n">
        <v>290</v>
      </c>
      <c r="L573" s="18" t="n">
        <v>6348.25</v>
      </c>
      <c r="M573" s="16" t="s">
        <v>323</v>
      </c>
      <c r="N573" s="17" t="n">
        <v>8.323</v>
      </c>
      <c r="O573" s="15" t="s">
        <v>1506</v>
      </c>
      <c r="P573" s="15" t="s">
        <v>1507</v>
      </c>
      <c r="Q573" s="16" t="s">
        <v>1508</v>
      </c>
      <c r="R573" s="32" t="s">
        <v>2521</v>
      </c>
      <c r="S573" s="37" t="n">
        <f aca="false">IFERROR(INDEX('Injectable Value'!$Z$28:$Z$178,MATCH($C573,'Injectable Value'!$A$28:$A$178,0)),"")</f>
        <v>0.991596638655462</v>
      </c>
      <c r="T573" s="18" t="n">
        <f aca="false">IFERROR(ROUND(INDEX('Injectable Value'!$AA$28:$AA$178,MATCH($C573,'Injectable Value'!$A$28:$A$178,0)),1),"")</f>
        <v>6294.9</v>
      </c>
      <c r="U573" s="16" t="s">
        <v>583</v>
      </c>
      <c r="V573" s="15" t="n">
        <v>1</v>
      </c>
      <c r="W573" s="15" t="s">
        <v>70</v>
      </c>
      <c r="X573" s="15" t="s">
        <v>248</v>
      </c>
      <c r="Y573" s="15" t="s">
        <v>299</v>
      </c>
      <c r="Z573" s="16" t="str">
        <f aca="false">IFERROR(INDEX(Scoring!$K:$K,MATCH($C573&amp;"|"&amp;$E573,Scoring!$U:$U,0)),"")</f>
        <v>Reconstitution</v>
      </c>
      <c r="AA573" s="15" t="str">
        <f aca="false">IFERROR(INDEX(Scoring!$Q:$Q,MATCH($C573&amp;"|"&amp;$E573,Scoring!$U:$U,0)),"")</f>
        <v>Priority 2</v>
      </c>
      <c r="AB573" s="15" t="str">
        <f aca="false">IFERROR(INDEX(Scoring!$AK:$AK,MATCH($C573&amp;"|"&amp;$E573,Scoring!$U:$U,0)),"")</f>
        <v>Priority 2</v>
      </c>
      <c r="AC573" s="18" t="n">
        <f aca="false">IFERROR(INDEX(Scoring!$M:$M,MATCH($C573&amp;"|"&amp;$E573,Scoring!$U:$U,0)),"")</f>
        <v>288</v>
      </c>
      <c r="AD573" s="15" t="str">
        <f aca="false">IFERROR(INDEX('Route of Administration'!$C$5:$C$155,MATCH($C573,'Route of Administration'!$A$5:$A$155,0)),"")</f>
        <v>IV, IM</v>
      </c>
      <c r="AE573" s="14" t="str">
        <f aca="false">IFERROR(INDEX('Route of Administration'!$D$5:$D$155,MATCH($C573,'Route of Administration'!$A$5:$A$155,0)),"")</f>
        <v>Yes</v>
      </c>
    </row>
    <row r="574" customFormat="false" ht="28.35" hidden="false" customHeight="false" outlineLevel="0" collapsed="false">
      <c r="B574" s="15" t="n">
        <v>572</v>
      </c>
      <c r="C574" s="15" t="s">
        <v>322</v>
      </c>
      <c r="D574" s="15" t="s">
        <v>1288</v>
      </c>
      <c r="E574" s="15" t="s">
        <v>1287</v>
      </c>
      <c r="F574" s="15" t="s">
        <v>2518</v>
      </c>
      <c r="G574" s="16" t="s">
        <v>2519</v>
      </c>
      <c r="H574" s="15" t="s">
        <v>1505</v>
      </c>
      <c r="I574" s="17" t="n">
        <v>17.738</v>
      </c>
      <c r="J574" s="15" t="n">
        <v>1</v>
      </c>
      <c r="K574" s="15" t="n">
        <v>290</v>
      </c>
      <c r="L574" s="18" t="n">
        <v>6348.25</v>
      </c>
      <c r="M574" s="16" t="s">
        <v>323</v>
      </c>
      <c r="N574" s="17" t="n">
        <v>17.738</v>
      </c>
      <c r="O574" s="15" t="s">
        <v>1506</v>
      </c>
      <c r="P574" s="15" t="s">
        <v>1507</v>
      </c>
      <c r="Q574" s="16" t="s">
        <v>1508</v>
      </c>
      <c r="R574" s="32" t="s">
        <v>2522</v>
      </c>
      <c r="S574" s="37" t="n">
        <f aca="false">IFERROR(INDEX('Injectable Value'!$Z$28:$Z$178,MATCH($C574,'Injectable Value'!$A$28:$A$178,0)),"")</f>
        <v>0.991596638655462</v>
      </c>
      <c r="T574" s="18" t="n">
        <f aca="false">IFERROR(ROUND(INDEX('Injectable Value'!$AA$28:$AA$178,MATCH($C574,'Injectable Value'!$A$28:$A$178,0)),1),"")</f>
        <v>6294.9</v>
      </c>
      <c r="U574" s="16" t="s">
        <v>583</v>
      </c>
      <c r="V574" s="15" t="n">
        <v>1</v>
      </c>
      <c r="W574" s="15" t="s">
        <v>70</v>
      </c>
      <c r="X574" s="15" t="s">
        <v>248</v>
      </c>
      <c r="Y574" s="15" t="s">
        <v>299</v>
      </c>
      <c r="Z574" s="16" t="str">
        <f aca="false">IFERROR(INDEX(Scoring!$K:$K,MATCH($C574&amp;"|"&amp;$E574,Scoring!$U:$U,0)),"")</f>
        <v>Reconstitution</v>
      </c>
      <c r="AA574" s="15" t="str">
        <f aca="false">IFERROR(INDEX(Scoring!$Q:$Q,MATCH($C574&amp;"|"&amp;$E574,Scoring!$U:$U,0)),"")</f>
        <v>Priority 2</v>
      </c>
      <c r="AB574" s="15" t="str">
        <f aca="false">IFERROR(INDEX(Scoring!$AK:$AK,MATCH($C574&amp;"|"&amp;$E574,Scoring!$U:$U,0)),"")</f>
        <v>Priority 2</v>
      </c>
      <c r="AC574" s="18" t="n">
        <f aca="false">IFERROR(INDEX(Scoring!$M:$M,MATCH($C574&amp;"|"&amp;$E574,Scoring!$U:$U,0)),"")</f>
        <v>288</v>
      </c>
      <c r="AD574" s="15" t="str">
        <f aca="false">IFERROR(INDEX('Route of Administration'!$C$5:$C$155,MATCH($C574,'Route of Administration'!$A$5:$A$155,0)),"")</f>
        <v>IV, IM</v>
      </c>
      <c r="AE574" s="14" t="str">
        <f aca="false">IFERROR(INDEX('Route of Administration'!$D$5:$D$155,MATCH($C574,'Route of Administration'!$A$5:$A$155,0)),"")</f>
        <v>Yes</v>
      </c>
    </row>
    <row r="575" customFormat="false" ht="28.35" hidden="false" customHeight="false" outlineLevel="0" collapsed="false">
      <c r="B575" s="15" t="n">
        <v>573</v>
      </c>
      <c r="C575" s="15" t="s">
        <v>1293</v>
      </c>
      <c r="D575" s="15" t="s">
        <v>2523</v>
      </c>
      <c r="E575" s="15" t="s">
        <v>1287</v>
      </c>
      <c r="F575" s="15" t="s">
        <v>2524</v>
      </c>
      <c r="G575" s="16" t="s">
        <v>2525</v>
      </c>
      <c r="H575" s="15" t="s">
        <v>1505</v>
      </c>
      <c r="I575" s="17" t="n">
        <v>13.489</v>
      </c>
      <c r="J575" s="15" t="n">
        <v>1</v>
      </c>
      <c r="K575" s="15" t="n">
        <v>766</v>
      </c>
      <c r="L575" s="18" t="n">
        <v>32204.47</v>
      </c>
      <c r="M575" s="16" t="s">
        <v>1294</v>
      </c>
      <c r="N575" s="17" t="n">
        <v>13.489</v>
      </c>
      <c r="O575" s="15" t="s">
        <v>1506</v>
      </c>
      <c r="P575" s="15" t="s">
        <v>1507</v>
      </c>
      <c r="Q575" s="16" t="s">
        <v>1508</v>
      </c>
      <c r="R575" s="32" t="s">
        <v>2526</v>
      </c>
      <c r="S575" s="37" t="n">
        <f aca="false">IFERROR(INDEX('Injectable Value'!$Z$28:$Z$178,MATCH($C575,'Injectable Value'!$A$28:$A$178,0)),"")</f>
        <v>1</v>
      </c>
      <c r="T575" s="18" t="n">
        <f aca="false">IFERROR(ROUND(INDEX('Injectable Value'!$AA$28:$AA$178,MATCH($C575,'Injectable Value'!$A$28:$A$178,0)),1),"")</f>
        <v>32204.5</v>
      </c>
      <c r="U575" s="16" t="s">
        <v>583</v>
      </c>
      <c r="V575" s="15" t="n">
        <v>1</v>
      </c>
      <c r="W575" s="15" t="s">
        <v>70</v>
      </c>
      <c r="X575" s="15" t="s">
        <v>248</v>
      </c>
      <c r="Y575" s="15" t="s">
        <v>299</v>
      </c>
      <c r="Z575" s="16" t="str">
        <f aca="false">IFERROR(INDEX(Scoring!$K:$K,MATCH($C575&amp;"|"&amp;$E575,Scoring!$U:$U,0)),"")</f>
        <v>Reconstitution</v>
      </c>
      <c r="AA575" s="15" t="str">
        <f aca="false">IFERROR(INDEX(Scoring!$Q:$Q,MATCH($C575&amp;"|"&amp;$E575,Scoring!$U:$U,0)),"")</f>
        <v>Excluded – IV only</v>
      </c>
      <c r="AB575" s="15" t="str">
        <f aca="false">IFERROR(INDEX(Scoring!$AK:$AK,MATCH($C575&amp;"|"&amp;$E575,Scoring!$U:$U,0)),"")</f>
        <v>Excluded – IV only</v>
      </c>
      <c r="AC575" s="18" t="n">
        <f aca="false">IFERROR(INDEX(Scoring!$M:$M,MATCH($C575&amp;"|"&amp;$E575,Scoring!$U:$U,0)),"")</f>
        <v>766</v>
      </c>
      <c r="AD575" s="15" t="str">
        <f aca="false">IFERROR(INDEX('Route of Administration'!$C$5:$C$155,MATCH($C575,'Route of Administration'!$A$5:$A$155,0)),"")</f>
        <v>IV</v>
      </c>
      <c r="AE575" s="14" t="str">
        <f aca="false">IFERROR(INDEX('Route of Administration'!$D$5:$D$155,MATCH($C575,'Route of Administration'!$A$5:$A$155,0)),"")</f>
        <v>No</v>
      </c>
    </row>
    <row r="576" customFormat="false" ht="28.35" hidden="false" customHeight="false" outlineLevel="0" collapsed="false">
      <c r="B576" s="15" t="n">
        <v>574</v>
      </c>
      <c r="C576" s="15" t="s">
        <v>1293</v>
      </c>
      <c r="D576" s="15" t="s">
        <v>2527</v>
      </c>
      <c r="E576" s="15" t="s">
        <v>1287</v>
      </c>
      <c r="F576" s="15" t="s">
        <v>2528</v>
      </c>
      <c r="G576" s="16" t="s">
        <v>2529</v>
      </c>
      <c r="H576" s="15" t="s">
        <v>1505</v>
      </c>
      <c r="I576" s="17" t="n">
        <v>26.971</v>
      </c>
      <c r="J576" s="15" t="n">
        <v>1</v>
      </c>
      <c r="K576" s="15" t="n">
        <v>766</v>
      </c>
      <c r="L576" s="18" t="n">
        <v>32204.47</v>
      </c>
      <c r="M576" s="16" t="s">
        <v>1294</v>
      </c>
      <c r="N576" s="17" t="n">
        <v>26.971</v>
      </c>
      <c r="O576" s="15" t="s">
        <v>1506</v>
      </c>
      <c r="P576" s="15" t="s">
        <v>1507</v>
      </c>
      <c r="Q576" s="16" t="s">
        <v>1508</v>
      </c>
      <c r="R576" s="32" t="s">
        <v>2526</v>
      </c>
      <c r="S576" s="37" t="n">
        <f aca="false">IFERROR(INDEX('Injectable Value'!$Z$28:$Z$178,MATCH($C576,'Injectable Value'!$A$28:$A$178,0)),"")</f>
        <v>1</v>
      </c>
      <c r="T576" s="18" t="n">
        <f aca="false">IFERROR(ROUND(INDEX('Injectable Value'!$AA$28:$AA$178,MATCH($C576,'Injectable Value'!$A$28:$A$178,0)),1),"")</f>
        <v>32204.5</v>
      </c>
      <c r="U576" s="16" t="s">
        <v>583</v>
      </c>
      <c r="V576" s="15" t="n">
        <v>1</v>
      </c>
      <c r="W576" s="15" t="s">
        <v>70</v>
      </c>
      <c r="X576" s="15" t="s">
        <v>248</v>
      </c>
      <c r="Y576" s="15" t="s">
        <v>299</v>
      </c>
      <c r="Z576" s="16" t="str">
        <f aca="false">IFERROR(INDEX(Scoring!$K:$K,MATCH($C576&amp;"|"&amp;$E576,Scoring!$U:$U,0)),"")</f>
        <v>Reconstitution</v>
      </c>
      <c r="AA576" s="15" t="str">
        <f aca="false">IFERROR(INDEX(Scoring!$Q:$Q,MATCH($C576&amp;"|"&amp;$E576,Scoring!$U:$U,0)),"")</f>
        <v>Excluded – IV only</v>
      </c>
      <c r="AB576" s="15" t="str">
        <f aca="false">IFERROR(INDEX(Scoring!$AK:$AK,MATCH($C576&amp;"|"&amp;$E576,Scoring!$U:$U,0)),"")</f>
        <v>Excluded – IV only</v>
      </c>
      <c r="AC576" s="18" t="n">
        <f aca="false">IFERROR(INDEX(Scoring!$M:$M,MATCH($C576&amp;"|"&amp;$E576,Scoring!$U:$U,0)),"")</f>
        <v>766</v>
      </c>
      <c r="AD576" s="15" t="str">
        <f aca="false">IFERROR(INDEX('Route of Administration'!$C$5:$C$155,MATCH($C576,'Route of Administration'!$A$5:$A$155,0)),"")</f>
        <v>IV</v>
      </c>
      <c r="AE576" s="14" t="str">
        <f aca="false">IFERROR(INDEX('Route of Administration'!$D$5:$D$155,MATCH($C576,'Route of Administration'!$A$5:$A$155,0)),"")</f>
        <v>No</v>
      </c>
    </row>
    <row r="577" customFormat="false" ht="28.35" hidden="false" customHeight="false" outlineLevel="0" collapsed="false">
      <c r="B577" s="15" t="n">
        <v>575</v>
      </c>
      <c r="C577" s="15" t="s">
        <v>601</v>
      </c>
      <c r="D577" s="15" t="s">
        <v>1291</v>
      </c>
      <c r="E577" s="15" t="s">
        <v>1287</v>
      </c>
      <c r="F577" s="15" t="s">
        <v>2530</v>
      </c>
      <c r="G577" s="16" t="s">
        <v>2531</v>
      </c>
      <c r="H577" s="15" t="s">
        <v>1505</v>
      </c>
      <c r="I577" s="17" t="n">
        <v>6.9411728505</v>
      </c>
      <c r="J577" s="15" t="n">
        <v>1</v>
      </c>
      <c r="K577" s="15" t="n">
        <v>2582</v>
      </c>
      <c r="L577" s="18" t="n">
        <v>38106.07</v>
      </c>
      <c r="M577" s="16" t="s">
        <v>602</v>
      </c>
      <c r="N577" s="17" t="n">
        <v>6.9411728505</v>
      </c>
      <c r="O577" s="15" t="s">
        <v>1506</v>
      </c>
      <c r="P577" s="15" t="s">
        <v>1672</v>
      </c>
      <c r="Q577" s="16" t="s">
        <v>1846</v>
      </c>
      <c r="R577" s="32" t="s">
        <v>2532</v>
      </c>
      <c r="S577" s="37" t="n">
        <f aca="false">IFERROR(INDEX('Injectable Value'!$Z$28:$Z$178,MATCH($C577,'Injectable Value'!$A$28:$A$178,0)),"")</f>
        <v>0.125875590958329</v>
      </c>
      <c r="T577" s="18" t="n">
        <f aca="false">IFERROR(ROUND(INDEX('Injectable Value'!$AA$28:$AA$178,MATCH($C577,'Injectable Value'!$A$28:$A$178,0)),1),"")</f>
        <v>4796.6</v>
      </c>
      <c r="U577" s="16" t="s">
        <v>328</v>
      </c>
      <c r="V577" s="15" t="n">
        <v>1</v>
      </c>
      <c r="W577" s="15" t="s">
        <v>70</v>
      </c>
      <c r="X577" s="15" t="s">
        <v>248</v>
      </c>
      <c r="Y577" s="15" t="s">
        <v>249</v>
      </c>
      <c r="Z577" s="16" t="str">
        <f aca="false">IFERROR(INDEX(Scoring!$K:$K,MATCH($C577&amp;"|"&amp;$E577,Scoring!$U:$U,0)),"")</f>
        <v/>
      </c>
      <c r="AA577" s="15" t="str">
        <f aca="false">IFERROR(INDEX(Scoring!$Q:$Q,MATCH($C577&amp;"|"&amp;$E577,Scoring!$U:$U,0)),"")</f>
        <v>Priority 2</v>
      </c>
      <c r="AB577" s="15" t="str">
        <f aca="false">IFERROR(INDEX(Scoring!$AK:$AK,MATCH($C577&amp;"|"&amp;$E577,Scoring!$U:$U,0)),"")</f>
        <v>Priority 2</v>
      </c>
      <c r="AC577" s="18" t="n">
        <f aca="false">IFERROR(INDEX(Scoring!$M:$M,MATCH($C577&amp;"|"&amp;$E577,Scoring!$U:$U,0)),"")</f>
        <v>325</v>
      </c>
      <c r="AD577" s="15" t="str">
        <f aca="false">IFERROR(INDEX('Route of Administration'!$C$5:$C$155,MATCH($C577,'Route of Administration'!$A$5:$A$155,0)),"")</f>
        <v>IV, IM</v>
      </c>
      <c r="AE577" s="14" t="str">
        <f aca="false">IFERROR(INDEX('Route of Administration'!$D$5:$D$155,MATCH($C577,'Route of Administration'!$A$5:$A$155,0)),"")</f>
        <v>Yes</v>
      </c>
    </row>
    <row r="578" customFormat="false" ht="28.35" hidden="false" customHeight="false" outlineLevel="0" collapsed="false">
      <c r="B578" s="15" t="n">
        <v>576</v>
      </c>
      <c r="C578" s="15" t="s">
        <v>1308</v>
      </c>
      <c r="D578" s="15" t="s">
        <v>1312</v>
      </c>
      <c r="E578" s="15" t="s">
        <v>199</v>
      </c>
      <c r="F578" s="15" t="s">
        <v>2533</v>
      </c>
      <c r="G578" s="16" t="s">
        <v>2534</v>
      </c>
      <c r="H578" s="15" t="s">
        <v>1505</v>
      </c>
      <c r="I578" s="17" t="n">
        <v>29.39</v>
      </c>
      <c r="J578" s="15" t="n">
        <v>1</v>
      </c>
      <c r="K578" s="15" t="n">
        <v>15</v>
      </c>
      <c r="L578" s="18" t="n">
        <v>3589.61</v>
      </c>
      <c r="M578" s="16" t="s">
        <v>1309</v>
      </c>
      <c r="N578" s="17" t="n">
        <v>29.39</v>
      </c>
      <c r="O578" s="15" t="s">
        <v>1506</v>
      </c>
      <c r="P578" s="15" t="s">
        <v>1507</v>
      </c>
      <c r="Q578" s="16" t="s">
        <v>1508</v>
      </c>
      <c r="R578" s="32" t="s">
        <v>2535</v>
      </c>
      <c r="S578" s="37" t="n">
        <f aca="false">IFERROR(INDEX('Injectable Value'!$Z$28:$Z$178,MATCH($C578,'Injectable Value'!$A$28:$A$178,0)),"")</f>
        <v>0.833333333333333</v>
      </c>
      <c r="T578" s="18" t="n">
        <f aca="false">IFERROR(ROUND(INDEX('Injectable Value'!$AA$28:$AA$178,MATCH($C578,'Injectable Value'!$A$28:$A$178,0)),1),"")</f>
        <v>2991.3</v>
      </c>
      <c r="U578" s="16" t="s">
        <v>247</v>
      </c>
      <c r="V578" s="15" t="n">
        <v>1</v>
      </c>
      <c r="W578" s="15" t="s">
        <v>247</v>
      </c>
      <c r="X578" s="15" t="s">
        <v>248</v>
      </c>
      <c r="Y578" s="15" t="s">
        <v>324</v>
      </c>
      <c r="Z578" s="16" t="str">
        <f aca="false">IFERROR(INDEX(Scoring!$K:$K,MATCH($C578&amp;"|"&amp;$E578,Scoring!$U:$U,0)),"")</f>
        <v>Reconstitution</v>
      </c>
      <c r="AA578" s="15" t="str">
        <f aca="false">IFERROR(INDEX(Scoring!$Q:$Q,MATCH($C578&amp;"|"&amp;$E578,Scoring!$U:$U,0)),"")</f>
        <v>Excluded – IV only</v>
      </c>
      <c r="AB578" s="15" t="str">
        <f aca="false">IFERROR(INDEX(Scoring!$AK:$AK,MATCH($C578&amp;"|"&amp;$E578,Scoring!$U:$U,0)),"")</f>
        <v>Excluded – IV only</v>
      </c>
      <c r="AC578" s="18" t="n">
        <f aca="false">IFERROR(INDEX(Scoring!$M:$M,MATCH($C578&amp;"|"&amp;$E578,Scoring!$U:$U,0)),"")</f>
        <v>13</v>
      </c>
      <c r="AD578" s="15" t="str">
        <f aca="false">IFERROR(INDEX('Route of Administration'!$C$5:$C$155,MATCH($C578,'Route of Administration'!$A$5:$A$155,0)),"")</f>
        <v>IV</v>
      </c>
      <c r="AE578" s="14" t="str">
        <f aca="false">IFERROR(INDEX('Route of Administration'!$D$5:$D$155,MATCH($C578,'Route of Administration'!$A$5:$A$155,0)),"")</f>
        <v>No</v>
      </c>
    </row>
    <row r="579" customFormat="false" ht="28.35" hidden="false" customHeight="false" outlineLevel="0" collapsed="false">
      <c r="B579" s="15" t="n">
        <v>577</v>
      </c>
      <c r="C579" s="15" t="s">
        <v>362</v>
      </c>
      <c r="D579" s="15" t="s">
        <v>1314</v>
      </c>
      <c r="E579" s="15" t="s">
        <v>199</v>
      </c>
      <c r="F579" s="15" t="s">
        <v>1541</v>
      </c>
      <c r="G579" s="16" t="s">
        <v>2536</v>
      </c>
      <c r="H579" s="15" t="s">
        <v>1505</v>
      </c>
      <c r="I579" s="17" t="n">
        <v>15.95</v>
      </c>
      <c r="J579" s="15" t="n">
        <v>1</v>
      </c>
      <c r="K579" s="15" t="n">
        <v>1644</v>
      </c>
      <c r="L579" s="18" t="n">
        <v>41889.23</v>
      </c>
      <c r="M579" s="16" t="s">
        <v>363</v>
      </c>
      <c r="N579" s="17" t="n">
        <v>15.95</v>
      </c>
      <c r="O579" s="15" t="s">
        <v>1506</v>
      </c>
      <c r="P579" s="15" t="s">
        <v>1507</v>
      </c>
      <c r="Q579" s="16" t="s">
        <v>1508</v>
      </c>
      <c r="R579" s="32" t="s">
        <v>2537</v>
      </c>
      <c r="S579" s="37" t="n">
        <f aca="false">IFERROR(INDEX('Injectable Value'!$Z$28:$Z$178,MATCH($C579,'Injectable Value'!$A$28:$A$178,0)),"")</f>
        <v>0.990783410138249</v>
      </c>
      <c r="T579" s="18" t="n">
        <f aca="false">IFERROR(ROUND(INDEX('Injectable Value'!$AA$28:$AA$178,MATCH($C579,'Injectable Value'!$A$28:$A$178,0)),1),"")</f>
        <v>41503.2</v>
      </c>
      <c r="U579" s="16" t="s">
        <v>1313</v>
      </c>
      <c r="V579" s="15" t="n">
        <v>2</v>
      </c>
      <c r="W579" s="15" t="s">
        <v>1313</v>
      </c>
      <c r="X579" s="15" t="s">
        <v>248</v>
      </c>
      <c r="Y579" s="15" t="s">
        <v>1519</v>
      </c>
      <c r="Z579" s="16" t="str">
        <f aca="false">IFERROR(INDEX(Scoring!$K:$K,MATCH($C579&amp;"|"&amp;$E579,Scoring!$U:$U,0)),"")</f>
        <v>Cancer drug (cytotoxic) – less relevant</v>
      </c>
      <c r="AA579" s="15" t="str">
        <f aca="false">IFERROR(INDEX(Scoring!$Q:$Q,MATCH($C579&amp;"|"&amp;$E579,Scoring!$U:$U,0)),"")</f>
        <v>Excluded – IV only</v>
      </c>
      <c r="AB579" s="15" t="str">
        <f aca="false">IFERROR(INDEX(Scoring!$AK:$AK,MATCH($C579&amp;"|"&amp;$E579,Scoring!$U:$U,0)),"")</f>
        <v>Excluded – IV only</v>
      </c>
      <c r="AC579" s="18" t="n">
        <f aca="false">IFERROR(INDEX(Scoring!$M:$M,MATCH($C579&amp;"|"&amp;$E579,Scoring!$U:$U,0)),"")</f>
        <v>1629</v>
      </c>
      <c r="AD579" s="15" t="str">
        <f aca="false">IFERROR(INDEX('Route of Administration'!$C$5:$C$155,MATCH($C579,'Route of Administration'!$A$5:$A$155,0)),"")</f>
        <v>IV</v>
      </c>
      <c r="AE579" s="14" t="str">
        <f aca="false">IFERROR(INDEX('Route of Administration'!$D$5:$D$155,MATCH($C579,'Route of Administration'!$A$5:$A$155,0)),"")</f>
        <v>No</v>
      </c>
    </row>
    <row r="580" customFormat="false" ht="28.35" hidden="false" customHeight="false" outlineLevel="0" collapsed="false">
      <c r="B580" s="15" t="n">
        <v>578</v>
      </c>
      <c r="C580" s="15" t="s">
        <v>635</v>
      </c>
      <c r="D580" s="15" t="s">
        <v>1475</v>
      </c>
      <c r="E580" s="15" t="s">
        <v>199</v>
      </c>
      <c r="F580" s="15" t="s">
        <v>1910</v>
      </c>
      <c r="G580" s="16" t="s">
        <v>2472</v>
      </c>
      <c r="H580" s="15" t="s">
        <v>1505</v>
      </c>
      <c r="I580" s="17" t="n">
        <v>21.78</v>
      </c>
      <c r="J580" s="15" t="n">
        <v>1</v>
      </c>
      <c r="K580" s="15" t="n">
        <v>346</v>
      </c>
      <c r="L580" s="18" t="n">
        <v>32830.17</v>
      </c>
      <c r="M580" s="16" t="s">
        <v>636</v>
      </c>
      <c r="N580" s="17" t="n">
        <v>21.78</v>
      </c>
      <c r="O580" s="15" t="s">
        <v>1506</v>
      </c>
      <c r="P580" s="15" t="s">
        <v>1507</v>
      </c>
      <c r="Q580" s="16" t="s">
        <v>1508</v>
      </c>
      <c r="R580" s="32" t="s">
        <v>1912</v>
      </c>
      <c r="S580" s="37" t="n">
        <f aca="false">IFERROR(INDEX('Injectable Value'!$Z$28:$Z$178,MATCH($C580,'Injectable Value'!$A$28:$A$178,0)),"")</f>
        <v>1</v>
      </c>
      <c r="T580" s="18" t="n">
        <f aca="false">IFERROR(ROUND(INDEX('Injectable Value'!$AA$28:$AA$178,MATCH($C580,'Injectable Value'!$A$28:$A$178,0)),1),"")</f>
        <v>32830.2</v>
      </c>
      <c r="U580" s="16" t="s">
        <v>1343</v>
      </c>
      <c r="V580" s="15" t="n">
        <v>7</v>
      </c>
      <c r="W580" s="15" t="s">
        <v>1341</v>
      </c>
      <c r="X580" s="15" t="s">
        <v>248</v>
      </c>
      <c r="Y580" s="15" t="s">
        <v>249</v>
      </c>
      <c r="Z580" s="16" t="str">
        <f aca="false">IFERROR(INDEX(Scoring!$K:$K,MATCH($C580&amp;"|"&amp;$E580,Scoring!$U:$U,0)),"")</f>
        <v/>
      </c>
      <c r="AA580" s="15" t="str">
        <f aca="false">IFERROR(INDEX(Scoring!$Q:$Q,MATCH($C580&amp;"|"&amp;$E580,Scoring!$U:$U,0)),"")</f>
        <v>Excluded – IV only</v>
      </c>
      <c r="AB580" s="15" t="str">
        <f aca="false">IFERROR(INDEX(Scoring!$AK:$AK,MATCH($C580&amp;"|"&amp;$E580,Scoring!$U:$U,0)),"")</f>
        <v>Excluded – IV only</v>
      </c>
      <c r="AC580" s="18" t="n">
        <f aca="false">IFERROR(INDEX(Scoring!$M:$M,MATCH($C580&amp;"|"&amp;$E580,Scoring!$U:$U,0)),"")</f>
        <v>346</v>
      </c>
      <c r="AD580" s="15" t="str">
        <f aca="false">IFERROR(INDEX('Route of Administration'!$C$5:$C$155,MATCH($C580,'Route of Administration'!$A$5:$A$155,0)),"")</f>
        <v>IV</v>
      </c>
      <c r="AE580" s="14" t="str">
        <f aca="false">IFERROR(INDEX('Route of Administration'!$D$5:$D$155,MATCH($C580,'Route of Administration'!$A$5:$A$155,0)),"")</f>
        <v>No</v>
      </c>
    </row>
    <row r="581" customFormat="false" ht="28.35" hidden="false" customHeight="false" outlineLevel="0" collapsed="false">
      <c r="B581" s="15" t="n">
        <v>579</v>
      </c>
      <c r="C581" s="15" t="s">
        <v>635</v>
      </c>
      <c r="D581" s="15" t="s">
        <v>1475</v>
      </c>
      <c r="E581" s="15" t="s">
        <v>199</v>
      </c>
      <c r="F581" s="15" t="s">
        <v>1913</v>
      </c>
      <c r="G581" s="16" t="s">
        <v>2400</v>
      </c>
      <c r="H581" s="15" t="s">
        <v>1505</v>
      </c>
      <c r="I581" s="17" t="n">
        <v>48.28</v>
      </c>
      <c r="J581" s="15" t="n">
        <v>1</v>
      </c>
      <c r="K581" s="15" t="n">
        <v>346</v>
      </c>
      <c r="L581" s="18" t="n">
        <v>32830.17</v>
      </c>
      <c r="M581" s="16" t="s">
        <v>636</v>
      </c>
      <c r="N581" s="17" t="n">
        <v>48.28</v>
      </c>
      <c r="O581" s="15" t="s">
        <v>1506</v>
      </c>
      <c r="P581" s="15" t="s">
        <v>1507</v>
      </c>
      <c r="Q581" s="16" t="s">
        <v>1508</v>
      </c>
      <c r="R581" s="32" t="s">
        <v>1912</v>
      </c>
      <c r="S581" s="37" t="n">
        <f aca="false">IFERROR(INDEX('Injectable Value'!$Z$28:$Z$178,MATCH($C581,'Injectable Value'!$A$28:$A$178,0)),"")</f>
        <v>1</v>
      </c>
      <c r="T581" s="18" t="n">
        <f aca="false">IFERROR(ROUND(INDEX('Injectable Value'!$AA$28:$AA$178,MATCH($C581,'Injectable Value'!$A$28:$A$178,0)),1),"")</f>
        <v>32830.2</v>
      </c>
      <c r="U581" s="16" t="s">
        <v>1343</v>
      </c>
      <c r="V581" s="15" t="n">
        <v>7</v>
      </c>
      <c r="W581" s="15" t="s">
        <v>1341</v>
      </c>
      <c r="X581" s="15" t="s">
        <v>248</v>
      </c>
      <c r="Y581" s="15" t="s">
        <v>249</v>
      </c>
      <c r="Z581" s="16" t="str">
        <f aca="false">IFERROR(INDEX(Scoring!$K:$K,MATCH($C581&amp;"|"&amp;$E581,Scoring!$U:$U,0)),"")</f>
        <v/>
      </c>
      <c r="AA581" s="15" t="str">
        <f aca="false">IFERROR(INDEX(Scoring!$Q:$Q,MATCH($C581&amp;"|"&amp;$E581,Scoring!$U:$U,0)),"")</f>
        <v>Excluded – IV only</v>
      </c>
      <c r="AB581" s="15" t="str">
        <f aca="false">IFERROR(INDEX(Scoring!$AK:$AK,MATCH($C581&amp;"|"&amp;$E581,Scoring!$U:$U,0)),"")</f>
        <v>Excluded – IV only</v>
      </c>
      <c r="AC581" s="18" t="n">
        <f aca="false">IFERROR(INDEX(Scoring!$M:$M,MATCH($C581&amp;"|"&amp;$E581,Scoring!$U:$U,0)),"")</f>
        <v>346</v>
      </c>
      <c r="AD581" s="15" t="str">
        <f aca="false">IFERROR(INDEX('Route of Administration'!$C$5:$C$155,MATCH($C581,'Route of Administration'!$A$5:$A$155,0)),"")</f>
        <v>IV</v>
      </c>
      <c r="AE581" s="14" t="str">
        <f aca="false">IFERROR(INDEX('Route of Administration'!$D$5:$D$155,MATCH($C581,'Route of Administration'!$A$5:$A$155,0)),"")</f>
        <v>No</v>
      </c>
    </row>
    <row r="582" customFormat="false" ht="28.35" hidden="false" customHeight="false" outlineLevel="0" collapsed="false">
      <c r="B582" s="15" t="n">
        <v>580</v>
      </c>
      <c r="C582" s="15" t="s">
        <v>635</v>
      </c>
      <c r="D582" s="15" t="s">
        <v>2538</v>
      </c>
      <c r="E582" s="15" t="s">
        <v>199</v>
      </c>
      <c r="F582" s="15" t="s">
        <v>1732</v>
      </c>
      <c r="G582" s="16" t="s">
        <v>1855</v>
      </c>
      <c r="H582" s="15" t="s">
        <v>1505</v>
      </c>
      <c r="I582" s="17" t="n">
        <v>78.79</v>
      </c>
      <c r="J582" s="15" t="n">
        <v>1</v>
      </c>
      <c r="K582" s="15" t="n">
        <v>346</v>
      </c>
      <c r="L582" s="18" t="n">
        <v>32830.17</v>
      </c>
      <c r="M582" s="16" t="s">
        <v>636</v>
      </c>
      <c r="N582" s="17" t="n">
        <v>78.79</v>
      </c>
      <c r="O582" s="15" t="s">
        <v>1506</v>
      </c>
      <c r="P582" s="15" t="s">
        <v>1672</v>
      </c>
      <c r="Q582" s="16" t="s">
        <v>1508</v>
      </c>
      <c r="R582" s="32" t="s">
        <v>2539</v>
      </c>
      <c r="S582" s="37" t="n">
        <f aca="false">IFERROR(INDEX('Injectable Value'!$Z$28:$Z$178,MATCH($C582,'Injectable Value'!$A$28:$A$178,0)),"")</f>
        <v>1</v>
      </c>
      <c r="T582" s="18" t="n">
        <f aca="false">IFERROR(ROUND(INDEX('Injectable Value'!$AA$28:$AA$178,MATCH($C582,'Injectable Value'!$A$28:$A$178,0)),1),"")</f>
        <v>32830.2</v>
      </c>
      <c r="U582" s="16" t="s">
        <v>1343</v>
      </c>
      <c r="V582" s="15" t="n">
        <v>7</v>
      </c>
      <c r="W582" s="15" t="s">
        <v>1341</v>
      </c>
      <c r="X582" s="15" t="s">
        <v>248</v>
      </c>
      <c r="Y582" s="15" t="s">
        <v>249</v>
      </c>
      <c r="Z582" s="16" t="str">
        <f aca="false">IFERROR(INDEX(Scoring!$K:$K,MATCH($C582&amp;"|"&amp;$E582,Scoring!$U:$U,0)),"")</f>
        <v/>
      </c>
      <c r="AA582" s="15" t="str">
        <f aca="false">IFERROR(INDEX(Scoring!$Q:$Q,MATCH($C582&amp;"|"&amp;$E582,Scoring!$U:$U,0)),"")</f>
        <v>Excluded – IV only</v>
      </c>
      <c r="AB582" s="15" t="str">
        <f aca="false">IFERROR(INDEX(Scoring!$AK:$AK,MATCH($C582&amp;"|"&amp;$E582,Scoring!$U:$U,0)),"")</f>
        <v>Excluded – IV only</v>
      </c>
      <c r="AC582" s="18" t="n">
        <f aca="false">IFERROR(INDEX(Scoring!$M:$M,MATCH($C582&amp;"|"&amp;$E582,Scoring!$U:$U,0)),"")</f>
        <v>346</v>
      </c>
      <c r="AD582" s="15" t="str">
        <f aca="false">IFERROR(INDEX('Route of Administration'!$C$5:$C$155,MATCH($C582,'Route of Administration'!$A$5:$A$155,0)),"")</f>
        <v>IV</v>
      </c>
      <c r="AE582" s="14" t="str">
        <f aca="false">IFERROR(INDEX('Route of Administration'!$D$5:$D$155,MATCH($C582,'Route of Administration'!$A$5:$A$155,0)),"")</f>
        <v>No</v>
      </c>
    </row>
    <row r="583" customFormat="false" ht="28.35" hidden="false" customHeight="false" outlineLevel="0" collapsed="false">
      <c r="B583" s="15" t="n">
        <v>581</v>
      </c>
      <c r="C583" s="15" t="s">
        <v>1298</v>
      </c>
      <c r="D583" s="15" t="s">
        <v>1298</v>
      </c>
      <c r="E583" s="15" t="s">
        <v>199</v>
      </c>
      <c r="F583" s="15" t="s">
        <v>1986</v>
      </c>
      <c r="G583" s="16" t="s">
        <v>2540</v>
      </c>
      <c r="H583" s="15" t="s">
        <v>1505</v>
      </c>
      <c r="I583" s="17"/>
      <c r="J583" s="15" t="n">
        <v>1</v>
      </c>
      <c r="K583" s="15" t="n">
        <v>1331</v>
      </c>
      <c r="L583" s="18" t="n">
        <v>23317.34</v>
      </c>
      <c r="M583" s="16" t="s">
        <v>1299</v>
      </c>
      <c r="N583" s="17"/>
      <c r="O583" s="15" t="s">
        <v>1545</v>
      </c>
      <c r="P583" s="15" t="s">
        <v>70</v>
      </c>
      <c r="Q583" s="16" t="s">
        <v>70</v>
      </c>
      <c r="R583" s="15"/>
      <c r="S583" s="37" t="n">
        <f aca="false">IFERROR(INDEX('Injectable Value'!$Z$28:$Z$178,MATCH($C583,'Injectable Value'!$A$28:$A$178,0)),"")</f>
        <v>0.0847700746550087</v>
      </c>
      <c r="T583" s="18" t="n">
        <f aca="false">IFERROR(ROUND(INDEX('Injectable Value'!$AA$28:$AA$178,MATCH($C583,'Injectable Value'!$A$28:$A$178,0)),1),"")</f>
        <v>1976.6</v>
      </c>
      <c r="U583" s="16" t="s">
        <v>1303</v>
      </c>
      <c r="V583" s="15" t="n">
        <v>2</v>
      </c>
      <c r="W583" s="15" t="s">
        <v>1112</v>
      </c>
      <c r="X583" s="15" t="s">
        <v>248</v>
      </c>
      <c r="Y583" s="15" t="s">
        <v>249</v>
      </c>
      <c r="Z583" s="16" t="str">
        <f aca="false">IFERROR(INDEX(Scoring!$K:$K,MATCH($C583&amp;"|"&amp;$E583,Scoring!$U:$U,0)),"")</f>
        <v>Reconstitution</v>
      </c>
      <c r="AA583" s="15" t="str">
        <f aca="false">IFERROR(INDEX(Scoring!$Q:$Q,MATCH($C583&amp;"|"&amp;$E583,Scoring!$U:$U,0)),"")</f>
        <v>Priority 2</v>
      </c>
      <c r="AB583" s="15" t="str">
        <f aca="false">IFERROR(INDEX(Scoring!$AK:$AK,MATCH($C583&amp;"|"&amp;$E583,Scoring!$U:$U,0)),"")</f>
        <v>Priority 1</v>
      </c>
      <c r="AC583" s="18" t="n">
        <f aca="false">IFERROR(INDEX(Scoring!$M:$M,MATCH($C583&amp;"|"&amp;$E583,Scoring!$U:$U,0)),"")</f>
        <v>113</v>
      </c>
      <c r="AD583" s="15" t="str">
        <f aca="false">IFERROR(INDEX('Route of Administration'!$C$5:$C$155,MATCH($C583,'Route of Administration'!$A$5:$A$155,0)),"")</f>
        <v>IM</v>
      </c>
      <c r="AE583" s="14" t="str">
        <f aca="false">IFERROR(INDEX('Route of Administration'!$D$5:$D$155,MATCH($C583,'Route of Administration'!$A$5:$A$155,0)),"")</f>
        <v>Yes</v>
      </c>
    </row>
    <row r="584" customFormat="false" ht="28.35" hidden="false" customHeight="false" outlineLevel="0" collapsed="false">
      <c r="B584" s="15" t="n">
        <v>582</v>
      </c>
      <c r="C584" s="15" t="s">
        <v>262</v>
      </c>
      <c r="D584" s="15" t="s">
        <v>1318</v>
      </c>
      <c r="E584" s="15" t="s">
        <v>199</v>
      </c>
      <c r="F584" s="15" t="s">
        <v>1655</v>
      </c>
      <c r="G584" s="16" t="s">
        <v>1656</v>
      </c>
      <c r="H584" s="15" t="s">
        <v>1512</v>
      </c>
      <c r="I584" s="17" t="n">
        <v>345.31</v>
      </c>
      <c r="J584" s="15" t="n">
        <v>1</v>
      </c>
      <c r="K584" s="15" t="n">
        <v>146</v>
      </c>
      <c r="L584" s="18" t="n">
        <v>11366.06</v>
      </c>
      <c r="M584" s="16" t="s">
        <v>263</v>
      </c>
      <c r="N584" s="17" t="n">
        <v>345.31</v>
      </c>
      <c r="O584" s="15" t="s">
        <v>1506</v>
      </c>
      <c r="P584" s="15" t="s">
        <v>1507</v>
      </c>
      <c r="Q584" s="16" t="s">
        <v>1508</v>
      </c>
      <c r="R584" s="32" t="s">
        <v>2541</v>
      </c>
      <c r="S584" s="37" t="n">
        <f aca="false">IFERROR(INDEX('Injectable Value'!$Z$28:$Z$178,MATCH($C584,'Injectable Value'!$A$28:$A$178,0)),"")</f>
        <v>1</v>
      </c>
      <c r="T584" s="18" t="n">
        <f aca="false">IFERROR(ROUND(INDEX('Injectable Value'!$AA$28:$AA$178,MATCH($C584,'Injectable Value'!$A$28:$A$178,0)),1),"")</f>
        <v>11366.1</v>
      </c>
      <c r="U584" s="16" t="s">
        <v>1319</v>
      </c>
      <c r="V584" s="15" t="n">
        <v>7</v>
      </c>
      <c r="W584" s="15" t="s">
        <v>1000</v>
      </c>
      <c r="X584" s="15" t="s">
        <v>258</v>
      </c>
      <c r="Y584" s="15" t="s">
        <v>249</v>
      </c>
      <c r="Z584" s="16" t="str">
        <f aca="false">IFERROR(INDEX(Scoring!$K:$K,MATCH($C584&amp;"|"&amp;$E584,Scoring!$U:$U,0)),"")</f>
        <v>Prefilled only</v>
      </c>
      <c r="AA584" s="15" t="str">
        <f aca="false">IFERROR(INDEX(Scoring!$Q:$Q,MATCH($C584&amp;"|"&amp;$E584,Scoring!$U:$U,0)),"")</f>
        <v>Priority 1</v>
      </c>
      <c r="AB584" s="15" t="str">
        <f aca="false">IFERROR(INDEX(Scoring!$AK:$AK,MATCH($C584&amp;"|"&amp;$E584,Scoring!$U:$U,0)),"")</f>
        <v>Priority 2</v>
      </c>
      <c r="AC584" s="18" t="n">
        <f aca="false">IFERROR(INDEX(Scoring!$M:$M,MATCH($C584&amp;"|"&amp;$E584,Scoring!$U:$U,0)),"")</f>
        <v>146</v>
      </c>
      <c r="AD584" s="15" t="str">
        <f aca="false">IFERROR(INDEX('Route of Administration'!$C$5:$C$155,MATCH($C584,'Route of Administration'!$A$5:$A$155,0)),"")</f>
        <v>IM</v>
      </c>
      <c r="AE584" s="14" t="str">
        <f aca="false">IFERROR(INDEX('Route of Administration'!$D$5:$D$155,MATCH($C584,'Route of Administration'!$A$5:$A$155,0)),"")</f>
        <v>Yes</v>
      </c>
    </row>
    <row r="585" customFormat="false" ht="95.5" hidden="false" customHeight="false" outlineLevel="0" collapsed="false">
      <c r="B585" s="15" t="n">
        <v>583</v>
      </c>
      <c r="C585" s="15" t="s">
        <v>305</v>
      </c>
      <c r="D585" s="15" t="s">
        <v>2542</v>
      </c>
      <c r="E585" s="15" t="s">
        <v>199</v>
      </c>
      <c r="F585" s="15" t="s">
        <v>1652</v>
      </c>
      <c r="G585" s="16" t="s">
        <v>1653</v>
      </c>
      <c r="H585" s="15" t="s">
        <v>1505</v>
      </c>
      <c r="I585" s="17" t="n">
        <v>1007.36</v>
      </c>
      <c r="J585" s="15" t="n">
        <v>1</v>
      </c>
      <c r="K585" s="15" t="n">
        <v>905</v>
      </c>
      <c r="L585" s="18" t="n">
        <v>28093.38</v>
      </c>
      <c r="M585" s="16" t="s">
        <v>306</v>
      </c>
      <c r="N585" s="17" t="n">
        <v>1007.36</v>
      </c>
      <c r="O585" s="15" t="s">
        <v>1506</v>
      </c>
      <c r="P585" s="15" t="s">
        <v>1672</v>
      </c>
      <c r="Q585" s="16" t="s">
        <v>1508</v>
      </c>
      <c r="R585" s="32" t="s">
        <v>2543</v>
      </c>
      <c r="S585" s="37" t="n">
        <f aca="false">IFERROR(INDEX('Injectable Value'!$Z$28:$Z$178,MATCH($C585,'Injectable Value'!$A$28:$A$178,0)),"")</f>
        <v>1</v>
      </c>
      <c r="T585" s="18" t="n">
        <f aca="false">IFERROR(ROUND(INDEX('Injectable Value'!$AA$28:$AA$178,MATCH($C585,'Injectable Value'!$A$28:$A$178,0)),1),"")</f>
        <v>28093.4</v>
      </c>
      <c r="U585" s="16" t="s">
        <v>1306</v>
      </c>
      <c r="V585" s="15" t="n">
        <v>34</v>
      </c>
      <c r="W585" s="15" t="s">
        <v>505</v>
      </c>
      <c r="X585" s="15" t="s">
        <v>248</v>
      </c>
      <c r="Y585" s="15" t="s">
        <v>299</v>
      </c>
      <c r="Z585" s="16" t="str">
        <f aca="false">IFERROR(INDEX(Scoring!$K:$K,MATCH($C585&amp;"|"&amp;$E585,Scoring!$U:$U,0)),"")</f>
        <v>Cancer drug (cytotoxic) – less relevant; Reconstitution</v>
      </c>
      <c r="AA585" s="15" t="str">
        <f aca="false">IFERROR(INDEX(Scoring!$Q:$Q,MATCH($C585&amp;"|"&amp;$E585,Scoring!$U:$U,0)),"")</f>
        <v>Priority 1</v>
      </c>
      <c r="AB585" s="15" t="str">
        <f aca="false">IFERROR(INDEX(Scoring!$AK:$AK,MATCH($C585&amp;"|"&amp;$E585,Scoring!$U:$U,0)),"")</f>
        <v>Priority 1</v>
      </c>
      <c r="AC585" s="18" t="n">
        <f aca="false">IFERROR(INDEX(Scoring!$M:$M,MATCH($C585&amp;"|"&amp;$E585,Scoring!$U:$U,0)),"")</f>
        <v>905</v>
      </c>
      <c r="AD585" s="15" t="str">
        <f aca="false">IFERROR(INDEX('Route of Administration'!$C$5:$C$155,MATCH($C585,'Route of Administration'!$A$5:$A$155,0)),"")</f>
        <v>IV, SC</v>
      </c>
      <c r="AE585" s="14" t="str">
        <f aca="false">IFERROR(INDEX('Route of Administration'!$D$5:$D$155,MATCH($C585,'Route of Administration'!$A$5:$A$155,0)),"")</f>
        <v>Yes</v>
      </c>
    </row>
    <row r="586" customFormat="false" ht="28.35" hidden="false" customHeight="false" outlineLevel="0" collapsed="false">
      <c r="B586" s="15" t="n">
        <v>584</v>
      </c>
      <c r="C586" s="15" t="s">
        <v>563</v>
      </c>
      <c r="D586" s="15" t="s">
        <v>2544</v>
      </c>
      <c r="E586" s="15" t="s">
        <v>199</v>
      </c>
      <c r="F586" s="15" t="s">
        <v>2545</v>
      </c>
      <c r="G586" s="16" t="s">
        <v>2546</v>
      </c>
      <c r="H586" s="15" t="s">
        <v>1505</v>
      </c>
      <c r="I586" s="17" t="n">
        <v>9.92</v>
      </c>
      <c r="J586" s="15" t="n">
        <v>1</v>
      </c>
      <c r="K586" s="15" t="n">
        <v>208</v>
      </c>
      <c r="L586" s="18" t="n">
        <v>3923.58</v>
      </c>
      <c r="M586" s="16" t="s">
        <v>564</v>
      </c>
      <c r="N586" s="17" t="n">
        <v>9.92</v>
      </c>
      <c r="O586" s="15" t="s">
        <v>1506</v>
      </c>
      <c r="P586" s="15" t="s">
        <v>1507</v>
      </c>
      <c r="Q586" s="16" t="s">
        <v>1508</v>
      </c>
      <c r="R586" s="32" t="s">
        <v>2547</v>
      </c>
      <c r="S586" s="37" t="n">
        <f aca="false">IFERROR(INDEX('Injectable Value'!$Z$28:$Z$178,MATCH($C586,'Injectable Value'!$A$28:$A$178,0)),"")</f>
        <v>1</v>
      </c>
      <c r="T586" s="18" t="n">
        <f aca="false">IFERROR(ROUND(INDEX('Injectable Value'!$AA$28:$AA$178,MATCH($C586,'Injectable Value'!$A$28:$A$178,0)),1),"")</f>
        <v>3923.6</v>
      </c>
      <c r="U586" s="16" t="s">
        <v>1361</v>
      </c>
      <c r="V586" s="15" t="n">
        <v>5</v>
      </c>
      <c r="W586" s="15" t="s">
        <v>1000</v>
      </c>
      <c r="X586" s="15" t="s">
        <v>248</v>
      </c>
      <c r="Y586" s="15" t="s">
        <v>249</v>
      </c>
      <c r="Z586" s="16" t="str">
        <f aca="false">IFERROR(INDEX(Scoring!$K:$K,MATCH($C586&amp;"|"&amp;$E586,Scoring!$U:$U,0)),"")</f>
        <v>Reconstitution</v>
      </c>
      <c r="AA586" s="15" t="str">
        <f aca="false">IFERROR(INDEX(Scoring!$Q:$Q,MATCH($C586&amp;"|"&amp;$E586,Scoring!$U:$U,0)),"")</f>
        <v>Excluded – IV only</v>
      </c>
      <c r="AB586" s="15" t="str">
        <f aca="false">IFERROR(INDEX(Scoring!$AK:$AK,MATCH($C586&amp;"|"&amp;$E586,Scoring!$U:$U,0)),"")</f>
        <v>Excluded – IV only</v>
      </c>
      <c r="AC586" s="18" t="n">
        <f aca="false">IFERROR(INDEX(Scoring!$M:$M,MATCH($C586&amp;"|"&amp;$E586,Scoring!$U:$U,0)),"")</f>
        <v>208</v>
      </c>
      <c r="AD586" s="15" t="str">
        <f aca="false">IFERROR(INDEX('Route of Administration'!$C$5:$C$155,MATCH($C586,'Route of Administration'!$A$5:$A$155,0)),"")</f>
        <v>IV</v>
      </c>
      <c r="AE586" s="14" t="str">
        <f aca="false">IFERROR(INDEX('Route of Administration'!$D$5:$D$155,MATCH($C586,'Route of Administration'!$A$5:$A$155,0)),"")</f>
        <v>No</v>
      </c>
    </row>
    <row r="587" customFormat="false" ht="41.75" hidden="false" customHeight="false" outlineLevel="0" collapsed="false">
      <c r="B587" s="15" t="n">
        <v>585</v>
      </c>
      <c r="C587" s="15" t="s">
        <v>646</v>
      </c>
      <c r="D587" s="15" t="s">
        <v>2548</v>
      </c>
      <c r="E587" s="15" t="s">
        <v>199</v>
      </c>
      <c r="F587" s="15" t="s">
        <v>2549</v>
      </c>
      <c r="G587" s="16" t="s">
        <v>1852</v>
      </c>
      <c r="H587" s="15" t="s">
        <v>1505</v>
      </c>
      <c r="I587" s="17" t="n">
        <v>114.18</v>
      </c>
      <c r="J587" s="15" t="n">
        <v>1</v>
      </c>
      <c r="K587" s="15" t="n">
        <v>188</v>
      </c>
      <c r="L587" s="18" t="n">
        <v>262.84</v>
      </c>
      <c r="M587" s="16" t="s">
        <v>647</v>
      </c>
      <c r="N587" s="17" t="n">
        <v>114.18</v>
      </c>
      <c r="O587" s="15" t="s">
        <v>1506</v>
      </c>
      <c r="P587" s="15" t="s">
        <v>1507</v>
      </c>
      <c r="Q587" s="16" t="s">
        <v>1508</v>
      </c>
      <c r="R587" s="32" t="s">
        <v>1657</v>
      </c>
      <c r="S587" s="37" t="n">
        <f aca="false">IFERROR(INDEX('Injectable Value'!$Z$28:$Z$178,MATCH($C587,'Injectable Value'!$A$28:$A$178,0)),"")</f>
        <v>0.703571428571429</v>
      </c>
      <c r="T587" s="18" t="n">
        <f aca="false">IFERROR(ROUND(INDEX('Injectable Value'!$AA$28:$AA$178,MATCH($C587,'Injectable Value'!$A$28:$A$178,0)),1),"")</f>
        <v>184.9</v>
      </c>
      <c r="U587" s="16" t="s">
        <v>1357</v>
      </c>
      <c r="V587" s="15" t="n">
        <v>12</v>
      </c>
      <c r="W587" s="15" t="s">
        <v>1355</v>
      </c>
      <c r="X587" s="15" t="s">
        <v>248</v>
      </c>
      <c r="Y587" s="15" t="s">
        <v>249</v>
      </c>
      <c r="Z587" s="16" t="str">
        <f aca="false">IFERROR(INDEX(Scoring!$K:$K,MATCH($C587&amp;"|"&amp;$E587,Scoring!$U:$U,0)),"")</f>
        <v/>
      </c>
      <c r="AA587" s="15" t="str">
        <f aca="false">IFERROR(INDEX(Scoring!$Q:$Q,MATCH($C587&amp;"|"&amp;$E587,Scoring!$U:$U,0)),"")</f>
        <v>Priority 2</v>
      </c>
      <c r="AB587" s="15" t="str">
        <f aca="false">IFERROR(INDEX(Scoring!$AK:$AK,MATCH($C587&amp;"|"&amp;$E587,Scoring!$U:$U,0)),"")</f>
        <v>Priority 2</v>
      </c>
      <c r="AC587" s="18" t="n">
        <f aca="false">IFERROR(INDEX(Scoring!$M:$M,MATCH($C587&amp;"|"&amp;$E587,Scoring!$U:$U,0)),"")</f>
        <v>132</v>
      </c>
      <c r="AD587" s="15" t="str">
        <f aca="false">IFERROR(INDEX('Route of Administration'!$C$5:$C$155,MATCH($C587,'Route of Administration'!$A$5:$A$155,0)),"")</f>
        <v>IM</v>
      </c>
      <c r="AE587" s="14" t="str">
        <f aca="false">IFERROR(INDEX('Route of Administration'!$D$5:$D$155,MATCH($C587,'Route of Administration'!$A$5:$A$155,0)),"")</f>
        <v>Yes</v>
      </c>
    </row>
    <row r="588" customFormat="false" ht="28.35" hidden="false" customHeight="false" outlineLevel="0" collapsed="false">
      <c r="B588" s="15" t="n">
        <v>586</v>
      </c>
      <c r="C588" s="15" t="s">
        <v>1347</v>
      </c>
      <c r="D588" s="15" t="s">
        <v>2550</v>
      </c>
      <c r="E588" s="15" t="s">
        <v>199</v>
      </c>
      <c r="F588" s="15" t="s">
        <v>2551</v>
      </c>
      <c r="G588" s="16" t="s">
        <v>2552</v>
      </c>
      <c r="H588" s="15" t="s">
        <v>1505</v>
      </c>
      <c r="I588" s="17" t="n">
        <v>25.12</v>
      </c>
      <c r="J588" s="15" t="n">
        <v>1</v>
      </c>
      <c r="K588" s="15" t="n">
        <v>18</v>
      </c>
      <c r="L588" s="18" t="n">
        <v>77.4</v>
      </c>
      <c r="M588" s="16" t="s">
        <v>1348</v>
      </c>
      <c r="N588" s="17" t="n">
        <v>25.12</v>
      </c>
      <c r="O588" s="15" t="s">
        <v>1506</v>
      </c>
      <c r="P588" s="15" t="s">
        <v>1507</v>
      </c>
      <c r="Q588" s="16" t="s">
        <v>1508</v>
      </c>
      <c r="R588" s="32" t="s">
        <v>2553</v>
      </c>
      <c r="S588" s="37" t="n">
        <f aca="false">IFERROR(INDEX('Injectable Value'!$Z$28:$Z$178,MATCH($C588,'Injectable Value'!$A$28:$A$178,0)),"")</f>
        <v>1</v>
      </c>
      <c r="T588" s="18" t="n">
        <f aca="false">IFERROR(ROUND(INDEX('Injectable Value'!$AA$28:$AA$178,MATCH($C588,'Injectable Value'!$A$28:$A$178,0)),1),"")</f>
        <v>77.4</v>
      </c>
      <c r="U588" s="16" t="s">
        <v>1352</v>
      </c>
      <c r="V588" s="15" t="n">
        <v>11</v>
      </c>
      <c r="W588" s="15" t="s">
        <v>754</v>
      </c>
      <c r="X588" s="15" t="s">
        <v>316</v>
      </c>
      <c r="Y588" s="15" t="s">
        <v>249</v>
      </c>
      <c r="Z588" s="16" t="str">
        <f aca="false">IFERROR(INDEX(Scoring!$K:$K,MATCH($C588&amp;"|"&amp;$E588,Scoring!$U:$U,0)),"")</f>
        <v/>
      </c>
      <c r="AA588" s="15" t="str">
        <f aca="false">IFERROR(INDEX(Scoring!$Q:$Q,MATCH($C588&amp;"|"&amp;$E588,Scoring!$U:$U,0)),"")</f>
        <v>Excluded – IV only</v>
      </c>
      <c r="AB588" s="15" t="str">
        <f aca="false">IFERROR(INDEX(Scoring!$AK:$AK,MATCH($C588&amp;"|"&amp;$E588,Scoring!$U:$U,0)),"")</f>
        <v>Excluded – IV only</v>
      </c>
      <c r="AC588" s="18" t="n">
        <f aca="false">IFERROR(INDEX(Scoring!$M:$M,MATCH($C588&amp;"|"&amp;$E588,Scoring!$U:$U,0)),"")</f>
        <v>18</v>
      </c>
      <c r="AD588" s="15" t="str">
        <f aca="false">IFERROR(INDEX('Route of Administration'!$C$5:$C$155,MATCH($C588,'Route of Administration'!$A$5:$A$155,0)),"")</f>
        <v>IV</v>
      </c>
      <c r="AE588" s="14" t="str">
        <f aca="false">IFERROR(INDEX('Route of Administration'!$D$5:$D$155,MATCH($C588,'Route of Administration'!$A$5:$A$155,0)),"")</f>
        <v>No</v>
      </c>
    </row>
    <row r="589" customFormat="false" ht="28.35" hidden="false" customHeight="false" outlineLevel="0" collapsed="false">
      <c r="B589" s="15" t="n">
        <v>587</v>
      </c>
      <c r="C589" s="15" t="s">
        <v>641</v>
      </c>
      <c r="D589" s="15" t="s">
        <v>641</v>
      </c>
      <c r="E589" s="15" t="s">
        <v>199</v>
      </c>
      <c r="F589" s="15" t="s">
        <v>2094</v>
      </c>
      <c r="G589" s="16" t="s">
        <v>2554</v>
      </c>
      <c r="H589" s="15" t="s">
        <v>1505</v>
      </c>
      <c r="I589" s="17" t="n">
        <v>10.85</v>
      </c>
      <c r="J589" s="15" t="n">
        <v>1</v>
      </c>
      <c r="K589" s="15" t="n">
        <v>106</v>
      </c>
      <c r="L589" s="18" t="n">
        <v>7074.72</v>
      </c>
      <c r="M589" s="16" t="s">
        <v>642</v>
      </c>
      <c r="N589" s="17" t="n">
        <v>10.85</v>
      </c>
      <c r="O589" s="15" t="s">
        <v>1506</v>
      </c>
      <c r="P589" s="15" t="s">
        <v>1507</v>
      </c>
      <c r="Q589" s="16" t="s">
        <v>1508</v>
      </c>
      <c r="R589" s="32" t="s">
        <v>2555</v>
      </c>
      <c r="S589" s="37" t="n">
        <f aca="false">IFERROR(INDEX('Injectable Value'!$Z$28:$Z$178,MATCH($C589,'Injectable Value'!$A$28:$A$178,0)),"")</f>
        <v>0.9375</v>
      </c>
      <c r="T589" s="18" t="n">
        <f aca="false">IFERROR(ROUND(INDEX('Injectable Value'!$AA$28:$AA$178,MATCH($C589,'Injectable Value'!$A$28:$A$178,0)),1),"")</f>
        <v>6632.6</v>
      </c>
      <c r="U589" s="16" t="s">
        <v>1346</v>
      </c>
      <c r="V589" s="15" t="n">
        <v>4</v>
      </c>
      <c r="W589" s="15" t="s">
        <v>1000</v>
      </c>
      <c r="X589" s="15" t="s">
        <v>248</v>
      </c>
      <c r="Y589" s="15" t="s">
        <v>1519</v>
      </c>
      <c r="Z589" s="16" t="str">
        <f aca="false">IFERROR(INDEX(Scoring!$K:$K,MATCH($C589&amp;"|"&amp;$E589,Scoring!$U:$U,0)),"")</f>
        <v>Reconstitution</v>
      </c>
      <c r="AA589" s="15" t="str">
        <f aca="false">IFERROR(INDEX(Scoring!$Q:$Q,MATCH($C589&amp;"|"&amp;$E589,Scoring!$U:$U,0)),"")</f>
        <v>Priority 2</v>
      </c>
      <c r="AB589" s="15" t="str">
        <f aca="false">IFERROR(INDEX(Scoring!$AK:$AK,MATCH($C589&amp;"|"&amp;$E589,Scoring!$U:$U,0)),"")</f>
        <v>Priority 2</v>
      </c>
      <c r="AC589" s="18" t="n">
        <f aca="false">IFERROR(INDEX(Scoring!$M:$M,MATCH($C589&amp;"|"&amp;$E589,Scoring!$U:$U,0)),"")</f>
        <v>99</v>
      </c>
      <c r="AD589" s="15" t="str">
        <f aca="false">IFERROR(INDEX('Route of Administration'!$C$5:$C$155,MATCH($C589,'Route of Administration'!$A$5:$A$155,0)),"")</f>
        <v>IV, IM</v>
      </c>
      <c r="AE589" s="14" t="str">
        <f aca="false">IFERROR(INDEX('Route of Administration'!$D$5:$D$155,MATCH($C589,'Route of Administration'!$A$5:$A$155,0)),"")</f>
        <v>Yes</v>
      </c>
    </row>
    <row r="590" customFormat="false" ht="41.75" hidden="false" customHeight="false" outlineLevel="0" collapsed="false">
      <c r="B590" s="15" t="n">
        <v>588</v>
      </c>
      <c r="C590" s="15" t="s">
        <v>503</v>
      </c>
      <c r="D590" s="15" t="s">
        <v>503</v>
      </c>
      <c r="E590" s="15" t="s">
        <v>199</v>
      </c>
      <c r="F590" s="15" t="s">
        <v>1664</v>
      </c>
      <c r="G590" s="16" t="s">
        <v>1989</v>
      </c>
      <c r="H590" s="15" t="s">
        <v>1505</v>
      </c>
      <c r="I590" s="17" t="n">
        <v>6.61</v>
      </c>
      <c r="J590" s="15" t="n">
        <v>1</v>
      </c>
      <c r="K590" s="15" t="n">
        <v>3515</v>
      </c>
      <c r="L590" s="18" t="n">
        <v>140084.73</v>
      </c>
      <c r="M590" s="16" t="s">
        <v>504</v>
      </c>
      <c r="N590" s="17" t="n">
        <v>6.61</v>
      </c>
      <c r="O590" s="15" t="s">
        <v>1506</v>
      </c>
      <c r="P590" s="15" t="s">
        <v>1672</v>
      </c>
      <c r="Q590" s="16" t="s">
        <v>1508</v>
      </c>
      <c r="R590" s="32" t="s">
        <v>2556</v>
      </c>
      <c r="S590" s="37" t="n">
        <f aca="false">IFERROR(INDEX('Injectable Value'!$Z$28:$Z$178,MATCH($C590,'Injectable Value'!$A$28:$A$178,0)),"")</f>
        <v>0.251824206147514</v>
      </c>
      <c r="T590" s="18" t="n">
        <f aca="false">IFERROR(ROUND(INDEX('Injectable Value'!$AA$28:$AA$178,MATCH($C590,'Injectable Value'!$A$28:$A$178,0)),1),"")</f>
        <v>35276.7</v>
      </c>
      <c r="U590" s="16" t="s">
        <v>1336</v>
      </c>
      <c r="V590" s="15" t="n">
        <v>14</v>
      </c>
      <c r="W590" s="15" t="s">
        <v>298</v>
      </c>
      <c r="X590" s="15" t="s">
        <v>248</v>
      </c>
      <c r="Y590" s="15" t="s">
        <v>299</v>
      </c>
      <c r="Z590" s="16" t="str">
        <f aca="false">IFERROR(INDEX(Scoring!$K:$K,MATCH($C590&amp;"|"&amp;$E590,Scoring!$U:$U,0)),"")</f>
        <v>Reconstitution</v>
      </c>
      <c r="AA590" s="15" t="str">
        <f aca="false">IFERROR(INDEX(Scoring!$Q:$Q,MATCH($C590&amp;"|"&amp;$E590,Scoring!$U:$U,0)),"")</f>
        <v>Excluded – IV only</v>
      </c>
      <c r="AB590" s="15" t="str">
        <f aca="false">IFERROR(INDEX(Scoring!$AK:$AK,MATCH($C590&amp;"|"&amp;$E590,Scoring!$U:$U,0)),"")</f>
        <v>Excluded – IV only</v>
      </c>
      <c r="AC590" s="18" t="n">
        <f aca="false">IFERROR(INDEX(Scoring!$M:$M,MATCH($C590&amp;"|"&amp;$E590,Scoring!$U:$U,0)),"")</f>
        <v>885</v>
      </c>
      <c r="AD590" s="15" t="str">
        <f aca="false">IFERROR(INDEX('Route of Administration'!$C$5:$C$155,MATCH($C590,'Route of Administration'!$A$5:$A$155,0)),"")</f>
        <v>IV</v>
      </c>
      <c r="AE590" s="14" t="str">
        <f aca="false">IFERROR(INDEX('Route of Administration'!$D$5:$D$155,MATCH($C590,'Route of Administration'!$A$5:$A$155,0)),"")</f>
        <v>No</v>
      </c>
    </row>
    <row r="591" customFormat="false" ht="55.2" hidden="false" customHeight="false" outlineLevel="0" collapsed="false">
      <c r="B591" s="15" t="n">
        <v>589</v>
      </c>
      <c r="C591" s="15" t="s">
        <v>451</v>
      </c>
      <c r="D591" s="15" t="s">
        <v>451</v>
      </c>
      <c r="E591" s="15" t="s">
        <v>199</v>
      </c>
      <c r="F591" s="15" t="s">
        <v>1999</v>
      </c>
      <c r="G591" s="16" t="s">
        <v>2514</v>
      </c>
      <c r="H591" s="15" t="s">
        <v>1505</v>
      </c>
      <c r="I591" s="17" t="n">
        <v>10.97</v>
      </c>
      <c r="J591" s="15" t="n">
        <v>1</v>
      </c>
      <c r="K591" s="15" t="n">
        <v>1185</v>
      </c>
      <c r="L591" s="18" t="n">
        <v>59407.06</v>
      </c>
      <c r="M591" s="16" t="s">
        <v>452</v>
      </c>
      <c r="N591" s="17" t="n">
        <v>10.97</v>
      </c>
      <c r="O591" s="15" t="s">
        <v>1506</v>
      </c>
      <c r="P591" s="15" t="s">
        <v>1507</v>
      </c>
      <c r="Q591" s="16" t="s">
        <v>1508</v>
      </c>
      <c r="R591" s="32" t="s">
        <v>2515</v>
      </c>
      <c r="S591" s="37" t="n">
        <f aca="false">IFERROR(INDEX('Injectable Value'!$Z$28:$Z$178,MATCH($C591,'Injectable Value'!$A$28:$A$178,0)),"")</f>
        <v>0.991808067465962</v>
      </c>
      <c r="T591" s="18" t="n">
        <f aca="false">IFERROR(ROUND(INDEX('Injectable Value'!$AA$28:$AA$178,MATCH($C591,'Injectable Value'!$A$28:$A$178,0)),1),"")</f>
        <v>58920.4</v>
      </c>
      <c r="U591" s="16" t="s">
        <v>1327</v>
      </c>
      <c r="V591" s="15" t="n">
        <v>18</v>
      </c>
      <c r="W591" s="15" t="s">
        <v>1324</v>
      </c>
      <c r="X591" s="15" t="s">
        <v>248</v>
      </c>
      <c r="Y591" s="15" t="s">
        <v>277</v>
      </c>
      <c r="Z591" s="16" t="str">
        <f aca="false">IFERROR(INDEX(Scoring!$K:$K,MATCH($C591&amp;"|"&amp;$E591,Scoring!$U:$U,0)),"")</f>
        <v>Reconstitution</v>
      </c>
      <c r="AA591" s="15" t="str">
        <f aca="false">IFERROR(INDEX(Scoring!$Q:$Q,MATCH($C591&amp;"|"&amp;$E591,Scoring!$U:$U,0)),"")</f>
        <v>Excluded – IV only</v>
      </c>
      <c r="AB591" s="15" t="str">
        <f aca="false">IFERROR(INDEX(Scoring!$AK:$AK,MATCH($C591&amp;"|"&amp;$E591,Scoring!$U:$U,0)),"")</f>
        <v>Excluded – IV only</v>
      </c>
      <c r="AC591" s="18" t="n">
        <f aca="false">IFERROR(INDEX(Scoring!$M:$M,MATCH($C591&amp;"|"&amp;$E591,Scoring!$U:$U,0)),"")</f>
        <v>1175</v>
      </c>
      <c r="AD591" s="15" t="str">
        <f aca="false">IFERROR(INDEX('Route of Administration'!$C$5:$C$155,MATCH($C591,'Route of Administration'!$A$5:$A$155,0)),"")</f>
        <v>IV</v>
      </c>
      <c r="AE591" s="14" t="str">
        <f aca="false">IFERROR(INDEX('Route of Administration'!$D$5:$D$155,MATCH($C591,'Route of Administration'!$A$5:$A$155,0)),"")</f>
        <v>No</v>
      </c>
    </row>
    <row r="592" customFormat="false" ht="95.5" hidden="false" customHeight="false" outlineLevel="0" collapsed="false">
      <c r="B592" s="15" t="n">
        <v>590</v>
      </c>
      <c r="C592" s="15" t="s">
        <v>305</v>
      </c>
      <c r="D592" s="15" t="s">
        <v>2542</v>
      </c>
      <c r="E592" s="15" t="s">
        <v>199</v>
      </c>
      <c r="F592" s="15" t="s">
        <v>1675</v>
      </c>
      <c r="G592" s="16" t="s">
        <v>1653</v>
      </c>
      <c r="H592" s="15" t="s">
        <v>1505</v>
      </c>
      <c r="I592" s="17" t="n">
        <v>1444.1174</v>
      </c>
      <c r="J592" s="15" t="n">
        <v>29</v>
      </c>
      <c r="K592" s="15" t="n">
        <v>905</v>
      </c>
      <c r="L592" s="18" t="n">
        <v>28093.38</v>
      </c>
      <c r="M592" s="16" t="s">
        <v>306</v>
      </c>
      <c r="N592" s="17" t="n">
        <v>1444.1174</v>
      </c>
      <c r="O592" s="15" t="s">
        <v>1506</v>
      </c>
      <c r="P592" s="15" t="s">
        <v>1672</v>
      </c>
      <c r="Q592" s="16" t="s">
        <v>1508</v>
      </c>
      <c r="R592" s="32" t="s">
        <v>1673</v>
      </c>
      <c r="S592" s="37" t="n">
        <f aca="false">IFERROR(INDEX('Injectable Value'!$Z$28:$Z$178,MATCH($C592,'Injectable Value'!$A$28:$A$178,0)),"")</f>
        <v>1</v>
      </c>
      <c r="T592" s="18" t="n">
        <f aca="false">IFERROR(ROUND(INDEX('Injectable Value'!$AA$28:$AA$178,MATCH($C592,'Injectable Value'!$A$28:$A$178,0)),1),"")</f>
        <v>28093.4</v>
      </c>
      <c r="U592" s="16" t="s">
        <v>1306</v>
      </c>
      <c r="V592" s="15" t="n">
        <v>34</v>
      </c>
      <c r="W592" s="15" t="s">
        <v>505</v>
      </c>
      <c r="X592" s="15" t="s">
        <v>248</v>
      </c>
      <c r="Y592" s="15" t="s">
        <v>299</v>
      </c>
      <c r="Z592" s="16" t="str">
        <f aca="false">IFERROR(INDEX(Scoring!$K:$K,MATCH($C592&amp;"|"&amp;$E592,Scoring!$U:$U,0)),"")</f>
        <v>Cancer drug (cytotoxic) – less relevant; Reconstitution</v>
      </c>
      <c r="AA592" s="15" t="str">
        <f aca="false">IFERROR(INDEX(Scoring!$Q:$Q,MATCH($C592&amp;"|"&amp;$E592,Scoring!$U:$U,0)),"")</f>
        <v>Priority 1</v>
      </c>
      <c r="AB592" s="15" t="str">
        <f aca="false">IFERROR(INDEX(Scoring!$AK:$AK,MATCH($C592&amp;"|"&amp;$E592,Scoring!$U:$U,0)),"")</f>
        <v>Priority 1</v>
      </c>
      <c r="AC592" s="18" t="n">
        <f aca="false">IFERROR(INDEX(Scoring!$M:$M,MATCH($C592&amp;"|"&amp;$E592,Scoring!$U:$U,0)),"")</f>
        <v>905</v>
      </c>
      <c r="AD592" s="15" t="str">
        <f aca="false">IFERROR(INDEX('Route of Administration'!$C$5:$C$155,MATCH($C592,'Route of Administration'!$A$5:$A$155,0)),"")</f>
        <v>IV, SC</v>
      </c>
      <c r="AE592" s="14" t="str">
        <f aca="false">IFERROR(INDEX('Route of Administration'!$D$5:$D$155,MATCH($C592,'Route of Administration'!$A$5:$A$155,0)),"")</f>
        <v>Yes</v>
      </c>
    </row>
    <row r="593" customFormat="false" ht="28.35" hidden="false" customHeight="false" outlineLevel="0" collapsed="false">
      <c r="B593" s="15" t="n">
        <v>591</v>
      </c>
      <c r="C593" s="15" t="s">
        <v>774</v>
      </c>
      <c r="D593" s="15" t="s">
        <v>2557</v>
      </c>
      <c r="E593" s="15" t="s">
        <v>199</v>
      </c>
      <c r="F593" s="15" t="s">
        <v>2011</v>
      </c>
      <c r="G593" s="16" t="s">
        <v>1989</v>
      </c>
      <c r="H593" s="15" t="s">
        <v>1505</v>
      </c>
      <c r="I593" s="17" t="n">
        <v>7.2659</v>
      </c>
      <c r="J593" s="15" t="n">
        <v>31</v>
      </c>
      <c r="K593" s="15" t="n">
        <v>3168</v>
      </c>
      <c r="L593" s="18" t="n">
        <v>130453.11</v>
      </c>
      <c r="M593" s="16" t="s">
        <v>775</v>
      </c>
      <c r="N593" s="17" t="n">
        <v>7.2659</v>
      </c>
      <c r="O593" s="15" t="s">
        <v>1506</v>
      </c>
      <c r="P593" s="15" t="s">
        <v>1672</v>
      </c>
      <c r="Q593" s="16" t="s">
        <v>1508</v>
      </c>
      <c r="R593" s="32" t="s">
        <v>1673</v>
      </c>
      <c r="S593" s="37" t="n">
        <f aca="false">IFERROR(INDEX('Injectable Value'!$Z$28:$Z$178,MATCH($C593,'Injectable Value'!$A$28:$A$178,0)),"")</f>
        <v>0.103608949323645</v>
      </c>
      <c r="T593" s="18" t="n">
        <f aca="false">IFERROR(ROUND(INDEX('Injectable Value'!$AA$28:$AA$178,MATCH($C593,'Injectable Value'!$A$28:$A$178,0)),1),"")</f>
        <v>13516.1</v>
      </c>
      <c r="U593" s="16" t="s">
        <v>1316</v>
      </c>
      <c r="V593" s="15" t="n">
        <v>10</v>
      </c>
      <c r="W593" s="15" t="s">
        <v>776</v>
      </c>
      <c r="X593" s="15" t="s">
        <v>248</v>
      </c>
      <c r="Y593" s="15" t="s">
        <v>299</v>
      </c>
      <c r="Z593" s="16" t="str">
        <f aca="false">IFERROR(INDEX(Scoring!$K:$K,MATCH($C593&amp;"|"&amp;$E593,Scoring!$U:$U,0)),"")</f>
        <v>Reconstitution</v>
      </c>
      <c r="AA593" s="15" t="str">
        <f aca="false">IFERROR(INDEX(Scoring!$Q:$Q,MATCH($C593&amp;"|"&amp;$E593,Scoring!$U:$U,0)),"")</f>
        <v>Excluded – IV only</v>
      </c>
      <c r="AB593" s="15" t="str">
        <f aca="false">IFERROR(INDEX(Scoring!$AK:$AK,MATCH($C593&amp;"|"&amp;$E593,Scoring!$U:$U,0)),"")</f>
        <v>Excluded – IV only</v>
      </c>
      <c r="AC593" s="18" t="n">
        <f aca="false">IFERROR(INDEX(Scoring!$M:$M,MATCH($C593&amp;"|"&amp;$E593,Scoring!$U:$U,0)),"")</f>
        <v>328</v>
      </c>
      <c r="AD593" s="15" t="str">
        <f aca="false">IFERROR(INDEX('Route of Administration'!$C$5:$C$155,MATCH($C593,'Route of Administration'!$A$5:$A$155,0)),"")</f>
        <v>IV</v>
      </c>
      <c r="AE593" s="14" t="str">
        <f aca="false">IFERROR(INDEX('Route of Administration'!$D$5:$D$155,MATCH($C593,'Route of Administration'!$A$5:$A$155,0)),"")</f>
        <v>No</v>
      </c>
    </row>
    <row r="594" customFormat="false" ht="28.35" hidden="false" customHeight="false" outlineLevel="0" collapsed="false">
      <c r="B594" s="15" t="n">
        <v>592</v>
      </c>
      <c r="C594" s="15" t="s">
        <v>262</v>
      </c>
      <c r="D594" s="15" t="s">
        <v>1318</v>
      </c>
      <c r="E594" s="15" t="s">
        <v>199</v>
      </c>
      <c r="F594" s="15" t="s">
        <v>2065</v>
      </c>
      <c r="G594" s="16" t="s">
        <v>1699</v>
      </c>
      <c r="H594" s="15" t="s">
        <v>1512</v>
      </c>
      <c r="I594" s="17" t="n">
        <v>531.8684</v>
      </c>
      <c r="J594" s="15" t="n">
        <v>31</v>
      </c>
      <c r="K594" s="15" t="n">
        <v>146</v>
      </c>
      <c r="L594" s="18" t="n">
        <v>11366.06</v>
      </c>
      <c r="M594" s="16" t="s">
        <v>263</v>
      </c>
      <c r="N594" s="17" t="n">
        <v>531.8684</v>
      </c>
      <c r="O594" s="15" t="s">
        <v>1506</v>
      </c>
      <c r="P594" s="15" t="s">
        <v>1533</v>
      </c>
      <c r="Q594" s="16" t="s">
        <v>1508</v>
      </c>
      <c r="R594" s="32" t="s">
        <v>1673</v>
      </c>
      <c r="S594" s="37" t="n">
        <f aca="false">IFERROR(INDEX('Injectable Value'!$Z$28:$Z$178,MATCH($C594,'Injectable Value'!$A$28:$A$178,0)),"")</f>
        <v>1</v>
      </c>
      <c r="T594" s="18" t="n">
        <f aca="false">IFERROR(ROUND(INDEX('Injectable Value'!$AA$28:$AA$178,MATCH($C594,'Injectable Value'!$A$28:$A$178,0)),1),"")</f>
        <v>11366.1</v>
      </c>
      <c r="U594" s="16" t="s">
        <v>1319</v>
      </c>
      <c r="V594" s="15" t="n">
        <v>7</v>
      </c>
      <c r="W594" s="15" t="s">
        <v>1000</v>
      </c>
      <c r="X594" s="15" t="s">
        <v>258</v>
      </c>
      <c r="Y594" s="15" t="s">
        <v>249</v>
      </c>
      <c r="Z594" s="16" t="str">
        <f aca="false">IFERROR(INDEX(Scoring!$K:$K,MATCH($C594&amp;"|"&amp;$E594,Scoring!$U:$U,0)),"")</f>
        <v>Prefilled only</v>
      </c>
      <c r="AA594" s="15" t="str">
        <f aca="false">IFERROR(INDEX(Scoring!$Q:$Q,MATCH($C594&amp;"|"&amp;$E594,Scoring!$U:$U,0)),"")</f>
        <v>Priority 1</v>
      </c>
      <c r="AB594" s="15" t="str">
        <f aca="false">IFERROR(INDEX(Scoring!$AK:$AK,MATCH($C594&amp;"|"&amp;$E594,Scoring!$U:$U,0)),"")</f>
        <v>Priority 2</v>
      </c>
      <c r="AC594" s="18" t="n">
        <f aca="false">IFERROR(INDEX(Scoring!$M:$M,MATCH($C594&amp;"|"&amp;$E594,Scoring!$U:$U,0)),"")</f>
        <v>146</v>
      </c>
      <c r="AD594" s="15" t="str">
        <f aca="false">IFERROR(INDEX('Route of Administration'!$C$5:$C$155,MATCH($C594,'Route of Administration'!$A$5:$A$155,0)),"")</f>
        <v>IM</v>
      </c>
      <c r="AE594" s="14" t="str">
        <f aca="false">IFERROR(INDEX('Route of Administration'!$D$5:$D$155,MATCH($C594,'Route of Administration'!$A$5:$A$155,0)),"")</f>
        <v>Yes</v>
      </c>
    </row>
    <row r="595" customFormat="false" ht="28.35" hidden="false" customHeight="false" outlineLevel="0" collapsed="false">
      <c r="B595" s="15" t="n">
        <v>593</v>
      </c>
      <c r="C595" s="15" t="s">
        <v>444</v>
      </c>
      <c r="D595" s="15" t="s">
        <v>2558</v>
      </c>
      <c r="E595" s="15" t="s">
        <v>199</v>
      </c>
      <c r="F595" s="15" t="s">
        <v>1700</v>
      </c>
      <c r="G595" s="16" t="s">
        <v>1994</v>
      </c>
      <c r="H595" s="15" t="s">
        <v>1505</v>
      </c>
      <c r="I595" s="17" t="n">
        <v>95.2025</v>
      </c>
      <c r="J595" s="15" t="n">
        <v>28</v>
      </c>
      <c r="K595" s="15" t="n">
        <v>257</v>
      </c>
      <c r="L595" s="18" t="n">
        <v>4183.29</v>
      </c>
      <c r="M595" s="16" t="s">
        <v>445</v>
      </c>
      <c r="N595" s="17" t="n">
        <v>95.2025</v>
      </c>
      <c r="O595" s="15" t="s">
        <v>1506</v>
      </c>
      <c r="P595" s="15" t="s">
        <v>1672</v>
      </c>
      <c r="Q595" s="16" t="s">
        <v>1508</v>
      </c>
      <c r="R595" s="32" t="s">
        <v>1673</v>
      </c>
      <c r="S595" s="37" t="n">
        <f aca="false">IFERROR(INDEX('Injectable Value'!$Z$28:$Z$178,MATCH($C595,'Injectable Value'!$A$28:$A$178,0)),"")</f>
        <v>0.689888576486515</v>
      </c>
      <c r="T595" s="18" t="n">
        <f aca="false">IFERROR(ROUND(INDEX('Injectable Value'!$AA$28:$AA$178,MATCH($C595,'Injectable Value'!$A$28:$A$178,0)),1),"")</f>
        <v>2886</v>
      </c>
      <c r="U595" s="16" t="s">
        <v>1322</v>
      </c>
      <c r="V595" s="15" t="n">
        <v>9</v>
      </c>
      <c r="W595" s="15" t="s">
        <v>1320</v>
      </c>
      <c r="X595" s="15" t="s">
        <v>248</v>
      </c>
      <c r="Y595" s="15" t="s">
        <v>249</v>
      </c>
      <c r="Z595" s="16" t="str">
        <f aca="false">IFERROR(INDEX(Scoring!$K:$K,MATCH($C595&amp;"|"&amp;$E595,Scoring!$U:$U,0)),"")</f>
        <v>Cancer drug (cytotoxic) – less relevant; Reconstitution</v>
      </c>
      <c r="AA595" s="15" t="str">
        <f aca="false">IFERROR(INDEX(Scoring!$Q:$Q,MATCH($C595&amp;"|"&amp;$E595,Scoring!$U:$U,0)),"")</f>
        <v>Excluded – IV only</v>
      </c>
      <c r="AB595" s="15" t="str">
        <f aca="false">IFERROR(INDEX(Scoring!$AK:$AK,MATCH($C595&amp;"|"&amp;$E595,Scoring!$U:$U,0)),"")</f>
        <v>Excluded – IV only</v>
      </c>
      <c r="AC595" s="18" t="n">
        <f aca="false">IFERROR(INDEX(Scoring!$M:$M,MATCH($C595&amp;"|"&amp;$E595,Scoring!$U:$U,0)),"")</f>
        <v>177</v>
      </c>
      <c r="AD595" s="15" t="str">
        <f aca="false">IFERROR(INDEX('Route of Administration'!$C$5:$C$155,MATCH($C595,'Route of Administration'!$A$5:$A$155,0)),"")</f>
        <v>IV</v>
      </c>
      <c r="AE595" s="14" t="str">
        <f aca="false">IFERROR(INDEX('Route of Administration'!$D$5:$D$155,MATCH($C595,'Route of Administration'!$A$5:$A$155,0)),"")</f>
        <v>No</v>
      </c>
    </row>
    <row r="596" customFormat="false" ht="55.2" hidden="false" customHeight="false" outlineLevel="0" collapsed="false">
      <c r="B596" s="15" t="n">
        <v>594</v>
      </c>
      <c r="C596" s="15" t="s">
        <v>451</v>
      </c>
      <c r="D596" s="15" t="s">
        <v>2559</v>
      </c>
      <c r="E596" s="15" t="s">
        <v>199</v>
      </c>
      <c r="F596" s="15" t="s">
        <v>2560</v>
      </c>
      <c r="G596" s="16" t="s">
        <v>2561</v>
      </c>
      <c r="H596" s="15" t="s">
        <v>1505</v>
      </c>
      <c r="I596" s="17" t="n">
        <v>12.0797</v>
      </c>
      <c r="J596" s="15" t="n">
        <v>29</v>
      </c>
      <c r="K596" s="15" t="n">
        <v>1185</v>
      </c>
      <c r="L596" s="18" t="n">
        <v>59407.06</v>
      </c>
      <c r="M596" s="16" t="s">
        <v>452</v>
      </c>
      <c r="N596" s="17" t="n">
        <v>12.0797</v>
      </c>
      <c r="O596" s="15" t="s">
        <v>1506</v>
      </c>
      <c r="P596" s="15" t="s">
        <v>1533</v>
      </c>
      <c r="Q596" s="16" t="s">
        <v>1508</v>
      </c>
      <c r="R596" s="32" t="s">
        <v>1673</v>
      </c>
      <c r="S596" s="37" t="n">
        <f aca="false">IFERROR(INDEX('Injectable Value'!$Z$28:$Z$178,MATCH($C596,'Injectable Value'!$A$28:$A$178,0)),"")</f>
        <v>0.991808067465962</v>
      </c>
      <c r="T596" s="18" t="n">
        <f aca="false">IFERROR(ROUND(INDEX('Injectable Value'!$AA$28:$AA$178,MATCH($C596,'Injectable Value'!$A$28:$A$178,0)),1),"")</f>
        <v>58920.4</v>
      </c>
      <c r="U596" s="16" t="s">
        <v>1327</v>
      </c>
      <c r="V596" s="15" t="n">
        <v>18</v>
      </c>
      <c r="W596" s="15" t="s">
        <v>1324</v>
      </c>
      <c r="X596" s="15" t="s">
        <v>248</v>
      </c>
      <c r="Y596" s="15" t="s">
        <v>324</v>
      </c>
      <c r="Z596" s="16" t="str">
        <f aca="false">IFERROR(INDEX(Scoring!$K:$K,MATCH($C596&amp;"|"&amp;$E596,Scoring!$U:$U,0)),"")</f>
        <v>Reconstitution</v>
      </c>
      <c r="AA596" s="15" t="str">
        <f aca="false">IFERROR(INDEX(Scoring!$Q:$Q,MATCH($C596&amp;"|"&amp;$E596,Scoring!$U:$U,0)),"")</f>
        <v>Excluded – IV only</v>
      </c>
      <c r="AB596" s="15" t="str">
        <f aca="false">IFERROR(INDEX(Scoring!$AK:$AK,MATCH($C596&amp;"|"&amp;$E596,Scoring!$U:$U,0)),"")</f>
        <v>Excluded – IV only</v>
      </c>
      <c r="AC596" s="18" t="n">
        <f aca="false">IFERROR(INDEX(Scoring!$M:$M,MATCH($C596&amp;"|"&amp;$E596,Scoring!$U:$U,0)),"")</f>
        <v>1175</v>
      </c>
      <c r="AD596" s="15" t="str">
        <f aca="false">IFERROR(INDEX('Route of Administration'!$C$5:$C$155,MATCH($C596,'Route of Administration'!$A$5:$A$155,0)),"")</f>
        <v>IV</v>
      </c>
      <c r="AE596" s="14" t="str">
        <f aca="false">IFERROR(INDEX('Route of Administration'!$D$5:$D$155,MATCH($C596,'Route of Administration'!$A$5:$A$155,0)),"")</f>
        <v>No</v>
      </c>
    </row>
    <row r="597" customFormat="false" ht="55.2" hidden="false" customHeight="false" outlineLevel="0" collapsed="false">
      <c r="B597" s="15" t="n">
        <v>595</v>
      </c>
      <c r="C597" s="15" t="s">
        <v>451</v>
      </c>
      <c r="D597" s="15" t="s">
        <v>2562</v>
      </c>
      <c r="E597" s="15" t="s">
        <v>199</v>
      </c>
      <c r="F597" s="15" t="s">
        <v>2560</v>
      </c>
      <c r="G597" s="16" t="s">
        <v>2561</v>
      </c>
      <c r="H597" s="15" t="s">
        <v>1505</v>
      </c>
      <c r="I597" s="17" t="n">
        <v>12.0797</v>
      </c>
      <c r="J597" s="15" t="n">
        <v>30</v>
      </c>
      <c r="K597" s="15" t="n">
        <v>1185</v>
      </c>
      <c r="L597" s="18" t="n">
        <v>59407.06</v>
      </c>
      <c r="M597" s="16" t="s">
        <v>452</v>
      </c>
      <c r="N597" s="17" t="n">
        <v>12.0797</v>
      </c>
      <c r="O597" s="15" t="s">
        <v>1506</v>
      </c>
      <c r="P597" s="15" t="s">
        <v>1533</v>
      </c>
      <c r="Q597" s="16" t="s">
        <v>1508</v>
      </c>
      <c r="R597" s="32" t="s">
        <v>1673</v>
      </c>
      <c r="S597" s="37" t="n">
        <f aca="false">IFERROR(INDEX('Injectable Value'!$Z$28:$Z$178,MATCH($C597,'Injectable Value'!$A$28:$A$178,0)),"")</f>
        <v>0.991808067465962</v>
      </c>
      <c r="T597" s="18" t="n">
        <f aca="false">IFERROR(ROUND(INDEX('Injectable Value'!$AA$28:$AA$178,MATCH($C597,'Injectable Value'!$A$28:$A$178,0)),1),"")</f>
        <v>58920.4</v>
      </c>
      <c r="U597" s="16" t="s">
        <v>1327</v>
      </c>
      <c r="V597" s="15" t="n">
        <v>18</v>
      </c>
      <c r="W597" s="15" t="s">
        <v>1324</v>
      </c>
      <c r="X597" s="15" t="s">
        <v>248</v>
      </c>
      <c r="Y597" s="15" t="s">
        <v>324</v>
      </c>
      <c r="Z597" s="16" t="str">
        <f aca="false">IFERROR(INDEX(Scoring!$K:$K,MATCH($C597&amp;"|"&amp;$E597,Scoring!$U:$U,0)),"")</f>
        <v>Reconstitution</v>
      </c>
      <c r="AA597" s="15" t="str">
        <f aca="false">IFERROR(INDEX(Scoring!$Q:$Q,MATCH($C597&amp;"|"&amp;$E597,Scoring!$U:$U,0)),"")</f>
        <v>Excluded – IV only</v>
      </c>
      <c r="AB597" s="15" t="str">
        <f aca="false">IFERROR(INDEX(Scoring!$AK:$AK,MATCH($C597&amp;"|"&amp;$E597,Scoring!$U:$U,0)),"")</f>
        <v>Excluded – IV only</v>
      </c>
      <c r="AC597" s="18" t="n">
        <f aca="false">IFERROR(INDEX(Scoring!$M:$M,MATCH($C597&amp;"|"&amp;$E597,Scoring!$U:$U,0)),"")</f>
        <v>1175</v>
      </c>
      <c r="AD597" s="15" t="str">
        <f aca="false">IFERROR(INDEX('Route of Administration'!$C$5:$C$155,MATCH($C597,'Route of Administration'!$A$5:$A$155,0)),"")</f>
        <v>IV</v>
      </c>
      <c r="AE597" s="14" t="str">
        <f aca="false">IFERROR(INDEX('Route of Administration'!$D$5:$D$155,MATCH($C597,'Route of Administration'!$A$5:$A$155,0)),"")</f>
        <v>No</v>
      </c>
    </row>
    <row r="598" customFormat="false" ht="41.75" hidden="false" customHeight="false" outlineLevel="0" collapsed="false">
      <c r="B598" s="15" t="n">
        <v>596</v>
      </c>
      <c r="C598" s="15" t="s">
        <v>503</v>
      </c>
      <c r="D598" s="15" t="s">
        <v>2563</v>
      </c>
      <c r="E598" s="15" t="s">
        <v>199</v>
      </c>
      <c r="F598" s="15" t="s">
        <v>2011</v>
      </c>
      <c r="G598" s="16" t="s">
        <v>1989</v>
      </c>
      <c r="H598" s="15" t="s">
        <v>1505</v>
      </c>
      <c r="I598" s="17" t="n">
        <v>5.5596</v>
      </c>
      <c r="J598" s="15" t="n">
        <v>31</v>
      </c>
      <c r="K598" s="15" t="n">
        <v>3515</v>
      </c>
      <c r="L598" s="18" t="n">
        <v>140084.73</v>
      </c>
      <c r="M598" s="16" t="s">
        <v>504</v>
      </c>
      <c r="N598" s="17" t="n">
        <v>5.5596</v>
      </c>
      <c r="O598" s="15" t="s">
        <v>1506</v>
      </c>
      <c r="P598" s="15" t="s">
        <v>1672</v>
      </c>
      <c r="Q598" s="16" t="s">
        <v>1508</v>
      </c>
      <c r="R598" s="32" t="s">
        <v>1673</v>
      </c>
      <c r="S598" s="37" t="n">
        <f aca="false">IFERROR(INDEX('Injectable Value'!$Z$28:$Z$178,MATCH($C598,'Injectable Value'!$A$28:$A$178,0)),"")</f>
        <v>0.251824206147514</v>
      </c>
      <c r="T598" s="18" t="n">
        <f aca="false">IFERROR(ROUND(INDEX('Injectable Value'!$AA$28:$AA$178,MATCH($C598,'Injectable Value'!$A$28:$A$178,0)),1),"")</f>
        <v>35276.7</v>
      </c>
      <c r="U598" s="16" t="s">
        <v>1336</v>
      </c>
      <c r="V598" s="15" t="n">
        <v>14</v>
      </c>
      <c r="W598" s="15" t="s">
        <v>298</v>
      </c>
      <c r="X598" s="15" t="s">
        <v>248</v>
      </c>
      <c r="Y598" s="15" t="s">
        <v>299</v>
      </c>
      <c r="Z598" s="16" t="str">
        <f aca="false">IFERROR(INDEX(Scoring!$K:$K,MATCH($C598&amp;"|"&amp;$E598,Scoring!$U:$U,0)),"")</f>
        <v>Reconstitution</v>
      </c>
      <c r="AA598" s="15" t="str">
        <f aca="false">IFERROR(INDEX(Scoring!$Q:$Q,MATCH($C598&amp;"|"&amp;$E598,Scoring!$U:$U,0)),"")</f>
        <v>Excluded – IV only</v>
      </c>
      <c r="AB598" s="15" t="str">
        <f aca="false">IFERROR(INDEX(Scoring!$AK:$AK,MATCH($C598&amp;"|"&amp;$E598,Scoring!$U:$U,0)),"")</f>
        <v>Excluded – IV only</v>
      </c>
      <c r="AC598" s="18" t="n">
        <f aca="false">IFERROR(INDEX(Scoring!$M:$M,MATCH($C598&amp;"|"&amp;$E598,Scoring!$U:$U,0)),"")</f>
        <v>885</v>
      </c>
      <c r="AD598" s="15" t="str">
        <f aca="false">IFERROR(INDEX('Route of Administration'!$C$5:$C$155,MATCH($C598,'Route of Administration'!$A$5:$A$155,0)),"")</f>
        <v>IV</v>
      </c>
      <c r="AE598" s="14" t="str">
        <f aca="false">IFERROR(INDEX('Route of Administration'!$D$5:$D$155,MATCH($C598,'Route of Administration'!$A$5:$A$155,0)),"")</f>
        <v>No</v>
      </c>
    </row>
    <row r="599" customFormat="false" ht="28.35" hidden="false" customHeight="false" outlineLevel="0" collapsed="false">
      <c r="B599" s="15" t="n">
        <v>597</v>
      </c>
      <c r="C599" s="15" t="s">
        <v>1090</v>
      </c>
      <c r="D599" s="15" t="s">
        <v>1339</v>
      </c>
      <c r="E599" s="15" t="s">
        <v>199</v>
      </c>
      <c r="F599" s="15" t="s">
        <v>2564</v>
      </c>
      <c r="G599" s="16" t="s">
        <v>2565</v>
      </c>
      <c r="H599" s="15" t="s">
        <v>1505</v>
      </c>
      <c r="I599" s="17" t="n">
        <v>17.628</v>
      </c>
      <c r="J599" s="15" t="n">
        <v>23</v>
      </c>
      <c r="K599" s="15" t="n">
        <v>55</v>
      </c>
      <c r="L599" s="18" t="n">
        <v>6450.54</v>
      </c>
      <c r="M599" s="16" t="s">
        <v>1091</v>
      </c>
      <c r="N599" s="17" t="n">
        <v>17.628</v>
      </c>
      <c r="O599" s="15" t="s">
        <v>1506</v>
      </c>
      <c r="P599" s="15" t="s">
        <v>1507</v>
      </c>
      <c r="Q599" s="16" t="s">
        <v>1508</v>
      </c>
      <c r="R599" s="32" t="s">
        <v>2566</v>
      </c>
      <c r="S599" s="37" t="n">
        <f aca="false">IFERROR(INDEX('Injectable Value'!$Z$28:$Z$178,MATCH($C599,'Injectable Value'!$A$28:$A$178,0)),"")</f>
        <v>0.449896846448571</v>
      </c>
      <c r="T599" s="18" t="n">
        <f aca="false">IFERROR(ROUND(INDEX('Injectable Value'!$AA$28:$AA$178,MATCH($C599,'Injectable Value'!$A$28:$A$178,0)),1),"")</f>
        <v>2902.1</v>
      </c>
      <c r="U599" s="16" t="s">
        <v>1340</v>
      </c>
      <c r="V599" s="15" t="n">
        <v>2</v>
      </c>
      <c r="W599" s="15" t="s">
        <v>418</v>
      </c>
      <c r="X599" s="15" t="s">
        <v>248</v>
      </c>
      <c r="Y599" s="15" t="s">
        <v>249</v>
      </c>
      <c r="Z599" s="16" t="str">
        <f aca="false">IFERROR(INDEX(Scoring!$K:$K,MATCH($C599&amp;"|"&amp;$E599,Scoring!$U:$U,0)),"")</f>
        <v/>
      </c>
      <c r="AA599" s="15" t="str">
        <f aca="false">IFERROR(INDEX(Scoring!$Q:$Q,MATCH($C599&amp;"|"&amp;$E599,Scoring!$U:$U,0)),"")</f>
        <v>Excluded – IV only</v>
      </c>
      <c r="AB599" s="15" t="str">
        <f aca="false">IFERROR(INDEX(Scoring!$AK:$AK,MATCH($C599&amp;"|"&amp;$E599,Scoring!$U:$U,0)),"")</f>
        <v>Excluded – IV only</v>
      </c>
      <c r="AC599" s="18" t="n">
        <f aca="false">IFERROR(INDEX(Scoring!$M:$M,MATCH($C599&amp;"|"&amp;$E599,Scoring!$U:$U,0)),"")</f>
        <v>25</v>
      </c>
      <c r="AD599" s="15" t="str">
        <f aca="false">IFERROR(INDEX('Route of Administration'!$C$5:$C$155,MATCH($C599,'Route of Administration'!$A$5:$A$155,0)),"")</f>
        <v>IV</v>
      </c>
      <c r="AE599" s="14" t="str">
        <f aca="false">IFERROR(INDEX('Route of Administration'!$D$5:$D$155,MATCH($C599,'Route of Administration'!$A$5:$A$155,0)),"")</f>
        <v>No</v>
      </c>
    </row>
    <row r="600" customFormat="false" ht="28.35" hidden="false" customHeight="false" outlineLevel="0" collapsed="false">
      <c r="B600" s="15" t="n">
        <v>598</v>
      </c>
      <c r="C600" s="15" t="s">
        <v>641</v>
      </c>
      <c r="D600" s="15" t="s">
        <v>2567</v>
      </c>
      <c r="E600" s="15" t="s">
        <v>199</v>
      </c>
      <c r="F600" s="15" t="s">
        <v>2114</v>
      </c>
      <c r="G600" s="16" t="s">
        <v>2568</v>
      </c>
      <c r="H600" s="15" t="s">
        <v>1505</v>
      </c>
      <c r="I600" s="17" t="n">
        <v>62.2065</v>
      </c>
      <c r="J600" s="15" t="n">
        <v>26</v>
      </c>
      <c r="K600" s="15" t="n">
        <v>106</v>
      </c>
      <c r="L600" s="18" t="n">
        <v>7074.72</v>
      </c>
      <c r="M600" s="16" t="s">
        <v>642</v>
      </c>
      <c r="N600" s="17" t="n">
        <v>62.2065</v>
      </c>
      <c r="O600" s="15" t="s">
        <v>1506</v>
      </c>
      <c r="P600" s="15" t="s">
        <v>1507</v>
      </c>
      <c r="Q600" s="16" t="s">
        <v>1508</v>
      </c>
      <c r="R600" s="32" t="s">
        <v>1673</v>
      </c>
      <c r="S600" s="37" t="n">
        <f aca="false">IFERROR(INDEX('Injectable Value'!$Z$28:$Z$178,MATCH($C600,'Injectable Value'!$A$28:$A$178,0)),"")</f>
        <v>0.9375</v>
      </c>
      <c r="T600" s="18" t="n">
        <f aca="false">IFERROR(ROUND(INDEX('Injectable Value'!$AA$28:$AA$178,MATCH($C600,'Injectable Value'!$A$28:$A$178,0)),1),"")</f>
        <v>6632.6</v>
      </c>
      <c r="U600" s="16" t="s">
        <v>1346</v>
      </c>
      <c r="V600" s="15" t="n">
        <v>4</v>
      </c>
      <c r="W600" s="15" t="s">
        <v>1000</v>
      </c>
      <c r="X600" s="15" t="s">
        <v>248</v>
      </c>
      <c r="Y600" s="15" t="s">
        <v>249</v>
      </c>
      <c r="Z600" s="16" t="str">
        <f aca="false">IFERROR(INDEX(Scoring!$K:$K,MATCH($C600&amp;"|"&amp;$E600,Scoring!$U:$U,0)),"")</f>
        <v>Reconstitution</v>
      </c>
      <c r="AA600" s="15" t="str">
        <f aca="false">IFERROR(INDEX(Scoring!$Q:$Q,MATCH($C600&amp;"|"&amp;$E600,Scoring!$U:$U,0)),"")</f>
        <v>Priority 2</v>
      </c>
      <c r="AB600" s="15" t="str">
        <f aca="false">IFERROR(INDEX(Scoring!$AK:$AK,MATCH($C600&amp;"|"&amp;$E600,Scoring!$U:$U,0)),"")</f>
        <v>Priority 2</v>
      </c>
      <c r="AC600" s="18" t="n">
        <f aca="false">IFERROR(INDEX(Scoring!$M:$M,MATCH($C600&amp;"|"&amp;$E600,Scoring!$U:$U,0)),"")</f>
        <v>99</v>
      </c>
      <c r="AD600" s="15" t="str">
        <f aca="false">IFERROR(INDEX('Route of Administration'!$C$5:$C$155,MATCH($C600,'Route of Administration'!$A$5:$A$155,0)),"")</f>
        <v>IV, IM</v>
      </c>
      <c r="AE600" s="14" t="str">
        <f aca="false">IFERROR(INDEX('Route of Administration'!$D$5:$D$155,MATCH($C600,'Route of Administration'!$A$5:$A$155,0)),"")</f>
        <v>Yes</v>
      </c>
    </row>
    <row r="601" customFormat="false" ht="28.35" hidden="false" customHeight="false" outlineLevel="0" collapsed="false">
      <c r="B601" s="15" t="n">
        <v>599</v>
      </c>
      <c r="C601" s="15" t="s">
        <v>1347</v>
      </c>
      <c r="D601" s="15" t="s">
        <v>2569</v>
      </c>
      <c r="E601" s="15" t="s">
        <v>199</v>
      </c>
      <c r="F601" s="15" t="s">
        <v>2570</v>
      </c>
      <c r="G601" s="16" t="s">
        <v>2552</v>
      </c>
      <c r="H601" s="15" t="s">
        <v>1505</v>
      </c>
      <c r="I601" s="17" t="n">
        <v>36.2052</v>
      </c>
      <c r="J601" s="15" t="n">
        <v>26</v>
      </c>
      <c r="K601" s="15" t="n">
        <v>18</v>
      </c>
      <c r="L601" s="18" t="n">
        <v>77.4</v>
      </c>
      <c r="M601" s="16" t="s">
        <v>1348</v>
      </c>
      <c r="N601" s="17" t="n">
        <v>36.2052</v>
      </c>
      <c r="O601" s="15" t="s">
        <v>1506</v>
      </c>
      <c r="P601" s="15" t="s">
        <v>1672</v>
      </c>
      <c r="Q601" s="16" t="s">
        <v>1508</v>
      </c>
      <c r="R601" s="32" t="s">
        <v>1673</v>
      </c>
      <c r="S601" s="37" t="n">
        <f aca="false">IFERROR(INDEX('Injectable Value'!$Z$28:$Z$178,MATCH($C601,'Injectable Value'!$A$28:$A$178,0)),"")</f>
        <v>1</v>
      </c>
      <c r="T601" s="18" t="n">
        <f aca="false">IFERROR(ROUND(INDEX('Injectable Value'!$AA$28:$AA$178,MATCH($C601,'Injectable Value'!$A$28:$A$178,0)),1),"")</f>
        <v>77.4</v>
      </c>
      <c r="U601" s="16" t="s">
        <v>1352</v>
      </c>
      <c r="V601" s="15" t="n">
        <v>11</v>
      </c>
      <c r="W601" s="15" t="s">
        <v>754</v>
      </c>
      <c r="X601" s="15" t="s">
        <v>316</v>
      </c>
      <c r="Y601" s="15" t="s">
        <v>249</v>
      </c>
      <c r="Z601" s="16" t="str">
        <f aca="false">IFERROR(INDEX(Scoring!$K:$K,MATCH($C601&amp;"|"&amp;$E601,Scoring!$U:$U,0)),"")</f>
        <v/>
      </c>
      <c r="AA601" s="15" t="str">
        <f aca="false">IFERROR(INDEX(Scoring!$Q:$Q,MATCH($C601&amp;"|"&amp;$E601,Scoring!$U:$U,0)),"")</f>
        <v>Excluded – IV only</v>
      </c>
      <c r="AB601" s="15" t="str">
        <f aca="false">IFERROR(INDEX(Scoring!$AK:$AK,MATCH($C601&amp;"|"&amp;$E601,Scoring!$U:$U,0)),"")</f>
        <v>Excluded – IV only</v>
      </c>
      <c r="AC601" s="18" t="n">
        <f aca="false">IFERROR(INDEX(Scoring!$M:$M,MATCH($C601&amp;"|"&amp;$E601,Scoring!$U:$U,0)),"")</f>
        <v>18</v>
      </c>
      <c r="AD601" s="15" t="str">
        <f aca="false">IFERROR(INDEX('Route of Administration'!$C$5:$C$155,MATCH($C601,'Route of Administration'!$A$5:$A$155,0)),"")</f>
        <v>IV</v>
      </c>
      <c r="AE601" s="14" t="str">
        <f aca="false">IFERROR(INDEX('Route of Administration'!$D$5:$D$155,MATCH($C601,'Route of Administration'!$A$5:$A$155,0)),"")</f>
        <v>No</v>
      </c>
    </row>
    <row r="602" customFormat="false" ht="41.75" hidden="false" customHeight="false" outlineLevel="0" collapsed="false">
      <c r="B602" s="15" t="n">
        <v>600</v>
      </c>
      <c r="C602" s="15" t="s">
        <v>646</v>
      </c>
      <c r="D602" s="15" t="s">
        <v>2571</v>
      </c>
      <c r="E602" s="15" t="s">
        <v>199</v>
      </c>
      <c r="F602" s="15" t="s">
        <v>2572</v>
      </c>
      <c r="G602" s="16" t="s">
        <v>1852</v>
      </c>
      <c r="H602" s="15" t="s">
        <v>1505</v>
      </c>
      <c r="I602" s="17" t="n">
        <v>25.877</v>
      </c>
      <c r="J602" s="15" t="n">
        <v>28</v>
      </c>
      <c r="K602" s="15" t="n">
        <v>188</v>
      </c>
      <c r="L602" s="18" t="n">
        <v>262.84</v>
      </c>
      <c r="M602" s="16" t="s">
        <v>647</v>
      </c>
      <c r="N602" s="17" t="n">
        <v>25.877</v>
      </c>
      <c r="O602" s="15" t="s">
        <v>1506</v>
      </c>
      <c r="P602" s="15" t="s">
        <v>1507</v>
      </c>
      <c r="Q602" s="16" t="s">
        <v>1508</v>
      </c>
      <c r="R602" s="32" t="s">
        <v>2573</v>
      </c>
      <c r="S602" s="37" t="n">
        <f aca="false">IFERROR(INDEX('Injectable Value'!$Z$28:$Z$178,MATCH($C602,'Injectable Value'!$A$28:$A$178,0)),"")</f>
        <v>0.703571428571429</v>
      </c>
      <c r="T602" s="18" t="n">
        <f aca="false">IFERROR(ROUND(INDEX('Injectable Value'!$AA$28:$AA$178,MATCH($C602,'Injectable Value'!$A$28:$A$178,0)),1),"")</f>
        <v>184.9</v>
      </c>
      <c r="U602" s="16" t="s">
        <v>1357</v>
      </c>
      <c r="V602" s="15" t="n">
        <v>12</v>
      </c>
      <c r="W602" s="15" t="s">
        <v>1355</v>
      </c>
      <c r="X602" s="15" t="s">
        <v>248</v>
      </c>
      <c r="Y602" s="15" t="s">
        <v>249</v>
      </c>
      <c r="Z602" s="16" t="str">
        <f aca="false">IFERROR(INDEX(Scoring!$K:$K,MATCH($C602&amp;"|"&amp;$E602,Scoring!$U:$U,0)),"")</f>
        <v/>
      </c>
      <c r="AA602" s="15" t="str">
        <f aca="false">IFERROR(INDEX(Scoring!$Q:$Q,MATCH($C602&amp;"|"&amp;$E602,Scoring!$U:$U,0)),"")</f>
        <v>Priority 2</v>
      </c>
      <c r="AB602" s="15" t="str">
        <f aca="false">IFERROR(INDEX(Scoring!$AK:$AK,MATCH($C602&amp;"|"&amp;$E602,Scoring!$U:$U,0)),"")</f>
        <v>Priority 2</v>
      </c>
      <c r="AC602" s="18" t="n">
        <f aca="false">IFERROR(INDEX(Scoring!$M:$M,MATCH($C602&amp;"|"&amp;$E602,Scoring!$U:$U,0)),"")</f>
        <v>132</v>
      </c>
      <c r="AD602" s="15" t="str">
        <f aca="false">IFERROR(INDEX('Route of Administration'!$C$5:$C$155,MATCH($C602,'Route of Administration'!$A$5:$A$155,0)),"")</f>
        <v>IM</v>
      </c>
      <c r="AE602" s="14" t="str">
        <f aca="false">IFERROR(INDEX('Route of Administration'!$D$5:$D$155,MATCH($C602,'Route of Administration'!$A$5:$A$155,0)),"")</f>
        <v>Yes</v>
      </c>
    </row>
    <row r="603" customFormat="false" ht="28.35" hidden="false" customHeight="false" outlineLevel="0" collapsed="false">
      <c r="B603" s="15" t="n">
        <v>601</v>
      </c>
      <c r="C603" s="15" t="s">
        <v>563</v>
      </c>
      <c r="D603" s="15" t="s">
        <v>2544</v>
      </c>
      <c r="E603" s="15" t="s">
        <v>199</v>
      </c>
      <c r="F603" s="15" t="s">
        <v>2282</v>
      </c>
      <c r="G603" s="16" t="s">
        <v>2574</v>
      </c>
      <c r="H603" s="15" t="s">
        <v>1505</v>
      </c>
      <c r="I603" s="17" t="n">
        <v>18.7806</v>
      </c>
      <c r="J603" s="15" t="n">
        <v>6</v>
      </c>
      <c r="K603" s="15" t="n">
        <v>208</v>
      </c>
      <c r="L603" s="18" t="n">
        <v>3923.58</v>
      </c>
      <c r="M603" s="16" t="s">
        <v>564</v>
      </c>
      <c r="N603" s="17" t="n">
        <v>18.7806</v>
      </c>
      <c r="O603" s="15" t="s">
        <v>1506</v>
      </c>
      <c r="P603" s="15" t="s">
        <v>1533</v>
      </c>
      <c r="Q603" s="16" t="s">
        <v>1508</v>
      </c>
      <c r="R603" s="32" t="s">
        <v>2575</v>
      </c>
      <c r="S603" s="37" t="n">
        <f aca="false">IFERROR(INDEX('Injectable Value'!$Z$28:$Z$178,MATCH($C603,'Injectable Value'!$A$28:$A$178,0)),"")</f>
        <v>1</v>
      </c>
      <c r="T603" s="18" t="n">
        <f aca="false">IFERROR(ROUND(INDEX('Injectable Value'!$AA$28:$AA$178,MATCH($C603,'Injectable Value'!$A$28:$A$178,0)),1),"")</f>
        <v>3923.6</v>
      </c>
      <c r="U603" s="16" t="s">
        <v>1361</v>
      </c>
      <c r="V603" s="15" t="n">
        <v>5</v>
      </c>
      <c r="W603" s="15" t="s">
        <v>1000</v>
      </c>
      <c r="X603" s="15" t="s">
        <v>248</v>
      </c>
      <c r="Y603" s="15" t="s">
        <v>299</v>
      </c>
      <c r="Z603" s="16" t="str">
        <f aca="false">IFERROR(INDEX(Scoring!$K:$K,MATCH($C603&amp;"|"&amp;$E603,Scoring!$U:$U,0)),"")</f>
        <v>Reconstitution</v>
      </c>
      <c r="AA603" s="15" t="str">
        <f aca="false">IFERROR(INDEX(Scoring!$Q:$Q,MATCH($C603&amp;"|"&amp;$E603,Scoring!$U:$U,0)),"")</f>
        <v>Excluded – IV only</v>
      </c>
      <c r="AB603" s="15" t="str">
        <f aca="false">IFERROR(INDEX(Scoring!$AK:$AK,MATCH($C603&amp;"|"&amp;$E603,Scoring!$U:$U,0)),"")</f>
        <v>Excluded – IV only</v>
      </c>
      <c r="AC603" s="18" t="n">
        <f aca="false">IFERROR(INDEX(Scoring!$M:$M,MATCH($C603&amp;"|"&amp;$E603,Scoring!$U:$U,0)),"")</f>
        <v>208</v>
      </c>
      <c r="AD603" s="15" t="str">
        <f aca="false">IFERROR(INDEX('Route of Administration'!$C$5:$C$155,MATCH($C603,'Route of Administration'!$A$5:$A$155,0)),"")</f>
        <v>IV</v>
      </c>
      <c r="AE603" s="14" t="str">
        <f aca="false">IFERROR(INDEX('Route of Administration'!$D$5:$D$155,MATCH($C603,'Route of Administration'!$A$5:$A$155,0)),"")</f>
        <v>No</v>
      </c>
    </row>
    <row r="604" customFormat="false" ht="55.2" hidden="false" customHeight="false" outlineLevel="0" collapsed="false">
      <c r="B604" s="15" t="n">
        <v>602</v>
      </c>
      <c r="C604" s="15" t="s">
        <v>451</v>
      </c>
      <c r="D604" s="15" t="s">
        <v>2576</v>
      </c>
      <c r="E604" s="15" t="s">
        <v>199</v>
      </c>
      <c r="F604" s="15" t="s">
        <v>1727</v>
      </c>
      <c r="G604" s="16" t="s">
        <v>2577</v>
      </c>
      <c r="H604" s="15" t="s">
        <v>1505</v>
      </c>
      <c r="I604" s="17" t="n">
        <v>6.45575</v>
      </c>
      <c r="J604" s="15" t="n">
        <v>1</v>
      </c>
      <c r="K604" s="15" t="n">
        <v>1185</v>
      </c>
      <c r="L604" s="18" t="n">
        <v>59407.06</v>
      </c>
      <c r="M604" s="16" t="s">
        <v>452</v>
      </c>
      <c r="N604" s="17" t="n">
        <v>6.45575</v>
      </c>
      <c r="O604" s="15" t="s">
        <v>1506</v>
      </c>
      <c r="P604" s="15" t="s">
        <v>1672</v>
      </c>
      <c r="Q604" s="16" t="s">
        <v>1508</v>
      </c>
      <c r="R604" s="32" t="s">
        <v>2578</v>
      </c>
      <c r="S604" s="37" t="n">
        <f aca="false">IFERROR(INDEX('Injectable Value'!$Z$28:$Z$178,MATCH($C604,'Injectable Value'!$A$28:$A$178,0)),"")</f>
        <v>0.991808067465962</v>
      </c>
      <c r="T604" s="18" t="n">
        <f aca="false">IFERROR(ROUND(INDEX('Injectable Value'!$AA$28:$AA$178,MATCH($C604,'Injectable Value'!$A$28:$A$178,0)),1),"")</f>
        <v>58920.4</v>
      </c>
      <c r="U604" s="16" t="s">
        <v>1327</v>
      </c>
      <c r="V604" s="15" t="n">
        <v>18</v>
      </c>
      <c r="W604" s="15" t="s">
        <v>1324</v>
      </c>
      <c r="X604" s="15" t="s">
        <v>248</v>
      </c>
      <c r="Y604" s="15" t="s">
        <v>1519</v>
      </c>
      <c r="Z604" s="16" t="str">
        <f aca="false">IFERROR(INDEX(Scoring!$K:$K,MATCH($C604&amp;"|"&amp;$E604,Scoring!$U:$U,0)),"")</f>
        <v>Reconstitution</v>
      </c>
      <c r="AA604" s="15" t="str">
        <f aca="false">IFERROR(INDEX(Scoring!$Q:$Q,MATCH($C604&amp;"|"&amp;$E604,Scoring!$U:$U,0)),"")</f>
        <v>Excluded – IV only</v>
      </c>
      <c r="AB604" s="15" t="str">
        <f aca="false">IFERROR(INDEX(Scoring!$AK:$AK,MATCH($C604&amp;"|"&amp;$E604,Scoring!$U:$U,0)),"")</f>
        <v>Excluded – IV only</v>
      </c>
      <c r="AC604" s="18" t="n">
        <f aca="false">IFERROR(INDEX(Scoring!$M:$M,MATCH($C604&amp;"|"&amp;$E604,Scoring!$U:$U,0)),"")</f>
        <v>1175</v>
      </c>
      <c r="AD604" s="15" t="str">
        <f aca="false">IFERROR(INDEX('Route of Administration'!$C$5:$C$155,MATCH($C604,'Route of Administration'!$A$5:$A$155,0)),"")</f>
        <v>IV</v>
      </c>
      <c r="AE604" s="14" t="str">
        <f aca="false">IFERROR(INDEX('Route of Administration'!$D$5:$D$155,MATCH($C604,'Route of Administration'!$A$5:$A$155,0)),"")</f>
        <v>No</v>
      </c>
    </row>
    <row r="605" customFormat="false" ht="55.2" hidden="false" customHeight="false" outlineLevel="0" collapsed="false">
      <c r="B605" s="15" t="n">
        <v>603</v>
      </c>
      <c r="C605" s="15" t="s">
        <v>451</v>
      </c>
      <c r="D605" s="15" t="s">
        <v>2576</v>
      </c>
      <c r="E605" s="15" t="s">
        <v>199</v>
      </c>
      <c r="F605" s="15" t="s">
        <v>1730</v>
      </c>
      <c r="G605" s="16" t="s">
        <v>2579</v>
      </c>
      <c r="H605" s="15" t="s">
        <v>1505</v>
      </c>
      <c r="I605" s="17" t="n">
        <v>12.9115</v>
      </c>
      <c r="J605" s="15" t="n">
        <v>1</v>
      </c>
      <c r="K605" s="15" t="n">
        <v>1185</v>
      </c>
      <c r="L605" s="18" t="n">
        <v>59407.06</v>
      </c>
      <c r="M605" s="16" t="s">
        <v>452</v>
      </c>
      <c r="N605" s="17" t="n">
        <v>12.9115</v>
      </c>
      <c r="O605" s="15" t="s">
        <v>1506</v>
      </c>
      <c r="P605" s="15" t="s">
        <v>1672</v>
      </c>
      <c r="Q605" s="16" t="s">
        <v>1508</v>
      </c>
      <c r="R605" s="32" t="s">
        <v>2578</v>
      </c>
      <c r="S605" s="37" t="n">
        <f aca="false">IFERROR(INDEX('Injectable Value'!$Z$28:$Z$178,MATCH($C605,'Injectable Value'!$A$28:$A$178,0)),"")</f>
        <v>0.991808067465962</v>
      </c>
      <c r="T605" s="18" t="n">
        <f aca="false">IFERROR(ROUND(INDEX('Injectable Value'!$AA$28:$AA$178,MATCH($C605,'Injectable Value'!$A$28:$A$178,0)),1),"")</f>
        <v>58920.4</v>
      </c>
      <c r="U605" s="16" t="s">
        <v>1327</v>
      </c>
      <c r="V605" s="15" t="n">
        <v>18</v>
      </c>
      <c r="W605" s="15" t="s">
        <v>1324</v>
      </c>
      <c r="X605" s="15" t="s">
        <v>248</v>
      </c>
      <c r="Y605" s="15" t="s">
        <v>1519</v>
      </c>
      <c r="Z605" s="16" t="str">
        <f aca="false">IFERROR(INDEX(Scoring!$K:$K,MATCH($C605&amp;"|"&amp;$E605,Scoring!$U:$U,0)),"")</f>
        <v>Reconstitution</v>
      </c>
      <c r="AA605" s="15" t="str">
        <f aca="false">IFERROR(INDEX(Scoring!$Q:$Q,MATCH($C605&amp;"|"&amp;$E605,Scoring!$U:$U,0)),"")</f>
        <v>Excluded – IV only</v>
      </c>
      <c r="AB605" s="15" t="str">
        <f aca="false">IFERROR(INDEX(Scoring!$AK:$AK,MATCH($C605&amp;"|"&amp;$E605,Scoring!$U:$U,0)),"")</f>
        <v>Excluded – IV only</v>
      </c>
      <c r="AC605" s="18" t="n">
        <f aca="false">IFERROR(INDEX(Scoring!$M:$M,MATCH($C605&amp;"|"&amp;$E605,Scoring!$U:$U,0)),"")</f>
        <v>1175</v>
      </c>
      <c r="AD605" s="15" t="str">
        <f aca="false">IFERROR(INDEX('Route of Administration'!$C$5:$C$155,MATCH($C605,'Route of Administration'!$A$5:$A$155,0)),"")</f>
        <v>IV</v>
      </c>
      <c r="AE605" s="14" t="str">
        <f aca="false">IFERROR(INDEX('Route of Administration'!$D$5:$D$155,MATCH($C605,'Route of Administration'!$A$5:$A$155,0)),"")</f>
        <v>No</v>
      </c>
    </row>
    <row r="606" customFormat="false" ht="28.35" hidden="false" customHeight="false" outlineLevel="0" collapsed="false">
      <c r="B606" s="15" t="n">
        <v>604</v>
      </c>
      <c r="C606" s="15" t="s">
        <v>444</v>
      </c>
      <c r="D606" s="15" t="s">
        <v>2580</v>
      </c>
      <c r="E606" s="15" t="s">
        <v>199</v>
      </c>
      <c r="F606" s="15" t="s">
        <v>2025</v>
      </c>
      <c r="G606" s="16" t="s">
        <v>2581</v>
      </c>
      <c r="H606" s="15" t="s">
        <v>1505</v>
      </c>
      <c r="I606" s="17" t="n">
        <v>265.643</v>
      </c>
      <c r="J606" s="15" t="n">
        <v>1</v>
      </c>
      <c r="K606" s="15" t="n">
        <v>257</v>
      </c>
      <c r="L606" s="18" t="n">
        <v>4183.29</v>
      </c>
      <c r="M606" s="16" t="s">
        <v>445</v>
      </c>
      <c r="N606" s="17" t="n">
        <v>265.643</v>
      </c>
      <c r="O606" s="15" t="s">
        <v>1506</v>
      </c>
      <c r="P606" s="15" t="s">
        <v>1672</v>
      </c>
      <c r="Q606" s="16" t="s">
        <v>1508</v>
      </c>
      <c r="R606" s="32" t="s">
        <v>1741</v>
      </c>
      <c r="S606" s="37" t="n">
        <f aca="false">IFERROR(INDEX('Injectable Value'!$Z$28:$Z$178,MATCH($C606,'Injectable Value'!$A$28:$A$178,0)),"")</f>
        <v>0.689888576486515</v>
      </c>
      <c r="T606" s="18" t="n">
        <f aca="false">IFERROR(ROUND(INDEX('Injectable Value'!$AA$28:$AA$178,MATCH($C606,'Injectable Value'!$A$28:$A$178,0)),1),"")</f>
        <v>2886</v>
      </c>
      <c r="U606" s="16" t="s">
        <v>1322</v>
      </c>
      <c r="V606" s="15" t="n">
        <v>9</v>
      </c>
      <c r="W606" s="15" t="s">
        <v>1320</v>
      </c>
      <c r="X606" s="15" t="s">
        <v>248</v>
      </c>
      <c r="Y606" s="15" t="s">
        <v>249</v>
      </c>
      <c r="Z606" s="16" t="str">
        <f aca="false">IFERROR(INDEX(Scoring!$K:$K,MATCH($C606&amp;"|"&amp;$E606,Scoring!$U:$U,0)),"")</f>
        <v>Cancer drug (cytotoxic) – less relevant; Reconstitution</v>
      </c>
      <c r="AA606" s="15" t="str">
        <f aca="false">IFERROR(INDEX(Scoring!$Q:$Q,MATCH($C606&amp;"|"&amp;$E606,Scoring!$U:$U,0)),"")</f>
        <v>Excluded – IV only</v>
      </c>
      <c r="AB606" s="15" t="str">
        <f aca="false">IFERROR(INDEX(Scoring!$AK:$AK,MATCH($C606&amp;"|"&amp;$E606,Scoring!$U:$U,0)),"")</f>
        <v>Excluded – IV only</v>
      </c>
      <c r="AC606" s="18" t="n">
        <f aca="false">IFERROR(INDEX(Scoring!$M:$M,MATCH($C606&amp;"|"&amp;$E606,Scoring!$U:$U,0)),"")</f>
        <v>177</v>
      </c>
      <c r="AD606" s="15" t="str">
        <f aca="false">IFERROR(INDEX('Route of Administration'!$C$5:$C$155,MATCH($C606,'Route of Administration'!$A$5:$A$155,0)),"")</f>
        <v>IV</v>
      </c>
      <c r="AE606" s="14" t="str">
        <f aca="false">IFERROR(INDEX('Route of Administration'!$D$5:$D$155,MATCH($C606,'Route of Administration'!$A$5:$A$155,0)),"")</f>
        <v>No</v>
      </c>
    </row>
    <row r="607" customFormat="false" ht="28.35" hidden="false" customHeight="false" outlineLevel="0" collapsed="false">
      <c r="B607" s="15" t="n">
        <v>605</v>
      </c>
      <c r="C607" s="15" t="s">
        <v>542</v>
      </c>
      <c r="D607" s="15" t="s">
        <v>1354</v>
      </c>
      <c r="E607" s="15" t="s">
        <v>199</v>
      </c>
      <c r="F607" s="15" t="s">
        <v>1732</v>
      </c>
      <c r="G607" s="16" t="s">
        <v>2582</v>
      </c>
      <c r="H607" s="15" t="s">
        <v>1505</v>
      </c>
      <c r="I607" s="17" t="n">
        <v>24.4146</v>
      </c>
      <c r="J607" s="15" t="n">
        <v>1</v>
      </c>
      <c r="K607" s="15" t="n">
        <v>307</v>
      </c>
      <c r="L607" s="18" t="n">
        <v>7276.73</v>
      </c>
      <c r="M607" s="16" t="s">
        <v>543</v>
      </c>
      <c r="N607" s="17" t="n">
        <v>24.4146</v>
      </c>
      <c r="O607" s="15" t="s">
        <v>1506</v>
      </c>
      <c r="P607" s="15" t="s">
        <v>1672</v>
      </c>
      <c r="Q607" s="16" t="s">
        <v>1508</v>
      </c>
      <c r="R607" s="32" t="s">
        <v>2583</v>
      </c>
      <c r="S607" s="37" t="n">
        <f aca="false">IFERROR(INDEX('Injectable Value'!$Z$28:$Z$178,MATCH($C607,'Injectable Value'!$A$28:$A$178,0)),"")</f>
        <v>0.947368421052632</v>
      </c>
      <c r="T607" s="18" t="n">
        <f aca="false">IFERROR(ROUND(INDEX('Injectable Value'!$AA$28:$AA$178,MATCH($C607,'Injectable Value'!$A$28:$A$178,0)),1),"")</f>
        <v>6893.7</v>
      </c>
      <c r="U607" s="16" t="s">
        <v>433</v>
      </c>
      <c r="V607" s="15" t="n">
        <v>1</v>
      </c>
      <c r="W607" s="15" t="s">
        <v>429</v>
      </c>
      <c r="X607" s="15" t="s">
        <v>248</v>
      </c>
      <c r="Y607" s="15" t="s">
        <v>249</v>
      </c>
      <c r="Z607" s="16" t="str">
        <f aca="false">IFERROR(INDEX(Scoring!$K:$K,MATCH($C607&amp;"|"&amp;$E607,Scoring!$U:$U,0)),"")</f>
        <v/>
      </c>
      <c r="AA607" s="15" t="str">
        <f aca="false">IFERROR(INDEX(Scoring!$Q:$Q,MATCH($C607&amp;"|"&amp;$E607,Scoring!$U:$U,0)),"")</f>
        <v>Priority 2</v>
      </c>
      <c r="AB607" s="15" t="str">
        <f aca="false">IFERROR(INDEX(Scoring!$AK:$AK,MATCH($C607&amp;"|"&amp;$E607,Scoring!$U:$U,0)),"")</f>
        <v>Priority 2</v>
      </c>
      <c r="AC607" s="18" t="n">
        <f aca="false">IFERROR(INDEX(Scoring!$M:$M,MATCH($C607&amp;"|"&amp;$E607,Scoring!$U:$U,0)),"")</f>
        <v>291</v>
      </c>
      <c r="AD607" s="15" t="str">
        <f aca="false">IFERROR(INDEX('Route of Administration'!$C$5:$C$155,MATCH($C607,'Route of Administration'!$A$5:$A$155,0)),"")</f>
        <v>IM</v>
      </c>
      <c r="AE607" s="14" t="str">
        <f aca="false">IFERROR(INDEX('Route of Administration'!$D$5:$D$155,MATCH($C607,'Route of Administration'!$A$5:$A$155,0)),"")</f>
        <v>Yes</v>
      </c>
    </row>
    <row r="608" customFormat="false" ht="95.5" hidden="false" customHeight="false" outlineLevel="0" collapsed="false">
      <c r="B608" s="15" t="n">
        <v>606</v>
      </c>
      <c r="C608" s="15" t="s">
        <v>305</v>
      </c>
      <c r="D608" s="15" t="s">
        <v>2584</v>
      </c>
      <c r="E608" s="15" t="s">
        <v>199</v>
      </c>
      <c r="F608" s="15" t="s">
        <v>1941</v>
      </c>
      <c r="G608" s="16" t="s">
        <v>2585</v>
      </c>
      <c r="H608" s="15" t="s">
        <v>1505</v>
      </c>
      <c r="I608" s="17" t="n">
        <v>981.694</v>
      </c>
      <c r="J608" s="15" t="n">
        <v>1</v>
      </c>
      <c r="K608" s="15" t="n">
        <v>905</v>
      </c>
      <c r="L608" s="18" t="n">
        <v>28093.38</v>
      </c>
      <c r="M608" s="16" t="s">
        <v>306</v>
      </c>
      <c r="N608" s="17" t="n">
        <v>981.694</v>
      </c>
      <c r="O608" s="15" t="s">
        <v>1506</v>
      </c>
      <c r="P608" s="15" t="s">
        <v>1672</v>
      </c>
      <c r="Q608" s="16" t="s">
        <v>1508</v>
      </c>
      <c r="R608" s="32" t="s">
        <v>1741</v>
      </c>
      <c r="S608" s="37" t="n">
        <f aca="false">IFERROR(INDEX('Injectable Value'!$Z$28:$Z$178,MATCH($C608,'Injectable Value'!$A$28:$A$178,0)),"")</f>
        <v>1</v>
      </c>
      <c r="T608" s="18" t="n">
        <f aca="false">IFERROR(ROUND(INDEX('Injectable Value'!$AA$28:$AA$178,MATCH($C608,'Injectable Value'!$A$28:$A$178,0)),1),"")</f>
        <v>28093.4</v>
      </c>
      <c r="U608" s="16" t="s">
        <v>1306</v>
      </c>
      <c r="V608" s="15" t="n">
        <v>34</v>
      </c>
      <c r="W608" s="15" t="s">
        <v>505</v>
      </c>
      <c r="X608" s="15" t="s">
        <v>248</v>
      </c>
      <c r="Y608" s="15" t="s">
        <v>249</v>
      </c>
      <c r="Z608" s="16" t="str">
        <f aca="false">IFERROR(INDEX(Scoring!$K:$K,MATCH($C608&amp;"|"&amp;$E608,Scoring!$U:$U,0)),"")</f>
        <v>Cancer drug (cytotoxic) – less relevant; Reconstitution</v>
      </c>
      <c r="AA608" s="15" t="str">
        <f aca="false">IFERROR(INDEX(Scoring!$Q:$Q,MATCH($C608&amp;"|"&amp;$E608,Scoring!$U:$U,0)),"")</f>
        <v>Priority 1</v>
      </c>
      <c r="AB608" s="15" t="str">
        <f aca="false">IFERROR(INDEX(Scoring!$AK:$AK,MATCH($C608&amp;"|"&amp;$E608,Scoring!$U:$U,0)),"")</f>
        <v>Priority 1</v>
      </c>
      <c r="AC608" s="18" t="n">
        <f aca="false">IFERROR(INDEX(Scoring!$M:$M,MATCH($C608&amp;"|"&amp;$E608,Scoring!$U:$U,0)),"")</f>
        <v>905</v>
      </c>
      <c r="AD608" s="15" t="str">
        <f aca="false">IFERROR(INDEX('Route of Administration'!$C$5:$C$155,MATCH($C608,'Route of Administration'!$A$5:$A$155,0)),"")</f>
        <v>IV, SC</v>
      </c>
      <c r="AE608" s="14" t="str">
        <f aca="false">IFERROR(INDEX('Route of Administration'!$D$5:$D$155,MATCH($C608,'Route of Administration'!$A$5:$A$155,0)),"")</f>
        <v>Yes</v>
      </c>
    </row>
    <row r="609" customFormat="false" ht="28.35" hidden="false" customHeight="false" outlineLevel="0" collapsed="false">
      <c r="B609" s="15" t="n">
        <v>607</v>
      </c>
      <c r="C609" s="15" t="s">
        <v>1298</v>
      </c>
      <c r="D609" s="15" t="s">
        <v>2586</v>
      </c>
      <c r="E609" s="15" t="s">
        <v>199</v>
      </c>
      <c r="F609" s="15" t="s">
        <v>2048</v>
      </c>
      <c r="G609" s="16" t="s">
        <v>2587</v>
      </c>
      <c r="H609" s="15" t="s">
        <v>2588</v>
      </c>
      <c r="I609" s="17" t="n">
        <v>176.652</v>
      </c>
      <c r="J609" s="15" t="n">
        <v>1</v>
      </c>
      <c r="K609" s="15" t="n">
        <v>1331</v>
      </c>
      <c r="L609" s="18" t="n">
        <v>23317.34</v>
      </c>
      <c r="M609" s="16" t="s">
        <v>1299</v>
      </c>
      <c r="N609" s="17" t="n">
        <v>176.652</v>
      </c>
      <c r="O609" s="15" t="s">
        <v>1506</v>
      </c>
      <c r="P609" s="15" t="s">
        <v>1507</v>
      </c>
      <c r="Q609" s="16" t="s">
        <v>1508</v>
      </c>
      <c r="R609" s="32" t="s">
        <v>1769</v>
      </c>
      <c r="S609" s="37" t="n">
        <f aca="false">IFERROR(INDEX('Injectable Value'!$Z$28:$Z$178,MATCH($C609,'Injectable Value'!$A$28:$A$178,0)),"")</f>
        <v>0.0847700746550087</v>
      </c>
      <c r="T609" s="18" t="n">
        <f aca="false">IFERROR(ROUND(INDEX('Injectable Value'!$AA$28:$AA$178,MATCH($C609,'Injectable Value'!$A$28:$A$178,0)),1),"")</f>
        <v>1976.6</v>
      </c>
      <c r="U609" s="16" t="s">
        <v>1303</v>
      </c>
      <c r="V609" s="15" t="n">
        <v>2</v>
      </c>
      <c r="W609" s="15" t="s">
        <v>1112</v>
      </c>
      <c r="X609" s="15" t="s">
        <v>248</v>
      </c>
      <c r="Y609" s="15" t="s">
        <v>299</v>
      </c>
      <c r="Z609" s="16" t="str">
        <f aca="false">IFERROR(INDEX(Scoring!$K:$K,MATCH($C609&amp;"|"&amp;$E609,Scoring!$U:$U,0)),"")</f>
        <v>Reconstitution</v>
      </c>
      <c r="AA609" s="15" t="str">
        <f aca="false">IFERROR(INDEX(Scoring!$Q:$Q,MATCH($C609&amp;"|"&amp;$E609,Scoring!$U:$U,0)),"")</f>
        <v>Priority 2</v>
      </c>
      <c r="AB609" s="15" t="str">
        <f aca="false">IFERROR(INDEX(Scoring!$AK:$AK,MATCH($C609&amp;"|"&amp;$E609,Scoring!$U:$U,0)),"")</f>
        <v>Priority 1</v>
      </c>
      <c r="AC609" s="18" t="n">
        <f aca="false">IFERROR(INDEX(Scoring!$M:$M,MATCH($C609&amp;"|"&amp;$E609,Scoring!$U:$U,0)),"")</f>
        <v>113</v>
      </c>
      <c r="AD609" s="15" t="str">
        <f aca="false">IFERROR(INDEX('Route of Administration'!$C$5:$C$155,MATCH($C609,'Route of Administration'!$A$5:$A$155,0)),"")</f>
        <v>IM</v>
      </c>
      <c r="AE609" s="14" t="str">
        <f aca="false">IFERROR(INDEX('Route of Administration'!$D$5:$D$155,MATCH($C609,'Route of Administration'!$A$5:$A$155,0)),"")</f>
        <v>Yes</v>
      </c>
    </row>
    <row r="610" customFormat="false" ht="28.35" hidden="false" customHeight="false" outlineLevel="0" collapsed="false">
      <c r="B610" s="15" t="n">
        <v>608</v>
      </c>
      <c r="C610" s="15" t="s">
        <v>1298</v>
      </c>
      <c r="D610" s="15" t="s">
        <v>2586</v>
      </c>
      <c r="E610" s="15" t="s">
        <v>199</v>
      </c>
      <c r="F610" s="15" t="s">
        <v>2408</v>
      </c>
      <c r="G610" s="16" t="s">
        <v>2589</v>
      </c>
      <c r="H610" s="15" t="s">
        <v>2588</v>
      </c>
      <c r="I610" s="17" t="n">
        <v>220.822</v>
      </c>
      <c r="J610" s="15" t="n">
        <v>1</v>
      </c>
      <c r="K610" s="15" t="n">
        <v>1331</v>
      </c>
      <c r="L610" s="18" t="n">
        <v>23317.34</v>
      </c>
      <c r="M610" s="16" t="s">
        <v>1299</v>
      </c>
      <c r="N610" s="17" t="n">
        <v>220.822</v>
      </c>
      <c r="O610" s="15" t="s">
        <v>1506</v>
      </c>
      <c r="P610" s="15" t="s">
        <v>1672</v>
      </c>
      <c r="Q610" s="16" t="s">
        <v>1508</v>
      </c>
      <c r="R610" s="32" t="s">
        <v>1769</v>
      </c>
      <c r="S610" s="37" t="n">
        <f aca="false">IFERROR(INDEX('Injectable Value'!$Z$28:$Z$178,MATCH($C610,'Injectable Value'!$A$28:$A$178,0)),"")</f>
        <v>0.0847700746550087</v>
      </c>
      <c r="T610" s="18" t="n">
        <f aca="false">IFERROR(ROUND(INDEX('Injectable Value'!$AA$28:$AA$178,MATCH($C610,'Injectable Value'!$A$28:$A$178,0)),1),"")</f>
        <v>1976.6</v>
      </c>
      <c r="U610" s="16" t="s">
        <v>1303</v>
      </c>
      <c r="V610" s="15" t="n">
        <v>2</v>
      </c>
      <c r="W610" s="15" t="s">
        <v>1112</v>
      </c>
      <c r="X610" s="15" t="s">
        <v>248</v>
      </c>
      <c r="Y610" s="15" t="s">
        <v>299</v>
      </c>
      <c r="Z610" s="16" t="str">
        <f aca="false">IFERROR(INDEX(Scoring!$K:$K,MATCH($C610&amp;"|"&amp;$E610,Scoring!$U:$U,0)),"")</f>
        <v>Reconstitution</v>
      </c>
      <c r="AA610" s="15" t="str">
        <f aca="false">IFERROR(INDEX(Scoring!$Q:$Q,MATCH($C610&amp;"|"&amp;$E610,Scoring!$U:$U,0)),"")</f>
        <v>Priority 2</v>
      </c>
      <c r="AB610" s="15" t="str">
        <f aca="false">IFERROR(INDEX(Scoring!$AK:$AK,MATCH($C610&amp;"|"&amp;$E610,Scoring!$U:$U,0)),"")</f>
        <v>Priority 1</v>
      </c>
      <c r="AC610" s="18" t="n">
        <f aca="false">IFERROR(INDEX(Scoring!$M:$M,MATCH($C610&amp;"|"&amp;$E610,Scoring!$U:$U,0)),"")</f>
        <v>113</v>
      </c>
      <c r="AD610" s="15" t="str">
        <f aca="false">IFERROR(INDEX('Route of Administration'!$C$5:$C$155,MATCH($C610,'Route of Administration'!$A$5:$A$155,0)),"")</f>
        <v>IM</v>
      </c>
      <c r="AE610" s="14" t="str">
        <f aca="false">IFERROR(INDEX('Route of Administration'!$D$5:$D$155,MATCH($C610,'Route of Administration'!$A$5:$A$155,0)),"")</f>
        <v>Yes</v>
      </c>
    </row>
    <row r="611" customFormat="false" ht="41.75" hidden="false" customHeight="false" outlineLevel="0" collapsed="false">
      <c r="B611" s="15" t="n">
        <v>609</v>
      </c>
      <c r="C611" s="15" t="s">
        <v>646</v>
      </c>
      <c r="D611" s="15" t="s">
        <v>2590</v>
      </c>
      <c r="E611" s="15" t="s">
        <v>199</v>
      </c>
      <c r="F611" s="15" t="s">
        <v>2591</v>
      </c>
      <c r="G611" s="16" t="s">
        <v>2592</v>
      </c>
      <c r="H611" s="15" t="s">
        <v>1505</v>
      </c>
      <c r="I611" s="17" t="n">
        <v>52.717</v>
      </c>
      <c r="J611" s="15" t="n">
        <v>1</v>
      </c>
      <c r="K611" s="15" t="n">
        <v>188</v>
      </c>
      <c r="L611" s="18" t="n">
        <v>262.84</v>
      </c>
      <c r="M611" s="16" t="s">
        <v>647</v>
      </c>
      <c r="N611" s="17" t="n">
        <v>52.717</v>
      </c>
      <c r="O611" s="15" t="s">
        <v>1506</v>
      </c>
      <c r="P611" s="15" t="s">
        <v>1672</v>
      </c>
      <c r="Q611" s="16" t="s">
        <v>1508</v>
      </c>
      <c r="R611" s="32" t="s">
        <v>1769</v>
      </c>
      <c r="S611" s="37" t="n">
        <f aca="false">IFERROR(INDEX('Injectable Value'!$Z$28:$Z$178,MATCH($C611,'Injectable Value'!$A$28:$A$178,0)),"")</f>
        <v>0.703571428571429</v>
      </c>
      <c r="T611" s="18" t="n">
        <f aca="false">IFERROR(ROUND(INDEX('Injectable Value'!$AA$28:$AA$178,MATCH($C611,'Injectable Value'!$A$28:$A$178,0)),1),"")</f>
        <v>184.9</v>
      </c>
      <c r="U611" s="16" t="s">
        <v>1357</v>
      </c>
      <c r="V611" s="15" t="n">
        <v>12</v>
      </c>
      <c r="W611" s="15" t="s">
        <v>1355</v>
      </c>
      <c r="X611" s="15" t="s">
        <v>248</v>
      </c>
      <c r="Y611" s="15" t="s">
        <v>249</v>
      </c>
      <c r="Z611" s="16" t="str">
        <f aca="false">IFERROR(INDEX(Scoring!$K:$K,MATCH($C611&amp;"|"&amp;$E611,Scoring!$U:$U,0)),"")</f>
        <v/>
      </c>
      <c r="AA611" s="15" t="str">
        <f aca="false">IFERROR(INDEX(Scoring!$Q:$Q,MATCH($C611&amp;"|"&amp;$E611,Scoring!$U:$U,0)),"")</f>
        <v>Priority 2</v>
      </c>
      <c r="AB611" s="15" t="str">
        <f aca="false">IFERROR(INDEX(Scoring!$AK:$AK,MATCH($C611&amp;"|"&amp;$E611,Scoring!$U:$U,0)),"")</f>
        <v>Priority 2</v>
      </c>
      <c r="AC611" s="18" t="n">
        <f aca="false">IFERROR(INDEX(Scoring!$M:$M,MATCH($C611&amp;"|"&amp;$E611,Scoring!$U:$U,0)),"")</f>
        <v>132</v>
      </c>
      <c r="AD611" s="15" t="str">
        <f aca="false">IFERROR(INDEX('Route of Administration'!$C$5:$C$155,MATCH($C611,'Route of Administration'!$A$5:$A$155,0)),"")</f>
        <v>IM</v>
      </c>
      <c r="AE611" s="14" t="str">
        <f aca="false">IFERROR(INDEX('Route of Administration'!$D$5:$D$155,MATCH($C611,'Route of Administration'!$A$5:$A$155,0)),"")</f>
        <v>Yes</v>
      </c>
    </row>
    <row r="612" customFormat="false" ht="28.35" hidden="false" customHeight="false" outlineLevel="0" collapsed="false">
      <c r="B612" s="15" t="n">
        <v>610</v>
      </c>
      <c r="C612" s="15" t="s">
        <v>1329</v>
      </c>
      <c r="D612" s="15" t="s">
        <v>1333</v>
      </c>
      <c r="E612" s="15" t="s">
        <v>199</v>
      </c>
      <c r="F612" s="15" t="s">
        <v>2593</v>
      </c>
      <c r="G612" s="16" t="s">
        <v>1831</v>
      </c>
      <c r="H612" s="15" t="s">
        <v>1505</v>
      </c>
      <c r="I612" s="17" t="n">
        <v>14.546</v>
      </c>
      <c r="J612" s="15" t="n">
        <v>1</v>
      </c>
      <c r="K612" s="15" t="n">
        <v>344</v>
      </c>
      <c r="L612" s="18" t="n">
        <v>8758.04</v>
      </c>
      <c r="M612" s="16" t="s">
        <v>1330</v>
      </c>
      <c r="N612" s="17" t="n">
        <v>14.546</v>
      </c>
      <c r="O612" s="15" t="s">
        <v>1506</v>
      </c>
      <c r="P612" s="15" t="s">
        <v>1672</v>
      </c>
      <c r="Q612" s="16" t="s">
        <v>1508</v>
      </c>
      <c r="R612" s="32" t="s">
        <v>1769</v>
      </c>
      <c r="S612" s="37" t="n">
        <f aca="false">IFERROR(INDEX('Injectable Value'!$Z$28:$Z$178,MATCH($C612,'Injectable Value'!$A$28:$A$178,0)),"")</f>
        <v>0.981298701298701</v>
      </c>
      <c r="T612" s="18" t="n">
        <f aca="false">IFERROR(ROUND(INDEX('Injectable Value'!$AA$28:$AA$178,MATCH($C612,'Injectable Value'!$A$28:$A$178,0)),1),"")</f>
        <v>8594.3</v>
      </c>
      <c r="U612" s="16" t="s">
        <v>1334</v>
      </c>
      <c r="V612" s="15" t="n">
        <v>7</v>
      </c>
      <c r="W612" s="15" t="s">
        <v>1017</v>
      </c>
      <c r="X612" s="15" t="s">
        <v>316</v>
      </c>
      <c r="Y612" s="15" t="s">
        <v>249</v>
      </c>
      <c r="Z612" s="16" t="str">
        <f aca="false">IFERROR(INDEX(Scoring!$K:$K,MATCH($C612&amp;"|"&amp;$E612,Scoring!$U:$U,0)),"")</f>
        <v/>
      </c>
      <c r="AA612" s="15" t="str">
        <f aca="false">IFERROR(INDEX(Scoring!$Q:$Q,MATCH($C612&amp;"|"&amp;$E612,Scoring!$U:$U,0)),"")</f>
        <v>Priority 2</v>
      </c>
      <c r="AB612" s="15" t="str">
        <f aca="false">IFERROR(INDEX(Scoring!$AK:$AK,MATCH($C612&amp;"|"&amp;$E612,Scoring!$U:$U,0)),"")</f>
        <v>Priority 2</v>
      </c>
      <c r="AC612" s="18" t="n">
        <f aca="false">IFERROR(INDEX(Scoring!$M:$M,MATCH($C612&amp;"|"&amp;$E612,Scoring!$U:$U,0)),"")</f>
        <v>338</v>
      </c>
      <c r="AD612" s="15" t="str">
        <f aca="false">IFERROR(INDEX('Route of Administration'!$C$5:$C$155,MATCH($C612,'Route of Administration'!$A$5:$A$155,0)),"")</f>
        <v>IV, SC (IM for long-acting depot)</v>
      </c>
      <c r="AE612" s="14" t="str">
        <f aca="false">IFERROR(INDEX('Route of Administration'!$D$5:$D$155,MATCH($C612,'Route of Administration'!$A$5:$A$155,0)),"")</f>
        <v>Yes</v>
      </c>
    </row>
    <row r="613" customFormat="false" ht="28.35" hidden="false" customHeight="false" outlineLevel="0" collapsed="false">
      <c r="B613" s="15" t="n">
        <v>611</v>
      </c>
      <c r="C613" s="15" t="s">
        <v>563</v>
      </c>
      <c r="D613" s="15" t="s">
        <v>2544</v>
      </c>
      <c r="E613" s="15" t="s">
        <v>199</v>
      </c>
      <c r="F613" s="15" t="s">
        <v>2401</v>
      </c>
      <c r="G613" s="16" t="s">
        <v>2594</v>
      </c>
      <c r="H613" s="15" t="s">
        <v>1505</v>
      </c>
      <c r="I613" s="17"/>
      <c r="J613" s="15" t="n">
        <v>1</v>
      </c>
      <c r="K613" s="15" t="n">
        <v>208</v>
      </c>
      <c r="L613" s="18" t="n">
        <v>3923.58</v>
      </c>
      <c r="M613" s="16" t="s">
        <v>564</v>
      </c>
      <c r="N613" s="17"/>
      <c r="O613" s="15" t="s">
        <v>1545</v>
      </c>
      <c r="P613" s="15" t="s">
        <v>70</v>
      </c>
      <c r="Q613" s="16" t="s">
        <v>70</v>
      </c>
      <c r="R613" s="15"/>
      <c r="S613" s="37" t="n">
        <f aca="false">IFERROR(INDEX('Injectable Value'!$Z$28:$Z$178,MATCH($C613,'Injectable Value'!$A$28:$A$178,0)),"")</f>
        <v>1</v>
      </c>
      <c r="T613" s="18" t="n">
        <f aca="false">IFERROR(ROUND(INDEX('Injectable Value'!$AA$28:$AA$178,MATCH($C613,'Injectable Value'!$A$28:$A$178,0)),1),"")</f>
        <v>3923.6</v>
      </c>
      <c r="U613" s="16" t="s">
        <v>1361</v>
      </c>
      <c r="V613" s="15" t="n">
        <v>5</v>
      </c>
      <c r="W613" s="15" t="s">
        <v>1000</v>
      </c>
      <c r="X613" s="15" t="s">
        <v>248</v>
      </c>
      <c r="Y613" s="15" t="s">
        <v>299</v>
      </c>
      <c r="Z613" s="16" t="str">
        <f aca="false">IFERROR(INDEX(Scoring!$K:$K,MATCH($C613&amp;"|"&amp;$E613,Scoring!$U:$U,0)),"")</f>
        <v>Reconstitution</v>
      </c>
      <c r="AA613" s="15" t="str">
        <f aca="false">IFERROR(INDEX(Scoring!$Q:$Q,MATCH($C613&amp;"|"&amp;$E613,Scoring!$U:$U,0)),"")</f>
        <v>Excluded – IV only</v>
      </c>
      <c r="AB613" s="15" t="str">
        <f aca="false">IFERROR(INDEX(Scoring!$AK:$AK,MATCH($C613&amp;"|"&amp;$E613,Scoring!$U:$U,0)),"")</f>
        <v>Excluded – IV only</v>
      </c>
      <c r="AC613" s="18" t="n">
        <f aca="false">IFERROR(INDEX(Scoring!$M:$M,MATCH($C613&amp;"|"&amp;$E613,Scoring!$U:$U,0)),"")</f>
        <v>208</v>
      </c>
      <c r="AD613" s="15" t="str">
        <f aca="false">IFERROR(INDEX('Route of Administration'!$C$5:$C$155,MATCH($C613,'Route of Administration'!$A$5:$A$155,0)),"")</f>
        <v>IV</v>
      </c>
      <c r="AE613" s="14" t="str">
        <f aca="false">IFERROR(INDEX('Route of Administration'!$D$5:$D$155,MATCH($C613,'Route of Administration'!$A$5:$A$155,0)),"")</f>
        <v>No</v>
      </c>
    </row>
    <row r="614" customFormat="false" ht="28.35" hidden="false" customHeight="false" outlineLevel="0" collapsed="false">
      <c r="B614" s="15" t="n">
        <v>612</v>
      </c>
      <c r="C614" s="15" t="s">
        <v>774</v>
      </c>
      <c r="D614" s="15" t="s">
        <v>2595</v>
      </c>
      <c r="E614" s="15" t="s">
        <v>199</v>
      </c>
      <c r="F614" s="15" t="s">
        <v>2596</v>
      </c>
      <c r="G614" s="16" t="s">
        <v>2597</v>
      </c>
      <c r="H614" s="15" t="s">
        <v>1505</v>
      </c>
      <c r="I614" s="17"/>
      <c r="J614" s="15" t="n">
        <v>1</v>
      </c>
      <c r="K614" s="15" t="n">
        <v>3168</v>
      </c>
      <c r="L614" s="18" t="n">
        <v>130453.11</v>
      </c>
      <c r="M614" s="16" t="s">
        <v>775</v>
      </c>
      <c r="N614" s="17"/>
      <c r="O614" s="15" t="s">
        <v>1545</v>
      </c>
      <c r="P614" s="15" t="s">
        <v>70</v>
      </c>
      <c r="Q614" s="16" t="s">
        <v>70</v>
      </c>
      <c r="R614" s="15"/>
      <c r="S614" s="37" t="n">
        <f aca="false">IFERROR(INDEX('Injectable Value'!$Z$28:$Z$178,MATCH($C614,'Injectable Value'!$A$28:$A$178,0)),"")</f>
        <v>0.103608949323645</v>
      </c>
      <c r="T614" s="18" t="n">
        <f aca="false">IFERROR(ROUND(INDEX('Injectable Value'!$AA$28:$AA$178,MATCH($C614,'Injectable Value'!$A$28:$A$178,0)),1),"")</f>
        <v>13516.1</v>
      </c>
      <c r="U614" s="16" t="s">
        <v>1316</v>
      </c>
      <c r="V614" s="15" t="n">
        <v>10</v>
      </c>
      <c r="W614" s="15" t="s">
        <v>776</v>
      </c>
      <c r="X614" s="15" t="s">
        <v>248</v>
      </c>
      <c r="Y614" s="15" t="s">
        <v>299</v>
      </c>
      <c r="Z614" s="16" t="str">
        <f aca="false">IFERROR(INDEX(Scoring!$K:$K,MATCH($C614&amp;"|"&amp;$E614,Scoring!$U:$U,0)),"")</f>
        <v>Reconstitution</v>
      </c>
      <c r="AA614" s="15" t="str">
        <f aca="false">IFERROR(INDEX(Scoring!$Q:$Q,MATCH($C614&amp;"|"&amp;$E614,Scoring!$U:$U,0)),"")</f>
        <v>Excluded – IV only</v>
      </c>
      <c r="AB614" s="15" t="str">
        <f aca="false">IFERROR(INDEX(Scoring!$AK:$AK,MATCH($C614&amp;"|"&amp;$E614,Scoring!$U:$U,0)),"")</f>
        <v>Excluded – IV only</v>
      </c>
      <c r="AC614" s="18" t="n">
        <f aca="false">IFERROR(INDEX(Scoring!$M:$M,MATCH($C614&amp;"|"&amp;$E614,Scoring!$U:$U,0)),"")</f>
        <v>328</v>
      </c>
      <c r="AD614" s="15" t="str">
        <f aca="false">IFERROR(INDEX('Route of Administration'!$C$5:$C$155,MATCH($C614,'Route of Administration'!$A$5:$A$155,0)),"")</f>
        <v>IV</v>
      </c>
      <c r="AE614" s="14" t="str">
        <f aca="false">IFERROR(INDEX('Route of Administration'!$D$5:$D$155,MATCH($C614,'Route of Administration'!$A$5:$A$155,0)),"")</f>
        <v>No</v>
      </c>
    </row>
    <row r="615" customFormat="false" ht="55.2" hidden="false" customHeight="false" outlineLevel="0" collapsed="false">
      <c r="B615" s="15" t="n">
        <v>613</v>
      </c>
      <c r="C615" s="15" t="s">
        <v>451</v>
      </c>
      <c r="D615" s="15" t="s">
        <v>2562</v>
      </c>
      <c r="E615" s="15" t="s">
        <v>199</v>
      </c>
      <c r="F615" s="15" t="s">
        <v>2420</v>
      </c>
      <c r="G615" s="16" t="s">
        <v>2421</v>
      </c>
      <c r="H615" s="15" t="s">
        <v>1505</v>
      </c>
      <c r="I615" s="17" t="n">
        <v>23.422</v>
      </c>
      <c r="J615" s="15" t="n">
        <v>1</v>
      </c>
      <c r="K615" s="15" t="n">
        <v>1185</v>
      </c>
      <c r="L615" s="18" t="n">
        <v>59407.06</v>
      </c>
      <c r="M615" s="16" t="s">
        <v>452</v>
      </c>
      <c r="N615" s="17" t="n">
        <v>23.422</v>
      </c>
      <c r="O615" s="15" t="s">
        <v>1506</v>
      </c>
      <c r="P615" s="15" t="s">
        <v>1672</v>
      </c>
      <c r="Q615" s="16" t="s">
        <v>1508</v>
      </c>
      <c r="R615" s="32" t="s">
        <v>2422</v>
      </c>
      <c r="S615" s="37" t="n">
        <f aca="false">IFERROR(INDEX('Injectable Value'!$Z$28:$Z$178,MATCH($C615,'Injectable Value'!$A$28:$A$178,0)),"")</f>
        <v>0.991808067465962</v>
      </c>
      <c r="T615" s="18" t="n">
        <f aca="false">IFERROR(ROUND(INDEX('Injectable Value'!$AA$28:$AA$178,MATCH($C615,'Injectable Value'!$A$28:$A$178,0)),1),"")</f>
        <v>58920.4</v>
      </c>
      <c r="U615" s="16" t="s">
        <v>1327</v>
      </c>
      <c r="V615" s="15" t="n">
        <v>18</v>
      </c>
      <c r="W615" s="15" t="s">
        <v>1324</v>
      </c>
      <c r="X615" s="15" t="s">
        <v>248</v>
      </c>
      <c r="Y615" s="15" t="s">
        <v>299</v>
      </c>
      <c r="Z615" s="16" t="str">
        <f aca="false">IFERROR(INDEX(Scoring!$K:$K,MATCH($C615&amp;"|"&amp;$E615,Scoring!$U:$U,0)),"")</f>
        <v>Reconstitution</v>
      </c>
      <c r="AA615" s="15" t="str">
        <f aca="false">IFERROR(INDEX(Scoring!$Q:$Q,MATCH($C615&amp;"|"&amp;$E615,Scoring!$U:$U,0)),"")</f>
        <v>Excluded – IV only</v>
      </c>
      <c r="AB615" s="15" t="str">
        <f aca="false">IFERROR(INDEX(Scoring!$AK:$AK,MATCH($C615&amp;"|"&amp;$E615,Scoring!$U:$U,0)),"")</f>
        <v>Excluded – IV only</v>
      </c>
      <c r="AC615" s="18" t="n">
        <f aca="false">IFERROR(INDEX(Scoring!$M:$M,MATCH($C615&amp;"|"&amp;$E615,Scoring!$U:$U,0)),"")</f>
        <v>1175</v>
      </c>
      <c r="AD615" s="15" t="str">
        <f aca="false">IFERROR(INDEX('Route of Administration'!$C$5:$C$155,MATCH($C615,'Route of Administration'!$A$5:$A$155,0)),"")</f>
        <v>IV</v>
      </c>
      <c r="AE615" s="14" t="str">
        <f aca="false">IFERROR(INDEX('Route of Administration'!$D$5:$D$155,MATCH($C615,'Route of Administration'!$A$5:$A$155,0)),"")</f>
        <v>No</v>
      </c>
    </row>
    <row r="616" customFormat="false" ht="55.2" hidden="false" customHeight="false" outlineLevel="0" collapsed="false">
      <c r="B616" s="15" t="n">
        <v>614</v>
      </c>
      <c r="C616" s="15" t="s">
        <v>451</v>
      </c>
      <c r="D616" s="15" t="s">
        <v>2562</v>
      </c>
      <c r="E616" s="15" t="s">
        <v>199</v>
      </c>
      <c r="F616" s="15" t="s">
        <v>1757</v>
      </c>
      <c r="G616" s="16" t="s">
        <v>1758</v>
      </c>
      <c r="H616" s="15" t="s">
        <v>1505</v>
      </c>
      <c r="I616" s="17" t="n">
        <v>9.107</v>
      </c>
      <c r="J616" s="15" t="n">
        <v>1</v>
      </c>
      <c r="K616" s="15" t="n">
        <v>1185</v>
      </c>
      <c r="L616" s="18" t="n">
        <v>59407.06</v>
      </c>
      <c r="M616" s="16" t="s">
        <v>452</v>
      </c>
      <c r="N616" s="17" t="n">
        <v>9.107</v>
      </c>
      <c r="O616" s="15" t="s">
        <v>1506</v>
      </c>
      <c r="P616" s="15" t="s">
        <v>1507</v>
      </c>
      <c r="Q616" s="16" t="s">
        <v>1508</v>
      </c>
      <c r="R616" s="32" t="s">
        <v>2419</v>
      </c>
      <c r="S616" s="37" t="n">
        <f aca="false">IFERROR(INDEX('Injectable Value'!$Z$28:$Z$178,MATCH($C616,'Injectable Value'!$A$28:$A$178,0)),"")</f>
        <v>0.991808067465962</v>
      </c>
      <c r="T616" s="18" t="n">
        <f aca="false">IFERROR(ROUND(INDEX('Injectable Value'!$AA$28:$AA$178,MATCH($C616,'Injectable Value'!$A$28:$A$178,0)),1),"")</f>
        <v>58920.4</v>
      </c>
      <c r="U616" s="16" t="s">
        <v>1327</v>
      </c>
      <c r="V616" s="15" t="n">
        <v>18</v>
      </c>
      <c r="W616" s="15" t="s">
        <v>1324</v>
      </c>
      <c r="X616" s="15" t="s">
        <v>248</v>
      </c>
      <c r="Y616" s="15" t="s">
        <v>299</v>
      </c>
      <c r="Z616" s="16" t="str">
        <f aca="false">IFERROR(INDEX(Scoring!$K:$K,MATCH($C616&amp;"|"&amp;$E616,Scoring!$U:$U,0)),"")</f>
        <v>Reconstitution</v>
      </c>
      <c r="AA616" s="15" t="str">
        <f aca="false">IFERROR(INDEX(Scoring!$Q:$Q,MATCH($C616&amp;"|"&amp;$E616,Scoring!$U:$U,0)),"")</f>
        <v>Excluded – IV only</v>
      </c>
      <c r="AB616" s="15" t="str">
        <f aca="false">IFERROR(INDEX(Scoring!$AK:$AK,MATCH($C616&amp;"|"&amp;$E616,Scoring!$U:$U,0)),"")</f>
        <v>Excluded – IV only</v>
      </c>
      <c r="AC616" s="18" t="n">
        <f aca="false">IFERROR(INDEX(Scoring!$M:$M,MATCH($C616&amp;"|"&amp;$E616,Scoring!$U:$U,0)),"")</f>
        <v>1175</v>
      </c>
      <c r="AD616" s="15" t="str">
        <f aca="false">IFERROR(INDEX('Route of Administration'!$C$5:$C$155,MATCH($C616,'Route of Administration'!$A$5:$A$155,0)),"")</f>
        <v>IV</v>
      </c>
      <c r="AE616" s="14" t="str">
        <f aca="false">IFERROR(INDEX('Route of Administration'!$D$5:$D$155,MATCH($C616,'Route of Administration'!$A$5:$A$155,0)),"")</f>
        <v>No</v>
      </c>
    </row>
    <row r="617" customFormat="false" ht="28.35" hidden="false" customHeight="false" outlineLevel="0" collapsed="false">
      <c r="B617" s="15" t="n">
        <v>615</v>
      </c>
      <c r="C617" s="15" t="s">
        <v>635</v>
      </c>
      <c r="D617" s="15" t="s">
        <v>2598</v>
      </c>
      <c r="E617" s="15" t="s">
        <v>199</v>
      </c>
      <c r="F617" s="15" t="s">
        <v>2599</v>
      </c>
      <c r="G617" s="16" t="s">
        <v>1855</v>
      </c>
      <c r="H617" s="15" t="s">
        <v>1505</v>
      </c>
      <c r="I617" s="17" t="n">
        <v>11.71</v>
      </c>
      <c r="J617" s="15" t="n">
        <v>1</v>
      </c>
      <c r="K617" s="15" t="n">
        <v>346</v>
      </c>
      <c r="L617" s="18" t="n">
        <v>32830.17</v>
      </c>
      <c r="M617" s="16" t="s">
        <v>636</v>
      </c>
      <c r="N617" s="17" t="n">
        <v>11.71</v>
      </c>
      <c r="O617" s="15" t="s">
        <v>1506</v>
      </c>
      <c r="P617" s="15" t="s">
        <v>1672</v>
      </c>
      <c r="Q617" s="16" t="s">
        <v>1846</v>
      </c>
      <c r="R617" s="32" t="s">
        <v>2600</v>
      </c>
      <c r="S617" s="37" t="n">
        <f aca="false">IFERROR(INDEX('Injectable Value'!$Z$28:$Z$178,MATCH($C617,'Injectable Value'!$A$28:$A$178,0)),"")</f>
        <v>1</v>
      </c>
      <c r="T617" s="18" t="n">
        <f aca="false">IFERROR(ROUND(INDEX('Injectable Value'!$AA$28:$AA$178,MATCH($C617,'Injectable Value'!$A$28:$A$178,0)),1),"")</f>
        <v>32830.2</v>
      </c>
      <c r="U617" s="16" t="s">
        <v>1343</v>
      </c>
      <c r="V617" s="15" t="n">
        <v>7</v>
      </c>
      <c r="W617" s="15" t="s">
        <v>1341</v>
      </c>
      <c r="X617" s="15" t="s">
        <v>248</v>
      </c>
      <c r="Y617" s="15" t="s">
        <v>249</v>
      </c>
      <c r="Z617" s="16" t="str">
        <f aca="false">IFERROR(INDEX(Scoring!$K:$K,MATCH($C617&amp;"|"&amp;$E617,Scoring!$U:$U,0)),"")</f>
        <v/>
      </c>
      <c r="AA617" s="15" t="str">
        <f aca="false">IFERROR(INDEX(Scoring!$Q:$Q,MATCH($C617&amp;"|"&amp;$E617,Scoring!$U:$U,0)),"")</f>
        <v>Excluded – IV only</v>
      </c>
      <c r="AB617" s="15" t="str">
        <f aca="false">IFERROR(INDEX(Scoring!$AK:$AK,MATCH($C617&amp;"|"&amp;$E617,Scoring!$U:$U,0)),"")</f>
        <v>Excluded – IV only</v>
      </c>
      <c r="AC617" s="18" t="n">
        <f aca="false">IFERROR(INDEX(Scoring!$M:$M,MATCH($C617&amp;"|"&amp;$E617,Scoring!$U:$U,0)),"")</f>
        <v>346</v>
      </c>
      <c r="AD617" s="15" t="str">
        <f aca="false">IFERROR(INDEX('Route of Administration'!$C$5:$C$155,MATCH($C617,'Route of Administration'!$A$5:$A$155,0)),"")</f>
        <v>IV</v>
      </c>
      <c r="AE617" s="14" t="str">
        <f aca="false">IFERROR(INDEX('Route of Administration'!$D$5:$D$155,MATCH($C617,'Route of Administration'!$A$5:$A$155,0)),"")</f>
        <v>No</v>
      </c>
    </row>
    <row r="618" customFormat="false" ht="95.5" hidden="false" customHeight="false" outlineLevel="0" collapsed="false">
      <c r="B618" s="15" t="n">
        <v>616</v>
      </c>
      <c r="C618" s="15" t="s">
        <v>305</v>
      </c>
      <c r="D618" s="15" t="s">
        <v>2601</v>
      </c>
      <c r="E618" s="15" t="s">
        <v>199</v>
      </c>
      <c r="F618" s="15" t="s">
        <v>1857</v>
      </c>
      <c r="G618" s="16" t="s">
        <v>1973</v>
      </c>
      <c r="H618" s="15" t="s">
        <v>1505</v>
      </c>
      <c r="I618" s="17" t="n">
        <v>116.14</v>
      </c>
      <c r="J618" s="15" t="n">
        <v>1</v>
      </c>
      <c r="K618" s="15" t="n">
        <v>905</v>
      </c>
      <c r="L618" s="18" t="n">
        <v>28093.38</v>
      </c>
      <c r="M618" s="16" t="s">
        <v>306</v>
      </c>
      <c r="N618" s="17" t="n">
        <v>116.14</v>
      </c>
      <c r="O618" s="15" t="s">
        <v>1506</v>
      </c>
      <c r="P618" s="15" t="s">
        <v>1672</v>
      </c>
      <c r="Q618" s="16" t="s">
        <v>1846</v>
      </c>
      <c r="R618" s="32" t="s">
        <v>2602</v>
      </c>
      <c r="S618" s="37" t="n">
        <f aca="false">IFERROR(INDEX('Injectable Value'!$Z$28:$Z$178,MATCH($C618,'Injectable Value'!$A$28:$A$178,0)),"")</f>
        <v>1</v>
      </c>
      <c r="T618" s="18" t="n">
        <f aca="false">IFERROR(ROUND(INDEX('Injectable Value'!$AA$28:$AA$178,MATCH($C618,'Injectable Value'!$A$28:$A$178,0)),1),"")</f>
        <v>28093.4</v>
      </c>
      <c r="U618" s="16" t="s">
        <v>1306</v>
      </c>
      <c r="V618" s="15" t="n">
        <v>34</v>
      </c>
      <c r="W618" s="15" t="s">
        <v>505</v>
      </c>
      <c r="X618" s="15" t="s">
        <v>248</v>
      </c>
      <c r="Y618" s="15" t="s">
        <v>249</v>
      </c>
      <c r="Z618" s="16" t="str">
        <f aca="false">IFERROR(INDEX(Scoring!$K:$K,MATCH($C618&amp;"|"&amp;$E618,Scoring!$U:$U,0)),"")</f>
        <v>Cancer drug (cytotoxic) – less relevant; Reconstitution</v>
      </c>
      <c r="AA618" s="15" t="str">
        <f aca="false">IFERROR(INDEX(Scoring!$Q:$Q,MATCH($C618&amp;"|"&amp;$E618,Scoring!$U:$U,0)),"")</f>
        <v>Priority 1</v>
      </c>
      <c r="AB618" s="15" t="str">
        <f aca="false">IFERROR(INDEX(Scoring!$AK:$AK,MATCH($C618&amp;"|"&amp;$E618,Scoring!$U:$U,0)),"")</f>
        <v>Priority 1</v>
      </c>
      <c r="AC618" s="18" t="n">
        <f aca="false">IFERROR(INDEX(Scoring!$M:$M,MATCH($C618&amp;"|"&amp;$E618,Scoring!$U:$U,0)),"")</f>
        <v>905</v>
      </c>
      <c r="AD618" s="15" t="str">
        <f aca="false">IFERROR(INDEX('Route of Administration'!$C$5:$C$155,MATCH($C618,'Route of Administration'!$A$5:$A$155,0)),"")</f>
        <v>IV, SC</v>
      </c>
      <c r="AE618" s="14" t="str">
        <f aca="false">IFERROR(INDEX('Route of Administration'!$D$5:$D$155,MATCH($C618,'Route of Administration'!$A$5:$A$155,0)),"")</f>
        <v>Yes</v>
      </c>
    </row>
    <row r="619" customFormat="false" ht="28.35" hidden="false" customHeight="false" outlineLevel="0" collapsed="false">
      <c r="B619" s="15" t="n">
        <v>617</v>
      </c>
      <c r="C619" s="15" t="s">
        <v>563</v>
      </c>
      <c r="D619" s="15" t="s">
        <v>2603</v>
      </c>
      <c r="E619" s="15" t="s">
        <v>199</v>
      </c>
      <c r="F619" s="15" t="s">
        <v>2604</v>
      </c>
      <c r="G619" s="16" t="s">
        <v>2605</v>
      </c>
      <c r="H619" s="15" t="s">
        <v>1505</v>
      </c>
      <c r="I619" s="17" t="n">
        <v>5.15</v>
      </c>
      <c r="J619" s="15" t="n">
        <v>1</v>
      </c>
      <c r="K619" s="15" t="n">
        <v>208</v>
      </c>
      <c r="L619" s="18" t="n">
        <v>3923.58</v>
      </c>
      <c r="M619" s="16" t="s">
        <v>564</v>
      </c>
      <c r="N619" s="17" t="n">
        <v>5.15</v>
      </c>
      <c r="O619" s="15" t="s">
        <v>1506</v>
      </c>
      <c r="P619" s="15" t="s">
        <v>1672</v>
      </c>
      <c r="Q619" s="16" t="s">
        <v>1508</v>
      </c>
      <c r="R619" s="32" t="s">
        <v>1784</v>
      </c>
      <c r="S619" s="37" t="n">
        <f aca="false">IFERROR(INDEX('Injectable Value'!$Z$28:$Z$178,MATCH($C619,'Injectable Value'!$A$28:$A$178,0)),"")</f>
        <v>1</v>
      </c>
      <c r="T619" s="18" t="n">
        <f aca="false">IFERROR(ROUND(INDEX('Injectable Value'!$AA$28:$AA$178,MATCH($C619,'Injectable Value'!$A$28:$A$178,0)),1),"")</f>
        <v>3923.6</v>
      </c>
      <c r="U619" s="16" t="s">
        <v>1361</v>
      </c>
      <c r="V619" s="15" t="n">
        <v>5</v>
      </c>
      <c r="W619" s="15" t="s">
        <v>1000</v>
      </c>
      <c r="X619" s="15" t="s">
        <v>248</v>
      </c>
      <c r="Y619" s="15" t="s">
        <v>249</v>
      </c>
      <c r="Z619" s="16" t="str">
        <f aca="false">IFERROR(INDEX(Scoring!$K:$K,MATCH($C619&amp;"|"&amp;$E619,Scoring!$U:$U,0)),"")</f>
        <v>Reconstitution</v>
      </c>
      <c r="AA619" s="15" t="str">
        <f aca="false">IFERROR(INDEX(Scoring!$Q:$Q,MATCH($C619&amp;"|"&amp;$E619,Scoring!$U:$U,0)),"")</f>
        <v>Excluded – IV only</v>
      </c>
      <c r="AB619" s="15" t="str">
        <f aca="false">IFERROR(INDEX(Scoring!$AK:$AK,MATCH($C619&amp;"|"&amp;$E619,Scoring!$U:$U,0)),"")</f>
        <v>Excluded – IV only</v>
      </c>
      <c r="AC619" s="18" t="n">
        <f aca="false">IFERROR(INDEX(Scoring!$M:$M,MATCH($C619&amp;"|"&amp;$E619,Scoring!$U:$U,0)),"")</f>
        <v>208</v>
      </c>
      <c r="AD619" s="15" t="str">
        <f aca="false">IFERROR(INDEX('Route of Administration'!$C$5:$C$155,MATCH($C619,'Route of Administration'!$A$5:$A$155,0)),"")</f>
        <v>IV</v>
      </c>
      <c r="AE619" s="14" t="str">
        <f aca="false">IFERROR(INDEX('Route of Administration'!$D$5:$D$155,MATCH($C619,'Route of Administration'!$A$5:$A$155,0)),"")</f>
        <v>No</v>
      </c>
    </row>
    <row r="620" customFormat="false" ht="28.35" hidden="false" customHeight="false" outlineLevel="0" collapsed="false">
      <c r="B620" s="15" t="n">
        <v>618</v>
      </c>
      <c r="C620" s="15" t="s">
        <v>563</v>
      </c>
      <c r="D620" s="15" t="s">
        <v>2603</v>
      </c>
      <c r="E620" s="15" t="s">
        <v>199</v>
      </c>
      <c r="F620" s="15" t="s">
        <v>2604</v>
      </c>
      <c r="G620" s="16" t="s">
        <v>2606</v>
      </c>
      <c r="H620" s="15" t="s">
        <v>1505</v>
      </c>
      <c r="I620" s="17" t="n">
        <v>5.15</v>
      </c>
      <c r="J620" s="15" t="n">
        <v>1</v>
      </c>
      <c r="K620" s="15" t="n">
        <v>208</v>
      </c>
      <c r="L620" s="18" t="n">
        <v>3923.58</v>
      </c>
      <c r="M620" s="16" t="s">
        <v>564</v>
      </c>
      <c r="N620" s="17" t="n">
        <v>5.15</v>
      </c>
      <c r="O620" s="15" t="s">
        <v>1506</v>
      </c>
      <c r="P620" s="15" t="s">
        <v>1672</v>
      </c>
      <c r="Q620" s="16" t="s">
        <v>1508</v>
      </c>
      <c r="R620" s="32" t="s">
        <v>1784</v>
      </c>
      <c r="S620" s="37" t="n">
        <f aca="false">IFERROR(INDEX('Injectable Value'!$Z$28:$Z$178,MATCH($C620,'Injectable Value'!$A$28:$A$178,0)),"")</f>
        <v>1</v>
      </c>
      <c r="T620" s="18" t="n">
        <f aca="false">IFERROR(ROUND(INDEX('Injectable Value'!$AA$28:$AA$178,MATCH($C620,'Injectable Value'!$A$28:$A$178,0)),1),"")</f>
        <v>3923.6</v>
      </c>
      <c r="U620" s="16" t="s">
        <v>1361</v>
      </c>
      <c r="V620" s="15" t="n">
        <v>5</v>
      </c>
      <c r="W620" s="15" t="s">
        <v>1000</v>
      </c>
      <c r="X620" s="15" t="s">
        <v>248</v>
      </c>
      <c r="Y620" s="15" t="s">
        <v>249</v>
      </c>
      <c r="Z620" s="16" t="str">
        <f aca="false">IFERROR(INDEX(Scoring!$K:$K,MATCH($C620&amp;"|"&amp;$E620,Scoring!$U:$U,0)),"")</f>
        <v>Reconstitution</v>
      </c>
      <c r="AA620" s="15" t="str">
        <f aca="false">IFERROR(INDEX(Scoring!$Q:$Q,MATCH($C620&amp;"|"&amp;$E620,Scoring!$U:$U,0)),"")</f>
        <v>Excluded – IV only</v>
      </c>
      <c r="AB620" s="15" t="str">
        <f aca="false">IFERROR(INDEX(Scoring!$AK:$AK,MATCH($C620&amp;"|"&amp;$E620,Scoring!$U:$U,0)),"")</f>
        <v>Excluded – IV only</v>
      </c>
      <c r="AC620" s="18" t="n">
        <f aca="false">IFERROR(INDEX(Scoring!$M:$M,MATCH($C620&amp;"|"&amp;$E620,Scoring!$U:$U,0)),"")</f>
        <v>208</v>
      </c>
      <c r="AD620" s="15" t="str">
        <f aca="false">IFERROR(INDEX('Route of Administration'!$C$5:$C$155,MATCH($C620,'Route of Administration'!$A$5:$A$155,0)),"")</f>
        <v>IV</v>
      </c>
      <c r="AE620" s="14" t="str">
        <f aca="false">IFERROR(INDEX('Route of Administration'!$D$5:$D$155,MATCH($C620,'Route of Administration'!$A$5:$A$155,0)),"")</f>
        <v>No</v>
      </c>
    </row>
    <row r="621" customFormat="false" ht="55.2" hidden="false" customHeight="false" outlineLevel="0" collapsed="false">
      <c r="B621" s="15" t="n">
        <v>619</v>
      </c>
      <c r="C621" s="15" t="s">
        <v>451</v>
      </c>
      <c r="D621" s="15" t="s">
        <v>2607</v>
      </c>
      <c r="E621" s="15" t="s">
        <v>199</v>
      </c>
      <c r="F621" s="15" t="s">
        <v>1786</v>
      </c>
      <c r="G621" s="16" t="s">
        <v>2608</v>
      </c>
      <c r="H621" s="15" t="s">
        <v>1505</v>
      </c>
      <c r="I621" s="17" t="n">
        <v>8.23</v>
      </c>
      <c r="J621" s="15" t="n">
        <v>1</v>
      </c>
      <c r="K621" s="15" t="n">
        <v>1185</v>
      </c>
      <c r="L621" s="18" t="n">
        <v>59407.06</v>
      </c>
      <c r="M621" s="16" t="s">
        <v>452</v>
      </c>
      <c r="N621" s="17" t="n">
        <v>8.23</v>
      </c>
      <c r="O621" s="15" t="s">
        <v>1506</v>
      </c>
      <c r="P621" s="15" t="s">
        <v>1672</v>
      </c>
      <c r="Q621" s="16" t="s">
        <v>1846</v>
      </c>
      <c r="R621" s="32" t="s">
        <v>2609</v>
      </c>
      <c r="S621" s="37" t="n">
        <f aca="false">IFERROR(INDEX('Injectable Value'!$Z$28:$Z$178,MATCH($C621,'Injectable Value'!$A$28:$A$178,0)),"")</f>
        <v>0.991808067465962</v>
      </c>
      <c r="T621" s="18" t="n">
        <f aca="false">IFERROR(ROUND(INDEX('Injectable Value'!$AA$28:$AA$178,MATCH($C621,'Injectable Value'!$A$28:$A$178,0)),1),"")</f>
        <v>58920.4</v>
      </c>
      <c r="U621" s="16" t="s">
        <v>1327</v>
      </c>
      <c r="V621" s="15" t="n">
        <v>18</v>
      </c>
      <c r="W621" s="15" t="s">
        <v>1324</v>
      </c>
      <c r="X621" s="15" t="s">
        <v>248</v>
      </c>
      <c r="Y621" s="15" t="s">
        <v>324</v>
      </c>
      <c r="Z621" s="16" t="str">
        <f aca="false">IFERROR(INDEX(Scoring!$K:$K,MATCH($C621&amp;"|"&amp;$E621,Scoring!$U:$U,0)),"")</f>
        <v>Reconstitution</v>
      </c>
      <c r="AA621" s="15" t="str">
        <f aca="false">IFERROR(INDEX(Scoring!$Q:$Q,MATCH($C621&amp;"|"&amp;$E621,Scoring!$U:$U,0)),"")</f>
        <v>Excluded – IV only</v>
      </c>
      <c r="AB621" s="15" t="str">
        <f aca="false">IFERROR(INDEX(Scoring!$AK:$AK,MATCH($C621&amp;"|"&amp;$E621,Scoring!$U:$U,0)),"")</f>
        <v>Excluded – IV only</v>
      </c>
      <c r="AC621" s="18" t="n">
        <f aca="false">IFERROR(INDEX(Scoring!$M:$M,MATCH($C621&amp;"|"&amp;$E621,Scoring!$U:$U,0)),"")</f>
        <v>1175</v>
      </c>
      <c r="AD621" s="15" t="str">
        <f aca="false">IFERROR(INDEX('Route of Administration'!$C$5:$C$155,MATCH($C621,'Route of Administration'!$A$5:$A$155,0)),"")</f>
        <v>IV</v>
      </c>
      <c r="AE621" s="14" t="str">
        <f aca="false">IFERROR(INDEX('Route of Administration'!$D$5:$D$155,MATCH($C621,'Route of Administration'!$A$5:$A$155,0)),"")</f>
        <v>No</v>
      </c>
    </row>
    <row r="622" customFormat="false" ht="28.35" hidden="false" customHeight="false" outlineLevel="0" collapsed="false">
      <c r="B622" s="15" t="n">
        <v>620</v>
      </c>
      <c r="C622" s="15" t="s">
        <v>1364</v>
      </c>
      <c r="D622" s="15" t="s">
        <v>1364</v>
      </c>
      <c r="E622" s="15" t="s">
        <v>1362</v>
      </c>
      <c r="F622" s="15" t="s">
        <v>2610</v>
      </c>
      <c r="G622" s="16" t="s">
        <v>2611</v>
      </c>
      <c r="H622" s="15" t="s">
        <v>1505</v>
      </c>
      <c r="I622" s="17" t="n">
        <v>9.52</v>
      </c>
      <c r="J622" s="15" t="n">
        <v>1</v>
      </c>
      <c r="K622" s="15" t="n">
        <v>59</v>
      </c>
      <c r="L622" s="18" t="n">
        <v>1206.55</v>
      </c>
      <c r="M622" s="16" t="s">
        <v>488</v>
      </c>
      <c r="N622" s="17" t="n">
        <v>9.52</v>
      </c>
      <c r="O622" s="15" t="s">
        <v>1506</v>
      </c>
      <c r="P622" s="15" t="s">
        <v>1507</v>
      </c>
      <c r="Q622" s="16" t="s">
        <v>1508</v>
      </c>
      <c r="R622" s="32" t="s">
        <v>2612</v>
      </c>
      <c r="S622" s="37" t="n">
        <f aca="false">IFERROR(INDEX('Injectable Value'!$Z$28:$Z$178,MATCH($C622,'Injectable Value'!$A$28:$A$178,0)),"")</f>
        <v>0.581244456320444</v>
      </c>
      <c r="T622" s="18" t="n">
        <f aca="false">IFERROR(ROUND(INDEX('Injectable Value'!$AA$28:$AA$178,MATCH($C622,'Injectable Value'!$A$28:$A$178,0)),1),"")</f>
        <v>701.3</v>
      </c>
      <c r="U622" s="16" t="s">
        <v>740</v>
      </c>
      <c r="V622" s="15" t="n">
        <v>2</v>
      </c>
      <c r="W622" s="15" t="s">
        <v>740</v>
      </c>
      <c r="X622" s="15" t="s">
        <v>316</v>
      </c>
      <c r="Y622" s="15" t="s">
        <v>249</v>
      </c>
      <c r="Z622" s="16" t="str">
        <f aca="false">IFERROR(INDEX(Scoring!$K:$K,MATCH($C622&amp;"|"&amp;$E622,Scoring!$U:$U,0)),"")</f>
        <v/>
      </c>
      <c r="AA622" s="15" t="str">
        <f aca="false">IFERROR(INDEX(Scoring!$Q:$Q,MATCH($C622&amp;"|"&amp;$E622,Scoring!$U:$U,0)),"")</f>
        <v>Excluded – IV only</v>
      </c>
      <c r="AB622" s="15" t="str">
        <f aca="false">IFERROR(INDEX(Scoring!$AK:$AK,MATCH($C622&amp;"|"&amp;$E622,Scoring!$U:$U,0)),"")</f>
        <v>Excluded – IV only</v>
      </c>
      <c r="AC622" s="18" t="n">
        <f aca="false">IFERROR(INDEX(Scoring!$M:$M,MATCH($C622&amp;"|"&amp;$E622,Scoring!$U:$U,0)),"")</f>
        <v>34</v>
      </c>
      <c r="AD622" s="15" t="str">
        <f aca="false">IFERROR(INDEX('Route of Administration'!$C$5:$C$155,MATCH($C622,'Route of Administration'!$A$5:$A$155,0)),"")</f>
        <v>IV</v>
      </c>
      <c r="AE622" s="14" t="str">
        <f aca="false">IFERROR(INDEX('Route of Administration'!$D$5:$D$155,MATCH($C622,'Route of Administration'!$A$5:$A$155,0)),"")</f>
        <v>No</v>
      </c>
    </row>
    <row r="623" customFormat="false" ht="28.35" hidden="false" customHeight="false" outlineLevel="0" collapsed="false">
      <c r="B623" s="15" t="n">
        <v>621</v>
      </c>
      <c r="C623" s="15" t="s">
        <v>262</v>
      </c>
      <c r="D623" s="15" t="s">
        <v>1363</v>
      </c>
      <c r="E623" s="15" t="s">
        <v>1362</v>
      </c>
      <c r="F623" s="15" t="s">
        <v>1698</v>
      </c>
      <c r="G623" s="16" t="s">
        <v>1699</v>
      </c>
      <c r="H623" s="15" t="s">
        <v>1512</v>
      </c>
      <c r="I623" s="17" t="n">
        <v>531.8684</v>
      </c>
      <c r="J623" s="15" t="n">
        <v>31</v>
      </c>
      <c r="K623" s="15" t="n">
        <v>146</v>
      </c>
      <c r="L623" s="18" t="n">
        <v>11366.06</v>
      </c>
      <c r="M623" s="16" t="s">
        <v>263</v>
      </c>
      <c r="N623" s="17" t="n">
        <v>531.8684</v>
      </c>
      <c r="O623" s="15" t="s">
        <v>1506</v>
      </c>
      <c r="P623" s="15" t="s">
        <v>1533</v>
      </c>
      <c r="Q623" s="16" t="s">
        <v>1508</v>
      </c>
      <c r="R623" s="32" t="s">
        <v>1673</v>
      </c>
      <c r="S623" s="37" t="n">
        <f aca="false">IFERROR(INDEX('Injectable Value'!$Z$28:$Z$178,MATCH($C623,'Injectable Value'!$A$28:$A$178,0)),"")</f>
        <v>1</v>
      </c>
      <c r="T623" s="18" t="n">
        <f aca="false">IFERROR(ROUND(INDEX('Injectable Value'!$AA$28:$AA$178,MATCH($C623,'Injectable Value'!$A$28:$A$178,0)),1),"")</f>
        <v>11366.1</v>
      </c>
      <c r="U623" s="16" t="s">
        <v>422</v>
      </c>
      <c r="V623" s="15" t="n">
        <v>1</v>
      </c>
      <c r="W623" s="15" t="s">
        <v>418</v>
      </c>
      <c r="X623" s="15" t="s">
        <v>258</v>
      </c>
      <c r="Y623" s="15" t="s">
        <v>249</v>
      </c>
      <c r="Z623" s="16" t="str">
        <f aca="false">IFERROR(INDEX(Scoring!$K:$K,MATCH($C623&amp;"|"&amp;$E623,Scoring!$U:$U,0)),"")</f>
        <v>Prefilled only</v>
      </c>
      <c r="AA623" s="15" t="str">
        <f aca="false">IFERROR(INDEX(Scoring!$Q:$Q,MATCH($C623&amp;"|"&amp;$E623,Scoring!$U:$U,0)),"")</f>
        <v>Priority 1</v>
      </c>
      <c r="AB623" s="15" t="str">
        <f aca="false">IFERROR(INDEX(Scoring!$AK:$AK,MATCH($C623&amp;"|"&amp;$E623,Scoring!$U:$U,0)),"")</f>
        <v>Priority 2</v>
      </c>
      <c r="AC623" s="18" t="n">
        <f aca="false">IFERROR(INDEX(Scoring!$M:$M,MATCH($C623&amp;"|"&amp;$E623,Scoring!$U:$U,0)),"")</f>
        <v>146</v>
      </c>
      <c r="AD623" s="15" t="str">
        <f aca="false">IFERROR(INDEX('Route of Administration'!$C$5:$C$155,MATCH($C623,'Route of Administration'!$A$5:$A$155,0)),"")</f>
        <v>IM</v>
      </c>
      <c r="AE623" s="14" t="str">
        <f aca="false">IFERROR(INDEX('Route of Administration'!$D$5:$D$155,MATCH($C623,'Route of Administration'!$A$5:$A$155,0)),"")</f>
        <v>Yes</v>
      </c>
    </row>
    <row r="624" customFormat="false" ht="28.35" hidden="false" customHeight="false" outlineLevel="0" collapsed="false">
      <c r="B624" s="15" t="n">
        <v>622</v>
      </c>
      <c r="C624" s="15" t="s">
        <v>1364</v>
      </c>
      <c r="D624" s="15" t="s">
        <v>2613</v>
      </c>
      <c r="E624" s="15" t="s">
        <v>1362</v>
      </c>
      <c r="F624" s="15" t="s">
        <v>2277</v>
      </c>
      <c r="G624" s="16" t="s">
        <v>2614</v>
      </c>
      <c r="H624" s="15" t="s">
        <v>1505</v>
      </c>
      <c r="I624" s="17" t="n">
        <v>14.8934</v>
      </c>
      <c r="J624" s="15" t="n">
        <v>25</v>
      </c>
      <c r="K624" s="15" t="n">
        <v>59</v>
      </c>
      <c r="L624" s="18" t="n">
        <v>1206.55</v>
      </c>
      <c r="M624" s="16" t="s">
        <v>488</v>
      </c>
      <c r="N624" s="17" t="n">
        <v>14.8934</v>
      </c>
      <c r="O624" s="15" t="s">
        <v>1506</v>
      </c>
      <c r="P624" s="15" t="s">
        <v>1533</v>
      </c>
      <c r="Q624" s="16" t="s">
        <v>1508</v>
      </c>
      <c r="R624" s="32" t="s">
        <v>1673</v>
      </c>
      <c r="S624" s="37" t="n">
        <f aca="false">IFERROR(INDEX('Injectable Value'!$Z$28:$Z$178,MATCH($C624,'Injectable Value'!$A$28:$A$178,0)),"")</f>
        <v>0.581244456320444</v>
      </c>
      <c r="T624" s="18" t="n">
        <f aca="false">IFERROR(ROUND(INDEX('Injectable Value'!$AA$28:$AA$178,MATCH($C624,'Injectable Value'!$A$28:$A$178,0)),1),"")</f>
        <v>701.3</v>
      </c>
      <c r="U624" s="16" t="s">
        <v>740</v>
      </c>
      <c r="V624" s="15" t="n">
        <v>2</v>
      </c>
      <c r="W624" s="15" t="s">
        <v>740</v>
      </c>
      <c r="X624" s="15" t="s">
        <v>316</v>
      </c>
      <c r="Y624" s="15" t="s">
        <v>249</v>
      </c>
      <c r="Z624" s="16" t="str">
        <f aca="false">IFERROR(INDEX(Scoring!$K:$K,MATCH($C624&amp;"|"&amp;$E624,Scoring!$U:$U,0)),"")</f>
        <v/>
      </c>
      <c r="AA624" s="15" t="str">
        <f aca="false">IFERROR(INDEX(Scoring!$Q:$Q,MATCH($C624&amp;"|"&amp;$E624,Scoring!$U:$U,0)),"")</f>
        <v>Excluded – IV only</v>
      </c>
      <c r="AB624" s="15" t="str">
        <f aca="false">IFERROR(INDEX(Scoring!$AK:$AK,MATCH($C624&amp;"|"&amp;$E624,Scoring!$U:$U,0)),"")</f>
        <v>Excluded – IV only</v>
      </c>
      <c r="AC624" s="18" t="n">
        <f aca="false">IFERROR(INDEX(Scoring!$M:$M,MATCH($C624&amp;"|"&amp;$E624,Scoring!$U:$U,0)),"")</f>
        <v>34</v>
      </c>
      <c r="AD624" s="15" t="str">
        <f aca="false">IFERROR(INDEX('Route of Administration'!$C$5:$C$155,MATCH($C624,'Route of Administration'!$A$5:$A$155,0)),"")</f>
        <v>IV</v>
      </c>
      <c r="AE624" s="14" t="str">
        <f aca="false">IFERROR(INDEX('Route of Administration'!$D$5:$D$155,MATCH($C624,'Route of Administration'!$A$5:$A$155,0)),"")</f>
        <v>No</v>
      </c>
    </row>
    <row r="625" customFormat="false" ht="55.2" hidden="false" customHeight="false" outlineLevel="0" collapsed="false">
      <c r="B625" s="15" t="n">
        <v>623</v>
      </c>
      <c r="C625" s="15" t="s">
        <v>1236</v>
      </c>
      <c r="D625" s="15" t="s">
        <v>1368</v>
      </c>
      <c r="E625" s="15" t="s">
        <v>1362</v>
      </c>
      <c r="F625" s="15"/>
      <c r="G625" s="16"/>
      <c r="H625" s="15"/>
      <c r="I625" s="17"/>
      <c r="J625" s="15" t="n">
        <v>31</v>
      </c>
      <c r="K625" s="15" t="n">
        <v>2286</v>
      </c>
      <c r="L625" s="18" t="n">
        <v>106496.78</v>
      </c>
      <c r="M625" s="16" t="s">
        <v>1237</v>
      </c>
      <c r="N625" s="38" t="n">
        <v>20.65</v>
      </c>
      <c r="O625" s="22" t="s">
        <v>1513</v>
      </c>
      <c r="P625" s="15" t="s">
        <v>1507</v>
      </c>
      <c r="Q625" s="16" t="s">
        <v>2615</v>
      </c>
      <c r="R625" s="32" t="s">
        <v>2616</v>
      </c>
      <c r="S625" s="37" t="n">
        <f aca="false">IFERROR(INDEX('Injectable Value'!$Z$28:$Z$178,MATCH($C625,'Injectable Value'!$A$28:$A$178,0)),"")</f>
        <v>0.174359744408496</v>
      </c>
      <c r="T625" s="18" t="n">
        <f aca="false">IFERROR(ROUND(INDEX('Injectable Value'!$AA$28:$AA$178,MATCH($C625,'Injectable Value'!$A$28:$A$178,0)),1),"")</f>
        <v>18568.8</v>
      </c>
      <c r="U625" s="16" t="s">
        <v>422</v>
      </c>
      <c r="V625" s="15" t="n">
        <v>1</v>
      </c>
      <c r="W625" s="15" t="s">
        <v>418</v>
      </c>
      <c r="X625" s="15" t="s">
        <v>277</v>
      </c>
      <c r="Y625" s="15" t="s">
        <v>277</v>
      </c>
      <c r="Z625" s="16" t="str">
        <f aca="false">IFERROR(INDEX(Scoring!$K:$K,MATCH($C625&amp;"|"&amp;$E625,Scoring!$U:$U,0)),"")</f>
        <v/>
      </c>
      <c r="AA625" s="15" t="str">
        <f aca="false">IFERROR(INDEX(Scoring!$Q:$Q,MATCH($C625&amp;"|"&amp;$E625,Scoring!$U:$U,0)),"")</f>
        <v>Excluded – IV only</v>
      </c>
      <c r="AB625" s="15" t="str">
        <f aca="false">IFERROR(INDEX(Scoring!$AK:$AK,MATCH($C625&amp;"|"&amp;$E625,Scoring!$U:$U,0)),"")</f>
        <v>Excluded – IV only</v>
      </c>
      <c r="AC625" s="18" t="n">
        <f aca="false">IFERROR(INDEX(Scoring!$M:$M,MATCH($C625&amp;"|"&amp;$E625,Scoring!$U:$U,0)),"")</f>
        <v>399</v>
      </c>
      <c r="AD625" s="15" t="str">
        <f aca="false">IFERROR(INDEX('Route of Administration'!$C$5:$C$155,MATCH($C625,'Route of Administration'!$A$5:$A$155,0)),"")</f>
        <v>IV</v>
      </c>
      <c r="AE625" s="14" t="str">
        <f aca="false">IFERROR(INDEX('Route of Administration'!$D$5:$D$155,MATCH($C625,'Route of Administration'!$A$5:$A$155,0)),"")</f>
        <v>No</v>
      </c>
    </row>
    <row r="626" customFormat="false" ht="28.35" hidden="false" customHeight="false" outlineLevel="0" collapsed="false">
      <c r="B626" s="15" t="n">
        <v>624</v>
      </c>
      <c r="C626" s="15" t="s">
        <v>451</v>
      </c>
      <c r="D626" s="15" t="s">
        <v>1369</v>
      </c>
      <c r="E626" s="15" t="s">
        <v>1362</v>
      </c>
      <c r="F626" s="15" t="s">
        <v>1703</v>
      </c>
      <c r="G626" s="16" t="s">
        <v>1704</v>
      </c>
      <c r="H626" s="15" t="s">
        <v>1505</v>
      </c>
      <c r="I626" s="17" t="n">
        <v>12.0797</v>
      </c>
      <c r="J626" s="15" t="n">
        <v>29</v>
      </c>
      <c r="K626" s="15" t="n">
        <v>1185</v>
      </c>
      <c r="L626" s="18" t="n">
        <v>59407.06</v>
      </c>
      <c r="M626" s="16" t="s">
        <v>452</v>
      </c>
      <c r="N626" s="17" t="n">
        <v>12.0797</v>
      </c>
      <c r="O626" s="15" t="s">
        <v>1506</v>
      </c>
      <c r="P626" s="15" t="s">
        <v>1533</v>
      </c>
      <c r="Q626" s="16" t="s">
        <v>1508</v>
      </c>
      <c r="R626" s="32" t="s">
        <v>1673</v>
      </c>
      <c r="S626" s="37" t="n">
        <f aca="false">IFERROR(INDEX('Injectable Value'!$Z$28:$Z$178,MATCH($C626,'Injectable Value'!$A$28:$A$178,0)),"")</f>
        <v>0.991808067465962</v>
      </c>
      <c r="T626" s="18" t="n">
        <f aca="false">IFERROR(ROUND(INDEX('Injectable Value'!$AA$28:$AA$178,MATCH($C626,'Injectable Value'!$A$28:$A$178,0)),1),"")</f>
        <v>58920.4</v>
      </c>
      <c r="U626" s="16" t="s">
        <v>422</v>
      </c>
      <c r="V626" s="15" t="n">
        <v>1</v>
      </c>
      <c r="W626" s="15" t="s">
        <v>418</v>
      </c>
      <c r="X626" s="15" t="s">
        <v>248</v>
      </c>
      <c r="Y626" s="15" t="s">
        <v>299</v>
      </c>
      <c r="Z626" s="16" t="str">
        <f aca="false">IFERROR(INDEX(Scoring!$K:$K,MATCH($C626&amp;"|"&amp;$E626,Scoring!$U:$U,0)),"")</f>
        <v>Reconstitution</v>
      </c>
      <c r="AA626" s="15" t="str">
        <f aca="false">IFERROR(INDEX(Scoring!$Q:$Q,MATCH($C626&amp;"|"&amp;$E626,Scoring!$U:$U,0)),"")</f>
        <v>Excluded – IV only</v>
      </c>
      <c r="AB626" s="15" t="str">
        <f aca="false">IFERROR(INDEX(Scoring!$AK:$AK,MATCH($C626&amp;"|"&amp;$E626,Scoring!$U:$U,0)),"")</f>
        <v>Excluded – IV only</v>
      </c>
      <c r="AC626" s="18" t="n">
        <f aca="false">IFERROR(INDEX(Scoring!$M:$M,MATCH($C626&amp;"|"&amp;$E626,Scoring!$U:$U,0)),"")</f>
        <v>1175</v>
      </c>
      <c r="AD626" s="15" t="str">
        <f aca="false">IFERROR(INDEX('Route of Administration'!$C$5:$C$155,MATCH($C626,'Route of Administration'!$A$5:$A$155,0)),"")</f>
        <v>IV</v>
      </c>
      <c r="AE626" s="14" t="str">
        <f aca="false">IFERROR(INDEX('Route of Administration'!$D$5:$D$155,MATCH($C626,'Route of Administration'!$A$5:$A$155,0)),"")</f>
        <v>No</v>
      </c>
    </row>
    <row r="627" customFormat="false" ht="28.35" hidden="false" customHeight="false" outlineLevel="0" collapsed="false">
      <c r="B627" s="15" t="n">
        <v>625</v>
      </c>
      <c r="C627" s="15" t="s">
        <v>1370</v>
      </c>
      <c r="D627" s="15" t="s">
        <v>1374</v>
      </c>
      <c r="E627" s="15" t="s">
        <v>1362</v>
      </c>
      <c r="F627" s="15" t="s">
        <v>1700</v>
      </c>
      <c r="G627" s="16" t="s">
        <v>2617</v>
      </c>
      <c r="H627" s="15" t="s">
        <v>1512</v>
      </c>
      <c r="I627" s="17" t="n">
        <v>118.3449</v>
      </c>
      <c r="J627" s="15" t="n">
        <v>31</v>
      </c>
      <c r="K627" s="15" t="n">
        <v>153</v>
      </c>
      <c r="L627" s="18" t="n">
        <v>8244.44</v>
      </c>
      <c r="M627" s="16" t="s">
        <v>1371</v>
      </c>
      <c r="N627" s="17" t="n">
        <v>118.3449</v>
      </c>
      <c r="O627" s="15" t="s">
        <v>1506</v>
      </c>
      <c r="P627" s="15" t="s">
        <v>1533</v>
      </c>
      <c r="Q627" s="16" t="s">
        <v>1508</v>
      </c>
      <c r="R627" s="32" t="s">
        <v>2618</v>
      </c>
      <c r="S627" s="37" t="n">
        <f aca="false">IFERROR(INDEX('Injectable Value'!$Z$28:$Z$178,MATCH($C627,'Injectable Value'!$A$28:$A$178,0)),"")</f>
        <v>0.749979206504154</v>
      </c>
      <c r="T627" s="18" t="n">
        <f aca="false">IFERROR(ROUND(INDEX('Injectable Value'!$AA$28:$AA$178,MATCH($C627,'Injectable Value'!$A$28:$A$178,0)),1),"")</f>
        <v>6183.2</v>
      </c>
      <c r="U627" s="16" t="s">
        <v>1375</v>
      </c>
      <c r="V627" s="15" t="n">
        <v>2</v>
      </c>
      <c r="W627" s="15" t="s">
        <v>418</v>
      </c>
      <c r="X627" s="15" t="s">
        <v>258</v>
      </c>
      <c r="Y627" s="15" t="s">
        <v>249</v>
      </c>
      <c r="Z627" s="16" t="str">
        <f aca="false">IFERROR(INDEX(Scoring!$K:$K,MATCH($C627&amp;"|"&amp;$E627,Scoring!$U:$U,0)),"")</f>
        <v>Prefilled only</v>
      </c>
      <c r="AA627" s="15" t="str">
        <f aca="false">IFERROR(INDEX(Scoring!$Q:$Q,MATCH($C627&amp;"|"&amp;$E627,Scoring!$U:$U,0)),"")</f>
        <v>Priority 2</v>
      </c>
      <c r="AB627" s="15" t="str">
        <f aca="false">IFERROR(INDEX(Scoring!$AK:$AK,MATCH($C627&amp;"|"&amp;$E627,Scoring!$U:$U,0)),"")</f>
        <v>Priority 2</v>
      </c>
      <c r="AC627" s="18" t="n">
        <f aca="false">IFERROR(INDEX(Scoring!$M:$M,MATCH($C627&amp;"|"&amp;$E627,Scoring!$U:$U,0)),"")</f>
        <v>115</v>
      </c>
      <c r="AD627" s="15" t="str">
        <f aca="false">IFERROR(INDEX('Route of Administration'!$C$5:$C$155,MATCH($C627,'Route of Administration'!$A$5:$A$155,0)),"")</f>
        <v>IM</v>
      </c>
      <c r="AE627" s="14" t="str">
        <f aca="false">IFERROR(INDEX('Route of Administration'!$D$5:$D$155,MATCH($C627,'Route of Administration'!$A$5:$A$155,0)),"")</f>
        <v>Yes</v>
      </c>
    </row>
    <row r="628" customFormat="false" ht="28.35" hidden="false" customHeight="false" outlineLevel="0" collapsed="false">
      <c r="B628" s="15" t="n">
        <v>626</v>
      </c>
      <c r="C628" s="15" t="s">
        <v>1377</v>
      </c>
      <c r="D628" s="15" t="s">
        <v>1380</v>
      </c>
      <c r="E628" s="15" t="s">
        <v>1362</v>
      </c>
      <c r="F628" s="15"/>
      <c r="G628" s="16"/>
      <c r="H628" s="15"/>
      <c r="I628" s="17"/>
      <c r="J628" s="15" t="n">
        <v>31</v>
      </c>
      <c r="K628" s="15" t="n">
        <v>565</v>
      </c>
      <c r="L628" s="18" t="n">
        <v>17324.19</v>
      </c>
      <c r="M628" s="16" t="s">
        <v>1378</v>
      </c>
      <c r="N628" s="38" t="n">
        <v>10.96</v>
      </c>
      <c r="O628" s="22" t="s">
        <v>1513</v>
      </c>
      <c r="P628" s="15" t="s">
        <v>1533</v>
      </c>
      <c r="Q628" s="16" t="s">
        <v>1514</v>
      </c>
      <c r="R628" s="32" t="s">
        <v>1515</v>
      </c>
      <c r="S628" s="37" t="n">
        <f aca="false">IFERROR(INDEX('Injectable Value'!$Z$28:$Z$178,MATCH($C628,'Injectable Value'!$A$28:$A$178,0)),"")</f>
        <v>0.419074437219412</v>
      </c>
      <c r="T628" s="18" t="n">
        <f aca="false">IFERROR(ROUND(INDEX('Injectable Value'!$AA$28:$AA$178,MATCH($C628,'Injectable Value'!$A$28:$A$178,0)),1),"")</f>
        <v>7260.1</v>
      </c>
      <c r="U628" s="16" t="s">
        <v>422</v>
      </c>
      <c r="V628" s="15" t="n">
        <v>1</v>
      </c>
      <c r="W628" s="15" t="s">
        <v>418</v>
      </c>
      <c r="X628" s="15" t="s">
        <v>277</v>
      </c>
      <c r="Y628" s="15" t="s">
        <v>277</v>
      </c>
      <c r="Z628" s="16" t="str">
        <f aca="false">IFERROR(INDEX(Scoring!$K:$K,MATCH($C628&amp;"|"&amp;$E628,Scoring!$U:$U,0)),"")</f>
        <v/>
      </c>
      <c r="AA628" s="15" t="str">
        <f aca="false">IFERROR(INDEX(Scoring!$Q:$Q,MATCH($C628&amp;"|"&amp;$E628,Scoring!$U:$U,0)),"")</f>
        <v>Excluded – IV only</v>
      </c>
      <c r="AB628" s="15" t="str">
        <f aca="false">IFERROR(INDEX(Scoring!$AK:$AK,MATCH($C628&amp;"|"&amp;$E628,Scoring!$U:$U,0)),"")</f>
        <v>Excluded – IV only</v>
      </c>
      <c r="AC628" s="18" t="n">
        <f aca="false">IFERROR(INDEX(Scoring!$M:$M,MATCH($C628&amp;"|"&amp;$E628,Scoring!$U:$U,0)),"")</f>
        <v>237</v>
      </c>
      <c r="AD628" s="15" t="str">
        <f aca="false">IFERROR(INDEX('Route of Administration'!$C$5:$C$155,MATCH($C628,'Route of Administration'!$A$5:$A$155,0)),"")</f>
        <v>IV</v>
      </c>
      <c r="AE628" s="14" t="str">
        <f aca="false">IFERROR(INDEX('Route of Administration'!$D$5:$D$155,MATCH($C628,'Route of Administration'!$A$5:$A$155,0)),"")</f>
        <v>No</v>
      </c>
    </row>
    <row r="629" customFormat="false" ht="28.35" hidden="false" customHeight="false" outlineLevel="0" collapsed="false">
      <c r="B629" s="15" t="n">
        <v>627</v>
      </c>
      <c r="C629" s="15" t="s">
        <v>880</v>
      </c>
      <c r="D629" s="15" t="s">
        <v>1376</v>
      </c>
      <c r="E629" s="15" t="s">
        <v>1362</v>
      </c>
      <c r="F629" s="15" t="s">
        <v>1865</v>
      </c>
      <c r="G629" s="16" t="s">
        <v>2089</v>
      </c>
      <c r="H629" s="15" t="s">
        <v>1505</v>
      </c>
      <c r="I629" s="17" t="n">
        <v>7.72</v>
      </c>
      <c r="J629" s="15" t="n">
        <v>1</v>
      </c>
      <c r="K629" s="15" t="n">
        <v>264</v>
      </c>
      <c r="L629" s="18" t="n">
        <v>20408.58</v>
      </c>
      <c r="M629" s="16" t="s">
        <v>564</v>
      </c>
      <c r="N629" s="17" t="n">
        <v>7.72</v>
      </c>
      <c r="O629" s="15" t="s">
        <v>1506</v>
      </c>
      <c r="P629" s="15" t="s">
        <v>1672</v>
      </c>
      <c r="Q629" s="16" t="s">
        <v>1508</v>
      </c>
      <c r="R629" s="32" t="s">
        <v>1784</v>
      </c>
      <c r="S629" s="37" t="n">
        <f aca="false">IFERROR(INDEX('Injectable Value'!$Z$28:$Z$178,MATCH($C629,'Injectable Value'!$A$28:$A$178,0)),"")</f>
        <v>0.989010989010989</v>
      </c>
      <c r="T629" s="18" t="n">
        <f aca="false">IFERROR(ROUND(INDEX('Injectable Value'!$AA$28:$AA$178,MATCH($C629,'Injectable Value'!$A$28:$A$178,0)),1),"")</f>
        <v>20184.3</v>
      </c>
      <c r="U629" s="16" t="s">
        <v>328</v>
      </c>
      <c r="V629" s="15" t="n">
        <v>1</v>
      </c>
      <c r="W629" s="15" t="s">
        <v>70</v>
      </c>
      <c r="X629" s="15" t="s">
        <v>248</v>
      </c>
      <c r="Y629" s="15" t="s">
        <v>249</v>
      </c>
      <c r="Z629" s="16" t="str">
        <f aca="false">IFERROR(INDEX(Scoring!$K:$K,MATCH($C629&amp;"|"&amp;$E629,Scoring!$U:$U,0)),"")</f>
        <v/>
      </c>
      <c r="AA629" s="15" t="str">
        <f aca="false">IFERROR(INDEX(Scoring!$Q:$Q,MATCH($C629&amp;"|"&amp;$E629,Scoring!$U:$U,0)),"")</f>
        <v>Excluded – IV only</v>
      </c>
      <c r="AB629" s="15" t="str">
        <f aca="false">IFERROR(INDEX(Scoring!$AK:$AK,MATCH($C629&amp;"|"&amp;$E629,Scoring!$U:$U,0)),"")</f>
        <v>Excluded – IV only</v>
      </c>
      <c r="AC629" s="18" t="n">
        <f aca="false">IFERROR(INDEX(Scoring!$M:$M,MATCH($C629&amp;"|"&amp;$E629,Scoring!$U:$U,0)),"")</f>
        <v>261</v>
      </c>
      <c r="AD629" s="15" t="str">
        <f aca="false">IFERROR(INDEX('Route of Administration'!$C$5:$C$155,MATCH($C629,'Route of Administration'!$A$5:$A$155,0)),"")</f>
        <v>IV</v>
      </c>
      <c r="AE629" s="14" t="str">
        <f aca="false">IFERROR(INDEX('Route of Administration'!$D$5:$D$155,MATCH($C629,'Route of Administration'!$A$5:$A$155,0)),"")</f>
        <v>No</v>
      </c>
    </row>
    <row r="630" customFormat="false" ht="28.35" hidden="false" customHeight="false" outlineLevel="0" collapsed="false">
      <c r="B630" s="15" t="n">
        <v>628</v>
      </c>
      <c r="C630" s="15" t="s">
        <v>451</v>
      </c>
      <c r="D630" s="15" t="s">
        <v>2619</v>
      </c>
      <c r="E630" s="15" t="s">
        <v>201</v>
      </c>
      <c r="F630" s="15" t="s">
        <v>1999</v>
      </c>
      <c r="G630" s="16" t="s">
        <v>1704</v>
      </c>
      <c r="H630" s="15" t="s">
        <v>1505</v>
      </c>
      <c r="I630" s="17" t="n">
        <v>10.97</v>
      </c>
      <c r="J630" s="15" t="n">
        <v>1</v>
      </c>
      <c r="K630" s="15" t="n">
        <v>1185</v>
      </c>
      <c r="L630" s="18" t="n">
        <v>59407.06</v>
      </c>
      <c r="M630" s="16" t="s">
        <v>452</v>
      </c>
      <c r="N630" s="17" t="n">
        <v>10.97</v>
      </c>
      <c r="O630" s="15" t="s">
        <v>1506</v>
      </c>
      <c r="P630" s="15" t="s">
        <v>1507</v>
      </c>
      <c r="Q630" s="16" t="s">
        <v>1508</v>
      </c>
      <c r="R630" s="32" t="s">
        <v>2515</v>
      </c>
      <c r="S630" s="37" t="n">
        <f aca="false">IFERROR(INDEX('Injectable Value'!$Z$28:$Z$178,MATCH($C630,'Injectable Value'!$A$28:$A$178,0)),"")</f>
        <v>0.991808067465962</v>
      </c>
      <c r="T630" s="18" t="n">
        <f aca="false">IFERROR(ROUND(INDEX('Injectable Value'!$AA$28:$AA$178,MATCH($C630,'Injectable Value'!$A$28:$A$178,0)),1),"")</f>
        <v>58920.4</v>
      </c>
      <c r="U630" s="16" t="s">
        <v>1386</v>
      </c>
      <c r="V630" s="15" t="n">
        <v>10</v>
      </c>
      <c r="W630" s="15" t="s">
        <v>298</v>
      </c>
      <c r="X630" s="15" t="s">
        <v>248</v>
      </c>
      <c r="Y630" s="15" t="s">
        <v>299</v>
      </c>
      <c r="Z630" s="16" t="str">
        <f aca="false">IFERROR(INDEX(Scoring!$K:$K,MATCH($C630&amp;"|"&amp;$E630,Scoring!$U:$U,0)),"")</f>
        <v>Reconstitution</v>
      </c>
      <c r="AA630" s="15" t="str">
        <f aca="false">IFERROR(INDEX(Scoring!$Q:$Q,MATCH($C630&amp;"|"&amp;$E630,Scoring!$U:$U,0)),"")</f>
        <v>Excluded – IV only</v>
      </c>
      <c r="AB630" s="15" t="str">
        <f aca="false">IFERROR(INDEX(Scoring!$AK:$AK,MATCH($C630&amp;"|"&amp;$E630,Scoring!$U:$U,0)),"")</f>
        <v>Excluded – IV only</v>
      </c>
      <c r="AC630" s="18" t="n">
        <f aca="false">IFERROR(INDEX(Scoring!$M:$M,MATCH($C630&amp;"|"&amp;$E630,Scoring!$U:$U,0)),"")</f>
        <v>1175</v>
      </c>
      <c r="AD630" s="15" t="str">
        <f aca="false">IFERROR(INDEX('Route of Administration'!$C$5:$C$155,MATCH($C630,'Route of Administration'!$A$5:$A$155,0)),"")</f>
        <v>IV</v>
      </c>
      <c r="AE630" s="14" t="str">
        <f aca="false">IFERROR(INDEX('Route of Administration'!$D$5:$D$155,MATCH($C630,'Route of Administration'!$A$5:$A$155,0)),"")</f>
        <v>No</v>
      </c>
    </row>
    <row r="631" customFormat="false" ht="28.35" hidden="false" customHeight="false" outlineLevel="0" collapsed="false">
      <c r="B631" s="15" t="n">
        <v>629</v>
      </c>
      <c r="C631" s="15" t="s">
        <v>336</v>
      </c>
      <c r="D631" s="15" t="s">
        <v>336</v>
      </c>
      <c r="E631" s="15" t="s">
        <v>201</v>
      </c>
      <c r="F631" s="15" t="s">
        <v>2620</v>
      </c>
      <c r="G631" s="16" t="s">
        <v>2621</v>
      </c>
      <c r="H631" s="15" t="s">
        <v>1505</v>
      </c>
      <c r="I631" s="17" t="n">
        <v>25.36</v>
      </c>
      <c r="J631" s="15" t="n">
        <v>1</v>
      </c>
      <c r="K631" s="15" t="n">
        <v>3110</v>
      </c>
      <c r="L631" s="18" t="n">
        <v>93119.22</v>
      </c>
      <c r="M631" s="16" t="s">
        <v>337</v>
      </c>
      <c r="N631" s="17" t="n">
        <v>25.36</v>
      </c>
      <c r="O631" s="15" t="s">
        <v>1506</v>
      </c>
      <c r="P631" s="15" t="s">
        <v>1507</v>
      </c>
      <c r="Q631" s="16" t="s">
        <v>1508</v>
      </c>
      <c r="R631" s="32" t="s">
        <v>2622</v>
      </c>
      <c r="S631" s="37" t="n">
        <f aca="false">IFERROR(INDEX('Injectable Value'!$Z$28:$Z$178,MATCH($C631,'Injectable Value'!$A$28:$A$178,0)),"")</f>
        <v>1</v>
      </c>
      <c r="T631" s="18" t="n">
        <f aca="false">IFERROR(ROUND(INDEX('Injectable Value'!$AA$28:$AA$178,MATCH($C631,'Injectable Value'!$A$28:$A$178,0)),1),"")</f>
        <v>93119.2</v>
      </c>
      <c r="U631" s="16" t="s">
        <v>1112</v>
      </c>
      <c r="V631" s="15" t="n">
        <v>1</v>
      </c>
      <c r="W631" s="15" t="s">
        <v>1112</v>
      </c>
      <c r="X631" s="15" t="s">
        <v>248</v>
      </c>
      <c r="Y631" s="15" t="s">
        <v>299</v>
      </c>
      <c r="Z631" s="16" t="str">
        <f aca="false">IFERROR(INDEX(Scoring!$K:$K,MATCH($C631&amp;"|"&amp;$E631,Scoring!$U:$U,0)),"")</f>
        <v>Reconstitution</v>
      </c>
      <c r="AA631" s="15" t="str">
        <f aca="false">IFERROR(INDEX(Scoring!$Q:$Q,MATCH($C631&amp;"|"&amp;$E631,Scoring!$U:$U,0)),"")</f>
        <v>Priority 1</v>
      </c>
      <c r="AB631" s="15" t="str">
        <f aca="false">IFERROR(INDEX(Scoring!$AK:$AK,MATCH($C631&amp;"|"&amp;$E631,Scoring!$U:$U,0)),"")</f>
        <v>Priority 1</v>
      </c>
      <c r="AC631" s="18" t="n">
        <f aca="false">IFERROR(INDEX(Scoring!$M:$M,MATCH($C631&amp;"|"&amp;$E631,Scoring!$U:$U,0)),"")</f>
        <v>3110</v>
      </c>
      <c r="AD631" s="15" t="str">
        <f aca="false">IFERROR(INDEX('Route of Administration'!$C$5:$C$155,MATCH($C631,'Route of Administration'!$A$5:$A$155,0)),"")</f>
        <v>IV, IM</v>
      </c>
      <c r="AE631" s="14" t="str">
        <f aca="false">IFERROR(INDEX('Route of Administration'!$D$5:$D$155,MATCH($C631,'Route of Administration'!$A$5:$A$155,0)),"")</f>
        <v>Yes</v>
      </c>
    </row>
    <row r="632" customFormat="false" ht="28.35" hidden="false" customHeight="false" outlineLevel="0" collapsed="false">
      <c r="B632" s="15" t="n">
        <v>630</v>
      </c>
      <c r="C632" s="15" t="s">
        <v>329</v>
      </c>
      <c r="D632" s="15" t="s">
        <v>1383</v>
      </c>
      <c r="E632" s="15" t="s">
        <v>201</v>
      </c>
      <c r="F632" s="15" t="s">
        <v>2620</v>
      </c>
      <c r="G632" s="16" t="s">
        <v>1665</v>
      </c>
      <c r="H632" s="15" t="s">
        <v>1505</v>
      </c>
      <c r="I632" s="17" t="n">
        <v>34.58</v>
      </c>
      <c r="J632" s="15" t="n">
        <v>1</v>
      </c>
      <c r="K632" s="15" t="n">
        <v>335</v>
      </c>
      <c r="L632" s="18" t="n">
        <v>5713.56</v>
      </c>
      <c r="M632" s="16" t="s">
        <v>330</v>
      </c>
      <c r="N632" s="17" t="n">
        <v>34.58</v>
      </c>
      <c r="O632" s="15" t="s">
        <v>1506</v>
      </c>
      <c r="P632" s="15" t="s">
        <v>1507</v>
      </c>
      <c r="Q632" s="16" t="s">
        <v>1508</v>
      </c>
      <c r="R632" s="32" t="s">
        <v>2623</v>
      </c>
      <c r="S632" s="37" t="n">
        <f aca="false">IFERROR(INDEX('Injectable Value'!$Z$28:$Z$178,MATCH($C632,'Injectable Value'!$A$28:$A$178,0)),"")</f>
        <v>1</v>
      </c>
      <c r="T632" s="18" t="n">
        <f aca="false">IFERROR(ROUND(INDEX('Injectable Value'!$AA$28:$AA$178,MATCH($C632,'Injectable Value'!$A$28:$A$178,0)),1),"")</f>
        <v>5713.6</v>
      </c>
      <c r="U632" s="16" t="s">
        <v>1112</v>
      </c>
      <c r="V632" s="15" t="n">
        <v>1</v>
      </c>
      <c r="W632" s="15" t="s">
        <v>1112</v>
      </c>
      <c r="X632" s="15" t="s">
        <v>248</v>
      </c>
      <c r="Y632" s="15" t="s">
        <v>277</v>
      </c>
      <c r="Z632" s="16" t="str">
        <f aca="false">IFERROR(INDEX(Scoring!$K:$K,MATCH($C632&amp;"|"&amp;$E632,Scoring!$U:$U,0)),"")</f>
        <v/>
      </c>
      <c r="AA632" s="15" t="str">
        <f aca="false">IFERROR(INDEX(Scoring!$Q:$Q,MATCH($C632&amp;"|"&amp;$E632,Scoring!$U:$U,0)),"")</f>
        <v>Priority 1</v>
      </c>
      <c r="AB632" s="15" t="str">
        <f aca="false">IFERROR(INDEX(Scoring!$AK:$AK,MATCH($C632&amp;"|"&amp;$E632,Scoring!$U:$U,0)),"")</f>
        <v>Priority 1</v>
      </c>
      <c r="AC632" s="18" t="n">
        <f aca="false">IFERROR(INDEX(Scoring!$M:$M,MATCH($C632&amp;"|"&amp;$E632,Scoring!$U:$U,0)),"")</f>
        <v>335</v>
      </c>
      <c r="AD632" s="15" t="str">
        <f aca="false">IFERROR(INDEX('Route of Administration'!$C$5:$C$155,MATCH($C632,'Route of Administration'!$A$5:$A$155,0)),"")</f>
        <v>IV, IM</v>
      </c>
      <c r="AE632" s="14" t="str">
        <f aca="false">IFERROR(INDEX('Route of Administration'!$D$5:$D$155,MATCH($C632,'Route of Administration'!$A$5:$A$155,0)),"")</f>
        <v>Yes</v>
      </c>
    </row>
    <row r="633" customFormat="false" ht="28.35" hidden="false" customHeight="false" outlineLevel="0" collapsed="false">
      <c r="B633" s="15" t="n">
        <v>631</v>
      </c>
      <c r="C633" s="15" t="s">
        <v>584</v>
      </c>
      <c r="D633" s="15" t="s">
        <v>1381</v>
      </c>
      <c r="E633" s="15" t="s">
        <v>201</v>
      </c>
      <c r="F633" s="15" t="s">
        <v>2624</v>
      </c>
      <c r="G633" s="16" t="s">
        <v>2625</v>
      </c>
      <c r="H633" s="15" t="s">
        <v>1505</v>
      </c>
      <c r="I633" s="17" t="n">
        <v>81.96</v>
      </c>
      <c r="J633" s="15" t="n">
        <v>1</v>
      </c>
      <c r="K633" s="15" t="n">
        <v>441</v>
      </c>
      <c r="L633" s="18" t="n">
        <v>3973.65</v>
      </c>
      <c r="M633" s="16" t="s">
        <v>585</v>
      </c>
      <c r="N633" s="17" t="n">
        <v>81.96</v>
      </c>
      <c r="O633" s="15" t="s">
        <v>1506</v>
      </c>
      <c r="P633" s="15" t="s">
        <v>1507</v>
      </c>
      <c r="Q633" s="16" t="s">
        <v>1508</v>
      </c>
      <c r="R633" s="32" t="s">
        <v>2626</v>
      </c>
      <c r="S633" s="37" t="n">
        <f aca="false">IFERROR(INDEX('Injectable Value'!$Z$28:$Z$178,MATCH($C633,'Injectable Value'!$A$28:$A$178,0)),"")</f>
        <v>1</v>
      </c>
      <c r="T633" s="18" t="n">
        <f aca="false">IFERROR(ROUND(INDEX('Injectable Value'!$AA$28:$AA$178,MATCH($C633,'Injectable Value'!$A$28:$A$178,0)),1),"")</f>
        <v>3973.7</v>
      </c>
      <c r="U633" s="16" t="s">
        <v>1112</v>
      </c>
      <c r="V633" s="15" t="n">
        <v>1</v>
      </c>
      <c r="W633" s="15" t="s">
        <v>1112</v>
      </c>
      <c r="X633" s="15" t="s">
        <v>248</v>
      </c>
      <c r="Y633" s="15" t="s">
        <v>299</v>
      </c>
      <c r="Z633" s="16" t="str">
        <f aca="false">IFERROR(INDEX(Scoring!$K:$K,MATCH($C633&amp;"|"&amp;$E633,Scoring!$U:$U,0)),"")</f>
        <v>Cancer drug (cytotoxic) – less relevant; Reconstitution</v>
      </c>
      <c r="AA633" s="15" t="str">
        <f aca="false">IFERROR(INDEX(Scoring!$Q:$Q,MATCH($C633&amp;"|"&amp;$E633,Scoring!$U:$U,0)),"")</f>
        <v>Priority 1</v>
      </c>
      <c r="AB633" s="15" t="str">
        <f aca="false">IFERROR(INDEX(Scoring!$AK:$AK,MATCH($C633&amp;"|"&amp;$E633,Scoring!$U:$U,0)),"")</f>
        <v>Priority 1</v>
      </c>
      <c r="AC633" s="18" t="n">
        <f aca="false">IFERROR(INDEX(Scoring!$M:$M,MATCH($C633&amp;"|"&amp;$E633,Scoring!$U:$U,0)),"")</f>
        <v>441</v>
      </c>
      <c r="AD633" s="15" t="str">
        <f aca="false">IFERROR(INDEX('Route of Administration'!$C$5:$C$155,MATCH($C633,'Route of Administration'!$A$5:$A$155,0)),"")</f>
        <v>IV, IM, SC</v>
      </c>
      <c r="AE633" s="14" t="str">
        <f aca="false">IFERROR(INDEX('Route of Administration'!$D$5:$D$155,MATCH($C633,'Route of Administration'!$A$5:$A$155,0)),"")</f>
        <v>Yes</v>
      </c>
    </row>
    <row r="634" customFormat="false" ht="28.35" hidden="false" customHeight="false" outlineLevel="0" collapsed="false">
      <c r="B634" s="15" t="n">
        <v>632</v>
      </c>
      <c r="C634" s="15" t="s">
        <v>451</v>
      </c>
      <c r="D634" s="15" t="s">
        <v>2627</v>
      </c>
      <c r="E634" s="15" t="s">
        <v>201</v>
      </c>
      <c r="F634" s="15" t="s">
        <v>1703</v>
      </c>
      <c r="G634" s="16" t="s">
        <v>1704</v>
      </c>
      <c r="H634" s="15" t="s">
        <v>1505</v>
      </c>
      <c r="I634" s="17" t="n">
        <v>12.0797</v>
      </c>
      <c r="J634" s="15" t="n">
        <v>29</v>
      </c>
      <c r="K634" s="15" t="n">
        <v>1185</v>
      </c>
      <c r="L634" s="18" t="n">
        <v>59407.06</v>
      </c>
      <c r="M634" s="16" t="s">
        <v>452</v>
      </c>
      <c r="N634" s="17" t="n">
        <v>12.0797</v>
      </c>
      <c r="O634" s="15" t="s">
        <v>1506</v>
      </c>
      <c r="P634" s="15" t="s">
        <v>1672</v>
      </c>
      <c r="Q634" s="16" t="s">
        <v>1508</v>
      </c>
      <c r="R634" s="32" t="s">
        <v>1673</v>
      </c>
      <c r="S634" s="37" t="n">
        <f aca="false">IFERROR(INDEX('Injectable Value'!$Z$28:$Z$178,MATCH($C634,'Injectable Value'!$A$28:$A$178,0)),"")</f>
        <v>0.991808067465962</v>
      </c>
      <c r="T634" s="18" t="n">
        <f aca="false">IFERROR(ROUND(INDEX('Injectable Value'!$AA$28:$AA$178,MATCH($C634,'Injectable Value'!$A$28:$A$178,0)),1),"")</f>
        <v>58920.4</v>
      </c>
      <c r="U634" s="16" t="s">
        <v>1386</v>
      </c>
      <c r="V634" s="15" t="n">
        <v>10</v>
      </c>
      <c r="W634" s="15" t="s">
        <v>298</v>
      </c>
      <c r="X634" s="15" t="s">
        <v>248</v>
      </c>
      <c r="Y634" s="15" t="s">
        <v>299</v>
      </c>
      <c r="Z634" s="16" t="str">
        <f aca="false">IFERROR(INDEX(Scoring!$K:$K,MATCH($C634&amp;"|"&amp;$E634,Scoring!$U:$U,0)),"")</f>
        <v>Reconstitution</v>
      </c>
      <c r="AA634" s="15" t="str">
        <f aca="false">IFERROR(INDEX(Scoring!$Q:$Q,MATCH($C634&amp;"|"&amp;$E634,Scoring!$U:$U,0)),"")</f>
        <v>Excluded – IV only</v>
      </c>
      <c r="AB634" s="15" t="str">
        <f aca="false">IFERROR(INDEX(Scoring!$AK:$AK,MATCH($C634&amp;"|"&amp;$E634,Scoring!$U:$U,0)),"")</f>
        <v>Excluded – IV only</v>
      </c>
      <c r="AC634" s="18" t="n">
        <f aca="false">IFERROR(INDEX(Scoring!$M:$M,MATCH($C634&amp;"|"&amp;$E634,Scoring!$U:$U,0)),"")</f>
        <v>1175</v>
      </c>
      <c r="AD634" s="15" t="str">
        <f aca="false">IFERROR(INDEX('Route of Administration'!$C$5:$C$155,MATCH($C634,'Route of Administration'!$A$5:$A$155,0)),"")</f>
        <v>IV</v>
      </c>
      <c r="AE634" s="14" t="str">
        <f aca="false">IFERROR(INDEX('Route of Administration'!$D$5:$D$155,MATCH($C634,'Route of Administration'!$A$5:$A$155,0)),"")</f>
        <v>No</v>
      </c>
    </row>
    <row r="635" customFormat="false" ht="28.35" hidden="false" customHeight="false" outlineLevel="0" collapsed="false">
      <c r="B635" s="15" t="n">
        <v>633</v>
      </c>
      <c r="C635" s="15" t="s">
        <v>451</v>
      </c>
      <c r="D635" s="15" t="s">
        <v>2627</v>
      </c>
      <c r="E635" s="15" t="s">
        <v>201</v>
      </c>
      <c r="F635" s="15" t="s">
        <v>1703</v>
      </c>
      <c r="G635" s="16" t="s">
        <v>1704</v>
      </c>
      <c r="H635" s="15" t="s">
        <v>1505</v>
      </c>
      <c r="I635" s="17" t="n">
        <v>12.0797</v>
      </c>
      <c r="J635" s="15" t="n">
        <v>30</v>
      </c>
      <c r="K635" s="15" t="n">
        <v>1185</v>
      </c>
      <c r="L635" s="18" t="n">
        <v>59407.06</v>
      </c>
      <c r="M635" s="16" t="s">
        <v>452</v>
      </c>
      <c r="N635" s="17" t="n">
        <v>12.0797</v>
      </c>
      <c r="O635" s="15" t="s">
        <v>1506</v>
      </c>
      <c r="P635" s="15" t="s">
        <v>1672</v>
      </c>
      <c r="Q635" s="16" t="s">
        <v>1508</v>
      </c>
      <c r="R635" s="32" t="s">
        <v>1673</v>
      </c>
      <c r="S635" s="37" t="n">
        <f aca="false">IFERROR(INDEX('Injectable Value'!$Z$28:$Z$178,MATCH($C635,'Injectable Value'!$A$28:$A$178,0)),"")</f>
        <v>0.991808067465962</v>
      </c>
      <c r="T635" s="18" t="n">
        <f aca="false">IFERROR(ROUND(INDEX('Injectable Value'!$AA$28:$AA$178,MATCH($C635,'Injectable Value'!$A$28:$A$178,0)),1),"")</f>
        <v>58920.4</v>
      </c>
      <c r="U635" s="16" t="s">
        <v>1386</v>
      </c>
      <c r="V635" s="15" t="n">
        <v>10</v>
      </c>
      <c r="W635" s="15" t="s">
        <v>298</v>
      </c>
      <c r="X635" s="15" t="s">
        <v>248</v>
      </c>
      <c r="Y635" s="15" t="s">
        <v>299</v>
      </c>
      <c r="Z635" s="16" t="str">
        <f aca="false">IFERROR(INDEX(Scoring!$K:$K,MATCH($C635&amp;"|"&amp;$E635,Scoring!$U:$U,0)),"")</f>
        <v>Reconstitution</v>
      </c>
      <c r="AA635" s="15" t="str">
        <f aca="false">IFERROR(INDEX(Scoring!$Q:$Q,MATCH($C635&amp;"|"&amp;$E635,Scoring!$U:$U,0)),"")</f>
        <v>Excluded – IV only</v>
      </c>
      <c r="AB635" s="15" t="str">
        <f aca="false">IFERROR(INDEX(Scoring!$AK:$AK,MATCH($C635&amp;"|"&amp;$E635,Scoring!$U:$U,0)),"")</f>
        <v>Excluded – IV only</v>
      </c>
      <c r="AC635" s="18" t="n">
        <f aca="false">IFERROR(INDEX(Scoring!$M:$M,MATCH($C635&amp;"|"&amp;$E635,Scoring!$U:$U,0)),"")</f>
        <v>1175</v>
      </c>
      <c r="AD635" s="15" t="str">
        <f aca="false">IFERROR(INDEX('Route of Administration'!$C$5:$C$155,MATCH($C635,'Route of Administration'!$A$5:$A$155,0)),"")</f>
        <v>IV</v>
      </c>
      <c r="AE635" s="14" t="str">
        <f aca="false">IFERROR(INDEX('Route of Administration'!$D$5:$D$155,MATCH($C635,'Route of Administration'!$A$5:$A$155,0)),"")</f>
        <v>No</v>
      </c>
    </row>
    <row r="636" customFormat="false" ht="28.35" hidden="false" customHeight="false" outlineLevel="0" collapsed="false">
      <c r="B636" s="15" t="n">
        <v>634</v>
      </c>
      <c r="C636" s="15" t="s">
        <v>495</v>
      </c>
      <c r="D636" s="15" t="s">
        <v>497</v>
      </c>
      <c r="E636" s="15" t="s">
        <v>202</v>
      </c>
      <c r="F636" s="15" t="s">
        <v>1567</v>
      </c>
      <c r="G636" s="16" t="s">
        <v>2628</v>
      </c>
      <c r="H636" s="15" t="s">
        <v>1505</v>
      </c>
      <c r="I636" s="17" t="n">
        <v>10.93</v>
      </c>
      <c r="J636" s="15" t="n">
        <v>1</v>
      </c>
      <c r="K636" s="15" t="n">
        <v>10</v>
      </c>
      <c r="L636" s="18" t="n">
        <v>280.98</v>
      </c>
      <c r="M636" s="16" t="s">
        <v>476</v>
      </c>
      <c r="N636" s="17" t="n">
        <v>10.93</v>
      </c>
      <c r="O636" s="15" t="s">
        <v>1506</v>
      </c>
      <c r="P636" s="15" t="s">
        <v>1507</v>
      </c>
      <c r="Q636" s="16" t="s">
        <v>1508</v>
      </c>
      <c r="R636" s="32" t="s">
        <v>1578</v>
      </c>
      <c r="S636" s="37" t="n">
        <f aca="false">IFERROR(INDEX('Injectable Value'!$Z$28:$Z$178,MATCH($C636,'Injectable Value'!$A$28:$A$178,0)),"")</f>
        <v>0.928571428571429</v>
      </c>
      <c r="T636" s="18" t="n">
        <f aca="false">IFERROR(ROUND(INDEX('Injectable Value'!$AA$28:$AA$178,MATCH($C636,'Injectable Value'!$A$28:$A$178,0)),1),"")</f>
        <v>260.9</v>
      </c>
      <c r="U636" s="16" t="s">
        <v>247</v>
      </c>
      <c r="V636" s="15" t="n">
        <v>1</v>
      </c>
      <c r="W636" s="15" t="s">
        <v>247</v>
      </c>
      <c r="X636" s="15" t="s">
        <v>248</v>
      </c>
      <c r="Y636" s="15" t="s">
        <v>299</v>
      </c>
      <c r="Z636" s="16" t="str">
        <f aca="false">IFERROR(INDEX(Scoring!$K:$K,MATCH($C636&amp;"|"&amp;$E636,Scoring!$U:$U,0)),"")</f>
        <v>Reconstitution</v>
      </c>
      <c r="AA636" s="15" t="str">
        <f aca="false">IFERROR(INDEX(Scoring!$Q:$Q,MATCH($C636&amp;"|"&amp;$E636,Scoring!$U:$U,0)),"")</f>
        <v>Priority 3</v>
      </c>
      <c r="AB636" s="15" t="str">
        <f aca="false">IFERROR(INDEX(Scoring!$AK:$AK,MATCH($C636&amp;"|"&amp;$E636,Scoring!$U:$U,0)),"")</f>
        <v>Priority 3</v>
      </c>
      <c r="AC636" s="18" t="n">
        <f aca="false">IFERROR(INDEX(Scoring!$M:$M,MATCH($C636&amp;"|"&amp;$E636,Scoring!$U:$U,0)),"")</f>
        <v>9</v>
      </c>
      <c r="AD636" s="15" t="str">
        <f aca="false">IFERROR(INDEX('Route of Administration'!$C$5:$C$155,MATCH($C636,'Route of Administration'!$A$5:$A$155,0)),"")</f>
        <v>IV, IM</v>
      </c>
      <c r="AE636" s="14" t="str">
        <f aca="false">IFERROR(INDEX('Route of Administration'!$D$5:$D$155,MATCH($C636,'Route of Administration'!$A$5:$A$155,0)),"")</f>
        <v>Yes</v>
      </c>
    </row>
    <row r="637" customFormat="false" ht="28.35" hidden="false" customHeight="false" outlineLevel="0" collapsed="false">
      <c r="B637" s="15" t="n">
        <v>635</v>
      </c>
      <c r="C637" s="15" t="s">
        <v>495</v>
      </c>
      <c r="D637" s="15" t="s">
        <v>497</v>
      </c>
      <c r="E637" s="15" t="s">
        <v>202</v>
      </c>
      <c r="F637" s="15" t="s">
        <v>1570</v>
      </c>
      <c r="G637" s="16" t="s">
        <v>2628</v>
      </c>
      <c r="H637" s="15" t="s">
        <v>1505</v>
      </c>
      <c r="I637" s="17"/>
      <c r="J637" s="15" t="n">
        <v>1</v>
      </c>
      <c r="K637" s="15" t="n">
        <v>10</v>
      </c>
      <c r="L637" s="18" t="n">
        <v>280.98</v>
      </c>
      <c r="M637" s="16" t="s">
        <v>476</v>
      </c>
      <c r="N637" s="17"/>
      <c r="O637" s="15" t="s">
        <v>1545</v>
      </c>
      <c r="P637" s="15" t="s">
        <v>70</v>
      </c>
      <c r="Q637" s="16" t="s">
        <v>70</v>
      </c>
      <c r="R637" s="15"/>
      <c r="S637" s="37" t="n">
        <f aca="false">IFERROR(INDEX('Injectable Value'!$Z$28:$Z$178,MATCH($C637,'Injectable Value'!$A$28:$A$178,0)),"")</f>
        <v>0.928571428571429</v>
      </c>
      <c r="T637" s="18" t="n">
        <f aca="false">IFERROR(ROUND(INDEX('Injectable Value'!$AA$28:$AA$178,MATCH($C637,'Injectable Value'!$A$28:$A$178,0)),1),"")</f>
        <v>260.9</v>
      </c>
      <c r="U637" s="16" t="s">
        <v>247</v>
      </c>
      <c r="V637" s="15" t="n">
        <v>1</v>
      </c>
      <c r="W637" s="15" t="s">
        <v>247</v>
      </c>
      <c r="X637" s="15" t="s">
        <v>248</v>
      </c>
      <c r="Y637" s="15" t="s">
        <v>299</v>
      </c>
      <c r="Z637" s="16" t="str">
        <f aca="false">IFERROR(INDEX(Scoring!$K:$K,MATCH($C637&amp;"|"&amp;$E637,Scoring!$U:$U,0)),"")</f>
        <v>Reconstitution</v>
      </c>
      <c r="AA637" s="15" t="str">
        <f aca="false">IFERROR(INDEX(Scoring!$Q:$Q,MATCH($C637&amp;"|"&amp;$E637,Scoring!$U:$U,0)),"")</f>
        <v>Priority 3</v>
      </c>
      <c r="AB637" s="15" t="str">
        <f aca="false">IFERROR(INDEX(Scoring!$AK:$AK,MATCH($C637&amp;"|"&amp;$E637,Scoring!$U:$U,0)),"")</f>
        <v>Priority 3</v>
      </c>
      <c r="AC637" s="18" t="n">
        <f aca="false">IFERROR(INDEX(Scoring!$M:$M,MATCH($C637&amp;"|"&amp;$E637,Scoring!$U:$U,0)),"")</f>
        <v>9</v>
      </c>
      <c r="AD637" s="15" t="str">
        <f aca="false">IFERROR(INDEX('Route of Administration'!$C$5:$C$155,MATCH($C637,'Route of Administration'!$A$5:$A$155,0)),"")</f>
        <v>IV, IM</v>
      </c>
      <c r="AE637" s="14" t="str">
        <f aca="false">IFERROR(INDEX('Route of Administration'!$D$5:$D$155,MATCH($C637,'Route of Administration'!$A$5:$A$155,0)),"")</f>
        <v>Yes</v>
      </c>
    </row>
    <row r="638" customFormat="false" ht="41.75" hidden="false" customHeight="false" outlineLevel="0" collapsed="false">
      <c r="B638" s="15" t="n">
        <v>636</v>
      </c>
      <c r="C638" s="15" t="s">
        <v>336</v>
      </c>
      <c r="D638" s="15" t="s">
        <v>336</v>
      </c>
      <c r="E638" s="15" t="s">
        <v>202</v>
      </c>
      <c r="F638" s="15" t="s">
        <v>2629</v>
      </c>
      <c r="G638" s="16" t="s">
        <v>2630</v>
      </c>
      <c r="H638" s="15" t="s">
        <v>1505</v>
      </c>
      <c r="I638" s="17" t="n">
        <v>5.24</v>
      </c>
      <c r="J638" s="15" t="n">
        <v>1</v>
      </c>
      <c r="K638" s="15" t="n">
        <v>3110</v>
      </c>
      <c r="L638" s="18" t="n">
        <v>93119.22</v>
      </c>
      <c r="M638" s="16" t="s">
        <v>337</v>
      </c>
      <c r="N638" s="17" t="n">
        <v>5.24</v>
      </c>
      <c r="O638" s="15" t="s">
        <v>1506</v>
      </c>
      <c r="P638" s="15" t="s">
        <v>1507</v>
      </c>
      <c r="Q638" s="16" t="s">
        <v>1508</v>
      </c>
      <c r="R638" s="32" t="s">
        <v>2631</v>
      </c>
      <c r="S638" s="37" t="n">
        <f aca="false">IFERROR(INDEX('Injectable Value'!$Z$28:$Z$178,MATCH($C638,'Injectable Value'!$A$28:$A$178,0)),"")</f>
        <v>1</v>
      </c>
      <c r="T638" s="18" t="n">
        <f aca="false">IFERROR(ROUND(INDEX('Injectable Value'!$AA$28:$AA$178,MATCH($C638,'Injectable Value'!$A$28:$A$178,0)),1),"")</f>
        <v>93119.2</v>
      </c>
      <c r="U638" s="16" t="s">
        <v>1398</v>
      </c>
      <c r="V638" s="15" t="n">
        <v>5</v>
      </c>
      <c r="W638" s="15" t="s">
        <v>823</v>
      </c>
      <c r="X638" s="15" t="s">
        <v>248</v>
      </c>
      <c r="Y638" s="15" t="s">
        <v>277</v>
      </c>
      <c r="Z638" s="16" t="str">
        <f aca="false">IFERROR(INDEX(Scoring!$K:$K,MATCH($C638&amp;"|"&amp;$E638,Scoring!$U:$U,0)),"")</f>
        <v>Reconstitution</v>
      </c>
      <c r="AA638" s="15" t="str">
        <f aca="false">IFERROR(INDEX(Scoring!$Q:$Q,MATCH($C638&amp;"|"&amp;$E638,Scoring!$U:$U,0)),"")</f>
        <v>Priority 2</v>
      </c>
      <c r="AB638" s="15" t="str">
        <f aca="false">IFERROR(INDEX(Scoring!$AK:$AK,MATCH($C638&amp;"|"&amp;$E638,Scoring!$U:$U,0)),"")</f>
        <v>Priority 2</v>
      </c>
      <c r="AC638" s="18" t="n">
        <f aca="false">IFERROR(INDEX(Scoring!$M:$M,MATCH($C638&amp;"|"&amp;$E638,Scoring!$U:$U,0)),"")</f>
        <v>3110</v>
      </c>
      <c r="AD638" s="15" t="str">
        <f aca="false">IFERROR(INDEX('Route of Administration'!$C$5:$C$155,MATCH($C638,'Route of Administration'!$A$5:$A$155,0)),"")</f>
        <v>IV, IM</v>
      </c>
      <c r="AE638" s="14" t="str">
        <f aca="false">IFERROR(INDEX('Route of Administration'!$D$5:$D$155,MATCH($C638,'Route of Administration'!$A$5:$A$155,0)),"")</f>
        <v>Yes</v>
      </c>
    </row>
    <row r="639" customFormat="false" ht="28.35" hidden="false" customHeight="false" outlineLevel="0" collapsed="false">
      <c r="B639" s="15" t="n">
        <v>637</v>
      </c>
      <c r="C639" s="15" t="s">
        <v>336</v>
      </c>
      <c r="D639" s="15" t="s">
        <v>336</v>
      </c>
      <c r="E639" s="15" t="s">
        <v>202</v>
      </c>
      <c r="F639" s="15" t="s">
        <v>2533</v>
      </c>
      <c r="G639" s="16" t="s">
        <v>2632</v>
      </c>
      <c r="H639" s="15" t="s">
        <v>1505</v>
      </c>
      <c r="I639" s="17" t="n">
        <v>6.3</v>
      </c>
      <c r="J639" s="15" t="n">
        <v>1</v>
      </c>
      <c r="K639" s="15" t="n">
        <v>3110</v>
      </c>
      <c r="L639" s="18" t="n">
        <v>93119.22</v>
      </c>
      <c r="M639" s="16" t="s">
        <v>337</v>
      </c>
      <c r="N639" s="17" t="n">
        <v>6.3</v>
      </c>
      <c r="O639" s="15" t="s">
        <v>1506</v>
      </c>
      <c r="P639" s="15" t="s">
        <v>1507</v>
      </c>
      <c r="Q639" s="16" t="s">
        <v>1508</v>
      </c>
      <c r="R639" s="32" t="s">
        <v>2631</v>
      </c>
      <c r="S639" s="37" t="n">
        <f aca="false">IFERROR(INDEX('Injectable Value'!$Z$28:$Z$178,MATCH($C639,'Injectable Value'!$A$28:$A$178,0)),"")</f>
        <v>1</v>
      </c>
      <c r="T639" s="18" t="n">
        <f aca="false">IFERROR(ROUND(INDEX('Injectable Value'!$AA$28:$AA$178,MATCH($C639,'Injectable Value'!$A$28:$A$178,0)),1),"")</f>
        <v>93119.2</v>
      </c>
      <c r="U639" s="16" t="s">
        <v>1398</v>
      </c>
      <c r="V639" s="15" t="n">
        <v>5</v>
      </c>
      <c r="W639" s="15" t="s">
        <v>823</v>
      </c>
      <c r="X639" s="15" t="s">
        <v>248</v>
      </c>
      <c r="Y639" s="15" t="s">
        <v>277</v>
      </c>
      <c r="Z639" s="16" t="str">
        <f aca="false">IFERROR(INDEX(Scoring!$K:$K,MATCH($C639&amp;"|"&amp;$E639,Scoring!$U:$U,0)),"")</f>
        <v>Reconstitution</v>
      </c>
      <c r="AA639" s="15" t="str">
        <f aca="false">IFERROR(INDEX(Scoring!$Q:$Q,MATCH($C639&amp;"|"&amp;$E639,Scoring!$U:$U,0)),"")</f>
        <v>Priority 2</v>
      </c>
      <c r="AB639" s="15" t="str">
        <f aca="false">IFERROR(INDEX(Scoring!$AK:$AK,MATCH($C639&amp;"|"&amp;$E639,Scoring!$U:$U,0)),"")</f>
        <v>Priority 2</v>
      </c>
      <c r="AC639" s="18" t="n">
        <f aca="false">IFERROR(INDEX(Scoring!$M:$M,MATCH($C639&amp;"|"&amp;$E639,Scoring!$U:$U,0)),"")</f>
        <v>3110</v>
      </c>
      <c r="AD639" s="15" t="str">
        <f aca="false">IFERROR(INDEX('Route of Administration'!$C$5:$C$155,MATCH($C639,'Route of Administration'!$A$5:$A$155,0)),"")</f>
        <v>IV, IM</v>
      </c>
      <c r="AE639" s="14" t="str">
        <f aca="false">IFERROR(INDEX('Route of Administration'!$D$5:$D$155,MATCH($C639,'Route of Administration'!$A$5:$A$155,0)),"")</f>
        <v>Yes</v>
      </c>
    </row>
    <row r="640" customFormat="false" ht="28.35" hidden="false" customHeight="false" outlineLevel="0" collapsed="false">
      <c r="B640" s="15" t="n">
        <v>638</v>
      </c>
      <c r="C640" s="15" t="s">
        <v>356</v>
      </c>
      <c r="D640" s="15" t="s">
        <v>356</v>
      </c>
      <c r="E640" s="15" t="s">
        <v>202</v>
      </c>
      <c r="F640" s="15" t="s">
        <v>1807</v>
      </c>
      <c r="G640" s="16" t="s">
        <v>1689</v>
      </c>
      <c r="H640" s="15" t="s">
        <v>1505</v>
      </c>
      <c r="I640" s="17" t="n">
        <v>81.96</v>
      </c>
      <c r="J640" s="15" t="n">
        <v>1</v>
      </c>
      <c r="K640" s="15" t="n">
        <v>312</v>
      </c>
      <c r="L640" s="18" t="n">
        <v>59827.18</v>
      </c>
      <c r="M640" s="16" t="s">
        <v>357</v>
      </c>
      <c r="N640" s="17" t="n">
        <v>81.96</v>
      </c>
      <c r="O640" s="15" t="s">
        <v>1506</v>
      </c>
      <c r="P640" s="15" t="s">
        <v>1672</v>
      </c>
      <c r="Q640" s="16" t="s">
        <v>1508</v>
      </c>
      <c r="R640" s="32" t="s">
        <v>2633</v>
      </c>
      <c r="S640" s="37" t="n">
        <f aca="false">IFERROR(INDEX('Injectable Value'!$Z$28:$Z$178,MATCH($C640,'Injectable Value'!$A$28:$A$178,0)),"")</f>
        <v>1</v>
      </c>
      <c r="T640" s="18" t="n">
        <f aca="false">IFERROR(ROUND(INDEX('Injectable Value'!$AA$28:$AA$178,MATCH($C640,'Injectable Value'!$A$28:$A$178,0)),1),"")</f>
        <v>59827.2</v>
      </c>
      <c r="U640" s="16" t="s">
        <v>1404</v>
      </c>
      <c r="V640" s="15" t="n">
        <v>3</v>
      </c>
      <c r="W640" s="15" t="s">
        <v>740</v>
      </c>
      <c r="X640" s="15" t="s">
        <v>248</v>
      </c>
      <c r="Y640" s="15" t="s">
        <v>299</v>
      </c>
      <c r="Z640" s="16" t="str">
        <f aca="false">IFERROR(INDEX(Scoring!$K:$K,MATCH($C640&amp;"|"&amp;$E640,Scoring!$U:$U,0)),"")</f>
        <v>Reconstitution</v>
      </c>
      <c r="AA640" s="15" t="str">
        <f aca="false">IFERROR(INDEX(Scoring!$Q:$Q,MATCH($C640&amp;"|"&amp;$E640,Scoring!$U:$U,0)),"")</f>
        <v>Excluded – IV only</v>
      </c>
      <c r="AB640" s="15" t="str">
        <f aca="false">IFERROR(INDEX(Scoring!$AK:$AK,MATCH($C640&amp;"|"&amp;$E640,Scoring!$U:$U,0)),"")</f>
        <v>Excluded – IV only</v>
      </c>
      <c r="AC640" s="18" t="n">
        <f aca="false">IFERROR(INDEX(Scoring!$M:$M,MATCH($C640&amp;"|"&amp;$E640,Scoring!$U:$U,0)),"")</f>
        <v>312</v>
      </c>
      <c r="AD640" s="15" t="str">
        <f aca="false">IFERROR(INDEX('Route of Administration'!$C$5:$C$155,MATCH($C640,'Route of Administration'!$A$5:$A$155,0)),"")</f>
        <v>IV</v>
      </c>
      <c r="AE640" s="14" t="str">
        <f aca="false">IFERROR(INDEX('Route of Administration'!$D$5:$D$155,MATCH($C640,'Route of Administration'!$A$5:$A$155,0)),"")</f>
        <v>No</v>
      </c>
    </row>
    <row r="641" customFormat="false" ht="28.35" hidden="false" customHeight="false" outlineLevel="0" collapsed="false">
      <c r="B641" s="15" t="n">
        <v>639</v>
      </c>
      <c r="C641" s="15" t="s">
        <v>635</v>
      </c>
      <c r="D641" s="15" t="s">
        <v>635</v>
      </c>
      <c r="E641" s="15" t="s">
        <v>202</v>
      </c>
      <c r="F641" s="15" t="s">
        <v>1732</v>
      </c>
      <c r="G641" s="16" t="s">
        <v>2089</v>
      </c>
      <c r="H641" s="15" t="s">
        <v>1505</v>
      </c>
      <c r="I641" s="17" t="n">
        <v>197.11</v>
      </c>
      <c r="J641" s="15" t="n">
        <v>1</v>
      </c>
      <c r="K641" s="15" t="n">
        <v>346</v>
      </c>
      <c r="L641" s="18" t="n">
        <v>32830.17</v>
      </c>
      <c r="M641" s="16" t="s">
        <v>636</v>
      </c>
      <c r="N641" s="17" t="n">
        <v>197.11</v>
      </c>
      <c r="O641" s="15" t="s">
        <v>1506</v>
      </c>
      <c r="P641" s="15" t="s">
        <v>1672</v>
      </c>
      <c r="Q641" s="16" t="s">
        <v>1508</v>
      </c>
      <c r="R641" s="32" t="s">
        <v>2634</v>
      </c>
      <c r="S641" s="37" t="n">
        <f aca="false">IFERROR(INDEX('Injectable Value'!$Z$28:$Z$178,MATCH($C641,'Injectable Value'!$A$28:$A$178,0)),"")</f>
        <v>1</v>
      </c>
      <c r="T641" s="18" t="n">
        <f aca="false">IFERROR(ROUND(INDEX('Injectable Value'!$AA$28:$AA$178,MATCH($C641,'Injectable Value'!$A$28:$A$178,0)),1),"")</f>
        <v>32830.2</v>
      </c>
      <c r="U641" s="16" t="s">
        <v>740</v>
      </c>
      <c r="V641" s="15" t="n">
        <v>2</v>
      </c>
      <c r="W641" s="15" t="s">
        <v>740</v>
      </c>
      <c r="X641" s="15" t="s">
        <v>248</v>
      </c>
      <c r="Y641" s="15" t="s">
        <v>249</v>
      </c>
      <c r="Z641" s="16" t="str">
        <f aca="false">IFERROR(INDEX(Scoring!$K:$K,MATCH($C641&amp;"|"&amp;$E641,Scoring!$U:$U,0)),"")</f>
        <v/>
      </c>
      <c r="AA641" s="15" t="str">
        <f aca="false">IFERROR(INDEX(Scoring!$Q:$Q,MATCH($C641&amp;"|"&amp;$E641,Scoring!$U:$U,0)),"")</f>
        <v>Excluded – IV only</v>
      </c>
      <c r="AB641" s="15" t="str">
        <f aca="false">IFERROR(INDEX(Scoring!$AK:$AK,MATCH($C641&amp;"|"&amp;$E641,Scoring!$U:$U,0)),"")</f>
        <v>Excluded – IV only</v>
      </c>
      <c r="AC641" s="18" t="n">
        <f aca="false">IFERROR(INDEX(Scoring!$M:$M,MATCH($C641&amp;"|"&amp;$E641,Scoring!$U:$U,0)),"")</f>
        <v>346</v>
      </c>
      <c r="AD641" s="15" t="str">
        <f aca="false">IFERROR(INDEX('Route of Administration'!$C$5:$C$155,MATCH($C641,'Route of Administration'!$A$5:$A$155,0)),"")</f>
        <v>IV</v>
      </c>
      <c r="AE641" s="14" t="str">
        <f aca="false">IFERROR(INDEX('Route of Administration'!$D$5:$D$155,MATCH($C641,'Route of Administration'!$A$5:$A$155,0)),"")</f>
        <v>No</v>
      </c>
    </row>
    <row r="642" customFormat="false" ht="28.35" hidden="false" customHeight="false" outlineLevel="0" collapsed="false">
      <c r="B642" s="15" t="n">
        <v>640</v>
      </c>
      <c r="C642" s="15" t="s">
        <v>1437</v>
      </c>
      <c r="D642" s="15" t="s">
        <v>1437</v>
      </c>
      <c r="E642" s="15" t="s">
        <v>202</v>
      </c>
      <c r="F642" s="15" t="s">
        <v>1732</v>
      </c>
      <c r="G642" s="16" t="s">
        <v>2635</v>
      </c>
      <c r="H642" s="15" t="s">
        <v>1505</v>
      </c>
      <c r="I642" s="17" t="n">
        <v>18.31</v>
      </c>
      <c r="J642" s="15" t="n">
        <v>1</v>
      </c>
      <c r="K642" s="15" t="n">
        <v>780</v>
      </c>
      <c r="L642" s="18" t="n">
        <v>18439.5</v>
      </c>
      <c r="M642" s="16" t="s">
        <v>1237</v>
      </c>
      <c r="N642" s="17" t="n">
        <v>18.31</v>
      </c>
      <c r="O642" s="15" t="s">
        <v>1506</v>
      </c>
      <c r="P642" s="15" t="s">
        <v>1672</v>
      </c>
      <c r="Q642" s="16" t="s">
        <v>1508</v>
      </c>
      <c r="R642" s="32" t="s">
        <v>2636</v>
      </c>
      <c r="S642" s="37" t="n">
        <f aca="false">IFERROR(INDEX('Injectable Value'!$Z$28:$Z$178,MATCH($C642,'Injectable Value'!$A$28:$A$178,0)),"")</f>
        <v>0.194160055301433</v>
      </c>
      <c r="T642" s="18" t="n">
        <f aca="false">IFERROR(ROUND(INDEX('Injectable Value'!$AA$28:$AA$178,MATCH($C642,'Injectable Value'!$A$28:$A$178,0)),1),"")</f>
        <v>3580.2</v>
      </c>
      <c r="U642" s="16" t="s">
        <v>1404</v>
      </c>
      <c r="V642" s="15" t="n">
        <v>3</v>
      </c>
      <c r="W642" s="15" t="s">
        <v>740</v>
      </c>
      <c r="X642" s="15" t="s">
        <v>316</v>
      </c>
      <c r="Y642" s="15" t="s">
        <v>249</v>
      </c>
      <c r="Z642" s="16" t="str">
        <f aca="false">IFERROR(INDEX(Scoring!$K:$K,MATCH($C642&amp;"|"&amp;$E642,Scoring!$U:$U,0)),"")</f>
        <v/>
      </c>
      <c r="AA642" s="15" t="str">
        <f aca="false">IFERROR(INDEX(Scoring!$Q:$Q,MATCH($C642&amp;"|"&amp;$E642,Scoring!$U:$U,0)),"")</f>
        <v>Excluded – IV only</v>
      </c>
      <c r="AB642" s="15" t="str">
        <f aca="false">IFERROR(INDEX(Scoring!$AK:$AK,MATCH($C642&amp;"|"&amp;$E642,Scoring!$U:$U,0)),"")</f>
        <v>Excluded – IV only</v>
      </c>
      <c r="AC642" s="18" t="n">
        <f aca="false">IFERROR(INDEX(Scoring!$M:$M,MATCH($C642&amp;"|"&amp;$E642,Scoring!$U:$U,0)),"")</f>
        <v>151</v>
      </c>
      <c r="AD642" s="15" t="str">
        <f aca="false">IFERROR(INDEX('Route of Administration'!$C$5:$C$155,MATCH($C642,'Route of Administration'!$A$5:$A$155,0)),"")</f>
        <v>IV</v>
      </c>
      <c r="AE642" s="14" t="str">
        <f aca="false">IFERROR(INDEX('Route of Administration'!$D$5:$D$155,MATCH($C642,'Route of Administration'!$A$5:$A$155,0)),"")</f>
        <v>No</v>
      </c>
    </row>
    <row r="643" customFormat="false" ht="28.35" hidden="false" customHeight="false" outlineLevel="0" collapsed="false">
      <c r="B643" s="15" t="n">
        <v>641</v>
      </c>
      <c r="C643" s="15" t="s">
        <v>525</v>
      </c>
      <c r="D643" s="15" t="s">
        <v>525</v>
      </c>
      <c r="E643" s="15" t="s">
        <v>202</v>
      </c>
      <c r="F643" s="15" t="s">
        <v>2637</v>
      </c>
      <c r="G643" s="16" t="s">
        <v>2638</v>
      </c>
      <c r="H643" s="15" t="s">
        <v>1505</v>
      </c>
      <c r="I643" s="17" t="n">
        <v>38.34</v>
      </c>
      <c r="J643" s="15" t="n">
        <v>1</v>
      </c>
      <c r="K643" s="15" t="n">
        <v>2</v>
      </c>
      <c r="L643" s="18" t="n">
        <v>71.73</v>
      </c>
      <c r="M643" s="16" t="s">
        <v>526</v>
      </c>
      <c r="N643" s="17" t="n">
        <v>38.34</v>
      </c>
      <c r="O643" s="15" t="s">
        <v>1506</v>
      </c>
      <c r="P643" s="15" t="s">
        <v>1672</v>
      </c>
      <c r="Q643" s="16" t="s">
        <v>1508</v>
      </c>
      <c r="R643" s="32" t="s">
        <v>2639</v>
      </c>
      <c r="S643" s="37" t="n">
        <f aca="false">IFERROR(INDEX('Injectable Value'!$Z$28:$Z$178,MATCH($C643,'Injectable Value'!$A$28:$A$178,0)),"")</f>
        <v>0.996078431372549</v>
      </c>
      <c r="T643" s="18" t="n">
        <f aca="false">IFERROR(ROUND(INDEX('Injectable Value'!$AA$28:$AA$178,MATCH($C643,'Injectable Value'!$A$28:$A$178,0)),1),"")</f>
        <v>71.4</v>
      </c>
      <c r="U643" s="16" t="s">
        <v>740</v>
      </c>
      <c r="V643" s="15" t="n">
        <v>2</v>
      </c>
      <c r="W643" s="15" t="s">
        <v>740</v>
      </c>
      <c r="X643" s="15" t="s">
        <v>248</v>
      </c>
      <c r="Y643" s="15" t="s">
        <v>299</v>
      </c>
      <c r="Z643" s="16" t="str">
        <f aca="false">IFERROR(INDEX(Scoring!$K:$K,MATCH($C643&amp;"|"&amp;$E643,Scoring!$U:$U,0)),"")</f>
        <v>Reconstitution</v>
      </c>
      <c r="AA643" s="15" t="str">
        <f aca="false">IFERROR(INDEX(Scoring!$Q:$Q,MATCH($C643&amp;"|"&amp;$E643,Scoring!$U:$U,0)),"")</f>
        <v>Excluded – IV only</v>
      </c>
      <c r="AB643" s="15" t="str">
        <f aca="false">IFERROR(INDEX(Scoring!$AK:$AK,MATCH($C643&amp;"|"&amp;$E643,Scoring!$U:$U,0)),"")</f>
        <v>Excluded – IV only</v>
      </c>
      <c r="AC643" s="18" t="n">
        <f aca="false">IFERROR(INDEX(Scoring!$M:$M,MATCH($C643&amp;"|"&amp;$E643,Scoring!$U:$U,0)),"")</f>
        <v>2</v>
      </c>
      <c r="AD643" s="15" t="str">
        <f aca="false">IFERROR(INDEX('Route of Administration'!$C$5:$C$155,MATCH($C643,'Route of Administration'!$A$5:$A$155,0)),"")</f>
        <v>IV</v>
      </c>
      <c r="AE643" s="14" t="str">
        <f aca="false">IFERROR(INDEX('Route of Administration'!$D$5:$D$155,MATCH($C643,'Route of Administration'!$A$5:$A$155,0)),"")</f>
        <v>No</v>
      </c>
    </row>
    <row r="644" customFormat="false" ht="28.35" hidden="false" customHeight="false" outlineLevel="0" collapsed="false">
      <c r="B644" s="15" t="n">
        <v>642</v>
      </c>
      <c r="C644" s="15" t="s">
        <v>1431</v>
      </c>
      <c r="D644" s="15" t="s">
        <v>2640</v>
      </c>
      <c r="E644" s="15" t="s">
        <v>202</v>
      </c>
      <c r="F644" s="15" t="s">
        <v>2039</v>
      </c>
      <c r="G644" s="16" t="s">
        <v>2290</v>
      </c>
      <c r="H644" s="15" t="s">
        <v>1505</v>
      </c>
      <c r="I644" s="17" t="n">
        <v>8.84</v>
      </c>
      <c r="J644" s="15" t="n">
        <v>1</v>
      </c>
      <c r="K644" s="15" t="n">
        <v>186</v>
      </c>
      <c r="L644" s="18" t="n">
        <v>1176.33</v>
      </c>
      <c r="M644" s="16" t="s">
        <v>1432</v>
      </c>
      <c r="N644" s="17" t="n">
        <v>8.84</v>
      </c>
      <c r="O644" s="15" t="s">
        <v>1506</v>
      </c>
      <c r="P644" s="15" t="s">
        <v>1672</v>
      </c>
      <c r="Q644" s="16" t="s">
        <v>1508</v>
      </c>
      <c r="R644" s="32" t="s">
        <v>2641</v>
      </c>
      <c r="S644" s="37" t="n">
        <f aca="false">IFERROR(INDEX('Injectable Value'!$Z$28:$Z$178,MATCH($C644,'Injectable Value'!$A$28:$A$178,0)),"")</f>
        <v>0.857142857142857</v>
      </c>
      <c r="T644" s="18" t="n">
        <f aca="false">IFERROR(ROUND(INDEX('Injectable Value'!$AA$28:$AA$178,MATCH($C644,'Injectable Value'!$A$28:$A$178,0)),1),"")</f>
        <v>1008.3</v>
      </c>
      <c r="U644" s="16" t="s">
        <v>740</v>
      </c>
      <c r="V644" s="15" t="n">
        <v>2</v>
      </c>
      <c r="W644" s="15" t="s">
        <v>740</v>
      </c>
      <c r="X644" s="15" t="s">
        <v>316</v>
      </c>
      <c r="Y644" s="15" t="s">
        <v>249</v>
      </c>
      <c r="Z644" s="16" t="str">
        <f aca="false">IFERROR(INDEX(Scoring!$K:$K,MATCH($C644&amp;"|"&amp;$E644,Scoring!$U:$U,0)),"")</f>
        <v/>
      </c>
      <c r="AA644" s="15" t="str">
        <f aca="false">IFERROR(INDEX(Scoring!$Q:$Q,MATCH($C644&amp;"|"&amp;$E644,Scoring!$U:$U,0)),"")</f>
        <v>Excluded – IV only</v>
      </c>
      <c r="AB644" s="15" t="str">
        <f aca="false">IFERROR(INDEX(Scoring!$AK:$AK,MATCH($C644&amp;"|"&amp;$E644,Scoring!$U:$U,0)),"")</f>
        <v>Excluded – IV only</v>
      </c>
      <c r="AC644" s="18" t="n">
        <f aca="false">IFERROR(INDEX(Scoring!$M:$M,MATCH($C644&amp;"|"&amp;$E644,Scoring!$U:$U,0)),"")</f>
        <v>159</v>
      </c>
      <c r="AD644" s="15" t="str">
        <f aca="false">IFERROR(INDEX('Route of Administration'!$C$5:$C$155,MATCH($C644,'Route of Administration'!$A$5:$A$155,0)),"")</f>
        <v>IV</v>
      </c>
      <c r="AE644" s="14" t="str">
        <f aca="false">IFERROR(INDEX('Route of Administration'!$D$5:$D$155,MATCH($C644,'Route of Administration'!$A$5:$A$155,0)),"")</f>
        <v>No</v>
      </c>
    </row>
    <row r="645" customFormat="false" ht="28.35" hidden="false" customHeight="false" outlineLevel="0" collapsed="false">
      <c r="B645" s="15" t="n">
        <v>643</v>
      </c>
      <c r="C645" s="15" t="s">
        <v>1425</v>
      </c>
      <c r="D645" s="15" t="s">
        <v>1429</v>
      </c>
      <c r="E645" s="15" t="s">
        <v>202</v>
      </c>
      <c r="F645" s="15" t="s">
        <v>2642</v>
      </c>
      <c r="G645" s="16" t="s">
        <v>2643</v>
      </c>
      <c r="H645" s="15" t="s">
        <v>1505</v>
      </c>
      <c r="I645" s="17" t="n">
        <v>6.4</v>
      </c>
      <c r="J645" s="15" t="n">
        <v>1</v>
      </c>
      <c r="K645" s="15" t="n">
        <v>128</v>
      </c>
      <c r="L645" s="18" t="n">
        <v>3640.13</v>
      </c>
      <c r="M645" s="16" t="s">
        <v>1426</v>
      </c>
      <c r="N645" s="17" t="n">
        <v>6.4</v>
      </c>
      <c r="O645" s="15" t="s">
        <v>1506</v>
      </c>
      <c r="P645" s="15" t="s">
        <v>1507</v>
      </c>
      <c r="Q645" s="16" t="s">
        <v>1508</v>
      </c>
      <c r="R645" s="32" t="s">
        <v>1657</v>
      </c>
      <c r="S645" s="37" t="n">
        <f aca="false">IFERROR(INDEX('Injectable Value'!$Z$28:$Z$178,MATCH($C645,'Injectable Value'!$A$28:$A$178,0)),"")</f>
        <v>0.485928583569446</v>
      </c>
      <c r="T645" s="18" t="n">
        <f aca="false">IFERROR(ROUND(INDEX('Injectable Value'!$AA$28:$AA$178,MATCH($C645,'Injectable Value'!$A$28:$A$178,0)),1),"")</f>
        <v>1768.8</v>
      </c>
      <c r="U645" s="16" t="s">
        <v>740</v>
      </c>
      <c r="V645" s="15" t="n">
        <v>2</v>
      </c>
      <c r="W645" s="15" t="s">
        <v>740</v>
      </c>
      <c r="X645" s="15" t="s">
        <v>316</v>
      </c>
      <c r="Y645" s="15" t="s">
        <v>249</v>
      </c>
      <c r="Z645" s="16" t="str">
        <f aca="false">IFERROR(INDEX(Scoring!$K:$K,MATCH($C645&amp;"|"&amp;$E645,Scoring!$U:$U,0)),"")</f>
        <v/>
      </c>
      <c r="AA645" s="15" t="str">
        <f aca="false">IFERROR(INDEX(Scoring!$Q:$Q,MATCH($C645&amp;"|"&amp;$E645,Scoring!$U:$U,0)),"")</f>
        <v>Priority 3</v>
      </c>
      <c r="AB645" s="15" t="str">
        <f aca="false">IFERROR(INDEX(Scoring!$AK:$AK,MATCH($C645&amp;"|"&amp;$E645,Scoring!$U:$U,0)),"")</f>
        <v>Priority 3</v>
      </c>
      <c r="AC645" s="18" t="n">
        <f aca="false">IFERROR(INDEX(Scoring!$M:$M,MATCH($C645&amp;"|"&amp;$E645,Scoring!$U:$U,0)),"")</f>
        <v>62</v>
      </c>
      <c r="AD645" s="15" t="str">
        <f aca="false">IFERROR(INDEX('Route of Administration'!$C$5:$C$155,MATCH($C645,'Route of Administration'!$A$5:$A$155,0)),"")</f>
        <v>IV, IM</v>
      </c>
      <c r="AE645" s="14" t="str">
        <f aca="false">IFERROR(INDEX('Route of Administration'!$D$5:$D$155,MATCH($C645,'Route of Administration'!$A$5:$A$155,0)),"")</f>
        <v>Yes</v>
      </c>
    </row>
    <row r="646" customFormat="false" ht="15" hidden="false" customHeight="false" outlineLevel="0" collapsed="false">
      <c r="B646" s="15" t="n">
        <v>644</v>
      </c>
      <c r="C646" s="15" t="s">
        <v>789</v>
      </c>
      <c r="D646" s="15" t="s">
        <v>789</v>
      </c>
      <c r="E646" s="15" t="s">
        <v>202</v>
      </c>
      <c r="F646" s="15" t="s">
        <v>1990</v>
      </c>
      <c r="G646" s="16" t="s">
        <v>2644</v>
      </c>
      <c r="H646" s="15" t="s">
        <v>1505</v>
      </c>
      <c r="I646" s="17" t="n">
        <v>26.32</v>
      </c>
      <c r="J646" s="15" t="n">
        <v>1</v>
      </c>
      <c r="K646" s="15" t="n">
        <v>133</v>
      </c>
      <c r="L646" s="18" t="n">
        <v>4036.55</v>
      </c>
      <c r="M646" s="16" t="s">
        <v>790</v>
      </c>
      <c r="N646" s="17" t="n">
        <v>26.32</v>
      </c>
      <c r="O646" s="15" t="s">
        <v>1506</v>
      </c>
      <c r="P646" s="15" t="s">
        <v>1672</v>
      </c>
      <c r="Q646" s="16" t="s">
        <v>1508</v>
      </c>
      <c r="R646" s="32" t="s">
        <v>2645</v>
      </c>
      <c r="S646" s="37" t="n">
        <f aca="false">IFERROR(INDEX('Injectable Value'!$Z$28:$Z$178,MATCH($C646,'Injectable Value'!$A$28:$A$178,0)),"")</f>
        <v>1</v>
      </c>
      <c r="T646" s="18" t="n">
        <f aca="false">IFERROR(ROUND(INDEX('Injectable Value'!$AA$28:$AA$178,MATCH($C646,'Injectable Value'!$A$28:$A$178,0)),1),"")</f>
        <v>4036.6</v>
      </c>
      <c r="U646" s="16" t="s">
        <v>1424</v>
      </c>
      <c r="V646" s="15" t="n">
        <v>3</v>
      </c>
      <c r="W646" s="15" t="s">
        <v>740</v>
      </c>
      <c r="X646" s="15" t="s">
        <v>316</v>
      </c>
      <c r="Y646" s="15" t="s">
        <v>249</v>
      </c>
      <c r="Z646" s="16" t="str">
        <f aca="false">IFERROR(INDEX(Scoring!$K:$K,MATCH($C646&amp;"|"&amp;$E646,Scoring!$U:$U,0)),"")</f>
        <v/>
      </c>
      <c r="AA646" s="15" t="str">
        <f aca="false">IFERROR(INDEX(Scoring!$Q:$Q,MATCH($C646&amp;"|"&amp;$E646,Scoring!$U:$U,0)),"")</f>
        <v>Excluded – IV only</v>
      </c>
      <c r="AB646" s="15" t="str">
        <f aca="false">IFERROR(INDEX(Scoring!$AK:$AK,MATCH($C646&amp;"|"&amp;$E646,Scoring!$U:$U,0)),"")</f>
        <v>Excluded – IV only</v>
      </c>
      <c r="AC646" s="18" t="n">
        <f aca="false">IFERROR(INDEX(Scoring!$M:$M,MATCH($C646&amp;"|"&amp;$E646,Scoring!$U:$U,0)),"")</f>
        <v>133</v>
      </c>
      <c r="AD646" s="15" t="str">
        <f aca="false">IFERROR(INDEX('Route of Administration'!$C$5:$C$155,MATCH($C646,'Route of Administration'!$A$5:$A$155,0)),"")</f>
        <v>IV</v>
      </c>
      <c r="AE646" s="14" t="str">
        <f aca="false">IFERROR(INDEX('Route of Administration'!$D$5:$D$155,MATCH($C646,'Route of Administration'!$A$5:$A$155,0)),"")</f>
        <v>No</v>
      </c>
    </row>
    <row r="647" customFormat="false" ht="28.35" hidden="false" customHeight="false" outlineLevel="0" collapsed="false">
      <c r="B647" s="15" t="n">
        <v>645</v>
      </c>
      <c r="C647" s="15" t="s">
        <v>1415</v>
      </c>
      <c r="D647" s="15" t="s">
        <v>1415</v>
      </c>
      <c r="E647" s="15" t="s">
        <v>202</v>
      </c>
      <c r="F647" s="15" t="s">
        <v>2646</v>
      </c>
      <c r="G647" s="16" t="s">
        <v>2643</v>
      </c>
      <c r="H647" s="15" t="s">
        <v>1505</v>
      </c>
      <c r="I647" s="17" t="n">
        <v>29.63</v>
      </c>
      <c r="J647" s="15" t="n">
        <v>1</v>
      </c>
      <c r="K647" s="15" t="n">
        <v>77</v>
      </c>
      <c r="L647" s="18" t="n">
        <v>64.81</v>
      </c>
      <c r="M647" s="16" t="s">
        <v>1416</v>
      </c>
      <c r="N647" s="17" t="n">
        <v>29.63</v>
      </c>
      <c r="O647" s="15" t="s">
        <v>1506</v>
      </c>
      <c r="P647" s="15" t="s">
        <v>1507</v>
      </c>
      <c r="Q647" s="16" t="s">
        <v>1508</v>
      </c>
      <c r="R647" s="32" t="s">
        <v>1657</v>
      </c>
      <c r="S647" s="37" t="n">
        <f aca="false">IFERROR(INDEX('Injectable Value'!$Z$28:$Z$178,MATCH($C647,'Injectable Value'!$A$28:$A$178,0)),"")</f>
        <v>0.292735042735043</v>
      </c>
      <c r="T647" s="18" t="n">
        <f aca="false">IFERROR(ROUND(INDEX('Injectable Value'!$AA$28:$AA$178,MATCH($C647,'Injectable Value'!$A$28:$A$178,0)),1),"")</f>
        <v>19</v>
      </c>
      <c r="U647" s="16" t="s">
        <v>740</v>
      </c>
      <c r="V647" s="15" t="n">
        <v>2</v>
      </c>
      <c r="W647" s="15" t="s">
        <v>740</v>
      </c>
      <c r="X647" s="15" t="s">
        <v>316</v>
      </c>
      <c r="Y647" s="15" t="s">
        <v>249</v>
      </c>
      <c r="Z647" s="16" t="str">
        <f aca="false">IFERROR(INDEX(Scoring!$K:$K,MATCH($C647&amp;"|"&amp;$E647,Scoring!$U:$U,0)),"")</f>
        <v/>
      </c>
      <c r="AA647" s="15" t="str">
        <f aca="false">IFERROR(INDEX(Scoring!$Q:$Q,MATCH($C647&amp;"|"&amp;$E647,Scoring!$U:$U,0)),"")</f>
        <v>Priority 2</v>
      </c>
      <c r="AB647" s="15" t="str">
        <f aca="false">IFERROR(INDEX(Scoring!$AK:$AK,MATCH($C647&amp;"|"&amp;$E647,Scoring!$U:$U,0)),"")</f>
        <v>Priority 2</v>
      </c>
      <c r="AC647" s="18" t="n">
        <f aca="false">IFERROR(INDEX(Scoring!$M:$M,MATCH($C647&amp;"|"&amp;$E647,Scoring!$U:$U,0)),"")</f>
        <v>23</v>
      </c>
      <c r="AD647" s="15" t="str">
        <f aca="false">IFERROR(INDEX('Route of Administration'!$C$5:$C$155,MATCH($C647,'Route of Administration'!$A$5:$A$155,0)),"")</f>
        <v>SC, IM (IV if required)</v>
      </c>
      <c r="AE647" s="14" t="str">
        <f aca="false">IFERROR(INDEX('Route of Administration'!$D$5:$D$155,MATCH($C647,'Route of Administration'!$A$5:$A$155,0)),"")</f>
        <v>Yes</v>
      </c>
    </row>
    <row r="648" customFormat="false" ht="15" hidden="false" customHeight="false" outlineLevel="0" collapsed="false">
      <c r="B648" s="15" t="n">
        <v>646</v>
      </c>
      <c r="C648" s="15" t="s">
        <v>1405</v>
      </c>
      <c r="D648" s="15" t="s">
        <v>1405</v>
      </c>
      <c r="E648" s="15" t="s">
        <v>202</v>
      </c>
      <c r="F648" s="15" t="s">
        <v>2213</v>
      </c>
      <c r="G648" s="16" t="s">
        <v>2643</v>
      </c>
      <c r="H648" s="15" t="s">
        <v>1505</v>
      </c>
      <c r="I648" s="17" t="n">
        <v>8.98</v>
      </c>
      <c r="J648" s="15" t="n">
        <v>1</v>
      </c>
      <c r="K648" s="15" t="n">
        <v>669</v>
      </c>
      <c r="L648" s="18" t="n">
        <v>11022.87</v>
      </c>
      <c r="M648" s="16" t="s">
        <v>1406</v>
      </c>
      <c r="N648" s="17" t="n">
        <v>8.98</v>
      </c>
      <c r="O648" s="15" t="s">
        <v>1506</v>
      </c>
      <c r="P648" s="15" t="s">
        <v>1672</v>
      </c>
      <c r="Q648" s="16" t="s">
        <v>1508</v>
      </c>
      <c r="R648" s="32" t="s">
        <v>2647</v>
      </c>
      <c r="S648" s="37" t="n">
        <f aca="false">IFERROR(INDEX('Injectable Value'!$Z$28:$Z$178,MATCH($C648,'Injectable Value'!$A$28:$A$178,0)),"")</f>
        <v>0.407590557590558</v>
      </c>
      <c r="T648" s="18" t="n">
        <f aca="false">IFERROR(ROUND(INDEX('Injectable Value'!$AA$28:$AA$178,MATCH($C648,'Injectable Value'!$A$28:$A$178,0)),1),"")</f>
        <v>4492.8</v>
      </c>
      <c r="U648" s="16" t="s">
        <v>740</v>
      </c>
      <c r="V648" s="15" t="n">
        <v>2</v>
      </c>
      <c r="W648" s="15" t="s">
        <v>740</v>
      </c>
      <c r="X648" s="15" t="s">
        <v>316</v>
      </c>
      <c r="Y648" s="15" t="s">
        <v>249</v>
      </c>
      <c r="Z648" s="16" t="str">
        <f aca="false">IFERROR(INDEX(Scoring!$K:$K,MATCH($C648&amp;"|"&amp;$E648,Scoring!$U:$U,0)),"")</f>
        <v/>
      </c>
      <c r="AA648" s="15" t="str">
        <f aca="false">IFERROR(INDEX(Scoring!$Q:$Q,MATCH($C648&amp;"|"&amp;$E648,Scoring!$U:$U,0)),"")</f>
        <v>Priority 2</v>
      </c>
      <c r="AB648" s="15" t="str">
        <f aca="false">IFERROR(INDEX(Scoring!$AK:$AK,MATCH($C648&amp;"|"&amp;$E648,Scoring!$U:$U,0)),"")</f>
        <v>Priority 2</v>
      </c>
      <c r="AC648" s="18" t="n">
        <f aca="false">IFERROR(INDEX(Scoring!$M:$M,MATCH($C648&amp;"|"&amp;$E648,Scoring!$U:$U,0)),"")</f>
        <v>273</v>
      </c>
      <c r="AD648" s="15" t="str">
        <f aca="false">IFERROR(INDEX('Route of Administration'!$C$5:$C$155,MATCH($C648,'Route of Administration'!$A$5:$A$155,0)),"")</f>
        <v>IM</v>
      </c>
      <c r="AE648" s="14" t="str">
        <f aca="false">IFERROR(INDEX('Route of Administration'!$D$5:$D$155,MATCH($C648,'Route of Administration'!$A$5:$A$155,0)),"")</f>
        <v>Yes</v>
      </c>
    </row>
    <row r="649" customFormat="false" ht="28.35" hidden="false" customHeight="false" outlineLevel="0" collapsed="false">
      <c r="B649" s="15" t="n">
        <v>647</v>
      </c>
      <c r="C649" s="15" t="s">
        <v>1399</v>
      </c>
      <c r="D649" s="15" t="s">
        <v>1399</v>
      </c>
      <c r="E649" s="15" t="s">
        <v>202</v>
      </c>
      <c r="F649" s="15" t="s">
        <v>2039</v>
      </c>
      <c r="G649" s="16" t="s">
        <v>2648</v>
      </c>
      <c r="H649" s="15" t="s">
        <v>1505</v>
      </c>
      <c r="I649" s="17" t="n">
        <v>6.74</v>
      </c>
      <c r="J649" s="15" t="n">
        <v>1</v>
      </c>
      <c r="K649" s="15" t="n">
        <v>435</v>
      </c>
      <c r="L649" s="18" t="n">
        <v>7691.34</v>
      </c>
      <c r="M649" s="16" t="s">
        <v>1400</v>
      </c>
      <c r="N649" s="17" t="n">
        <v>6.74</v>
      </c>
      <c r="O649" s="15" t="s">
        <v>1506</v>
      </c>
      <c r="P649" s="15" t="s">
        <v>1507</v>
      </c>
      <c r="Q649" s="16" t="s">
        <v>1508</v>
      </c>
      <c r="R649" s="32" t="s">
        <v>1657</v>
      </c>
      <c r="S649" s="37" t="n">
        <f aca="false">IFERROR(INDEX('Injectable Value'!$Z$28:$Z$178,MATCH($C649,'Injectable Value'!$A$28:$A$178,0)),"")</f>
        <v>0.0201374081971097</v>
      </c>
      <c r="T649" s="18" t="n">
        <f aca="false">IFERROR(ROUND(INDEX('Injectable Value'!$AA$28:$AA$178,MATCH($C649,'Injectable Value'!$A$28:$A$178,0)),1),"")</f>
        <v>154.9</v>
      </c>
      <c r="U649" s="16" t="s">
        <v>740</v>
      </c>
      <c r="V649" s="15" t="n">
        <v>2</v>
      </c>
      <c r="W649" s="15" t="s">
        <v>740</v>
      </c>
      <c r="X649" s="15" t="s">
        <v>316</v>
      </c>
      <c r="Y649" s="15" t="s">
        <v>249</v>
      </c>
      <c r="Z649" s="16" t="str">
        <f aca="false">IFERROR(INDEX(Scoring!$K:$K,MATCH($C649&amp;"|"&amp;$E649,Scoring!$U:$U,0)),"")</f>
        <v/>
      </c>
      <c r="AA649" s="15" t="str">
        <f aca="false">IFERROR(INDEX(Scoring!$Q:$Q,MATCH($C649&amp;"|"&amp;$E649,Scoring!$U:$U,0)),"")</f>
        <v>Priority 3</v>
      </c>
      <c r="AB649" s="15" t="str">
        <f aca="false">IFERROR(INDEX(Scoring!$AK:$AK,MATCH($C649&amp;"|"&amp;$E649,Scoring!$U:$U,0)),"")</f>
        <v>Priority 2</v>
      </c>
      <c r="AC649" s="18" t="n">
        <f aca="false">IFERROR(INDEX(Scoring!$M:$M,MATCH($C649&amp;"|"&amp;$E649,Scoring!$U:$U,0)),"")</f>
        <v>9</v>
      </c>
      <c r="AD649" s="15" t="str">
        <f aca="false">IFERROR(INDEX('Route of Administration'!$C$5:$C$155,MATCH($C649,'Route of Administration'!$A$5:$A$155,0)),"")</f>
        <v>IV, IM, SC</v>
      </c>
      <c r="AE649" s="14" t="str">
        <f aca="false">IFERROR(INDEX('Route of Administration'!$D$5:$D$155,MATCH($C649,'Route of Administration'!$A$5:$A$155,0)),"")</f>
        <v>Yes</v>
      </c>
    </row>
    <row r="650" customFormat="false" ht="28.35" hidden="false" customHeight="false" outlineLevel="0" collapsed="false">
      <c r="B650" s="15" t="n">
        <v>648</v>
      </c>
      <c r="C650" s="15" t="s">
        <v>336</v>
      </c>
      <c r="D650" s="15" t="s">
        <v>336</v>
      </c>
      <c r="E650" s="15" t="s">
        <v>202</v>
      </c>
      <c r="F650" s="15" t="s">
        <v>2620</v>
      </c>
      <c r="G650" s="16" t="s">
        <v>2621</v>
      </c>
      <c r="H650" s="15" t="s">
        <v>1505</v>
      </c>
      <c r="I650" s="17" t="n">
        <v>25.36</v>
      </c>
      <c r="J650" s="15" t="n">
        <v>1</v>
      </c>
      <c r="K650" s="15" t="n">
        <v>3110</v>
      </c>
      <c r="L650" s="18" t="n">
        <v>93119.22</v>
      </c>
      <c r="M650" s="16" t="s">
        <v>337</v>
      </c>
      <c r="N650" s="17" t="n">
        <v>25.36</v>
      </c>
      <c r="O650" s="15" t="s">
        <v>1506</v>
      </c>
      <c r="P650" s="15" t="s">
        <v>1672</v>
      </c>
      <c r="Q650" s="16" t="s">
        <v>1508</v>
      </c>
      <c r="R650" s="32" t="s">
        <v>2649</v>
      </c>
      <c r="S650" s="37" t="n">
        <f aca="false">IFERROR(INDEX('Injectable Value'!$Z$28:$Z$178,MATCH($C650,'Injectable Value'!$A$28:$A$178,0)),"")</f>
        <v>1</v>
      </c>
      <c r="T650" s="18" t="n">
        <f aca="false">IFERROR(ROUND(INDEX('Injectable Value'!$AA$28:$AA$178,MATCH($C650,'Injectable Value'!$A$28:$A$178,0)),1),"")</f>
        <v>93119.2</v>
      </c>
      <c r="U650" s="16" t="s">
        <v>1398</v>
      </c>
      <c r="V650" s="15" t="n">
        <v>5</v>
      </c>
      <c r="W650" s="15" t="s">
        <v>823</v>
      </c>
      <c r="X650" s="15" t="s">
        <v>248</v>
      </c>
      <c r="Y650" s="15" t="s">
        <v>299</v>
      </c>
      <c r="Z650" s="16" t="str">
        <f aca="false">IFERROR(INDEX(Scoring!$K:$K,MATCH($C650&amp;"|"&amp;$E650,Scoring!$U:$U,0)),"")</f>
        <v>Reconstitution</v>
      </c>
      <c r="AA650" s="15" t="str">
        <f aca="false">IFERROR(INDEX(Scoring!$Q:$Q,MATCH($C650&amp;"|"&amp;$E650,Scoring!$U:$U,0)),"")</f>
        <v>Priority 2</v>
      </c>
      <c r="AB650" s="15" t="str">
        <f aca="false">IFERROR(INDEX(Scoring!$AK:$AK,MATCH($C650&amp;"|"&amp;$E650,Scoring!$U:$U,0)),"")</f>
        <v>Priority 2</v>
      </c>
      <c r="AC650" s="18" t="n">
        <f aca="false">IFERROR(INDEX(Scoring!$M:$M,MATCH($C650&amp;"|"&amp;$E650,Scoring!$U:$U,0)),"")</f>
        <v>3110</v>
      </c>
      <c r="AD650" s="15" t="str">
        <f aca="false">IFERROR(INDEX('Route of Administration'!$C$5:$C$155,MATCH($C650,'Route of Administration'!$A$5:$A$155,0)),"")</f>
        <v>IV, IM</v>
      </c>
      <c r="AE650" s="14" t="str">
        <f aca="false">IFERROR(INDEX('Route of Administration'!$D$5:$D$155,MATCH($C650,'Route of Administration'!$A$5:$A$155,0)),"")</f>
        <v>Yes</v>
      </c>
    </row>
    <row r="651" customFormat="false" ht="28.35" hidden="false" customHeight="false" outlineLevel="0" collapsed="false">
      <c r="B651" s="15" t="n">
        <v>649</v>
      </c>
      <c r="C651" s="15" t="s">
        <v>329</v>
      </c>
      <c r="D651" s="15" t="s">
        <v>329</v>
      </c>
      <c r="E651" s="15" t="s">
        <v>202</v>
      </c>
      <c r="F651" s="15" t="s">
        <v>2620</v>
      </c>
      <c r="G651" s="16" t="s">
        <v>2621</v>
      </c>
      <c r="H651" s="15" t="s">
        <v>1505</v>
      </c>
      <c r="I651" s="17" t="n">
        <v>28.93</v>
      </c>
      <c r="J651" s="15" t="n">
        <v>1</v>
      </c>
      <c r="K651" s="15" t="n">
        <v>335</v>
      </c>
      <c r="L651" s="18" t="n">
        <v>5713.56</v>
      </c>
      <c r="M651" s="16" t="s">
        <v>330</v>
      </c>
      <c r="N651" s="17" t="n">
        <v>28.93</v>
      </c>
      <c r="O651" s="15" t="s">
        <v>1506</v>
      </c>
      <c r="P651" s="15" t="s">
        <v>1672</v>
      </c>
      <c r="Q651" s="16" t="s">
        <v>1508</v>
      </c>
      <c r="R651" s="32" t="s">
        <v>2650</v>
      </c>
      <c r="S651" s="37" t="n">
        <f aca="false">IFERROR(INDEX('Injectable Value'!$Z$28:$Z$178,MATCH($C651,'Injectable Value'!$A$28:$A$178,0)),"")</f>
        <v>1</v>
      </c>
      <c r="T651" s="18" t="n">
        <f aca="false">IFERROR(ROUND(INDEX('Injectable Value'!$AA$28:$AA$178,MATCH($C651,'Injectable Value'!$A$28:$A$178,0)),1),"")</f>
        <v>5713.6</v>
      </c>
      <c r="U651" s="16" t="s">
        <v>1396</v>
      </c>
      <c r="V651" s="15" t="n">
        <v>4</v>
      </c>
      <c r="W651" s="15" t="s">
        <v>740</v>
      </c>
      <c r="X651" s="15" t="s">
        <v>248</v>
      </c>
      <c r="Y651" s="15" t="s">
        <v>299</v>
      </c>
      <c r="Z651" s="16" t="str">
        <f aca="false">IFERROR(INDEX(Scoring!$K:$K,MATCH($C651&amp;"|"&amp;$E651,Scoring!$U:$U,0)),"")</f>
        <v>Reconstitution</v>
      </c>
      <c r="AA651" s="15" t="str">
        <f aca="false">IFERROR(INDEX(Scoring!$Q:$Q,MATCH($C651&amp;"|"&amp;$E651,Scoring!$U:$U,0)),"")</f>
        <v>Priority 2</v>
      </c>
      <c r="AB651" s="15" t="str">
        <f aca="false">IFERROR(INDEX(Scoring!$AK:$AK,MATCH($C651&amp;"|"&amp;$E651,Scoring!$U:$U,0)),"")</f>
        <v>Priority 2</v>
      </c>
      <c r="AC651" s="18" t="n">
        <f aca="false">IFERROR(INDEX(Scoring!$M:$M,MATCH($C651&amp;"|"&amp;$E651,Scoring!$U:$U,0)),"")</f>
        <v>335</v>
      </c>
      <c r="AD651" s="15" t="str">
        <f aca="false">IFERROR(INDEX('Route of Administration'!$C$5:$C$155,MATCH($C651,'Route of Administration'!$A$5:$A$155,0)),"")</f>
        <v>IV, IM</v>
      </c>
      <c r="AE651" s="14" t="str">
        <f aca="false">IFERROR(INDEX('Route of Administration'!$D$5:$D$155,MATCH($C651,'Route of Administration'!$A$5:$A$155,0)),"")</f>
        <v>Yes</v>
      </c>
    </row>
    <row r="652" customFormat="false" ht="28.35" hidden="false" customHeight="false" outlineLevel="0" collapsed="false">
      <c r="B652" s="15" t="n">
        <v>650</v>
      </c>
      <c r="C652" s="15" t="s">
        <v>1220</v>
      </c>
      <c r="D652" s="15" t="s">
        <v>1395</v>
      </c>
      <c r="E652" s="15" t="s">
        <v>202</v>
      </c>
      <c r="F652" s="15" t="s">
        <v>2039</v>
      </c>
      <c r="G652" s="16" t="s">
        <v>2643</v>
      </c>
      <c r="H652" s="15" t="s">
        <v>1505</v>
      </c>
      <c r="I652" s="17" t="n">
        <v>6.45</v>
      </c>
      <c r="J652" s="15" t="n">
        <v>1</v>
      </c>
      <c r="K652" s="15" t="n">
        <v>2221</v>
      </c>
      <c r="L652" s="18" t="n">
        <v>49989.33</v>
      </c>
      <c r="M652" s="16" t="s">
        <v>1221</v>
      </c>
      <c r="N652" s="17" t="n">
        <v>6.45</v>
      </c>
      <c r="O652" s="15" t="s">
        <v>1506</v>
      </c>
      <c r="P652" s="15" t="s">
        <v>1507</v>
      </c>
      <c r="Q652" s="16" t="s">
        <v>1508</v>
      </c>
      <c r="R652" s="32" t="s">
        <v>2651</v>
      </c>
      <c r="S652" s="37" t="n">
        <f aca="false">IFERROR(INDEX('Injectable Value'!$Z$28:$Z$178,MATCH($C652,'Injectable Value'!$A$28:$A$178,0)),"")</f>
        <v>0.0524659711687654</v>
      </c>
      <c r="T652" s="18" t="n">
        <f aca="false">IFERROR(ROUND(INDEX('Injectable Value'!$AA$28:$AA$178,MATCH($C652,'Injectable Value'!$A$28:$A$178,0)),1),"")</f>
        <v>2622.7</v>
      </c>
      <c r="U652" s="16" t="s">
        <v>740</v>
      </c>
      <c r="V652" s="15" t="n">
        <v>2</v>
      </c>
      <c r="W652" s="15" t="s">
        <v>740</v>
      </c>
      <c r="X652" s="15" t="s">
        <v>316</v>
      </c>
      <c r="Y652" s="15" t="s">
        <v>249</v>
      </c>
      <c r="Z652" s="16" t="str">
        <f aca="false">IFERROR(INDEX(Scoring!$K:$K,MATCH($C652&amp;"|"&amp;$E652,Scoring!$U:$U,0)),"")</f>
        <v/>
      </c>
      <c r="AA652" s="15" t="str">
        <f aca="false">IFERROR(INDEX(Scoring!$Q:$Q,MATCH($C652&amp;"|"&amp;$E652,Scoring!$U:$U,0)),"")</f>
        <v>Excluded – IV only</v>
      </c>
      <c r="AB652" s="15" t="str">
        <f aca="false">IFERROR(INDEX(Scoring!$AK:$AK,MATCH($C652&amp;"|"&amp;$E652,Scoring!$U:$U,0)),"")</f>
        <v>Excluded – IV only</v>
      </c>
      <c r="AC652" s="18" t="n">
        <f aca="false">IFERROR(INDEX(Scoring!$M:$M,MATCH($C652&amp;"|"&amp;$E652,Scoring!$U:$U,0)),"")</f>
        <v>117</v>
      </c>
      <c r="AD652" s="15" t="str">
        <f aca="false">IFERROR(INDEX('Route of Administration'!$C$5:$C$155,MATCH($C652,'Route of Administration'!$A$5:$A$155,0)),"")</f>
        <v>IV</v>
      </c>
      <c r="AE652" s="14" t="str">
        <f aca="false">IFERROR(INDEX('Route of Administration'!$D$5:$D$155,MATCH($C652,'Route of Administration'!$A$5:$A$155,0)),"")</f>
        <v>No</v>
      </c>
    </row>
    <row r="653" customFormat="false" ht="28.35" hidden="false" customHeight="false" outlineLevel="0" collapsed="false">
      <c r="B653" s="15" t="n">
        <v>651</v>
      </c>
      <c r="C653" s="15" t="s">
        <v>1388</v>
      </c>
      <c r="D653" s="15" t="s">
        <v>1388</v>
      </c>
      <c r="E653" s="15" t="s">
        <v>202</v>
      </c>
      <c r="F653" s="15" t="s">
        <v>2652</v>
      </c>
      <c r="G653" s="16" t="s">
        <v>2653</v>
      </c>
      <c r="H653" s="15" t="s">
        <v>1505</v>
      </c>
      <c r="I653" s="17" t="n">
        <v>5.88</v>
      </c>
      <c r="J653" s="15" t="n">
        <v>1</v>
      </c>
      <c r="K653" s="15" t="n">
        <v>251</v>
      </c>
      <c r="L653" s="18" t="n">
        <v>4229.67</v>
      </c>
      <c r="M653" s="16" t="s">
        <v>1389</v>
      </c>
      <c r="N653" s="17" t="n">
        <v>5.88</v>
      </c>
      <c r="O653" s="15" t="s">
        <v>1506</v>
      </c>
      <c r="P653" s="15" t="s">
        <v>1672</v>
      </c>
      <c r="Q653" s="16" t="s">
        <v>1508</v>
      </c>
      <c r="R653" s="32" t="s">
        <v>2654</v>
      </c>
      <c r="S653" s="37" t="n">
        <f aca="false">IFERROR(INDEX('Injectable Value'!$Z$28:$Z$178,MATCH($C653,'Injectable Value'!$A$28:$A$178,0)),"")</f>
        <v>0.679653957913821</v>
      </c>
      <c r="T653" s="18" t="n">
        <f aca="false">IFERROR(ROUND(INDEX('Injectable Value'!$AA$28:$AA$178,MATCH($C653,'Injectable Value'!$A$28:$A$178,0)),1),"")</f>
        <v>2874.7</v>
      </c>
      <c r="U653" s="16" t="s">
        <v>740</v>
      </c>
      <c r="V653" s="15" t="n">
        <v>2</v>
      </c>
      <c r="W653" s="15" t="s">
        <v>740</v>
      </c>
      <c r="X653" s="15" t="s">
        <v>248</v>
      </c>
      <c r="Y653" s="15" t="s">
        <v>249</v>
      </c>
      <c r="Z653" s="16" t="str">
        <f aca="false">IFERROR(INDEX(Scoring!$K:$K,MATCH($C653&amp;"|"&amp;$E653,Scoring!$U:$U,0)),"")</f>
        <v/>
      </c>
      <c r="AA653" s="15" t="str">
        <f aca="false">IFERROR(INDEX(Scoring!$Q:$Q,MATCH($C653&amp;"|"&amp;$E653,Scoring!$U:$U,0)),"")</f>
        <v>Excluded – IV only</v>
      </c>
      <c r="AB653" s="15" t="str">
        <f aca="false">IFERROR(INDEX(Scoring!$AK:$AK,MATCH($C653&amp;"|"&amp;$E653,Scoring!$U:$U,0)),"")</f>
        <v>Excluded – IV only</v>
      </c>
      <c r="AC653" s="18" t="n">
        <f aca="false">IFERROR(INDEX(Scoring!$M:$M,MATCH($C653&amp;"|"&amp;$E653,Scoring!$U:$U,0)),"")</f>
        <v>171</v>
      </c>
      <c r="AD653" s="15" t="str">
        <f aca="false">IFERROR(INDEX('Route of Administration'!$C$5:$C$155,MATCH($C653,'Route of Administration'!$A$5:$A$155,0)),"")</f>
        <v>IV</v>
      </c>
      <c r="AE653" s="14" t="str">
        <f aca="false">IFERROR(INDEX('Route of Administration'!$D$5:$D$155,MATCH($C653,'Route of Administration'!$A$5:$A$155,0)),"")</f>
        <v>No</v>
      </c>
    </row>
    <row r="654" customFormat="false" ht="28.35" hidden="false" customHeight="false" outlineLevel="0" collapsed="false">
      <c r="B654" s="15" t="n">
        <v>652</v>
      </c>
      <c r="C654" s="15" t="s">
        <v>1388</v>
      </c>
      <c r="D654" s="15" t="s">
        <v>2655</v>
      </c>
      <c r="E654" s="15" t="s">
        <v>202</v>
      </c>
      <c r="F654" s="15" t="s">
        <v>2656</v>
      </c>
      <c r="G654" s="16" t="s">
        <v>2653</v>
      </c>
      <c r="H654" s="15" t="s">
        <v>1505</v>
      </c>
      <c r="I654" s="17" t="n">
        <v>7.6953</v>
      </c>
      <c r="J654" s="15" t="n">
        <v>23</v>
      </c>
      <c r="K654" s="15" t="n">
        <v>251</v>
      </c>
      <c r="L654" s="18" t="n">
        <v>4229.67</v>
      </c>
      <c r="M654" s="16" t="s">
        <v>1389</v>
      </c>
      <c r="N654" s="17" t="n">
        <v>7.6953</v>
      </c>
      <c r="O654" s="15" t="s">
        <v>1506</v>
      </c>
      <c r="P654" s="15" t="s">
        <v>1533</v>
      </c>
      <c r="Q654" s="16" t="s">
        <v>1508</v>
      </c>
      <c r="R654" s="32" t="s">
        <v>2657</v>
      </c>
      <c r="S654" s="37" t="n">
        <f aca="false">IFERROR(INDEX('Injectable Value'!$Z$28:$Z$178,MATCH($C654,'Injectable Value'!$A$28:$A$178,0)),"")</f>
        <v>0.679653957913821</v>
      </c>
      <c r="T654" s="18" t="n">
        <f aca="false">IFERROR(ROUND(INDEX('Injectable Value'!$AA$28:$AA$178,MATCH($C654,'Injectable Value'!$A$28:$A$178,0)),1),"")</f>
        <v>2874.7</v>
      </c>
      <c r="U654" s="16" t="s">
        <v>740</v>
      </c>
      <c r="V654" s="15" t="n">
        <v>2</v>
      </c>
      <c r="W654" s="15" t="s">
        <v>740</v>
      </c>
      <c r="X654" s="15" t="s">
        <v>248</v>
      </c>
      <c r="Y654" s="15" t="s">
        <v>249</v>
      </c>
      <c r="Z654" s="16" t="str">
        <f aca="false">IFERROR(INDEX(Scoring!$K:$K,MATCH($C654&amp;"|"&amp;$E654,Scoring!$U:$U,0)),"")</f>
        <v/>
      </c>
      <c r="AA654" s="15" t="str">
        <f aca="false">IFERROR(INDEX(Scoring!$Q:$Q,MATCH($C654&amp;"|"&amp;$E654,Scoring!$U:$U,0)),"")</f>
        <v>Excluded – IV only</v>
      </c>
      <c r="AB654" s="15" t="str">
        <f aca="false">IFERROR(INDEX(Scoring!$AK:$AK,MATCH($C654&amp;"|"&amp;$E654,Scoring!$U:$U,0)),"")</f>
        <v>Excluded – IV only</v>
      </c>
      <c r="AC654" s="18" t="n">
        <f aca="false">IFERROR(INDEX(Scoring!$M:$M,MATCH($C654&amp;"|"&amp;$E654,Scoring!$U:$U,0)),"")</f>
        <v>171</v>
      </c>
      <c r="AD654" s="15" t="str">
        <f aca="false">IFERROR(INDEX('Route of Administration'!$C$5:$C$155,MATCH($C654,'Route of Administration'!$A$5:$A$155,0)),"")</f>
        <v>IV</v>
      </c>
      <c r="AE654" s="14" t="str">
        <f aca="false">IFERROR(INDEX('Route of Administration'!$D$5:$D$155,MATCH($C654,'Route of Administration'!$A$5:$A$155,0)),"")</f>
        <v>No</v>
      </c>
    </row>
    <row r="655" customFormat="false" ht="28.35" hidden="false" customHeight="false" outlineLevel="0" collapsed="false">
      <c r="B655" s="15" t="n">
        <v>653</v>
      </c>
      <c r="C655" s="15" t="s">
        <v>1220</v>
      </c>
      <c r="D655" s="15" t="s">
        <v>1395</v>
      </c>
      <c r="E655" s="15" t="s">
        <v>202</v>
      </c>
      <c r="F655" s="15" t="s">
        <v>1694</v>
      </c>
      <c r="G655" s="16"/>
      <c r="H655" s="15"/>
      <c r="I655" s="17"/>
      <c r="J655" s="15" t="n">
        <v>2</v>
      </c>
      <c r="K655" s="15" t="n">
        <v>2221</v>
      </c>
      <c r="L655" s="18" t="n">
        <v>49989.33</v>
      </c>
      <c r="M655" s="16" t="s">
        <v>1221</v>
      </c>
      <c r="N655" s="17"/>
      <c r="O655" s="15" t="s">
        <v>1545</v>
      </c>
      <c r="P655" s="15" t="s">
        <v>70</v>
      </c>
      <c r="Q655" s="16" t="s">
        <v>70</v>
      </c>
      <c r="R655" s="15"/>
      <c r="S655" s="37" t="n">
        <f aca="false">IFERROR(INDEX('Injectable Value'!$Z$28:$Z$178,MATCH($C655,'Injectable Value'!$A$28:$A$178,0)),"")</f>
        <v>0.0524659711687654</v>
      </c>
      <c r="T655" s="18" t="n">
        <f aca="false">IFERROR(ROUND(INDEX('Injectable Value'!$AA$28:$AA$178,MATCH($C655,'Injectable Value'!$A$28:$A$178,0)),1),"")</f>
        <v>2622.7</v>
      </c>
      <c r="U655" s="16" t="s">
        <v>740</v>
      </c>
      <c r="V655" s="15" t="n">
        <v>2</v>
      </c>
      <c r="W655" s="15" t="s">
        <v>740</v>
      </c>
      <c r="X655" s="15" t="s">
        <v>277</v>
      </c>
      <c r="Y655" s="15" t="s">
        <v>277</v>
      </c>
      <c r="Z655" s="16" t="str">
        <f aca="false">IFERROR(INDEX(Scoring!$K:$K,MATCH($C655&amp;"|"&amp;$E655,Scoring!$U:$U,0)),"")</f>
        <v/>
      </c>
      <c r="AA655" s="15" t="str">
        <f aca="false">IFERROR(INDEX(Scoring!$Q:$Q,MATCH($C655&amp;"|"&amp;$E655,Scoring!$U:$U,0)),"")</f>
        <v>Excluded – IV only</v>
      </c>
      <c r="AB655" s="15" t="str">
        <f aca="false">IFERROR(INDEX(Scoring!$AK:$AK,MATCH($C655&amp;"|"&amp;$E655,Scoring!$U:$U,0)),"")</f>
        <v>Excluded – IV only</v>
      </c>
      <c r="AC655" s="18" t="n">
        <f aca="false">IFERROR(INDEX(Scoring!$M:$M,MATCH($C655&amp;"|"&amp;$E655,Scoring!$U:$U,0)),"")</f>
        <v>117</v>
      </c>
      <c r="AD655" s="15" t="str">
        <f aca="false">IFERROR(INDEX('Route of Administration'!$C$5:$C$155,MATCH($C655,'Route of Administration'!$A$5:$A$155,0)),"")</f>
        <v>IV</v>
      </c>
      <c r="AE655" s="14" t="str">
        <f aca="false">IFERROR(INDEX('Route of Administration'!$D$5:$D$155,MATCH($C655,'Route of Administration'!$A$5:$A$155,0)),"")</f>
        <v>No</v>
      </c>
    </row>
    <row r="656" customFormat="false" ht="28.35" hidden="false" customHeight="false" outlineLevel="0" collapsed="false">
      <c r="B656" s="15" t="n">
        <v>654</v>
      </c>
      <c r="C656" s="15" t="s">
        <v>329</v>
      </c>
      <c r="D656" s="15" t="s">
        <v>2658</v>
      </c>
      <c r="E656" s="15" t="s">
        <v>202</v>
      </c>
      <c r="F656" s="15" t="s">
        <v>2494</v>
      </c>
      <c r="G656" s="16" t="s">
        <v>2621</v>
      </c>
      <c r="H656" s="15" t="s">
        <v>1505</v>
      </c>
      <c r="I656" s="17" t="n">
        <v>11.6164</v>
      </c>
      <c r="J656" s="15" t="n">
        <v>30</v>
      </c>
      <c r="K656" s="15" t="n">
        <v>335</v>
      </c>
      <c r="L656" s="18" t="n">
        <v>5713.56</v>
      </c>
      <c r="M656" s="16" t="s">
        <v>330</v>
      </c>
      <c r="N656" s="17" t="n">
        <v>11.6164</v>
      </c>
      <c r="O656" s="15" t="s">
        <v>1506</v>
      </c>
      <c r="P656" s="15" t="s">
        <v>1533</v>
      </c>
      <c r="Q656" s="16" t="s">
        <v>1508</v>
      </c>
      <c r="R656" s="32" t="s">
        <v>1673</v>
      </c>
      <c r="S656" s="37" t="n">
        <f aca="false">IFERROR(INDEX('Injectable Value'!$Z$28:$Z$178,MATCH($C656,'Injectable Value'!$A$28:$A$178,0)),"")</f>
        <v>1</v>
      </c>
      <c r="T656" s="18" t="n">
        <f aca="false">IFERROR(ROUND(INDEX('Injectable Value'!$AA$28:$AA$178,MATCH($C656,'Injectable Value'!$A$28:$A$178,0)),1),"")</f>
        <v>5713.6</v>
      </c>
      <c r="U656" s="16" t="s">
        <v>1396</v>
      </c>
      <c r="V656" s="15" t="n">
        <v>4</v>
      </c>
      <c r="W656" s="15" t="s">
        <v>740</v>
      </c>
      <c r="X656" s="15" t="s">
        <v>248</v>
      </c>
      <c r="Y656" s="15" t="s">
        <v>299</v>
      </c>
      <c r="Z656" s="16" t="str">
        <f aca="false">IFERROR(INDEX(Scoring!$K:$K,MATCH($C656&amp;"|"&amp;$E656,Scoring!$U:$U,0)),"")</f>
        <v>Reconstitution</v>
      </c>
      <c r="AA656" s="15" t="str">
        <f aca="false">IFERROR(INDEX(Scoring!$Q:$Q,MATCH($C656&amp;"|"&amp;$E656,Scoring!$U:$U,0)),"")</f>
        <v>Priority 2</v>
      </c>
      <c r="AB656" s="15" t="str">
        <f aca="false">IFERROR(INDEX(Scoring!$AK:$AK,MATCH($C656&amp;"|"&amp;$E656,Scoring!$U:$U,0)),"")</f>
        <v>Priority 2</v>
      </c>
      <c r="AC656" s="18" t="n">
        <f aca="false">IFERROR(INDEX(Scoring!$M:$M,MATCH($C656&amp;"|"&amp;$E656,Scoring!$U:$U,0)),"")</f>
        <v>335</v>
      </c>
      <c r="AD656" s="15" t="str">
        <f aca="false">IFERROR(INDEX('Route of Administration'!$C$5:$C$155,MATCH($C656,'Route of Administration'!$A$5:$A$155,0)),"")</f>
        <v>IV, IM</v>
      </c>
      <c r="AE656" s="14" t="str">
        <f aca="false">IFERROR(INDEX('Route of Administration'!$D$5:$D$155,MATCH($C656,'Route of Administration'!$A$5:$A$155,0)),"")</f>
        <v>Yes</v>
      </c>
    </row>
    <row r="657" customFormat="false" ht="28.35" hidden="false" customHeight="false" outlineLevel="0" collapsed="false">
      <c r="B657" s="15" t="n">
        <v>655</v>
      </c>
      <c r="C657" s="15" t="s">
        <v>356</v>
      </c>
      <c r="D657" s="15" t="s">
        <v>2659</v>
      </c>
      <c r="E657" s="15" t="s">
        <v>202</v>
      </c>
      <c r="F657" s="15" t="s">
        <v>1688</v>
      </c>
      <c r="G657" s="16" t="s">
        <v>1689</v>
      </c>
      <c r="H657" s="15" t="s">
        <v>1505</v>
      </c>
      <c r="I657" s="17" t="n">
        <v>93.7335</v>
      </c>
      <c r="J657" s="15" t="n">
        <v>28</v>
      </c>
      <c r="K657" s="15" t="n">
        <v>312</v>
      </c>
      <c r="L657" s="18" t="n">
        <v>59827.18</v>
      </c>
      <c r="M657" s="16" t="s">
        <v>357</v>
      </c>
      <c r="N657" s="17" t="n">
        <v>93.7335</v>
      </c>
      <c r="O657" s="15" t="s">
        <v>1506</v>
      </c>
      <c r="P657" s="15" t="s">
        <v>1533</v>
      </c>
      <c r="Q657" s="16" t="s">
        <v>1508</v>
      </c>
      <c r="R657" s="32" t="s">
        <v>1673</v>
      </c>
      <c r="S657" s="37" t="n">
        <f aca="false">IFERROR(INDEX('Injectable Value'!$Z$28:$Z$178,MATCH($C657,'Injectable Value'!$A$28:$A$178,0)),"")</f>
        <v>1</v>
      </c>
      <c r="T657" s="18" t="n">
        <f aca="false">IFERROR(ROUND(INDEX('Injectable Value'!$AA$28:$AA$178,MATCH($C657,'Injectable Value'!$A$28:$A$178,0)),1),"")</f>
        <v>59827.2</v>
      </c>
      <c r="U657" s="16" t="s">
        <v>1404</v>
      </c>
      <c r="V657" s="15" t="n">
        <v>3</v>
      </c>
      <c r="W657" s="15" t="s">
        <v>740</v>
      </c>
      <c r="X657" s="15" t="s">
        <v>248</v>
      </c>
      <c r="Y657" s="15" t="s">
        <v>299</v>
      </c>
      <c r="Z657" s="16" t="str">
        <f aca="false">IFERROR(INDEX(Scoring!$K:$K,MATCH($C657&amp;"|"&amp;$E657,Scoring!$U:$U,0)),"")</f>
        <v>Reconstitution</v>
      </c>
      <c r="AA657" s="15" t="str">
        <f aca="false">IFERROR(INDEX(Scoring!$Q:$Q,MATCH($C657&amp;"|"&amp;$E657,Scoring!$U:$U,0)),"")</f>
        <v>Excluded – IV only</v>
      </c>
      <c r="AB657" s="15" t="str">
        <f aca="false">IFERROR(INDEX(Scoring!$AK:$AK,MATCH($C657&amp;"|"&amp;$E657,Scoring!$U:$U,0)),"")</f>
        <v>Excluded – IV only</v>
      </c>
      <c r="AC657" s="18" t="n">
        <f aca="false">IFERROR(INDEX(Scoring!$M:$M,MATCH($C657&amp;"|"&amp;$E657,Scoring!$U:$U,0)),"")</f>
        <v>312</v>
      </c>
      <c r="AD657" s="15" t="str">
        <f aca="false">IFERROR(INDEX('Route of Administration'!$C$5:$C$155,MATCH($C657,'Route of Administration'!$A$5:$A$155,0)),"")</f>
        <v>IV</v>
      </c>
      <c r="AE657" s="14" t="str">
        <f aca="false">IFERROR(INDEX('Route of Administration'!$D$5:$D$155,MATCH($C657,'Route of Administration'!$A$5:$A$155,0)),"")</f>
        <v>No</v>
      </c>
    </row>
    <row r="658" customFormat="false" ht="28.35" hidden="false" customHeight="false" outlineLevel="0" collapsed="false">
      <c r="B658" s="15" t="n">
        <v>656</v>
      </c>
      <c r="C658" s="15" t="s">
        <v>1409</v>
      </c>
      <c r="D658" s="15" t="s">
        <v>1413</v>
      </c>
      <c r="E658" s="15" t="s">
        <v>202</v>
      </c>
      <c r="F658" s="15" t="s">
        <v>2660</v>
      </c>
      <c r="G658" s="16" t="s">
        <v>2661</v>
      </c>
      <c r="H658" s="15" t="s">
        <v>1505</v>
      </c>
      <c r="I658" s="17" t="n">
        <v>59.1216</v>
      </c>
      <c r="J658" s="15" t="n">
        <v>6</v>
      </c>
      <c r="K658" s="15" t="n">
        <v>106</v>
      </c>
      <c r="L658" s="18" t="n">
        <v>175.06</v>
      </c>
      <c r="M658" s="16" t="s">
        <v>1410</v>
      </c>
      <c r="N658" s="17" t="n">
        <v>59.1216</v>
      </c>
      <c r="O658" s="15" t="s">
        <v>1506</v>
      </c>
      <c r="P658" s="15" t="s">
        <v>1533</v>
      </c>
      <c r="Q658" s="16" t="s">
        <v>1508</v>
      </c>
      <c r="R658" s="32" t="s">
        <v>2662</v>
      </c>
      <c r="S658" s="37" t="n">
        <f aca="false">IFERROR(INDEX('Injectable Value'!$Z$28:$Z$178,MATCH($C658,'Injectable Value'!$A$28:$A$178,0)),"")</f>
        <v>1</v>
      </c>
      <c r="T658" s="18" t="n">
        <f aca="false">IFERROR(ROUND(INDEX('Injectable Value'!$AA$28:$AA$178,MATCH($C658,'Injectable Value'!$A$28:$A$178,0)),1),"")</f>
        <v>175.1</v>
      </c>
      <c r="U658" s="16" t="s">
        <v>1414</v>
      </c>
      <c r="V658" s="15" t="n">
        <v>3</v>
      </c>
      <c r="W658" s="15" t="s">
        <v>881</v>
      </c>
      <c r="X658" s="15" t="s">
        <v>316</v>
      </c>
      <c r="Y658" s="15" t="s">
        <v>299</v>
      </c>
      <c r="Z658" s="16" t="str">
        <f aca="false">IFERROR(INDEX(Scoring!$K:$K,MATCH($C658&amp;"|"&amp;$E658,Scoring!$U:$U,0)),"")</f>
        <v>Reconstitution</v>
      </c>
      <c r="AA658" s="15" t="str">
        <f aca="false">IFERROR(INDEX(Scoring!$Q:$Q,MATCH($C658&amp;"|"&amp;$E658,Scoring!$U:$U,0)),"")</f>
        <v>Priority 2</v>
      </c>
      <c r="AB658" s="15" t="str">
        <f aca="false">IFERROR(INDEX(Scoring!$AK:$AK,MATCH($C658&amp;"|"&amp;$E658,Scoring!$U:$U,0)),"")</f>
        <v>Priority 2</v>
      </c>
      <c r="AC658" s="18" t="n">
        <f aca="false">IFERROR(INDEX(Scoring!$M:$M,MATCH($C658&amp;"|"&amp;$E658,Scoring!$U:$U,0)),"")</f>
        <v>106</v>
      </c>
      <c r="AD658" s="15" t="str">
        <f aca="false">IFERROR(INDEX('Route of Administration'!$C$5:$C$155,MATCH($C658,'Route of Administration'!$A$5:$A$155,0)),"")</f>
        <v>SC</v>
      </c>
      <c r="AE658" s="14" t="str">
        <f aca="false">IFERROR(INDEX('Route of Administration'!$D$5:$D$155,MATCH($C658,'Route of Administration'!$A$5:$A$155,0)),"")</f>
        <v>Yes</v>
      </c>
    </row>
    <row r="659" customFormat="false" ht="28.35" hidden="false" customHeight="false" outlineLevel="0" collapsed="false">
      <c r="B659" s="15" t="n">
        <v>657</v>
      </c>
      <c r="C659" s="15" t="s">
        <v>1419</v>
      </c>
      <c r="D659" s="15" t="s">
        <v>1422</v>
      </c>
      <c r="E659" s="15" t="s">
        <v>202</v>
      </c>
      <c r="F659" s="15" t="s">
        <v>1694</v>
      </c>
      <c r="G659" s="16" t="s">
        <v>2643</v>
      </c>
      <c r="H659" s="15" t="s">
        <v>1505</v>
      </c>
      <c r="I659" s="17" t="n">
        <v>13.899</v>
      </c>
      <c r="J659" s="15" t="n">
        <v>1</v>
      </c>
      <c r="K659" s="15" t="n">
        <v>9</v>
      </c>
      <c r="L659" s="18" t="n">
        <v>1894.78</v>
      </c>
      <c r="M659" s="16" t="s">
        <v>626</v>
      </c>
      <c r="N659" s="17" t="n">
        <v>13.899</v>
      </c>
      <c r="O659" s="15" t="s">
        <v>1506</v>
      </c>
      <c r="P659" s="15" t="s">
        <v>1533</v>
      </c>
      <c r="Q659" s="16" t="s">
        <v>1508</v>
      </c>
      <c r="R659" s="32" t="s">
        <v>2663</v>
      </c>
      <c r="S659" s="37" t="n">
        <f aca="false">IFERROR(INDEX('Injectable Value'!$Z$28:$Z$178,MATCH($C659,'Injectable Value'!$A$28:$A$178,0)),"")</f>
        <v>1</v>
      </c>
      <c r="T659" s="18" t="n">
        <f aca="false">IFERROR(ROUND(INDEX('Injectable Value'!$AA$28:$AA$178,MATCH($C659,'Injectable Value'!$A$28:$A$178,0)),1),"")</f>
        <v>1894.8</v>
      </c>
      <c r="U659" s="16" t="s">
        <v>1230</v>
      </c>
      <c r="V659" s="15" t="n">
        <v>2</v>
      </c>
      <c r="W659" s="15" t="s">
        <v>881</v>
      </c>
      <c r="X659" s="15" t="s">
        <v>316</v>
      </c>
      <c r="Y659" s="15" t="s">
        <v>249</v>
      </c>
      <c r="Z659" s="16" t="str">
        <f aca="false">IFERROR(INDEX(Scoring!$K:$K,MATCH($C659&amp;"|"&amp;$E659,Scoring!$U:$U,0)),"")</f>
        <v/>
      </c>
      <c r="AA659" s="15" t="str">
        <f aca="false">IFERROR(INDEX(Scoring!$Q:$Q,MATCH($C659&amp;"|"&amp;$E659,Scoring!$U:$U,0)),"")</f>
        <v>Excluded – IV only</v>
      </c>
      <c r="AB659" s="15" t="str">
        <f aca="false">IFERROR(INDEX(Scoring!$AK:$AK,MATCH($C659&amp;"|"&amp;$E659,Scoring!$U:$U,0)),"")</f>
        <v>Excluded – IV only</v>
      </c>
      <c r="AC659" s="18" t="n">
        <f aca="false">IFERROR(INDEX(Scoring!$M:$M,MATCH($C659&amp;"|"&amp;$E659,Scoring!$U:$U,0)),"")</f>
        <v>9</v>
      </c>
      <c r="AD659" s="15" t="str">
        <f aca="false">IFERROR(INDEX('Route of Administration'!$C$5:$C$155,MATCH($C659,'Route of Administration'!$A$5:$A$155,0)),"")</f>
        <v>IV</v>
      </c>
      <c r="AE659" s="14" t="str">
        <f aca="false">IFERROR(INDEX('Route of Administration'!$D$5:$D$155,MATCH($C659,'Route of Administration'!$A$5:$A$155,0)),"")</f>
        <v>No</v>
      </c>
    </row>
    <row r="660" customFormat="false" ht="15" hidden="false" customHeight="false" outlineLevel="0" collapsed="false">
      <c r="B660" s="15" t="n">
        <v>658</v>
      </c>
      <c r="C660" s="15" t="s">
        <v>789</v>
      </c>
      <c r="D660" s="15" t="s">
        <v>2664</v>
      </c>
      <c r="E660" s="15" t="s">
        <v>202</v>
      </c>
      <c r="F660" s="15" t="s">
        <v>2274</v>
      </c>
      <c r="G660" s="16" t="s">
        <v>2644</v>
      </c>
      <c r="H660" s="15" t="s">
        <v>1505</v>
      </c>
      <c r="I660" s="17" t="n">
        <v>21.0971</v>
      </c>
      <c r="J660" s="15" t="n">
        <v>24</v>
      </c>
      <c r="K660" s="15" t="n">
        <v>133</v>
      </c>
      <c r="L660" s="18" t="n">
        <v>4036.55</v>
      </c>
      <c r="M660" s="16" t="s">
        <v>790</v>
      </c>
      <c r="N660" s="17" t="n">
        <v>21.0971</v>
      </c>
      <c r="O660" s="15" t="s">
        <v>1506</v>
      </c>
      <c r="P660" s="15" t="s">
        <v>1533</v>
      </c>
      <c r="Q660" s="16" t="s">
        <v>1508</v>
      </c>
      <c r="R660" s="32" t="s">
        <v>2017</v>
      </c>
      <c r="S660" s="37" t="n">
        <f aca="false">IFERROR(INDEX('Injectable Value'!$Z$28:$Z$178,MATCH($C660,'Injectable Value'!$A$28:$A$178,0)),"")</f>
        <v>1</v>
      </c>
      <c r="T660" s="18" t="n">
        <f aca="false">IFERROR(ROUND(INDEX('Injectable Value'!$AA$28:$AA$178,MATCH($C660,'Injectable Value'!$A$28:$A$178,0)),1),"")</f>
        <v>4036.6</v>
      </c>
      <c r="U660" s="16" t="s">
        <v>1424</v>
      </c>
      <c r="V660" s="15" t="n">
        <v>3</v>
      </c>
      <c r="W660" s="15" t="s">
        <v>740</v>
      </c>
      <c r="X660" s="15" t="s">
        <v>316</v>
      </c>
      <c r="Y660" s="15" t="s">
        <v>249</v>
      </c>
      <c r="Z660" s="16" t="str">
        <f aca="false">IFERROR(INDEX(Scoring!$K:$K,MATCH($C660&amp;"|"&amp;$E660,Scoring!$U:$U,0)),"")</f>
        <v/>
      </c>
      <c r="AA660" s="15" t="str">
        <f aca="false">IFERROR(INDEX(Scoring!$Q:$Q,MATCH($C660&amp;"|"&amp;$E660,Scoring!$U:$U,0)),"")</f>
        <v>Excluded – IV only</v>
      </c>
      <c r="AB660" s="15" t="str">
        <f aca="false">IFERROR(INDEX(Scoring!$AK:$AK,MATCH($C660&amp;"|"&amp;$E660,Scoring!$U:$U,0)),"")</f>
        <v>Excluded – IV only</v>
      </c>
      <c r="AC660" s="18" t="n">
        <f aca="false">IFERROR(INDEX(Scoring!$M:$M,MATCH($C660&amp;"|"&amp;$E660,Scoring!$U:$U,0)),"")</f>
        <v>133</v>
      </c>
      <c r="AD660" s="15" t="str">
        <f aca="false">IFERROR(INDEX('Route of Administration'!$C$5:$C$155,MATCH($C660,'Route of Administration'!$A$5:$A$155,0)),"")</f>
        <v>IV</v>
      </c>
      <c r="AE660" s="14" t="str">
        <f aca="false">IFERROR(INDEX('Route of Administration'!$D$5:$D$155,MATCH($C660,'Route of Administration'!$A$5:$A$155,0)),"")</f>
        <v>No</v>
      </c>
    </row>
    <row r="661" customFormat="false" ht="28.35" hidden="false" customHeight="false" outlineLevel="0" collapsed="false">
      <c r="B661" s="15" t="n">
        <v>659</v>
      </c>
      <c r="C661" s="15" t="s">
        <v>487</v>
      </c>
      <c r="D661" s="15" t="s">
        <v>1430</v>
      </c>
      <c r="E661" s="15" t="s">
        <v>202</v>
      </c>
      <c r="F661" s="15" t="s">
        <v>1710</v>
      </c>
      <c r="G661" s="16" t="s">
        <v>2018</v>
      </c>
      <c r="H661" s="15" t="s">
        <v>1505</v>
      </c>
      <c r="I661" s="17" t="n">
        <v>5.3223</v>
      </c>
      <c r="J661" s="15" t="n">
        <v>28</v>
      </c>
      <c r="K661" s="15" t="n">
        <v>2546</v>
      </c>
      <c r="L661" s="18" t="n">
        <v>46507.62</v>
      </c>
      <c r="M661" s="16" t="s">
        <v>488</v>
      </c>
      <c r="N661" s="17" t="n">
        <v>5.3223</v>
      </c>
      <c r="O661" s="15" t="s">
        <v>1506</v>
      </c>
      <c r="P661" s="15" t="s">
        <v>1533</v>
      </c>
      <c r="Q661" s="16" t="s">
        <v>1508</v>
      </c>
      <c r="R661" s="32" t="s">
        <v>1673</v>
      </c>
      <c r="S661" s="37" t="n">
        <f aca="false">IFERROR(INDEX('Injectable Value'!$Z$28:$Z$178,MATCH($C661,'Injectable Value'!$A$28:$A$178,0)),"")</f>
        <v>0.378228374732698</v>
      </c>
      <c r="T661" s="18" t="n">
        <f aca="false">IFERROR(ROUND(INDEX('Injectable Value'!$AA$28:$AA$178,MATCH($C661,'Injectable Value'!$A$28:$A$178,0)),1),"")</f>
        <v>17590.5</v>
      </c>
      <c r="U661" s="16" t="s">
        <v>881</v>
      </c>
      <c r="V661" s="15" t="n">
        <v>1</v>
      </c>
      <c r="W661" s="15" t="s">
        <v>881</v>
      </c>
      <c r="X661" s="15" t="s">
        <v>316</v>
      </c>
      <c r="Y661" s="15" t="s">
        <v>249</v>
      </c>
      <c r="Z661" s="16" t="str">
        <f aca="false">IFERROR(INDEX(Scoring!$K:$K,MATCH($C661&amp;"|"&amp;$E661,Scoring!$U:$U,0)),"")</f>
        <v/>
      </c>
      <c r="AA661" s="15" t="str">
        <f aca="false">IFERROR(INDEX(Scoring!$Q:$Q,MATCH($C661&amp;"|"&amp;$E661,Scoring!$U:$U,0)),"")</f>
        <v>Priority 2</v>
      </c>
      <c r="AB661" s="15" t="str">
        <f aca="false">IFERROR(INDEX(Scoring!$AK:$AK,MATCH($C661&amp;"|"&amp;$E661,Scoring!$U:$U,0)),"")</f>
        <v>Priority 2</v>
      </c>
      <c r="AC661" s="18" t="n">
        <f aca="false">IFERROR(INDEX(Scoring!$M:$M,MATCH($C661&amp;"|"&amp;$E661,Scoring!$U:$U,0)),"")</f>
        <v>963</v>
      </c>
      <c r="AD661" s="15" t="str">
        <f aca="false">IFERROR(INDEX('Route of Administration'!$C$5:$C$155,MATCH($C661,'Route of Administration'!$A$5:$A$155,0)),"")</f>
        <v>IV, IM</v>
      </c>
      <c r="AE661" s="14" t="str">
        <f aca="false">IFERROR(INDEX('Route of Administration'!$D$5:$D$155,MATCH($C661,'Route of Administration'!$A$5:$A$155,0)),"")</f>
        <v>Yes</v>
      </c>
    </row>
    <row r="662" customFormat="false" ht="28.35" hidden="false" customHeight="false" outlineLevel="0" collapsed="false">
      <c r="B662" s="15" t="n">
        <v>660</v>
      </c>
      <c r="C662" s="15" t="s">
        <v>1431</v>
      </c>
      <c r="D662" s="15" t="s">
        <v>2665</v>
      </c>
      <c r="E662" s="15" t="s">
        <v>202</v>
      </c>
      <c r="F662" s="15" t="s">
        <v>1694</v>
      </c>
      <c r="G662" s="16" t="s">
        <v>2666</v>
      </c>
      <c r="H662" s="15" t="s">
        <v>1505</v>
      </c>
      <c r="I662" s="17" t="n">
        <v>26.0352</v>
      </c>
      <c r="J662" s="15" t="n">
        <v>27</v>
      </c>
      <c r="K662" s="15" t="n">
        <v>186</v>
      </c>
      <c r="L662" s="18" t="n">
        <v>1176.33</v>
      </c>
      <c r="M662" s="16" t="s">
        <v>1432</v>
      </c>
      <c r="N662" s="17" t="n">
        <v>26.0352</v>
      </c>
      <c r="O662" s="15" t="s">
        <v>1506</v>
      </c>
      <c r="P662" s="15" t="s">
        <v>1533</v>
      </c>
      <c r="Q662" s="16" t="s">
        <v>1508</v>
      </c>
      <c r="R662" s="32" t="s">
        <v>2667</v>
      </c>
      <c r="S662" s="37" t="n">
        <f aca="false">IFERROR(INDEX('Injectable Value'!$Z$28:$Z$178,MATCH($C662,'Injectable Value'!$A$28:$A$178,0)),"")</f>
        <v>0.857142857142857</v>
      </c>
      <c r="T662" s="18" t="n">
        <f aca="false">IFERROR(ROUND(INDEX('Injectable Value'!$AA$28:$AA$178,MATCH($C662,'Injectable Value'!$A$28:$A$178,0)),1),"")</f>
        <v>1008.3</v>
      </c>
      <c r="U662" s="16" t="s">
        <v>740</v>
      </c>
      <c r="V662" s="15" t="n">
        <v>2</v>
      </c>
      <c r="W662" s="15" t="s">
        <v>740</v>
      </c>
      <c r="X662" s="15" t="s">
        <v>316</v>
      </c>
      <c r="Y662" s="15" t="s">
        <v>249</v>
      </c>
      <c r="Z662" s="16" t="str">
        <f aca="false">IFERROR(INDEX(Scoring!$K:$K,MATCH($C662&amp;"|"&amp;$E662,Scoring!$U:$U,0)),"")</f>
        <v/>
      </c>
      <c r="AA662" s="15" t="str">
        <f aca="false">IFERROR(INDEX(Scoring!$Q:$Q,MATCH($C662&amp;"|"&amp;$E662,Scoring!$U:$U,0)),"")</f>
        <v>Excluded – IV only</v>
      </c>
      <c r="AB662" s="15" t="str">
        <f aca="false">IFERROR(INDEX(Scoring!$AK:$AK,MATCH($C662&amp;"|"&amp;$E662,Scoring!$U:$U,0)),"")</f>
        <v>Excluded – IV only</v>
      </c>
      <c r="AC662" s="18" t="n">
        <f aca="false">IFERROR(INDEX(Scoring!$M:$M,MATCH($C662&amp;"|"&amp;$E662,Scoring!$U:$U,0)),"")</f>
        <v>159</v>
      </c>
      <c r="AD662" s="15" t="str">
        <f aca="false">IFERROR(INDEX('Route of Administration'!$C$5:$C$155,MATCH($C662,'Route of Administration'!$A$5:$A$155,0)),"")</f>
        <v>IV</v>
      </c>
      <c r="AE662" s="14" t="str">
        <f aca="false">IFERROR(INDEX('Route of Administration'!$D$5:$D$155,MATCH($C662,'Route of Administration'!$A$5:$A$155,0)),"")</f>
        <v>No</v>
      </c>
    </row>
    <row r="663" customFormat="false" ht="28.35" hidden="false" customHeight="false" outlineLevel="0" collapsed="false">
      <c r="B663" s="15" t="n">
        <v>661</v>
      </c>
      <c r="C663" s="15" t="s">
        <v>525</v>
      </c>
      <c r="D663" s="15" t="s">
        <v>2668</v>
      </c>
      <c r="E663" s="15" t="s">
        <v>202</v>
      </c>
      <c r="F663" s="15" t="s">
        <v>2669</v>
      </c>
      <c r="G663" s="16" t="s">
        <v>2638</v>
      </c>
      <c r="H663" s="15" t="s">
        <v>1505</v>
      </c>
      <c r="I663" s="17" t="n">
        <v>28.024</v>
      </c>
      <c r="J663" s="15" t="n">
        <v>22</v>
      </c>
      <c r="K663" s="15" t="n">
        <v>2</v>
      </c>
      <c r="L663" s="18" t="n">
        <v>71.73</v>
      </c>
      <c r="M663" s="16" t="s">
        <v>526</v>
      </c>
      <c r="N663" s="17" t="n">
        <v>28.024</v>
      </c>
      <c r="O663" s="15" t="s">
        <v>1506</v>
      </c>
      <c r="P663" s="15" t="s">
        <v>1533</v>
      </c>
      <c r="Q663" s="16" t="s">
        <v>1508</v>
      </c>
      <c r="R663" s="32" t="s">
        <v>1716</v>
      </c>
      <c r="S663" s="37" t="n">
        <f aca="false">IFERROR(INDEX('Injectable Value'!$Z$28:$Z$178,MATCH($C663,'Injectable Value'!$A$28:$A$178,0)),"")</f>
        <v>0.996078431372549</v>
      </c>
      <c r="T663" s="18" t="n">
        <f aca="false">IFERROR(ROUND(INDEX('Injectable Value'!$AA$28:$AA$178,MATCH($C663,'Injectable Value'!$A$28:$A$178,0)),1),"")</f>
        <v>71.4</v>
      </c>
      <c r="U663" s="16" t="s">
        <v>740</v>
      </c>
      <c r="V663" s="15" t="n">
        <v>2</v>
      </c>
      <c r="W663" s="15" t="s">
        <v>740</v>
      </c>
      <c r="X663" s="15" t="s">
        <v>248</v>
      </c>
      <c r="Y663" s="15" t="s">
        <v>299</v>
      </c>
      <c r="Z663" s="16" t="str">
        <f aca="false">IFERROR(INDEX(Scoring!$K:$K,MATCH($C663&amp;"|"&amp;$E663,Scoring!$U:$U,0)),"")</f>
        <v>Reconstitution</v>
      </c>
      <c r="AA663" s="15" t="str">
        <f aca="false">IFERROR(INDEX(Scoring!$Q:$Q,MATCH($C663&amp;"|"&amp;$E663,Scoring!$U:$U,0)),"")</f>
        <v>Excluded – IV only</v>
      </c>
      <c r="AB663" s="15" t="str">
        <f aca="false">IFERROR(INDEX(Scoring!$AK:$AK,MATCH($C663&amp;"|"&amp;$E663,Scoring!$U:$U,0)),"")</f>
        <v>Excluded – IV only</v>
      </c>
      <c r="AC663" s="18" t="n">
        <f aca="false">IFERROR(INDEX(Scoring!$M:$M,MATCH($C663&amp;"|"&amp;$E663,Scoring!$U:$U,0)),"")</f>
        <v>2</v>
      </c>
      <c r="AD663" s="15" t="str">
        <f aca="false">IFERROR(INDEX('Route of Administration'!$C$5:$C$155,MATCH($C663,'Route of Administration'!$A$5:$A$155,0)),"")</f>
        <v>IV</v>
      </c>
      <c r="AE663" s="14" t="str">
        <f aca="false">IFERROR(INDEX('Route of Administration'!$D$5:$D$155,MATCH($C663,'Route of Administration'!$A$5:$A$155,0)),"")</f>
        <v>No</v>
      </c>
    </row>
    <row r="664" customFormat="false" ht="28.35" hidden="false" customHeight="false" outlineLevel="0" collapsed="false">
      <c r="B664" s="15" t="n">
        <v>662</v>
      </c>
      <c r="C664" s="15" t="s">
        <v>1437</v>
      </c>
      <c r="D664" s="15" t="s">
        <v>2670</v>
      </c>
      <c r="E664" s="15" t="s">
        <v>202</v>
      </c>
      <c r="F664" s="15" t="s">
        <v>2671</v>
      </c>
      <c r="G664" s="16" t="s">
        <v>2672</v>
      </c>
      <c r="H664" s="15" t="s">
        <v>1505</v>
      </c>
      <c r="I664" s="17" t="n">
        <v>8.5428</v>
      </c>
      <c r="J664" s="15" t="n">
        <v>30</v>
      </c>
      <c r="K664" s="15" t="n">
        <v>780</v>
      </c>
      <c r="L664" s="18" t="n">
        <v>18439.5</v>
      </c>
      <c r="M664" s="16" t="s">
        <v>1237</v>
      </c>
      <c r="N664" s="17" t="n">
        <v>8.5428</v>
      </c>
      <c r="O664" s="15" t="s">
        <v>1506</v>
      </c>
      <c r="P664" s="15" t="s">
        <v>1533</v>
      </c>
      <c r="Q664" s="16" t="s">
        <v>1508</v>
      </c>
      <c r="R664" s="32" t="s">
        <v>1673</v>
      </c>
      <c r="S664" s="37" t="n">
        <f aca="false">IFERROR(INDEX('Injectable Value'!$Z$28:$Z$178,MATCH($C664,'Injectable Value'!$A$28:$A$178,0)),"")</f>
        <v>0.194160055301433</v>
      </c>
      <c r="T664" s="18" t="n">
        <f aca="false">IFERROR(ROUND(INDEX('Injectable Value'!$AA$28:$AA$178,MATCH($C664,'Injectable Value'!$A$28:$A$178,0)),1),"")</f>
        <v>3580.2</v>
      </c>
      <c r="U664" s="16" t="s">
        <v>1404</v>
      </c>
      <c r="V664" s="15" t="n">
        <v>3</v>
      </c>
      <c r="W664" s="15" t="s">
        <v>740</v>
      </c>
      <c r="X664" s="15" t="s">
        <v>248</v>
      </c>
      <c r="Y664" s="15" t="s">
        <v>249</v>
      </c>
      <c r="Z664" s="16" t="str">
        <f aca="false">IFERROR(INDEX(Scoring!$K:$K,MATCH($C664&amp;"|"&amp;$E664,Scoring!$U:$U,0)),"")</f>
        <v/>
      </c>
      <c r="AA664" s="15" t="str">
        <f aca="false">IFERROR(INDEX(Scoring!$Q:$Q,MATCH($C664&amp;"|"&amp;$E664,Scoring!$U:$U,0)),"")</f>
        <v>Excluded – IV only</v>
      </c>
      <c r="AB664" s="15" t="str">
        <f aca="false">IFERROR(INDEX(Scoring!$AK:$AK,MATCH($C664&amp;"|"&amp;$E664,Scoring!$U:$U,0)),"")</f>
        <v>Excluded – IV only</v>
      </c>
      <c r="AC664" s="18" t="n">
        <f aca="false">IFERROR(INDEX(Scoring!$M:$M,MATCH($C664&amp;"|"&amp;$E664,Scoring!$U:$U,0)),"")</f>
        <v>151</v>
      </c>
      <c r="AD664" s="15" t="str">
        <f aca="false">IFERROR(INDEX('Route of Administration'!$C$5:$C$155,MATCH($C664,'Route of Administration'!$A$5:$A$155,0)),"")</f>
        <v>IV</v>
      </c>
      <c r="AE664" s="14" t="str">
        <f aca="false">IFERROR(INDEX('Route of Administration'!$D$5:$D$155,MATCH($C664,'Route of Administration'!$A$5:$A$155,0)),"")</f>
        <v>No</v>
      </c>
    </row>
    <row r="665" customFormat="false" ht="28.35" hidden="false" customHeight="false" outlineLevel="0" collapsed="false">
      <c r="B665" s="15" t="n">
        <v>663</v>
      </c>
      <c r="C665" s="15" t="s">
        <v>635</v>
      </c>
      <c r="D665" s="15" t="s">
        <v>635</v>
      </c>
      <c r="E665" s="15" t="s">
        <v>202</v>
      </c>
      <c r="F665" s="15" t="s">
        <v>1940</v>
      </c>
      <c r="G665" s="16" t="s">
        <v>2018</v>
      </c>
      <c r="H665" s="15" t="s">
        <v>1505</v>
      </c>
      <c r="I665" s="17" t="n">
        <v>83.0776</v>
      </c>
      <c r="J665" s="15" t="n">
        <v>26</v>
      </c>
      <c r="K665" s="15" t="n">
        <v>346</v>
      </c>
      <c r="L665" s="18" t="n">
        <v>32830.17</v>
      </c>
      <c r="M665" s="16" t="s">
        <v>636</v>
      </c>
      <c r="N665" s="17" t="n">
        <v>83.0776</v>
      </c>
      <c r="O665" s="15" t="s">
        <v>1506</v>
      </c>
      <c r="P665" s="15" t="s">
        <v>1533</v>
      </c>
      <c r="Q665" s="16" t="s">
        <v>1508</v>
      </c>
      <c r="R665" s="32" t="s">
        <v>1673</v>
      </c>
      <c r="S665" s="37" t="n">
        <f aca="false">IFERROR(INDEX('Injectable Value'!$Z$28:$Z$178,MATCH($C665,'Injectable Value'!$A$28:$A$178,0)),"")</f>
        <v>1</v>
      </c>
      <c r="T665" s="18" t="n">
        <f aca="false">IFERROR(ROUND(INDEX('Injectable Value'!$AA$28:$AA$178,MATCH($C665,'Injectable Value'!$A$28:$A$178,0)),1),"")</f>
        <v>32830.2</v>
      </c>
      <c r="U665" s="16" t="s">
        <v>740</v>
      </c>
      <c r="V665" s="15" t="n">
        <v>2</v>
      </c>
      <c r="W665" s="15" t="s">
        <v>740</v>
      </c>
      <c r="X665" s="15" t="s">
        <v>316</v>
      </c>
      <c r="Y665" s="15" t="s">
        <v>249</v>
      </c>
      <c r="Z665" s="16" t="str">
        <f aca="false">IFERROR(INDEX(Scoring!$K:$K,MATCH($C665&amp;"|"&amp;$E665,Scoring!$U:$U,0)),"")</f>
        <v/>
      </c>
      <c r="AA665" s="15" t="str">
        <f aca="false">IFERROR(INDEX(Scoring!$Q:$Q,MATCH($C665&amp;"|"&amp;$E665,Scoring!$U:$U,0)),"")</f>
        <v>Excluded – IV only</v>
      </c>
      <c r="AB665" s="15" t="str">
        <f aca="false">IFERROR(INDEX(Scoring!$AK:$AK,MATCH($C665&amp;"|"&amp;$E665,Scoring!$U:$U,0)),"")</f>
        <v>Excluded – IV only</v>
      </c>
      <c r="AC665" s="18" t="n">
        <f aca="false">IFERROR(INDEX(Scoring!$M:$M,MATCH($C665&amp;"|"&amp;$E665,Scoring!$U:$U,0)),"")</f>
        <v>346</v>
      </c>
      <c r="AD665" s="15" t="str">
        <f aca="false">IFERROR(INDEX('Route of Administration'!$C$5:$C$155,MATCH($C665,'Route of Administration'!$A$5:$A$155,0)),"")</f>
        <v>IV</v>
      </c>
      <c r="AE665" s="14" t="str">
        <f aca="false">IFERROR(INDEX('Route of Administration'!$D$5:$D$155,MATCH($C665,'Route of Administration'!$A$5:$A$155,0)),"")</f>
        <v>No</v>
      </c>
    </row>
    <row r="666" customFormat="false" ht="28.35" hidden="false" customHeight="false" outlineLevel="0" collapsed="false">
      <c r="B666" s="15" t="n">
        <v>664</v>
      </c>
      <c r="C666" s="15" t="s">
        <v>1442</v>
      </c>
      <c r="D666" s="15" t="s">
        <v>1444</v>
      </c>
      <c r="E666" s="15" t="s">
        <v>202</v>
      </c>
      <c r="F666" s="15" t="s">
        <v>1703</v>
      </c>
      <c r="G666" s="16" t="s">
        <v>1704</v>
      </c>
      <c r="H666" s="15" t="s">
        <v>1505</v>
      </c>
      <c r="I666" s="17" t="n">
        <v>6.7348</v>
      </c>
      <c r="J666" s="15" t="n">
        <v>27</v>
      </c>
      <c r="K666" s="15" t="n">
        <v>1200</v>
      </c>
      <c r="L666" s="18" t="n">
        <v>53526.71</v>
      </c>
      <c r="M666" s="16" t="s">
        <v>642</v>
      </c>
      <c r="N666" s="17" t="n">
        <v>6.7348</v>
      </c>
      <c r="O666" s="15" t="s">
        <v>1506</v>
      </c>
      <c r="P666" s="15" t="s">
        <v>1533</v>
      </c>
      <c r="Q666" s="16" t="s">
        <v>1508</v>
      </c>
      <c r="R666" s="32" t="s">
        <v>1673</v>
      </c>
      <c r="S666" s="37" t="n">
        <f aca="false">IFERROR(INDEX('Injectable Value'!$Z$28:$Z$178,MATCH($C666,'Injectable Value'!$A$28:$A$178,0)),"")</f>
        <v>0.822746602056947</v>
      </c>
      <c r="T666" s="18" t="n">
        <f aca="false">IFERROR(ROUND(INDEX('Injectable Value'!$AA$28:$AA$178,MATCH($C666,'Injectable Value'!$A$28:$A$178,0)),1),"")</f>
        <v>44038.9</v>
      </c>
      <c r="U666" s="16" t="s">
        <v>881</v>
      </c>
      <c r="V666" s="15" t="n">
        <v>1</v>
      </c>
      <c r="W666" s="15" t="s">
        <v>881</v>
      </c>
      <c r="X666" s="15" t="s">
        <v>248</v>
      </c>
      <c r="Y666" s="15" t="s">
        <v>299</v>
      </c>
      <c r="Z666" s="16" t="str">
        <f aca="false">IFERROR(INDEX(Scoring!$K:$K,MATCH($C666&amp;"|"&amp;$E666,Scoring!$U:$U,0)),"")</f>
        <v>Reconstitution</v>
      </c>
      <c r="AA666" s="15" t="str">
        <f aca="false">IFERROR(INDEX(Scoring!$Q:$Q,MATCH($C666&amp;"|"&amp;$E666,Scoring!$U:$U,0)),"")</f>
        <v>Excluded – IV only</v>
      </c>
      <c r="AB666" s="15" t="str">
        <f aca="false">IFERROR(INDEX(Scoring!$AK:$AK,MATCH($C666&amp;"|"&amp;$E666,Scoring!$U:$U,0)),"")</f>
        <v>Excluded – IV only</v>
      </c>
      <c r="AC666" s="18" t="n">
        <f aca="false">IFERROR(INDEX(Scoring!$M:$M,MATCH($C666&amp;"|"&amp;$E666,Scoring!$U:$U,0)),"")</f>
        <v>987</v>
      </c>
      <c r="AD666" s="15" t="str">
        <f aca="false">IFERROR(INDEX('Route of Administration'!$C$5:$C$155,MATCH($C666,'Route of Administration'!$A$5:$A$155,0)),"")</f>
        <v>IV</v>
      </c>
      <c r="AE666" s="14" t="str">
        <f aca="false">IFERROR(INDEX('Route of Administration'!$D$5:$D$155,MATCH($C666,'Route of Administration'!$A$5:$A$155,0)),"")</f>
        <v>No</v>
      </c>
    </row>
    <row r="667" customFormat="false" ht="28.35" hidden="false" customHeight="false" outlineLevel="0" collapsed="false">
      <c r="B667" s="15" t="n">
        <v>665</v>
      </c>
      <c r="C667" s="15" t="s">
        <v>1419</v>
      </c>
      <c r="D667" s="15" t="s">
        <v>1422</v>
      </c>
      <c r="E667" s="15" t="s">
        <v>202</v>
      </c>
      <c r="F667" s="15" t="s">
        <v>2430</v>
      </c>
      <c r="G667" s="16" t="s">
        <v>2429</v>
      </c>
      <c r="H667" s="15" t="s">
        <v>1505</v>
      </c>
      <c r="I667" s="17"/>
      <c r="J667" s="15" t="n">
        <v>1</v>
      </c>
      <c r="K667" s="15" t="n">
        <v>9</v>
      </c>
      <c r="L667" s="18" t="n">
        <v>1894.78</v>
      </c>
      <c r="M667" s="16" t="s">
        <v>626</v>
      </c>
      <c r="N667" s="17"/>
      <c r="O667" s="15" t="s">
        <v>1545</v>
      </c>
      <c r="P667" s="15" t="s">
        <v>70</v>
      </c>
      <c r="Q667" s="16" t="s">
        <v>70</v>
      </c>
      <c r="R667" s="15"/>
      <c r="S667" s="37" t="n">
        <f aca="false">IFERROR(INDEX('Injectable Value'!$Z$28:$Z$178,MATCH($C667,'Injectable Value'!$A$28:$A$178,0)),"")</f>
        <v>1</v>
      </c>
      <c r="T667" s="18" t="n">
        <f aca="false">IFERROR(ROUND(INDEX('Injectable Value'!$AA$28:$AA$178,MATCH($C667,'Injectable Value'!$A$28:$A$178,0)),1),"")</f>
        <v>1894.8</v>
      </c>
      <c r="U667" s="16" t="s">
        <v>1230</v>
      </c>
      <c r="V667" s="15" t="n">
        <v>2</v>
      </c>
      <c r="W667" s="15" t="s">
        <v>881</v>
      </c>
      <c r="X667" s="15" t="s">
        <v>316</v>
      </c>
      <c r="Y667" s="15" t="s">
        <v>249</v>
      </c>
      <c r="Z667" s="16" t="str">
        <f aca="false">IFERROR(INDEX(Scoring!$K:$K,MATCH($C667&amp;"|"&amp;$E667,Scoring!$U:$U,0)),"")</f>
        <v/>
      </c>
      <c r="AA667" s="15" t="str">
        <f aca="false">IFERROR(INDEX(Scoring!$Q:$Q,MATCH($C667&amp;"|"&amp;$E667,Scoring!$U:$U,0)),"")</f>
        <v>Excluded – IV only</v>
      </c>
      <c r="AB667" s="15" t="str">
        <f aca="false">IFERROR(INDEX(Scoring!$AK:$AK,MATCH($C667&amp;"|"&amp;$E667,Scoring!$U:$U,0)),"")</f>
        <v>Excluded – IV only</v>
      </c>
      <c r="AC667" s="18" t="n">
        <f aca="false">IFERROR(INDEX(Scoring!$M:$M,MATCH($C667&amp;"|"&amp;$E667,Scoring!$U:$U,0)),"")</f>
        <v>9</v>
      </c>
      <c r="AD667" s="15" t="str">
        <f aca="false">IFERROR(INDEX('Route of Administration'!$C$5:$C$155,MATCH($C667,'Route of Administration'!$A$5:$A$155,0)),"")</f>
        <v>IV</v>
      </c>
      <c r="AE667" s="14" t="str">
        <f aca="false">IFERROR(INDEX('Route of Administration'!$D$5:$D$155,MATCH($C667,'Route of Administration'!$A$5:$A$155,0)),"")</f>
        <v>No</v>
      </c>
    </row>
    <row r="668" customFormat="false" ht="28.35" hidden="false" customHeight="false" outlineLevel="0" collapsed="false">
      <c r="B668" s="15" t="n">
        <v>666</v>
      </c>
      <c r="C668" s="15" t="s">
        <v>1419</v>
      </c>
      <c r="D668" s="15" t="s">
        <v>1422</v>
      </c>
      <c r="E668" s="15" t="s">
        <v>202</v>
      </c>
      <c r="F668" s="15" t="s">
        <v>1718</v>
      </c>
      <c r="G668" s="16" t="s">
        <v>1831</v>
      </c>
      <c r="H668" s="15" t="s">
        <v>1505</v>
      </c>
      <c r="I668" s="17"/>
      <c r="J668" s="15" t="n">
        <v>1</v>
      </c>
      <c r="K668" s="15" t="n">
        <v>9</v>
      </c>
      <c r="L668" s="18" t="n">
        <v>1894.78</v>
      </c>
      <c r="M668" s="16" t="s">
        <v>626</v>
      </c>
      <c r="N668" s="17"/>
      <c r="O668" s="15" t="s">
        <v>1545</v>
      </c>
      <c r="P668" s="15" t="s">
        <v>70</v>
      </c>
      <c r="Q668" s="16" t="s">
        <v>70</v>
      </c>
      <c r="R668" s="15"/>
      <c r="S668" s="37" t="n">
        <f aca="false">IFERROR(INDEX('Injectable Value'!$Z$28:$Z$178,MATCH($C668,'Injectable Value'!$A$28:$A$178,0)),"")</f>
        <v>1</v>
      </c>
      <c r="T668" s="18" t="n">
        <f aca="false">IFERROR(ROUND(INDEX('Injectable Value'!$AA$28:$AA$178,MATCH($C668,'Injectable Value'!$A$28:$A$178,0)),1),"")</f>
        <v>1894.8</v>
      </c>
      <c r="U668" s="16" t="s">
        <v>1230</v>
      </c>
      <c r="V668" s="15" t="n">
        <v>2</v>
      </c>
      <c r="W668" s="15" t="s">
        <v>881</v>
      </c>
      <c r="X668" s="15" t="s">
        <v>316</v>
      </c>
      <c r="Y668" s="15" t="s">
        <v>249</v>
      </c>
      <c r="Z668" s="16" t="str">
        <f aca="false">IFERROR(INDEX(Scoring!$K:$K,MATCH($C668&amp;"|"&amp;$E668,Scoring!$U:$U,0)),"")</f>
        <v/>
      </c>
      <c r="AA668" s="15" t="str">
        <f aca="false">IFERROR(INDEX(Scoring!$Q:$Q,MATCH($C668&amp;"|"&amp;$E668,Scoring!$U:$U,0)),"")</f>
        <v>Excluded – IV only</v>
      </c>
      <c r="AB668" s="15" t="str">
        <f aca="false">IFERROR(INDEX(Scoring!$AK:$AK,MATCH($C668&amp;"|"&amp;$E668,Scoring!$U:$U,0)),"")</f>
        <v>Excluded – IV only</v>
      </c>
      <c r="AC668" s="18" t="n">
        <f aca="false">IFERROR(INDEX(Scoring!$M:$M,MATCH($C668&amp;"|"&amp;$E668,Scoring!$U:$U,0)),"")</f>
        <v>9</v>
      </c>
      <c r="AD668" s="15" t="str">
        <f aca="false">IFERROR(INDEX('Route of Administration'!$C$5:$C$155,MATCH($C668,'Route of Administration'!$A$5:$A$155,0)),"")</f>
        <v>IV</v>
      </c>
      <c r="AE668" s="14" t="str">
        <f aca="false">IFERROR(INDEX('Route of Administration'!$D$5:$D$155,MATCH($C668,'Route of Administration'!$A$5:$A$155,0)),"")</f>
        <v>No</v>
      </c>
    </row>
    <row r="669" customFormat="false" ht="28.35" hidden="false" customHeight="false" outlineLevel="0" collapsed="false">
      <c r="B669" s="15" t="n">
        <v>667</v>
      </c>
      <c r="C669" s="15" t="s">
        <v>356</v>
      </c>
      <c r="D669" s="15" t="s">
        <v>2673</v>
      </c>
      <c r="E669" s="15" t="s">
        <v>202</v>
      </c>
      <c r="F669" s="15" t="s">
        <v>1757</v>
      </c>
      <c r="G669" s="16" t="s">
        <v>1758</v>
      </c>
      <c r="H669" s="15" t="s">
        <v>1505</v>
      </c>
      <c r="I669" s="17"/>
      <c r="J669" s="15" t="n">
        <v>1</v>
      </c>
      <c r="K669" s="15" t="n">
        <v>312</v>
      </c>
      <c r="L669" s="18" t="n">
        <v>59827.18</v>
      </c>
      <c r="M669" s="16" t="s">
        <v>357</v>
      </c>
      <c r="N669" s="17"/>
      <c r="O669" s="15" t="s">
        <v>1545</v>
      </c>
      <c r="P669" s="15" t="s">
        <v>70</v>
      </c>
      <c r="Q669" s="16" t="s">
        <v>70</v>
      </c>
      <c r="R669" s="15"/>
      <c r="S669" s="37" t="n">
        <f aca="false">IFERROR(INDEX('Injectable Value'!$Z$28:$Z$178,MATCH($C669,'Injectable Value'!$A$28:$A$178,0)),"")</f>
        <v>1</v>
      </c>
      <c r="T669" s="18" t="n">
        <f aca="false">IFERROR(ROUND(INDEX('Injectable Value'!$AA$28:$AA$178,MATCH($C669,'Injectable Value'!$A$28:$A$178,0)),1),"")</f>
        <v>59827.2</v>
      </c>
      <c r="U669" s="16" t="s">
        <v>1404</v>
      </c>
      <c r="V669" s="15" t="n">
        <v>3</v>
      </c>
      <c r="W669" s="15" t="s">
        <v>740</v>
      </c>
      <c r="X669" s="15" t="s">
        <v>248</v>
      </c>
      <c r="Y669" s="15" t="s">
        <v>299</v>
      </c>
      <c r="Z669" s="16" t="str">
        <f aca="false">IFERROR(INDEX(Scoring!$K:$K,MATCH($C669&amp;"|"&amp;$E669,Scoring!$U:$U,0)),"")</f>
        <v>Reconstitution</v>
      </c>
      <c r="AA669" s="15" t="str">
        <f aca="false">IFERROR(INDEX(Scoring!$Q:$Q,MATCH($C669&amp;"|"&amp;$E669,Scoring!$U:$U,0)),"")</f>
        <v>Excluded – IV only</v>
      </c>
      <c r="AB669" s="15" t="str">
        <f aca="false">IFERROR(INDEX(Scoring!$AK:$AK,MATCH($C669&amp;"|"&amp;$E669,Scoring!$U:$U,0)),"")</f>
        <v>Excluded – IV only</v>
      </c>
      <c r="AC669" s="18" t="n">
        <f aca="false">IFERROR(INDEX(Scoring!$M:$M,MATCH($C669&amp;"|"&amp;$E669,Scoring!$U:$U,0)),"")</f>
        <v>312</v>
      </c>
      <c r="AD669" s="15" t="str">
        <f aca="false">IFERROR(INDEX('Route of Administration'!$C$5:$C$155,MATCH($C669,'Route of Administration'!$A$5:$A$155,0)),"")</f>
        <v>IV</v>
      </c>
      <c r="AE669" s="14" t="str">
        <f aca="false">IFERROR(INDEX('Route of Administration'!$D$5:$D$155,MATCH($C669,'Route of Administration'!$A$5:$A$155,0)),"")</f>
        <v>No</v>
      </c>
    </row>
    <row r="670" customFormat="false" ht="28.35" hidden="false" customHeight="false" outlineLevel="0" collapsed="false">
      <c r="B670" s="15" t="n">
        <v>668</v>
      </c>
      <c r="C670" s="15" t="s">
        <v>356</v>
      </c>
      <c r="D670" s="15" t="s">
        <v>2673</v>
      </c>
      <c r="E670" s="15" t="s">
        <v>202</v>
      </c>
      <c r="F670" s="15" t="s">
        <v>1822</v>
      </c>
      <c r="G670" s="16" t="s">
        <v>1823</v>
      </c>
      <c r="H670" s="15" t="s">
        <v>1505</v>
      </c>
      <c r="I670" s="17"/>
      <c r="J670" s="15" t="n">
        <v>1</v>
      </c>
      <c r="K670" s="15" t="n">
        <v>312</v>
      </c>
      <c r="L670" s="18" t="n">
        <v>59827.18</v>
      </c>
      <c r="M670" s="16" t="s">
        <v>357</v>
      </c>
      <c r="N670" s="17"/>
      <c r="O670" s="15" t="s">
        <v>1545</v>
      </c>
      <c r="P670" s="15" t="s">
        <v>70</v>
      </c>
      <c r="Q670" s="16" t="s">
        <v>70</v>
      </c>
      <c r="R670" s="15"/>
      <c r="S670" s="37" t="n">
        <f aca="false">IFERROR(INDEX('Injectable Value'!$Z$28:$Z$178,MATCH($C670,'Injectable Value'!$A$28:$A$178,0)),"")</f>
        <v>1</v>
      </c>
      <c r="T670" s="18" t="n">
        <f aca="false">IFERROR(ROUND(INDEX('Injectable Value'!$AA$28:$AA$178,MATCH($C670,'Injectable Value'!$A$28:$A$178,0)),1),"")</f>
        <v>59827.2</v>
      </c>
      <c r="U670" s="16" t="s">
        <v>1404</v>
      </c>
      <c r="V670" s="15" t="n">
        <v>3</v>
      </c>
      <c r="W670" s="15" t="s">
        <v>740</v>
      </c>
      <c r="X670" s="15" t="s">
        <v>248</v>
      </c>
      <c r="Y670" s="15" t="s">
        <v>299</v>
      </c>
      <c r="Z670" s="16" t="str">
        <f aca="false">IFERROR(INDEX(Scoring!$K:$K,MATCH($C670&amp;"|"&amp;$E670,Scoring!$U:$U,0)),"")</f>
        <v>Reconstitution</v>
      </c>
      <c r="AA670" s="15" t="str">
        <f aca="false">IFERROR(INDEX(Scoring!$Q:$Q,MATCH($C670&amp;"|"&amp;$E670,Scoring!$U:$U,0)),"")</f>
        <v>Excluded – IV only</v>
      </c>
      <c r="AB670" s="15" t="str">
        <f aca="false">IFERROR(INDEX(Scoring!$AK:$AK,MATCH($C670&amp;"|"&amp;$E670,Scoring!$U:$U,0)),"")</f>
        <v>Excluded – IV only</v>
      </c>
      <c r="AC670" s="18" t="n">
        <f aca="false">IFERROR(INDEX(Scoring!$M:$M,MATCH($C670&amp;"|"&amp;$E670,Scoring!$U:$U,0)),"")</f>
        <v>312</v>
      </c>
      <c r="AD670" s="15" t="str">
        <f aca="false">IFERROR(INDEX('Route of Administration'!$C$5:$C$155,MATCH($C670,'Route of Administration'!$A$5:$A$155,0)),"")</f>
        <v>IV</v>
      </c>
      <c r="AE670" s="14" t="str">
        <f aca="false">IFERROR(INDEX('Route of Administration'!$D$5:$D$155,MATCH($C670,'Route of Administration'!$A$5:$A$155,0)),"")</f>
        <v>No</v>
      </c>
    </row>
    <row r="671" customFormat="false" ht="28.35" hidden="false" customHeight="false" outlineLevel="0" collapsed="false">
      <c r="B671" s="15" t="n">
        <v>669</v>
      </c>
      <c r="C671" s="15" t="s">
        <v>745</v>
      </c>
      <c r="D671" s="15" t="s">
        <v>1393</v>
      </c>
      <c r="E671" s="15" t="s">
        <v>202</v>
      </c>
      <c r="F671" s="15" t="s">
        <v>2051</v>
      </c>
      <c r="G671" s="16" t="s">
        <v>1818</v>
      </c>
      <c r="H671" s="15" t="s">
        <v>1505</v>
      </c>
      <c r="I671" s="17"/>
      <c r="J671" s="15" t="n">
        <v>1</v>
      </c>
      <c r="K671" s="15" t="n">
        <v>684</v>
      </c>
      <c r="L671" s="18" t="n">
        <v>8785.35</v>
      </c>
      <c r="M671" s="16" t="s">
        <v>746</v>
      </c>
      <c r="N671" s="38" t="n">
        <v>3.06</v>
      </c>
      <c r="O671" s="22" t="s">
        <v>1513</v>
      </c>
      <c r="P671" s="15" t="s">
        <v>1533</v>
      </c>
      <c r="Q671" s="16" t="s">
        <v>1514</v>
      </c>
      <c r="R671" s="32" t="s">
        <v>1515</v>
      </c>
      <c r="S671" s="37" t="n">
        <f aca="false">IFERROR(INDEX('Injectable Value'!$Z$28:$Z$178,MATCH($C671,'Injectable Value'!$A$28:$A$178,0)),"")</f>
        <v>0.959959846916369</v>
      </c>
      <c r="T671" s="18" t="n">
        <f aca="false">IFERROR(ROUND(INDEX('Injectable Value'!$AA$28:$AA$178,MATCH($C671,'Injectable Value'!$A$28:$A$178,0)),1),"")</f>
        <v>8433.6</v>
      </c>
      <c r="U671" s="16" t="s">
        <v>583</v>
      </c>
      <c r="V671" s="15" t="n">
        <v>1</v>
      </c>
      <c r="W671" s="15" t="s">
        <v>70</v>
      </c>
      <c r="X671" s="15" t="s">
        <v>248</v>
      </c>
      <c r="Y671" s="15" t="s">
        <v>249</v>
      </c>
      <c r="Z671" s="16" t="str">
        <f aca="false">IFERROR(INDEX(Scoring!$K:$K,MATCH($C671&amp;"|"&amp;$E671,Scoring!$U:$U,0)),"")</f>
        <v>Low price from another market – confirm with company</v>
      </c>
      <c r="AA671" s="15" t="str">
        <f aca="false">IFERROR(INDEX(Scoring!$Q:$Q,MATCH($C671&amp;"|"&amp;$E671,Scoring!$U:$U,0)),"")</f>
        <v>Excluded – price ≤ $5</v>
      </c>
      <c r="AB671" s="15" t="str">
        <f aca="false">IFERROR(INDEX(Scoring!$AK:$AK,MATCH($C671&amp;"|"&amp;$E671,Scoring!$U:$U,0)),"")</f>
        <v>Excluded – price ≤ $5</v>
      </c>
      <c r="AC671" s="18" t="n">
        <f aca="false">IFERROR(INDEX(Scoring!$M:$M,MATCH($C671&amp;"|"&amp;$E671,Scoring!$U:$U,0)),"")</f>
        <v>657</v>
      </c>
      <c r="AD671" s="15" t="str">
        <f aca="false">IFERROR(INDEX('Route of Administration'!$C$5:$C$155,MATCH($C671,'Route of Administration'!$A$5:$A$155,0)),"")</f>
        <v>IV, IM</v>
      </c>
      <c r="AE671" s="14" t="str">
        <f aca="false">IFERROR(INDEX('Route of Administration'!$D$5:$D$155,MATCH($C671,'Route of Administration'!$A$5:$A$155,0)),"")</f>
        <v>Yes</v>
      </c>
    </row>
    <row r="672" customFormat="false" ht="28.35" hidden="false" customHeight="false" outlineLevel="0" collapsed="false">
      <c r="B672" s="15" t="n">
        <v>670</v>
      </c>
      <c r="C672" s="15" t="s">
        <v>1437</v>
      </c>
      <c r="D672" s="15" t="s">
        <v>2670</v>
      </c>
      <c r="E672" s="15" t="s">
        <v>202</v>
      </c>
      <c r="F672" s="15" t="s">
        <v>2674</v>
      </c>
      <c r="G672" s="16" t="s">
        <v>2675</v>
      </c>
      <c r="H672" s="15" t="s">
        <v>1505</v>
      </c>
      <c r="I672" s="17" t="n">
        <v>74.284</v>
      </c>
      <c r="J672" s="15" t="n">
        <v>1</v>
      </c>
      <c r="K672" s="15" t="n">
        <v>780</v>
      </c>
      <c r="L672" s="18" t="n">
        <v>18439.5</v>
      </c>
      <c r="M672" s="16" t="s">
        <v>1237</v>
      </c>
      <c r="N672" s="17" t="n">
        <v>74.284</v>
      </c>
      <c r="O672" s="15" t="s">
        <v>1506</v>
      </c>
      <c r="P672" s="15" t="s">
        <v>1507</v>
      </c>
      <c r="Q672" s="16" t="s">
        <v>1508</v>
      </c>
      <c r="R672" s="32" t="s">
        <v>2676</v>
      </c>
      <c r="S672" s="37" t="n">
        <f aca="false">IFERROR(INDEX('Injectable Value'!$Z$28:$Z$178,MATCH($C672,'Injectable Value'!$A$28:$A$178,0)),"")</f>
        <v>0.194160055301433</v>
      </c>
      <c r="T672" s="18" t="n">
        <f aca="false">IFERROR(ROUND(INDEX('Injectable Value'!$AA$28:$AA$178,MATCH($C672,'Injectable Value'!$A$28:$A$178,0)),1),"")</f>
        <v>3580.2</v>
      </c>
      <c r="U672" s="16" t="s">
        <v>1404</v>
      </c>
      <c r="V672" s="15" t="n">
        <v>3</v>
      </c>
      <c r="W672" s="15" t="s">
        <v>740</v>
      </c>
      <c r="X672" s="15" t="s">
        <v>316</v>
      </c>
      <c r="Y672" s="15" t="s">
        <v>249</v>
      </c>
      <c r="Z672" s="16" t="str">
        <f aca="false">IFERROR(INDEX(Scoring!$K:$K,MATCH($C672&amp;"|"&amp;$E672,Scoring!$U:$U,0)),"")</f>
        <v/>
      </c>
      <c r="AA672" s="15" t="str">
        <f aca="false">IFERROR(INDEX(Scoring!$Q:$Q,MATCH($C672&amp;"|"&amp;$E672,Scoring!$U:$U,0)),"")</f>
        <v>Excluded – IV only</v>
      </c>
      <c r="AB672" s="15" t="str">
        <f aca="false">IFERROR(INDEX(Scoring!$AK:$AK,MATCH($C672&amp;"|"&amp;$E672,Scoring!$U:$U,0)),"")</f>
        <v>Excluded – IV only</v>
      </c>
      <c r="AC672" s="18" t="n">
        <f aca="false">IFERROR(INDEX(Scoring!$M:$M,MATCH($C672&amp;"|"&amp;$E672,Scoring!$U:$U,0)),"")</f>
        <v>151</v>
      </c>
      <c r="AD672" s="15" t="str">
        <f aca="false">IFERROR(INDEX('Route of Administration'!$C$5:$C$155,MATCH($C672,'Route of Administration'!$A$5:$A$155,0)),"")</f>
        <v>IV</v>
      </c>
      <c r="AE672" s="14" t="str">
        <f aca="false">IFERROR(INDEX('Route of Administration'!$D$5:$D$155,MATCH($C672,'Route of Administration'!$A$5:$A$155,0)),"")</f>
        <v>No</v>
      </c>
    </row>
    <row r="673" customFormat="false" ht="28.35" hidden="false" customHeight="false" outlineLevel="0" collapsed="false">
      <c r="B673" s="15" t="n">
        <v>671</v>
      </c>
      <c r="C673" s="15" t="s">
        <v>1437</v>
      </c>
      <c r="D673" s="15" t="s">
        <v>2670</v>
      </c>
      <c r="E673" s="15" t="s">
        <v>202</v>
      </c>
      <c r="F673" s="15" t="s">
        <v>2352</v>
      </c>
      <c r="G673" s="16" t="s">
        <v>2429</v>
      </c>
      <c r="H673" s="15" t="s">
        <v>1505</v>
      </c>
      <c r="I673" s="17"/>
      <c r="J673" s="15" t="n">
        <v>1</v>
      </c>
      <c r="K673" s="15" t="n">
        <v>780</v>
      </c>
      <c r="L673" s="18" t="n">
        <v>18439.5</v>
      </c>
      <c r="M673" s="16" t="s">
        <v>1237</v>
      </c>
      <c r="N673" s="17"/>
      <c r="O673" s="15" t="s">
        <v>1545</v>
      </c>
      <c r="P673" s="15" t="s">
        <v>70</v>
      </c>
      <c r="Q673" s="16" t="s">
        <v>70</v>
      </c>
      <c r="R673" s="15"/>
      <c r="S673" s="37" t="n">
        <f aca="false">IFERROR(INDEX('Injectable Value'!$Z$28:$Z$178,MATCH($C673,'Injectable Value'!$A$28:$A$178,0)),"")</f>
        <v>0.194160055301433</v>
      </c>
      <c r="T673" s="18" t="n">
        <f aca="false">IFERROR(ROUND(INDEX('Injectable Value'!$AA$28:$AA$178,MATCH($C673,'Injectable Value'!$A$28:$A$178,0)),1),"")</f>
        <v>3580.2</v>
      </c>
      <c r="U673" s="16" t="s">
        <v>1404</v>
      </c>
      <c r="V673" s="15" t="n">
        <v>3</v>
      </c>
      <c r="W673" s="15" t="s">
        <v>740</v>
      </c>
      <c r="X673" s="15" t="s">
        <v>316</v>
      </c>
      <c r="Y673" s="15" t="s">
        <v>249</v>
      </c>
      <c r="Z673" s="16" t="str">
        <f aca="false">IFERROR(INDEX(Scoring!$K:$K,MATCH($C673&amp;"|"&amp;$E673,Scoring!$U:$U,0)),"")</f>
        <v/>
      </c>
      <c r="AA673" s="15" t="str">
        <f aca="false">IFERROR(INDEX(Scoring!$Q:$Q,MATCH($C673&amp;"|"&amp;$E673,Scoring!$U:$U,0)),"")</f>
        <v>Excluded – IV only</v>
      </c>
      <c r="AB673" s="15" t="str">
        <f aca="false">IFERROR(INDEX(Scoring!$AK:$AK,MATCH($C673&amp;"|"&amp;$E673,Scoring!$U:$U,0)),"")</f>
        <v>Excluded – IV only</v>
      </c>
      <c r="AC673" s="18" t="n">
        <f aca="false">IFERROR(INDEX(Scoring!$M:$M,MATCH($C673&amp;"|"&amp;$E673,Scoring!$U:$U,0)),"")</f>
        <v>151</v>
      </c>
      <c r="AD673" s="15" t="str">
        <f aca="false">IFERROR(INDEX('Route of Administration'!$C$5:$C$155,MATCH($C673,'Route of Administration'!$A$5:$A$155,0)),"")</f>
        <v>IV</v>
      </c>
      <c r="AE673" s="14" t="str">
        <f aca="false">IFERROR(INDEX('Route of Administration'!$D$5:$D$155,MATCH($C673,'Route of Administration'!$A$5:$A$155,0)),"")</f>
        <v>No</v>
      </c>
    </row>
    <row r="674" customFormat="false" ht="28.35" hidden="false" customHeight="false" outlineLevel="0" collapsed="false">
      <c r="B674" s="15" t="n">
        <v>672</v>
      </c>
      <c r="C674" s="15" t="s">
        <v>738</v>
      </c>
      <c r="D674" s="15" t="s">
        <v>1446</v>
      </c>
      <c r="E674" s="15" t="s">
        <v>1445</v>
      </c>
      <c r="F674" s="15" t="s">
        <v>2533</v>
      </c>
      <c r="G674" s="16"/>
      <c r="H674" s="15"/>
      <c r="I674" s="17" t="n">
        <v>24.95</v>
      </c>
      <c r="J674" s="15" t="n">
        <v>1</v>
      </c>
      <c r="K674" s="15" t="n">
        <v>310</v>
      </c>
      <c r="L674" s="18" t="n">
        <v>8995.42</v>
      </c>
      <c r="M674" s="16" t="s">
        <v>739</v>
      </c>
      <c r="N674" s="17" t="n">
        <v>24.95</v>
      </c>
      <c r="O674" s="15" t="s">
        <v>1506</v>
      </c>
      <c r="P674" s="15" t="s">
        <v>1507</v>
      </c>
      <c r="Q674" s="16" t="s">
        <v>1508</v>
      </c>
      <c r="R674" s="32" t="s">
        <v>2677</v>
      </c>
      <c r="S674" s="37" t="n">
        <f aca="false">IFERROR(INDEX('Injectable Value'!$Z$28:$Z$178,MATCH($C674,'Injectable Value'!$A$28:$A$178,0)),"")</f>
        <v>0.156211180124224</v>
      </c>
      <c r="T674" s="18" t="n">
        <f aca="false">IFERROR(ROUND(INDEX('Injectable Value'!$AA$28:$AA$178,MATCH($C674,'Injectable Value'!$A$28:$A$178,0)),1),"")</f>
        <v>1405.2</v>
      </c>
      <c r="U674" s="16" t="s">
        <v>247</v>
      </c>
      <c r="V674" s="15" t="n">
        <v>1</v>
      </c>
      <c r="W674" s="15" t="s">
        <v>247</v>
      </c>
      <c r="X674" s="15" t="s">
        <v>277</v>
      </c>
      <c r="Y674" s="15" t="s">
        <v>277</v>
      </c>
      <c r="Z674" s="16" t="str">
        <f aca="false">IFERROR(INDEX(Scoring!$K:$K,MATCH($C674&amp;"|"&amp;$E674,Scoring!$U:$U,0)),"")</f>
        <v/>
      </c>
      <c r="AA674" s="15" t="str">
        <f aca="false">IFERROR(INDEX(Scoring!$Q:$Q,MATCH($C674&amp;"|"&amp;$E674,Scoring!$U:$U,0)),"")</f>
        <v>Priority 3</v>
      </c>
      <c r="AB674" s="15" t="str">
        <f aca="false">IFERROR(INDEX(Scoring!$AK:$AK,MATCH($C674&amp;"|"&amp;$E674,Scoring!$U:$U,0)),"")</f>
        <v>Priority 2</v>
      </c>
      <c r="AC674" s="18" t="n">
        <f aca="false">IFERROR(INDEX(Scoring!$M:$M,MATCH($C674&amp;"|"&amp;$E674,Scoring!$U:$U,0)),"")</f>
        <v>48</v>
      </c>
      <c r="AD674" s="15" t="str">
        <f aca="false">IFERROR(INDEX('Route of Administration'!$C$5:$C$155,MATCH($C674,'Route of Administration'!$A$5:$A$155,0)),"")</f>
        <v>IV, IM</v>
      </c>
      <c r="AE674" s="14" t="str">
        <f aca="false">IFERROR(INDEX('Route of Administration'!$D$5:$D$155,MATCH($C674,'Route of Administration'!$A$5:$A$155,0)),"")</f>
        <v>Yes</v>
      </c>
    </row>
    <row r="675" customFormat="false" ht="28.35" hidden="false" customHeight="false" outlineLevel="0" collapsed="false">
      <c r="B675" s="15" t="n">
        <v>673</v>
      </c>
      <c r="C675" s="15" t="s">
        <v>343</v>
      </c>
      <c r="D675" s="15" t="s">
        <v>347</v>
      </c>
      <c r="E675" s="15" t="s">
        <v>1445</v>
      </c>
      <c r="F675" s="15" t="s">
        <v>1535</v>
      </c>
      <c r="G675" s="16" t="s">
        <v>2678</v>
      </c>
      <c r="H675" s="15" t="s">
        <v>1505</v>
      </c>
      <c r="I675" s="17" t="n">
        <v>14.96</v>
      </c>
      <c r="J675" s="15" t="n">
        <v>1</v>
      </c>
      <c r="K675" s="15" t="n">
        <v>472</v>
      </c>
      <c r="L675" s="18" t="n">
        <v>7831.08</v>
      </c>
      <c r="M675" s="16" t="s">
        <v>344</v>
      </c>
      <c r="N675" s="17" t="n">
        <v>14.96</v>
      </c>
      <c r="O675" s="15" t="s">
        <v>1506</v>
      </c>
      <c r="P675" s="15" t="s">
        <v>1507</v>
      </c>
      <c r="Q675" s="16" t="s">
        <v>1508</v>
      </c>
      <c r="R675" s="32" t="s">
        <v>1537</v>
      </c>
      <c r="S675" s="37" t="n">
        <f aca="false">IFERROR(INDEX('Injectable Value'!$Z$28:$Z$178,MATCH($C675,'Injectable Value'!$A$28:$A$178,0)),"")</f>
        <v>0.1734375</v>
      </c>
      <c r="T675" s="18" t="n">
        <f aca="false">IFERROR(ROUND(INDEX('Injectable Value'!$AA$28:$AA$178,MATCH($C675,'Injectable Value'!$A$28:$A$178,0)),1),"")</f>
        <v>1358.2</v>
      </c>
      <c r="U675" s="16" t="s">
        <v>247</v>
      </c>
      <c r="V675" s="15" t="n">
        <v>1</v>
      </c>
      <c r="W675" s="15" t="s">
        <v>247</v>
      </c>
      <c r="X675" s="15" t="s">
        <v>248</v>
      </c>
      <c r="Y675" s="15" t="s">
        <v>249</v>
      </c>
      <c r="Z675" s="16" t="str">
        <f aca="false">IFERROR(INDEX(Scoring!$K:$K,MATCH($C675&amp;"|"&amp;$E675,Scoring!$U:$U,0)),"")</f>
        <v/>
      </c>
      <c r="AA675" s="15" t="str">
        <f aca="false">IFERROR(INDEX(Scoring!$Q:$Q,MATCH($C675&amp;"|"&amp;$E675,Scoring!$U:$U,0)),"")</f>
        <v>Priority 3</v>
      </c>
      <c r="AB675" s="15" t="str">
        <f aca="false">IFERROR(INDEX(Scoring!$AK:$AK,MATCH($C675&amp;"|"&amp;$E675,Scoring!$U:$U,0)),"")</f>
        <v>Priority 2</v>
      </c>
      <c r="AC675" s="18" t="n">
        <f aca="false">IFERROR(INDEX(Scoring!$M:$M,MATCH($C675&amp;"|"&amp;$E675,Scoring!$U:$U,0)),"")</f>
        <v>82</v>
      </c>
      <c r="AD675" s="15" t="str">
        <f aca="false">IFERROR(INDEX('Route of Administration'!$C$5:$C$155,MATCH($C675,'Route of Administration'!$A$5:$A$155,0)),"")</f>
        <v>IM</v>
      </c>
      <c r="AE675" s="14" t="str">
        <f aca="false">IFERROR(INDEX('Route of Administration'!$D$5:$D$155,MATCH($C675,'Route of Administration'!$A$5:$A$155,0)),"")</f>
        <v>Yes</v>
      </c>
    </row>
    <row r="676" customFormat="false" ht="28.35" hidden="false" customHeight="false" outlineLevel="0" collapsed="false">
      <c r="B676" s="15" t="n">
        <v>674</v>
      </c>
      <c r="C676" s="15" t="s">
        <v>937</v>
      </c>
      <c r="D676" s="15" t="s">
        <v>1272</v>
      </c>
      <c r="E676" s="15" t="s">
        <v>1445</v>
      </c>
      <c r="F676" s="15" t="s">
        <v>2135</v>
      </c>
      <c r="G676" s="16" t="s">
        <v>2679</v>
      </c>
      <c r="H676" s="15" t="s">
        <v>1505</v>
      </c>
      <c r="I676" s="17" t="n">
        <v>6.66</v>
      </c>
      <c r="J676" s="15" t="n">
        <v>1</v>
      </c>
      <c r="K676" s="15" t="n">
        <v>117</v>
      </c>
      <c r="L676" s="18" t="n">
        <v>2508.09</v>
      </c>
      <c r="M676" s="16" t="s">
        <v>938</v>
      </c>
      <c r="N676" s="17" t="n">
        <v>6.66</v>
      </c>
      <c r="O676" s="15" t="s">
        <v>1506</v>
      </c>
      <c r="P676" s="15" t="s">
        <v>1507</v>
      </c>
      <c r="Q676" s="16" t="s">
        <v>1508</v>
      </c>
      <c r="R676" s="32" t="s">
        <v>2497</v>
      </c>
      <c r="S676" s="37" t="n">
        <f aca="false">IFERROR(INDEX('Injectable Value'!$Z$28:$Z$178,MATCH($C676,'Injectable Value'!$A$28:$A$178,0)),"")</f>
        <v>1</v>
      </c>
      <c r="T676" s="18" t="n">
        <f aca="false">IFERROR(ROUND(INDEX('Injectable Value'!$AA$28:$AA$178,MATCH($C676,'Injectable Value'!$A$28:$A$178,0)),1),"")</f>
        <v>2508.1</v>
      </c>
      <c r="U676" s="16" t="s">
        <v>247</v>
      </c>
      <c r="V676" s="15" t="n">
        <v>1</v>
      </c>
      <c r="W676" s="15" t="s">
        <v>247</v>
      </c>
      <c r="X676" s="15" t="s">
        <v>248</v>
      </c>
      <c r="Y676" s="15" t="s">
        <v>249</v>
      </c>
      <c r="Z676" s="16" t="str">
        <f aca="false">IFERROR(INDEX(Scoring!$K:$K,MATCH($C676&amp;"|"&amp;$E676,Scoring!$U:$U,0)),"")</f>
        <v/>
      </c>
      <c r="AA676" s="15" t="str">
        <f aca="false">IFERROR(INDEX(Scoring!$Q:$Q,MATCH($C676&amp;"|"&amp;$E676,Scoring!$U:$U,0)),"")</f>
        <v>Excluded – IV only</v>
      </c>
      <c r="AB676" s="15" t="str">
        <f aca="false">IFERROR(INDEX(Scoring!$AK:$AK,MATCH($C676&amp;"|"&amp;$E676,Scoring!$U:$U,0)),"")</f>
        <v>Excluded – IV only</v>
      </c>
      <c r="AC676" s="18" t="n">
        <f aca="false">IFERROR(INDEX(Scoring!$M:$M,MATCH($C676&amp;"|"&amp;$E676,Scoring!$U:$U,0)),"")</f>
        <v>117</v>
      </c>
      <c r="AD676" s="15" t="str">
        <f aca="false">IFERROR(INDEX('Route of Administration'!$C$5:$C$155,MATCH($C676,'Route of Administration'!$A$5:$A$155,0)),"")</f>
        <v>IV</v>
      </c>
      <c r="AE676" s="14" t="str">
        <f aca="false">IFERROR(INDEX('Route of Administration'!$D$5:$D$155,MATCH($C676,'Route of Administration'!$A$5:$A$155,0)),"")</f>
        <v>No</v>
      </c>
    </row>
    <row r="677" customFormat="false" ht="28.35" hidden="false" customHeight="false" outlineLevel="0" collapsed="false">
      <c r="B677" s="15" t="n">
        <v>675</v>
      </c>
      <c r="C677" s="15" t="s">
        <v>937</v>
      </c>
      <c r="D677" s="15" t="s">
        <v>1272</v>
      </c>
      <c r="E677" s="15" t="s">
        <v>1445</v>
      </c>
      <c r="F677" s="15" t="s">
        <v>2498</v>
      </c>
      <c r="G677" s="16" t="s">
        <v>2680</v>
      </c>
      <c r="H677" s="15" t="s">
        <v>1505</v>
      </c>
      <c r="I677" s="17" t="n">
        <v>38.11</v>
      </c>
      <c r="J677" s="15" t="n">
        <v>1</v>
      </c>
      <c r="K677" s="15" t="n">
        <v>117</v>
      </c>
      <c r="L677" s="18" t="n">
        <v>2508.09</v>
      </c>
      <c r="M677" s="16" t="s">
        <v>938</v>
      </c>
      <c r="N677" s="17" t="n">
        <v>38.11</v>
      </c>
      <c r="O677" s="15" t="s">
        <v>1506</v>
      </c>
      <c r="P677" s="15" t="s">
        <v>1507</v>
      </c>
      <c r="Q677" s="16" t="s">
        <v>1508</v>
      </c>
      <c r="R677" s="32" t="s">
        <v>2497</v>
      </c>
      <c r="S677" s="37" t="n">
        <f aca="false">IFERROR(INDEX('Injectable Value'!$Z$28:$Z$178,MATCH($C677,'Injectable Value'!$A$28:$A$178,0)),"")</f>
        <v>1</v>
      </c>
      <c r="T677" s="18" t="n">
        <f aca="false">IFERROR(ROUND(INDEX('Injectable Value'!$AA$28:$AA$178,MATCH($C677,'Injectable Value'!$A$28:$A$178,0)),1),"")</f>
        <v>2508.1</v>
      </c>
      <c r="U677" s="16" t="s">
        <v>247</v>
      </c>
      <c r="V677" s="15" t="n">
        <v>1</v>
      </c>
      <c r="W677" s="15" t="s">
        <v>247</v>
      </c>
      <c r="X677" s="15" t="s">
        <v>248</v>
      </c>
      <c r="Y677" s="15" t="s">
        <v>1519</v>
      </c>
      <c r="Z677" s="16" t="str">
        <f aca="false">IFERROR(INDEX(Scoring!$K:$K,MATCH($C677&amp;"|"&amp;$E677,Scoring!$U:$U,0)),"")</f>
        <v/>
      </c>
      <c r="AA677" s="15" t="str">
        <f aca="false">IFERROR(INDEX(Scoring!$Q:$Q,MATCH($C677&amp;"|"&amp;$E677,Scoring!$U:$U,0)),"")</f>
        <v>Excluded – IV only</v>
      </c>
      <c r="AB677" s="15" t="str">
        <f aca="false">IFERROR(INDEX(Scoring!$AK:$AK,MATCH($C677&amp;"|"&amp;$E677,Scoring!$U:$U,0)),"")</f>
        <v>Excluded – IV only</v>
      </c>
      <c r="AC677" s="18" t="n">
        <f aca="false">IFERROR(INDEX(Scoring!$M:$M,MATCH($C677&amp;"|"&amp;$E677,Scoring!$U:$U,0)),"")</f>
        <v>117</v>
      </c>
      <c r="AD677" s="15" t="str">
        <f aca="false">IFERROR(INDEX('Route of Administration'!$C$5:$C$155,MATCH($C677,'Route of Administration'!$A$5:$A$155,0)),"")</f>
        <v>IV</v>
      </c>
      <c r="AE677" s="14" t="str">
        <f aca="false">IFERROR(INDEX('Route of Administration'!$D$5:$D$155,MATCH($C677,'Route of Administration'!$A$5:$A$155,0)),"")</f>
        <v>No</v>
      </c>
    </row>
    <row r="678" customFormat="false" ht="41.75" hidden="false" customHeight="false" outlineLevel="0" collapsed="false">
      <c r="B678" s="15" t="n">
        <v>676</v>
      </c>
      <c r="C678" s="15" t="s">
        <v>851</v>
      </c>
      <c r="D678" s="15" t="s">
        <v>851</v>
      </c>
      <c r="E678" s="15" t="s">
        <v>1445</v>
      </c>
      <c r="F678" s="15" t="s">
        <v>1572</v>
      </c>
      <c r="G678" s="16" t="s">
        <v>2681</v>
      </c>
      <c r="H678" s="15" t="s">
        <v>1505</v>
      </c>
      <c r="I678" s="17" t="n">
        <v>31.25</v>
      </c>
      <c r="J678" s="15" t="n">
        <v>1</v>
      </c>
      <c r="K678" s="15" t="n">
        <v>445</v>
      </c>
      <c r="L678" s="18" t="n">
        <v>8796.85</v>
      </c>
      <c r="M678" s="16" t="s">
        <v>852</v>
      </c>
      <c r="N678" s="17" t="n">
        <v>31.25</v>
      </c>
      <c r="O678" s="15" t="s">
        <v>1506</v>
      </c>
      <c r="P678" s="15" t="s">
        <v>1507</v>
      </c>
      <c r="Q678" s="16" t="s">
        <v>1508</v>
      </c>
      <c r="R678" s="32" t="s">
        <v>2682</v>
      </c>
      <c r="S678" s="37" t="n">
        <f aca="false">IFERROR(INDEX('Injectable Value'!$Z$28:$Z$178,MATCH($C678,'Injectable Value'!$A$28:$A$178,0)),"")</f>
        <v>0.274306714947369</v>
      </c>
      <c r="T678" s="18" t="n">
        <f aca="false">IFERROR(ROUND(INDEX('Injectable Value'!$AA$28:$AA$178,MATCH($C678,'Injectable Value'!$A$28:$A$178,0)),1),"")</f>
        <v>2413</v>
      </c>
      <c r="U678" s="16" t="s">
        <v>247</v>
      </c>
      <c r="V678" s="15" t="n">
        <v>1</v>
      </c>
      <c r="W678" s="15" t="s">
        <v>247</v>
      </c>
      <c r="X678" s="15" t="s">
        <v>248</v>
      </c>
      <c r="Y678" s="15" t="s">
        <v>249</v>
      </c>
      <c r="Z678" s="16" t="str">
        <f aca="false">IFERROR(INDEX(Scoring!$K:$K,MATCH($C678&amp;"|"&amp;$E678,Scoring!$U:$U,0)),"")</f>
        <v/>
      </c>
      <c r="AA678" s="15" t="str">
        <f aca="false">IFERROR(INDEX(Scoring!$Q:$Q,MATCH($C678&amp;"|"&amp;$E678,Scoring!$U:$U,0)),"")</f>
        <v>Priority 2</v>
      </c>
      <c r="AB678" s="15" t="str">
        <f aca="false">IFERROR(INDEX(Scoring!$AK:$AK,MATCH($C678&amp;"|"&amp;$E678,Scoring!$U:$U,0)),"")</f>
        <v>Priority 1</v>
      </c>
      <c r="AC678" s="18" t="n">
        <f aca="false">IFERROR(INDEX(Scoring!$M:$M,MATCH($C678&amp;"|"&amp;$E678,Scoring!$U:$U,0)),"")</f>
        <v>122</v>
      </c>
      <c r="AD678" s="15" t="str">
        <f aca="false">IFERROR(INDEX('Route of Administration'!$C$5:$C$155,MATCH($C678,'Route of Administration'!$A$5:$A$155,0)),"")</f>
        <v>IM, SC</v>
      </c>
      <c r="AE678" s="14" t="str">
        <f aca="false">IFERROR(INDEX('Route of Administration'!$D$5:$D$155,MATCH($C678,'Route of Administration'!$A$5:$A$155,0)),"")</f>
        <v>Yes</v>
      </c>
    </row>
    <row r="679" customFormat="false" ht="28.35" hidden="false" customHeight="false" outlineLevel="0" collapsed="false">
      <c r="B679" s="15" t="n">
        <v>677</v>
      </c>
      <c r="C679" s="15" t="s">
        <v>1452</v>
      </c>
      <c r="D679" s="15" t="s">
        <v>1452</v>
      </c>
      <c r="E679" s="15" t="s">
        <v>1445</v>
      </c>
      <c r="F679" s="15" t="s">
        <v>2683</v>
      </c>
      <c r="G679" s="16"/>
      <c r="H679" s="15"/>
      <c r="I679" s="17" t="n">
        <v>5289.94</v>
      </c>
      <c r="J679" s="15" t="n">
        <v>1</v>
      </c>
      <c r="K679" s="15" t="n">
        <v>10</v>
      </c>
      <c r="L679" s="18" t="n">
        <v>662.47</v>
      </c>
      <c r="M679" s="16" t="s">
        <v>1453</v>
      </c>
      <c r="N679" s="17" t="n">
        <v>5289.94</v>
      </c>
      <c r="O679" s="15" t="s">
        <v>1506</v>
      </c>
      <c r="P679" s="15" t="s">
        <v>1507</v>
      </c>
      <c r="Q679" s="16" t="s">
        <v>1508</v>
      </c>
      <c r="R679" s="32" t="s">
        <v>2684</v>
      </c>
      <c r="S679" s="37" t="n">
        <f aca="false">IFERROR(INDEX('Injectable Value'!$Z$28:$Z$178,MATCH($C679,'Injectable Value'!$A$28:$A$178,0)),"")</f>
        <v>0.222222222222222</v>
      </c>
      <c r="T679" s="18" t="n">
        <f aca="false">IFERROR(ROUND(INDEX('Injectable Value'!$AA$28:$AA$178,MATCH($C679,'Injectable Value'!$A$28:$A$178,0)),1),"")</f>
        <v>147.2</v>
      </c>
      <c r="U679" s="16" t="s">
        <v>247</v>
      </c>
      <c r="V679" s="15" t="n">
        <v>1</v>
      </c>
      <c r="W679" s="15" t="s">
        <v>247</v>
      </c>
      <c r="X679" s="15" t="s">
        <v>277</v>
      </c>
      <c r="Y679" s="15" t="s">
        <v>277</v>
      </c>
      <c r="Z679" s="16" t="str">
        <f aca="false">IFERROR(INDEX(Scoring!$K:$K,MATCH($C679&amp;"|"&amp;$E679,Scoring!$U:$U,0)),"")</f>
        <v/>
      </c>
      <c r="AA679" s="15" t="str">
        <f aca="false">IFERROR(INDEX(Scoring!$Q:$Q,MATCH($C679&amp;"|"&amp;$E679,Scoring!$U:$U,0)),"")</f>
        <v>Excluded – IV only</v>
      </c>
      <c r="AB679" s="15" t="str">
        <f aca="false">IFERROR(INDEX(Scoring!$AK:$AK,MATCH($C679&amp;"|"&amp;$E679,Scoring!$U:$U,0)),"")</f>
        <v>Excluded – IV only</v>
      </c>
      <c r="AC679" s="18" t="n">
        <f aca="false">IFERROR(INDEX(Scoring!$M:$M,MATCH($C679&amp;"|"&amp;$E679,Scoring!$U:$U,0)),"")</f>
        <v>2</v>
      </c>
      <c r="AD679" s="15" t="str">
        <f aca="false">IFERROR(INDEX('Route of Administration'!$C$5:$C$155,MATCH($C679,'Route of Administration'!$A$5:$A$155,0)),"")</f>
        <v>IV</v>
      </c>
      <c r="AE679" s="14" t="str">
        <f aca="false">IFERROR(INDEX('Route of Administration'!$D$5:$D$155,MATCH($C679,'Route of Administration'!$A$5:$A$155,0)),"")</f>
        <v>No</v>
      </c>
    </row>
    <row r="680" customFormat="false" ht="28.35" hidden="false" customHeight="false" outlineLevel="0" collapsed="false">
      <c r="B680" s="15" t="n">
        <v>678</v>
      </c>
      <c r="C680" s="15" t="s">
        <v>1273</v>
      </c>
      <c r="D680" s="15" t="s">
        <v>1273</v>
      </c>
      <c r="E680" s="15" t="s">
        <v>1445</v>
      </c>
      <c r="F680" s="15" t="s">
        <v>1541</v>
      </c>
      <c r="G680" s="16"/>
      <c r="H680" s="15"/>
      <c r="I680" s="17"/>
      <c r="J680" s="15" t="n">
        <v>1</v>
      </c>
      <c r="K680" s="15" t="n">
        <v>69</v>
      </c>
      <c r="L680" s="18" t="n">
        <v>1781.11</v>
      </c>
      <c r="M680" s="16" t="s">
        <v>1274</v>
      </c>
      <c r="N680" s="38" t="n">
        <v>4.02</v>
      </c>
      <c r="O680" s="22" t="s">
        <v>1513</v>
      </c>
      <c r="P680" s="15" t="s">
        <v>1507</v>
      </c>
      <c r="Q680" s="16" t="s">
        <v>1832</v>
      </c>
      <c r="R680" s="32" t="s">
        <v>1833</v>
      </c>
      <c r="S680" s="37" t="n">
        <f aca="false">IFERROR(INDEX('Injectable Value'!$Z$28:$Z$178,MATCH($C680,'Injectable Value'!$A$28:$A$178,0)),"")</f>
        <v>1</v>
      </c>
      <c r="T680" s="18" t="n">
        <f aca="false">IFERROR(ROUND(INDEX('Injectable Value'!$AA$28:$AA$178,MATCH($C680,'Injectable Value'!$A$28:$A$178,0)),1),"")</f>
        <v>1781.1</v>
      </c>
      <c r="U680" s="16" t="s">
        <v>247</v>
      </c>
      <c r="V680" s="15" t="n">
        <v>1</v>
      </c>
      <c r="W680" s="15" t="s">
        <v>247</v>
      </c>
      <c r="X680" s="15" t="s">
        <v>277</v>
      </c>
      <c r="Y680" s="15" t="s">
        <v>277</v>
      </c>
      <c r="Z680" s="16" t="str">
        <f aca="false">IFERROR(INDEX(Scoring!$K:$K,MATCH($C680&amp;"|"&amp;$E680,Scoring!$U:$U,0)),"")</f>
        <v/>
      </c>
      <c r="AA680" s="15" t="str">
        <f aca="false">IFERROR(INDEX(Scoring!$Q:$Q,MATCH($C680&amp;"|"&amp;$E680,Scoring!$U:$U,0)),"")</f>
        <v>Excluded – IV only</v>
      </c>
      <c r="AB680" s="15" t="str">
        <f aca="false">IFERROR(INDEX(Scoring!$AK:$AK,MATCH($C680&amp;"|"&amp;$E680,Scoring!$U:$U,0)),"")</f>
        <v>Excluded – IV only</v>
      </c>
      <c r="AC680" s="18" t="n">
        <f aca="false">IFERROR(INDEX(Scoring!$M:$M,MATCH($C680&amp;"|"&amp;$E680,Scoring!$U:$U,0)),"")</f>
        <v>69</v>
      </c>
      <c r="AD680" s="15" t="str">
        <f aca="false">IFERROR(INDEX('Route of Administration'!$C$5:$C$155,MATCH($C680,'Route of Administration'!$A$5:$A$155,0)),"")</f>
        <v>IV</v>
      </c>
      <c r="AE680" s="14" t="str">
        <f aca="false">IFERROR(INDEX('Route of Administration'!$D$5:$D$155,MATCH($C680,'Route of Administration'!$A$5:$A$155,0)),"")</f>
        <v>No</v>
      </c>
    </row>
    <row r="681" customFormat="false" ht="28.35" hidden="false" customHeight="false" outlineLevel="0" collapsed="false">
      <c r="B681" s="15" t="n">
        <v>679</v>
      </c>
      <c r="C681" s="15" t="s">
        <v>1461</v>
      </c>
      <c r="D681" s="15" t="s">
        <v>1461</v>
      </c>
      <c r="E681" s="15" t="s">
        <v>1445</v>
      </c>
      <c r="F681" s="15" t="s">
        <v>2685</v>
      </c>
      <c r="G681" s="16" t="s">
        <v>2686</v>
      </c>
      <c r="H681" s="15" t="s">
        <v>1505</v>
      </c>
      <c r="I681" s="17" t="n">
        <v>18.9</v>
      </c>
      <c r="J681" s="15" t="n">
        <v>1</v>
      </c>
      <c r="K681" s="15" t="n">
        <v>43</v>
      </c>
      <c r="L681" s="18" t="n">
        <v>1942.31</v>
      </c>
      <c r="M681" s="16" t="s">
        <v>413</v>
      </c>
      <c r="N681" s="17" t="n">
        <v>18.9</v>
      </c>
      <c r="O681" s="15" t="s">
        <v>1506</v>
      </c>
      <c r="P681" s="15" t="s">
        <v>1507</v>
      </c>
      <c r="Q681" s="16" t="s">
        <v>1508</v>
      </c>
      <c r="R681" s="32" t="s">
        <v>2687</v>
      </c>
      <c r="S681" s="37" t="n">
        <f aca="false">IFERROR(INDEX('Injectable Value'!$Z$28:$Z$178,MATCH($C681,'Injectable Value'!$A$28:$A$178,0)),"")</f>
        <v>0.833333333333333</v>
      </c>
      <c r="T681" s="18" t="n">
        <f aca="false">IFERROR(ROUND(INDEX('Injectable Value'!$AA$28:$AA$178,MATCH($C681,'Injectable Value'!$A$28:$A$178,0)),1),"")</f>
        <v>1618.6</v>
      </c>
      <c r="U681" s="16" t="s">
        <v>247</v>
      </c>
      <c r="V681" s="15" t="n">
        <v>1</v>
      </c>
      <c r="W681" s="15" t="s">
        <v>247</v>
      </c>
      <c r="X681" s="15" t="s">
        <v>248</v>
      </c>
      <c r="Y681" s="15" t="s">
        <v>249</v>
      </c>
      <c r="Z681" s="16" t="str">
        <f aca="false">IFERROR(INDEX(Scoring!$K:$K,MATCH($C681&amp;"|"&amp;$E681,Scoring!$U:$U,0)),"")</f>
        <v/>
      </c>
      <c r="AA681" s="15" t="str">
        <f aca="false">IFERROR(INDEX(Scoring!$Q:$Q,MATCH($C681&amp;"|"&amp;$E681,Scoring!$U:$U,0)),"")</f>
        <v>Priority 3</v>
      </c>
      <c r="AB681" s="15" t="str">
        <f aca="false">IFERROR(INDEX(Scoring!$AK:$AK,MATCH($C681&amp;"|"&amp;$E681,Scoring!$U:$U,0)),"")</f>
        <v>Priority 3</v>
      </c>
      <c r="AC681" s="18" t="n">
        <f aca="false">IFERROR(INDEX(Scoring!$M:$M,MATCH($C681&amp;"|"&amp;$E681,Scoring!$U:$U,0)),"")</f>
        <v>36</v>
      </c>
      <c r="AD681" s="15" t="str">
        <f aca="false">IFERROR(INDEX('Route of Administration'!$C$5:$C$155,MATCH($C681,'Route of Administration'!$A$5:$A$155,0)),"")</f>
        <v>IM</v>
      </c>
      <c r="AE681" s="14" t="str">
        <f aca="false">IFERROR(INDEX('Route of Administration'!$D$5:$D$155,MATCH($C681,'Route of Administration'!$A$5:$A$155,0)),"")</f>
        <v>Yes</v>
      </c>
    </row>
    <row r="682" customFormat="false" ht="28.35" hidden="false" customHeight="false" outlineLevel="0" collapsed="false">
      <c r="B682" s="15" t="n">
        <v>680</v>
      </c>
      <c r="C682" s="15" t="s">
        <v>1461</v>
      </c>
      <c r="D682" s="15" t="s">
        <v>1461</v>
      </c>
      <c r="E682" s="15" t="s">
        <v>1445</v>
      </c>
      <c r="F682" s="15" t="s">
        <v>2688</v>
      </c>
      <c r="G682" s="16" t="s">
        <v>2686</v>
      </c>
      <c r="H682" s="15" t="s">
        <v>1505</v>
      </c>
      <c r="I682" s="17" t="n">
        <v>11.08</v>
      </c>
      <c r="J682" s="15" t="n">
        <v>1</v>
      </c>
      <c r="K682" s="15" t="n">
        <v>43</v>
      </c>
      <c r="L682" s="18" t="n">
        <v>1942.31</v>
      </c>
      <c r="M682" s="16" t="s">
        <v>413</v>
      </c>
      <c r="N682" s="17" t="n">
        <v>11.08</v>
      </c>
      <c r="O682" s="15" t="s">
        <v>1506</v>
      </c>
      <c r="P682" s="15" t="s">
        <v>1507</v>
      </c>
      <c r="Q682" s="16" t="s">
        <v>1508</v>
      </c>
      <c r="R682" s="32" t="s">
        <v>2687</v>
      </c>
      <c r="S682" s="37" t="n">
        <f aca="false">IFERROR(INDEX('Injectable Value'!$Z$28:$Z$178,MATCH($C682,'Injectable Value'!$A$28:$A$178,0)),"")</f>
        <v>0.833333333333333</v>
      </c>
      <c r="T682" s="18" t="n">
        <f aca="false">IFERROR(ROUND(INDEX('Injectable Value'!$AA$28:$AA$178,MATCH($C682,'Injectable Value'!$A$28:$A$178,0)),1),"")</f>
        <v>1618.6</v>
      </c>
      <c r="U682" s="16" t="s">
        <v>247</v>
      </c>
      <c r="V682" s="15" t="n">
        <v>1</v>
      </c>
      <c r="W682" s="15" t="s">
        <v>247</v>
      </c>
      <c r="X682" s="15" t="s">
        <v>248</v>
      </c>
      <c r="Y682" s="15" t="s">
        <v>249</v>
      </c>
      <c r="Z682" s="16" t="str">
        <f aca="false">IFERROR(INDEX(Scoring!$K:$K,MATCH($C682&amp;"|"&amp;$E682,Scoring!$U:$U,0)),"")</f>
        <v/>
      </c>
      <c r="AA682" s="15" t="str">
        <f aca="false">IFERROR(INDEX(Scoring!$Q:$Q,MATCH($C682&amp;"|"&amp;$E682,Scoring!$U:$U,0)),"")</f>
        <v>Priority 3</v>
      </c>
      <c r="AB682" s="15" t="str">
        <f aca="false">IFERROR(INDEX(Scoring!$AK:$AK,MATCH($C682&amp;"|"&amp;$E682,Scoring!$U:$U,0)),"")</f>
        <v>Priority 3</v>
      </c>
      <c r="AC682" s="18" t="n">
        <f aca="false">IFERROR(INDEX(Scoring!$M:$M,MATCH($C682&amp;"|"&amp;$E682,Scoring!$U:$U,0)),"")</f>
        <v>36</v>
      </c>
      <c r="AD682" s="15" t="str">
        <f aca="false">IFERROR(INDEX('Route of Administration'!$C$5:$C$155,MATCH($C682,'Route of Administration'!$A$5:$A$155,0)),"")</f>
        <v>IM</v>
      </c>
      <c r="AE682" s="14" t="str">
        <f aca="false">IFERROR(INDEX('Route of Administration'!$D$5:$D$155,MATCH($C682,'Route of Administration'!$A$5:$A$155,0)),"")</f>
        <v>Yes</v>
      </c>
    </row>
    <row r="683" customFormat="false" ht="28.35" hidden="false" customHeight="false" outlineLevel="0" collapsed="false">
      <c r="B683" s="15" t="n">
        <v>681</v>
      </c>
      <c r="C683" s="15" t="s">
        <v>601</v>
      </c>
      <c r="D683" s="15" t="s">
        <v>1465</v>
      </c>
      <c r="E683" s="15" t="s">
        <v>1445</v>
      </c>
      <c r="F683" s="15" t="s">
        <v>1791</v>
      </c>
      <c r="G683" s="16" t="s">
        <v>2689</v>
      </c>
      <c r="H683" s="15" t="s">
        <v>1505</v>
      </c>
      <c r="I683" s="17"/>
      <c r="J683" s="15" t="n">
        <v>1</v>
      </c>
      <c r="K683" s="15" t="n">
        <v>2582</v>
      </c>
      <c r="L683" s="18" t="n">
        <v>38106.07</v>
      </c>
      <c r="M683" s="16" t="s">
        <v>602</v>
      </c>
      <c r="N683" s="38" t="n">
        <v>23.15</v>
      </c>
      <c r="O683" s="22" t="s">
        <v>1513</v>
      </c>
      <c r="P683" s="15" t="s">
        <v>1507</v>
      </c>
      <c r="Q683" s="16" t="s">
        <v>1514</v>
      </c>
      <c r="R683" s="32" t="s">
        <v>1515</v>
      </c>
      <c r="S683" s="37" t="n">
        <f aca="false">IFERROR(INDEX('Injectable Value'!$Z$28:$Z$178,MATCH($C683,'Injectable Value'!$A$28:$A$178,0)),"")</f>
        <v>0.125875590958329</v>
      </c>
      <c r="T683" s="18" t="n">
        <f aca="false">IFERROR(ROUND(INDEX('Injectable Value'!$AA$28:$AA$178,MATCH($C683,'Injectable Value'!$A$28:$A$178,0)),1),"")</f>
        <v>4796.6</v>
      </c>
      <c r="U683" s="16" t="s">
        <v>247</v>
      </c>
      <c r="V683" s="15" t="n">
        <v>1</v>
      </c>
      <c r="W683" s="15" t="s">
        <v>247</v>
      </c>
      <c r="X683" s="15" t="s">
        <v>248</v>
      </c>
      <c r="Y683" s="15" t="s">
        <v>249</v>
      </c>
      <c r="Z683" s="16" t="str">
        <f aca="false">IFERROR(INDEX(Scoring!$K:$K,MATCH($C683&amp;"|"&amp;$E683,Scoring!$U:$U,0)),"")</f>
        <v/>
      </c>
      <c r="AA683" s="15" t="str">
        <f aca="false">IFERROR(INDEX(Scoring!$Q:$Q,MATCH($C683&amp;"|"&amp;$E683,Scoring!$U:$U,0)),"")</f>
        <v>Priority 2</v>
      </c>
      <c r="AB683" s="15" t="str">
        <f aca="false">IFERROR(INDEX(Scoring!$AK:$AK,MATCH($C683&amp;"|"&amp;$E683,Scoring!$U:$U,0)),"")</f>
        <v>Priority 2</v>
      </c>
      <c r="AC683" s="18" t="n">
        <f aca="false">IFERROR(INDEX(Scoring!$M:$M,MATCH($C683&amp;"|"&amp;$E683,Scoring!$U:$U,0)),"")</f>
        <v>325</v>
      </c>
      <c r="AD683" s="15" t="str">
        <f aca="false">IFERROR(INDEX('Route of Administration'!$C$5:$C$155,MATCH($C683,'Route of Administration'!$A$5:$A$155,0)),"")</f>
        <v>IV, IM</v>
      </c>
      <c r="AE683" s="14" t="str">
        <f aca="false">IFERROR(INDEX('Route of Administration'!$D$5:$D$155,MATCH($C683,'Route of Administration'!$A$5:$A$155,0)),"")</f>
        <v>Yes</v>
      </c>
    </row>
    <row r="684" customFormat="false" ht="41.75" hidden="false" customHeight="false" outlineLevel="0" collapsed="false">
      <c r="B684" s="15" t="n">
        <v>682</v>
      </c>
      <c r="C684" s="15" t="s">
        <v>1466</v>
      </c>
      <c r="D684" s="15" t="s">
        <v>1466</v>
      </c>
      <c r="E684" s="15" t="s">
        <v>1445</v>
      </c>
      <c r="F684" s="15" t="s">
        <v>2690</v>
      </c>
      <c r="G684" s="16" t="s">
        <v>2691</v>
      </c>
      <c r="H684" s="15" t="s">
        <v>1505</v>
      </c>
      <c r="I684" s="17" t="n">
        <v>179.58</v>
      </c>
      <c r="J684" s="15" t="n">
        <v>1</v>
      </c>
      <c r="K684" s="15" t="n">
        <v>48</v>
      </c>
      <c r="L684" s="18" t="n">
        <v>304.87</v>
      </c>
      <c r="M684" s="16" t="s">
        <v>1467</v>
      </c>
      <c r="N684" s="17" t="n">
        <v>179.58</v>
      </c>
      <c r="O684" s="15" t="s">
        <v>1506</v>
      </c>
      <c r="P684" s="15" t="s">
        <v>1507</v>
      </c>
      <c r="Q684" s="16" t="s">
        <v>1508</v>
      </c>
      <c r="R684" s="32" t="s">
        <v>2692</v>
      </c>
      <c r="S684" s="37" t="n">
        <f aca="false">IFERROR(INDEX('Injectable Value'!$Z$28:$Z$178,MATCH($C684,'Injectable Value'!$A$28:$A$178,0)),"")</f>
        <v>0.702380952380952</v>
      </c>
      <c r="T684" s="18" t="n">
        <f aca="false">IFERROR(ROUND(INDEX('Injectable Value'!$AA$28:$AA$178,MATCH($C684,'Injectable Value'!$A$28:$A$178,0)),1),"")</f>
        <v>214.1</v>
      </c>
      <c r="U684" s="16" t="s">
        <v>247</v>
      </c>
      <c r="V684" s="15" t="n">
        <v>1</v>
      </c>
      <c r="W684" s="15" t="s">
        <v>247</v>
      </c>
      <c r="X684" s="15" t="s">
        <v>277</v>
      </c>
      <c r="Y684" s="15" t="s">
        <v>277</v>
      </c>
      <c r="Z684" s="16" t="str">
        <f aca="false">IFERROR(INDEX(Scoring!$K:$K,MATCH($C684&amp;"|"&amp;$E684,Scoring!$U:$U,0)),"")</f>
        <v/>
      </c>
      <c r="AA684" s="15" t="str">
        <f aca="false">IFERROR(INDEX(Scoring!$Q:$Q,MATCH($C684&amp;"|"&amp;$E684,Scoring!$U:$U,0)),"")</f>
        <v>Priority 2</v>
      </c>
      <c r="AB684" s="15" t="str">
        <f aca="false">IFERROR(INDEX(Scoring!$AK:$AK,MATCH($C684&amp;"|"&amp;$E684,Scoring!$U:$U,0)),"")</f>
        <v>Priority 2</v>
      </c>
      <c r="AC684" s="18" t="n">
        <f aca="false">IFERROR(INDEX(Scoring!$M:$M,MATCH($C684&amp;"|"&amp;$E684,Scoring!$U:$U,0)),"")</f>
        <v>34</v>
      </c>
      <c r="AD684" s="15" t="str">
        <f aca="false">IFERROR(INDEX('Route of Administration'!$C$5:$C$155,MATCH($C684,'Route of Administration'!$A$5:$A$155,0)),"")</f>
        <v>IV, ID, SC</v>
      </c>
      <c r="AE684" s="14" t="str">
        <f aca="false">IFERROR(INDEX('Route of Administration'!$D$5:$D$155,MATCH($C684,'Route of Administration'!$A$5:$A$155,0)),"")</f>
        <v>Yes</v>
      </c>
    </row>
    <row r="685" customFormat="false" ht="28.35" hidden="false" customHeight="false" outlineLevel="0" collapsed="false">
      <c r="B685" s="15" t="n">
        <v>683</v>
      </c>
      <c r="C685" s="15" t="s">
        <v>724</v>
      </c>
      <c r="D685" s="15" t="s">
        <v>728</v>
      </c>
      <c r="E685" s="15" t="s">
        <v>1445</v>
      </c>
      <c r="F685" s="15" t="s">
        <v>1882</v>
      </c>
      <c r="G685" s="16" t="s">
        <v>2693</v>
      </c>
      <c r="H685" s="15" t="s">
        <v>1505</v>
      </c>
      <c r="I685" s="17"/>
      <c r="J685" s="15" t="n">
        <v>1</v>
      </c>
      <c r="K685" s="15" t="n">
        <v>286</v>
      </c>
      <c r="L685" s="18" t="n">
        <v>3067.39</v>
      </c>
      <c r="M685" s="16" t="s">
        <v>725</v>
      </c>
      <c r="N685" s="38" t="n">
        <v>5.03</v>
      </c>
      <c r="O685" s="22" t="s">
        <v>1513</v>
      </c>
      <c r="P685" s="15" t="s">
        <v>1507</v>
      </c>
      <c r="Q685" s="16" t="s">
        <v>1832</v>
      </c>
      <c r="R685" s="32" t="s">
        <v>1833</v>
      </c>
      <c r="S685" s="37" t="n">
        <f aca="false">IFERROR(INDEX('Injectable Value'!$Z$28:$Z$178,MATCH($C685,'Injectable Value'!$A$28:$A$178,0)),"")</f>
        <v>1</v>
      </c>
      <c r="T685" s="18" t="n">
        <f aca="false">IFERROR(ROUND(INDEX('Injectable Value'!$AA$28:$AA$178,MATCH($C685,'Injectable Value'!$A$28:$A$178,0)),1),"")</f>
        <v>3067.4</v>
      </c>
      <c r="U685" s="16" t="s">
        <v>247</v>
      </c>
      <c r="V685" s="15" t="n">
        <v>1</v>
      </c>
      <c r="W685" s="15" t="s">
        <v>247</v>
      </c>
      <c r="X685" s="15" t="s">
        <v>248</v>
      </c>
      <c r="Y685" s="15" t="s">
        <v>249</v>
      </c>
      <c r="Z685" s="16" t="str">
        <f aca="false">IFERROR(INDEX(Scoring!$K:$K,MATCH($C685&amp;"|"&amp;$E685,Scoring!$U:$U,0)),"")</f>
        <v/>
      </c>
      <c r="AA685" s="15" t="str">
        <f aca="false">IFERROR(INDEX(Scoring!$Q:$Q,MATCH($C685&amp;"|"&amp;$E685,Scoring!$U:$U,0)),"")</f>
        <v>Priority 2</v>
      </c>
      <c r="AB685" s="15" t="str">
        <f aca="false">IFERROR(INDEX(Scoring!$AK:$AK,MATCH($C685&amp;"|"&amp;$E685,Scoring!$U:$U,0)),"")</f>
        <v>Priority 2</v>
      </c>
      <c r="AC685" s="18" t="n">
        <f aca="false">IFERROR(INDEX(Scoring!$M:$M,MATCH($C685&amp;"|"&amp;$E685,Scoring!$U:$U,0)),"")</f>
        <v>286</v>
      </c>
      <c r="AD685" s="15" t="str">
        <f aca="false">IFERROR(INDEX('Route of Administration'!$C$5:$C$155,MATCH($C685,'Route of Administration'!$A$5:$A$155,0)),"")</f>
        <v>IV, IM</v>
      </c>
      <c r="AE685" s="14" t="str">
        <f aca="false">IFERROR(INDEX('Route of Administration'!$D$5:$D$155,MATCH($C685,'Route of Administration'!$A$5:$A$155,0)),"")</f>
        <v>Yes</v>
      </c>
    </row>
    <row r="686" customFormat="false" ht="28.35" hidden="false" customHeight="false" outlineLevel="0" collapsed="false">
      <c r="B686" s="15" t="n">
        <v>684</v>
      </c>
      <c r="C686" s="15" t="s">
        <v>568</v>
      </c>
      <c r="D686" s="15" t="s">
        <v>572</v>
      </c>
      <c r="E686" s="15" t="s">
        <v>1445</v>
      </c>
      <c r="F686" s="15" t="s">
        <v>1594</v>
      </c>
      <c r="G686" s="16" t="s">
        <v>2694</v>
      </c>
      <c r="H686" s="15" t="s">
        <v>1505</v>
      </c>
      <c r="I686" s="17"/>
      <c r="J686" s="15" t="n">
        <v>1</v>
      </c>
      <c r="K686" s="15" t="n">
        <v>374</v>
      </c>
      <c r="L686" s="18" t="n">
        <v>13615.47</v>
      </c>
      <c r="M686" s="16" t="s">
        <v>569</v>
      </c>
      <c r="N686" s="38" t="n">
        <v>2.67</v>
      </c>
      <c r="O686" s="22" t="s">
        <v>1513</v>
      </c>
      <c r="P686" s="15" t="s">
        <v>1507</v>
      </c>
      <c r="Q686" s="16" t="s">
        <v>1832</v>
      </c>
      <c r="R686" s="32" t="s">
        <v>1833</v>
      </c>
      <c r="S686" s="37" t="n">
        <f aca="false">IFERROR(INDEX('Injectable Value'!$Z$28:$Z$178,MATCH($C686,'Injectable Value'!$A$28:$A$178,0)),"")</f>
        <v>0.18191811645244</v>
      </c>
      <c r="T686" s="18" t="n">
        <f aca="false">IFERROR(ROUND(INDEX('Injectable Value'!$AA$28:$AA$178,MATCH($C686,'Injectable Value'!$A$28:$A$178,0)),1),"")</f>
        <v>2476.9</v>
      </c>
      <c r="U686" s="16" t="s">
        <v>247</v>
      </c>
      <c r="V686" s="15" t="n">
        <v>1</v>
      </c>
      <c r="W686" s="15" t="s">
        <v>247</v>
      </c>
      <c r="X686" s="15" t="s">
        <v>248</v>
      </c>
      <c r="Y686" s="15" t="s">
        <v>277</v>
      </c>
      <c r="Z686" s="16" t="str">
        <f aca="false">IFERROR(INDEX(Scoring!$K:$K,MATCH($C686&amp;"|"&amp;$E686,Scoring!$U:$U,0)),"")</f>
        <v/>
      </c>
      <c r="AA686" s="15" t="str">
        <f aca="false">IFERROR(INDEX(Scoring!$Q:$Q,MATCH($C686&amp;"|"&amp;$E686,Scoring!$U:$U,0)),"")</f>
        <v>Excluded – IV only</v>
      </c>
      <c r="AB686" s="15" t="str">
        <f aca="false">IFERROR(INDEX(Scoring!$AK:$AK,MATCH($C686&amp;"|"&amp;$E686,Scoring!$U:$U,0)),"")</f>
        <v>Excluded – IV only</v>
      </c>
      <c r="AC686" s="18" t="n">
        <f aca="false">IFERROR(INDEX(Scoring!$M:$M,MATCH($C686&amp;"|"&amp;$E686,Scoring!$U:$U,0)),"")</f>
        <v>68</v>
      </c>
      <c r="AD686" s="15" t="str">
        <f aca="false">IFERROR(INDEX('Route of Administration'!$C$5:$C$155,MATCH($C686,'Route of Administration'!$A$5:$A$155,0)),"")</f>
        <v>IV</v>
      </c>
      <c r="AE686" s="14" t="str">
        <f aca="false">IFERROR(INDEX('Route of Administration'!$D$5:$D$155,MATCH($C686,'Route of Administration'!$A$5:$A$155,0)),"")</f>
        <v>No</v>
      </c>
    </row>
    <row r="687" customFormat="false" ht="28.35" hidden="false" customHeight="false" outlineLevel="0" collapsed="false">
      <c r="B687" s="15" t="n">
        <v>685</v>
      </c>
      <c r="C687" s="15" t="s">
        <v>1457</v>
      </c>
      <c r="D687" s="15" t="s">
        <v>1457</v>
      </c>
      <c r="E687" s="15" t="s">
        <v>1445</v>
      </c>
      <c r="F687" s="15" t="s">
        <v>1913</v>
      </c>
      <c r="G687" s="16" t="s">
        <v>2695</v>
      </c>
      <c r="H687" s="15" t="s">
        <v>1505</v>
      </c>
      <c r="I687" s="17" t="n">
        <v>61.13</v>
      </c>
      <c r="J687" s="15" t="n">
        <v>1</v>
      </c>
      <c r="K687" s="15" t="n">
        <v>111</v>
      </c>
      <c r="L687" s="18" t="n">
        <v>1044.77</v>
      </c>
      <c r="M687" s="16" t="s">
        <v>1458</v>
      </c>
      <c r="N687" s="17" t="n">
        <v>61.13</v>
      </c>
      <c r="O687" s="15" t="s">
        <v>1506</v>
      </c>
      <c r="P687" s="15" t="s">
        <v>1507</v>
      </c>
      <c r="Q687" s="16" t="s">
        <v>1508</v>
      </c>
      <c r="R687" s="32" t="s">
        <v>2696</v>
      </c>
      <c r="S687" s="37" t="n">
        <f aca="false">IFERROR(INDEX('Injectable Value'!$Z$28:$Z$178,MATCH($C687,'Injectable Value'!$A$28:$A$178,0)),"")</f>
        <v>0.432465091299678</v>
      </c>
      <c r="T687" s="18" t="n">
        <f aca="false">IFERROR(ROUND(INDEX('Injectable Value'!$AA$28:$AA$178,MATCH($C687,'Injectable Value'!$A$28:$A$178,0)),1),"")</f>
        <v>451.8</v>
      </c>
      <c r="U687" s="16" t="s">
        <v>247</v>
      </c>
      <c r="V687" s="15" t="n">
        <v>1</v>
      </c>
      <c r="W687" s="15" t="s">
        <v>247</v>
      </c>
      <c r="X687" s="15" t="s">
        <v>248</v>
      </c>
      <c r="Y687" s="15" t="s">
        <v>249</v>
      </c>
      <c r="Z687" s="16" t="str">
        <f aca="false">IFERROR(INDEX(Scoring!$K:$K,MATCH($C687&amp;"|"&amp;$E687,Scoring!$U:$U,0)),"")</f>
        <v/>
      </c>
      <c r="AA687" s="15" t="str">
        <f aca="false">IFERROR(INDEX(Scoring!$Q:$Q,MATCH($C687&amp;"|"&amp;$E687,Scoring!$U:$U,0)),"")</f>
        <v>Excluded – IV only</v>
      </c>
      <c r="AB687" s="15" t="str">
        <f aca="false">IFERROR(INDEX(Scoring!$AK:$AK,MATCH($C687&amp;"|"&amp;$E687,Scoring!$U:$U,0)),"")</f>
        <v>Excluded – IV only</v>
      </c>
      <c r="AC687" s="18" t="n">
        <f aca="false">IFERROR(INDEX(Scoring!$M:$M,MATCH($C687&amp;"|"&amp;$E687,Scoring!$U:$U,0)),"")</f>
        <v>48</v>
      </c>
      <c r="AD687" s="15" t="str">
        <f aca="false">IFERROR(INDEX('Route of Administration'!$C$5:$C$155,MATCH($C687,'Route of Administration'!$A$5:$A$155,0)),"")</f>
        <v>IV</v>
      </c>
      <c r="AE687" s="14" t="str">
        <f aca="false">IFERROR(INDEX('Route of Administration'!$D$5:$D$155,MATCH($C687,'Route of Administration'!$A$5:$A$155,0)),"")</f>
        <v>No</v>
      </c>
    </row>
    <row r="688" customFormat="false" ht="28.35" hidden="false" customHeight="false" outlineLevel="0" collapsed="false">
      <c r="B688" s="15" t="n">
        <v>686</v>
      </c>
      <c r="C688" s="15" t="s">
        <v>1457</v>
      </c>
      <c r="D688" s="15" t="s">
        <v>1457</v>
      </c>
      <c r="E688" s="15" t="s">
        <v>1445</v>
      </c>
      <c r="F688" s="15" t="s">
        <v>2697</v>
      </c>
      <c r="G688" s="16" t="s">
        <v>2695</v>
      </c>
      <c r="H688" s="15" t="s">
        <v>1505</v>
      </c>
      <c r="I688" s="17"/>
      <c r="J688" s="15" t="n">
        <v>1</v>
      </c>
      <c r="K688" s="15" t="n">
        <v>111</v>
      </c>
      <c r="L688" s="18" t="n">
        <v>1044.77</v>
      </c>
      <c r="M688" s="16" t="s">
        <v>1458</v>
      </c>
      <c r="N688" s="17"/>
      <c r="O688" s="15" t="s">
        <v>1545</v>
      </c>
      <c r="P688" s="15" t="s">
        <v>70</v>
      </c>
      <c r="Q688" s="16" t="s">
        <v>70</v>
      </c>
      <c r="R688" s="15"/>
      <c r="S688" s="37" t="n">
        <f aca="false">IFERROR(INDEX('Injectable Value'!$Z$28:$Z$178,MATCH($C688,'Injectable Value'!$A$28:$A$178,0)),"")</f>
        <v>0.432465091299678</v>
      </c>
      <c r="T688" s="18" t="n">
        <f aca="false">IFERROR(ROUND(INDEX('Injectable Value'!$AA$28:$AA$178,MATCH($C688,'Injectable Value'!$A$28:$A$178,0)),1),"")</f>
        <v>451.8</v>
      </c>
      <c r="U688" s="16" t="s">
        <v>247</v>
      </c>
      <c r="V688" s="15" t="n">
        <v>1</v>
      </c>
      <c r="W688" s="15" t="s">
        <v>247</v>
      </c>
      <c r="X688" s="15" t="s">
        <v>248</v>
      </c>
      <c r="Y688" s="15" t="s">
        <v>249</v>
      </c>
      <c r="Z688" s="16" t="str">
        <f aca="false">IFERROR(INDEX(Scoring!$K:$K,MATCH($C688&amp;"|"&amp;$E688,Scoring!$U:$U,0)),"")</f>
        <v/>
      </c>
      <c r="AA688" s="15" t="str">
        <f aca="false">IFERROR(INDEX(Scoring!$Q:$Q,MATCH($C688&amp;"|"&amp;$E688,Scoring!$U:$U,0)),"")</f>
        <v>Excluded – IV only</v>
      </c>
      <c r="AB688" s="15" t="str">
        <f aca="false">IFERROR(INDEX(Scoring!$AK:$AK,MATCH($C688&amp;"|"&amp;$E688,Scoring!$U:$U,0)),"")</f>
        <v>Excluded – IV only</v>
      </c>
      <c r="AC688" s="18" t="n">
        <f aca="false">IFERROR(INDEX(Scoring!$M:$M,MATCH($C688&amp;"|"&amp;$E688,Scoring!$U:$U,0)),"")</f>
        <v>48</v>
      </c>
      <c r="AD688" s="15" t="str">
        <f aca="false">IFERROR(INDEX('Route of Administration'!$C$5:$C$155,MATCH($C688,'Route of Administration'!$A$5:$A$155,0)),"")</f>
        <v>IV</v>
      </c>
      <c r="AE688" s="14" t="str">
        <f aca="false">IFERROR(INDEX('Route of Administration'!$D$5:$D$155,MATCH($C688,'Route of Administration'!$A$5:$A$155,0)),"")</f>
        <v>No</v>
      </c>
    </row>
    <row r="689" customFormat="false" ht="28.35" hidden="false" customHeight="false" outlineLevel="0" collapsed="false">
      <c r="B689" s="15" t="n">
        <v>687</v>
      </c>
      <c r="C689" s="15" t="s">
        <v>305</v>
      </c>
      <c r="D689" s="15" t="s">
        <v>305</v>
      </c>
      <c r="E689" s="15" t="s">
        <v>1445</v>
      </c>
      <c r="F689" s="15" t="s">
        <v>1608</v>
      </c>
      <c r="G689" s="16" t="s">
        <v>2698</v>
      </c>
      <c r="H689" s="15" t="s">
        <v>248</v>
      </c>
      <c r="I689" s="17" t="n">
        <v>22.25</v>
      </c>
      <c r="J689" s="15" t="n">
        <v>1</v>
      </c>
      <c r="K689" s="15" t="n">
        <v>905</v>
      </c>
      <c r="L689" s="18" t="n">
        <v>28093.38</v>
      </c>
      <c r="M689" s="16" t="s">
        <v>306</v>
      </c>
      <c r="N689" s="17" t="n">
        <v>22.25</v>
      </c>
      <c r="O689" s="15" t="s">
        <v>1506</v>
      </c>
      <c r="P689" s="15" t="s">
        <v>1507</v>
      </c>
      <c r="Q689" s="16" t="s">
        <v>1508</v>
      </c>
      <c r="R689" s="32" t="s">
        <v>1610</v>
      </c>
      <c r="S689" s="37" t="n">
        <f aca="false">IFERROR(INDEX('Injectable Value'!$Z$28:$Z$178,MATCH($C689,'Injectable Value'!$A$28:$A$178,0)),"")</f>
        <v>1</v>
      </c>
      <c r="T689" s="18" t="n">
        <f aca="false">IFERROR(ROUND(INDEX('Injectable Value'!$AA$28:$AA$178,MATCH($C689,'Injectable Value'!$A$28:$A$178,0)),1),"")</f>
        <v>28093.4</v>
      </c>
      <c r="U689" s="16" t="s">
        <v>1449</v>
      </c>
      <c r="V689" s="15" t="n">
        <v>6</v>
      </c>
      <c r="W689" s="15" t="s">
        <v>1447</v>
      </c>
      <c r="X689" s="15" t="s">
        <v>248</v>
      </c>
      <c r="Y689" s="15" t="s">
        <v>299</v>
      </c>
      <c r="Z689" s="16" t="str">
        <f aca="false">IFERROR(INDEX(Scoring!$K:$K,MATCH($C689&amp;"|"&amp;$E689,Scoring!$U:$U,0)),"")</f>
        <v>Cancer drug (cytotoxic) – less relevant; Reconstitution</v>
      </c>
      <c r="AA689" s="15" t="str">
        <f aca="false">IFERROR(INDEX(Scoring!$Q:$Q,MATCH($C689&amp;"|"&amp;$E689,Scoring!$U:$U,0)),"")</f>
        <v>Priority 1</v>
      </c>
      <c r="AB689" s="15" t="str">
        <f aca="false">IFERROR(INDEX(Scoring!$AK:$AK,MATCH($C689&amp;"|"&amp;$E689,Scoring!$U:$U,0)),"")</f>
        <v>Priority 1</v>
      </c>
      <c r="AC689" s="18" t="n">
        <f aca="false">IFERROR(INDEX(Scoring!$M:$M,MATCH($C689&amp;"|"&amp;$E689,Scoring!$U:$U,0)),"")</f>
        <v>905</v>
      </c>
      <c r="AD689" s="15" t="str">
        <f aca="false">IFERROR(INDEX('Route of Administration'!$C$5:$C$155,MATCH($C689,'Route of Administration'!$A$5:$A$155,0)),"")</f>
        <v>IV, SC</v>
      </c>
      <c r="AE689" s="14" t="str">
        <f aca="false">IFERROR(INDEX('Route of Administration'!$D$5:$D$155,MATCH($C689,'Route of Administration'!$A$5:$A$155,0)),"")</f>
        <v>Yes</v>
      </c>
    </row>
    <row r="690" customFormat="false" ht="28.35" hidden="false" customHeight="false" outlineLevel="0" collapsed="false">
      <c r="B690" s="15" t="n">
        <v>688</v>
      </c>
      <c r="C690" s="15" t="s">
        <v>262</v>
      </c>
      <c r="D690" s="15" t="s">
        <v>262</v>
      </c>
      <c r="E690" s="15" t="s">
        <v>1445</v>
      </c>
      <c r="F690" s="15" t="s">
        <v>1526</v>
      </c>
      <c r="G690" s="16" t="s">
        <v>2699</v>
      </c>
      <c r="H690" s="15" t="s">
        <v>1528</v>
      </c>
      <c r="I690" s="17" t="n">
        <v>29.97</v>
      </c>
      <c r="J690" s="15" t="n">
        <v>1</v>
      </c>
      <c r="K690" s="15" t="n">
        <v>146</v>
      </c>
      <c r="L690" s="18" t="n">
        <v>11366.06</v>
      </c>
      <c r="M690" s="16" t="s">
        <v>263</v>
      </c>
      <c r="N690" s="17" t="n">
        <v>29.97</v>
      </c>
      <c r="O690" s="15" t="s">
        <v>1506</v>
      </c>
      <c r="P690" s="15" t="s">
        <v>1507</v>
      </c>
      <c r="Q690" s="16" t="s">
        <v>1508</v>
      </c>
      <c r="R690" s="32" t="s">
        <v>1529</v>
      </c>
      <c r="S690" s="37" t="n">
        <f aca="false">IFERROR(INDEX('Injectable Value'!$Z$28:$Z$178,MATCH($C690,'Injectable Value'!$A$28:$A$178,0)),"")</f>
        <v>1</v>
      </c>
      <c r="T690" s="18" t="n">
        <f aca="false">IFERROR(ROUND(INDEX('Injectable Value'!$AA$28:$AA$178,MATCH($C690,'Injectable Value'!$A$28:$A$178,0)),1),"")</f>
        <v>11366.1</v>
      </c>
      <c r="U690" s="16" t="s">
        <v>247</v>
      </c>
      <c r="V690" s="15" t="n">
        <v>1</v>
      </c>
      <c r="W690" s="15" t="s">
        <v>247</v>
      </c>
      <c r="X690" s="15" t="s">
        <v>258</v>
      </c>
      <c r="Y690" s="15" t="s">
        <v>249</v>
      </c>
      <c r="Z690" s="16" t="str">
        <f aca="false">IFERROR(INDEX(Scoring!$K:$K,MATCH($C690&amp;"|"&amp;$E690,Scoring!$U:$U,0)),"")</f>
        <v>Prefilled only</v>
      </c>
      <c r="AA690" s="15" t="str">
        <f aca="false">IFERROR(INDEX(Scoring!$Q:$Q,MATCH($C690&amp;"|"&amp;$E690,Scoring!$U:$U,0)),"")</f>
        <v>Priority 1</v>
      </c>
      <c r="AB690" s="15" t="str">
        <f aca="false">IFERROR(INDEX(Scoring!$AK:$AK,MATCH($C690&amp;"|"&amp;$E690,Scoring!$U:$U,0)),"")</f>
        <v>Priority 2</v>
      </c>
      <c r="AC690" s="18" t="n">
        <f aca="false">IFERROR(INDEX(Scoring!$M:$M,MATCH($C690&amp;"|"&amp;$E690,Scoring!$U:$U,0)),"")</f>
        <v>146</v>
      </c>
      <c r="AD690" s="15" t="str">
        <f aca="false">IFERROR(INDEX('Route of Administration'!$C$5:$C$155,MATCH($C690,'Route of Administration'!$A$5:$A$155,0)),"")</f>
        <v>IM</v>
      </c>
      <c r="AE690" s="14" t="str">
        <f aca="false">IFERROR(INDEX('Route of Administration'!$D$5:$D$155,MATCH($C690,'Route of Administration'!$A$5:$A$155,0)),"")</f>
        <v>Yes</v>
      </c>
    </row>
    <row r="691" customFormat="false" ht="28.35" hidden="false" customHeight="false" outlineLevel="0" collapsed="false">
      <c r="B691" s="15" t="n">
        <v>689</v>
      </c>
      <c r="C691" s="15" t="s">
        <v>635</v>
      </c>
      <c r="D691" s="15" t="s">
        <v>1475</v>
      </c>
      <c r="E691" s="15" t="s">
        <v>1445</v>
      </c>
      <c r="F691" s="15" t="s">
        <v>1910</v>
      </c>
      <c r="G691" s="16" t="s">
        <v>2472</v>
      </c>
      <c r="H691" s="15" t="s">
        <v>1505</v>
      </c>
      <c r="I691" s="17" t="n">
        <v>21.78</v>
      </c>
      <c r="J691" s="15" t="n">
        <v>1</v>
      </c>
      <c r="K691" s="15" t="n">
        <v>346</v>
      </c>
      <c r="L691" s="18" t="n">
        <v>32830.17</v>
      </c>
      <c r="M691" s="16" t="s">
        <v>636</v>
      </c>
      <c r="N691" s="17" t="n">
        <v>21.78</v>
      </c>
      <c r="O691" s="15" t="s">
        <v>1506</v>
      </c>
      <c r="P691" s="15" t="s">
        <v>1507</v>
      </c>
      <c r="Q691" s="16" t="s">
        <v>1508</v>
      </c>
      <c r="R691" s="32" t="s">
        <v>1912</v>
      </c>
      <c r="S691" s="37" t="n">
        <f aca="false">IFERROR(INDEX('Injectable Value'!$Z$28:$Z$178,MATCH($C691,'Injectable Value'!$A$28:$A$178,0)),"")</f>
        <v>1</v>
      </c>
      <c r="T691" s="18" t="n">
        <f aca="false">IFERROR(ROUND(INDEX('Injectable Value'!$AA$28:$AA$178,MATCH($C691,'Injectable Value'!$A$28:$A$178,0)),1),"")</f>
        <v>32830.2</v>
      </c>
      <c r="U691" s="16" t="s">
        <v>247</v>
      </c>
      <c r="V691" s="15" t="n">
        <v>1</v>
      </c>
      <c r="W691" s="15" t="s">
        <v>247</v>
      </c>
      <c r="X691" s="15" t="s">
        <v>248</v>
      </c>
      <c r="Y691" s="15" t="s">
        <v>249</v>
      </c>
      <c r="Z691" s="16" t="str">
        <f aca="false">IFERROR(INDEX(Scoring!$K:$K,MATCH($C691&amp;"|"&amp;$E691,Scoring!$U:$U,0)),"")</f>
        <v/>
      </c>
      <c r="AA691" s="15" t="str">
        <f aca="false">IFERROR(INDEX(Scoring!$Q:$Q,MATCH($C691&amp;"|"&amp;$E691,Scoring!$U:$U,0)),"")</f>
        <v>Excluded – IV only</v>
      </c>
      <c r="AB691" s="15" t="str">
        <f aca="false">IFERROR(INDEX(Scoring!$AK:$AK,MATCH($C691&amp;"|"&amp;$E691,Scoring!$U:$U,0)),"")</f>
        <v>Excluded – IV only</v>
      </c>
      <c r="AC691" s="18" t="n">
        <f aca="false">IFERROR(INDEX(Scoring!$M:$M,MATCH($C691&amp;"|"&amp;$E691,Scoring!$U:$U,0)),"")</f>
        <v>346</v>
      </c>
      <c r="AD691" s="15" t="str">
        <f aca="false">IFERROR(INDEX('Route of Administration'!$C$5:$C$155,MATCH($C691,'Route of Administration'!$A$5:$A$155,0)),"")</f>
        <v>IV</v>
      </c>
      <c r="AE691" s="14" t="str">
        <f aca="false">IFERROR(INDEX('Route of Administration'!$D$5:$D$155,MATCH($C691,'Route of Administration'!$A$5:$A$155,0)),"")</f>
        <v>No</v>
      </c>
    </row>
    <row r="692" customFormat="false" ht="28.35" hidden="false" customHeight="false" outlineLevel="0" collapsed="false">
      <c r="B692" s="15" t="n">
        <v>690</v>
      </c>
      <c r="C692" s="15" t="s">
        <v>635</v>
      </c>
      <c r="D692" s="15" t="s">
        <v>1475</v>
      </c>
      <c r="E692" s="15" t="s">
        <v>1445</v>
      </c>
      <c r="F692" s="15" t="s">
        <v>1913</v>
      </c>
      <c r="G692" s="16" t="s">
        <v>2400</v>
      </c>
      <c r="H692" s="15" t="s">
        <v>1505</v>
      </c>
      <c r="I692" s="17" t="n">
        <v>48.28</v>
      </c>
      <c r="J692" s="15" t="n">
        <v>1</v>
      </c>
      <c r="K692" s="15" t="n">
        <v>346</v>
      </c>
      <c r="L692" s="18" t="n">
        <v>32830.17</v>
      </c>
      <c r="M692" s="16" t="s">
        <v>636</v>
      </c>
      <c r="N692" s="17" t="n">
        <v>48.28</v>
      </c>
      <c r="O692" s="15" t="s">
        <v>1506</v>
      </c>
      <c r="P692" s="15" t="s">
        <v>1507</v>
      </c>
      <c r="Q692" s="16" t="s">
        <v>1508</v>
      </c>
      <c r="R692" s="32" t="s">
        <v>1912</v>
      </c>
      <c r="S692" s="37" t="n">
        <f aca="false">IFERROR(INDEX('Injectable Value'!$Z$28:$Z$178,MATCH($C692,'Injectable Value'!$A$28:$A$178,0)),"")</f>
        <v>1</v>
      </c>
      <c r="T692" s="18" t="n">
        <f aca="false">IFERROR(ROUND(INDEX('Injectable Value'!$AA$28:$AA$178,MATCH($C692,'Injectable Value'!$A$28:$A$178,0)),1),"")</f>
        <v>32830.2</v>
      </c>
      <c r="U692" s="16" t="s">
        <v>247</v>
      </c>
      <c r="V692" s="15" t="n">
        <v>1</v>
      </c>
      <c r="W692" s="15" t="s">
        <v>247</v>
      </c>
      <c r="X692" s="15" t="s">
        <v>248</v>
      </c>
      <c r="Y692" s="15" t="s">
        <v>249</v>
      </c>
      <c r="Z692" s="16" t="str">
        <f aca="false">IFERROR(INDEX(Scoring!$K:$K,MATCH($C692&amp;"|"&amp;$E692,Scoring!$U:$U,0)),"")</f>
        <v/>
      </c>
      <c r="AA692" s="15" t="str">
        <f aca="false">IFERROR(INDEX(Scoring!$Q:$Q,MATCH($C692&amp;"|"&amp;$E692,Scoring!$U:$U,0)),"")</f>
        <v>Excluded – IV only</v>
      </c>
      <c r="AB692" s="15" t="str">
        <f aca="false">IFERROR(INDEX(Scoring!$AK:$AK,MATCH($C692&amp;"|"&amp;$E692,Scoring!$U:$U,0)),"")</f>
        <v>Excluded – IV only</v>
      </c>
      <c r="AC692" s="18" t="n">
        <f aca="false">IFERROR(INDEX(Scoring!$M:$M,MATCH($C692&amp;"|"&amp;$E692,Scoring!$U:$U,0)),"")</f>
        <v>346</v>
      </c>
      <c r="AD692" s="15" t="str">
        <f aca="false">IFERROR(INDEX('Route of Administration'!$C$5:$C$155,MATCH($C692,'Route of Administration'!$A$5:$A$155,0)),"")</f>
        <v>IV</v>
      </c>
      <c r="AE692" s="14" t="str">
        <f aca="false">IFERROR(INDEX('Route of Administration'!$D$5:$D$155,MATCH($C692,'Route of Administration'!$A$5:$A$155,0)),"")</f>
        <v>No</v>
      </c>
    </row>
    <row r="693" customFormat="false" ht="28.35" hidden="false" customHeight="false" outlineLevel="0" collapsed="false">
      <c r="B693" s="15" t="n">
        <v>691</v>
      </c>
      <c r="C693" s="15" t="s">
        <v>305</v>
      </c>
      <c r="D693" s="15" t="s">
        <v>305</v>
      </c>
      <c r="E693" s="15" t="s">
        <v>1445</v>
      </c>
      <c r="F693" s="15" t="s">
        <v>1652</v>
      </c>
      <c r="G693" s="16" t="s">
        <v>1665</v>
      </c>
      <c r="H693" s="15" t="s">
        <v>1505</v>
      </c>
      <c r="I693" s="17" t="n">
        <v>856.68</v>
      </c>
      <c r="J693" s="15" t="n">
        <v>1</v>
      </c>
      <c r="K693" s="15" t="n">
        <v>905</v>
      </c>
      <c r="L693" s="18" t="n">
        <v>28093.38</v>
      </c>
      <c r="M693" s="16" t="s">
        <v>306</v>
      </c>
      <c r="N693" s="17" t="n">
        <v>856.68</v>
      </c>
      <c r="O693" s="15" t="s">
        <v>1506</v>
      </c>
      <c r="P693" s="15" t="s">
        <v>1507</v>
      </c>
      <c r="Q693" s="16" t="s">
        <v>1508</v>
      </c>
      <c r="R693" s="32" t="s">
        <v>1654</v>
      </c>
      <c r="S693" s="37" t="n">
        <f aca="false">IFERROR(INDEX('Injectable Value'!$Z$28:$Z$178,MATCH($C693,'Injectable Value'!$A$28:$A$178,0)),"")</f>
        <v>1</v>
      </c>
      <c r="T693" s="18" t="n">
        <f aca="false">IFERROR(ROUND(INDEX('Injectable Value'!$AA$28:$AA$178,MATCH($C693,'Injectable Value'!$A$28:$A$178,0)),1),"")</f>
        <v>28093.4</v>
      </c>
      <c r="U693" s="16" t="s">
        <v>1449</v>
      </c>
      <c r="V693" s="15" t="n">
        <v>6</v>
      </c>
      <c r="W693" s="15" t="s">
        <v>1447</v>
      </c>
      <c r="X693" s="15" t="s">
        <v>248</v>
      </c>
      <c r="Y693" s="15" t="s">
        <v>277</v>
      </c>
      <c r="Z693" s="16" t="str">
        <f aca="false">IFERROR(INDEX(Scoring!$K:$K,MATCH($C693&amp;"|"&amp;$E693,Scoring!$U:$U,0)),"")</f>
        <v>Cancer drug (cytotoxic) – less relevant; Reconstitution</v>
      </c>
      <c r="AA693" s="15" t="str">
        <f aca="false">IFERROR(INDEX(Scoring!$Q:$Q,MATCH($C693&amp;"|"&amp;$E693,Scoring!$U:$U,0)),"")</f>
        <v>Priority 1</v>
      </c>
      <c r="AB693" s="15" t="str">
        <f aca="false">IFERROR(INDEX(Scoring!$AK:$AK,MATCH($C693&amp;"|"&amp;$E693,Scoring!$U:$U,0)),"")</f>
        <v>Priority 1</v>
      </c>
      <c r="AC693" s="18" t="n">
        <f aca="false">IFERROR(INDEX(Scoring!$M:$M,MATCH($C693&amp;"|"&amp;$E693,Scoring!$U:$U,0)),"")</f>
        <v>905</v>
      </c>
      <c r="AD693" s="15" t="str">
        <f aca="false">IFERROR(INDEX('Route of Administration'!$C$5:$C$155,MATCH($C693,'Route of Administration'!$A$5:$A$155,0)),"")</f>
        <v>IV, SC</v>
      </c>
      <c r="AE693" s="14" t="str">
        <f aca="false">IFERROR(INDEX('Route of Administration'!$D$5:$D$155,MATCH($C693,'Route of Administration'!$A$5:$A$155,0)),"")</f>
        <v>Yes</v>
      </c>
    </row>
    <row r="694" customFormat="false" ht="28.35" hidden="false" customHeight="false" outlineLevel="0" collapsed="false">
      <c r="B694" s="15" t="n">
        <v>692</v>
      </c>
      <c r="C694" s="15" t="s">
        <v>305</v>
      </c>
      <c r="D694" s="15" t="s">
        <v>2700</v>
      </c>
      <c r="E694" s="15" t="s">
        <v>1445</v>
      </c>
      <c r="F694" s="15" t="s">
        <v>1675</v>
      </c>
      <c r="G694" s="16" t="s">
        <v>1653</v>
      </c>
      <c r="H694" s="15" t="s">
        <v>1505</v>
      </c>
      <c r="I694" s="17" t="n">
        <v>1444.1174</v>
      </c>
      <c r="J694" s="15" t="n">
        <v>29</v>
      </c>
      <c r="K694" s="15" t="n">
        <v>905</v>
      </c>
      <c r="L694" s="18" t="n">
        <v>28093.38</v>
      </c>
      <c r="M694" s="16" t="s">
        <v>306</v>
      </c>
      <c r="N694" s="17" t="n">
        <v>1444.1174</v>
      </c>
      <c r="O694" s="15" t="s">
        <v>1506</v>
      </c>
      <c r="P694" s="15" t="s">
        <v>1533</v>
      </c>
      <c r="Q694" s="16" t="s">
        <v>1508</v>
      </c>
      <c r="R694" s="32" t="s">
        <v>1673</v>
      </c>
      <c r="S694" s="37" t="n">
        <f aca="false">IFERROR(INDEX('Injectable Value'!$Z$28:$Z$178,MATCH($C694,'Injectable Value'!$A$28:$A$178,0)),"")</f>
        <v>1</v>
      </c>
      <c r="T694" s="18" t="n">
        <f aca="false">IFERROR(ROUND(INDEX('Injectable Value'!$AA$28:$AA$178,MATCH($C694,'Injectable Value'!$A$28:$A$178,0)),1),"")</f>
        <v>28093.4</v>
      </c>
      <c r="U694" s="16" t="s">
        <v>1449</v>
      </c>
      <c r="V694" s="15" t="n">
        <v>6</v>
      </c>
      <c r="W694" s="15" t="s">
        <v>1447</v>
      </c>
      <c r="X694" s="15" t="s">
        <v>248</v>
      </c>
      <c r="Y694" s="15" t="s">
        <v>299</v>
      </c>
      <c r="Z694" s="16" t="str">
        <f aca="false">IFERROR(INDEX(Scoring!$K:$K,MATCH($C694&amp;"|"&amp;$E694,Scoring!$U:$U,0)),"")</f>
        <v>Cancer drug (cytotoxic) – less relevant; Reconstitution</v>
      </c>
      <c r="AA694" s="15" t="str">
        <f aca="false">IFERROR(INDEX(Scoring!$Q:$Q,MATCH($C694&amp;"|"&amp;$E694,Scoring!$U:$U,0)),"")</f>
        <v>Priority 1</v>
      </c>
      <c r="AB694" s="15" t="str">
        <f aca="false">IFERROR(INDEX(Scoring!$AK:$AK,MATCH($C694&amp;"|"&amp;$E694,Scoring!$U:$U,0)),"")</f>
        <v>Priority 1</v>
      </c>
      <c r="AC694" s="18" t="n">
        <f aca="false">IFERROR(INDEX(Scoring!$M:$M,MATCH($C694&amp;"|"&amp;$E694,Scoring!$U:$U,0)),"")</f>
        <v>905</v>
      </c>
      <c r="AD694" s="15" t="str">
        <f aca="false">IFERROR(INDEX('Route of Administration'!$C$5:$C$155,MATCH($C694,'Route of Administration'!$A$5:$A$155,0)),"")</f>
        <v>IV, SC</v>
      </c>
      <c r="AE694" s="14" t="str">
        <f aca="false">IFERROR(INDEX('Route of Administration'!$D$5:$D$155,MATCH($C694,'Route of Administration'!$A$5:$A$155,0)),"")</f>
        <v>Yes</v>
      </c>
    </row>
    <row r="695" customFormat="false" ht="28.35" hidden="false" customHeight="false" outlineLevel="0" collapsed="false">
      <c r="B695" s="15" t="n">
        <v>693</v>
      </c>
      <c r="C695" s="15" t="s">
        <v>336</v>
      </c>
      <c r="D695" s="15" t="s">
        <v>1450</v>
      </c>
      <c r="E695" s="15" t="s">
        <v>1445</v>
      </c>
      <c r="F695" s="15" t="s">
        <v>1679</v>
      </c>
      <c r="G695" s="16" t="s">
        <v>1683</v>
      </c>
      <c r="H695" s="15" t="s">
        <v>1505</v>
      </c>
      <c r="I695" s="17" t="n">
        <v>7.8196</v>
      </c>
      <c r="J695" s="15" t="n">
        <v>30</v>
      </c>
      <c r="K695" s="15" t="n">
        <v>3110</v>
      </c>
      <c r="L695" s="18" t="n">
        <v>93119.22</v>
      </c>
      <c r="M695" s="16" t="s">
        <v>337</v>
      </c>
      <c r="N695" s="17" t="n">
        <v>7.8196</v>
      </c>
      <c r="O695" s="15" t="s">
        <v>1506</v>
      </c>
      <c r="P695" s="15" t="s">
        <v>1672</v>
      </c>
      <c r="Q695" s="16" t="s">
        <v>1508</v>
      </c>
      <c r="R695" s="32" t="s">
        <v>2701</v>
      </c>
      <c r="S695" s="37" t="n">
        <f aca="false">IFERROR(INDEX('Injectable Value'!$Z$28:$Z$178,MATCH($C695,'Injectable Value'!$A$28:$A$178,0)),"")</f>
        <v>1</v>
      </c>
      <c r="T695" s="18" t="n">
        <f aca="false">IFERROR(ROUND(INDEX('Injectable Value'!$AA$28:$AA$178,MATCH($C695,'Injectable Value'!$A$28:$A$178,0)),1),"")</f>
        <v>93119.2</v>
      </c>
      <c r="U695" s="16" t="s">
        <v>335</v>
      </c>
      <c r="V695" s="15" t="n">
        <v>1</v>
      </c>
      <c r="W695" s="15" t="s">
        <v>331</v>
      </c>
      <c r="X695" s="15" t="s">
        <v>248</v>
      </c>
      <c r="Y695" s="15" t="s">
        <v>249</v>
      </c>
      <c r="Z695" s="16" t="str">
        <f aca="false">IFERROR(INDEX(Scoring!$K:$K,MATCH($C695&amp;"|"&amp;$E695,Scoring!$U:$U,0)),"")</f>
        <v>Reconstitution</v>
      </c>
      <c r="AA695" s="15" t="str">
        <f aca="false">IFERROR(INDEX(Scoring!$Q:$Q,MATCH($C695&amp;"|"&amp;$E695,Scoring!$U:$U,0)),"")</f>
        <v>Priority 2</v>
      </c>
      <c r="AB695" s="15" t="str">
        <f aca="false">IFERROR(INDEX(Scoring!$AK:$AK,MATCH($C695&amp;"|"&amp;$E695,Scoring!$U:$U,0)),"")</f>
        <v>Priority 2</v>
      </c>
      <c r="AC695" s="18" t="n">
        <f aca="false">IFERROR(INDEX(Scoring!$M:$M,MATCH($C695&amp;"|"&amp;$E695,Scoring!$U:$U,0)),"")</f>
        <v>3110</v>
      </c>
      <c r="AD695" s="15" t="str">
        <f aca="false">IFERROR(INDEX('Route of Administration'!$C$5:$C$155,MATCH($C695,'Route of Administration'!$A$5:$A$155,0)),"")</f>
        <v>IV, IM</v>
      </c>
      <c r="AE695" s="14" t="str">
        <f aca="false">IFERROR(INDEX('Route of Administration'!$D$5:$D$155,MATCH($C695,'Route of Administration'!$A$5:$A$155,0)),"")</f>
        <v>Yes</v>
      </c>
    </row>
    <row r="696" customFormat="false" ht="28.35" hidden="false" customHeight="false" outlineLevel="0" collapsed="false">
      <c r="B696" s="15" t="n">
        <v>694</v>
      </c>
      <c r="C696" s="15" t="s">
        <v>305</v>
      </c>
      <c r="D696" s="15" t="s">
        <v>2702</v>
      </c>
      <c r="E696" s="15" t="s">
        <v>1445</v>
      </c>
      <c r="F696" s="15" t="s">
        <v>1857</v>
      </c>
      <c r="G696" s="16" t="s">
        <v>1973</v>
      </c>
      <c r="H696" s="15" t="s">
        <v>1505</v>
      </c>
      <c r="I696" s="17" t="n">
        <v>152.64</v>
      </c>
      <c r="J696" s="15" t="n">
        <v>1</v>
      </c>
      <c r="K696" s="15" t="n">
        <v>905</v>
      </c>
      <c r="L696" s="18" t="n">
        <v>28093.38</v>
      </c>
      <c r="M696" s="16" t="s">
        <v>306</v>
      </c>
      <c r="N696" s="17" t="n">
        <v>152.64</v>
      </c>
      <c r="O696" s="15" t="s">
        <v>1506</v>
      </c>
      <c r="P696" s="15" t="s">
        <v>1672</v>
      </c>
      <c r="Q696" s="16" t="s">
        <v>1508</v>
      </c>
      <c r="R696" s="32" t="s">
        <v>1784</v>
      </c>
      <c r="S696" s="37" t="n">
        <f aca="false">IFERROR(INDEX('Injectable Value'!$Z$28:$Z$178,MATCH($C696,'Injectable Value'!$A$28:$A$178,0)),"")</f>
        <v>1</v>
      </c>
      <c r="T696" s="18" t="n">
        <f aca="false">IFERROR(ROUND(INDEX('Injectable Value'!$AA$28:$AA$178,MATCH($C696,'Injectable Value'!$A$28:$A$178,0)),1),"")</f>
        <v>28093.4</v>
      </c>
      <c r="U696" s="16" t="s">
        <v>1449</v>
      </c>
      <c r="V696" s="15" t="n">
        <v>6</v>
      </c>
      <c r="W696" s="15" t="s">
        <v>1447</v>
      </c>
      <c r="X696" s="15" t="s">
        <v>248</v>
      </c>
      <c r="Y696" s="15" t="s">
        <v>249</v>
      </c>
      <c r="Z696" s="16" t="str">
        <f aca="false">IFERROR(INDEX(Scoring!$K:$K,MATCH($C696&amp;"|"&amp;$E696,Scoring!$U:$U,0)),"")</f>
        <v>Cancer drug (cytotoxic) – less relevant; Reconstitution</v>
      </c>
      <c r="AA696" s="15" t="str">
        <f aca="false">IFERROR(INDEX(Scoring!$Q:$Q,MATCH($C696&amp;"|"&amp;$E696,Scoring!$U:$U,0)),"")</f>
        <v>Priority 1</v>
      </c>
      <c r="AB696" s="15" t="str">
        <f aca="false">IFERROR(INDEX(Scoring!$AK:$AK,MATCH($C696&amp;"|"&amp;$E696,Scoring!$U:$U,0)),"")</f>
        <v>Priority 1</v>
      </c>
      <c r="AC696" s="18" t="n">
        <f aca="false">IFERROR(INDEX(Scoring!$M:$M,MATCH($C696&amp;"|"&amp;$E696,Scoring!$U:$U,0)),"")</f>
        <v>905</v>
      </c>
      <c r="AD696" s="15" t="str">
        <f aca="false">IFERROR(INDEX('Route of Administration'!$C$5:$C$155,MATCH($C696,'Route of Administration'!$A$5:$A$155,0)),"")</f>
        <v>IV, SC</v>
      </c>
      <c r="AE696" s="14" t="str">
        <f aca="false">IFERROR(INDEX('Route of Administration'!$D$5:$D$155,MATCH($C696,'Route of Administration'!$A$5:$A$155,0)),"")</f>
        <v>Yes</v>
      </c>
    </row>
    <row r="697" customFormat="false" ht="28.35" hidden="false" customHeight="false" outlineLevel="0" collapsed="false">
      <c r="B697" s="15" t="n">
        <v>695</v>
      </c>
      <c r="C697" s="15" t="s">
        <v>487</v>
      </c>
      <c r="D697" s="15" t="s">
        <v>1474</v>
      </c>
      <c r="E697" s="15" t="s">
        <v>1445</v>
      </c>
      <c r="F697" s="15" t="s">
        <v>2703</v>
      </c>
      <c r="G697" s="16" t="s">
        <v>2704</v>
      </c>
      <c r="H697" s="15" t="s">
        <v>1505</v>
      </c>
      <c r="I697" s="17" t="n">
        <v>6.29</v>
      </c>
      <c r="J697" s="15" t="n">
        <v>1</v>
      </c>
      <c r="K697" s="15" t="n">
        <v>2546</v>
      </c>
      <c r="L697" s="18" t="n">
        <v>46507.62</v>
      </c>
      <c r="M697" s="16" t="s">
        <v>488</v>
      </c>
      <c r="N697" s="17" t="n">
        <v>6.29</v>
      </c>
      <c r="O697" s="15" t="s">
        <v>1506</v>
      </c>
      <c r="P697" s="15" t="s">
        <v>1672</v>
      </c>
      <c r="Q697" s="16" t="s">
        <v>1508</v>
      </c>
      <c r="R697" s="32" t="s">
        <v>1784</v>
      </c>
      <c r="S697" s="37" t="n">
        <f aca="false">IFERROR(INDEX('Injectable Value'!$Z$28:$Z$178,MATCH($C697,'Injectable Value'!$A$28:$A$178,0)),"")</f>
        <v>0.378228374732698</v>
      </c>
      <c r="T697" s="18" t="n">
        <f aca="false">IFERROR(ROUND(INDEX('Injectable Value'!$AA$28:$AA$178,MATCH($C697,'Injectable Value'!$A$28:$A$178,0)),1),"")</f>
        <v>17590.5</v>
      </c>
      <c r="U697" s="16" t="s">
        <v>328</v>
      </c>
      <c r="V697" s="15" t="n">
        <v>1</v>
      </c>
      <c r="W697" s="15" t="s">
        <v>70</v>
      </c>
      <c r="X697" s="15" t="s">
        <v>248</v>
      </c>
      <c r="Y697" s="15" t="s">
        <v>277</v>
      </c>
      <c r="Z697" s="16" t="str">
        <f aca="false">IFERROR(INDEX(Scoring!$K:$K,MATCH($C697&amp;"|"&amp;$E697,Scoring!$U:$U,0)),"")</f>
        <v/>
      </c>
      <c r="AA697" s="15" t="str">
        <f aca="false">IFERROR(INDEX(Scoring!$Q:$Q,MATCH($C697&amp;"|"&amp;$E697,Scoring!$U:$U,0)),"")</f>
        <v>Priority 2</v>
      </c>
      <c r="AB697" s="15" t="str">
        <f aca="false">IFERROR(INDEX(Scoring!$AK:$AK,MATCH($C697&amp;"|"&amp;$E697,Scoring!$U:$U,0)),"")</f>
        <v>Priority 2</v>
      </c>
      <c r="AC697" s="18" t="n">
        <f aca="false">IFERROR(INDEX(Scoring!$M:$M,MATCH($C697&amp;"|"&amp;$E697,Scoring!$U:$U,0)),"")</f>
        <v>963</v>
      </c>
      <c r="AD697" s="15" t="str">
        <f aca="false">IFERROR(INDEX('Route of Administration'!$C$5:$C$155,MATCH($C697,'Route of Administration'!$A$5:$A$155,0)),"")</f>
        <v>IV, IM</v>
      </c>
      <c r="AE697" s="14" t="str">
        <f aca="false">IFERROR(INDEX('Route of Administration'!$D$5:$D$155,MATCH($C697,'Route of Administration'!$A$5:$A$155,0)),"")</f>
        <v>Yes</v>
      </c>
    </row>
    <row r="698" customFormat="false" ht="28.35" hidden="false" customHeight="false" outlineLevel="0" collapsed="false">
      <c r="B698" s="15" t="n">
        <v>696</v>
      </c>
      <c r="C698" s="15" t="s">
        <v>1470</v>
      </c>
      <c r="D698" s="15" t="s">
        <v>1472</v>
      </c>
      <c r="E698" s="15" t="s">
        <v>1445</v>
      </c>
      <c r="F698" s="15" t="s">
        <v>2705</v>
      </c>
      <c r="G698" s="16" t="s">
        <v>2445</v>
      </c>
      <c r="H698" s="15" t="s">
        <v>1505</v>
      </c>
      <c r="I698" s="17" t="n">
        <v>7.58</v>
      </c>
      <c r="J698" s="15" t="n">
        <v>1</v>
      </c>
      <c r="K698" s="15" t="n">
        <v>565</v>
      </c>
      <c r="L698" s="18" t="n">
        <v>12587.3</v>
      </c>
      <c r="M698" s="16" t="s">
        <v>1471</v>
      </c>
      <c r="N698" s="17" t="n">
        <v>7.58</v>
      </c>
      <c r="O698" s="15" t="s">
        <v>1506</v>
      </c>
      <c r="P698" s="15" t="s">
        <v>1672</v>
      </c>
      <c r="Q698" s="16" t="s">
        <v>1508</v>
      </c>
      <c r="R698" s="32" t="s">
        <v>1784</v>
      </c>
      <c r="S698" s="37" t="n">
        <f aca="false">IFERROR(INDEX('Injectable Value'!$Z$28:$Z$178,MATCH($C698,'Injectable Value'!$A$28:$A$178,0)),"")</f>
        <v>0.95</v>
      </c>
      <c r="T698" s="18" t="n">
        <f aca="false">IFERROR(ROUND(INDEX('Injectable Value'!$AA$28:$AA$178,MATCH($C698,'Injectable Value'!$A$28:$A$178,0)),1),"")</f>
        <v>11957.9</v>
      </c>
      <c r="U698" s="16" t="s">
        <v>328</v>
      </c>
      <c r="V698" s="15" t="n">
        <v>1</v>
      </c>
      <c r="W698" s="15" t="s">
        <v>70</v>
      </c>
      <c r="X698" s="15" t="s">
        <v>248</v>
      </c>
      <c r="Y698" s="15" t="s">
        <v>249</v>
      </c>
      <c r="Z698" s="16" t="str">
        <f aca="false">IFERROR(INDEX(Scoring!$K:$K,MATCH($C698&amp;"|"&amp;$E698,Scoring!$U:$U,0)),"")</f>
        <v/>
      </c>
      <c r="AA698" s="15" t="str">
        <f aca="false">IFERROR(INDEX(Scoring!$Q:$Q,MATCH($C698&amp;"|"&amp;$E698,Scoring!$U:$U,0)),"")</f>
        <v>Excluded – IV only</v>
      </c>
      <c r="AB698" s="15" t="str">
        <f aca="false">IFERROR(INDEX(Scoring!$AK:$AK,MATCH($C698&amp;"|"&amp;$E698,Scoring!$U:$U,0)),"")</f>
        <v>Excluded – IV only</v>
      </c>
      <c r="AC698" s="18" t="n">
        <f aca="false">IFERROR(INDEX(Scoring!$M:$M,MATCH($C698&amp;"|"&amp;$E698,Scoring!$U:$U,0)),"")</f>
        <v>537</v>
      </c>
      <c r="AD698" s="15" t="str">
        <f aca="false">IFERROR(INDEX('Route of Administration'!$C$5:$C$155,MATCH($C698,'Route of Administration'!$A$5:$A$155,0)),"")</f>
        <v>IV</v>
      </c>
      <c r="AE698" s="14" t="str">
        <f aca="false">IFERROR(INDEX('Route of Administration'!$D$5:$D$155,MATCH($C698,'Route of Administration'!$A$5:$A$155,0)),"")</f>
        <v>No</v>
      </c>
    </row>
  </sheetData>
  <autoFilter ref="B2:AE698"/>
  <hyperlinks>
    <hyperlink ref="R3" r:id="rId1" display="https://www.drugs.com/price-guide/carboprost"/>
    <hyperlink ref="R4" r:id="rId2" display="https://www.cms.gov/files/zip/october-2026-medicare-part-b-payment-limit-files-final.zip"/>
    <hyperlink ref="R5" r:id="rId3" display="https://www.drugs.com/price-guide/methotrexate"/>
    <hyperlink ref="R6" r:id="rId4" display="https://www.drugs.com/price-guide/methotrexate"/>
    <hyperlink ref="R7" r:id="rId5" display="https://www.cms.gov/files/zip/october-2026-medicare-part-b-payment-limit-files-final.zip"/>
    <hyperlink ref="R8" r:id="rId6" display="https://www.cms.gov/files/zip/october-2026-medicare-part-b-payment-limit-files-final.zip"/>
    <hyperlink ref="R9" r:id="rId7" display="https://www.drugs.com/price-guide/fulvestrant"/>
    <hyperlink ref="R10" r:id="rId8" display="https://www.medicinpriser.dk/Default.aspx?VirksomtStof=Carboprost&amp;lng=2"/>
    <hyperlink ref="R11" r:id="rId9" display="https://www.drugs.com/price-guide/carboprost"/>
    <hyperlink ref="R12" r:id="rId10" display="https://www.drugs.com/price-guide/chlorpromazine"/>
    <hyperlink ref="R13" r:id="rId11" display="https://www.drugs.com/price-guide/dactinomycin"/>
    <hyperlink ref="R14" r:id="rId12" display="https://www.drugs.com/price-guide/eptifibatide"/>
    <hyperlink ref="R16" r:id="rId13" display="https://www.drugs.com/price-guide/esmolol"/>
    <hyperlink ref="R17" r:id="rId14" display="https://www.drugs.com/price-guide/fluorouracil"/>
    <hyperlink ref="R18" r:id="rId15" display="https://www.drugs.com/price-guide/fluphenazine"/>
    <hyperlink ref="R19" r:id="rId16" display="https://www.drugs.com/price-guide/medroxyprogesterone"/>
    <hyperlink ref="R20" r:id="rId17" display="https://www.mountainside-medical.com/products/medroxyprogesterone-acetate-injection-prefilled-syringe-150-mg-ml"/>
    <hyperlink ref="R21" r:id="rId18" display="https://www.drugs.com/price-guide/methotrexate"/>
    <hyperlink ref="R22" r:id="rId19" display="https://www.drugs.com/price-guide/methotrexate"/>
    <hyperlink ref="R23" r:id="rId20" display="https://www.drugs.com/price-guide/methotrexate"/>
    <hyperlink ref="R24" r:id="rId21" display="https://www.cms.gov/files/zip/october-2026-medicare-part-b-payment-limit-files-final.zip"/>
    <hyperlink ref="R25" r:id="rId22" display="https://www.cms.gov/files/zip/october-2026-medicare-part-b-payment-limit-files-final.zip"/>
    <hyperlink ref="R26" r:id="rId23" display="https://www.drugs.com/price-guide/nafcillin"/>
    <hyperlink ref="R27" r:id="rId24" display="https://www.drugs.com/price-guide/nafcillin"/>
    <hyperlink ref="R29" r:id="rId25" display="https://www.drugs.com/price-guide/naloxone"/>
    <hyperlink ref="R30" r:id="rId26" display="https://www.drugs.com/price-guide/oxacillin"/>
    <hyperlink ref="R31" r:id="rId27" display="https://www.drugs.com/price-guide/progesterone"/>
    <hyperlink ref="R32" r:id="rId28" display="https://www.drugs.com/price-guide/testosterone"/>
    <hyperlink ref="R33" r:id="rId29" display="https://www.drugs.com/price-guide/testosterone"/>
    <hyperlink ref="R34" r:id="rId30" display="https://www.drugs.com/price-guide/testosterone"/>
    <hyperlink ref="R35" r:id="rId31" display="https://www.cms.gov/files/zip/october-2026-medicare-part-b-payment-limit-files-final.zip"/>
    <hyperlink ref="R36" r:id="rId32" location="search:norcuron" display="https://medicineprices.org.za/#search:norcuron"/>
    <hyperlink ref="R38" r:id="rId33" display="https://www.drugs.com/price-guide/verapamil"/>
    <hyperlink ref="R39" r:id="rId34" display="https://www.drugs.com/price-guide/ertapenem"/>
    <hyperlink ref="R40" r:id="rId35" display="https://www.drugs.com/price-guide/ibandronate"/>
    <hyperlink ref="R41" r:id="rId36" display="https://www.drugs.com/price-guide/mesna"/>
    <hyperlink ref="R42" r:id="rId37" display="https://www.drugs.com/price-guide/palonosetron"/>
    <hyperlink ref="R43" r:id="rId38" display="https://www.drugs.com/price-guide/bortezomib"/>
    <hyperlink ref="R44" r:id="rId39" display="https://www.drugs.com/price-guide/ropivacaine"/>
    <hyperlink ref="R45" r:id="rId40" display="https://www.drugs.com/price-guide/ropivacaine"/>
    <hyperlink ref="R46" r:id="rId41" display="https://www.drugs.com/price-guide/ropivacaine"/>
    <hyperlink ref="R47" r:id="rId42" display="https://www.drugs.com/price-guide/ropivacaine"/>
    <hyperlink ref="R48" r:id="rId43" display="https://www.drugs.com/price-guide/ropivacaine"/>
    <hyperlink ref="R49" r:id="rId44" display="https://www.drugs.com/price-guide/ropivacaine"/>
    <hyperlink ref="R50" r:id="rId45" display="https://www.drugs.com/price-guide/argatroban"/>
    <hyperlink ref="R51" r:id="rId46" display="https://www.drugs.com/price-guide/cyclophosphamide"/>
    <hyperlink ref="R52" r:id="rId47" display="https://www.drugs.com/price-guide/cyclophosphamide"/>
    <hyperlink ref="R53" r:id="rId48" display="https://www.drugs.com/price-guide/cyclophosphamide"/>
    <hyperlink ref="R54" r:id="rId49" display="https://www.drugs.com/price-guide/ephedrine"/>
    <hyperlink ref="R55" r:id="rId50" display="https://www.cms.gov/files/zip/october-2026-medicare-part-b-payment-limit-files-final.zip"/>
    <hyperlink ref="R56" r:id="rId51" display="https://www.drugs.com/price-guide/sildenafil"/>
    <hyperlink ref="R57" r:id="rId52" display="https://www.drugs.com/price-guide/tirofiban"/>
    <hyperlink ref="R58" r:id="rId53" display="https://www.drugs.com/price-guide/tirofiban"/>
    <hyperlink ref="R59" r:id="rId54" display="https://www.drugs.com/price-guide/plerixafor"/>
    <hyperlink ref="R60" r:id="rId55" display="https://dmd-browser.nhsbsa.nhs.uk/ampp/view/187562"/>
    <hyperlink ref="R61" r:id="rId56" display="https://www.nhsbsa.nhs.uk/sites/default/files/2026-08/Part%20VIIIA%20Sep%2026.xls.xlsx"/>
    <hyperlink ref="R62" r:id="rId57" display="https://dmd-browser.nhsbsa.nhs.uk/ampp/view/190293"/>
    <hyperlink ref="R63" r:id="rId58" display="https://dmd-browser.nhsbsa.nhs.uk/ampp/view/185061"/>
    <hyperlink ref="R64" r:id="rId59" display="https://dmd-browser.nhsbsa.nhs.uk/ampp/view/194984"/>
    <hyperlink ref="R65" r:id="rId60" display="https://dmd-browser.nhsbsa.nhs.uk/ampp/view/47382"/>
    <hyperlink ref="R66" r:id="rId61" display="https://www.aifa.gov.it/documents/20142/3815901/Classe_H_per_principio_attivo_30-04-2026.csv"/>
    <hyperlink ref="R67" r:id="rId62" display="https://www.aifa.gov.it/documents/20142/3815901/Classe_H_per_principio_attivo_30-04-2026.csv"/>
    <hyperlink ref="R68" r:id="rId63" display="https://www.aponeo.de/rx/12675950-bupivan-0-5-5-mg-ml-inj-l-25mg-5ml-glasamp.html"/>
    <hyperlink ref="R69" r:id="rId64" display="https://base-donnees-publique.medicaments.gouv.fr/medicament/64318859/extrait"/>
    <hyperlink ref="R70" r:id="rId65" display="https://www.dovesalute.it/it/farmaci/med/36138/ceftriaxone-aurobindo"/>
    <hyperlink ref="R71" r:id="rId66" display="https://www.aifa.gov.it/documents/20142/3815901/Classe_A_per_principio_attivo_30-04-2026.csv"/>
    <hyperlink ref="R72" r:id="rId67" display="https://www.aifa.gov.it/documents/20142/3815901/Classe_H_per_principio_attivo_30-04-2026.csv"/>
    <hyperlink ref="R73" r:id="rId68" display="https://www.aifa.gov.it/documents/20142/3815901/Classe_H_per_principio_attivo_30-04-2026.csv"/>
    <hyperlink ref="R74" r:id="rId69" display="https://www.aifa.gov.it/documents/20142/3815901/Classe_H_per_principio_attivo_30-04-2026.csv"/>
    <hyperlink ref="R75" r:id="rId70" display="https://www.medicinpriser.dk/Default.aspx?id=15&amp;vnr=540548"/>
    <hyperlink ref="R76" r:id="rId71" display="https://www.aifa.gov.it/documents/20142/3815901/Classe_H_per_principio_attivo_30-04-2026.csv"/>
    <hyperlink ref="R77" r:id="rId72" display="https://www.aifa.gov.it/documents/20142/3815901/Classe_H_per_principio_attivo_30-04-2026.csv"/>
    <hyperlink ref="R78" r:id="rId73" display="https://www.aifa.gov.it/documents/20142/3815901/Classe_H_per_principio_attivo_30-04-2026.csv"/>
    <hyperlink ref="R79" r:id="rId74" display="https://www.aifa.gov.it/documents/20142/3815901/Classe_H_per_principio_attivo_30-04-2026.csv"/>
    <hyperlink ref="R80" r:id="rId75" display="https://www.aifa.gov.it/documents/20142/3815901/Classe_H_per_principio_attivo_30-04-2026.csv"/>
    <hyperlink ref="R81" r:id="rId76" display="https://www.aifa.gov.it/documents/20142/3815901/Classe_H_per_principio_attivo_30-04-2026.csv"/>
    <hyperlink ref="R82" r:id="rId77" display="https://www.aifa.gov.it/documents/20142/3815901/Classe_H_per_principio_attivo_30-04-2026.csv"/>
    <hyperlink ref="R83" r:id="rId78" display="https://www.aifa.gov.it/documents/20142/3815901/Classe_H_per_principio_attivo_30-04-2026.csv"/>
    <hyperlink ref="R84" r:id="rId79" display="https://www.medicinpriser.dk/Default.aspx?VirksomtStof=Remifentanil"/>
    <hyperlink ref="R85" r:id="rId80" display="https://www.aifa.gov.it/documents/20142/3815901/Classe_H_per_principio_attivo_30-04-2026.csv"/>
    <hyperlink ref="R86" r:id="rId81" display="https://www.aifa.gov.it/documents/20142/3815901/Classe_H_per_principio_attivo_30-04-2026.csv"/>
    <hyperlink ref="R87" r:id="rId82" display="https://www.ab.bluecross.ca/dbl/pdfs/ABCDPL_2026_03_03.pdf"/>
    <hyperlink ref="R88" r:id="rId83" display="https://www.ab.bluecross.ca/dbl/pdfs/ABCDPL_2026_01_07.pdf"/>
    <hyperlink ref="R89" r:id="rId84" display="https://www.ab.bluecross.ca/dbl/pdfs/ABCDPL_2024_12_05.pdf"/>
    <hyperlink ref="R90" r:id="rId85" display="https://www.ab.bluecross.ca/dbl/pdfs/ABCDPL_2024_12_05.pdf"/>
    <hyperlink ref="R91" r:id="rId86" display="https://www.ab.bluecross.ca/dbl/pdfs/ABCDPL_2026_04_07.pdf"/>
    <hyperlink ref="R92" r:id="rId87" display="https://www.formulary.health.gov.on.ca/formulary/detail.xhtml?drugId=02491524"/>
    <hyperlink ref="R93" r:id="rId88" display="https://www.formulary.health.gov.on.ca/formulary/detail.xhtml?drugId=02491532"/>
    <hyperlink ref="R94" r:id="rId89" display="https://www.ab.bluecross.ca/dbl/pdfs/ABCDPL_2026_09_04.pdf"/>
    <hyperlink ref="R95" r:id="rId90" display="https://www.formulary.health.gov.on.ca/formulary/detail.xhtml?drugId=02516160"/>
    <hyperlink ref="R96" r:id="rId91" display="https://www.ab.bluecross.ca/dbl/pdfs/ABCDPL_2024_12_05.pdf"/>
    <hyperlink ref="R97" r:id="rId92" display="https://www.ab.bluecross.ca/dbl/pdfs/ABCDPL_2024_12_05.pdf"/>
    <hyperlink ref="R98" r:id="rId93" display="https://www.ab.bluecross.ca/dbl/pdfs/ABCDPL_2026_03_03.pdf"/>
    <hyperlink ref="R99" r:id="rId94" display="https://www.ab.bluecross.ca/dbl/pdfs/ABCDPL_2026_01_07.pdf"/>
    <hyperlink ref="R100" r:id="rId95" display="https://www.ab.bluecross.ca/dbl/pdfs/ABCDPL_2026_04_07.pdf"/>
    <hyperlink ref="R101" r:id="rId96" display="https://www.ab.bluecross.ca/dbl/pdfs/ABCDPL_2026_09_04.pdf"/>
    <hyperlink ref="R102" r:id="rId97" display="https://www.ab.bluecross.ca/dbl/pdfs/ABCDPL_2026_09_04.pdf"/>
    <hyperlink ref="R103" r:id="rId98" display="https://www.ab.bluecross.ca/dbl/pdfs/ABCDPL_2026_09_04.pdf"/>
    <hyperlink ref="R104" r:id="rId99" display="https://www.ab.bluecross.ca/dbl/pdfs/ABCDPL_2026_09_04.pdf"/>
    <hyperlink ref="R105" r:id="rId100" display="https://www.ab.bluecross.ca/dbl/pdfs/ABCDPL_2026_09_04.pdf"/>
    <hyperlink ref="R106" r:id="rId101" display="https://www.ab.bluecross.ca/dbl/pdfs/ABCDPL_2026_09_04.pdf"/>
    <hyperlink ref="R107" r:id="rId102" display="https://dmd-browser.nhsbsa.nhs.uk/ampp/view/171701"/>
    <hyperlink ref="R108" r:id="rId103" display="https://www.aifa.gov.it/documents/20142/3815901/Classe_H_per_principio_attivo_30-04-2026.csv"/>
    <hyperlink ref="R110" r:id="rId104" display="https://www.pbs.gov.au/industry/pricing/ex-manufacturer-price/2026/09/ex-manufacturer-prices-non-efc-2026-09-01.XLSX"/>
    <hyperlink ref="R111" r:id="rId105" display="https://www.pbs.gov.au/industry/pricing/ex-manufacturer-price/2026/09/ex-manufacturer-prices-non-efc-2026-09-01.XLSX"/>
    <hyperlink ref="R112" r:id="rId106" display="https://www.pbs.gov.au/industry/pricing/ex-manufacturer-price/2026/09/ex-manufacturer-prices-efc-2026-09-01.XLSX"/>
    <hyperlink ref="R113" r:id="rId107" display="https://www.pbs.gov.au/industry/pricing/price-disclosure-spd/current-price-disclosure-cycle"/>
    <hyperlink ref="R114" r:id="rId108" display="https://www.health.gov.za/nhi-pee/"/>
    <hyperlink ref="R115" r:id="rId109" display="https://www.health.gov.za/nhi-pee/"/>
    <hyperlink ref="R116" r:id="rId110" display="https://www.health.gov.za/nhi-pee/"/>
    <hyperlink ref="R117" r:id="rId111" display="https://www.health.gov.za/nhi-pee/"/>
    <hyperlink ref="R118" r:id="rId112" display="https://www.health.gov.za/nhi-pee/"/>
    <hyperlink ref="R119" r:id="rId113" display="https://www.health.gov.za/nhi-pee/"/>
    <hyperlink ref="R120" r:id="rId114" display="https://www.health.gov.za/nhi-pee/"/>
    <hyperlink ref="R121" r:id="rId115" display="https://www.health.gov.za/nhi-pee/"/>
    <hyperlink ref="R122" r:id="rId116" display="https://www.cms.gov/files/zip/october-2026-medicare-part-b-payment-limit-files-final.zip"/>
    <hyperlink ref="R123" r:id="rId117" display="https://www.cms.gov/files/zip/october-2026-medicare-part-b-payment-limit-files-final.zip"/>
    <hyperlink ref="R124" r:id="rId118" display="https://www.cms.gov/files/zip/october-2026-medicare-part-b-payment-limit-files-final.zip"/>
    <hyperlink ref="R125" r:id="rId119" display="https://www.drugs.com/price-guide/testosterone"/>
    <hyperlink ref="R126" r:id="rId120" display="https://www.drugs.com/price-guide/testosterone"/>
    <hyperlink ref="R127" r:id="rId121" display="https://www.drugs.com/price-guide/somatuline-depot"/>
    <hyperlink ref="R128" r:id="rId122" display="https://www.drugs.com/price-guide/somatuline-depot"/>
    <hyperlink ref="R129" r:id="rId123" display="https://www.drugs.com/price-guide/lanreotide"/>
    <hyperlink ref="R130" r:id="rId124" display="https://dmd-browser.nhsbsa.nhs.uk/ampp/view/193506"/>
    <hyperlink ref="R131" r:id="rId125" display="https://www.aifa.gov.it/documents/20142/3815901/Classe_H_per_principio_attivo_30-04-2026.csv"/>
    <hyperlink ref="R132" r:id="rId126" display="https://www.aifa.gov.it/documents/20142/3815901/Classe_H_per_principio_attivo_30-04-2026.csv"/>
    <hyperlink ref="R133" r:id="rId127" display="https://www.aponeo.de/rx/18660518-sugammadex-amarox-100-mg-ml-injektionsloesung.html"/>
    <hyperlink ref="R138" r:id="rId128" display="https://www.pbs.gov.au/industry/pricing/ex-manufacturer-price/2026/10/ex-manufacturer-prices-efc-2026-10-01.XLSX"/>
    <hyperlink ref="R139" r:id="rId129" display="https://www.cms.gov/files/zip/october-2026-medicare-part-b-payment-limit-files-final.zip"/>
    <hyperlink ref="R140" r:id="rId130" display="https://department.va.gov/procurement-acquisition-and-logistics/wp-content/uploads/sites/56/2026/10/TPharmPrices2026-10-01.xlsx"/>
    <hyperlink ref="R141" r:id="rId131" display="https://department.va.gov/procurement-acquisition-and-logistics/wp-content/uploads/sites/56/2026/10/TPharmPrices2026-10-01.xlsx"/>
    <hyperlink ref="R142" r:id="rId132" display="https://department.va.gov/procurement-acquisition-and-logistics/wp-content/uploads/sites/56/2026/10/TPharmPrices2026-10-01.xlsx"/>
    <hyperlink ref="R143" r:id="rId133" display="https://www.pbs.gov.au/medicine/item/14160G"/>
    <hyperlink ref="R144" r:id="rId134" display="https://www.cms.gov/files/zip/october-2026-medicare-part-b-payment-limit-files-final.zip"/>
    <hyperlink ref="R145" r:id="rId135" display="https://www.pbs.gov.au/industry/pricing/ex-manufacturer-price/2026/09/ex-manufacturer-prices-non-efc-2026-09-01.XLSX"/>
    <hyperlink ref="R146" r:id="rId136" display="https://www.pbs.gov.au/industry/pricing/ex-manufacturer-price/2026/09/ex-manufacturer-prices-non-efc-2026-09-01.XLSX"/>
    <hyperlink ref="R147" r:id="rId137" display="https://www.pbs.gov.au/industry/pricing/ex-manufacturer-price/2026/09/ex-manufacturer-prices-efc-2026-09-01.XLSX"/>
    <hyperlink ref="R148" r:id="rId138" location="search:streptase" display="https://medicineprices.org.za/#search:streptase"/>
    <hyperlink ref="R149" r:id="rId139" location="search:streptase" display="https://medicineprices.org.za/#search:streptase"/>
    <hyperlink ref="R150" r:id="rId140" location="search:cefect" display="https://medicineprices.org.za/#search:cefect"/>
    <hyperlink ref="R151" r:id="rId141" location="search:cefect" display="https://medicineprices.org.za/#search:cefect"/>
    <hyperlink ref="R152" r:id="rId142" display="https://www.health.gov.za/nhi-pee/"/>
    <hyperlink ref="R153" r:id="rId143" location="search:senuom" display="https://medicineprices.org.za/#search:senuom"/>
    <hyperlink ref="R154" r:id="rId144" display="https://www.health.gov.za/nhi-pee/"/>
    <hyperlink ref="R155" r:id="rId145" display="https://www.health.gov.za/nhi-pee/"/>
    <hyperlink ref="R156" r:id="rId146" display="https://www.health.gov.za/nhi-pee/"/>
    <hyperlink ref="R157" r:id="rId147" display="https://www.health.gov.za/nhi-pee/"/>
    <hyperlink ref="R158" r:id="rId148" display="https://www.health.gov.za/nhi-pee/"/>
    <hyperlink ref="R159" r:id="rId149" display="https://www.health.gov.za/nhi-pee/"/>
    <hyperlink ref="R160" r:id="rId150" display="https://www.health.gov.za/nhi-pee/"/>
    <hyperlink ref="R161" r:id="rId151" display="https://www.health.gov.za/nhi-pee/"/>
    <hyperlink ref="R162" r:id="rId152" display="https://www.health.gov.za/nhi-pee/"/>
    <hyperlink ref="R163" r:id="rId153" display="https://www.health.gov.za/nhi-pee/"/>
    <hyperlink ref="R164" r:id="rId154" display="https://department.va.gov/procurement-acquisition-and-logistics/wp-content/uploads/sites/56/2026/10/TPharmPrices2026-10-01.xlsx"/>
    <hyperlink ref="R165" r:id="rId155" display="https://www.drugs.com/price-guide/desmopressin"/>
    <hyperlink ref="R166" r:id="rId156" display="https://www.cms.gov/files/zip/october-2026-medicare-part-b-payment-limit-files-final.zip"/>
    <hyperlink ref="R167" r:id="rId157" display="https://department.va.gov/procurement-acquisition-and-logistics/wp-content/uploads/sites/56/2026/10/TPharmPrices2026-10-01.xlsx"/>
    <hyperlink ref="R169" r:id="rId158" display="https://www.drugs.com/price-guide/phytonadione"/>
    <hyperlink ref="R171" r:id="rId159" display="https://www.drugs.com/price-guide/thiotepa"/>
    <hyperlink ref="R172" r:id="rId160" display="https://www.cms.gov/files/zip/october-2026-medicare-part-b-payment-limit-files-final.zip"/>
    <hyperlink ref="R173" r:id="rId161" display="https://www.cms.gov/files/zip/october-2026-medicare-part-b-payment-limit-files-final.zip"/>
    <hyperlink ref="R174" r:id="rId162" display="https://www.drugs.com/price-guide/bivalirudin"/>
    <hyperlink ref="R175" r:id="rId163" display="https://www.drugs.com/price-guide/palonosetron"/>
    <hyperlink ref="R176" r:id="rId164" display="https://www.drugs.com/price-guide/bortezomib"/>
    <hyperlink ref="R177" r:id="rId165" display="https://www.drugs.com/price-guide/fulvestrant"/>
    <hyperlink ref="R178" r:id="rId166" display="https://www.drugs.com/price-guide/cyclophosphamide"/>
    <hyperlink ref="R179" r:id="rId167" display="https://www.drugs.com/price-guide/cyclophosphamide"/>
    <hyperlink ref="R180" r:id="rId168" display="https://www.drugs.com/price-guide/cyclophosphamide"/>
    <hyperlink ref="R181" r:id="rId169" display="https://www.drugs.com/price-guide/ephedrine"/>
    <hyperlink ref="R182" r:id="rId170" display="https://www.drugs.com/price-guide/eribulin"/>
    <hyperlink ref="R183" r:id="rId171" display="https://www.drugs.com/price-guide/neostigmine"/>
    <hyperlink ref="R184" r:id="rId172" display="https://www.drugs.com/price-guide/neostigmine"/>
    <hyperlink ref="R185" r:id="rId173" display="https://www.drugs.com/price-guide/neostigmine"/>
    <hyperlink ref="R186" r:id="rId174" display="https://www.cms.gov/files/zip/october-2026-medicare-part-b-payment-limit-files-final.zip"/>
    <hyperlink ref="R187" r:id="rId175" display="https://www.drugs.com/price-guide/sugammadex"/>
    <hyperlink ref="R188" r:id="rId176" display="https://www.drugs.com/price-guide/sugammadex"/>
    <hyperlink ref="R189" r:id="rId177" display="https://www.drugs.com/price-guide/plerixafor"/>
    <hyperlink ref="R190" r:id="rId178" display="https://dmd-browser.nhsbsa.nhs.uk/ampp/view/175945"/>
    <hyperlink ref="R191" r:id="rId179" display="https://dmd-browser.nhsbsa.nhs.uk/ampp/view/169812"/>
    <hyperlink ref="R192" r:id="rId180" display="https://dmd-browser.nhsbsa.nhs.uk/ampp/view/183157"/>
    <hyperlink ref="R193" r:id="rId181" display="https://dmd-browser.nhsbsa.nhs.uk/ampp/view/195075"/>
    <hyperlink ref="R194" r:id="rId182" display="https://dmd-browser.nhsbsa.nhs.uk/ampp/view/211180"/>
    <hyperlink ref="R195" r:id="rId183" display="https://dmd-browser.nhsbsa.nhs.uk/ampp/view/185061"/>
    <hyperlink ref="R196" r:id="rId184" display="https://www.aifa.gov.it/documents/20142/3815901/Classe_H_per_principio_attivo_30-04-2026.csv"/>
    <hyperlink ref="R197" r:id="rId185" display="https://www.aifa.gov.it/documents/20142/3815901/Classe_H_per_principio_attivo_30-04-2026.csv"/>
    <hyperlink ref="R198" r:id="rId186" display="https://www.boe.es/boe/dias/2025/10/13/pdfs/BOE-A-2025-20356.pdf"/>
    <hyperlink ref="R200" r:id="rId187" display="https://www.aifa.gov.it/documents/20142/3815901/Classe_H_per_principio_attivo_30-04-2026.csv"/>
    <hyperlink ref="R201" r:id="rId188" display="https://www.aifa.gov.it/documents/20142/3815901/Classe_H_per_principio_attivo_30-04-2026.csv"/>
    <hyperlink ref="R202" r:id="rId189" display="https://www.docmorris.de/ibandronsaeure-beta-3-mg-injektionslsgfertigspr/08881520"/>
    <hyperlink ref="R203" r:id="rId190" display="https://www.aifa.gov.it/documents/20142/3815901/Classe_H_per_principio_attivo_30-04-2026.csv"/>
    <hyperlink ref="R204" r:id="rId191" display="https://www.aifa.gov.it/documents/20142/3815901/Classe_H_per_principio_attivo_30-04-2026.csv"/>
    <hyperlink ref="R205" r:id="rId192" display="https://www.aifa.gov.it/documents/20142/3815901/Classe_H_per_principio_attivo_30-04-2026.csv"/>
    <hyperlink ref="R206" r:id="rId193" display="https://www.ab.bluecross.ca/dbl/pdfs/ABCDPL_2026_01_07.pdf"/>
    <hyperlink ref="R207" r:id="rId194" display="https://www.ab.bluecross.ca/dbl/pdfs/ABCDPL_2026_01_07.pdf"/>
    <hyperlink ref="R208" r:id="rId195" display="https://www.formulary.health.gov.on.ca/formulary/detail.xhtml?drugId=02490463"/>
    <hyperlink ref="R209" r:id="rId196" display="https://www.ab.bluecross.ca/dbl/pdfs/ABCDPL_2026_09_04.pdf"/>
    <hyperlink ref="R210" r:id="rId197" display="https://www.ab.bluecross.ca/dbl/pdfs/ABCDPL_2026_09_04.pdf"/>
    <hyperlink ref="R211" r:id="rId198" display="https://www.ab.bluecross.ca/dbl/pdfs/ABCDPL_2026_09_04.pdf"/>
    <hyperlink ref="R212" r:id="rId199" display="https://www.pbs.gov.au/industry/pricing/ex-manufacturer-price/2026/09/ex-manufacturer-prices-non-efc-2026-09-01.XLSX"/>
    <hyperlink ref="R213" r:id="rId200" display="https://www.pbs.gov.au/industry/pricing/ex-manufacturer-price/2026/09/ex-manufacturer-prices-non-efc-2026-09-01.XLSX"/>
    <hyperlink ref="R214" r:id="rId201" display="https://www.pbs.gov.au/publication/schedule/2026/10/2026-10-01-PBS-API-CSV-files.zip?variant=3"/>
    <hyperlink ref="R215" r:id="rId202" display="https://www.pbs.gov.au/industry/pricing/ex-manufacturer-price/2026/09/ex-manufacturer-prices-efc-2026-09-01.XLSX"/>
    <hyperlink ref="R216" r:id="rId203" display="https://department.va.gov/procurement-acquisition-and-logistics/wp-content/uploads/sites/56/2026/10/TPharmPrices2026-10-01.xlsx"/>
    <hyperlink ref="R221" r:id="rId204" display="https://www.pbs.gov.au/industry/pricing/ex-manufacturer-price/2026/09/ex-manufacturer-prices-non-efc-2026-09-01.XLSX"/>
    <hyperlink ref="R222" r:id="rId205" display="https://www.pbs.gov.au/industry/pricing/ex-manufacturer-price/2026/09/ex-manufacturer-prices-non-efc-2026-09-01.XLSX"/>
    <hyperlink ref="R223" r:id="rId206" display="https://www.health.gov.za/nhi-pee/"/>
    <hyperlink ref="R224" r:id="rId207" location="search:neuvysi" display="https://medicineprices.org.za/#search:neuvysi"/>
    <hyperlink ref="R225" r:id="rId208" location="search:eranfu" display="https://medicineprices.org.za/#search:eranfu"/>
    <hyperlink ref="R226" r:id="rId209" location="search:bertred" display="https://medicineprices.org.za/#search:bertred"/>
    <hyperlink ref="R227" r:id="rId210" display="https://www.health.gov.za/nhi-pee/"/>
    <hyperlink ref="R228" r:id="rId211" display="https://dmd-browser.nhsbsa.nhs.uk/ampp/view/190490"/>
    <hyperlink ref="R229" r:id="rId212" display="https://dmd-browser.nhsbsa.nhs.uk/ampp/view/195295"/>
    <hyperlink ref="R230" r:id="rId213" display="https://dmd-browser.nhsbsa.nhs.uk/ampp/view/194983"/>
    <hyperlink ref="R231" r:id="rId214" display="https://dmd-browser.nhsbsa.nhs.uk/ampp/view/198696"/>
    <hyperlink ref="R232" r:id="rId215" display="https://dmd-browser.nhsbsa.nhs.uk/ampp/view/197400"/>
    <hyperlink ref="R233" r:id="rId216" display="https://dmd-browser.nhsbsa.nhs.uk/ampp/view/194984"/>
    <hyperlink ref="R234" r:id="rId217" display="https://dmd-browser.nhsbsa.nhs.uk/ampp/view/190885"/>
    <hyperlink ref="R235" r:id="rId218" display="https://dmd-browser.nhsbsa.nhs.uk/ampp/view/169622"/>
    <hyperlink ref="R236" r:id="rId219" display="https://dmd-browser.nhsbsa.nhs.uk/ampp/view/184215"/>
    <hyperlink ref="R237" r:id="rId220" display="https://dmd-browser.nhsbsa.nhs.uk/ampp/view/210747"/>
    <hyperlink ref="R238" r:id="rId221" display="https://www.medicijnkosten.nl/medicijn?artikel=DIAMOX+INJECTIEPOEDER+FLACON+500MG&amp;id=eccf17da767207477dcc6b1f5efd1f4a"/>
    <hyperlink ref="R239" r:id="rId222" display="https://www.aifa.gov.it/documents/20142/3815901/Classe_A_per_principio_attivo_30-04-2026.csv"/>
    <hyperlink ref="R240" r:id="rId223" display="https://mediately.co/it/drugs/EW7GuNfn2hkEMxRggSwwiF1PMll/ampicillina-tillomed-1-g-polvere-per-soluzione-iniettabile-per-infusione"/>
    <hyperlink ref="R241" r:id="rId224" display="https://www.aifa.gov.it/documents/20142/3815901/Classe_H_per_principio_attivo_30-04-2026.csv"/>
    <hyperlink ref="R242" r:id="rId225" display="https://www.aifa.gov.it/documents/20142/3815901/Classe_H_per_principio_attivo_30-04-2026.csv"/>
    <hyperlink ref="R243" r:id="rId226" display="https://www.aifa.gov.it/documents/20142/3815901/Classe_H_per_principio_attivo_30-04-2026.csv"/>
    <hyperlink ref="R244" r:id="rId227" display="https://www.medicinpriser.dk/Default.aspx?VirksomtStof=Eribulin"/>
    <hyperlink ref="R245" r:id="rId228" display="https://www.aifa.gov.it/documents/20142/3815901/Classe_H_per_principio_attivo_30-04-2026.csv"/>
    <hyperlink ref="R246" r:id="rId229" display="https://www.aifa.gov.it/documents/20142/3815901/Classe_H_per_principio_attivo_30-04-2026.csv"/>
    <hyperlink ref="R247" r:id="rId230" display="https://www.aifa.gov.it/documents/20142/3815901/Classe_H_per_principio_attivo_30-04-2026.csv"/>
    <hyperlink ref="R248" r:id="rId231" display="https://mediately.co/de/drugs/2JLSD2rNCbtip2an1uWLKQBCmLc/milrinon-carinopharm-1-mg-ml-injektions-infusionslosung"/>
    <hyperlink ref="R249" r:id="rId232" display="https://www.aifa.gov.it/documents/20142/3815901/Classe_H_per_principio_attivo_30-04-2026.csv"/>
    <hyperlink ref="R250" r:id="rId233" display="https://base-donnees-publique.medicaments.gouv.fr/medicament/61094142/extrait"/>
    <hyperlink ref="R251" r:id="rId234" display="https://www.aifa.gov.it/documents/20142/3815901/Classe_H_per_principio_attivo_30-04-2026.csv"/>
    <hyperlink ref="R252" r:id="rId235" display="https://www.aifa.gov.it/documents/20142/3815901/Classe_H_per_principio_attivo_30-04-2026.csv"/>
    <hyperlink ref="R253" r:id="rId236" display="https://www.ab.bluecross.ca/dbl/pdfs/ABCDPL_2026_09_04.pdf"/>
    <hyperlink ref="R254" r:id="rId237" display="https://www.ab.bluecross.ca/dbl/pdfs/ABCDPL_2026_09_04.pdf"/>
    <hyperlink ref="R255" r:id="rId238" display="https://www.ab.bluecross.ca/dbl/pdfs/ABCDPL_2026_09_04.pdf"/>
    <hyperlink ref="R256" r:id="rId239" display="https://www.ab.bluecross.ca/dbl/pdfs/ABCDPL_2026_04_07.pdf"/>
    <hyperlink ref="R257" r:id="rId240" display="https://www.ab.bluecross.ca/dbl/pdfs/ABCDPL_2026_09_04.pdf"/>
    <hyperlink ref="R260" r:id="rId241" display="https://www.ab.bluecross.ca/dbl/pdfs/ABCDPL_2026_09_04.pdf"/>
    <hyperlink ref="R261" r:id="rId242" display="https://www.ab.bluecross.ca/dbl/pdfs/ABCDPL_2026_09_04.pdf"/>
    <hyperlink ref="R262" r:id="rId243" display="https://www.ab.bluecross.ca/dbl/pdfs/ABCDPL_2026_09_04.pdf"/>
    <hyperlink ref="R263" r:id="rId244" display="https://www.ab.bluecross.ca/dbl/pdfs/ABCDPL_2026_09_04.pdf"/>
    <hyperlink ref="R264" r:id="rId245" display="https://www.ab.bluecross.ca/dbl/pdfs/ABCDPL_2026_09_04.pdf"/>
    <hyperlink ref="R268" r:id="rId246" display="https://www.drugs.com/price-guide/fulvestrant"/>
    <hyperlink ref="R269" r:id="rId247" display="https://www.drugs.com/price-guide/eribulin"/>
    <hyperlink ref="R270" r:id="rId248" display="https://www.nhsbsa.nhs.uk/sites/default/files/2026-08/Part%20VIIIA%20Sep%2026.xls.xlsx"/>
    <hyperlink ref="R271" r:id="rId249" display="https://dmd-browser.nhsbsa.nhs.uk/ampp/view/195045"/>
    <hyperlink ref="R272" r:id="rId250" display="https://dmd-browser.nhsbsa.nhs.uk/ampp/view/204041"/>
    <hyperlink ref="R273" r:id="rId251" display="https://www.aifa.gov.it/documents/20142/3815901/Classe_H_per_principio_attivo_30-04-2026.csv"/>
    <hyperlink ref="R274" r:id="rId252" display="https://www.boe.es/boe/dias/2025/10/13/pdfs/BOE-A-2025-20356.pdf"/>
    <hyperlink ref="R275" r:id="rId253" display="https://www.aifa.gov.it/documents/20142/3815901/Classe_H_per_principio_attivo_30-04-2026.csv"/>
    <hyperlink ref="R276" r:id="rId254" display="https://www.aifa.gov.it/documents/20142/3815901/Classe_H_per_principio_attivo_30-04-2026.csv"/>
    <hyperlink ref="R277" r:id="rId255" display="https://www.aifa.gov.it/documents/20142/3815901/Classe_H_per_principio_attivo_30-04-2026.csv"/>
    <hyperlink ref="R278" r:id="rId256" display="https://www.aifa.gov.it/documents/20142/3815901/Classe_H_per_principio_attivo_30-04-2026.csv"/>
    <hyperlink ref="R279" r:id="rId257" display="https://www.pbs.gov.au/industry/pricing/ex-manufacturer-price/2026/09/ex-manufacturer-prices-efc-2026-09-01.XLSX"/>
    <hyperlink ref="R280" r:id="rId258" display="https://www.pbs.gov.au/industry/pricing/ex-manufacturer-price/2026/09/ex-manufacturer-prices-efc-2026-09-01.XLSX"/>
    <hyperlink ref="R281" r:id="rId259" display="https://www.drugs.com/price-guide/chlorpromazine"/>
    <hyperlink ref="R282" r:id="rId260" display="https://www.cms.gov/files/zip/october-2026-medicare-part-b-payment-limit-files-final.zip"/>
    <hyperlink ref="R283" r:id="rId261" display="https://department.va.gov/procurement-acquisition-and-logistics/wp-content/uploads/sites/56/2026/10/TPharmPrices2026-10-01.xlsx"/>
    <hyperlink ref="R284" r:id="rId262" display="https://department.va.gov/procurement-acquisition-and-logistics/wp-content/uploads/sites/56/2026/10/TPharmPrices2026-10-01.xlsx"/>
    <hyperlink ref="R285" r:id="rId263" display="https://www.drugs.com/price-guide/methotrexate"/>
    <hyperlink ref="R286" r:id="rId264" display="https://www.cms.gov/files/zip/october-2026-medicare-part-b-payment-limit-files-final.zip"/>
    <hyperlink ref="R287" r:id="rId265" display="https://department.va.gov/procurement-acquisition-and-logistics/wp-content/uploads/sites/56/2026/10/TPharmPrices2026-10-01.xlsx"/>
    <hyperlink ref="R288" r:id="rId266" display="https://department.va.gov/procurement-acquisition-and-logistics/wp-content/uploads/sites/56/2026/10/TPharmPrices2026-10-01.xlsx"/>
    <hyperlink ref="R289" r:id="rId267" display="https://www.drugs.com/price-guide/bortezomib"/>
    <hyperlink ref="R290" r:id="rId268" display="https://www.drugs.com/price-guide/magnesium-sulfate"/>
    <hyperlink ref="R291" r:id="rId269" display="https://www.drugs.com/price-guide/sodium-bicarbonate"/>
    <hyperlink ref="R292" r:id="rId270" display="https://www.drugs.com/price-guide/sugammadex"/>
    <hyperlink ref="R293" r:id="rId271" display="https://www.drugs.com/price-guide/sugammadex"/>
    <hyperlink ref="R294" r:id="rId272" display="https://www.drugs.com/price-guide/plerixafor"/>
    <hyperlink ref="R295" r:id="rId273" display="https://dmd-browser.nhsbsa.nhs.uk/ampp/view/195045"/>
    <hyperlink ref="R296" r:id="rId274" display="https://dmd-browser.nhsbsa.nhs.uk/ampp/view/185061"/>
    <hyperlink ref="R297" r:id="rId275" display="https://dmd-browser.nhsbsa.nhs.uk/ampp/view/210375"/>
    <hyperlink ref="R298" r:id="rId276" display="https://dmd-browser.nhsbsa.nhs.uk/ampp/view/190293"/>
    <hyperlink ref="R299" r:id="rId277" display="https://dmd-browser.nhsbsa.nhs.uk/ampp/view/148217"/>
    <hyperlink ref="R300" r:id="rId278" display="https://dmd-browser.nhsbsa.nhs.uk/ampp/view/174545"/>
    <hyperlink ref="R301" r:id="rId279" display="https://www.nhsbsa.nhs.uk/sites/default/files/2026-08/Part%20VIIIA%20Sep%2026.xls.xlsx"/>
    <hyperlink ref="R302" r:id="rId280" display="https://dmd-browser.nhsbsa.nhs.uk/ampp/view/194984"/>
    <hyperlink ref="R303" r:id="rId281" display="https://dmd-browser.nhsbsa.nhs.uk/ampp/view/101360"/>
    <hyperlink ref="R305" r:id="rId282" display="https://www.aifa.gov.it/documents/20142/3815901/Classe_H_per_principio_attivo_30-04-2026.csv"/>
    <hyperlink ref="R306" r:id="rId283" display="https://www.medicijnkosten.nl/medicijn?artikel=BRIVIACT+INF%2FINJVLST+10MG%2FML+FLACON+5ML&amp;id=8aa63cad90cad7246d95c19b8f6d410d"/>
    <hyperlink ref="R307" r:id="rId284" display="https://www.aifa.gov.it/documents/20142/3815901/Classe_H_per_principio_attivo_30-04-2026.csv"/>
    <hyperlink ref="R308" r:id="rId285" display="https://www.medicijnkosten.nl/medicijn?artikel=MELFALAN+AMAROX+INJ%2FINFUSIEPOEDER+FL50MG%2BSV+10ML&amp;id=35352a89252a9fdd69fd915f3d070528"/>
    <hyperlink ref="R309" r:id="rId286" display="https://www.aifa.gov.it/documents/20142/3815901/Classe_H_per_principio_attivo_30-04-2026.csv"/>
    <hyperlink ref="R310" r:id="rId287" display="https://www.aifa.gov.it/documents/20142/3815901/Classe_H_per_principio_attivo_30-04-2026.csv"/>
    <hyperlink ref="R311" r:id="rId288" display="https://www.aifa.gov.it/documents/20142/3815901/Classe_H_per_principio_attivo_30-04-2026.csv"/>
    <hyperlink ref="R312" r:id="rId289" display="https://www.aifa.gov.it/documents/20142/3815901/Classe_H_per_principio_attivo_30-04-2026.csv"/>
    <hyperlink ref="R313" r:id="rId290" display="https://www.aponeo.de/rx/18660518-sugammadex-amarox-100-mg-ml-injektionsloesung.html"/>
    <hyperlink ref="R314" r:id="rId291" display="https://www.aifa.gov.it/documents/20142/3815901/Classe_H_per_principio_attivo_30-04-2026.csv"/>
    <hyperlink ref="R317" r:id="rId292" location="search:bortiv" display="https://medicineprices.org.za/#search:bortiv"/>
    <hyperlink ref="R318" r:id="rId293" location="search:bortiv" display="https://medicineprices.org.za/#search:bortiv"/>
    <hyperlink ref="R319" r:id="rId294" location="search:bortiv" display="https://medicineprices.org.za/#search:bortiv"/>
    <hyperlink ref="R320" r:id="rId295" display="https://www.health.gov.za/nhi-pee/"/>
    <hyperlink ref="R321" r:id="rId296" location="search:sugmasol" display="https://medicineprices.org.za/#search:sugmasol"/>
    <hyperlink ref="R322" r:id="rId297" location="search:heterix" display="https://medicineprices.org.za/#search:heterix"/>
    <hyperlink ref="R323" r:id="rId298" display="https://www.health.gov.za/nhi-pee/"/>
    <hyperlink ref="R326" r:id="rId299" display="https://www.drugs.com/price-guide/ondansetron"/>
    <hyperlink ref="R327" r:id="rId300" display="https://www.cms.gov/files/zip/october-2026-medicare-part-b-payment-limit-files-final.zip"/>
    <hyperlink ref="R328" r:id="rId301" display="https://www.drugs.com/price-guide/bivalirudin"/>
    <hyperlink ref="R329" r:id="rId302" display="https://www.drugs.com/price-guide/ibandronate"/>
    <hyperlink ref="R330" r:id="rId303" display="https://www.drugs.com/price-guide/fulvestrant"/>
    <hyperlink ref="R331" r:id="rId304" display="https://www.drugs.com/price-guide/argatroban"/>
    <hyperlink ref="R332" r:id="rId305" display="https://www.drugs.com/price-guide/atropine"/>
    <hyperlink ref="R333" r:id="rId306" display="https://www.drugs.com/price-guide/atropine"/>
    <hyperlink ref="R334" r:id="rId307" display="https://www.drugs.com/price-guide/atropine"/>
    <hyperlink ref="R335" r:id="rId308" display="https://www.drugs.com/price-guide/atropine"/>
    <hyperlink ref="R336" r:id="rId309" display="https://www.drugs.com/price-guide/atropine"/>
    <hyperlink ref="R337" r:id="rId310" display="https://www.drugs.com/price-guide/paricalcitol"/>
    <hyperlink ref="R338" r:id="rId311" display="https://www.drugs.com/price-guide/paricalcitol"/>
    <hyperlink ref="R339" r:id="rId312" display="https://www.cms.gov/files/zip/october-2026-medicare-part-b-payment-limit-files-final.zip"/>
    <hyperlink ref="R340" r:id="rId313" display="https://dmd-browser.nhsbsa.nhs.uk/ampp/view/163290"/>
    <hyperlink ref="R341" r:id="rId314" display="https://dmd-browser.nhsbsa.nhs.uk/ampp/view/173756"/>
    <hyperlink ref="R342" r:id="rId315" display="https://www.nhsbsa.nhs.uk/sites/default/files/2026-08/Part%20VIIIA%20Sep%2026.xls.xlsx"/>
    <hyperlink ref="R344" r:id="rId316" display="https://dmd-browser.nhsbsa.nhs.uk/ampp/view/195045"/>
    <hyperlink ref="R347" r:id="rId317" display="https://dmd-browser.nhsbsa.nhs.uk/amp/view/140839?ref=bmFtZT1sZXZvdGh5cm94aW5lK3NvZGl1bSZzaG93SW52YWxpZEl0ZW1zPWZhbHNlJnNvcnRPcmRlcj1hbHBoYSZwYWdlPTExOCZzaXplPTEwMA%3D%3D"/>
    <hyperlink ref="R348" r:id="rId318" display="https://dmd-browser.nhsbsa.nhs.uk/ampp/view/161756"/>
    <hyperlink ref="R350" r:id="rId319" display="https://dmd-browser.nhsbsa.nhs.uk/ampp/view/185061"/>
    <hyperlink ref="R351" r:id="rId320" display="https://dmd-browser.nhsbsa.nhs.uk/ampp/view/198886"/>
    <hyperlink ref="R352" r:id="rId321" display="https://dmd-browser.nhsbsa.nhs.uk/ampp/view/208291"/>
    <hyperlink ref="R354" r:id="rId322" display="https://dmd-browser.nhsbsa.nhs.uk/ampp/view/194984"/>
    <hyperlink ref="R355" r:id="rId323" display="https://dmd-browser.nhsbsa.nhs.uk/ampp/view/197033"/>
    <hyperlink ref="R356" r:id="rId324" display="https://dmd-browser.nhsbsa.nhs.uk/ampp/view/47446"/>
    <hyperlink ref="R357" r:id="rId325" display="https://dmd-browser.nhsbsa.nhs.uk/ampp/view/180360"/>
    <hyperlink ref="R358" r:id="rId326" display="https://dmd-browser.nhsbsa.nhs.uk/ampp/view/133567"/>
    <hyperlink ref="R360" r:id="rId327" display="https://dmd-browser.nhsbsa.nhs.uk/ampp/view/90576"/>
    <hyperlink ref="R361" r:id="rId328" display="https://dmd-browser.nhsbsa.nhs.uk/ampp/view/105990"/>
    <hyperlink ref="R362" r:id="rId329" display="https://dmd-browser.nhsbsa.nhs.uk/ampp/view/189948"/>
    <hyperlink ref="R363" r:id="rId330" display="https://dmd-browser.nhsbsa.nhs.uk/ampp/view/90547"/>
    <hyperlink ref="R364" r:id="rId331" display="https://dmd-browser.nhsbsa.nhs.uk/ampp/view/183004\"/>
    <hyperlink ref="R365" r:id="rId332" display="https://dmd-browser.nhsbsa.nhs.uk/ampp/view/209804"/>
    <hyperlink ref="R366" r:id="rId333" display="https://www.nhsbsa.nhs.uk/sites/default/files/2026-08/Part%20VIIIA%20Sep%2026.xls.xlsx"/>
    <hyperlink ref="R367" r:id="rId334" display="https://dmd-browser.nhsbsa.nhs.uk/ampp/view/161747"/>
    <hyperlink ref="R368" r:id="rId335" display="https://dmd-browser.nhsbsa.nhs.uk/ampp/view/197277"/>
    <hyperlink ref="R369" r:id="rId336" display="https://dmd-browser.nhsbsa.nhs.uk/ampp/view/190887"/>
    <hyperlink ref="R371" r:id="rId337" display="https://www.my-marien-apotheke.de/produkt/adrenalin-1-10-000-aguettant-inj-lsg-i-e-fert-s-11587497"/>
    <hyperlink ref="R373" r:id="rId338" display="https://www.nhsbsa.nhs.uk/sites/default/files/2026-09/Part%20VIIIA%20Oct%202026.xlsx"/>
    <hyperlink ref="R374" r:id="rId339" display="https://www.aponeo.de/rx/04262642-atracurium-hikma-25-mg-2-5-ml-ampullen.html"/>
    <hyperlink ref="R375" r:id="rId340" display="https://www.aponeo.de/rx/17518273-atropin-accord-100-ug-ml-inj-lsg-i-e-fertigspr.html"/>
    <hyperlink ref="R376" r:id="rId341" display="https://www.aponeo.de/rx/17518273-atropin-accord-100-ug-ml-inj-lsg-i-e-fertigspr.html"/>
    <hyperlink ref="R377" r:id="rId342" display="https://www.aifa.gov.it/documents/20142/3815901/Classe_H_per_principio_attivo_30-04-2026.csv"/>
    <hyperlink ref="R378" r:id="rId343" display="https://www.aifa.gov.it/documents/20142/3815901/Classe_H_per_principio_attivo_30-04-2026.csv"/>
    <hyperlink ref="R379" r:id="rId344" display="https://www.kuchler-apotheken.de/bleomycin-accord-15.000-i.e.-p.z.h.e.inj.-inf.-l./15883146"/>
    <hyperlink ref="R380" r:id="rId345" display="https://www.aifa.gov.it/documents/20142/3815901/Classe_H_per_principio_attivo_30-04-2026.csv"/>
    <hyperlink ref="R381" r:id="rId346" display="https://www.aponeo.de/rx/17518209-camcevi-21-mg-3-monats-depot-inj-susp-fertigspr.html"/>
    <hyperlink ref="R382" r:id="rId347" display="https://www.aifa.gov.it/documents/20142/3815901/Classe_H_per_principio_attivo_30-04-2026.csv"/>
    <hyperlink ref="R383" r:id="rId348" display="https://www.aifa.gov.it/documents/20142/3815901/Classe_H_per_principio_attivo_30-04-2026.csv"/>
    <hyperlink ref="R384" r:id="rId349" display="https://www.aifa.gov.it/documents/20142/3815901/Classe_A_per_principio_attivo_31-05-2026.csv"/>
    <hyperlink ref="R385" r:id="rId350" display="https://www.medicinpriser.dk/Default.aspx?VirksomtStof=Colistin"/>
    <hyperlink ref="R386" r:id="rId351" display="https://www.aifa.gov.it/documents/20142/3815901/Classe_H_per_principio_attivo_30-04-2026.csv"/>
    <hyperlink ref="R387" r:id="rId352" display="https://base-donnees-publique.medicaments.gouv.fr/medicament/65505947/extrait"/>
    <hyperlink ref="R388" r:id="rId353" display="https://www.aifa.gov.it/documents/20142/3815901/Classe_H_per_principio_attivo_30-04-2026.csv"/>
    <hyperlink ref="R389" r:id="rId354" display="https://www.aifa.gov.it/documents/20142/3815901/Classe_H_per_principio_attivo_30-04-2026.csv"/>
    <hyperlink ref="R390" r:id="rId355" display="https://www.medicinpriser.dk/Default.aspx?VirksomtStof=Eptifibatid"/>
    <hyperlink ref="R391" r:id="rId356" display="https://www.aifa.gov.it/documents/20142/3815901/Classe_H_per_principio_attivo_30-04-2026.csv"/>
    <hyperlink ref="R392" r:id="rId357" display="https://www.aifa.gov.it/documents/20142/3815901/Classe_H_per_principio_attivo_30-04-2026.csv"/>
    <hyperlink ref="R393" r:id="rId358" display="https://www.aponeo.de/rx/08630485-staphylex-injektion-500-mg-plv-z-h-e-inj-inf-l.html"/>
    <hyperlink ref="R394" r:id="rId359" display="https://www.aifa.gov.it/documents/20142/3815901/Classe_H_per_principio_attivo_30-04-2026.csv"/>
    <hyperlink ref="R395" r:id="rId360" display="https://www.aifa.gov.it/documents/20142/3815901/Classe_H_per_principio_attivo_30-04-2026.csv"/>
    <hyperlink ref="R396" r:id="rId361" display="https://www.apoteket.dk/medicin/laegemidler/hydroxocobalamin-alternova"/>
    <hyperlink ref="R397" r:id="rId362" display="https://www.aifa.gov.it/documents/20142/3815901/Classe_H_per_principio_attivo_30-04-2026.csv"/>
    <hyperlink ref="R398" r:id="rId363" display="https://www.aifa.gov.it/documents/20142/3815901/Classe_H_per_principio_attivo_30-04-2026.csv"/>
    <hyperlink ref="R399" r:id="rId364" display="https://www.medicijnkosten.nl/medicijn?artikel=MELFALAN+AMAROX+INJ%2FINFUSIEPOEDER+FL50MG%2BSV+10ML&amp;id=35352a89252a9fdd69fd915f3d070528"/>
    <hyperlink ref="R400" r:id="rId365" display="https://www.aifa.gov.it/documents/20142/3815901/Classe_H_per_principio_attivo_30-04-2026.csv"/>
    <hyperlink ref="R401" r:id="rId366" display="https://www.aifa.gov.it/documents/20142/3815901/Classe_H_per_principio_attivo_30-04-2026.csv"/>
    <hyperlink ref="R402" r:id="rId367" display="https://www.aifa.gov.it/documents/20142/3815901/Classe_H_per_principio_attivo_30-04-2026.csv"/>
    <hyperlink ref="R403" r:id="rId368" display="https://www.aifa.gov.it/documents/20142/3815901/Classe_H_per_principio_attivo_30-04-2026.csv"/>
    <hyperlink ref="R404" r:id="rId369" display="https://www.aifa.gov.it/documents/20142/3815901/Classe_H_per_principio_attivo_30-04-2026.csv"/>
    <hyperlink ref="R405" r:id="rId370" display="https://www.aifa.gov.it/documents/20142/3815901/Classe_H_per_principio_attivo_30-04-2026.csv"/>
    <hyperlink ref="R406" r:id="rId371" display="https://openprescribing.net/dmd/ampp/23595411000001105"/>
    <hyperlink ref="R407" r:id="rId372" display="https://www.aifa.gov.it/documents/20142/3815901/Classe_H_per_principio_attivo_30-04-2026.csv"/>
    <hyperlink ref="R408" r:id="rId373" display="https://www.aifa.gov.it/documents/20142/3815901/Classe_H_per_principio_attivo_30-04-2026.csv"/>
    <hyperlink ref="R409" r:id="rId374" display="https://www.aifa.gov.it/documents/20142/3815901/Classe_H_per_principio_attivo_30-04-2026.csv"/>
    <hyperlink ref="R410" r:id="rId375" display="https://www.aifa.gov.it/documents/20142/3815901/Classe_A_per_principio_attivo_30-04-2026.csv"/>
    <hyperlink ref="R411" r:id="rId376" display="https://www.aifa.gov.it/documents/20142/3815901/Classe_H_per_principio_attivo_30-04-2026.csv"/>
    <hyperlink ref="R412" r:id="rId377" display="https://www.aifa.gov.it/documents/20142/3815901/Classe_H_per_principio_attivo_30-04-2026.csv"/>
    <hyperlink ref="R413" r:id="rId378" display="https://www.ab.bluecross.ca/dbl/pdfs/ABCDPL_2026_01_07.pdf"/>
    <hyperlink ref="R414" r:id="rId379" display="https://www.ncbi.nlm.nih.gov/books/NBK611313/table/tr8269868067037182_ch02_t09/"/>
    <hyperlink ref="R415" r:id="rId380" display="https://www.ab.bluecross.ca/dbl/pdfs/ABCDPL_2026_04_07.pdf"/>
    <hyperlink ref="R416" r:id="rId381" display="https://www.ncbi.nlm.nih.gov/books/NBK601789/table/tr826986112990278_ch02_t06/"/>
    <hyperlink ref="R417" r:id="rId382" display="https://www.formulary.health.gov.on.ca/formulary/detail.xhtml?drugId=02464365"/>
    <hyperlink ref="R418" r:id="rId383" display="https://www.ab.bluecross.ca/dbl/pdfs/ABCDPL_2026_04_07.pdf"/>
    <hyperlink ref="R419" r:id="rId384" display="https://www.ab.bluecross.ca/dbl/pdfs/ABCDPL_2026_09_04.pdf"/>
    <hyperlink ref="R420" r:id="rId385" display="https://www.ab.bluecross.ca/dbl/pdfs/ABCDPL_2026_09_04.pdf"/>
    <hyperlink ref="R421" r:id="rId386" display="https://www.formulary.health.gov.on.ca/formulary/detail.xhtml?drugId=02491281"/>
    <hyperlink ref="R422" r:id="rId387" display="https://www.formulary.health.gov.on.ca/formulary/detail.xhtml?drugId=02491303"/>
    <hyperlink ref="R423" r:id="rId388" display="https://www.pbs.gov.au/industry/pricing/price-disclosure-spd/current-price-disclosure-cycle"/>
    <hyperlink ref="R424" r:id="rId389" display="https://www.pbs.gov.au/industry/pricing/price-disclosure-spd/current-price-disclosure-cycle"/>
    <hyperlink ref="R425" r:id="rId390" display="https://www.pbs.gov.au/industry/pricing/ex-manufacturer-price/2026/09/ex-manufacturer-prices-efc-2026-09-01.XLSX"/>
    <hyperlink ref="R433" r:id="rId391" display="https://department.va.gov/procurement-acquisition-and-logistics/wp-content/uploads/sites/56/2026/10/TPharmPrices2026-10-01.xlsx"/>
    <hyperlink ref="R434" r:id="rId392" display="https://www.cms.gov/files/zip/october-2026-medicare-part-b-payment-limit-files-final.zip"/>
    <hyperlink ref="R440" r:id="rId393" display="https://www.chemistwarehouse.com.au/buy/90218/midazolam-5mg-ml-injection-10-midazolam"/>
    <hyperlink ref="R444" r:id="rId394" display="https://www.nhsbsa.nhs.uk/sites/default/files/2026-09/Part%20VIIIA%20Oct%202026.xlsx"/>
    <hyperlink ref="R445" r:id="rId395" display="https://www.nhsbsa.nhs.uk/sites/default/files/2026-09/Part%20VIIIA%20Oct%202026.xlsx"/>
    <hyperlink ref="R446" r:id="rId396" display="https://www.nhsbsa.nhs.uk/sites/default/files/2026-09/Part%20VIIIA%20Oct%202026.xlsx"/>
    <hyperlink ref="R447" r:id="rId397" display="https://www.nhsbsa.nhs.uk/sites/default/files/2026-09/Part%20VIIIA%20Oct%202026.xlsx"/>
    <hyperlink ref="R449" r:id="rId398" display="https://www.pbs.gov.au/industry/pricing/ex-manufacturer-price/2026/09/ex-manufacturer-prices-efc-2026-09-01.XLSX"/>
    <hyperlink ref="R455" r:id="rId399" display="https://www.pbs.gov.au/industry/pricing/ex-manufacturer-price/2026/09/ex-manufacturer-prices-non-efc-2026-09-01.XLSX"/>
    <hyperlink ref="R456" r:id="rId400" display="https://www.nhsbsa.nhs.uk/sites/default/files/2026-09/Part%20VIIIA%20Oct%202026.xlsx"/>
    <hyperlink ref="R462" r:id="rId401" display="https://www.pbs.gov.au/industry/pricing/ex-manufacturer-price/2026/09/ex-manufacturer-prices-efc-2026-09-01.XLSX"/>
    <hyperlink ref="R463" r:id="rId402" display="https://www.pbs.gov.au/industry/pricing/ex-manufacturer-price/2026/09/ex-manufacturer-prices-efc-2026-09-01.XLSX"/>
    <hyperlink ref="R464" r:id="rId403" display="https://www.pbs.gov.au/industry/pricing/ex-manufacturer-price/2026/09/ex-manufacturer-prices-efc-2026-09-01.XLSX"/>
    <hyperlink ref="R465" r:id="rId404" display="https://www.pbs.gov.au/industry/pricing/ex-manufacturer-price/2026/09/ex-manufacturer-prices-efc-2026-09-01.XLSX"/>
    <hyperlink ref="R466" r:id="rId405" display="https://www.pbs.gov.au/industry/pricing/ex-manufacturer-price/2026/09/ex-manufacturer-prices-non-efc-2026-09-01.XLSX"/>
    <hyperlink ref="R467" r:id="rId406" display="https://www.pbs.gov.au/industry/pricing/ex-manufacturer-price/2026/09/ex-manufacturer-prices-efc-2026-09-01.XLSX"/>
    <hyperlink ref="R468" r:id="rId407" display="https://www.health.gov.za/nhi-pee/"/>
    <hyperlink ref="R469" r:id="rId408" location="search:phenylcord" display="https://medicineprices.org.za/#search:phenylcord"/>
    <hyperlink ref="R470" r:id="rId409" location="search:dabucor" display="https://medicineprices.org.za/#search:dabucor"/>
    <hyperlink ref="R471" r:id="rId410" display="https://www.health.gov.za/nhi-pee/"/>
    <hyperlink ref="R472" r:id="rId411" display="https://www.health.gov.za/nhi-pee/"/>
    <hyperlink ref="R473" r:id="rId412" location="search:valtib" display="https://medicineprices.org.za/#search:valtib"/>
    <hyperlink ref="R474" r:id="rId413" display="https://www.health.gov.za/nhi-pee/"/>
    <hyperlink ref="R475" r:id="rId414" display="https://www.health.gov.za/nhi-pee/"/>
    <hyperlink ref="R476" r:id="rId415" display="https://www.health.gov.za/nhi-pee/"/>
    <hyperlink ref="R477" r:id="rId416" display="https://www.health.gov.za/nhi-pee/"/>
    <hyperlink ref="R478" r:id="rId417" display="https://www.health.gov.za/nhi-pee/"/>
    <hyperlink ref="R479" r:id="rId418" location="search:rubexet" display="https://medicineprices.org.za/#search:rubexet"/>
    <hyperlink ref="R480" r:id="rId419" location="search:rubexet" display="https://medicineprices.org.za/#search:rubexet"/>
    <hyperlink ref="R481" r:id="rId420" display="https://www.health.gov.za/nhi-pee/"/>
    <hyperlink ref="R482" r:id="rId421" display="https://www.health.gov.za/nhi-pee/"/>
    <hyperlink ref="R483" r:id="rId422" display="https://www.cms.gov/files/zip/october-2026-medicare-part-b-payment-limit-files-final.zip"/>
    <hyperlink ref="R484" r:id="rId423" display="https://www.cms.gov/files/zip/october-2026-medicare-part-b-payment-limit-files-final.zip"/>
    <hyperlink ref="R485" r:id="rId424" display="https://www.drugs.com/price-guide/sugammadex"/>
    <hyperlink ref="R486" r:id="rId425" display="https://www.drugs.com/price-guide/sugammadex"/>
    <hyperlink ref="R487" r:id="rId426" display="https://michaelschemist.com.au/products/zyprexavl10mg1"/>
    <hyperlink ref="R490" r:id="rId427" display="https://www.cms.gov/files/zip/october-2026-medicare-part-b-payment-limit-files-final.zip"/>
    <hyperlink ref="R491" r:id="rId428" display="https://www.cms.gov/files/zip/october-2026-medicare-part-b-payment-limit-files-final.zip"/>
    <hyperlink ref="R492" r:id="rId429" display="https://www.pbs.gov.au/industry/pricing/ex-manufacturer-price/2026/10/ex-manufacturer-prices-non-efc-2026-10-01.XLSX"/>
    <hyperlink ref="R493" r:id="rId430" display="https://michaelschemist.com.au/products/teicoplaninpwdrforinj400mg1"/>
    <hyperlink ref="R494" r:id="rId431" display="https://www.cms.gov/files/zip/october-2026-medicare-part-b-payment-limit-files-final.zip"/>
    <hyperlink ref="R495" r:id="rId432" display="https://www.cms.gov/files/zip/october-2026-medicare-part-b-payment-limit-files-final.zip"/>
    <hyperlink ref="R496" r:id="rId433" display="https://department.va.gov/procurement-acquisition-and-logistics/wp-content/uploads/sites/56/2026/10/TPharmPrices2026-10-01.xlsx"/>
    <hyperlink ref="R497" r:id="rId434" display="https://michaelschemist.com.au/products/meropenemran500mginj5"/>
    <hyperlink ref="R498" r:id="rId435" display="https://www.medshop.com.au/products/meropenem-ranbaxy-1g-vial-5-meropenem-1000mg-vial"/>
    <hyperlink ref="R499" r:id="rId436" display="https://www.cms.gov/files/zip/october-2026-medicare-part-b-payment-limit-files-final.zip"/>
    <hyperlink ref="R500" r:id="rId437" display="https://www.cms.gov/files/zip/october-2026-medicare-part-b-payment-limit-files-final.zip"/>
    <hyperlink ref="R501" r:id="rId438" display="https://www.healthylife.com.au/products/oxytocin-generic-10iu1ml-x-5-ampoules"/>
    <hyperlink ref="R502" r:id="rId439" display="https://www.cms.gov/files/zip/october-2026-medicare-part-b-payment-limit-files-final.zip"/>
    <hyperlink ref="R503" r:id="rId440" display="https://michaelschemist.com.au/products/rapifenalfentanil1mg2f2mlampx5"/>
    <hyperlink ref="R504" r:id="rId441" display="https://department.va.gov/procurement-acquisition-and-logistics/wp-content/uploads/sites/56/2026/10/TPharmPrices2026-10-01.xlsx"/>
    <hyperlink ref="R505" r:id="rId442" location="search:cistrax" display="https://medicineprices.org.za/#search:cistrax"/>
    <hyperlink ref="R506" r:id="rId443" display="https://www.health.gov.za/nhi-pee/"/>
    <hyperlink ref="R507" r:id="rId444" display="https://www.health.gov.za/nhi-pee/"/>
    <hyperlink ref="R508" r:id="rId445" location="search:altirem" display="https://medicineprices.org.za/#search:altirem"/>
    <hyperlink ref="R509" r:id="rId446" location="search:altirem" display="https://medicineprices.org.za/#search:altirem"/>
    <hyperlink ref="R510" r:id="rId447" location="search:meroject" display="https://medicineprices.org.za/#search:meroject"/>
    <hyperlink ref="R511" r:id="rId448" location="search:meroject" display="https://medicineprices.org.za/#search:meroject"/>
    <hyperlink ref="R512" r:id="rId449" display="https://www.health.gov.za/nhi-pee/"/>
    <hyperlink ref="R513" r:id="rId450" display="https://www.health.gov.za/nhi-pee/"/>
    <hyperlink ref="R514" r:id="rId451" display="https://www.health.gov.za/nhi-pee/"/>
    <hyperlink ref="R515" r:id="rId452" display="https://www.drugs.com/price-guide/carboprost"/>
    <hyperlink ref="R516" r:id="rId453" display="https://www.mountainside-medical.com/products/diphenhydramine-injection-50-mg-ml-single-dose-vials-1-ml-x-25-pack"/>
    <hyperlink ref="R517" r:id="rId454" display="https://www.drugs.com/price-guide/isoproterenol"/>
    <hyperlink ref="R518" r:id="rId455" display="https://www.drugs.com/price-guide/lincomycin"/>
    <hyperlink ref="R519" r:id="rId456" display="https://department.va.gov/procurement-acquisition-and-logistics/wp-content/uploads/sites/56/2026/10/TPharmPrices2026-10-01.xlsx"/>
    <hyperlink ref="R520" r:id="rId457" display="https://www.drugs.com/price-guide/brivaracetam"/>
    <hyperlink ref="R521" r:id="rId458" display="https://www.drugs.com/price-guide/verapamil"/>
    <hyperlink ref="R522" r:id="rId459" display="https://www.drugs.com/price-guide/verapamil"/>
    <hyperlink ref="R523" r:id="rId460" display="https://www.medicinpriser.dk/Default.aspx?VirksomtStof=Caffein&amp;lng=2"/>
    <hyperlink ref="R524" r:id="rId461" display="https://www.medicinpriser.dk/Default.aspx?VirksomtStof=Caffein&amp;lng=2"/>
    <hyperlink ref="R525" r:id="rId462" display="https://michaelschemist.com.au/products/valoidinj50mg2f1ml5"/>
    <hyperlink ref="R526" r:id="rId463" display="https://www.medshop.com.au/products/levetiracetam-500mg5ml-vial-10-levetiracetam-500mg5ml-vial"/>
    <hyperlink ref="R529" r:id="rId464" display="https://www.drugs.com/price-guide/chlorpromazine"/>
    <hyperlink ref="R530" r:id="rId465" display="https://www.drugs.com/price-guide/fluphenazine"/>
    <hyperlink ref="R531" r:id="rId466" display="https://www.drugs.com/price-guide/bortezomib"/>
    <hyperlink ref="R532" r:id="rId467" display="https://www.drugs.com/price-guide/brivaracetam"/>
    <hyperlink ref="R533" r:id="rId468" display="https://www.drugs.com/price-guide/sugammadex"/>
    <hyperlink ref="R534" r:id="rId469" display="https://www.drugs.com/price-guide/sugammadex"/>
    <hyperlink ref="R535" r:id="rId470" display="https://www.drugs.com/price-guide/plerixafor"/>
    <hyperlink ref="R536" r:id="rId471" display="https://dmd-browser.nhsbsa.nhs.uk/ampp/view/208635"/>
    <hyperlink ref="R537" r:id="rId472" display="https://dmd-browser.nhsbsa.nhs.uk/ampp/view/203257"/>
    <hyperlink ref="R538" r:id="rId473" display="https://dmd-browser.nhsbsa.nhs.uk/ampp/view/204692"/>
    <hyperlink ref="R539" r:id="rId474" display="https://zoek.officielebekendmakingen.nl/stcrt-2026-7257.html"/>
    <hyperlink ref="R543" r:id="rId475" display="https://www.pbs.gov.au/industry/pricing/ex-manufacturer-price/2026/09/ex-manufacturer-prices-efc-2026-09-01.XLSX"/>
    <hyperlink ref="R544" r:id="rId476" display="https://www.drugs.com/price-guide/bupivacaine"/>
    <hyperlink ref="R545" r:id="rId477" display="https://www.drugs.com/price-guide/bupivacaine"/>
    <hyperlink ref="R546" r:id="rId478" display="https://www.drugs.com/price-guide/carboprost"/>
    <hyperlink ref="R547" r:id="rId479" display="https://department.va.gov/procurement-acquisition-and-logistics/wp-content/uploads/sites/56/2026/10/TPharmPrices2026-10-01.xlsx"/>
    <hyperlink ref="R548" r:id="rId480" display="https://www.drugs.com/price-guide/nafcillin"/>
    <hyperlink ref="R549" r:id="rId481" display="https://www.drugs.com/price-guide/nafcillin"/>
    <hyperlink ref="R550" r:id="rId482" display="https://www.aponeo.de/rx/19949801-meropenem-hexal-500-mg-plv-z-her-e-inj-o-inf-lsg.html"/>
    <hyperlink ref="R551" r:id="rId483" display="https://www.aifa.gov.it/documents/20142/3815901/Classe_H_per_principio_attivo_30-04-2026.csv"/>
    <hyperlink ref="R552" r:id="rId484" display="https://www.aponeo.de/rx/19949801-meropenem-hexal-500-mg-plv-z-her-e-inj-o-inf-lsg.html"/>
    <hyperlink ref="R553" r:id="rId485" display="https://www.drugs.com/price-guide/cisatracurium"/>
    <hyperlink ref="R554" r:id="rId486" display="https://www.drugs.com/price-guide/cisatracurium"/>
    <hyperlink ref="R555" r:id="rId487" display="https://department.va.gov/procurement-acquisition-and-logistics/wp-content/uploads/sites/56/2026/10/TPharmPrices2026-10-01.xlsx"/>
    <hyperlink ref="R556" r:id="rId488" display="https://dmd-browser.nhsbsa.nhs.uk/ampp/view/195045"/>
    <hyperlink ref="R557" r:id="rId489" location="search:rapifen" display="https://medicineprices.org.za/#search:rapifen"/>
    <hyperlink ref="R559" r:id="rId490" display="https://mediately.co/it/drugs/3ytjMRFtaIbVwcIRVFvxl1oiBXA/alfentanil-piramal-5-fiale-ev-10-ml-0-5-mg-ml"/>
    <hyperlink ref="R560" r:id="rId491" display="https://www.shop-apotheke.com/arzneimittel/1854738/hypnomidate-2-mg-ml.htm"/>
    <hyperlink ref="R561" r:id="rId492" display="https://department.va.gov/procurement-acquisition-and-logistics/wp-content/uploads/sites/56/2026/10/TPharmPrices2026-10-01.xlsx"/>
    <hyperlink ref="R562" r:id="rId493" display="https://www.aifa.gov.it/documents/20142/3815901/Classe_H_per_principio_attivo_30-04-2026.csv"/>
    <hyperlink ref="R563" r:id="rId494" display="https://michaelschemist.com.au/products/rapifenalfentanil1mg2f2mlampx5"/>
    <hyperlink ref="R564" r:id="rId495" display="https://www.health.gov.za/nhi-pee/"/>
    <hyperlink ref="R565" r:id="rId496" location="search:rapifen" display="https://medicineprices.org.za/#search:rapifen"/>
    <hyperlink ref="R566" r:id="rId497" location="search:sublimaze" display="https://medicineprices.org.za/#search:sublimaze"/>
    <hyperlink ref="R567" r:id="rId498" location="search:sublimaze" display="https://medicineprices.org.za/#search:sublimaze"/>
    <hyperlink ref="R568" r:id="rId499" display="https://dmd-browser.nhsbsa.nhs.uk/ampp/view/175452"/>
    <hyperlink ref="R569" r:id="rId500" display="https://www.aifa.gov.it/documents/20142/3815901/Classe_H_per_principio_attivo_30-04-2026.csv"/>
    <hyperlink ref="R570" r:id="rId501" display="https://www.aifa.gov.it/documents/20142/3815901/Classe_H_per_principio_attivo_30-04-2026.csv"/>
    <hyperlink ref="R571" r:id="rId502" display="https://www.healthylife.com.au/products/ceftazidime-1g-x-1-vial"/>
    <hyperlink ref="R572" r:id="rId503" display="https://www.healthylife.com.au/products/ceftazidime-1g-x-1-vial"/>
    <hyperlink ref="R573" r:id="rId504" display="https://michaelschemist.com.au/products/cefepimepwdrforinj1gvial1"/>
    <hyperlink ref="R574" r:id="rId505" display="https://michaelschemist.com.au/collections/prescriptions/products/cefepimepwdrforinj2gvial1"/>
    <hyperlink ref="R575" r:id="rId506" display="https://michaelschemist.com.au/products/piperacillinsodium4gtazobactamsodium05gvial"/>
    <hyperlink ref="R576" r:id="rId507" display="https://michaelschemist.com.au/products/piperacillinsodium4gtazobactamsodium05gvial"/>
    <hyperlink ref="R577" r:id="rId508" location="search:cortaject" display="https://medicineprices.org.za/#search:cortaject"/>
    <hyperlink ref="R578" r:id="rId509" display="https://www.drugs.com/price-guide/chlorothiazide"/>
    <hyperlink ref="R579" r:id="rId510" display="https://www.drugs.com/price-guide/doxorubicin"/>
    <hyperlink ref="R580" r:id="rId511" display="https://www.drugs.com/price-guide/sugammadex"/>
    <hyperlink ref="R581" r:id="rId512" display="https://www.drugs.com/price-guide/sugammadex"/>
    <hyperlink ref="R582" r:id="rId513" display="https://dmd-browser.nhsbsa.nhs.uk/ampp/view/195579"/>
    <hyperlink ref="R584" r:id="rId514" display="https://www.nhsbsa.nhs.uk/sites/default/files/2022-06/Drug%20Tariff%20Part%20VIIIA%20July%202022.pdf"/>
    <hyperlink ref="R585" r:id="rId515" display="https://dmd-browser.nhsbsa.nhs.uk/ampp/view/193706"/>
    <hyperlink ref="R586" r:id="rId516" display="https://dmd-browser.nhsbsa.nhs.uk/ampp/view/211689"/>
    <hyperlink ref="R587" r:id="rId517" display="https://www.nhsbsa.nhs.uk/sites/default/files/2026-08/Part%20VIIIA%20Sep%2026.xls.xlsx"/>
    <hyperlink ref="R588" r:id="rId518" display="https://dmd-browser.nhsbsa.nhs.uk/ampp/view/212956"/>
    <hyperlink ref="R589" r:id="rId519" display="https://dmd-browser.nhsbsa.nhs.uk/ampp/view/198278"/>
    <hyperlink ref="R590" r:id="rId520" display="https://dmd-browser.nhsbsa.nhs.uk/ampp/view/96481"/>
    <hyperlink ref="R591" r:id="rId521" display="https://dmd-browser.nhsbsa.nhs.uk/ampp/view/175452"/>
    <hyperlink ref="R592" r:id="rId522" display="https://www.aifa.gov.it/documents/20142/3815901/Classe_H_per_principio_attivo_30-04-2026.csv"/>
    <hyperlink ref="R593" r:id="rId523" display="https://www.aifa.gov.it/documents/20142/3815901/Classe_H_per_principio_attivo_30-04-2026.csv"/>
    <hyperlink ref="R594" r:id="rId524" display="https://www.aifa.gov.it/documents/20142/3815901/Classe_H_per_principio_attivo_30-04-2026.csv"/>
    <hyperlink ref="R595" r:id="rId525" display="https://www.aifa.gov.it/documents/20142/3815901/Classe_H_per_principio_attivo_30-04-2026.csv"/>
    <hyperlink ref="R596" r:id="rId526" display="https://www.aifa.gov.it/documents/20142/3815901/Classe_H_per_principio_attivo_30-04-2026.csv"/>
    <hyperlink ref="R597" r:id="rId527" display="https://www.aifa.gov.it/documents/20142/3815901/Classe_H_per_principio_attivo_30-04-2026.csv"/>
    <hyperlink ref="R598" r:id="rId528" display="https://www.aifa.gov.it/documents/20142/3815901/Classe_H_per_principio_attivo_30-04-2026.csv"/>
    <hyperlink ref="R599" r:id="rId529" display="https://www.aponeo.de/rx/10735547-paricalcitol-hexal-2-mikrogramm-ml-injektionslsg.html"/>
    <hyperlink ref="R600" r:id="rId530" display="https://www.aifa.gov.it/documents/20142/3815901/Classe_H_per_principio_attivo_30-04-2026.csv"/>
    <hyperlink ref="R601" r:id="rId531" display="https://www.aifa.gov.it/documents/20142/3815901/Classe_H_per_principio_attivo_30-04-2026.csv"/>
    <hyperlink ref="R602" r:id="rId532" display="https://base-donnees-publique.medicaments.gouv.fr/medicament/61614600/extrait"/>
    <hyperlink ref="R603" r:id="rId533" display="https://www.aliva.de/p/vecuronium-inresa-10-mg-pulver-z-herst-e-inj-lsg-10-pulver-zur-herstellung-einer-injektionsloesung-03379371"/>
    <hyperlink ref="R604" r:id="rId534" display="https://idbl.ab.bluecross.ca/idbl/drugsList?ptc=08120708"/>
    <hyperlink ref="R605" r:id="rId535" display="https://idbl.ab.bluecross.ca/idbl/drugsList?ptc=08120708"/>
    <hyperlink ref="R606" r:id="rId536" display="https://www.ab.bluecross.ca/dbl/pdfs/ABCDPL_2026_09_04.pdf"/>
    <hyperlink ref="R607" r:id="rId537" display="https://www.formulary.health.gov.on.ca/formulary/detail.xhtml?drugId=02496003"/>
    <hyperlink ref="R608" r:id="rId538" display="https://www.ab.bluecross.ca/dbl/pdfs/ABCDPL_2026_09_04.pdf"/>
    <hyperlink ref="R609" r:id="rId539" display="https://www.pbs.gov.au/industry/pricing/ex-manufacturer-price/2026/09/ex-manufacturer-prices-non-efc-2026-09-01.XLSX"/>
    <hyperlink ref="R610" r:id="rId540" display="https://www.pbs.gov.au/industry/pricing/ex-manufacturer-price/2026/09/ex-manufacturer-prices-non-efc-2026-09-01.XLSX"/>
    <hyperlink ref="R611" r:id="rId541" display="https://www.pbs.gov.au/industry/pricing/ex-manufacturer-price/2026/09/ex-manufacturer-prices-non-efc-2026-09-01.XLSX"/>
    <hyperlink ref="R612" r:id="rId542" display="https://www.pbs.gov.au/industry/pricing/ex-manufacturer-price/2026/09/ex-manufacturer-prices-non-efc-2026-09-01.XLSX"/>
    <hyperlink ref="R615" r:id="rId543" display="https://www.medshop.com.au/products/meropenem-ranbaxy-1g-vial-5-meropenem-1000mg-vial"/>
    <hyperlink ref="R616" r:id="rId544" display="https://michaelschemist.com.au/products/meropenemran500mginj5"/>
    <hyperlink ref="R617" r:id="rId545" location="search:sumabid" display="https://medicineprices.org.za/#search:sumabid"/>
    <hyperlink ref="R618" r:id="rId546" location="search:botigen" display="https://medicineprices.org.za/#search:botigen"/>
    <hyperlink ref="R619" r:id="rId547" display="https://www.health.gov.za/nhi-pee/"/>
    <hyperlink ref="R620" r:id="rId548" display="https://www.health.gov.za/nhi-pee/"/>
    <hyperlink ref="R621" r:id="rId549" location="search:mercide" display="https://medicineprices.org.za/#search:mercide"/>
    <hyperlink ref="R622" r:id="rId550" display="https://dmd-browser.nhsbsa.nhs.uk/ampp/view/168374"/>
    <hyperlink ref="R623" r:id="rId551" display="https://www.aifa.gov.it/documents/20142/3815901/Classe_H_per_principio_attivo_30-04-2026.csv"/>
    <hyperlink ref="R624" r:id="rId552" display="https://www.aifa.gov.it/documents/20142/3815901/Classe_H_per_principio_attivo_30-04-2026.csv"/>
    <hyperlink ref="R625" r:id="rId553" display="https://www.mycare.de/online-kaufen/levetiracetam-till100mgml-infusionsloesungs--konzentrat-15576734"/>
    <hyperlink ref="R626" r:id="rId554" display="https://www.aifa.gov.it/documents/20142/3815901/Classe_H_per_principio_attivo_30-04-2026.csv"/>
    <hyperlink ref="R627" r:id="rId555" display="https://www.sanidad.gob.es/profesionales/nomenclator.do?metodo=buscarProductos&amp;especialidad=XEPLION%25"/>
    <hyperlink ref="R628" r:id="rId556" display="https://www.cms.gov/files/zip/october-2026-medicare-part-b-payment-limit-files-final.zip"/>
    <hyperlink ref="R629" r:id="rId557" display="https://www.health.gov.za/nhi-pee/"/>
    <hyperlink ref="R630" r:id="rId558" display="https://dmd-browser.nhsbsa.nhs.uk/ampp/view/175452"/>
    <hyperlink ref="R631" r:id="rId559" display="https://dmd-browser.nhsbsa.nhs.uk/ampp/view/190496"/>
    <hyperlink ref="R632" r:id="rId560" display="https://dmd-browser.nhsbsa.nhs.uk/ampp/view/170191"/>
    <hyperlink ref="R633" r:id="rId561" display="https://dmd-browser.nhsbsa.nhs.uk/ampp/view/208581"/>
    <hyperlink ref="R634" r:id="rId562" display="https://www.aifa.gov.it/documents/20142/3815901/Classe_H_per_principio_attivo_30-04-2026.csv"/>
    <hyperlink ref="R635" r:id="rId563" display="https://www.aifa.gov.it/documents/20142/3815901/Classe_H_per_principio_attivo_30-04-2026.csv"/>
    <hyperlink ref="R636" r:id="rId564" display="https://www.drugs.com/price-guide/oxacillin"/>
    <hyperlink ref="R638" r:id="rId565" display="https://www.drugs.com/price-guide/ceftriaxone"/>
    <hyperlink ref="R639" r:id="rId566" display="https://www.drugs.com/price-guide/ceftriaxone"/>
    <hyperlink ref="R640" r:id="rId567" display="https://dmd-browser.nhsbsa.nhs.uk/ampp/view/197707"/>
    <hyperlink ref="R641" r:id="rId568" display="https://dmd-browser.nhsbsa.nhs.uk/ampp/view/197725"/>
    <hyperlink ref="R642" r:id="rId569" display="https://dmd-browser.nhsbsa.nhs.uk/ampp/view/102025"/>
    <hyperlink ref="R643" r:id="rId570" display="https://dmd-browser.nhsbsa.nhs.uk/ampp/view/87654"/>
    <hyperlink ref="R644" r:id="rId571" display="https://dmd-browser.nhsbsa.nhs.uk/ampp/view/64125"/>
    <hyperlink ref="R645" r:id="rId572" display="https://www.nhsbsa.nhs.uk/sites/default/files/2026-08/Part%20VIIIA%20Sep%2026.xls.xlsx"/>
    <hyperlink ref="R646" r:id="rId573" display="https://dmd-browser.nhsbsa.nhs.uk/ampp/view/162030"/>
    <hyperlink ref="R647" r:id="rId574" display="https://www.nhsbsa.nhs.uk/sites/default/files/2026-08/Part%20VIIIA%20Sep%2026.xls.xlsx"/>
    <hyperlink ref="R648" r:id="rId575" display="https://dmd-browser.nhsbsa.nhs.uk/ampp/view/210923"/>
    <hyperlink ref="R649" r:id="rId576" display="https://www.nhsbsa.nhs.uk/sites/default/files/2026-08/Part%20VIIIA%20Sep%2026.xls.xlsx"/>
    <hyperlink ref="R650" r:id="rId577" display="https://dmd-browser.nhsbsa.nhs.uk/ampp/view/110861"/>
    <hyperlink ref="R651" r:id="rId578" display="https://dmd-browser.nhsbsa.nhs.uk/ampp/view/110863"/>
    <hyperlink ref="R652" r:id="rId579" display="https://dmd-browser.nhsbsa.nhs.uk/ampp/view/59566"/>
    <hyperlink ref="R653" r:id="rId580" display="https://dmd-browser.nhsbsa.nhs.uk/ampp/view/87667"/>
    <hyperlink ref="R654" r:id="rId581" display="https://www.aponeo.de/rx/17923772-adenosin-baxter-6-mg-2-ml-injektionsloesung.html"/>
    <hyperlink ref="R656" r:id="rId582" display="https://www.aifa.gov.it/documents/20142/3815901/Classe_H_per_principio_attivo_30-04-2026.csv"/>
    <hyperlink ref="R657" r:id="rId583" display="https://www.aifa.gov.it/documents/20142/3815901/Classe_H_per_principio_attivo_30-04-2026.csv"/>
    <hyperlink ref="R658" r:id="rId584" display="https://www.medicijnkosten.nl/medicijn?artikel=HYALURONIDASE+INJ%2FINFUSIEPOEDER+AMPUL+1500IE&amp;id=b89726bfa881dc7b75ae7c2517d4b5b7"/>
    <hyperlink ref="R659" r:id="rId585" display="https://mediately.co/gr/drugs/YCsx3j2n2qawnnaJDmFwug8Ahhz/metaraminol-so-inj-inf-10mg-ml"/>
    <hyperlink ref="R660" r:id="rId586" display="https://mediately.co/de/drugs/2JLSD2rNCbtip2an1uWLKQBCmLc/milrinon-carinopharm-1-mg-ml-injektions-infusionslosung"/>
    <hyperlink ref="R661" r:id="rId587" display="https://www.aifa.gov.it/documents/20142/3815901/Classe_H_per_principio_attivo_30-04-2026.csv"/>
    <hyperlink ref="R662" r:id="rId588" display="https://www.medicinpriser.dk/Default.aspx?VirksomtStof=Protamin"/>
    <hyperlink ref="R663" r:id="rId589" display="https://www.medicinpriser.dk/Default.aspx?VirksomtStof=Remifentanil"/>
    <hyperlink ref="R664" r:id="rId590" display="https://www.aifa.gov.it/documents/20142/3815901/Classe_H_per_principio_attivo_30-04-2026.csv"/>
    <hyperlink ref="R665" r:id="rId591" display="https://www.aifa.gov.it/documents/20142/3815901/Classe_H_per_principio_attivo_30-04-2026.csv"/>
    <hyperlink ref="R666" r:id="rId592" display="https://www.aifa.gov.it/documents/20142/3815901/Classe_H_per_principio_attivo_30-04-2026.csv"/>
    <hyperlink ref="R671" r:id="rId593" display="https://www.cms.gov/files/zip/october-2026-medicare-part-b-payment-limit-files-final.zip"/>
    <hyperlink ref="R672" r:id="rId594" display="https://www.medshop.com.au/products/sodium-valproate-juno-400mg-4ml"/>
    <hyperlink ref="R674" r:id="rId595" display="https://www.drugs.com/price-guide/acetazolamide"/>
    <hyperlink ref="R675" r:id="rId596" display="https://www.drugs.com/price-guide/chlorpromazine"/>
    <hyperlink ref="R676" r:id="rId597" display="https://www.drugs.com/price-guide/cisatracurium"/>
    <hyperlink ref="R677" r:id="rId598" display="https://www.drugs.com/price-guide/cisatracurium"/>
    <hyperlink ref="R678" r:id="rId599" display="https://www.drugs.com/price-guide/cyanocobalamin"/>
    <hyperlink ref="R679" r:id="rId600" display="https://www.drugs.com/price-guide/sodium-edecrin"/>
    <hyperlink ref="R680" r:id="rId601" display="https://department.va.gov/procurement-acquisition-and-logistics/wp-content/uploads/sites/56/2026/10/TPharmPrices2026-10-01.xlsx"/>
    <hyperlink ref="R681" r:id="rId602" display="https://www.drugs.com/price-guide/haloperidol"/>
    <hyperlink ref="R682" r:id="rId603" display="https://www.drugs.com/price-guide/haloperidol"/>
    <hyperlink ref="R683" r:id="rId604" display="https://www.cms.gov/files/zip/october-2026-medicare-part-b-payment-limit-files-final.zip"/>
    <hyperlink ref="R684" r:id="rId605" display="https://www.drugs.com/price-guide/indocyanine-green"/>
    <hyperlink ref="R685" r:id="rId606" display="https://department.va.gov/procurement-acquisition-and-logistics/wp-content/uploads/sites/56/2026/10/TPharmPrices2026-10-01.xlsx"/>
    <hyperlink ref="R686" r:id="rId607" display="https://department.va.gov/procurement-acquisition-and-logistics/wp-content/uploads/sites/56/2026/10/TPharmPrices2026-10-01.xlsx"/>
    <hyperlink ref="R687" r:id="rId608" display="https://www.drugs.com/price-guide/fluorescein"/>
    <hyperlink ref="R689" r:id="rId609" display="https://www.drugs.com/price-guide/bortezomib"/>
    <hyperlink ref="R690" r:id="rId610" display="https://www.drugs.com/price-guide/fulvestrant"/>
    <hyperlink ref="R691" r:id="rId611" display="https://www.drugs.com/price-guide/sugammadex"/>
    <hyperlink ref="R692" r:id="rId612" display="https://www.drugs.com/price-guide/sugammadex"/>
    <hyperlink ref="R693" r:id="rId613" display="https://dmd-browser.nhsbsa.nhs.uk/ampp/view/187562"/>
    <hyperlink ref="R694" r:id="rId614" display="https://www.aifa.gov.it/documents/20142/3815901/Classe_H_per_principio_attivo_30-04-2026.csv"/>
    <hyperlink ref="R695" r:id="rId615" display="https://base-donnees-publique.medicaments.gouv.fr/medicament/66127233/extrait"/>
    <hyperlink ref="R696" r:id="rId616" display="https://www.health.gov.za/nhi-pee/"/>
    <hyperlink ref="R697" r:id="rId617" display="https://www.health.gov.za/nhi-pee/"/>
    <hyperlink ref="R698" r:id="rId618" display="https://www.health.gov.za/nhi-pe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619"/>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I1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40"/>
    <col collapsed="false" customWidth="true" hidden="false" outlineLevel="0" max="3" min="3" style="0" width="26"/>
    <col collapsed="false" customWidth="true" hidden="false" outlineLevel="0" max="4" min="4" style="0" width="12"/>
    <col collapsed="false" customWidth="true" hidden="false" outlineLevel="0" max="5" min="5" style="0" width="30"/>
    <col collapsed="false" customWidth="true" hidden="false" outlineLevel="0" max="6" min="6" style="0" width="50"/>
    <col collapsed="false" customWidth="true" hidden="false" outlineLevel="0" max="7" min="7" style="0" width="60"/>
    <col collapsed="false" customWidth="true" hidden="false" outlineLevel="0" max="8" min="8" style="0" width="50"/>
    <col collapsed="false" customWidth="true" hidden="false" outlineLevel="0" max="9" min="9" style="0" width="60"/>
  </cols>
  <sheetData>
    <row r="1" customFormat="false" ht="18.55" hidden="false" customHeight="false" outlineLevel="0" collapsed="false">
      <c r="A1" s="39" t="s">
        <v>2706</v>
      </c>
    </row>
    <row r="2" customFormat="false" ht="15" hidden="false" customHeight="false" outlineLevel="0" collapsed="false">
      <c r="A2" s="2" t="s">
        <v>2707</v>
      </c>
    </row>
    <row r="4" customFormat="false" ht="45.75" hidden="false" customHeight="true" outlineLevel="0" collapsed="false">
      <c r="A4" s="40" t="s">
        <v>8</v>
      </c>
      <c r="B4" s="40" t="s">
        <v>205</v>
      </c>
      <c r="C4" s="40" t="s">
        <v>230</v>
      </c>
      <c r="D4" s="40" t="s">
        <v>231</v>
      </c>
      <c r="E4" s="40" t="s">
        <v>2708</v>
      </c>
      <c r="F4" s="40" t="s">
        <v>2709</v>
      </c>
      <c r="G4" s="40" t="s">
        <v>2710</v>
      </c>
      <c r="H4" s="40" t="s">
        <v>2711</v>
      </c>
      <c r="I4" s="40" t="s">
        <v>2712</v>
      </c>
    </row>
    <row r="5" customFormat="false" ht="68.65" hidden="false" customHeight="false" outlineLevel="0" collapsed="false">
      <c r="A5" s="41" t="s">
        <v>738</v>
      </c>
      <c r="B5" s="42" t="s">
        <v>739</v>
      </c>
      <c r="C5" s="42" t="s">
        <v>2713</v>
      </c>
      <c r="D5" s="43" t="s">
        <v>249</v>
      </c>
      <c r="E5" s="42" t="s">
        <v>2714</v>
      </c>
      <c r="F5" s="44" t="s">
        <v>2715</v>
      </c>
      <c r="G5" s="42" t="s">
        <v>2716</v>
      </c>
      <c r="H5" s="44" t="s">
        <v>2717</v>
      </c>
      <c r="I5" s="42" t="s">
        <v>2718</v>
      </c>
    </row>
    <row r="6" customFormat="false" ht="68.65" hidden="false" customHeight="false" outlineLevel="0" collapsed="false">
      <c r="A6" s="41" t="s">
        <v>1388</v>
      </c>
      <c r="B6" s="42" t="s">
        <v>1389</v>
      </c>
      <c r="C6" s="42" t="s">
        <v>2719</v>
      </c>
      <c r="D6" s="43" t="s">
        <v>1505</v>
      </c>
      <c r="E6" s="42" t="s">
        <v>2720</v>
      </c>
      <c r="F6" s="44" t="s">
        <v>2721</v>
      </c>
      <c r="G6" s="42" t="s">
        <v>2722</v>
      </c>
      <c r="H6" s="44" t="s">
        <v>2723</v>
      </c>
      <c r="I6" s="42" t="s">
        <v>2724</v>
      </c>
    </row>
    <row r="7" customFormat="false" ht="55.2" hidden="false" customHeight="false" outlineLevel="0" collapsed="false">
      <c r="A7" s="41" t="s">
        <v>1150</v>
      </c>
      <c r="B7" s="42" t="s">
        <v>1151</v>
      </c>
      <c r="C7" s="42" t="s">
        <v>2719</v>
      </c>
      <c r="D7" s="43" t="s">
        <v>1505</v>
      </c>
      <c r="E7" s="42" t="s">
        <v>2725</v>
      </c>
      <c r="F7" s="44" t="s">
        <v>2726</v>
      </c>
      <c r="G7" s="42" t="s">
        <v>2716</v>
      </c>
      <c r="H7" s="41"/>
      <c r="I7" s="42" t="s">
        <v>2727</v>
      </c>
    </row>
    <row r="8" customFormat="false" ht="55.2" hidden="false" customHeight="false" outlineLevel="0" collapsed="false">
      <c r="A8" s="41" t="s">
        <v>745</v>
      </c>
      <c r="B8" s="42" t="s">
        <v>746</v>
      </c>
      <c r="C8" s="42" t="s">
        <v>2713</v>
      </c>
      <c r="D8" s="43" t="s">
        <v>249</v>
      </c>
      <c r="E8" s="42" t="s">
        <v>2728</v>
      </c>
      <c r="F8" s="44" t="s">
        <v>2729</v>
      </c>
      <c r="G8" s="42" t="s">
        <v>2722</v>
      </c>
      <c r="H8" s="41"/>
      <c r="I8" s="42" t="s">
        <v>2718</v>
      </c>
    </row>
    <row r="9" customFormat="false" ht="82.05" hidden="false" customHeight="false" outlineLevel="0" collapsed="false">
      <c r="A9" s="41" t="s">
        <v>892</v>
      </c>
      <c r="B9" s="42" t="s">
        <v>893</v>
      </c>
      <c r="C9" s="42" t="s">
        <v>2719</v>
      </c>
      <c r="D9" s="43" t="s">
        <v>1505</v>
      </c>
      <c r="E9" s="42" t="s">
        <v>2730</v>
      </c>
      <c r="F9" s="44" t="s">
        <v>2731</v>
      </c>
      <c r="G9" s="42" t="s">
        <v>2722</v>
      </c>
      <c r="H9" s="44" t="s">
        <v>2732</v>
      </c>
      <c r="I9" s="42" t="s">
        <v>2724</v>
      </c>
    </row>
    <row r="10" customFormat="false" ht="55.2" hidden="false" customHeight="false" outlineLevel="0" collapsed="false">
      <c r="A10" s="41" t="s">
        <v>899</v>
      </c>
      <c r="B10" s="42" t="s">
        <v>900</v>
      </c>
      <c r="C10" s="42" t="s">
        <v>2713</v>
      </c>
      <c r="D10" s="43" t="s">
        <v>249</v>
      </c>
      <c r="E10" s="42" t="s">
        <v>2733</v>
      </c>
      <c r="F10" s="44" t="s">
        <v>901</v>
      </c>
      <c r="G10" s="42" t="s">
        <v>2716</v>
      </c>
      <c r="H10" s="41"/>
      <c r="I10" s="42" t="s">
        <v>2718</v>
      </c>
    </row>
    <row r="11" customFormat="false" ht="41.75" hidden="false" customHeight="false" outlineLevel="0" collapsed="false">
      <c r="A11" s="41" t="s">
        <v>281</v>
      </c>
      <c r="B11" s="42" t="s">
        <v>282</v>
      </c>
      <c r="C11" s="42" t="s">
        <v>2713</v>
      </c>
      <c r="D11" s="43" t="s">
        <v>249</v>
      </c>
      <c r="E11" s="42" t="s">
        <v>2734</v>
      </c>
      <c r="F11" s="44" t="s">
        <v>2735</v>
      </c>
      <c r="G11" s="42" t="s">
        <v>2722</v>
      </c>
      <c r="H11" s="41"/>
      <c r="I11" s="42" t="s">
        <v>2718</v>
      </c>
    </row>
    <row r="12" customFormat="false" ht="68.65" hidden="false" customHeight="false" outlineLevel="0" collapsed="false">
      <c r="A12" s="41" t="s">
        <v>291</v>
      </c>
      <c r="B12" s="42" t="s">
        <v>292</v>
      </c>
      <c r="C12" s="42" t="s">
        <v>2719</v>
      </c>
      <c r="D12" s="43" t="s">
        <v>1505</v>
      </c>
      <c r="E12" s="42" t="s">
        <v>2736</v>
      </c>
      <c r="F12" s="44" t="s">
        <v>2737</v>
      </c>
      <c r="G12" s="42" t="s">
        <v>2722</v>
      </c>
      <c r="H12" s="44" t="s">
        <v>2738</v>
      </c>
      <c r="I12" s="42" t="s">
        <v>2724</v>
      </c>
    </row>
    <row r="13" customFormat="false" ht="41.75" hidden="false" customHeight="false" outlineLevel="0" collapsed="false">
      <c r="A13" s="41" t="s">
        <v>1298</v>
      </c>
      <c r="B13" s="42" t="s">
        <v>1299</v>
      </c>
      <c r="C13" s="42" t="s">
        <v>2739</v>
      </c>
      <c r="D13" s="43" t="s">
        <v>249</v>
      </c>
      <c r="E13" s="42" t="s">
        <v>2740</v>
      </c>
      <c r="F13" s="44" t="s">
        <v>2741</v>
      </c>
      <c r="G13" s="42" t="s">
        <v>2722</v>
      </c>
      <c r="H13" s="41"/>
      <c r="I13" s="42" t="s">
        <v>2718</v>
      </c>
    </row>
    <row r="14" customFormat="false" ht="68.65" hidden="false" customHeight="false" outlineLevel="0" collapsed="false">
      <c r="A14" s="41" t="s">
        <v>907</v>
      </c>
      <c r="B14" s="42" t="s">
        <v>564</v>
      </c>
      <c r="C14" s="42" t="s">
        <v>2719</v>
      </c>
      <c r="D14" s="43" t="s">
        <v>1505</v>
      </c>
      <c r="E14" s="42" t="s">
        <v>2742</v>
      </c>
      <c r="F14" s="44" t="s">
        <v>2743</v>
      </c>
      <c r="G14" s="42" t="s">
        <v>2722</v>
      </c>
      <c r="H14" s="44" t="s">
        <v>908</v>
      </c>
      <c r="I14" s="42" t="s">
        <v>2724</v>
      </c>
    </row>
    <row r="15" customFormat="false" ht="41.75" hidden="false" customHeight="false" outlineLevel="0" collapsed="false">
      <c r="A15" s="41" t="s">
        <v>910</v>
      </c>
      <c r="B15" s="42" t="s">
        <v>911</v>
      </c>
      <c r="C15" s="42" t="s">
        <v>2744</v>
      </c>
      <c r="D15" s="43" t="s">
        <v>249</v>
      </c>
      <c r="E15" s="42" t="s">
        <v>2745</v>
      </c>
      <c r="F15" s="44" t="s">
        <v>2746</v>
      </c>
      <c r="G15" s="42" t="s">
        <v>2722</v>
      </c>
      <c r="H15" s="41"/>
      <c r="I15" s="42" t="s">
        <v>2718</v>
      </c>
    </row>
    <row r="16" customFormat="false" ht="41.75" hidden="false" customHeight="false" outlineLevel="0" collapsed="false">
      <c r="A16" s="41" t="s">
        <v>296</v>
      </c>
      <c r="B16" s="42" t="s">
        <v>297</v>
      </c>
      <c r="C16" s="42" t="s">
        <v>2747</v>
      </c>
      <c r="D16" s="43" t="s">
        <v>249</v>
      </c>
      <c r="E16" s="42" t="s">
        <v>2748</v>
      </c>
      <c r="F16" s="44" t="s">
        <v>2749</v>
      </c>
      <c r="G16" s="42" t="s">
        <v>2722</v>
      </c>
      <c r="H16" s="41"/>
      <c r="I16" s="42" t="s">
        <v>2718</v>
      </c>
    </row>
    <row r="17" customFormat="false" ht="55.2" hidden="false" customHeight="false" outlineLevel="0" collapsed="false">
      <c r="A17" s="41" t="s">
        <v>1265</v>
      </c>
      <c r="B17" s="42" t="s">
        <v>1266</v>
      </c>
      <c r="C17" s="42" t="s">
        <v>2750</v>
      </c>
      <c r="D17" s="43" t="s">
        <v>1505</v>
      </c>
      <c r="E17" s="42" t="s">
        <v>2751</v>
      </c>
      <c r="F17" s="44" t="s">
        <v>2752</v>
      </c>
      <c r="G17" s="42" t="s">
        <v>2716</v>
      </c>
      <c r="H17" s="41"/>
      <c r="I17" s="42" t="s">
        <v>2724</v>
      </c>
    </row>
    <row r="18" customFormat="false" ht="55.2" hidden="false" customHeight="false" outlineLevel="0" collapsed="false">
      <c r="A18" s="41" t="s">
        <v>669</v>
      </c>
      <c r="B18" s="42" t="s">
        <v>670</v>
      </c>
      <c r="C18" s="42" t="s">
        <v>2719</v>
      </c>
      <c r="D18" s="43" t="s">
        <v>1505</v>
      </c>
      <c r="E18" s="42" t="s">
        <v>2753</v>
      </c>
      <c r="F18" s="44" t="s">
        <v>2754</v>
      </c>
      <c r="G18" s="42" t="s">
        <v>2722</v>
      </c>
      <c r="H18" s="41"/>
      <c r="I18" s="42" t="s">
        <v>2724</v>
      </c>
    </row>
    <row r="19" customFormat="false" ht="41.75" hidden="false" customHeight="false" outlineLevel="0" collapsed="false">
      <c r="A19" s="41" t="s">
        <v>584</v>
      </c>
      <c r="B19" s="42" t="s">
        <v>585</v>
      </c>
      <c r="C19" s="42" t="s">
        <v>2744</v>
      </c>
      <c r="D19" s="43" t="s">
        <v>249</v>
      </c>
      <c r="E19" s="42" t="s">
        <v>2755</v>
      </c>
      <c r="F19" s="44" t="s">
        <v>2756</v>
      </c>
      <c r="G19" s="42" t="s">
        <v>2722</v>
      </c>
      <c r="H19" s="41"/>
      <c r="I19" s="42" t="s">
        <v>2718</v>
      </c>
    </row>
    <row r="20" customFormat="false" ht="55.2" hidden="false" customHeight="false" outlineLevel="0" collapsed="false">
      <c r="A20" s="41" t="s">
        <v>305</v>
      </c>
      <c r="B20" s="42" t="s">
        <v>306</v>
      </c>
      <c r="C20" s="42" t="s">
        <v>2747</v>
      </c>
      <c r="D20" s="43" t="s">
        <v>249</v>
      </c>
      <c r="E20" s="42" t="s">
        <v>2757</v>
      </c>
      <c r="F20" s="44" t="s">
        <v>2758</v>
      </c>
      <c r="G20" s="42" t="s">
        <v>2722</v>
      </c>
      <c r="H20" s="41"/>
      <c r="I20" s="42" t="s">
        <v>2718</v>
      </c>
    </row>
    <row r="21" customFormat="false" ht="68.65" hidden="false" customHeight="false" outlineLevel="0" collapsed="false">
      <c r="A21" s="41" t="s">
        <v>844</v>
      </c>
      <c r="B21" s="42" t="s">
        <v>845</v>
      </c>
      <c r="C21" s="42" t="s">
        <v>2719</v>
      </c>
      <c r="D21" s="43" t="s">
        <v>1505</v>
      </c>
      <c r="E21" s="42" t="s">
        <v>2759</v>
      </c>
      <c r="F21" s="44" t="s">
        <v>2760</v>
      </c>
      <c r="G21" s="42" t="s">
        <v>2722</v>
      </c>
      <c r="H21" s="44" t="s">
        <v>2761</v>
      </c>
      <c r="I21" s="42" t="s">
        <v>2724</v>
      </c>
    </row>
    <row r="22" customFormat="false" ht="68.65" hidden="false" customHeight="false" outlineLevel="0" collapsed="false">
      <c r="A22" s="41" t="s">
        <v>313</v>
      </c>
      <c r="B22" s="42" t="s">
        <v>314</v>
      </c>
      <c r="C22" s="42" t="s">
        <v>2762</v>
      </c>
      <c r="D22" s="43" t="s">
        <v>249</v>
      </c>
      <c r="E22" s="42" t="s">
        <v>2763</v>
      </c>
      <c r="F22" s="44" t="s">
        <v>2764</v>
      </c>
      <c r="G22" s="42" t="s">
        <v>2716</v>
      </c>
      <c r="H22" s="41"/>
      <c r="I22" s="42" t="s">
        <v>2718</v>
      </c>
    </row>
    <row r="23" customFormat="false" ht="82.05" hidden="false" customHeight="false" outlineLevel="0" collapsed="false">
      <c r="A23" s="41" t="s">
        <v>1220</v>
      </c>
      <c r="B23" s="42" t="s">
        <v>1221</v>
      </c>
      <c r="C23" s="42" t="s">
        <v>2719</v>
      </c>
      <c r="D23" s="43" t="s">
        <v>1505</v>
      </c>
      <c r="E23" s="42" t="s">
        <v>2765</v>
      </c>
      <c r="F23" s="44" t="s">
        <v>2766</v>
      </c>
      <c r="G23" s="42" t="s">
        <v>2722</v>
      </c>
      <c r="H23" s="44" t="s">
        <v>2767</v>
      </c>
      <c r="I23" s="42" t="s">
        <v>2768</v>
      </c>
    </row>
    <row r="24" customFormat="false" ht="55.2" hidden="false" customHeight="false" outlineLevel="0" collapsed="false">
      <c r="A24" s="41" t="s">
        <v>245</v>
      </c>
      <c r="B24" s="42" t="s">
        <v>246</v>
      </c>
      <c r="C24" s="42" t="s">
        <v>2739</v>
      </c>
      <c r="D24" s="43" t="s">
        <v>249</v>
      </c>
      <c r="E24" s="42" t="s">
        <v>2769</v>
      </c>
      <c r="F24" s="44" t="s">
        <v>2770</v>
      </c>
      <c r="G24" s="42" t="s">
        <v>2722</v>
      </c>
      <c r="H24" s="41"/>
      <c r="I24" s="42" t="s">
        <v>2718</v>
      </c>
    </row>
    <row r="25" customFormat="false" ht="41.75" hidden="false" customHeight="false" outlineLevel="0" collapsed="false">
      <c r="A25" s="41" t="s">
        <v>1155</v>
      </c>
      <c r="B25" s="42" t="s">
        <v>1156</v>
      </c>
      <c r="C25" s="42" t="s">
        <v>2713</v>
      </c>
      <c r="D25" s="43" t="s">
        <v>249</v>
      </c>
      <c r="E25" s="42" t="s">
        <v>2771</v>
      </c>
      <c r="F25" s="44" t="s">
        <v>2772</v>
      </c>
      <c r="G25" s="42" t="s">
        <v>2722</v>
      </c>
      <c r="H25" s="41"/>
      <c r="I25" s="42" t="s">
        <v>2718</v>
      </c>
    </row>
    <row r="26" customFormat="false" ht="41.75" hidden="false" customHeight="false" outlineLevel="0" collapsed="false">
      <c r="A26" s="41" t="s">
        <v>322</v>
      </c>
      <c r="B26" s="42" t="s">
        <v>323</v>
      </c>
      <c r="C26" s="42" t="s">
        <v>2713</v>
      </c>
      <c r="D26" s="43" t="s">
        <v>249</v>
      </c>
      <c r="E26" s="42" t="s">
        <v>2773</v>
      </c>
      <c r="F26" s="44" t="s">
        <v>2774</v>
      </c>
      <c r="G26" s="42" t="s">
        <v>2722</v>
      </c>
      <c r="H26" s="41"/>
      <c r="I26" s="42" t="s">
        <v>2718</v>
      </c>
    </row>
    <row r="27" customFormat="false" ht="28.35" hidden="false" customHeight="false" outlineLevel="0" collapsed="false">
      <c r="A27" s="41" t="s">
        <v>329</v>
      </c>
      <c r="B27" s="42" t="s">
        <v>330</v>
      </c>
      <c r="C27" s="42" t="s">
        <v>2713</v>
      </c>
      <c r="D27" s="43" t="s">
        <v>249</v>
      </c>
      <c r="E27" s="42" t="s">
        <v>2775</v>
      </c>
      <c r="F27" s="44" t="s">
        <v>2776</v>
      </c>
      <c r="G27" s="42" t="s">
        <v>2722</v>
      </c>
      <c r="H27" s="41"/>
      <c r="I27" s="42" t="s">
        <v>2718</v>
      </c>
    </row>
    <row r="28" customFormat="false" ht="55.2" hidden="false" customHeight="false" outlineLevel="0" collapsed="false">
      <c r="A28" s="41" t="s">
        <v>336</v>
      </c>
      <c r="B28" s="42" t="s">
        <v>337</v>
      </c>
      <c r="C28" s="42" t="s">
        <v>2713</v>
      </c>
      <c r="D28" s="43" t="s">
        <v>249</v>
      </c>
      <c r="E28" s="42" t="s">
        <v>2777</v>
      </c>
      <c r="F28" s="44" t="s">
        <v>2778</v>
      </c>
      <c r="G28" s="42" t="s">
        <v>2722</v>
      </c>
      <c r="H28" s="41"/>
      <c r="I28" s="42" t="s">
        <v>2718</v>
      </c>
    </row>
    <row r="29" customFormat="false" ht="55.2" hidden="false" customHeight="false" outlineLevel="0" collapsed="false">
      <c r="A29" s="41" t="s">
        <v>1308</v>
      </c>
      <c r="B29" s="42" t="s">
        <v>1309</v>
      </c>
      <c r="C29" s="42" t="s">
        <v>2719</v>
      </c>
      <c r="D29" s="43" t="s">
        <v>1505</v>
      </c>
      <c r="E29" s="42" t="s">
        <v>2779</v>
      </c>
      <c r="F29" s="44" t="s">
        <v>2780</v>
      </c>
      <c r="G29" s="42" t="s">
        <v>2722</v>
      </c>
      <c r="H29" s="41"/>
      <c r="I29" s="42" t="s">
        <v>2724</v>
      </c>
    </row>
    <row r="30" customFormat="false" ht="55.2" hidden="false" customHeight="false" outlineLevel="0" collapsed="false">
      <c r="A30" s="41" t="s">
        <v>1399</v>
      </c>
      <c r="B30" s="42" t="s">
        <v>1400</v>
      </c>
      <c r="C30" s="42" t="s">
        <v>2744</v>
      </c>
      <c r="D30" s="43" t="s">
        <v>249</v>
      </c>
      <c r="E30" s="42" t="s">
        <v>2781</v>
      </c>
      <c r="F30" s="44" t="s">
        <v>1401</v>
      </c>
      <c r="G30" s="42" t="s">
        <v>2716</v>
      </c>
      <c r="H30" s="41"/>
      <c r="I30" s="42" t="s">
        <v>2718</v>
      </c>
    </row>
    <row r="31" customFormat="false" ht="55.2" hidden="false" customHeight="false" outlineLevel="0" collapsed="false">
      <c r="A31" s="41" t="s">
        <v>343</v>
      </c>
      <c r="B31" s="42" t="s">
        <v>344</v>
      </c>
      <c r="C31" s="42" t="s">
        <v>2739</v>
      </c>
      <c r="D31" s="43" t="s">
        <v>249</v>
      </c>
      <c r="E31" s="42" t="s">
        <v>2782</v>
      </c>
      <c r="F31" s="44" t="s">
        <v>2783</v>
      </c>
      <c r="G31" s="42" t="s">
        <v>2722</v>
      </c>
      <c r="H31" s="41"/>
      <c r="I31" s="42" t="s">
        <v>2718</v>
      </c>
    </row>
    <row r="32" customFormat="false" ht="82.05" hidden="false" customHeight="false" outlineLevel="0" collapsed="false">
      <c r="A32" s="41" t="s">
        <v>937</v>
      </c>
      <c r="B32" s="42" t="s">
        <v>938</v>
      </c>
      <c r="C32" s="42" t="s">
        <v>2719</v>
      </c>
      <c r="D32" s="43" t="s">
        <v>1505</v>
      </c>
      <c r="E32" s="42" t="s">
        <v>2784</v>
      </c>
      <c r="F32" s="44" t="s">
        <v>2785</v>
      </c>
      <c r="G32" s="42" t="s">
        <v>2722</v>
      </c>
      <c r="H32" s="44" t="s">
        <v>2786</v>
      </c>
      <c r="I32" s="42" t="s">
        <v>2724</v>
      </c>
    </row>
    <row r="33" customFormat="false" ht="68.65" hidden="false" customHeight="false" outlineLevel="0" collapsed="false">
      <c r="A33" s="41" t="s">
        <v>760</v>
      </c>
      <c r="B33" s="42" t="s">
        <v>761</v>
      </c>
      <c r="C33" s="42" t="s">
        <v>2713</v>
      </c>
      <c r="D33" s="43" t="s">
        <v>249</v>
      </c>
      <c r="E33" s="42" t="s">
        <v>2787</v>
      </c>
      <c r="F33" s="44" t="s">
        <v>2788</v>
      </c>
      <c r="G33" s="42" t="s">
        <v>2722</v>
      </c>
      <c r="H33" s="41"/>
      <c r="I33" s="42" t="s">
        <v>2718</v>
      </c>
    </row>
    <row r="34" customFormat="false" ht="41.75" hidden="false" customHeight="false" outlineLevel="0" collapsed="false">
      <c r="A34" s="41" t="s">
        <v>851</v>
      </c>
      <c r="B34" s="42" t="s">
        <v>852</v>
      </c>
      <c r="C34" s="42" t="s">
        <v>2789</v>
      </c>
      <c r="D34" s="43" t="s">
        <v>249</v>
      </c>
      <c r="E34" s="42" t="s">
        <v>2790</v>
      </c>
      <c r="F34" s="44" t="s">
        <v>2791</v>
      </c>
      <c r="G34" s="42" t="s">
        <v>2722</v>
      </c>
      <c r="H34" s="41"/>
      <c r="I34" s="42" t="s">
        <v>2718</v>
      </c>
    </row>
    <row r="35" customFormat="false" ht="55.2" hidden="false" customHeight="false" outlineLevel="0" collapsed="false">
      <c r="A35" s="41" t="s">
        <v>1225</v>
      </c>
      <c r="B35" s="42" t="s">
        <v>1226</v>
      </c>
      <c r="C35" s="42" t="s">
        <v>2713</v>
      </c>
      <c r="D35" s="43" t="s">
        <v>249</v>
      </c>
      <c r="E35" s="42" t="s">
        <v>2792</v>
      </c>
      <c r="F35" s="44" t="s">
        <v>1227</v>
      </c>
      <c r="G35" s="42" t="s">
        <v>2716</v>
      </c>
      <c r="H35" s="41"/>
      <c r="I35" s="42" t="s">
        <v>2718</v>
      </c>
    </row>
    <row r="36" customFormat="false" ht="82.05" hidden="false" customHeight="false" outlineLevel="0" collapsed="false">
      <c r="A36" s="41" t="s">
        <v>348</v>
      </c>
      <c r="B36" s="42" t="s">
        <v>349</v>
      </c>
      <c r="C36" s="42" t="s">
        <v>2719</v>
      </c>
      <c r="D36" s="43" t="s">
        <v>1505</v>
      </c>
      <c r="E36" s="42" t="s">
        <v>2793</v>
      </c>
      <c r="F36" s="44" t="s">
        <v>2794</v>
      </c>
      <c r="G36" s="42" t="s">
        <v>2722</v>
      </c>
      <c r="H36" s="44" t="s">
        <v>2795</v>
      </c>
      <c r="I36" s="42" t="s">
        <v>2796</v>
      </c>
    </row>
    <row r="37" customFormat="false" ht="41.75" hidden="false" customHeight="false" outlineLevel="0" collapsed="false">
      <c r="A37" s="41" t="s">
        <v>954</v>
      </c>
      <c r="B37" s="42" t="s">
        <v>955</v>
      </c>
      <c r="C37" s="42" t="s">
        <v>2747</v>
      </c>
      <c r="D37" s="43" t="s">
        <v>249</v>
      </c>
      <c r="E37" s="42" t="s">
        <v>2797</v>
      </c>
      <c r="F37" s="44" t="s">
        <v>2798</v>
      </c>
      <c r="G37" s="42" t="s">
        <v>2722</v>
      </c>
      <c r="H37" s="41"/>
      <c r="I37" s="42" t="s">
        <v>2718</v>
      </c>
    </row>
    <row r="38" customFormat="false" ht="55.2" hidden="false" customHeight="false" outlineLevel="0" collapsed="false">
      <c r="A38" s="41" t="s">
        <v>352</v>
      </c>
      <c r="B38" s="42" t="s">
        <v>353</v>
      </c>
      <c r="C38" s="42" t="s">
        <v>2719</v>
      </c>
      <c r="D38" s="43" t="s">
        <v>1505</v>
      </c>
      <c r="E38" s="42" t="s">
        <v>2799</v>
      </c>
      <c r="F38" s="44" t="s">
        <v>2800</v>
      </c>
      <c r="G38" s="42" t="s">
        <v>2722</v>
      </c>
      <c r="H38" s="41"/>
      <c r="I38" s="42" t="s">
        <v>2724</v>
      </c>
    </row>
    <row r="39" customFormat="false" ht="68.65" hidden="false" customHeight="false" outlineLevel="0" collapsed="false">
      <c r="A39" s="41" t="s">
        <v>356</v>
      </c>
      <c r="B39" s="42" t="s">
        <v>357</v>
      </c>
      <c r="C39" s="42" t="s">
        <v>2719</v>
      </c>
      <c r="D39" s="43" t="s">
        <v>1505</v>
      </c>
      <c r="E39" s="42" t="s">
        <v>2801</v>
      </c>
      <c r="F39" s="44" t="s">
        <v>2802</v>
      </c>
      <c r="G39" s="42" t="s">
        <v>2722</v>
      </c>
      <c r="H39" s="44" t="s">
        <v>2803</v>
      </c>
      <c r="I39" s="42" t="s">
        <v>2724</v>
      </c>
    </row>
    <row r="40" customFormat="false" ht="55.2" hidden="false" customHeight="false" outlineLevel="0" collapsed="false">
      <c r="A40" s="41" t="s">
        <v>965</v>
      </c>
      <c r="B40" s="42" t="s">
        <v>966</v>
      </c>
      <c r="C40" s="42" t="s">
        <v>2804</v>
      </c>
      <c r="D40" s="43" t="s">
        <v>249</v>
      </c>
      <c r="E40" s="42" t="s">
        <v>2805</v>
      </c>
      <c r="F40" s="44" t="s">
        <v>2806</v>
      </c>
      <c r="G40" s="42" t="s">
        <v>2716</v>
      </c>
      <c r="H40" s="41"/>
      <c r="I40" s="42" t="s">
        <v>2718</v>
      </c>
    </row>
    <row r="41" customFormat="false" ht="41.75" hidden="false" customHeight="false" outlineLevel="0" collapsed="false">
      <c r="A41" s="41" t="s">
        <v>972</v>
      </c>
      <c r="B41" s="42" t="s">
        <v>973</v>
      </c>
      <c r="C41" s="42" t="s">
        <v>2804</v>
      </c>
      <c r="D41" s="43" t="s">
        <v>249</v>
      </c>
      <c r="E41" s="42" t="s">
        <v>2807</v>
      </c>
      <c r="F41" s="44" t="s">
        <v>2808</v>
      </c>
      <c r="G41" s="42" t="s">
        <v>2722</v>
      </c>
      <c r="H41" s="41"/>
      <c r="I41" s="42" t="s">
        <v>2718</v>
      </c>
    </row>
    <row r="42" customFormat="false" ht="55.2" hidden="false" customHeight="false" outlineLevel="0" collapsed="false">
      <c r="A42" s="41" t="s">
        <v>689</v>
      </c>
      <c r="B42" s="42" t="s">
        <v>690</v>
      </c>
      <c r="C42" s="42" t="s">
        <v>2747</v>
      </c>
      <c r="D42" s="43" t="s">
        <v>249</v>
      </c>
      <c r="E42" s="42" t="s">
        <v>2809</v>
      </c>
      <c r="F42" s="44" t="s">
        <v>2810</v>
      </c>
      <c r="G42" s="42" t="s">
        <v>2722</v>
      </c>
      <c r="H42" s="41"/>
      <c r="I42" s="42" t="s">
        <v>2718</v>
      </c>
    </row>
    <row r="43" customFormat="false" ht="41.75" hidden="false" customHeight="false" outlineLevel="0" collapsed="false">
      <c r="A43" s="41" t="s">
        <v>256</v>
      </c>
      <c r="B43" s="42" t="s">
        <v>257</v>
      </c>
      <c r="C43" s="42" t="s">
        <v>2713</v>
      </c>
      <c r="D43" s="43" t="s">
        <v>249</v>
      </c>
      <c r="E43" s="42" t="s">
        <v>2811</v>
      </c>
      <c r="F43" s="44" t="s">
        <v>2812</v>
      </c>
      <c r="G43" s="42" t="s">
        <v>2722</v>
      </c>
      <c r="H43" s="41"/>
      <c r="I43" s="42" t="s">
        <v>2718</v>
      </c>
    </row>
    <row r="44" customFormat="false" ht="55.2" hidden="false" customHeight="false" outlineLevel="0" collapsed="false">
      <c r="A44" s="41" t="s">
        <v>1231</v>
      </c>
      <c r="B44" s="42" t="s">
        <v>1232</v>
      </c>
      <c r="C44" s="42" t="s">
        <v>2713</v>
      </c>
      <c r="D44" s="43" t="s">
        <v>249</v>
      </c>
      <c r="E44" s="42" t="s">
        <v>2813</v>
      </c>
      <c r="F44" s="44" t="s">
        <v>2814</v>
      </c>
      <c r="G44" s="42" t="s">
        <v>2722</v>
      </c>
      <c r="H44" s="41"/>
      <c r="I44" s="42" t="s">
        <v>2718</v>
      </c>
    </row>
    <row r="45" customFormat="false" ht="82.05" hidden="false" customHeight="false" outlineLevel="0" collapsed="false">
      <c r="A45" s="41" t="s">
        <v>362</v>
      </c>
      <c r="B45" s="42" t="s">
        <v>363</v>
      </c>
      <c r="C45" s="42" t="s">
        <v>2719</v>
      </c>
      <c r="D45" s="43" t="s">
        <v>1505</v>
      </c>
      <c r="E45" s="42" t="s">
        <v>2815</v>
      </c>
      <c r="F45" s="44" t="s">
        <v>2816</v>
      </c>
      <c r="G45" s="42" t="s">
        <v>2722</v>
      </c>
      <c r="H45" s="44" t="s">
        <v>2817</v>
      </c>
      <c r="I45" s="42" t="s">
        <v>2818</v>
      </c>
    </row>
    <row r="46" customFormat="false" ht="41.75" hidden="false" customHeight="false" outlineLevel="0" collapsed="false">
      <c r="A46" s="41" t="s">
        <v>1164</v>
      </c>
      <c r="B46" s="42" t="s">
        <v>1165</v>
      </c>
      <c r="C46" s="42" t="s">
        <v>2713</v>
      </c>
      <c r="D46" s="43" t="s">
        <v>249</v>
      </c>
      <c r="E46" s="42" t="s">
        <v>2819</v>
      </c>
      <c r="F46" s="44" t="s">
        <v>2820</v>
      </c>
      <c r="G46" s="42" t="s">
        <v>2722</v>
      </c>
      <c r="H46" s="41"/>
      <c r="I46" s="42" t="s">
        <v>2718</v>
      </c>
    </row>
    <row r="47" customFormat="false" ht="82.05" hidden="false" customHeight="false" outlineLevel="0" collapsed="false">
      <c r="A47" s="41" t="s">
        <v>1169</v>
      </c>
      <c r="B47" s="42" t="s">
        <v>1170</v>
      </c>
      <c r="C47" s="42" t="s">
        <v>2719</v>
      </c>
      <c r="D47" s="43" t="s">
        <v>1505</v>
      </c>
      <c r="E47" s="42" t="s">
        <v>2821</v>
      </c>
      <c r="F47" s="44" t="s">
        <v>2822</v>
      </c>
      <c r="G47" s="42" t="s">
        <v>2716</v>
      </c>
      <c r="H47" s="41"/>
      <c r="I47" s="42" t="s">
        <v>2818</v>
      </c>
    </row>
    <row r="48" customFormat="false" ht="135.8" hidden="false" customHeight="false" outlineLevel="0" collapsed="false">
      <c r="A48" s="41" t="s">
        <v>369</v>
      </c>
      <c r="B48" s="42" t="s">
        <v>370</v>
      </c>
      <c r="C48" s="42" t="s">
        <v>2744</v>
      </c>
      <c r="D48" s="43" t="s">
        <v>249</v>
      </c>
      <c r="E48" s="42" t="s">
        <v>2823</v>
      </c>
      <c r="F48" s="44" t="s">
        <v>2824</v>
      </c>
      <c r="G48" s="42" t="s">
        <v>2825</v>
      </c>
      <c r="H48" s="44" t="s">
        <v>2826</v>
      </c>
      <c r="I48" s="42" t="s">
        <v>2827</v>
      </c>
    </row>
    <row r="49" customFormat="false" ht="55.2" hidden="false" customHeight="false" outlineLevel="0" collapsed="false">
      <c r="A49" s="41" t="s">
        <v>982</v>
      </c>
      <c r="B49" s="42" t="s">
        <v>983</v>
      </c>
      <c r="C49" s="42" t="s">
        <v>2744</v>
      </c>
      <c r="D49" s="43" t="s">
        <v>249</v>
      </c>
      <c r="E49" s="42" t="s">
        <v>2828</v>
      </c>
      <c r="F49" s="44" t="s">
        <v>2829</v>
      </c>
      <c r="G49" s="42" t="s">
        <v>2722</v>
      </c>
      <c r="H49" s="41"/>
      <c r="I49" s="42" t="s">
        <v>2718</v>
      </c>
    </row>
    <row r="50" customFormat="false" ht="68.65" hidden="false" customHeight="false" outlineLevel="0" collapsed="false">
      <c r="A50" s="41" t="s">
        <v>376</v>
      </c>
      <c r="B50" s="42" t="s">
        <v>377</v>
      </c>
      <c r="C50" s="42" t="s">
        <v>2719</v>
      </c>
      <c r="D50" s="43" t="s">
        <v>1505</v>
      </c>
      <c r="E50" s="42" t="s">
        <v>2830</v>
      </c>
      <c r="F50" s="44" t="s">
        <v>2831</v>
      </c>
      <c r="G50" s="42" t="s">
        <v>2722</v>
      </c>
      <c r="H50" s="44" t="s">
        <v>2832</v>
      </c>
      <c r="I50" s="42" t="s">
        <v>2818</v>
      </c>
    </row>
    <row r="51" customFormat="false" ht="41.75" hidden="false" customHeight="false" outlineLevel="0" collapsed="false">
      <c r="A51" s="41" t="s">
        <v>383</v>
      </c>
      <c r="B51" s="42" t="s">
        <v>384</v>
      </c>
      <c r="C51" s="42" t="s">
        <v>2719</v>
      </c>
      <c r="D51" s="43" t="s">
        <v>1505</v>
      </c>
      <c r="E51" s="42" t="s">
        <v>2833</v>
      </c>
      <c r="F51" s="44" t="s">
        <v>2834</v>
      </c>
      <c r="G51" s="42" t="s">
        <v>2722</v>
      </c>
      <c r="H51" s="41"/>
      <c r="I51" s="42" t="s">
        <v>2724</v>
      </c>
    </row>
    <row r="52" customFormat="false" ht="68.65" hidden="false" customHeight="false" outlineLevel="0" collapsed="false">
      <c r="A52" s="41" t="s">
        <v>694</v>
      </c>
      <c r="B52" s="42" t="s">
        <v>695</v>
      </c>
      <c r="C52" s="42" t="s">
        <v>2719</v>
      </c>
      <c r="D52" s="43" t="s">
        <v>1505</v>
      </c>
      <c r="E52" s="42" t="s">
        <v>2835</v>
      </c>
      <c r="F52" s="44" t="s">
        <v>2836</v>
      </c>
      <c r="G52" s="42" t="s">
        <v>2722</v>
      </c>
      <c r="H52" s="44" t="s">
        <v>2837</v>
      </c>
      <c r="I52" s="42" t="s">
        <v>2724</v>
      </c>
    </row>
    <row r="53" customFormat="false" ht="41.75" hidden="false" customHeight="false" outlineLevel="0" collapsed="false">
      <c r="A53" s="41" t="s">
        <v>387</v>
      </c>
      <c r="B53" s="42" t="s">
        <v>388</v>
      </c>
      <c r="C53" s="42" t="s">
        <v>2713</v>
      </c>
      <c r="D53" s="43" t="s">
        <v>249</v>
      </c>
      <c r="E53" s="42" t="s">
        <v>2838</v>
      </c>
      <c r="F53" s="44" t="s">
        <v>2839</v>
      </c>
      <c r="G53" s="42" t="s">
        <v>2722</v>
      </c>
      <c r="H53" s="41"/>
      <c r="I53" s="42" t="s">
        <v>2718</v>
      </c>
    </row>
    <row r="54" customFormat="false" ht="68.65" hidden="false" customHeight="false" outlineLevel="0" collapsed="false">
      <c r="A54" s="41" t="s">
        <v>394</v>
      </c>
      <c r="B54" s="42" t="s">
        <v>395</v>
      </c>
      <c r="C54" s="42" t="s">
        <v>2719</v>
      </c>
      <c r="D54" s="43" t="s">
        <v>1505</v>
      </c>
      <c r="E54" s="42" t="s">
        <v>2840</v>
      </c>
      <c r="F54" s="44" t="s">
        <v>2841</v>
      </c>
      <c r="G54" s="42" t="s">
        <v>2722</v>
      </c>
      <c r="H54" s="44" t="s">
        <v>2842</v>
      </c>
      <c r="I54" s="42" t="s">
        <v>2724</v>
      </c>
    </row>
    <row r="55" customFormat="false" ht="68.65" hidden="false" customHeight="false" outlineLevel="0" collapsed="false">
      <c r="A55" s="41" t="s">
        <v>774</v>
      </c>
      <c r="B55" s="42" t="s">
        <v>775</v>
      </c>
      <c r="C55" s="42" t="s">
        <v>2719</v>
      </c>
      <c r="D55" s="43" t="s">
        <v>1505</v>
      </c>
      <c r="E55" s="42" t="s">
        <v>2843</v>
      </c>
      <c r="F55" s="44" t="s">
        <v>2844</v>
      </c>
      <c r="G55" s="42" t="s">
        <v>2722</v>
      </c>
      <c r="H55" s="44" t="s">
        <v>2845</v>
      </c>
      <c r="I55" s="42" t="s">
        <v>2724</v>
      </c>
    </row>
    <row r="56" customFormat="false" ht="55.2" hidden="false" customHeight="false" outlineLevel="0" collapsed="false">
      <c r="A56" s="41" t="s">
        <v>1452</v>
      </c>
      <c r="B56" s="42" t="s">
        <v>1453</v>
      </c>
      <c r="C56" s="42" t="s">
        <v>2719</v>
      </c>
      <c r="D56" s="43" t="s">
        <v>1505</v>
      </c>
      <c r="E56" s="42" t="s">
        <v>2846</v>
      </c>
      <c r="F56" s="44" t="s">
        <v>2847</v>
      </c>
      <c r="G56" s="42" t="s">
        <v>2722</v>
      </c>
      <c r="H56" s="41"/>
      <c r="I56" s="42" t="s">
        <v>2724</v>
      </c>
    </row>
    <row r="57" customFormat="false" ht="68.65" hidden="false" customHeight="false" outlineLevel="0" collapsed="false">
      <c r="A57" s="41" t="s">
        <v>1273</v>
      </c>
      <c r="B57" s="42" t="s">
        <v>1274</v>
      </c>
      <c r="C57" s="42" t="s">
        <v>2719</v>
      </c>
      <c r="D57" s="43" t="s">
        <v>1505</v>
      </c>
      <c r="E57" s="42" t="s">
        <v>2848</v>
      </c>
      <c r="F57" s="44" t="s">
        <v>2849</v>
      </c>
      <c r="G57" s="42" t="s">
        <v>2722</v>
      </c>
      <c r="H57" s="44" t="s">
        <v>2850</v>
      </c>
      <c r="I57" s="42" t="s">
        <v>2724</v>
      </c>
    </row>
    <row r="58" customFormat="false" ht="55.2" hidden="false" customHeight="false" outlineLevel="0" collapsed="false">
      <c r="A58" s="41" t="s">
        <v>1178</v>
      </c>
      <c r="B58" s="42" t="s">
        <v>1179</v>
      </c>
      <c r="C58" s="42" t="s">
        <v>2719</v>
      </c>
      <c r="D58" s="43" t="s">
        <v>1505</v>
      </c>
      <c r="E58" s="42" t="s">
        <v>2851</v>
      </c>
      <c r="F58" s="44" t="s">
        <v>2852</v>
      </c>
      <c r="G58" s="42" t="s">
        <v>2722</v>
      </c>
      <c r="H58" s="41"/>
      <c r="I58" s="42" t="s">
        <v>2724</v>
      </c>
    </row>
    <row r="59" customFormat="false" ht="41.75" hidden="false" customHeight="false" outlineLevel="0" collapsed="false">
      <c r="A59" s="41" t="s">
        <v>1181</v>
      </c>
      <c r="B59" s="42" t="s">
        <v>1182</v>
      </c>
      <c r="C59" s="42" t="s">
        <v>2713</v>
      </c>
      <c r="D59" s="43" t="s">
        <v>249</v>
      </c>
      <c r="E59" s="42" t="s">
        <v>2853</v>
      </c>
      <c r="F59" s="44" t="s">
        <v>2854</v>
      </c>
      <c r="G59" s="42" t="s">
        <v>2722</v>
      </c>
      <c r="H59" s="41"/>
      <c r="I59" s="42" t="s">
        <v>2718</v>
      </c>
    </row>
    <row r="60" customFormat="false" ht="55.2" hidden="false" customHeight="false" outlineLevel="0" collapsed="false">
      <c r="A60" s="41" t="s">
        <v>702</v>
      </c>
      <c r="B60" s="42" t="s">
        <v>703</v>
      </c>
      <c r="C60" s="42" t="s">
        <v>2719</v>
      </c>
      <c r="D60" s="43" t="s">
        <v>1505</v>
      </c>
      <c r="E60" s="42" t="s">
        <v>2855</v>
      </c>
      <c r="F60" s="44" t="s">
        <v>2856</v>
      </c>
      <c r="G60" s="42" t="s">
        <v>2722</v>
      </c>
      <c r="H60" s="41"/>
      <c r="I60" s="42" t="s">
        <v>2724</v>
      </c>
    </row>
    <row r="61" customFormat="false" ht="68.65" hidden="false" customHeight="false" outlineLevel="0" collapsed="false">
      <c r="A61" s="41" t="s">
        <v>401</v>
      </c>
      <c r="B61" s="42" t="s">
        <v>402</v>
      </c>
      <c r="C61" s="42" t="s">
        <v>2857</v>
      </c>
      <c r="D61" s="43" t="s">
        <v>249</v>
      </c>
      <c r="E61" s="42" t="s">
        <v>2858</v>
      </c>
      <c r="F61" s="44" t="s">
        <v>2859</v>
      </c>
      <c r="G61" s="42" t="s">
        <v>2716</v>
      </c>
      <c r="H61" s="41"/>
      <c r="I61" s="42" t="s">
        <v>2718</v>
      </c>
    </row>
    <row r="62" customFormat="false" ht="55.2" hidden="false" customHeight="false" outlineLevel="0" collapsed="false">
      <c r="A62" s="41" t="s">
        <v>1004</v>
      </c>
      <c r="B62" s="42" t="s">
        <v>1005</v>
      </c>
      <c r="C62" s="42" t="s">
        <v>2719</v>
      </c>
      <c r="D62" s="43" t="s">
        <v>1505</v>
      </c>
      <c r="E62" s="42" t="s">
        <v>2860</v>
      </c>
      <c r="F62" s="44" t="s">
        <v>2861</v>
      </c>
      <c r="G62" s="42" t="s">
        <v>2722</v>
      </c>
      <c r="H62" s="41"/>
      <c r="I62" s="42" t="s">
        <v>2818</v>
      </c>
    </row>
    <row r="63" customFormat="false" ht="41.75" hidden="false" customHeight="false" outlineLevel="0" collapsed="false">
      <c r="A63" s="41" t="s">
        <v>1457</v>
      </c>
      <c r="B63" s="42" t="s">
        <v>1458</v>
      </c>
      <c r="C63" s="42" t="s">
        <v>2719</v>
      </c>
      <c r="D63" s="43" t="s">
        <v>1505</v>
      </c>
      <c r="E63" s="42" t="s">
        <v>2862</v>
      </c>
      <c r="F63" s="44" t="s">
        <v>2863</v>
      </c>
      <c r="G63" s="42" t="s">
        <v>2716</v>
      </c>
      <c r="H63" s="41"/>
      <c r="I63" s="42" t="s">
        <v>2724</v>
      </c>
    </row>
    <row r="64" customFormat="false" ht="68.65" hidden="false" customHeight="false" outlineLevel="0" collapsed="false">
      <c r="A64" s="41" t="s">
        <v>408</v>
      </c>
      <c r="B64" s="42" t="s">
        <v>409</v>
      </c>
      <c r="C64" s="42" t="s">
        <v>2719</v>
      </c>
      <c r="D64" s="43" t="s">
        <v>1505</v>
      </c>
      <c r="E64" s="42" t="s">
        <v>2864</v>
      </c>
      <c r="F64" s="44" t="s">
        <v>2865</v>
      </c>
      <c r="G64" s="42" t="s">
        <v>2722</v>
      </c>
      <c r="H64" s="44" t="s">
        <v>2866</v>
      </c>
      <c r="I64" s="42" t="s">
        <v>2818</v>
      </c>
    </row>
    <row r="65" customFormat="false" ht="41.75" hidden="false" customHeight="false" outlineLevel="0" collapsed="false">
      <c r="A65" s="41" t="s">
        <v>412</v>
      </c>
      <c r="B65" s="42" t="s">
        <v>413</v>
      </c>
      <c r="C65" s="42" t="s">
        <v>2789</v>
      </c>
      <c r="D65" s="43" t="s">
        <v>249</v>
      </c>
      <c r="E65" s="42" t="s">
        <v>2867</v>
      </c>
      <c r="F65" s="44" t="s">
        <v>2868</v>
      </c>
      <c r="G65" s="42" t="s">
        <v>2722</v>
      </c>
      <c r="H65" s="41"/>
      <c r="I65" s="42" t="s">
        <v>2718</v>
      </c>
    </row>
    <row r="66" customFormat="false" ht="55.2" hidden="false" customHeight="false" outlineLevel="0" collapsed="false">
      <c r="A66" s="41" t="s">
        <v>416</v>
      </c>
      <c r="B66" s="42" t="s">
        <v>417</v>
      </c>
      <c r="C66" s="42" t="s">
        <v>2713</v>
      </c>
      <c r="D66" s="43" t="s">
        <v>249</v>
      </c>
      <c r="E66" s="42" t="s">
        <v>2869</v>
      </c>
      <c r="F66" s="44" t="s">
        <v>2870</v>
      </c>
      <c r="G66" s="42" t="s">
        <v>2722</v>
      </c>
      <c r="H66" s="41"/>
      <c r="I66" s="42" t="s">
        <v>2718</v>
      </c>
    </row>
    <row r="67" customFormat="false" ht="41.75" hidden="false" customHeight="false" outlineLevel="0" collapsed="false">
      <c r="A67" s="41" t="s">
        <v>262</v>
      </c>
      <c r="B67" s="42" t="s">
        <v>263</v>
      </c>
      <c r="C67" s="42" t="s">
        <v>2739</v>
      </c>
      <c r="D67" s="43" t="s">
        <v>249</v>
      </c>
      <c r="E67" s="42" t="s">
        <v>2871</v>
      </c>
      <c r="F67" s="44" t="s">
        <v>2872</v>
      </c>
      <c r="G67" s="42" t="s">
        <v>2722</v>
      </c>
      <c r="H67" s="41"/>
      <c r="I67" s="42" t="s">
        <v>2718</v>
      </c>
    </row>
    <row r="68" customFormat="false" ht="82.05" hidden="false" customHeight="false" outlineLevel="0" collapsed="false">
      <c r="A68" s="41" t="s">
        <v>1209</v>
      </c>
      <c r="B68" s="42" t="s">
        <v>1210</v>
      </c>
      <c r="C68" s="42" t="s">
        <v>2719</v>
      </c>
      <c r="D68" s="43" t="s">
        <v>1505</v>
      </c>
      <c r="E68" s="42" t="s">
        <v>2873</v>
      </c>
      <c r="F68" s="44" t="s">
        <v>2874</v>
      </c>
      <c r="G68" s="42" t="s">
        <v>2722</v>
      </c>
      <c r="H68" s="44" t="s">
        <v>2875</v>
      </c>
      <c r="I68" s="42" t="s">
        <v>2724</v>
      </c>
    </row>
    <row r="69" customFormat="false" ht="41.75" hidden="false" customHeight="false" outlineLevel="0" collapsed="false">
      <c r="A69" s="41" t="s">
        <v>858</v>
      </c>
      <c r="B69" s="42" t="s">
        <v>859</v>
      </c>
      <c r="C69" s="42" t="s">
        <v>2713</v>
      </c>
      <c r="D69" s="43" t="s">
        <v>249</v>
      </c>
      <c r="E69" s="42" t="s">
        <v>2876</v>
      </c>
      <c r="F69" s="44" t="s">
        <v>2877</v>
      </c>
      <c r="G69" s="42" t="s">
        <v>2722</v>
      </c>
      <c r="H69" s="41"/>
      <c r="I69" s="42" t="s">
        <v>2718</v>
      </c>
    </row>
    <row r="70" customFormat="false" ht="68.65" hidden="false" customHeight="false" outlineLevel="0" collapsed="false">
      <c r="A70" s="41" t="s">
        <v>1364</v>
      </c>
      <c r="B70" s="42" t="s">
        <v>488</v>
      </c>
      <c r="C70" s="42" t="s">
        <v>2719</v>
      </c>
      <c r="D70" s="43" t="s">
        <v>1505</v>
      </c>
      <c r="E70" s="42" t="s">
        <v>2878</v>
      </c>
      <c r="F70" s="44" t="s">
        <v>2879</v>
      </c>
      <c r="G70" s="42" t="s">
        <v>2722</v>
      </c>
      <c r="H70" s="44" t="s">
        <v>2880</v>
      </c>
      <c r="I70" s="42" t="s">
        <v>2881</v>
      </c>
    </row>
    <row r="71" customFormat="false" ht="41.75" hidden="false" customHeight="false" outlineLevel="0" collapsed="false">
      <c r="A71" s="41" t="s">
        <v>1405</v>
      </c>
      <c r="B71" s="42" t="s">
        <v>1406</v>
      </c>
      <c r="C71" s="42" t="s">
        <v>2739</v>
      </c>
      <c r="D71" s="43" t="s">
        <v>249</v>
      </c>
      <c r="E71" s="42" t="s">
        <v>2882</v>
      </c>
      <c r="F71" s="44" t="s">
        <v>2883</v>
      </c>
      <c r="G71" s="42" t="s">
        <v>2722</v>
      </c>
      <c r="H71" s="41"/>
      <c r="I71" s="42" t="s">
        <v>2718</v>
      </c>
    </row>
    <row r="72" customFormat="false" ht="41.75" hidden="false" customHeight="false" outlineLevel="0" collapsed="false">
      <c r="A72" s="41" t="s">
        <v>1461</v>
      </c>
      <c r="B72" s="42" t="s">
        <v>413</v>
      </c>
      <c r="C72" s="42" t="s">
        <v>2739</v>
      </c>
      <c r="D72" s="43" t="s">
        <v>249</v>
      </c>
      <c r="E72" s="42" t="s">
        <v>2884</v>
      </c>
      <c r="F72" s="44" t="s">
        <v>2885</v>
      </c>
      <c r="G72" s="42" t="s">
        <v>2722</v>
      </c>
      <c r="H72" s="41"/>
      <c r="I72" s="42" t="s">
        <v>2718</v>
      </c>
    </row>
    <row r="73" customFormat="false" ht="41.75" hidden="false" customHeight="false" outlineLevel="0" collapsed="false">
      <c r="A73" s="41" t="s">
        <v>1409</v>
      </c>
      <c r="B73" s="42" t="s">
        <v>1410</v>
      </c>
      <c r="C73" s="42" t="s">
        <v>2804</v>
      </c>
      <c r="D73" s="43" t="s">
        <v>249</v>
      </c>
      <c r="E73" s="42" t="s">
        <v>2886</v>
      </c>
      <c r="F73" s="44" t="s">
        <v>2887</v>
      </c>
      <c r="G73" s="42" t="s">
        <v>2722</v>
      </c>
      <c r="H73" s="41"/>
      <c r="I73" s="42" t="s">
        <v>2718</v>
      </c>
    </row>
    <row r="74" customFormat="false" ht="41.75" hidden="false" customHeight="false" outlineLevel="0" collapsed="false">
      <c r="A74" s="41" t="s">
        <v>427</v>
      </c>
      <c r="B74" s="42" t="s">
        <v>428</v>
      </c>
      <c r="C74" s="42" t="s">
        <v>2713</v>
      </c>
      <c r="D74" s="43" t="s">
        <v>249</v>
      </c>
      <c r="E74" s="42" t="s">
        <v>2888</v>
      </c>
      <c r="F74" s="44" t="s">
        <v>2889</v>
      </c>
      <c r="G74" s="42" t="s">
        <v>2722</v>
      </c>
      <c r="H74" s="41"/>
      <c r="I74" s="42" t="s">
        <v>2718</v>
      </c>
    </row>
    <row r="75" customFormat="false" ht="41.75" hidden="false" customHeight="false" outlineLevel="0" collapsed="false">
      <c r="A75" s="41" t="s">
        <v>601</v>
      </c>
      <c r="B75" s="42" t="s">
        <v>602</v>
      </c>
      <c r="C75" s="42" t="s">
        <v>2713</v>
      </c>
      <c r="D75" s="43" t="s">
        <v>249</v>
      </c>
      <c r="E75" s="42" t="s">
        <v>2890</v>
      </c>
      <c r="F75" s="44" t="s">
        <v>2891</v>
      </c>
      <c r="G75" s="42" t="s">
        <v>2722</v>
      </c>
      <c r="H75" s="41"/>
      <c r="I75" s="42" t="s">
        <v>2718</v>
      </c>
    </row>
    <row r="76" customFormat="false" ht="41.75" hidden="false" customHeight="false" outlineLevel="0" collapsed="false">
      <c r="A76" s="41" t="s">
        <v>1021</v>
      </c>
      <c r="B76" s="42" t="s">
        <v>1022</v>
      </c>
      <c r="C76" s="42" t="s">
        <v>2744</v>
      </c>
      <c r="D76" s="43" t="s">
        <v>249</v>
      </c>
      <c r="E76" s="42" t="s">
        <v>2892</v>
      </c>
      <c r="F76" s="44" t="s">
        <v>2893</v>
      </c>
      <c r="G76" s="42" t="s">
        <v>2722</v>
      </c>
      <c r="H76" s="41"/>
      <c r="I76" s="42" t="s">
        <v>2718</v>
      </c>
    </row>
    <row r="77" customFormat="false" ht="68.65" hidden="false" customHeight="false" outlineLevel="0" collapsed="false">
      <c r="A77" s="41" t="s">
        <v>1415</v>
      </c>
      <c r="B77" s="42" t="s">
        <v>1416</v>
      </c>
      <c r="C77" s="42" t="s">
        <v>2894</v>
      </c>
      <c r="D77" s="43" t="s">
        <v>249</v>
      </c>
      <c r="E77" s="42" t="s">
        <v>2895</v>
      </c>
      <c r="F77" s="44" t="s">
        <v>2896</v>
      </c>
      <c r="G77" s="42" t="s">
        <v>2716</v>
      </c>
      <c r="H77" s="41"/>
      <c r="I77" s="42" t="s">
        <v>2718</v>
      </c>
    </row>
    <row r="78" customFormat="false" ht="41.75" hidden="false" customHeight="false" outlineLevel="0" collapsed="false">
      <c r="A78" s="41" t="s">
        <v>434</v>
      </c>
      <c r="B78" s="42" t="s">
        <v>435</v>
      </c>
      <c r="C78" s="42" t="s">
        <v>2719</v>
      </c>
      <c r="D78" s="43" t="s">
        <v>1505</v>
      </c>
      <c r="E78" s="42" t="s">
        <v>2897</v>
      </c>
      <c r="F78" s="44" t="s">
        <v>2898</v>
      </c>
      <c r="G78" s="42" t="s">
        <v>2716</v>
      </c>
      <c r="H78" s="41"/>
      <c r="I78" s="42" t="s">
        <v>2818</v>
      </c>
    </row>
    <row r="79" customFormat="false" ht="82.05" hidden="false" customHeight="false" outlineLevel="0" collapsed="false">
      <c r="A79" s="41" t="s">
        <v>1029</v>
      </c>
      <c r="B79" s="42" t="s">
        <v>1030</v>
      </c>
      <c r="C79" s="42" t="s">
        <v>2719</v>
      </c>
      <c r="D79" s="43" t="s">
        <v>1505</v>
      </c>
      <c r="E79" s="42" t="s">
        <v>2899</v>
      </c>
      <c r="F79" s="44" t="s">
        <v>2900</v>
      </c>
      <c r="G79" s="42" t="s">
        <v>2722</v>
      </c>
      <c r="H79" s="44" t="s">
        <v>2901</v>
      </c>
      <c r="I79" s="42" t="s">
        <v>2724</v>
      </c>
    </row>
    <row r="80" customFormat="false" ht="82.05" hidden="false" customHeight="false" outlineLevel="0" collapsed="false">
      <c r="A80" s="41" t="s">
        <v>1466</v>
      </c>
      <c r="B80" s="42" t="s">
        <v>1467</v>
      </c>
      <c r="C80" s="42" t="s">
        <v>2902</v>
      </c>
      <c r="D80" s="43" t="s">
        <v>249</v>
      </c>
      <c r="E80" s="42" t="s">
        <v>2903</v>
      </c>
      <c r="F80" s="44" t="s">
        <v>2904</v>
      </c>
      <c r="G80" s="42" t="s">
        <v>2716</v>
      </c>
      <c r="H80" s="44" t="s">
        <v>2905</v>
      </c>
      <c r="I80" s="42" t="s">
        <v>2718</v>
      </c>
    </row>
    <row r="81" customFormat="false" ht="41.75" hidden="false" customHeight="false" outlineLevel="0" collapsed="false">
      <c r="A81" s="41" t="s">
        <v>1470</v>
      </c>
      <c r="B81" s="42" t="s">
        <v>1471</v>
      </c>
      <c r="C81" s="42" t="s">
        <v>2719</v>
      </c>
      <c r="D81" s="43" t="s">
        <v>1505</v>
      </c>
      <c r="E81" s="42" t="s">
        <v>2906</v>
      </c>
      <c r="F81" s="44" t="s">
        <v>2907</v>
      </c>
      <c r="G81" s="42" t="s">
        <v>2722</v>
      </c>
      <c r="H81" s="41"/>
      <c r="I81" s="42" t="s">
        <v>2818</v>
      </c>
    </row>
    <row r="82" customFormat="false" ht="41.75" hidden="false" customHeight="false" outlineLevel="0" collapsed="false">
      <c r="A82" s="41" t="s">
        <v>606</v>
      </c>
      <c r="B82" s="42" t="s">
        <v>607</v>
      </c>
      <c r="C82" s="42" t="s">
        <v>2744</v>
      </c>
      <c r="D82" s="43" t="s">
        <v>249</v>
      </c>
      <c r="E82" s="42" t="s">
        <v>2908</v>
      </c>
      <c r="F82" s="44" t="s">
        <v>2909</v>
      </c>
      <c r="G82" s="42" t="s">
        <v>2722</v>
      </c>
      <c r="H82" s="41"/>
      <c r="I82" s="42" t="s">
        <v>2718</v>
      </c>
    </row>
    <row r="83" customFormat="false" ht="41.75" hidden="false" customHeight="false" outlineLevel="0" collapsed="false">
      <c r="A83" s="41" t="s">
        <v>611</v>
      </c>
      <c r="B83" s="42" t="s">
        <v>612</v>
      </c>
      <c r="C83" s="42" t="s">
        <v>2804</v>
      </c>
      <c r="D83" s="43" t="s">
        <v>249</v>
      </c>
      <c r="E83" s="42" t="s">
        <v>2910</v>
      </c>
      <c r="F83" s="44" t="s">
        <v>2911</v>
      </c>
      <c r="G83" s="42" t="s">
        <v>2722</v>
      </c>
      <c r="H83" s="41"/>
      <c r="I83" s="42" t="s">
        <v>2718</v>
      </c>
    </row>
    <row r="84" customFormat="false" ht="68.65" hidden="false" customHeight="false" outlineLevel="0" collapsed="false">
      <c r="A84" s="41" t="s">
        <v>1035</v>
      </c>
      <c r="B84" s="42" t="s">
        <v>966</v>
      </c>
      <c r="C84" s="42" t="s">
        <v>2912</v>
      </c>
      <c r="D84" s="43" t="s">
        <v>249</v>
      </c>
      <c r="E84" s="42" t="s">
        <v>2913</v>
      </c>
      <c r="F84" s="44" t="s">
        <v>2914</v>
      </c>
      <c r="G84" s="42" t="s">
        <v>2716</v>
      </c>
      <c r="H84" s="41"/>
      <c r="I84" s="42" t="s">
        <v>2718</v>
      </c>
    </row>
    <row r="85" customFormat="false" ht="82.05" hidden="false" customHeight="false" outlineLevel="0" collapsed="false">
      <c r="A85" s="41" t="s">
        <v>1236</v>
      </c>
      <c r="B85" s="42" t="s">
        <v>1237</v>
      </c>
      <c r="C85" s="42" t="s">
        <v>2719</v>
      </c>
      <c r="D85" s="43" t="s">
        <v>1505</v>
      </c>
      <c r="E85" s="42" t="s">
        <v>2915</v>
      </c>
      <c r="F85" s="44" t="s">
        <v>2916</v>
      </c>
      <c r="G85" s="42" t="s">
        <v>2722</v>
      </c>
      <c r="H85" s="44" t="s">
        <v>2917</v>
      </c>
      <c r="I85" s="42" t="s">
        <v>2724</v>
      </c>
    </row>
    <row r="86" customFormat="false" ht="82.05" hidden="false" customHeight="false" outlineLevel="0" collapsed="false">
      <c r="A86" s="41" t="s">
        <v>864</v>
      </c>
      <c r="B86" s="42" t="s">
        <v>865</v>
      </c>
      <c r="C86" s="42" t="s">
        <v>2918</v>
      </c>
      <c r="D86" s="43" t="s">
        <v>249</v>
      </c>
      <c r="E86" s="42" t="s">
        <v>2919</v>
      </c>
      <c r="F86" s="44" t="s">
        <v>2920</v>
      </c>
      <c r="G86" s="42" t="s">
        <v>2716</v>
      </c>
      <c r="H86" s="44" t="s">
        <v>2921</v>
      </c>
      <c r="I86" s="42" t="s">
        <v>2718</v>
      </c>
    </row>
    <row r="87" customFormat="false" ht="41.75" hidden="false" customHeight="false" outlineLevel="0" collapsed="false">
      <c r="A87" s="41" t="s">
        <v>1242</v>
      </c>
      <c r="B87" s="42" t="s">
        <v>1243</v>
      </c>
      <c r="C87" s="42" t="s">
        <v>2713</v>
      </c>
      <c r="D87" s="43" t="s">
        <v>249</v>
      </c>
      <c r="E87" s="42" t="s">
        <v>2922</v>
      </c>
      <c r="F87" s="44" t="s">
        <v>2923</v>
      </c>
      <c r="G87" s="42" t="s">
        <v>2722</v>
      </c>
      <c r="H87" s="41"/>
      <c r="I87" s="42" t="s">
        <v>2718</v>
      </c>
    </row>
    <row r="88" customFormat="false" ht="55.2" hidden="false" customHeight="false" outlineLevel="0" collapsed="false">
      <c r="A88" s="41" t="s">
        <v>869</v>
      </c>
      <c r="B88" s="42" t="s">
        <v>870</v>
      </c>
      <c r="C88" s="42" t="s">
        <v>2713</v>
      </c>
      <c r="D88" s="43" t="s">
        <v>249</v>
      </c>
      <c r="E88" s="42" t="s">
        <v>2924</v>
      </c>
      <c r="F88" s="44" t="s">
        <v>2925</v>
      </c>
      <c r="G88" s="42" t="s">
        <v>2722</v>
      </c>
      <c r="H88" s="41"/>
      <c r="I88" s="42" t="s">
        <v>2718</v>
      </c>
    </row>
    <row r="89" customFormat="false" ht="55.2" hidden="false" customHeight="false" outlineLevel="0" collapsed="false">
      <c r="A89" s="41" t="s">
        <v>616</v>
      </c>
      <c r="B89" s="42" t="s">
        <v>617</v>
      </c>
      <c r="C89" s="42" t="s">
        <v>2926</v>
      </c>
      <c r="D89" s="43" t="s">
        <v>249</v>
      </c>
      <c r="E89" s="42" t="s">
        <v>2927</v>
      </c>
      <c r="F89" s="44" t="s">
        <v>2928</v>
      </c>
      <c r="G89" s="42" t="s">
        <v>2716</v>
      </c>
      <c r="H89" s="41"/>
      <c r="I89" s="42" t="s">
        <v>2718</v>
      </c>
    </row>
    <row r="90" customFormat="false" ht="41.75" hidden="false" customHeight="false" outlineLevel="0" collapsed="false">
      <c r="A90" s="41" t="s">
        <v>439</v>
      </c>
      <c r="B90" s="42" t="s">
        <v>440</v>
      </c>
      <c r="C90" s="42" t="s">
        <v>2789</v>
      </c>
      <c r="D90" s="43" t="s">
        <v>249</v>
      </c>
      <c r="E90" s="42" t="s">
        <v>2929</v>
      </c>
      <c r="F90" s="44" t="s">
        <v>2930</v>
      </c>
      <c r="G90" s="42" t="s">
        <v>2722</v>
      </c>
      <c r="H90" s="41"/>
      <c r="I90" s="42" t="s">
        <v>2718</v>
      </c>
    </row>
    <row r="91" customFormat="false" ht="82.05" hidden="false" customHeight="false" outlineLevel="0" collapsed="false">
      <c r="A91" s="41" t="s">
        <v>444</v>
      </c>
      <c r="B91" s="42" t="s">
        <v>445</v>
      </c>
      <c r="C91" s="42" t="s">
        <v>2719</v>
      </c>
      <c r="D91" s="43" t="s">
        <v>1505</v>
      </c>
      <c r="E91" s="42" t="s">
        <v>2931</v>
      </c>
      <c r="F91" s="44" t="s">
        <v>2932</v>
      </c>
      <c r="G91" s="42" t="s">
        <v>2722</v>
      </c>
      <c r="H91" s="44" t="s">
        <v>2933</v>
      </c>
      <c r="I91" s="42" t="s">
        <v>2724</v>
      </c>
    </row>
    <row r="92" customFormat="false" ht="68.65" hidden="false" customHeight="false" outlineLevel="0" collapsed="false">
      <c r="A92" s="41" t="s">
        <v>451</v>
      </c>
      <c r="B92" s="42" t="s">
        <v>452</v>
      </c>
      <c r="C92" s="42" t="s">
        <v>2719</v>
      </c>
      <c r="D92" s="43" t="s">
        <v>1505</v>
      </c>
      <c r="E92" s="42" t="s">
        <v>2934</v>
      </c>
      <c r="F92" s="44" t="s">
        <v>2935</v>
      </c>
      <c r="G92" s="42" t="s">
        <v>2722</v>
      </c>
      <c r="H92" s="44" t="s">
        <v>2936</v>
      </c>
      <c r="I92" s="42" t="s">
        <v>2937</v>
      </c>
    </row>
    <row r="93" customFormat="false" ht="68.65" hidden="false" customHeight="false" outlineLevel="0" collapsed="false">
      <c r="A93" s="41" t="s">
        <v>459</v>
      </c>
      <c r="B93" s="42" t="s">
        <v>460</v>
      </c>
      <c r="C93" s="42" t="s">
        <v>2719</v>
      </c>
      <c r="D93" s="43" t="s">
        <v>1505</v>
      </c>
      <c r="E93" s="42" t="s">
        <v>2938</v>
      </c>
      <c r="F93" s="44" t="s">
        <v>2939</v>
      </c>
      <c r="G93" s="42" t="s">
        <v>2722</v>
      </c>
      <c r="H93" s="44" t="s">
        <v>2940</v>
      </c>
      <c r="I93" s="42" t="s">
        <v>2724</v>
      </c>
    </row>
    <row r="94" customFormat="false" ht="68.65" hidden="false" customHeight="false" outlineLevel="0" collapsed="false">
      <c r="A94" s="41" t="s">
        <v>1419</v>
      </c>
      <c r="B94" s="42" t="s">
        <v>626</v>
      </c>
      <c r="C94" s="42" t="s">
        <v>2719</v>
      </c>
      <c r="D94" s="43" t="s">
        <v>1505</v>
      </c>
      <c r="E94" s="42" t="s">
        <v>2941</v>
      </c>
      <c r="F94" s="44" t="s">
        <v>2942</v>
      </c>
      <c r="G94" s="42" t="s">
        <v>2716</v>
      </c>
      <c r="H94" s="41"/>
      <c r="I94" s="42" t="s">
        <v>2724</v>
      </c>
    </row>
    <row r="95" customFormat="false" ht="55.2" hidden="false" customHeight="false" outlineLevel="0" collapsed="false">
      <c r="A95" s="41" t="s">
        <v>1255</v>
      </c>
      <c r="B95" s="42" t="s">
        <v>1256</v>
      </c>
      <c r="C95" s="42" t="s">
        <v>2713</v>
      </c>
      <c r="D95" s="43" t="s">
        <v>249</v>
      </c>
      <c r="E95" s="42" t="s">
        <v>2943</v>
      </c>
      <c r="F95" s="44" t="s">
        <v>2944</v>
      </c>
      <c r="G95" s="42" t="s">
        <v>2722</v>
      </c>
      <c r="H95" s="41"/>
      <c r="I95" s="42" t="s">
        <v>2718</v>
      </c>
    </row>
    <row r="96" customFormat="false" ht="41.75" hidden="false" customHeight="false" outlineLevel="0" collapsed="false">
      <c r="A96" s="41" t="s">
        <v>266</v>
      </c>
      <c r="B96" s="42" t="s">
        <v>267</v>
      </c>
      <c r="C96" s="42" t="s">
        <v>2744</v>
      </c>
      <c r="D96" s="43" t="s">
        <v>249</v>
      </c>
      <c r="E96" s="42" t="s">
        <v>2945</v>
      </c>
      <c r="F96" s="44" t="s">
        <v>2946</v>
      </c>
      <c r="G96" s="42" t="s">
        <v>2722</v>
      </c>
      <c r="H96" s="41"/>
      <c r="I96" s="42" t="s">
        <v>2718</v>
      </c>
    </row>
    <row r="97" customFormat="false" ht="41.75" hidden="false" customHeight="false" outlineLevel="0" collapsed="false">
      <c r="A97" s="41" t="s">
        <v>465</v>
      </c>
      <c r="B97" s="42" t="s">
        <v>466</v>
      </c>
      <c r="C97" s="42" t="s">
        <v>2739</v>
      </c>
      <c r="D97" s="43" t="s">
        <v>249</v>
      </c>
      <c r="E97" s="42" t="s">
        <v>2947</v>
      </c>
      <c r="F97" s="44" t="s">
        <v>2948</v>
      </c>
      <c r="G97" s="42" t="s">
        <v>2722</v>
      </c>
      <c r="H97" s="41"/>
      <c r="I97" s="42" t="s">
        <v>2718</v>
      </c>
    </row>
    <row r="98" customFormat="false" ht="41.75" hidden="false" customHeight="false" outlineLevel="0" collapsed="false">
      <c r="A98" s="41" t="s">
        <v>1049</v>
      </c>
      <c r="B98" s="42" t="s">
        <v>1050</v>
      </c>
      <c r="C98" s="42" t="s">
        <v>2713</v>
      </c>
      <c r="D98" s="43" t="s">
        <v>249</v>
      </c>
      <c r="E98" s="42" t="s">
        <v>2949</v>
      </c>
      <c r="F98" s="44" t="s">
        <v>2950</v>
      </c>
      <c r="G98" s="42" t="s">
        <v>2722</v>
      </c>
      <c r="H98" s="41"/>
      <c r="I98" s="42" t="s">
        <v>2718</v>
      </c>
    </row>
    <row r="99" customFormat="false" ht="68.65" hidden="false" customHeight="false" outlineLevel="0" collapsed="false">
      <c r="A99" s="41" t="s">
        <v>789</v>
      </c>
      <c r="B99" s="42" t="s">
        <v>790</v>
      </c>
      <c r="C99" s="42" t="s">
        <v>2719</v>
      </c>
      <c r="D99" s="43" t="s">
        <v>1505</v>
      </c>
      <c r="E99" s="42" t="s">
        <v>2951</v>
      </c>
      <c r="F99" s="44" t="s">
        <v>2952</v>
      </c>
      <c r="G99" s="42" t="s">
        <v>2722</v>
      </c>
      <c r="H99" s="44" t="s">
        <v>2953</v>
      </c>
      <c r="I99" s="42" t="s">
        <v>2724</v>
      </c>
    </row>
    <row r="100" customFormat="false" ht="68.65" hidden="false" customHeight="false" outlineLevel="0" collapsed="false">
      <c r="A100" s="41" t="s">
        <v>469</v>
      </c>
      <c r="B100" s="42" t="s">
        <v>470</v>
      </c>
      <c r="C100" s="42" t="s">
        <v>2719</v>
      </c>
      <c r="D100" s="43" t="s">
        <v>1505</v>
      </c>
      <c r="E100" s="42" t="s">
        <v>2954</v>
      </c>
      <c r="F100" s="44" t="s">
        <v>2955</v>
      </c>
      <c r="G100" s="42" t="s">
        <v>2722</v>
      </c>
      <c r="H100" s="44" t="s">
        <v>2956</v>
      </c>
      <c r="I100" s="42" t="s">
        <v>2724</v>
      </c>
    </row>
    <row r="101" customFormat="false" ht="55.2" hidden="false" customHeight="false" outlineLevel="0" collapsed="false">
      <c r="A101" s="41" t="s">
        <v>1061</v>
      </c>
      <c r="B101" s="42" t="s">
        <v>1062</v>
      </c>
      <c r="C101" s="42" t="s">
        <v>2719</v>
      </c>
      <c r="D101" s="43" t="s">
        <v>1505</v>
      </c>
      <c r="E101" s="42" t="s">
        <v>2957</v>
      </c>
      <c r="F101" s="44" t="s">
        <v>2958</v>
      </c>
      <c r="G101" s="42" t="s">
        <v>2722</v>
      </c>
      <c r="H101" s="41"/>
      <c r="I101" s="42" t="s">
        <v>2724</v>
      </c>
    </row>
    <row r="102" customFormat="false" ht="41.75" hidden="false" customHeight="false" outlineLevel="0" collapsed="false">
      <c r="A102" s="41" t="s">
        <v>1425</v>
      </c>
      <c r="B102" s="42" t="s">
        <v>1426</v>
      </c>
      <c r="C102" s="42" t="s">
        <v>2713</v>
      </c>
      <c r="D102" s="43" t="s">
        <v>249</v>
      </c>
      <c r="E102" s="42" t="s">
        <v>2959</v>
      </c>
      <c r="F102" s="44" t="s">
        <v>2960</v>
      </c>
      <c r="G102" s="42" t="s">
        <v>2722</v>
      </c>
      <c r="H102" s="41"/>
      <c r="I102" s="42" t="s">
        <v>2718</v>
      </c>
    </row>
    <row r="103" customFormat="false" ht="28.35" hidden="false" customHeight="false" outlineLevel="0" collapsed="false">
      <c r="A103" s="41" t="s">
        <v>475</v>
      </c>
      <c r="B103" s="42" t="s">
        <v>476</v>
      </c>
      <c r="C103" s="42" t="s">
        <v>2713</v>
      </c>
      <c r="D103" s="43" t="s">
        <v>249</v>
      </c>
      <c r="E103" s="42" t="s">
        <v>2961</v>
      </c>
      <c r="F103" s="44" t="s">
        <v>2962</v>
      </c>
      <c r="G103" s="42" t="s">
        <v>2722</v>
      </c>
      <c r="H103" s="41"/>
      <c r="I103" s="42" t="s">
        <v>2718</v>
      </c>
    </row>
    <row r="104" customFormat="false" ht="55.2" hidden="false" customHeight="false" outlineLevel="0" collapsed="false">
      <c r="A104" s="41" t="s">
        <v>480</v>
      </c>
      <c r="B104" s="42" t="s">
        <v>481</v>
      </c>
      <c r="C104" s="42" t="s">
        <v>2744</v>
      </c>
      <c r="D104" s="43" t="s">
        <v>249</v>
      </c>
      <c r="E104" s="42" t="s">
        <v>2963</v>
      </c>
      <c r="F104" s="44" t="s">
        <v>2964</v>
      </c>
      <c r="G104" s="42" t="s">
        <v>2722</v>
      </c>
      <c r="H104" s="41"/>
      <c r="I104" s="42" t="s">
        <v>2718</v>
      </c>
    </row>
    <row r="105" customFormat="false" ht="82.05" hidden="false" customHeight="false" outlineLevel="0" collapsed="false">
      <c r="A105" s="41" t="s">
        <v>714</v>
      </c>
      <c r="B105" s="42" t="s">
        <v>715</v>
      </c>
      <c r="C105" s="42" t="s">
        <v>2965</v>
      </c>
      <c r="D105" s="43" t="s">
        <v>249</v>
      </c>
      <c r="E105" s="42" t="s">
        <v>2966</v>
      </c>
      <c r="F105" s="44" t="s">
        <v>2967</v>
      </c>
      <c r="G105" s="42" t="s">
        <v>2716</v>
      </c>
      <c r="H105" s="44" t="s">
        <v>2968</v>
      </c>
      <c r="I105" s="42" t="s">
        <v>2718</v>
      </c>
    </row>
    <row r="106" customFormat="false" ht="55.2" hidden="false" customHeight="false" outlineLevel="0" collapsed="false">
      <c r="A106" s="41" t="s">
        <v>1329</v>
      </c>
      <c r="B106" s="42" t="s">
        <v>1330</v>
      </c>
      <c r="C106" s="42" t="s">
        <v>2969</v>
      </c>
      <c r="D106" s="43" t="s">
        <v>249</v>
      </c>
      <c r="E106" s="42" t="s">
        <v>2970</v>
      </c>
      <c r="F106" s="44" t="s">
        <v>2971</v>
      </c>
      <c r="G106" s="42" t="s">
        <v>2722</v>
      </c>
      <c r="H106" s="41"/>
      <c r="I106" s="42" t="s">
        <v>2718</v>
      </c>
    </row>
    <row r="107" customFormat="false" ht="41.75" hidden="false" customHeight="false" outlineLevel="0" collapsed="false">
      <c r="A107" s="41" t="s">
        <v>1190</v>
      </c>
      <c r="B107" s="42" t="s">
        <v>1191</v>
      </c>
      <c r="C107" s="42" t="s">
        <v>2739</v>
      </c>
      <c r="D107" s="43" t="s">
        <v>249</v>
      </c>
      <c r="E107" s="42" t="s">
        <v>2972</v>
      </c>
      <c r="F107" s="44" t="s">
        <v>2973</v>
      </c>
      <c r="G107" s="42" t="s">
        <v>2722</v>
      </c>
      <c r="H107" s="41"/>
      <c r="I107" s="42" t="s">
        <v>2718</v>
      </c>
    </row>
    <row r="108" customFormat="false" ht="41.75" hidden="false" customHeight="false" outlineLevel="0" collapsed="false">
      <c r="A108" s="41" t="s">
        <v>487</v>
      </c>
      <c r="B108" s="42" t="s">
        <v>488</v>
      </c>
      <c r="C108" s="42" t="s">
        <v>2713</v>
      </c>
      <c r="D108" s="43" t="s">
        <v>249</v>
      </c>
      <c r="E108" s="42" t="s">
        <v>2974</v>
      </c>
      <c r="F108" s="44" t="s">
        <v>2975</v>
      </c>
      <c r="G108" s="42" t="s">
        <v>2722</v>
      </c>
      <c r="H108" s="41"/>
      <c r="I108" s="42" t="s">
        <v>2718</v>
      </c>
    </row>
    <row r="109" customFormat="false" ht="41.75" hidden="false" customHeight="false" outlineLevel="0" collapsed="false">
      <c r="A109" s="41" t="s">
        <v>495</v>
      </c>
      <c r="B109" s="42" t="s">
        <v>476</v>
      </c>
      <c r="C109" s="42" t="s">
        <v>2713</v>
      </c>
      <c r="D109" s="43" t="s">
        <v>249</v>
      </c>
      <c r="E109" s="42" t="s">
        <v>2976</v>
      </c>
      <c r="F109" s="44" t="s">
        <v>2977</v>
      </c>
      <c r="G109" s="42" t="s">
        <v>2722</v>
      </c>
      <c r="H109" s="41"/>
      <c r="I109" s="42" t="s">
        <v>2718</v>
      </c>
    </row>
    <row r="110" customFormat="false" ht="41.75" hidden="false" customHeight="false" outlineLevel="0" collapsed="false">
      <c r="A110" s="41" t="s">
        <v>1195</v>
      </c>
      <c r="B110" s="42" t="s">
        <v>1196</v>
      </c>
      <c r="C110" s="42" t="s">
        <v>2713</v>
      </c>
      <c r="D110" s="43" t="s">
        <v>249</v>
      </c>
      <c r="E110" s="42" t="s">
        <v>2978</v>
      </c>
      <c r="F110" s="44" t="s">
        <v>2979</v>
      </c>
      <c r="G110" s="42" t="s">
        <v>2722</v>
      </c>
      <c r="H110" s="41"/>
      <c r="I110" s="42" t="s">
        <v>2718</v>
      </c>
    </row>
    <row r="111" customFormat="false" ht="82.05" hidden="false" customHeight="false" outlineLevel="0" collapsed="false">
      <c r="A111" s="41" t="s">
        <v>1076</v>
      </c>
      <c r="B111" s="42" t="s">
        <v>1077</v>
      </c>
      <c r="C111" s="42" t="s">
        <v>2719</v>
      </c>
      <c r="D111" s="43" t="s">
        <v>1505</v>
      </c>
      <c r="E111" s="42" t="s">
        <v>2980</v>
      </c>
      <c r="F111" s="44" t="s">
        <v>2981</v>
      </c>
      <c r="G111" s="42" t="s">
        <v>2722</v>
      </c>
      <c r="H111" s="44" t="s">
        <v>2982</v>
      </c>
      <c r="I111" s="42" t="s">
        <v>2818</v>
      </c>
    </row>
    <row r="112" customFormat="false" ht="41.75" hidden="false" customHeight="false" outlineLevel="0" collapsed="false">
      <c r="A112" s="41" t="s">
        <v>1370</v>
      </c>
      <c r="B112" s="42" t="s">
        <v>1371</v>
      </c>
      <c r="C112" s="42" t="s">
        <v>2739</v>
      </c>
      <c r="D112" s="43" t="s">
        <v>249</v>
      </c>
      <c r="E112" s="42" t="s">
        <v>2983</v>
      </c>
      <c r="F112" s="44" t="s">
        <v>2984</v>
      </c>
      <c r="G112" s="42" t="s">
        <v>2722</v>
      </c>
      <c r="H112" s="41"/>
      <c r="I112" s="42" t="s">
        <v>2718</v>
      </c>
    </row>
    <row r="113" customFormat="false" ht="68.65" hidden="false" customHeight="false" outlineLevel="0" collapsed="false">
      <c r="A113" s="41" t="s">
        <v>498</v>
      </c>
      <c r="B113" s="42" t="s">
        <v>499</v>
      </c>
      <c r="C113" s="42" t="s">
        <v>2719</v>
      </c>
      <c r="D113" s="43" t="s">
        <v>1505</v>
      </c>
      <c r="E113" s="42" t="s">
        <v>2985</v>
      </c>
      <c r="F113" s="44" t="s">
        <v>2986</v>
      </c>
      <c r="G113" s="42" t="s">
        <v>2722</v>
      </c>
      <c r="H113" s="44" t="s">
        <v>2987</v>
      </c>
      <c r="I113" s="42" t="s">
        <v>2724</v>
      </c>
    </row>
    <row r="114" customFormat="false" ht="82.05" hidden="false" customHeight="false" outlineLevel="0" collapsed="false">
      <c r="A114" s="41" t="s">
        <v>503</v>
      </c>
      <c r="B114" s="42" t="s">
        <v>504</v>
      </c>
      <c r="C114" s="42" t="s">
        <v>2719</v>
      </c>
      <c r="D114" s="43" t="s">
        <v>1505</v>
      </c>
      <c r="E114" s="42" t="s">
        <v>2988</v>
      </c>
      <c r="F114" s="44" t="s">
        <v>2989</v>
      </c>
      <c r="G114" s="42" t="s">
        <v>2722</v>
      </c>
      <c r="H114" s="44" t="s">
        <v>2990</v>
      </c>
      <c r="I114" s="42" t="s">
        <v>2724</v>
      </c>
    </row>
    <row r="115" customFormat="false" ht="68.65" hidden="false" customHeight="false" outlineLevel="0" collapsed="false">
      <c r="A115" s="41" t="s">
        <v>1090</v>
      </c>
      <c r="B115" s="42" t="s">
        <v>1091</v>
      </c>
      <c r="C115" s="42" t="s">
        <v>2719</v>
      </c>
      <c r="D115" s="43" t="s">
        <v>1505</v>
      </c>
      <c r="E115" s="42" t="s">
        <v>2991</v>
      </c>
      <c r="F115" s="44" t="s">
        <v>2992</v>
      </c>
      <c r="G115" s="42" t="s">
        <v>2722</v>
      </c>
      <c r="H115" s="44" t="s">
        <v>2993</v>
      </c>
      <c r="I115" s="42" t="s">
        <v>2724</v>
      </c>
    </row>
    <row r="116" customFormat="false" ht="41.75" hidden="false" customHeight="false" outlineLevel="0" collapsed="false">
      <c r="A116" s="41" t="s">
        <v>1096</v>
      </c>
      <c r="B116" s="42" t="s">
        <v>1097</v>
      </c>
      <c r="C116" s="42" t="s">
        <v>2804</v>
      </c>
      <c r="D116" s="43" t="s">
        <v>249</v>
      </c>
      <c r="E116" s="42" t="s">
        <v>2994</v>
      </c>
      <c r="F116" s="44" t="s">
        <v>2995</v>
      </c>
      <c r="G116" s="42" t="s">
        <v>2722</v>
      </c>
      <c r="H116" s="41"/>
      <c r="I116" s="42" t="s">
        <v>2718</v>
      </c>
    </row>
    <row r="117" customFormat="false" ht="55.2" hidden="false" customHeight="false" outlineLevel="0" collapsed="false">
      <c r="A117" s="41" t="s">
        <v>799</v>
      </c>
      <c r="B117" s="42" t="s">
        <v>800</v>
      </c>
      <c r="C117" s="42" t="s">
        <v>2713</v>
      </c>
      <c r="D117" s="43" t="s">
        <v>249</v>
      </c>
      <c r="E117" s="42" t="s">
        <v>2996</v>
      </c>
      <c r="F117" s="44" t="s">
        <v>2997</v>
      </c>
      <c r="G117" s="42" t="s">
        <v>2722</v>
      </c>
      <c r="H117" s="41"/>
      <c r="I117" s="42" t="s">
        <v>2718</v>
      </c>
    </row>
    <row r="118" customFormat="false" ht="135.8" hidden="false" customHeight="false" outlineLevel="0" collapsed="false">
      <c r="A118" s="41" t="s">
        <v>625</v>
      </c>
      <c r="B118" s="42" t="s">
        <v>626</v>
      </c>
      <c r="C118" s="42" t="s">
        <v>2744</v>
      </c>
      <c r="D118" s="43" t="s">
        <v>249</v>
      </c>
      <c r="E118" s="42" t="s">
        <v>2998</v>
      </c>
      <c r="F118" s="44" t="s">
        <v>2999</v>
      </c>
      <c r="G118" s="42" t="s">
        <v>2716</v>
      </c>
      <c r="H118" s="44" t="s">
        <v>3000</v>
      </c>
      <c r="I118" s="42" t="s">
        <v>3001</v>
      </c>
    </row>
    <row r="119" customFormat="false" ht="55.2" hidden="false" customHeight="false" outlineLevel="0" collapsed="false">
      <c r="A119" s="41" t="s">
        <v>1103</v>
      </c>
      <c r="B119" s="42" t="s">
        <v>1104</v>
      </c>
      <c r="C119" s="42" t="s">
        <v>2713</v>
      </c>
      <c r="D119" s="43" t="s">
        <v>249</v>
      </c>
      <c r="E119" s="42" t="s">
        <v>3002</v>
      </c>
      <c r="F119" s="44" t="s">
        <v>3003</v>
      </c>
      <c r="G119" s="42" t="s">
        <v>2722</v>
      </c>
      <c r="H119" s="41"/>
      <c r="I119" s="42" t="s">
        <v>2718</v>
      </c>
    </row>
    <row r="120" customFormat="false" ht="55.2" hidden="false" customHeight="false" outlineLevel="0" collapsed="false">
      <c r="A120" s="41" t="s">
        <v>271</v>
      </c>
      <c r="B120" s="42" t="s">
        <v>272</v>
      </c>
      <c r="C120" s="42" t="s">
        <v>2744</v>
      </c>
      <c r="D120" s="43" t="s">
        <v>249</v>
      </c>
      <c r="E120" s="42" t="s">
        <v>3004</v>
      </c>
      <c r="F120" s="44" t="s">
        <v>3005</v>
      </c>
      <c r="G120" s="42" t="s">
        <v>2722</v>
      </c>
      <c r="H120" s="41"/>
      <c r="I120" s="42" t="s">
        <v>2718</v>
      </c>
    </row>
    <row r="121" customFormat="false" ht="82.05" hidden="false" customHeight="false" outlineLevel="0" collapsed="false">
      <c r="A121" s="41" t="s">
        <v>1293</v>
      </c>
      <c r="B121" s="42" t="s">
        <v>1294</v>
      </c>
      <c r="C121" s="42" t="s">
        <v>2719</v>
      </c>
      <c r="D121" s="43" t="s">
        <v>1505</v>
      </c>
      <c r="E121" s="42" t="s">
        <v>3006</v>
      </c>
      <c r="F121" s="44" t="s">
        <v>3007</v>
      </c>
      <c r="G121" s="42" t="s">
        <v>2722</v>
      </c>
      <c r="H121" s="44" t="s">
        <v>3008</v>
      </c>
      <c r="I121" s="42" t="s">
        <v>3009</v>
      </c>
    </row>
    <row r="122" customFormat="false" ht="41.75" hidden="false" customHeight="false" outlineLevel="0" collapsed="false">
      <c r="A122" s="41" t="s">
        <v>510</v>
      </c>
      <c r="B122" s="42" t="s">
        <v>511</v>
      </c>
      <c r="C122" s="42" t="s">
        <v>2804</v>
      </c>
      <c r="D122" s="43" t="s">
        <v>249</v>
      </c>
      <c r="E122" s="42" t="s">
        <v>3010</v>
      </c>
      <c r="F122" s="44" t="s">
        <v>3011</v>
      </c>
      <c r="G122" s="42" t="s">
        <v>2722</v>
      </c>
      <c r="H122" s="41"/>
      <c r="I122" s="42" t="s">
        <v>2718</v>
      </c>
    </row>
    <row r="123" customFormat="false" ht="41.75" hidden="false" customHeight="false" outlineLevel="0" collapsed="false">
      <c r="A123" s="41" t="s">
        <v>517</v>
      </c>
      <c r="B123" s="42" t="s">
        <v>518</v>
      </c>
      <c r="C123" s="42" t="s">
        <v>2739</v>
      </c>
      <c r="D123" s="43" t="s">
        <v>249</v>
      </c>
      <c r="E123" s="42" t="s">
        <v>3012</v>
      </c>
      <c r="F123" s="44" t="s">
        <v>3013</v>
      </c>
      <c r="G123" s="42" t="s">
        <v>2722</v>
      </c>
      <c r="H123" s="41"/>
      <c r="I123" s="42" t="s">
        <v>2718</v>
      </c>
    </row>
    <row r="124" customFormat="false" ht="82.05" hidden="false" customHeight="false" outlineLevel="0" collapsed="false">
      <c r="A124" s="41" t="s">
        <v>809</v>
      </c>
      <c r="B124" s="42" t="s">
        <v>810</v>
      </c>
      <c r="C124" s="42" t="s">
        <v>2719</v>
      </c>
      <c r="D124" s="43" t="s">
        <v>1505</v>
      </c>
      <c r="E124" s="42" t="s">
        <v>3014</v>
      </c>
      <c r="F124" s="44" t="s">
        <v>3015</v>
      </c>
      <c r="G124" s="42" t="s">
        <v>2722</v>
      </c>
      <c r="H124" s="44" t="s">
        <v>3016</v>
      </c>
      <c r="I124" s="42" t="s">
        <v>2724</v>
      </c>
    </row>
    <row r="125" customFormat="false" ht="55.2" hidden="false" customHeight="false" outlineLevel="0" collapsed="false">
      <c r="A125" s="41" t="s">
        <v>1431</v>
      </c>
      <c r="B125" s="42" t="s">
        <v>1432</v>
      </c>
      <c r="C125" s="42" t="s">
        <v>2719</v>
      </c>
      <c r="D125" s="43" t="s">
        <v>1505</v>
      </c>
      <c r="E125" s="42" t="s">
        <v>3017</v>
      </c>
      <c r="F125" s="44" t="s">
        <v>3018</v>
      </c>
      <c r="G125" s="42" t="s">
        <v>2722</v>
      </c>
      <c r="H125" s="41"/>
      <c r="I125" s="42" t="s">
        <v>3019</v>
      </c>
    </row>
    <row r="126" customFormat="false" ht="41.75" hidden="false" customHeight="false" outlineLevel="0" collapsed="false">
      <c r="A126" s="41" t="s">
        <v>1110</v>
      </c>
      <c r="B126" s="42" t="s">
        <v>1111</v>
      </c>
      <c r="C126" s="42" t="s">
        <v>3020</v>
      </c>
      <c r="D126" s="43" t="s">
        <v>1505</v>
      </c>
      <c r="E126" s="42" t="s">
        <v>3021</v>
      </c>
      <c r="F126" s="44" t="s">
        <v>3022</v>
      </c>
      <c r="G126" s="42" t="s">
        <v>2716</v>
      </c>
      <c r="H126" s="41"/>
      <c r="I126" s="42" t="s">
        <v>2724</v>
      </c>
    </row>
    <row r="127" customFormat="false" ht="55.2" hidden="false" customHeight="false" outlineLevel="0" collapsed="false">
      <c r="A127" s="41" t="s">
        <v>521</v>
      </c>
      <c r="B127" s="42" t="s">
        <v>522</v>
      </c>
      <c r="C127" s="42" t="s">
        <v>2719</v>
      </c>
      <c r="D127" s="43" t="s">
        <v>1505</v>
      </c>
      <c r="E127" s="42" t="s">
        <v>3023</v>
      </c>
      <c r="F127" s="44" t="s">
        <v>3024</v>
      </c>
      <c r="G127" s="42" t="s">
        <v>2722</v>
      </c>
      <c r="H127" s="41"/>
      <c r="I127" s="42" t="s">
        <v>2724</v>
      </c>
    </row>
    <row r="128" customFormat="false" ht="82.05" hidden="false" customHeight="false" outlineLevel="0" collapsed="false">
      <c r="A128" s="41" t="s">
        <v>525</v>
      </c>
      <c r="B128" s="42" t="s">
        <v>526</v>
      </c>
      <c r="C128" s="42" t="s">
        <v>2719</v>
      </c>
      <c r="D128" s="43" t="s">
        <v>1505</v>
      </c>
      <c r="E128" s="42" t="s">
        <v>3025</v>
      </c>
      <c r="F128" s="44" t="s">
        <v>3026</v>
      </c>
      <c r="G128" s="42" t="s">
        <v>2722</v>
      </c>
      <c r="H128" s="44" t="s">
        <v>3027</v>
      </c>
      <c r="I128" s="42" t="s">
        <v>2818</v>
      </c>
    </row>
    <row r="129" customFormat="false" ht="68.65" hidden="false" customHeight="false" outlineLevel="0" collapsed="false">
      <c r="A129" s="41" t="s">
        <v>880</v>
      </c>
      <c r="B129" s="42" t="s">
        <v>564</v>
      </c>
      <c r="C129" s="42" t="s">
        <v>2719</v>
      </c>
      <c r="D129" s="43" t="s">
        <v>1505</v>
      </c>
      <c r="E129" s="42" t="s">
        <v>3028</v>
      </c>
      <c r="F129" s="44" t="s">
        <v>3029</v>
      </c>
      <c r="G129" s="42" t="s">
        <v>2722</v>
      </c>
      <c r="H129" s="44" t="s">
        <v>3030</v>
      </c>
      <c r="I129" s="42" t="s">
        <v>2724</v>
      </c>
    </row>
    <row r="130" customFormat="false" ht="68.65" hidden="false" customHeight="false" outlineLevel="0" collapsed="false">
      <c r="A130" s="41" t="s">
        <v>532</v>
      </c>
      <c r="B130" s="42" t="s">
        <v>533</v>
      </c>
      <c r="C130" s="42" t="s">
        <v>3031</v>
      </c>
      <c r="D130" s="43" t="s">
        <v>1505</v>
      </c>
      <c r="E130" s="42" t="s">
        <v>3032</v>
      </c>
      <c r="F130" s="44" t="s">
        <v>3033</v>
      </c>
      <c r="G130" s="42" t="s">
        <v>2716</v>
      </c>
      <c r="H130" s="41"/>
      <c r="I130" s="42" t="s">
        <v>3034</v>
      </c>
    </row>
    <row r="131" customFormat="false" ht="68.65" hidden="false" customHeight="false" outlineLevel="0" collapsed="false">
      <c r="A131" s="41" t="s">
        <v>537</v>
      </c>
      <c r="B131" s="42" t="s">
        <v>538</v>
      </c>
      <c r="C131" s="42" t="s">
        <v>2719</v>
      </c>
      <c r="D131" s="43" t="s">
        <v>1505</v>
      </c>
      <c r="E131" s="42" t="s">
        <v>3035</v>
      </c>
      <c r="F131" s="44" t="s">
        <v>3036</v>
      </c>
      <c r="G131" s="42" t="s">
        <v>2722</v>
      </c>
      <c r="H131" s="44" t="s">
        <v>3037</v>
      </c>
      <c r="I131" s="42" t="s">
        <v>2724</v>
      </c>
    </row>
    <row r="132" customFormat="false" ht="82.05" hidden="false" customHeight="false" outlineLevel="0" collapsed="false">
      <c r="A132" s="41" t="s">
        <v>884</v>
      </c>
      <c r="B132" s="42" t="s">
        <v>885</v>
      </c>
      <c r="C132" s="42" t="s">
        <v>2719</v>
      </c>
      <c r="D132" s="43" t="s">
        <v>1505</v>
      </c>
      <c r="E132" s="42" t="s">
        <v>3038</v>
      </c>
      <c r="F132" s="44" t="s">
        <v>3039</v>
      </c>
      <c r="G132" s="42" t="s">
        <v>2722</v>
      </c>
      <c r="H132" s="44" t="s">
        <v>3040</v>
      </c>
      <c r="I132" s="42" t="s">
        <v>3041</v>
      </c>
    </row>
    <row r="133" customFormat="false" ht="55.2" hidden="false" customHeight="false" outlineLevel="0" collapsed="false">
      <c r="A133" s="41" t="s">
        <v>1437</v>
      </c>
      <c r="B133" s="42" t="s">
        <v>1237</v>
      </c>
      <c r="C133" s="42" t="s">
        <v>2719</v>
      </c>
      <c r="D133" s="43" t="s">
        <v>1505</v>
      </c>
      <c r="E133" s="42" t="s">
        <v>3042</v>
      </c>
      <c r="F133" s="44" t="s">
        <v>3043</v>
      </c>
      <c r="G133" s="42" t="s">
        <v>2716</v>
      </c>
      <c r="H133" s="41"/>
      <c r="I133" s="42" t="s">
        <v>2724</v>
      </c>
    </row>
    <row r="134" customFormat="false" ht="55.2" hidden="false" customHeight="false" outlineLevel="0" collapsed="false">
      <c r="A134" s="41" t="s">
        <v>630</v>
      </c>
      <c r="B134" s="42" t="s">
        <v>631</v>
      </c>
      <c r="C134" s="42" t="s">
        <v>3044</v>
      </c>
      <c r="D134" s="43" t="s">
        <v>1505</v>
      </c>
      <c r="E134" s="42" t="s">
        <v>3045</v>
      </c>
      <c r="F134" s="44" t="s">
        <v>3046</v>
      </c>
      <c r="G134" s="42" t="s">
        <v>3047</v>
      </c>
      <c r="H134" s="41"/>
      <c r="I134" s="42" t="s">
        <v>2724</v>
      </c>
    </row>
    <row r="135" customFormat="false" ht="55.2" hidden="false" customHeight="false" outlineLevel="0" collapsed="false">
      <c r="A135" s="41" t="s">
        <v>724</v>
      </c>
      <c r="B135" s="42" t="s">
        <v>725</v>
      </c>
      <c r="C135" s="42" t="s">
        <v>2713</v>
      </c>
      <c r="D135" s="43" t="s">
        <v>249</v>
      </c>
      <c r="E135" s="42" t="s">
        <v>3048</v>
      </c>
      <c r="F135" s="44" t="s">
        <v>3049</v>
      </c>
      <c r="G135" s="42" t="s">
        <v>2722</v>
      </c>
      <c r="H135" s="41"/>
      <c r="I135" s="42" t="s">
        <v>2718</v>
      </c>
    </row>
    <row r="136" customFormat="false" ht="68.65" hidden="false" customHeight="false" outlineLevel="0" collapsed="false">
      <c r="A136" s="41" t="s">
        <v>635</v>
      </c>
      <c r="B136" s="42" t="s">
        <v>636</v>
      </c>
      <c r="C136" s="42" t="s">
        <v>2719</v>
      </c>
      <c r="D136" s="43" t="s">
        <v>1505</v>
      </c>
      <c r="E136" s="42" t="s">
        <v>3050</v>
      </c>
      <c r="F136" s="44" t="s">
        <v>3051</v>
      </c>
      <c r="G136" s="42" t="s">
        <v>2722</v>
      </c>
      <c r="H136" s="44" t="s">
        <v>3052</v>
      </c>
      <c r="I136" s="42" t="s">
        <v>2724</v>
      </c>
    </row>
    <row r="137" customFormat="false" ht="68.65" hidden="false" customHeight="false" outlineLevel="0" collapsed="false">
      <c r="A137" s="41" t="s">
        <v>641</v>
      </c>
      <c r="B137" s="42" t="s">
        <v>642</v>
      </c>
      <c r="C137" s="42" t="s">
        <v>2713</v>
      </c>
      <c r="D137" s="43" t="s">
        <v>249</v>
      </c>
      <c r="E137" s="42" t="s">
        <v>3053</v>
      </c>
      <c r="F137" s="44" t="s">
        <v>643</v>
      </c>
      <c r="G137" s="42" t="s">
        <v>2716</v>
      </c>
      <c r="H137" s="41"/>
      <c r="I137" s="42" t="s">
        <v>2718</v>
      </c>
    </row>
    <row r="138" customFormat="false" ht="68.65" hidden="false" customHeight="false" outlineLevel="0" collapsed="false">
      <c r="A138" s="41" t="s">
        <v>1347</v>
      </c>
      <c r="B138" s="42" t="s">
        <v>1348</v>
      </c>
      <c r="C138" s="42" t="s">
        <v>2719</v>
      </c>
      <c r="D138" s="43" t="s">
        <v>1505</v>
      </c>
      <c r="E138" s="42" t="s">
        <v>3054</v>
      </c>
      <c r="F138" s="44" t="s">
        <v>3055</v>
      </c>
      <c r="G138" s="42" t="s">
        <v>2722</v>
      </c>
      <c r="H138" s="44" t="s">
        <v>3056</v>
      </c>
      <c r="I138" s="42" t="s">
        <v>2724</v>
      </c>
    </row>
    <row r="139" customFormat="false" ht="41.75" hidden="false" customHeight="false" outlineLevel="0" collapsed="false">
      <c r="A139" s="41" t="s">
        <v>542</v>
      </c>
      <c r="B139" s="42" t="s">
        <v>543</v>
      </c>
      <c r="C139" s="42" t="s">
        <v>2739</v>
      </c>
      <c r="D139" s="43" t="s">
        <v>249</v>
      </c>
      <c r="E139" s="42" t="s">
        <v>3057</v>
      </c>
      <c r="F139" s="44" t="s">
        <v>3058</v>
      </c>
      <c r="G139" s="42" t="s">
        <v>2722</v>
      </c>
      <c r="H139" s="41"/>
      <c r="I139" s="42" t="s">
        <v>2718</v>
      </c>
    </row>
    <row r="140" customFormat="false" ht="41.75" hidden="false" customHeight="false" outlineLevel="0" collapsed="false">
      <c r="A140" s="41" t="s">
        <v>546</v>
      </c>
      <c r="B140" s="42" t="s">
        <v>547</v>
      </c>
      <c r="C140" s="42" t="s">
        <v>2789</v>
      </c>
      <c r="D140" s="43" t="s">
        <v>249</v>
      </c>
      <c r="E140" s="42" t="s">
        <v>3059</v>
      </c>
      <c r="F140" s="44" t="s">
        <v>3060</v>
      </c>
      <c r="G140" s="42" t="s">
        <v>2722</v>
      </c>
      <c r="H140" s="41"/>
      <c r="I140" s="42" t="s">
        <v>2718</v>
      </c>
    </row>
    <row r="141" customFormat="false" ht="28.35" hidden="false" customHeight="false" outlineLevel="0" collapsed="false">
      <c r="A141" s="41" t="s">
        <v>646</v>
      </c>
      <c r="B141" s="42" t="s">
        <v>647</v>
      </c>
      <c r="C141" s="42" t="s">
        <v>2739</v>
      </c>
      <c r="D141" s="43" t="s">
        <v>249</v>
      </c>
      <c r="E141" s="42" t="s">
        <v>3061</v>
      </c>
      <c r="F141" s="44" t="s">
        <v>3062</v>
      </c>
      <c r="G141" s="42" t="s">
        <v>2722</v>
      </c>
      <c r="H141" s="41"/>
      <c r="I141" s="42" t="s">
        <v>2718</v>
      </c>
    </row>
    <row r="142" customFormat="false" ht="68.65" hidden="false" customHeight="false" outlineLevel="0" collapsed="false">
      <c r="A142" s="41" t="s">
        <v>733</v>
      </c>
      <c r="B142" s="42" t="s">
        <v>734</v>
      </c>
      <c r="C142" s="42" t="s">
        <v>2719</v>
      </c>
      <c r="D142" s="43" t="s">
        <v>1505</v>
      </c>
      <c r="E142" s="42" t="s">
        <v>3063</v>
      </c>
      <c r="F142" s="44" t="s">
        <v>3064</v>
      </c>
      <c r="G142" s="42" t="s">
        <v>2722</v>
      </c>
      <c r="H142" s="44" t="s">
        <v>3065</v>
      </c>
      <c r="I142" s="42" t="s">
        <v>2818</v>
      </c>
    </row>
    <row r="143" customFormat="false" ht="68.65" hidden="false" customHeight="false" outlineLevel="0" collapsed="false">
      <c r="A143" s="41" t="s">
        <v>1129</v>
      </c>
      <c r="B143" s="42" t="s">
        <v>1130</v>
      </c>
      <c r="C143" s="42" t="s">
        <v>2719</v>
      </c>
      <c r="D143" s="43" t="s">
        <v>1505</v>
      </c>
      <c r="E143" s="42" t="s">
        <v>3066</v>
      </c>
      <c r="F143" s="44" t="s">
        <v>3067</v>
      </c>
      <c r="G143" s="42" t="s">
        <v>2722</v>
      </c>
      <c r="H143" s="44" t="s">
        <v>3068</v>
      </c>
      <c r="I143" s="42" t="s">
        <v>2724</v>
      </c>
    </row>
    <row r="144" customFormat="false" ht="68.65" hidden="false" customHeight="false" outlineLevel="0" collapsed="false">
      <c r="A144" s="41" t="s">
        <v>550</v>
      </c>
      <c r="B144" s="42" t="s">
        <v>551</v>
      </c>
      <c r="C144" s="42" t="s">
        <v>2719</v>
      </c>
      <c r="D144" s="43" t="s">
        <v>1505</v>
      </c>
      <c r="E144" s="42" t="s">
        <v>3069</v>
      </c>
      <c r="F144" s="44" t="s">
        <v>3070</v>
      </c>
      <c r="G144" s="42" t="s">
        <v>2722</v>
      </c>
      <c r="H144" s="44" t="s">
        <v>3071</v>
      </c>
      <c r="I144" s="42" t="s">
        <v>2724</v>
      </c>
    </row>
    <row r="145" customFormat="false" ht="82.05" hidden="false" customHeight="false" outlineLevel="0" collapsed="false">
      <c r="A145" s="41" t="s">
        <v>557</v>
      </c>
      <c r="B145" s="42" t="s">
        <v>558</v>
      </c>
      <c r="C145" s="42" t="s">
        <v>2719</v>
      </c>
      <c r="D145" s="43" t="s">
        <v>1505</v>
      </c>
      <c r="E145" s="42" t="s">
        <v>3072</v>
      </c>
      <c r="F145" s="44" t="s">
        <v>3073</v>
      </c>
      <c r="G145" s="42" t="s">
        <v>2722</v>
      </c>
      <c r="H145" s="44" t="s">
        <v>3074</v>
      </c>
      <c r="I145" s="42" t="s">
        <v>2724</v>
      </c>
    </row>
    <row r="146" customFormat="false" ht="82.05" hidden="false" customHeight="false" outlineLevel="0" collapsed="false">
      <c r="A146" s="41" t="s">
        <v>651</v>
      </c>
      <c r="B146" s="42" t="s">
        <v>652</v>
      </c>
      <c r="C146" s="42" t="s">
        <v>2719</v>
      </c>
      <c r="D146" s="43" t="s">
        <v>1505</v>
      </c>
      <c r="E146" s="42" t="s">
        <v>3075</v>
      </c>
      <c r="F146" s="44" t="s">
        <v>3076</v>
      </c>
      <c r="G146" s="42" t="s">
        <v>2722</v>
      </c>
      <c r="H146" s="44" t="s">
        <v>3077</v>
      </c>
      <c r="I146" s="42" t="s">
        <v>3078</v>
      </c>
    </row>
    <row r="147" customFormat="false" ht="41.75" hidden="false" customHeight="false" outlineLevel="0" collapsed="false">
      <c r="A147" s="41" t="s">
        <v>275</v>
      </c>
      <c r="B147" s="42" t="s">
        <v>276</v>
      </c>
      <c r="C147" s="42" t="s">
        <v>2739</v>
      </c>
      <c r="D147" s="43" t="s">
        <v>249</v>
      </c>
      <c r="E147" s="42" t="s">
        <v>3079</v>
      </c>
      <c r="F147" s="44" t="s">
        <v>3080</v>
      </c>
      <c r="G147" s="42" t="s">
        <v>2722</v>
      </c>
      <c r="H147" s="41"/>
      <c r="I147" s="42" t="s">
        <v>2718</v>
      </c>
    </row>
    <row r="148" customFormat="false" ht="41.75" hidden="false" customHeight="false" outlineLevel="0" collapsed="false">
      <c r="A148" s="41" t="s">
        <v>1135</v>
      </c>
      <c r="B148" s="42" t="s">
        <v>1136</v>
      </c>
      <c r="C148" s="42" t="s">
        <v>2747</v>
      </c>
      <c r="D148" s="43" t="s">
        <v>249</v>
      </c>
      <c r="E148" s="42" t="s">
        <v>3081</v>
      </c>
      <c r="F148" s="44" t="s">
        <v>3082</v>
      </c>
      <c r="G148" s="42" t="s">
        <v>2722</v>
      </c>
      <c r="H148" s="41"/>
      <c r="I148" s="42" t="s">
        <v>2718</v>
      </c>
    </row>
    <row r="149" customFormat="false" ht="82.05" hidden="false" customHeight="false" outlineLevel="0" collapsed="false">
      <c r="A149" s="41" t="s">
        <v>1442</v>
      </c>
      <c r="B149" s="42" t="s">
        <v>642</v>
      </c>
      <c r="C149" s="42" t="s">
        <v>2719</v>
      </c>
      <c r="D149" s="43" t="s">
        <v>1505</v>
      </c>
      <c r="E149" s="42" t="s">
        <v>3083</v>
      </c>
      <c r="F149" s="44" t="s">
        <v>3084</v>
      </c>
      <c r="G149" s="42" t="s">
        <v>2722</v>
      </c>
      <c r="H149" s="44" t="s">
        <v>3085</v>
      </c>
      <c r="I149" s="42" t="s">
        <v>2724</v>
      </c>
    </row>
    <row r="150" customFormat="false" ht="68.65" hidden="false" customHeight="false" outlineLevel="0" collapsed="false">
      <c r="A150" s="41" t="s">
        <v>563</v>
      </c>
      <c r="B150" s="42" t="s">
        <v>564</v>
      </c>
      <c r="C150" s="42" t="s">
        <v>2719</v>
      </c>
      <c r="D150" s="43" t="s">
        <v>1505</v>
      </c>
      <c r="E150" s="42" t="s">
        <v>3086</v>
      </c>
      <c r="F150" s="44" t="s">
        <v>3087</v>
      </c>
      <c r="G150" s="42" t="s">
        <v>2722</v>
      </c>
      <c r="H150" s="44" t="s">
        <v>3088</v>
      </c>
      <c r="I150" s="42" t="s">
        <v>2724</v>
      </c>
    </row>
    <row r="151" customFormat="false" ht="82.05" hidden="false" customHeight="false" outlineLevel="0" collapsed="false">
      <c r="A151" s="41" t="s">
        <v>568</v>
      </c>
      <c r="B151" s="42" t="s">
        <v>569</v>
      </c>
      <c r="C151" s="42" t="s">
        <v>2719</v>
      </c>
      <c r="D151" s="43" t="s">
        <v>1505</v>
      </c>
      <c r="E151" s="42" t="s">
        <v>3089</v>
      </c>
      <c r="F151" s="44" t="s">
        <v>3090</v>
      </c>
      <c r="G151" s="42" t="s">
        <v>2722</v>
      </c>
      <c r="H151" s="44" t="s">
        <v>3091</v>
      </c>
      <c r="I151" s="42" t="s">
        <v>2724</v>
      </c>
    </row>
    <row r="152" customFormat="false" ht="55.2" hidden="false" customHeight="false" outlineLevel="0" collapsed="false">
      <c r="A152" s="41" t="s">
        <v>656</v>
      </c>
      <c r="B152" s="42" t="s">
        <v>657</v>
      </c>
      <c r="C152" s="42" t="s">
        <v>2719</v>
      </c>
      <c r="D152" s="43" t="s">
        <v>1505</v>
      </c>
      <c r="E152" s="42" t="s">
        <v>3092</v>
      </c>
      <c r="F152" s="44" t="s">
        <v>3093</v>
      </c>
      <c r="G152" s="42" t="s">
        <v>2722</v>
      </c>
      <c r="H152" s="41"/>
      <c r="I152" s="42" t="s">
        <v>2818</v>
      </c>
    </row>
    <row r="153" customFormat="false" ht="55.2" hidden="false" customHeight="false" outlineLevel="0" collapsed="false">
      <c r="A153" s="41" t="s">
        <v>1142</v>
      </c>
      <c r="B153" s="42" t="s">
        <v>1143</v>
      </c>
      <c r="C153" s="42" t="s">
        <v>2719</v>
      </c>
      <c r="D153" s="43" t="s">
        <v>1505</v>
      </c>
      <c r="E153" s="42" t="s">
        <v>3094</v>
      </c>
      <c r="F153" s="44" t="s">
        <v>3095</v>
      </c>
      <c r="G153" s="42" t="s">
        <v>2722</v>
      </c>
      <c r="H153" s="41"/>
      <c r="I153" s="42" t="s">
        <v>2818</v>
      </c>
    </row>
    <row r="154" customFormat="false" ht="68.65" hidden="false" customHeight="false" outlineLevel="0" collapsed="false">
      <c r="A154" s="41" t="s">
        <v>573</v>
      </c>
      <c r="B154" s="42" t="s">
        <v>574</v>
      </c>
      <c r="C154" s="42" t="s">
        <v>2719</v>
      </c>
      <c r="D154" s="43" t="s">
        <v>1505</v>
      </c>
      <c r="E154" s="42" t="s">
        <v>3096</v>
      </c>
      <c r="F154" s="44" t="s">
        <v>3097</v>
      </c>
      <c r="G154" s="42" t="s">
        <v>2722</v>
      </c>
      <c r="H154" s="44" t="s">
        <v>3098</v>
      </c>
      <c r="I154" s="42" t="s">
        <v>2818</v>
      </c>
    </row>
    <row r="155" customFormat="false" ht="82.05" hidden="false" customHeight="false" outlineLevel="0" collapsed="false">
      <c r="A155" s="41" t="s">
        <v>1377</v>
      </c>
      <c r="B155" s="42" t="s">
        <v>1378</v>
      </c>
      <c r="C155" s="42" t="s">
        <v>2719</v>
      </c>
      <c r="D155" s="43" t="s">
        <v>1505</v>
      </c>
      <c r="E155" s="42" t="s">
        <v>3099</v>
      </c>
      <c r="F155" s="44" t="s">
        <v>3100</v>
      </c>
      <c r="G155" s="42" t="s">
        <v>2722</v>
      </c>
      <c r="H155" s="44" t="s">
        <v>3101</v>
      </c>
      <c r="I155" s="42" t="s">
        <v>2724</v>
      </c>
    </row>
  </sheetData>
  <autoFilter ref="A4:I155"/>
  <hyperlinks>
    <hyperlink ref="F5" r:id="rId1" display="https://mhraproducts4853.blob.core.windows.net/docs/8e489e2a01676dd3c6dd0b4247f5687d5a33a616"/>
    <hyperlink ref="H5" r:id="rId2" display="https://dailymed.nlm.nih.gov/dailymed/drugInfo.cfm?setid=2b9fb0dd-e42e-4f9b-bf24-98b268d877e5"/>
    <hyperlink ref="F6" r:id="rId3" display="https://dailymed.nlm.nih.gov/dailymed/drugInfo.cfm?setid=61d9b8f6-f93f-46ee-bec2-db8d46999792"/>
    <hyperlink ref="H6" r:id="rId4" display="https://mhraproducts4853.blob.core.windows.net/docs/4d30849abb087d68fb87b3d040af01db85eeea0c"/>
    <hyperlink ref="F7" r:id="rId5" display="https://mhraproducts4853.blob.core.windows.net/docs/643a51399a50b9e99afd935c92f31c50fff13070"/>
    <hyperlink ref="F8" r:id="rId6" display="https://dailymed.nlm.nih.gov/dailymed/drugInfo.cfm?setid=7791d3e1-9287-4f75-b4f0-e5d35cacfd6e"/>
    <hyperlink ref="F9" r:id="rId7" display="https://dailymed.nlm.nih.gov/dailymed/drugInfo.cfm?setid=1f00c333-9667-4ebc-8849-009a3779c0c9"/>
    <hyperlink ref="H9" r:id="rId8" display="https://mhraproducts4853.blob.core.windows.net/docs/5a2e115532e171705b28998071f74799e829e4f9"/>
    <hyperlink ref="F10" r:id="rId9" display="https://mhraproducts4853.blob.core.windows.net/docs/dd5428de28a35789b58d7a7229157959b1e135fb"/>
    <hyperlink ref="F11" r:id="rId10" display="https://dailymed.nlm.nih.gov/dailymed/drugInfo.cfm?setid=b7bf2897-8272-4c7d-84e9-6fbba0ea63fa"/>
    <hyperlink ref="F12" r:id="rId11" display="https://dailymed.nlm.nih.gov/dailymed/drugInfo.cfm?setid=46cdf9e6-839c-49c8-9ee1-c30cfdd9368d"/>
    <hyperlink ref="H12" r:id="rId12" display="https://mhraproducts4853.blob.core.windows.net/docs/247aff47b4c3ceb1b47b5c6aee30a185233aad14"/>
    <hyperlink ref="F13" r:id="rId13" display="https://dailymed.nlm.nih.gov/dailymed/drugInfo.cfm?setid=da4c07fd-1130-4341-bb44-63acfa4162be"/>
    <hyperlink ref="F14" r:id="rId14" display="https://dailymed.nlm.nih.gov/dailymed/drugInfo.cfm?setid=71d4bc78-57df-474b-8b19-811a959f1fce"/>
    <hyperlink ref="H14" r:id="rId15" display="https://mhraproducts4853.blob.core.windows.net/docs/924d70784a8c922753ed49a78a38c605f536521c"/>
    <hyperlink ref="F15" r:id="rId16" display="https://dailymed.nlm.nih.gov/dailymed/drugInfo.cfm?setid=f3cb74e9-b4ac-4efe-bd8e-8a71970ee7c7"/>
    <hyperlink ref="F16" r:id="rId17" display="https://dailymed.nlm.nih.gov/dailymed/drugInfo.cfm?setid=70140e11-33f1-2240-e053-2991aa0a0480"/>
    <hyperlink ref="F17" r:id="rId18" display="https://mhraproducts4853.blob.core.windows.net/docs/38cffb86d463a85be1de8ce8a70b2775c027a0cb"/>
    <hyperlink ref="F18" r:id="rId19" display="https://dailymed.nlm.nih.gov/dailymed/drugInfo.cfm?setid=c20969cb-72d4-469b-9bd8-332250d896c3"/>
    <hyperlink ref="F19" r:id="rId20" display="https://dailymed.nlm.nih.gov/dailymed/drugInfo.cfm?setid=b5806c40-12ce-48e3-8abd-9f8997ef4428"/>
    <hyperlink ref="F20" r:id="rId21" display="https://dailymed.nlm.nih.gov/dailymed/drugInfo.cfm?setid=04aafa6a-a50d-4a47-a831-be8e8bb992ac"/>
    <hyperlink ref="F21" r:id="rId22" display="https://dailymed.nlm.nih.gov/dailymed/drugInfo.cfm?setid=c054a1c9-2aa7-473b-a04b-622596f36c95"/>
    <hyperlink ref="H21" r:id="rId23" display="https://mhraproducts4853.blob.core.windows.net/docs/da6e39cbeb26faea8c72a05b7312c32134b623cd"/>
    <hyperlink ref="F22" r:id="rId24" display="https://mhraproducts4853.blob.core.windows.net/docs/a9d1ffc9d457cfc0e43514aa459052215983758a"/>
    <hyperlink ref="F23" r:id="rId25" display="https://dailymed.nlm.nih.gov/dailymed/drugInfo.cfm?setid=21489401-f2a7-47d3-897a-4b7efa04dd7a"/>
    <hyperlink ref="H23" r:id="rId26" display="https://mhraproducts4853.blob.core.windows.net/docs/5f7fabf03215a8e9cbd05bcdca2305b6839d7d56"/>
    <hyperlink ref="F24" r:id="rId27" display="https://dailymed.nlm.nih.gov/dailymed/drugInfo.cfm?setid=c1cde9c7-b005-484f-8497-343c5ecd4f0a"/>
    <hyperlink ref="F25" r:id="rId28" display="https://dailymed.nlm.nih.gov/dailymed/drugInfo.cfm?setid=8a772acc-726d-40e6-88ee-b6075cbf9b28"/>
    <hyperlink ref="F26" r:id="rId29" display="https://dailymed.nlm.nih.gov/dailymed/drugInfo.cfm?setid=02aa374f-37b4-456a-b5de-cfd3bbb6ce6e"/>
    <hyperlink ref="F27" r:id="rId30" display="https://dailymed.nlm.nih.gov/dailymed/drugInfo.cfm?setid=40d48c5d-650e-461b-a67b-7e65772d1b92"/>
    <hyperlink ref="F28" r:id="rId31" display="https://dailymed.nlm.nih.gov/dailymed/drugInfo.cfm?setid=1aa0a4ee-1b39-4c3d-a7a3-33dded6fe28c"/>
    <hyperlink ref="F29" r:id="rId32" display="https://dailymed.nlm.nih.gov/dailymed/drugInfo.cfm?setid=bf921935-9740-458e-b786-69f76d8ad139"/>
    <hyperlink ref="F30" r:id="rId33" display="https://mhraproducts4853.blob.core.windows.net/docs/468e5b0a68665f15d3d30982865bab14c0c28588"/>
    <hyperlink ref="F31" r:id="rId34" display="https://dailymed.nlm.nih.gov/dailymed/drugInfo.cfm?setid=6564346c-661c-41cf-9cef-db6aa15710cd"/>
    <hyperlink ref="F32" r:id="rId35" display="https://dailymed.nlm.nih.gov/dailymed/drugInfo.cfm?setid=d8b5eb77-b393-4cd7-86c5-d2a9d131f96d"/>
    <hyperlink ref="H32" r:id="rId36" display="https://mhraproducts4853.blob.core.windows.net/docs/d0f3c58f2a4c68c9ea1ecb8d0bc40104cd51541d"/>
    <hyperlink ref="F33" r:id="rId37" display="https://dailymed.nlm.nih.gov/dailymed/drugInfo.cfm?setid=6a335659-03b0-4a2d-9cd4-7dcf7da96fe6"/>
    <hyperlink ref="F34" r:id="rId38" display="https://dailymed.nlm.nih.gov/dailymed/drugInfo.cfm?setid=cd8d188a-fa5d-4580-bcb1-ac8617118cbb"/>
    <hyperlink ref="F35" r:id="rId39" display="https://mhraproducts4853.blob.core.windows.net/docs/925bc4c8a8d4a507b955b633951acf444692f0ea"/>
    <hyperlink ref="F36" r:id="rId40" display="https://dailymed.nlm.nih.gov/dailymed/drugInfo.cfm?setid=a5818647-d840-e9d7-c7b8-6541b485e44e"/>
    <hyperlink ref="H36" r:id="rId41" display="https://mhraproducts4853.blob.core.windows.net/docs/4b78838f8f40ca9a987ad8fa476d2a1fdd3a37ff"/>
    <hyperlink ref="F37" r:id="rId42" display="https://dailymed.nlm.nih.gov/dailymed/drugInfo.cfm?setid=7ab50348-ca78-46a5-aba6-c35b6b21fbfe"/>
    <hyperlink ref="F38" r:id="rId43" display="https://dailymed.nlm.nih.gov/dailymed/drugInfo.cfm?setid=5da55538-2602-4704-a9da-603c9f7ff7dc"/>
    <hyperlink ref="F39" r:id="rId44" display="https://dailymed.nlm.nih.gov/dailymed/drugInfo.cfm?setid=956b068f-5958-49eb-9c9f-3b6e324e77d2"/>
    <hyperlink ref="H39" r:id="rId45" display="https://mhraproducts4853.blob.core.windows.net/docs/455258e3132909d570c60c827b6b3eba6db4e889"/>
    <hyperlink ref="F40" r:id="rId46" display="https://mhraproducts4853.blob.core.windows.net/docs/dd69aaa9ebc36b426539f90970d2d38630d8622a"/>
    <hyperlink ref="F41" r:id="rId47" display="https://dailymed.nlm.nih.gov/dailymed/drugInfo.cfm?setid=5f3be096-5100-4d0e-b765-481bbb2672e1"/>
    <hyperlink ref="F42" r:id="rId48" display="https://dailymed.nlm.nih.gov/dailymed/drugInfo.cfm?setid=60dd8694-58d8-d88e-26f2-f28baa53787e"/>
    <hyperlink ref="F43" r:id="rId49" display="https://dailymed.nlm.nih.gov/dailymed/drugInfo.cfm?setid=6b6ca65b-4ede-47b9-bbf3-05bb67c0c71d"/>
    <hyperlink ref="F44" r:id="rId50" display="https://dailymed.nlm.nih.gov/dailymed/drugInfo.cfm?setid=eeb70724-065c-4a73-8e2e-d6b2a625e8d4"/>
    <hyperlink ref="F45" r:id="rId51" display="https://dailymed.nlm.nih.gov/dailymed/drugInfo.cfm?setid=f8e001f5-441c-47cd-86f6-5d5e3de16bc0"/>
    <hyperlink ref="H45" r:id="rId52" display="https://mhraproducts4853.blob.core.windows.net/docs/8472f5b9e8869716ad12ef052d8bedebf43a4b5a"/>
    <hyperlink ref="F46" r:id="rId53" display="https://dailymed.nlm.nih.gov/dailymed/drugInfo.cfm?setid=147e033d-d997-4ef6-8bb5-a9ba372590b2"/>
    <hyperlink ref="F47" r:id="rId54" display="https://mhraproducts4853.blob.core.windows.net/docs/1dd806a3b43b1cb3206cd238b17c784533bc42fe"/>
    <hyperlink ref="F48" r:id="rId55" display="https://health-products.canada.ca/dpd-bdpp/info?lang=eng&amp;code=11096"/>
    <hyperlink ref="H48" r:id="rId56" display="https://labeling.pfizer.com/ShowLabeling.aspx?id=7153"/>
    <hyperlink ref="F49" r:id="rId57" display="https://dailymed.nlm.nih.gov/dailymed/drugInfo.cfm?setid=01fd19cd-190c-4989-b733-60ba95941297"/>
    <hyperlink ref="F50" r:id="rId58" display="https://dailymed.nlm.nih.gov/dailymed/drugInfo.cfm?setid=0a03c798-a652-4895-b29c-3b521a89ba42"/>
    <hyperlink ref="H50" r:id="rId59" display="https://mhraproducts4853.blob.core.windows.net/docs/8aeba99a8f543f374d08351b5b996fa2b4d7f66c"/>
    <hyperlink ref="F51" r:id="rId60" display="https://dailymed.nlm.nih.gov/dailymed/drugInfo.cfm?setid=00ad7bbe-cadd-4647-b74b-adfc9f2b5e94"/>
    <hyperlink ref="F52" r:id="rId61" display="https://dailymed.nlm.nih.gov/dailymed/drugInfo.cfm?setid=1038e984-3bf7-5bbf-f1ec-ce15ae330efc"/>
    <hyperlink ref="H52" r:id="rId62" display="https://mhraproducts4853.blob.core.windows.net/docs/95551de6e371d1b1bed01d2b0a696de15b3e865e"/>
    <hyperlink ref="F53" r:id="rId63" display="https://dailymed.nlm.nih.gov/dailymed/drugInfo.cfm?setid=32d9f095-ca39-7e22-6264-b54f2daaee57"/>
    <hyperlink ref="F54" r:id="rId64" display="https://dailymed.nlm.nih.gov/dailymed/drugInfo.cfm?setid=017023a9-00f0-4284-861f-a3634d4fdb17"/>
    <hyperlink ref="H54" r:id="rId65" display="https://mhraproducts4853.blob.core.windows.net/docs/1e3efe74f99ebfa44e3ae295aff22c617a4e3f30"/>
    <hyperlink ref="F55" r:id="rId66" display="https://dailymed.nlm.nih.gov/dailymed/drugInfo.cfm?setid=45a15ba2-2aae-4edc-beaa-4a2357d87f32"/>
    <hyperlink ref="H55" r:id="rId67" display="https://mhraproducts4853.blob.core.windows.net/docs/4113c6c3738a47332b81c6a02b324e142668494a"/>
    <hyperlink ref="F56" r:id="rId68" display="https://dailymed.nlm.nih.gov/dailymed/drugInfo.cfm?setid=e24e7440-a958-6fd0-6bfe-1bd29e638657"/>
    <hyperlink ref="F57" r:id="rId69" display="https://dailymed.nlm.nih.gov/dailymed/drugInfo.cfm?setid=0820f15a-046b-4185-a2b3-2e4051ee3d82"/>
    <hyperlink ref="H57" r:id="rId70" display="https://mhraproducts4853.blob.core.windows.net/docs/82a8e8a12348001cf20937cfdc9b77351ca8477f"/>
    <hyperlink ref="F58" r:id="rId71" display="https://dailymed.nlm.nih.gov/dailymed/drugInfo.cfm?setid=97c33213-f415-4718-8466-9aa50371af70"/>
    <hyperlink ref="F59" r:id="rId72" display="https://dailymed.nlm.nih.gov/dailymed/drugInfo.cfm?setid=aacf276b-e133-4199-ad3f-67b894744c04"/>
    <hyperlink ref="F60" r:id="rId73" display="https://dailymed.nlm.nih.gov/dailymed/drugInfo.cfm?setid=7f05ab1e-aed4-4f87-b939-2dc9719aa34c"/>
    <hyperlink ref="F61" r:id="rId74" display="https://mhraproducts4853.blob.core.windows.net/docs/4daaeae927ce26807b7140b5958b51d0a2647d2e"/>
    <hyperlink ref="F62" r:id="rId75" display="https://dailymed.nlm.nih.gov/dailymed/drugInfo.cfm?setid=3adca34b-4f65-4e21-8058-3c01fc7fc9bb"/>
    <hyperlink ref="F63" r:id="rId76" display="https://mhraproducts4853.blob.core.windows.net/docs/06788ea06546464bce35c66ad15e26a8abc06138"/>
    <hyperlink ref="F64" r:id="rId77" display="https://dailymed.nlm.nih.gov/dailymed/drugInfo.cfm?setid=66d451fe-2436-494c-80c5-4528c8e34369"/>
    <hyperlink ref="H64" r:id="rId78" display="https://mhraproducts4853.blob.core.windows.net/docs/34e104c5c0cb13b29bac10c994d30a1b4eac42e2"/>
    <hyperlink ref="F65" r:id="rId79" display="https://dailymed.nlm.nih.gov/dailymed/drugInfo.cfm?setid=1f532edc-1a2c-4221-80dd-1ac158dd3a72"/>
    <hyperlink ref="F66" r:id="rId80" display="https://dailymed.nlm.nih.gov/dailymed/drugInfo.cfm?setid=79d023ab-7d77-48c1-8f47-ea322fd58c2b"/>
    <hyperlink ref="F67" r:id="rId81" display="https://dailymed.nlm.nih.gov/dailymed/drugInfo.cfm?setid=b471eb51-488e-5312-e053-2a95a90a8116"/>
    <hyperlink ref="F68" r:id="rId82" display="https://dailymed.nlm.nih.gov/dailymed/drugInfo.cfm?setid=4ea8ae43-22ca-40c0-be72-c91a321cafd1"/>
    <hyperlink ref="H68" r:id="rId83" display="https://mhraproducts4853.blob.core.windows.net/docs/c43283f4f5fe3bb7b26cf8988a8af88d32c13c93"/>
    <hyperlink ref="F69" r:id="rId84" display="https://dailymed.nlm.nih.gov/dailymed/drugInfo.cfm?setid=871797f0-697a-4a29-a37b-d06219e8f266"/>
    <hyperlink ref="F70" r:id="rId85" display="https://dailymed.nlm.nih.gov/dailymed/drugInfo.cfm?setid=783e9d68-2371-4fd4-8d7a-a5e36f8718d0"/>
    <hyperlink ref="H70" r:id="rId86" display="https://mhraproducts4853.blob.core.windows.net/docs/6d5a76e0c14be3696eb7d7a5c38ab7fba2abf796"/>
    <hyperlink ref="F71" r:id="rId87" display="https://dailymed.nlm.nih.gov/dailymed/drugInfo.cfm?setid=65df5d2d-79aa-41d4-866a-566e520320f7"/>
    <hyperlink ref="F72" r:id="rId88" display="https://dailymed.nlm.nih.gov/dailymed/drugInfo.cfm?setid=1a0e38cb-fd9f-4962-9f81-5c0023ca6b4c"/>
    <hyperlink ref="F73" r:id="rId89" display="https://dailymed.nlm.nih.gov/dailymed/drugInfo.cfm?setid=8396ea96-7cb5-4e26-87a4-90bca9c3c6dd"/>
    <hyperlink ref="F74" r:id="rId90" display="https://dailymed.nlm.nih.gov/dailymed/drugInfo.cfm?setid=e08d8b6c-a184-4dd5-84ef-bac90e4b1c33"/>
    <hyperlink ref="F75" r:id="rId91" display="https://dailymed.nlm.nih.gov/dailymed/drugInfo.cfm?setid=451d6d04-b7d9-47d9-ba71-43cc5b9b3054"/>
    <hyperlink ref="F76" r:id="rId92" display="https://dailymed.nlm.nih.gov/dailymed/drugInfo.cfm?setid=a3087a39-f218-4f16-a1e7-17c39bb2eb69"/>
    <hyperlink ref="F77" r:id="rId93" display="https://mhraproducts4853.blob.core.windows.net/docs/51e482dd059a807e5b4653144bcf38d462300c8b"/>
    <hyperlink ref="F78" r:id="rId94" display="https://mhraproducts4853.blob.core.windows.net/docs/13be69adbff91eaa9def74b5879135500983c712"/>
    <hyperlink ref="F79" r:id="rId95" display="https://dailymed.nlm.nih.gov/dailymed/drugInfo.cfm?setid=7c20b574-285b-49eb-a98e-6752e4bb481d"/>
    <hyperlink ref="H79" r:id="rId96" display="https://mhraproducts4853.blob.core.windows.net/docs/201d2a0d9aa57a3569065fb673031d38f685075d"/>
    <hyperlink ref="F80" r:id="rId97" display="https://mhraproducts4853.blob.core.windows.net/docs/1ed164cb6fbb995109a5ba6e7b3165176762216e"/>
    <hyperlink ref="H80" r:id="rId98" display="https://dailymed.nlm.nih.gov/dailymed/drugInfo.cfm?setid=b2de0c9a-0065-4f2c-9983-add39525f3a3"/>
    <hyperlink ref="F81" r:id="rId99" display="https://dailymed.nlm.nih.gov/dailymed/drugInfo.cfm?setid=626dc9e5-c6b4-4f9c-9bf4-774fd3ae619a"/>
    <hyperlink ref="F82" r:id="rId100" display="https://dailymed.nlm.nih.gov/dailymed/drugInfo.cfm?setid=f724120d-da28-4065-9e05-d7dd6afbb546"/>
    <hyperlink ref="F83" r:id="rId101" display="https://dailymed.nlm.nih.gov/dailymed/drugInfo.cfm?setid=11da176a-99bc-4ada-8b3f-6bd2b37a6313"/>
    <hyperlink ref="F84" r:id="rId102" display="https://mhraproducts4853.blob.core.windows.net/docs/2570307a3085ad81ffb51a26c670a4968681f7e9"/>
    <hyperlink ref="F85" r:id="rId103" display="https://dailymed.nlm.nih.gov/dailymed/drugInfo.cfm?setid=0a9234b7-46b1-8e6c-a992-90f86cfb6e00"/>
    <hyperlink ref="H85" r:id="rId104" display="https://mhraproducts4853.blob.core.windows.net/docs/7a8fe1e86f394f14dd27119a87ad9196daa418be"/>
    <hyperlink ref="F86" r:id="rId105" display="https://mhraproducts4853.blob.core.windows.net/docs/4d6a2b8a7eed24427d497672070733ad0dc2f1aa"/>
    <hyperlink ref="H86" r:id="rId106" display="https://dailymed.nlm.nih.gov/dailymed/drugInfo.cfm?setid=2177b6fe-aa37-6f6b-e063-6294a90af09a"/>
    <hyperlink ref="F87" r:id="rId107" display="https://dailymed.nlm.nih.gov/dailymed/drugInfo.cfm?setid=c2b5be20-cc6f-4221-9d3e-3f8b5886cd05"/>
    <hyperlink ref="F88" r:id="rId108" display="https://dailymed.nlm.nih.gov/dailymed/drugInfo.cfm?setid=647ca293-9e68-4773-947a-0fb064aa6fd1"/>
    <hyperlink ref="F89" r:id="rId109" display="https://mhraproducts4853.blob.core.windows.net/docs/6137d0826ea9251c4cd7449204eef9e37c09728b"/>
    <hyperlink ref="F90" r:id="rId110" display="https://dailymed.nlm.nih.gov/dailymed/drugInfo.cfm?setid=0655670a-d127-4e08-8a23-ace64b2503b2"/>
    <hyperlink ref="F91" r:id="rId111" display="https://dailymed.nlm.nih.gov/dailymed/drugInfo.cfm?setid=bd5e4db5-8787-4428-2cb6-ef6f8a5e08af"/>
    <hyperlink ref="H91" r:id="rId112" display="https://mhraproducts4853.blob.core.windows.net/docs/b72d32face7ce61d71696787ed3106ac25618280"/>
    <hyperlink ref="F92" r:id="rId113" display="https://dailymed.nlm.nih.gov/dailymed/drugInfo.cfm?setid=bf1d3433-9e3f-40a0-8bff-c8ceaa8bab7c"/>
    <hyperlink ref="H92" r:id="rId114" display="https://mhraproducts4853.blob.core.windows.net/docs/9ae7aeea49bf816c85c6e16440c212622827183e"/>
    <hyperlink ref="F93" r:id="rId115" display="https://dailymed.nlm.nih.gov/dailymed/drugInfo.cfm?setid=49e9c804-9e88-4774-8faf-35bd61b3a8e9"/>
    <hyperlink ref="H93" r:id="rId116" display="https://mhraproducts4853.blob.core.windows.net/docs/23dcd067131a54c6fa73c5557a0dab034764ccf5"/>
    <hyperlink ref="F94" r:id="rId117" display="https://mhraproducts4853.blob.core.windows.net/docs/6bf77bfee94fc37f9ea2cc41e9601b5d4e59322f"/>
    <hyperlink ref="F95" r:id="rId118" display="https://dailymed.nlm.nih.gov/dailymed/drugInfo.cfm?setid=f76d4ab9-2f6c-420b-afec-b9cdfdc083ce"/>
    <hyperlink ref="F96" r:id="rId119" display="https://dailymed.nlm.nih.gov/dailymed/drugInfo.cfm?setid=dd035a9f-cd40-4314-b9d8-2294b8a924e2"/>
    <hyperlink ref="F97" r:id="rId120" display="https://dailymed.nlm.nih.gov/dailymed/drugInfo.cfm?setid=a0cbcdb5-f657-49f7-8f86-cc5959d69db0"/>
    <hyperlink ref="F98" r:id="rId121" display="https://dailymed.nlm.nih.gov/dailymed/drugInfo.cfm?setid=23f4df96-1151-4815-8f01-4d79e5aa2145"/>
    <hyperlink ref="F99" r:id="rId122" display="https://dailymed.nlm.nih.gov/dailymed/drugInfo.cfm?setid=4e489fab-75bc-4514-9bf2-85b8ed08a1b0"/>
    <hyperlink ref="H99" r:id="rId123" display="https://mhraproducts4853.blob.core.windows.net/docs/d43a7f71f48565822fee9785a9f23d1c36290a30"/>
    <hyperlink ref="F100" r:id="rId124" display="https://dailymed.nlm.nih.gov/dailymed/drugInfo.cfm?setid=cbf0f6ba-3a53-4791-9a85-5c6b271eeb8e"/>
    <hyperlink ref="H100" r:id="rId125" display="https://mhraproducts4853.blob.core.windows.net/docs/deb4340f48c538ddac710a914581a07ba8ad754b"/>
    <hyperlink ref="F101" r:id="rId126" display="https://dailymed.nlm.nih.gov/dailymed/drugInfo.cfm?setid=fcb8ef8a-f770-4416-8fc5-fa01d98c8eee"/>
    <hyperlink ref="F102" r:id="rId127" display="https://dailymed.nlm.nih.gov/dailymed/drugInfo.cfm?setid=582f42e5-444e-4246-af8c-e7e28097c69a"/>
    <hyperlink ref="F103" r:id="rId128" display="https://dailymed.nlm.nih.gov/dailymed/drugInfo.cfm?setid=34821770-929c-40ea-a9e4-d4405dc869e1"/>
    <hyperlink ref="F104" r:id="rId129" display="https://dailymed.nlm.nih.gov/dailymed/drugInfo.cfm?setid=b1303f15-c48b-a44d-b28a-72f370094e02"/>
    <hyperlink ref="F105" r:id="rId130" display="https://mhraproducts4853.blob.core.windows.net/docs/c1a527395c406fbf88130971c80a4e1c80383b39"/>
    <hyperlink ref="H105" r:id="rId131" display="https://dailymed.nlm.nih.gov/dailymed/drugInfo.cfm?setid=088f96eb-20b8-48f8-ac83-329f75a44ce1"/>
    <hyperlink ref="F106" r:id="rId132" display="https://dailymed.nlm.nih.gov/dailymed/drugInfo.cfm?setid=387d7f8d-9762-4f6b-99e1-bdc50b8a1633"/>
    <hyperlink ref="F107" r:id="rId133" display="https://dailymed.nlm.nih.gov/dailymed/drugInfo.cfm?setid=c1387008-6dc4-4f1e-ae29-fa7a0f0be684"/>
    <hyperlink ref="F108" r:id="rId134" display="https://dailymed.nlm.nih.gov/dailymed/drugInfo.cfm?setid=35e0d160-813f-41d7-a382-d2cab6485d9c"/>
    <hyperlink ref="F109" r:id="rId135" display="https://dailymed.nlm.nih.gov/dailymed/drugInfo.cfm?setid=81e90279-9889-47bd-974b-334c181f295c"/>
    <hyperlink ref="F110" r:id="rId136" display="https://dailymed.nlm.nih.gov/dailymed/drugInfo.cfm?setid=18fe8365-86e3-414e-84dc-c98e097a2f36"/>
    <hyperlink ref="F111" r:id="rId137" display="https://dailymed.nlm.nih.gov/dailymed/drugInfo.cfm?setid=0c12c77c-5fd4-48dc-a318-e96892233992"/>
    <hyperlink ref="H111" r:id="rId138" display="https://mhraproducts4853.blob.core.windows.net/docs/83e81cb065e8691917e531d50b1da4f1dae928b6"/>
    <hyperlink ref="F112" r:id="rId139" display="https://dailymed.nlm.nih.gov/dailymed/drugInfo.cfm?setid=6cd61892-d2cb-434d-83ed-5c1b2c4e7a0b"/>
    <hyperlink ref="F113" r:id="rId140" display="https://dailymed.nlm.nih.gov/dailymed/drugInfo.cfm?setid=37e7ef89-fd77-44e0-9271-ae91f8822603"/>
    <hyperlink ref="H113" r:id="rId141" display="https://mhraproducts4853.blob.core.windows.net/docs/f22c15840604c663970f7da2a79614ac40bca62c"/>
    <hyperlink ref="F114" r:id="rId142" display="https://dailymed.nlm.nih.gov/dailymed/drugInfo.cfm?setid=a9e5fac6-2db6-4311-a98b-eb3f0dde19d6"/>
    <hyperlink ref="H114" r:id="rId143" display="https://mhraproducts4853.blob.core.windows.net/docs/9fc4a882e1f84fc1af4503edf9a3e048a47e9f53"/>
    <hyperlink ref="F115" r:id="rId144" display="https://dailymed.nlm.nih.gov/dailymed/drugInfo.cfm?setid=2b7c7587-2042-0d9c-e054-00144ff88e88"/>
    <hyperlink ref="H115" r:id="rId145" display="https://mhraproducts4853.blob.core.windows.net/docs/5c26c6a145bca6fbb3eda47073599ced86713a2f"/>
    <hyperlink ref="F116" r:id="rId146" display="https://dailymed.nlm.nih.gov/dailymed/drugInfo.cfm?setid=77a8576f-b91e-42ce-b613-2fa3c3d4a571"/>
    <hyperlink ref="F117" r:id="rId147" display="https://dailymed.nlm.nih.gov/dailymed/drugInfo.cfm?setid=5c14fbf2-e21f-44b3-b35c-06919d40d7e0"/>
    <hyperlink ref="F118" r:id="rId148" display="https://mhraproducts4853.blob.core.windows.net/docs/55fa24b0655197623f40fdf9c0e1d849154bfa80"/>
    <hyperlink ref="H118" r:id="rId149" display="https://health-products.canada.ca/dpd-bdpp/info?lang=eng&amp;code=12889"/>
    <hyperlink ref="F119" r:id="rId150" display="https://dailymed.nlm.nih.gov/dailymed/drugInfo.cfm?setid=6922f32f-8bed-4c09-8103-27987bcbd104"/>
    <hyperlink ref="F120" r:id="rId151" display="https://dailymed.nlm.nih.gov/dailymed/drugInfo.cfm?setid=b1e53422-c85d-4bb6-af4f-24934cc319b0"/>
    <hyperlink ref="F121" r:id="rId152" display="https://dailymed.nlm.nih.gov/dailymed/drugInfo.cfm?setid=28258745-12e4-4f0f-b318-4a1a1bebc928"/>
    <hyperlink ref="H121" r:id="rId153" display="https://mhraproducts4853.blob.core.windows.net/docs/fb177071badddaa7979eeae36ea28ab48a60b768"/>
    <hyperlink ref="F122" r:id="rId154" display="https://dailymed.nlm.nih.gov/dailymed/drugInfo.cfm?setid=bb8e1167-8378-4e73-9bcb-d69093ec829b"/>
    <hyperlink ref="F123" r:id="rId155" display="https://dailymed.nlm.nih.gov/dailymed/drugInfo.cfm?setid=7d19df3b-94ed-4681-beae-9caaf137d014"/>
    <hyperlink ref="F124" r:id="rId156" display="https://dailymed.nlm.nih.gov/dailymed/drugInfo.cfm?setid=800646b8-83a8-01d9-3dc8-bb2ddcb8570c"/>
    <hyperlink ref="H124" r:id="rId157" display="https://mhraproducts4853.blob.core.windows.net/docs/20e325341d4d11f3fa15c459435ae46791d8ba4f"/>
    <hyperlink ref="F125" r:id="rId158" display="https://dailymed.nlm.nih.gov/dailymed/drugInfo.cfm?setid=7a31fc4c-579f-45cc-9559-39cfad9a57b3"/>
    <hyperlink ref="F126" r:id="rId159" display="https://mhraproducts4853.blob.core.windows.net/docs/832a62b9cb979c15814e955526cafbf58d1a120a"/>
    <hyperlink ref="F127" r:id="rId160" display="https://dailymed.nlm.nih.gov/dailymed/drugInfo.cfm?setid=03ef6420-8190-a404-f7f6-def1864a77de"/>
    <hyperlink ref="F128" r:id="rId161" display="https://dailymed.nlm.nih.gov/dailymed/drugInfo.cfm?setid=5b8025d2-3424-477b-9cff-3990a98c2a65"/>
    <hyperlink ref="H128" r:id="rId162" display="https://mhraproducts4853.blob.core.windows.net/docs/30aabc766650f3de9340032eb4a1823e8a92d0ac"/>
    <hyperlink ref="F129" r:id="rId163" display="https://dailymed.nlm.nih.gov/dailymed/drugInfo.cfm?setid=116385ea-69fc-4f44-b463-6210291032df"/>
    <hyperlink ref="H129" r:id="rId164" display="https://mhraproducts4853.blob.core.windows.net/docs/2db067f28b4a5cee9ffbcda6966ba8e62c165c64"/>
    <hyperlink ref="F130" r:id="rId165" display="https://mhraproducts4853.blob.core.windows.net/docs/e2acf7eb6316bc8cbbaaf53631abd625c75878c8"/>
    <hyperlink ref="F131" r:id="rId166" display="https://dailymed.nlm.nih.gov/dailymed/drugInfo.cfm?setid=bb92d686-a81e-4b91-8048-693af0534cb3"/>
    <hyperlink ref="H131" r:id="rId167" display="https://mhraproducts4853.blob.core.windows.net/docs/02230fedf0f6e67657137dc1b732971ab3782ab2"/>
    <hyperlink ref="F132" r:id="rId168" display="https://dailymed.nlm.nih.gov/dailymed/drugInfo.cfm?setid=f38d0dfc-9bcc-4224-a202-885c9ad0beae"/>
    <hyperlink ref="H132" r:id="rId169" display="https://mhraproducts4853.blob.core.windows.net/docs/acf0dbbc5df81cd92e3a113a48e28dc68e8a0cf5"/>
    <hyperlink ref="F133" r:id="rId170" display="https://mhraproducts4853.blob.core.windows.net/docs/0abd36d989a97b306126883cf229d48c54e4d739"/>
    <hyperlink ref="F134" r:id="rId171" display="https://pdf.hres.ca/dpd_pm/00003639.PDF"/>
    <hyperlink ref="F135" r:id="rId172" display="https://dailymed.nlm.nih.gov/dailymed/drugInfo.cfm?setid=3deac02b-392c-4ee4-9abf-7fe5b8975147"/>
    <hyperlink ref="F136" r:id="rId173" display="https://dailymed.nlm.nih.gov/dailymed/drugInfo.cfm?setid=57bf9b96-0550-b8e4-e063-6294a90a317b"/>
    <hyperlink ref="H136" r:id="rId174" display="https://mhraproducts4853.blob.core.windows.net/docs/3489692807cabc9ee757ad292940e8a021f68d01"/>
    <hyperlink ref="F137" r:id="rId175" display="https://mhraproducts4853.blob.core.windows.net/docs/45a310f5c66d09f20d9d1eb3a5d48c17c486ac7b"/>
    <hyperlink ref="F138" r:id="rId176" display="https://dailymed.nlm.nih.gov/dailymed/drugInfo.cfm?setid=3a35b86c-f451-4fac-8499-43019e4da354"/>
    <hyperlink ref="H138" r:id="rId177" display="https://mhraproducts4853.blob.core.windows.net/docs/87e83833753716c061280fd48b95d5801f88bfa9"/>
    <hyperlink ref="F139" r:id="rId178" display="https://dailymed.nlm.nih.gov/dailymed/drugInfo.cfm?setid=78d55bad-4a5b-4e21-aeb8-a4c6346208be"/>
    <hyperlink ref="F140" r:id="rId179" display="https://dailymed.nlm.nih.gov/dailymed/drugInfo.cfm?setid=82a98132-9d5f-40a5-8c4f-f52f2a5de60e"/>
    <hyperlink ref="F141" r:id="rId180" display="https://dailymed.nlm.nih.gov/dailymed/drugInfo.cfm?setid=f80f025b-17d8-40af-8739-20ce07902045"/>
    <hyperlink ref="F142" r:id="rId181" display="https://dailymed.nlm.nih.gov/dailymed/drugInfo.cfm?setid=0def6a5e-4bf5-b1fd-47b7-0f17ecfd9bc2"/>
    <hyperlink ref="H142" r:id="rId182" display="https://mhraproducts4853.blob.core.windows.net/docs/e04df231228d42c83cc4a6259d7c5c571353c022"/>
    <hyperlink ref="F143" r:id="rId183" display="https://dailymed.nlm.nih.gov/dailymed/drugInfo.cfm?setid=dd58e0c3-d8a8-4cf2-96f8-9dd08f309579"/>
    <hyperlink ref="H143" r:id="rId184" display="https://mhraproducts4853.blob.core.windows.net/docs/42d7e79466d433c5192ed2f92d3a915eca41853d"/>
    <hyperlink ref="F144" r:id="rId185" display="https://dailymed.nlm.nih.gov/dailymed/drugInfo.cfm?setid=d554acff-22e9-4f28-b826-ee1b91daa2df"/>
    <hyperlink ref="H144" r:id="rId186" display="https://mhraproducts4853.blob.core.windows.net/docs/e43f2440514458537140b935827096caf459e80d"/>
    <hyperlink ref="F145" r:id="rId187" display="https://dailymed.nlm.nih.gov/dailymed/drugInfo.cfm?setid=ceea739a-21dd-4c3a-9ef6-2b7ab2bdd95a"/>
    <hyperlink ref="H145" r:id="rId188" display="https://mhraproducts4853.blob.core.windows.net/docs/65edc2e1545faa366d2c4975093e7970d753f777"/>
    <hyperlink ref="F146" r:id="rId189" display="https://dailymed.nlm.nih.gov/dailymed/drugInfo.cfm?setid=ae71c003-883a-4cd8-ad50-e8cc9a54e971"/>
    <hyperlink ref="H146" r:id="rId190" display="https://mhraproducts4853.blob.core.windows.net/docs/493d4bfda677fb5e534ce5b3f4ea9f88534240a7"/>
    <hyperlink ref="F147" r:id="rId191" display="https://dailymed.nlm.nih.gov/dailymed/drugInfo.cfm?setid=05c2a9cf-a018-48c0-9c73-2d59d52211d2"/>
    <hyperlink ref="F148" r:id="rId192" display="https://dailymed.nlm.nih.gov/dailymed/drugInfo.cfm?setid=2539a6cf-0fe5-1565-e063-6294a90a3618"/>
    <hyperlink ref="F149" r:id="rId193" display="https://dailymed.nlm.nih.gov/dailymed/drugInfo.cfm?setid=3f5dacea-af40-4103-b128-c5e0c0c52fa1"/>
    <hyperlink ref="H149" r:id="rId194" display="https://mhraproducts4853.blob.core.windows.net/docs/0605730a38f8b988fbfaf3fc09d20f3c7376c587"/>
    <hyperlink ref="F150" r:id="rId195" display="https://dailymed.nlm.nih.gov/dailymed/drugInfo.cfm?setid=387b57ce-e50e-4e03-86d9-12638242bd36"/>
    <hyperlink ref="H150" r:id="rId196" display="https://mhraproducts4853.blob.core.windows.net/docs/1e3206a2f7a9a0bc0b5e1387ff816310bd3a6274"/>
    <hyperlink ref="F151" r:id="rId197" display="https://dailymed.nlm.nih.gov/dailymed/drugInfo.cfm?setid=def3b9ba-523d-4b83-a80d-fa6f362e111c"/>
    <hyperlink ref="H151" r:id="rId198" display="https://mhraproducts4853.blob.core.windows.net/docs/2b86e6e4cadbc2aee6c9bef4810ef2d6c504c961"/>
    <hyperlink ref="F152" r:id="rId199" display="https://dailymed.nlm.nih.gov/dailymed/drugInfo.cfm?setid=f073b58e-56d6-4c8d-a2ce-b37719402d77"/>
    <hyperlink ref="F153" r:id="rId200" display="https://dailymed.nlm.nih.gov/dailymed/drugInfo.cfm?setid=49596de6-ab18-49d1-9e5b-30968fc21c36"/>
    <hyperlink ref="F154" r:id="rId201" display="https://dailymed.nlm.nih.gov/dailymed/drugInfo.cfm?setid=dd3dcc9a-e40c-4677-9ee6-f318e7c7d835"/>
    <hyperlink ref="H154" r:id="rId202" display="https://mhraproducts4853.blob.core.windows.net/docs/3d797cdc3f406c382dd7a59f87e1c4e1c4dd3b8b"/>
    <hyperlink ref="F155" r:id="rId203" display="https://dailymed.nlm.nih.gov/dailymed/drugInfo.cfm?setid=fff10d69-e334-42bd-baed-7d9d5feef6aa"/>
    <hyperlink ref="H155" r:id="rId204" display="https://mhraproducts4853.blob.core.windows.net/docs/e80e715a9abfb407b9d6e8113150fe6a6bc5aea8"/>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05"/>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AA1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7" topLeftCell="B28" activePane="bottomRight" state="frozen"/>
      <selection pane="topLeft" activeCell="A1" activeCellId="0" sqref="A1"/>
      <selection pane="topRight" activeCell="B1" activeCellId="0" sqref="B1"/>
      <selection pane="bottomLeft" activeCell="A28" activeCellId="0" sqref="A28"/>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0"/>
    <col collapsed="false" customWidth="true" hidden="false" outlineLevel="0" max="3" min="3" style="0" width="12"/>
    <col collapsed="false" customWidth="true" hidden="false" outlineLevel="0" max="24" min="4" style="0" width="7"/>
    <col collapsed="false" customWidth="true" hidden="false" outlineLevel="0" max="25" min="25" style="0" width="9"/>
    <col collapsed="false" customWidth="true" hidden="false" outlineLevel="0" max="26" min="26" style="0" width="10"/>
    <col collapsed="false" customWidth="true" hidden="false" outlineLevel="0" max="27" min="27" style="0" width="12"/>
  </cols>
  <sheetData>
    <row r="1" customFormat="false" ht="18.55" hidden="false" customHeight="false" outlineLevel="0" collapsed="false">
      <c r="A1" s="39" t="s">
        <v>3102</v>
      </c>
    </row>
    <row r="2" customFormat="false" ht="15" hidden="false" customHeight="false" outlineLevel="0" collapsed="false">
      <c r="A2" s="2" t="s">
        <v>3103</v>
      </c>
    </row>
    <row r="3" customFormat="false" ht="15" hidden="false" customHeight="false" outlineLevel="0" collapsed="false">
      <c r="A3" s="11" t="s">
        <v>3104</v>
      </c>
      <c r="C3" s="45" t="n">
        <v>3</v>
      </c>
    </row>
    <row r="5" customFormat="false" ht="15" hidden="false" customHeight="false" outlineLevel="0" collapsed="false">
      <c r="A5" s="29" t="s">
        <v>3105</v>
      </c>
    </row>
    <row r="6" customFormat="false" ht="33" hidden="false" customHeight="true" outlineLevel="0" collapsed="false">
      <c r="A6" s="46" t="s">
        <v>3106</v>
      </c>
      <c r="B6" s="42" t="s">
        <v>3107</v>
      </c>
      <c r="C6" s="42"/>
      <c r="D6" s="42"/>
      <c r="E6" s="42"/>
      <c r="F6" s="42"/>
      <c r="G6" s="42"/>
      <c r="H6" s="42"/>
      <c r="I6" s="42"/>
      <c r="J6" s="42"/>
      <c r="K6" s="42"/>
      <c r="L6" s="42"/>
      <c r="M6" s="42"/>
      <c r="N6" s="42"/>
      <c r="O6" s="42"/>
      <c r="P6" s="42"/>
      <c r="Q6" s="42"/>
      <c r="R6" s="42"/>
      <c r="S6" s="42"/>
      <c r="T6" s="42"/>
      <c r="U6" s="42"/>
      <c r="V6" s="42"/>
      <c r="W6" s="42"/>
      <c r="X6" s="42"/>
      <c r="Y6" s="42"/>
      <c r="Z6" s="42"/>
      <c r="AA6" s="42"/>
    </row>
    <row r="7" customFormat="false" ht="33" hidden="false" customHeight="true" outlineLevel="0" collapsed="false">
      <c r="A7" s="46" t="s">
        <v>3108</v>
      </c>
      <c r="B7" s="42" t="s">
        <v>3109</v>
      </c>
      <c r="C7" s="42"/>
      <c r="D7" s="42"/>
      <c r="E7" s="42"/>
      <c r="F7" s="42"/>
      <c r="G7" s="42"/>
      <c r="H7" s="42"/>
      <c r="I7" s="42"/>
      <c r="J7" s="42"/>
      <c r="K7" s="42"/>
      <c r="L7" s="42"/>
      <c r="M7" s="42"/>
      <c r="N7" s="42"/>
      <c r="O7" s="42"/>
      <c r="P7" s="42"/>
      <c r="Q7" s="42"/>
      <c r="R7" s="42"/>
      <c r="S7" s="42"/>
      <c r="T7" s="42"/>
      <c r="U7" s="42"/>
      <c r="V7" s="42"/>
      <c r="W7" s="42"/>
      <c r="X7" s="42"/>
      <c r="Y7" s="42"/>
      <c r="Z7" s="42"/>
      <c r="AA7" s="42"/>
    </row>
    <row r="8" customFormat="false" ht="17.25" hidden="false" customHeight="true" outlineLevel="0" collapsed="false">
      <c r="A8" s="46" t="s">
        <v>3110</v>
      </c>
      <c r="B8" s="42" t="s">
        <v>3111</v>
      </c>
      <c r="C8" s="42"/>
      <c r="D8" s="42"/>
      <c r="E8" s="42"/>
      <c r="F8" s="42"/>
      <c r="G8" s="42"/>
      <c r="H8" s="42"/>
      <c r="I8" s="42"/>
      <c r="J8" s="42"/>
      <c r="K8" s="42"/>
      <c r="L8" s="42"/>
      <c r="M8" s="42"/>
      <c r="N8" s="42"/>
      <c r="O8" s="42"/>
      <c r="P8" s="42"/>
      <c r="Q8" s="42"/>
      <c r="R8" s="42"/>
      <c r="S8" s="42"/>
      <c r="T8" s="42"/>
      <c r="U8" s="42"/>
      <c r="V8" s="42"/>
      <c r="W8" s="42"/>
      <c r="X8" s="42"/>
      <c r="Y8" s="42"/>
      <c r="Z8" s="42"/>
      <c r="AA8" s="42"/>
    </row>
    <row r="9" customFormat="false" ht="17.25" hidden="false" customHeight="true" outlineLevel="0" collapsed="false">
      <c r="A9" s="46" t="s">
        <v>3112</v>
      </c>
      <c r="B9" s="42" t="s">
        <v>3113</v>
      </c>
      <c r="C9" s="42"/>
      <c r="D9" s="42"/>
      <c r="E9" s="42"/>
      <c r="F9" s="42"/>
      <c r="G9" s="42"/>
      <c r="H9" s="42"/>
      <c r="I9" s="42"/>
      <c r="J9" s="42"/>
      <c r="K9" s="42"/>
      <c r="L9" s="42"/>
      <c r="M9" s="42"/>
      <c r="N9" s="42"/>
      <c r="O9" s="42"/>
      <c r="P9" s="42"/>
      <c r="Q9" s="42"/>
      <c r="R9" s="42"/>
      <c r="S9" s="42"/>
      <c r="T9" s="42"/>
      <c r="U9" s="42"/>
      <c r="V9" s="42"/>
      <c r="W9" s="42"/>
      <c r="X9" s="42"/>
      <c r="Y9" s="42"/>
      <c r="Z9" s="42"/>
      <c r="AA9" s="42"/>
    </row>
    <row r="10" customFormat="false" ht="17.25" hidden="false" customHeight="true" outlineLevel="0" collapsed="false">
      <c r="A10" s="46" t="s">
        <v>3114</v>
      </c>
      <c r="B10" s="42" t="s">
        <v>3115</v>
      </c>
      <c r="C10" s="42"/>
      <c r="D10" s="42"/>
      <c r="E10" s="42"/>
      <c r="F10" s="42"/>
      <c r="G10" s="42"/>
      <c r="H10" s="42"/>
      <c r="I10" s="42"/>
      <c r="J10" s="42"/>
      <c r="K10" s="42"/>
      <c r="L10" s="42"/>
      <c r="M10" s="42"/>
      <c r="N10" s="42"/>
      <c r="O10" s="42"/>
      <c r="P10" s="42"/>
      <c r="Q10" s="42"/>
      <c r="R10" s="42"/>
      <c r="S10" s="42"/>
      <c r="T10" s="42"/>
      <c r="U10" s="42"/>
      <c r="V10" s="42"/>
      <c r="W10" s="42"/>
      <c r="X10" s="42"/>
      <c r="Y10" s="42"/>
      <c r="Z10" s="42"/>
      <c r="AA10" s="42"/>
    </row>
    <row r="11" customFormat="false" ht="33" hidden="false" customHeight="true" outlineLevel="0" collapsed="false">
      <c r="A11" s="46" t="s">
        <v>3116</v>
      </c>
      <c r="B11" s="42" t="s">
        <v>3117</v>
      </c>
      <c r="C11" s="42"/>
      <c r="D11" s="42"/>
      <c r="E11" s="42"/>
      <c r="F11" s="42"/>
      <c r="G11" s="42"/>
      <c r="H11" s="42"/>
      <c r="I11" s="42"/>
      <c r="J11" s="42"/>
      <c r="K11" s="42"/>
      <c r="L11" s="42"/>
      <c r="M11" s="42"/>
      <c r="N11" s="42"/>
      <c r="O11" s="42"/>
      <c r="P11" s="42"/>
      <c r="Q11" s="42"/>
      <c r="R11" s="42"/>
      <c r="S11" s="42"/>
      <c r="T11" s="42"/>
      <c r="U11" s="42"/>
      <c r="V11" s="42"/>
      <c r="W11" s="42"/>
      <c r="X11" s="42"/>
      <c r="Y11" s="42"/>
      <c r="Z11" s="42"/>
      <c r="AA11" s="42"/>
    </row>
    <row r="12" customFormat="false" ht="33" hidden="false" customHeight="true" outlineLevel="0" collapsed="false">
      <c r="A12" s="46" t="s">
        <v>3118</v>
      </c>
      <c r="B12" s="42" t="s">
        <v>3119</v>
      </c>
      <c r="C12" s="42"/>
      <c r="D12" s="42"/>
      <c r="E12" s="42"/>
      <c r="F12" s="42"/>
      <c r="G12" s="42"/>
      <c r="H12" s="42"/>
      <c r="I12" s="42"/>
      <c r="J12" s="42"/>
      <c r="K12" s="42"/>
      <c r="L12" s="42"/>
      <c r="M12" s="42"/>
      <c r="N12" s="42"/>
      <c r="O12" s="42"/>
      <c r="P12" s="42"/>
      <c r="Q12" s="42"/>
      <c r="R12" s="42"/>
      <c r="S12" s="42"/>
      <c r="T12" s="42"/>
      <c r="U12" s="42"/>
      <c r="V12" s="42"/>
      <c r="W12" s="42"/>
      <c r="X12" s="42"/>
      <c r="Y12" s="42"/>
      <c r="Z12" s="42"/>
      <c r="AA12" s="42"/>
    </row>
    <row r="13" customFormat="false" ht="33" hidden="false" customHeight="true" outlineLevel="0" collapsed="false">
      <c r="A13" s="46" t="s">
        <v>3120</v>
      </c>
      <c r="B13" s="42" t="s">
        <v>3121</v>
      </c>
      <c r="C13" s="42"/>
      <c r="D13" s="42"/>
      <c r="E13" s="42"/>
      <c r="F13" s="42"/>
      <c r="G13" s="42"/>
      <c r="H13" s="42"/>
      <c r="I13" s="42"/>
      <c r="J13" s="42"/>
      <c r="K13" s="42"/>
      <c r="L13" s="42"/>
      <c r="M13" s="42"/>
      <c r="N13" s="42"/>
      <c r="O13" s="42"/>
      <c r="P13" s="42"/>
      <c r="Q13" s="42"/>
      <c r="R13" s="42"/>
      <c r="S13" s="42"/>
      <c r="T13" s="42"/>
      <c r="U13" s="42"/>
      <c r="V13" s="42"/>
      <c r="W13" s="42"/>
      <c r="X13" s="42"/>
      <c r="Y13" s="42"/>
      <c r="Z13" s="42"/>
      <c r="AA13" s="42"/>
    </row>
    <row r="15" customFormat="false" ht="15" hidden="false" customHeight="false" outlineLevel="0" collapsed="false">
      <c r="A15" s="29" t="s">
        <v>3122</v>
      </c>
    </row>
    <row r="16" customFormat="false" ht="15" hidden="false" customHeight="false" outlineLevel="0" collapsed="false">
      <c r="A16" s="47" t="s">
        <v>3123</v>
      </c>
      <c r="B16" s="48" t="s">
        <v>3124</v>
      </c>
      <c r="C16" s="48"/>
      <c r="D16" s="48"/>
      <c r="E16" s="48" t="s">
        <v>3125</v>
      </c>
      <c r="F16" s="48"/>
      <c r="G16" s="48"/>
      <c r="H16" s="48"/>
      <c r="I16" s="48"/>
      <c r="J16" s="48" t="s">
        <v>2710</v>
      </c>
      <c r="K16" s="48"/>
      <c r="L16" s="48"/>
      <c r="M16" s="48"/>
      <c r="N16" s="48"/>
      <c r="O16" s="48"/>
      <c r="P16" s="48"/>
      <c r="Q16" s="48"/>
      <c r="R16" s="48"/>
      <c r="S16" s="48" t="s">
        <v>2709</v>
      </c>
      <c r="T16" s="48"/>
      <c r="U16" s="48"/>
      <c r="V16" s="48"/>
      <c r="W16" s="48"/>
      <c r="X16" s="48"/>
      <c r="Y16" s="48"/>
      <c r="Z16" s="48"/>
      <c r="AA16" s="48"/>
    </row>
    <row r="17" customFormat="false" ht="33" hidden="false" customHeight="true" outlineLevel="0" collapsed="false">
      <c r="A17" s="49" t="s">
        <v>3126</v>
      </c>
      <c r="B17" s="42" t="s">
        <v>3127</v>
      </c>
      <c r="C17" s="42"/>
      <c r="D17" s="42"/>
      <c r="E17" s="42" t="s">
        <v>3128</v>
      </c>
      <c r="F17" s="42"/>
      <c r="G17" s="42"/>
      <c r="H17" s="42"/>
      <c r="I17" s="42"/>
      <c r="J17" s="42" t="s">
        <v>3129</v>
      </c>
      <c r="K17" s="42"/>
      <c r="L17" s="42"/>
      <c r="M17" s="42"/>
      <c r="N17" s="42"/>
      <c r="O17" s="42"/>
      <c r="P17" s="42"/>
      <c r="Q17" s="42"/>
      <c r="R17" s="42"/>
      <c r="S17" s="50" t="s">
        <v>3130</v>
      </c>
      <c r="T17" s="50"/>
      <c r="U17" s="50"/>
      <c r="V17" s="50"/>
      <c r="W17" s="50"/>
      <c r="X17" s="50"/>
      <c r="Y17" s="50"/>
      <c r="Z17" s="50"/>
      <c r="AA17" s="50"/>
    </row>
    <row r="18" customFormat="false" ht="33" hidden="false" customHeight="true" outlineLevel="0" collapsed="false">
      <c r="A18" s="49" t="s">
        <v>3131</v>
      </c>
      <c r="B18" s="42" t="s">
        <v>3132</v>
      </c>
      <c r="C18" s="42"/>
      <c r="D18" s="42"/>
      <c r="E18" s="42" t="s">
        <v>3133</v>
      </c>
      <c r="F18" s="42"/>
      <c r="G18" s="42"/>
      <c r="H18" s="42"/>
      <c r="I18" s="42"/>
      <c r="J18" s="42" t="s">
        <v>3134</v>
      </c>
      <c r="K18" s="42"/>
      <c r="L18" s="42"/>
      <c r="M18" s="42"/>
      <c r="N18" s="42"/>
      <c r="O18" s="42"/>
      <c r="P18" s="42"/>
      <c r="Q18" s="42"/>
      <c r="R18" s="42"/>
      <c r="S18" s="51" t="s">
        <v>3135</v>
      </c>
      <c r="T18" s="51"/>
      <c r="U18" s="51"/>
      <c r="V18" s="51"/>
      <c r="W18" s="51"/>
      <c r="X18" s="51"/>
      <c r="Y18" s="51"/>
      <c r="Z18" s="51"/>
      <c r="AA18" s="51"/>
    </row>
    <row r="19" customFormat="false" ht="33" hidden="false" customHeight="true" outlineLevel="0" collapsed="false">
      <c r="A19" s="49" t="s">
        <v>1112</v>
      </c>
      <c r="B19" s="42" t="s">
        <v>3136</v>
      </c>
      <c r="C19" s="42"/>
      <c r="D19" s="42"/>
      <c r="E19" s="42" t="s">
        <v>3137</v>
      </c>
      <c r="F19" s="42"/>
      <c r="G19" s="42"/>
      <c r="H19" s="42"/>
      <c r="I19" s="42"/>
      <c r="J19" s="42" t="s">
        <v>3138</v>
      </c>
      <c r="K19" s="42"/>
      <c r="L19" s="42"/>
      <c r="M19" s="42"/>
      <c r="N19" s="42"/>
      <c r="O19" s="42"/>
      <c r="P19" s="42"/>
      <c r="Q19" s="42"/>
      <c r="R19" s="42"/>
      <c r="S19" s="51" t="s">
        <v>3139</v>
      </c>
      <c r="T19" s="51"/>
      <c r="U19" s="51"/>
      <c r="V19" s="51"/>
      <c r="W19" s="51"/>
      <c r="X19" s="51"/>
      <c r="Y19" s="51"/>
      <c r="Z19" s="51"/>
      <c r="AA19" s="51"/>
    </row>
    <row r="20" customFormat="false" ht="33" hidden="false" customHeight="true" outlineLevel="0" collapsed="false">
      <c r="A20" s="49" t="s">
        <v>433</v>
      </c>
      <c r="B20" s="42" t="s">
        <v>3140</v>
      </c>
      <c r="C20" s="42"/>
      <c r="D20" s="42"/>
      <c r="E20" s="42" t="s">
        <v>3141</v>
      </c>
      <c r="F20" s="42"/>
      <c r="G20" s="42"/>
      <c r="H20" s="42"/>
      <c r="I20" s="42"/>
      <c r="J20" s="42" t="s">
        <v>3142</v>
      </c>
      <c r="K20" s="42"/>
      <c r="L20" s="42"/>
      <c r="M20" s="42"/>
      <c r="N20" s="42"/>
      <c r="O20" s="42"/>
      <c r="P20" s="42"/>
      <c r="Q20" s="42"/>
      <c r="R20" s="42"/>
      <c r="S20" s="51" t="s">
        <v>3143</v>
      </c>
      <c r="T20" s="51"/>
      <c r="U20" s="51"/>
      <c r="V20" s="51"/>
      <c r="W20" s="51"/>
      <c r="X20" s="51"/>
      <c r="Y20" s="51"/>
      <c r="Z20" s="51"/>
      <c r="AA20" s="51"/>
    </row>
    <row r="21" customFormat="false" ht="33" hidden="false" customHeight="true" outlineLevel="0" collapsed="false">
      <c r="A21" s="49" t="s">
        <v>583</v>
      </c>
      <c r="B21" s="42" t="s">
        <v>3144</v>
      </c>
      <c r="C21" s="42"/>
      <c r="D21" s="42"/>
      <c r="E21" s="42" t="s">
        <v>3145</v>
      </c>
      <c r="F21" s="42"/>
      <c r="G21" s="42"/>
      <c r="H21" s="42"/>
      <c r="I21" s="42"/>
      <c r="J21" s="42" t="s">
        <v>3146</v>
      </c>
      <c r="K21" s="42"/>
      <c r="L21" s="42"/>
      <c r="M21" s="42"/>
      <c r="N21" s="42"/>
      <c r="O21" s="42"/>
      <c r="P21" s="42"/>
      <c r="Q21" s="42"/>
      <c r="R21" s="42"/>
      <c r="S21" s="51" t="s">
        <v>3147</v>
      </c>
      <c r="T21" s="51"/>
      <c r="U21" s="51"/>
      <c r="V21" s="51"/>
      <c r="W21" s="51"/>
      <c r="X21" s="51"/>
      <c r="Y21" s="51"/>
      <c r="Z21" s="51"/>
      <c r="AA21" s="51"/>
    </row>
    <row r="22" customFormat="false" ht="33" hidden="false" customHeight="true" outlineLevel="0" collapsed="false">
      <c r="A22" s="49" t="s">
        <v>328</v>
      </c>
      <c r="B22" s="42" t="s">
        <v>3148</v>
      </c>
      <c r="C22" s="42"/>
      <c r="D22" s="42"/>
      <c r="E22" s="42" t="s">
        <v>3149</v>
      </c>
      <c r="F22" s="42"/>
      <c r="G22" s="42"/>
      <c r="H22" s="42"/>
      <c r="I22" s="42"/>
      <c r="J22" s="42" t="s">
        <v>3150</v>
      </c>
      <c r="K22" s="42"/>
      <c r="L22" s="42"/>
      <c r="M22" s="42"/>
      <c r="N22" s="42"/>
      <c r="O22" s="42"/>
      <c r="P22" s="42"/>
      <c r="Q22" s="42"/>
      <c r="R22" s="42"/>
      <c r="S22" s="51" t="s">
        <v>3151</v>
      </c>
      <c r="T22" s="51"/>
      <c r="U22" s="51"/>
      <c r="V22" s="51"/>
      <c r="W22" s="51"/>
      <c r="X22" s="51"/>
      <c r="Y22" s="51"/>
      <c r="Z22" s="51"/>
      <c r="AA22" s="51"/>
    </row>
    <row r="23" customFormat="false" ht="33" hidden="false" customHeight="true" outlineLevel="0" collapsed="false">
      <c r="A23" s="49" t="s">
        <v>3152</v>
      </c>
      <c r="B23" s="42" t="s">
        <v>3153</v>
      </c>
      <c r="C23" s="42"/>
      <c r="D23" s="42"/>
      <c r="E23" s="42" t="s">
        <v>3154</v>
      </c>
      <c r="F23" s="42"/>
      <c r="G23" s="42"/>
      <c r="H23" s="42"/>
      <c r="I23" s="42"/>
      <c r="J23" s="42" t="s">
        <v>3155</v>
      </c>
      <c r="K23" s="42"/>
      <c r="L23" s="42"/>
      <c r="M23" s="42"/>
      <c r="N23" s="42"/>
      <c r="O23" s="42"/>
      <c r="P23" s="42"/>
      <c r="Q23" s="42"/>
      <c r="R23" s="42"/>
      <c r="S23" s="50" t="s">
        <v>3130</v>
      </c>
      <c r="T23" s="50"/>
      <c r="U23" s="50"/>
      <c r="V23" s="50"/>
      <c r="W23" s="50"/>
      <c r="X23" s="50"/>
      <c r="Y23" s="50"/>
      <c r="Z23" s="50"/>
      <c r="AA23" s="50"/>
    </row>
    <row r="24" customFormat="false" ht="33" hidden="false" customHeight="true" outlineLevel="0" collapsed="false">
      <c r="A24" s="49" t="s">
        <v>3156</v>
      </c>
      <c r="B24" s="42" t="s">
        <v>3157</v>
      </c>
      <c r="C24" s="42"/>
      <c r="D24" s="42"/>
      <c r="E24" s="42" t="s">
        <v>3158</v>
      </c>
      <c r="F24" s="42"/>
      <c r="G24" s="42"/>
      <c r="H24" s="42"/>
      <c r="I24" s="42"/>
      <c r="J24" s="42" t="s">
        <v>3159</v>
      </c>
      <c r="K24" s="42"/>
      <c r="L24" s="42"/>
      <c r="M24" s="42"/>
      <c r="N24" s="42"/>
      <c r="O24" s="42"/>
      <c r="P24" s="42"/>
      <c r="Q24" s="42"/>
      <c r="R24" s="42"/>
      <c r="S24" s="51" t="s">
        <v>3160</v>
      </c>
      <c r="T24" s="51"/>
      <c r="U24" s="51"/>
      <c r="V24" s="51"/>
      <c r="W24" s="51"/>
      <c r="X24" s="51"/>
      <c r="Y24" s="51"/>
      <c r="Z24" s="51"/>
      <c r="AA24" s="51"/>
    </row>
    <row r="25" customFormat="false" ht="15" hidden="false" customHeight="false" outlineLevel="0" collapsed="false">
      <c r="A25" s="29" t="s">
        <v>3161</v>
      </c>
    </row>
    <row r="26" customFormat="false" ht="15" hidden="false" customHeight="false" outlineLevel="0" collapsed="false">
      <c r="D26" s="52" t="s">
        <v>3131</v>
      </c>
      <c r="E26" s="52"/>
      <c r="F26" s="52"/>
      <c r="G26" s="52" t="s">
        <v>1112</v>
      </c>
      <c r="H26" s="52"/>
      <c r="I26" s="52"/>
      <c r="J26" s="52" t="s">
        <v>433</v>
      </c>
      <c r="K26" s="52"/>
      <c r="L26" s="52"/>
      <c r="M26" s="52" t="s">
        <v>583</v>
      </c>
      <c r="N26" s="52"/>
      <c r="O26" s="52"/>
      <c r="P26" s="52" t="s">
        <v>328</v>
      </c>
      <c r="Q26" s="52"/>
      <c r="R26" s="52"/>
      <c r="S26" s="52" t="s">
        <v>3152</v>
      </c>
      <c r="T26" s="52"/>
      <c r="U26" s="52"/>
      <c r="V26" s="52" t="s">
        <v>3156</v>
      </c>
      <c r="W26" s="52"/>
      <c r="X26" s="52"/>
      <c r="Y26" s="52" t="s">
        <v>3162</v>
      </c>
      <c r="Z26" s="52"/>
      <c r="AA26" s="52"/>
    </row>
    <row r="27" customFormat="false" ht="45.75" hidden="false" customHeight="true" outlineLevel="0" collapsed="false">
      <c r="A27" s="40" t="s">
        <v>8</v>
      </c>
      <c r="B27" s="40" t="s">
        <v>205</v>
      </c>
      <c r="C27" s="40" t="s">
        <v>3163</v>
      </c>
      <c r="D27" s="40" t="s">
        <v>3164</v>
      </c>
      <c r="E27" s="40" t="s">
        <v>3165</v>
      </c>
      <c r="F27" s="40" t="s">
        <v>3166</v>
      </c>
      <c r="G27" s="40" t="s">
        <v>3164</v>
      </c>
      <c r="H27" s="40" t="s">
        <v>3165</v>
      </c>
      <c r="I27" s="40" t="s">
        <v>3166</v>
      </c>
      <c r="J27" s="40" t="s">
        <v>3164</v>
      </c>
      <c r="K27" s="40" t="s">
        <v>3165</v>
      </c>
      <c r="L27" s="40" t="s">
        <v>3166</v>
      </c>
      <c r="M27" s="40" t="s">
        <v>3164</v>
      </c>
      <c r="N27" s="40" t="s">
        <v>3165</v>
      </c>
      <c r="O27" s="40" t="s">
        <v>3166</v>
      </c>
      <c r="P27" s="40" t="s">
        <v>3164</v>
      </c>
      <c r="Q27" s="40" t="s">
        <v>3165</v>
      </c>
      <c r="R27" s="40" t="s">
        <v>3166</v>
      </c>
      <c r="S27" s="40" t="s">
        <v>3164</v>
      </c>
      <c r="T27" s="40" t="s">
        <v>3165</v>
      </c>
      <c r="U27" s="40" t="s">
        <v>3166</v>
      </c>
      <c r="V27" s="40" t="s">
        <v>3164</v>
      </c>
      <c r="W27" s="40" t="s">
        <v>3165</v>
      </c>
      <c r="X27" s="40" t="s">
        <v>3166</v>
      </c>
      <c r="Y27" s="40" t="s">
        <v>3167</v>
      </c>
      <c r="Z27" s="40" t="s">
        <v>3168</v>
      </c>
      <c r="AA27" s="40" t="s">
        <v>1498</v>
      </c>
    </row>
    <row r="28" customFormat="false" ht="15" hidden="false" customHeight="false" outlineLevel="0" collapsed="false">
      <c r="A28" s="41" t="s">
        <v>738</v>
      </c>
      <c r="B28" s="42" t="s">
        <v>3169</v>
      </c>
      <c r="C28" s="53" t="n">
        <v>8995.42</v>
      </c>
      <c r="D28" s="54" t="n">
        <v>46</v>
      </c>
      <c r="E28" s="54" t="n">
        <v>11</v>
      </c>
      <c r="F28" s="55" t="n">
        <f aca="false">IF(D28&gt;=$C$3,E28/D28,"")</f>
        <v>0.239130434782609</v>
      </c>
      <c r="G28" s="54" t="n">
        <v>14</v>
      </c>
      <c r="H28" s="54" t="n">
        <v>3</v>
      </c>
      <c r="I28" s="55" t="n">
        <f aca="false">IF(G28&gt;=$C$3,H28/G28,"")</f>
        <v>0.214285714285714</v>
      </c>
      <c r="J28" s="54" t="n">
        <v>2</v>
      </c>
      <c r="K28" s="54" t="n">
        <v>1</v>
      </c>
      <c r="L28" s="55" t="str">
        <f aca="false">IF(J28&gt;=$C$3,K28/J28,"")</f>
        <v/>
      </c>
      <c r="M28" s="54" t="n">
        <v>2</v>
      </c>
      <c r="N28" s="54" t="n">
        <v>1</v>
      </c>
      <c r="O28" s="55" t="str">
        <f aca="false">IF(M28&gt;=$C$3,N28/M28,"")</f>
        <v/>
      </c>
      <c r="P28" s="54" t="n">
        <v>1</v>
      </c>
      <c r="Q28" s="54" t="n">
        <v>0</v>
      </c>
      <c r="R28" s="55" t="str">
        <f aca="false">IF(P28&gt;=$C$3,Q28/P28,"")</f>
        <v/>
      </c>
      <c r="S28" s="54" t="n">
        <v>3</v>
      </c>
      <c r="T28" s="54" t="n">
        <v>0</v>
      </c>
      <c r="U28" s="55" t="n">
        <f aca="false">IF(S28&gt;=$C$3,T28/S28,"")</f>
        <v>0</v>
      </c>
      <c r="V28" s="54" t="n">
        <v>35</v>
      </c>
      <c r="W28" s="54" t="n">
        <v>6</v>
      </c>
      <c r="X28" s="55" t="n">
        <f aca="false">IF(V28&gt;=$C$3,W28/V28,"")</f>
        <v>0.171428571428571</v>
      </c>
      <c r="Y28" s="56" t="n">
        <f aca="false">COUNT(F28,I28,L28,O28,R28,U28,X28)</f>
        <v>4</v>
      </c>
      <c r="Z28" s="57" t="n">
        <f aca="false">IF(Y28=0,"",AVERAGE(F28,I28,L28,O28,R28,U28,X28))</f>
        <v>0.156211180124224</v>
      </c>
      <c r="AA28" s="58" t="n">
        <f aca="false">IF(ISNUMBER(Z28),C28*Z28,"")</f>
        <v>1405.18517391304</v>
      </c>
    </row>
    <row r="29" customFormat="false" ht="15" hidden="false" customHeight="false" outlineLevel="0" collapsed="false">
      <c r="A29" s="41" t="s">
        <v>1388</v>
      </c>
      <c r="B29" s="42" t="s">
        <v>3170</v>
      </c>
      <c r="C29" s="53" t="n">
        <v>4229.67</v>
      </c>
      <c r="D29" s="54" t="n">
        <v>67</v>
      </c>
      <c r="E29" s="54" t="n">
        <v>64</v>
      </c>
      <c r="F29" s="55" t="n">
        <f aca="false">IF(D29&gt;=$C$3,E29/D29,"")</f>
        <v>0.955223880597015</v>
      </c>
      <c r="G29" s="54" t="n">
        <v>10</v>
      </c>
      <c r="H29" s="54" t="n">
        <v>10</v>
      </c>
      <c r="I29" s="55" t="n">
        <f aca="false">IF(G29&gt;=$C$3,H29/G29,"")</f>
        <v>1</v>
      </c>
      <c r="J29" s="54" t="n">
        <v>3</v>
      </c>
      <c r="K29" s="54" t="n">
        <v>3</v>
      </c>
      <c r="L29" s="55" t="n">
        <f aca="false">IF(J29&gt;=$C$3,K29/J29,"")</f>
        <v>1</v>
      </c>
      <c r="M29" s="54" t="n">
        <v>11</v>
      </c>
      <c r="N29" s="54" t="n">
        <v>10</v>
      </c>
      <c r="O29" s="55" t="n">
        <f aca="false">IF(M29&gt;=$C$3,N29/M29,"")</f>
        <v>0.909090909090909</v>
      </c>
      <c r="P29" s="54" t="n">
        <v>2</v>
      </c>
      <c r="Q29" s="54" t="n">
        <v>2</v>
      </c>
      <c r="R29" s="55" t="str">
        <f aca="false">IF(P29&gt;=$C$3,Q29/P29,"")</f>
        <v/>
      </c>
      <c r="S29" s="54" t="n">
        <v>27</v>
      </c>
      <c r="T29" s="54" t="n">
        <v>2</v>
      </c>
      <c r="U29" s="55" t="n">
        <f aca="false">IF(S29&gt;=$C$3,T29/S29,"")</f>
        <v>0.0740740740740741</v>
      </c>
      <c r="V29" s="54" t="n">
        <v>86</v>
      </c>
      <c r="W29" s="54" t="n">
        <v>12</v>
      </c>
      <c r="X29" s="55" t="n">
        <f aca="false">IF(V29&gt;=$C$3,W29/V29,"")</f>
        <v>0.13953488372093</v>
      </c>
      <c r="Y29" s="56" t="n">
        <f aca="false">COUNT(F29,I29,L29,O29,R29,U29,X29)</f>
        <v>6</v>
      </c>
      <c r="Z29" s="57" t="n">
        <f aca="false">IF(Y29=0,"",AVERAGE(F29,I29,L29,O29,R29,U29,X29))</f>
        <v>0.679653957913821</v>
      </c>
      <c r="AA29" s="58" t="n">
        <f aca="false">IF(ISNUMBER(Z29),C29*Z29,"")</f>
        <v>2874.71195616935</v>
      </c>
    </row>
    <row r="30" customFormat="false" ht="15" hidden="false" customHeight="false" outlineLevel="0" collapsed="false">
      <c r="A30" s="41" t="s">
        <v>1150</v>
      </c>
      <c r="B30" s="42" t="s">
        <v>3171</v>
      </c>
      <c r="C30" s="53" t="n">
        <v>15.02</v>
      </c>
      <c r="D30" s="54" t="n">
        <v>40</v>
      </c>
      <c r="E30" s="54" t="n">
        <v>40</v>
      </c>
      <c r="F30" s="55" t="n">
        <f aca="false">IF(D30&gt;=$C$3,E30/D30,"")</f>
        <v>1</v>
      </c>
      <c r="G30" s="54" t="n">
        <v>7</v>
      </c>
      <c r="H30" s="54" t="n">
        <v>6</v>
      </c>
      <c r="I30" s="55" t="n">
        <f aca="false">IF(G30&gt;=$C$3,H30/G30,"")</f>
        <v>0.857142857142857</v>
      </c>
      <c r="J30" s="54" t="n">
        <v>0</v>
      </c>
      <c r="K30" s="54" t="n">
        <v>0</v>
      </c>
      <c r="L30" s="55" t="str">
        <f aca="false">IF(J30&gt;=$C$3,K30/J30,"")</f>
        <v/>
      </c>
      <c r="M30" s="54" t="n">
        <v>10</v>
      </c>
      <c r="N30" s="54" t="n">
        <v>10</v>
      </c>
      <c r="O30" s="55" t="n">
        <f aca="false">IF(M30&gt;=$C$3,N30/M30,"")</f>
        <v>1</v>
      </c>
      <c r="P30" s="54" t="n">
        <v>1</v>
      </c>
      <c r="Q30" s="54" t="n">
        <v>1</v>
      </c>
      <c r="R30" s="55" t="str">
        <f aca="false">IF(P30&gt;=$C$3,Q30/P30,"")</f>
        <v/>
      </c>
      <c r="S30" s="54" t="n">
        <v>2</v>
      </c>
      <c r="T30" s="54" t="n">
        <v>2</v>
      </c>
      <c r="U30" s="55" t="str">
        <f aca="false">IF(S30&gt;=$C$3,T30/S30,"")</f>
        <v/>
      </c>
      <c r="V30" s="54" t="n">
        <v>0</v>
      </c>
      <c r="W30" s="54" t="n">
        <v>0</v>
      </c>
      <c r="X30" s="55" t="str">
        <f aca="false">IF(V30&gt;=$C$3,W30/V30,"")</f>
        <v/>
      </c>
      <c r="Y30" s="56" t="n">
        <f aca="false">COUNT(F30,I30,L30,O30,R30,U30,X30)</f>
        <v>3</v>
      </c>
      <c r="Z30" s="57" t="n">
        <f aca="false">IF(Y30=0,"",AVERAGE(F30,I30,L30,O30,R30,U30,X30))</f>
        <v>0.952380952380952</v>
      </c>
      <c r="AA30" s="58" t="n">
        <f aca="false">IF(ISNUMBER(Z30),C30*Z30,"")</f>
        <v>14.3047619047619</v>
      </c>
    </row>
    <row r="31" customFormat="false" ht="15" hidden="false" customHeight="false" outlineLevel="0" collapsed="false">
      <c r="A31" s="41" t="s">
        <v>745</v>
      </c>
      <c r="B31" s="42" t="s">
        <v>3172</v>
      </c>
      <c r="C31" s="53" t="n">
        <v>8785.35</v>
      </c>
      <c r="D31" s="54" t="n">
        <v>115</v>
      </c>
      <c r="E31" s="54" t="n">
        <v>106</v>
      </c>
      <c r="F31" s="55" t="n">
        <f aca="false">IF(D31&gt;=$C$3,E31/D31,"")</f>
        <v>0.921739130434783</v>
      </c>
      <c r="G31" s="54" t="n">
        <v>11</v>
      </c>
      <c r="H31" s="54" t="n">
        <v>10</v>
      </c>
      <c r="I31" s="55" t="n">
        <f aca="false">IF(G31&gt;=$C$3,H31/G31,"")</f>
        <v>0.909090909090909</v>
      </c>
      <c r="J31" s="54" t="n">
        <v>4</v>
      </c>
      <c r="K31" s="54" t="n">
        <v>4</v>
      </c>
      <c r="L31" s="55" t="n">
        <f aca="false">IF(J31&gt;=$C$3,K31/J31,"")</f>
        <v>1</v>
      </c>
      <c r="M31" s="54" t="n">
        <v>15</v>
      </c>
      <c r="N31" s="54" t="n">
        <v>15</v>
      </c>
      <c r="O31" s="55" t="n">
        <f aca="false">IF(M31&gt;=$C$3,N31/M31,"")</f>
        <v>1</v>
      </c>
      <c r="P31" s="54" t="n">
        <v>7</v>
      </c>
      <c r="Q31" s="54" t="n">
        <v>7</v>
      </c>
      <c r="R31" s="55" t="n">
        <f aca="false">IF(P31&gt;=$C$3,Q31/P31,"")</f>
        <v>1</v>
      </c>
      <c r="S31" s="54" t="n">
        <v>4</v>
      </c>
      <c r="T31" s="54" t="n">
        <v>4</v>
      </c>
      <c r="U31" s="55" t="n">
        <f aca="false">IF(S31&gt;=$C$3,T31/S31,"")</f>
        <v>1</v>
      </c>
      <c r="V31" s="54" t="n">
        <v>9</v>
      </c>
      <c r="W31" s="54" t="n">
        <v>8</v>
      </c>
      <c r="X31" s="55" t="n">
        <f aca="false">IF(V31&gt;=$C$3,W31/V31,"")</f>
        <v>0.888888888888889</v>
      </c>
      <c r="Y31" s="56" t="n">
        <f aca="false">COUNT(F31,I31,L31,O31,R31,U31,X31)</f>
        <v>7</v>
      </c>
      <c r="Z31" s="57" t="n">
        <f aca="false">IF(Y31=0,"",AVERAGE(F31,I31,L31,O31,R31,U31,X31))</f>
        <v>0.959959846916369</v>
      </c>
      <c r="AA31" s="58" t="n">
        <f aca="false">IF(ISNUMBER(Z31),C31*Z31,"")</f>
        <v>8433.58324110672</v>
      </c>
    </row>
    <row r="32" customFormat="false" ht="15" hidden="false" customHeight="false" outlineLevel="0" collapsed="false">
      <c r="A32" s="41" t="s">
        <v>892</v>
      </c>
      <c r="B32" s="42" t="s">
        <v>3170</v>
      </c>
      <c r="C32" s="53" t="n">
        <v>19089.13</v>
      </c>
      <c r="D32" s="54" t="n">
        <v>139</v>
      </c>
      <c r="E32" s="54" t="n">
        <v>52</v>
      </c>
      <c r="F32" s="55" t="n">
        <f aca="false">IF(D32&gt;=$C$3,E32/D32,"")</f>
        <v>0.37410071942446</v>
      </c>
      <c r="G32" s="54" t="n">
        <v>27</v>
      </c>
      <c r="H32" s="54" t="n">
        <v>5</v>
      </c>
      <c r="I32" s="55" t="n">
        <f aca="false">IF(G32&gt;=$C$3,H32/G32,"")</f>
        <v>0.185185185185185</v>
      </c>
      <c r="J32" s="54" t="n">
        <v>12</v>
      </c>
      <c r="K32" s="54" t="n">
        <v>2</v>
      </c>
      <c r="L32" s="55" t="n">
        <f aca="false">IF(J32&gt;=$C$3,K32/J32,"")</f>
        <v>0.166666666666667</v>
      </c>
      <c r="M32" s="54" t="n">
        <v>8</v>
      </c>
      <c r="N32" s="54" t="n">
        <v>2</v>
      </c>
      <c r="O32" s="55" t="n">
        <f aca="false">IF(M32&gt;=$C$3,N32/M32,"")</f>
        <v>0.25</v>
      </c>
      <c r="P32" s="54" t="n">
        <v>13</v>
      </c>
      <c r="Q32" s="54" t="n">
        <v>6</v>
      </c>
      <c r="R32" s="55" t="n">
        <f aca="false">IF(P32&gt;=$C$3,Q32/P32,"")</f>
        <v>0.461538461538462</v>
      </c>
      <c r="S32" s="54" t="n">
        <v>2</v>
      </c>
      <c r="T32" s="54" t="n">
        <v>1</v>
      </c>
      <c r="U32" s="55" t="str">
        <f aca="false">IF(S32&gt;=$C$3,T32/S32,"")</f>
        <v/>
      </c>
      <c r="V32" s="54" t="n">
        <v>30</v>
      </c>
      <c r="W32" s="54" t="n">
        <v>10</v>
      </c>
      <c r="X32" s="55" t="n">
        <f aca="false">IF(V32&gt;=$C$3,W32/V32,"")</f>
        <v>0.333333333333333</v>
      </c>
      <c r="Y32" s="56" t="n">
        <f aca="false">COUNT(F32,I32,L32,O32,R32,U32,X32)</f>
        <v>6</v>
      </c>
      <c r="Z32" s="57" t="n">
        <f aca="false">IF(Y32=0,"",AVERAGE(F32,I32,L32,O32,R32,U32,X32))</f>
        <v>0.295137394358018</v>
      </c>
      <c r="AA32" s="58" t="n">
        <f aca="false">IF(ISNUMBER(Z32),C32*Z32,"")</f>
        <v>5633.91608876147</v>
      </c>
    </row>
    <row r="33" customFormat="false" ht="15" hidden="false" customHeight="false" outlineLevel="0" collapsed="false">
      <c r="A33" s="41" t="s">
        <v>899</v>
      </c>
      <c r="B33" s="42" t="s">
        <v>3172</v>
      </c>
      <c r="C33" s="53" t="n">
        <v>433588.09</v>
      </c>
      <c r="D33" s="54" t="n">
        <v>876</v>
      </c>
      <c r="E33" s="54" t="n">
        <v>133</v>
      </c>
      <c r="F33" s="55" t="n">
        <f aca="false">IF(D33&gt;=$C$3,E33/D33,"")</f>
        <v>0.151826484018265</v>
      </c>
      <c r="G33" s="54" t="n">
        <v>150</v>
      </c>
      <c r="H33" s="54" t="n">
        <v>22</v>
      </c>
      <c r="I33" s="55" t="n">
        <f aca="false">IF(G33&gt;=$C$3,H33/G33,"")</f>
        <v>0.146666666666667</v>
      </c>
      <c r="J33" s="54" t="n">
        <v>60</v>
      </c>
      <c r="K33" s="54" t="n">
        <v>3</v>
      </c>
      <c r="L33" s="55" t="n">
        <f aca="false">IF(J33&gt;=$C$3,K33/J33,"")</f>
        <v>0.05</v>
      </c>
      <c r="M33" s="54" t="n">
        <v>117</v>
      </c>
      <c r="N33" s="54" t="n">
        <v>9</v>
      </c>
      <c r="O33" s="55" t="n">
        <f aca="false">IF(M33&gt;=$C$3,N33/M33,"")</f>
        <v>0.0769230769230769</v>
      </c>
      <c r="P33" s="54" t="n">
        <v>126</v>
      </c>
      <c r="Q33" s="54" t="n">
        <v>10</v>
      </c>
      <c r="R33" s="55" t="n">
        <f aca="false">IF(P33&gt;=$C$3,Q33/P33,"")</f>
        <v>0.0793650793650794</v>
      </c>
      <c r="S33" s="54" t="n">
        <v>98</v>
      </c>
      <c r="T33" s="54" t="n">
        <v>4</v>
      </c>
      <c r="U33" s="55" t="n">
        <f aca="false">IF(S33&gt;=$C$3,T33/S33,"")</f>
        <v>0.0408163265306122</v>
      </c>
      <c r="V33" s="54" t="n">
        <v>95</v>
      </c>
      <c r="W33" s="54" t="n">
        <v>0</v>
      </c>
      <c r="X33" s="55" t="n">
        <f aca="false">IF(V33&gt;=$C$3,W33/V33,"")</f>
        <v>0</v>
      </c>
      <c r="Y33" s="56" t="n">
        <f aca="false">COUNT(F33,I33,L33,O33,R33,U33,X33)</f>
        <v>7</v>
      </c>
      <c r="Z33" s="57" t="n">
        <f aca="false">IF(Y33=0,"",AVERAGE(F33,I33,L33,O33,R33,U33,X33))</f>
        <v>0.0779425190719572</v>
      </c>
      <c r="AA33" s="58" t="n">
        <f aca="false">IF(ISNUMBER(Z33),C33*Z33,"")</f>
        <v>33794.9479741985</v>
      </c>
    </row>
    <row r="34" customFormat="false" ht="15" hidden="false" customHeight="false" outlineLevel="0" collapsed="false">
      <c r="A34" s="41" t="s">
        <v>281</v>
      </c>
      <c r="B34" s="42" t="s">
        <v>3172</v>
      </c>
      <c r="C34" s="53" t="n">
        <v>52401.4</v>
      </c>
      <c r="D34" s="54" t="n">
        <v>124</v>
      </c>
      <c r="E34" s="54" t="n">
        <v>110</v>
      </c>
      <c r="F34" s="55" t="n">
        <f aca="false">IF(D34&gt;=$C$3,E34/D34,"")</f>
        <v>0.887096774193548</v>
      </c>
      <c r="G34" s="54" t="n">
        <v>25</v>
      </c>
      <c r="H34" s="54" t="n">
        <v>1</v>
      </c>
      <c r="I34" s="55" t="n">
        <f aca="false">IF(G34&gt;=$C$3,H34/G34,"")</f>
        <v>0.04</v>
      </c>
      <c r="J34" s="54" t="n">
        <v>17</v>
      </c>
      <c r="K34" s="54" t="n">
        <v>15</v>
      </c>
      <c r="L34" s="55" t="n">
        <f aca="false">IF(J34&gt;=$C$3,K34/J34,"")</f>
        <v>0.882352941176471</v>
      </c>
      <c r="M34" s="54" t="n">
        <v>3</v>
      </c>
      <c r="N34" s="54" t="n">
        <v>3</v>
      </c>
      <c r="O34" s="55" t="n">
        <f aca="false">IF(M34&gt;=$C$3,N34/M34,"")</f>
        <v>1</v>
      </c>
      <c r="P34" s="54" t="n">
        <v>30</v>
      </c>
      <c r="Q34" s="54" t="n">
        <v>13</v>
      </c>
      <c r="R34" s="55" t="n">
        <f aca="false">IF(P34&gt;=$C$3,Q34/P34,"")</f>
        <v>0.433333333333333</v>
      </c>
      <c r="S34" s="54" t="n">
        <v>6</v>
      </c>
      <c r="T34" s="54" t="n">
        <v>3</v>
      </c>
      <c r="U34" s="55" t="n">
        <f aca="false">IF(S34&gt;=$C$3,T34/S34,"")</f>
        <v>0.5</v>
      </c>
      <c r="V34" s="54" t="n">
        <v>60</v>
      </c>
      <c r="W34" s="54" t="n">
        <v>57</v>
      </c>
      <c r="X34" s="55" t="n">
        <f aca="false">IF(V34&gt;=$C$3,W34/V34,"")</f>
        <v>0.95</v>
      </c>
      <c r="Y34" s="56" t="n">
        <f aca="false">COUNT(F34,I34,L34,O34,R34,U34,X34)</f>
        <v>7</v>
      </c>
      <c r="Z34" s="57" t="n">
        <f aca="false">IF(Y34=0,"",AVERAGE(F34,I34,L34,O34,R34,U34,X34))</f>
        <v>0.670397578386193</v>
      </c>
      <c r="AA34" s="58" t="n">
        <f aca="false">IF(ISNUMBER(Z34),C34*Z34,"")</f>
        <v>35129.7716640463</v>
      </c>
    </row>
    <row r="35" customFormat="false" ht="15" hidden="false" customHeight="false" outlineLevel="0" collapsed="false">
      <c r="A35" s="41" t="s">
        <v>291</v>
      </c>
      <c r="B35" s="42" t="s">
        <v>3173</v>
      </c>
      <c r="C35" s="53" t="n">
        <v>2127.31</v>
      </c>
      <c r="D35" s="54" t="n">
        <v>19</v>
      </c>
      <c r="E35" s="54" t="n">
        <v>19</v>
      </c>
      <c r="F35" s="55" t="n">
        <f aca="false">IF(D35&gt;=$C$3,E35/D35,"")</f>
        <v>1</v>
      </c>
      <c r="G35" s="54" t="n">
        <v>3</v>
      </c>
      <c r="H35" s="54" t="n">
        <v>3</v>
      </c>
      <c r="I35" s="55" t="n">
        <f aca="false">IF(G35&gt;=$C$3,H35/G35,"")</f>
        <v>1</v>
      </c>
      <c r="J35" s="54" t="n">
        <v>2</v>
      </c>
      <c r="K35" s="54" t="n">
        <v>2</v>
      </c>
      <c r="L35" s="55" t="str">
        <f aca="false">IF(J35&gt;=$C$3,K35/J35,"")</f>
        <v/>
      </c>
      <c r="M35" s="54" t="n">
        <v>0</v>
      </c>
      <c r="N35" s="54" t="n">
        <v>0</v>
      </c>
      <c r="O35" s="55" t="str">
        <f aca="false">IF(M35&gt;=$C$3,N35/M35,"")</f>
        <v/>
      </c>
      <c r="P35" s="54" t="n">
        <v>0</v>
      </c>
      <c r="Q35" s="54" t="n">
        <v>0</v>
      </c>
      <c r="R35" s="55" t="str">
        <f aca="false">IF(P35&gt;=$C$3,Q35/P35,"")</f>
        <v/>
      </c>
      <c r="S35" s="54" t="n">
        <v>0</v>
      </c>
      <c r="T35" s="54" t="n">
        <v>0</v>
      </c>
      <c r="U35" s="55" t="str">
        <f aca="false">IF(S35&gt;=$C$3,T35/S35,"")</f>
        <v/>
      </c>
      <c r="V35" s="54" t="n">
        <v>13</v>
      </c>
      <c r="W35" s="54" t="n">
        <v>13</v>
      </c>
      <c r="X35" s="55" t="n">
        <f aca="false">IF(V35&gt;=$C$3,W35/V35,"")</f>
        <v>1</v>
      </c>
      <c r="Y35" s="56" t="n">
        <f aca="false">COUNT(F35,I35,L35,O35,R35,U35,X35)</f>
        <v>3</v>
      </c>
      <c r="Z35" s="57" t="n">
        <f aca="false">IF(Y35=0,"",AVERAGE(F35,I35,L35,O35,R35,U35,X35))</f>
        <v>1</v>
      </c>
      <c r="AA35" s="58" t="n">
        <f aca="false">IF(ISNUMBER(Z35),C35*Z35,"")</f>
        <v>2127.31</v>
      </c>
    </row>
    <row r="36" customFormat="false" ht="15" hidden="false" customHeight="false" outlineLevel="0" collapsed="false">
      <c r="A36" s="41" t="s">
        <v>1298</v>
      </c>
      <c r="B36" s="42" t="s">
        <v>3174</v>
      </c>
      <c r="C36" s="53" t="n">
        <v>23317.34</v>
      </c>
      <c r="D36" s="54" t="n">
        <v>363</v>
      </c>
      <c r="E36" s="54" t="n">
        <v>51</v>
      </c>
      <c r="F36" s="55" t="n">
        <f aca="false">IF(D36&gt;=$C$3,E36/D36,"")</f>
        <v>0.140495867768595</v>
      </c>
      <c r="G36" s="54" t="n">
        <v>142</v>
      </c>
      <c r="H36" s="54" t="n">
        <v>11</v>
      </c>
      <c r="I36" s="55" t="n">
        <f aca="false">IF(G36&gt;=$C$3,H36/G36,"")</f>
        <v>0.0774647887323944</v>
      </c>
      <c r="J36" s="54" t="n">
        <v>84</v>
      </c>
      <c r="K36" s="54" t="n">
        <v>4</v>
      </c>
      <c r="L36" s="55" t="n">
        <f aca="false">IF(J36&gt;=$C$3,K36/J36,"")</f>
        <v>0.0476190476190476</v>
      </c>
      <c r="M36" s="54" t="n">
        <v>107</v>
      </c>
      <c r="N36" s="54" t="n">
        <v>14</v>
      </c>
      <c r="O36" s="55" t="n">
        <f aca="false">IF(M36&gt;=$C$3,N36/M36,"")</f>
        <v>0.130841121495327</v>
      </c>
      <c r="P36" s="54" t="n">
        <v>45</v>
      </c>
      <c r="Q36" s="54" t="n">
        <v>3</v>
      </c>
      <c r="R36" s="55" t="n">
        <f aca="false">IF(P36&gt;=$C$3,Q36/P36,"")</f>
        <v>0.0666666666666667</v>
      </c>
      <c r="S36" s="54" t="n">
        <v>30</v>
      </c>
      <c r="T36" s="54" t="n">
        <v>2</v>
      </c>
      <c r="U36" s="55" t="n">
        <f aca="false">IF(S36&gt;=$C$3,T36/S36,"")</f>
        <v>0.0666666666666667</v>
      </c>
      <c r="V36" s="54" t="n">
        <v>110</v>
      </c>
      <c r="W36" s="54" t="n">
        <v>7</v>
      </c>
      <c r="X36" s="55" t="n">
        <f aca="false">IF(V36&gt;=$C$3,W36/V36,"")</f>
        <v>0.0636363636363636</v>
      </c>
      <c r="Y36" s="56" t="n">
        <f aca="false">COUNT(F36,I36,L36,O36,R36,U36,X36)</f>
        <v>7</v>
      </c>
      <c r="Z36" s="57" t="n">
        <f aca="false">IF(Y36=0,"",AVERAGE(F36,I36,L36,O36,R36,U36,X36))</f>
        <v>0.0847700746550087</v>
      </c>
      <c r="AA36" s="58" t="n">
        <f aca="false">IF(ISNUMBER(Z36),C36*Z36,"")</f>
        <v>1976.61265255622</v>
      </c>
    </row>
    <row r="37" customFormat="false" ht="15" hidden="false" customHeight="false" outlineLevel="0" collapsed="false">
      <c r="A37" s="41" t="s">
        <v>907</v>
      </c>
      <c r="B37" s="42" t="s">
        <v>3171</v>
      </c>
      <c r="C37" s="53" t="n">
        <v>3257.58</v>
      </c>
      <c r="D37" s="54" t="n">
        <v>48</v>
      </c>
      <c r="E37" s="54" t="n">
        <v>48</v>
      </c>
      <c r="F37" s="55" t="n">
        <f aca="false">IF(D37&gt;=$C$3,E37/D37,"")</f>
        <v>1</v>
      </c>
      <c r="G37" s="54" t="n">
        <v>7</v>
      </c>
      <c r="H37" s="54" t="n">
        <v>7</v>
      </c>
      <c r="I37" s="55" t="n">
        <f aca="false">IF(G37&gt;=$C$3,H37/G37,"")</f>
        <v>1</v>
      </c>
      <c r="J37" s="54" t="n">
        <v>0</v>
      </c>
      <c r="K37" s="54" t="n">
        <v>0</v>
      </c>
      <c r="L37" s="55" t="str">
        <f aca="false">IF(J37&gt;=$C$3,K37/J37,"")</f>
        <v/>
      </c>
      <c r="M37" s="54" t="n">
        <v>6</v>
      </c>
      <c r="N37" s="54" t="n">
        <v>6</v>
      </c>
      <c r="O37" s="55" t="n">
        <f aca="false">IF(M37&gt;=$C$3,N37/M37,"")</f>
        <v>1</v>
      </c>
      <c r="P37" s="54" t="n">
        <v>2</v>
      </c>
      <c r="Q37" s="54" t="n">
        <v>2</v>
      </c>
      <c r="R37" s="55" t="str">
        <f aca="false">IF(P37&gt;=$C$3,Q37/P37,"")</f>
        <v/>
      </c>
      <c r="S37" s="54" t="n">
        <v>0</v>
      </c>
      <c r="T37" s="54" t="n">
        <v>0</v>
      </c>
      <c r="U37" s="55" t="str">
        <f aca="false">IF(S37&gt;=$C$3,T37/S37,"")</f>
        <v/>
      </c>
      <c r="V37" s="54" t="n">
        <v>6</v>
      </c>
      <c r="W37" s="54" t="n">
        <v>6</v>
      </c>
      <c r="X37" s="55" t="n">
        <f aca="false">IF(V37&gt;=$C$3,W37/V37,"")</f>
        <v>1</v>
      </c>
      <c r="Y37" s="56" t="n">
        <f aca="false">COUNT(F37,I37,L37,O37,R37,U37,X37)</f>
        <v>4</v>
      </c>
      <c r="Z37" s="57" t="n">
        <f aca="false">IF(Y37=0,"",AVERAGE(F37,I37,L37,O37,R37,U37,X37))</f>
        <v>1</v>
      </c>
      <c r="AA37" s="58" t="n">
        <f aca="false">IF(ISNUMBER(Z37),C37*Z37,"")</f>
        <v>3257.58</v>
      </c>
    </row>
    <row r="38" customFormat="false" ht="15" hidden="false" customHeight="false" outlineLevel="0" collapsed="false">
      <c r="A38" s="41" t="s">
        <v>910</v>
      </c>
      <c r="B38" s="42" t="s">
        <v>3175</v>
      </c>
      <c r="C38" s="53" t="n">
        <v>9295.14</v>
      </c>
      <c r="D38" s="54" t="n">
        <v>302</v>
      </c>
      <c r="E38" s="54" t="n">
        <v>235</v>
      </c>
      <c r="F38" s="55" t="n">
        <f aca="false">IF(D38&gt;=$C$3,E38/D38,"")</f>
        <v>0.778145695364238</v>
      </c>
      <c r="G38" s="54" t="n">
        <v>58</v>
      </c>
      <c r="H38" s="54" t="n">
        <v>41</v>
      </c>
      <c r="I38" s="55" t="n">
        <f aca="false">IF(G38&gt;=$C$3,H38/G38,"")</f>
        <v>0.706896551724138</v>
      </c>
      <c r="J38" s="54" t="n">
        <v>32</v>
      </c>
      <c r="K38" s="54" t="n">
        <v>28</v>
      </c>
      <c r="L38" s="55" t="n">
        <f aca="false">IF(J38&gt;=$C$3,K38/J38,"")</f>
        <v>0.875</v>
      </c>
      <c r="M38" s="54" t="n">
        <v>61</v>
      </c>
      <c r="N38" s="54" t="n">
        <v>46</v>
      </c>
      <c r="O38" s="55" t="n">
        <f aca="false">IF(M38&gt;=$C$3,N38/M38,"")</f>
        <v>0.754098360655738</v>
      </c>
      <c r="P38" s="54" t="n">
        <v>24</v>
      </c>
      <c r="Q38" s="54" t="n">
        <v>13</v>
      </c>
      <c r="R38" s="55" t="n">
        <f aca="false">IF(P38&gt;=$C$3,Q38/P38,"")</f>
        <v>0.541666666666667</v>
      </c>
      <c r="S38" s="54" t="n">
        <v>15</v>
      </c>
      <c r="T38" s="54" t="n">
        <v>13</v>
      </c>
      <c r="U38" s="55" t="n">
        <f aca="false">IF(S38&gt;=$C$3,T38/S38,"")</f>
        <v>0.866666666666667</v>
      </c>
      <c r="V38" s="54" t="n">
        <v>88</v>
      </c>
      <c r="W38" s="54" t="n">
        <v>53</v>
      </c>
      <c r="X38" s="55" t="n">
        <f aca="false">IF(V38&gt;=$C$3,W38/V38,"")</f>
        <v>0.602272727272727</v>
      </c>
      <c r="Y38" s="56" t="n">
        <f aca="false">COUNT(F38,I38,L38,O38,R38,U38,X38)</f>
        <v>7</v>
      </c>
      <c r="Z38" s="57" t="n">
        <f aca="false">IF(Y38=0,"",AVERAGE(F38,I38,L38,O38,R38,U38,X38))</f>
        <v>0.732106666907168</v>
      </c>
      <c r="AA38" s="58" t="n">
        <f aca="false">IF(ISNUMBER(Z38),C38*Z38,"")</f>
        <v>6805.03396383549</v>
      </c>
    </row>
    <row r="39" customFormat="false" ht="15" hidden="false" customHeight="false" outlineLevel="0" collapsed="false">
      <c r="A39" s="41" t="s">
        <v>296</v>
      </c>
      <c r="B39" s="42" t="s">
        <v>3176</v>
      </c>
      <c r="C39" s="53" t="n">
        <v>50865.56</v>
      </c>
      <c r="D39" s="54" t="n">
        <v>218</v>
      </c>
      <c r="E39" s="54" t="n">
        <v>194</v>
      </c>
      <c r="F39" s="55" t="n">
        <f aca="false">IF(D39&gt;=$C$3,E39/D39,"")</f>
        <v>0.889908256880734</v>
      </c>
      <c r="G39" s="54" t="n">
        <v>24</v>
      </c>
      <c r="H39" s="54" t="n">
        <v>16</v>
      </c>
      <c r="I39" s="55" t="n">
        <f aca="false">IF(G39&gt;=$C$3,H39/G39,"")</f>
        <v>0.666666666666667</v>
      </c>
      <c r="J39" s="54" t="n">
        <v>7</v>
      </c>
      <c r="K39" s="54" t="n">
        <v>5</v>
      </c>
      <c r="L39" s="55" t="n">
        <f aca="false">IF(J39&gt;=$C$3,K39/J39,"")</f>
        <v>0.714285714285714</v>
      </c>
      <c r="M39" s="54" t="n">
        <v>22</v>
      </c>
      <c r="N39" s="54" t="n">
        <v>20</v>
      </c>
      <c r="O39" s="55" t="n">
        <f aca="false">IF(M39&gt;=$C$3,N39/M39,"")</f>
        <v>0.909090909090909</v>
      </c>
      <c r="P39" s="54" t="n">
        <v>4</v>
      </c>
      <c r="Q39" s="54" t="n">
        <v>3</v>
      </c>
      <c r="R39" s="55" t="n">
        <f aca="false">IF(P39&gt;=$C$3,Q39/P39,"")</f>
        <v>0.75</v>
      </c>
      <c r="S39" s="54" t="n">
        <v>4</v>
      </c>
      <c r="T39" s="54" t="n">
        <v>4</v>
      </c>
      <c r="U39" s="55" t="n">
        <f aca="false">IF(S39&gt;=$C$3,T39/S39,"")</f>
        <v>1</v>
      </c>
      <c r="V39" s="54" t="n">
        <v>16</v>
      </c>
      <c r="W39" s="54" t="n">
        <v>14</v>
      </c>
      <c r="X39" s="55" t="n">
        <f aca="false">IF(V39&gt;=$C$3,W39/V39,"")</f>
        <v>0.875</v>
      </c>
      <c r="Y39" s="56" t="n">
        <f aca="false">COUNT(F39,I39,L39,O39,R39,U39,X39)</f>
        <v>7</v>
      </c>
      <c r="Z39" s="57" t="n">
        <f aca="false">IF(Y39=0,"",AVERAGE(F39,I39,L39,O39,R39,U39,X39))</f>
        <v>0.829278792417718</v>
      </c>
      <c r="AA39" s="58" t="n">
        <f aca="false">IF(ISNUMBER(Z39),C39*Z39,"")</f>
        <v>42181.730172451</v>
      </c>
    </row>
    <row r="40" customFormat="false" ht="15" hidden="false" customHeight="false" outlineLevel="0" collapsed="false">
      <c r="A40" s="41" t="s">
        <v>1265</v>
      </c>
      <c r="B40" s="42" t="s">
        <v>3177</v>
      </c>
      <c r="C40" s="53" t="n">
        <v>13738.53</v>
      </c>
      <c r="D40" s="54" t="n">
        <v>147</v>
      </c>
      <c r="E40" s="54" t="n">
        <v>52</v>
      </c>
      <c r="F40" s="55" t="n">
        <f aca="false">IF(D40&gt;=$C$3,E40/D40,"")</f>
        <v>0.353741496598639</v>
      </c>
      <c r="G40" s="54" t="n">
        <v>50</v>
      </c>
      <c r="H40" s="54" t="n">
        <v>17</v>
      </c>
      <c r="I40" s="55" t="n">
        <f aca="false">IF(G40&gt;=$C$3,H40/G40,"")</f>
        <v>0.34</v>
      </c>
      <c r="J40" s="54" t="n">
        <v>23</v>
      </c>
      <c r="K40" s="54" t="n">
        <v>7</v>
      </c>
      <c r="L40" s="55" t="n">
        <f aca="false">IF(J40&gt;=$C$3,K40/J40,"")</f>
        <v>0.304347826086957</v>
      </c>
      <c r="M40" s="54" t="n">
        <v>25</v>
      </c>
      <c r="N40" s="54" t="n">
        <v>10</v>
      </c>
      <c r="O40" s="55" t="n">
        <f aca="false">IF(M40&gt;=$C$3,N40/M40,"")</f>
        <v>0.4</v>
      </c>
      <c r="P40" s="54" t="n">
        <v>13</v>
      </c>
      <c r="Q40" s="54" t="n">
        <v>4</v>
      </c>
      <c r="R40" s="55" t="n">
        <f aca="false">IF(P40&gt;=$C$3,Q40/P40,"")</f>
        <v>0.307692307692308</v>
      </c>
      <c r="S40" s="54" t="n">
        <v>11</v>
      </c>
      <c r="T40" s="54" t="n">
        <v>7</v>
      </c>
      <c r="U40" s="55" t="n">
        <f aca="false">IF(S40&gt;=$C$3,T40/S40,"")</f>
        <v>0.636363636363636</v>
      </c>
      <c r="V40" s="54" t="n">
        <v>64</v>
      </c>
      <c r="W40" s="54" t="n">
        <v>17</v>
      </c>
      <c r="X40" s="55" t="n">
        <f aca="false">IF(V40&gt;=$C$3,W40/V40,"")</f>
        <v>0.265625</v>
      </c>
      <c r="Y40" s="56" t="n">
        <f aca="false">COUNT(F40,I40,L40,O40,R40,U40,X40)</f>
        <v>7</v>
      </c>
      <c r="Z40" s="57" t="n">
        <f aca="false">IF(Y40=0,"",AVERAGE(F40,I40,L40,O40,R40,U40,X40))</f>
        <v>0.372538609534506</v>
      </c>
      <c r="AA40" s="58" t="n">
        <f aca="false">IF(ISNUMBER(Z40),C40*Z40,"")</f>
        <v>5118.13286324809</v>
      </c>
    </row>
    <row r="41" customFormat="false" ht="15" hidden="false" customHeight="false" outlineLevel="0" collapsed="false">
      <c r="A41" s="41" t="s">
        <v>669</v>
      </c>
      <c r="B41" s="42" t="s">
        <v>3170</v>
      </c>
      <c r="C41" s="53" t="n">
        <v>806.34</v>
      </c>
      <c r="D41" s="54" t="n">
        <v>22</v>
      </c>
      <c r="E41" s="54" t="n">
        <v>22</v>
      </c>
      <c r="F41" s="55" t="n">
        <f aca="false">IF(D41&gt;=$C$3,E41/D41,"")</f>
        <v>1</v>
      </c>
      <c r="G41" s="54" t="n">
        <v>3</v>
      </c>
      <c r="H41" s="54" t="n">
        <v>3</v>
      </c>
      <c r="I41" s="55" t="n">
        <f aca="false">IF(G41&gt;=$C$3,H41/G41,"")</f>
        <v>1</v>
      </c>
      <c r="J41" s="54" t="n">
        <v>5</v>
      </c>
      <c r="K41" s="54" t="n">
        <v>5</v>
      </c>
      <c r="L41" s="55" t="n">
        <f aca="false">IF(J41&gt;=$C$3,K41/J41,"")</f>
        <v>1</v>
      </c>
      <c r="M41" s="54" t="n">
        <v>10</v>
      </c>
      <c r="N41" s="54" t="n">
        <v>10</v>
      </c>
      <c r="O41" s="55" t="n">
        <f aca="false">IF(M41&gt;=$C$3,N41/M41,"")</f>
        <v>1</v>
      </c>
      <c r="P41" s="54" t="n">
        <v>0</v>
      </c>
      <c r="Q41" s="54" t="n">
        <v>0</v>
      </c>
      <c r="R41" s="55" t="str">
        <f aca="false">IF(P41&gt;=$C$3,Q41/P41,"")</f>
        <v/>
      </c>
      <c r="S41" s="54" t="n">
        <v>1</v>
      </c>
      <c r="T41" s="54" t="n">
        <v>1</v>
      </c>
      <c r="U41" s="55" t="str">
        <f aca="false">IF(S41&gt;=$C$3,T41/S41,"")</f>
        <v/>
      </c>
      <c r="V41" s="54" t="n">
        <v>10</v>
      </c>
      <c r="W41" s="54" t="n">
        <v>10</v>
      </c>
      <c r="X41" s="55" t="n">
        <f aca="false">IF(V41&gt;=$C$3,W41/V41,"")</f>
        <v>1</v>
      </c>
      <c r="Y41" s="56" t="n">
        <f aca="false">COUNT(F41,I41,L41,O41,R41,U41,X41)</f>
        <v>5</v>
      </c>
      <c r="Z41" s="57" t="n">
        <f aca="false">IF(Y41=0,"",AVERAGE(F41,I41,L41,O41,R41,U41,X41))</f>
        <v>1</v>
      </c>
      <c r="AA41" s="58" t="n">
        <f aca="false">IF(ISNUMBER(Z41),C41*Z41,"")</f>
        <v>806.34</v>
      </c>
    </row>
    <row r="42" customFormat="false" ht="15" hidden="false" customHeight="false" outlineLevel="0" collapsed="false">
      <c r="A42" s="41" t="s">
        <v>584</v>
      </c>
      <c r="B42" s="42" t="s">
        <v>3176</v>
      </c>
      <c r="C42" s="53" t="n">
        <v>3973.65</v>
      </c>
      <c r="D42" s="54" t="n">
        <v>39</v>
      </c>
      <c r="E42" s="54" t="n">
        <v>39</v>
      </c>
      <c r="F42" s="55" t="n">
        <f aca="false">IF(D42&gt;=$C$3,E42/D42,"")</f>
        <v>1</v>
      </c>
      <c r="G42" s="54" t="n">
        <v>3</v>
      </c>
      <c r="H42" s="54" t="n">
        <v>3</v>
      </c>
      <c r="I42" s="55" t="n">
        <f aca="false">IF(G42&gt;=$C$3,H42/G42,"")</f>
        <v>1</v>
      </c>
      <c r="J42" s="54" t="n">
        <v>2</v>
      </c>
      <c r="K42" s="54" t="n">
        <v>2</v>
      </c>
      <c r="L42" s="55" t="str">
        <f aca="false">IF(J42&gt;=$C$3,K42/J42,"")</f>
        <v/>
      </c>
      <c r="M42" s="54" t="n">
        <v>5</v>
      </c>
      <c r="N42" s="54" t="n">
        <v>5</v>
      </c>
      <c r="O42" s="55" t="n">
        <f aca="false">IF(M42&gt;=$C$3,N42/M42,"")</f>
        <v>1</v>
      </c>
      <c r="P42" s="54" t="n">
        <v>3</v>
      </c>
      <c r="Q42" s="54" t="n">
        <v>3</v>
      </c>
      <c r="R42" s="55" t="n">
        <f aca="false">IF(P42&gt;=$C$3,Q42/P42,"")</f>
        <v>1</v>
      </c>
      <c r="S42" s="54" t="n">
        <v>0</v>
      </c>
      <c r="T42" s="54" t="n">
        <v>0</v>
      </c>
      <c r="U42" s="55" t="str">
        <f aca="false">IF(S42&gt;=$C$3,T42/S42,"")</f>
        <v/>
      </c>
      <c r="V42" s="54" t="n">
        <v>8</v>
      </c>
      <c r="W42" s="54" t="n">
        <v>8</v>
      </c>
      <c r="X42" s="55" t="n">
        <f aca="false">IF(V42&gt;=$C$3,W42/V42,"")</f>
        <v>1</v>
      </c>
      <c r="Y42" s="56" t="n">
        <f aca="false">COUNT(F42,I42,L42,O42,R42,U42,X42)</f>
        <v>5</v>
      </c>
      <c r="Z42" s="57" t="n">
        <f aca="false">IF(Y42=0,"",AVERAGE(F42,I42,L42,O42,R42,U42,X42))</f>
        <v>1</v>
      </c>
      <c r="AA42" s="58" t="n">
        <f aca="false">IF(ISNUMBER(Z42),C42*Z42,"")</f>
        <v>3973.65</v>
      </c>
    </row>
    <row r="43" customFormat="false" ht="15" hidden="false" customHeight="false" outlineLevel="0" collapsed="false">
      <c r="A43" s="41" t="s">
        <v>305</v>
      </c>
      <c r="B43" s="42" t="s">
        <v>3176</v>
      </c>
      <c r="C43" s="53" t="n">
        <v>28093.38</v>
      </c>
      <c r="D43" s="54" t="n">
        <v>228</v>
      </c>
      <c r="E43" s="54" t="n">
        <v>228</v>
      </c>
      <c r="F43" s="55" t="n">
        <f aca="false">IF(D43&gt;=$C$3,E43/D43,"")</f>
        <v>1</v>
      </c>
      <c r="G43" s="54" t="n">
        <v>35</v>
      </c>
      <c r="H43" s="54" t="n">
        <v>35</v>
      </c>
      <c r="I43" s="55" t="n">
        <f aca="false">IF(G43&gt;=$C$3,H43/G43,"")</f>
        <v>1</v>
      </c>
      <c r="J43" s="54" t="n">
        <v>12</v>
      </c>
      <c r="K43" s="54" t="n">
        <v>12</v>
      </c>
      <c r="L43" s="55" t="n">
        <f aca="false">IF(J43&gt;=$C$3,K43/J43,"")</f>
        <v>1</v>
      </c>
      <c r="M43" s="54" t="n">
        <v>41</v>
      </c>
      <c r="N43" s="54" t="n">
        <v>41</v>
      </c>
      <c r="O43" s="55" t="n">
        <f aca="false">IF(M43&gt;=$C$3,N43/M43,"")</f>
        <v>1</v>
      </c>
      <c r="P43" s="54" t="n">
        <v>23</v>
      </c>
      <c r="Q43" s="54" t="n">
        <v>23</v>
      </c>
      <c r="R43" s="55" t="n">
        <f aca="false">IF(P43&gt;=$C$3,Q43/P43,"")</f>
        <v>1</v>
      </c>
      <c r="S43" s="54" t="n">
        <v>9</v>
      </c>
      <c r="T43" s="54" t="n">
        <v>9</v>
      </c>
      <c r="U43" s="55" t="n">
        <f aca="false">IF(S43&gt;=$C$3,T43/S43,"")</f>
        <v>1</v>
      </c>
      <c r="V43" s="54" t="n">
        <v>22</v>
      </c>
      <c r="W43" s="54" t="n">
        <v>22</v>
      </c>
      <c r="X43" s="55" t="n">
        <f aca="false">IF(V43&gt;=$C$3,W43/V43,"")</f>
        <v>1</v>
      </c>
      <c r="Y43" s="56" t="n">
        <f aca="false">COUNT(F43,I43,L43,O43,R43,U43,X43)</f>
        <v>7</v>
      </c>
      <c r="Z43" s="57" t="n">
        <f aca="false">IF(Y43=0,"",AVERAGE(F43,I43,L43,O43,R43,U43,X43))</f>
        <v>1</v>
      </c>
      <c r="AA43" s="58" t="n">
        <f aca="false">IF(ISNUMBER(Z43),C43*Z43,"")</f>
        <v>28093.38</v>
      </c>
    </row>
    <row r="44" customFormat="false" ht="15" hidden="false" customHeight="false" outlineLevel="0" collapsed="false">
      <c r="A44" s="41" t="s">
        <v>844</v>
      </c>
      <c r="B44" s="42" t="s">
        <v>3177</v>
      </c>
      <c r="C44" s="53" t="n">
        <v>263.65</v>
      </c>
      <c r="D44" s="54" t="n">
        <v>184</v>
      </c>
      <c r="E44" s="54" t="n">
        <v>12</v>
      </c>
      <c r="F44" s="55" t="n">
        <f aca="false">IF(D44&gt;=$C$3,E44/D44,"")</f>
        <v>0.0652173913043478</v>
      </c>
      <c r="G44" s="54" t="n">
        <v>77</v>
      </c>
      <c r="H44" s="54" t="n">
        <v>2</v>
      </c>
      <c r="I44" s="55" t="n">
        <f aca="false">IF(G44&gt;=$C$3,H44/G44,"")</f>
        <v>0.025974025974026</v>
      </c>
      <c r="J44" s="54" t="n">
        <v>14</v>
      </c>
      <c r="K44" s="54" t="n">
        <v>1</v>
      </c>
      <c r="L44" s="55" t="n">
        <f aca="false">IF(J44&gt;=$C$3,K44/J44,"")</f>
        <v>0.0714285714285714</v>
      </c>
      <c r="M44" s="54" t="n">
        <v>21</v>
      </c>
      <c r="N44" s="54" t="n">
        <v>1</v>
      </c>
      <c r="O44" s="55" t="n">
        <f aca="false">IF(M44&gt;=$C$3,N44/M44,"")</f>
        <v>0.0476190476190476</v>
      </c>
      <c r="P44" s="54" t="n">
        <v>0</v>
      </c>
      <c r="Q44" s="54" t="n">
        <v>0</v>
      </c>
      <c r="R44" s="55" t="str">
        <f aca="false">IF(P44&gt;=$C$3,Q44/P44,"")</f>
        <v/>
      </c>
      <c r="S44" s="54" t="n">
        <v>5</v>
      </c>
      <c r="T44" s="54" t="n">
        <v>1</v>
      </c>
      <c r="U44" s="55" t="n">
        <f aca="false">IF(S44&gt;=$C$3,T44/S44,"")</f>
        <v>0.2</v>
      </c>
      <c r="V44" s="54" t="n">
        <v>46</v>
      </c>
      <c r="W44" s="54" t="n">
        <v>4</v>
      </c>
      <c r="X44" s="55" t="n">
        <f aca="false">IF(V44&gt;=$C$3,W44/V44,"")</f>
        <v>0.0869565217391304</v>
      </c>
      <c r="Y44" s="56" t="n">
        <f aca="false">COUNT(F44,I44,L44,O44,R44,U44,X44)</f>
        <v>6</v>
      </c>
      <c r="Z44" s="57" t="n">
        <f aca="false">IF(Y44=0,"",AVERAGE(F44,I44,L44,O44,R44,U44,X44))</f>
        <v>0.0828659263441872</v>
      </c>
      <c r="AA44" s="58" t="n">
        <f aca="false">IF(ISNUMBER(Z44),C44*Z44,"")</f>
        <v>21.847601480645</v>
      </c>
    </row>
    <row r="45" customFormat="false" ht="15" hidden="false" customHeight="false" outlineLevel="0" collapsed="false">
      <c r="A45" s="41" t="s">
        <v>313</v>
      </c>
      <c r="B45" s="42" t="s">
        <v>3171</v>
      </c>
      <c r="C45" s="53" t="n">
        <v>16840.43</v>
      </c>
      <c r="D45" s="54" t="n">
        <v>216</v>
      </c>
      <c r="E45" s="54" t="n">
        <v>216</v>
      </c>
      <c r="F45" s="55" t="n">
        <f aca="false">IF(D45&gt;=$C$3,E45/D45,"")</f>
        <v>1</v>
      </c>
      <c r="G45" s="54" t="n">
        <v>28</v>
      </c>
      <c r="H45" s="54" t="n">
        <v>28</v>
      </c>
      <c r="I45" s="55" t="n">
        <f aca="false">IF(G45&gt;=$C$3,H45/G45,"")</f>
        <v>1</v>
      </c>
      <c r="J45" s="54" t="n">
        <v>15</v>
      </c>
      <c r="K45" s="54" t="n">
        <v>12</v>
      </c>
      <c r="L45" s="55" t="n">
        <f aca="false">IF(J45&gt;=$C$3,K45/J45,"")</f>
        <v>0.8</v>
      </c>
      <c r="M45" s="54" t="n">
        <v>28</v>
      </c>
      <c r="N45" s="54" t="n">
        <v>28</v>
      </c>
      <c r="O45" s="55" t="n">
        <f aca="false">IF(M45&gt;=$C$3,N45/M45,"")</f>
        <v>1</v>
      </c>
      <c r="P45" s="54" t="n">
        <v>10</v>
      </c>
      <c r="Q45" s="54" t="n">
        <v>10</v>
      </c>
      <c r="R45" s="55" t="n">
        <f aca="false">IF(P45&gt;=$C$3,Q45/P45,"")</f>
        <v>1</v>
      </c>
      <c r="S45" s="54" t="n">
        <v>6</v>
      </c>
      <c r="T45" s="54" t="n">
        <v>6</v>
      </c>
      <c r="U45" s="55" t="n">
        <f aca="false">IF(S45&gt;=$C$3,T45/S45,"")</f>
        <v>1</v>
      </c>
      <c r="V45" s="54" t="n">
        <v>83</v>
      </c>
      <c r="W45" s="54" t="n">
        <v>83</v>
      </c>
      <c r="X45" s="55" t="n">
        <f aca="false">IF(V45&gt;=$C$3,W45/V45,"")</f>
        <v>1</v>
      </c>
      <c r="Y45" s="56" t="n">
        <f aca="false">COUNT(F45,I45,L45,O45,R45,U45,X45)</f>
        <v>7</v>
      </c>
      <c r="Z45" s="57" t="n">
        <f aca="false">IF(Y45=0,"",AVERAGE(F45,I45,L45,O45,R45,U45,X45))</f>
        <v>0.971428571428571</v>
      </c>
      <c r="AA45" s="58" t="n">
        <f aca="false">IF(ISNUMBER(Z45),C45*Z45,"")</f>
        <v>16359.2748571429</v>
      </c>
    </row>
    <row r="46" customFormat="false" ht="15" hidden="false" customHeight="false" outlineLevel="0" collapsed="false">
      <c r="A46" s="41" t="s">
        <v>1220</v>
      </c>
      <c r="B46" s="42" t="s">
        <v>3178</v>
      </c>
      <c r="C46" s="53" t="n">
        <v>49989.33</v>
      </c>
      <c r="D46" s="54" t="n">
        <v>623</v>
      </c>
      <c r="E46" s="54" t="n">
        <v>14</v>
      </c>
      <c r="F46" s="55" t="n">
        <f aca="false">IF(D46&gt;=$C$3,E46/D46,"")</f>
        <v>0.0224719101123596</v>
      </c>
      <c r="G46" s="54" t="n">
        <v>205</v>
      </c>
      <c r="H46" s="54" t="n">
        <v>6</v>
      </c>
      <c r="I46" s="55" t="n">
        <f aca="false">IF(G46&gt;=$C$3,H46/G46,"")</f>
        <v>0.0292682926829268</v>
      </c>
      <c r="J46" s="54" t="n">
        <v>23</v>
      </c>
      <c r="K46" s="54" t="n">
        <v>2</v>
      </c>
      <c r="L46" s="55" t="n">
        <f aca="false">IF(J46&gt;=$C$3,K46/J46,"")</f>
        <v>0.0869565217391304</v>
      </c>
      <c r="M46" s="54" t="n">
        <v>354</v>
      </c>
      <c r="N46" s="54" t="n">
        <v>1</v>
      </c>
      <c r="O46" s="55" t="n">
        <f aca="false">IF(M46&gt;=$C$3,N46/M46,"")</f>
        <v>0.00282485875706215</v>
      </c>
      <c r="P46" s="54" t="n">
        <v>122</v>
      </c>
      <c r="Q46" s="54" t="n">
        <v>4</v>
      </c>
      <c r="R46" s="55" t="n">
        <f aca="false">IF(P46&gt;=$C$3,Q46/P46,"")</f>
        <v>0.0327868852459016</v>
      </c>
      <c r="S46" s="54" t="n">
        <v>39</v>
      </c>
      <c r="T46" s="54" t="n">
        <v>5</v>
      </c>
      <c r="U46" s="55" t="n">
        <f aca="false">IF(S46&gt;=$C$3,T46/S46,"")</f>
        <v>0.128205128205128</v>
      </c>
      <c r="V46" s="54" t="n">
        <v>139</v>
      </c>
      <c r="W46" s="54" t="n">
        <v>9</v>
      </c>
      <c r="X46" s="55" t="n">
        <f aca="false">IF(V46&gt;=$C$3,W46/V46,"")</f>
        <v>0.0647482014388489</v>
      </c>
      <c r="Y46" s="56" t="n">
        <f aca="false">COUNT(F46,I46,L46,O46,R46,U46,X46)</f>
        <v>7</v>
      </c>
      <c r="Z46" s="57" t="n">
        <f aca="false">IF(Y46=0,"",AVERAGE(F46,I46,L46,O46,R46,U46,X46))</f>
        <v>0.0524659711687654</v>
      </c>
      <c r="AA46" s="58" t="n">
        <f aca="false">IF(ISNUMBER(Z46),C46*Z46,"")</f>
        <v>2622.7387465259</v>
      </c>
    </row>
    <row r="47" customFormat="false" ht="15" hidden="false" customHeight="false" outlineLevel="0" collapsed="false">
      <c r="A47" s="41" t="s">
        <v>245</v>
      </c>
      <c r="B47" s="42" t="s">
        <v>3179</v>
      </c>
      <c r="C47" s="53" t="n">
        <v>3954.83</v>
      </c>
      <c r="D47" s="54" t="n">
        <v>13</v>
      </c>
      <c r="E47" s="54" t="n">
        <v>13</v>
      </c>
      <c r="F47" s="55" t="n">
        <f aca="false">IF(D47&gt;=$C$3,E47/D47,"")</f>
        <v>1</v>
      </c>
      <c r="G47" s="54" t="n">
        <v>3</v>
      </c>
      <c r="H47" s="54" t="n">
        <v>2</v>
      </c>
      <c r="I47" s="55" t="n">
        <f aca="false">IF(G47&gt;=$C$3,H47/G47,"")</f>
        <v>0.666666666666667</v>
      </c>
      <c r="J47" s="54" t="n">
        <v>4</v>
      </c>
      <c r="K47" s="54" t="n">
        <v>4</v>
      </c>
      <c r="L47" s="55" t="n">
        <f aca="false">IF(J47&gt;=$C$3,K47/J47,"")</f>
        <v>1</v>
      </c>
      <c r="M47" s="54" t="n">
        <v>2</v>
      </c>
      <c r="N47" s="54" t="n">
        <v>2</v>
      </c>
      <c r="O47" s="55" t="str">
        <f aca="false">IF(M47&gt;=$C$3,N47/M47,"")</f>
        <v/>
      </c>
      <c r="P47" s="54" t="n">
        <v>0</v>
      </c>
      <c r="Q47" s="54" t="n">
        <v>0</v>
      </c>
      <c r="R47" s="55" t="str">
        <f aca="false">IF(P47&gt;=$C$3,Q47/P47,"")</f>
        <v/>
      </c>
      <c r="S47" s="54" t="n">
        <v>1</v>
      </c>
      <c r="T47" s="54" t="n">
        <v>1</v>
      </c>
      <c r="U47" s="55" t="str">
        <f aca="false">IF(S47&gt;=$C$3,T47/S47,"")</f>
        <v/>
      </c>
      <c r="V47" s="54" t="n">
        <v>15</v>
      </c>
      <c r="W47" s="54" t="n">
        <v>15</v>
      </c>
      <c r="X47" s="55" t="n">
        <f aca="false">IF(V47&gt;=$C$3,W47/V47,"")</f>
        <v>1</v>
      </c>
      <c r="Y47" s="56" t="n">
        <f aca="false">COUNT(F47,I47,L47,O47,R47,U47,X47)</f>
        <v>4</v>
      </c>
      <c r="Z47" s="57" t="n">
        <f aca="false">IF(Y47=0,"",AVERAGE(F47,I47,L47,O47,R47,U47,X47))</f>
        <v>0.916666666666667</v>
      </c>
      <c r="AA47" s="58" t="n">
        <f aca="false">IF(ISNUMBER(Z47),C47*Z47,"")</f>
        <v>3625.26083333333</v>
      </c>
    </row>
    <row r="48" customFormat="false" ht="15" hidden="false" customHeight="false" outlineLevel="0" collapsed="false">
      <c r="A48" s="41" t="s">
        <v>1155</v>
      </c>
      <c r="B48" s="42" t="s">
        <v>3172</v>
      </c>
      <c r="C48" s="53" t="n">
        <v>1929.98</v>
      </c>
      <c r="D48" s="54" t="n">
        <v>129</v>
      </c>
      <c r="E48" s="54" t="n">
        <v>129</v>
      </c>
      <c r="F48" s="55" t="n">
        <f aca="false">IF(D48&gt;=$C$3,E48/D48,"")</f>
        <v>1</v>
      </c>
      <c r="G48" s="54" t="n">
        <v>4</v>
      </c>
      <c r="H48" s="54" t="n">
        <v>4</v>
      </c>
      <c r="I48" s="55" t="n">
        <f aca="false">IF(G48&gt;=$C$3,H48/G48,"")</f>
        <v>1</v>
      </c>
      <c r="J48" s="54" t="n">
        <v>15</v>
      </c>
      <c r="K48" s="54" t="n">
        <v>15</v>
      </c>
      <c r="L48" s="55" t="n">
        <f aca="false">IF(J48&gt;=$C$3,K48/J48,"")</f>
        <v>1</v>
      </c>
      <c r="M48" s="54" t="n">
        <v>19</v>
      </c>
      <c r="N48" s="54" t="n">
        <v>19</v>
      </c>
      <c r="O48" s="55" t="n">
        <f aca="false">IF(M48&gt;=$C$3,N48/M48,"")</f>
        <v>1</v>
      </c>
      <c r="P48" s="54" t="n">
        <v>16</v>
      </c>
      <c r="Q48" s="54" t="n">
        <v>16</v>
      </c>
      <c r="R48" s="55" t="n">
        <f aca="false">IF(P48&gt;=$C$3,Q48/P48,"")</f>
        <v>1</v>
      </c>
      <c r="S48" s="54" t="n">
        <v>3</v>
      </c>
      <c r="T48" s="54" t="n">
        <v>3</v>
      </c>
      <c r="U48" s="55" t="n">
        <f aca="false">IF(S48&gt;=$C$3,T48/S48,"")</f>
        <v>1</v>
      </c>
      <c r="V48" s="54" t="n">
        <v>30</v>
      </c>
      <c r="W48" s="54" t="n">
        <v>30</v>
      </c>
      <c r="X48" s="55" t="n">
        <f aca="false">IF(V48&gt;=$C$3,W48/V48,"")</f>
        <v>1</v>
      </c>
      <c r="Y48" s="56" t="n">
        <f aca="false">COUNT(F48,I48,L48,O48,R48,U48,X48)</f>
        <v>7</v>
      </c>
      <c r="Z48" s="57" t="n">
        <f aca="false">IF(Y48=0,"",AVERAGE(F48,I48,L48,O48,R48,U48,X48))</f>
        <v>1</v>
      </c>
      <c r="AA48" s="58" t="n">
        <f aca="false">IF(ISNUMBER(Z48),C48*Z48,"")</f>
        <v>1929.98</v>
      </c>
    </row>
    <row r="49" customFormat="false" ht="15" hidden="false" customHeight="false" outlineLevel="0" collapsed="false">
      <c r="A49" s="41" t="s">
        <v>322</v>
      </c>
      <c r="B49" s="42" t="s">
        <v>3172</v>
      </c>
      <c r="C49" s="53" t="n">
        <v>6348.25</v>
      </c>
      <c r="D49" s="54" t="n">
        <v>97</v>
      </c>
      <c r="E49" s="54" t="n">
        <v>97</v>
      </c>
      <c r="F49" s="55" t="n">
        <f aca="false">IF(D49&gt;=$C$3,E49/D49,"")</f>
        <v>1</v>
      </c>
      <c r="G49" s="54" t="n">
        <v>3</v>
      </c>
      <c r="H49" s="54" t="n">
        <v>3</v>
      </c>
      <c r="I49" s="55" t="n">
        <f aca="false">IF(G49&gt;=$C$3,H49/G49,"")</f>
        <v>1</v>
      </c>
      <c r="J49" s="54" t="n">
        <v>3</v>
      </c>
      <c r="K49" s="54" t="n">
        <v>3</v>
      </c>
      <c r="L49" s="55" t="n">
        <f aca="false">IF(J49&gt;=$C$3,K49/J49,"")</f>
        <v>1</v>
      </c>
      <c r="M49" s="54" t="n">
        <v>11</v>
      </c>
      <c r="N49" s="54" t="n">
        <v>11</v>
      </c>
      <c r="O49" s="55" t="n">
        <f aca="false">IF(M49&gt;=$C$3,N49/M49,"")</f>
        <v>1</v>
      </c>
      <c r="P49" s="54" t="n">
        <v>17</v>
      </c>
      <c r="Q49" s="54" t="n">
        <v>16</v>
      </c>
      <c r="R49" s="55" t="n">
        <f aca="false">IF(P49&gt;=$C$3,Q49/P49,"")</f>
        <v>0.941176470588235</v>
      </c>
      <c r="S49" s="54" t="n">
        <v>9</v>
      </c>
      <c r="T49" s="54" t="n">
        <v>9</v>
      </c>
      <c r="U49" s="55" t="n">
        <f aca="false">IF(S49&gt;=$C$3,T49/S49,"")</f>
        <v>1</v>
      </c>
      <c r="V49" s="54" t="n">
        <v>12</v>
      </c>
      <c r="W49" s="54" t="n">
        <v>12</v>
      </c>
      <c r="X49" s="55" t="n">
        <f aca="false">IF(V49&gt;=$C$3,W49/V49,"")</f>
        <v>1</v>
      </c>
      <c r="Y49" s="56" t="n">
        <f aca="false">COUNT(F49,I49,L49,O49,R49,U49,X49)</f>
        <v>7</v>
      </c>
      <c r="Z49" s="57" t="n">
        <f aca="false">IF(Y49=0,"",AVERAGE(F49,I49,L49,O49,R49,U49,X49))</f>
        <v>0.991596638655462</v>
      </c>
      <c r="AA49" s="58" t="n">
        <f aca="false">IF(ISNUMBER(Z49),C49*Z49,"")</f>
        <v>6294.90336134454</v>
      </c>
    </row>
    <row r="50" customFormat="false" ht="15" hidden="false" customHeight="false" outlineLevel="0" collapsed="false">
      <c r="A50" s="41" t="s">
        <v>329</v>
      </c>
      <c r="B50" s="42" t="s">
        <v>3172</v>
      </c>
      <c r="C50" s="53" t="n">
        <v>5713.56</v>
      </c>
      <c r="D50" s="54" t="n">
        <v>174</v>
      </c>
      <c r="E50" s="54" t="n">
        <v>174</v>
      </c>
      <c r="F50" s="55" t="n">
        <f aca="false">IF(D50&gt;=$C$3,E50/D50,"")</f>
        <v>1</v>
      </c>
      <c r="G50" s="54" t="n">
        <v>30</v>
      </c>
      <c r="H50" s="54" t="n">
        <v>30</v>
      </c>
      <c r="I50" s="55" t="n">
        <f aca="false">IF(G50&gt;=$C$3,H50/G50,"")</f>
        <v>1</v>
      </c>
      <c r="J50" s="54" t="n">
        <v>6</v>
      </c>
      <c r="K50" s="54" t="n">
        <v>6</v>
      </c>
      <c r="L50" s="55" t="n">
        <f aca="false">IF(J50&gt;=$C$3,K50/J50,"")</f>
        <v>1</v>
      </c>
      <c r="M50" s="54" t="n">
        <v>18</v>
      </c>
      <c r="N50" s="54" t="n">
        <v>18</v>
      </c>
      <c r="O50" s="55" t="n">
        <f aca="false">IF(M50&gt;=$C$3,N50/M50,"")</f>
        <v>1</v>
      </c>
      <c r="P50" s="54" t="n">
        <v>16</v>
      </c>
      <c r="Q50" s="54" t="n">
        <v>16</v>
      </c>
      <c r="R50" s="55" t="n">
        <f aca="false">IF(P50&gt;=$C$3,Q50/P50,"")</f>
        <v>1</v>
      </c>
      <c r="S50" s="54" t="n">
        <v>11</v>
      </c>
      <c r="T50" s="54" t="n">
        <v>11</v>
      </c>
      <c r="U50" s="55" t="n">
        <f aca="false">IF(S50&gt;=$C$3,T50/S50,"")</f>
        <v>1</v>
      </c>
      <c r="V50" s="54" t="n">
        <v>7</v>
      </c>
      <c r="W50" s="54" t="n">
        <v>7</v>
      </c>
      <c r="X50" s="55" t="n">
        <f aca="false">IF(V50&gt;=$C$3,W50/V50,"")</f>
        <v>1</v>
      </c>
      <c r="Y50" s="56" t="n">
        <f aca="false">COUNT(F50,I50,L50,O50,R50,U50,X50)</f>
        <v>7</v>
      </c>
      <c r="Z50" s="57" t="n">
        <f aca="false">IF(Y50=0,"",AVERAGE(F50,I50,L50,O50,R50,U50,X50))</f>
        <v>1</v>
      </c>
      <c r="AA50" s="58" t="n">
        <f aca="false">IF(ISNUMBER(Z50),C50*Z50,"")</f>
        <v>5713.56</v>
      </c>
    </row>
    <row r="51" customFormat="false" ht="15" hidden="false" customHeight="false" outlineLevel="0" collapsed="false">
      <c r="A51" s="41" t="s">
        <v>336</v>
      </c>
      <c r="B51" s="42" t="s">
        <v>3172</v>
      </c>
      <c r="C51" s="53" t="n">
        <v>93119.22</v>
      </c>
      <c r="D51" s="54" t="n">
        <v>277</v>
      </c>
      <c r="E51" s="54" t="n">
        <v>277</v>
      </c>
      <c r="F51" s="55" t="n">
        <f aca="false">IF(D51&gt;=$C$3,E51/D51,"")</f>
        <v>1</v>
      </c>
      <c r="G51" s="54" t="n">
        <v>35</v>
      </c>
      <c r="H51" s="54" t="n">
        <v>35</v>
      </c>
      <c r="I51" s="55" t="n">
        <f aca="false">IF(G51&gt;=$C$3,H51/G51,"")</f>
        <v>1</v>
      </c>
      <c r="J51" s="54" t="n">
        <v>13</v>
      </c>
      <c r="K51" s="54" t="n">
        <v>13</v>
      </c>
      <c r="L51" s="55" t="n">
        <f aca="false">IF(J51&gt;=$C$3,K51/J51,"")</f>
        <v>1</v>
      </c>
      <c r="M51" s="54" t="n">
        <v>18</v>
      </c>
      <c r="N51" s="54" t="n">
        <v>18</v>
      </c>
      <c r="O51" s="55" t="n">
        <f aca="false">IF(M51&gt;=$C$3,N51/M51,"")</f>
        <v>1</v>
      </c>
      <c r="P51" s="54" t="n">
        <v>59</v>
      </c>
      <c r="Q51" s="54" t="n">
        <v>59</v>
      </c>
      <c r="R51" s="55" t="n">
        <f aca="false">IF(P51&gt;=$C$3,Q51/P51,"")</f>
        <v>1</v>
      </c>
      <c r="S51" s="54" t="n">
        <v>37</v>
      </c>
      <c r="T51" s="54" t="n">
        <v>37</v>
      </c>
      <c r="U51" s="55" t="n">
        <f aca="false">IF(S51&gt;=$C$3,T51/S51,"")</f>
        <v>1</v>
      </c>
      <c r="V51" s="54" t="n">
        <v>26</v>
      </c>
      <c r="W51" s="54" t="n">
        <v>26</v>
      </c>
      <c r="X51" s="55" t="n">
        <f aca="false">IF(V51&gt;=$C$3,W51/V51,"")</f>
        <v>1</v>
      </c>
      <c r="Y51" s="56" t="n">
        <f aca="false">COUNT(F51,I51,L51,O51,R51,U51,X51)</f>
        <v>7</v>
      </c>
      <c r="Z51" s="57" t="n">
        <f aca="false">IF(Y51=0,"",AVERAGE(F51,I51,L51,O51,R51,U51,X51))</f>
        <v>1</v>
      </c>
      <c r="AA51" s="58" t="n">
        <f aca="false">IF(ISNUMBER(Z51),C51*Z51,"")</f>
        <v>93119.22</v>
      </c>
    </row>
    <row r="52" customFormat="false" ht="15" hidden="false" customHeight="false" outlineLevel="0" collapsed="false">
      <c r="A52" s="41" t="s">
        <v>1308</v>
      </c>
      <c r="B52" s="42" t="s">
        <v>3180</v>
      </c>
      <c r="C52" s="53" t="n">
        <v>3589.61</v>
      </c>
      <c r="D52" s="54" t="n">
        <v>0</v>
      </c>
      <c r="E52" s="54" t="n">
        <v>0</v>
      </c>
      <c r="F52" s="55" t="str">
        <f aca="false">IF(D52&gt;=$C$3,E52/D52,"")</f>
        <v/>
      </c>
      <c r="G52" s="54" t="n">
        <v>0</v>
      </c>
      <c r="H52" s="54" t="n">
        <v>0</v>
      </c>
      <c r="I52" s="55" t="str">
        <f aca="false">IF(G52&gt;=$C$3,H52/G52,"")</f>
        <v/>
      </c>
      <c r="J52" s="54" t="n">
        <v>0</v>
      </c>
      <c r="K52" s="54" t="n">
        <v>0</v>
      </c>
      <c r="L52" s="55" t="str">
        <f aca="false">IF(J52&gt;=$C$3,K52/J52,"")</f>
        <v/>
      </c>
      <c r="M52" s="54" t="n">
        <v>0</v>
      </c>
      <c r="N52" s="54" t="n">
        <v>0</v>
      </c>
      <c r="O52" s="55" t="str">
        <f aca="false">IF(M52&gt;=$C$3,N52/M52,"")</f>
        <v/>
      </c>
      <c r="P52" s="54" t="n">
        <v>0</v>
      </c>
      <c r="Q52" s="54" t="n">
        <v>0</v>
      </c>
      <c r="R52" s="55" t="str">
        <f aca="false">IF(P52&gt;=$C$3,Q52/P52,"")</f>
        <v/>
      </c>
      <c r="S52" s="54" t="n">
        <v>0</v>
      </c>
      <c r="T52" s="54" t="n">
        <v>0</v>
      </c>
      <c r="U52" s="55" t="str">
        <f aca="false">IF(S52&gt;=$C$3,T52/S52,"")</f>
        <v/>
      </c>
      <c r="V52" s="54" t="n">
        <v>6</v>
      </c>
      <c r="W52" s="54" t="n">
        <v>5</v>
      </c>
      <c r="X52" s="55" t="n">
        <f aca="false">IF(V52&gt;=$C$3,W52/V52,"")</f>
        <v>0.833333333333333</v>
      </c>
      <c r="Y52" s="56" t="n">
        <f aca="false">COUNT(F52,I52,L52,O52,R52,U52,X52)</f>
        <v>1</v>
      </c>
      <c r="Z52" s="57" t="n">
        <f aca="false">IF(Y52=0,"",AVERAGE(F52,I52,L52,O52,R52,U52,X52))</f>
        <v>0.833333333333333</v>
      </c>
      <c r="AA52" s="58" t="n">
        <f aca="false">IF(ISNUMBER(Z52),C52*Z52,"")</f>
        <v>2991.34166666667</v>
      </c>
    </row>
    <row r="53" customFormat="false" ht="15" hidden="false" customHeight="false" outlineLevel="0" collapsed="false">
      <c r="A53" s="41" t="s">
        <v>1399</v>
      </c>
      <c r="B53" s="42" t="s">
        <v>3181</v>
      </c>
      <c r="C53" s="53" t="n">
        <v>7691.34</v>
      </c>
      <c r="D53" s="54" t="n">
        <v>201</v>
      </c>
      <c r="E53" s="54" t="n">
        <v>6</v>
      </c>
      <c r="F53" s="55" t="n">
        <f aca="false">IF(D53&gt;=$C$3,E53/D53,"")</f>
        <v>0.0298507462686567</v>
      </c>
      <c r="G53" s="54" t="n">
        <v>36</v>
      </c>
      <c r="H53" s="54" t="n">
        <v>4</v>
      </c>
      <c r="I53" s="55" t="n">
        <f aca="false">IF(G53&gt;=$C$3,H53/G53,"")</f>
        <v>0.111111111111111</v>
      </c>
      <c r="J53" s="54" t="n">
        <v>38</v>
      </c>
      <c r="K53" s="54" t="n">
        <v>0</v>
      </c>
      <c r="L53" s="55" t="n">
        <f aca="false">IF(J53&gt;=$C$3,K53/J53,"")</f>
        <v>0</v>
      </c>
      <c r="M53" s="54" t="n">
        <v>101</v>
      </c>
      <c r="N53" s="54" t="n">
        <v>0</v>
      </c>
      <c r="O53" s="55" t="n">
        <f aca="false">IF(M53&gt;=$C$3,N53/M53,"")</f>
        <v>0</v>
      </c>
      <c r="P53" s="54" t="n">
        <v>72</v>
      </c>
      <c r="Q53" s="54" t="n">
        <v>0</v>
      </c>
      <c r="R53" s="55" t="n">
        <f aca="false">IF(P53&gt;=$C$3,Q53/P53,"")</f>
        <v>0</v>
      </c>
      <c r="S53" s="54" t="n">
        <v>14</v>
      </c>
      <c r="T53" s="54" t="n">
        <v>0</v>
      </c>
      <c r="U53" s="55" t="n">
        <f aca="false">IF(S53&gt;=$C$3,T53/S53,"")</f>
        <v>0</v>
      </c>
      <c r="V53" s="54" t="n">
        <v>118</v>
      </c>
      <c r="W53" s="54" t="n">
        <v>0</v>
      </c>
      <c r="X53" s="55" t="n">
        <f aca="false">IF(V53&gt;=$C$3,W53/V53,"")</f>
        <v>0</v>
      </c>
      <c r="Y53" s="56" t="n">
        <f aca="false">COUNT(F53,I53,L53,O53,R53,U53,X53)</f>
        <v>7</v>
      </c>
      <c r="Z53" s="57" t="n">
        <f aca="false">IF(Y53=0,"",AVERAGE(F53,I53,L53,O53,R53,U53,X53))</f>
        <v>0.0201374081971097</v>
      </c>
      <c r="AA53" s="58" t="n">
        <f aca="false">IF(ISNUMBER(Z53),C53*Z53,"")</f>
        <v>154.883653162758</v>
      </c>
    </row>
    <row r="54" customFormat="false" ht="15" hidden="false" customHeight="false" outlineLevel="0" collapsed="false">
      <c r="A54" s="41" t="s">
        <v>343</v>
      </c>
      <c r="B54" s="42" t="s">
        <v>3174</v>
      </c>
      <c r="C54" s="53" t="n">
        <v>7831.08</v>
      </c>
      <c r="D54" s="54" t="n">
        <v>24</v>
      </c>
      <c r="E54" s="54" t="n">
        <v>6</v>
      </c>
      <c r="F54" s="55" t="n">
        <f aca="false">IF(D54&gt;=$C$3,E54/D54,"")</f>
        <v>0.25</v>
      </c>
      <c r="G54" s="54" t="n">
        <v>21</v>
      </c>
      <c r="H54" s="54" t="n">
        <v>0</v>
      </c>
      <c r="I54" s="55" t="n">
        <f aca="false">IF(G54&gt;=$C$3,H54/G54,"")</f>
        <v>0</v>
      </c>
      <c r="J54" s="54" t="n">
        <v>3</v>
      </c>
      <c r="K54" s="54" t="n">
        <v>0</v>
      </c>
      <c r="L54" s="55" t="n">
        <f aca="false">IF(J54&gt;=$C$3,K54/J54,"")</f>
        <v>0</v>
      </c>
      <c r="M54" s="54" t="n">
        <v>4</v>
      </c>
      <c r="N54" s="54" t="n">
        <v>1</v>
      </c>
      <c r="O54" s="55" t="n">
        <f aca="false">IF(M54&gt;=$C$3,N54/M54,"")</f>
        <v>0.25</v>
      </c>
      <c r="P54" s="54" t="n">
        <v>5</v>
      </c>
      <c r="Q54" s="54" t="n">
        <v>2</v>
      </c>
      <c r="R54" s="55" t="n">
        <f aca="false">IF(P54&gt;=$C$3,Q54/P54,"")</f>
        <v>0.4</v>
      </c>
      <c r="S54" s="54" t="n">
        <v>0</v>
      </c>
      <c r="T54" s="54" t="n">
        <v>0</v>
      </c>
      <c r="U54" s="55" t="str">
        <f aca="false">IF(S54&gt;=$C$3,T54/S54,"")</f>
        <v/>
      </c>
      <c r="V54" s="54" t="n">
        <v>64</v>
      </c>
      <c r="W54" s="54" t="n">
        <v>9</v>
      </c>
      <c r="X54" s="55" t="n">
        <f aca="false">IF(V54&gt;=$C$3,W54/V54,"")</f>
        <v>0.140625</v>
      </c>
      <c r="Y54" s="56" t="n">
        <f aca="false">COUNT(F54,I54,L54,O54,R54,U54,X54)</f>
        <v>6</v>
      </c>
      <c r="Z54" s="57" t="n">
        <f aca="false">IF(Y54=0,"",AVERAGE(F54,I54,L54,O54,R54,U54,X54))</f>
        <v>0.1734375</v>
      </c>
      <c r="AA54" s="58" t="n">
        <f aca="false">IF(ISNUMBER(Z54),C54*Z54,"")</f>
        <v>1358.2029375</v>
      </c>
    </row>
    <row r="55" customFormat="false" ht="15" hidden="false" customHeight="false" outlineLevel="0" collapsed="false">
      <c r="A55" s="41" t="s">
        <v>937</v>
      </c>
      <c r="B55" s="42" t="s">
        <v>3171</v>
      </c>
      <c r="C55" s="53" t="n">
        <v>2508.09</v>
      </c>
      <c r="D55" s="54" t="n">
        <v>96</v>
      </c>
      <c r="E55" s="54" t="n">
        <v>96</v>
      </c>
      <c r="F55" s="55" t="n">
        <f aca="false">IF(D55&gt;=$C$3,E55/D55,"")</f>
        <v>1</v>
      </c>
      <c r="G55" s="54" t="n">
        <v>15</v>
      </c>
      <c r="H55" s="54" t="n">
        <v>15</v>
      </c>
      <c r="I55" s="55" t="n">
        <f aca="false">IF(G55&gt;=$C$3,H55/G55,"")</f>
        <v>1</v>
      </c>
      <c r="J55" s="54" t="n">
        <v>2</v>
      </c>
      <c r="K55" s="54" t="n">
        <v>2</v>
      </c>
      <c r="L55" s="55" t="str">
        <f aca="false">IF(J55&gt;=$C$3,K55/J55,"")</f>
        <v/>
      </c>
      <c r="M55" s="54" t="n">
        <v>35</v>
      </c>
      <c r="N55" s="54" t="n">
        <v>35</v>
      </c>
      <c r="O55" s="55" t="n">
        <f aca="false">IF(M55&gt;=$C$3,N55/M55,"")</f>
        <v>1</v>
      </c>
      <c r="P55" s="54" t="n">
        <v>11</v>
      </c>
      <c r="Q55" s="54" t="n">
        <v>11</v>
      </c>
      <c r="R55" s="55" t="n">
        <f aca="false">IF(P55&gt;=$C$3,Q55/P55,"")</f>
        <v>1</v>
      </c>
      <c r="S55" s="54" t="n">
        <v>7</v>
      </c>
      <c r="T55" s="54" t="n">
        <v>7</v>
      </c>
      <c r="U55" s="55" t="n">
        <f aca="false">IF(S55&gt;=$C$3,T55/S55,"")</f>
        <v>1</v>
      </c>
      <c r="V55" s="54" t="n">
        <v>33</v>
      </c>
      <c r="W55" s="54" t="n">
        <v>33</v>
      </c>
      <c r="X55" s="55" t="n">
        <f aca="false">IF(V55&gt;=$C$3,W55/V55,"")</f>
        <v>1</v>
      </c>
      <c r="Y55" s="56" t="n">
        <f aca="false">COUNT(F55,I55,L55,O55,R55,U55,X55)</f>
        <v>6</v>
      </c>
      <c r="Z55" s="57" t="n">
        <f aca="false">IF(Y55=0,"",AVERAGE(F55,I55,L55,O55,R55,U55,X55))</f>
        <v>1</v>
      </c>
      <c r="AA55" s="58" t="n">
        <f aca="false">IF(ISNUMBER(Z55),C55*Z55,"")</f>
        <v>2508.09</v>
      </c>
    </row>
    <row r="56" customFormat="false" ht="15" hidden="false" customHeight="false" outlineLevel="0" collapsed="false">
      <c r="A56" s="41" t="s">
        <v>760</v>
      </c>
      <c r="B56" s="42" t="s">
        <v>3172</v>
      </c>
      <c r="C56" s="53" t="n">
        <v>3010.2</v>
      </c>
      <c r="D56" s="54" t="n">
        <v>131</v>
      </c>
      <c r="E56" s="54" t="n">
        <v>101</v>
      </c>
      <c r="F56" s="55" t="n">
        <f aca="false">IF(D56&gt;=$C$3,E56/D56,"")</f>
        <v>0.770992366412214</v>
      </c>
      <c r="G56" s="54" t="n">
        <v>19</v>
      </c>
      <c r="H56" s="54" t="n">
        <v>9</v>
      </c>
      <c r="I56" s="55" t="n">
        <f aca="false">IF(G56&gt;=$C$3,H56/G56,"")</f>
        <v>0.473684210526316</v>
      </c>
      <c r="J56" s="54" t="n">
        <v>4</v>
      </c>
      <c r="K56" s="54" t="n">
        <v>4</v>
      </c>
      <c r="L56" s="55" t="n">
        <f aca="false">IF(J56&gt;=$C$3,K56/J56,"")</f>
        <v>1</v>
      </c>
      <c r="M56" s="54" t="n">
        <v>3</v>
      </c>
      <c r="N56" s="54" t="n">
        <v>1</v>
      </c>
      <c r="O56" s="55" t="n">
        <f aca="false">IF(M56&gt;=$C$3,N56/M56,"")</f>
        <v>0.333333333333333</v>
      </c>
      <c r="P56" s="54" t="n">
        <v>0</v>
      </c>
      <c r="Q56" s="54" t="n">
        <v>0</v>
      </c>
      <c r="R56" s="55" t="str">
        <f aca="false">IF(P56&gt;=$C$3,Q56/P56,"")</f>
        <v/>
      </c>
      <c r="S56" s="54" t="n">
        <v>2</v>
      </c>
      <c r="T56" s="54" t="n">
        <v>2</v>
      </c>
      <c r="U56" s="55" t="str">
        <f aca="false">IF(S56&gt;=$C$3,T56/S56,"")</f>
        <v/>
      </c>
      <c r="V56" s="54" t="n">
        <v>5</v>
      </c>
      <c r="W56" s="54" t="n">
        <v>4</v>
      </c>
      <c r="X56" s="55" t="n">
        <f aca="false">IF(V56&gt;=$C$3,W56/V56,"")</f>
        <v>0.8</v>
      </c>
      <c r="Y56" s="56" t="n">
        <f aca="false">COUNT(F56,I56,L56,O56,R56,U56,X56)</f>
        <v>5</v>
      </c>
      <c r="Z56" s="57" t="n">
        <f aca="false">IF(Y56=0,"",AVERAGE(F56,I56,L56,O56,R56,U56,X56))</f>
        <v>0.675601982054373</v>
      </c>
      <c r="AA56" s="58" t="n">
        <f aca="false">IF(ISNUMBER(Z56),C56*Z56,"")</f>
        <v>2033.69708638007</v>
      </c>
    </row>
    <row r="57" customFormat="false" ht="15" hidden="false" customHeight="false" outlineLevel="0" collapsed="false">
      <c r="A57" s="41" t="s">
        <v>851</v>
      </c>
      <c r="B57" s="42" t="s">
        <v>3173</v>
      </c>
      <c r="C57" s="53" t="n">
        <v>8796.85</v>
      </c>
      <c r="D57" s="54" t="n">
        <v>356</v>
      </c>
      <c r="E57" s="54" t="n">
        <v>166</v>
      </c>
      <c r="F57" s="55" t="n">
        <f aca="false">IF(D57&gt;=$C$3,E57/D57,"")</f>
        <v>0.466292134831461</v>
      </c>
      <c r="G57" s="54" t="n">
        <v>16</v>
      </c>
      <c r="H57" s="54" t="n">
        <v>5</v>
      </c>
      <c r="I57" s="55" t="n">
        <f aca="false">IF(G57&gt;=$C$3,H57/G57,"")</f>
        <v>0.3125</v>
      </c>
      <c r="J57" s="54" t="n">
        <v>4</v>
      </c>
      <c r="K57" s="54" t="n">
        <v>1</v>
      </c>
      <c r="L57" s="55" t="n">
        <f aca="false">IF(J57&gt;=$C$3,K57/J57,"")</f>
        <v>0.25</v>
      </c>
      <c r="M57" s="54" t="n">
        <v>868</v>
      </c>
      <c r="N57" s="54" t="n">
        <v>12</v>
      </c>
      <c r="O57" s="55" t="n">
        <f aca="false">IF(M57&gt;=$C$3,N57/M57,"")</f>
        <v>0.0138248847926267</v>
      </c>
      <c r="P57" s="54" t="n">
        <v>32</v>
      </c>
      <c r="Q57" s="54" t="n">
        <v>22</v>
      </c>
      <c r="R57" s="55" t="n">
        <f aca="false">IF(P57&gt;=$C$3,Q57/P57,"")</f>
        <v>0.6875</v>
      </c>
      <c r="S57" s="54" t="n">
        <v>276</v>
      </c>
      <c r="T57" s="54" t="n">
        <v>12</v>
      </c>
      <c r="U57" s="55" t="n">
        <f aca="false">IF(S57&gt;=$C$3,T57/S57,"")</f>
        <v>0.0434782608695652</v>
      </c>
      <c r="V57" s="54" t="n">
        <v>116</v>
      </c>
      <c r="W57" s="54" t="n">
        <v>17</v>
      </c>
      <c r="X57" s="55" t="n">
        <f aca="false">IF(V57&gt;=$C$3,W57/V57,"")</f>
        <v>0.146551724137931</v>
      </c>
      <c r="Y57" s="56" t="n">
        <f aca="false">COUNT(F57,I57,L57,O57,R57,U57,X57)</f>
        <v>7</v>
      </c>
      <c r="Z57" s="57" t="n">
        <f aca="false">IF(Y57=0,"",AVERAGE(F57,I57,L57,O57,R57,U57,X57))</f>
        <v>0.274306714947369</v>
      </c>
      <c r="AA57" s="58" t="n">
        <f aca="false">IF(ISNUMBER(Z57),C57*Z57,"")</f>
        <v>2413.03502538476</v>
      </c>
    </row>
    <row r="58" customFormat="false" ht="15" hidden="false" customHeight="false" outlineLevel="0" collapsed="false">
      <c r="A58" s="41" t="s">
        <v>1225</v>
      </c>
      <c r="B58" s="42" t="s">
        <v>3182</v>
      </c>
      <c r="C58" s="53" t="n">
        <v>2375.17</v>
      </c>
      <c r="D58" s="54" t="n">
        <v>28</v>
      </c>
      <c r="E58" s="54" t="n">
        <v>16</v>
      </c>
      <c r="F58" s="55" t="n">
        <f aca="false">IF(D58&gt;=$C$3,E58/D58,"")</f>
        <v>0.571428571428571</v>
      </c>
      <c r="G58" s="54" t="n">
        <v>26</v>
      </c>
      <c r="H58" s="54" t="n">
        <v>16</v>
      </c>
      <c r="I58" s="55" t="n">
        <f aca="false">IF(G58&gt;=$C$3,H58/G58,"")</f>
        <v>0.615384615384615</v>
      </c>
      <c r="J58" s="54" t="n">
        <v>0</v>
      </c>
      <c r="K58" s="54" t="n">
        <v>0</v>
      </c>
      <c r="L58" s="55" t="str">
        <f aca="false">IF(J58&gt;=$C$3,K58/J58,"")</f>
        <v/>
      </c>
      <c r="M58" s="54" t="n">
        <v>13</v>
      </c>
      <c r="N58" s="54" t="n">
        <v>12</v>
      </c>
      <c r="O58" s="55" t="n">
        <f aca="false">IF(M58&gt;=$C$3,N58/M58,"")</f>
        <v>0.923076923076923</v>
      </c>
      <c r="P58" s="54" t="n">
        <v>27</v>
      </c>
      <c r="Q58" s="54" t="n">
        <v>2</v>
      </c>
      <c r="R58" s="55" t="n">
        <f aca="false">IF(P58&gt;=$C$3,Q58/P58,"")</f>
        <v>0.0740740740740741</v>
      </c>
      <c r="S58" s="54" t="n">
        <v>0</v>
      </c>
      <c r="T58" s="54" t="n">
        <v>0</v>
      </c>
      <c r="U58" s="55" t="str">
        <f aca="false">IF(S58&gt;=$C$3,T58/S58,"")</f>
        <v/>
      </c>
      <c r="V58" s="54" t="n">
        <v>0</v>
      </c>
      <c r="W58" s="54" t="n">
        <v>0</v>
      </c>
      <c r="X58" s="55" t="str">
        <f aca="false">IF(V58&gt;=$C$3,W58/V58,"")</f>
        <v/>
      </c>
      <c r="Y58" s="56" t="n">
        <f aca="false">COUNT(F58,I58,L58,O58,R58,U58,X58)</f>
        <v>4</v>
      </c>
      <c r="Z58" s="57" t="n">
        <f aca="false">IF(Y58=0,"",AVERAGE(F58,I58,L58,O58,R58,U58,X58))</f>
        <v>0.545991045991046</v>
      </c>
      <c r="AA58" s="58" t="n">
        <f aca="false">IF(ISNUMBER(Z58),C58*Z58,"")</f>
        <v>1296.82155270655</v>
      </c>
    </row>
    <row r="59" customFormat="false" ht="15" hidden="false" customHeight="false" outlineLevel="0" collapsed="false">
      <c r="A59" s="41" t="s">
        <v>348</v>
      </c>
      <c r="B59" s="42" t="s">
        <v>3176</v>
      </c>
      <c r="C59" s="53" t="n">
        <v>4508</v>
      </c>
      <c r="D59" s="54" t="n">
        <v>83</v>
      </c>
      <c r="E59" s="54" t="n">
        <v>81</v>
      </c>
      <c r="F59" s="55" t="n">
        <f aca="false">IF(D59&gt;=$C$3,E59/D59,"")</f>
        <v>0.975903614457831</v>
      </c>
      <c r="G59" s="54" t="n">
        <v>11</v>
      </c>
      <c r="H59" s="54" t="n">
        <v>10</v>
      </c>
      <c r="I59" s="55" t="n">
        <f aca="false">IF(G59&gt;=$C$3,H59/G59,"")</f>
        <v>0.909090909090909</v>
      </c>
      <c r="J59" s="54" t="n">
        <v>12</v>
      </c>
      <c r="K59" s="54" t="n">
        <v>10</v>
      </c>
      <c r="L59" s="55" t="n">
        <f aca="false">IF(J59&gt;=$C$3,K59/J59,"")</f>
        <v>0.833333333333333</v>
      </c>
      <c r="M59" s="54" t="n">
        <v>12</v>
      </c>
      <c r="N59" s="54" t="n">
        <v>11</v>
      </c>
      <c r="O59" s="55" t="n">
        <f aca="false">IF(M59&gt;=$C$3,N59/M59,"")</f>
        <v>0.916666666666667</v>
      </c>
      <c r="P59" s="54" t="n">
        <v>4</v>
      </c>
      <c r="Q59" s="54" t="n">
        <v>3</v>
      </c>
      <c r="R59" s="55" t="n">
        <f aca="false">IF(P59&gt;=$C$3,Q59/P59,"")</f>
        <v>0.75</v>
      </c>
      <c r="S59" s="54" t="n">
        <v>0</v>
      </c>
      <c r="T59" s="54" t="n">
        <v>0</v>
      </c>
      <c r="U59" s="55" t="str">
        <f aca="false">IF(S59&gt;=$C$3,T59/S59,"")</f>
        <v/>
      </c>
      <c r="V59" s="54" t="n">
        <v>43</v>
      </c>
      <c r="W59" s="54" t="n">
        <v>33</v>
      </c>
      <c r="X59" s="55" t="n">
        <f aca="false">IF(V59&gt;=$C$3,W59/V59,"")</f>
        <v>0.767441860465116</v>
      </c>
      <c r="Y59" s="56" t="n">
        <f aca="false">COUNT(F59,I59,L59,O59,R59,U59,X59)</f>
        <v>6</v>
      </c>
      <c r="Z59" s="57" t="n">
        <f aca="false">IF(Y59=0,"",AVERAGE(F59,I59,L59,O59,R59,U59,X59))</f>
        <v>0.858739397335643</v>
      </c>
      <c r="AA59" s="58" t="n">
        <f aca="false">IF(ISNUMBER(Z59),C59*Z59,"")</f>
        <v>3871.19720318908</v>
      </c>
    </row>
    <row r="60" customFormat="false" ht="15" hidden="false" customHeight="false" outlineLevel="0" collapsed="false">
      <c r="A60" s="41" t="s">
        <v>954</v>
      </c>
      <c r="B60" s="42" t="s">
        <v>3176</v>
      </c>
      <c r="C60" s="53" t="n">
        <v>7738.99</v>
      </c>
      <c r="D60" s="54" t="n">
        <v>77</v>
      </c>
      <c r="E60" s="54" t="n">
        <v>77</v>
      </c>
      <c r="F60" s="55" t="n">
        <f aca="false">IF(D60&gt;=$C$3,E60/D60,"")</f>
        <v>1</v>
      </c>
      <c r="G60" s="54" t="n">
        <v>6</v>
      </c>
      <c r="H60" s="54" t="n">
        <v>6</v>
      </c>
      <c r="I60" s="55" t="n">
        <f aca="false">IF(G60&gt;=$C$3,H60/G60,"")</f>
        <v>1</v>
      </c>
      <c r="J60" s="54" t="n">
        <v>4</v>
      </c>
      <c r="K60" s="54" t="n">
        <v>4</v>
      </c>
      <c r="L60" s="55" t="n">
        <f aca="false">IF(J60&gt;=$C$3,K60/J60,"")</f>
        <v>1</v>
      </c>
      <c r="M60" s="54" t="n">
        <v>19</v>
      </c>
      <c r="N60" s="54" t="n">
        <v>19</v>
      </c>
      <c r="O60" s="55" t="n">
        <f aca="false">IF(M60&gt;=$C$3,N60/M60,"")</f>
        <v>1</v>
      </c>
      <c r="P60" s="54" t="n">
        <v>8</v>
      </c>
      <c r="Q60" s="54" t="n">
        <v>8</v>
      </c>
      <c r="R60" s="55" t="n">
        <f aca="false">IF(P60&gt;=$C$3,Q60/P60,"")</f>
        <v>1</v>
      </c>
      <c r="S60" s="54" t="n">
        <v>1</v>
      </c>
      <c r="T60" s="54" t="n">
        <v>1</v>
      </c>
      <c r="U60" s="55" t="str">
        <f aca="false">IF(S60&gt;=$C$3,T60/S60,"")</f>
        <v/>
      </c>
      <c r="V60" s="54" t="n">
        <v>12</v>
      </c>
      <c r="W60" s="54" t="n">
        <v>12</v>
      </c>
      <c r="X60" s="55" t="n">
        <f aca="false">IF(V60&gt;=$C$3,W60/V60,"")</f>
        <v>1</v>
      </c>
      <c r="Y60" s="56" t="n">
        <f aca="false">COUNT(F60,I60,L60,O60,R60,U60,X60)</f>
        <v>6</v>
      </c>
      <c r="Z60" s="57" t="n">
        <f aca="false">IF(Y60=0,"",AVERAGE(F60,I60,L60,O60,R60,U60,X60))</f>
        <v>1</v>
      </c>
      <c r="AA60" s="58" t="n">
        <f aca="false">IF(ISNUMBER(Z60),C60*Z60,"")</f>
        <v>7738.99</v>
      </c>
    </row>
    <row r="61" customFormat="false" ht="15" hidden="false" customHeight="false" outlineLevel="0" collapsed="false">
      <c r="A61" s="41" t="s">
        <v>352</v>
      </c>
      <c r="B61" s="42" t="s">
        <v>3176</v>
      </c>
      <c r="C61" s="53" t="n">
        <v>2151.51</v>
      </c>
      <c r="D61" s="54" t="n">
        <v>3</v>
      </c>
      <c r="E61" s="54" t="n">
        <v>3</v>
      </c>
      <c r="F61" s="55" t="n">
        <f aca="false">IF(D61&gt;=$C$3,E61/D61,"")</f>
        <v>1</v>
      </c>
      <c r="G61" s="54" t="n">
        <v>1</v>
      </c>
      <c r="H61" s="54" t="n">
        <v>1</v>
      </c>
      <c r="I61" s="55" t="str">
        <f aca="false">IF(G61&gt;=$C$3,H61/G61,"")</f>
        <v/>
      </c>
      <c r="J61" s="54" t="n">
        <v>1</v>
      </c>
      <c r="K61" s="54" t="n">
        <v>1</v>
      </c>
      <c r="L61" s="55" t="str">
        <f aca="false">IF(J61&gt;=$C$3,K61/J61,"")</f>
        <v/>
      </c>
      <c r="M61" s="54" t="n">
        <v>1</v>
      </c>
      <c r="N61" s="54" t="n">
        <v>1</v>
      </c>
      <c r="O61" s="55" t="str">
        <f aca="false">IF(M61&gt;=$C$3,N61/M61,"")</f>
        <v/>
      </c>
      <c r="P61" s="54" t="n">
        <v>1</v>
      </c>
      <c r="Q61" s="54" t="n">
        <v>1</v>
      </c>
      <c r="R61" s="55" t="str">
        <f aca="false">IF(P61&gt;=$C$3,Q61/P61,"")</f>
        <v/>
      </c>
      <c r="S61" s="54" t="n">
        <v>1</v>
      </c>
      <c r="T61" s="54" t="n">
        <v>1</v>
      </c>
      <c r="U61" s="55" t="str">
        <f aca="false">IF(S61&gt;=$C$3,T61/S61,"")</f>
        <v/>
      </c>
      <c r="V61" s="54" t="n">
        <v>4</v>
      </c>
      <c r="W61" s="54" t="n">
        <v>4</v>
      </c>
      <c r="X61" s="55" t="n">
        <f aca="false">IF(V61&gt;=$C$3,W61/V61,"")</f>
        <v>1</v>
      </c>
      <c r="Y61" s="56" t="n">
        <f aca="false">COUNT(F61,I61,L61,O61,R61,U61,X61)</f>
        <v>2</v>
      </c>
      <c r="Z61" s="57" t="n">
        <f aca="false">IF(Y61=0,"",AVERAGE(F61,I61,L61,O61,R61,U61,X61))</f>
        <v>1</v>
      </c>
      <c r="AA61" s="58" t="n">
        <f aca="false">IF(ISNUMBER(Z61),C61*Z61,"")</f>
        <v>2151.51</v>
      </c>
    </row>
    <row r="62" customFormat="false" ht="15" hidden="false" customHeight="false" outlineLevel="0" collapsed="false">
      <c r="A62" s="41" t="s">
        <v>356</v>
      </c>
      <c r="B62" s="42" t="s">
        <v>3172</v>
      </c>
      <c r="C62" s="53" t="n">
        <v>59827.18</v>
      </c>
      <c r="D62" s="54" t="n">
        <v>175</v>
      </c>
      <c r="E62" s="54" t="n">
        <v>175</v>
      </c>
      <c r="F62" s="55" t="n">
        <f aca="false">IF(D62&gt;=$C$3,E62/D62,"")</f>
        <v>1</v>
      </c>
      <c r="G62" s="54" t="n">
        <v>42</v>
      </c>
      <c r="H62" s="54" t="n">
        <v>42</v>
      </c>
      <c r="I62" s="55" t="n">
        <f aca="false">IF(G62&gt;=$C$3,H62/G62,"")</f>
        <v>1</v>
      </c>
      <c r="J62" s="54" t="n">
        <v>3</v>
      </c>
      <c r="K62" s="54" t="n">
        <v>3</v>
      </c>
      <c r="L62" s="55" t="n">
        <f aca="false">IF(J62&gt;=$C$3,K62/J62,"")</f>
        <v>1</v>
      </c>
      <c r="M62" s="54" t="n">
        <v>29</v>
      </c>
      <c r="N62" s="54" t="n">
        <v>29</v>
      </c>
      <c r="O62" s="55" t="n">
        <f aca="false">IF(M62&gt;=$C$3,N62/M62,"")</f>
        <v>1</v>
      </c>
      <c r="P62" s="54" t="n">
        <v>8</v>
      </c>
      <c r="Q62" s="54" t="n">
        <v>8</v>
      </c>
      <c r="R62" s="55" t="n">
        <f aca="false">IF(P62&gt;=$C$3,Q62/P62,"")</f>
        <v>1</v>
      </c>
      <c r="S62" s="54" t="n">
        <v>6</v>
      </c>
      <c r="T62" s="54" t="n">
        <v>6</v>
      </c>
      <c r="U62" s="55" t="n">
        <f aca="false">IF(S62&gt;=$C$3,T62/S62,"")</f>
        <v>1</v>
      </c>
      <c r="V62" s="54" t="n">
        <v>31</v>
      </c>
      <c r="W62" s="54" t="n">
        <v>31</v>
      </c>
      <c r="X62" s="55" t="n">
        <f aca="false">IF(V62&gt;=$C$3,W62/V62,"")</f>
        <v>1</v>
      </c>
      <c r="Y62" s="56" t="n">
        <f aca="false">COUNT(F62,I62,L62,O62,R62,U62,X62)</f>
        <v>7</v>
      </c>
      <c r="Z62" s="57" t="n">
        <f aca="false">IF(Y62=0,"",AVERAGE(F62,I62,L62,O62,R62,U62,X62))</f>
        <v>1</v>
      </c>
      <c r="AA62" s="58" t="n">
        <f aca="false">IF(ISNUMBER(Z62),C62*Z62,"")</f>
        <v>59827.18</v>
      </c>
    </row>
    <row r="63" customFormat="false" ht="15" hidden="false" customHeight="false" outlineLevel="0" collapsed="false">
      <c r="A63" s="41" t="s">
        <v>965</v>
      </c>
      <c r="B63" s="42" t="s">
        <v>3176</v>
      </c>
      <c r="C63" s="53" t="n">
        <v>140.86</v>
      </c>
      <c r="D63" s="54" t="n">
        <v>8</v>
      </c>
      <c r="E63" s="54" t="n">
        <v>8</v>
      </c>
      <c r="F63" s="55" t="n">
        <f aca="false">IF(D63&gt;=$C$3,E63/D63,"")</f>
        <v>1</v>
      </c>
      <c r="G63" s="54" t="n">
        <v>8</v>
      </c>
      <c r="H63" s="54" t="n">
        <v>8</v>
      </c>
      <c r="I63" s="55" t="n">
        <f aca="false">IF(G63&gt;=$C$3,H63/G63,"")</f>
        <v>1</v>
      </c>
      <c r="J63" s="54" t="n">
        <v>2</v>
      </c>
      <c r="K63" s="54" t="n">
        <v>2</v>
      </c>
      <c r="L63" s="55" t="str">
        <f aca="false">IF(J63&gt;=$C$3,K63/J63,"")</f>
        <v/>
      </c>
      <c r="M63" s="54" t="n">
        <v>2</v>
      </c>
      <c r="N63" s="54" t="n">
        <v>2</v>
      </c>
      <c r="O63" s="55" t="str">
        <f aca="false">IF(M63&gt;=$C$3,N63/M63,"")</f>
        <v/>
      </c>
      <c r="P63" s="54" t="n">
        <v>2</v>
      </c>
      <c r="Q63" s="54" t="n">
        <v>2</v>
      </c>
      <c r="R63" s="55" t="str">
        <f aca="false">IF(P63&gt;=$C$3,Q63/P63,"")</f>
        <v/>
      </c>
      <c r="S63" s="54" t="n">
        <v>2</v>
      </c>
      <c r="T63" s="54" t="n">
        <v>2</v>
      </c>
      <c r="U63" s="55" t="str">
        <f aca="false">IF(S63&gt;=$C$3,T63/S63,"")</f>
        <v/>
      </c>
      <c r="V63" s="54" t="n">
        <v>1</v>
      </c>
      <c r="W63" s="54" t="n">
        <v>0</v>
      </c>
      <c r="X63" s="55" t="str">
        <f aca="false">IF(V63&gt;=$C$3,W63/V63,"")</f>
        <v/>
      </c>
      <c r="Y63" s="56" t="n">
        <f aca="false">COUNT(F63,I63,L63,O63,R63,U63,X63)</f>
        <v>2</v>
      </c>
      <c r="Z63" s="57" t="n">
        <f aca="false">IF(Y63=0,"",AVERAGE(F63,I63,L63,O63,R63,U63,X63))</f>
        <v>1</v>
      </c>
      <c r="AA63" s="58" t="n">
        <f aca="false">IF(ISNUMBER(Z63),C63*Z63,"")</f>
        <v>140.86</v>
      </c>
    </row>
    <row r="64" customFormat="false" ht="15" hidden="false" customHeight="false" outlineLevel="0" collapsed="false">
      <c r="A64" s="41" t="s">
        <v>972</v>
      </c>
      <c r="B64" s="42" t="s">
        <v>3183</v>
      </c>
      <c r="C64" s="53" t="n">
        <v>3429.51</v>
      </c>
      <c r="D64" s="54" t="n">
        <v>114</v>
      </c>
      <c r="E64" s="54" t="n">
        <v>114</v>
      </c>
      <c r="F64" s="55" t="n">
        <f aca="false">IF(D64&gt;=$C$3,E64/D64,"")</f>
        <v>1</v>
      </c>
      <c r="G64" s="54" t="n">
        <v>29</v>
      </c>
      <c r="H64" s="54" t="n">
        <v>29</v>
      </c>
      <c r="I64" s="55" t="n">
        <f aca="false">IF(G64&gt;=$C$3,H64/G64,"")</f>
        <v>1</v>
      </c>
      <c r="J64" s="54" t="n">
        <v>9</v>
      </c>
      <c r="K64" s="54" t="n">
        <v>9</v>
      </c>
      <c r="L64" s="55" t="n">
        <f aca="false">IF(J64&gt;=$C$3,K64/J64,"")</f>
        <v>1</v>
      </c>
      <c r="M64" s="54" t="n">
        <v>19</v>
      </c>
      <c r="N64" s="54" t="n">
        <v>19</v>
      </c>
      <c r="O64" s="55" t="n">
        <f aca="false">IF(M64&gt;=$C$3,N64/M64,"")</f>
        <v>1</v>
      </c>
      <c r="P64" s="54" t="n">
        <v>1</v>
      </c>
      <c r="Q64" s="54" t="n">
        <v>1</v>
      </c>
      <c r="R64" s="55" t="str">
        <f aca="false">IF(P64&gt;=$C$3,Q64/P64,"")</f>
        <v/>
      </c>
      <c r="S64" s="54" t="n">
        <v>8</v>
      </c>
      <c r="T64" s="54" t="n">
        <v>8</v>
      </c>
      <c r="U64" s="55" t="n">
        <f aca="false">IF(S64&gt;=$C$3,T64/S64,"")</f>
        <v>1</v>
      </c>
      <c r="V64" s="54" t="n">
        <v>19</v>
      </c>
      <c r="W64" s="54" t="n">
        <v>19</v>
      </c>
      <c r="X64" s="55" t="n">
        <f aca="false">IF(V64&gt;=$C$3,W64/V64,"")</f>
        <v>1</v>
      </c>
      <c r="Y64" s="56" t="n">
        <f aca="false">COUNT(F64,I64,L64,O64,R64,U64,X64)</f>
        <v>6</v>
      </c>
      <c r="Z64" s="57" t="n">
        <f aca="false">IF(Y64=0,"",AVERAGE(F64,I64,L64,O64,R64,U64,X64))</f>
        <v>1</v>
      </c>
      <c r="AA64" s="58" t="n">
        <f aca="false">IF(ISNUMBER(Z64),C64*Z64,"")</f>
        <v>3429.51</v>
      </c>
    </row>
    <row r="65" customFormat="false" ht="15" hidden="false" customHeight="false" outlineLevel="0" collapsed="false">
      <c r="A65" s="41" t="s">
        <v>689</v>
      </c>
      <c r="B65" s="42" t="s">
        <v>3184</v>
      </c>
      <c r="C65" s="53" t="n">
        <v>2827.35</v>
      </c>
      <c r="D65" s="54" t="n">
        <v>228</v>
      </c>
      <c r="E65" s="54" t="n">
        <v>26</v>
      </c>
      <c r="F65" s="55" t="n">
        <f aca="false">IF(D65&gt;=$C$3,E65/D65,"")</f>
        <v>0.114035087719298</v>
      </c>
      <c r="G65" s="54" t="n">
        <v>48</v>
      </c>
      <c r="H65" s="54" t="n">
        <v>2</v>
      </c>
      <c r="I65" s="55" t="n">
        <f aca="false">IF(G65&gt;=$C$3,H65/G65,"")</f>
        <v>0.0416666666666667</v>
      </c>
      <c r="J65" s="54" t="n">
        <v>10</v>
      </c>
      <c r="K65" s="54" t="n">
        <v>3</v>
      </c>
      <c r="L65" s="55" t="n">
        <f aca="false">IF(J65&gt;=$C$3,K65/J65,"")</f>
        <v>0.3</v>
      </c>
      <c r="M65" s="54" t="n">
        <v>21</v>
      </c>
      <c r="N65" s="54" t="n">
        <v>2</v>
      </c>
      <c r="O65" s="55" t="n">
        <f aca="false">IF(M65&gt;=$C$3,N65/M65,"")</f>
        <v>0.0952380952380952</v>
      </c>
      <c r="P65" s="54" t="n">
        <v>7</v>
      </c>
      <c r="Q65" s="54" t="n">
        <v>1</v>
      </c>
      <c r="R65" s="55" t="n">
        <f aca="false">IF(P65&gt;=$C$3,Q65/P65,"")</f>
        <v>0.142857142857143</v>
      </c>
      <c r="S65" s="54" t="n">
        <v>6</v>
      </c>
      <c r="T65" s="54" t="n">
        <v>1</v>
      </c>
      <c r="U65" s="55" t="n">
        <f aca="false">IF(S65&gt;=$C$3,T65/S65,"")</f>
        <v>0.166666666666667</v>
      </c>
      <c r="V65" s="54" t="n">
        <v>31</v>
      </c>
      <c r="W65" s="54" t="n">
        <v>15</v>
      </c>
      <c r="X65" s="55" t="n">
        <f aca="false">IF(V65&gt;=$C$3,W65/V65,"")</f>
        <v>0.483870967741936</v>
      </c>
      <c r="Y65" s="56" t="n">
        <f aca="false">COUNT(F65,I65,L65,O65,R65,U65,X65)</f>
        <v>7</v>
      </c>
      <c r="Z65" s="57" t="n">
        <f aca="false">IF(Y65=0,"",AVERAGE(F65,I65,L65,O65,R65,U65,X65))</f>
        <v>0.192047803841401</v>
      </c>
      <c r="AA65" s="58" t="n">
        <f aca="false">IF(ISNUMBER(Z65),C65*Z65,"")</f>
        <v>542.986358190984</v>
      </c>
    </row>
    <row r="66" customFormat="false" ht="15" hidden="false" customHeight="false" outlineLevel="0" collapsed="false">
      <c r="A66" s="41" t="s">
        <v>256</v>
      </c>
      <c r="B66" s="42" t="s">
        <v>3177</v>
      </c>
      <c r="C66" s="53" t="n">
        <v>5403.25</v>
      </c>
      <c r="D66" s="54" t="n">
        <v>187</v>
      </c>
      <c r="E66" s="54" t="n">
        <v>57</v>
      </c>
      <c r="F66" s="55" t="n">
        <f aca="false">IF(D66&gt;=$C$3,E66/D66,"")</f>
        <v>0.304812834224599</v>
      </c>
      <c r="G66" s="54" t="n">
        <v>52</v>
      </c>
      <c r="H66" s="54" t="n">
        <v>5</v>
      </c>
      <c r="I66" s="55" t="n">
        <f aca="false">IF(G66&gt;=$C$3,H66/G66,"")</f>
        <v>0.0961538461538462</v>
      </c>
      <c r="J66" s="54" t="n">
        <v>8</v>
      </c>
      <c r="K66" s="54" t="n">
        <v>1</v>
      </c>
      <c r="L66" s="55" t="n">
        <f aca="false">IF(J66&gt;=$C$3,K66/J66,"")</f>
        <v>0.125</v>
      </c>
      <c r="M66" s="54" t="n">
        <v>26</v>
      </c>
      <c r="N66" s="54" t="n">
        <v>1</v>
      </c>
      <c r="O66" s="55" t="n">
        <f aca="false">IF(M66&gt;=$C$3,N66/M66,"")</f>
        <v>0.0384615384615385</v>
      </c>
      <c r="P66" s="54" t="n">
        <v>13</v>
      </c>
      <c r="Q66" s="54" t="n">
        <v>4</v>
      </c>
      <c r="R66" s="55" t="n">
        <f aca="false">IF(P66&gt;=$C$3,Q66/P66,"")</f>
        <v>0.307692307692308</v>
      </c>
      <c r="S66" s="54" t="n">
        <v>1</v>
      </c>
      <c r="T66" s="54" t="n">
        <v>0</v>
      </c>
      <c r="U66" s="55" t="str">
        <f aca="false">IF(S66&gt;=$C$3,T66/S66,"")</f>
        <v/>
      </c>
      <c r="V66" s="54" t="n">
        <v>47</v>
      </c>
      <c r="W66" s="54" t="n">
        <v>14</v>
      </c>
      <c r="X66" s="55" t="n">
        <f aca="false">IF(V66&gt;=$C$3,W66/V66,"")</f>
        <v>0.297872340425532</v>
      </c>
      <c r="Y66" s="56" t="n">
        <f aca="false">COUNT(F66,I66,L66,O66,R66,U66,X66)</f>
        <v>6</v>
      </c>
      <c r="Z66" s="57" t="n">
        <f aca="false">IF(Y66=0,"",AVERAGE(F66,I66,L66,O66,R66,U66,X66))</f>
        <v>0.194998811159637</v>
      </c>
      <c r="AA66" s="58" t="n">
        <f aca="false">IF(ISNUMBER(Z66),C66*Z66,"")</f>
        <v>1053.62732639831</v>
      </c>
    </row>
    <row r="67" customFormat="false" ht="15" hidden="false" customHeight="false" outlineLevel="0" collapsed="false">
      <c r="A67" s="41" t="s">
        <v>1231</v>
      </c>
      <c r="B67" s="42" t="s">
        <v>3181</v>
      </c>
      <c r="C67" s="53" t="n">
        <v>21989.37</v>
      </c>
      <c r="D67" s="54" t="n">
        <v>153</v>
      </c>
      <c r="E67" s="54" t="n">
        <v>3</v>
      </c>
      <c r="F67" s="55" t="n">
        <f aca="false">IF(D67&gt;=$C$3,E67/D67,"")</f>
        <v>0.0196078431372549</v>
      </c>
      <c r="G67" s="54" t="n">
        <v>65</v>
      </c>
      <c r="H67" s="54" t="n">
        <v>0</v>
      </c>
      <c r="I67" s="55" t="n">
        <f aca="false">IF(G67&gt;=$C$3,H67/G67,"")</f>
        <v>0</v>
      </c>
      <c r="J67" s="54" t="n">
        <v>85</v>
      </c>
      <c r="K67" s="54" t="n">
        <v>3</v>
      </c>
      <c r="L67" s="55" t="n">
        <f aca="false">IF(J67&gt;=$C$3,K67/J67,"")</f>
        <v>0.0352941176470588</v>
      </c>
      <c r="M67" s="54" t="n">
        <v>17</v>
      </c>
      <c r="N67" s="54" t="n">
        <v>0</v>
      </c>
      <c r="O67" s="55" t="n">
        <f aca="false">IF(M67&gt;=$C$3,N67/M67,"")</f>
        <v>0</v>
      </c>
      <c r="P67" s="54" t="n">
        <v>75</v>
      </c>
      <c r="Q67" s="54" t="n">
        <v>1</v>
      </c>
      <c r="R67" s="55" t="n">
        <f aca="false">IF(P67&gt;=$C$3,Q67/P67,"")</f>
        <v>0.0133333333333333</v>
      </c>
      <c r="S67" s="54" t="n">
        <v>24</v>
      </c>
      <c r="T67" s="54" t="n">
        <v>1</v>
      </c>
      <c r="U67" s="55" t="n">
        <f aca="false">IF(S67&gt;=$C$3,T67/S67,"")</f>
        <v>0.0416666666666667</v>
      </c>
      <c r="V67" s="54" t="n">
        <v>187</v>
      </c>
      <c r="W67" s="54" t="n">
        <v>10</v>
      </c>
      <c r="X67" s="55" t="n">
        <f aca="false">IF(V67&gt;=$C$3,W67/V67,"")</f>
        <v>0.053475935828877</v>
      </c>
      <c r="Y67" s="56" t="n">
        <f aca="false">COUNT(F67,I67,L67,O67,R67,U67,X67)</f>
        <v>7</v>
      </c>
      <c r="Z67" s="57" t="n">
        <f aca="false">IF(Y67=0,"",AVERAGE(F67,I67,L67,O67,R67,U67,X67))</f>
        <v>0.0233396995161701</v>
      </c>
      <c r="AA67" s="58" t="n">
        <f aca="false">IF(ISNUMBER(Z67),C67*Z67,"")</f>
        <v>513.225288349885</v>
      </c>
    </row>
    <row r="68" customFormat="false" ht="15" hidden="false" customHeight="false" outlineLevel="0" collapsed="false">
      <c r="A68" s="41" t="s">
        <v>362</v>
      </c>
      <c r="B68" s="42" t="s">
        <v>3176</v>
      </c>
      <c r="C68" s="53" t="n">
        <v>41889.23</v>
      </c>
      <c r="D68" s="54" t="n">
        <v>109</v>
      </c>
      <c r="E68" s="54" t="n">
        <v>109</v>
      </c>
      <c r="F68" s="55" t="n">
        <f aca="false">IF(D68&gt;=$C$3,E68/D68,"")</f>
        <v>1</v>
      </c>
      <c r="G68" s="54" t="n">
        <v>9</v>
      </c>
      <c r="H68" s="54" t="n">
        <v>9</v>
      </c>
      <c r="I68" s="55" t="n">
        <f aca="false">IF(G68&gt;=$C$3,H68/G68,"")</f>
        <v>1</v>
      </c>
      <c r="J68" s="54" t="n">
        <v>7</v>
      </c>
      <c r="K68" s="54" t="n">
        <v>7</v>
      </c>
      <c r="L68" s="55" t="n">
        <f aca="false">IF(J68&gt;=$C$3,K68/J68,"")</f>
        <v>1</v>
      </c>
      <c r="M68" s="54" t="n">
        <v>9</v>
      </c>
      <c r="N68" s="54" t="n">
        <v>9</v>
      </c>
      <c r="O68" s="55" t="n">
        <f aca="false">IF(M68&gt;=$C$3,N68/M68,"")</f>
        <v>1</v>
      </c>
      <c r="P68" s="54" t="n">
        <v>31</v>
      </c>
      <c r="Q68" s="54" t="n">
        <v>29</v>
      </c>
      <c r="R68" s="55" t="n">
        <f aca="false">IF(P68&gt;=$C$3,Q68/P68,"")</f>
        <v>0.935483870967742</v>
      </c>
      <c r="S68" s="54" t="n">
        <v>3</v>
      </c>
      <c r="T68" s="54" t="n">
        <v>3</v>
      </c>
      <c r="U68" s="55" t="n">
        <f aca="false">IF(S68&gt;=$C$3,T68/S68,"")</f>
        <v>1</v>
      </c>
      <c r="V68" s="54" t="n">
        <v>18</v>
      </c>
      <c r="W68" s="54" t="n">
        <v>18</v>
      </c>
      <c r="X68" s="55" t="n">
        <f aca="false">IF(V68&gt;=$C$3,W68/V68,"")</f>
        <v>1</v>
      </c>
      <c r="Y68" s="56" t="n">
        <f aca="false">COUNT(F68,I68,L68,O68,R68,U68,X68)</f>
        <v>7</v>
      </c>
      <c r="Z68" s="57" t="n">
        <f aca="false">IF(Y68=0,"",AVERAGE(F68,I68,L68,O68,R68,U68,X68))</f>
        <v>0.990783410138249</v>
      </c>
      <c r="AA68" s="58" t="n">
        <f aca="false">IF(ISNUMBER(Z68),C68*Z68,"")</f>
        <v>41503.1541474654</v>
      </c>
    </row>
    <row r="69" customFormat="false" ht="15" hidden="false" customHeight="false" outlineLevel="0" collapsed="false">
      <c r="A69" s="41" t="s">
        <v>1164</v>
      </c>
      <c r="B69" s="42" t="s">
        <v>3171</v>
      </c>
      <c r="C69" s="53" t="n">
        <v>170.54</v>
      </c>
      <c r="D69" s="54" t="n">
        <v>62</v>
      </c>
      <c r="E69" s="54" t="n">
        <v>62</v>
      </c>
      <c r="F69" s="55" t="n">
        <f aca="false">IF(D69&gt;=$C$3,E69/D69,"")</f>
        <v>1</v>
      </c>
      <c r="G69" s="54" t="n">
        <v>2</v>
      </c>
      <c r="H69" s="54" t="n">
        <v>2</v>
      </c>
      <c r="I69" s="55" t="str">
        <f aca="false">IF(G69&gt;=$C$3,H69/G69,"")</f>
        <v/>
      </c>
      <c r="J69" s="54" t="n">
        <v>0</v>
      </c>
      <c r="K69" s="54" t="n">
        <v>0</v>
      </c>
      <c r="L69" s="55" t="str">
        <f aca="false">IF(J69&gt;=$C$3,K69/J69,"")</f>
        <v/>
      </c>
      <c r="M69" s="54" t="n">
        <v>9</v>
      </c>
      <c r="N69" s="54" t="n">
        <v>9</v>
      </c>
      <c r="O69" s="55" t="n">
        <f aca="false">IF(M69&gt;=$C$3,N69/M69,"")</f>
        <v>1</v>
      </c>
      <c r="P69" s="54" t="n">
        <v>2</v>
      </c>
      <c r="Q69" s="54" t="n">
        <v>2</v>
      </c>
      <c r="R69" s="55" t="str">
        <f aca="false">IF(P69&gt;=$C$3,Q69/P69,"")</f>
        <v/>
      </c>
      <c r="S69" s="54" t="n">
        <v>0</v>
      </c>
      <c r="T69" s="54" t="n">
        <v>0</v>
      </c>
      <c r="U69" s="55" t="str">
        <f aca="false">IF(S69&gt;=$C$3,T69/S69,"")</f>
        <v/>
      </c>
      <c r="V69" s="54" t="n">
        <v>2</v>
      </c>
      <c r="W69" s="54" t="n">
        <v>2</v>
      </c>
      <c r="X69" s="55" t="str">
        <f aca="false">IF(V69&gt;=$C$3,W69/V69,"")</f>
        <v/>
      </c>
      <c r="Y69" s="56" t="n">
        <f aca="false">COUNT(F69,I69,L69,O69,R69,U69,X69)</f>
        <v>2</v>
      </c>
      <c r="Z69" s="57" t="n">
        <f aca="false">IF(Y69=0,"",AVERAGE(F69,I69,L69,O69,R69,U69,X69))</f>
        <v>1</v>
      </c>
      <c r="AA69" s="58" t="n">
        <f aca="false">IF(ISNUMBER(Z69),C69*Z69,"")</f>
        <v>170.54</v>
      </c>
    </row>
    <row r="70" customFormat="false" ht="15" hidden="false" customHeight="false" outlineLevel="0" collapsed="false">
      <c r="A70" s="41" t="s">
        <v>1169</v>
      </c>
      <c r="B70" s="42" t="s">
        <v>3185</v>
      </c>
      <c r="C70" s="53" t="n">
        <v>5190.07</v>
      </c>
      <c r="D70" s="54" t="n">
        <v>36</v>
      </c>
      <c r="E70" s="54" t="n">
        <v>36</v>
      </c>
      <c r="F70" s="55" t="n">
        <f aca="false">IF(D70&gt;=$C$3,E70/D70,"")</f>
        <v>1</v>
      </c>
      <c r="G70" s="54" t="n">
        <v>0</v>
      </c>
      <c r="H70" s="54" t="n">
        <v>0</v>
      </c>
      <c r="I70" s="55" t="str">
        <f aca="false">IF(G70&gt;=$C$3,H70/G70,"")</f>
        <v/>
      </c>
      <c r="J70" s="54" t="n">
        <v>2</v>
      </c>
      <c r="K70" s="54" t="n">
        <v>2</v>
      </c>
      <c r="L70" s="55" t="str">
        <f aca="false">IF(J70&gt;=$C$3,K70/J70,"")</f>
        <v/>
      </c>
      <c r="M70" s="54" t="n">
        <v>1</v>
      </c>
      <c r="N70" s="54" t="n">
        <v>1</v>
      </c>
      <c r="O70" s="55" t="str">
        <f aca="false">IF(M70&gt;=$C$3,N70/M70,"")</f>
        <v/>
      </c>
      <c r="P70" s="54" t="n">
        <v>5</v>
      </c>
      <c r="Q70" s="54" t="n">
        <v>4</v>
      </c>
      <c r="R70" s="55" t="n">
        <f aca="false">IF(P70&gt;=$C$3,Q70/P70,"")</f>
        <v>0.8</v>
      </c>
      <c r="S70" s="54" t="n">
        <v>3</v>
      </c>
      <c r="T70" s="54" t="n">
        <v>3</v>
      </c>
      <c r="U70" s="55" t="n">
        <f aca="false">IF(S70&gt;=$C$3,T70/S70,"")</f>
        <v>1</v>
      </c>
      <c r="V70" s="54" t="n">
        <v>8</v>
      </c>
      <c r="W70" s="54" t="n">
        <v>8</v>
      </c>
      <c r="X70" s="55" t="n">
        <f aca="false">IF(V70&gt;=$C$3,W70/V70,"")</f>
        <v>1</v>
      </c>
      <c r="Y70" s="56" t="n">
        <f aca="false">COUNT(F70,I70,L70,O70,R70,U70,X70)</f>
        <v>4</v>
      </c>
      <c r="Z70" s="57" t="n">
        <f aca="false">IF(Y70=0,"",AVERAGE(F70,I70,L70,O70,R70,U70,X70))</f>
        <v>0.95</v>
      </c>
      <c r="AA70" s="58" t="n">
        <f aca="false">IF(ISNUMBER(Z70),C70*Z70,"")</f>
        <v>4930.5665</v>
      </c>
    </row>
    <row r="71" customFormat="false" ht="15" hidden="false" customHeight="false" outlineLevel="0" collapsed="false">
      <c r="A71" s="41" t="s">
        <v>369</v>
      </c>
      <c r="B71" s="42" t="s">
        <v>3171</v>
      </c>
      <c r="C71" s="53" t="n">
        <v>4714.67</v>
      </c>
      <c r="D71" s="54" t="n">
        <v>136</v>
      </c>
      <c r="E71" s="54" t="n">
        <v>90</v>
      </c>
      <c r="F71" s="55" t="n">
        <f aca="false">IF(D71&gt;=$C$3,E71/D71,"")</f>
        <v>0.661764705882353</v>
      </c>
      <c r="G71" s="54" t="n">
        <v>17</v>
      </c>
      <c r="H71" s="54" t="n">
        <v>9</v>
      </c>
      <c r="I71" s="55" t="n">
        <f aca="false">IF(G71&gt;=$C$3,H71/G71,"")</f>
        <v>0.529411764705882</v>
      </c>
      <c r="J71" s="54" t="n">
        <v>1</v>
      </c>
      <c r="K71" s="54" t="n">
        <v>1</v>
      </c>
      <c r="L71" s="55" t="str">
        <f aca="false">IF(J71&gt;=$C$3,K71/J71,"")</f>
        <v/>
      </c>
      <c r="M71" s="54" t="n">
        <v>9</v>
      </c>
      <c r="N71" s="54" t="n">
        <v>8</v>
      </c>
      <c r="O71" s="55" t="n">
        <f aca="false">IF(M71&gt;=$C$3,N71/M71,"")</f>
        <v>0.888888888888889</v>
      </c>
      <c r="P71" s="54" t="n">
        <v>26</v>
      </c>
      <c r="Q71" s="54" t="n">
        <v>1</v>
      </c>
      <c r="R71" s="55" t="n">
        <f aca="false">IF(P71&gt;=$C$3,Q71/P71,"")</f>
        <v>0.0384615384615385</v>
      </c>
      <c r="S71" s="54" t="n">
        <v>4</v>
      </c>
      <c r="T71" s="54" t="n">
        <v>3</v>
      </c>
      <c r="U71" s="55" t="n">
        <f aca="false">IF(S71&gt;=$C$3,T71/S71,"")</f>
        <v>0.75</v>
      </c>
      <c r="V71" s="54" t="n">
        <v>23</v>
      </c>
      <c r="W71" s="54" t="n">
        <v>20</v>
      </c>
      <c r="X71" s="55" t="n">
        <f aca="false">IF(V71&gt;=$C$3,W71/V71,"")</f>
        <v>0.869565217391304</v>
      </c>
      <c r="Y71" s="56" t="n">
        <f aca="false">COUNT(F71,I71,L71,O71,R71,U71,X71)</f>
        <v>6</v>
      </c>
      <c r="Z71" s="57" t="n">
        <f aca="false">IF(Y71=0,"",AVERAGE(F71,I71,L71,O71,R71,U71,X71))</f>
        <v>0.623015352554995</v>
      </c>
      <c r="AA71" s="58" t="n">
        <f aca="false">IF(ISNUMBER(Z71),C71*Z71,"")</f>
        <v>2937.31179223046</v>
      </c>
    </row>
    <row r="72" customFormat="false" ht="15" hidden="false" customHeight="false" outlineLevel="0" collapsed="false">
      <c r="A72" s="41" t="s">
        <v>982</v>
      </c>
      <c r="B72" s="42" t="s">
        <v>3175</v>
      </c>
      <c r="C72" s="53" t="n">
        <v>4620.39</v>
      </c>
      <c r="D72" s="54" t="n">
        <v>534</v>
      </c>
      <c r="E72" s="54" t="n">
        <v>501</v>
      </c>
      <c r="F72" s="55" t="n">
        <f aca="false">IF(D72&gt;=$C$3,E72/D72,"")</f>
        <v>0.938202247191011</v>
      </c>
      <c r="G72" s="54" t="n">
        <v>44</v>
      </c>
      <c r="H72" s="54" t="n">
        <v>25</v>
      </c>
      <c r="I72" s="55" t="n">
        <f aca="false">IF(G72&gt;=$C$3,H72/G72,"")</f>
        <v>0.568181818181818</v>
      </c>
      <c r="J72" s="54" t="n">
        <v>44</v>
      </c>
      <c r="K72" s="54" t="n">
        <v>41</v>
      </c>
      <c r="L72" s="55" t="n">
        <f aca="false">IF(J72&gt;=$C$3,K72/J72,"")</f>
        <v>0.931818181818182</v>
      </c>
      <c r="M72" s="54" t="n">
        <v>53</v>
      </c>
      <c r="N72" s="54" t="n">
        <v>50</v>
      </c>
      <c r="O72" s="55" t="n">
        <f aca="false">IF(M72&gt;=$C$3,N72/M72,"")</f>
        <v>0.943396226415094</v>
      </c>
      <c r="P72" s="54" t="n">
        <v>14</v>
      </c>
      <c r="Q72" s="54" t="n">
        <v>14</v>
      </c>
      <c r="R72" s="55" t="n">
        <f aca="false">IF(P72&gt;=$C$3,Q72/P72,"")</f>
        <v>1</v>
      </c>
      <c r="S72" s="54" t="n">
        <v>22</v>
      </c>
      <c r="T72" s="54" t="n">
        <v>20</v>
      </c>
      <c r="U72" s="55" t="n">
        <f aca="false">IF(S72&gt;=$C$3,T72/S72,"")</f>
        <v>0.909090909090909</v>
      </c>
      <c r="V72" s="54" t="n">
        <v>90</v>
      </c>
      <c r="W72" s="54" t="n">
        <v>76</v>
      </c>
      <c r="X72" s="55" t="n">
        <f aca="false">IF(V72&gt;=$C$3,W72/V72,"")</f>
        <v>0.844444444444444</v>
      </c>
      <c r="Y72" s="56" t="n">
        <f aca="false">COUNT(F72,I72,L72,O72,R72,U72,X72)</f>
        <v>7</v>
      </c>
      <c r="Z72" s="57" t="n">
        <f aca="false">IF(Y72=0,"",AVERAGE(F72,I72,L72,O72,R72,U72,X72))</f>
        <v>0.876447689591637</v>
      </c>
      <c r="AA72" s="58" t="n">
        <f aca="false">IF(ISNUMBER(Z72),C72*Z72,"")</f>
        <v>4049.5301405123</v>
      </c>
    </row>
    <row r="73" customFormat="false" ht="15" hidden="false" customHeight="false" outlineLevel="0" collapsed="false">
      <c r="A73" s="41" t="s">
        <v>376</v>
      </c>
      <c r="B73" s="42" t="s">
        <v>3176</v>
      </c>
      <c r="C73" s="53" t="n">
        <v>2783.28</v>
      </c>
      <c r="D73" s="54" t="n">
        <v>106</v>
      </c>
      <c r="E73" s="54" t="n">
        <v>104</v>
      </c>
      <c r="F73" s="55" t="n">
        <f aca="false">IF(D73&gt;=$C$3,E73/D73,"")</f>
        <v>0.981132075471698</v>
      </c>
      <c r="G73" s="54" t="n">
        <v>10</v>
      </c>
      <c r="H73" s="54" t="n">
        <v>10</v>
      </c>
      <c r="I73" s="55" t="n">
        <f aca="false">IF(G73&gt;=$C$3,H73/G73,"")</f>
        <v>1</v>
      </c>
      <c r="J73" s="54" t="n">
        <v>1</v>
      </c>
      <c r="K73" s="54" t="n">
        <v>1</v>
      </c>
      <c r="L73" s="55" t="str">
        <f aca="false">IF(J73&gt;=$C$3,K73/J73,"")</f>
        <v/>
      </c>
      <c r="M73" s="54" t="n">
        <v>5</v>
      </c>
      <c r="N73" s="54" t="n">
        <v>5</v>
      </c>
      <c r="O73" s="55" t="n">
        <f aca="false">IF(M73&gt;=$C$3,N73/M73,"")</f>
        <v>1</v>
      </c>
      <c r="P73" s="54" t="n">
        <v>8</v>
      </c>
      <c r="Q73" s="54" t="n">
        <v>8</v>
      </c>
      <c r="R73" s="55" t="n">
        <f aca="false">IF(P73&gt;=$C$3,Q73/P73,"")</f>
        <v>1</v>
      </c>
      <c r="S73" s="54" t="n">
        <v>0</v>
      </c>
      <c r="T73" s="54" t="n">
        <v>0</v>
      </c>
      <c r="U73" s="55" t="str">
        <f aca="false">IF(S73&gt;=$C$3,T73/S73,"")</f>
        <v/>
      </c>
      <c r="V73" s="54" t="n">
        <v>1</v>
      </c>
      <c r="W73" s="54" t="n">
        <v>1</v>
      </c>
      <c r="X73" s="55" t="str">
        <f aca="false">IF(V73&gt;=$C$3,W73/V73,"")</f>
        <v/>
      </c>
      <c r="Y73" s="56" t="n">
        <f aca="false">COUNT(F73,I73,L73,O73,R73,U73,X73)</f>
        <v>4</v>
      </c>
      <c r="Z73" s="57" t="n">
        <f aca="false">IF(Y73=0,"",AVERAGE(F73,I73,L73,O73,R73,U73,X73))</f>
        <v>0.995283018867925</v>
      </c>
      <c r="AA73" s="58" t="n">
        <f aca="false">IF(ISNUMBER(Z73),C73*Z73,"")</f>
        <v>2770.15132075472</v>
      </c>
    </row>
    <row r="74" customFormat="false" ht="15" hidden="false" customHeight="false" outlineLevel="0" collapsed="false">
      <c r="A74" s="41" t="s">
        <v>383</v>
      </c>
      <c r="B74" s="42" t="s">
        <v>3170</v>
      </c>
      <c r="C74" s="53" t="n">
        <v>5255.61</v>
      </c>
      <c r="D74" s="54" t="n">
        <v>17</v>
      </c>
      <c r="E74" s="54" t="n">
        <v>16</v>
      </c>
      <c r="F74" s="55" t="n">
        <f aca="false">IF(D74&gt;=$C$3,E74/D74,"")</f>
        <v>0.941176470588235</v>
      </c>
      <c r="G74" s="54" t="n">
        <v>4</v>
      </c>
      <c r="H74" s="54" t="n">
        <v>4</v>
      </c>
      <c r="I74" s="55" t="n">
        <f aca="false">IF(G74&gt;=$C$3,H74/G74,"")</f>
        <v>1</v>
      </c>
      <c r="J74" s="54" t="n">
        <v>2</v>
      </c>
      <c r="K74" s="54" t="n">
        <v>2</v>
      </c>
      <c r="L74" s="55" t="str">
        <f aca="false">IF(J74&gt;=$C$3,K74/J74,"")</f>
        <v/>
      </c>
      <c r="M74" s="54" t="n">
        <v>4</v>
      </c>
      <c r="N74" s="54" t="n">
        <v>4</v>
      </c>
      <c r="O74" s="55" t="n">
        <f aca="false">IF(M74&gt;=$C$3,N74/M74,"")</f>
        <v>1</v>
      </c>
      <c r="P74" s="54" t="n">
        <v>2</v>
      </c>
      <c r="Q74" s="54" t="n">
        <v>2</v>
      </c>
      <c r="R74" s="55" t="str">
        <f aca="false">IF(P74&gt;=$C$3,Q74/P74,"")</f>
        <v/>
      </c>
      <c r="S74" s="54" t="n">
        <v>0</v>
      </c>
      <c r="T74" s="54" t="n">
        <v>0</v>
      </c>
      <c r="U74" s="55" t="str">
        <f aca="false">IF(S74&gt;=$C$3,T74/S74,"")</f>
        <v/>
      </c>
      <c r="V74" s="54" t="n">
        <v>13</v>
      </c>
      <c r="W74" s="54" t="n">
        <v>13</v>
      </c>
      <c r="X74" s="55" t="n">
        <f aca="false">IF(V74&gt;=$C$3,W74/V74,"")</f>
        <v>1</v>
      </c>
      <c r="Y74" s="56" t="n">
        <f aca="false">COUNT(F74,I74,L74,O74,R74,U74,X74)</f>
        <v>4</v>
      </c>
      <c r="Z74" s="57" t="n">
        <f aca="false">IF(Y74=0,"",AVERAGE(F74,I74,L74,O74,R74,U74,X74))</f>
        <v>0.985294117647059</v>
      </c>
      <c r="AA74" s="58" t="n">
        <f aca="false">IF(ISNUMBER(Z74),C74*Z74,"")</f>
        <v>5178.32161764706</v>
      </c>
    </row>
    <row r="75" customFormat="false" ht="15" hidden="false" customHeight="false" outlineLevel="0" collapsed="false">
      <c r="A75" s="41" t="s">
        <v>694</v>
      </c>
      <c r="B75" s="42" t="s">
        <v>3176</v>
      </c>
      <c r="C75" s="53" t="n">
        <v>1874.63</v>
      </c>
      <c r="D75" s="54" t="n">
        <v>127</v>
      </c>
      <c r="E75" s="54" t="n">
        <v>127</v>
      </c>
      <c r="F75" s="55" t="n">
        <f aca="false">IF(D75&gt;=$C$3,E75/D75,"")</f>
        <v>1</v>
      </c>
      <c r="G75" s="54" t="n">
        <v>9</v>
      </c>
      <c r="H75" s="54" t="n">
        <v>9</v>
      </c>
      <c r="I75" s="55" t="n">
        <f aca="false">IF(G75&gt;=$C$3,H75/G75,"")</f>
        <v>1</v>
      </c>
      <c r="J75" s="54" t="n">
        <v>2</v>
      </c>
      <c r="K75" s="54" t="n">
        <v>2</v>
      </c>
      <c r="L75" s="55" t="str">
        <f aca="false">IF(J75&gt;=$C$3,K75/J75,"")</f>
        <v/>
      </c>
      <c r="M75" s="54" t="n">
        <v>5</v>
      </c>
      <c r="N75" s="54" t="n">
        <v>5</v>
      </c>
      <c r="O75" s="55" t="n">
        <f aca="false">IF(M75&gt;=$C$3,N75/M75,"")</f>
        <v>1</v>
      </c>
      <c r="P75" s="54" t="n">
        <v>2</v>
      </c>
      <c r="Q75" s="54" t="n">
        <v>2</v>
      </c>
      <c r="R75" s="55" t="str">
        <f aca="false">IF(P75&gt;=$C$3,Q75/P75,"")</f>
        <v/>
      </c>
      <c r="S75" s="54" t="n">
        <v>2</v>
      </c>
      <c r="T75" s="54" t="n">
        <v>2</v>
      </c>
      <c r="U75" s="55" t="str">
        <f aca="false">IF(S75&gt;=$C$3,T75/S75,"")</f>
        <v/>
      </c>
      <c r="V75" s="54" t="n">
        <v>11</v>
      </c>
      <c r="W75" s="54" t="n">
        <v>11</v>
      </c>
      <c r="X75" s="55" t="n">
        <f aca="false">IF(V75&gt;=$C$3,W75/V75,"")</f>
        <v>1</v>
      </c>
      <c r="Y75" s="56" t="n">
        <f aca="false">COUNT(F75,I75,L75,O75,R75,U75,X75)</f>
        <v>4</v>
      </c>
      <c r="Z75" s="57" t="n">
        <f aca="false">IF(Y75=0,"",AVERAGE(F75,I75,L75,O75,R75,U75,X75))</f>
        <v>1</v>
      </c>
      <c r="AA75" s="58" t="n">
        <f aca="false">IF(ISNUMBER(Z75),C75*Z75,"")</f>
        <v>1874.63</v>
      </c>
    </row>
    <row r="76" customFormat="false" ht="15" hidden="false" customHeight="false" outlineLevel="0" collapsed="false">
      <c r="A76" s="41" t="s">
        <v>387</v>
      </c>
      <c r="B76" s="42" t="s">
        <v>3172</v>
      </c>
      <c r="C76" s="53" t="n">
        <v>53539.87</v>
      </c>
      <c r="D76" s="54" t="n">
        <v>92</v>
      </c>
      <c r="E76" s="54" t="n">
        <v>92</v>
      </c>
      <c r="F76" s="55" t="n">
        <f aca="false">IF(D76&gt;=$C$3,E76/D76,"")</f>
        <v>1</v>
      </c>
      <c r="G76" s="54" t="n">
        <v>11</v>
      </c>
      <c r="H76" s="54" t="n">
        <v>11</v>
      </c>
      <c r="I76" s="55" t="n">
        <f aca="false">IF(G76&gt;=$C$3,H76/G76,"")</f>
        <v>1</v>
      </c>
      <c r="J76" s="54" t="n">
        <v>6</v>
      </c>
      <c r="K76" s="54" t="n">
        <v>6</v>
      </c>
      <c r="L76" s="55" t="n">
        <f aca="false">IF(J76&gt;=$C$3,K76/J76,"")</f>
        <v>1</v>
      </c>
      <c r="M76" s="54" t="n">
        <v>5</v>
      </c>
      <c r="N76" s="54" t="n">
        <v>5</v>
      </c>
      <c r="O76" s="55" t="n">
        <f aca="false">IF(M76&gt;=$C$3,N76/M76,"")</f>
        <v>1</v>
      </c>
      <c r="P76" s="54" t="n">
        <v>11</v>
      </c>
      <c r="Q76" s="54" t="n">
        <v>11</v>
      </c>
      <c r="R76" s="55" t="n">
        <f aca="false">IF(P76&gt;=$C$3,Q76/P76,"")</f>
        <v>1</v>
      </c>
      <c r="S76" s="54" t="n">
        <v>3</v>
      </c>
      <c r="T76" s="54" t="n">
        <v>3</v>
      </c>
      <c r="U76" s="55" t="n">
        <f aca="false">IF(S76&gt;=$C$3,T76/S76,"")</f>
        <v>1</v>
      </c>
      <c r="V76" s="54" t="n">
        <v>6</v>
      </c>
      <c r="W76" s="54" t="n">
        <v>6</v>
      </c>
      <c r="X76" s="55" t="n">
        <f aca="false">IF(V76&gt;=$C$3,W76/V76,"")</f>
        <v>1</v>
      </c>
      <c r="Y76" s="56" t="n">
        <f aca="false">COUNT(F76,I76,L76,O76,R76,U76,X76)</f>
        <v>7</v>
      </c>
      <c r="Z76" s="57" t="n">
        <f aca="false">IF(Y76=0,"",AVERAGE(F76,I76,L76,O76,R76,U76,X76))</f>
        <v>1</v>
      </c>
      <c r="AA76" s="58" t="n">
        <f aca="false">IF(ISNUMBER(Z76),C76*Z76,"")</f>
        <v>53539.87</v>
      </c>
    </row>
    <row r="77" customFormat="false" ht="15" hidden="false" customHeight="false" outlineLevel="0" collapsed="false">
      <c r="A77" s="41" t="s">
        <v>394</v>
      </c>
      <c r="B77" s="42" t="s">
        <v>3170</v>
      </c>
      <c r="C77" s="53" t="n">
        <v>5896.49</v>
      </c>
      <c r="D77" s="54" t="n">
        <v>48</v>
      </c>
      <c r="E77" s="54" t="n">
        <v>48</v>
      </c>
      <c r="F77" s="55" t="n">
        <f aca="false">IF(D77&gt;=$C$3,E77/D77,"")</f>
        <v>1</v>
      </c>
      <c r="G77" s="54" t="n">
        <v>8</v>
      </c>
      <c r="H77" s="54" t="n">
        <v>8</v>
      </c>
      <c r="I77" s="55" t="n">
        <f aca="false">IF(G77&gt;=$C$3,H77/G77,"")</f>
        <v>1</v>
      </c>
      <c r="J77" s="54" t="n">
        <v>2</v>
      </c>
      <c r="K77" s="54" t="n">
        <v>2</v>
      </c>
      <c r="L77" s="55" t="str">
        <f aca="false">IF(J77&gt;=$C$3,K77/J77,"")</f>
        <v/>
      </c>
      <c r="M77" s="54" t="n">
        <v>6</v>
      </c>
      <c r="N77" s="54" t="n">
        <v>6</v>
      </c>
      <c r="O77" s="55" t="n">
        <f aca="false">IF(M77&gt;=$C$3,N77/M77,"")</f>
        <v>1</v>
      </c>
      <c r="P77" s="54" t="n">
        <v>1</v>
      </c>
      <c r="Q77" s="54" t="n">
        <v>1</v>
      </c>
      <c r="R77" s="55" t="str">
        <f aca="false">IF(P77&gt;=$C$3,Q77/P77,"")</f>
        <v/>
      </c>
      <c r="S77" s="54" t="n">
        <v>0</v>
      </c>
      <c r="T77" s="54" t="n">
        <v>0</v>
      </c>
      <c r="U77" s="55" t="str">
        <f aca="false">IF(S77&gt;=$C$3,T77/S77,"")</f>
        <v/>
      </c>
      <c r="V77" s="54" t="n">
        <v>18</v>
      </c>
      <c r="W77" s="54" t="n">
        <v>18</v>
      </c>
      <c r="X77" s="55" t="n">
        <f aca="false">IF(V77&gt;=$C$3,W77/V77,"")</f>
        <v>1</v>
      </c>
      <c r="Y77" s="56" t="n">
        <f aca="false">COUNT(F77,I77,L77,O77,R77,U77,X77)</f>
        <v>4</v>
      </c>
      <c r="Z77" s="57" t="n">
        <f aca="false">IF(Y77=0,"",AVERAGE(F77,I77,L77,O77,R77,U77,X77))</f>
        <v>1</v>
      </c>
      <c r="AA77" s="58" t="n">
        <f aca="false">IF(ISNUMBER(Z77),C77*Z77,"")</f>
        <v>5896.49</v>
      </c>
    </row>
    <row r="78" customFormat="false" ht="15" hidden="false" customHeight="false" outlineLevel="0" collapsed="false">
      <c r="A78" s="41" t="s">
        <v>774</v>
      </c>
      <c r="B78" s="42" t="s">
        <v>3182</v>
      </c>
      <c r="C78" s="53" t="n">
        <v>130453.11</v>
      </c>
      <c r="D78" s="54" t="n">
        <v>557</v>
      </c>
      <c r="E78" s="54" t="n">
        <v>113</v>
      </c>
      <c r="F78" s="55" t="n">
        <f aca="false">IF(D78&gt;=$C$3,E78/D78,"")</f>
        <v>0.202872531418312</v>
      </c>
      <c r="G78" s="54" t="n">
        <v>91</v>
      </c>
      <c r="H78" s="54" t="n">
        <v>8</v>
      </c>
      <c r="I78" s="55" t="n">
        <f aca="false">IF(G78&gt;=$C$3,H78/G78,"")</f>
        <v>0.0879120879120879</v>
      </c>
      <c r="J78" s="54" t="n">
        <v>32</v>
      </c>
      <c r="K78" s="54" t="n">
        <v>0</v>
      </c>
      <c r="L78" s="55" t="n">
        <f aca="false">IF(J78&gt;=$C$3,K78/J78,"")</f>
        <v>0</v>
      </c>
      <c r="M78" s="54" t="n">
        <v>126</v>
      </c>
      <c r="N78" s="54" t="n">
        <v>5</v>
      </c>
      <c r="O78" s="55" t="n">
        <f aca="false">IF(M78&gt;=$C$3,N78/M78,"")</f>
        <v>0.0396825396825397</v>
      </c>
      <c r="P78" s="54" t="n">
        <v>76</v>
      </c>
      <c r="Q78" s="54" t="n">
        <v>11</v>
      </c>
      <c r="R78" s="55" t="n">
        <f aca="false">IF(P78&gt;=$C$3,Q78/P78,"")</f>
        <v>0.144736842105263</v>
      </c>
      <c r="S78" s="54" t="n">
        <v>49</v>
      </c>
      <c r="T78" s="54" t="n">
        <v>10</v>
      </c>
      <c r="U78" s="55" t="n">
        <f aca="false">IF(S78&gt;=$C$3,T78/S78,"")</f>
        <v>0.204081632653061</v>
      </c>
      <c r="V78" s="54" t="n">
        <v>87</v>
      </c>
      <c r="W78" s="54" t="n">
        <v>4</v>
      </c>
      <c r="X78" s="55" t="n">
        <f aca="false">IF(V78&gt;=$C$3,W78/V78,"")</f>
        <v>0.0459770114942529</v>
      </c>
      <c r="Y78" s="56" t="n">
        <f aca="false">COUNT(F78,I78,L78,O78,R78,U78,X78)</f>
        <v>7</v>
      </c>
      <c r="Z78" s="57" t="n">
        <f aca="false">IF(Y78=0,"",AVERAGE(F78,I78,L78,O78,R78,U78,X78))</f>
        <v>0.103608949323645</v>
      </c>
      <c r="AA78" s="58" t="n">
        <f aca="false">IF(ISNUMBER(Z78),C78*Z78,"")</f>
        <v>13516.1096631019</v>
      </c>
    </row>
    <row r="79" customFormat="false" ht="15" hidden="false" customHeight="false" outlineLevel="0" collapsed="false">
      <c r="A79" s="41" t="s">
        <v>1452</v>
      </c>
      <c r="B79" s="42" t="s">
        <v>3180</v>
      </c>
      <c r="C79" s="53" t="n">
        <v>662.47</v>
      </c>
      <c r="D79" s="54" t="n">
        <v>2</v>
      </c>
      <c r="E79" s="54" t="n">
        <v>1</v>
      </c>
      <c r="F79" s="55" t="str">
        <f aca="false">IF(D79&gt;=$C$3,E79/D79,"")</f>
        <v/>
      </c>
      <c r="G79" s="54" t="n">
        <v>0</v>
      </c>
      <c r="H79" s="54" t="n">
        <v>0</v>
      </c>
      <c r="I79" s="55" t="str">
        <f aca="false">IF(G79&gt;=$C$3,H79/G79,"")</f>
        <v/>
      </c>
      <c r="J79" s="54" t="n">
        <v>2</v>
      </c>
      <c r="K79" s="54" t="n">
        <v>1</v>
      </c>
      <c r="L79" s="55" t="str">
        <f aca="false">IF(J79&gt;=$C$3,K79/J79,"")</f>
        <v/>
      </c>
      <c r="M79" s="54" t="n">
        <v>0</v>
      </c>
      <c r="N79" s="54" t="n">
        <v>0</v>
      </c>
      <c r="O79" s="55" t="str">
        <f aca="false">IF(M79&gt;=$C$3,N79/M79,"")</f>
        <v/>
      </c>
      <c r="P79" s="54" t="n">
        <v>0</v>
      </c>
      <c r="Q79" s="54" t="n">
        <v>0</v>
      </c>
      <c r="R79" s="55" t="str">
        <f aca="false">IF(P79&gt;=$C$3,Q79/P79,"")</f>
        <v/>
      </c>
      <c r="S79" s="54" t="n">
        <v>0</v>
      </c>
      <c r="T79" s="54" t="n">
        <v>0</v>
      </c>
      <c r="U79" s="55" t="str">
        <f aca="false">IF(S79&gt;=$C$3,T79/S79,"")</f>
        <v/>
      </c>
      <c r="V79" s="54" t="n">
        <v>9</v>
      </c>
      <c r="W79" s="54" t="n">
        <v>2</v>
      </c>
      <c r="X79" s="55" t="n">
        <f aca="false">IF(V79&gt;=$C$3,W79/V79,"")</f>
        <v>0.222222222222222</v>
      </c>
      <c r="Y79" s="56" t="n">
        <f aca="false">COUNT(F79,I79,L79,O79,R79,U79,X79)</f>
        <v>1</v>
      </c>
      <c r="Z79" s="57" t="n">
        <f aca="false">IF(Y79=0,"",AVERAGE(F79,I79,L79,O79,R79,U79,X79))</f>
        <v>0.222222222222222</v>
      </c>
      <c r="AA79" s="58" t="n">
        <f aca="false">IF(ISNUMBER(Z79),C79*Z79,"")</f>
        <v>147.215555555556</v>
      </c>
    </row>
    <row r="80" customFormat="false" ht="15" hidden="false" customHeight="false" outlineLevel="0" collapsed="false">
      <c r="A80" s="41" t="s">
        <v>1273</v>
      </c>
      <c r="B80" s="42" t="s">
        <v>3171</v>
      </c>
      <c r="C80" s="53" t="n">
        <v>1781.11</v>
      </c>
      <c r="D80" s="54" t="n">
        <v>24</v>
      </c>
      <c r="E80" s="54" t="n">
        <v>24</v>
      </c>
      <c r="F80" s="55" t="n">
        <f aca="false">IF(D80&gt;=$C$3,E80/D80,"")</f>
        <v>1</v>
      </c>
      <c r="G80" s="54" t="n">
        <v>2</v>
      </c>
      <c r="H80" s="54" t="n">
        <v>2</v>
      </c>
      <c r="I80" s="55" t="str">
        <f aca="false">IF(G80&gt;=$C$3,H80/G80,"")</f>
        <v/>
      </c>
      <c r="J80" s="54" t="n">
        <v>2</v>
      </c>
      <c r="K80" s="54" t="n">
        <v>2</v>
      </c>
      <c r="L80" s="55" t="str">
        <f aca="false">IF(J80&gt;=$C$3,K80/J80,"")</f>
        <v/>
      </c>
      <c r="M80" s="54" t="n">
        <v>0</v>
      </c>
      <c r="N80" s="54" t="n">
        <v>0</v>
      </c>
      <c r="O80" s="55" t="str">
        <f aca="false">IF(M80&gt;=$C$3,N80/M80,"")</f>
        <v/>
      </c>
      <c r="P80" s="54" t="n">
        <v>2</v>
      </c>
      <c r="Q80" s="54" t="n">
        <v>2</v>
      </c>
      <c r="R80" s="55" t="str">
        <f aca="false">IF(P80&gt;=$C$3,Q80/P80,"")</f>
        <v/>
      </c>
      <c r="S80" s="54" t="n">
        <v>1</v>
      </c>
      <c r="T80" s="54" t="n">
        <v>1</v>
      </c>
      <c r="U80" s="55" t="str">
        <f aca="false">IF(S80&gt;=$C$3,T80/S80,"")</f>
        <v/>
      </c>
      <c r="V80" s="54" t="n">
        <v>7</v>
      </c>
      <c r="W80" s="54" t="n">
        <v>7</v>
      </c>
      <c r="X80" s="55" t="n">
        <f aca="false">IF(V80&gt;=$C$3,W80/V80,"")</f>
        <v>1</v>
      </c>
      <c r="Y80" s="56" t="n">
        <f aca="false">COUNT(F80,I80,L80,O80,R80,U80,X80)</f>
        <v>2</v>
      </c>
      <c r="Z80" s="57" t="n">
        <f aca="false">IF(Y80=0,"",AVERAGE(F80,I80,L80,O80,R80,U80,X80))</f>
        <v>1</v>
      </c>
      <c r="AA80" s="58" t="n">
        <f aca="false">IF(ISNUMBER(Z80),C80*Z80,"")</f>
        <v>1781.11</v>
      </c>
    </row>
    <row r="81" customFormat="false" ht="15" hidden="false" customHeight="false" outlineLevel="0" collapsed="false">
      <c r="A81" s="41" t="s">
        <v>1178</v>
      </c>
      <c r="B81" s="42" t="s">
        <v>3182</v>
      </c>
      <c r="C81" s="53" t="n">
        <v>34008.96</v>
      </c>
      <c r="D81" s="54" t="n">
        <v>97</v>
      </c>
      <c r="E81" s="54" t="n">
        <v>7</v>
      </c>
      <c r="F81" s="55" t="n">
        <f aca="false">IF(D81&gt;=$C$3,E81/D81,"")</f>
        <v>0.0721649484536082</v>
      </c>
      <c r="G81" s="54" t="n">
        <v>26</v>
      </c>
      <c r="H81" s="54" t="n">
        <v>0</v>
      </c>
      <c r="I81" s="55" t="n">
        <f aca="false">IF(G81&gt;=$C$3,H81/G81,"")</f>
        <v>0</v>
      </c>
      <c r="J81" s="54" t="n">
        <v>20</v>
      </c>
      <c r="K81" s="54" t="n">
        <v>2</v>
      </c>
      <c r="L81" s="55" t="n">
        <f aca="false">IF(J81&gt;=$C$3,K81/J81,"")</f>
        <v>0.1</v>
      </c>
      <c r="M81" s="54" t="n">
        <v>16</v>
      </c>
      <c r="N81" s="54" t="n">
        <v>0</v>
      </c>
      <c r="O81" s="55" t="n">
        <f aca="false">IF(M81&gt;=$C$3,N81/M81,"")</f>
        <v>0</v>
      </c>
      <c r="P81" s="54" t="n">
        <v>0</v>
      </c>
      <c r="Q81" s="54" t="n">
        <v>0</v>
      </c>
      <c r="R81" s="55" t="str">
        <f aca="false">IF(P81&gt;=$C$3,Q81/P81,"")</f>
        <v/>
      </c>
      <c r="S81" s="54" t="n">
        <v>5</v>
      </c>
      <c r="T81" s="54" t="n">
        <v>0</v>
      </c>
      <c r="U81" s="55" t="n">
        <f aca="false">IF(S81&gt;=$C$3,T81/S81,"")</f>
        <v>0</v>
      </c>
      <c r="V81" s="54" t="n">
        <v>94</v>
      </c>
      <c r="W81" s="54" t="n">
        <v>10</v>
      </c>
      <c r="X81" s="55" t="n">
        <f aca="false">IF(V81&gt;=$C$3,W81/V81,"")</f>
        <v>0.106382978723404</v>
      </c>
      <c r="Y81" s="56" t="n">
        <f aca="false">COUNT(F81,I81,L81,O81,R81,U81,X81)</f>
        <v>6</v>
      </c>
      <c r="Z81" s="57" t="n">
        <f aca="false">IF(Y81=0,"",AVERAGE(F81,I81,L81,O81,R81,U81,X81))</f>
        <v>0.0464246545295021</v>
      </c>
      <c r="AA81" s="58" t="n">
        <f aca="false">IF(ISNUMBER(Z81),C81*Z81,"")</f>
        <v>1578.85421890766</v>
      </c>
    </row>
    <row r="82" customFormat="false" ht="15" hidden="false" customHeight="false" outlineLevel="0" collapsed="false">
      <c r="A82" s="41" t="s">
        <v>1181</v>
      </c>
      <c r="B82" s="42" t="s">
        <v>3186</v>
      </c>
      <c r="C82" s="53" t="n">
        <v>1115.28</v>
      </c>
      <c r="D82" s="54" t="n">
        <v>376</v>
      </c>
      <c r="E82" s="54" t="n">
        <v>94</v>
      </c>
      <c r="F82" s="55" t="n">
        <f aca="false">IF(D82&gt;=$C$3,E82/D82,"")</f>
        <v>0.25</v>
      </c>
      <c r="G82" s="54" t="n">
        <v>110</v>
      </c>
      <c r="H82" s="54" t="n">
        <v>13</v>
      </c>
      <c r="I82" s="55" t="n">
        <f aca="false">IF(G82&gt;=$C$3,H82/G82,"")</f>
        <v>0.118181818181818</v>
      </c>
      <c r="J82" s="54" t="n">
        <v>24</v>
      </c>
      <c r="K82" s="54" t="n">
        <v>8</v>
      </c>
      <c r="L82" s="55" t="n">
        <f aca="false">IF(J82&gt;=$C$3,K82/J82,"")</f>
        <v>0.333333333333333</v>
      </c>
      <c r="M82" s="54" t="n">
        <v>59</v>
      </c>
      <c r="N82" s="54" t="n">
        <v>26</v>
      </c>
      <c r="O82" s="55" t="n">
        <f aca="false">IF(M82&gt;=$C$3,N82/M82,"")</f>
        <v>0.440677966101695</v>
      </c>
      <c r="P82" s="54" t="n">
        <v>22</v>
      </c>
      <c r="Q82" s="54" t="n">
        <v>6</v>
      </c>
      <c r="R82" s="55" t="n">
        <f aca="false">IF(P82&gt;=$C$3,Q82/P82,"")</f>
        <v>0.272727272727273</v>
      </c>
      <c r="S82" s="54" t="n">
        <v>21</v>
      </c>
      <c r="T82" s="54" t="n">
        <v>5</v>
      </c>
      <c r="U82" s="55" t="n">
        <f aca="false">IF(S82&gt;=$C$3,T82/S82,"")</f>
        <v>0.238095238095238</v>
      </c>
      <c r="V82" s="54" t="n">
        <v>33</v>
      </c>
      <c r="W82" s="54" t="n">
        <v>5</v>
      </c>
      <c r="X82" s="55" t="n">
        <f aca="false">IF(V82&gt;=$C$3,W82/V82,"")</f>
        <v>0.151515151515152</v>
      </c>
      <c r="Y82" s="56" t="n">
        <f aca="false">COUNT(F82,I82,L82,O82,R82,U82,X82)</f>
        <v>7</v>
      </c>
      <c r="Z82" s="57" t="n">
        <f aca="false">IF(Y82=0,"",AVERAGE(F82,I82,L82,O82,R82,U82,X82))</f>
        <v>0.257790111422073</v>
      </c>
      <c r="AA82" s="58" t="n">
        <f aca="false">IF(ISNUMBER(Z82),C82*Z82,"")</f>
        <v>287.508155466809</v>
      </c>
    </row>
    <row r="83" customFormat="false" ht="15" hidden="false" customHeight="false" outlineLevel="0" collapsed="false">
      <c r="A83" s="41" t="s">
        <v>702</v>
      </c>
      <c r="B83" s="42" t="s">
        <v>3185</v>
      </c>
      <c r="C83" s="53" t="n">
        <v>376.39</v>
      </c>
      <c r="D83" s="54" t="n">
        <v>60</v>
      </c>
      <c r="E83" s="54" t="n">
        <v>58</v>
      </c>
      <c r="F83" s="55" t="n">
        <f aca="false">IF(D83&gt;=$C$3,E83/D83,"")</f>
        <v>0.966666666666667</v>
      </c>
      <c r="G83" s="54" t="n">
        <v>3</v>
      </c>
      <c r="H83" s="54" t="n">
        <v>3</v>
      </c>
      <c r="I83" s="55" t="n">
        <f aca="false">IF(G83&gt;=$C$3,H83/G83,"")</f>
        <v>1</v>
      </c>
      <c r="J83" s="54" t="n">
        <v>1</v>
      </c>
      <c r="K83" s="54" t="n">
        <v>1</v>
      </c>
      <c r="L83" s="55" t="str">
        <f aca="false">IF(J83&gt;=$C$3,K83/J83,"")</f>
        <v/>
      </c>
      <c r="M83" s="54" t="n">
        <v>30</v>
      </c>
      <c r="N83" s="54" t="n">
        <v>30</v>
      </c>
      <c r="O83" s="55" t="n">
        <f aca="false">IF(M83&gt;=$C$3,N83/M83,"")</f>
        <v>1</v>
      </c>
      <c r="P83" s="54" t="n">
        <v>1</v>
      </c>
      <c r="Q83" s="54" t="n">
        <v>1</v>
      </c>
      <c r="R83" s="55" t="str">
        <f aca="false">IF(P83&gt;=$C$3,Q83/P83,"")</f>
        <v/>
      </c>
      <c r="S83" s="54" t="n">
        <v>5</v>
      </c>
      <c r="T83" s="54" t="n">
        <v>5</v>
      </c>
      <c r="U83" s="55" t="n">
        <f aca="false">IF(S83&gt;=$C$3,T83/S83,"")</f>
        <v>1</v>
      </c>
      <c r="V83" s="54" t="n">
        <v>4</v>
      </c>
      <c r="W83" s="54" t="n">
        <v>4</v>
      </c>
      <c r="X83" s="55" t="n">
        <f aca="false">IF(V83&gt;=$C$3,W83/V83,"")</f>
        <v>1</v>
      </c>
      <c r="Y83" s="56" t="n">
        <f aca="false">COUNT(F83,I83,L83,O83,R83,U83,X83)</f>
        <v>5</v>
      </c>
      <c r="Z83" s="57" t="n">
        <f aca="false">IF(Y83=0,"",AVERAGE(F83,I83,L83,O83,R83,U83,X83))</f>
        <v>0.993333333333333</v>
      </c>
      <c r="AA83" s="58" t="n">
        <f aca="false">IF(ISNUMBER(Z83),C83*Z83,"")</f>
        <v>373.880733333333</v>
      </c>
    </row>
    <row r="84" customFormat="false" ht="15" hidden="false" customHeight="false" outlineLevel="0" collapsed="false">
      <c r="A84" s="41" t="s">
        <v>401</v>
      </c>
      <c r="B84" s="42" t="s">
        <v>3172</v>
      </c>
      <c r="C84" s="53" t="n">
        <v>18803.98</v>
      </c>
      <c r="D84" s="54" t="n">
        <v>130</v>
      </c>
      <c r="E84" s="54" t="n">
        <v>70</v>
      </c>
      <c r="F84" s="55" t="n">
        <f aca="false">IF(D84&gt;=$C$3,E84/D84,"")</f>
        <v>0.538461538461538</v>
      </c>
      <c r="G84" s="54" t="n">
        <v>88</v>
      </c>
      <c r="H84" s="54" t="n">
        <v>24</v>
      </c>
      <c r="I84" s="55" t="n">
        <f aca="false">IF(G84&gt;=$C$3,H84/G84,"")</f>
        <v>0.272727272727273</v>
      </c>
      <c r="J84" s="54" t="n">
        <v>0</v>
      </c>
      <c r="K84" s="54" t="n">
        <v>0</v>
      </c>
      <c r="L84" s="55" t="str">
        <f aca="false">IF(J84&gt;=$C$3,K84/J84,"")</f>
        <v/>
      </c>
      <c r="M84" s="54" t="n">
        <v>38</v>
      </c>
      <c r="N84" s="54" t="n">
        <v>20</v>
      </c>
      <c r="O84" s="55" t="n">
        <f aca="false">IF(M84&gt;=$C$3,N84/M84,"")</f>
        <v>0.526315789473684</v>
      </c>
      <c r="P84" s="54" t="n">
        <v>12</v>
      </c>
      <c r="Q84" s="54" t="n">
        <v>0</v>
      </c>
      <c r="R84" s="55" t="n">
        <f aca="false">IF(P84&gt;=$C$3,Q84/P84,"")</f>
        <v>0</v>
      </c>
      <c r="S84" s="54" t="n">
        <v>2</v>
      </c>
      <c r="T84" s="54" t="n">
        <v>2</v>
      </c>
      <c r="U84" s="55" t="str">
        <f aca="false">IF(S84&gt;=$C$3,T84/S84,"")</f>
        <v/>
      </c>
      <c r="V84" s="54" t="n">
        <v>0</v>
      </c>
      <c r="W84" s="54" t="n">
        <v>0</v>
      </c>
      <c r="X84" s="55" t="str">
        <f aca="false">IF(V84&gt;=$C$3,W84/V84,"")</f>
        <v/>
      </c>
      <c r="Y84" s="56" t="n">
        <f aca="false">COUNT(F84,I84,L84,O84,R84,U84,X84)</f>
        <v>4</v>
      </c>
      <c r="Z84" s="57" t="n">
        <f aca="false">IF(Y84=0,"",AVERAGE(F84,I84,L84,O84,R84,U84,X84))</f>
        <v>0.334376150165624</v>
      </c>
      <c r="AA84" s="58" t="n">
        <f aca="false">IF(ISNUMBER(Z84),C84*Z84,"")</f>
        <v>6287.60244019139</v>
      </c>
    </row>
    <row r="85" customFormat="false" ht="15" hidden="false" customHeight="false" outlineLevel="0" collapsed="false">
      <c r="A85" s="41" t="s">
        <v>1004</v>
      </c>
      <c r="B85" s="42" t="s">
        <v>3176</v>
      </c>
      <c r="C85" s="53" t="n">
        <v>5234.47</v>
      </c>
      <c r="D85" s="54" t="n">
        <v>70</v>
      </c>
      <c r="E85" s="54" t="n">
        <v>59</v>
      </c>
      <c r="F85" s="55" t="n">
        <f aca="false">IF(D85&gt;=$C$3,E85/D85,"")</f>
        <v>0.842857142857143</v>
      </c>
      <c r="G85" s="54" t="n">
        <v>7</v>
      </c>
      <c r="H85" s="54" t="n">
        <v>6</v>
      </c>
      <c r="I85" s="55" t="n">
        <f aca="false">IF(G85&gt;=$C$3,H85/G85,"")</f>
        <v>0.857142857142857</v>
      </c>
      <c r="J85" s="54" t="n">
        <v>3</v>
      </c>
      <c r="K85" s="54" t="n">
        <v>2</v>
      </c>
      <c r="L85" s="55" t="n">
        <f aca="false">IF(J85&gt;=$C$3,K85/J85,"")</f>
        <v>0.666666666666667</v>
      </c>
      <c r="M85" s="54" t="n">
        <v>5</v>
      </c>
      <c r="N85" s="54" t="n">
        <v>4</v>
      </c>
      <c r="O85" s="55" t="n">
        <f aca="false">IF(M85&gt;=$C$3,N85/M85,"")</f>
        <v>0.8</v>
      </c>
      <c r="P85" s="54" t="n">
        <v>2</v>
      </c>
      <c r="Q85" s="54" t="n">
        <v>2</v>
      </c>
      <c r="R85" s="55" t="str">
        <f aca="false">IF(P85&gt;=$C$3,Q85/P85,"")</f>
        <v/>
      </c>
      <c r="S85" s="54" t="n">
        <v>0</v>
      </c>
      <c r="T85" s="54" t="n">
        <v>0</v>
      </c>
      <c r="U85" s="55" t="str">
        <f aca="false">IF(S85&gt;=$C$3,T85/S85,"")</f>
        <v/>
      </c>
      <c r="V85" s="54" t="n">
        <v>5</v>
      </c>
      <c r="W85" s="54" t="n">
        <v>5</v>
      </c>
      <c r="X85" s="55" t="n">
        <f aca="false">IF(V85&gt;=$C$3,W85/V85,"")</f>
        <v>1</v>
      </c>
      <c r="Y85" s="56" t="n">
        <f aca="false">COUNT(F85,I85,L85,O85,R85,U85,X85)</f>
        <v>5</v>
      </c>
      <c r="Z85" s="57" t="n">
        <f aca="false">IF(Y85=0,"",AVERAGE(F85,I85,L85,O85,R85,U85,X85))</f>
        <v>0.833333333333333</v>
      </c>
      <c r="AA85" s="58" t="n">
        <f aca="false">IF(ISNUMBER(Z85),C85*Z85,"")</f>
        <v>4362.05833333333</v>
      </c>
    </row>
    <row r="86" customFormat="false" ht="15" hidden="false" customHeight="false" outlineLevel="0" collapsed="false">
      <c r="A86" s="41" t="s">
        <v>1457</v>
      </c>
      <c r="B86" s="42" t="s">
        <v>3169</v>
      </c>
      <c r="C86" s="53" t="n">
        <v>1044.77</v>
      </c>
      <c r="D86" s="54" t="n">
        <v>57</v>
      </c>
      <c r="E86" s="54" t="n">
        <v>27</v>
      </c>
      <c r="F86" s="55" t="n">
        <f aca="false">IF(D86&gt;=$C$3,E86/D86,"")</f>
        <v>0.473684210526316</v>
      </c>
      <c r="G86" s="54" t="n">
        <v>7</v>
      </c>
      <c r="H86" s="54" t="n">
        <v>3</v>
      </c>
      <c r="I86" s="55" t="n">
        <f aca="false">IF(G86&gt;=$C$3,H86/G86,"")</f>
        <v>0.428571428571429</v>
      </c>
      <c r="J86" s="54" t="n">
        <v>3</v>
      </c>
      <c r="K86" s="54" t="n">
        <v>1</v>
      </c>
      <c r="L86" s="55" t="n">
        <f aca="false">IF(J86&gt;=$C$3,K86/J86,"")</f>
        <v>0.333333333333333</v>
      </c>
      <c r="M86" s="54" t="n">
        <v>8</v>
      </c>
      <c r="N86" s="54" t="n">
        <v>5</v>
      </c>
      <c r="O86" s="55" t="n">
        <f aca="false">IF(M86&gt;=$C$3,N86/M86,"")</f>
        <v>0.625</v>
      </c>
      <c r="P86" s="54" t="n">
        <v>3</v>
      </c>
      <c r="Q86" s="54" t="n">
        <v>1</v>
      </c>
      <c r="R86" s="55" t="n">
        <f aca="false">IF(P86&gt;=$C$3,Q86/P86,"")</f>
        <v>0.333333333333333</v>
      </c>
      <c r="S86" s="54" t="n">
        <v>3</v>
      </c>
      <c r="T86" s="54" t="n">
        <v>1</v>
      </c>
      <c r="U86" s="55" t="n">
        <f aca="false">IF(S86&gt;=$C$3,T86/S86,"")</f>
        <v>0.333333333333333</v>
      </c>
      <c r="V86" s="54" t="n">
        <v>14</v>
      </c>
      <c r="W86" s="54" t="n">
        <v>7</v>
      </c>
      <c r="X86" s="55" t="n">
        <f aca="false">IF(V86&gt;=$C$3,W86/V86,"")</f>
        <v>0.5</v>
      </c>
      <c r="Y86" s="56" t="n">
        <f aca="false">COUNT(F86,I86,L86,O86,R86,U86,X86)</f>
        <v>7</v>
      </c>
      <c r="Z86" s="57" t="n">
        <f aca="false">IF(Y86=0,"",AVERAGE(F86,I86,L86,O86,R86,U86,X86))</f>
        <v>0.432465091299678</v>
      </c>
      <c r="AA86" s="58" t="n">
        <f aca="false">IF(ISNUMBER(Z86),C86*Z86,"")</f>
        <v>451.826553437164</v>
      </c>
    </row>
    <row r="87" customFormat="false" ht="15" hidden="false" customHeight="false" outlineLevel="0" collapsed="false">
      <c r="A87" s="41" t="s">
        <v>408</v>
      </c>
      <c r="B87" s="42" t="s">
        <v>3176</v>
      </c>
      <c r="C87" s="53" t="n">
        <v>7496</v>
      </c>
      <c r="D87" s="54" t="n">
        <v>130</v>
      </c>
      <c r="E87" s="54" t="n">
        <v>68</v>
      </c>
      <c r="F87" s="55" t="n">
        <f aca="false">IF(D87&gt;=$C$3,E87/D87,"")</f>
        <v>0.523076923076923</v>
      </c>
      <c r="G87" s="54" t="n">
        <v>10</v>
      </c>
      <c r="H87" s="54" t="n">
        <v>6</v>
      </c>
      <c r="I87" s="55" t="n">
        <f aca="false">IF(G87&gt;=$C$3,H87/G87,"")</f>
        <v>0.6</v>
      </c>
      <c r="J87" s="54" t="n">
        <v>7</v>
      </c>
      <c r="K87" s="54" t="n">
        <v>4</v>
      </c>
      <c r="L87" s="55" t="n">
        <f aca="false">IF(J87&gt;=$C$3,K87/J87,"")</f>
        <v>0.571428571428571</v>
      </c>
      <c r="M87" s="54" t="n">
        <v>40</v>
      </c>
      <c r="N87" s="54" t="n">
        <v>29</v>
      </c>
      <c r="O87" s="55" t="n">
        <f aca="false">IF(M87&gt;=$C$3,N87/M87,"")</f>
        <v>0.725</v>
      </c>
      <c r="P87" s="54" t="n">
        <v>11</v>
      </c>
      <c r="Q87" s="54" t="n">
        <v>10</v>
      </c>
      <c r="R87" s="55" t="n">
        <f aca="false">IF(P87&gt;=$C$3,Q87/P87,"")</f>
        <v>0.909090909090909</v>
      </c>
      <c r="S87" s="54" t="n">
        <v>3</v>
      </c>
      <c r="T87" s="54" t="n">
        <v>2</v>
      </c>
      <c r="U87" s="55" t="n">
        <f aca="false">IF(S87&gt;=$C$3,T87/S87,"")</f>
        <v>0.666666666666667</v>
      </c>
      <c r="V87" s="54" t="n">
        <v>25</v>
      </c>
      <c r="W87" s="54" t="n">
        <v>14</v>
      </c>
      <c r="X87" s="55" t="n">
        <f aca="false">IF(V87&gt;=$C$3,W87/V87,"")</f>
        <v>0.56</v>
      </c>
      <c r="Y87" s="56" t="n">
        <f aca="false">COUNT(F87,I87,L87,O87,R87,U87,X87)</f>
        <v>7</v>
      </c>
      <c r="Z87" s="57" t="n">
        <f aca="false">IF(Y87=0,"",AVERAGE(F87,I87,L87,O87,R87,U87,X87))</f>
        <v>0.650751867180439</v>
      </c>
      <c r="AA87" s="58" t="n">
        <f aca="false">IF(ISNUMBER(Z87),C87*Z87,"")</f>
        <v>4878.03599638457</v>
      </c>
    </row>
    <row r="88" customFormat="false" ht="15" hidden="false" customHeight="false" outlineLevel="0" collapsed="false">
      <c r="A88" s="41" t="s">
        <v>412</v>
      </c>
      <c r="B88" s="42" t="s">
        <v>3174</v>
      </c>
      <c r="C88" s="53" t="n">
        <v>3407.51</v>
      </c>
      <c r="D88" s="54" t="n">
        <v>6</v>
      </c>
      <c r="E88" s="54" t="n">
        <v>6</v>
      </c>
      <c r="F88" s="55" t="n">
        <f aca="false">IF(D88&gt;=$C$3,E88/D88,"")</f>
        <v>1</v>
      </c>
      <c r="G88" s="54" t="n">
        <v>0</v>
      </c>
      <c r="H88" s="54" t="n">
        <v>0</v>
      </c>
      <c r="I88" s="55" t="str">
        <f aca="false">IF(G88&gt;=$C$3,H88/G88,"")</f>
        <v/>
      </c>
      <c r="J88" s="54" t="n">
        <v>0</v>
      </c>
      <c r="K88" s="54" t="n">
        <v>0</v>
      </c>
      <c r="L88" s="55" t="str">
        <f aca="false">IF(J88&gt;=$C$3,K88/J88,"")</f>
        <v/>
      </c>
      <c r="M88" s="54" t="n">
        <v>0</v>
      </c>
      <c r="N88" s="54" t="n">
        <v>0</v>
      </c>
      <c r="O88" s="55" t="str">
        <f aca="false">IF(M88&gt;=$C$3,N88/M88,"")</f>
        <v/>
      </c>
      <c r="P88" s="54" t="n">
        <v>0</v>
      </c>
      <c r="Q88" s="54" t="n">
        <v>0</v>
      </c>
      <c r="R88" s="55" t="str">
        <f aca="false">IF(P88&gt;=$C$3,Q88/P88,"")</f>
        <v/>
      </c>
      <c r="S88" s="54" t="n">
        <v>0</v>
      </c>
      <c r="T88" s="54" t="n">
        <v>0</v>
      </c>
      <c r="U88" s="55" t="str">
        <f aca="false">IF(S88&gt;=$C$3,T88/S88,"")</f>
        <v/>
      </c>
      <c r="V88" s="54" t="n">
        <v>7</v>
      </c>
      <c r="W88" s="54" t="n">
        <v>7</v>
      </c>
      <c r="X88" s="55" t="n">
        <f aca="false">IF(V88&gt;=$C$3,W88/V88,"")</f>
        <v>1</v>
      </c>
      <c r="Y88" s="56" t="n">
        <f aca="false">COUNT(F88,I88,L88,O88,R88,U88,X88)</f>
        <v>2</v>
      </c>
      <c r="Z88" s="57" t="n">
        <f aca="false">IF(Y88=0,"",AVERAGE(F88,I88,L88,O88,R88,U88,X88))</f>
        <v>1</v>
      </c>
      <c r="AA88" s="58" t="n">
        <f aca="false">IF(ISNUMBER(Z88),C88*Z88,"")</f>
        <v>3407.51</v>
      </c>
    </row>
    <row r="89" customFormat="false" ht="15" hidden="false" customHeight="false" outlineLevel="0" collapsed="false">
      <c r="A89" s="41" t="s">
        <v>416</v>
      </c>
      <c r="B89" s="42" t="s">
        <v>3187</v>
      </c>
      <c r="C89" s="53" t="n">
        <v>5357.19</v>
      </c>
      <c r="D89" s="54" t="n">
        <v>175</v>
      </c>
      <c r="E89" s="54" t="n">
        <v>128</v>
      </c>
      <c r="F89" s="55" t="n">
        <f aca="false">IF(D89&gt;=$C$3,E89/D89,"")</f>
        <v>0.731428571428571</v>
      </c>
      <c r="G89" s="54" t="n">
        <v>14</v>
      </c>
      <c r="H89" s="54" t="n">
        <v>10</v>
      </c>
      <c r="I89" s="55" t="n">
        <f aca="false">IF(G89&gt;=$C$3,H89/G89,"")</f>
        <v>0.714285714285714</v>
      </c>
      <c r="J89" s="54" t="n">
        <v>9</v>
      </c>
      <c r="K89" s="54" t="n">
        <v>5</v>
      </c>
      <c r="L89" s="55" t="n">
        <f aca="false">IF(J89&gt;=$C$3,K89/J89,"")</f>
        <v>0.555555555555556</v>
      </c>
      <c r="M89" s="54" t="n">
        <v>152</v>
      </c>
      <c r="N89" s="54" t="n">
        <v>16</v>
      </c>
      <c r="O89" s="55" t="n">
        <f aca="false">IF(M89&gt;=$C$3,N89/M89,"")</f>
        <v>0.105263157894737</v>
      </c>
      <c r="P89" s="54" t="n">
        <v>11</v>
      </c>
      <c r="Q89" s="54" t="n">
        <v>10</v>
      </c>
      <c r="R89" s="55" t="n">
        <f aca="false">IF(P89&gt;=$C$3,Q89/P89,"")</f>
        <v>0.909090909090909</v>
      </c>
      <c r="S89" s="54" t="n">
        <v>6</v>
      </c>
      <c r="T89" s="54" t="n">
        <v>6</v>
      </c>
      <c r="U89" s="55" t="n">
        <f aca="false">IF(S89&gt;=$C$3,T89/S89,"")</f>
        <v>1</v>
      </c>
      <c r="V89" s="54" t="n">
        <v>61</v>
      </c>
      <c r="W89" s="54" t="n">
        <v>39</v>
      </c>
      <c r="X89" s="55" t="n">
        <f aca="false">IF(V89&gt;=$C$3,W89/V89,"")</f>
        <v>0.639344262295082</v>
      </c>
      <c r="Y89" s="56" t="n">
        <f aca="false">COUNT(F89,I89,L89,O89,R89,U89,X89)</f>
        <v>7</v>
      </c>
      <c r="Z89" s="57" t="n">
        <f aca="false">IF(Y89=0,"",AVERAGE(F89,I89,L89,O89,R89,U89,X89))</f>
        <v>0.664995452935796</v>
      </c>
      <c r="AA89" s="58" t="n">
        <f aca="false">IF(ISNUMBER(Z89),C89*Z89,"")</f>
        <v>3562.50699051312</v>
      </c>
    </row>
    <row r="90" customFormat="false" ht="15" hidden="false" customHeight="false" outlineLevel="0" collapsed="false">
      <c r="A90" s="41" t="s">
        <v>262</v>
      </c>
      <c r="B90" s="42" t="s">
        <v>3176</v>
      </c>
      <c r="C90" s="53" t="n">
        <v>11366.06</v>
      </c>
      <c r="D90" s="54" t="n">
        <v>229</v>
      </c>
      <c r="E90" s="54" t="n">
        <v>229</v>
      </c>
      <c r="F90" s="55" t="n">
        <f aca="false">IF(D90&gt;=$C$3,E90/D90,"")</f>
        <v>1</v>
      </c>
      <c r="G90" s="54" t="n">
        <v>14</v>
      </c>
      <c r="H90" s="54" t="n">
        <v>14</v>
      </c>
      <c r="I90" s="55" t="n">
        <f aca="false">IF(G90&gt;=$C$3,H90/G90,"")</f>
        <v>1</v>
      </c>
      <c r="J90" s="54" t="n">
        <v>6</v>
      </c>
      <c r="K90" s="54" t="n">
        <v>6</v>
      </c>
      <c r="L90" s="55" t="n">
        <f aca="false">IF(J90&gt;=$C$3,K90/J90,"")</f>
        <v>1</v>
      </c>
      <c r="M90" s="54" t="n">
        <v>11</v>
      </c>
      <c r="N90" s="54" t="n">
        <v>11</v>
      </c>
      <c r="O90" s="55" t="n">
        <f aca="false">IF(M90&gt;=$C$3,N90/M90,"")</f>
        <v>1</v>
      </c>
      <c r="P90" s="54" t="n">
        <v>7</v>
      </c>
      <c r="Q90" s="54" t="n">
        <v>7</v>
      </c>
      <c r="R90" s="55" t="n">
        <f aca="false">IF(P90&gt;=$C$3,Q90/P90,"")</f>
        <v>1</v>
      </c>
      <c r="S90" s="54" t="n">
        <v>4</v>
      </c>
      <c r="T90" s="54" t="n">
        <v>4</v>
      </c>
      <c r="U90" s="55" t="n">
        <f aca="false">IF(S90&gt;=$C$3,T90/S90,"")</f>
        <v>1</v>
      </c>
      <c r="V90" s="54" t="n">
        <v>16</v>
      </c>
      <c r="W90" s="54" t="n">
        <v>16</v>
      </c>
      <c r="X90" s="55" t="n">
        <f aca="false">IF(V90&gt;=$C$3,W90/V90,"")</f>
        <v>1</v>
      </c>
      <c r="Y90" s="56" t="n">
        <f aca="false">COUNT(F90,I90,L90,O90,R90,U90,X90)</f>
        <v>7</v>
      </c>
      <c r="Z90" s="57" t="n">
        <f aca="false">IF(Y90=0,"",AVERAGE(F90,I90,L90,O90,R90,U90,X90))</f>
        <v>1</v>
      </c>
      <c r="AA90" s="58" t="n">
        <f aca="false">IF(ISNUMBER(Z90),C90*Z90,"")</f>
        <v>11366.06</v>
      </c>
    </row>
    <row r="91" customFormat="false" ht="15" hidden="false" customHeight="false" outlineLevel="0" collapsed="false">
      <c r="A91" s="41" t="s">
        <v>1209</v>
      </c>
      <c r="B91" s="42" t="s">
        <v>3188</v>
      </c>
      <c r="C91" s="53" t="n">
        <v>135.07</v>
      </c>
      <c r="D91" s="54" t="n">
        <v>54</v>
      </c>
      <c r="E91" s="54" t="n">
        <v>54</v>
      </c>
      <c r="F91" s="55" t="n">
        <f aca="false">IF(D91&gt;=$C$3,E91/D91,"")</f>
        <v>1</v>
      </c>
      <c r="G91" s="54" t="n">
        <v>10</v>
      </c>
      <c r="H91" s="54" t="n">
        <v>10</v>
      </c>
      <c r="I91" s="55" t="n">
        <f aca="false">IF(G91&gt;=$C$3,H91/G91,"")</f>
        <v>1</v>
      </c>
      <c r="J91" s="54" t="n">
        <v>2</v>
      </c>
      <c r="K91" s="54" t="n">
        <v>2</v>
      </c>
      <c r="L91" s="55" t="str">
        <f aca="false">IF(J91&gt;=$C$3,K91/J91,"")</f>
        <v/>
      </c>
      <c r="M91" s="54" t="n">
        <v>6</v>
      </c>
      <c r="N91" s="54" t="n">
        <v>6</v>
      </c>
      <c r="O91" s="55" t="n">
        <f aca="false">IF(M91&gt;=$C$3,N91/M91,"")</f>
        <v>1</v>
      </c>
      <c r="P91" s="54" t="n">
        <v>4</v>
      </c>
      <c r="Q91" s="54" t="n">
        <v>4</v>
      </c>
      <c r="R91" s="55" t="n">
        <f aca="false">IF(P91&gt;=$C$3,Q91/P91,"")</f>
        <v>1</v>
      </c>
      <c r="S91" s="54" t="n">
        <v>3</v>
      </c>
      <c r="T91" s="54" t="n">
        <v>3</v>
      </c>
      <c r="U91" s="55" t="n">
        <f aca="false">IF(S91&gt;=$C$3,T91/S91,"")</f>
        <v>1</v>
      </c>
      <c r="V91" s="54" t="n">
        <v>5</v>
      </c>
      <c r="W91" s="54" t="n">
        <v>5</v>
      </c>
      <c r="X91" s="55" t="n">
        <f aca="false">IF(V91&gt;=$C$3,W91/V91,"")</f>
        <v>1</v>
      </c>
      <c r="Y91" s="56" t="n">
        <f aca="false">COUNT(F91,I91,L91,O91,R91,U91,X91)</f>
        <v>6</v>
      </c>
      <c r="Z91" s="57" t="n">
        <f aca="false">IF(Y91=0,"",AVERAGE(F91,I91,L91,O91,R91,U91,X91))</f>
        <v>1</v>
      </c>
      <c r="AA91" s="58" t="n">
        <f aca="false">IF(ISNUMBER(Z91),C91*Z91,"")</f>
        <v>135.07</v>
      </c>
    </row>
    <row r="92" customFormat="false" ht="15" hidden="false" customHeight="false" outlineLevel="0" collapsed="false">
      <c r="A92" s="41" t="s">
        <v>858</v>
      </c>
      <c r="B92" s="42" t="s">
        <v>3171</v>
      </c>
      <c r="C92" s="53" t="n">
        <v>3193.58</v>
      </c>
      <c r="D92" s="54" t="n">
        <v>195</v>
      </c>
      <c r="E92" s="54" t="n">
        <v>62</v>
      </c>
      <c r="F92" s="55" t="n">
        <f aca="false">IF(D92&gt;=$C$3,E92/D92,"")</f>
        <v>0.317948717948718</v>
      </c>
      <c r="G92" s="54" t="n">
        <v>54</v>
      </c>
      <c r="H92" s="54" t="n">
        <v>16</v>
      </c>
      <c r="I92" s="55" t="n">
        <f aca="false">IF(G92&gt;=$C$3,H92/G92,"")</f>
        <v>0.296296296296296</v>
      </c>
      <c r="J92" s="54" t="n">
        <v>13</v>
      </c>
      <c r="K92" s="54" t="n">
        <v>8</v>
      </c>
      <c r="L92" s="55" t="n">
        <f aca="false">IF(J92&gt;=$C$3,K92/J92,"")</f>
        <v>0.615384615384615</v>
      </c>
      <c r="M92" s="54" t="n">
        <v>23</v>
      </c>
      <c r="N92" s="54" t="n">
        <v>9</v>
      </c>
      <c r="O92" s="55" t="n">
        <f aca="false">IF(M92&gt;=$C$3,N92/M92,"")</f>
        <v>0.391304347826087</v>
      </c>
      <c r="P92" s="54" t="n">
        <v>11</v>
      </c>
      <c r="Q92" s="54" t="n">
        <v>4</v>
      </c>
      <c r="R92" s="55" t="n">
        <f aca="false">IF(P92&gt;=$C$3,Q92/P92,"")</f>
        <v>0.363636363636364</v>
      </c>
      <c r="S92" s="54" t="n">
        <v>14</v>
      </c>
      <c r="T92" s="54" t="n">
        <v>6</v>
      </c>
      <c r="U92" s="55" t="n">
        <f aca="false">IF(S92&gt;=$C$3,T92/S92,"")</f>
        <v>0.428571428571429</v>
      </c>
      <c r="V92" s="54" t="n">
        <v>69</v>
      </c>
      <c r="W92" s="54" t="n">
        <v>35</v>
      </c>
      <c r="X92" s="55" t="n">
        <f aca="false">IF(V92&gt;=$C$3,W92/V92,"")</f>
        <v>0.507246376811594</v>
      </c>
      <c r="Y92" s="56" t="n">
        <f aca="false">COUNT(F92,I92,L92,O92,R92,U92,X92)</f>
        <v>7</v>
      </c>
      <c r="Z92" s="57" t="n">
        <f aca="false">IF(Y92=0,"",AVERAGE(F92,I92,L92,O92,R92,U92,X92))</f>
        <v>0.4171983066393</v>
      </c>
      <c r="AA92" s="58" t="n">
        <f aca="false">IF(ISNUMBER(Z92),C92*Z92,"")</f>
        <v>1332.35616811714</v>
      </c>
    </row>
    <row r="93" customFormat="false" ht="15" hidden="false" customHeight="false" outlineLevel="0" collapsed="false">
      <c r="A93" s="41" t="s">
        <v>1364</v>
      </c>
      <c r="B93" s="42" t="s">
        <v>3187</v>
      </c>
      <c r="C93" s="53" t="n">
        <v>1206.55</v>
      </c>
      <c r="D93" s="54" t="n">
        <v>94</v>
      </c>
      <c r="E93" s="54" t="n">
        <v>45</v>
      </c>
      <c r="F93" s="55" t="n">
        <f aca="false">IF(D93&gt;=$C$3,E93/D93,"")</f>
        <v>0.478723404255319</v>
      </c>
      <c r="G93" s="54" t="n">
        <v>14</v>
      </c>
      <c r="H93" s="54" t="n">
        <v>4</v>
      </c>
      <c r="I93" s="55" t="n">
        <f aca="false">IF(G93&gt;=$C$3,H93/G93,"")</f>
        <v>0.285714285714286</v>
      </c>
      <c r="J93" s="54" t="n">
        <v>3</v>
      </c>
      <c r="K93" s="54" t="n">
        <v>1</v>
      </c>
      <c r="L93" s="55" t="n">
        <f aca="false">IF(J93&gt;=$C$3,K93/J93,"")</f>
        <v>0.333333333333333</v>
      </c>
      <c r="M93" s="54" t="n">
        <v>9</v>
      </c>
      <c r="N93" s="54" t="n">
        <v>8</v>
      </c>
      <c r="O93" s="55" t="n">
        <f aca="false">IF(M93&gt;=$C$3,N93/M93,"")</f>
        <v>0.888888888888889</v>
      </c>
      <c r="P93" s="54" t="n">
        <v>21</v>
      </c>
      <c r="Q93" s="54" t="n">
        <v>14</v>
      </c>
      <c r="R93" s="55" t="n">
        <f aca="false">IF(P93&gt;=$C$3,Q93/P93,"")</f>
        <v>0.666666666666667</v>
      </c>
      <c r="S93" s="54" t="n">
        <v>5</v>
      </c>
      <c r="T93" s="54" t="n">
        <v>4</v>
      </c>
      <c r="U93" s="55" t="n">
        <f aca="false">IF(S93&gt;=$C$3,T93/S93,"")</f>
        <v>0.8</v>
      </c>
      <c r="V93" s="54" t="n">
        <v>13</v>
      </c>
      <c r="W93" s="54" t="n">
        <v>8</v>
      </c>
      <c r="X93" s="55" t="n">
        <f aca="false">IF(V93&gt;=$C$3,W93/V93,"")</f>
        <v>0.615384615384615</v>
      </c>
      <c r="Y93" s="56" t="n">
        <f aca="false">COUNT(F93,I93,L93,O93,R93,U93,X93)</f>
        <v>7</v>
      </c>
      <c r="Z93" s="57" t="n">
        <f aca="false">IF(Y93=0,"",AVERAGE(F93,I93,L93,O93,R93,U93,X93))</f>
        <v>0.581244456320444</v>
      </c>
      <c r="AA93" s="58" t="n">
        <f aca="false">IF(ISNUMBER(Z93),C93*Z93,"")</f>
        <v>701.300498773432</v>
      </c>
    </row>
    <row r="94" customFormat="false" ht="15" hidden="false" customHeight="false" outlineLevel="0" collapsed="false">
      <c r="A94" s="41" t="s">
        <v>1405</v>
      </c>
      <c r="B94" s="42" t="s">
        <v>3174</v>
      </c>
      <c r="C94" s="53" t="n">
        <v>11022.87</v>
      </c>
      <c r="D94" s="54" t="n">
        <v>105</v>
      </c>
      <c r="E94" s="54" t="n">
        <v>73</v>
      </c>
      <c r="F94" s="55" t="n">
        <f aca="false">IF(D94&gt;=$C$3,E94/D94,"")</f>
        <v>0.695238095238095</v>
      </c>
      <c r="G94" s="54" t="n">
        <v>32</v>
      </c>
      <c r="H94" s="54" t="n">
        <v>8</v>
      </c>
      <c r="I94" s="55" t="n">
        <f aca="false">IF(G94&gt;=$C$3,H94/G94,"")</f>
        <v>0.25</v>
      </c>
      <c r="J94" s="54" t="n">
        <v>9</v>
      </c>
      <c r="K94" s="54" t="n">
        <v>4</v>
      </c>
      <c r="L94" s="55" t="n">
        <f aca="false">IF(J94&gt;=$C$3,K94/J94,"")</f>
        <v>0.444444444444444</v>
      </c>
      <c r="M94" s="54" t="n">
        <v>12</v>
      </c>
      <c r="N94" s="54" t="n">
        <v>7</v>
      </c>
      <c r="O94" s="55" t="n">
        <f aca="false">IF(M94&gt;=$C$3,N94/M94,"")</f>
        <v>0.583333333333333</v>
      </c>
      <c r="P94" s="54" t="n">
        <v>7</v>
      </c>
      <c r="Q94" s="54" t="n">
        <v>1</v>
      </c>
      <c r="R94" s="55" t="n">
        <f aca="false">IF(P94&gt;=$C$3,Q94/P94,"")</f>
        <v>0.142857142857143</v>
      </c>
      <c r="S94" s="54" t="n">
        <v>0</v>
      </c>
      <c r="T94" s="54" t="n">
        <v>0</v>
      </c>
      <c r="U94" s="55" t="str">
        <f aca="false">IF(S94&gt;=$C$3,T94/S94,"")</f>
        <v/>
      </c>
      <c r="V94" s="54" t="n">
        <v>91</v>
      </c>
      <c r="W94" s="54" t="n">
        <v>30</v>
      </c>
      <c r="X94" s="55" t="n">
        <f aca="false">IF(V94&gt;=$C$3,W94/V94,"")</f>
        <v>0.32967032967033</v>
      </c>
      <c r="Y94" s="56" t="n">
        <f aca="false">COUNT(F94,I94,L94,O94,R94,U94,X94)</f>
        <v>6</v>
      </c>
      <c r="Z94" s="57" t="n">
        <f aca="false">IF(Y94=0,"",AVERAGE(F94,I94,L94,O94,R94,U94,X94))</f>
        <v>0.407590557590558</v>
      </c>
      <c r="AA94" s="58" t="n">
        <f aca="false">IF(ISNUMBER(Z94),C94*Z94,"")</f>
        <v>4492.81772954823</v>
      </c>
    </row>
    <row r="95" customFormat="false" ht="15" hidden="false" customHeight="false" outlineLevel="0" collapsed="false">
      <c r="A95" s="41" t="s">
        <v>1461</v>
      </c>
      <c r="B95" s="42" t="s">
        <v>3174</v>
      </c>
      <c r="C95" s="53" t="n">
        <v>1942.31</v>
      </c>
      <c r="D95" s="54" t="n">
        <v>33</v>
      </c>
      <c r="E95" s="54" t="n">
        <v>33</v>
      </c>
      <c r="F95" s="55" t="n">
        <f aca="false">IF(D95&gt;=$C$3,E95/D95,"")</f>
        <v>1</v>
      </c>
      <c r="G95" s="54" t="n">
        <v>4</v>
      </c>
      <c r="H95" s="54" t="n">
        <v>2</v>
      </c>
      <c r="I95" s="55" t="n">
        <f aca="false">IF(G95&gt;=$C$3,H95/G95,"")</f>
        <v>0.5</v>
      </c>
      <c r="J95" s="54" t="n">
        <v>1</v>
      </c>
      <c r="K95" s="54" t="n">
        <v>1</v>
      </c>
      <c r="L95" s="55" t="str">
        <f aca="false">IF(J95&gt;=$C$3,K95/J95,"")</f>
        <v/>
      </c>
      <c r="M95" s="54" t="n">
        <v>2</v>
      </c>
      <c r="N95" s="54" t="n">
        <v>2</v>
      </c>
      <c r="O95" s="55" t="str">
        <f aca="false">IF(M95&gt;=$C$3,N95/M95,"")</f>
        <v/>
      </c>
      <c r="P95" s="54" t="n">
        <v>0</v>
      </c>
      <c r="Q95" s="54" t="n">
        <v>0</v>
      </c>
      <c r="R95" s="55" t="str">
        <f aca="false">IF(P95&gt;=$C$3,Q95/P95,"")</f>
        <v/>
      </c>
      <c r="S95" s="54" t="n">
        <v>0</v>
      </c>
      <c r="T95" s="54" t="n">
        <v>0</v>
      </c>
      <c r="U95" s="55" t="str">
        <f aca="false">IF(S95&gt;=$C$3,T95/S95,"")</f>
        <v/>
      </c>
      <c r="V95" s="54" t="n">
        <v>27</v>
      </c>
      <c r="W95" s="54" t="n">
        <v>27</v>
      </c>
      <c r="X95" s="55" t="n">
        <f aca="false">IF(V95&gt;=$C$3,W95/V95,"")</f>
        <v>1</v>
      </c>
      <c r="Y95" s="56" t="n">
        <f aca="false">COUNT(F95,I95,L95,O95,R95,U95,X95)</f>
        <v>3</v>
      </c>
      <c r="Z95" s="57" t="n">
        <f aca="false">IF(Y95=0,"",AVERAGE(F95,I95,L95,O95,R95,U95,X95))</f>
        <v>0.833333333333333</v>
      </c>
      <c r="AA95" s="58" t="n">
        <f aca="false">IF(ISNUMBER(Z95),C95*Z95,"")</f>
        <v>1618.59166666667</v>
      </c>
    </row>
    <row r="96" customFormat="false" ht="15" hidden="false" customHeight="false" outlineLevel="0" collapsed="false">
      <c r="A96" s="41" t="s">
        <v>1409</v>
      </c>
      <c r="B96" s="42" t="s">
        <v>3171</v>
      </c>
      <c r="C96" s="53" t="n">
        <v>175.06</v>
      </c>
      <c r="D96" s="54" t="n">
        <v>11</v>
      </c>
      <c r="E96" s="54" t="n">
        <v>11</v>
      </c>
      <c r="F96" s="55" t="n">
        <f aca="false">IF(D96&gt;=$C$3,E96/D96,"")</f>
        <v>1</v>
      </c>
      <c r="G96" s="54" t="n">
        <v>2</v>
      </c>
      <c r="H96" s="54" t="n">
        <v>2</v>
      </c>
      <c r="I96" s="55" t="str">
        <f aca="false">IF(G96&gt;=$C$3,H96/G96,"")</f>
        <v/>
      </c>
      <c r="J96" s="54" t="n">
        <v>5</v>
      </c>
      <c r="K96" s="54" t="n">
        <v>5</v>
      </c>
      <c r="L96" s="55" t="n">
        <f aca="false">IF(J96&gt;=$C$3,K96/J96,"")</f>
        <v>1</v>
      </c>
      <c r="M96" s="54" t="n">
        <v>1</v>
      </c>
      <c r="N96" s="54" t="n">
        <v>1</v>
      </c>
      <c r="O96" s="55" t="str">
        <f aca="false">IF(M96&gt;=$C$3,N96/M96,"")</f>
        <v/>
      </c>
      <c r="P96" s="54" t="n">
        <v>1</v>
      </c>
      <c r="Q96" s="54" t="n">
        <v>1</v>
      </c>
      <c r="R96" s="55" t="str">
        <f aca="false">IF(P96&gt;=$C$3,Q96/P96,"")</f>
        <v/>
      </c>
      <c r="S96" s="54" t="n">
        <v>5</v>
      </c>
      <c r="T96" s="54" t="n">
        <v>5</v>
      </c>
      <c r="U96" s="55" t="n">
        <f aca="false">IF(S96&gt;=$C$3,T96/S96,"")</f>
        <v>1</v>
      </c>
      <c r="V96" s="54" t="n">
        <v>17</v>
      </c>
      <c r="W96" s="54" t="n">
        <v>17</v>
      </c>
      <c r="X96" s="55" t="n">
        <f aca="false">IF(V96&gt;=$C$3,W96/V96,"")</f>
        <v>1</v>
      </c>
      <c r="Y96" s="56" t="n">
        <f aca="false">COUNT(F96,I96,L96,O96,R96,U96,X96)</f>
        <v>4</v>
      </c>
      <c r="Z96" s="57" t="n">
        <f aca="false">IF(Y96=0,"",AVERAGE(F96,I96,L96,O96,R96,U96,X96))</f>
        <v>1</v>
      </c>
      <c r="AA96" s="58" t="n">
        <f aca="false">IF(ISNUMBER(Z96),C96*Z96,"")</f>
        <v>175.06</v>
      </c>
    </row>
    <row r="97" customFormat="false" ht="15" hidden="false" customHeight="false" outlineLevel="0" collapsed="false">
      <c r="A97" s="41" t="s">
        <v>427</v>
      </c>
      <c r="B97" s="42" t="s">
        <v>3170</v>
      </c>
      <c r="C97" s="53" t="n">
        <v>21671.77</v>
      </c>
      <c r="D97" s="54" t="n">
        <v>12</v>
      </c>
      <c r="E97" s="54" t="n">
        <v>3</v>
      </c>
      <c r="F97" s="55" t="n">
        <f aca="false">IF(D97&gt;=$C$3,E97/D97,"")</f>
        <v>0.25</v>
      </c>
      <c r="G97" s="54" t="n">
        <v>10</v>
      </c>
      <c r="H97" s="54" t="n">
        <v>1</v>
      </c>
      <c r="I97" s="55" t="n">
        <f aca="false">IF(G97&gt;=$C$3,H97/G97,"")</f>
        <v>0.1</v>
      </c>
      <c r="J97" s="54" t="n">
        <v>14</v>
      </c>
      <c r="K97" s="54" t="n">
        <v>2</v>
      </c>
      <c r="L97" s="55" t="n">
        <f aca="false">IF(J97&gt;=$C$3,K97/J97,"")</f>
        <v>0.142857142857143</v>
      </c>
      <c r="M97" s="54" t="n">
        <v>3</v>
      </c>
      <c r="N97" s="54" t="n">
        <v>1</v>
      </c>
      <c r="O97" s="55" t="n">
        <f aca="false">IF(M97&gt;=$C$3,N97/M97,"")</f>
        <v>0.333333333333333</v>
      </c>
      <c r="P97" s="54" t="n">
        <v>12</v>
      </c>
      <c r="Q97" s="54" t="n">
        <v>0</v>
      </c>
      <c r="R97" s="55" t="n">
        <f aca="false">IF(P97&gt;=$C$3,Q97/P97,"")</f>
        <v>0</v>
      </c>
      <c r="S97" s="54" t="n">
        <v>2</v>
      </c>
      <c r="T97" s="54" t="n">
        <v>0</v>
      </c>
      <c r="U97" s="55" t="str">
        <f aca="false">IF(S97&gt;=$C$3,T97/S97,"")</f>
        <v/>
      </c>
      <c r="V97" s="54" t="n">
        <v>54</v>
      </c>
      <c r="W97" s="54" t="n">
        <v>8</v>
      </c>
      <c r="X97" s="55" t="n">
        <f aca="false">IF(V97&gt;=$C$3,W97/V97,"")</f>
        <v>0.148148148148148</v>
      </c>
      <c r="Y97" s="56" t="n">
        <f aca="false">COUNT(F97,I97,L97,O97,R97,U97,X97)</f>
        <v>6</v>
      </c>
      <c r="Z97" s="57" t="n">
        <f aca="false">IF(Y97=0,"",AVERAGE(F97,I97,L97,O97,R97,U97,X97))</f>
        <v>0.162389770723104</v>
      </c>
      <c r="AA97" s="58" t="n">
        <f aca="false">IF(ISNUMBER(Z97),C97*Z97,"")</f>
        <v>3519.27376146384</v>
      </c>
    </row>
    <row r="98" customFormat="false" ht="15" hidden="false" customHeight="false" outlineLevel="0" collapsed="false">
      <c r="A98" s="41" t="s">
        <v>601</v>
      </c>
      <c r="B98" s="42" t="s">
        <v>3189</v>
      </c>
      <c r="C98" s="53" t="n">
        <v>38106.07</v>
      </c>
      <c r="D98" s="54" t="n">
        <v>638</v>
      </c>
      <c r="E98" s="54" t="n">
        <v>72</v>
      </c>
      <c r="F98" s="55" t="n">
        <f aca="false">IF(D98&gt;=$C$3,E98/D98,"")</f>
        <v>0.112852664576803</v>
      </c>
      <c r="G98" s="54" t="n">
        <v>170</v>
      </c>
      <c r="H98" s="54" t="n">
        <v>7</v>
      </c>
      <c r="I98" s="55" t="n">
        <f aca="false">IF(G98&gt;=$C$3,H98/G98,"")</f>
        <v>0.0411764705882353</v>
      </c>
      <c r="J98" s="54" t="n">
        <v>26</v>
      </c>
      <c r="K98" s="54" t="n">
        <v>4</v>
      </c>
      <c r="L98" s="55" t="n">
        <f aca="false">IF(J98&gt;=$C$3,K98/J98,"")</f>
        <v>0.153846153846154</v>
      </c>
      <c r="M98" s="54" t="n">
        <v>82</v>
      </c>
      <c r="N98" s="54" t="n">
        <v>10</v>
      </c>
      <c r="O98" s="55" t="n">
        <f aca="false">IF(M98&gt;=$C$3,N98/M98,"")</f>
        <v>0.121951219512195</v>
      </c>
      <c r="P98" s="54" t="n">
        <v>37</v>
      </c>
      <c r="Q98" s="54" t="n">
        <v>9</v>
      </c>
      <c r="R98" s="55" t="n">
        <f aca="false">IF(P98&gt;=$C$3,Q98/P98,"")</f>
        <v>0.243243243243243</v>
      </c>
      <c r="S98" s="54" t="n">
        <v>23</v>
      </c>
      <c r="T98" s="54" t="n">
        <v>4</v>
      </c>
      <c r="U98" s="55" t="n">
        <f aca="false">IF(S98&gt;=$C$3,T98/S98,"")</f>
        <v>0.173913043478261</v>
      </c>
      <c r="V98" s="54" t="n">
        <v>205</v>
      </c>
      <c r="W98" s="54" t="n">
        <v>7</v>
      </c>
      <c r="X98" s="55" t="n">
        <f aca="false">IF(V98&gt;=$C$3,W98/V98,"")</f>
        <v>0.0341463414634146</v>
      </c>
      <c r="Y98" s="56" t="n">
        <f aca="false">COUNT(F98,I98,L98,O98,R98,U98,X98)</f>
        <v>7</v>
      </c>
      <c r="Z98" s="57" t="n">
        <f aca="false">IF(Y98=0,"",AVERAGE(F98,I98,L98,O98,R98,U98,X98))</f>
        <v>0.125875590958329</v>
      </c>
      <c r="AA98" s="58" t="n">
        <f aca="false">IF(ISNUMBER(Z98),C98*Z98,"")</f>
        <v>4796.62408034947</v>
      </c>
    </row>
    <row r="99" customFormat="false" ht="15" hidden="false" customHeight="false" outlineLevel="0" collapsed="false">
      <c r="A99" s="41" t="s">
        <v>1021</v>
      </c>
      <c r="B99" s="42" t="s">
        <v>3173</v>
      </c>
      <c r="C99" s="53" t="n">
        <v>457.96</v>
      </c>
      <c r="D99" s="54" t="n">
        <v>54</v>
      </c>
      <c r="E99" s="54" t="n">
        <v>52</v>
      </c>
      <c r="F99" s="55" t="n">
        <f aca="false">IF(D99&gt;=$C$3,E99/D99,"")</f>
        <v>0.962962962962963</v>
      </c>
      <c r="G99" s="54" t="n">
        <v>11</v>
      </c>
      <c r="H99" s="54" t="n">
        <v>11</v>
      </c>
      <c r="I99" s="55" t="n">
        <f aca="false">IF(G99&gt;=$C$3,H99/G99,"")</f>
        <v>1</v>
      </c>
      <c r="J99" s="54" t="n">
        <v>1</v>
      </c>
      <c r="K99" s="54" t="n">
        <v>1</v>
      </c>
      <c r="L99" s="55" t="str">
        <f aca="false">IF(J99&gt;=$C$3,K99/J99,"")</f>
        <v/>
      </c>
      <c r="M99" s="54" t="n">
        <v>48</v>
      </c>
      <c r="N99" s="54" t="n">
        <v>4</v>
      </c>
      <c r="O99" s="55" t="n">
        <f aca="false">IF(M99&gt;=$C$3,N99/M99,"")</f>
        <v>0.0833333333333333</v>
      </c>
      <c r="P99" s="54" t="n">
        <v>0</v>
      </c>
      <c r="Q99" s="54" t="n">
        <v>0</v>
      </c>
      <c r="R99" s="55" t="str">
        <f aca="false">IF(P99&gt;=$C$3,Q99/P99,"")</f>
        <v/>
      </c>
      <c r="S99" s="54" t="n">
        <v>5</v>
      </c>
      <c r="T99" s="54" t="n">
        <v>2</v>
      </c>
      <c r="U99" s="55" t="n">
        <f aca="false">IF(S99&gt;=$C$3,T99/S99,"")</f>
        <v>0.4</v>
      </c>
      <c r="V99" s="54" t="n">
        <v>3</v>
      </c>
      <c r="W99" s="54" t="n">
        <v>3</v>
      </c>
      <c r="X99" s="55" t="n">
        <f aca="false">IF(V99&gt;=$C$3,W99/V99,"")</f>
        <v>1</v>
      </c>
      <c r="Y99" s="56" t="n">
        <f aca="false">COUNT(F99,I99,L99,O99,R99,U99,X99)</f>
        <v>5</v>
      </c>
      <c r="Z99" s="57" t="n">
        <f aca="false">IF(Y99=0,"",AVERAGE(F99,I99,L99,O99,R99,U99,X99))</f>
        <v>0.689259259259259</v>
      </c>
      <c r="AA99" s="58" t="n">
        <f aca="false">IF(ISNUMBER(Z99),C99*Z99,"")</f>
        <v>315.65317037037</v>
      </c>
    </row>
    <row r="100" customFormat="false" ht="15" hidden="false" customHeight="false" outlineLevel="0" collapsed="false">
      <c r="A100" s="41" t="s">
        <v>1415</v>
      </c>
      <c r="B100" s="42" t="s">
        <v>3190</v>
      </c>
      <c r="C100" s="53" t="n">
        <v>64.81</v>
      </c>
      <c r="D100" s="54" t="n">
        <v>13</v>
      </c>
      <c r="E100" s="54" t="n">
        <v>8</v>
      </c>
      <c r="F100" s="55" t="n">
        <f aca="false">IF(D100&gt;=$C$3,E100/D100,"")</f>
        <v>0.615384615384615</v>
      </c>
      <c r="G100" s="54" t="n">
        <v>9</v>
      </c>
      <c r="H100" s="54" t="n">
        <v>5</v>
      </c>
      <c r="I100" s="55" t="n">
        <f aca="false">IF(G100&gt;=$C$3,H100/G100,"")</f>
        <v>0.555555555555556</v>
      </c>
      <c r="J100" s="54" t="n">
        <v>2</v>
      </c>
      <c r="K100" s="54" t="n">
        <v>2</v>
      </c>
      <c r="L100" s="55" t="str">
        <f aca="false">IF(J100&gt;=$C$3,K100/J100,"")</f>
        <v/>
      </c>
      <c r="M100" s="54" t="n">
        <v>17</v>
      </c>
      <c r="N100" s="54" t="n">
        <v>0</v>
      </c>
      <c r="O100" s="55" t="n">
        <f aca="false">IF(M100&gt;=$C$3,N100/M100,"")</f>
        <v>0</v>
      </c>
      <c r="P100" s="54" t="n">
        <v>0</v>
      </c>
      <c r="Q100" s="54" t="n">
        <v>0</v>
      </c>
      <c r="R100" s="55" t="str">
        <f aca="false">IF(P100&gt;=$C$3,Q100/P100,"")</f>
        <v/>
      </c>
      <c r="S100" s="54" t="n">
        <v>1</v>
      </c>
      <c r="T100" s="54" t="n">
        <v>0</v>
      </c>
      <c r="U100" s="55" t="str">
        <f aca="false">IF(S100&gt;=$C$3,T100/S100,"")</f>
        <v/>
      </c>
      <c r="V100" s="54" t="n">
        <v>8</v>
      </c>
      <c r="W100" s="54" t="n">
        <v>0</v>
      </c>
      <c r="X100" s="55" t="n">
        <f aca="false">IF(V100&gt;=$C$3,W100/V100,"")</f>
        <v>0</v>
      </c>
      <c r="Y100" s="56" t="n">
        <f aca="false">COUNT(F100,I100,L100,O100,R100,U100,X100)</f>
        <v>4</v>
      </c>
      <c r="Z100" s="57" t="n">
        <f aca="false">IF(Y100=0,"",AVERAGE(F100,I100,L100,O100,R100,U100,X100))</f>
        <v>0.292735042735043</v>
      </c>
      <c r="AA100" s="58" t="n">
        <f aca="false">IF(ISNUMBER(Z100),C100*Z100,"")</f>
        <v>18.9721581196581</v>
      </c>
    </row>
    <row r="101" customFormat="false" ht="15" hidden="false" customHeight="false" outlineLevel="0" collapsed="false">
      <c r="A101" s="41" t="s">
        <v>434</v>
      </c>
      <c r="B101" s="42" t="s">
        <v>3191</v>
      </c>
      <c r="C101" s="53" t="n">
        <v>1162.12</v>
      </c>
      <c r="D101" s="54" t="n">
        <v>177</v>
      </c>
      <c r="E101" s="54" t="n">
        <v>52</v>
      </c>
      <c r="F101" s="55" t="n">
        <f aca="false">IF(D101&gt;=$C$3,E101/D101,"")</f>
        <v>0.293785310734463</v>
      </c>
      <c r="G101" s="54" t="n">
        <v>24</v>
      </c>
      <c r="H101" s="54" t="n">
        <v>8</v>
      </c>
      <c r="I101" s="55" t="n">
        <f aca="false">IF(G101&gt;=$C$3,H101/G101,"")</f>
        <v>0.333333333333333</v>
      </c>
      <c r="J101" s="54" t="n">
        <v>0</v>
      </c>
      <c r="K101" s="54" t="n">
        <v>0</v>
      </c>
      <c r="L101" s="55" t="str">
        <f aca="false">IF(J101&gt;=$C$3,K101/J101,"")</f>
        <v/>
      </c>
      <c r="M101" s="54" t="n">
        <v>2</v>
      </c>
      <c r="N101" s="54" t="n">
        <v>1</v>
      </c>
      <c r="O101" s="55" t="str">
        <f aca="false">IF(M101&gt;=$C$3,N101/M101,"")</f>
        <v/>
      </c>
      <c r="P101" s="54" t="n">
        <v>9</v>
      </c>
      <c r="Q101" s="54" t="n">
        <v>7</v>
      </c>
      <c r="R101" s="55" t="n">
        <f aca="false">IF(P101&gt;=$C$3,Q101/P101,"")</f>
        <v>0.777777777777778</v>
      </c>
      <c r="S101" s="54" t="n">
        <v>1</v>
      </c>
      <c r="T101" s="54" t="n">
        <v>0</v>
      </c>
      <c r="U101" s="55" t="str">
        <f aca="false">IF(S101&gt;=$C$3,T101/S101,"")</f>
        <v/>
      </c>
      <c r="V101" s="54" t="n">
        <v>8</v>
      </c>
      <c r="W101" s="54" t="n">
        <v>3</v>
      </c>
      <c r="X101" s="55" t="n">
        <f aca="false">IF(V101&gt;=$C$3,W101/V101,"")</f>
        <v>0.375</v>
      </c>
      <c r="Y101" s="56" t="n">
        <f aca="false">COUNT(F101,I101,L101,O101,R101,U101,X101)</f>
        <v>4</v>
      </c>
      <c r="Z101" s="57" t="n">
        <f aca="false">IF(Y101=0,"",AVERAGE(F101,I101,L101,O101,R101,U101,X101))</f>
        <v>0.444974105461394</v>
      </c>
      <c r="AA101" s="58" t="n">
        <f aca="false">IF(ISNUMBER(Z101),C101*Z101,"")</f>
        <v>517.113307438795</v>
      </c>
    </row>
    <row r="102" customFormat="false" ht="15" hidden="false" customHeight="false" outlineLevel="0" collapsed="false">
      <c r="A102" s="41" t="s">
        <v>1029</v>
      </c>
      <c r="B102" s="42" t="s">
        <v>3176</v>
      </c>
      <c r="C102" s="53" t="n">
        <v>2015.78</v>
      </c>
      <c r="D102" s="54" t="n">
        <v>43</v>
      </c>
      <c r="E102" s="54" t="n">
        <v>42</v>
      </c>
      <c r="F102" s="55" t="n">
        <f aca="false">IF(D102&gt;=$C$3,E102/D102,"")</f>
        <v>0.976744186046512</v>
      </c>
      <c r="G102" s="54" t="n">
        <v>7</v>
      </c>
      <c r="H102" s="54" t="n">
        <v>5</v>
      </c>
      <c r="I102" s="55" t="n">
        <f aca="false">IF(G102&gt;=$C$3,H102/G102,"")</f>
        <v>0.714285714285714</v>
      </c>
      <c r="J102" s="54" t="n">
        <v>1</v>
      </c>
      <c r="K102" s="54" t="n">
        <v>1</v>
      </c>
      <c r="L102" s="55" t="str">
        <f aca="false">IF(J102&gt;=$C$3,K102/J102,"")</f>
        <v/>
      </c>
      <c r="M102" s="54" t="n">
        <v>5</v>
      </c>
      <c r="N102" s="54" t="n">
        <v>5</v>
      </c>
      <c r="O102" s="55" t="n">
        <f aca="false">IF(M102&gt;=$C$3,N102/M102,"")</f>
        <v>1</v>
      </c>
      <c r="P102" s="54" t="n">
        <v>2</v>
      </c>
      <c r="Q102" s="54" t="n">
        <v>2</v>
      </c>
      <c r="R102" s="55" t="str">
        <f aca="false">IF(P102&gt;=$C$3,Q102/P102,"")</f>
        <v/>
      </c>
      <c r="S102" s="54" t="n">
        <v>0</v>
      </c>
      <c r="T102" s="54" t="n">
        <v>0</v>
      </c>
      <c r="U102" s="55" t="str">
        <f aca="false">IF(S102&gt;=$C$3,T102/S102,"")</f>
        <v/>
      </c>
      <c r="V102" s="54" t="n">
        <v>3</v>
      </c>
      <c r="W102" s="54" t="n">
        <v>3</v>
      </c>
      <c r="X102" s="55" t="n">
        <f aca="false">IF(V102&gt;=$C$3,W102/V102,"")</f>
        <v>1</v>
      </c>
      <c r="Y102" s="56" t="n">
        <f aca="false">COUNT(F102,I102,L102,O102,R102,U102,X102)</f>
        <v>4</v>
      </c>
      <c r="Z102" s="57" t="n">
        <f aca="false">IF(Y102=0,"",AVERAGE(F102,I102,L102,O102,R102,U102,X102))</f>
        <v>0.922757475083057</v>
      </c>
      <c r="AA102" s="58" t="n">
        <f aca="false">IF(ISNUMBER(Z102),C102*Z102,"")</f>
        <v>1860.07606312292</v>
      </c>
    </row>
    <row r="103" customFormat="false" ht="15" hidden="false" customHeight="false" outlineLevel="0" collapsed="false">
      <c r="A103" s="41" t="s">
        <v>1466</v>
      </c>
      <c r="B103" s="42" t="s">
        <v>3188</v>
      </c>
      <c r="C103" s="53" t="n">
        <v>304.87</v>
      </c>
      <c r="D103" s="54" t="n">
        <v>20</v>
      </c>
      <c r="E103" s="54" t="n">
        <v>20</v>
      </c>
      <c r="F103" s="55" t="n">
        <f aca="false">IF(D103&gt;=$C$3,E103/D103,"")</f>
        <v>1</v>
      </c>
      <c r="G103" s="54" t="n">
        <v>2</v>
      </c>
      <c r="H103" s="54" t="n">
        <v>1</v>
      </c>
      <c r="I103" s="55" t="str">
        <f aca="false">IF(G103&gt;=$C$3,H103/G103,"")</f>
        <v/>
      </c>
      <c r="J103" s="54" t="n">
        <v>7</v>
      </c>
      <c r="K103" s="54" t="n">
        <v>6</v>
      </c>
      <c r="L103" s="55" t="n">
        <f aca="false">IF(J103&gt;=$C$3,K103/J103,"")</f>
        <v>0.857142857142857</v>
      </c>
      <c r="M103" s="54" t="n">
        <v>2</v>
      </c>
      <c r="N103" s="54" t="n">
        <v>2</v>
      </c>
      <c r="O103" s="55" t="str">
        <f aca="false">IF(M103&gt;=$C$3,N103/M103,"")</f>
        <v/>
      </c>
      <c r="P103" s="54" t="n">
        <v>0</v>
      </c>
      <c r="Q103" s="54" t="n">
        <v>0</v>
      </c>
      <c r="R103" s="55" t="str">
        <f aca="false">IF(P103&gt;=$C$3,Q103/P103,"")</f>
        <v/>
      </c>
      <c r="S103" s="54" t="n">
        <v>0</v>
      </c>
      <c r="T103" s="54" t="n">
        <v>0</v>
      </c>
      <c r="U103" s="55" t="str">
        <f aca="false">IF(S103&gt;=$C$3,T103/S103,"")</f>
        <v/>
      </c>
      <c r="V103" s="54" t="n">
        <v>4</v>
      </c>
      <c r="W103" s="54" t="n">
        <v>1</v>
      </c>
      <c r="X103" s="55" t="n">
        <f aca="false">IF(V103&gt;=$C$3,W103/V103,"")</f>
        <v>0.25</v>
      </c>
      <c r="Y103" s="56" t="n">
        <f aca="false">COUNT(F103,I103,L103,O103,R103,U103,X103)</f>
        <v>3</v>
      </c>
      <c r="Z103" s="57" t="n">
        <f aca="false">IF(Y103=0,"",AVERAGE(F103,I103,L103,O103,R103,U103,X103))</f>
        <v>0.702380952380952</v>
      </c>
      <c r="AA103" s="58" t="n">
        <f aca="false">IF(ISNUMBER(Z103),C103*Z103,"")</f>
        <v>214.134880952381</v>
      </c>
    </row>
    <row r="104" customFormat="false" ht="15" hidden="false" customHeight="false" outlineLevel="0" collapsed="false">
      <c r="A104" s="41" t="s">
        <v>1470</v>
      </c>
      <c r="B104" s="42" t="s">
        <v>3185</v>
      </c>
      <c r="C104" s="53" t="n">
        <v>12587.3</v>
      </c>
      <c r="D104" s="54" t="n">
        <v>36</v>
      </c>
      <c r="E104" s="54" t="n">
        <v>36</v>
      </c>
      <c r="F104" s="55" t="n">
        <f aca="false">IF(D104&gt;=$C$3,E104/D104,"")</f>
        <v>1</v>
      </c>
      <c r="G104" s="54" t="n">
        <v>0</v>
      </c>
      <c r="H104" s="54" t="n">
        <v>0</v>
      </c>
      <c r="I104" s="55" t="str">
        <f aca="false">IF(G104&gt;=$C$3,H104/G104,"")</f>
        <v/>
      </c>
      <c r="J104" s="54" t="n">
        <v>2</v>
      </c>
      <c r="K104" s="54" t="n">
        <v>2</v>
      </c>
      <c r="L104" s="55" t="str">
        <f aca="false">IF(J104&gt;=$C$3,K104/J104,"")</f>
        <v/>
      </c>
      <c r="M104" s="54" t="n">
        <v>1</v>
      </c>
      <c r="N104" s="54" t="n">
        <v>1</v>
      </c>
      <c r="O104" s="55" t="str">
        <f aca="false">IF(M104&gt;=$C$3,N104/M104,"")</f>
        <v/>
      </c>
      <c r="P104" s="54" t="n">
        <v>5</v>
      </c>
      <c r="Q104" s="54" t="n">
        <v>4</v>
      </c>
      <c r="R104" s="55" t="n">
        <f aca="false">IF(P104&gt;=$C$3,Q104/P104,"")</f>
        <v>0.8</v>
      </c>
      <c r="S104" s="54" t="n">
        <v>3</v>
      </c>
      <c r="T104" s="54" t="n">
        <v>3</v>
      </c>
      <c r="U104" s="55" t="n">
        <f aca="false">IF(S104&gt;=$C$3,T104/S104,"")</f>
        <v>1</v>
      </c>
      <c r="V104" s="54" t="n">
        <v>8</v>
      </c>
      <c r="W104" s="54" t="n">
        <v>8</v>
      </c>
      <c r="X104" s="55" t="n">
        <f aca="false">IF(V104&gt;=$C$3,W104/V104,"")</f>
        <v>1</v>
      </c>
      <c r="Y104" s="56" t="n">
        <f aca="false">COUNT(F104,I104,L104,O104,R104,U104,X104)</f>
        <v>4</v>
      </c>
      <c r="Z104" s="57" t="n">
        <f aca="false">IF(Y104=0,"",AVERAGE(F104,I104,L104,O104,R104,U104,X104))</f>
        <v>0.95</v>
      </c>
      <c r="AA104" s="58" t="n">
        <f aca="false">IF(ISNUMBER(Z104),C104*Z104,"")</f>
        <v>11957.935</v>
      </c>
    </row>
    <row r="105" customFormat="false" ht="15" hidden="false" customHeight="false" outlineLevel="0" collapsed="false">
      <c r="A105" s="41" t="s">
        <v>606</v>
      </c>
      <c r="B105" s="42" t="s">
        <v>3170</v>
      </c>
      <c r="C105" s="53" t="n">
        <v>2931.42</v>
      </c>
      <c r="D105" s="54" t="n">
        <v>48</v>
      </c>
      <c r="E105" s="54" t="n">
        <v>48</v>
      </c>
      <c r="F105" s="55" t="n">
        <f aca="false">IF(D105&gt;=$C$3,E105/D105,"")</f>
        <v>1</v>
      </c>
      <c r="G105" s="54" t="n">
        <v>5</v>
      </c>
      <c r="H105" s="54" t="n">
        <v>5</v>
      </c>
      <c r="I105" s="55" t="n">
        <f aca="false">IF(G105&gt;=$C$3,H105/G105,"")</f>
        <v>1</v>
      </c>
      <c r="J105" s="54" t="n">
        <v>3</v>
      </c>
      <c r="K105" s="54" t="n">
        <v>3</v>
      </c>
      <c r="L105" s="55" t="n">
        <f aca="false">IF(J105&gt;=$C$3,K105/J105,"")</f>
        <v>1</v>
      </c>
      <c r="M105" s="54" t="n">
        <v>15</v>
      </c>
      <c r="N105" s="54" t="n">
        <v>15</v>
      </c>
      <c r="O105" s="55" t="n">
        <f aca="false">IF(M105&gt;=$C$3,N105/M105,"")</f>
        <v>1</v>
      </c>
      <c r="P105" s="54" t="n">
        <v>0</v>
      </c>
      <c r="Q105" s="54" t="n">
        <v>0</v>
      </c>
      <c r="R105" s="55" t="str">
        <f aca="false">IF(P105&gt;=$C$3,Q105/P105,"")</f>
        <v/>
      </c>
      <c r="S105" s="54" t="n">
        <v>0</v>
      </c>
      <c r="T105" s="54" t="n">
        <v>0</v>
      </c>
      <c r="U105" s="55" t="str">
        <f aca="false">IF(S105&gt;=$C$3,T105/S105,"")</f>
        <v/>
      </c>
      <c r="V105" s="54" t="n">
        <v>14</v>
      </c>
      <c r="W105" s="54" t="n">
        <v>14</v>
      </c>
      <c r="X105" s="55" t="n">
        <f aca="false">IF(V105&gt;=$C$3,W105/V105,"")</f>
        <v>1</v>
      </c>
      <c r="Y105" s="56" t="n">
        <f aca="false">COUNT(F105,I105,L105,O105,R105,U105,X105)</f>
        <v>5</v>
      </c>
      <c r="Z105" s="57" t="n">
        <f aca="false">IF(Y105=0,"",AVERAGE(F105,I105,L105,O105,R105,U105,X105))</f>
        <v>1</v>
      </c>
      <c r="AA105" s="58" t="n">
        <f aca="false">IF(ISNUMBER(Z105),C105*Z105,"")</f>
        <v>2931.42</v>
      </c>
    </row>
    <row r="106" customFormat="false" ht="15" hidden="false" customHeight="false" outlineLevel="0" collapsed="false">
      <c r="A106" s="41" t="s">
        <v>611</v>
      </c>
      <c r="B106" s="42" t="s">
        <v>3192</v>
      </c>
      <c r="C106" s="53" t="n">
        <v>0.23</v>
      </c>
      <c r="D106" s="54" t="n">
        <v>91</v>
      </c>
      <c r="E106" s="54" t="n">
        <v>91</v>
      </c>
      <c r="F106" s="55" t="n">
        <f aca="false">IF(D106&gt;=$C$3,E106/D106,"")</f>
        <v>1</v>
      </c>
      <c r="G106" s="54" t="n">
        <v>15</v>
      </c>
      <c r="H106" s="54" t="n">
        <v>15</v>
      </c>
      <c r="I106" s="55" t="n">
        <f aca="false">IF(G106&gt;=$C$3,H106/G106,"")</f>
        <v>1</v>
      </c>
      <c r="J106" s="54" t="n">
        <v>6</v>
      </c>
      <c r="K106" s="54" t="n">
        <v>6</v>
      </c>
      <c r="L106" s="55" t="n">
        <f aca="false">IF(J106&gt;=$C$3,K106/J106,"")</f>
        <v>1</v>
      </c>
      <c r="M106" s="54" t="n">
        <v>15</v>
      </c>
      <c r="N106" s="54" t="n">
        <v>15</v>
      </c>
      <c r="O106" s="55" t="n">
        <f aca="false">IF(M106&gt;=$C$3,N106/M106,"")</f>
        <v>1</v>
      </c>
      <c r="P106" s="54" t="n">
        <v>3</v>
      </c>
      <c r="Q106" s="54" t="n">
        <v>3</v>
      </c>
      <c r="R106" s="55" t="n">
        <f aca="false">IF(P106&gt;=$C$3,Q106/P106,"")</f>
        <v>1</v>
      </c>
      <c r="S106" s="54" t="n">
        <v>3</v>
      </c>
      <c r="T106" s="54" t="n">
        <v>3</v>
      </c>
      <c r="U106" s="55" t="n">
        <f aca="false">IF(S106&gt;=$C$3,T106/S106,"")</f>
        <v>1</v>
      </c>
      <c r="V106" s="54" t="n">
        <v>10</v>
      </c>
      <c r="W106" s="54" t="n">
        <v>10</v>
      </c>
      <c r="X106" s="55" t="n">
        <f aca="false">IF(V106&gt;=$C$3,W106/V106,"")</f>
        <v>1</v>
      </c>
      <c r="Y106" s="56" t="n">
        <f aca="false">COUNT(F106,I106,L106,O106,R106,U106,X106)</f>
        <v>7</v>
      </c>
      <c r="Z106" s="57" t="n">
        <f aca="false">IF(Y106=0,"",AVERAGE(F106,I106,L106,O106,R106,U106,X106))</f>
        <v>1</v>
      </c>
      <c r="AA106" s="58" t="n">
        <f aca="false">IF(ISNUMBER(Z106),C106*Z106,"")</f>
        <v>0.23</v>
      </c>
    </row>
    <row r="107" customFormat="false" ht="15" hidden="false" customHeight="false" outlineLevel="0" collapsed="false">
      <c r="A107" s="41" t="s">
        <v>1035</v>
      </c>
      <c r="B107" s="42" t="s">
        <v>3176</v>
      </c>
      <c r="C107" s="53" t="n">
        <v>2714.83</v>
      </c>
      <c r="D107" s="54" t="n">
        <v>115</v>
      </c>
      <c r="E107" s="54" t="n">
        <v>114</v>
      </c>
      <c r="F107" s="55" t="n">
        <f aca="false">IF(D107&gt;=$C$3,E107/D107,"")</f>
        <v>0.991304347826087</v>
      </c>
      <c r="G107" s="54" t="n">
        <v>9</v>
      </c>
      <c r="H107" s="54" t="n">
        <v>8</v>
      </c>
      <c r="I107" s="55" t="n">
        <f aca="false">IF(G107&gt;=$C$3,H107/G107,"")</f>
        <v>0.888888888888889</v>
      </c>
      <c r="J107" s="54" t="n">
        <v>12</v>
      </c>
      <c r="K107" s="54" t="n">
        <v>12</v>
      </c>
      <c r="L107" s="55" t="n">
        <f aca="false">IF(J107&gt;=$C$3,K107/J107,"")</f>
        <v>1</v>
      </c>
      <c r="M107" s="54" t="n">
        <v>11</v>
      </c>
      <c r="N107" s="54" t="n">
        <v>11</v>
      </c>
      <c r="O107" s="55" t="n">
        <f aca="false">IF(M107&gt;=$C$3,N107/M107,"")</f>
        <v>1</v>
      </c>
      <c r="P107" s="54" t="n">
        <v>10</v>
      </c>
      <c r="Q107" s="54" t="n">
        <v>10</v>
      </c>
      <c r="R107" s="55" t="n">
        <f aca="false">IF(P107&gt;=$C$3,Q107/P107,"")</f>
        <v>1</v>
      </c>
      <c r="S107" s="54" t="n">
        <v>3</v>
      </c>
      <c r="T107" s="54" t="n">
        <v>3</v>
      </c>
      <c r="U107" s="55" t="n">
        <f aca="false">IF(S107&gt;=$C$3,T107/S107,"")</f>
        <v>1</v>
      </c>
      <c r="V107" s="54" t="n">
        <v>26</v>
      </c>
      <c r="W107" s="54" t="n">
        <v>14</v>
      </c>
      <c r="X107" s="55" t="n">
        <f aca="false">IF(V107&gt;=$C$3,W107/V107,"")</f>
        <v>0.538461538461538</v>
      </c>
      <c r="Y107" s="56" t="n">
        <f aca="false">COUNT(F107,I107,L107,O107,R107,U107,X107)</f>
        <v>7</v>
      </c>
      <c r="Z107" s="57" t="n">
        <f aca="false">IF(Y107=0,"",AVERAGE(F107,I107,L107,O107,R107,U107,X107))</f>
        <v>0.916950682168073</v>
      </c>
      <c r="AA107" s="58" t="n">
        <f aca="false">IF(ISNUMBER(Z107),C107*Z107,"")</f>
        <v>2489.36522047035</v>
      </c>
    </row>
    <row r="108" customFormat="false" ht="15" hidden="false" customHeight="false" outlineLevel="0" collapsed="false">
      <c r="A108" s="41" t="s">
        <v>1236</v>
      </c>
      <c r="B108" s="42" t="s">
        <v>3177</v>
      </c>
      <c r="C108" s="53" t="n">
        <v>106496.78</v>
      </c>
      <c r="D108" s="54" t="n">
        <v>413</v>
      </c>
      <c r="E108" s="54" t="n">
        <v>141</v>
      </c>
      <c r="F108" s="55" t="n">
        <f aca="false">IF(D108&gt;=$C$3,E108/D108,"")</f>
        <v>0.341404358353511</v>
      </c>
      <c r="G108" s="54" t="n">
        <v>131</v>
      </c>
      <c r="H108" s="54" t="n">
        <v>23</v>
      </c>
      <c r="I108" s="55" t="n">
        <f aca="false">IF(G108&gt;=$C$3,H108/G108,"")</f>
        <v>0.175572519083969</v>
      </c>
      <c r="J108" s="54" t="n">
        <v>47</v>
      </c>
      <c r="K108" s="54" t="n">
        <v>2</v>
      </c>
      <c r="L108" s="55" t="n">
        <f aca="false">IF(J108&gt;=$C$3,K108/J108,"")</f>
        <v>0.0425531914893617</v>
      </c>
      <c r="M108" s="54" t="n">
        <v>154</v>
      </c>
      <c r="N108" s="54" t="n">
        <v>13</v>
      </c>
      <c r="O108" s="55" t="n">
        <f aca="false">IF(M108&gt;=$C$3,N108/M108,"")</f>
        <v>0.0844155844155844</v>
      </c>
      <c r="P108" s="54" t="n">
        <v>26</v>
      </c>
      <c r="Q108" s="54" t="n">
        <v>1</v>
      </c>
      <c r="R108" s="55" t="n">
        <f aca="false">IF(P108&gt;=$C$3,Q108/P108,"")</f>
        <v>0.0384615384615385</v>
      </c>
      <c r="S108" s="54" t="n">
        <v>68</v>
      </c>
      <c r="T108" s="54" t="n">
        <v>16</v>
      </c>
      <c r="U108" s="55" t="n">
        <f aca="false">IF(S108&gt;=$C$3,T108/S108,"")</f>
        <v>0.235294117647059</v>
      </c>
      <c r="V108" s="54" t="n">
        <v>142</v>
      </c>
      <c r="W108" s="54" t="n">
        <v>43</v>
      </c>
      <c r="X108" s="55" t="n">
        <f aca="false">IF(V108&gt;=$C$3,W108/V108,"")</f>
        <v>0.302816901408451</v>
      </c>
      <c r="Y108" s="56" t="n">
        <f aca="false">COUNT(F108,I108,L108,O108,R108,U108,X108)</f>
        <v>7</v>
      </c>
      <c r="Z108" s="57" t="n">
        <f aca="false">IF(Y108=0,"",AVERAGE(F108,I108,L108,O108,R108,U108,X108))</f>
        <v>0.174359744408496</v>
      </c>
      <c r="AA108" s="58" t="n">
        <f aca="false">IF(ISNUMBER(Z108),C108*Z108,"")</f>
        <v>18568.7513411279</v>
      </c>
    </row>
    <row r="109" customFormat="false" ht="15" hidden="false" customHeight="false" outlineLevel="0" collapsed="false">
      <c r="A109" s="41" t="s">
        <v>864</v>
      </c>
      <c r="B109" s="42" t="s">
        <v>3171</v>
      </c>
      <c r="C109" s="53" t="n">
        <v>46739.27</v>
      </c>
      <c r="D109" s="54" t="n">
        <v>1219</v>
      </c>
      <c r="E109" s="54" t="n">
        <v>422</v>
      </c>
      <c r="F109" s="55" t="n">
        <f aca="false">IF(D109&gt;=$C$3,E109/D109,"")</f>
        <v>0.346185397867104</v>
      </c>
      <c r="G109" s="54" t="n">
        <v>111</v>
      </c>
      <c r="H109" s="54" t="n">
        <v>39</v>
      </c>
      <c r="I109" s="55" t="n">
        <f aca="false">IF(G109&gt;=$C$3,H109/G109,"")</f>
        <v>0.351351351351351</v>
      </c>
      <c r="J109" s="54" t="n">
        <v>84</v>
      </c>
      <c r="K109" s="54" t="n">
        <v>39</v>
      </c>
      <c r="L109" s="55" t="n">
        <f aca="false">IF(J109&gt;=$C$3,K109/J109,"")</f>
        <v>0.464285714285714</v>
      </c>
      <c r="M109" s="54" t="n">
        <v>145</v>
      </c>
      <c r="N109" s="54" t="n">
        <v>58</v>
      </c>
      <c r="O109" s="55" t="n">
        <f aca="false">IF(M109&gt;=$C$3,N109/M109,"")</f>
        <v>0.4</v>
      </c>
      <c r="P109" s="54" t="n">
        <v>32</v>
      </c>
      <c r="Q109" s="54" t="n">
        <v>14</v>
      </c>
      <c r="R109" s="55" t="n">
        <f aca="false">IF(P109&gt;=$C$3,Q109/P109,"")</f>
        <v>0.4375</v>
      </c>
      <c r="S109" s="54" t="n">
        <v>218</v>
      </c>
      <c r="T109" s="54" t="n">
        <v>131</v>
      </c>
      <c r="U109" s="55" t="n">
        <f aca="false">IF(S109&gt;=$C$3,T109/S109,"")</f>
        <v>0.600917431192661</v>
      </c>
      <c r="V109" s="54" t="n">
        <v>561</v>
      </c>
      <c r="W109" s="54" t="n">
        <v>105</v>
      </c>
      <c r="X109" s="55" t="n">
        <f aca="false">IF(V109&gt;=$C$3,W109/V109,"")</f>
        <v>0.18716577540107</v>
      </c>
      <c r="Y109" s="56" t="n">
        <f aca="false">COUNT(F109,I109,L109,O109,R109,U109,X109)</f>
        <v>7</v>
      </c>
      <c r="Z109" s="57" t="n">
        <f aca="false">IF(Y109=0,"",AVERAGE(F109,I109,L109,O109,R109,U109,X109))</f>
        <v>0.398200810013986</v>
      </c>
      <c r="AA109" s="58" t="n">
        <f aca="false">IF(ISNUMBER(Z109),C109*Z109,"")</f>
        <v>18611.6151734624</v>
      </c>
    </row>
    <row r="110" customFormat="false" ht="15" hidden="false" customHeight="false" outlineLevel="0" collapsed="false">
      <c r="A110" s="41" t="s">
        <v>1242</v>
      </c>
      <c r="B110" s="42" t="s">
        <v>3172</v>
      </c>
      <c r="C110" s="53" t="n">
        <v>1210.6</v>
      </c>
      <c r="D110" s="54" t="n">
        <v>9</v>
      </c>
      <c r="E110" s="54" t="n">
        <v>6</v>
      </c>
      <c r="F110" s="55" t="n">
        <f aca="false">IF(D110&gt;=$C$3,E110/D110,"")</f>
        <v>0.666666666666667</v>
      </c>
      <c r="G110" s="54" t="n">
        <v>0</v>
      </c>
      <c r="H110" s="54" t="n">
        <v>0</v>
      </c>
      <c r="I110" s="55" t="str">
        <f aca="false">IF(G110&gt;=$C$3,H110/G110,"")</f>
        <v/>
      </c>
      <c r="J110" s="54" t="n">
        <v>0</v>
      </c>
      <c r="K110" s="54" t="n">
        <v>0</v>
      </c>
      <c r="L110" s="55" t="str">
        <f aca="false">IF(J110&gt;=$C$3,K110/J110,"")</f>
        <v/>
      </c>
      <c r="M110" s="54" t="n">
        <v>5</v>
      </c>
      <c r="N110" s="54" t="n">
        <v>5</v>
      </c>
      <c r="O110" s="55" t="n">
        <f aca="false">IF(M110&gt;=$C$3,N110/M110,"")</f>
        <v>1</v>
      </c>
      <c r="P110" s="54" t="n">
        <v>2</v>
      </c>
      <c r="Q110" s="54" t="n">
        <v>2</v>
      </c>
      <c r="R110" s="55" t="str">
        <f aca="false">IF(P110&gt;=$C$3,Q110/P110,"")</f>
        <v/>
      </c>
      <c r="S110" s="54" t="n">
        <v>1</v>
      </c>
      <c r="T110" s="54" t="n">
        <v>1</v>
      </c>
      <c r="U110" s="55" t="str">
        <f aca="false">IF(S110&gt;=$C$3,T110/S110,"")</f>
        <v/>
      </c>
      <c r="V110" s="54" t="n">
        <v>8</v>
      </c>
      <c r="W110" s="54" t="n">
        <v>8</v>
      </c>
      <c r="X110" s="55" t="n">
        <f aca="false">IF(V110&gt;=$C$3,W110/V110,"")</f>
        <v>1</v>
      </c>
      <c r="Y110" s="56" t="n">
        <f aca="false">COUNT(F110,I110,L110,O110,R110,U110,X110)</f>
        <v>3</v>
      </c>
      <c r="Z110" s="57" t="n">
        <f aca="false">IF(Y110=0,"",AVERAGE(F110,I110,L110,O110,R110,U110,X110))</f>
        <v>0.888888888888889</v>
      </c>
      <c r="AA110" s="58" t="n">
        <f aca="false">IF(ISNUMBER(Z110),C110*Z110,"")</f>
        <v>1076.08888888889</v>
      </c>
    </row>
    <row r="111" customFormat="false" ht="15" hidden="false" customHeight="false" outlineLevel="0" collapsed="false">
      <c r="A111" s="41" t="s">
        <v>869</v>
      </c>
      <c r="B111" s="42" t="s">
        <v>3193</v>
      </c>
      <c r="C111" s="53" t="n">
        <v>16781.35</v>
      </c>
      <c r="D111" s="54" t="n">
        <v>366</v>
      </c>
      <c r="E111" s="54" t="n">
        <v>318</v>
      </c>
      <c r="F111" s="55" t="n">
        <f aca="false">IF(D111&gt;=$C$3,E111/D111,"")</f>
        <v>0.868852459016393</v>
      </c>
      <c r="G111" s="54" t="n">
        <v>35</v>
      </c>
      <c r="H111" s="54" t="n">
        <v>24</v>
      </c>
      <c r="I111" s="55" t="n">
        <f aca="false">IF(G111&gt;=$C$3,H111/G111,"")</f>
        <v>0.685714285714286</v>
      </c>
      <c r="J111" s="54" t="n">
        <v>9</v>
      </c>
      <c r="K111" s="54" t="n">
        <v>8</v>
      </c>
      <c r="L111" s="55" t="n">
        <f aca="false">IF(J111&gt;=$C$3,K111/J111,"")</f>
        <v>0.888888888888889</v>
      </c>
      <c r="M111" s="54" t="n">
        <v>73</v>
      </c>
      <c r="N111" s="54" t="n">
        <v>28</v>
      </c>
      <c r="O111" s="55" t="n">
        <f aca="false">IF(M111&gt;=$C$3,N111/M111,"")</f>
        <v>0.383561643835616</v>
      </c>
      <c r="P111" s="54" t="n">
        <v>6</v>
      </c>
      <c r="Q111" s="54" t="n">
        <v>6</v>
      </c>
      <c r="R111" s="55" t="n">
        <f aca="false">IF(P111&gt;=$C$3,Q111/P111,"")</f>
        <v>1</v>
      </c>
      <c r="S111" s="54" t="n">
        <v>29</v>
      </c>
      <c r="T111" s="54" t="n">
        <v>19</v>
      </c>
      <c r="U111" s="55" t="n">
        <f aca="false">IF(S111&gt;=$C$3,T111/S111,"")</f>
        <v>0.655172413793103</v>
      </c>
      <c r="V111" s="54" t="n">
        <v>54</v>
      </c>
      <c r="W111" s="54" t="n">
        <v>33</v>
      </c>
      <c r="X111" s="55" t="n">
        <f aca="false">IF(V111&gt;=$C$3,W111/V111,"")</f>
        <v>0.611111111111111</v>
      </c>
      <c r="Y111" s="56" t="n">
        <f aca="false">COUNT(F111,I111,L111,O111,R111,U111,X111)</f>
        <v>7</v>
      </c>
      <c r="Z111" s="57" t="n">
        <f aca="false">IF(Y111=0,"",AVERAGE(F111,I111,L111,O111,R111,U111,X111))</f>
        <v>0.727614400337057</v>
      </c>
      <c r="AA111" s="58" t="n">
        <f aca="false">IF(ISNUMBER(Z111),C111*Z111,"")</f>
        <v>12210.3519170963</v>
      </c>
    </row>
    <row r="112" customFormat="false" ht="15" hidden="false" customHeight="false" outlineLevel="0" collapsed="false">
      <c r="A112" s="41" t="s">
        <v>616</v>
      </c>
      <c r="B112" s="42" t="s">
        <v>3194</v>
      </c>
      <c r="C112" s="53" t="n">
        <v>417765.21</v>
      </c>
      <c r="D112" s="54" t="n">
        <v>68</v>
      </c>
      <c r="E112" s="54" t="n">
        <v>68</v>
      </c>
      <c r="F112" s="55" t="n">
        <f aca="false">IF(D112&gt;=$C$3,E112/D112,"")</f>
        <v>1</v>
      </c>
      <c r="G112" s="54" t="n">
        <v>6</v>
      </c>
      <c r="H112" s="54" t="n">
        <v>6</v>
      </c>
      <c r="I112" s="55" t="n">
        <f aca="false">IF(G112&gt;=$C$3,H112/G112,"")</f>
        <v>1</v>
      </c>
      <c r="J112" s="54" t="n">
        <v>4</v>
      </c>
      <c r="K112" s="54" t="n">
        <v>4</v>
      </c>
      <c r="L112" s="55" t="n">
        <f aca="false">IF(J112&gt;=$C$3,K112/J112,"")</f>
        <v>1</v>
      </c>
      <c r="M112" s="54" t="n">
        <v>8</v>
      </c>
      <c r="N112" s="54" t="n">
        <v>8</v>
      </c>
      <c r="O112" s="55" t="n">
        <f aca="false">IF(M112&gt;=$C$3,N112/M112,"")</f>
        <v>1</v>
      </c>
      <c r="P112" s="54" t="n">
        <v>7</v>
      </c>
      <c r="Q112" s="54" t="n">
        <v>7</v>
      </c>
      <c r="R112" s="55" t="n">
        <f aca="false">IF(P112&gt;=$C$3,Q112/P112,"")</f>
        <v>1</v>
      </c>
      <c r="S112" s="54" t="n">
        <v>4</v>
      </c>
      <c r="T112" s="54" t="n">
        <v>4</v>
      </c>
      <c r="U112" s="55" t="n">
        <f aca="false">IF(S112&gt;=$C$3,T112/S112,"")</f>
        <v>1</v>
      </c>
      <c r="V112" s="54" t="n">
        <v>0</v>
      </c>
      <c r="W112" s="54" t="n">
        <v>0</v>
      </c>
      <c r="X112" s="55" t="str">
        <f aca="false">IF(V112&gt;=$C$3,W112/V112,"")</f>
        <v/>
      </c>
      <c r="Y112" s="56" t="n">
        <f aca="false">COUNT(F112,I112,L112,O112,R112,U112,X112)</f>
        <v>6</v>
      </c>
      <c r="Z112" s="57" t="n">
        <f aca="false">IF(Y112=0,"",AVERAGE(F112,I112,L112,O112,R112,U112,X112))</f>
        <v>1</v>
      </c>
      <c r="AA112" s="58" t="n">
        <f aca="false">IF(ISNUMBER(Z112),C112*Z112,"")</f>
        <v>417765.21</v>
      </c>
    </row>
    <row r="113" customFormat="false" ht="15" hidden="false" customHeight="false" outlineLevel="0" collapsed="false">
      <c r="A113" s="41" t="s">
        <v>439</v>
      </c>
      <c r="B113" s="42" t="s">
        <v>3179</v>
      </c>
      <c r="C113" s="53" t="n">
        <v>8000.57</v>
      </c>
      <c r="D113" s="54" t="n">
        <v>65</v>
      </c>
      <c r="E113" s="54" t="n">
        <v>31</v>
      </c>
      <c r="F113" s="55" t="n">
        <f aca="false">IF(D113&gt;=$C$3,E113/D113,"")</f>
        <v>0.476923076923077</v>
      </c>
      <c r="G113" s="54" t="n">
        <v>22</v>
      </c>
      <c r="H113" s="54" t="n">
        <v>3</v>
      </c>
      <c r="I113" s="55" t="n">
        <f aca="false">IF(G113&gt;=$C$3,H113/G113,"")</f>
        <v>0.136363636363636</v>
      </c>
      <c r="J113" s="54" t="n">
        <v>8</v>
      </c>
      <c r="K113" s="54" t="n">
        <v>1</v>
      </c>
      <c r="L113" s="55" t="n">
        <f aca="false">IF(J113&gt;=$C$3,K113/J113,"")</f>
        <v>0.125</v>
      </c>
      <c r="M113" s="54" t="n">
        <v>16</v>
      </c>
      <c r="N113" s="54" t="n">
        <v>5</v>
      </c>
      <c r="O113" s="55" t="n">
        <f aca="false">IF(M113&gt;=$C$3,N113/M113,"")</f>
        <v>0.3125</v>
      </c>
      <c r="P113" s="54" t="n">
        <v>15</v>
      </c>
      <c r="Q113" s="54" t="n">
        <v>7</v>
      </c>
      <c r="R113" s="55" t="n">
        <f aca="false">IF(P113&gt;=$C$3,Q113/P113,"")</f>
        <v>0.466666666666667</v>
      </c>
      <c r="S113" s="54" t="n">
        <v>1</v>
      </c>
      <c r="T113" s="54" t="n">
        <v>1</v>
      </c>
      <c r="U113" s="55" t="str">
        <f aca="false">IF(S113&gt;=$C$3,T113/S113,"")</f>
        <v/>
      </c>
      <c r="V113" s="54" t="n">
        <v>22</v>
      </c>
      <c r="W113" s="54" t="n">
        <v>11</v>
      </c>
      <c r="X113" s="55" t="n">
        <f aca="false">IF(V113&gt;=$C$3,W113/V113,"")</f>
        <v>0.5</v>
      </c>
      <c r="Y113" s="56" t="n">
        <f aca="false">COUNT(F113,I113,L113,O113,R113,U113,X113)</f>
        <v>6</v>
      </c>
      <c r="Z113" s="57" t="n">
        <f aca="false">IF(Y113=0,"",AVERAGE(F113,I113,L113,O113,R113,U113,X113))</f>
        <v>0.33624222999223</v>
      </c>
      <c r="AA113" s="58" t="n">
        <f aca="false">IF(ISNUMBER(Z113),C113*Z113,"")</f>
        <v>2690.12949800894</v>
      </c>
    </row>
    <row r="114" customFormat="false" ht="15" hidden="false" customHeight="false" outlineLevel="0" collapsed="false">
      <c r="A114" s="41" t="s">
        <v>444</v>
      </c>
      <c r="B114" s="42" t="s">
        <v>3176</v>
      </c>
      <c r="C114" s="53" t="n">
        <v>4183.29</v>
      </c>
      <c r="D114" s="54" t="n">
        <v>97</v>
      </c>
      <c r="E114" s="54" t="n">
        <v>87</v>
      </c>
      <c r="F114" s="55" t="n">
        <f aca="false">IF(D114&gt;=$C$3,E114/D114,"")</f>
        <v>0.896907216494845</v>
      </c>
      <c r="G114" s="54" t="n">
        <v>11</v>
      </c>
      <c r="H114" s="54" t="n">
        <v>10</v>
      </c>
      <c r="I114" s="55" t="n">
        <f aca="false">IF(G114&gt;=$C$3,H114/G114,"")</f>
        <v>0.909090909090909</v>
      </c>
      <c r="J114" s="54" t="n">
        <v>4</v>
      </c>
      <c r="K114" s="54" t="n">
        <v>3</v>
      </c>
      <c r="L114" s="55" t="n">
        <f aca="false">IF(J114&gt;=$C$3,K114/J114,"")</f>
        <v>0.75</v>
      </c>
      <c r="M114" s="54" t="n">
        <v>8</v>
      </c>
      <c r="N114" s="54" t="n">
        <v>6</v>
      </c>
      <c r="O114" s="55" t="n">
        <f aca="false">IF(M114&gt;=$C$3,N114/M114,"")</f>
        <v>0.75</v>
      </c>
      <c r="P114" s="54" t="n">
        <v>3</v>
      </c>
      <c r="Q114" s="54" t="n">
        <v>1</v>
      </c>
      <c r="R114" s="55" t="n">
        <f aca="false">IF(P114&gt;=$C$3,Q114/P114,"")</f>
        <v>0.333333333333333</v>
      </c>
      <c r="S114" s="54" t="n">
        <v>1</v>
      </c>
      <c r="T114" s="54" t="n">
        <v>1</v>
      </c>
      <c r="U114" s="55" t="str">
        <f aca="false">IF(S114&gt;=$C$3,T114/S114,"")</f>
        <v/>
      </c>
      <c r="V114" s="54" t="n">
        <v>12</v>
      </c>
      <c r="W114" s="54" t="n">
        <v>6</v>
      </c>
      <c r="X114" s="55" t="n">
        <f aca="false">IF(V114&gt;=$C$3,W114/V114,"")</f>
        <v>0.5</v>
      </c>
      <c r="Y114" s="56" t="n">
        <f aca="false">COUNT(F114,I114,L114,O114,R114,U114,X114)</f>
        <v>6</v>
      </c>
      <c r="Z114" s="57" t="n">
        <f aca="false">IF(Y114=0,"",AVERAGE(F114,I114,L114,O114,R114,U114,X114))</f>
        <v>0.689888576486515</v>
      </c>
      <c r="AA114" s="58" t="n">
        <f aca="false">IF(ISNUMBER(Z114),C114*Z114,"")</f>
        <v>2886.00398313027</v>
      </c>
    </row>
    <row r="115" customFormat="false" ht="15" hidden="false" customHeight="false" outlineLevel="0" collapsed="false">
      <c r="A115" s="41" t="s">
        <v>451</v>
      </c>
      <c r="B115" s="42" t="s">
        <v>3172</v>
      </c>
      <c r="C115" s="53" t="n">
        <v>59407.06</v>
      </c>
      <c r="D115" s="54" t="n">
        <v>304</v>
      </c>
      <c r="E115" s="54" t="n">
        <v>303</v>
      </c>
      <c r="F115" s="55" t="n">
        <f aca="false">IF(D115&gt;=$C$3,E115/D115,"")</f>
        <v>0.99671052631579</v>
      </c>
      <c r="G115" s="54" t="n">
        <v>37</v>
      </c>
      <c r="H115" s="54" t="n">
        <v>35</v>
      </c>
      <c r="I115" s="55" t="n">
        <f aca="false">IF(G115&gt;=$C$3,H115/G115,"")</f>
        <v>0.945945945945946</v>
      </c>
      <c r="J115" s="54" t="n">
        <v>16</v>
      </c>
      <c r="K115" s="54" t="n">
        <v>16</v>
      </c>
      <c r="L115" s="55" t="n">
        <f aca="false">IF(J115&gt;=$C$3,K115/J115,"")</f>
        <v>1</v>
      </c>
      <c r="M115" s="54" t="n">
        <v>17</v>
      </c>
      <c r="N115" s="54" t="n">
        <v>17</v>
      </c>
      <c r="O115" s="55" t="n">
        <f aca="false">IF(M115&gt;=$C$3,N115/M115,"")</f>
        <v>1</v>
      </c>
      <c r="P115" s="54" t="n">
        <v>26</v>
      </c>
      <c r="Q115" s="54" t="n">
        <v>26</v>
      </c>
      <c r="R115" s="55" t="n">
        <f aca="false">IF(P115&gt;=$C$3,Q115/P115,"")</f>
        <v>1</v>
      </c>
      <c r="S115" s="54" t="n">
        <v>15</v>
      </c>
      <c r="T115" s="54" t="n">
        <v>15</v>
      </c>
      <c r="U115" s="55" t="n">
        <f aca="false">IF(S115&gt;=$C$3,T115/S115,"")</f>
        <v>1</v>
      </c>
      <c r="V115" s="54" t="n">
        <v>25</v>
      </c>
      <c r="W115" s="54" t="n">
        <v>25</v>
      </c>
      <c r="X115" s="55" t="n">
        <f aca="false">IF(V115&gt;=$C$3,W115/V115,"")</f>
        <v>1</v>
      </c>
      <c r="Y115" s="56" t="n">
        <f aca="false">COUNT(F115,I115,L115,O115,R115,U115,X115)</f>
        <v>7</v>
      </c>
      <c r="Z115" s="57" t="n">
        <f aca="false">IF(Y115=0,"",AVERAGE(F115,I115,L115,O115,R115,U115,X115))</f>
        <v>0.991808067465962</v>
      </c>
      <c r="AA115" s="58" t="n">
        <f aca="false">IF(ISNUMBER(Z115),C115*Z115,"")</f>
        <v>58920.4013724345</v>
      </c>
    </row>
    <row r="116" customFormat="false" ht="15" hidden="false" customHeight="false" outlineLevel="0" collapsed="false">
      <c r="A116" s="41" t="s">
        <v>459</v>
      </c>
      <c r="B116" s="42" t="s">
        <v>3187</v>
      </c>
      <c r="C116" s="53" t="n">
        <v>703.44</v>
      </c>
      <c r="D116" s="54" t="n">
        <v>37</v>
      </c>
      <c r="E116" s="54" t="n">
        <v>37</v>
      </c>
      <c r="F116" s="55" t="n">
        <f aca="false">IF(D116&gt;=$C$3,E116/D116,"")</f>
        <v>1</v>
      </c>
      <c r="G116" s="54" t="n">
        <v>3</v>
      </c>
      <c r="H116" s="54" t="n">
        <v>1</v>
      </c>
      <c r="I116" s="55" t="n">
        <f aca="false">IF(G116&gt;=$C$3,H116/G116,"")</f>
        <v>0.333333333333333</v>
      </c>
      <c r="J116" s="54" t="n">
        <v>3</v>
      </c>
      <c r="K116" s="54" t="n">
        <v>3</v>
      </c>
      <c r="L116" s="55" t="n">
        <f aca="false">IF(J116&gt;=$C$3,K116/J116,"")</f>
        <v>1</v>
      </c>
      <c r="M116" s="54" t="n">
        <v>7</v>
      </c>
      <c r="N116" s="54" t="n">
        <v>5</v>
      </c>
      <c r="O116" s="55" t="n">
        <f aca="false">IF(M116&gt;=$C$3,N116/M116,"")</f>
        <v>0.714285714285714</v>
      </c>
      <c r="P116" s="54" t="n">
        <v>3</v>
      </c>
      <c r="Q116" s="54" t="n">
        <v>1</v>
      </c>
      <c r="R116" s="55" t="n">
        <f aca="false">IF(P116&gt;=$C$3,Q116/P116,"")</f>
        <v>0.333333333333333</v>
      </c>
      <c r="S116" s="54" t="n">
        <v>0</v>
      </c>
      <c r="T116" s="54" t="n">
        <v>0</v>
      </c>
      <c r="U116" s="55" t="str">
        <f aca="false">IF(S116&gt;=$C$3,T116/S116,"")</f>
        <v/>
      </c>
      <c r="V116" s="54" t="n">
        <v>8</v>
      </c>
      <c r="W116" s="54" t="n">
        <v>6</v>
      </c>
      <c r="X116" s="55" t="n">
        <f aca="false">IF(V116&gt;=$C$3,W116/V116,"")</f>
        <v>0.75</v>
      </c>
      <c r="Y116" s="56" t="n">
        <f aca="false">COUNT(F116,I116,L116,O116,R116,U116,X116)</f>
        <v>6</v>
      </c>
      <c r="Z116" s="57" t="n">
        <f aca="false">IF(Y116=0,"",AVERAGE(F116,I116,L116,O116,R116,U116,X116))</f>
        <v>0.688492063492064</v>
      </c>
      <c r="AA116" s="58" t="n">
        <f aca="false">IF(ISNUMBER(Z116),C116*Z116,"")</f>
        <v>484.312857142857</v>
      </c>
    </row>
    <row r="117" customFormat="false" ht="15" hidden="false" customHeight="false" outlineLevel="0" collapsed="false">
      <c r="A117" s="41" t="s">
        <v>1419</v>
      </c>
      <c r="B117" s="42" t="s">
        <v>3171</v>
      </c>
      <c r="C117" s="53" t="n">
        <v>1894.78</v>
      </c>
      <c r="D117" s="54" t="n">
        <v>8</v>
      </c>
      <c r="E117" s="54" t="n">
        <v>8</v>
      </c>
      <c r="F117" s="55" t="n">
        <f aca="false">IF(D117&gt;=$C$3,E117/D117,"")</f>
        <v>1</v>
      </c>
      <c r="G117" s="54" t="n">
        <v>8</v>
      </c>
      <c r="H117" s="54" t="n">
        <v>8</v>
      </c>
      <c r="I117" s="55" t="n">
        <f aca="false">IF(G117&gt;=$C$3,H117/G117,"")</f>
        <v>1</v>
      </c>
      <c r="J117" s="54" t="n">
        <v>0</v>
      </c>
      <c r="K117" s="54" t="n">
        <v>0</v>
      </c>
      <c r="L117" s="55" t="str">
        <f aca="false">IF(J117&gt;=$C$3,K117/J117,"")</f>
        <v/>
      </c>
      <c r="M117" s="54" t="n">
        <v>24</v>
      </c>
      <c r="N117" s="54" t="n">
        <v>24</v>
      </c>
      <c r="O117" s="55" t="n">
        <f aca="false">IF(M117&gt;=$C$3,N117/M117,"")</f>
        <v>1</v>
      </c>
      <c r="P117" s="54" t="n">
        <v>0</v>
      </c>
      <c r="Q117" s="54" t="n">
        <v>0</v>
      </c>
      <c r="R117" s="55" t="str">
        <f aca="false">IF(P117&gt;=$C$3,Q117/P117,"")</f>
        <v/>
      </c>
      <c r="S117" s="54" t="n">
        <v>0</v>
      </c>
      <c r="T117" s="54" t="n">
        <v>0</v>
      </c>
      <c r="U117" s="55" t="str">
        <f aca="false">IF(S117&gt;=$C$3,T117/S117,"")</f>
        <v/>
      </c>
      <c r="V117" s="54" t="n">
        <v>0</v>
      </c>
      <c r="W117" s="54" t="n">
        <v>0</v>
      </c>
      <c r="X117" s="55" t="str">
        <f aca="false">IF(V117&gt;=$C$3,W117/V117,"")</f>
        <v/>
      </c>
      <c r="Y117" s="56" t="n">
        <f aca="false">COUNT(F117,I117,L117,O117,R117,U117,X117)</f>
        <v>3</v>
      </c>
      <c r="Z117" s="57" t="n">
        <f aca="false">IF(Y117=0,"",AVERAGE(F117,I117,L117,O117,R117,U117,X117))</f>
        <v>1</v>
      </c>
      <c r="AA117" s="58" t="n">
        <f aca="false">IF(ISNUMBER(Z117),C117*Z117,"")</f>
        <v>1894.78</v>
      </c>
    </row>
    <row r="118" customFormat="false" ht="15" hidden="false" customHeight="false" outlineLevel="0" collapsed="false">
      <c r="A118" s="41" t="s">
        <v>1255</v>
      </c>
      <c r="B118" s="42" t="s">
        <v>3171</v>
      </c>
      <c r="C118" s="53" t="n">
        <v>117.07</v>
      </c>
      <c r="D118" s="54" t="n">
        <v>3</v>
      </c>
      <c r="E118" s="54" t="n">
        <v>3</v>
      </c>
      <c r="F118" s="55" t="n">
        <f aca="false">IF(D118&gt;=$C$3,E118/D118,"")</f>
        <v>1</v>
      </c>
      <c r="G118" s="54" t="n">
        <v>0</v>
      </c>
      <c r="H118" s="54" t="n">
        <v>0</v>
      </c>
      <c r="I118" s="55" t="str">
        <f aca="false">IF(G118&gt;=$C$3,H118/G118,"")</f>
        <v/>
      </c>
      <c r="J118" s="54" t="n">
        <v>0</v>
      </c>
      <c r="K118" s="54" t="n">
        <v>0</v>
      </c>
      <c r="L118" s="55" t="str">
        <f aca="false">IF(J118&gt;=$C$3,K118/J118,"")</f>
        <v/>
      </c>
      <c r="M118" s="54" t="n">
        <v>0</v>
      </c>
      <c r="N118" s="54" t="n">
        <v>0</v>
      </c>
      <c r="O118" s="55" t="str">
        <f aca="false">IF(M118&gt;=$C$3,N118/M118,"")</f>
        <v/>
      </c>
      <c r="P118" s="54" t="n">
        <v>0</v>
      </c>
      <c r="Q118" s="54" t="n">
        <v>0</v>
      </c>
      <c r="R118" s="55" t="str">
        <f aca="false">IF(P118&gt;=$C$3,Q118/P118,"")</f>
        <v/>
      </c>
      <c r="S118" s="54" t="n">
        <v>0</v>
      </c>
      <c r="T118" s="54" t="n">
        <v>0</v>
      </c>
      <c r="U118" s="55" t="str">
        <f aca="false">IF(S118&gt;=$C$3,T118/S118,"")</f>
        <v/>
      </c>
      <c r="V118" s="54" t="n">
        <v>2</v>
      </c>
      <c r="W118" s="54" t="n">
        <v>2</v>
      </c>
      <c r="X118" s="55" t="str">
        <f aca="false">IF(V118&gt;=$C$3,W118/V118,"")</f>
        <v/>
      </c>
      <c r="Y118" s="56" t="n">
        <f aca="false">COUNT(F118,I118,L118,O118,R118,U118,X118)</f>
        <v>1</v>
      </c>
      <c r="Z118" s="57" t="n">
        <f aca="false">IF(Y118=0,"",AVERAGE(F118,I118,L118,O118,R118,U118,X118))</f>
        <v>1</v>
      </c>
      <c r="AA118" s="58" t="n">
        <f aca="false">IF(ISNUMBER(Z118),C118*Z118,"")</f>
        <v>117.07</v>
      </c>
    </row>
    <row r="119" customFormat="false" ht="15" hidden="false" customHeight="false" outlineLevel="0" collapsed="false">
      <c r="A119" s="41" t="s">
        <v>266</v>
      </c>
      <c r="B119" s="42" t="s">
        <v>3195</v>
      </c>
      <c r="C119" s="53" t="n">
        <v>16792.84</v>
      </c>
      <c r="D119" s="54" t="n">
        <v>271</v>
      </c>
      <c r="E119" s="54" t="n">
        <v>198</v>
      </c>
      <c r="F119" s="55" t="n">
        <f aca="false">IF(D119&gt;=$C$3,E119/D119,"")</f>
        <v>0.730627306273063</v>
      </c>
      <c r="G119" s="54" t="n">
        <v>58</v>
      </c>
      <c r="H119" s="54" t="n">
        <v>47</v>
      </c>
      <c r="I119" s="55" t="n">
        <f aca="false">IF(G119&gt;=$C$3,H119/G119,"")</f>
        <v>0.810344827586207</v>
      </c>
      <c r="J119" s="54" t="n">
        <v>50</v>
      </c>
      <c r="K119" s="54" t="n">
        <v>42</v>
      </c>
      <c r="L119" s="55" t="n">
        <f aca="false">IF(J119&gt;=$C$3,K119/J119,"")</f>
        <v>0.84</v>
      </c>
      <c r="M119" s="54" t="n">
        <v>44</v>
      </c>
      <c r="N119" s="54" t="n">
        <v>32</v>
      </c>
      <c r="O119" s="55" t="n">
        <f aca="false">IF(M119&gt;=$C$3,N119/M119,"")</f>
        <v>0.727272727272727</v>
      </c>
      <c r="P119" s="54" t="n">
        <v>11</v>
      </c>
      <c r="Q119" s="54" t="n">
        <v>8</v>
      </c>
      <c r="R119" s="55" t="n">
        <f aca="false">IF(P119&gt;=$C$3,Q119/P119,"")</f>
        <v>0.727272727272727</v>
      </c>
      <c r="S119" s="54" t="n">
        <v>28</v>
      </c>
      <c r="T119" s="54" t="n">
        <v>26</v>
      </c>
      <c r="U119" s="55" t="n">
        <f aca="false">IF(S119&gt;=$C$3,T119/S119,"")</f>
        <v>0.928571428571429</v>
      </c>
      <c r="V119" s="54" t="n">
        <v>46</v>
      </c>
      <c r="W119" s="54" t="n">
        <v>31</v>
      </c>
      <c r="X119" s="55" t="n">
        <f aca="false">IF(V119&gt;=$C$3,W119/V119,"")</f>
        <v>0.673913043478261</v>
      </c>
      <c r="Y119" s="56" t="n">
        <f aca="false">COUNT(F119,I119,L119,O119,R119,U119,X119)</f>
        <v>7</v>
      </c>
      <c r="Z119" s="57" t="n">
        <f aca="false">IF(Y119=0,"",AVERAGE(F119,I119,L119,O119,R119,U119,X119))</f>
        <v>0.776857437207773</v>
      </c>
      <c r="AA119" s="58" t="n">
        <f aca="false">IF(ISNUMBER(Z119),C119*Z119,"")</f>
        <v>13045.6426458402</v>
      </c>
    </row>
    <row r="120" customFormat="false" ht="15" hidden="false" customHeight="false" outlineLevel="0" collapsed="false">
      <c r="A120" s="41" t="s">
        <v>465</v>
      </c>
      <c r="B120" s="42" t="s">
        <v>3196</v>
      </c>
      <c r="C120" s="53" t="n">
        <v>4745.88</v>
      </c>
      <c r="D120" s="54" t="n">
        <v>35</v>
      </c>
      <c r="E120" s="54" t="n">
        <v>35</v>
      </c>
      <c r="F120" s="55" t="n">
        <f aca="false">IF(D120&gt;=$C$3,E120/D120,"")</f>
        <v>1</v>
      </c>
      <c r="G120" s="54" t="n">
        <v>2</v>
      </c>
      <c r="H120" s="54" t="n">
        <v>2</v>
      </c>
      <c r="I120" s="55" t="str">
        <f aca="false">IF(G120&gt;=$C$3,H120/G120,"")</f>
        <v/>
      </c>
      <c r="J120" s="54" t="n">
        <v>6</v>
      </c>
      <c r="K120" s="54" t="n">
        <v>6</v>
      </c>
      <c r="L120" s="55" t="n">
        <f aca="false">IF(J120&gt;=$C$3,K120/J120,"")</f>
        <v>1</v>
      </c>
      <c r="M120" s="54" t="n">
        <v>2</v>
      </c>
      <c r="N120" s="54" t="n">
        <v>2</v>
      </c>
      <c r="O120" s="55" t="str">
        <f aca="false">IF(M120&gt;=$C$3,N120/M120,"")</f>
        <v/>
      </c>
      <c r="P120" s="54" t="n">
        <v>0</v>
      </c>
      <c r="Q120" s="54" t="n">
        <v>0</v>
      </c>
      <c r="R120" s="55" t="str">
        <f aca="false">IF(P120&gt;=$C$3,Q120/P120,"")</f>
        <v/>
      </c>
      <c r="S120" s="54" t="n">
        <v>1</v>
      </c>
      <c r="T120" s="54" t="n">
        <v>1</v>
      </c>
      <c r="U120" s="55" t="str">
        <f aca="false">IF(S120&gt;=$C$3,T120/S120,"")</f>
        <v/>
      </c>
      <c r="V120" s="54" t="n">
        <v>24</v>
      </c>
      <c r="W120" s="54" t="n">
        <v>24</v>
      </c>
      <c r="X120" s="55" t="n">
        <f aca="false">IF(V120&gt;=$C$3,W120/V120,"")</f>
        <v>1</v>
      </c>
      <c r="Y120" s="56" t="n">
        <f aca="false">COUNT(F120,I120,L120,O120,R120,U120,X120)</f>
        <v>3</v>
      </c>
      <c r="Z120" s="57" t="n">
        <f aca="false">IF(Y120=0,"",AVERAGE(F120,I120,L120,O120,R120,U120,X120))</f>
        <v>1</v>
      </c>
      <c r="AA120" s="58" t="n">
        <f aca="false">IF(ISNUMBER(Z120),C120*Z120,"")</f>
        <v>4745.88</v>
      </c>
    </row>
    <row r="121" customFormat="false" ht="15" hidden="false" customHeight="false" outlineLevel="0" collapsed="false">
      <c r="A121" s="41" t="s">
        <v>1049</v>
      </c>
      <c r="B121" s="42" t="s">
        <v>3171</v>
      </c>
      <c r="C121" s="53" t="n">
        <v>5838.25</v>
      </c>
      <c r="D121" s="54" t="n">
        <v>218</v>
      </c>
      <c r="E121" s="54" t="n">
        <v>155</v>
      </c>
      <c r="F121" s="55" t="n">
        <f aca="false">IF(D121&gt;=$C$3,E121/D121,"")</f>
        <v>0.711009174311927</v>
      </c>
      <c r="G121" s="54" t="n">
        <v>47</v>
      </c>
      <c r="H121" s="54" t="n">
        <v>22</v>
      </c>
      <c r="I121" s="55" t="n">
        <f aca="false">IF(G121&gt;=$C$3,H121/G121,"")</f>
        <v>0.468085106382979</v>
      </c>
      <c r="J121" s="54" t="n">
        <v>14</v>
      </c>
      <c r="K121" s="54" t="n">
        <v>10</v>
      </c>
      <c r="L121" s="55" t="n">
        <f aca="false">IF(J121&gt;=$C$3,K121/J121,"")</f>
        <v>0.714285714285714</v>
      </c>
      <c r="M121" s="54" t="n">
        <v>52</v>
      </c>
      <c r="N121" s="54" t="n">
        <v>48</v>
      </c>
      <c r="O121" s="55" t="n">
        <f aca="false">IF(M121&gt;=$C$3,N121/M121,"")</f>
        <v>0.923076923076923</v>
      </c>
      <c r="P121" s="54" t="n">
        <v>27</v>
      </c>
      <c r="Q121" s="54" t="n">
        <v>24</v>
      </c>
      <c r="R121" s="55" t="n">
        <f aca="false">IF(P121&gt;=$C$3,Q121/P121,"")</f>
        <v>0.888888888888889</v>
      </c>
      <c r="S121" s="54" t="n">
        <v>12</v>
      </c>
      <c r="T121" s="54" t="n">
        <v>12</v>
      </c>
      <c r="U121" s="55" t="n">
        <f aca="false">IF(S121&gt;=$C$3,T121/S121,"")</f>
        <v>1</v>
      </c>
      <c r="V121" s="54" t="n">
        <v>30</v>
      </c>
      <c r="W121" s="54" t="n">
        <v>27</v>
      </c>
      <c r="X121" s="55" t="n">
        <f aca="false">IF(V121&gt;=$C$3,W121/V121,"")</f>
        <v>0.9</v>
      </c>
      <c r="Y121" s="56" t="n">
        <f aca="false">COUNT(F121,I121,L121,O121,R121,U121,X121)</f>
        <v>7</v>
      </c>
      <c r="Z121" s="57" t="n">
        <f aca="false">IF(Y121=0,"",AVERAGE(F121,I121,L121,O121,R121,U121,X121))</f>
        <v>0.800763686706633</v>
      </c>
      <c r="AA121" s="58" t="n">
        <f aca="false">IF(ISNUMBER(Z121),C121*Z121,"")</f>
        <v>4675.058593915</v>
      </c>
    </row>
    <row r="122" customFormat="false" ht="15" hidden="false" customHeight="false" outlineLevel="0" collapsed="false">
      <c r="A122" s="41" t="s">
        <v>789</v>
      </c>
      <c r="B122" s="42" t="s">
        <v>3170</v>
      </c>
      <c r="C122" s="53" t="n">
        <v>4036.55</v>
      </c>
      <c r="D122" s="54" t="n">
        <v>55</v>
      </c>
      <c r="E122" s="54" t="n">
        <v>55</v>
      </c>
      <c r="F122" s="55" t="n">
        <f aca="false">IF(D122&gt;=$C$3,E122/D122,"")</f>
        <v>1</v>
      </c>
      <c r="G122" s="54" t="n">
        <v>5</v>
      </c>
      <c r="H122" s="54" t="n">
        <v>5</v>
      </c>
      <c r="I122" s="55" t="n">
        <f aca="false">IF(G122&gt;=$C$3,H122/G122,"")</f>
        <v>1</v>
      </c>
      <c r="J122" s="54" t="n">
        <v>2</v>
      </c>
      <c r="K122" s="54" t="n">
        <v>2</v>
      </c>
      <c r="L122" s="55" t="str">
        <f aca="false">IF(J122&gt;=$C$3,K122/J122,"")</f>
        <v/>
      </c>
      <c r="M122" s="54" t="n">
        <v>3</v>
      </c>
      <c r="N122" s="54" t="n">
        <v>3</v>
      </c>
      <c r="O122" s="55" t="n">
        <f aca="false">IF(M122&gt;=$C$3,N122/M122,"")</f>
        <v>1</v>
      </c>
      <c r="P122" s="54" t="n">
        <v>0</v>
      </c>
      <c r="Q122" s="54" t="n">
        <v>0</v>
      </c>
      <c r="R122" s="55" t="str">
        <f aca="false">IF(P122&gt;=$C$3,Q122/P122,"")</f>
        <v/>
      </c>
      <c r="S122" s="54" t="n">
        <v>2</v>
      </c>
      <c r="T122" s="54" t="n">
        <v>2</v>
      </c>
      <c r="U122" s="55" t="str">
        <f aca="false">IF(S122&gt;=$C$3,T122/S122,"")</f>
        <v/>
      </c>
      <c r="V122" s="54" t="n">
        <v>11</v>
      </c>
      <c r="W122" s="54" t="n">
        <v>11</v>
      </c>
      <c r="X122" s="55" t="n">
        <f aca="false">IF(V122&gt;=$C$3,W122/V122,"")</f>
        <v>1</v>
      </c>
      <c r="Y122" s="56" t="n">
        <f aca="false">COUNT(F122,I122,L122,O122,R122,U122,X122)</f>
        <v>4</v>
      </c>
      <c r="Z122" s="57" t="n">
        <f aca="false">IF(Y122=0,"",AVERAGE(F122,I122,L122,O122,R122,U122,X122))</f>
        <v>1</v>
      </c>
      <c r="AA122" s="58" t="n">
        <f aca="false">IF(ISNUMBER(Z122),C122*Z122,"")</f>
        <v>4036.55</v>
      </c>
    </row>
    <row r="123" customFormat="false" ht="15" hidden="false" customHeight="false" outlineLevel="0" collapsed="false">
      <c r="A123" s="41" t="s">
        <v>469</v>
      </c>
      <c r="B123" s="42" t="s">
        <v>3176</v>
      </c>
      <c r="C123" s="53" t="n">
        <v>7654.85</v>
      </c>
      <c r="D123" s="54" t="n">
        <v>59</v>
      </c>
      <c r="E123" s="54" t="n">
        <v>50</v>
      </c>
      <c r="F123" s="55" t="n">
        <f aca="false">IF(D123&gt;=$C$3,E123/D123,"")</f>
        <v>0.847457627118644</v>
      </c>
      <c r="G123" s="54" t="n">
        <v>7</v>
      </c>
      <c r="H123" s="54" t="n">
        <v>5</v>
      </c>
      <c r="I123" s="55" t="n">
        <f aca="false">IF(G123&gt;=$C$3,H123/G123,"")</f>
        <v>0.714285714285714</v>
      </c>
      <c r="J123" s="54" t="n">
        <v>3</v>
      </c>
      <c r="K123" s="54" t="n">
        <v>3</v>
      </c>
      <c r="L123" s="55" t="n">
        <f aca="false">IF(J123&gt;=$C$3,K123/J123,"")</f>
        <v>1</v>
      </c>
      <c r="M123" s="54" t="n">
        <v>7</v>
      </c>
      <c r="N123" s="54" t="n">
        <v>7</v>
      </c>
      <c r="O123" s="55" t="n">
        <f aca="false">IF(M123&gt;=$C$3,N123/M123,"")</f>
        <v>1</v>
      </c>
      <c r="P123" s="54" t="n">
        <v>2</v>
      </c>
      <c r="Q123" s="54" t="n">
        <v>2</v>
      </c>
      <c r="R123" s="55" t="str">
        <f aca="false">IF(P123&gt;=$C$3,Q123/P123,"")</f>
        <v/>
      </c>
      <c r="S123" s="54" t="n">
        <v>1</v>
      </c>
      <c r="T123" s="54" t="n">
        <v>1</v>
      </c>
      <c r="U123" s="55" t="str">
        <f aca="false">IF(S123&gt;=$C$3,T123/S123,"")</f>
        <v/>
      </c>
      <c r="V123" s="54" t="n">
        <v>20</v>
      </c>
      <c r="W123" s="54" t="n">
        <v>17</v>
      </c>
      <c r="X123" s="55" t="n">
        <f aca="false">IF(V123&gt;=$C$3,W123/V123,"")</f>
        <v>0.85</v>
      </c>
      <c r="Y123" s="56" t="n">
        <f aca="false">COUNT(F123,I123,L123,O123,R123,U123,X123)</f>
        <v>5</v>
      </c>
      <c r="Z123" s="57" t="n">
        <f aca="false">IF(Y123=0,"",AVERAGE(F123,I123,L123,O123,R123,U123,X123))</f>
        <v>0.882348668280872</v>
      </c>
      <c r="AA123" s="58" t="n">
        <f aca="false">IF(ISNUMBER(Z123),C123*Z123,"")</f>
        <v>6754.24670338983</v>
      </c>
    </row>
    <row r="124" customFormat="false" ht="15" hidden="false" customHeight="false" outlineLevel="0" collapsed="false">
      <c r="A124" s="41" t="s">
        <v>1061</v>
      </c>
      <c r="B124" s="42" t="s">
        <v>3197</v>
      </c>
      <c r="C124" s="53" t="n">
        <v>693.76</v>
      </c>
      <c r="D124" s="54" t="n">
        <v>31</v>
      </c>
      <c r="E124" s="54" t="n">
        <v>31</v>
      </c>
      <c r="F124" s="55" t="n">
        <f aca="false">IF(D124&gt;=$C$3,E124/D124,"")</f>
        <v>1</v>
      </c>
      <c r="G124" s="54" t="n">
        <v>4</v>
      </c>
      <c r="H124" s="54" t="n">
        <v>2</v>
      </c>
      <c r="I124" s="55" t="n">
        <f aca="false">IF(G124&gt;=$C$3,H124/G124,"")</f>
        <v>0.5</v>
      </c>
      <c r="J124" s="54" t="n">
        <v>1</v>
      </c>
      <c r="K124" s="54" t="n">
        <v>1</v>
      </c>
      <c r="L124" s="55" t="str">
        <f aca="false">IF(J124&gt;=$C$3,K124/J124,"")</f>
        <v/>
      </c>
      <c r="M124" s="54" t="n">
        <v>0</v>
      </c>
      <c r="N124" s="54" t="n">
        <v>0</v>
      </c>
      <c r="O124" s="55" t="str">
        <f aca="false">IF(M124&gt;=$C$3,N124/M124,"")</f>
        <v/>
      </c>
      <c r="P124" s="54" t="n">
        <v>1</v>
      </c>
      <c r="Q124" s="54" t="n">
        <v>1</v>
      </c>
      <c r="R124" s="55" t="str">
        <f aca="false">IF(P124&gt;=$C$3,Q124/P124,"")</f>
        <v/>
      </c>
      <c r="S124" s="54" t="n">
        <v>0</v>
      </c>
      <c r="T124" s="54" t="n">
        <v>0</v>
      </c>
      <c r="U124" s="55" t="str">
        <f aca="false">IF(S124&gt;=$C$3,T124/S124,"")</f>
        <v/>
      </c>
      <c r="V124" s="54" t="n">
        <v>3</v>
      </c>
      <c r="W124" s="54" t="n">
        <v>3</v>
      </c>
      <c r="X124" s="55" t="n">
        <f aca="false">IF(V124&gt;=$C$3,W124/V124,"")</f>
        <v>1</v>
      </c>
      <c r="Y124" s="56" t="n">
        <f aca="false">COUNT(F124,I124,L124,O124,R124,U124,X124)</f>
        <v>3</v>
      </c>
      <c r="Z124" s="57" t="n">
        <f aca="false">IF(Y124=0,"",AVERAGE(F124,I124,L124,O124,R124,U124,X124))</f>
        <v>0.833333333333333</v>
      </c>
      <c r="AA124" s="58" t="n">
        <f aca="false">IF(ISNUMBER(Z124),C124*Z124,"")</f>
        <v>578.133333333333</v>
      </c>
    </row>
    <row r="125" customFormat="false" ht="15" hidden="false" customHeight="false" outlineLevel="0" collapsed="false">
      <c r="A125" s="41" t="s">
        <v>1425</v>
      </c>
      <c r="B125" s="42" t="s">
        <v>3198</v>
      </c>
      <c r="C125" s="53" t="n">
        <v>3640.13</v>
      </c>
      <c r="D125" s="54" t="n">
        <v>372</v>
      </c>
      <c r="E125" s="54" t="n">
        <v>206</v>
      </c>
      <c r="F125" s="55" t="n">
        <f aca="false">IF(D125&gt;=$C$3,E125/D125,"")</f>
        <v>0.553763440860215</v>
      </c>
      <c r="G125" s="54" t="n">
        <v>107</v>
      </c>
      <c r="H125" s="54" t="n">
        <v>51</v>
      </c>
      <c r="I125" s="55" t="n">
        <f aca="false">IF(G125&gt;=$C$3,H125/G125,"")</f>
        <v>0.476635514018692</v>
      </c>
      <c r="J125" s="54" t="n">
        <v>58</v>
      </c>
      <c r="K125" s="54" t="n">
        <v>18</v>
      </c>
      <c r="L125" s="55" t="n">
        <f aca="false">IF(J125&gt;=$C$3,K125/J125,"")</f>
        <v>0.310344827586207</v>
      </c>
      <c r="M125" s="54" t="n">
        <v>68</v>
      </c>
      <c r="N125" s="54" t="n">
        <v>29</v>
      </c>
      <c r="O125" s="55" t="n">
        <f aca="false">IF(M125&gt;=$C$3,N125/M125,"")</f>
        <v>0.426470588235294</v>
      </c>
      <c r="P125" s="54" t="n">
        <v>25</v>
      </c>
      <c r="Q125" s="54" t="n">
        <v>13</v>
      </c>
      <c r="R125" s="55" t="n">
        <f aca="false">IF(P125&gt;=$C$3,Q125/P125,"")</f>
        <v>0.52</v>
      </c>
      <c r="S125" s="54" t="n">
        <v>7</v>
      </c>
      <c r="T125" s="54" t="n">
        <v>6</v>
      </c>
      <c r="U125" s="55" t="n">
        <f aca="false">IF(S125&gt;=$C$3,T125/S125,"")</f>
        <v>0.857142857142857</v>
      </c>
      <c r="V125" s="54" t="n">
        <v>105</v>
      </c>
      <c r="W125" s="54" t="n">
        <v>27</v>
      </c>
      <c r="X125" s="55" t="n">
        <f aca="false">IF(V125&gt;=$C$3,W125/V125,"")</f>
        <v>0.257142857142857</v>
      </c>
      <c r="Y125" s="56" t="n">
        <f aca="false">COUNT(F125,I125,L125,O125,R125,U125,X125)</f>
        <v>7</v>
      </c>
      <c r="Z125" s="57" t="n">
        <f aca="false">IF(Y125=0,"",AVERAGE(F125,I125,L125,O125,R125,U125,X125))</f>
        <v>0.485928583569446</v>
      </c>
      <c r="AA125" s="58" t="n">
        <f aca="false">IF(ISNUMBER(Z125),C125*Z125,"")</f>
        <v>1768.84321490865</v>
      </c>
    </row>
    <row r="126" customFormat="false" ht="15" hidden="false" customHeight="false" outlineLevel="0" collapsed="false">
      <c r="A126" s="41" t="s">
        <v>475</v>
      </c>
      <c r="B126" s="42" t="s">
        <v>3172</v>
      </c>
      <c r="C126" s="53" t="n">
        <v>570.1</v>
      </c>
      <c r="D126" s="54" t="n">
        <v>0</v>
      </c>
      <c r="E126" s="54" t="n">
        <v>0</v>
      </c>
      <c r="F126" s="55" t="str">
        <f aca="false">IF(D126&gt;=$C$3,E126/D126,"")</f>
        <v/>
      </c>
      <c r="G126" s="54" t="n">
        <v>0</v>
      </c>
      <c r="H126" s="54" t="n">
        <v>0</v>
      </c>
      <c r="I126" s="55" t="str">
        <f aca="false">IF(G126&gt;=$C$3,H126/G126,"")</f>
        <v/>
      </c>
      <c r="J126" s="54" t="n">
        <v>0</v>
      </c>
      <c r="K126" s="54" t="n">
        <v>0</v>
      </c>
      <c r="L126" s="55" t="str">
        <f aca="false">IF(J126&gt;=$C$3,K126/J126,"")</f>
        <v/>
      </c>
      <c r="M126" s="54" t="n">
        <v>0</v>
      </c>
      <c r="N126" s="54" t="n">
        <v>0</v>
      </c>
      <c r="O126" s="55" t="str">
        <f aca="false">IF(M126&gt;=$C$3,N126/M126,"")</f>
        <v/>
      </c>
      <c r="P126" s="54" t="n">
        <v>0</v>
      </c>
      <c r="Q126" s="54" t="n">
        <v>0</v>
      </c>
      <c r="R126" s="55" t="str">
        <f aca="false">IF(P126&gt;=$C$3,Q126/P126,"")</f>
        <v/>
      </c>
      <c r="S126" s="54" t="n">
        <v>0</v>
      </c>
      <c r="T126" s="54" t="n">
        <v>0</v>
      </c>
      <c r="U126" s="55" t="str">
        <f aca="false">IF(S126&gt;=$C$3,T126/S126,"")</f>
        <v/>
      </c>
      <c r="V126" s="54" t="n">
        <v>12</v>
      </c>
      <c r="W126" s="54" t="n">
        <v>12</v>
      </c>
      <c r="X126" s="55" t="n">
        <f aca="false">IF(V126&gt;=$C$3,W126/V126,"")</f>
        <v>1</v>
      </c>
      <c r="Y126" s="56" t="n">
        <f aca="false">COUNT(F126,I126,L126,O126,R126,U126,X126)</f>
        <v>1</v>
      </c>
      <c r="Z126" s="57" t="n">
        <f aca="false">IF(Y126=0,"",AVERAGE(F126,I126,L126,O126,R126,U126,X126))</f>
        <v>1</v>
      </c>
      <c r="AA126" s="58" t="n">
        <f aca="false">IF(ISNUMBER(Z126),C126*Z126,"")</f>
        <v>570.1</v>
      </c>
    </row>
    <row r="127" customFormat="false" ht="15" hidden="false" customHeight="false" outlineLevel="0" collapsed="false">
      <c r="A127" s="41" t="s">
        <v>480</v>
      </c>
      <c r="B127" s="42" t="s">
        <v>3175</v>
      </c>
      <c r="C127" s="53" t="n">
        <v>5976.94</v>
      </c>
      <c r="D127" s="54" t="n">
        <v>303</v>
      </c>
      <c r="E127" s="54" t="n">
        <v>79</v>
      </c>
      <c r="F127" s="55" t="n">
        <f aca="false">IF(D127&gt;=$C$3,E127/D127,"")</f>
        <v>0.260726072607261</v>
      </c>
      <c r="G127" s="54" t="n">
        <v>65</v>
      </c>
      <c r="H127" s="54" t="n">
        <v>7</v>
      </c>
      <c r="I127" s="55" t="n">
        <f aca="false">IF(G127&gt;=$C$3,H127/G127,"")</f>
        <v>0.107692307692308</v>
      </c>
      <c r="J127" s="54" t="n">
        <v>28</v>
      </c>
      <c r="K127" s="54" t="n">
        <v>10</v>
      </c>
      <c r="L127" s="55" t="n">
        <f aca="false">IF(J127&gt;=$C$3,K127/J127,"")</f>
        <v>0.357142857142857</v>
      </c>
      <c r="M127" s="54" t="n">
        <v>60</v>
      </c>
      <c r="N127" s="54" t="n">
        <v>9</v>
      </c>
      <c r="O127" s="55" t="n">
        <f aca="false">IF(M127&gt;=$C$3,N127/M127,"")</f>
        <v>0.15</v>
      </c>
      <c r="P127" s="54" t="n">
        <v>11</v>
      </c>
      <c r="Q127" s="54" t="n">
        <v>3</v>
      </c>
      <c r="R127" s="55" t="n">
        <f aca="false">IF(P127&gt;=$C$3,Q127/P127,"")</f>
        <v>0.272727272727273</v>
      </c>
      <c r="S127" s="54" t="n">
        <v>4</v>
      </c>
      <c r="T127" s="54" t="n">
        <v>1</v>
      </c>
      <c r="U127" s="55" t="n">
        <f aca="false">IF(S127&gt;=$C$3,T127/S127,"")</f>
        <v>0.25</v>
      </c>
      <c r="V127" s="54" t="n">
        <v>91</v>
      </c>
      <c r="W127" s="54" t="n">
        <v>26</v>
      </c>
      <c r="X127" s="55" t="n">
        <f aca="false">IF(V127&gt;=$C$3,W127/V127,"")</f>
        <v>0.285714285714286</v>
      </c>
      <c r="Y127" s="56" t="n">
        <f aca="false">COUNT(F127,I127,L127,O127,R127,U127,X127)</f>
        <v>7</v>
      </c>
      <c r="Z127" s="57" t="n">
        <f aca="false">IF(Y127=0,"",AVERAGE(F127,I127,L127,O127,R127,U127,X127))</f>
        <v>0.240571827983426</v>
      </c>
      <c r="AA127" s="58" t="n">
        <f aca="false">IF(ISNUMBER(Z127),C127*Z127,"")</f>
        <v>1437.88338154726</v>
      </c>
    </row>
    <row r="128" customFormat="false" ht="15" hidden="false" customHeight="false" outlineLevel="0" collapsed="false">
      <c r="A128" s="41" t="s">
        <v>714</v>
      </c>
      <c r="B128" s="42" t="s">
        <v>3199</v>
      </c>
      <c r="C128" s="53" t="n">
        <v>1845.67</v>
      </c>
      <c r="D128" s="54" t="n">
        <v>52</v>
      </c>
      <c r="E128" s="54" t="n">
        <v>49</v>
      </c>
      <c r="F128" s="55" t="n">
        <f aca="false">IF(D128&gt;=$C$3,E128/D128,"")</f>
        <v>0.942307692307692</v>
      </c>
      <c r="G128" s="54" t="n">
        <v>9</v>
      </c>
      <c r="H128" s="54" t="n">
        <v>9</v>
      </c>
      <c r="I128" s="55" t="n">
        <f aca="false">IF(G128&gt;=$C$3,H128/G128,"")</f>
        <v>1</v>
      </c>
      <c r="J128" s="54" t="n">
        <v>6</v>
      </c>
      <c r="K128" s="54" t="n">
        <v>6</v>
      </c>
      <c r="L128" s="55" t="n">
        <f aca="false">IF(J128&gt;=$C$3,K128/J128,"")</f>
        <v>1</v>
      </c>
      <c r="M128" s="54" t="n">
        <v>4</v>
      </c>
      <c r="N128" s="54" t="n">
        <v>4</v>
      </c>
      <c r="O128" s="55" t="n">
        <f aca="false">IF(M128&gt;=$C$3,N128/M128,"")</f>
        <v>1</v>
      </c>
      <c r="P128" s="54" t="n">
        <v>5</v>
      </c>
      <c r="Q128" s="54" t="n">
        <v>5</v>
      </c>
      <c r="R128" s="55" t="n">
        <f aca="false">IF(P128&gt;=$C$3,Q128/P128,"")</f>
        <v>1</v>
      </c>
      <c r="S128" s="54" t="n">
        <v>6</v>
      </c>
      <c r="T128" s="54" t="n">
        <v>6</v>
      </c>
      <c r="U128" s="55" t="n">
        <f aca="false">IF(S128&gt;=$C$3,T128/S128,"")</f>
        <v>1</v>
      </c>
      <c r="V128" s="54" t="n">
        <v>29</v>
      </c>
      <c r="W128" s="54" t="n">
        <v>29</v>
      </c>
      <c r="X128" s="55" t="n">
        <f aca="false">IF(V128&gt;=$C$3,W128/V128,"")</f>
        <v>1</v>
      </c>
      <c r="Y128" s="56" t="n">
        <f aca="false">COUNT(F128,I128,L128,O128,R128,U128,X128)</f>
        <v>7</v>
      </c>
      <c r="Z128" s="57" t="n">
        <f aca="false">IF(Y128=0,"",AVERAGE(F128,I128,L128,O128,R128,U128,X128))</f>
        <v>0.991758241758242</v>
      </c>
      <c r="AA128" s="58" t="n">
        <f aca="false">IF(ISNUMBER(Z128),C128*Z128,"")</f>
        <v>1830.45843406593</v>
      </c>
    </row>
    <row r="129" customFormat="false" ht="15" hidden="false" customHeight="false" outlineLevel="0" collapsed="false">
      <c r="A129" s="41" t="s">
        <v>1329</v>
      </c>
      <c r="B129" s="42" t="s">
        <v>3192</v>
      </c>
      <c r="C129" s="53" t="n">
        <v>8758.04</v>
      </c>
      <c r="D129" s="54" t="n">
        <v>149</v>
      </c>
      <c r="E129" s="54" t="n">
        <v>149</v>
      </c>
      <c r="F129" s="55" t="n">
        <f aca="false">IF(D129&gt;=$C$3,E129/D129,"")</f>
        <v>1</v>
      </c>
      <c r="G129" s="54" t="n">
        <v>25</v>
      </c>
      <c r="H129" s="54" t="n">
        <v>24</v>
      </c>
      <c r="I129" s="55" t="n">
        <f aca="false">IF(G129&gt;=$C$3,H129/G129,"")</f>
        <v>0.96</v>
      </c>
      <c r="J129" s="54" t="n">
        <v>14</v>
      </c>
      <c r="K129" s="54" t="n">
        <v>14</v>
      </c>
      <c r="L129" s="55" t="n">
        <f aca="false">IF(J129&gt;=$C$3,K129/J129,"")</f>
        <v>1</v>
      </c>
      <c r="M129" s="54" t="n">
        <v>16</v>
      </c>
      <c r="N129" s="54" t="n">
        <v>16</v>
      </c>
      <c r="O129" s="55" t="n">
        <f aca="false">IF(M129&gt;=$C$3,N129/M129,"")</f>
        <v>1</v>
      </c>
      <c r="P129" s="54" t="n">
        <v>7</v>
      </c>
      <c r="Q129" s="54" t="n">
        <v>7</v>
      </c>
      <c r="R129" s="55" t="n">
        <f aca="false">IF(P129&gt;=$C$3,Q129/P129,"")</f>
        <v>1</v>
      </c>
      <c r="S129" s="54" t="n">
        <v>4</v>
      </c>
      <c r="T129" s="54" t="n">
        <v>4</v>
      </c>
      <c r="U129" s="55" t="n">
        <f aca="false">IF(S129&gt;=$C$3,T129/S129,"")</f>
        <v>1</v>
      </c>
      <c r="V129" s="54" t="n">
        <v>33</v>
      </c>
      <c r="W129" s="54" t="n">
        <v>30</v>
      </c>
      <c r="X129" s="55" t="n">
        <f aca="false">IF(V129&gt;=$C$3,W129/V129,"")</f>
        <v>0.909090909090909</v>
      </c>
      <c r="Y129" s="56" t="n">
        <f aca="false">COUNT(F129,I129,L129,O129,R129,U129,X129)</f>
        <v>7</v>
      </c>
      <c r="Z129" s="57" t="n">
        <f aca="false">IF(Y129=0,"",AVERAGE(F129,I129,L129,O129,R129,U129,X129))</f>
        <v>0.981298701298701</v>
      </c>
      <c r="AA129" s="58" t="n">
        <f aca="false">IF(ISNUMBER(Z129),C129*Z129,"")</f>
        <v>8594.25327792208</v>
      </c>
    </row>
    <row r="130" customFormat="false" ht="15" hidden="false" customHeight="false" outlineLevel="0" collapsed="false">
      <c r="A130" s="41" t="s">
        <v>1190</v>
      </c>
      <c r="B130" s="42" t="s">
        <v>3174</v>
      </c>
      <c r="C130" s="53" t="n">
        <v>38680.23</v>
      </c>
      <c r="D130" s="54" t="n">
        <v>293</v>
      </c>
      <c r="E130" s="54" t="n">
        <v>10</v>
      </c>
      <c r="F130" s="55" t="n">
        <f aca="false">IF(D130&gt;=$C$3,E130/D130,"")</f>
        <v>0.0341296928327645</v>
      </c>
      <c r="G130" s="54" t="n">
        <v>140</v>
      </c>
      <c r="H130" s="54" t="n">
        <v>5</v>
      </c>
      <c r="I130" s="55" t="n">
        <f aca="false">IF(G130&gt;=$C$3,H130/G130,"")</f>
        <v>0.0357142857142857</v>
      </c>
      <c r="J130" s="54" t="n">
        <v>104</v>
      </c>
      <c r="K130" s="54" t="n">
        <v>1</v>
      </c>
      <c r="L130" s="55" t="n">
        <f aca="false">IF(J130&gt;=$C$3,K130/J130,"")</f>
        <v>0.00961538461538462</v>
      </c>
      <c r="M130" s="54" t="n">
        <v>149</v>
      </c>
      <c r="N130" s="54" t="n">
        <v>6</v>
      </c>
      <c r="O130" s="55" t="n">
        <f aca="false">IF(M130&gt;=$C$3,N130/M130,"")</f>
        <v>0.0402684563758389</v>
      </c>
      <c r="P130" s="54" t="n">
        <v>65</v>
      </c>
      <c r="Q130" s="54" t="n">
        <v>2</v>
      </c>
      <c r="R130" s="55" t="n">
        <f aca="false">IF(P130&gt;=$C$3,Q130/P130,"")</f>
        <v>0.0307692307692308</v>
      </c>
      <c r="S130" s="54" t="n">
        <v>16</v>
      </c>
      <c r="T130" s="54" t="n">
        <v>0</v>
      </c>
      <c r="U130" s="55" t="n">
        <f aca="false">IF(S130&gt;=$C$3,T130/S130,"")</f>
        <v>0</v>
      </c>
      <c r="V130" s="54" t="n">
        <v>127</v>
      </c>
      <c r="W130" s="54" t="n">
        <v>9</v>
      </c>
      <c r="X130" s="55" t="n">
        <f aca="false">IF(V130&gt;=$C$3,W130/V130,"")</f>
        <v>0.0708661417322835</v>
      </c>
      <c r="Y130" s="56" t="n">
        <f aca="false">COUNT(F130,I130,L130,O130,R130,U130,X130)</f>
        <v>7</v>
      </c>
      <c r="Z130" s="57" t="n">
        <f aca="false">IF(Y130=0,"",AVERAGE(F130,I130,L130,O130,R130,U130,X130))</f>
        <v>0.0316233131485411</v>
      </c>
      <c r="AA130" s="58" t="n">
        <f aca="false">IF(ISNUMBER(Z130),C130*Z130,"")</f>
        <v>1223.1970259476</v>
      </c>
    </row>
    <row r="131" customFormat="false" ht="15" hidden="false" customHeight="false" outlineLevel="0" collapsed="false">
      <c r="A131" s="41" t="s">
        <v>487</v>
      </c>
      <c r="B131" s="42" t="s">
        <v>3187</v>
      </c>
      <c r="C131" s="53" t="n">
        <v>46507.62</v>
      </c>
      <c r="D131" s="54" t="n">
        <v>362</v>
      </c>
      <c r="E131" s="54" t="n">
        <v>234</v>
      </c>
      <c r="F131" s="55" t="n">
        <f aca="false">IF(D131&gt;=$C$3,E131/D131,"")</f>
        <v>0.646408839779006</v>
      </c>
      <c r="G131" s="54" t="n">
        <v>68</v>
      </c>
      <c r="H131" s="54" t="n">
        <v>24</v>
      </c>
      <c r="I131" s="55" t="n">
        <f aca="false">IF(G131&gt;=$C$3,H131/G131,"")</f>
        <v>0.352941176470588</v>
      </c>
      <c r="J131" s="54" t="n">
        <v>59</v>
      </c>
      <c r="K131" s="54" t="n">
        <v>11</v>
      </c>
      <c r="L131" s="55" t="n">
        <f aca="false">IF(J131&gt;=$C$3,K131/J131,"")</f>
        <v>0.186440677966102</v>
      </c>
      <c r="M131" s="54" t="n">
        <v>84</v>
      </c>
      <c r="N131" s="54" t="n">
        <v>16</v>
      </c>
      <c r="O131" s="55" t="n">
        <f aca="false">IF(M131&gt;=$C$3,N131/M131,"")</f>
        <v>0.19047619047619</v>
      </c>
      <c r="P131" s="54" t="n">
        <v>56</v>
      </c>
      <c r="Q131" s="54" t="n">
        <v>28</v>
      </c>
      <c r="R131" s="55" t="n">
        <f aca="false">IF(P131&gt;=$C$3,Q131/P131,"")</f>
        <v>0.5</v>
      </c>
      <c r="S131" s="54" t="n">
        <v>88</v>
      </c>
      <c r="T131" s="54" t="n">
        <v>37</v>
      </c>
      <c r="U131" s="55" t="n">
        <f aca="false">IF(S131&gt;=$C$3,T131/S131,"")</f>
        <v>0.420454545454545</v>
      </c>
      <c r="V131" s="54" t="n">
        <v>57</v>
      </c>
      <c r="W131" s="54" t="n">
        <v>20</v>
      </c>
      <c r="X131" s="55" t="n">
        <f aca="false">IF(V131&gt;=$C$3,W131/V131,"")</f>
        <v>0.350877192982456</v>
      </c>
      <c r="Y131" s="56" t="n">
        <f aca="false">COUNT(F131,I131,L131,O131,R131,U131,X131)</f>
        <v>7</v>
      </c>
      <c r="Z131" s="57" t="n">
        <f aca="false">IF(Y131=0,"",AVERAGE(F131,I131,L131,O131,R131,U131,X131))</f>
        <v>0.378228374732698</v>
      </c>
      <c r="AA131" s="58" t="n">
        <f aca="false">IF(ISNUMBER(Z131),C131*Z131,"")</f>
        <v>17590.5015252859</v>
      </c>
    </row>
    <row r="132" customFormat="false" ht="15" hidden="false" customHeight="false" outlineLevel="0" collapsed="false">
      <c r="A132" s="41" t="s">
        <v>495</v>
      </c>
      <c r="B132" s="42" t="s">
        <v>3172</v>
      </c>
      <c r="C132" s="53" t="n">
        <v>280.98</v>
      </c>
      <c r="D132" s="54" t="n">
        <v>14</v>
      </c>
      <c r="E132" s="54" t="n">
        <v>12</v>
      </c>
      <c r="F132" s="55" t="n">
        <f aca="false">IF(D132&gt;=$C$3,E132/D132,"")</f>
        <v>0.857142857142857</v>
      </c>
      <c r="G132" s="54" t="n">
        <v>0</v>
      </c>
      <c r="H132" s="54" t="n">
        <v>0</v>
      </c>
      <c r="I132" s="55" t="str">
        <f aca="false">IF(G132&gt;=$C$3,H132/G132,"")</f>
        <v/>
      </c>
      <c r="J132" s="54" t="n">
        <v>0</v>
      </c>
      <c r="K132" s="54" t="n">
        <v>0</v>
      </c>
      <c r="L132" s="55" t="str">
        <f aca="false">IF(J132&gt;=$C$3,K132/J132,"")</f>
        <v/>
      </c>
      <c r="M132" s="54" t="n">
        <v>0</v>
      </c>
      <c r="N132" s="54" t="n">
        <v>0</v>
      </c>
      <c r="O132" s="55" t="str">
        <f aca="false">IF(M132&gt;=$C$3,N132/M132,"")</f>
        <v/>
      </c>
      <c r="P132" s="54" t="n">
        <v>0</v>
      </c>
      <c r="Q132" s="54" t="n">
        <v>0</v>
      </c>
      <c r="R132" s="55" t="str">
        <f aca="false">IF(P132&gt;=$C$3,Q132/P132,"")</f>
        <v/>
      </c>
      <c r="S132" s="54" t="n">
        <v>0</v>
      </c>
      <c r="T132" s="54" t="n">
        <v>0</v>
      </c>
      <c r="U132" s="55" t="str">
        <f aca="false">IF(S132&gt;=$C$3,T132/S132,"")</f>
        <v/>
      </c>
      <c r="V132" s="54" t="n">
        <v>12</v>
      </c>
      <c r="W132" s="54" t="n">
        <v>12</v>
      </c>
      <c r="X132" s="55" t="n">
        <f aca="false">IF(V132&gt;=$C$3,W132/V132,"")</f>
        <v>1</v>
      </c>
      <c r="Y132" s="56" t="n">
        <f aca="false">COUNT(F132,I132,L132,O132,R132,U132,X132)</f>
        <v>2</v>
      </c>
      <c r="Z132" s="57" t="n">
        <f aca="false">IF(Y132=0,"",AVERAGE(F132,I132,L132,O132,R132,U132,X132))</f>
        <v>0.928571428571429</v>
      </c>
      <c r="AA132" s="58" t="n">
        <f aca="false">IF(ISNUMBER(Z132),C132*Z132,"")</f>
        <v>260.91</v>
      </c>
    </row>
    <row r="133" customFormat="false" ht="15" hidden="false" customHeight="false" outlineLevel="0" collapsed="false">
      <c r="A133" s="41" t="s">
        <v>1195</v>
      </c>
      <c r="B133" s="42" t="s">
        <v>3179</v>
      </c>
      <c r="C133" s="53" t="n">
        <v>8362.23</v>
      </c>
      <c r="D133" s="54" t="n">
        <v>68</v>
      </c>
      <c r="E133" s="54" t="n">
        <v>65</v>
      </c>
      <c r="F133" s="55" t="n">
        <f aca="false">IF(D133&gt;=$C$3,E133/D133,"")</f>
        <v>0.955882352941177</v>
      </c>
      <c r="G133" s="54" t="n">
        <v>12</v>
      </c>
      <c r="H133" s="54" t="n">
        <v>12</v>
      </c>
      <c r="I133" s="55" t="n">
        <f aca="false">IF(G133&gt;=$C$3,H133/G133,"")</f>
        <v>1</v>
      </c>
      <c r="J133" s="54" t="n">
        <v>3</v>
      </c>
      <c r="K133" s="54" t="n">
        <v>3</v>
      </c>
      <c r="L133" s="55" t="n">
        <f aca="false">IF(J133&gt;=$C$3,K133/J133,"")</f>
        <v>1</v>
      </c>
      <c r="M133" s="54" t="n">
        <v>14</v>
      </c>
      <c r="N133" s="54" t="n">
        <v>13</v>
      </c>
      <c r="O133" s="55" t="n">
        <f aca="false">IF(M133&gt;=$C$3,N133/M133,"")</f>
        <v>0.928571428571429</v>
      </c>
      <c r="P133" s="54" t="n">
        <v>7</v>
      </c>
      <c r="Q133" s="54" t="n">
        <v>7</v>
      </c>
      <c r="R133" s="55" t="n">
        <f aca="false">IF(P133&gt;=$C$3,Q133/P133,"")</f>
        <v>1</v>
      </c>
      <c r="S133" s="54" t="n">
        <v>6</v>
      </c>
      <c r="T133" s="54" t="n">
        <v>6</v>
      </c>
      <c r="U133" s="55" t="n">
        <f aca="false">IF(S133&gt;=$C$3,T133/S133,"")</f>
        <v>1</v>
      </c>
      <c r="V133" s="54" t="n">
        <v>3</v>
      </c>
      <c r="W133" s="54" t="n">
        <v>3</v>
      </c>
      <c r="X133" s="55" t="n">
        <f aca="false">IF(V133&gt;=$C$3,W133/V133,"")</f>
        <v>1</v>
      </c>
      <c r="Y133" s="56" t="n">
        <f aca="false">COUNT(F133,I133,L133,O133,R133,U133,X133)</f>
        <v>7</v>
      </c>
      <c r="Z133" s="57" t="n">
        <f aca="false">IF(Y133=0,"",AVERAGE(F133,I133,L133,O133,R133,U133,X133))</f>
        <v>0.983493397358944</v>
      </c>
      <c r="AA133" s="58" t="n">
        <f aca="false">IF(ISNUMBER(Z133),C133*Z133,"")</f>
        <v>8224.19799219688</v>
      </c>
    </row>
    <row r="134" customFormat="false" ht="15" hidden="false" customHeight="false" outlineLevel="0" collapsed="false">
      <c r="A134" s="41" t="s">
        <v>1076</v>
      </c>
      <c r="B134" s="42" t="s">
        <v>3176</v>
      </c>
      <c r="C134" s="53" t="n">
        <v>29883.81</v>
      </c>
      <c r="D134" s="54" t="n">
        <v>192</v>
      </c>
      <c r="E134" s="54" t="n">
        <v>192</v>
      </c>
      <c r="F134" s="55" t="n">
        <f aca="false">IF(D134&gt;=$C$3,E134/D134,"")</f>
        <v>1</v>
      </c>
      <c r="G134" s="54" t="n">
        <v>15</v>
      </c>
      <c r="H134" s="54" t="n">
        <v>15</v>
      </c>
      <c r="I134" s="55" t="n">
        <f aca="false">IF(G134&gt;=$C$3,H134/G134,"")</f>
        <v>1</v>
      </c>
      <c r="J134" s="54" t="n">
        <v>5</v>
      </c>
      <c r="K134" s="54" t="n">
        <v>5</v>
      </c>
      <c r="L134" s="55" t="n">
        <f aca="false">IF(J134&gt;=$C$3,K134/J134,"")</f>
        <v>1</v>
      </c>
      <c r="M134" s="54" t="n">
        <v>27</v>
      </c>
      <c r="N134" s="54" t="n">
        <v>27</v>
      </c>
      <c r="O134" s="55" t="n">
        <f aca="false">IF(M134&gt;=$C$3,N134/M134,"")</f>
        <v>1</v>
      </c>
      <c r="P134" s="54" t="n">
        <v>128</v>
      </c>
      <c r="Q134" s="54" t="n">
        <v>40</v>
      </c>
      <c r="R134" s="55" t="n">
        <f aca="false">IF(P134&gt;=$C$3,Q134/P134,"")</f>
        <v>0.3125</v>
      </c>
      <c r="S134" s="54" t="n">
        <v>12</v>
      </c>
      <c r="T134" s="54" t="n">
        <v>12</v>
      </c>
      <c r="U134" s="55" t="n">
        <f aca="false">IF(S134&gt;=$C$3,T134/S134,"")</f>
        <v>1</v>
      </c>
      <c r="V134" s="54" t="n">
        <v>14</v>
      </c>
      <c r="W134" s="54" t="n">
        <v>14</v>
      </c>
      <c r="X134" s="55" t="n">
        <f aca="false">IF(V134&gt;=$C$3,W134/V134,"")</f>
        <v>1</v>
      </c>
      <c r="Y134" s="56" t="n">
        <f aca="false">COUNT(F134,I134,L134,O134,R134,U134,X134)</f>
        <v>7</v>
      </c>
      <c r="Z134" s="57" t="n">
        <f aca="false">IF(Y134=0,"",AVERAGE(F134,I134,L134,O134,R134,U134,X134))</f>
        <v>0.901785714285714</v>
      </c>
      <c r="AA134" s="58" t="n">
        <f aca="false">IF(ISNUMBER(Z134),C134*Z134,"")</f>
        <v>26948.7929464286</v>
      </c>
    </row>
    <row r="135" customFormat="false" ht="15" hidden="false" customHeight="false" outlineLevel="0" collapsed="false">
      <c r="A135" s="41" t="s">
        <v>1370</v>
      </c>
      <c r="B135" s="42" t="s">
        <v>3174</v>
      </c>
      <c r="C135" s="53" t="n">
        <v>8244.44</v>
      </c>
      <c r="D135" s="54" t="n">
        <v>267</v>
      </c>
      <c r="E135" s="54" t="n">
        <v>221</v>
      </c>
      <c r="F135" s="55" t="n">
        <f aca="false">IF(D135&gt;=$C$3,E135/D135,"")</f>
        <v>0.827715355805244</v>
      </c>
      <c r="G135" s="54" t="n">
        <v>48</v>
      </c>
      <c r="H135" s="54" t="n">
        <v>45</v>
      </c>
      <c r="I135" s="55" t="n">
        <f aca="false">IF(G135&gt;=$C$3,H135/G135,"")</f>
        <v>0.9375</v>
      </c>
      <c r="J135" s="54" t="n">
        <v>11</v>
      </c>
      <c r="K135" s="54" t="n">
        <v>8</v>
      </c>
      <c r="L135" s="55" t="n">
        <f aca="false">IF(J135&gt;=$C$3,K135/J135,"")</f>
        <v>0.727272727272727</v>
      </c>
      <c r="M135" s="54" t="n">
        <v>40</v>
      </c>
      <c r="N135" s="54" t="n">
        <v>36</v>
      </c>
      <c r="O135" s="55" t="n">
        <f aca="false">IF(M135&gt;=$C$3,N135/M135,"")</f>
        <v>0.9</v>
      </c>
      <c r="P135" s="54" t="n">
        <v>10</v>
      </c>
      <c r="Q135" s="54" t="n">
        <v>8</v>
      </c>
      <c r="R135" s="55" t="n">
        <f aca="false">IF(P135&gt;=$C$3,Q135/P135,"")</f>
        <v>0.8</v>
      </c>
      <c r="S135" s="54" t="n">
        <v>13</v>
      </c>
      <c r="T135" s="54" t="n">
        <v>10</v>
      </c>
      <c r="U135" s="55" t="n">
        <f aca="false">IF(S135&gt;=$C$3,T135/S135,"")</f>
        <v>0.769230769230769</v>
      </c>
      <c r="V135" s="54" t="n">
        <v>59</v>
      </c>
      <c r="W135" s="54" t="n">
        <v>17</v>
      </c>
      <c r="X135" s="55" t="n">
        <f aca="false">IF(V135&gt;=$C$3,W135/V135,"")</f>
        <v>0.288135593220339</v>
      </c>
      <c r="Y135" s="56" t="n">
        <f aca="false">COUNT(F135,I135,L135,O135,R135,U135,X135)</f>
        <v>7</v>
      </c>
      <c r="Z135" s="57" t="n">
        <f aca="false">IF(Y135=0,"",AVERAGE(F135,I135,L135,O135,R135,U135,X135))</f>
        <v>0.749979206504154</v>
      </c>
      <c r="AA135" s="58" t="n">
        <f aca="false">IF(ISNUMBER(Z135),C135*Z135,"")</f>
        <v>6183.15856927111</v>
      </c>
    </row>
    <row r="136" customFormat="false" ht="15" hidden="false" customHeight="false" outlineLevel="0" collapsed="false">
      <c r="A136" s="41" t="s">
        <v>498</v>
      </c>
      <c r="B136" s="42" t="s">
        <v>3187</v>
      </c>
      <c r="C136" s="53" t="n">
        <v>3113.83</v>
      </c>
      <c r="D136" s="54" t="n">
        <v>96</v>
      </c>
      <c r="E136" s="54" t="n">
        <v>95</v>
      </c>
      <c r="F136" s="55" t="n">
        <f aca="false">IF(D136&gt;=$C$3,E136/D136,"")</f>
        <v>0.989583333333333</v>
      </c>
      <c r="G136" s="54" t="n">
        <v>9</v>
      </c>
      <c r="H136" s="54" t="n">
        <v>8</v>
      </c>
      <c r="I136" s="55" t="n">
        <f aca="false">IF(G136&gt;=$C$3,H136/G136,"")</f>
        <v>0.888888888888889</v>
      </c>
      <c r="J136" s="54" t="n">
        <v>2</v>
      </c>
      <c r="K136" s="54" t="n">
        <v>1</v>
      </c>
      <c r="L136" s="55" t="str">
        <f aca="false">IF(J136&gt;=$C$3,K136/J136,"")</f>
        <v/>
      </c>
      <c r="M136" s="54" t="n">
        <v>18</v>
      </c>
      <c r="N136" s="54" t="n">
        <v>17</v>
      </c>
      <c r="O136" s="55" t="n">
        <f aca="false">IF(M136&gt;=$C$3,N136/M136,"")</f>
        <v>0.944444444444444</v>
      </c>
      <c r="P136" s="54" t="n">
        <v>9</v>
      </c>
      <c r="Q136" s="54" t="n">
        <v>8</v>
      </c>
      <c r="R136" s="55" t="n">
        <f aca="false">IF(P136&gt;=$C$3,Q136/P136,"")</f>
        <v>0.888888888888889</v>
      </c>
      <c r="S136" s="54" t="n">
        <v>4</v>
      </c>
      <c r="T136" s="54" t="n">
        <v>3</v>
      </c>
      <c r="U136" s="55" t="n">
        <f aca="false">IF(S136&gt;=$C$3,T136/S136,"")</f>
        <v>0.75</v>
      </c>
      <c r="V136" s="54" t="n">
        <v>16</v>
      </c>
      <c r="W136" s="54" t="n">
        <v>15</v>
      </c>
      <c r="X136" s="55" t="n">
        <f aca="false">IF(V136&gt;=$C$3,W136/V136,"")</f>
        <v>0.9375</v>
      </c>
      <c r="Y136" s="56" t="n">
        <f aca="false">COUNT(F136,I136,L136,O136,R136,U136,X136)</f>
        <v>6</v>
      </c>
      <c r="Z136" s="57" t="n">
        <f aca="false">IF(Y136=0,"",AVERAGE(F136,I136,L136,O136,R136,U136,X136))</f>
        <v>0.899884259259259</v>
      </c>
      <c r="AA136" s="58" t="n">
        <f aca="false">IF(ISNUMBER(Z136),C136*Z136,"")</f>
        <v>2802.08660300926</v>
      </c>
    </row>
    <row r="137" customFormat="false" ht="15" hidden="false" customHeight="false" outlineLevel="0" collapsed="false">
      <c r="A137" s="41" t="s">
        <v>503</v>
      </c>
      <c r="B137" s="42" t="s">
        <v>3182</v>
      </c>
      <c r="C137" s="53" t="n">
        <v>140084.73</v>
      </c>
      <c r="D137" s="54" t="n">
        <v>665</v>
      </c>
      <c r="E137" s="54" t="n">
        <v>254</v>
      </c>
      <c r="F137" s="55" t="n">
        <f aca="false">IF(D137&gt;=$C$3,E137/D137,"")</f>
        <v>0.381954887218045</v>
      </c>
      <c r="G137" s="54" t="n">
        <v>54</v>
      </c>
      <c r="H137" s="54" t="n">
        <v>16</v>
      </c>
      <c r="I137" s="55" t="n">
        <f aca="false">IF(G137&gt;=$C$3,H137/G137,"")</f>
        <v>0.296296296296296</v>
      </c>
      <c r="J137" s="54" t="n">
        <v>39</v>
      </c>
      <c r="K137" s="54" t="n">
        <v>5</v>
      </c>
      <c r="L137" s="55" t="n">
        <f aca="false">IF(J137&gt;=$C$3,K137/J137,"")</f>
        <v>0.128205128205128</v>
      </c>
      <c r="M137" s="54" t="n">
        <v>80</v>
      </c>
      <c r="N137" s="54" t="n">
        <v>10</v>
      </c>
      <c r="O137" s="55" t="n">
        <f aca="false">IF(M137&gt;=$C$3,N137/M137,"")</f>
        <v>0.125</v>
      </c>
      <c r="P137" s="54" t="n">
        <v>66</v>
      </c>
      <c r="Q137" s="54" t="n">
        <v>16</v>
      </c>
      <c r="R137" s="55" t="n">
        <f aca="false">IF(P137&gt;=$C$3,Q137/P137,"")</f>
        <v>0.242424242424242</v>
      </c>
      <c r="S137" s="54" t="n">
        <v>60</v>
      </c>
      <c r="T137" s="54" t="n">
        <v>14</v>
      </c>
      <c r="U137" s="55" t="n">
        <f aca="false">IF(S137&gt;=$C$3,T137/S137,"")</f>
        <v>0.233333333333333</v>
      </c>
      <c r="V137" s="54" t="n">
        <v>45</v>
      </c>
      <c r="W137" s="54" t="n">
        <v>16</v>
      </c>
      <c r="X137" s="55" t="n">
        <f aca="false">IF(V137&gt;=$C$3,W137/V137,"")</f>
        <v>0.355555555555556</v>
      </c>
      <c r="Y137" s="56" t="n">
        <f aca="false">COUNT(F137,I137,L137,O137,R137,U137,X137)</f>
        <v>7</v>
      </c>
      <c r="Z137" s="57" t="n">
        <f aca="false">IF(Y137=0,"",AVERAGE(F137,I137,L137,O137,R137,U137,X137))</f>
        <v>0.251824206147514</v>
      </c>
      <c r="AA137" s="58" t="n">
        <f aca="false">IF(ISNUMBER(Z137),C137*Z137,"")</f>
        <v>35276.7259256389</v>
      </c>
    </row>
    <row r="138" customFormat="false" ht="15" hidden="false" customHeight="false" outlineLevel="0" collapsed="false">
      <c r="A138" s="41" t="s">
        <v>1090</v>
      </c>
      <c r="B138" s="42" t="s">
        <v>3200</v>
      </c>
      <c r="C138" s="53" t="n">
        <v>6450.54</v>
      </c>
      <c r="D138" s="54" t="n">
        <v>78</v>
      </c>
      <c r="E138" s="54" t="n">
        <v>47</v>
      </c>
      <c r="F138" s="55" t="n">
        <f aca="false">IF(D138&gt;=$C$3,E138/D138,"")</f>
        <v>0.602564102564103</v>
      </c>
      <c r="G138" s="54" t="n">
        <v>3</v>
      </c>
      <c r="H138" s="54" t="n">
        <v>1</v>
      </c>
      <c r="I138" s="55" t="n">
        <f aca="false">IF(G138&gt;=$C$3,H138/G138,"")</f>
        <v>0.333333333333333</v>
      </c>
      <c r="J138" s="54" t="n">
        <v>0</v>
      </c>
      <c r="K138" s="54" t="n">
        <v>0</v>
      </c>
      <c r="L138" s="55" t="str">
        <f aca="false">IF(J138&gt;=$C$3,K138/J138,"")</f>
        <v/>
      </c>
      <c r="M138" s="54" t="n">
        <v>0</v>
      </c>
      <c r="N138" s="54" t="n">
        <v>0</v>
      </c>
      <c r="O138" s="55" t="str">
        <f aca="false">IF(M138&gt;=$C$3,N138/M138,"")</f>
        <v/>
      </c>
      <c r="P138" s="54" t="n">
        <v>0</v>
      </c>
      <c r="Q138" s="54" t="n">
        <v>0</v>
      </c>
      <c r="R138" s="55" t="str">
        <f aca="false">IF(P138&gt;=$C$3,Q138/P138,"")</f>
        <v/>
      </c>
      <c r="S138" s="54" t="n">
        <v>1</v>
      </c>
      <c r="T138" s="54" t="n">
        <v>1</v>
      </c>
      <c r="U138" s="55" t="str">
        <f aca="false">IF(S138&gt;=$C$3,T138/S138,"")</f>
        <v/>
      </c>
      <c r="V138" s="54" t="n">
        <v>29</v>
      </c>
      <c r="W138" s="54" t="n">
        <v>12</v>
      </c>
      <c r="X138" s="55" t="n">
        <f aca="false">IF(V138&gt;=$C$3,W138/V138,"")</f>
        <v>0.413793103448276</v>
      </c>
      <c r="Y138" s="56" t="n">
        <f aca="false">COUNT(F138,I138,L138,O138,R138,U138,X138)</f>
        <v>3</v>
      </c>
      <c r="Z138" s="57" t="n">
        <f aca="false">IF(Y138=0,"",AVERAGE(F138,I138,L138,O138,R138,U138,X138))</f>
        <v>0.449896846448571</v>
      </c>
      <c r="AA138" s="58" t="n">
        <f aca="false">IF(ISNUMBER(Z138),C138*Z138,"")</f>
        <v>2902.07760389036</v>
      </c>
    </row>
    <row r="139" customFormat="false" ht="15" hidden="false" customHeight="false" outlineLevel="0" collapsed="false">
      <c r="A139" s="41" t="s">
        <v>1096</v>
      </c>
      <c r="B139" s="42" t="s">
        <v>3187</v>
      </c>
      <c r="C139" s="53" t="n">
        <v>22355.46</v>
      </c>
      <c r="D139" s="54" t="n">
        <v>48</v>
      </c>
      <c r="E139" s="54" t="n">
        <v>48</v>
      </c>
      <c r="F139" s="55" t="n">
        <f aca="false">IF(D139&gt;=$C$3,E139/D139,"")</f>
        <v>1</v>
      </c>
      <c r="G139" s="54" t="n">
        <v>9</v>
      </c>
      <c r="H139" s="54" t="n">
        <v>9</v>
      </c>
      <c r="I139" s="55" t="n">
        <f aca="false">IF(G139&gt;=$C$3,H139/G139,"")</f>
        <v>1</v>
      </c>
      <c r="J139" s="54" t="n">
        <v>8</v>
      </c>
      <c r="K139" s="54" t="n">
        <v>8</v>
      </c>
      <c r="L139" s="55" t="n">
        <f aca="false">IF(J139&gt;=$C$3,K139/J139,"")</f>
        <v>1</v>
      </c>
      <c r="M139" s="54" t="n">
        <v>6</v>
      </c>
      <c r="N139" s="54" t="n">
        <v>6</v>
      </c>
      <c r="O139" s="55" t="n">
        <f aca="false">IF(M139&gt;=$C$3,N139/M139,"")</f>
        <v>1</v>
      </c>
      <c r="P139" s="54" t="n">
        <v>6</v>
      </c>
      <c r="Q139" s="54" t="n">
        <v>6</v>
      </c>
      <c r="R139" s="55" t="n">
        <f aca="false">IF(P139&gt;=$C$3,Q139/P139,"")</f>
        <v>1</v>
      </c>
      <c r="S139" s="54" t="n">
        <v>8</v>
      </c>
      <c r="T139" s="54" t="n">
        <v>8</v>
      </c>
      <c r="U139" s="55" t="n">
        <f aca="false">IF(S139&gt;=$C$3,T139/S139,"")</f>
        <v>1</v>
      </c>
      <c r="V139" s="54" t="n">
        <v>10</v>
      </c>
      <c r="W139" s="54" t="n">
        <v>9</v>
      </c>
      <c r="X139" s="55" t="n">
        <f aca="false">IF(V139&gt;=$C$3,W139/V139,"")</f>
        <v>0.9</v>
      </c>
      <c r="Y139" s="56" t="n">
        <f aca="false">COUNT(F139,I139,L139,O139,R139,U139,X139)</f>
        <v>7</v>
      </c>
      <c r="Z139" s="57" t="n">
        <f aca="false">IF(Y139=0,"",AVERAGE(F139,I139,L139,O139,R139,U139,X139))</f>
        <v>0.985714285714286</v>
      </c>
      <c r="AA139" s="58" t="n">
        <f aca="false">IF(ISNUMBER(Z139),C139*Z139,"")</f>
        <v>22036.0962857143</v>
      </c>
    </row>
    <row r="140" customFormat="false" ht="15" hidden="false" customHeight="false" outlineLevel="0" collapsed="false">
      <c r="A140" s="41" t="s">
        <v>799</v>
      </c>
      <c r="B140" s="42" t="s">
        <v>3172</v>
      </c>
      <c r="C140" s="53" t="n">
        <v>2202.64</v>
      </c>
      <c r="D140" s="54" t="n">
        <v>17</v>
      </c>
      <c r="E140" s="54" t="n">
        <v>17</v>
      </c>
      <c r="F140" s="55" t="n">
        <f aca="false">IF(D140&gt;=$C$3,E140/D140,"")</f>
        <v>1</v>
      </c>
      <c r="G140" s="54" t="n">
        <v>2</v>
      </c>
      <c r="H140" s="54" t="n">
        <v>2</v>
      </c>
      <c r="I140" s="55" t="str">
        <f aca="false">IF(G140&gt;=$C$3,H140/G140,"")</f>
        <v/>
      </c>
      <c r="J140" s="54" t="n">
        <v>2</v>
      </c>
      <c r="K140" s="54" t="n">
        <v>2</v>
      </c>
      <c r="L140" s="55" t="str">
        <f aca="false">IF(J140&gt;=$C$3,K140/J140,"")</f>
        <v/>
      </c>
      <c r="M140" s="54" t="n">
        <v>2</v>
      </c>
      <c r="N140" s="54" t="n">
        <v>2</v>
      </c>
      <c r="O140" s="55" t="str">
        <f aca="false">IF(M140&gt;=$C$3,N140/M140,"")</f>
        <v/>
      </c>
      <c r="P140" s="54" t="n">
        <v>0</v>
      </c>
      <c r="Q140" s="54" t="n">
        <v>0</v>
      </c>
      <c r="R140" s="55" t="str">
        <f aca="false">IF(P140&gt;=$C$3,Q140/P140,"")</f>
        <v/>
      </c>
      <c r="S140" s="54" t="n">
        <v>0</v>
      </c>
      <c r="T140" s="54" t="n">
        <v>0</v>
      </c>
      <c r="U140" s="55" t="str">
        <f aca="false">IF(S140&gt;=$C$3,T140/S140,"")</f>
        <v/>
      </c>
      <c r="V140" s="54" t="n">
        <v>6</v>
      </c>
      <c r="W140" s="54" t="n">
        <v>3</v>
      </c>
      <c r="X140" s="55" t="n">
        <f aca="false">IF(V140&gt;=$C$3,W140/V140,"")</f>
        <v>0.5</v>
      </c>
      <c r="Y140" s="56" t="n">
        <f aca="false">COUNT(F140,I140,L140,O140,R140,U140,X140)</f>
        <v>2</v>
      </c>
      <c r="Z140" s="57" t="n">
        <f aca="false">IF(Y140=0,"",AVERAGE(F140,I140,L140,O140,R140,U140,X140))</f>
        <v>0.75</v>
      </c>
      <c r="AA140" s="58" t="n">
        <f aca="false">IF(ISNUMBER(Z140),C140*Z140,"")</f>
        <v>1651.98</v>
      </c>
    </row>
    <row r="141" customFormat="false" ht="15" hidden="false" customHeight="false" outlineLevel="0" collapsed="false">
      <c r="A141" s="41" t="s">
        <v>625</v>
      </c>
      <c r="B141" s="42" t="s">
        <v>3171</v>
      </c>
      <c r="C141" s="53" t="n">
        <v>49365.77</v>
      </c>
      <c r="D141" s="54" t="n">
        <v>649</v>
      </c>
      <c r="E141" s="54" t="n">
        <v>87</v>
      </c>
      <c r="F141" s="55" t="n">
        <f aca="false">IF(D141&gt;=$C$3,E141/D141,"")</f>
        <v>0.134052388289676</v>
      </c>
      <c r="G141" s="54" t="n">
        <v>234</v>
      </c>
      <c r="H141" s="54" t="n">
        <v>8</v>
      </c>
      <c r="I141" s="55" t="n">
        <f aca="false">IF(G141&gt;=$C$3,H141/G141,"")</f>
        <v>0.0341880341880342</v>
      </c>
      <c r="J141" s="54" t="n">
        <v>50</v>
      </c>
      <c r="K141" s="54" t="n">
        <v>5</v>
      </c>
      <c r="L141" s="55" t="n">
        <f aca="false">IF(J141&gt;=$C$3,K141/J141,"")</f>
        <v>0.1</v>
      </c>
      <c r="M141" s="54" t="n">
        <v>180</v>
      </c>
      <c r="N141" s="54" t="n">
        <v>9</v>
      </c>
      <c r="O141" s="55" t="n">
        <f aca="false">IF(M141&gt;=$C$3,N141/M141,"")</f>
        <v>0.05</v>
      </c>
      <c r="P141" s="54" t="n">
        <v>62</v>
      </c>
      <c r="Q141" s="54" t="n">
        <v>9</v>
      </c>
      <c r="R141" s="55" t="n">
        <f aca="false">IF(P141&gt;=$C$3,Q141/P141,"")</f>
        <v>0.145161290322581</v>
      </c>
      <c r="S141" s="54" t="n">
        <v>18</v>
      </c>
      <c r="T141" s="54" t="n">
        <v>5</v>
      </c>
      <c r="U141" s="55" t="n">
        <f aca="false">IF(S141&gt;=$C$3,T141/S141,"")</f>
        <v>0.277777777777778</v>
      </c>
      <c r="V141" s="54" t="n">
        <v>482</v>
      </c>
      <c r="W141" s="54" t="n">
        <v>32</v>
      </c>
      <c r="X141" s="55" t="n">
        <f aca="false">IF(V141&gt;=$C$3,W141/V141,"")</f>
        <v>0.0663900414937759</v>
      </c>
      <c r="Y141" s="56" t="n">
        <f aca="false">COUNT(F141,I141,L141,O141,R141,U141,X141)</f>
        <v>7</v>
      </c>
      <c r="Z141" s="57" t="n">
        <f aca="false">IF(Y141=0,"",AVERAGE(F141,I141,L141,O141,R141,U141,X141))</f>
        <v>0.115367076010264</v>
      </c>
      <c r="AA141" s="58" t="n">
        <f aca="false">IF(ISNUMBER(Z141),C141*Z141,"")</f>
        <v>5695.18453989519</v>
      </c>
    </row>
    <row r="142" customFormat="false" ht="15" hidden="false" customHeight="false" outlineLevel="0" collapsed="false">
      <c r="A142" s="41" t="s">
        <v>1103</v>
      </c>
      <c r="B142" s="42" t="s">
        <v>3177</v>
      </c>
      <c r="C142" s="53" t="n">
        <v>6050.02</v>
      </c>
      <c r="D142" s="54" t="n">
        <v>65</v>
      </c>
      <c r="E142" s="54" t="n">
        <v>32</v>
      </c>
      <c r="F142" s="55" t="n">
        <f aca="false">IF(D142&gt;=$C$3,E142/D142,"")</f>
        <v>0.492307692307692</v>
      </c>
      <c r="G142" s="54" t="n">
        <v>18</v>
      </c>
      <c r="H142" s="54" t="n">
        <v>4</v>
      </c>
      <c r="I142" s="55" t="n">
        <f aca="false">IF(G142&gt;=$C$3,H142/G142,"")</f>
        <v>0.222222222222222</v>
      </c>
      <c r="J142" s="54" t="n">
        <v>7</v>
      </c>
      <c r="K142" s="54" t="n">
        <v>2</v>
      </c>
      <c r="L142" s="55" t="n">
        <f aca="false">IF(J142&gt;=$C$3,K142/J142,"")</f>
        <v>0.285714285714286</v>
      </c>
      <c r="M142" s="54" t="n">
        <v>8</v>
      </c>
      <c r="N142" s="54" t="n">
        <v>4</v>
      </c>
      <c r="O142" s="55" t="n">
        <f aca="false">IF(M142&gt;=$C$3,N142/M142,"")</f>
        <v>0.5</v>
      </c>
      <c r="P142" s="54" t="n">
        <v>8</v>
      </c>
      <c r="Q142" s="54" t="n">
        <v>3</v>
      </c>
      <c r="R142" s="55" t="n">
        <f aca="false">IF(P142&gt;=$C$3,Q142/P142,"")</f>
        <v>0.375</v>
      </c>
      <c r="S142" s="54" t="n">
        <v>2</v>
      </c>
      <c r="T142" s="54" t="n">
        <v>1</v>
      </c>
      <c r="U142" s="55" t="str">
        <f aca="false">IF(S142&gt;=$C$3,T142/S142,"")</f>
        <v/>
      </c>
      <c r="V142" s="54" t="n">
        <v>17</v>
      </c>
      <c r="W142" s="54" t="n">
        <v>2</v>
      </c>
      <c r="X142" s="55" t="n">
        <f aca="false">IF(V142&gt;=$C$3,W142/V142,"")</f>
        <v>0.117647058823529</v>
      </c>
      <c r="Y142" s="56" t="n">
        <f aca="false">COUNT(F142,I142,L142,O142,R142,U142,X142)</f>
        <v>6</v>
      </c>
      <c r="Z142" s="57" t="n">
        <f aca="false">IF(Y142=0,"",AVERAGE(F142,I142,L142,O142,R142,U142,X142))</f>
        <v>0.332148543177955</v>
      </c>
      <c r="AA142" s="58" t="n">
        <f aca="false">IF(ISNUMBER(Z142),C142*Z142,"")</f>
        <v>2009.50532919749</v>
      </c>
    </row>
    <row r="143" customFormat="false" ht="15" hidden="false" customHeight="false" outlineLevel="0" collapsed="false">
      <c r="A143" s="41" t="s">
        <v>271</v>
      </c>
      <c r="B143" s="42" t="s">
        <v>3173</v>
      </c>
      <c r="C143" s="53" t="n">
        <v>5770.02</v>
      </c>
      <c r="D143" s="54" t="n">
        <v>111</v>
      </c>
      <c r="E143" s="54" t="n">
        <v>100</v>
      </c>
      <c r="F143" s="55" t="n">
        <f aca="false">IF(D143&gt;=$C$3,E143/D143,"")</f>
        <v>0.900900900900901</v>
      </c>
      <c r="G143" s="54" t="n">
        <v>7</v>
      </c>
      <c r="H143" s="54" t="n">
        <v>4</v>
      </c>
      <c r="I143" s="55" t="n">
        <f aca="false">IF(G143&gt;=$C$3,H143/G143,"")</f>
        <v>0.571428571428571</v>
      </c>
      <c r="J143" s="54" t="n">
        <v>0</v>
      </c>
      <c r="K143" s="54" t="n">
        <v>0</v>
      </c>
      <c r="L143" s="55" t="str">
        <f aca="false">IF(J143&gt;=$C$3,K143/J143,"")</f>
        <v/>
      </c>
      <c r="M143" s="54" t="n">
        <v>191</v>
      </c>
      <c r="N143" s="54" t="n">
        <v>4</v>
      </c>
      <c r="O143" s="55" t="n">
        <f aca="false">IF(M143&gt;=$C$3,N143/M143,"")</f>
        <v>0.0209424083769634</v>
      </c>
      <c r="P143" s="54" t="n">
        <v>2</v>
      </c>
      <c r="Q143" s="54" t="n">
        <v>2</v>
      </c>
      <c r="R143" s="55" t="str">
        <f aca="false">IF(P143&gt;=$C$3,Q143/P143,"")</f>
        <v/>
      </c>
      <c r="S143" s="54" t="n">
        <v>76</v>
      </c>
      <c r="T143" s="54" t="n">
        <v>5</v>
      </c>
      <c r="U143" s="55" t="n">
        <f aca="false">IF(S143&gt;=$C$3,T143/S143,"")</f>
        <v>0.0657894736842105</v>
      </c>
      <c r="V143" s="54" t="n">
        <v>23</v>
      </c>
      <c r="W143" s="54" t="n">
        <v>18</v>
      </c>
      <c r="X143" s="55" t="n">
        <f aca="false">IF(V143&gt;=$C$3,W143/V143,"")</f>
        <v>0.782608695652174</v>
      </c>
      <c r="Y143" s="56" t="n">
        <f aca="false">COUNT(F143,I143,L143,O143,R143,U143,X143)</f>
        <v>5</v>
      </c>
      <c r="Z143" s="57" t="n">
        <f aca="false">IF(Y143=0,"",AVERAGE(F143,I143,L143,O143,R143,U143,X143))</f>
        <v>0.468334010008564</v>
      </c>
      <c r="AA143" s="58" t="n">
        <f aca="false">IF(ISNUMBER(Z143),C143*Z143,"")</f>
        <v>2702.29660442962</v>
      </c>
    </row>
    <row r="144" customFormat="false" ht="15" hidden="false" customHeight="false" outlineLevel="0" collapsed="false">
      <c r="A144" s="41" t="s">
        <v>1293</v>
      </c>
      <c r="B144" s="42" t="s">
        <v>3172</v>
      </c>
      <c r="C144" s="53" t="n">
        <v>32204.47</v>
      </c>
      <c r="D144" s="54" t="n">
        <v>271</v>
      </c>
      <c r="E144" s="54" t="n">
        <v>271</v>
      </c>
      <c r="F144" s="55" t="n">
        <f aca="false">IF(D144&gt;=$C$3,E144/D144,"")</f>
        <v>1</v>
      </c>
      <c r="G144" s="54" t="n">
        <v>68</v>
      </c>
      <c r="H144" s="54" t="n">
        <v>68</v>
      </c>
      <c r="I144" s="55" t="n">
        <f aca="false">IF(G144&gt;=$C$3,H144/G144,"")</f>
        <v>1</v>
      </c>
      <c r="J144" s="54" t="n">
        <v>16</v>
      </c>
      <c r="K144" s="54" t="n">
        <v>16</v>
      </c>
      <c r="L144" s="55" t="n">
        <f aca="false">IF(J144&gt;=$C$3,K144/J144,"")</f>
        <v>1</v>
      </c>
      <c r="M144" s="54" t="n">
        <v>15</v>
      </c>
      <c r="N144" s="54" t="n">
        <v>15</v>
      </c>
      <c r="O144" s="55" t="n">
        <f aca="false">IF(M144&gt;=$C$3,N144/M144,"")</f>
        <v>1</v>
      </c>
      <c r="P144" s="54" t="n">
        <v>15</v>
      </c>
      <c r="Q144" s="54" t="n">
        <v>15</v>
      </c>
      <c r="R144" s="55" t="n">
        <f aca="false">IF(P144&gt;=$C$3,Q144/P144,"")</f>
        <v>1</v>
      </c>
      <c r="S144" s="54" t="n">
        <v>15</v>
      </c>
      <c r="T144" s="54" t="n">
        <v>15</v>
      </c>
      <c r="U144" s="55" t="n">
        <f aca="false">IF(S144&gt;=$C$3,T144/S144,"")</f>
        <v>1</v>
      </c>
      <c r="V144" s="54" t="n">
        <v>40</v>
      </c>
      <c r="W144" s="54" t="n">
        <v>40</v>
      </c>
      <c r="X144" s="55" t="n">
        <f aca="false">IF(V144&gt;=$C$3,W144/V144,"")</f>
        <v>1</v>
      </c>
      <c r="Y144" s="56" t="n">
        <f aca="false">COUNT(F144,I144,L144,O144,R144,U144,X144)</f>
        <v>7</v>
      </c>
      <c r="Z144" s="57" t="n">
        <f aca="false">IF(Y144=0,"",AVERAGE(F144,I144,L144,O144,R144,U144,X144))</f>
        <v>1</v>
      </c>
      <c r="AA144" s="58" t="n">
        <f aca="false">IF(ISNUMBER(Z144),C144*Z144,"")</f>
        <v>32204.47</v>
      </c>
    </row>
    <row r="145" customFormat="false" ht="15" hidden="false" customHeight="false" outlineLevel="0" collapsed="false">
      <c r="A145" s="41" t="s">
        <v>510</v>
      </c>
      <c r="B145" s="42" t="s">
        <v>3187</v>
      </c>
      <c r="C145" s="53" t="n">
        <v>7904.67</v>
      </c>
      <c r="D145" s="54" t="n">
        <v>91</v>
      </c>
      <c r="E145" s="54" t="n">
        <v>91</v>
      </c>
      <c r="F145" s="55" t="n">
        <f aca="false">IF(D145&gt;=$C$3,E145/D145,"")</f>
        <v>1</v>
      </c>
      <c r="G145" s="54" t="n">
        <v>8</v>
      </c>
      <c r="H145" s="54" t="n">
        <v>8</v>
      </c>
      <c r="I145" s="55" t="n">
        <f aca="false">IF(G145&gt;=$C$3,H145/G145,"")</f>
        <v>1</v>
      </c>
      <c r="J145" s="54" t="n">
        <v>2</v>
      </c>
      <c r="K145" s="54" t="n">
        <v>2</v>
      </c>
      <c r="L145" s="55" t="str">
        <f aca="false">IF(J145&gt;=$C$3,K145/J145,"")</f>
        <v/>
      </c>
      <c r="M145" s="54" t="n">
        <v>7</v>
      </c>
      <c r="N145" s="54" t="n">
        <v>7</v>
      </c>
      <c r="O145" s="55" t="n">
        <f aca="false">IF(M145&gt;=$C$3,N145/M145,"")</f>
        <v>1</v>
      </c>
      <c r="P145" s="54" t="n">
        <v>2</v>
      </c>
      <c r="Q145" s="54" t="n">
        <v>2</v>
      </c>
      <c r="R145" s="55" t="str">
        <f aca="false">IF(P145&gt;=$C$3,Q145/P145,"")</f>
        <v/>
      </c>
      <c r="S145" s="54" t="n">
        <v>2</v>
      </c>
      <c r="T145" s="54" t="n">
        <v>2</v>
      </c>
      <c r="U145" s="55" t="str">
        <f aca="false">IF(S145&gt;=$C$3,T145/S145,"")</f>
        <v/>
      </c>
      <c r="V145" s="54" t="n">
        <v>10</v>
      </c>
      <c r="W145" s="54" t="n">
        <v>10</v>
      </c>
      <c r="X145" s="55" t="n">
        <f aca="false">IF(V145&gt;=$C$3,W145/V145,"")</f>
        <v>1</v>
      </c>
      <c r="Y145" s="56" t="n">
        <f aca="false">COUNT(F145,I145,L145,O145,R145,U145,X145)</f>
        <v>4</v>
      </c>
      <c r="Z145" s="57" t="n">
        <f aca="false">IF(Y145=0,"",AVERAGE(F145,I145,L145,O145,R145,U145,X145))</f>
        <v>1</v>
      </c>
      <c r="AA145" s="58" t="n">
        <f aca="false">IF(ISNUMBER(Z145),C145*Z145,"")</f>
        <v>7904.67</v>
      </c>
    </row>
    <row r="146" customFormat="false" ht="15" hidden="false" customHeight="false" outlineLevel="0" collapsed="false">
      <c r="A146" s="41" t="s">
        <v>517</v>
      </c>
      <c r="B146" s="42" t="s">
        <v>3179</v>
      </c>
      <c r="C146" s="53" t="n">
        <v>22018.81</v>
      </c>
      <c r="D146" s="54" t="n">
        <v>238</v>
      </c>
      <c r="E146" s="54" t="n">
        <v>38</v>
      </c>
      <c r="F146" s="55" t="n">
        <f aca="false">IF(D146&gt;=$C$3,E146/D146,"")</f>
        <v>0.159663865546218</v>
      </c>
      <c r="G146" s="54" t="n">
        <v>38</v>
      </c>
      <c r="H146" s="54" t="n">
        <v>3</v>
      </c>
      <c r="I146" s="55" t="n">
        <f aca="false">IF(G146&gt;=$C$3,H146/G146,"")</f>
        <v>0.0789473684210526</v>
      </c>
      <c r="J146" s="54" t="n">
        <v>12</v>
      </c>
      <c r="K146" s="54" t="n">
        <v>2</v>
      </c>
      <c r="L146" s="55" t="n">
        <f aca="false">IF(J146&gt;=$C$3,K146/J146,"")</f>
        <v>0.166666666666667</v>
      </c>
      <c r="M146" s="54" t="n">
        <v>27</v>
      </c>
      <c r="N146" s="54" t="n">
        <v>3</v>
      </c>
      <c r="O146" s="55" t="n">
        <f aca="false">IF(M146&gt;=$C$3,N146/M146,"")</f>
        <v>0.111111111111111</v>
      </c>
      <c r="P146" s="54" t="n">
        <v>7</v>
      </c>
      <c r="Q146" s="54" t="n">
        <v>0</v>
      </c>
      <c r="R146" s="55" t="n">
        <f aca="false">IF(P146&gt;=$C$3,Q146/P146,"")</f>
        <v>0</v>
      </c>
      <c r="S146" s="54" t="n">
        <v>15</v>
      </c>
      <c r="T146" s="54" t="n">
        <v>3</v>
      </c>
      <c r="U146" s="55" t="n">
        <f aca="false">IF(S146&gt;=$C$3,T146/S146,"")</f>
        <v>0.2</v>
      </c>
      <c r="V146" s="54" t="n">
        <v>32</v>
      </c>
      <c r="W146" s="54" t="n">
        <v>4</v>
      </c>
      <c r="X146" s="55" t="n">
        <f aca="false">IF(V146&gt;=$C$3,W146/V146,"")</f>
        <v>0.125</v>
      </c>
      <c r="Y146" s="56" t="n">
        <f aca="false">COUNT(F146,I146,L146,O146,R146,U146,X146)</f>
        <v>7</v>
      </c>
      <c r="Z146" s="57" t="n">
        <f aca="false">IF(Y146=0,"",AVERAGE(F146,I146,L146,O146,R146,U146,X146))</f>
        <v>0.120198430249293</v>
      </c>
      <c r="AA146" s="58" t="n">
        <f aca="false">IF(ISNUMBER(Z146),C146*Z146,"")</f>
        <v>2646.62639795743</v>
      </c>
    </row>
    <row r="147" customFormat="false" ht="15" hidden="false" customHeight="false" outlineLevel="0" collapsed="false">
      <c r="A147" s="41" t="s">
        <v>809</v>
      </c>
      <c r="B147" s="42" t="s">
        <v>3171</v>
      </c>
      <c r="C147" s="53" t="n">
        <v>54682.27</v>
      </c>
      <c r="D147" s="54" t="n">
        <v>136</v>
      </c>
      <c r="E147" s="54" t="n">
        <v>135</v>
      </c>
      <c r="F147" s="55" t="n">
        <f aca="false">IF(D147&gt;=$C$3,E147/D147,"")</f>
        <v>0.992647058823529</v>
      </c>
      <c r="G147" s="54" t="n">
        <v>16</v>
      </c>
      <c r="H147" s="54" t="n">
        <v>16</v>
      </c>
      <c r="I147" s="55" t="n">
        <f aca="false">IF(G147&gt;=$C$3,H147/G147,"")</f>
        <v>1</v>
      </c>
      <c r="J147" s="54" t="n">
        <v>4</v>
      </c>
      <c r="K147" s="54" t="n">
        <v>4</v>
      </c>
      <c r="L147" s="55" t="n">
        <f aca="false">IF(J147&gt;=$C$3,K147/J147,"")</f>
        <v>1</v>
      </c>
      <c r="M147" s="54" t="n">
        <v>21</v>
      </c>
      <c r="N147" s="54" t="n">
        <v>21</v>
      </c>
      <c r="O147" s="55" t="n">
        <f aca="false">IF(M147&gt;=$C$3,N147/M147,"")</f>
        <v>1</v>
      </c>
      <c r="P147" s="54" t="n">
        <v>26</v>
      </c>
      <c r="Q147" s="54" t="n">
        <v>26</v>
      </c>
      <c r="R147" s="55" t="n">
        <f aca="false">IF(P147&gt;=$C$3,Q147/P147,"")</f>
        <v>1</v>
      </c>
      <c r="S147" s="54" t="n">
        <v>21</v>
      </c>
      <c r="T147" s="54" t="n">
        <v>21</v>
      </c>
      <c r="U147" s="55" t="n">
        <f aca="false">IF(S147&gt;=$C$3,T147/S147,"")</f>
        <v>1</v>
      </c>
      <c r="V147" s="54" t="n">
        <v>10</v>
      </c>
      <c r="W147" s="54" t="n">
        <v>10</v>
      </c>
      <c r="X147" s="55" t="n">
        <f aca="false">IF(V147&gt;=$C$3,W147/V147,"")</f>
        <v>1</v>
      </c>
      <c r="Y147" s="56" t="n">
        <f aca="false">COUNT(F147,I147,L147,O147,R147,U147,X147)</f>
        <v>7</v>
      </c>
      <c r="Z147" s="57" t="n">
        <f aca="false">IF(Y147=0,"",AVERAGE(F147,I147,L147,O147,R147,U147,X147))</f>
        <v>0.998949579831933</v>
      </c>
      <c r="AA147" s="58" t="n">
        <f aca="false">IF(ISNUMBER(Z147),C147*Z147,"")</f>
        <v>54624.8306407563</v>
      </c>
    </row>
    <row r="148" customFormat="false" ht="15" hidden="false" customHeight="false" outlineLevel="0" collapsed="false">
      <c r="A148" s="41" t="s">
        <v>1431</v>
      </c>
      <c r="B148" s="42" t="s">
        <v>3173</v>
      </c>
      <c r="C148" s="53" t="n">
        <v>1176.33</v>
      </c>
      <c r="D148" s="54" t="n">
        <v>45</v>
      </c>
      <c r="E148" s="54" t="n">
        <v>45</v>
      </c>
      <c r="F148" s="55" t="n">
        <f aca="false">IF(D148&gt;=$C$3,E148/D148,"")</f>
        <v>1</v>
      </c>
      <c r="G148" s="54" t="n">
        <v>2</v>
      </c>
      <c r="H148" s="54" t="n">
        <v>2</v>
      </c>
      <c r="I148" s="55" t="str">
        <f aca="false">IF(G148&gt;=$C$3,H148/G148,"")</f>
        <v/>
      </c>
      <c r="J148" s="54" t="n">
        <v>7</v>
      </c>
      <c r="K148" s="54" t="n">
        <v>7</v>
      </c>
      <c r="L148" s="55" t="n">
        <f aca="false">IF(J148&gt;=$C$3,K148/J148,"")</f>
        <v>1</v>
      </c>
      <c r="M148" s="54" t="n">
        <v>1</v>
      </c>
      <c r="N148" s="54" t="n">
        <v>1</v>
      </c>
      <c r="O148" s="55" t="str">
        <f aca="false">IF(M148&gt;=$C$3,N148/M148,"")</f>
        <v/>
      </c>
      <c r="P148" s="54" t="n">
        <v>7</v>
      </c>
      <c r="Q148" s="54" t="n">
        <v>3</v>
      </c>
      <c r="R148" s="55" t="n">
        <f aca="false">IF(P148&gt;=$C$3,Q148/P148,"")</f>
        <v>0.428571428571429</v>
      </c>
      <c r="S148" s="54" t="n">
        <v>6</v>
      </c>
      <c r="T148" s="54" t="n">
        <v>6</v>
      </c>
      <c r="U148" s="55" t="n">
        <f aca="false">IF(S148&gt;=$C$3,T148/S148,"")</f>
        <v>1</v>
      </c>
      <c r="V148" s="54" t="n">
        <v>1</v>
      </c>
      <c r="W148" s="54" t="n">
        <v>1</v>
      </c>
      <c r="X148" s="55" t="str">
        <f aca="false">IF(V148&gt;=$C$3,W148/V148,"")</f>
        <v/>
      </c>
      <c r="Y148" s="56" t="n">
        <f aca="false">COUNT(F148,I148,L148,O148,R148,U148,X148)</f>
        <v>4</v>
      </c>
      <c r="Z148" s="57" t="n">
        <f aca="false">IF(Y148=0,"",AVERAGE(F148,I148,L148,O148,R148,U148,X148))</f>
        <v>0.857142857142857</v>
      </c>
      <c r="AA148" s="58" t="n">
        <f aca="false">IF(ISNUMBER(Z148),C148*Z148,"")</f>
        <v>1008.28285714286</v>
      </c>
    </row>
    <row r="149" customFormat="false" ht="15" hidden="false" customHeight="false" outlineLevel="0" collapsed="false">
      <c r="A149" s="41" t="s">
        <v>1110</v>
      </c>
      <c r="B149" s="42" t="s">
        <v>3169</v>
      </c>
      <c r="C149" s="53" t="n">
        <v>843.51</v>
      </c>
      <c r="D149" s="54" t="n">
        <v>28</v>
      </c>
      <c r="E149" s="54" t="n">
        <v>28</v>
      </c>
      <c r="F149" s="55" t="n">
        <f aca="false">IF(D149&gt;=$C$3,E149/D149,"")</f>
        <v>1</v>
      </c>
      <c r="G149" s="54" t="n">
        <v>11</v>
      </c>
      <c r="H149" s="54" t="n">
        <v>11</v>
      </c>
      <c r="I149" s="55" t="n">
        <f aca="false">IF(G149&gt;=$C$3,H149/G149,"")</f>
        <v>1</v>
      </c>
      <c r="J149" s="54" t="n">
        <v>4</v>
      </c>
      <c r="K149" s="54" t="n">
        <v>4</v>
      </c>
      <c r="L149" s="55" t="n">
        <f aca="false">IF(J149&gt;=$C$3,K149/J149,"")</f>
        <v>1</v>
      </c>
      <c r="M149" s="54" t="n">
        <v>6</v>
      </c>
      <c r="N149" s="54" t="n">
        <v>6</v>
      </c>
      <c r="O149" s="55" t="n">
        <f aca="false">IF(M149&gt;=$C$3,N149/M149,"")</f>
        <v>1</v>
      </c>
      <c r="P149" s="54" t="n">
        <v>1</v>
      </c>
      <c r="Q149" s="54" t="n">
        <v>1</v>
      </c>
      <c r="R149" s="55" t="str">
        <f aca="false">IF(P149&gt;=$C$3,Q149/P149,"")</f>
        <v/>
      </c>
      <c r="S149" s="54" t="n">
        <v>6</v>
      </c>
      <c r="T149" s="54" t="n">
        <v>6</v>
      </c>
      <c r="U149" s="55" t="n">
        <f aca="false">IF(S149&gt;=$C$3,T149/S149,"")</f>
        <v>1</v>
      </c>
      <c r="V149" s="54" t="n">
        <v>8</v>
      </c>
      <c r="W149" s="54" t="n">
        <v>8</v>
      </c>
      <c r="X149" s="55" t="n">
        <f aca="false">IF(V149&gt;=$C$3,W149/V149,"")</f>
        <v>1</v>
      </c>
      <c r="Y149" s="56" t="n">
        <f aca="false">COUNT(F149,I149,L149,O149,R149,U149,X149)</f>
        <v>6</v>
      </c>
      <c r="Z149" s="57" t="n">
        <f aca="false">IF(Y149=0,"",AVERAGE(F149,I149,L149,O149,R149,U149,X149))</f>
        <v>1</v>
      </c>
      <c r="AA149" s="58" t="n">
        <f aca="false">IF(ISNUMBER(Z149),C149*Z149,"")</f>
        <v>843.51</v>
      </c>
    </row>
    <row r="150" customFormat="false" ht="15" hidden="false" customHeight="false" outlineLevel="0" collapsed="false">
      <c r="A150" s="41" t="s">
        <v>521</v>
      </c>
      <c r="B150" s="42" t="s">
        <v>3188</v>
      </c>
      <c r="C150" s="53" t="n">
        <v>1127.64</v>
      </c>
      <c r="D150" s="54" t="n">
        <v>5</v>
      </c>
      <c r="E150" s="54" t="n">
        <v>5</v>
      </c>
      <c r="F150" s="55" t="n">
        <f aca="false">IF(D150&gt;=$C$3,E150/D150,"")</f>
        <v>1</v>
      </c>
      <c r="G150" s="54" t="n">
        <v>1</v>
      </c>
      <c r="H150" s="54" t="n">
        <v>1</v>
      </c>
      <c r="I150" s="55" t="str">
        <f aca="false">IF(G150&gt;=$C$3,H150/G150,"")</f>
        <v/>
      </c>
      <c r="J150" s="54" t="n">
        <v>0</v>
      </c>
      <c r="K150" s="54" t="n">
        <v>0</v>
      </c>
      <c r="L150" s="55" t="str">
        <f aca="false">IF(J150&gt;=$C$3,K150/J150,"")</f>
        <v/>
      </c>
      <c r="M150" s="54" t="n">
        <v>0</v>
      </c>
      <c r="N150" s="54" t="n">
        <v>0</v>
      </c>
      <c r="O150" s="55" t="str">
        <f aca="false">IF(M150&gt;=$C$3,N150/M150,"")</f>
        <v/>
      </c>
      <c r="P150" s="54" t="n">
        <v>0</v>
      </c>
      <c r="Q150" s="54" t="n">
        <v>0</v>
      </c>
      <c r="R150" s="55" t="str">
        <f aca="false">IF(P150&gt;=$C$3,Q150/P150,"")</f>
        <v/>
      </c>
      <c r="S150" s="54" t="n">
        <v>1</v>
      </c>
      <c r="T150" s="54" t="n">
        <v>1</v>
      </c>
      <c r="U150" s="55" t="str">
        <f aca="false">IF(S150&gt;=$C$3,T150/S150,"")</f>
        <v/>
      </c>
      <c r="V150" s="54" t="n">
        <v>12</v>
      </c>
      <c r="W150" s="54" t="n">
        <v>12</v>
      </c>
      <c r="X150" s="55" t="n">
        <f aca="false">IF(V150&gt;=$C$3,W150/V150,"")</f>
        <v>1</v>
      </c>
      <c r="Y150" s="56" t="n">
        <f aca="false">COUNT(F150,I150,L150,O150,R150,U150,X150)</f>
        <v>2</v>
      </c>
      <c r="Z150" s="57" t="n">
        <f aca="false">IF(Y150=0,"",AVERAGE(F150,I150,L150,O150,R150,U150,X150))</f>
        <v>1</v>
      </c>
      <c r="AA150" s="58" t="n">
        <f aca="false">IF(ISNUMBER(Z150),C150*Z150,"")</f>
        <v>1127.64</v>
      </c>
    </row>
    <row r="151" customFormat="false" ht="15" hidden="false" customHeight="false" outlineLevel="0" collapsed="false">
      <c r="A151" s="41" t="s">
        <v>525</v>
      </c>
      <c r="B151" s="42" t="s">
        <v>3171</v>
      </c>
      <c r="C151" s="53" t="n">
        <v>71.73</v>
      </c>
      <c r="D151" s="54" t="n">
        <v>85</v>
      </c>
      <c r="E151" s="54" t="n">
        <v>83</v>
      </c>
      <c r="F151" s="55" t="n">
        <f aca="false">IF(D151&gt;=$C$3,E151/D151,"")</f>
        <v>0.976470588235294</v>
      </c>
      <c r="G151" s="54" t="n">
        <v>19</v>
      </c>
      <c r="H151" s="54" t="n">
        <v>19</v>
      </c>
      <c r="I151" s="55" t="n">
        <f aca="false">IF(G151&gt;=$C$3,H151/G151,"")</f>
        <v>1</v>
      </c>
      <c r="J151" s="54" t="n">
        <v>2</v>
      </c>
      <c r="K151" s="54" t="n">
        <v>2</v>
      </c>
      <c r="L151" s="55" t="str">
        <f aca="false">IF(J151&gt;=$C$3,K151/J151,"")</f>
        <v/>
      </c>
      <c r="M151" s="54" t="n">
        <v>18</v>
      </c>
      <c r="N151" s="54" t="n">
        <v>18</v>
      </c>
      <c r="O151" s="55" t="n">
        <f aca="false">IF(M151&gt;=$C$3,N151/M151,"")</f>
        <v>1</v>
      </c>
      <c r="P151" s="54" t="n">
        <v>24</v>
      </c>
      <c r="Q151" s="54" t="n">
        <v>24</v>
      </c>
      <c r="R151" s="55" t="n">
        <f aca="false">IF(P151&gt;=$C$3,Q151/P151,"")</f>
        <v>1</v>
      </c>
      <c r="S151" s="54" t="n">
        <v>8</v>
      </c>
      <c r="T151" s="54" t="n">
        <v>8</v>
      </c>
      <c r="U151" s="55" t="n">
        <f aca="false">IF(S151&gt;=$C$3,T151/S151,"")</f>
        <v>1</v>
      </c>
      <c r="V151" s="54" t="n">
        <v>5</v>
      </c>
      <c r="W151" s="54" t="n">
        <v>5</v>
      </c>
      <c r="X151" s="55" t="n">
        <f aca="false">IF(V151&gt;=$C$3,W151/V151,"")</f>
        <v>1</v>
      </c>
      <c r="Y151" s="56" t="n">
        <f aca="false">COUNT(F151,I151,L151,O151,R151,U151,X151)</f>
        <v>6</v>
      </c>
      <c r="Z151" s="57" t="n">
        <f aca="false">IF(Y151=0,"",AVERAGE(F151,I151,L151,O151,R151,U151,X151))</f>
        <v>0.996078431372549</v>
      </c>
      <c r="AA151" s="58" t="n">
        <f aca="false">IF(ISNUMBER(Z151),C151*Z151,"")</f>
        <v>71.4487058823529</v>
      </c>
    </row>
    <row r="152" customFormat="false" ht="15" hidden="false" customHeight="false" outlineLevel="0" collapsed="false">
      <c r="A152" s="41" t="s">
        <v>880</v>
      </c>
      <c r="B152" s="42" t="s">
        <v>3171</v>
      </c>
      <c r="C152" s="53" t="n">
        <v>20408.58</v>
      </c>
      <c r="D152" s="54" t="n">
        <v>164</v>
      </c>
      <c r="E152" s="54" t="n">
        <v>164</v>
      </c>
      <c r="F152" s="55" t="n">
        <f aca="false">IF(D152&gt;=$C$3,E152/D152,"")</f>
        <v>1</v>
      </c>
      <c r="G152" s="54" t="n">
        <v>12</v>
      </c>
      <c r="H152" s="54" t="n">
        <v>12</v>
      </c>
      <c r="I152" s="55" t="n">
        <f aca="false">IF(G152&gt;=$C$3,H152/G152,"")</f>
        <v>1</v>
      </c>
      <c r="J152" s="54" t="n">
        <v>6</v>
      </c>
      <c r="K152" s="54" t="n">
        <v>6</v>
      </c>
      <c r="L152" s="55" t="n">
        <f aca="false">IF(J152&gt;=$C$3,K152/J152,"")</f>
        <v>1</v>
      </c>
      <c r="M152" s="54" t="n">
        <v>15</v>
      </c>
      <c r="N152" s="54" t="n">
        <v>15</v>
      </c>
      <c r="O152" s="55" t="n">
        <f aca="false">IF(M152&gt;=$C$3,N152/M152,"")</f>
        <v>1</v>
      </c>
      <c r="P152" s="54" t="n">
        <v>13</v>
      </c>
      <c r="Q152" s="54" t="n">
        <v>12</v>
      </c>
      <c r="R152" s="55" t="n">
        <f aca="false">IF(P152&gt;=$C$3,Q152/P152,"")</f>
        <v>0.923076923076923</v>
      </c>
      <c r="S152" s="54" t="n">
        <v>6</v>
      </c>
      <c r="T152" s="54" t="n">
        <v>6</v>
      </c>
      <c r="U152" s="55" t="n">
        <f aca="false">IF(S152&gt;=$C$3,T152/S152,"")</f>
        <v>1</v>
      </c>
      <c r="V152" s="54" t="n">
        <v>27</v>
      </c>
      <c r="W152" s="54" t="n">
        <v>27</v>
      </c>
      <c r="X152" s="55" t="n">
        <f aca="false">IF(V152&gt;=$C$3,W152/V152,"")</f>
        <v>1</v>
      </c>
      <c r="Y152" s="56" t="n">
        <f aca="false">COUNT(F152,I152,L152,O152,R152,U152,X152)</f>
        <v>7</v>
      </c>
      <c r="Z152" s="57" t="n">
        <f aca="false">IF(Y152=0,"",AVERAGE(F152,I152,L152,O152,R152,U152,X152))</f>
        <v>0.989010989010989</v>
      </c>
      <c r="AA152" s="58" t="n">
        <f aca="false">IF(ISNUMBER(Z152),C152*Z152,"")</f>
        <v>20184.3098901099</v>
      </c>
    </row>
    <row r="153" customFormat="false" ht="15" hidden="false" customHeight="false" outlineLevel="0" collapsed="false">
      <c r="A153" s="41" t="s">
        <v>532</v>
      </c>
      <c r="B153" s="42" t="s">
        <v>3171</v>
      </c>
      <c r="C153" s="53" t="n">
        <v>8072.59</v>
      </c>
      <c r="D153" s="54" t="n">
        <v>125</v>
      </c>
      <c r="E153" s="54" t="n">
        <v>125</v>
      </c>
      <c r="F153" s="55" t="n">
        <f aca="false">IF(D153&gt;=$C$3,E153/D153,"")</f>
        <v>1</v>
      </c>
      <c r="G153" s="54" t="n">
        <v>16</v>
      </c>
      <c r="H153" s="54" t="n">
        <v>16</v>
      </c>
      <c r="I153" s="55" t="n">
        <f aca="false">IF(G153&gt;=$C$3,H153/G153,"")</f>
        <v>1</v>
      </c>
      <c r="J153" s="54" t="n">
        <v>6</v>
      </c>
      <c r="K153" s="54" t="n">
        <v>6</v>
      </c>
      <c r="L153" s="55" t="n">
        <f aca="false">IF(J153&gt;=$C$3,K153/J153,"")</f>
        <v>1</v>
      </c>
      <c r="M153" s="54" t="n">
        <v>31</v>
      </c>
      <c r="N153" s="54" t="n">
        <v>31</v>
      </c>
      <c r="O153" s="55" t="n">
        <f aca="false">IF(M153&gt;=$C$3,N153/M153,"")</f>
        <v>1</v>
      </c>
      <c r="P153" s="54" t="n">
        <v>18</v>
      </c>
      <c r="Q153" s="54" t="n">
        <v>18</v>
      </c>
      <c r="R153" s="55" t="n">
        <f aca="false">IF(P153&gt;=$C$3,Q153/P153,"")</f>
        <v>1</v>
      </c>
      <c r="S153" s="54" t="n">
        <v>3</v>
      </c>
      <c r="T153" s="54" t="n">
        <v>3</v>
      </c>
      <c r="U153" s="55" t="n">
        <f aca="false">IF(S153&gt;=$C$3,T153/S153,"")</f>
        <v>1</v>
      </c>
      <c r="V153" s="54" t="n">
        <v>37</v>
      </c>
      <c r="W153" s="54" t="n">
        <v>37</v>
      </c>
      <c r="X153" s="55" t="n">
        <f aca="false">IF(V153&gt;=$C$3,W153/V153,"")</f>
        <v>1</v>
      </c>
      <c r="Y153" s="56" t="n">
        <f aca="false">COUNT(F153,I153,L153,O153,R153,U153,X153)</f>
        <v>7</v>
      </c>
      <c r="Z153" s="57" t="n">
        <f aca="false">IF(Y153=0,"",AVERAGE(F153,I153,L153,O153,R153,U153,X153))</f>
        <v>1</v>
      </c>
      <c r="AA153" s="58" t="n">
        <f aca="false">IF(ISNUMBER(Z153),C153*Z153,"")</f>
        <v>8072.59</v>
      </c>
    </row>
    <row r="154" customFormat="false" ht="15" hidden="false" customHeight="false" outlineLevel="0" collapsed="false">
      <c r="A154" s="41" t="s">
        <v>537</v>
      </c>
      <c r="B154" s="42" t="s">
        <v>3170</v>
      </c>
      <c r="C154" s="53" t="n">
        <v>71311.67</v>
      </c>
      <c r="D154" s="54" t="n">
        <v>586</v>
      </c>
      <c r="E154" s="54" t="n">
        <v>4</v>
      </c>
      <c r="F154" s="55" t="n">
        <f aca="false">IF(D154&gt;=$C$3,E154/D154,"")</f>
        <v>0.0068259385665529</v>
      </c>
      <c r="G154" s="54" t="n">
        <v>120</v>
      </c>
      <c r="H154" s="54" t="n">
        <v>1</v>
      </c>
      <c r="I154" s="55" t="n">
        <f aca="false">IF(G154&gt;=$C$3,H154/G154,"")</f>
        <v>0.00833333333333333</v>
      </c>
      <c r="J154" s="54" t="n">
        <v>47</v>
      </c>
      <c r="K154" s="54" t="n">
        <v>1</v>
      </c>
      <c r="L154" s="55" t="n">
        <f aca="false">IF(J154&gt;=$C$3,K154/J154,"")</f>
        <v>0.0212765957446809</v>
      </c>
      <c r="M154" s="54" t="n">
        <v>77</v>
      </c>
      <c r="N154" s="54" t="n">
        <v>1</v>
      </c>
      <c r="O154" s="55" t="n">
        <f aca="false">IF(M154&gt;=$C$3,N154/M154,"")</f>
        <v>0.012987012987013</v>
      </c>
      <c r="P154" s="54" t="n">
        <v>52</v>
      </c>
      <c r="Q154" s="54" t="n">
        <v>0</v>
      </c>
      <c r="R154" s="55" t="n">
        <f aca="false">IF(P154&gt;=$C$3,Q154/P154,"")</f>
        <v>0</v>
      </c>
      <c r="S154" s="54" t="n">
        <v>58</v>
      </c>
      <c r="T154" s="54" t="n">
        <v>0</v>
      </c>
      <c r="U154" s="55" t="n">
        <f aca="false">IF(S154&gt;=$C$3,T154/S154,"")</f>
        <v>0</v>
      </c>
      <c r="V154" s="54" t="n">
        <v>81</v>
      </c>
      <c r="W154" s="54" t="n">
        <v>2</v>
      </c>
      <c r="X154" s="55" t="n">
        <f aca="false">IF(V154&gt;=$C$3,W154/V154,"")</f>
        <v>0.0246913580246914</v>
      </c>
      <c r="Y154" s="56" t="n">
        <f aca="false">COUNT(F154,I154,L154,O154,R154,U154,X154)</f>
        <v>7</v>
      </c>
      <c r="Z154" s="57" t="n">
        <f aca="false">IF(Y154=0,"",AVERAGE(F154,I154,L154,O154,R154,U154,X154))</f>
        <v>0.0105877483794673</v>
      </c>
      <c r="AA154" s="58" t="n">
        <f aca="false">IF(ISNUMBER(Z154),C154*Z154,"")</f>
        <v>755.03001847961</v>
      </c>
    </row>
    <row r="155" customFormat="false" ht="15" hidden="false" customHeight="false" outlineLevel="0" collapsed="false">
      <c r="A155" s="41" t="s">
        <v>884</v>
      </c>
      <c r="B155" s="42" t="s">
        <v>3175</v>
      </c>
      <c r="C155" s="53" t="n">
        <v>19666.38</v>
      </c>
      <c r="D155" s="54" t="n">
        <v>950</v>
      </c>
      <c r="E155" s="54" t="n">
        <v>166</v>
      </c>
      <c r="F155" s="55" t="n">
        <f aca="false">IF(D155&gt;=$C$3,E155/D155,"")</f>
        <v>0.174736842105263</v>
      </c>
      <c r="G155" s="54" t="n">
        <v>156</v>
      </c>
      <c r="H155" s="54" t="n">
        <v>9</v>
      </c>
      <c r="I155" s="55" t="n">
        <f aca="false">IF(G155&gt;=$C$3,H155/G155,"")</f>
        <v>0.0576923076923077</v>
      </c>
      <c r="J155" s="54" t="n">
        <v>29</v>
      </c>
      <c r="K155" s="54" t="n">
        <v>10</v>
      </c>
      <c r="L155" s="55" t="n">
        <f aca="false">IF(J155&gt;=$C$3,K155/J155,"")</f>
        <v>0.344827586206897</v>
      </c>
      <c r="M155" s="54" t="n">
        <v>149</v>
      </c>
      <c r="N155" s="54" t="n">
        <v>8</v>
      </c>
      <c r="O155" s="55" t="n">
        <f aca="false">IF(M155&gt;=$C$3,N155/M155,"")</f>
        <v>0.0536912751677852</v>
      </c>
      <c r="P155" s="54" t="n">
        <v>33</v>
      </c>
      <c r="Q155" s="54" t="n">
        <v>13</v>
      </c>
      <c r="R155" s="55" t="n">
        <f aca="false">IF(P155&gt;=$C$3,Q155/P155,"")</f>
        <v>0.393939393939394</v>
      </c>
      <c r="S155" s="54" t="n">
        <v>120</v>
      </c>
      <c r="T155" s="54" t="n">
        <v>5</v>
      </c>
      <c r="U155" s="55" t="n">
        <f aca="false">IF(S155&gt;=$C$3,T155/S155,"")</f>
        <v>0.0416666666666667</v>
      </c>
      <c r="V155" s="54" t="n">
        <v>146</v>
      </c>
      <c r="W155" s="54" t="n">
        <v>34</v>
      </c>
      <c r="X155" s="55" t="n">
        <f aca="false">IF(V155&gt;=$C$3,W155/V155,"")</f>
        <v>0.232876712328767</v>
      </c>
      <c r="Y155" s="56" t="n">
        <f aca="false">COUNT(F155,I155,L155,O155,R155,U155,X155)</f>
        <v>7</v>
      </c>
      <c r="Z155" s="57" t="n">
        <f aca="false">IF(Y155=0,"",AVERAGE(F155,I155,L155,O155,R155,U155,X155))</f>
        <v>0.185632969158154</v>
      </c>
      <c r="AA155" s="58" t="n">
        <f aca="false">IF(ISNUMBER(Z155),C155*Z155,"")</f>
        <v>3650.72851199254</v>
      </c>
    </row>
    <row r="156" customFormat="false" ht="15" hidden="false" customHeight="false" outlineLevel="0" collapsed="false">
      <c r="A156" s="41" t="s">
        <v>1437</v>
      </c>
      <c r="B156" s="42" t="s">
        <v>3177</v>
      </c>
      <c r="C156" s="53" t="n">
        <v>18439.5</v>
      </c>
      <c r="D156" s="54" t="n">
        <v>250</v>
      </c>
      <c r="E156" s="54" t="n">
        <v>60</v>
      </c>
      <c r="F156" s="55" t="n">
        <f aca="false">IF(D156&gt;=$C$3,E156/D156,"")</f>
        <v>0.24</v>
      </c>
      <c r="G156" s="54" t="n">
        <v>61</v>
      </c>
      <c r="H156" s="54" t="n">
        <v>5</v>
      </c>
      <c r="I156" s="55" t="n">
        <f aca="false">IF(G156&gt;=$C$3,H156/G156,"")</f>
        <v>0.0819672131147541</v>
      </c>
      <c r="J156" s="54" t="n">
        <v>17</v>
      </c>
      <c r="K156" s="54" t="n">
        <v>0</v>
      </c>
      <c r="L156" s="55" t="n">
        <f aca="false">IF(J156&gt;=$C$3,K156/J156,"")</f>
        <v>0</v>
      </c>
      <c r="M156" s="54" t="n">
        <v>38</v>
      </c>
      <c r="N156" s="54" t="n">
        <v>18</v>
      </c>
      <c r="O156" s="55" t="n">
        <f aca="false">IF(M156&gt;=$C$3,N156/M156,"")</f>
        <v>0.473684210526316</v>
      </c>
      <c r="P156" s="54" t="n">
        <v>37</v>
      </c>
      <c r="Q156" s="54" t="n">
        <v>8</v>
      </c>
      <c r="R156" s="55" t="n">
        <f aca="false">IF(P156&gt;=$C$3,Q156/P156,"")</f>
        <v>0.216216216216216</v>
      </c>
      <c r="S156" s="54" t="n">
        <v>7</v>
      </c>
      <c r="T156" s="54" t="n">
        <v>2</v>
      </c>
      <c r="U156" s="55" t="n">
        <f aca="false">IF(S156&gt;=$C$3,T156/S156,"")</f>
        <v>0.285714285714286</v>
      </c>
      <c r="V156" s="54" t="n">
        <v>65</v>
      </c>
      <c r="W156" s="54" t="n">
        <v>4</v>
      </c>
      <c r="X156" s="55" t="n">
        <f aca="false">IF(V156&gt;=$C$3,W156/V156,"")</f>
        <v>0.0615384615384615</v>
      </c>
      <c r="Y156" s="56" t="n">
        <f aca="false">COUNT(F156,I156,L156,O156,R156,U156,X156)</f>
        <v>7</v>
      </c>
      <c r="Z156" s="57" t="n">
        <f aca="false">IF(Y156=0,"",AVERAGE(F156,I156,L156,O156,R156,U156,X156))</f>
        <v>0.194160055301433</v>
      </c>
      <c r="AA156" s="58" t="n">
        <f aca="false">IF(ISNUMBER(Z156),C156*Z156,"")</f>
        <v>3580.21433973078</v>
      </c>
    </row>
    <row r="157" customFormat="false" ht="15" hidden="false" customHeight="false" outlineLevel="0" collapsed="false">
      <c r="A157" s="41" t="s">
        <v>630</v>
      </c>
      <c r="B157" s="42" t="s">
        <v>3170</v>
      </c>
      <c r="C157" s="53" t="n">
        <v>1308.54</v>
      </c>
      <c r="D157" s="54" t="n">
        <v>9</v>
      </c>
      <c r="E157" s="54" t="n">
        <v>1</v>
      </c>
      <c r="F157" s="55" t="n">
        <f aca="false">IF(D157&gt;=$C$3,E157/D157,"")</f>
        <v>0.111111111111111</v>
      </c>
      <c r="G157" s="54" t="n">
        <v>3</v>
      </c>
      <c r="H157" s="54" t="n">
        <v>0</v>
      </c>
      <c r="I157" s="55" t="n">
        <f aca="false">IF(G157&gt;=$C$3,H157/G157,"")</f>
        <v>0</v>
      </c>
      <c r="J157" s="54" t="n">
        <v>0</v>
      </c>
      <c r="K157" s="54" t="n">
        <v>0</v>
      </c>
      <c r="L157" s="55" t="str">
        <f aca="false">IF(J157&gt;=$C$3,K157/J157,"")</f>
        <v/>
      </c>
      <c r="M157" s="54" t="n">
        <v>0</v>
      </c>
      <c r="N157" s="54" t="n">
        <v>0</v>
      </c>
      <c r="O157" s="55" t="str">
        <f aca="false">IF(M157&gt;=$C$3,N157/M157,"")</f>
        <v/>
      </c>
      <c r="P157" s="54" t="n">
        <v>3</v>
      </c>
      <c r="Q157" s="54" t="n">
        <v>3</v>
      </c>
      <c r="R157" s="55" t="n">
        <f aca="false">IF(P157&gt;=$C$3,Q157/P157,"")</f>
        <v>1</v>
      </c>
      <c r="S157" s="54" t="n">
        <v>0</v>
      </c>
      <c r="T157" s="54" t="n">
        <v>0</v>
      </c>
      <c r="U157" s="55" t="str">
        <f aca="false">IF(S157&gt;=$C$3,T157/S157,"")</f>
        <v/>
      </c>
      <c r="V157" s="54" t="n">
        <v>0</v>
      </c>
      <c r="W157" s="54" t="n">
        <v>0</v>
      </c>
      <c r="X157" s="55" t="str">
        <f aca="false">IF(V157&gt;=$C$3,W157/V157,"")</f>
        <v/>
      </c>
      <c r="Y157" s="56" t="n">
        <f aca="false">COUNT(F157,I157,L157,O157,R157,U157,X157)</f>
        <v>3</v>
      </c>
      <c r="Z157" s="57" t="n">
        <f aca="false">IF(Y157=0,"",AVERAGE(F157,I157,L157,O157,R157,U157,X157))</f>
        <v>0.37037037037037</v>
      </c>
      <c r="AA157" s="58" t="n">
        <f aca="false">IF(ISNUMBER(Z157),C157*Z157,"")</f>
        <v>484.644444444445</v>
      </c>
    </row>
    <row r="158" customFormat="false" ht="15" hidden="false" customHeight="false" outlineLevel="0" collapsed="false">
      <c r="A158" s="41" t="s">
        <v>724</v>
      </c>
      <c r="B158" s="42" t="s">
        <v>3171</v>
      </c>
      <c r="C158" s="53" t="n">
        <v>3067.39</v>
      </c>
      <c r="D158" s="54" t="n">
        <v>59</v>
      </c>
      <c r="E158" s="54" t="n">
        <v>59</v>
      </c>
      <c r="F158" s="55" t="n">
        <f aca="false">IF(D158&gt;=$C$3,E158/D158,"")</f>
        <v>1</v>
      </c>
      <c r="G158" s="54" t="n">
        <v>6</v>
      </c>
      <c r="H158" s="54" t="n">
        <v>6</v>
      </c>
      <c r="I158" s="55" t="n">
        <f aca="false">IF(G158&gt;=$C$3,H158/G158,"")</f>
        <v>1</v>
      </c>
      <c r="J158" s="54" t="n">
        <v>3</v>
      </c>
      <c r="K158" s="54" t="n">
        <v>3</v>
      </c>
      <c r="L158" s="55" t="n">
        <f aca="false">IF(J158&gt;=$C$3,K158/J158,"")</f>
        <v>1</v>
      </c>
      <c r="M158" s="54" t="n">
        <v>5</v>
      </c>
      <c r="N158" s="54" t="n">
        <v>5</v>
      </c>
      <c r="O158" s="55" t="n">
        <f aca="false">IF(M158&gt;=$C$3,N158/M158,"")</f>
        <v>1</v>
      </c>
      <c r="P158" s="54" t="n">
        <v>2</v>
      </c>
      <c r="Q158" s="54" t="n">
        <v>2</v>
      </c>
      <c r="R158" s="55" t="str">
        <f aca="false">IF(P158&gt;=$C$3,Q158/P158,"")</f>
        <v/>
      </c>
      <c r="S158" s="54" t="n">
        <v>2</v>
      </c>
      <c r="T158" s="54" t="n">
        <v>2</v>
      </c>
      <c r="U158" s="55" t="str">
        <f aca="false">IF(S158&gt;=$C$3,T158/S158,"")</f>
        <v/>
      </c>
      <c r="V158" s="54" t="n">
        <v>22</v>
      </c>
      <c r="W158" s="54" t="n">
        <v>22</v>
      </c>
      <c r="X158" s="55" t="n">
        <f aca="false">IF(V158&gt;=$C$3,W158/V158,"")</f>
        <v>1</v>
      </c>
      <c r="Y158" s="56" t="n">
        <f aca="false">COUNT(F158,I158,L158,O158,R158,U158,X158)</f>
        <v>5</v>
      </c>
      <c r="Z158" s="57" t="n">
        <f aca="false">IF(Y158=0,"",AVERAGE(F158,I158,L158,O158,R158,U158,X158))</f>
        <v>1</v>
      </c>
      <c r="AA158" s="58" t="n">
        <f aca="false">IF(ISNUMBER(Z158),C158*Z158,"")</f>
        <v>3067.39</v>
      </c>
    </row>
    <row r="159" customFormat="false" ht="15" hidden="false" customHeight="false" outlineLevel="0" collapsed="false">
      <c r="A159" s="41" t="s">
        <v>635</v>
      </c>
      <c r="B159" s="42" t="s">
        <v>3171</v>
      </c>
      <c r="C159" s="53" t="n">
        <v>32830.17</v>
      </c>
      <c r="D159" s="54" t="n">
        <v>366</v>
      </c>
      <c r="E159" s="54" t="n">
        <v>366</v>
      </c>
      <c r="F159" s="55" t="n">
        <f aca="false">IF(D159&gt;=$C$3,E159/D159,"")</f>
        <v>1</v>
      </c>
      <c r="G159" s="54" t="n">
        <v>30</v>
      </c>
      <c r="H159" s="54" t="n">
        <v>30</v>
      </c>
      <c r="I159" s="55" t="n">
        <f aca="false">IF(G159&gt;=$C$3,H159/G159,"")</f>
        <v>1</v>
      </c>
      <c r="J159" s="54" t="n">
        <v>4</v>
      </c>
      <c r="K159" s="54" t="n">
        <v>4</v>
      </c>
      <c r="L159" s="55" t="n">
        <f aca="false">IF(J159&gt;=$C$3,K159/J159,"")</f>
        <v>1</v>
      </c>
      <c r="M159" s="54" t="n">
        <v>54</v>
      </c>
      <c r="N159" s="54" t="n">
        <v>54</v>
      </c>
      <c r="O159" s="55" t="n">
        <f aca="false">IF(M159&gt;=$C$3,N159/M159,"")</f>
        <v>1</v>
      </c>
      <c r="P159" s="54" t="n">
        <v>18</v>
      </c>
      <c r="Q159" s="54" t="n">
        <v>18</v>
      </c>
      <c r="R159" s="55" t="n">
        <f aca="false">IF(P159&gt;=$C$3,Q159/P159,"")</f>
        <v>1</v>
      </c>
      <c r="S159" s="54" t="n">
        <v>15</v>
      </c>
      <c r="T159" s="54" t="n">
        <v>15</v>
      </c>
      <c r="U159" s="55" t="n">
        <f aca="false">IF(S159&gt;=$C$3,T159/S159,"")</f>
        <v>1</v>
      </c>
      <c r="V159" s="54" t="n">
        <v>25</v>
      </c>
      <c r="W159" s="54" t="n">
        <v>25</v>
      </c>
      <c r="X159" s="55" t="n">
        <f aca="false">IF(V159&gt;=$C$3,W159/V159,"")</f>
        <v>1</v>
      </c>
      <c r="Y159" s="56" t="n">
        <f aca="false">COUNT(F159,I159,L159,O159,R159,U159,X159)</f>
        <v>7</v>
      </c>
      <c r="Z159" s="57" t="n">
        <f aca="false">IF(Y159=0,"",AVERAGE(F159,I159,L159,O159,R159,U159,X159))</f>
        <v>1</v>
      </c>
      <c r="AA159" s="58" t="n">
        <f aca="false">IF(ISNUMBER(Z159),C159*Z159,"")</f>
        <v>32830.17</v>
      </c>
    </row>
    <row r="160" customFormat="false" ht="15" hidden="false" customHeight="false" outlineLevel="0" collapsed="false">
      <c r="A160" s="41" t="s">
        <v>641</v>
      </c>
      <c r="B160" s="42" t="s">
        <v>3172</v>
      </c>
      <c r="C160" s="53" t="n">
        <v>7074.72</v>
      </c>
      <c r="D160" s="54" t="n">
        <v>127</v>
      </c>
      <c r="E160" s="54" t="n">
        <v>127</v>
      </c>
      <c r="F160" s="55" t="n">
        <f aca="false">IF(D160&gt;=$C$3,E160/D160,"")</f>
        <v>1</v>
      </c>
      <c r="G160" s="54" t="n">
        <v>37</v>
      </c>
      <c r="H160" s="54" t="n">
        <v>37</v>
      </c>
      <c r="I160" s="55" t="n">
        <f aca="false">IF(G160&gt;=$C$3,H160/G160,"")</f>
        <v>1</v>
      </c>
      <c r="J160" s="54" t="n">
        <v>0</v>
      </c>
      <c r="K160" s="54" t="n">
        <v>0</v>
      </c>
      <c r="L160" s="55" t="str">
        <f aca="false">IF(J160&gt;=$C$3,K160/J160,"")</f>
        <v/>
      </c>
      <c r="M160" s="54" t="n">
        <v>7</v>
      </c>
      <c r="N160" s="54" t="n">
        <v>7</v>
      </c>
      <c r="O160" s="55" t="n">
        <f aca="false">IF(M160&gt;=$C$3,N160/M160,"")</f>
        <v>1</v>
      </c>
      <c r="P160" s="54" t="n">
        <v>12</v>
      </c>
      <c r="Q160" s="54" t="n">
        <v>9</v>
      </c>
      <c r="R160" s="55" t="n">
        <f aca="false">IF(P160&gt;=$C$3,Q160/P160,"")</f>
        <v>0.75</v>
      </c>
      <c r="S160" s="54" t="n">
        <v>2</v>
      </c>
      <c r="T160" s="54" t="n">
        <v>2</v>
      </c>
      <c r="U160" s="55" t="str">
        <f aca="false">IF(S160&gt;=$C$3,T160/S160,"")</f>
        <v/>
      </c>
      <c r="V160" s="54" t="n">
        <v>0</v>
      </c>
      <c r="W160" s="54" t="n">
        <v>0</v>
      </c>
      <c r="X160" s="55" t="str">
        <f aca="false">IF(V160&gt;=$C$3,W160/V160,"")</f>
        <v/>
      </c>
      <c r="Y160" s="56" t="n">
        <f aca="false">COUNT(F160,I160,L160,O160,R160,U160,X160)</f>
        <v>4</v>
      </c>
      <c r="Z160" s="57" t="n">
        <f aca="false">IF(Y160=0,"",AVERAGE(F160,I160,L160,O160,R160,U160,X160))</f>
        <v>0.9375</v>
      </c>
      <c r="AA160" s="58" t="n">
        <f aca="false">IF(ISNUMBER(Z160),C160*Z160,"")</f>
        <v>6632.55</v>
      </c>
    </row>
    <row r="161" customFormat="false" ht="15" hidden="false" customHeight="false" outlineLevel="0" collapsed="false">
      <c r="A161" s="41" t="s">
        <v>1347</v>
      </c>
      <c r="B161" s="42" t="s">
        <v>3201</v>
      </c>
      <c r="C161" s="53" t="n">
        <v>77.4</v>
      </c>
      <c r="D161" s="54" t="n">
        <v>59</v>
      </c>
      <c r="E161" s="54" t="n">
        <v>59</v>
      </c>
      <c r="F161" s="55" t="n">
        <f aca="false">IF(D161&gt;=$C$3,E161/D161,"")</f>
        <v>1</v>
      </c>
      <c r="G161" s="54" t="n">
        <v>9</v>
      </c>
      <c r="H161" s="54" t="n">
        <v>9</v>
      </c>
      <c r="I161" s="55" t="n">
        <f aca="false">IF(G161&gt;=$C$3,H161/G161,"")</f>
        <v>1</v>
      </c>
      <c r="J161" s="54" t="n">
        <v>0</v>
      </c>
      <c r="K161" s="54" t="n">
        <v>0</v>
      </c>
      <c r="L161" s="55" t="str">
        <f aca="false">IF(J161&gt;=$C$3,K161/J161,"")</f>
        <v/>
      </c>
      <c r="M161" s="54" t="n">
        <v>6</v>
      </c>
      <c r="N161" s="54" t="n">
        <v>6</v>
      </c>
      <c r="O161" s="55" t="n">
        <f aca="false">IF(M161&gt;=$C$3,N161/M161,"")</f>
        <v>1</v>
      </c>
      <c r="P161" s="54" t="n">
        <v>1</v>
      </c>
      <c r="Q161" s="54" t="n">
        <v>0</v>
      </c>
      <c r="R161" s="55" t="str">
        <f aca="false">IF(P161&gt;=$C$3,Q161/P161,"")</f>
        <v/>
      </c>
      <c r="S161" s="54" t="n">
        <v>2</v>
      </c>
      <c r="T161" s="54" t="n">
        <v>2</v>
      </c>
      <c r="U161" s="55" t="str">
        <f aca="false">IF(S161&gt;=$C$3,T161/S161,"")</f>
        <v/>
      </c>
      <c r="V161" s="54" t="n">
        <v>1</v>
      </c>
      <c r="W161" s="54" t="n">
        <v>1</v>
      </c>
      <c r="X161" s="55" t="str">
        <f aca="false">IF(V161&gt;=$C$3,W161/V161,"")</f>
        <v/>
      </c>
      <c r="Y161" s="56" t="n">
        <f aca="false">COUNT(F161,I161,L161,O161,R161,U161,X161)</f>
        <v>3</v>
      </c>
      <c r="Z161" s="57" t="n">
        <f aca="false">IF(Y161=0,"",AVERAGE(F161,I161,L161,O161,R161,U161,X161))</f>
        <v>1</v>
      </c>
      <c r="AA161" s="58" t="n">
        <f aca="false">IF(ISNUMBER(Z161),C161*Z161,"")</f>
        <v>77.4</v>
      </c>
    </row>
    <row r="162" customFormat="false" ht="15" hidden="false" customHeight="false" outlineLevel="0" collapsed="false">
      <c r="A162" s="41" t="s">
        <v>542</v>
      </c>
      <c r="B162" s="42" t="s">
        <v>3202</v>
      </c>
      <c r="C162" s="53" t="n">
        <v>7276.73</v>
      </c>
      <c r="D162" s="54" t="n">
        <v>0</v>
      </c>
      <c r="E162" s="54" t="n">
        <v>0</v>
      </c>
      <c r="F162" s="55" t="str">
        <f aca="false">IF(D162&gt;=$C$3,E162/D162,"")</f>
        <v/>
      </c>
      <c r="G162" s="54" t="n">
        <v>0</v>
      </c>
      <c r="H162" s="54" t="n">
        <v>0</v>
      </c>
      <c r="I162" s="55" t="str">
        <f aca="false">IF(G162&gt;=$C$3,H162/G162,"")</f>
        <v/>
      </c>
      <c r="J162" s="54" t="n">
        <v>1</v>
      </c>
      <c r="K162" s="54" t="n">
        <v>1</v>
      </c>
      <c r="L162" s="55" t="str">
        <f aca="false">IF(J162&gt;=$C$3,K162/J162,"")</f>
        <v/>
      </c>
      <c r="M162" s="54" t="n">
        <v>0</v>
      </c>
      <c r="N162" s="54" t="n">
        <v>0</v>
      </c>
      <c r="O162" s="55" t="str">
        <f aca="false">IF(M162&gt;=$C$3,N162/M162,"")</f>
        <v/>
      </c>
      <c r="P162" s="54" t="n">
        <v>1</v>
      </c>
      <c r="Q162" s="54" t="n">
        <v>1</v>
      </c>
      <c r="R162" s="55" t="str">
        <f aca="false">IF(P162&gt;=$C$3,Q162/P162,"")</f>
        <v/>
      </c>
      <c r="S162" s="54" t="n">
        <v>1</v>
      </c>
      <c r="T162" s="54" t="n">
        <v>1</v>
      </c>
      <c r="U162" s="55" t="str">
        <f aca="false">IF(S162&gt;=$C$3,T162/S162,"")</f>
        <v/>
      </c>
      <c r="V162" s="54" t="n">
        <v>19</v>
      </c>
      <c r="W162" s="54" t="n">
        <v>18</v>
      </c>
      <c r="X162" s="55" t="n">
        <f aca="false">IF(V162&gt;=$C$3,W162/V162,"")</f>
        <v>0.947368421052632</v>
      </c>
      <c r="Y162" s="56" t="n">
        <f aca="false">COUNT(F162,I162,L162,O162,R162,U162,X162)</f>
        <v>1</v>
      </c>
      <c r="Z162" s="57" t="n">
        <f aca="false">IF(Y162=0,"",AVERAGE(F162,I162,L162,O162,R162,U162,X162))</f>
        <v>0.947368421052632</v>
      </c>
      <c r="AA162" s="58" t="n">
        <f aca="false">IF(ISNUMBER(Z162),C162*Z162,"")</f>
        <v>6893.74421052632</v>
      </c>
    </row>
    <row r="163" customFormat="false" ht="15" hidden="false" customHeight="false" outlineLevel="0" collapsed="false">
      <c r="A163" s="41" t="s">
        <v>546</v>
      </c>
      <c r="B163" s="42" t="s">
        <v>3202</v>
      </c>
      <c r="C163" s="53" t="n">
        <v>1202.23</v>
      </c>
      <c r="D163" s="54" t="n">
        <v>20</v>
      </c>
      <c r="E163" s="54" t="n">
        <v>20</v>
      </c>
      <c r="F163" s="55" t="n">
        <f aca="false">IF(D163&gt;=$C$3,E163/D163,"")</f>
        <v>1</v>
      </c>
      <c r="G163" s="54" t="n">
        <v>1</v>
      </c>
      <c r="H163" s="54" t="n">
        <v>1</v>
      </c>
      <c r="I163" s="55" t="str">
        <f aca="false">IF(G163&gt;=$C$3,H163/G163,"")</f>
        <v/>
      </c>
      <c r="J163" s="54" t="n">
        <v>1</v>
      </c>
      <c r="K163" s="54" t="n">
        <v>1</v>
      </c>
      <c r="L163" s="55" t="str">
        <f aca="false">IF(J163&gt;=$C$3,K163/J163,"")</f>
        <v/>
      </c>
      <c r="M163" s="54" t="n">
        <v>1</v>
      </c>
      <c r="N163" s="54" t="n">
        <v>1</v>
      </c>
      <c r="O163" s="55" t="str">
        <f aca="false">IF(M163&gt;=$C$3,N163/M163,"")</f>
        <v/>
      </c>
      <c r="P163" s="54" t="n">
        <v>0</v>
      </c>
      <c r="Q163" s="54" t="n">
        <v>0</v>
      </c>
      <c r="R163" s="55" t="str">
        <f aca="false">IF(P163&gt;=$C$3,Q163/P163,"")</f>
        <v/>
      </c>
      <c r="S163" s="54" t="n">
        <v>0</v>
      </c>
      <c r="T163" s="54" t="n">
        <v>0</v>
      </c>
      <c r="U163" s="55" t="str">
        <f aca="false">IF(S163&gt;=$C$3,T163/S163,"")</f>
        <v/>
      </c>
      <c r="V163" s="54" t="n">
        <v>5</v>
      </c>
      <c r="W163" s="54" t="n">
        <v>5</v>
      </c>
      <c r="X163" s="55" t="n">
        <f aca="false">IF(V163&gt;=$C$3,W163/V163,"")</f>
        <v>1</v>
      </c>
      <c r="Y163" s="56" t="n">
        <f aca="false">COUNT(F163,I163,L163,O163,R163,U163,X163)</f>
        <v>2</v>
      </c>
      <c r="Z163" s="57" t="n">
        <f aca="false">IF(Y163=0,"",AVERAGE(F163,I163,L163,O163,R163,U163,X163))</f>
        <v>1</v>
      </c>
      <c r="AA163" s="58" t="n">
        <f aca="false">IF(ISNUMBER(Z163),C163*Z163,"")</f>
        <v>1202.23</v>
      </c>
    </row>
    <row r="164" customFormat="false" ht="15" hidden="false" customHeight="false" outlineLevel="0" collapsed="false">
      <c r="A164" s="41" t="s">
        <v>646</v>
      </c>
      <c r="B164" s="42" t="s">
        <v>3202</v>
      </c>
      <c r="C164" s="53" t="n">
        <v>262.84</v>
      </c>
      <c r="D164" s="54" t="n">
        <v>105</v>
      </c>
      <c r="E164" s="54" t="n">
        <v>105</v>
      </c>
      <c r="F164" s="55" t="n">
        <f aca="false">IF(D164&gt;=$C$3,E164/D164,"")</f>
        <v>1</v>
      </c>
      <c r="G164" s="54" t="n">
        <v>9</v>
      </c>
      <c r="H164" s="54" t="n">
        <v>9</v>
      </c>
      <c r="I164" s="55" t="n">
        <f aca="false">IF(G164&gt;=$C$3,H164/G164,"")</f>
        <v>1</v>
      </c>
      <c r="J164" s="54" t="n">
        <v>4</v>
      </c>
      <c r="K164" s="54" t="n">
        <v>0</v>
      </c>
      <c r="L164" s="55" t="n">
        <f aca="false">IF(J164&gt;=$C$3,K164/J164,"")</f>
        <v>0</v>
      </c>
      <c r="M164" s="54" t="n">
        <v>12</v>
      </c>
      <c r="N164" s="54" t="n">
        <v>12</v>
      </c>
      <c r="O164" s="55" t="n">
        <f aca="false">IF(M164&gt;=$C$3,N164/M164,"")</f>
        <v>1</v>
      </c>
      <c r="P164" s="54" t="n">
        <v>3</v>
      </c>
      <c r="Q164" s="54" t="n">
        <v>3</v>
      </c>
      <c r="R164" s="55" t="n">
        <f aca="false">IF(P164&gt;=$C$3,Q164/P164,"")</f>
        <v>1</v>
      </c>
      <c r="S164" s="54" t="n">
        <v>5</v>
      </c>
      <c r="T164" s="54" t="n">
        <v>4</v>
      </c>
      <c r="U164" s="55" t="n">
        <f aca="false">IF(S164&gt;=$C$3,T164/S164,"")</f>
        <v>0.8</v>
      </c>
      <c r="V164" s="54" t="n">
        <v>8</v>
      </c>
      <c r="W164" s="54" t="n">
        <v>1</v>
      </c>
      <c r="X164" s="55" t="n">
        <f aca="false">IF(V164&gt;=$C$3,W164/V164,"")</f>
        <v>0.125</v>
      </c>
      <c r="Y164" s="56" t="n">
        <f aca="false">COUNT(F164,I164,L164,O164,R164,U164,X164)</f>
        <v>7</v>
      </c>
      <c r="Z164" s="57" t="n">
        <f aca="false">IF(Y164=0,"",AVERAGE(F164,I164,L164,O164,R164,U164,X164))</f>
        <v>0.703571428571429</v>
      </c>
      <c r="AA164" s="58" t="n">
        <f aca="false">IF(ISNUMBER(Z164),C164*Z164,"")</f>
        <v>184.926714285714</v>
      </c>
    </row>
    <row r="165" customFormat="false" ht="15" hidden="false" customHeight="false" outlineLevel="0" collapsed="false">
      <c r="A165" s="41" t="s">
        <v>733</v>
      </c>
      <c r="B165" s="42" t="s">
        <v>3176</v>
      </c>
      <c r="C165" s="53" t="n">
        <v>11040.91</v>
      </c>
      <c r="D165" s="54" t="n">
        <v>80</v>
      </c>
      <c r="E165" s="54" t="n">
        <v>80</v>
      </c>
      <c r="F165" s="55" t="n">
        <f aca="false">IF(D165&gt;=$C$3,E165/D165,"")</f>
        <v>1</v>
      </c>
      <c r="G165" s="54" t="n">
        <v>18</v>
      </c>
      <c r="H165" s="54" t="n">
        <v>18</v>
      </c>
      <c r="I165" s="55" t="n">
        <f aca="false">IF(G165&gt;=$C$3,H165/G165,"")</f>
        <v>1</v>
      </c>
      <c r="J165" s="54" t="n">
        <v>6</v>
      </c>
      <c r="K165" s="54" t="n">
        <v>6</v>
      </c>
      <c r="L165" s="55" t="n">
        <f aca="false">IF(J165&gt;=$C$3,K165/J165,"")</f>
        <v>1</v>
      </c>
      <c r="M165" s="54" t="n">
        <v>10</v>
      </c>
      <c r="N165" s="54" t="n">
        <v>10</v>
      </c>
      <c r="O165" s="55" t="n">
        <f aca="false">IF(M165&gt;=$C$3,N165/M165,"")</f>
        <v>1</v>
      </c>
      <c r="P165" s="54" t="n">
        <v>0</v>
      </c>
      <c r="Q165" s="54" t="n">
        <v>0</v>
      </c>
      <c r="R165" s="55" t="str">
        <f aca="false">IF(P165&gt;=$C$3,Q165/P165,"")</f>
        <v/>
      </c>
      <c r="S165" s="54" t="n">
        <v>0</v>
      </c>
      <c r="T165" s="54" t="n">
        <v>0</v>
      </c>
      <c r="U165" s="55" t="str">
        <f aca="false">IF(S165&gt;=$C$3,T165/S165,"")</f>
        <v/>
      </c>
      <c r="V165" s="54" t="n">
        <v>14</v>
      </c>
      <c r="W165" s="54" t="n">
        <v>14</v>
      </c>
      <c r="X165" s="55" t="n">
        <f aca="false">IF(V165&gt;=$C$3,W165/V165,"")</f>
        <v>1</v>
      </c>
      <c r="Y165" s="56" t="n">
        <f aca="false">COUNT(F165,I165,L165,O165,R165,U165,X165)</f>
        <v>5</v>
      </c>
      <c r="Z165" s="57" t="n">
        <f aca="false">IF(Y165=0,"",AVERAGE(F165,I165,L165,O165,R165,U165,X165))</f>
        <v>1</v>
      </c>
      <c r="AA165" s="58" t="n">
        <f aca="false">IF(ISNUMBER(Z165),C165*Z165,"")</f>
        <v>11040.91</v>
      </c>
    </row>
    <row r="166" customFormat="false" ht="15" hidden="false" customHeight="false" outlineLevel="0" collapsed="false">
      <c r="A166" s="41" t="s">
        <v>1129</v>
      </c>
      <c r="B166" s="42" t="s">
        <v>3172</v>
      </c>
      <c r="C166" s="53" t="n">
        <v>6629.25</v>
      </c>
      <c r="D166" s="54" t="n">
        <v>106</v>
      </c>
      <c r="E166" s="54" t="n">
        <v>105</v>
      </c>
      <c r="F166" s="55" t="n">
        <f aca="false">IF(D166&gt;=$C$3,E166/D166,"")</f>
        <v>0.990566037735849</v>
      </c>
      <c r="G166" s="54" t="n">
        <v>11</v>
      </c>
      <c r="H166" s="54" t="n">
        <v>11</v>
      </c>
      <c r="I166" s="55" t="n">
        <f aca="false">IF(G166&gt;=$C$3,H166/G166,"")</f>
        <v>1</v>
      </c>
      <c r="J166" s="54" t="n">
        <v>2</v>
      </c>
      <c r="K166" s="54" t="n">
        <v>2</v>
      </c>
      <c r="L166" s="55" t="str">
        <f aca="false">IF(J166&gt;=$C$3,K166/J166,"")</f>
        <v/>
      </c>
      <c r="M166" s="54" t="n">
        <v>8</v>
      </c>
      <c r="N166" s="54" t="n">
        <v>8</v>
      </c>
      <c r="O166" s="55" t="n">
        <f aca="false">IF(M166&gt;=$C$3,N166/M166,"")</f>
        <v>1</v>
      </c>
      <c r="P166" s="54" t="n">
        <v>10</v>
      </c>
      <c r="Q166" s="54" t="n">
        <v>10</v>
      </c>
      <c r="R166" s="55" t="n">
        <f aca="false">IF(P166&gt;=$C$3,Q166/P166,"")</f>
        <v>1</v>
      </c>
      <c r="S166" s="54" t="n">
        <v>3</v>
      </c>
      <c r="T166" s="54" t="n">
        <v>3</v>
      </c>
      <c r="U166" s="55" t="n">
        <f aca="false">IF(S166&gt;=$C$3,T166/S166,"")</f>
        <v>1</v>
      </c>
      <c r="V166" s="54" t="n">
        <v>6</v>
      </c>
      <c r="W166" s="54" t="n">
        <v>6</v>
      </c>
      <c r="X166" s="55" t="n">
        <f aca="false">IF(V166&gt;=$C$3,W166/V166,"")</f>
        <v>1</v>
      </c>
      <c r="Y166" s="56" t="n">
        <f aca="false">COUNT(F166,I166,L166,O166,R166,U166,X166)</f>
        <v>6</v>
      </c>
      <c r="Z166" s="57" t="n">
        <f aca="false">IF(Y166=0,"",AVERAGE(F166,I166,L166,O166,R166,U166,X166))</f>
        <v>0.998427672955975</v>
      </c>
      <c r="AA166" s="58" t="n">
        <f aca="false">IF(ISNUMBER(Z166),C166*Z166,"")</f>
        <v>6618.8266509434</v>
      </c>
    </row>
    <row r="167" customFormat="false" ht="15" hidden="false" customHeight="false" outlineLevel="0" collapsed="false">
      <c r="A167" s="41" t="s">
        <v>550</v>
      </c>
      <c r="B167" s="42" t="s">
        <v>3170</v>
      </c>
      <c r="C167" s="53" t="n">
        <v>2812.77</v>
      </c>
      <c r="D167" s="54" t="n">
        <v>39</v>
      </c>
      <c r="E167" s="54" t="n">
        <v>39</v>
      </c>
      <c r="F167" s="55" t="n">
        <f aca="false">IF(D167&gt;=$C$3,E167/D167,"")</f>
        <v>1</v>
      </c>
      <c r="G167" s="54" t="n">
        <v>5</v>
      </c>
      <c r="H167" s="54" t="n">
        <v>5</v>
      </c>
      <c r="I167" s="55" t="n">
        <f aca="false">IF(G167&gt;=$C$3,H167/G167,"")</f>
        <v>1</v>
      </c>
      <c r="J167" s="54" t="n">
        <v>1</v>
      </c>
      <c r="K167" s="54" t="n">
        <v>1</v>
      </c>
      <c r="L167" s="55" t="str">
        <f aca="false">IF(J167&gt;=$C$3,K167/J167,"")</f>
        <v/>
      </c>
      <c r="M167" s="54" t="n">
        <v>4</v>
      </c>
      <c r="N167" s="54" t="n">
        <v>4</v>
      </c>
      <c r="O167" s="55" t="n">
        <f aca="false">IF(M167&gt;=$C$3,N167/M167,"")</f>
        <v>1</v>
      </c>
      <c r="P167" s="54" t="n">
        <v>3</v>
      </c>
      <c r="Q167" s="54" t="n">
        <v>3</v>
      </c>
      <c r="R167" s="55" t="n">
        <f aca="false">IF(P167&gt;=$C$3,Q167/P167,"")</f>
        <v>1</v>
      </c>
      <c r="S167" s="54" t="n">
        <v>4</v>
      </c>
      <c r="T167" s="54" t="n">
        <v>4</v>
      </c>
      <c r="U167" s="55" t="n">
        <f aca="false">IF(S167&gt;=$C$3,T167/S167,"")</f>
        <v>1</v>
      </c>
      <c r="V167" s="54" t="n">
        <v>7</v>
      </c>
      <c r="W167" s="54" t="n">
        <v>7</v>
      </c>
      <c r="X167" s="55" t="n">
        <f aca="false">IF(V167&gt;=$C$3,W167/V167,"")</f>
        <v>1</v>
      </c>
      <c r="Y167" s="56" t="n">
        <f aca="false">COUNT(F167,I167,L167,O167,R167,U167,X167)</f>
        <v>6</v>
      </c>
      <c r="Z167" s="57" t="n">
        <f aca="false">IF(Y167=0,"",AVERAGE(F167,I167,L167,O167,R167,U167,X167))</f>
        <v>1</v>
      </c>
      <c r="AA167" s="58" t="n">
        <f aca="false">IF(ISNUMBER(Z167),C167*Z167,"")</f>
        <v>2812.77</v>
      </c>
    </row>
    <row r="168" customFormat="false" ht="15" hidden="false" customHeight="false" outlineLevel="0" collapsed="false">
      <c r="A168" s="41" t="s">
        <v>557</v>
      </c>
      <c r="B168" s="42" t="s">
        <v>3173</v>
      </c>
      <c r="C168" s="53" t="n">
        <v>36428.56</v>
      </c>
      <c r="D168" s="54" t="n">
        <v>207</v>
      </c>
      <c r="E168" s="54" t="n">
        <v>149</v>
      </c>
      <c r="F168" s="55" t="n">
        <f aca="false">IF(D168&gt;=$C$3,E168/D168,"")</f>
        <v>0.719806763285024</v>
      </c>
      <c r="G168" s="54" t="n">
        <v>30</v>
      </c>
      <c r="H168" s="54" t="n">
        <v>12</v>
      </c>
      <c r="I168" s="55" t="n">
        <f aca="false">IF(G168&gt;=$C$3,H168/G168,"")</f>
        <v>0.4</v>
      </c>
      <c r="J168" s="54" t="n">
        <v>13</v>
      </c>
      <c r="K168" s="54" t="n">
        <v>7</v>
      </c>
      <c r="L168" s="55" t="n">
        <f aca="false">IF(J168&gt;=$C$3,K168/J168,"")</f>
        <v>0.538461538461538</v>
      </c>
      <c r="M168" s="54" t="n">
        <v>30</v>
      </c>
      <c r="N168" s="54" t="n">
        <v>20</v>
      </c>
      <c r="O168" s="55" t="n">
        <f aca="false">IF(M168&gt;=$C$3,N168/M168,"")</f>
        <v>0.666666666666667</v>
      </c>
      <c r="P168" s="54" t="n">
        <v>27</v>
      </c>
      <c r="Q168" s="54" t="n">
        <v>15</v>
      </c>
      <c r="R168" s="55" t="n">
        <f aca="false">IF(P168&gt;=$C$3,Q168/P168,"")</f>
        <v>0.555555555555556</v>
      </c>
      <c r="S168" s="54" t="n">
        <v>17</v>
      </c>
      <c r="T168" s="54" t="n">
        <v>12</v>
      </c>
      <c r="U168" s="55" t="n">
        <f aca="false">IF(S168&gt;=$C$3,T168/S168,"")</f>
        <v>0.705882352941177</v>
      </c>
      <c r="V168" s="54" t="n">
        <v>27</v>
      </c>
      <c r="W168" s="54" t="n">
        <v>20</v>
      </c>
      <c r="X168" s="55" t="n">
        <f aca="false">IF(V168&gt;=$C$3,W168/V168,"")</f>
        <v>0.740740740740741</v>
      </c>
      <c r="Y168" s="56" t="n">
        <f aca="false">COUNT(F168,I168,L168,O168,R168,U168,X168)</f>
        <v>7</v>
      </c>
      <c r="Z168" s="57" t="n">
        <f aca="false">IF(Y168=0,"",AVERAGE(F168,I168,L168,O168,R168,U168,X168))</f>
        <v>0.618159088235815</v>
      </c>
      <c r="AA168" s="58" t="n">
        <f aca="false">IF(ISNUMBER(Z168),C168*Z168,"")</f>
        <v>22518.6454353437</v>
      </c>
    </row>
    <row r="169" customFormat="false" ht="15" hidden="false" customHeight="false" outlineLevel="0" collapsed="false">
      <c r="A169" s="41" t="s">
        <v>651</v>
      </c>
      <c r="B169" s="42" t="s">
        <v>3176</v>
      </c>
      <c r="C169" s="53" t="n">
        <v>142879.93</v>
      </c>
      <c r="D169" s="54" t="n">
        <v>48</v>
      </c>
      <c r="E169" s="54" t="n">
        <v>48</v>
      </c>
      <c r="F169" s="55" t="n">
        <f aca="false">IF(D169&gt;=$C$3,E169/D169,"")</f>
        <v>1</v>
      </c>
      <c r="G169" s="54" t="n">
        <v>19</v>
      </c>
      <c r="H169" s="54" t="n">
        <v>17</v>
      </c>
      <c r="I169" s="55" t="n">
        <f aca="false">IF(G169&gt;=$C$3,H169/G169,"")</f>
        <v>0.894736842105263</v>
      </c>
      <c r="J169" s="54" t="n">
        <v>18</v>
      </c>
      <c r="K169" s="54" t="n">
        <v>18</v>
      </c>
      <c r="L169" s="55" t="n">
        <f aca="false">IF(J169&gt;=$C$3,K169/J169,"")</f>
        <v>1</v>
      </c>
      <c r="M169" s="54" t="n">
        <v>18</v>
      </c>
      <c r="N169" s="54" t="n">
        <v>18</v>
      </c>
      <c r="O169" s="55" t="n">
        <f aca="false">IF(M169&gt;=$C$3,N169/M169,"")</f>
        <v>1</v>
      </c>
      <c r="P169" s="54" t="n">
        <v>11</v>
      </c>
      <c r="Q169" s="54" t="n">
        <v>9</v>
      </c>
      <c r="R169" s="55" t="n">
        <f aca="false">IF(P169&gt;=$C$3,Q169/P169,"")</f>
        <v>0.818181818181818</v>
      </c>
      <c r="S169" s="54" t="n">
        <v>14</v>
      </c>
      <c r="T169" s="54" t="n">
        <v>14</v>
      </c>
      <c r="U169" s="55" t="n">
        <f aca="false">IF(S169&gt;=$C$3,T169/S169,"")</f>
        <v>1</v>
      </c>
      <c r="V169" s="54" t="n">
        <v>19</v>
      </c>
      <c r="W169" s="54" t="n">
        <v>15</v>
      </c>
      <c r="X169" s="55" t="n">
        <f aca="false">IF(V169&gt;=$C$3,W169/V169,"")</f>
        <v>0.789473684210526</v>
      </c>
      <c r="Y169" s="56" t="n">
        <f aca="false">COUNT(F169,I169,L169,O169,R169,U169,X169)</f>
        <v>7</v>
      </c>
      <c r="Z169" s="57" t="n">
        <f aca="false">IF(Y169=0,"",AVERAGE(F169,I169,L169,O169,R169,U169,X169))</f>
        <v>0.928913192071087</v>
      </c>
      <c r="AA169" s="58" t="n">
        <f aca="false">IF(ISNUMBER(Z169),C169*Z169,"")</f>
        <v>132723.051859193</v>
      </c>
    </row>
    <row r="170" customFormat="false" ht="15" hidden="false" customHeight="false" outlineLevel="0" collapsed="false">
      <c r="A170" s="41" t="s">
        <v>275</v>
      </c>
      <c r="B170" s="42" t="s">
        <v>3196</v>
      </c>
      <c r="C170" s="53" t="n">
        <v>16205.48</v>
      </c>
      <c r="D170" s="54" t="n">
        <v>113</v>
      </c>
      <c r="E170" s="54" t="n">
        <v>29</v>
      </c>
      <c r="F170" s="55" t="n">
        <f aca="false">IF(D170&gt;=$C$3,E170/D170,"")</f>
        <v>0.256637168141593</v>
      </c>
      <c r="G170" s="54" t="n">
        <v>2</v>
      </c>
      <c r="H170" s="54" t="n">
        <v>0</v>
      </c>
      <c r="I170" s="55" t="str">
        <f aca="false">IF(G170&gt;=$C$3,H170/G170,"")</f>
        <v/>
      </c>
      <c r="J170" s="54" t="n">
        <v>16</v>
      </c>
      <c r="K170" s="54" t="n">
        <v>5</v>
      </c>
      <c r="L170" s="55" t="n">
        <f aca="false">IF(J170&gt;=$C$3,K170/J170,"")</f>
        <v>0.3125</v>
      </c>
      <c r="M170" s="54" t="n">
        <v>13</v>
      </c>
      <c r="N170" s="54" t="n">
        <v>3</v>
      </c>
      <c r="O170" s="55" t="n">
        <f aca="false">IF(M170&gt;=$C$3,N170/M170,"")</f>
        <v>0.230769230769231</v>
      </c>
      <c r="P170" s="54" t="n">
        <v>2</v>
      </c>
      <c r="Q170" s="54" t="n">
        <v>0</v>
      </c>
      <c r="R170" s="55" t="str">
        <f aca="false">IF(P170&gt;=$C$3,Q170/P170,"")</f>
        <v/>
      </c>
      <c r="S170" s="54" t="n">
        <v>9</v>
      </c>
      <c r="T170" s="54" t="n">
        <v>2</v>
      </c>
      <c r="U170" s="55" t="n">
        <f aca="false">IF(S170&gt;=$C$3,T170/S170,"")</f>
        <v>0.222222222222222</v>
      </c>
      <c r="V170" s="54" t="n">
        <v>103</v>
      </c>
      <c r="W170" s="54" t="n">
        <v>30</v>
      </c>
      <c r="X170" s="55" t="n">
        <f aca="false">IF(V170&gt;=$C$3,W170/V170,"")</f>
        <v>0.29126213592233</v>
      </c>
      <c r="Y170" s="56" t="n">
        <f aca="false">COUNT(F170,I170,L170,O170,R170,U170,X170)</f>
        <v>5</v>
      </c>
      <c r="Z170" s="57" t="n">
        <f aca="false">IF(Y170=0,"",AVERAGE(F170,I170,L170,O170,R170,U170,X170))</f>
        <v>0.262678151411075</v>
      </c>
      <c r="AA170" s="58" t="n">
        <f aca="false">IF(ISNUMBER(Z170),C170*Z170,"")</f>
        <v>4256.82552912915</v>
      </c>
    </row>
    <row r="171" customFormat="false" ht="15" hidden="false" customHeight="false" outlineLevel="0" collapsed="false">
      <c r="A171" s="41" t="s">
        <v>1135</v>
      </c>
      <c r="B171" s="42" t="s">
        <v>3203</v>
      </c>
      <c r="C171" s="53" t="n">
        <v>2485.93</v>
      </c>
      <c r="D171" s="54" t="n">
        <v>47</v>
      </c>
      <c r="E171" s="54" t="n">
        <v>47</v>
      </c>
      <c r="F171" s="55" t="n">
        <f aca="false">IF(D171&gt;=$C$3,E171/D171,"")</f>
        <v>1</v>
      </c>
      <c r="G171" s="54" t="n">
        <v>44</v>
      </c>
      <c r="H171" s="54" t="n">
        <v>44</v>
      </c>
      <c r="I171" s="55" t="n">
        <f aca="false">IF(G171&gt;=$C$3,H171/G171,"")</f>
        <v>1</v>
      </c>
      <c r="J171" s="54" t="n">
        <v>27</v>
      </c>
      <c r="K171" s="54" t="n">
        <v>27</v>
      </c>
      <c r="L171" s="55" t="n">
        <f aca="false">IF(J171&gt;=$C$3,K171/J171,"")</f>
        <v>1</v>
      </c>
      <c r="M171" s="54" t="n">
        <v>35</v>
      </c>
      <c r="N171" s="54" t="n">
        <v>35</v>
      </c>
      <c r="O171" s="55" t="n">
        <f aca="false">IF(M171&gt;=$C$3,N171/M171,"")</f>
        <v>1</v>
      </c>
      <c r="P171" s="54" t="n">
        <v>6</v>
      </c>
      <c r="Q171" s="54" t="n">
        <v>6</v>
      </c>
      <c r="R171" s="55" t="n">
        <f aca="false">IF(P171&gt;=$C$3,Q171/P171,"")</f>
        <v>1</v>
      </c>
      <c r="S171" s="54" t="n">
        <v>13</v>
      </c>
      <c r="T171" s="54" t="n">
        <v>13</v>
      </c>
      <c r="U171" s="55" t="n">
        <f aca="false">IF(S171&gt;=$C$3,T171/S171,"")</f>
        <v>1</v>
      </c>
      <c r="V171" s="54" t="n">
        <v>27</v>
      </c>
      <c r="W171" s="54" t="n">
        <v>27</v>
      </c>
      <c r="X171" s="55" t="n">
        <f aca="false">IF(V171&gt;=$C$3,W171/V171,"")</f>
        <v>1</v>
      </c>
      <c r="Y171" s="56" t="n">
        <f aca="false">COUNT(F171,I171,L171,O171,R171,U171,X171)</f>
        <v>7</v>
      </c>
      <c r="Z171" s="57" t="n">
        <f aca="false">IF(Y171=0,"",AVERAGE(F171,I171,L171,O171,R171,U171,X171))</f>
        <v>1</v>
      </c>
      <c r="AA171" s="58" t="n">
        <f aca="false">IF(ISNUMBER(Z171),C171*Z171,"")</f>
        <v>2485.93</v>
      </c>
    </row>
    <row r="172" customFormat="false" ht="15" hidden="false" customHeight="false" outlineLevel="0" collapsed="false">
      <c r="A172" s="41" t="s">
        <v>1442</v>
      </c>
      <c r="B172" s="42" t="s">
        <v>3172</v>
      </c>
      <c r="C172" s="53" t="n">
        <v>53526.71</v>
      </c>
      <c r="D172" s="54" t="n">
        <v>221</v>
      </c>
      <c r="E172" s="54" t="n">
        <v>187</v>
      </c>
      <c r="F172" s="55" t="n">
        <f aca="false">IF(D172&gt;=$C$3,E172/D172,"")</f>
        <v>0.846153846153846</v>
      </c>
      <c r="G172" s="54" t="n">
        <v>29</v>
      </c>
      <c r="H172" s="54" t="n">
        <v>23</v>
      </c>
      <c r="I172" s="55" t="n">
        <f aca="false">IF(G172&gt;=$C$3,H172/G172,"")</f>
        <v>0.793103448275862</v>
      </c>
      <c r="J172" s="54" t="n">
        <v>26</v>
      </c>
      <c r="K172" s="54" t="n">
        <v>22</v>
      </c>
      <c r="L172" s="55" t="n">
        <f aca="false">IF(J172&gt;=$C$3,K172/J172,"")</f>
        <v>0.846153846153846</v>
      </c>
      <c r="M172" s="54" t="n">
        <v>26</v>
      </c>
      <c r="N172" s="54" t="n">
        <v>16</v>
      </c>
      <c r="O172" s="55" t="n">
        <f aca="false">IF(M172&gt;=$C$3,N172/M172,"")</f>
        <v>0.615384615384615</v>
      </c>
      <c r="P172" s="54" t="n">
        <v>15</v>
      </c>
      <c r="Q172" s="54" t="n">
        <v>13</v>
      </c>
      <c r="R172" s="55" t="n">
        <f aca="false">IF(P172&gt;=$C$3,Q172/P172,"")</f>
        <v>0.866666666666667</v>
      </c>
      <c r="S172" s="54" t="n">
        <v>13</v>
      </c>
      <c r="T172" s="54" t="n">
        <v>12</v>
      </c>
      <c r="U172" s="55" t="n">
        <f aca="false">IF(S172&gt;=$C$3,T172/S172,"")</f>
        <v>0.923076923076923</v>
      </c>
      <c r="V172" s="54" t="n">
        <v>99</v>
      </c>
      <c r="W172" s="54" t="n">
        <v>86</v>
      </c>
      <c r="X172" s="55" t="n">
        <f aca="false">IF(V172&gt;=$C$3,W172/V172,"")</f>
        <v>0.868686868686869</v>
      </c>
      <c r="Y172" s="56" t="n">
        <f aca="false">COUNT(F172,I172,L172,O172,R172,U172,X172)</f>
        <v>7</v>
      </c>
      <c r="Z172" s="57" t="n">
        <f aca="false">IF(Y172=0,"",AVERAGE(F172,I172,L172,O172,R172,U172,X172))</f>
        <v>0.822746602056947</v>
      </c>
      <c r="AA172" s="58" t="n">
        <f aca="false">IF(ISNUMBER(Z172),C172*Z172,"")</f>
        <v>44038.9187717876</v>
      </c>
    </row>
    <row r="173" customFormat="false" ht="15" hidden="false" customHeight="false" outlineLevel="0" collapsed="false">
      <c r="A173" s="41" t="s">
        <v>563</v>
      </c>
      <c r="B173" s="42" t="s">
        <v>3171</v>
      </c>
      <c r="C173" s="53" t="n">
        <v>3923.58</v>
      </c>
      <c r="D173" s="54" t="n">
        <v>10</v>
      </c>
      <c r="E173" s="54" t="n">
        <v>10</v>
      </c>
      <c r="F173" s="55" t="n">
        <f aca="false">IF(D173&gt;=$C$3,E173/D173,"")</f>
        <v>1</v>
      </c>
      <c r="G173" s="54" t="n">
        <v>4</v>
      </c>
      <c r="H173" s="54" t="n">
        <v>4</v>
      </c>
      <c r="I173" s="55" t="n">
        <f aca="false">IF(G173&gt;=$C$3,H173/G173,"")</f>
        <v>1</v>
      </c>
      <c r="J173" s="54" t="n">
        <v>0</v>
      </c>
      <c r="K173" s="54" t="n">
        <v>0</v>
      </c>
      <c r="L173" s="55" t="str">
        <f aca="false">IF(J173&gt;=$C$3,K173/J173,"")</f>
        <v/>
      </c>
      <c r="M173" s="54" t="n">
        <v>2</v>
      </c>
      <c r="N173" s="54" t="n">
        <v>2</v>
      </c>
      <c r="O173" s="55" t="str">
        <f aca="false">IF(M173&gt;=$C$3,N173/M173,"")</f>
        <v/>
      </c>
      <c r="P173" s="54" t="n">
        <v>5</v>
      </c>
      <c r="Q173" s="54" t="n">
        <v>5</v>
      </c>
      <c r="R173" s="55" t="n">
        <f aca="false">IF(P173&gt;=$C$3,Q173/P173,"")</f>
        <v>1</v>
      </c>
      <c r="S173" s="54" t="n">
        <v>0</v>
      </c>
      <c r="T173" s="54" t="n">
        <v>0</v>
      </c>
      <c r="U173" s="55" t="str">
        <f aca="false">IF(S173&gt;=$C$3,T173/S173,"")</f>
        <v/>
      </c>
      <c r="V173" s="54" t="n">
        <v>11</v>
      </c>
      <c r="W173" s="54" t="n">
        <v>11</v>
      </c>
      <c r="X173" s="55" t="n">
        <f aca="false">IF(V173&gt;=$C$3,W173/V173,"")</f>
        <v>1</v>
      </c>
      <c r="Y173" s="56" t="n">
        <f aca="false">COUNT(F173,I173,L173,O173,R173,U173,X173)</f>
        <v>4</v>
      </c>
      <c r="Z173" s="57" t="n">
        <f aca="false">IF(Y173=0,"",AVERAGE(F173,I173,L173,O173,R173,U173,X173))</f>
        <v>1</v>
      </c>
      <c r="AA173" s="58" t="n">
        <f aca="false">IF(ISNUMBER(Z173),C173*Z173,"")</f>
        <v>3923.58</v>
      </c>
    </row>
    <row r="174" customFormat="false" ht="15" hidden="false" customHeight="false" outlineLevel="0" collapsed="false">
      <c r="A174" s="41" t="s">
        <v>568</v>
      </c>
      <c r="B174" s="42" t="s">
        <v>3170</v>
      </c>
      <c r="C174" s="53" t="n">
        <v>13615.47</v>
      </c>
      <c r="D174" s="54" t="n">
        <v>141</v>
      </c>
      <c r="E174" s="54" t="n">
        <v>17</v>
      </c>
      <c r="F174" s="55" t="n">
        <f aca="false">IF(D174&gt;=$C$3,E174/D174,"")</f>
        <v>0.120567375886525</v>
      </c>
      <c r="G174" s="54" t="n">
        <v>26</v>
      </c>
      <c r="H174" s="54" t="n">
        <v>1</v>
      </c>
      <c r="I174" s="55" t="n">
        <f aca="false">IF(G174&gt;=$C$3,H174/G174,"")</f>
        <v>0.0384615384615385</v>
      </c>
      <c r="J174" s="54" t="n">
        <v>5</v>
      </c>
      <c r="K174" s="54" t="n">
        <v>1</v>
      </c>
      <c r="L174" s="55" t="n">
        <f aca="false">IF(J174&gt;=$C$3,K174/J174,"")</f>
        <v>0.2</v>
      </c>
      <c r="M174" s="54" t="n">
        <v>12</v>
      </c>
      <c r="N174" s="54" t="n">
        <v>3</v>
      </c>
      <c r="O174" s="55" t="n">
        <f aca="false">IF(M174&gt;=$C$3,N174/M174,"")</f>
        <v>0.25</v>
      </c>
      <c r="P174" s="54" t="n">
        <v>21</v>
      </c>
      <c r="Q174" s="54" t="n">
        <v>3</v>
      </c>
      <c r="R174" s="55" t="n">
        <f aca="false">IF(P174&gt;=$C$3,Q174/P174,"")</f>
        <v>0.142857142857143</v>
      </c>
      <c r="S174" s="54" t="n">
        <v>1</v>
      </c>
      <c r="T174" s="54" t="n">
        <v>0</v>
      </c>
      <c r="U174" s="55" t="str">
        <f aca="false">IF(S174&gt;=$C$3,T174/S174,"")</f>
        <v/>
      </c>
      <c r="V174" s="54" t="n">
        <v>53</v>
      </c>
      <c r="W174" s="54" t="n">
        <v>18</v>
      </c>
      <c r="X174" s="55" t="n">
        <f aca="false">IF(V174&gt;=$C$3,W174/V174,"")</f>
        <v>0.339622641509434</v>
      </c>
      <c r="Y174" s="56" t="n">
        <f aca="false">COUNT(F174,I174,L174,O174,R174,U174,X174)</f>
        <v>6</v>
      </c>
      <c r="Z174" s="57" t="n">
        <f aca="false">IF(Y174=0,"",AVERAGE(F174,I174,L174,O174,R174,U174,X174))</f>
        <v>0.18191811645244</v>
      </c>
      <c r="AA174" s="58" t="n">
        <f aca="false">IF(ISNUMBER(Z174),C174*Z174,"")</f>
        <v>2476.9006570147</v>
      </c>
    </row>
    <row r="175" customFormat="false" ht="15" hidden="false" customHeight="false" outlineLevel="0" collapsed="false">
      <c r="A175" s="41" t="s">
        <v>656</v>
      </c>
      <c r="B175" s="42" t="s">
        <v>3176</v>
      </c>
      <c r="C175" s="53" t="n">
        <v>520.76</v>
      </c>
      <c r="D175" s="54" t="n">
        <v>23</v>
      </c>
      <c r="E175" s="54" t="n">
        <v>23</v>
      </c>
      <c r="F175" s="55" t="n">
        <f aca="false">IF(D175&gt;=$C$3,E175/D175,"")</f>
        <v>1</v>
      </c>
      <c r="G175" s="54" t="n">
        <v>1</v>
      </c>
      <c r="H175" s="54" t="n">
        <v>1</v>
      </c>
      <c r="I175" s="55" t="str">
        <f aca="false">IF(G175&gt;=$C$3,H175/G175,"")</f>
        <v/>
      </c>
      <c r="J175" s="54" t="n">
        <v>2</v>
      </c>
      <c r="K175" s="54" t="n">
        <v>2</v>
      </c>
      <c r="L175" s="55" t="str">
        <f aca="false">IF(J175&gt;=$C$3,K175/J175,"")</f>
        <v/>
      </c>
      <c r="M175" s="54" t="n">
        <v>2</v>
      </c>
      <c r="N175" s="54" t="n">
        <v>2</v>
      </c>
      <c r="O175" s="55" t="str">
        <f aca="false">IF(M175&gt;=$C$3,N175/M175,"")</f>
        <v/>
      </c>
      <c r="P175" s="54" t="n">
        <v>4</v>
      </c>
      <c r="Q175" s="54" t="n">
        <v>4</v>
      </c>
      <c r="R175" s="55" t="n">
        <f aca="false">IF(P175&gt;=$C$3,Q175/P175,"")</f>
        <v>1</v>
      </c>
      <c r="S175" s="54" t="n">
        <v>0</v>
      </c>
      <c r="T175" s="54" t="n">
        <v>0</v>
      </c>
      <c r="U175" s="55" t="str">
        <f aca="false">IF(S175&gt;=$C$3,T175/S175,"")</f>
        <v/>
      </c>
      <c r="V175" s="54" t="n">
        <v>1</v>
      </c>
      <c r="W175" s="54" t="n">
        <v>1</v>
      </c>
      <c r="X175" s="55" t="str">
        <f aca="false">IF(V175&gt;=$C$3,W175/V175,"")</f>
        <v/>
      </c>
      <c r="Y175" s="56" t="n">
        <f aca="false">COUNT(F175,I175,L175,O175,R175,U175,X175)</f>
        <v>2</v>
      </c>
      <c r="Z175" s="57" t="n">
        <f aca="false">IF(Y175=0,"",AVERAGE(F175,I175,L175,O175,R175,U175,X175))</f>
        <v>1</v>
      </c>
      <c r="AA175" s="58" t="n">
        <f aca="false">IF(ISNUMBER(Z175),C175*Z175,"")</f>
        <v>520.76</v>
      </c>
    </row>
    <row r="176" customFormat="false" ht="15" hidden="false" customHeight="false" outlineLevel="0" collapsed="false">
      <c r="A176" s="41" t="s">
        <v>1142</v>
      </c>
      <c r="B176" s="42" t="s">
        <v>3176</v>
      </c>
      <c r="C176" s="53" t="n">
        <v>1326.8</v>
      </c>
      <c r="D176" s="54" t="n">
        <v>28</v>
      </c>
      <c r="E176" s="54" t="n">
        <v>28</v>
      </c>
      <c r="F176" s="55" t="n">
        <f aca="false">IF(D176&gt;=$C$3,E176/D176,"")</f>
        <v>1</v>
      </c>
      <c r="G176" s="54" t="n">
        <v>2</v>
      </c>
      <c r="H176" s="54" t="n">
        <v>2</v>
      </c>
      <c r="I176" s="55" t="str">
        <f aca="false">IF(G176&gt;=$C$3,H176/G176,"")</f>
        <v/>
      </c>
      <c r="J176" s="54" t="n">
        <v>2</v>
      </c>
      <c r="K176" s="54" t="n">
        <v>2</v>
      </c>
      <c r="L176" s="55" t="str">
        <f aca="false">IF(J176&gt;=$C$3,K176/J176,"")</f>
        <v/>
      </c>
      <c r="M176" s="54" t="n">
        <v>9</v>
      </c>
      <c r="N176" s="54" t="n">
        <v>7</v>
      </c>
      <c r="O176" s="55" t="n">
        <f aca="false">IF(M176&gt;=$C$3,N176/M176,"")</f>
        <v>0.777777777777778</v>
      </c>
      <c r="P176" s="54" t="n">
        <v>3</v>
      </c>
      <c r="Q176" s="54" t="n">
        <v>3</v>
      </c>
      <c r="R176" s="55" t="n">
        <f aca="false">IF(P176&gt;=$C$3,Q176/P176,"")</f>
        <v>1</v>
      </c>
      <c r="S176" s="54" t="n">
        <v>0</v>
      </c>
      <c r="T176" s="54" t="n">
        <v>0</v>
      </c>
      <c r="U176" s="55" t="str">
        <f aca="false">IF(S176&gt;=$C$3,T176/S176,"")</f>
        <v/>
      </c>
      <c r="V176" s="54" t="n">
        <v>1</v>
      </c>
      <c r="W176" s="54" t="n">
        <v>1</v>
      </c>
      <c r="X176" s="55" t="str">
        <f aca="false">IF(V176&gt;=$C$3,W176/V176,"")</f>
        <v/>
      </c>
      <c r="Y176" s="56" t="n">
        <f aca="false">COUNT(F176,I176,L176,O176,R176,U176,X176)</f>
        <v>3</v>
      </c>
      <c r="Z176" s="57" t="n">
        <f aca="false">IF(Y176=0,"",AVERAGE(F176,I176,L176,O176,R176,U176,X176))</f>
        <v>0.925925925925926</v>
      </c>
      <c r="AA176" s="58" t="n">
        <f aca="false">IF(ISNUMBER(Z176),C176*Z176,"")</f>
        <v>1228.51851851852</v>
      </c>
    </row>
    <row r="177" customFormat="false" ht="15" hidden="false" customHeight="false" outlineLevel="0" collapsed="false">
      <c r="A177" s="41" t="s">
        <v>573</v>
      </c>
      <c r="B177" s="42" t="s">
        <v>3176</v>
      </c>
      <c r="C177" s="53" t="n">
        <v>528.18</v>
      </c>
      <c r="D177" s="54" t="n">
        <v>128</v>
      </c>
      <c r="E177" s="54" t="n">
        <v>69</v>
      </c>
      <c r="F177" s="55" t="n">
        <f aca="false">IF(D177&gt;=$C$3,E177/D177,"")</f>
        <v>0.5390625</v>
      </c>
      <c r="G177" s="54" t="n">
        <v>20</v>
      </c>
      <c r="H177" s="54" t="n">
        <v>5</v>
      </c>
      <c r="I177" s="55" t="n">
        <f aca="false">IF(G177&gt;=$C$3,H177/G177,"")</f>
        <v>0.25</v>
      </c>
      <c r="J177" s="54" t="n">
        <v>3</v>
      </c>
      <c r="K177" s="54" t="n">
        <v>3</v>
      </c>
      <c r="L177" s="55" t="n">
        <f aca="false">IF(J177&gt;=$C$3,K177/J177,"")</f>
        <v>1</v>
      </c>
      <c r="M177" s="54" t="n">
        <v>15</v>
      </c>
      <c r="N177" s="54" t="n">
        <v>6</v>
      </c>
      <c r="O177" s="55" t="n">
        <f aca="false">IF(M177&gt;=$C$3,N177/M177,"")</f>
        <v>0.4</v>
      </c>
      <c r="P177" s="54" t="n">
        <v>21</v>
      </c>
      <c r="Q177" s="54" t="n">
        <v>14</v>
      </c>
      <c r="R177" s="55" t="n">
        <f aca="false">IF(P177&gt;=$C$3,Q177/P177,"")</f>
        <v>0.666666666666667</v>
      </c>
      <c r="S177" s="54" t="n">
        <v>2</v>
      </c>
      <c r="T177" s="54" t="n">
        <v>0</v>
      </c>
      <c r="U177" s="55" t="str">
        <f aca="false">IF(S177&gt;=$C$3,T177/S177,"")</f>
        <v/>
      </c>
      <c r="V177" s="54" t="n">
        <v>2</v>
      </c>
      <c r="W177" s="54" t="n">
        <v>2</v>
      </c>
      <c r="X177" s="55" t="str">
        <f aca="false">IF(V177&gt;=$C$3,W177/V177,"")</f>
        <v/>
      </c>
      <c r="Y177" s="56" t="n">
        <f aca="false">COUNT(F177,I177,L177,O177,R177,U177,X177)</f>
        <v>5</v>
      </c>
      <c r="Z177" s="57" t="n">
        <f aca="false">IF(Y177=0,"",AVERAGE(F177,I177,L177,O177,R177,U177,X177))</f>
        <v>0.571145833333333</v>
      </c>
      <c r="AA177" s="58" t="n">
        <f aca="false">IF(ISNUMBER(Z177),C177*Z177,"")</f>
        <v>301.66780625</v>
      </c>
    </row>
    <row r="178" customFormat="false" ht="15" hidden="false" customHeight="false" outlineLevel="0" collapsed="false">
      <c r="A178" s="41" t="s">
        <v>1377</v>
      </c>
      <c r="B178" s="42" t="s">
        <v>3172</v>
      </c>
      <c r="C178" s="53" t="n">
        <v>17324.19</v>
      </c>
      <c r="D178" s="54" t="n">
        <v>254</v>
      </c>
      <c r="E178" s="54" t="n">
        <v>194</v>
      </c>
      <c r="F178" s="55" t="n">
        <f aca="false">IF(D178&gt;=$C$3,E178/D178,"")</f>
        <v>0.763779527559055</v>
      </c>
      <c r="G178" s="54" t="n">
        <v>40</v>
      </c>
      <c r="H178" s="54" t="n">
        <v>13</v>
      </c>
      <c r="I178" s="55" t="n">
        <f aca="false">IF(G178&gt;=$C$3,H178/G178,"")</f>
        <v>0.325</v>
      </c>
      <c r="J178" s="54" t="n">
        <v>11</v>
      </c>
      <c r="K178" s="54" t="n">
        <v>4</v>
      </c>
      <c r="L178" s="55" t="n">
        <f aca="false">IF(J178&gt;=$C$3,K178/J178,"")</f>
        <v>0.363636363636364</v>
      </c>
      <c r="M178" s="54" t="n">
        <v>66</v>
      </c>
      <c r="N178" s="54" t="n">
        <v>17</v>
      </c>
      <c r="O178" s="55" t="n">
        <f aca="false">IF(M178&gt;=$C$3,N178/M178,"")</f>
        <v>0.257575757575758</v>
      </c>
      <c r="P178" s="54" t="n">
        <v>14</v>
      </c>
      <c r="Q178" s="54" t="n">
        <v>7</v>
      </c>
      <c r="R178" s="55" t="n">
        <f aca="false">IF(P178&gt;=$C$3,Q178/P178,"")</f>
        <v>0.5</v>
      </c>
      <c r="S178" s="54" t="n">
        <v>10</v>
      </c>
      <c r="T178" s="54" t="n">
        <v>4</v>
      </c>
      <c r="U178" s="55" t="n">
        <f aca="false">IF(S178&gt;=$C$3,T178/S178,"")</f>
        <v>0.4</v>
      </c>
      <c r="V178" s="54" t="n">
        <v>34</v>
      </c>
      <c r="W178" s="54" t="n">
        <v>11</v>
      </c>
      <c r="X178" s="55" t="n">
        <f aca="false">IF(V178&gt;=$C$3,W178/V178,"")</f>
        <v>0.323529411764706</v>
      </c>
      <c r="Y178" s="56" t="n">
        <f aca="false">COUNT(F178,I178,L178,O178,R178,U178,X178)</f>
        <v>7</v>
      </c>
      <c r="Z178" s="57" t="n">
        <f aca="false">IF(Y178=0,"",AVERAGE(F178,I178,L178,O178,R178,U178,X178))</f>
        <v>0.419074437219412</v>
      </c>
      <c r="AA178" s="58" t="n">
        <f aca="false">IF(ISNUMBER(Z178),C178*Z178,"")</f>
        <v>7260.12517453216</v>
      </c>
    </row>
    <row r="180" customFormat="false" ht="15" hidden="false" customHeight="false" outlineLevel="0" collapsed="false">
      <c r="A180" s="2" t="s">
        <v>3204</v>
      </c>
    </row>
  </sheetData>
  <autoFilter ref="A27:AA178"/>
  <mergeCells count="52">
    <mergeCell ref="B6:AA6"/>
    <mergeCell ref="B7:AA7"/>
    <mergeCell ref="B8:AA8"/>
    <mergeCell ref="B9:AA9"/>
    <mergeCell ref="B10:AA10"/>
    <mergeCell ref="B11:AA11"/>
    <mergeCell ref="B12:AA12"/>
    <mergeCell ref="B13:AA13"/>
    <mergeCell ref="B16:D16"/>
    <mergeCell ref="E16:I16"/>
    <mergeCell ref="J16:R16"/>
    <mergeCell ref="S16:AA16"/>
    <mergeCell ref="B17:D17"/>
    <mergeCell ref="E17:I17"/>
    <mergeCell ref="J17:R17"/>
    <mergeCell ref="S17:AA17"/>
    <mergeCell ref="B18:D18"/>
    <mergeCell ref="E18:I18"/>
    <mergeCell ref="J18:R18"/>
    <mergeCell ref="S18:AA18"/>
    <mergeCell ref="B19:D19"/>
    <mergeCell ref="E19:I19"/>
    <mergeCell ref="J19:R19"/>
    <mergeCell ref="S19:AA19"/>
    <mergeCell ref="B20:D20"/>
    <mergeCell ref="E20:I20"/>
    <mergeCell ref="J20:R20"/>
    <mergeCell ref="S20:AA20"/>
    <mergeCell ref="B21:D21"/>
    <mergeCell ref="E21:I21"/>
    <mergeCell ref="J21:R21"/>
    <mergeCell ref="S21:AA21"/>
    <mergeCell ref="B22:D22"/>
    <mergeCell ref="E22:I22"/>
    <mergeCell ref="J22:R22"/>
    <mergeCell ref="S22:AA22"/>
    <mergeCell ref="B23:D23"/>
    <mergeCell ref="E23:I23"/>
    <mergeCell ref="J23:R23"/>
    <mergeCell ref="S23:AA23"/>
    <mergeCell ref="B24:D24"/>
    <mergeCell ref="E24:I24"/>
    <mergeCell ref="J24:R24"/>
    <mergeCell ref="S24:AA24"/>
    <mergeCell ref="D26:F26"/>
    <mergeCell ref="G26:I26"/>
    <mergeCell ref="J26:L26"/>
    <mergeCell ref="M26:O26"/>
    <mergeCell ref="P26:R26"/>
    <mergeCell ref="S26:U26"/>
    <mergeCell ref="V26:X26"/>
    <mergeCell ref="Y26:AA26"/>
  </mergeCells>
  <hyperlinks>
    <hyperlink ref="S18" r:id="rId1" display="https://www.ema.europa.eu/en/documents/other/article-57-product-data_en.xlsx"/>
    <hyperlink ref="S19" r:id="rId2" display="https://products.mhra.gov.uk/"/>
    <hyperlink ref="S20" r:id="rId3" display="https://www.canada.ca/en/health-canada/services/drugs-health-products/drug-products/drug-product-database.html"/>
    <hyperlink ref="S21" r:id="rId4" display="https://www.tga.gov.au/resources/artg"/>
    <hyperlink ref="S22" r:id="rId5" display="https://medicineprices.org.za/"/>
    <hyperlink ref="S24" r:id="rId6" display="https://www.accessdata.fda.gov/cder/ndctext.zip"/>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7"/>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J66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22"/>
    <col collapsed="false" customWidth="true" hidden="false" outlineLevel="0" max="3" min="3" style="0" width="36"/>
    <col collapsed="false" customWidth="true" hidden="false" outlineLevel="0" max="4" min="4" style="0" width="40"/>
    <col collapsed="false" customWidth="true" hidden="false" outlineLevel="0" max="5" min="5" style="0" width="22"/>
    <col collapsed="false" customWidth="true" hidden="false" outlineLevel="0" max="6" min="6" style="0" width="46"/>
    <col collapsed="false" customWidth="true" hidden="false" outlineLevel="0" max="7" min="7" style="0" width="48"/>
    <col collapsed="false" customWidth="true" hidden="false" outlineLevel="0" max="8" min="8" style="0" width="22"/>
    <col collapsed="false" customWidth="true" hidden="false" outlineLevel="0" max="9" min="9" style="0" width="60"/>
    <col collapsed="false" customWidth="true" hidden="false" outlineLevel="0" max="10" min="10" style="0" width="40"/>
  </cols>
  <sheetData>
    <row r="1" customFormat="false" ht="18.55" hidden="false" customHeight="false" outlineLevel="0" collapsed="false">
      <c r="A1" s="39" t="s">
        <v>3205</v>
      </c>
    </row>
    <row r="2" customFormat="false" ht="15" hidden="false" customHeight="false" outlineLevel="0" collapsed="false">
      <c r="A2" s="2" t="s">
        <v>3206</v>
      </c>
    </row>
    <row r="4" customFormat="false" ht="45.75" hidden="false" customHeight="true" outlineLevel="0" collapsed="false">
      <c r="A4" s="40" t="s">
        <v>4</v>
      </c>
      <c r="B4" s="40" t="s">
        <v>8</v>
      </c>
      <c r="C4" s="40" t="s">
        <v>10</v>
      </c>
      <c r="D4" s="40" t="s">
        <v>3207</v>
      </c>
      <c r="E4" s="40" t="s">
        <v>3208</v>
      </c>
      <c r="F4" s="40" t="s">
        <v>3209</v>
      </c>
      <c r="G4" s="40" t="s">
        <v>3210</v>
      </c>
      <c r="H4" s="40" t="s">
        <v>3211</v>
      </c>
      <c r="I4" s="40" t="s">
        <v>2710</v>
      </c>
      <c r="J4" s="40" t="s">
        <v>3212</v>
      </c>
    </row>
    <row r="5" customFormat="false" ht="28.35" hidden="false" customHeight="false" outlineLevel="0" collapsed="false">
      <c r="A5" s="41" t="s">
        <v>186</v>
      </c>
      <c r="B5" s="41" t="s">
        <v>245</v>
      </c>
      <c r="C5" s="42" t="s">
        <v>246</v>
      </c>
      <c r="D5" s="44" t="s">
        <v>252</v>
      </c>
      <c r="E5" s="42" t="s">
        <v>247</v>
      </c>
      <c r="F5" s="42" t="s">
        <v>3213</v>
      </c>
      <c r="G5" s="44" t="s">
        <v>3214</v>
      </c>
      <c r="H5" s="41" t="s">
        <v>3215</v>
      </c>
      <c r="I5" s="42" t="s">
        <v>3216</v>
      </c>
      <c r="J5" s="41"/>
    </row>
    <row r="6" customFormat="false" ht="41.75" hidden="false" customHeight="false" outlineLevel="0" collapsed="false">
      <c r="A6" s="41" t="s">
        <v>186</v>
      </c>
      <c r="B6" s="41" t="s">
        <v>245</v>
      </c>
      <c r="C6" s="42" t="s">
        <v>246</v>
      </c>
      <c r="D6" s="44" t="s">
        <v>252</v>
      </c>
      <c r="E6" s="42" t="s">
        <v>3217</v>
      </c>
      <c r="F6" s="42" t="s">
        <v>3218</v>
      </c>
      <c r="G6" s="44" t="s">
        <v>3135</v>
      </c>
      <c r="H6" s="41" t="s">
        <v>3219</v>
      </c>
      <c r="I6" s="42" t="s">
        <v>3220</v>
      </c>
      <c r="J6" s="41"/>
    </row>
    <row r="7" customFormat="false" ht="28.35" hidden="false" customHeight="false" outlineLevel="0" collapsed="false">
      <c r="A7" s="41" t="s">
        <v>186</v>
      </c>
      <c r="B7" s="41" t="s">
        <v>256</v>
      </c>
      <c r="C7" s="42" t="s">
        <v>257</v>
      </c>
      <c r="D7" s="44" t="s">
        <v>260</v>
      </c>
      <c r="E7" s="42" t="s">
        <v>247</v>
      </c>
      <c r="F7" s="42" t="s">
        <v>3221</v>
      </c>
      <c r="G7" s="44" t="s">
        <v>3222</v>
      </c>
      <c r="H7" s="41" t="s">
        <v>3215</v>
      </c>
      <c r="I7" s="42" t="s">
        <v>3216</v>
      </c>
      <c r="J7" s="41"/>
    </row>
    <row r="8" customFormat="false" ht="28.35" hidden="false" customHeight="false" outlineLevel="0" collapsed="false">
      <c r="A8" s="41" t="s">
        <v>186</v>
      </c>
      <c r="B8" s="41" t="s">
        <v>262</v>
      </c>
      <c r="C8" s="42" t="s">
        <v>263</v>
      </c>
      <c r="D8" s="44" t="s">
        <v>264</v>
      </c>
      <c r="E8" s="42" t="s">
        <v>247</v>
      </c>
      <c r="F8" s="42" t="s">
        <v>3223</v>
      </c>
      <c r="G8" s="44" t="s">
        <v>3224</v>
      </c>
      <c r="H8" s="41" t="s">
        <v>3215</v>
      </c>
      <c r="I8" s="42" t="s">
        <v>3216</v>
      </c>
      <c r="J8" s="41"/>
    </row>
    <row r="9" customFormat="false" ht="41.75" hidden="false" customHeight="false" outlineLevel="0" collapsed="false">
      <c r="A9" s="41" t="s">
        <v>186</v>
      </c>
      <c r="B9" s="41" t="s">
        <v>266</v>
      </c>
      <c r="C9" s="42" t="s">
        <v>267</v>
      </c>
      <c r="D9" s="44" t="s">
        <v>268</v>
      </c>
      <c r="E9" s="42" t="s">
        <v>247</v>
      </c>
      <c r="F9" s="42" t="s">
        <v>3225</v>
      </c>
      <c r="G9" s="44" t="s">
        <v>3226</v>
      </c>
      <c r="H9" s="41" t="s">
        <v>3215</v>
      </c>
      <c r="I9" s="42" t="s">
        <v>3216</v>
      </c>
      <c r="J9" s="41"/>
    </row>
    <row r="10" customFormat="false" ht="28.35" hidden="false" customHeight="false" outlineLevel="0" collapsed="false">
      <c r="A10" s="41" t="s">
        <v>186</v>
      </c>
      <c r="B10" s="41" t="s">
        <v>271</v>
      </c>
      <c r="C10" s="42" t="s">
        <v>272</v>
      </c>
      <c r="D10" s="44" t="s">
        <v>273</v>
      </c>
      <c r="E10" s="42" t="s">
        <v>247</v>
      </c>
      <c r="F10" s="42" t="s">
        <v>3227</v>
      </c>
      <c r="G10" s="44" t="s">
        <v>3228</v>
      </c>
      <c r="H10" s="41" t="s">
        <v>3215</v>
      </c>
      <c r="I10" s="42" t="s">
        <v>3216</v>
      </c>
      <c r="J10" s="41"/>
    </row>
    <row r="11" customFormat="false" ht="41.75" hidden="false" customHeight="false" outlineLevel="0" collapsed="false">
      <c r="A11" s="41" t="s">
        <v>186</v>
      </c>
      <c r="B11" s="41" t="s">
        <v>275</v>
      </c>
      <c r="C11" s="42" t="s">
        <v>276</v>
      </c>
      <c r="D11" s="44" t="s">
        <v>279</v>
      </c>
      <c r="E11" s="42" t="s">
        <v>247</v>
      </c>
      <c r="F11" s="42" t="s">
        <v>3229</v>
      </c>
      <c r="G11" s="44" t="s">
        <v>3230</v>
      </c>
      <c r="H11" s="41" t="s">
        <v>3215</v>
      </c>
      <c r="I11" s="42" t="s">
        <v>3216</v>
      </c>
      <c r="J11" s="41"/>
    </row>
    <row r="12" customFormat="false" ht="28.35" hidden="false" customHeight="false" outlineLevel="0" collapsed="false">
      <c r="A12" s="41" t="s">
        <v>187</v>
      </c>
      <c r="B12" s="41" t="s">
        <v>281</v>
      </c>
      <c r="C12" s="42" t="s">
        <v>282</v>
      </c>
      <c r="D12" s="44" t="s">
        <v>287</v>
      </c>
      <c r="E12" s="42" t="s">
        <v>433</v>
      </c>
      <c r="F12" s="42" t="s">
        <v>3231</v>
      </c>
      <c r="G12" s="44" t="s">
        <v>3232</v>
      </c>
      <c r="H12" s="41" t="s">
        <v>3233</v>
      </c>
      <c r="I12" s="42" t="s">
        <v>3234</v>
      </c>
      <c r="J12" s="41"/>
    </row>
    <row r="13" customFormat="false" ht="41.75" hidden="false" customHeight="false" outlineLevel="0" collapsed="false">
      <c r="A13" s="41" t="s">
        <v>187</v>
      </c>
      <c r="B13" s="41" t="s">
        <v>281</v>
      </c>
      <c r="C13" s="42" t="s">
        <v>282</v>
      </c>
      <c r="D13" s="44" t="s">
        <v>287</v>
      </c>
      <c r="E13" s="42" t="s">
        <v>422</v>
      </c>
      <c r="F13" s="42" t="s">
        <v>3235</v>
      </c>
      <c r="G13" s="44" t="s">
        <v>3135</v>
      </c>
      <c r="H13" s="41" t="s">
        <v>3219</v>
      </c>
      <c r="I13" s="42" t="s">
        <v>3236</v>
      </c>
      <c r="J13" s="41"/>
    </row>
    <row r="14" customFormat="false" ht="28.35" hidden="false" customHeight="false" outlineLevel="0" collapsed="false">
      <c r="A14" s="41" t="s">
        <v>187</v>
      </c>
      <c r="B14" s="41" t="s">
        <v>291</v>
      </c>
      <c r="C14" s="42" t="s">
        <v>292</v>
      </c>
      <c r="D14" s="44" t="s">
        <v>293</v>
      </c>
      <c r="E14" s="42" t="s">
        <v>247</v>
      </c>
      <c r="F14" s="42" t="s">
        <v>3237</v>
      </c>
      <c r="G14" s="44" t="s">
        <v>3238</v>
      </c>
      <c r="H14" s="41" t="s">
        <v>3215</v>
      </c>
      <c r="I14" s="42" t="s">
        <v>3216</v>
      </c>
      <c r="J14" s="41"/>
    </row>
    <row r="15" customFormat="false" ht="28.35" hidden="false" customHeight="false" outlineLevel="0" collapsed="false">
      <c r="A15" s="41" t="s">
        <v>187</v>
      </c>
      <c r="B15" s="41" t="s">
        <v>296</v>
      </c>
      <c r="C15" s="42" t="s">
        <v>297</v>
      </c>
      <c r="D15" s="44" t="s">
        <v>300</v>
      </c>
      <c r="E15" s="42" t="s">
        <v>3239</v>
      </c>
      <c r="F15" s="42" t="s">
        <v>3240</v>
      </c>
      <c r="G15" s="44" t="s">
        <v>3241</v>
      </c>
      <c r="H15" s="41" t="s">
        <v>3242</v>
      </c>
      <c r="I15" s="42" t="s">
        <v>3243</v>
      </c>
      <c r="J15" s="41"/>
    </row>
    <row r="16" customFormat="false" ht="41.75" hidden="false" customHeight="false" outlineLevel="0" collapsed="false">
      <c r="A16" s="41" t="s">
        <v>187</v>
      </c>
      <c r="B16" s="41" t="s">
        <v>296</v>
      </c>
      <c r="C16" s="42" t="s">
        <v>297</v>
      </c>
      <c r="D16" s="44" t="s">
        <v>300</v>
      </c>
      <c r="E16" s="42" t="s">
        <v>881</v>
      </c>
      <c r="F16" s="42" t="s">
        <v>3244</v>
      </c>
      <c r="G16" s="44" t="s">
        <v>3135</v>
      </c>
      <c r="H16" s="41" t="s">
        <v>3219</v>
      </c>
      <c r="I16" s="42" t="s">
        <v>3245</v>
      </c>
      <c r="J16" s="41"/>
    </row>
    <row r="17" customFormat="false" ht="55.2" hidden="false" customHeight="false" outlineLevel="0" collapsed="false">
      <c r="A17" s="41" t="s">
        <v>187</v>
      </c>
      <c r="B17" s="41" t="s">
        <v>296</v>
      </c>
      <c r="C17" s="42" t="s">
        <v>297</v>
      </c>
      <c r="D17" s="44" t="s">
        <v>300</v>
      </c>
      <c r="E17" s="42" t="s">
        <v>3246</v>
      </c>
      <c r="F17" s="42" t="s">
        <v>3244</v>
      </c>
      <c r="G17" s="44" t="s">
        <v>3247</v>
      </c>
      <c r="H17" s="41" t="s">
        <v>3248</v>
      </c>
      <c r="I17" s="42" t="s">
        <v>3249</v>
      </c>
      <c r="J17" s="44" t="s">
        <v>3135</v>
      </c>
    </row>
    <row r="18" customFormat="false" ht="28.35" hidden="false" customHeight="false" outlineLevel="0" collapsed="false">
      <c r="A18" s="41" t="s">
        <v>187</v>
      </c>
      <c r="B18" s="41" t="s">
        <v>296</v>
      </c>
      <c r="C18" s="42" t="s">
        <v>297</v>
      </c>
      <c r="D18" s="44" t="s">
        <v>300</v>
      </c>
      <c r="E18" s="42" t="s">
        <v>583</v>
      </c>
      <c r="F18" s="42" t="s">
        <v>3250</v>
      </c>
      <c r="G18" s="44" t="s">
        <v>3251</v>
      </c>
      <c r="H18" s="41" t="s">
        <v>3252</v>
      </c>
      <c r="I18" s="42" t="s">
        <v>3253</v>
      </c>
      <c r="J18" s="41"/>
    </row>
    <row r="19" customFormat="false" ht="28.35" hidden="false" customHeight="false" outlineLevel="0" collapsed="false">
      <c r="A19" s="41" t="s">
        <v>187</v>
      </c>
      <c r="B19" s="41" t="s">
        <v>305</v>
      </c>
      <c r="C19" s="42" t="s">
        <v>306</v>
      </c>
      <c r="D19" s="44" t="s">
        <v>308</v>
      </c>
      <c r="E19" s="42" t="s">
        <v>247</v>
      </c>
      <c r="F19" s="42" t="s">
        <v>3254</v>
      </c>
      <c r="G19" s="44" t="s">
        <v>3255</v>
      </c>
      <c r="H19" s="41" t="s">
        <v>3256</v>
      </c>
      <c r="I19" s="42" t="s">
        <v>3257</v>
      </c>
      <c r="J19" s="41"/>
    </row>
    <row r="20" customFormat="false" ht="28.35" hidden="false" customHeight="false" outlineLevel="0" collapsed="false">
      <c r="A20" s="41" t="s">
        <v>187</v>
      </c>
      <c r="B20" s="41" t="s">
        <v>305</v>
      </c>
      <c r="C20" s="42" t="s">
        <v>306</v>
      </c>
      <c r="D20" s="44" t="s">
        <v>308</v>
      </c>
      <c r="E20" s="42" t="s">
        <v>3239</v>
      </c>
      <c r="F20" s="42" t="s">
        <v>3258</v>
      </c>
      <c r="G20" s="44" t="s">
        <v>3259</v>
      </c>
      <c r="H20" s="41" t="s">
        <v>3242</v>
      </c>
      <c r="I20" s="42" t="s">
        <v>3243</v>
      </c>
      <c r="J20" s="41"/>
    </row>
    <row r="21" customFormat="false" ht="41.75" hidden="false" customHeight="false" outlineLevel="0" collapsed="false">
      <c r="A21" s="41" t="s">
        <v>187</v>
      </c>
      <c r="B21" s="41" t="s">
        <v>305</v>
      </c>
      <c r="C21" s="42" t="s">
        <v>306</v>
      </c>
      <c r="D21" s="44" t="s">
        <v>308</v>
      </c>
      <c r="E21" s="42" t="s">
        <v>881</v>
      </c>
      <c r="F21" s="42" t="s">
        <v>3260</v>
      </c>
      <c r="G21" s="44" t="s">
        <v>3135</v>
      </c>
      <c r="H21" s="41" t="s">
        <v>3219</v>
      </c>
      <c r="I21" s="42" t="s">
        <v>3261</v>
      </c>
      <c r="J21" s="41"/>
    </row>
    <row r="22" customFormat="false" ht="55.2" hidden="false" customHeight="false" outlineLevel="0" collapsed="false">
      <c r="A22" s="41" t="s">
        <v>187</v>
      </c>
      <c r="B22" s="41" t="s">
        <v>305</v>
      </c>
      <c r="C22" s="42" t="s">
        <v>306</v>
      </c>
      <c r="D22" s="44" t="s">
        <v>308</v>
      </c>
      <c r="E22" s="42" t="s">
        <v>3246</v>
      </c>
      <c r="F22" s="42" t="s">
        <v>3260</v>
      </c>
      <c r="G22" s="44" t="s">
        <v>3262</v>
      </c>
      <c r="H22" s="41" t="s">
        <v>3248</v>
      </c>
      <c r="I22" s="42" t="s">
        <v>3263</v>
      </c>
      <c r="J22" s="44" t="s">
        <v>3135</v>
      </c>
    </row>
    <row r="23" customFormat="false" ht="28.35" hidden="false" customHeight="false" outlineLevel="0" collapsed="false">
      <c r="A23" s="41" t="s">
        <v>187</v>
      </c>
      <c r="B23" s="41" t="s">
        <v>305</v>
      </c>
      <c r="C23" s="42" t="s">
        <v>306</v>
      </c>
      <c r="D23" s="44" t="s">
        <v>308</v>
      </c>
      <c r="E23" s="42" t="s">
        <v>583</v>
      </c>
      <c r="F23" s="42" t="s">
        <v>3264</v>
      </c>
      <c r="G23" s="44" t="s">
        <v>3265</v>
      </c>
      <c r="H23" s="41" t="s">
        <v>3252</v>
      </c>
      <c r="I23" s="42" t="s">
        <v>3253</v>
      </c>
      <c r="J23" s="41"/>
    </row>
    <row r="24" customFormat="false" ht="41.75" hidden="false" customHeight="false" outlineLevel="0" collapsed="false">
      <c r="A24" s="41" t="s">
        <v>187</v>
      </c>
      <c r="B24" s="41" t="s">
        <v>313</v>
      </c>
      <c r="C24" s="42" t="s">
        <v>314</v>
      </c>
      <c r="D24" s="44" t="s">
        <v>317</v>
      </c>
      <c r="E24" s="42" t="s">
        <v>881</v>
      </c>
      <c r="F24" s="42" t="s">
        <v>3244</v>
      </c>
      <c r="G24" s="44" t="s">
        <v>3135</v>
      </c>
      <c r="H24" s="41" t="s">
        <v>3219</v>
      </c>
      <c r="I24" s="42" t="s">
        <v>3266</v>
      </c>
      <c r="J24" s="41"/>
    </row>
    <row r="25" customFormat="false" ht="41.75" hidden="false" customHeight="false" outlineLevel="0" collapsed="false">
      <c r="A25" s="41" t="s">
        <v>187</v>
      </c>
      <c r="B25" s="41" t="s">
        <v>313</v>
      </c>
      <c r="C25" s="42" t="s">
        <v>314</v>
      </c>
      <c r="D25" s="44" t="s">
        <v>317</v>
      </c>
      <c r="E25" s="42" t="s">
        <v>3267</v>
      </c>
      <c r="F25" s="42" t="s">
        <v>3244</v>
      </c>
      <c r="G25" s="44" t="s">
        <v>3135</v>
      </c>
      <c r="H25" s="41" t="s">
        <v>3219</v>
      </c>
      <c r="I25" s="42" t="s">
        <v>3268</v>
      </c>
      <c r="J25" s="41"/>
    </row>
    <row r="26" customFormat="false" ht="28.35" hidden="false" customHeight="false" outlineLevel="0" collapsed="false">
      <c r="A26" s="41" t="s">
        <v>187</v>
      </c>
      <c r="B26" s="41" t="s">
        <v>245</v>
      </c>
      <c r="C26" s="42" t="s">
        <v>246</v>
      </c>
      <c r="D26" s="44" t="s">
        <v>252</v>
      </c>
      <c r="E26" s="42" t="s">
        <v>247</v>
      </c>
      <c r="F26" s="42" t="s">
        <v>3269</v>
      </c>
      <c r="G26" s="44" t="s">
        <v>3214</v>
      </c>
      <c r="H26" s="41" t="s">
        <v>3215</v>
      </c>
      <c r="I26" s="42" t="s">
        <v>3216</v>
      </c>
      <c r="J26" s="41"/>
    </row>
    <row r="27" customFormat="false" ht="28.35" hidden="false" customHeight="false" outlineLevel="0" collapsed="false">
      <c r="A27" s="41" t="s">
        <v>187</v>
      </c>
      <c r="B27" s="41" t="s">
        <v>322</v>
      </c>
      <c r="C27" s="42" t="s">
        <v>323</v>
      </c>
      <c r="D27" s="44" t="s">
        <v>325</v>
      </c>
      <c r="E27" s="42" t="s">
        <v>328</v>
      </c>
      <c r="F27" s="42" t="s">
        <v>3270</v>
      </c>
      <c r="G27" s="44" t="s">
        <v>3271</v>
      </c>
      <c r="H27" s="41" t="s">
        <v>3272</v>
      </c>
      <c r="I27" s="42" t="s">
        <v>3273</v>
      </c>
      <c r="J27" s="41"/>
    </row>
    <row r="28" customFormat="false" ht="55.2" hidden="false" customHeight="false" outlineLevel="0" collapsed="false">
      <c r="A28" s="41" t="s">
        <v>187</v>
      </c>
      <c r="B28" s="41" t="s">
        <v>329</v>
      </c>
      <c r="C28" s="42" t="s">
        <v>330</v>
      </c>
      <c r="D28" s="44" t="s">
        <v>332</v>
      </c>
      <c r="E28" s="42" t="s">
        <v>335</v>
      </c>
      <c r="F28" s="42" t="s">
        <v>3235</v>
      </c>
      <c r="G28" s="44" t="s">
        <v>3274</v>
      </c>
      <c r="H28" s="41" t="s">
        <v>3248</v>
      </c>
      <c r="I28" s="42" t="s">
        <v>3275</v>
      </c>
      <c r="J28" s="44" t="s">
        <v>3135</v>
      </c>
    </row>
    <row r="29" customFormat="false" ht="55.2" hidden="false" customHeight="false" outlineLevel="0" collapsed="false">
      <c r="A29" s="41" t="s">
        <v>187</v>
      </c>
      <c r="B29" s="41" t="s">
        <v>336</v>
      </c>
      <c r="C29" s="42" t="s">
        <v>337</v>
      </c>
      <c r="D29" s="44" t="s">
        <v>340</v>
      </c>
      <c r="E29" s="42" t="s">
        <v>342</v>
      </c>
      <c r="F29" s="42" t="s">
        <v>3276</v>
      </c>
      <c r="G29" s="44" t="s">
        <v>3277</v>
      </c>
      <c r="H29" s="41" t="s">
        <v>3248</v>
      </c>
      <c r="I29" s="42" t="s">
        <v>3278</v>
      </c>
      <c r="J29" s="44" t="s">
        <v>3135</v>
      </c>
    </row>
    <row r="30" customFormat="false" ht="28.35" hidden="false" customHeight="false" outlineLevel="0" collapsed="false">
      <c r="A30" s="41" t="s">
        <v>187</v>
      </c>
      <c r="B30" s="41" t="s">
        <v>343</v>
      </c>
      <c r="C30" s="42" t="s">
        <v>344</v>
      </c>
      <c r="D30" s="44" t="s">
        <v>345</v>
      </c>
      <c r="E30" s="42" t="s">
        <v>247</v>
      </c>
      <c r="F30" s="42" t="s">
        <v>3279</v>
      </c>
      <c r="G30" s="44" t="s">
        <v>3280</v>
      </c>
      <c r="H30" s="41" t="s">
        <v>3215</v>
      </c>
      <c r="I30" s="42" t="s">
        <v>3216</v>
      </c>
      <c r="J30" s="41"/>
    </row>
    <row r="31" customFormat="false" ht="28.35" hidden="false" customHeight="false" outlineLevel="0" collapsed="false">
      <c r="A31" s="41" t="s">
        <v>187</v>
      </c>
      <c r="B31" s="41" t="s">
        <v>348</v>
      </c>
      <c r="C31" s="42" t="s">
        <v>349</v>
      </c>
      <c r="D31" s="44" t="s">
        <v>350</v>
      </c>
      <c r="E31" s="42" t="s">
        <v>247</v>
      </c>
      <c r="F31" s="42" t="s">
        <v>3281</v>
      </c>
      <c r="G31" s="44" t="s">
        <v>3282</v>
      </c>
      <c r="H31" s="41" t="s">
        <v>3215</v>
      </c>
      <c r="I31" s="42" t="s">
        <v>3216</v>
      </c>
      <c r="J31" s="41"/>
    </row>
    <row r="32" customFormat="false" ht="41.75" hidden="false" customHeight="false" outlineLevel="0" collapsed="false">
      <c r="A32" s="41" t="s">
        <v>187</v>
      </c>
      <c r="B32" s="41" t="s">
        <v>352</v>
      </c>
      <c r="C32" s="42" t="s">
        <v>353</v>
      </c>
      <c r="D32" s="44" t="s">
        <v>354</v>
      </c>
      <c r="E32" s="42" t="s">
        <v>247</v>
      </c>
      <c r="F32" s="42" t="s">
        <v>3283</v>
      </c>
      <c r="G32" s="44" t="s">
        <v>3284</v>
      </c>
      <c r="H32" s="41" t="s">
        <v>3215</v>
      </c>
      <c r="I32" s="42" t="s">
        <v>3216</v>
      </c>
      <c r="J32" s="41"/>
    </row>
    <row r="33" customFormat="false" ht="41.75" hidden="false" customHeight="false" outlineLevel="0" collapsed="false">
      <c r="A33" s="41" t="s">
        <v>187</v>
      </c>
      <c r="B33" s="41" t="s">
        <v>356</v>
      </c>
      <c r="C33" s="42" t="s">
        <v>357</v>
      </c>
      <c r="D33" s="44" t="s">
        <v>358</v>
      </c>
      <c r="E33" s="42" t="s">
        <v>361</v>
      </c>
      <c r="F33" s="42" t="s">
        <v>3235</v>
      </c>
      <c r="G33" s="44" t="s">
        <v>3135</v>
      </c>
      <c r="H33" s="41" t="s">
        <v>3219</v>
      </c>
      <c r="I33" s="42" t="s">
        <v>3285</v>
      </c>
      <c r="J33" s="41"/>
    </row>
    <row r="34" customFormat="false" ht="55.2" hidden="false" customHeight="false" outlineLevel="0" collapsed="false">
      <c r="A34" s="41" t="s">
        <v>187</v>
      </c>
      <c r="B34" s="41" t="s">
        <v>362</v>
      </c>
      <c r="C34" s="42" t="s">
        <v>363</v>
      </c>
      <c r="D34" s="44" t="s">
        <v>365</v>
      </c>
      <c r="E34" s="42" t="s">
        <v>368</v>
      </c>
      <c r="F34" s="42" t="s">
        <v>3235</v>
      </c>
      <c r="G34" s="44" t="s">
        <v>3286</v>
      </c>
      <c r="H34" s="41" t="s">
        <v>3248</v>
      </c>
      <c r="I34" s="42" t="s">
        <v>3287</v>
      </c>
      <c r="J34" s="44" t="s">
        <v>3135</v>
      </c>
    </row>
    <row r="35" customFormat="false" ht="28.35" hidden="false" customHeight="false" outlineLevel="0" collapsed="false">
      <c r="A35" s="41" t="s">
        <v>187</v>
      </c>
      <c r="B35" s="41" t="s">
        <v>369</v>
      </c>
      <c r="C35" s="42" t="s">
        <v>370</v>
      </c>
      <c r="D35" s="44" t="s">
        <v>372</v>
      </c>
      <c r="E35" s="42" t="s">
        <v>247</v>
      </c>
      <c r="F35" s="42" t="s">
        <v>3288</v>
      </c>
      <c r="G35" s="44" t="s">
        <v>3289</v>
      </c>
      <c r="H35" s="41" t="s">
        <v>3215</v>
      </c>
      <c r="I35" s="42" t="s">
        <v>3216</v>
      </c>
      <c r="J35" s="41"/>
    </row>
    <row r="36" customFormat="false" ht="55.2" hidden="false" customHeight="false" outlineLevel="0" collapsed="false">
      <c r="A36" s="41" t="s">
        <v>187</v>
      </c>
      <c r="B36" s="41" t="s">
        <v>369</v>
      </c>
      <c r="C36" s="42" t="s">
        <v>370</v>
      </c>
      <c r="D36" s="44" t="s">
        <v>372</v>
      </c>
      <c r="E36" s="42" t="s">
        <v>335</v>
      </c>
      <c r="F36" s="42" t="s">
        <v>3235</v>
      </c>
      <c r="G36" s="44" t="s">
        <v>3290</v>
      </c>
      <c r="H36" s="41" t="s">
        <v>3248</v>
      </c>
      <c r="I36" s="42" t="s">
        <v>3291</v>
      </c>
      <c r="J36" s="44" t="s">
        <v>3135</v>
      </c>
    </row>
    <row r="37" customFormat="false" ht="41.75" hidden="false" customHeight="false" outlineLevel="0" collapsed="false">
      <c r="A37" s="41" t="s">
        <v>187</v>
      </c>
      <c r="B37" s="41" t="s">
        <v>376</v>
      </c>
      <c r="C37" s="42" t="s">
        <v>377</v>
      </c>
      <c r="D37" s="44" t="s">
        <v>379</v>
      </c>
      <c r="E37" s="42" t="s">
        <v>382</v>
      </c>
      <c r="F37" s="42" t="s">
        <v>3292</v>
      </c>
      <c r="G37" s="44" t="s">
        <v>3135</v>
      </c>
      <c r="H37" s="41" t="s">
        <v>3219</v>
      </c>
      <c r="I37" s="42" t="s">
        <v>3293</v>
      </c>
      <c r="J37" s="41"/>
    </row>
    <row r="38" customFormat="false" ht="28.35" hidden="false" customHeight="false" outlineLevel="0" collapsed="false">
      <c r="A38" s="41" t="s">
        <v>187</v>
      </c>
      <c r="B38" s="41" t="s">
        <v>383</v>
      </c>
      <c r="C38" s="42" t="s">
        <v>384</v>
      </c>
      <c r="D38" s="44" t="s">
        <v>385</v>
      </c>
      <c r="E38" s="42" t="s">
        <v>247</v>
      </c>
      <c r="F38" s="42" t="s">
        <v>3294</v>
      </c>
      <c r="G38" s="44" t="s">
        <v>2834</v>
      </c>
      <c r="H38" s="41" t="s">
        <v>3215</v>
      </c>
      <c r="I38" s="42" t="s">
        <v>3216</v>
      </c>
      <c r="J38" s="41"/>
    </row>
    <row r="39" customFormat="false" ht="28.35" hidden="false" customHeight="false" outlineLevel="0" collapsed="false">
      <c r="A39" s="41" t="s">
        <v>187</v>
      </c>
      <c r="B39" s="41" t="s">
        <v>387</v>
      </c>
      <c r="C39" s="42" t="s">
        <v>388</v>
      </c>
      <c r="D39" s="44" t="s">
        <v>390</v>
      </c>
      <c r="E39" s="42" t="s">
        <v>247</v>
      </c>
      <c r="F39" s="42" t="s">
        <v>3295</v>
      </c>
      <c r="G39" s="44" t="s">
        <v>3296</v>
      </c>
      <c r="H39" s="41" t="s">
        <v>3215</v>
      </c>
      <c r="I39" s="42" t="s">
        <v>3216</v>
      </c>
      <c r="J39" s="41"/>
    </row>
    <row r="40" customFormat="false" ht="41.75" hidden="false" customHeight="false" outlineLevel="0" collapsed="false">
      <c r="A40" s="41" t="s">
        <v>187</v>
      </c>
      <c r="B40" s="41" t="s">
        <v>387</v>
      </c>
      <c r="C40" s="42" t="s">
        <v>388</v>
      </c>
      <c r="D40" s="44" t="s">
        <v>390</v>
      </c>
      <c r="E40" s="42" t="s">
        <v>881</v>
      </c>
      <c r="F40" s="42" t="s">
        <v>3297</v>
      </c>
      <c r="G40" s="44" t="s">
        <v>3135</v>
      </c>
      <c r="H40" s="41" t="s">
        <v>3219</v>
      </c>
      <c r="I40" s="42" t="s">
        <v>3298</v>
      </c>
      <c r="J40" s="41"/>
    </row>
    <row r="41" customFormat="false" ht="28.35" hidden="false" customHeight="false" outlineLevel="0" collapsed="false">
      <c r="A41" s="41" t="s">
        <v>187</v>
      </c>
      <c r="B41" s="41" t="s">
        <v>387</v>
      </c>
      <c r="C41" s="42" t="s">
        <v>388</v>
      </c>
      <c r="D41" s="44" t="s">
        <v>390</v>
      </c>
      <c r="E41" s="42" t="s">
        <v>433</v>
      </c>
      <c r="F41" s="42" t="s">
        <v>3299</v>
      </c>
      <c r="G41" s="44" t="s">
        <v>3300</v>
      </c>
      <c r="H41" s="41" t="s">
        <v>3233</v>
      </c>
      <c r="I41" s="42" t="s">
        <v>3234</v>
      </c>
      <c r="J41" s="41"/>
    </row>
    <row r="42" customFormat="false" ht="55.2" hidden="false" customHeight="false" outlineLevel="0" collapsed="false">
      <c r="A42" s="41" t="s">
        <v>187</v>
      </c>
      <c r="B42" s="41" t="s">
        <v>387</v>
      </c>
      <c r="C42" s="42" t="s">
        <v>388</v>
      </c>
      <c r="D42" s="44" t="s">
        <v>390</v>
      </c>
      <c r="E42" s="42" t="s">
        <v>3301</v>
      </c>
      <c r="F42" s="42" t="s">
        <v>3297</v>
      </c>
      <c r="G42" s="44" t="s">
        <v>3302</v>
      </c>
      <c r="H42" s="41" t="s">
        <v>3248</v>
      </c>
      <c r="I42" s="42" t="s">
        <v>3303</v>
      </c>
      <c r="J42" s="44" t="s">
        <v>3135</v>
      </c>
    </row>
    <row r="43" customFormat="false" ht="28.35" hidden="false" customHeight="false" outlineLevel="0" collapsed="false">
      <c r="A43" s="41" t="s">
        <v>187</v>
      </c>
      <c r="B43" s="41" t="s">
        <v>387</v>
      </c>
      <c r="C43" s="42" t="s">
        <v>388</v>
      </c>
      <c r="D43" s="44" t="s">
        <v>390</v>
      </c>
      <c r="E43" s="42" t="s">
        <v>328</v>
      </c>
      <c r="F43" s="42" t="s">
        <v>3304</v>
      </c>
      <c r="G43" s="44" t="s">
        <v>3305</v>
      </c>
      <c r="H43" s="41" t="s">
        <v>3272</v>
      </c>
      <c r="I43" s="42" t="s">
        <v>3273</v>
      </c>
      <c r="J43" s="41"/>
    </row>
    <row r="44" customFormat="false" ht="28.35" hidden="false" customHeight="false" outlineLevel="0" collapsed="false">
      <c r="A44" s="41" t="s">
        <v>187</v>
      </c>
      <c r="B44" s="41" t="s">
        <v>394</v>
      </c>
      <c r="C44" s="42" t="s">
        <v>395</v>
      </c>
      <c r="D44" s="44" t="s">
        <v>397</v>
      </c>
      <c r="E44" s="42" t="s">
        <v>247</v>
      </c>
      <c r="F44" s="42" t="s">
        <v>3306</v>
      </c>
      <c r="G44" s="44" t="s">
        <v>3307</v>
      </c>
      <c r="H44" s="41" t="s">
        <v>3215</v>
      </c>
      <c r="I44" s="42" t="s">
        <v>3216</v>
      </c>
      <c r="J44" s="41"/>
    </row>
    <row r="45" customFormat="false" ht="41.75" hidden="false" customHeight="false" outlineLevel="0" collapsed="false">
      <c r="A45" s="41" t="s">
        <v>187</v>
      </c>
      <c r="B45" s="41" t="s">
        <v>394</v>
      </c>
      <c r="C45" s="42" t="s">
        <v>395</v>
      </c>
      <c r="D45" s="44" t="s">
        <v>397</v>
      </c>
      <c r="E45" s="42" t="s">
        <v>832</v>
      </c>
      <c r="F45" s="42" t="s">
        <v>3235</v>
      </c>
      <c r="G45" s="44" t="s">
        <v>3135</v>
      </c>
      <c r="H45" s="41" t="s">
        <v>3219</v>
      </c>
      <c r="I45" s="42" t="s">
        <v>3308</v>
      </c>
      <c r="J45" s="41"/>
    </row>
    <row r="46" customFormat="false" ht="41.75" hidden="false" customHeight="false" outlineLevel="0" collapsed="false">
      <c r="A46" s="41" t="s">
        <v>187</v>
      </c>
      <c r="B46" s="41" t="s">
        <v>401</v>
      </c>
      <c r="C46" s="42" t="s">
        <v>402</v>
      </c>
      <c r="D46" s="44" t="s">
        <v>404</v>
      </c>
      <c r="E46" s="42" t="s">
        <v>881</v>
      </c>
      <c r="F46" s="42" t="s">
        <v>3244</v>
      </c>
      <c r="G46" s="44" t="s">
        <v>3135</v>
      </c>
      <c r="H46" s="41" t="s">
        <v>3219</v>
      </c>
      <c r="I46" s="42" t="s">
        <v>3309</v>
      </c>
      <c r="J46" s="41"/>
    </row>
    <row r="47" customFormat="false" ht="55.2" hidden="false" customHeight="false" outlineLevel="0" collapsed="false">
      <c r="A47" s="41" t="s">
        <v>187</v>
      </c>
      <c r="B47" s="41" t="s">
        <v>401</v>
      </c>
      <c r="C47" s="42" t="s">
        <v>402</v>
      </c>
      <c r="D47" s="44" t="s">
        <v>404</v>
      </c>
      <c r="E47" s="42" t="s">
        <v>3310</v>
      </c>
      <c r="F47" s="42" t="s">
        <v>3244</v>
      </c>
      <c r="G47" s="44" t="s">
        <v>3311</v>
      </c>
      <c r="H47" s="41" t="s">
        <v>3248</v>
      </c>
      <c r="I47" s="42" t="s">
        <v>3312</v>
      </c>
      <c r="J47" s="44" t="s">
        <v>3135</v>
      </c>
    </row>
    <row r="48" customFormat="false" ht="41.75" hidden="false" customHeight="false" outlineLevel="0" collapsed="false">
      <c r="A48" s="41" t="s">
        <v>187</v>
      </c>
      <c r="B48" s="41" t="s">
        <v>401</v>
      </c>
      <c r="C48" s="42" t="s">
        <v>402</v>
      </c>
      <c r="D48" s="44" t="s">
        <v>404</v>
      </c>
      <c r="E48" s="42" t="s">
        <v>583</v>
      </c>
      <c r="F48" s="42" t="s">
        <v>3313</v>
      </c>
      <c r="G48" s="44" t="s">
        <v>3314</v>
      </c>
      <c r="H48" s="41" t="s">
        <v>3252</v>
      </c>
      <c r="I48" s="42" t="s">
        <v>3253</v>
      </c>
      <c r="J48" s="41"/>
    </row>
    <row r="49" customFormat="false" ht="28.35" hidden="false" customHeight="false" outlineLevel="0" collapsed="false">
      <c r="A49" s="41" t="s">
        <v>187</v>
      </c>
      <c r="B49" s="41" t="s">
        <v>408</v>
      </c>
      <c r="C49" s="42" t="s">
        <v>409</v>
      </c>
      <c r="D49" s="44" t="s">
        <v>410</v>
      </c>
      <c r="E49" s="42" t="s">
        <v>247</v>
      </c>
      <c r="F49" s="42" t="s">
        <v>3315</v>
      </c>
      <c r="G49" s="44" t="s">
        <v>3316</v>
      </c>
      <c r="H49" s="41" t="s">
        <v>3215</v>
      </c>
      <c r="I49" s="42" t="s">
        <v>3216</v>
      </c>
      <c r="J49" s="41"/>
    </row>
    <row r="50" customFormat="false" ht="28.35" hidden="false" customHeight="false" outlineLevel="0" collapsed="false">
      <c r="A50" s="41" t="s">
        <v>187</v>
      </c>
      <c r="B50" s="41" t="s">
        <v>412</v>
      </c>
      <c r="C50" s="42" t="s">
        <v>413</v>
      </c>
      <c r="D50" s="44" t="s">
        <v>414</v>
      </c>
      <c r="E50" s="42" t="s">
        <v>247</v>
      </c>
      <c r="F50" s="42" t="s">
        <v>3317</v>
      </c>
      <c r="G50" s="44" t="s">
        <v>2868</v>
      </c>
      <c r="H50" s="41" t="s">
        <v>3215</v>
      </c>
      <c r="I50" s="42" t="s">
        <v>3216</v>
      </c>
      <c r="J50" s="41"/>
    </row>
    <row r="51" customFormat="false" ht="41.75" hidden="false" customHeight="false" outlineLevel="0" collapsed="false">
      <c r="A51" s="41" t="s">
        <v>187</v>
      </c>
      <c r="B51" s="41" t="s">
        <v>416</v>
      </c>
      <c r="C51" s="42" t="s">
        <v>417</v>
      </c>
      <c r="D51" s="44" t="s">
        <v>419</v>
      </c>
      <c r="E51" s="42" t="s">
        <v>422</v>
      </c>
      <c r="F51" s="42" t="s">
        <v>3235</v>
      </c>
      <c r="G51" s="44" t="s">
        <v>3135</v>
      </c>
      <c r="H51" s="41" t="s">
        <v>3219</v>
      </c>
      <c r="I51" s="42" t="s">
        <v>3318</v>
      </c>
      <c r="J51" s="41"/>
    </row>
    <row r="52" customFormat="false" ht="28.35" hidden="false" customHeight="false" outlineLevel="0" collapsed="false">
      <c r="A52" s="41" t="s">
        <v>187</v>
      </c>
      <c r="B52" s="41" t="s">
        <v>262</v>
      </c>
      <c r="C52" s="42" t="s">
        <v>263</v>
      </c>
      <c r="D52" s="44" t="s">
        <v>264</v>
      </c>
      <c r="E52" s="42" t="s">
        <v>3239</v>
      </c>
      <c r="F52" s="42" t="s">
        <v>3319</v>
      </c>
      <c r="G52" s="44" t="s">
        <v>3320</v>
      </c>
      <c r="H52" s="41" t="s">
        <v>3242</v>
      </c>
      <c r="I52" s="42" t="s">
        <v>3243</v>
      </c>
      <c r="J52" s="41"/>
    </row>
    <row r="53" customFormat="false" ht="55.2" hidden="false" customHeight="false" outlineLevel="0" collapsed="false">
      <c r="A53" s="41" t="s">
        <v>187</v>
      </c>
      <c r="B53" s="41" t="s">
        <v>262</v>
      </c>
      <c r="C53" s="42" t="s">
        <v>263</v>
      </c>
      <c r="D53" s="44" t="s">
        <v>264</v>
      </c>
      <c r="E53" s="42" t="s">
        <v>3246</v>
      </c>
      <c r="F53" s="42" t="s">
        <v>3235</v>
      </c>
      <c r="G53" s="44" t="s">
        <v>3321</v>
      </c>
      <c r="H53" s="41" t="s">
        <v>3248</v>
      </c>
      <c r="I53" s="42" t="s">
        <v>3322</v>
      </c>
      <c r="J53" s="44" t="s">
        <v>3135</v>
      </c>
    </row>
    <row r="54" customFormat="false" ht="41.75" hidden="false" customHeight="false" outlineLevel="0" collapsed="false">
      <c r="A54" s="41" t="s">
        <v>187</v>
      </c>
      <c r="B54" s="41" t="s">
        <v>262</v>
      </c>
      <c r="C54" s="42" t="s">
        <v>263</v>
      </c>
      <c r="D54" s="44" t="s">
        <v>264</v>
      </c>
      <c r="E54" s="42" t="s">
        <v>583</v>
      </c>
      <c r="F54" s="42" t="s">
        <v>3323</v>
      </c>
      <c r="G54" s="44" t="s">
        <v>3324</v>
      </c>
      <c r="H54" s="41" t="s">
        <v>3252</v>
      </c>
      <c r="I54" s="42" t="s">
        <v>3253</v>
      </c>
      <c r="J54" s="41"/>
    </row>
    <row r="55" customFormat="false" ht="41.75" hidden="false" customHeight="false" outlineLevel="0" collapsed="false">
      <c r="A55" s="41" t="s">
        <v>187</v>
      </c>
      <c r="B55" s="41" t="s">
        <v>427</v>
      </c>
      <c r="C55" s="42" t="s">
        <v>428</v>
      </c>
      <c r="D55" s="44" t="s">
        <v>430</v>
      </c>
      <c r="E55" s="42" t="s">
        <v>433</v>
      </c>
      <c r="F55" s="42" t="s">
        <v>3325</v>
      </c>
      <c r="G55" s="44" t="s">
        <v>3326</v>
      </c>
      <c r="H55" s="41" t="s">
        <v>3233</v>
      </c>
      <c r="I55" s="42" t="s">
        <v>3234</v>
      </c>
      <c r="J55" s="41"/>
    </row>
    <row r="56" customFormat="false" ht="28.35" hidden="false" customHeight="false" outlineLevel="0" collapsed="false">
      <c r="A56" s="41" t="s">
        <v>187</v>
      </c>
      <c r="B56" s="41" t="s">
        <v>434</v>
      </c>
      <c r="C56" s="42" t="s">
        <v>435</v>
      </c>
      <c r="D56" s="44" t="s">
        <v>436</v>
      </c>
      <c r="E56" s="42" t="s">
        <v>247</v>
      </c>
      <c r="F56" s="42" t="s">
        <v>3327</v>
      </c>
      <c r="G56" s="44" t="s">
        <v>3328</v>
      </c>
      <c r="H56" s="41" t="s">
        <v>3215</v>
      </c>
      <c r="I56" s="42" t="s">
        <v>3216</v>
      </c>
      <c r="J56" s="41"/>
    </row>
    <row r="57" customFormat="false" ht="28.35" hidden="false" customHeight="false" outlineLevel="0" collapsed="false">
      <c r="A57" s="41" t="s">
        <v>187</v>
      </c>
      <c r="B57" s="41" t="s">
        <v>439</v>
      </c>
      <c r="C57" s="42" t="s">
        <v>440</v>
      </c>
      <c r="D57" s="44" t="s">
        <v>442</v>
      </c>
      <c r="E57" s="42" t="s">
        <v>247</v>
      </c>
      <c r="F57" s="42" t="s">
        <v>3329</v>
      </c>
      <c r="G57" s="44" t="s">
        <v>3330</v>
      </c>
      <c r="H57" s="41" t="s">
        <v>3215</v>
      </c>
      <c r="I57" s="42" t="s">
        <v>3216</v>
      </c>
      <c r="J57" s="41"/>
    </row>
    <row r="58" customFormat="false" ht="41.75" hidden="false" customHeight="false" outlineLevel="0" collapsed="false">
      <c r="A58" s="41" t="s">
        <v>187</v>
      </c>
      <c r="B58" s="41" t="s">
        <v>444</v>
      </c>
      <c r="C58" s="42" t="s">
        <v>445</v>
      </c>
      <c r="D58" s="44" t="s">
        <v>447</v>
      </c>
      <c r="E58" s="42" t="s">
        <v>450</v>
      </c>
      <c r="F58" s="42" t="s">
        <v>3235</v>
      </c>
      <c r="G58" s="44" t="s">
        <v>3135</v>
      </c>
      <c r="H58" s="41" t="s">
        <v>3219</v>
      </c>
      <c r="I58" s="42" t="s">
        <v>3331</v>
      </c>
      <c r="J58" s="41"/>
    </row>
    <row r="59" customFormat="false" ht="41.75" hidden="false" customHeight="false" outlineLevel="0" collapsed="false">
      <c r="A59" s="41" t="s">
        <v>187</v>
      </c>
      <c r="B59" s="41" t="s">
        <v>451</v>
      </c>
      <c r="C59" s="42" t="s">
        <v>452</v>
      </c>
      <c r="D59" s="44" t="s">
        <v>454</v>
      </c>
      <c r="E59" s="42" t="s">
        <v>881</v>
      </c>
      <c r="F59" s="42" t="s">
        <v>3297</v>
      </c>
      <c r="G59" s="44" t="s">
        <v>3135</v>
      </c>
      <c r="H59" s="41" t="s">
        <v>3219</v>
      </c>
      <c r="I59" s="42" t="s">
        <v>3332</v>
      </c>
      <c r="J59" s="41"/>
    </row>
    <row r="60" customFormat="false" ht="28.35" hidden="false" customHeight="false" outlineLevel="0" collapsed="false">
      <c r="A60" s="41" t="s">
        <v>187</v>
      </c>
      <c r="B60" s="41" t="s">
        <v>451</v>
      </c>
      <c r="C60" s="42" t="s">
        <v>452</v>
      </c>
      <c r="D60" s="44" t="s">
        <v>454</v>
      </c>
      <c r="E60" s="42" t="s">
        <v>433</v>
      </c>
      <c r="F60" s="42" t="s">
        <v>3333</v>
      </c>
      <c r="G60" s="44" t="s">
        <v>3334</v>
      </c>
      <c r="H60" s="41" t="s">
        <v>3233</v>
      </c>
      <c r="I60" s="42" t="s">
        <v>3234</v>
      </c>
      <c r="J60" s="41"/>
    </row>
    <row r="61" customFormat="false" ht="55.2" hidden="false" customHeight="false" outlineLevel="0" collapsed="false">
      <c r="A61" s="41" t="s">
        <v>187</v>
      </c>
      <c r="B61" s="41" t="s">
        <v>451</v>
      </c>
      <c r="C61" s="42" t="s">
        <v>452</v>
      </c>
      <c r="D61" s="44" t="s">
        <v>454</v>
      </c>
      <c r="E61" s="42" t="s">
        <v>3335</v>
      </c>
      <c r="F61" s="42" t="s">
        <v>3297</v>
      </c>
      <c r="G61" s="44" t="s">
        <v>3336</v>
      </c>
      <c r="H61" s="41" t="s">
        <v>3248</v>
      </c>
      <c r="I61" s="42" t="s">
        <v>3337</v>
      </c>
      <c r="J61" s="44" t="s">
        <v>3135</v>
      </c>
    </row>
    <row r="62" customFormat="false" ht="41.75" hidden="false" customHeight="false" outlineLevel="0" collapsed="false">
      <c r="A62" s="41" t="s">
        <v>187</v>
      </c>
      <c r="B62" s="41" t="s">
        <v>459</v>
      </c>
      <c r="C62" s="42" t="s">
        <v>460</v>
      </c>
      <c r="D62" s="44" t="s">
        <v>461</v>
      </c>
      <c r="E62" s="42" t="s">
        <v>247</v>
      </c>
      <c r="F62" s="42" t="s">
        <v>3338</v>
      </c>
      <c r="G62" s="44" t="s">
        <v>2939</v>
      </c>
      <c r="H62" s="41" t="s">
        <v>3215</v>
      </c>
      <c r="I62" s="42" t="s">
        <v>3216</v>
      </c>
      <c r="J62" s="41"/>
    </row>
    <row r="63" customFormat="false" ht="41.75" hidden="false" customHeight="false" outlineLevel="0" collapsed="false">
      <c r="A63" s="41" t="s">
        <v>187</v>
      </c>
      <c r="B63" s="41" t="s">
        <v>266</v>
      </c>
      <c r="C63" s="42" t="s">
        <v>267</v>
      </c>
      <c r="D63" s="44" t="s">
        <v>268</v>
      </c>
      <c r="E63" s="42" t="s">
        <v>247</v>
      </c>
      <c r="F63" s="42" t="s">
        <v>3339</v>
      </c>
      <c r="G63" s="44" t="s">
        <v>3340</v>
      </c>
      <c r="H63" s="41" t="s">
        <v>3215</v>
      </c>
      <c r="I63" s="42" t="s">
        <v>3216</v>
      </c>
      <c r="J63" s="41"/>
    </row>
    <row r="64" customFormat="false" ht="41.75" hidden="false" customHeight="false" outlineLevel="0" collapsed="false">
      <c r="A64" s="41" t="s">
        <v>187</v>
      </c>
      <c r="B64" s="41" t="s">
        <v>465</v>
      </c>
      <c r="C64" s="42" t="s">
        <v>466</v>
      </c>
      <c r="D64" s="44" t="s">
        <v>467</v>
      </c>
      <c r="E64" s="42" t="s">
        <v>247</v>
      </c>
      <c r="F64" s="42" t="s">
        <v>3341</v>
      </c>
      <c r="G64" s="44" t="s">
        <v>3342</v>
      </c>
      <c r="H64" s="41" t="s">
        <v>3215</v>
      </c>
      <c r="I64" s="42" t="s">
        <v>3216</v>
      </c>
      <c r="J64" s="41"/>
    </row>
    <row r="65" customFormat="false" ht="41.75" hidden="false" customHeight="false" outlineLevel="0" collapsed="false">
      <c r="A65" s="41" t="s">
        <v>187</v>
      </c>
      <c r="B65" s="41" t="s">
        <v>469</v>
      </c>
      <c r="C65" s="42" t="s">
        <v>470</v>
      </c>
      <c r="D65" s="44" t="s">
        <v>471</v>
      </c>
      <c r="E65" s="42" t="s">
        <v>474</v>
      </c>
      <c r="F65" s="42" t="s">
        <v>3235</v>
      </c>
      <c r="G65" s="44" t="s">
        <v>3135</v>
      </c>
      <c r="H65" s="41" t="s">
        <v>3219</v>
      </c>
      <c r="I65" s="42" t="s">
        <v>3343</v>
      </c>
      <c r="J65" s="41"/>
    </row>
    <row r="66" customFormat="false" ht="28.35" hidden="false" customHeight="false" outlineLevel="0" collapsed="false">
      <c r="A66" s="41" t="s">
        <v>187</v>
      </c>
      <c r="B66" s="41" t="s">
        <v>475</v>
      </c>
      <c r="C66" s="42" t="s">
        <v>476</v>
      </c>
      <c r="D66" s="44" t="s">
        <v>477</v>
      </c>
      <c r="E66" s="42" t="s">
        <v>247</v>
      </c>
      <c r="F66" s="42" t="s">
        <v>3344</v>
      </c>
      <c r="G66" s="44" t="s">
        <v>3345</v>
      </c>
      <c r="H66" s="41" t="s">
        <v>3215</v>
      </c>
      <c r="I66" s="42" t="s">
        <v>3216</v>
      </c>
      <c r="J66" s="41"/>
    </row>
    <row r="67" customFormat="false" ht="28.35" hidden="false" customHeight="false" outlineLevel="0" collapsed="false">
      <c r="A67" s="41" t="s">
        <v>187</v>
      </c>
      <c r="B67" s="41" t="s">
        <v>480</v>
      </c>
      <c r="C67" s="42" t="s">
        <v>481</v>
      </c>
      <c r="D67" s="44" t="s">
        <v>483</v>
      </c>
      <c r="E67" s="42" t="s">
        <v>247</v>
      </c>
      <c r="F67" s="42" t="s">
        <v>3346</v>
      </c>
      <c r="G67" s="44" t="s">
        <v>3347</v>
      </c>
      <c r="H67" s="41" t="s">
        <v>3215</v>
      </c>
      <c r="I67" s="42" t="s">
        <v>3216</v>
      </c>
      <c r="J67" s="41"/>
    </row>
    <row r="68" customFormat="false" ht="28.35" hidden="false" customHeight="false" outlineLevel="0" collapsed="false">
      <c r="A68" s="41" t="s">
        <v>187</v>
      </c>
      <c r="B68" s="41" t="s">
        <v>480</v>
      </c>
      <c r="C68" s="42" t="s">
        <v>481</v>
      </c>
      <c r="D68" s="44" t="s">
        <v>483</v>
      </c>
      <c r="E68" s="42" t="s">
        <v>433</v>
      </c>
      <c r="F68" s="42" t="s">
        <v>3348</v>
      </c>
      <c r="G68" s="44" t="s">
        <v>3349</v>
      </c>
      <c r="H68" s="41" t="s">
        <v>3233</v>
      </c>
      <c r="I68" s="42" t="s">
        <v>3234</v>
      </c>
      <c r="J68" s="41"/>
    </row>
    <row r="69" customFormat="false" ht="28.35" hidden="false" customHeight="false" outlineLevel="0" collapsed="false">
      <c r="A69" s="41" t="s">
        <v>187</v>
      </c>
      <c r="B69" s="41" t="s">
        <v>487</v>
      </c>
      <c r="C69" s="42" t="s">
        <v>488</v>
      </c>
      <c r="D69" s="44" t="s">
        <v>490</v>
      </c>
      <c r="E69" s="42" t="s">
        <v>3239</v>
      </c>
      <c r="F69" s="42" t="s">
        <v>3350</v>
      </c>
      <c r="G69" s="44" t="s">
        <v>1669</v>
      </c>
      <c r="H69" s="41" t="s">
        <v>3351</v>
      </c>
      <c r="I69" s="42" t="s">
        <v>3352</v>
      </c>
      <c r="J69" s="41"/>
    </row>
    <row r="70" customFormat="false" ht="41.75" hidden="false" customHeight="false" outlineLevel="0" collapsed="false">
      <c r="A70" s="41" t="s">
        <v>187</v>
      </c>
      <c r="B70" s="41" t="s">
        <v>487</v>
      </c>
      <c r="C70" s="42" t="s">
        <v>488</v>
      </c>
      <c r="D70" s="44" t="s">
        <v>490</v>
      </c>
      <c r="E70" s="42" t="s">
        <v>881</v>
      </c>
      <c r="F70" s="42" t="s">
        <v>3353</v>
      </c>
      <c r="G70" s="44" t="s">
        <v>3135</v>
      </c>
      <c r="H70" s="41" t="s">
        <v>3219</v>
      </c>
      <c r="I70" s="42" t="s">
        <v>3354</v>
      </c>
      <c r="J70" s="41"/>
    </row>
    <row r="71" customFormat="false" ht="28.35" hidden="false" customHeight="false" outlineLevel="0" collapsed="false">
      <c r="A71" s="41" t="s">
        <v>187</v>
      </c>
      <c r="B71" s="41" t="s">
        <v>487</v>
      </c>
      <c r="C71" s="42" t="s">
        <v>488</v>
      </c>
      <c r="D71" s="44" t="s">
        <v>490</v>
      </c>
      <c r="E71" s="42" t="s">
        <v>433</v>
      </c>
      <c r="F71" s="42" t="s">
        <v>3355</v>
      </c>
      <c r="G71" s="44" t="s">
        <v>3356</v>
      </c>
      <c r="H71" s="41" t="s">
        <v>3233</v>
      </c>
      <c r="I71" s="42" t="s">
        <v>3234</v>
      </c>
      <c r="J71" s="41"/>
    </row>
    <row r="72" customFormat="false" ht="55.2" hidden="false" customHeight="false" outlineLevel="0" collapsed="false">
      <c r="A72" s="41" t="s">
        <v>187</v>
      </c>
      <c r="B72" s="41" t="s">
        <v>487</v>
      </c>
      <c r="C72" s="42" t="s">
        <v>488</v>
      </c>
      <c r="D72" s="44" t="s">
        <v>490</v>
      </c>
      <c r="E72" s="42" t="s">
        <v>3357</v>
      </c>
      <c r="F72" s="42" t="s">
        <v>3353</v>
      </c>
      <c r="G72" s="44" t="s">
        <v>3135</v>
      </c>
      <c r="H72" s="41" t="s">
        <v>3219</v>
      </c>
      <c r="I72" s="42" t="s">
        <v>3358</v>
      </c>
      <c r="J72" s="41"/>
    </row>
    <row r="73" customFormat="false" ht="28.35" hidden="false" customHeight="false" outlineLevel="0" collapsed="false">
      <c r="A73" s="41" t="s">
        <v>187</v>
      </c>
      <c r="B73" s="41" t="s">
        <v>495</v>
      </c>
      <c r="C73" s="42" t="s">
        <v>476</v>
      </c>
      <c r="D73" s="44" t="s">
        <v>496</v>
      </c>
      <c r="E73" s="42" t="s">
        <v>247</v>
      </c>
      <c r="F73" s="42" t="s">
        <v>3359</v>
      </c>
      <c r="G73" s="44" t="s">
        <v>2977</v>
      </c>
      <c r="H73" s="41" t="s">
        <v>3215</v>
      </c>
      <c r="I73" s="42" t="s">
        <v>3216</v>
      </c>
      <c r="J73" s="41"/>
    </row>
    <row r="74" customFormat="false" ht="28.35" hidden="false" customHeight="false" outlineLevel="0" collapsed="false">
      <c r="A74" s="41" t="s">
        <v>187</v>
      </c>
      <c r="B74" s="41" t="s">
        <v>498</v>
      </c>
      <c r="C74" s="42" t="s">
        <v>499</v>
      </c>
      <c r="D74" s="44" t="s">
        <v>500</v>
      </c>
      <c r="E74" s="42" t="s">
        <v>247</v>
      </c>
      <c r="F74" s="42" t="s">
        <v>3360</v>
      </c>
      <c r="G74" s="44" t="s">
        <v>3361</v>
      </c>
      <c r="H74" s="41" t="s">
        <v>3215</v>
      </c>
      <c r="I74" s="42" t="s">
        <v>3216</v>
      </c>
      <c r="J74" s="41"/>
    </row>
    <row r="75" customFormat="false" ht="41.75" hidden="false" customHeight="false" outlineLevel="0" collapsed="false">
      <c r="A75" s="41" t="s">
        <v>187</v>
      </c>
      <c r="B75" s="41" t="s">
        <v>503</v>
      </c>
      <c r="C75" s="42" t="s">
        <v>504</v>
      </c>
      <c r="D75" s="44" t="s">
        <v>506</v>
      </c>
      <c r="E75" s="42" t="s">
        <v>3239</v>
      </c>
      <c r="F75" s="42" t="s">
        <v>3362</v>
      </c>
      <c r="G75" s="44" t="s">
        <v>1666</v>
      </c>
      <c r="H75" s="41" t="s">
        <v>3351</v>
      </c>
      <c r="I75" s="42" t="s">
        <v>3352</v>
      </c>
      <c r="J75" s="41"/>
    </row>
    <row r="76" customFormat="false" ht="41.75" hidden="false" customHeight="false" outlineLevel="0" collapsed="false">
      <c r="A76" s="41" t="s">
        <v>187</v>
      </c>
      <c r="B76" s="41" t="s">
        <v>503</v>
      </c>
      <c r="C76" s="42" t="s">
        <v>504</v>
      </c>
      <c r="D76" s="44" t="s">
        <v>506</v>
      </c>
      <c r="E76" s="42" t="s">
        <v>881</v>
      </c>
      <c r="F76" s="42" t="s">
        <v>3244</v>
      </c>
      <c r="G76" s="44" t="s">
        <v>3135</v>
      </c>
      <c r="H76" s="41" t="s">
        <v>3219</v>
      </c>
      <c r="I76" s="42" t="s">
        <v>3363</v>
      </c>
      <c r="J76" s="41"/>
    </row>
    <row r="77" customFormat="false" ht="41.75" hidden="false" customHeight="false" outlineLevel="0" collapsed="false">
      <c r="A77" s="41" t="s">
        <v>187</v>
      </c>
      <c r="B77" s="41" t="s">
        <v>503</v>
      </c>
      <c r="C77" s="42" t="s">
        <v>504</v>
      </c>
      <c r="D77" s="44" t="s">
        <v>506</v>
      </c>
      <c r="E77" s="42" t="s">
        <v>433</v>
      </c>
      <c r="F77" s="42" t="s">
        <v>3364</v>
      </c>
      <c r="G77" s="44" t="s">
        <v>3365</v>
      </c>
      <c r="H77" s="41" t="s">
        <v>3233</v>
      </c>
      <c r="I77" s="42" t="s">
        <v>3234</v>
      </c>
      <c r="J77" s="41"/>
    </row>
    <row r="78" customFormat="false" ht="55.2" hidden="false" customHeight="false" outlineLevel="0" collapsed="false">
      <c r="A78" s="41" t="s">
        <v>187</v>
      </c>
      <c r="B78" s="41" t="s">
        <v>503</v>
      </c>
      <c r="C78" s="42" t="s">
        <v>504</v>
      </c>
      <c r="D78" s="44" t="s">
        <v>506</v>
      </c>
      <c r="E78" s="42" t="s">
        <v>3246</v>
      </c>
      <c r="F78" s="42" t="s">
        <v>3244</v>
      </c>
      <c r="G78" s="44" t="s">
        <v>3366</v>
      </c>
      <c r="H78" s="41" t="s">
        <v>3248</v>
      </c>
      <c r="I78" s="42" t="s">
        <v>3367</v>
      </c>
      <c r="J78" s="44" t="s">
        <v>3135</v>
      </c>
    </row>
    <row r="79" customFormat="false" ht="28.35" hidden="false" customHeight="false" outlineLevel="0" collapsed="false">
      <c r="A79" s="41" t="s">
        <v>187</v>
      </c>
      <c r="B79" s="41" t="s">
        <v>510</v>
      </c>
      <c r="C79" s="42" t="s">
        <v>511</v>
      </c>
      <c r="D79" s="44" t="s">
        <v>513</v>
      </c>
      <c r="E79" s="42" t="s">
        <v>247</v>
      </c>
      <c r="F79" s="42" t="s">
        <v>3368</v>
      </c>
      <c r="G79" s="44" t="s">
        <v>3369</v>
      </c>
      <c r="H79" s="41" t="s">
        <v>3215</v>
      </c>
      <c r="I79" s="42" t="s">
        <v>3216</v>
      </c>
      <c r="J79" s="41"/>
    </row>
    <row r="80" customFormat="false" ht="28.35" hidden="false" customHeight="false" outlineLevel="0" collapsed="false">
      <c r="A80" s="41" t="s">
        <v>187</v>
      </c>
      <c r="B80" s="41" t="s">
        <v>510</v>
      </c>
      <c r="C80" s="42" t="s">
        <v>511</v>
      </c>
      <c r="D80" s="44" t="s">
        <v>513</v>
      </c>
      <c r="E80" s="42" t="s">
        <v>3239</v>
      </c>
      <c r="F80" s="42" t="s">
        <v>3370</v>
      </c>
      <c r="G80" s="44" t="s">
        <v>3371</v>
      </c>
      <c r="H80" s="41" t="s">
        <v>3242</v>
      </c>
      <c r="I80" s="42" t="s">
        <v>3243</v>
      </c>
      <c r="J80" s="41"/>
    </row>
    <row r="81" customFormat="false" ht="41.75" hidden="false" customHeight="false" outlineLevel="0" collapsed="false">
      <c r="A81" s="41" t="s">
        <v>187</v>
      </c>
      <c r="B81" s="41" t="s">
        <v>510</v>
      </c>
      <c r="C81" s="42" t="s">
        <v>511</v>
      </c>
      <c r="D81" s="44" t="s">
        <v>513</v>
      </c>
      <c r="E81" s="42" t="s">
        <v>881</v>
      </c>
      <c r="F81" s="42" t="s">
        <v>3244</v>
      </c>
      <c r="G81" s="44" t="s">
        <v>3135</v>
      </c>
      <c r="H81" s="41" t="s">
        <v>3219</v>
      </c>
      <c r="I81" s="42" t="s">
        <v>3372</v>
      </c>
      <c r="J81" s="41"/>
    </row>
    <row r="82" customFormat="false" ht="28.35" hidden="false" customHeight="false" outlineLevel="0" collapsed="false">
      <c r="A82" s="41" t="s">
        <v>187</v>
      </c>
      <c r="B82" s="41" t="s">
        <v>510</v>
      </c>
      <c r="C82" s="42" t="s">
        <v>511</v>
      </c>
      <c r="D82" s="44" t="s">
        <v>513</v>
      </c>
      <c r="E82" s="42" t="s">
        <v>433</v>
      </c>
      <c r="F82" s="42" t="s">
        <v>3373</v>
      </c>
      <c r="G82" s="44" t="s">
        <v>3374</v>
      </c>
      <c r="H82" s="41" t="s">
        <v>3233</v>
      </c>
      <c r="I82" s="42" t="s">
        <v>3234</v>
      </c>
      <c r="J82" s="41"/>
    </row>
    <row r="83" customFormat="false" ht="55.2" hidden="false" customHeight="false" outlineLevel="0" collapsed="false">
      <c r="A83" s="41" t="s">
        <v>187</v>
      </c>
      <c r="B83" s="41" t="s">
        <v>510</v>
      </c>
      <c r="C83" s="42" t="s">
        <v>511</v>
      </c>
      <c r="D83" s="44" t="s">
        <v>513</v>
      </c>
      <c r="E83" s="42" t="s">
        <v>361</v>
      </c>
      <c r="F83" s="42" t="s">
        <v>3244</v>
      </c>
      <c r="G83" s="44" t="s">
        <v>3375</v>
      </c>
      <c r="H83" s="41" t="s">
        <v>3248</v>
      </c>
      <c r="I83" s="42" t="s">
        <v>3376</v>
      </c>
      <c r="J83" s="44" t="s">
        <v>3135</v>
      </c>
    </row>
    <row r="84" customFormat="false" ht="28.35" hidden="false" customHeight="false" outlineLevel="0" collapsed="false">
      <c r="A84" s="41" t="s">
        <v>187</v>
      </c>
      <c r="B84" s="41" t="s">
        <v>510</v>
      </c>
      <c r="C84" s="42" t="s">
        <v>511</v>
      </c>
      <c r="D84" s="44" t="s">
        <v>513</v>
      </c>
      <c r="E84" s="42" t="s">
        <v>583</v>
      </c>
      <c r="F84" s="42" t="s">
        <v>3377</v>
      </c>
      <c r="G84" s="44" t="s">
        <v>3378</v>
      </c>
      <c r="H84" s="41" t="s">
        <v>3252</v>
      </c>
      <c r="I84" s="42" t="s">
        <v>3253</v>
      </c>
      <c r="J84" s="41"/>
    </row>
    <row r="85" customFormat="false" ht="28.35" hidden="false" customHeight="false" outlineLevel="0" collapsed="false">
      <c r="A85" s="41" t="s">
        <v>187</v>
      </c>
      <c r="B85" s="41" t="s">
        <v>517</v>
      </c>
      <c r="C85" s="42" t="s">
        <v>518</v>
      </c>
      <c r="D85" s="44" t="s">
        <v>519</v>
      </c>
      <c r="E85" s="42" t="s">
        <v>247</v>
      </c>
      <c r="F85" s="42" t="s">
        <v>3379</v>
      </c>
      <c r="G85" s="44" t="s">
        <v>3013</v>
      </c>
      <c r="H85" s="41" t="s">
        <v>3215</v>
      </c>
      <c r="I85" s="42" t="s">
        <v>3216</v>
      </c>
      <c r="J85" s="41"/>
    </row>
    <row r="86" customFormat="false" ht="28.35" hidden="false" customHeight="false" outlineLevel="0" collapsed="false">
      <c r="A86" s="41" t="s">
        <v>187</v>
      </c>
      <c r="B86" s="41" t="s">
        <v>521</v>
      </c>
      <c r="C86" s="42" t="s">
        <v>522</v>
      </c>
      <c r="D86" s="44" t="s">
        <v>523</v>
      </c>
      <c r="E86" s="42" t="s">
        <v>247</v>
      </c>
      <c r="F86" s="42" t="s">
        <v>3380</v>
      </c>
      <c r="G86" s="44" t="s">
        <v>3381</v>
      </c>
      <c r="H86" s="41" t="s">
        <v>3215</v>
      </c>
      <c r="I86" s="42" t="s">
        <v>3216</v>
      </c>
      <c r="J86" s="41"/>
    </row>
    <row r="87" customFormat="false" ht="41.75" hidden="false" customHeight="false" outlineLevel="0" collapsed="false">
      <c r="A87" s="41" t="s">
        <v>187</v>
      </c>
      <c r="B87" s="41" t="s">
        <v>525</v>
      </c>
      <c r="C87" s="42" t="s">
        <v>526</v>
      </c>
      <c r="D87" s="44" t="s">
        <v>528</v>
      </c>
      <c r="E87" s="42" t="s">
        <v>531</v>
      </c>
      <c r="F87" s="42" t="s">
        <v>3382</v>
      </c>
      <c r="G87" s="44" t="s">
        <v>3135</v>
      </c>
      <c r="H87" s="41" t="s">
        <v>3219</v>
      </c>
      <c r="I87" s="42" t="s">
        <v>3383</v>
      </c>
      <c r="J87" s="41"/>
    </row>
    <row r="88" customFormat="false" ht="28.35" hidden="false" customHeight="false" outlineLevel="0" collapsed="false">
      <c r="A88" s="41" t="s">
        <v>187</v>
      </c>
      <c r="B88" s="41" t="s">
        <v>532</v>
      </c>
      <c r="C88" s="42" t="s">
        <v>533</v>
      </c>
      <c r="D88" s="44" t="s">
        <v>534</v>
      </c>
      <c r="E88" s="42" t="s">
        <v>247</v>
      </c>
      <c r="F88" s="42" t="s">
        <v>3384</v>
      </c>
      <c r="G88" s="44" t="s">
        <v>3385</v>
      </c>
      <c r="H88" s="41" t="s">
        <v>3215</v>
      </c>
      <c r="I88" s="42" t="s">
        <v>3216</v>
      </c>
      <c r="J88" s="41"/>
    </row>
    <row r="89" customFormat="false" ht="28.35" hidden="false" customHeight="false" outlineLevel="0" collapsed="false">
      <c r="A89" s="41" t="s">
        <v>187</v>
      </c>
      <c r="B89" s="41" t="s">
        <v>537</v>
      </c>
      <c r="C89" s="42" t="s">
        <v>538</v>
      </c>
      <c r="D89" s="44" t="s">
        <v>539</v>
      </c>
      <c r="E89" s="42" t="s">
        <v>247</v>
      </c>
      <c r="F89" s="42" t="s">
        <v>3386</v>
      </c>
      <c r="G89" s="44" t="s">
        <v>3036</v>
      </c>
      <c r="H89" s="41" t="s">
        <v>3215</v>
      </c>
      <c r="I89" s="42" t="s">
        <v>3216</v>
      </c>
      <c r="J89" s="41"/>
    </row>
    <row r="90" customFormat="false" ht="28.35" hidden="false" customHeight="false" outlineLevel="0" collapsed="false">
      <c r="A90" s="41" t="s">
        <v>187</v>
      </c>
      <c r="B90" s="41" t="s">
        <v>542</v>
      </c>
      <c r="C90" s="42" t="s">
        <v>543</v>
      </c>
      <c r="D90" s="44" t="s">
        <v>544</v>
      </c>
      <c r="E90" s="42" t="s">
        <v>247</v>
      </c>
      <c r="F90" s="42" t="s">
        <v>3387</v>
      </c>
      <c r="G90" s="44" t="s">
        <v>3388</v>
      </c>
      <c r="H90" s="41" t="s">
        <v>3215</v>
      </c>
      <c r="I90" s="42" t="s">
        <v>3216</v>
      </c>
      <c r="J90" s="41"/>
    </row>
    <row r="91" customFormat="false" ht="28.35" hidden="false" customHeight="false" outlineLevel="0" collapsed="false">
      <c r="A91" s="41" t="s">
        <v>187</v>
      </c>
      <c r="B91" s="41" t="s">
        <v>546</v>
      </c>
      <c r="C91" s="42" t="s">
        <v>547</v>
      </c>
      <c r="D91" s="44" t="s">
        <v>548</v>
      </c>
      <c r="E91" s="42" t="s">
        <v>247</v>
      </c>
      <c r="F91" s="42" t="s">
        <v>3389</v>
      </c>
      <c r="G91" s="44" t="s">
        <v>3060</v>
      </c>
      <c r="H91" s="41" t="s">
        <v>3215</v>
      </c>
      <c r="I91" s="42" t="s">
        <v>3216</v>
      </c>
      <c r="J91" s="41"/>
    </row>
    <row r="92" customFormat="false" ht="28.35" hidden="false" customHeight="false" outlineLevel="0" collapsed="false">
      <c r="A92" s="41" t="s">
        <v>187</v>
      </c>
      <c r="B92" s="41" t="s">
        <v>550</v>
      </c>
      <c r="C92" s="42" t="s">
        <v>551</v>
      </c>
      <c r="D92" s="44" t="s">
        <v>553</v>
      </c>
      <c r="E92" s="42" t="s">
        <v>247</v>
      </c>
      <c r="F92" s="42" t="s">
        <v>3390</v>
      </c>
      <c r="G92" s="44" t="s">
        <v>3070</v>
      </c>
      <c r="H92" s="41" t="s">
        <v>3215</v>
      </c>
      <c r="I92" s="42" t="s">
        <v>3216</v>
      </c>
      <c r="J92" s="41"/>
    </row>
    <row r="93" customFormat="false" ht="41.75" hidden="false" customHeight="false" outlineLevel="0" collapsed="false">
      <c r="A93" s="41" t="s">
        <v>187</v>
      </c>
      <c r="B93" s="41" t="s">
        <v>550</v>
      </c>
      <c r="C93" s="42" t="s">
        <v>551</v>
      </c>
      <c r="D93" s="44" t="s">
        <v>553</v>
      </c>
      <c r="E93" s="42" t="s">
        <v>881</v>
      </c>
      <c r="F93" s="42" t="s">
        <v>3244</v>
      </c>
      <c r="G93" s="44" t="s">
        <v>3135</v>
      </c>
      <c r="H93" s="41" t="s">
        <v>3219</v>
      </c>
      <c r="I93" s="42" t="s">
        <v>3391</v>
      </c>
      <c r="J93" s="41"/>
    </row>
    <row r="94" customFormat="false" ht="41.75" hidden="false" customHeight="false" outlineLevel="0" collapsed="false">
      <c r="A94" s="41" t="s">
        <v>187</v>
      </c>
      <c r="B94" s="41" t="s">
        <v>550</v>
      </c>
      <c r="C94" s="42" t="s">
        <v>551</v>
      </c>
      <c r="D94" s="44" t="s">
        <v>553</v>
      </c>
      <c r="E94" s="42" t="s">
        <v>3392</v>
      </c>
      <c r="F94" s="42" t="s">
        <v>3244</v>
      </c>
      <c r="G94" s="44" t="s">
        <v>3135</v>
      </c>
      <c r="H94" s="41" t="s">
        <v>3219</v>
      </c>
      <c r="I94" s="42" t="s">
        <v>3393</v>
      </c>
      <c r="J94" s="41"/>
    </row>
    <row r="95" customFormat="false" ht="41.75" hidden="false" customHeight="false" outlineLevel="0" collapsed="false">
      <c r="A95" s="41" t="s">
        <v>187</v>
      </c>
      <c r="B95" s="41" t="s">
        <v>557</v>
      </c>
      <c r="C95" s="42" t="s">
        <v>558</v>
      </c>
      <c r="D95" s="44" t="s">
        <v>560</v>
      </c>
      <c r="E95" s="42" t="s">
        <v>881</v>
      </c>
      <c r="F95" s="42" t="s">
        <v>3244</v>
      </c>
      <c r="G95" s="44" t="s">
        <v>3135</v>
      </c>
      <c r="H95" s="41" t="s">
        <v>3219</v>
      </c>
      <c r="I95" s="42" t="s">
        <v>3394</v>
      </c>
      <c r="J95" s="41"/>
    </row>
    <row r="96" customFormat="false" ht="41.75" hidden="false" customHeight="false" outlineLevel="0" collapsed="false">
      <c r="A96" s="41" t="s">
        <v>187</v>
      </c>
      <c r="B96" s="41" t="s">
        <v>557</v>
      </c>
      <c r="C96" s="42" t="s">
        <v>558</v>
      </c>
      <c r="D96" s="44" t="s">
        <v>560</v>
      </c>
      <c r="E96" s="42" t="s">
        <v>433</v>
      </c>
      <c r="F96" s="42" t="s">
        <v>3395</v>
      </c>
      <c r="G96" s="44" t="s">
        <v>3396</v>
      </c>
      <c r="H96" s="41" t="s">
        <v>3233</v>
      </c>
      <c r="I96" s="42" t="s">
        <v>3234</v>
      </c>
      <c r="J96" s="41"/>
    </row>
    <row r="97" customFormat="false" ht="55.2" hidden="false" customHeight="false" outlineLevel="0" collapsed="false">
      <c r="A97" s="41" t="s">
        <v>187</v>
      </c>
      <c r="B97" s="41" t="s">
        <v>557</v>
      </c>
      <c r="C97" s="42" t="s">
        <v>558</v>
      </c>
      <c r="D97" s="44" t="s">
        <v>560</v>
      </c>
      <c r="E97" s="42" t="s">
        <v>3397</v>
      </c>
      <c r="F97" s="42" t="s">
        <v>3244</v>
      </c>
      <c r="G97" s="44" t="s">
        <v>3398</v>
      </c>
      <c r="H97" s="41" t="s">
        <v>3248</v>
      </c>
      <c r="I97" s="42" t="s">
        <v>3399</v>
      </c>
      <c r="J97" s="44" t="s">
        <v>3135</v>
      </c>
    </row>
    <row r="98" customFormat="false" ht="41.75" hidden="false" customHeight="false" outlineLevel="0" collapsed="false">
      <c r="A98" s="41" t="s">
        <v>187</v>
      </c>
      <c r="B98" s="41" t="s">
        <v>275</v>
      </c>
      <c r="C98" s="42" t="s">
        <v>276</v>
      </c>
      <c r="D98" s="44" t="s">
        <v>279</v>
      </c>
      <c r="E98" s="42" t="s">
        <v>247</v>
      </c>
      <c r="F98" s="42" t="s">
        <v>3400</v>
      </c>
      <c r="G98" s="44" t="s">
        <v>3230</v>
      </c>
      <c r="H98" s="41" t="s">
        <v>3215</v>
      </c>
      <c r="I98" s="42" t="s">
        <v>3216</v>
      </c>
      <c r="J98" s="41"/>
    </row>
    <row r="99" customFormat="false" ht="28.35" hidden="false" customHeight="false" outlineLevel="0" collapsed="false">
      <c r="A99" s="41" t="s">
        <v>187</v>
      </c>
      <c r="B99" s="41" t="s">
        <v>563</v>
      </c>
      <c r="C99" s="42" t="s">
        <v>564</v>
      </c>
      <c r="D99" s="44" t="s">
        <v>565</v>
      </c>
      <c r="E99" s="42" t="s">
        <v>247</v>
      </c>
      <c r="F99" s="42" t="s">
        <v>3401</v>
      </c>
      <c r="G99" s="44" t="s">
        <v>3402</v>
      </c>
      <c r="H99" s="41" t="s">
        <v>3215</v>
      </c>
      <c r="I99" s="42" t="s">
        <v>3216</v>
      </c>
      <c r="J99" s="41"/>
    </row>
    <row r="100" customFormat="false" ht="28.35" hidden="false" customHeight="false" outlineLevel="0" collapsed="false">
      <c r="A100" s="41" t="s">
        <v>187</v>
      </c>
      <c r="B100" s="41" t="s">
        <v>568</v>
      </c>
      <c r="C100" s="42" t="s">
        <v>569</v>
      </c>
      <c r="D100" s="44" t="s">
        <v>570</v>
      </c>
      <c r="E100" s="42" t="s">
        <v>247</v>
      </c>
      <c r="F100" s="42" t="s">
        <v>3403</v>
      </c>
      <c r="G100" s="44" t="s">
        <v>3090</v>
      </c>
      <c r="H100" s="41" t="s">
        <v>3215</v>
      </c>
      <c r="I100" s="42" t="s">
        <v>3216</v>
      </c>
      <c r="J100" s="41"/>
    </row>
    <row r="101" customFormat="false" ht="55.2" hidden="false" customHeight="false" outlineLevel="0" collapsed="false">
      <c r="A101" s="41" t="s">
        <v>187</v>
      </c>
      <c r="B101" s="41" t="s">
        <v>573</v>
      </c>
      <c r="C101" s="42" t="s">
        <v>574</v>
      </c>
      <c r="D101" s="44" t="s">
        <v>576</v>
      </c>
      <c r="E101" s="42" t="s">
        <v>579</v>
      </c>
      <c r="F101" s="42" t="s">
        <v>3404</v>
      </c>
      <c r="G101" s="44" t="s">
        <v>3405</v>
      </c>
      <c r="H101" s="41" t="s">
        <v>3248</v>
      </c>
      <c r="I101" s="42" t="s">
        <v>3406</v>
      </c>
      <c r="J101" s="44" t="s">
        <v>3135</v>
      </c>
    </row>
    <row r="102" customFormat="false" ht="28.35" hidden="false" customHeight="false" outlineLevel="0" collapsed="false">
      <c r="A102" s="41" t="s">
        <v>188</v>
      </c>
      <c r="B102" s="41" t="s">
        <v>296</v>
      </c>
      <c r="C102" s="42" t="s">
        <v>297</v>
      </c>
      <c r="D102" s="44" t="s">
        <v>300</v>
      </c>
      <c r="E102" s="42" t="s">
        <v>583</v>
      </c>
      <c r="F102" s="42" t="s">
        <v>3407</v>
      </c>
      <c r="G102" s="44" t="s">
        <v>3408</v>
      </c>
      <c r="H102" s="41" t="s">
        <v>3252</v>
      </c>
      <c r="I102" s="42" t="s">
        <v>3253</v>
      </c>
      <c r="J102" s="41"/>
    </row>
    <row r="103" customFormat="false" ht="28.35" hidden="false" customHeight="false" outlineLevel="0" collapsed="false">
      <c r="A103" s="41" t="s">
        <v>188</v>
      </c>
      <c r="B103" s="41" t="s">
        <v>584</v>
      </c>
      <c r="C103" s="42" t="s">
        <v>585</v>
      </c>
      <c r="D103" s="44" t="s">
        <v>586</v>
      </c>
      <c r="E103" s="42" t="s">
        <v>583</v>
      </c>
      <c r="F103" s="42" t="s">
        <v>3409</v>
      </c>
      <c r="G103" s="44" t="s">
        <v>3410</v>
      </c>
      <c r="H103" s="41" t="s">
        <v>3411</v>
      </c>
      <c r="I103" s="42" t="s">
        <v>3412</v>
      </c>
      <c r="J103" s="41"/>
    </row>
    <row r="104" customFormat="false" ht="28.35" hidden="false" customHeight="false" outlineLevel="0" collapsed="false">
      <c r="A104" s="41" t="s">
        <v>188</v>
      </c>
      <c r="B104" s="41" t="s">
        <v>584</v>
      </c>
      <c r="C104" s="42" t="s">
        <v>585</v>
      </c>
      <c r="D104" s="44" t="s">
        <v>586</v>
      </c>
      <c r="E104" s="42" t="s">
        <v>328</v>
      </c>
      <c r="F104" s="42" t="s">
        <v>3413</v>
      </c>
      <c r="G104" s="44" t="s">
        <v>3414</v>
      </c>
      <c r="H104" s="41" t="s">
        <v>3272</v>
      </c>
      <c r="I104" s="42" t="s">
        <v>3273</v>
      </c>
      <c r="J104" s="41"/>
    </row>
    <row r="105" customFormat="false" ht="28.35" hidden="false" customHeight="false" outlineLevel="0" collapsed="false">
      <c r="A105" s="41" t="s">
        <v>188</v>
      </c>
      <c r="B105" s="41" t="s">
        <v>305</v>
      </c>
      <c r="C105" s="42" t="s">
        <v>306</v>
      </c>
      <c r="D105" s="44" t="s">
        <v>308</v>
      </c>
      <c r="E105" s="42" t="s">
        <v>328</v>
      </c>
      <c r="F105" s="42" t="s">
        <v>3415</v>
      </c>
      <c r="G105" s="44" t="s">
        <v>3416</v>
      </c>
      <c r="H105" s="41" t="s">
        <v>3272</v>
      </c>
      <c r="I105" s="42" t="s">
        <v>3273</v>
      </c>
      <c r="J105" s="41"/>
    </row>
    <row r="106" customFormat="false" ht="28.35" hidden="false" customHeight="false" outlineLevel="0" collapsed="false">
      <c r="A106" s="41" t="s">
        <v>188</v>
      </c>
      <c r="B106" s="41" t="s">
        <v>322</v>
      </c>
      <c r="C106" s="42" t="s">
        <v>323</v>
      </c>
      <c r="D106" s="44" t="s">
        <v>325</v>
      </c>
      <c r="E106" s="42" t="s">
        <v>328</v>
      </c>
      <c r="F106" s="42" t="s">
        <v>3417</v>
      </c>
      <c r="G106" s="44" t="s">
        <v>1849</v>
      </c>
      <c r="H106" s="41" t="s">
        <v>3418</v>
      </c>
      <c r="I106" s="42" t="s">
        <v>3419</v>
      </c>
      <c r="J106" s="41"/>
    </row>
    <row r="107" customFormat="false" ht="28.35" hidden="false" customHeight="false" outlineLevel="0" collapsed="false">
      <c r="A107" s="41" t="s">
        <v>188</v>
      </c>
      <c r="B107" s="41" t="s">
        <v>356</v>
      </c>
      <c r="C107" s="42" t="s">
        <v>357</v>
      </c>
      <c r="D107" s="44" t="s">
        <v>358</v>
      </c>
      <c r="E107" s="42" t="s">
        <v>3239</v>
      </c>
      <c r="F107" s="42" t="s">
        <v>3420</v>
      </c>
      <c r="G107" s="44" t="s">
        <v>3421</v>
      </c>
      <c r="H107" s="41" t="s">
        <v>3242</v>
      </c>
      <c r="I107" s="42" t="s">
        <v>3243</v>
      </c>
      <c r="J107" s="41"/>
    </row>
    <row r="108" customFormat="false" ht="41.75" hidden="false" customHeight="false" outlineLevel="0" collapsed="false">
      <c r="A108" s="41" t="s">
        <v>188</v>
      </c>
      <c r="B108" s="41" t="s">
        <v>356</v>
      </c>
      <c r="C108" s="42" t="s">
        <v>357</v>
      </c>
      <c r="D108" s="44" t="s">
        <v>358</v>
      </c>
      <c r="E108" s="42" t="s">
        <v>3422</v>
      </c>
      <c r="F108" s="42" t="s">
        <v>3423</v>
      </c>
      <c r="G108" s="44" t="s">
        <v>3135</v>
      </c>
      <c r="H108" s="41" t="s">
        <v>3219</v>
      </c>
      <c r="I108" s="42" t="s">
        <v>3424</v>
      </c>
      <c r="J108" s="41"/>
    </row>
    <row r="109" customFormat="false" ht="28.35" hidden="false" customHeight="false" outlineLevel="0" collapsed="false">
      <c r="A109" s="41" t="s">
        <v>188</v>
      </c>
      <c r="B109" s="41" t="s">
        <v>356</v>
      </c>
      <c r="C109" s="42" t="s">
        <v>357</v>
      </c>
      <c r="D109" s="44" t="s">
        <v>358</v>
      </c>
      <c r="E109" s="42" t="s">
        <v>583</v>
      </c>
      <c r="F109" s="42" t="s">
        <v>3425</v>
      </c>
      <c r="G109" s="44" t="s">
        <v>3426</v>
      </c>
      <c r="H109" s="41" t="s">
        <v>3252</v>
      </c>
      <c r="I109" s="42" t="s">
        <v>3253</v>
      </c>
      <c r="J109" s="41"/>
    </row>
    <row r="110" customFormat="false" ht="28.35" hidden="false" customHeight="false" outlineLevel="0" collapsed="false">
      <c r="A110" s="41" t="s">
        <v>188</v>
      </c>
      <c r="B110" s="41" t="s">
        <v>362</v>
      </c>
      <c r="C110" s="42" t="s">
        <v>363</v>
      </c>
      <c r="D110" s="44" t="s">
        <v>365</v>
      </c>
      <c r="E110" s="42" t="s">
        <v>328</v>
      </c>
      <c r="F110" s="42" t="s">
        <v>3427</v>
      </c>
      <c r="G110" s="44" t="s">
        <v>3428</v>
      </c>
      <c r="H110" s="41" t="s">
        <v>3272</v>
      </c>
      <c r="I110" s="42" t="s">
        <v>3273</v>
      </c>
      <c r="J110" s="41"/>
    </row>
    <row r="111" customFormat="false" ht="41.75" hidden="false" customHeight="false" outlineLevel="0" collapsed="false">
      <c r="A111" s="41" t="s">
        <v>188</v>
      </c>
      <c r="B111" s="41" t="s">
        <v>262</v>
      </c>
      <c r="C111" s="42" t="s">
        <v>263</v>
      </c>
      <c r="D111" s="44" t="s">
        <v>264</v>
      </c>
      <c r="E111" s="42" t="s">
        <v>422</v>
      </c>
      <c r="F111" s="42" t="s">
        <v>3423</v>
      </c>
      <c r="G111" s="44" t="s">
        <v>3135</v>
      </c>
      <c r="H111" s="41" t="s">
        <v>3219</v>
      </c>
      <c r="I111" s="42" t="s">
        <v>3429</v>
      </c>
      <c r="J111" s="41"/>
    </row>
    <row r="112" customFormat="false" ht="28.35" hidden="false" customHeight="false" outlineLevel="0" collapsed="false">
      <c r="A112" s="41" t="s">
        <v>188</v>
      </c>
      <c r="B112" s="41" t="s">
        <v>601</v>
      </c>
      <c r="C112" s="42" t="s">
        <v>602</v>
      </c>
      <c r="D112" s="44" t="s">
        <v>603</v>
      </c>
      <c r="E112" s="42" t="s">
        <v>247</v>
      </c>
      <c r="F112" s="42" t="s">
        <v>3430</v>
      </c>
      <c r="G112" s="44" t="s">
        <v>3431</v>
      </c>
      <c r="H112" s="41" t="s">
        <v>3215</v>
      </c>
      <c r="I112" s="42" t="s">
        <v>3216</v>
      </c>
      <c r="J112" s="41"/>
    </row>
    <row r="113" customFormat="false" ht="41.75" hidden="false" customHeight="false" outlineLevel="0" collapsed="false">
      <c r="A113" s="41" t="s">
        <v>188</v>
      </c>
      <c r="B113" s="41" t="s">
        <v>601</v>
      </c>
      <c r="C113" s="42" t="s">
        <v>602</v>
      </c>
      <c r="D113" s="44" t="s">
        <v>603</v>
      </c>
      <c r="E113" s="42" t="s">
        <v>583</v>
      </c>
      <c r="F113" s="42" t="s">
        <v>3432</v>
      </c>
      <c r="G113" s="44" t="s">
        <v>3433</v>
      </c>
      <c r="H113" s="41" t="s">
        <v>3252</v>
      </c>
      <c r="I113" s="42" t="s">
        <v>3253</v>
      </c>
      <c r="J113" s="41"/>
    </row>
    <row r="114" customFormat="false" ht="41.75" hidden="false" customHeight="false" outlineLevel="0" collapsed="false">
      <c r="A114" s="41" t="s">
        <v>188</v>
      </c>
      <c r="B114" s="41" t="s">
        <v>606</v>
      </c>
      <c r="C114" s="42" t="s">
        <v>607</v>
      </c>
      <c r="D114" s="44" t="s">
        <v>608</v>
      </c>
      <c r="E114" s="42" t="s">
        <v>583</v>
      </c>
      <c r="F114" s="42" t="s">
        <v>3434</v>
      </c>
      <c r="G114" s="44" t="s">
        <v>3435</v>
      </c>
      <c r="H114" s="41" t="s">
        <v>3252</v>
      </c>
      <c r="I114" s="42" t="s">
        <v>3253</v>
      </c>
      <c r="J114" s="41"/>
    </row>
    <row r="115" customFormat="false" ht="28.35" hidden="false" customHeight="false" outlineLevel="0" collapsed="false">
      <c r="A115" s="41" t="s">
        <v>188</v>
      </c>
      <c r="B115" s="41" t="s">
        <v>611</v>
      </c>
      <c r="C115" s="42" t="s">
        <v>612</v>
      </c>
      <c r="D115" s="44" t="s">
        <v>613</v>
      </c>
      <c r="E115" s="42" t="s">
        <v>247</v>
      </c>
      <c r="F115" s="42" t="s">
        <v>3436</v>
      </c>
      <c r="G115" s="44" t="s">
        <v>3437</v>
      </c>
      <c r="H115" s="41" t="s">
        <v>3215</v>
      </c>
      <c r="I115" s="42" t="s">
        <v>3216</v>
      </c>
      <c r="J115" s="41"/>
    </row>
    <row r="116" customFormat="false" ht="28.35" hidden="false" customHeight="false" outlineLevel="0" collapsed="false">
      <c r="A116" s="41" t="s">
        <v>188</v>
      </c>
      <c r="B116" s="41" t="s">
        <v>616</v>
      </c>
      <c r="C116" s="42" t="s">
        <v>617</v>
      </c>
      <c r="D116" s="44" t="s">
        <v>618</v>
      </c>
      <c r="E116" s="42" t="s">
        <v>328</v>
      </c>
      <c r="F116" s="42" t="s">
        <v>3438</v>
      </c>
      <c r="G116" s="44" t="s">
        <v>3439</v>
      </c>
      <c r="H116" s="41" t="s">
        <v>3418</v>
      </c>
      <c r="I116" s="42" t="s">
        <v>3419</v>
      </c>
      <c r="J116" s="41"/>
    </row>
    <row r="117" customFormat="false" ht="41.75" hidden="false" customHeight="false" outlineLevel="0" collapsed="false">
      <c r="A117" s="41" t="s">
        <v>188</v>
      </c>
      <c r="B117" s="41" t="s">
        <v>439</v>
      </c>
      <c r="C117" s="42" t="s">
        <v>440</v>
      </c>
      <c r="D117" s="44" t="s">
        <v>442</v>
      </c>
      <c r="E117" s="42" t="s">
        <v>583</v>
      </c>
      <c r="F117" s="42" t="s">
        <v>3440</v>
      </c>
      <c r="G117" s="44" t="s">
        <v>3441</v>
      </c>
      <c r="H117" s="41" t="s">
        <v>3252</v>
      </c>
      <c r="I117" s="42" t="s">
        <v>3253</v>
      </c>
      <c r="J117" s="41"/>
    </row>
    <row r="118" customFormat="false" ht="41.75" hidden="false" customHeight="false" outlineLevel="0" collapsed="false">
      <c r="A118" s="41" t="s">
        <v>188</v>
      </c>
      <c r="B118" s="41" t="s">
        <v>498</v>
      </c>
      <c r="C118" s="42" t="s">
        <v>499</v>
      </c>
      <c r="D118" s="44" t="s">
        <v>500</v>
      </c>
      <c r="E118" s="42" t="s">
        <v>583</v>
      </c>
      <c r="F118" s="42" t="s">
        <v>3442</v>
      </c>
      <c r="G118" s="44" t="s">
        <v>3443</v>
      </c>
      <c r="H118" s="41" t="s">
        <v>3252</v>
      </c>
      <c r="I118" s="42" t="s">
        <v>3253</v>
      </c>
      <c r="J118" s="41"/>
    </row>
    <row r="119" customFormat="false" ht="41.75" hidden="false" customHeight="false" outlineLevel="0" collapsed="false">
      <c r="A119" s="41" t="s">
        <v>188</v>
      </c>
      <c r="B119" s="41" t="s">
        <v>625</v>
      </c>
      <c r="C119" s="42" t="s">
        <v>626</v>
      </c>
      <c r="D119" s="44" t="s">
        <v>627</v>
      </c>
      <c r="E119" s="42" t="s">
        <v>583</v>
      </c>
      <c r="F119" s="42" t="s">
        <v>3444</v>
      </c>
      <c r="G119" s="44" t="s">
        <v>3445</v>
      </c>
      <c r="H119" s="41" t="s">
        <v>3252</v>
      </c>
      <c r="I119" s="42" t="s">
        <v>3253</v>
      </c>
      <c r="J119" s="41"/>
    </row>
    <row r="120" customFormat="false" ht="28.35" hidden="false" customHeight="false" outlineLevel="0" collapsed="false">
      <c r="A120" s="41" t="s">
        <v>188</v>
      </c>
      <c r="B120" s="41" t="s">
        <v>271</v>
      </c>
      <c r="C120" s="42" t="s">
        <v>272</v>
      </c>
      <c r="D120" s="44" t="s">
        <v>273</v>
      </c>
      <c r="E120" s="42" t="s">
        <v>247</v>
      </c>
      <c r="F120" s="42" t="s">
        <v>3446</v>
      </c>
      <c r="G120" s="44" t="s">
        <v>3447</v>
      </c>
      <c r="H120" s="41" t="s">
        <v>3215</v>
      </c>
      <c r="I120" s="42" t="s">
        <v>3216</v>
      </c>
      <c r="J120" s="41"/>
    </row>
    <row r="121" customFormat="false" ht="28.35" hidden="false" customHeight="false" outlineLevel="0" collapsed="false">
      <c r="A121" s="41" t="s">
        <v>188</v>
      </c>
      <c r="B121" s="41" t="s">
        <v>630</v>
      </c>
      <c r="C121" s="42" t="s">
        <v>631</v>
      </c>
      <c r="D121" s="44" t="s">
        <v>632</v>
      </c>
      <c r="E121" s="42" t="s">
        <v>328</v>
      </c>
      <c r="F121" s="42" t="s">
        <v>3448</v>
      </c>
      <c r="G121" s="44" t="s">
        <v>1847</v>
      </c>
      <c r="H121" s="41" t="s">
        <v>3418</v>
      </c>
      <c r="I121" s="42" t="s">
        <v>3419</v>
      </c>
      <c r="J121" s="41"/>
    </row>
    <row r="122" customFormat="false" ht="41.75" hidden="false" customHeight="false" outlineLevel="0" collapsed="false">
      <c r="A122" s="41" t="s">
        <v>188</v>
      </c>
      <c r="B122" s="41" t="s">
        <v>635</v>
      </c>
      <c r="C122" s="42" t="s">
        <v>636</v>
      </c>
      <c r="D122" s="44" t="s">
        <v>637</v>
      </c>
      <c r="E122" s="42" t="s">
        <v>1340</v>
      </c>
      <c r="F122" s="42" t="s">
        <v>3423</v>
      </c>
      <c r="G122" s="44" t="s">
        <v>3135</v>
      </c>
      <c r="H122" s="41" t="s">
        <v>3219</v>
      </c>
      <c r="I122" s="42" t="s">
        <v>3449</v>
      </c>
      <c r="J122" s="41"/>
    </row>
    <row r="123" customFormat="false" ht="41.75" hidden="false" customHeight="false" outlineLevel="0" collapsed="false">
      <c r="A123" s="41" t="s">
        <v>188</v>
      </c>
      <c r="B123" s="41" t="s">
        <v>635</v>
      </c>
      <c r="C123" s="42" t="s">
        <v>636</v>
      </c>
      <c r="D123" s="44" t="s">
        <v>637</v>
      </c>
      <c r="E123" s="42" t="s">
        <v>583</v>
      </c>
      <c r="F123" s="42" t="s">
        <v>3450</v>
      </c>
      <c r="G123" s="44" t="s">
        <v>3147</v>
      </c>
      <c r="H123" s="41" t="s">
        <v>3451</v>
      </c>
      <c r="I123" s="42" t="s">
        <v>3452</v>
      </c>
      <c r="J123" s="41"/>
    </row>
    <row r="124" customFormat="false" ht="28.35" hidden="false" customHeight="false" outlineLevel="0" collapsed="false">
      <c r="A124" s="41" t="s">
        <v>188</v>
      </c>
      <c r="B124" s="41" t="s">
        <v>635</v>
      </c>
      <c r="C124" s="42" t="s">
        <v>636</v>
      </c>
      <c r="D124" s="44" t="s">
        <v>637</v>
      </c>
      <c r="E124" s="42" t="s">
        <v>328</v>
      </c>
      <c r="F124" s="42" t="s">
        <v>3453</v>
      </c>
      <c r="G124" s="44" t="s">
        <v>3454</v>
      </c>
      <c r="H124" s="41" t="s">
        <v>3272</v>
      </c>
      <c r="I124" s="42" t="s">
        <v>3273</v>
      </c>
      <c r="J124" s="41"/>
    </row>
    <row r="125" customFormat="false" ht="28.35" hidden="false" customHeight="false" outlineLevel="0" collapsed="false">
      <c r="A125" s="41" t="s">
        <v>188</v>
      </c>
      <c r="B125" s="41" t="s">
        <v>641</v>
      </c>
      <c r="C125" s="42" t="s">
        <v>642</v>
      </c>
      <c r="D125" s="44" t="s">
        <v>643</v>
      </c>
      <c r="E125" s="42" t="s">
        <v>328</v>
      </c>
      <c r="F125" s="42" t="s">
        <v>3455</v>
      </c>
      <c r="G125" s="44" t="s">
        <v>3456</v>
      </c>
      <c r="H125" s="41" t="s">
        <v>3272</v>
      </c>
      <c r="I125" s="42" t="s">
        <v>3273</v>
      </c>
      <c r="J125" s="41"/>
    </row>
    <row r="126" customFormat="false" ht="28.35" hidden="false" customHeight="false" outlineLevel="0" collapsed="false">
      <c r="A126" s="41" t="s">
        <v>188</v>
      </c>
      <c r="B126" s="41" t="s">
        <v>542</v>
      </c>
      <c r="C126" s="42" t="s">
        <v>543</v>
      </c>
      <c r="D126" s="44" t="s">
        <v>544</v>
      </c>
      <c r="E126" s="42" t="s">
        <v>247</v>
      </c>
      <c r="F126" s="42" t="s">
        <v>3457</v>
      </c>
      <c r="G126" s="44" t="s">
        <v>3058</v>
      </c>
      <c r="H126" s="41" t="s">
        <v>3215</v>
      </c>
      <c r="I126" s="42" t="s">
        <v>3216</v>
      </c>
      <c r="J126" s="41"/>
    </row>
    <row r="127" customFormat="false" ht="28.35" hidden="false" customHeight="false" outlineLevel="0" collapsed="false">
      <c r="A127" s="41" t="s">
        <v>188</v>
      </c>
      <c r="B127" s="41" t="s">
        <v>646</v>
      </c>
      <c r="C127" s="42" t="s">
        <v>647</v>
      </c>
      <c r="D127" s="44" t="s">
        <v>648</v>
      </c>
      <c r="E127" s="42" t="s">
        <v>328</v>
      </c>
      <c r="F127" s="42" t="s">
        <v>3458</v>
      </c>
      <c r="G127" s="44" t="s">
        <v>3459</v>
      </c>
      <c r="H127" s="41" t="s">
        <v>3272</v>
      </c>
      <c r="I127" s="42" t="s">
        <v>3273</v>
      </c>
      <c r="J127" s="41"/>
    </row>
    <row r="128" customFormat="false" ht="28.35" hidden="false" customHeight="false" outlineLevel="0" collapsed="false">
      <c r="A128" s="41" t="s">
        <v>188</v>
      </c>
      <c r="B128" s="41" t="s">
        <v>651</v>
      </c>
      <c r="C128" s="42" t="s">
        <v>652</v>
      </c>
      <c r="D128" s="44" t="s">
        <v>653</v>
      </c>
      <c r="E128" s="42" t="s">
        <v>583</v>
      </c>
      <c r="F128" s="42" t="s">
        <v>3460</v>
      </c>
      <c r="G128" s="44" t="s">
        <v>3461</v>
      </c>
      <c r="H128" s="41" t="s">
        <v>3252</v>
      </c>
      <c r="I128" s="42" t="s">
        <v>3253</v>
      </c>
      <c r="J128" s="41"/>
    </row>
    <row r="129" customFormat="false" ht="28.35" hidden="false" customHeight="false" outlineLevel="0" collapsed="false">
      <c r="A129" s="41" t="s">
        <v>188</v>
      </c>
      <c r="B129" s="41" t="s">
        <v>656</v>
      </c>
      <c r="C129" s="42" t="s">
        <v>657</v>
      </c>
      <c r="D129" s="44" t="s">
        <v>658</v>
      </c>
      <c r="E129" s="42" t="s">
        <v>328</v>
      </c>
      <c r="F129" s="42" t="s">
        <v>3462</v>
      </c>
      <c r="G129" s="44" t="s">
        <v>3463</v>
      </c>
      <c r="H129" s="41" t="s">
        <v>3418</v>
      </c>
      <c r="I129" s="42" t="s">
        <v>3419</v>
      </c>
      <c r="J129" s="41"/>
    </row>
    <row r="130" customFormat="false" ht="28.35" hidden="false" customHeight="false" outlineLevel="0" collapsed="false">
      <c r="A130" s="41" t="s">
        <v>188</v>
      </c>
      <c r="B130" s="41" t="s">
        <v>573</v>
      </c>
      <c r="C130" s="42" t="s">
        <v>574</v>
      </c>
      <c r="D130" s="44" t="s">
        <v>576</v>
      </c>
      <c r="E130" s="42" t="s">
        <v>328</v>
      </c>
      <c r="F130" s="42" t="s">
        <v>3464</v>
      </c>
      <c r="G130" s="44" t="s">
        <v>3465</v>
      </c>
      <c r="H130" s="41" t="s">
        <v>3272</v>
      </c>
      <c r="I130" s="42" t="s">
        <v>3273</v>
      </c>
      <c r="J130" s="41"/>
    </row>
    <row r="131" customFormat="false" ht="41.75" hidden="false" customHeight="false" outlineLevel="0" collapsed="false">
      <c r="A131" s="41" t="s">
        <v>189</v>
      </c>
      <c r="B131" s="41" t="s">
        <v>296</v>
      </c>
      <c r="C131" s="42" t="s">
        <v>297</v>
      </c>
      <c r="D131" s="44" t="s">
        <v>300</v>
      </c>
      <c r="E131" s="42" t="s">
        <v>3239</v>
      </c>
      <c r="F131" s="42" t="s">
        <v>3466</v>
      </c>
      <c r="G131" s="44" t="s">
        <v>3467</v>
      </c>
      <c r="H131" s="41" t="s">
        <v>3242</v>
      </c>
      <c r="I131" s="42" t="s">
        <v>3243</v>
      </c>
      <c r="J131" s="41"/>
    </row>
    <row r="132" customFormat="false" ht="28.35" hidden="false" customHeight="false" outlineLevel="0" collapsed="false">
      <c r="A132" s="41" t="s">
        <v>189</v>
      </c>
      <c r="B132" s="41" t="s">
        <v>296</v>
      </c>
      <c r="C132" s="42" t="s">
        <v>297</v>
      </c>
      <c r="D132" s="44" t="s">
        <v>300</v>
      </c>
      <c r="E132" s="42" t="s">
        <v>433</v>
      </c>
      <c r="F132" s="42" t="s">
        <v>3468</v>
      </c>
      <c r="G132" s="44" t="s">
        <v>3469</v>
      </c>
      <c r="H132" s="41" t="s">
        <v>3233</v>
      </c>
      <c r="I132" s="42" t="s">
        <v>3234</v>
      </c>
      <c r="J132" s="41"/>
    </row>
    <row r="133" customFormat="false" ht="202.95" hidden="false" customHeight="false" outlineLevel="0" collapsed="false">
      <c r="A133" s="41" t="s">
        <v>189</v>
      </c>
      <c r="B133" s="41" t="s">
        <v>296</v>
      </c>
      <c r="C133" s="42" t="s">
        <v>297</v>
      </c>
      <c r="D133" s="44" t="s">
        <v>300</v>
      </c>
      <c r="E133" s="42" t="s">
        <v>994</v>
      </c>
      <c r="F133" s="42" t="s">
        <v>3470</v>
      </c>
      <c r="G133" s="44" t="s">
        <v>3471</v>
      </c>
      <c r="H133" s="41" t="s">
        <v>3472</v>
      </c>
      <c r="I133" s="42" t="s">
        <v>3473</v>
      </c>
      <c r="J133" s="44" t="s">
        <v>3135</v>
      </c>
    </row>
    <row r="134" customFormat="false" ht="28.35" hidden="false" customHeight="false" outlineLevel="0" collapsed="false">
      <c r="A134" s="41" t="s">
        <v>189</v>
      </c>
      <c r="B134" s="41" t="s">
        <v>296</v>
      </c>
      <c r="C134" s="42" t="s">
        <v>297</v>
      </c>
      <c r="D134" s="44" t="s">
        <v>300</v>
      </c>
      <c r="E134" s="42" t="s">
        <v>583</v>
      </c>
      <c r="F134" s="42" t="s">
        <v>3474</v>
      </c>
      <c r="G134" s="44" t="s">
        <v>3475</v>
      </c>
      <c r="H134" s="41" t="s">
        <v>3252</v>
      </c>
      <c r="I134" s="42" t="s">
        <v>3253</v>
      </c>
      <c r="J134" s="41"/>
    </row>
    <row r="135" customFormat="false" ht="28.35" hidden="false" customHeight="false" outlineLevel="0" collapsed="false">
      <c r="A135" s="41" t="s">
        <v>189</v>
      </c>
      <c r="B135" s="41" t="s">
        <v>296</v>
      </c>
      <c r="C135" s="42" t="s">
        <v>297</v>
      </c>
      <c r="D135" s="44" t="s">
        <v>300</v>
      </c>
      <c r="E135" s="42" t="s">
        <v>328</v>
      </c>
      <c r="F135" s="42" t="s">
        <v>3476</v>
      </c>
      <c r="G135" s="44" t="s">
        <v>3477</v>
      </c>
      <c r="H135" s="41" t="s">
        <v>3272</v>
      </c>
      <c r="I135" s="42" t="s">
        <v>3273</v>
      </c>
      <c r="J135" s="41"/>
    </row>
    <row r="136" customFormat="false" ht="28.35" hidden="false" customHeight="false" outlineLevel="0" collapsed="false">
      <c r="A136" s="41" t="s">
        <v>189</v>
      </c>
      <c r="B136" s="41" t="s">
        <v>669</v>
      </c>
      <c r="C136" s="42" t="s">
        <v>670</v>
      </c>
      <c r="D136" s="44" t="s">
        <v>671</v>
      </c>
      <c r="E136" s="42" t="s">
        <v>247</v>
      </c>
      <c r="F136" s="42" t="s">
        <v>3478</v>
      </c>
      <c r="G136" s="44" t="s">
        <v>3479</v>
      </c>
      <c r="H136" s="41" t="s">
        <v>3256</v>
      </c>
      <c r="I136" s="42" t="s">
        <v>3257</v>
      </c>
      <c r="J136" s="41"/>
    </row>
    <row r="137" customFormat="false" ht="28.35" hidden="false" customHeight="false" outlineLevel="0" collapsed="false">
      <c r="A137" s="41" t="s">
        <v>189</v>
      </c>
      <c r="B137" s="41" t="s">
        <v>305</v>
      </c>
      <c r="C137" s="42" t="s">
        <v>306</v>
      </c>
      <c r="D137" s="44" t="s">
        <v>308</v>
      </c>
      <c r="E137" s="42" t="s">
        <v>247</v>
      </c>
      <c r="F137" s="42" t="s">
        <v>3480</v>
      </c>
      <c r="G137" s="44" t="s">
        <v>3255</v>
      </c>
      <c r="H137" s="41" t="s">
        <v>3256</v>
      </c>
      <c r="I137" s="42" t="s">
        <v>3257</v>
      </c>
      <c r="J137" s="41"/>
    </row>
    <row r="138" customFormat="false" ht="41.75" hidden="false" customHeight="false" outlineLevel="0" collapsed="false">
      <c r="A138" s="41" t="s">
        <v>189</v>
      </c>
      <c r="B138" s="41" t="s">
        <v>305</v>
      </c>
      <c r="C138" s="42" t="s">
        <v>306</v>
      </c>
      <c r="D138" s="44" t="s">
        <v>308</v>
      </c>
      <c r="E138" s="42" t="s">
        <v>3239</v>
      </c>
      <c r="F138" s="42" t="s">
        <v>3481</v>
      </c>
      <c r="G138" s="44" t="s">
        <v>3482</v>
      </c>
      <c r="H138" s="41" t="s">
        <v>3242</v>
      </c>
      <c r="I138" s="42" t="s">
        <v>3243</v>
      </c>
      <c r="J138" s="41"/>
    </row>
    <row r="139" customFormat="false" ht="68.65" hidden="false" customHeight="false" outlineLevel="0" collapsed="false">
      <c r="A139" s="41" t="s">
        <v>189</v>
      </c>
      <c r="B139" s="41" t="s">
        <v>305</v>
      </c>
      <c r="C139" s="42" t="s">
        <v>306</v>
      </c>
      <c r="D139" s="44" t="s">
        <v>308</v>
      </c>
      <c r="E139" s="42" t="s">
        <v>881</v>
      </c>
      <c r="F139" s="42" t="s">
        <v>3483</v>
      </c>
      <c r="G139" s="44" t="s">
        <v>3135</v>
      </c>
      <c r="H139" s="41" t="s">
        <v>3219</v>
      </c>
      <c r="I139" s="42" t="s">
        <v>3484</v>
      </c>
      <c r="J139" s="41"/>
    </row>
    <row r="140" customFormat="false" ht="28.35" hidden="false" customHeight="false" outlineLevel="0" collapsed="false">
      <c r="A140" s="41" t="s">
        <v>189</v>
      </c>
      <c r="B140" s="41" t="s">
        <v>305</v>
      </c>
      <c r="C140" s="42" t="s">
        <v>306</v>
      </c>
      <c r="D140" s="44" t="s">
        <v>308</v>
      </c>
      <c r="E140" s="42" t="s">
        <v>433</v>
      </c>
      <c r="F140" s="42" t="s">
        <v>3485</v>
      </c>
      <c r="G140" s="44" t="s">
        <v>3486</v>
      </c>
      <c r="H140" s="41" t="s">
        <v>3233</v>
      </c>
      <c r="I140" s="42" t="s">
        <v>3234</v>
      </c>
      <c r="J140" s="41"/>
    </row>
    <row r="141" customFormat="false" ht="82.05" hidden="false" customHeight="false" outlineLevel="0" collapsed="false">
      <c r="A141" s="41" t="s">
        <v>189</v>
      </c>
      <c r="B141" s="41" t="s">
        <v>305</v>
      </c>
      <c r="C141" s="42" t="s">
        <v>306</v>
      </c>
      <c r="D141" s="44" t="s">
        <v>308</v>
      </c>
      <c r="E141" s="42" t="s">
        <v>3487</v>
      </c>
      <c r="F141" s="42" t="s">
        <v>3483</v>
      </c>
      <c r="G141" s="44" t="s">
        <v>3488</v>
      </c>
      <c r="H141" s="41" t="s">
        <v>3248</v>
      </c>
      <c r="I141" s="42" t="s">
        <v>3489</v>
      </c>
      <c r="J141" s="44" t="s">
        <v>3135</v>
      </c>
    </row>
    <row r="142" customFormat="false" ht="28.35" hidden="false" customHeight="false" outlineLevel="0" collapsed="false">
      <c r="A142" s="41" t="s">
        <v>189</v>
      </c>
      <c r="B142" s="41" t="s">
        <v>305</v>
      </c>
      <c r="C142" s="42" t="s">
        <v>306</v>
      </c>
      <c r="D142" s="44" t="s">
        <v>308</v>
      </c>
      <c r="E142" s="42" t="s">
        <v>328</v>
      </c>
      <c r="F142" s="42" t="s">
        <v>3490</v>
      </c>
      <c r="G142" s="44" t="s">
        <v>3491</v>
      </c>
      <c r="H142" s="41" t="s">
        <v>3272</v>
      </c>
      <c r="I142" s="42" t="s">
        <v>3273</v>
      </c>
      <c r="J142" s="41"/>
    </row>
    <row r="143" customFormat="false" ht="28.35" hidden="false" customHeight="false" outlineLevel="0" collapsed="false">
      <c r="A143" s="41" t="s">
        <v>189</v>
      </c>
      <c r="B143" s="41" t="s">
        <v>245</v>
      </c>
      <c r="C143" s="42" t="s">
        <v>246</v>
      </c>
      <c r="D143" s="44" t="s">
        <v>252</v>
      </c>
      <c r="E143" s="42" t="s">
        <v>247</v>
      </c>
      <c r="F143" s="42" t="s">
        <v>3492</v>
      </c>
      <c r="G143" s="44" t="s">
        <v>3493</v>
      </c>
      <c r="H143" s="41" t="s">
        <v>3215</v>
      </c>
      <c r="I143" s="42" t="s">
        <v>3216</v>
      </c>
      <c r="J143" s="41"/>
    </row>
    <row r="144" customFormat="false" ht="41.75" hidden="false" customHeight="false" outlineLevel="0" collapsed="false">
      <c r="A144" s="41" t="s">
        <v>189</v>
      </c>
      <c r="B144" s="41" t="s">
        <v>245</v>
      </c>
      <c r="C144" s="42" t="s">
        <v>246</v>
      </c>
      <c r="D144" s="44" t="s">
        <v>252</v>
      </c>
      <c r="E144" s="42" t="s">
        <v>583</v>
      </c>
      <c r="F144" s="42" t="s">
        <v>3494</v>
      </c>
      <c r="G144" s="44" t="s">
        <v>3495</v>
      </c>
      <c r="H144" s="41" t="s">
        <v>3252</v>
      </c>
      <c r="I144" s="42" t="s">
        <v>3253</v>
      </c>
      <c r="J144" s="41"/>
    </row>
    <row r="145" customFormat="false" ht="28.35" hidden="false" customHeight="false" outlineLevel="0" collapsed="false">
      <c r="A145" s="41" t="s">
        <v>189</v>
      </c>
      <c r="B145" s="41" t="s">
        <v>348</v>
      </c>
      <c r="C145" s="42" t="s">
        <v>349</v>
      </c>
      <c r="D145" s="44" t="s">
        <v>350</v>
      </c>
      <c r="E145" s="42" t="s">
        <v>247</v>
      </c>
      <c r="F145" s="42" t="s">
        <v>3496</v>
      </c>
      <c r="G145" s="44" t="s">
        <v>2794</v>
      </c>
      <c r="H145" s="41" t="s">
        <v>3215</v>
      </c>
      <c r="I145" s="42" t="s">
        <v>3216</v>
      </c>
      <c r="J145" s="41"/>
    </row>
    <row r="146" customFormat="false" ht="55.2" hidden="false" customHeight="false" outlineLevel="0" collapsed="false">
      <c r="A146" s="41" t="s">
        <v>189</v>
      </c>
      <c r="B146" s="41" t="s">
        <v>348</v>
      </c>
      <c r="C146" s="42" t="s">
        <v>349</v>
      </c>
      <c r="D146" s="44" t="s">
        <v>350</v>
      </c>
      <c r="E146" s="42" t="s">
        <v>3497</v>
      </c>
      <c r="F146" s="42" t="s">
        <v>3498</v>
      </c>
      <c r="G146" s="44" t="s">
        <v>3499</v>
      </c>
      <c r="H146" s="41" t="s">
        <v>3248</v>
      </c>
      <c r="I146" s="42" t="s">
        <v>3500</v>
      </c>
      <c r="J146" s="44" t="s">
        <v>3135</v>
      </c>
    </row>
    <row r="147" customFormat="false" ht="41.75" hidden="false" customHeight="false" outlineLevel="0" collapsed="false">
      <c r="A147" s="41" t="s">
        <v>189</v>
      </c>
      <c r="B147" s="41" t="s">
        <v>356</v>
      </c>
      <c r="C147" s="42" t="s">
        <v>357</v>
      </c>
      <c r="D147" s="44" t="s">
        <v>358</v>
      </c>
      <c r="E147" s="42" t="s">
        <v>3239</v>
      </c>
      <c r="F147" s="42" t="s">
        <v>3501</v>
      </c>
      <c r="G147" s="44" t="s">
        <v>3502</v>
      </c>
      <c r="H147" s="41" t="s">
        <v>3242</v>
      </c>
      <c r="I147" s="42" t="s">
        <v>3243</v>
      </c>
      <c r="J147" s="41"/>
    </row>
    <row r="148" customFormat="false" ht="68.65" hidden="false" customHeight="false" outlineLevel="0" collapsed="false">
      <c r="A148" s="41" t="s">
        <v>189</v>
      </c>
      <c r="B148" s="41" t="s">
        <v>356</v>
      </c>
      <c r="C148" s="42" t="s">
        <v>357</v>
      </c>
      <c r="D148" s="44" t="s">
        <v>358</v>
      </c>
      <c r="E148" s="42" t="s">
        <v>881</v>
      </c>
      <c r="F148" s="42" t="s">
        <v>3483</v>
      </c>
      <c r="G148" s="44" t="s">
        <v>3135</v>
      </c>
      <c r="H148" s="41" t="s">
        <v>3219</v>
      </c>
      <c r="I148" s="42" t="s">
        <v>3503</v>
      </c>
      <c r="J148" s="41"/>
    </row>
    <row r="149" customFormat="false" ht="28.35" hidden="false" customHeight="false" outlineLevel="0" collapsed="false">
      <c r="A149" s="41" t="s">
        <v>189</v>
      </c>
      <c r="B149" s="41" t="s">
        <v>356</v>
      </c>
      <c r="C149" s="42" t="s">
        <v>357</v>
      </c>
      <c r="D149" s="44" t="s">
        <v>358</v>
      </c>
      <c r="E149" s="42" t="s">
        <v>433</v>
      </c>
      <c r="F149" s="42" t="s">
        <v>3504</v>
      </c>
      <c r="G149" s="44" t="s">
        <v>3505</v>
      </c>
      <c r="H149" s="41" t="s">
        <v>3233</v>
      </c>
      <c r="I149" s="42" t="s">
        <v>3234</v>
      </c>
      <c r="J149" s="41"/>
    </row>
    <row r="150" customFormat="false" ht="68.65" hidden="false" customHeight="false" outlineLevel="0" collapsed="false">
      <c r="A150" s="41" t="s">
        <v>189</v>
      </c>
      <c r="B150" s="41" t="s">
        <v>356</v>
      </c>
      <c r="C150" s="42" t="s">
        <v>357</v>
      </c>
      <c r="D150" s="44" t="s">
        <v>358</v>
      </c>
      <c r="E150" s="42" t="s">
        <v>3506</v>
      </c>
      <c r="F150" s="42" t="s">
        <v>3483</v>
      </c>
      <c r="G150" s="44" t="s">
        <v>3507</v>
      </c>
      <c r="H150" s="41" t="s">
        <v>3248</v>
      </c>
      <c r="I150" s="42" t="s">
        <v>3508</v>
      </c>
      <c r="J150" s="44" t="s">
        <v>3135</v>
      </c>
    </row>
    <row r="151" customFormat="false" ht="41.75" hidden="false" customHeight="false" outlineLevel="0" collapsed="false">
      <c r="A151" s="41" t="s">
        <v>189</v>
      </c>
      <c r="B151" s="41" t="s">
        <v>356</v>
      </c>
      <c r="C151" s="42" t="s">
        <v>357</v>
      </c>
      <c r="D151" s="44" t="s">
        <v>358</v>
      </c>
      <c r="E151" s="42" t="s">
        <v>583</v>
      </c>
      <c r="F151" s="42" t="s">
        <v>3509</v>
      </c>
      <c r="G151" s="44" t="s">
        <v>3510</v>
      </c>
      <c r="H151" s="41" t="s">
        <v>3252</v>
      </c>
      <c r="I151" s="42" t="s">
        <v>3253</v>
      </c>
      <c r="J151" s="41"/>
    </row>
    <row r="152" customFormat="false" ht="41.75" hidden="false" customHeight="false" outlineLevel="0" collapsed="false">
      <c r="A152" s="41" t="s">
        <v>189</v>
      </c>
      <c r="B152" s="41" t="s">
        <v>689</v>
      </c>
      <c r="C152" s="42" t="s">
        <v>690</v>
      </c>
      <c r="D152" s="44" t="s">
        <v>691</v>
      </c>
      <c r="E152" s="42" t="s">
        <v>247</v>
      </c>
      <c r="F152" s="42" t="s">
        <v>3511</v>
      </c>
      <c r="G152" s="44" t="s">
        <v>2810</v>
      </c>
      <c r="H152" s="41" t="s">
        <v>3215</v>
      </c>
      <c r="I152" s="42" t="s">
        <v>3216</v>
      </c>
      <c r="J152" s="41"/>
    </row>
    <row r="153" customFormat="false" ht="28.35" hidden="false" customHeight="false" outlineLevel="0" collapsed="false">
      <c r="A153" s="41" t="s">
        <v>189</v>
      </c>
      <c r="B153" s="41" t="s">
        <v>256</v>
      </c>
      <c r="C153" s="42" t="s">
        <v>257</v>
      </c>
      <c r="D153" s="44" t="s">
        <v>260</v>
      </c>
      <c r="E153" s="42" t="s">
        <v>247</v>
      </c>
      <c r="F153" s="42" t="s">
        <v>3512</v>
      </c>
      <c r="G153" s="44" t="s">
        <v>3222</v>
      </c>
      <c r="H153" s="41" t="s">
        <v>3215</v>
      </c>
      <c r="I153" s="42" t="s">
        <v>3216</v>
      </c>
      <c r="J153" s="41"/>
    </row>
    <row r="154" customFormat="false" ht="28.35" hidden="false" customHeight="false" outlineLevel="0" collapsed="false">
      <c r="A154" s="41" t="s">
        <v>189</v>
      </c>
      <c r="B154" s="41" t="s">
        <v>369</v>
      </c>
      <c r="C154" s="42" t="s">
        <v>370</v>
      </c>
      <c r="D154" s="44" t="s">
        <v>372</v>
      </c>
      <c r="E154" s="42" t="s">
        <v>247</v>
      </c>
      <c r="F154" s="42" t="s">
        <v>3513</v>
      </c>
      <c r="G154" s="44" t="s">
        <v>3514</v>
      </c>
      <c r="H154" s="41" t="s">
        <v>3215</v>
      </c>
      <c r="I154" s="42" t="s">
        <v>3216</v>
      </c>
      <c r="J154" s="41"/>
    </row>
    <row r="155" customFormat="false" ht="28.35" hidden="false" customHeight="false" outlineLevel="0" collapsed="false">
      <c r="A155" s="41" t="s">
        <v>189</v>
      </c>
      <c r="B155" s="41" t="s">
        <v>694</v>
      </c>
      <c r="C155" s="42" t="s">
        <v>695</v>
      </c>
      <c r="D155" s="44" t="s">
        <v>697</v>
      </c>
      <c r="E155" s="42" t="s">
        <v>247</v>
      </c>
      <c r="F155" s="42" t="s">
        <v>3515</v>
      </c>
      <c r="G155" s="44" t="s">
        <v>2836</v>
      </c>
      <c r="H155" s="41" t="s">
        <v>3215</v>
      </c>
      <c r="I155" s="42" t="s">
        <v>3216</v>
      </c>
      <c r="J155" s="41"/>
    </row>
    <row r="156" customFormat="false" ht="28.35" hidden="false" customHeight="false" outlineLevel="0" collapsed="false">
      <c r="A156" s="41" t="s">
        <v>189</v>
      </c>
      <c r="B156" s="41" t="s">
        <v>694</v>
      </c>
      <c r="C156" s="42" t="s">
        <v>695</v>
      </c>
      <c r="D156" s="44" t="s">
        <v>697</v>
      </c>
      <c r="E156" s="42" t="s">
        <v>3239</v>
      </c>
      <c r="F156" s="42" t="s">
        <v>3516</v>
      </c>
      <c r="G156" s="44" t="s">
        <v>1924</v>
      </c>
      <c r="H156" s="41" t="s">
        <v>3351</v>
      </c>
      <c r="I156" s="42" t="s">
        <v>3352</v>
      </c>
      <c r="J156" s="41"/>
    </row>
    <row r="157" customFormat="false" ht="41.75" hidden="false" customHeight="false" outlineLevel="0" collapsed="false">
      <c r="A157" s="41" t="s">
        <v>189</v>
      </c>
      <c r="B157" s="41" t="s">
        <v>694</v>
      </c>
      <c r="C157" s="42" t="s">
        <v>695</v>
      </c>
      <c r="D157" s="44" t="s">
        <v>697</v>
      </c>
      <c r="E157" s="42" t="s">
        <v>881</v>
      </c>
      <c r="F157" s="42" t="s">
        <v>3517</v>
      </c>
      <c r="G157" s="44" t="s">
        <v>3135</v>
      </c>
      <c r="H157" s="41" t="s">
        <v>3219</v>
      </c>
      <c r="I157" s="42" t="s">
        <v>3518</v>
      </c>
      <c r="J157" s="41"/>
    </row>
    <row r="158" customFormat="false" ht="28.35" hidden="false" customHeight="false" outlineLevel="0" collapsed="false">
      <c r="A158" s="41" t="s">
        <v>189</v>
      </c>
      <c r="B158" s="41" t="s">
        <v>694</v>
      </c>
      <c r="C158" s="42" t="s">
        <v>695</v>
      </c>
      <c r="D158" s="44" t="s">
        <v>697</v>
      </c>
      <c r="E158" s="42" t="s">
        <v>433</v>
      </c>
      <c r="F158" s="42" t="s">
        <v>3519</v>
      </c>
      <c r="G158" s="44" t="s">
        <v>3520</v>
      </c>
      <c r="H158" s="41" t="s">
        <v>3233</v>
      </c>
      <c r="I158" s="42" t="s">
        <v>3234</v>
      </c>
      <c r="J158" s="41"/>
    </row>
    <row r="159" customFormat="false" ht="41.75" hidden="false" customHeight="false" outlineLevel="0" collapsed="false">
      <c r="A159" s="41" t="s">
        <v>189</v>
      </c>
      <c r="B159" s="41" t="s">
        <v>694</v>
      </c>
      <c r="C159" s="42" t="s">
        <v>695</v>
      </c>
      <c r="D159" s="44" t="s">
        <v>697</v>
      </c>
      <c r="E159" s="42" t="s">
        <v>3521</v>
      </c>
      <c r="F159" s="42" t="s">
        <v>3517</v>
      </c>
      <c r="G159" s="44" t="s">
        <v>3135</v>
      </c>
      <c r="H159" s="41" t="s">
        <v>3219</v>
      </c>
      <c r="I159" s="42" t="s">
        <v>3522</v>
      </c>
      <c r="J159" s="41"/>
    </row>
    <row r="160" customFormat="false" ht="41.75" hidden="false" customHeight="false" outlineLevel="0" collapsed="false">
      <c r="A160" s="41" t="s">
        <v>189</v>
      </c>
      <c r="B160" s="41" t="s">
        <v>694</v>
      </c>
      <c r="C160" s="42" t="s">
        <v>695</v>
      </c>
      <c r="D160" s="44" t="s">
        <v>697</v>
      </c>
      <c r="E160" s="42" t="s">
        <v>583</v>
      </c>
      <c r="F160" s="42" t="s">
        <v>3523</v>
      </c>
      <c r="G160" s="44" t="s">
        <v>3524</v>
      </c>
      <c r="H160" s="41" t="s">
        <v>3252</v>
      </c>
      <c r="I160" s="42" t="s">
        <v>3253</v>
      </c>
      <c r="J160" s="41"/>
    </row>
    <row r="161" customFormat="false" ht="28.35" hidden="false" customHeight="false" outlineLevel="0" collapsed="false">
      <c r="A161" s="41" t="s">
        <v>189</v>
      </c>
      <c r="B161" s="41" t="s">
        <v>694</v>
      </c>
      <c r="C161" s="42" t="s">
        <v>695</v>
      </c>
      <c r="D161" s="44" t="s">
        <v>697</v>
      </c>
      <c r="E161" s="42" t="s">
        <v>328</v>
      </c>
      <c r="F161" s="42" t="s">
        <v>3525</v>
      </c>
      <c r="G161" s="44" t="s">
        <v>3526</v>
      </c>
      <c r="H161" s="41" t="s">
        <v>3418</v>
      </c>
      <c r="I161" s="42" t="s">
        <v>3419</v>
      </c>
      <c r="J161" s="41"/>
    </row>
    <row r="162" customFormat="false" ht="28.35" hidden="false" customHeight="false" outlineLevel="0" collapsed="false">
      <c r="A162" s="41" t="s">
        <v>189</v>
      </c>
      <c r="B162" s="41" t="s">
        <v>387</v>
      </c>
      <c r="C162" s="42" t="s">
        <v>388</v>
      </c>
      <c r="D162" s="44" t="s">
        <v>390</v>
      </c>
      <c r="E162" s="42" t="s">
        <v>433</v>
      </c>
      <c r="F162" s="42" t="s">
        <v>3527</v>
      </c>
      <c r="G162" s="44" t="s">
        <v>3528</v>
      </c>
      <c r="H162" s="41" t="s">
        <v>3233</v>
      </c>
      <c r="I162" s="42" t="s">
        <v>3234</v>
      </c>
      <c r="J162" s="41"/>
    </row>
    <row r="163" customFormat="false" ht="41.75" hidden="false" customHeight="false" outlineLevel="0" collapsed="false">
      <c r="A163" s="41" t="s">
        <v>189</v>
      </c>
      <c r="B163" s="41" t="s">
        <v>702</v>
      </c>
      <c r="C163" s="42" t="s">
        <v>703</v>
      </c>
      <c r="D163" s="44" t="s">
        <v>704</v>
      </c>
      <c r="E163" s="42" t="s">
        <v>583</v>
      </c>
      <c r="F163" s="42" t="s">
        <v>3529</v>
      </c>
      <c r="G163" s="44" t="s">
        <v>3530</v>
      </c>
      <c r="H163" s="41" t="s">
        <v>3252</v>
      </c>
      <c r="I163" s="42" t="s">
        <v>3253</v>
      </c>
      <c r="J163" s="41"/>
    </row>
    <row r="164" customFormat="false" ht="28.35" hidden="false" customHeight="false" outlineLevel="0" collapsed="false">
      <c r="A164" s="41" t="s">
        <v>189</v>
      </c>
      <c r="B164" s="41" t="s">
        <v>262</v>
      </c>
      <c r="C164" s="42" t="s">
        <v>263</v>
      </c>
      <c r="D164" s="44" t="s">
        <v>264</v>
      </c>
      <c r="E164" s="42" t="s">
        <v>247</v>
      </c>
      <c r="F164" s="42" t="s">
        <v>3531</v>
      </c>
      <c r="G164" s="44" t="s">
        <v>3532</v>
      </c>
      <c r="H164" s="41" t="s">
        <v>3215</v>
      </c>
      <c r="I164" s="42" t="s">
        <v>3216</v>
      </c>
      <c r="J164" s="41"/>
    </row>
    <row r="165" customFormat="false" ht="41.75" hidden="false" customHeight="false" outlineLevel="0" collapsed="false">
      <c r="A165" s="41" t="s">
        <v>189</v>
      </c>
      <c r="B165" s="41" t="s">
        <v>262</v>
      </c>
      <c r="C165" s="42" t="s">
        <v>263</v>
      </c>
      <c r="D165" s="44" t="s">
        <v>264</v>
      </c>
      <c r="E165" s="42" t="s">
        <v>3239</v>
      </c>
      <c r="F165" s="42" t="s">
        <v>3533</v>
      </c>
      <c r="G165" s="44" t="s">
        <v>3534</v>
      </c>
      <c r="H165" s="41" t="s">
        <v>3242</v>
      </c>
      <c r="I165" s="42" t="s">
        <v>3243</v>
      </c>
      <c r="J165" s="41"/>
    </row>
    <row r="166" customFormat="false" ht="55.2" hidden="false" customHeight="false" outlineLevel="0" collapsed="false">
      <c r="A166" s="41" t="s">
        <v>189</v>
      </c>
      <c r="B166" s="41" t="s">
        <v>262</v>
      </c>
      <c r="C166" s="42" t="s">
        <v>263</v>
      </c>
      <c r="D166" s="44" t="s">
        <v>264</v>
      </c>
      <c r="E166" s="42" t="s">
        <v>881</v>
      </c>
      <c r="F166" s="42" t="s">
        <v>3535</v>
      </c>
      <c r="G166" s="44" t="s">
        <v>3135</v>
      </c>
      <c r="H166" s="41" t="s">
        <v>3219</v>
      </c>
      <c r="I166" s="42" t="s">
        <v>3536</v>
      </c>
      <c r="J166" s="41"/>
    </row>
    <row r="167" customFormat="false" ht="68.65" hidden="false" customHeight="false" outlineLevel="0" collapsed="false">
      <c r="A167" s="41" t="s">
        <v>189</v>
      </c>
      <c r="B167" s="41" t="s">
        <v>262</v>
      </c>
      <c r="C167" s="42" t="s">
        <v>263</v>
      </c>
      <c r="D167" s="44" t="s">
        <v>264</v>
      </c>
      <c r="E167" s="42" t="s">
        <v>3537</v>
      </c>
      <c r="F167" s="42" t="s">
        <v>3535</v>
      </c>
      <c r="G167" s="44" t="s">
        <v>3135</v>
      </c>
      <c r="H167" s="41" t="s">
        <v>3219</v>
      </c>
      <c r="I167" s="42" t="s">
        <v>3538</v>
      </c>
      <c r="J167" s="41"/>
    </row>
    <row r="168" customFormat="false" ht="28.35" hidden="false" customHeight="false" outlineLevel="0" collapsed="false">
      <c r="A168" s="41" t="s">
        <v>189</v>
      </c>
      <c r="B168" s="41" t="s">
        <v>262</v>
      </c>
      <c r="C168" s="42" t="s">
        <v>263</v>
      </c>
      <c r="D168" s="44" t="s">
        <v>264</v>
      </c>
      <c r="E168" s="42" t="s">
        <v>328</v>
      </c>
      <c r="F168" s="42" t="s">
        <v>3539</v>
      </c>
      <c r="G168" s="44" t="s">
        <v>3540</v>
      </c>
      <c r="H168" s="41" t="s">
        <v>3272</v>
      </c>
      <c r="I168" s="42" t="s">
        <v>3273</v>
      </c>
      <c r="J168" s="41"/>
    </row>
    <row r="169" customFormat="false" ht="41.75" hidden="false" customHeight="false" outlineLevel="0" collapsed="false">
      <c r="A169" s="41" t="s">
        <v>189</v>
      </c>
      <c r="B169" s="41" t="s">
        <v>434</v>
      </c>
      <c r="C169" s="42" t="s">
        <v>435</v>
      </c>
      <c r="D169" s="44" t="s">
        <v>436</v>
      </c>
      <c r="E169" s="42" t="s">
        <v>422</v>
      </c>
      <c r="F169" s="42" t="s">
        <v>3541</v>
      </c>
      <c r="G169" s="44" t="s">
        <v>3135</v>
      </c>
      <c r="H169" s="41" t="s">
        <v>3219</v>
      </c>
      <c r="I169" s="42" t="s">
        <v>3542</v>
      </c>
      <c r="J169" s="41"/>
    </row>
    <row r="170" customFormat="false" ht="28.35" hidden="false" customHeight="false" outlineLevel="0" collapsed="false">
      <c r="A170" s="41" t="s">
        <v>189</v>
      </c>
      <c r="B170" s="41" t="s">
        <v>480</v>
      </c>
      <c r="C170" s="42" t="s">
        <v>481</v>
      </c>
      <c r="D170" s="44" t="s">
        <v>483</v>
      </c>
      <c r="E170" s="42" t="s">
        <v>247</v>
      </c>
      <c r="F170" s="42" t="s">
        <v>3543</v>
      </c>
      <c r="G170" s="44" t="s">
        <v>3544</v>
      </c>
      <c r="H170" s="41" t="s">
        <v>3215</v>
      </c>
      <c r="I170" s="42" t="s">
        <v>3216</v>
      </c>
      <c r="J170" s="41"/>
    </row>
    <row r="171" customFormat="false" ht="41.75" hidden="false" customHeight="false" outlineLevel="0" collapsed="false">
      <c r="A171" s="41" t="s">
        <v>189</v>
      </c>
      <c r="B171" s="41" t="s">
        <v>714</v>
      </c>
      <c r="C171" s="42" t="s">
        <v>715</v>
      </c>
      <c r="D171" s="44" t="s">
        <v>716</v>
      </c>
      <c r="E171" s="42" t="s">
        <v>247</v>
      </c>
      <c r="F171" s="42" t="s">
        <v>3545</v>
      </c>
      <c r="G171" s="44" t="s">
        <v>3546</v>
      </c>
      <c r="H171" s="41" t="s">
        <v>3215</v>
      </c>
      <c r="I171" s="42" t="s">
        <v>3216</v>
      </c>
      <c r="J171" s="41"/>
    </row>
    <row r="172" customFormat="false" ht="28.35" hidden="false" customHeight="false" outlineLevel="0" collapsed="false">
      <c r="A172" s="41" t="s">
        <v>189</v>
      </c>
      <c r="B172" s="41" t="s">
        <v>498</v>
      </c>
      <c r="C172" s="42" t="s">
        <v>499</v>
      </c>
      <c r="D172" s="44" t="s">
        <v>500</v>
      </c>
      <c r="E172" s="42" t="s">
        <v>247</v>
      </c>
      <c r="F172" s="42" t="s">
        <v>3547</v>
      </c>
      <c r="G172" s="44" t="s">
        <v>3548</v>
      </c>
      <c r="H172" s="41" t="s">
        <v>3215</v>
      </c>
      <c r="I172" s="42" t="s">
        <v>3216</v>
      </c>
      <c r="J172" s="41"/>
    </row>
    <row r="173" customFormat="false" ht="41.75" hidden="false" customHeight="false" outlineLevel="0" collapsed="false">
      <c r="A173" s="41" t="s">
        <v>189</v>
      </c>
      <c r="B173" s="41" t="s">
        <v>498</v>
      </c>
      <c r="C173" s="42" t="s">
        <v>499</v>
      </c>
      <c r="D173" s="44" t="s">
        <v>500</v>
      </c>
      <c r="E173" s="42" t="s">
        <v>3549</v>
      </c>
      <c r="F173" s="42" t="s">
        <v>3550</v>
      </c>
      <c r="G173" s="44" t="s">
        <v>3135</v>
      </c>
      <c r="H173" s="41" t="s">
        <v>3219</v>
      </c>
      <c r="I173" s="42" t="s">
        <v>3551</v>
      </c>
      <c r="J173" s="41"/>
    </row>
    <row r="174" customFormat="false" ht="41.75" hidden="false" customHeight="false" outlineLevel="0" collapsed="false">
      <c r="A174" s="41" t="s">
        <v>189</v>
      </c>
      <c r="B174" s="41" t="s">
        <v>498</v>
      </c>
      <c r="C174" s="42" t="s">
        <v>499</v>
      </c>
      <c r="D174" s="44" t="s">
        <v>500</v>
      </c>
      <c r="E174" s="42" t="s">
        <v>583</v>
      </c>
      <c r="F174" s="42" t="s">
        <v>3552</v>
      </c>
      <c r="G174" s="44" t="s">
        <v>3553</v>
      </c>
      <c r="H174" s="41" t="s">
        <v>3252</v>
      </c>
      <c r="I174" s="42" t="s">
        <v>3253</v>
      </c>
      <c r="J174" s="41"/>
    </row>
    <row r="175" customFormat="false" ht="28.35" hidden="false" customHeight="false" outlineLevel="0" collapsed="false">
      <c r="A175" s="41" t="s">
        <v>189</v>
      </c>
      <c r="B175" s="41" t="s">
        <v>271</v>
      </c>
      <c r="C175" s="42" t="s">
        <v>272</v>
      </c>
      <c r="D175" s="44" t="s">
        <v>273</v>
      </c>
      <c r="E175" s="42" t="s">
        <v>247</v>
      </c>
      <c r="F175" s="42" t="s">
        <v>3554</v>
      </c>
      <c r="G175" s="44" t="s">
        <v>3555</v>
      </c>
      <c r="H175" s="41" t="s">
        <v>3215</v>
      </c>
      <c r="I175" s="42" t="s">
        <v>3216</v>
      </c>
      <c r="J175" s="41"/>
    </row>
    <row r="176" customFormat="false" ht="28.35" hidden="false" customHeight="false" outlineLevel="0" collapsed="false">
      <c r="A176" s="41" t="s">
        <v>189</v>
      </c>
      <c r="B176" s="41" t="s">
        <v>510</v>
      </c>
      <c r="C176" s="42" t="s">
        <v>511</v>
      </c>
      <c r="D176" s="44" t="s">
        <v>513</v>
      </c>
      <c r="E176" s="42" t="s">
        <v>247</v>
      </c>
      <c r="F176" s="42" t="s">
        <v>3556</v>
      </c>
      <c r="G176" s="44" t="s">
        <v>3369</v>
      </c>
      <c r="H176" s="41" t="s">
        <v>3215</v>
      </c>
      <c r="I176" s="42" t="s">
        <v>3216</v>
      </c>
      <c r="J176" s="41"/>
    </row>
    <row r="177" customFormat="false" ht="15" hidden="false" customHeight="false" outlineLevel="0" collapsed="false">
      <c r="A177" s="41" t="s">
        <v>189</v>
      </c>
      <c r="B177" s="41" t="s">
        <v>521</v>
      </c>
      <c r="C177" s="42" t="s">
        <v>522</v>
      </c>
      <c r="D177" s="44" t="s">
        <v>523</v>
      </c>
      <c r="E177" s="42" t="s">
        <v>247</v>
      </c>
      <c r="F177" s="42" t="s">
        <v>3557</v>
      </c>
      <c r="G177" s="44" t="s">
        <v>3558</v>
      </c>
      <c r="H177" s="41" t="s">
        <v>3256</v>
      </c>
      <c r="I177" s="42" t="s">
        <v>3257</v>
      </c>
      <c r="J177" s="41"/>
    </row>
    <row r="178" customFormat="false" ht="28.35" hidden="false" customHeight="false" outlineLevel="0" collapsed="false">
      <c r="A178" s="41" t="s">
        <v>189</v>
      </c>
      <c r="B178" s="41" t="s">
        <v>724</v>
      </c>
      <c r="C178" s="42" t="s">
        <v>725</v>
      </c>
      <c r="D178" s="44" t="s">
        <v>726</v>
      </c>
      <c r="E178" s="42" t="s">
        <v>247</v>
      </c>
      <c r="F178" s="42" t="s">
        <v>3559</v>
      </c>
      <c r="G178" s="44" t="s">
        <v>3560</v>
      </c>
      <c r="H178" s="41" t="s">
        <v>3215</v>
      </c>
      <c r="I178" s="42" t="s">
        <v>3216</v>
      </c>
      <c r="J178" s="41"/>
    </row>
    <row r="179" customFormat="false" ht="28.35" hidden="false" customHeight="false" outlineLevel="0" collapsed="false">
      <c r="A179" s="41" t="s">
        <v>189</v>
      </c>
      <c r="B179" s="41" t="s">
        <v>724</v>
      </c>
      <c r="C179" s="42" t="s">
        <v>725</v>
      </c>
      <c r="D179" s="44" t="s">
        <v>726</v>
      </c>
      <c r="E179" s="42" t="s">
        <v>433</v>
      </c>
      <c r="F179" s="42" t="s">
        <v>3561</v>
      </c>
      <c r="G179" s="44" t="s">
        <v>3562</v>
      </c>
      <c r="H179" s="41" t="s">
        <v>3563</v>
      </c>
      <c r="I179" s="42" t="s">
        <v>3564</v>
      </c>
      <c r="J179" s="41"/>
    </row>
    <row r="180" customFormat="false" ht="28.35" hidden="false" customHeight="false" outlineLevel="0" collapsed="false">
      <c r="A180" s="41" t="s">
        <v>189</v>
      </c>
      <c r="B180" s="41" t="s">
        <v>635</v>
      </c>
      <c r="C180" s="42" t="s">
        <v>636</v>
      </c>
      <c r="D180" s="44" t="s">
        <v>637</v>
      </c>
      <c r="E180" s="42" t="s">
        <v>247</v>
      </c>
      <c r="F180" s="42" t="s">
        <v>3565</v>
      </c>
      <c r="G180" s="44" t="s">
        <v>3566</v>
      </c>
      <c r="H180" s="41" t="s">
        <v>3215</v>
      </c>
      <c r="I180" s="42" t="s">
        <v>3216</v>
      </c>
      <c r="J180" s="41"/>
    </row>
    <row r="181" customFormat="false" ht="41.75" hidden="false" customHeight="false" outlineLevel="0" collapsed="false">
      <c r="A181" s="41" t="s">
        <v>189</v>
      </c>
      <c r="B181" s="41" t="s">
        <v>635</v>
      </c>
      <c r="C181" s="42" t="s">
        <v>636</v>
      </c>
      <c r="D181" s="44" t="s">
        <v>637</v>
      </c>
      <c r="E181" s="42" t="s">
        <v>3239</v>
      </c>
      <c r="F181" s="42" t="s">
        <v>3567</v>
      </c>
      <c r="G181" s="44" t="s">
        <v>1921</v>
      </c>
      <c r="H181" s="41" t="s">
        <v>3351</v>
      </c>
      <c r="I181" s="42" t="s">
        <v>3352</v>
      </c>
      <c r="J181" s="41"/>
    </row>
    <row r="182" customFormat="false" ht="68.65" hidden="false" customHeight="false" outlineLevel="0" collapsed="false">
      <c r="A182" s="41" t="s">
        <v>189</v>
      </c>
      <c r="B182" s="41" t="s">
        <v>635</v>
      </c>
      <c r="C182" s="42" t="s">
        <v>636</v>
      </c>
      <c r="D182" s="44" t="s">
        <v>637</v>
      </c>
      <c r="E182" s="42" t="s">
        <v>881</v>
      </c>
      <c r="F182" s="42" t="s">
        <v>3568</v>
      </c>
      <c r="G182" s="44" t="s">
        <v>3135</v>
      </c>
      <c r="H182" s="41" t="s">
        <v>3219</v>
      </c>
      <c r="I182" s="42" t="s">
        <v>3569</v>
      </c>
      <c r="J182" s="41"/>
    </row>
    <row r="183" customFormat="false" ht="108.95" hidden="false" customHeight="false" outlineLevel="0" collapsed="false">
      <c r="A183" s="41" t="s">
        <v>189</v>
      </c>
      <c r="B183" s="41" t="s">
        <v>635</v>
      </c>
      <c r="C183" s="42" t="s">
        <v>636</v>
      </c>
      <c r="D183" s="44" t="s">
        <v>637</v>
      </c>
      <c r="E183" s="42" t="s">
        <v>3570</v>
      </c>
      <c r="F183" s="42" t="s">
        <v>3568</v>
      </c>
      <c r="G183" s="44" t="s">
        <v>3571</v>
      </c>
      <c r="H183" s="41" t="s">
        <v>3248</v>
      </c>
      <c r="I183" s="42" t="s">
        <v>3572</v>
      </c>
      <c r="J183" s="44" t="s">
        <v>3135</v>
      </c>
    </row>
    <row r="184" customFormat="false" ht="41.75" hidden="false" customHeight="false" outlineLevel="0" collapsed="false">
      <c r="A184" s="41" t="s">
        <v>189</v>
      </c>
      <c r="B184" s="41" t="s">
        <v>635</v>
      </c>
      <c r="C184" s="42" t="s">
        <v>636</v>
      </c>
      <c r="D184" s="44" t="s">
        <v>637</v>
      </c>
      <c r="E184" s="42" t="s">
        <v>583</v>
      </c>
      <c r="F184" s="42" t="s">
        <v>3573</v>
      </c>
      <c r="G184" s="44" t="s">
        <v>3574</v>
      </c>
      <c r="H184" s="41" t="s">
        <v>3252</v>
      </c>
      <c r="I184" s="42" t="s">
        <v>3253</v>
      </c>
      <c r="J184" s="41"/>
    </row>
    <row r="185" customFormat="false" ht="28.35" hidden="false" customHeight="false" outlineLevel="0" collapsed="false">
      <c r="A185" s="41" t="s">
        <v>189</v>
      </c>
      <c r="B185" s="41" t="s">
        <v>635</v>
      </c>
      <c r="C185" s="42" t="s">
        <v>636</v>
      </c>
      <c r="D185" s="44" t="s">
        <v>637</v>
      </c>
      <c r="E185" s="42" t="s">
        <v>328</v>
      </c>
      <c r="F185" s="42" t="s">
        <v>3575</v>
      </c>
      <c r="G185" s="44" t="s">
        <v>3576</v>
      </c>
      <c r="H185" s="41" t="s">
        <v>3272</v>
      </c>
      <c r="I185" s="42" t="s">
        <v>3273</v>
      </c>
      <c r="J185" s="41"/>
    </row>
    <row r="186" customFormat="false" ht="41.75" hidden="false" customHeight="false" outlineLevel="0" collapsed="false">
      <c r="A186" s="41" t="s">
        <v>189</v>
      </c>
      <c r="B186" s="41" t="s">
        <v>733</v>
      </c>
      <c r="C186" s="42" t="s">
        <v>734</v>
      </c>
      <c r="D186" s="44" t="s">
        <v>735</v>
      </c>
      <c r="E186" s="42" t="s">
        <v>247</v>
      </c>
      <c r="F186" s="42" t="s">
        <v>3577</v>
      </c>
      <c r="G186" s="44" t="s">
        <v>3064</v>
      </c>
      <c r="H186" s="41" t="s">
        <v>3215</v>
      </c>
      <c r="I186" s="42" t="s">
        <v>3216</v>
      </c>
      <c r="J186" s="41"/>
    </row>
    <row r="187" customFormat="false" ht="41.75" hidden="false" customHeight="false" outlineLevel="0" collapsed="false">
      <c r="A187" s="41" t="s">
        <v>189</v>
      </c>
      <c r="B187" s="41" t="s">
        <v>275</v>
      </c>
      <c r="C187" s="42" t="s">
        <v>276</v>
      </c>
      <c r="D187" s="44" t="s">
        <v>279</v>
      </c>
      <c r="E187" s="42" t="s">
        <v>247</v>
      </c>
      <c r="F187" s="42" t="s">
        <v>3578</v>
      </c>
      <c r="G187" s="44" t="s">
        <v>3230</v>
      </c>
      <c r="H187" s="41" t="s">
        <v>3215</v>
      </c>
      <c r="I187" s="42" t="s">
        <v>3216</v>
      </c>
      <c r="J187" s="41"/>
    </row>
    <row r="188" customFormat="false" ht="41.75" hidden="false" customHeight="false" outlineLevel="0" collapsed="false">
      <c r="A188" s="41" t="s">
        <v>190</v>
      </c>
      <c r="B188" s="41" t="s">
        <v>738</v>
      </c>
      <c r="C188" s="42" t="s">
        <v>739</v>
      </c>
      <c r="D188" s="44" t="s">
        <v>742</v>
      </c>
      <c r="E188" s="42" t="s">
        <v>3239</v>
      </c>
      <c r="F188" s="42" t="s">
        <v>3579</v>
      </c>
      <c r="G188" s="44" t="s">
        <v>2000</v>
      </c>
      <c r="H188" s="41" t="s">
        <v>3351</v>
      </c>
      <c r="I188" s="42" t="s">
        <v>3352</v>
      </c>
      <c r="J188" s="41"/>
    </row>
    <row r="189" customFormat="false" ht="41.75" hidden="false" customHeight="false" outlineLevel="0" collapsed="false">
      <c r="A189" s="41" t="s">
        <v>190</v>
      </c>
      <c r="B189" s="41" t="s">
        <v>738</v>
      </c>
      <c r="C189" s="42" t="s">
        <v>739</v>
      </c>
      <c r="D189" s="44" t="s">
        <v>742</v>
      </c>
      <c r="E189" s="42" t="s">
        <v>881</v>
      </c>
      <c r="F189" s="42" t="s">
        <v>3580</v>
      </c>
      <c r="G189" s="44" t="s">
        <v>3135</v>
      </c>
      <c r="H189" s="41" t="s">
        <v>3219</v>
      </c>
      <c r="I189" s="42" t="s">
        <v>3581</v>
      </c>
      <c r="J189" s="41"/>
    </row>
    <row r="190" customFormat="false" ht="41.75" hidden="false" customHeight="false" outlineLevel="0" collapsed="false">
      <c r="A190" s="41" t="s">
        <v>190</v>
      </c>
      <c r="B190" s="41" t="s">
        <v>745</v>
      </c>
      <c r="C190" s="42" t="s">
        <v>746</v>
      </c>
      <c r="D190" s="44" t="s">
        <v>748</v>
      </c>
      <c r="E190" s="42" t="s">
        <v>3239</v>
      </c>
      <c r="F190" s="42" t="s">
        <v>3582</v>
      </c>
      <c r="G190" s="44" t="s">
        <v>1998</v>
      </c>
      <c r="H190" s="41" t="s">
        <v>3351</v>
      </c>
      <c r="I190" s="42" t="s">
        <v>3352</v>
      </c>
      <c r="J190" s="41"/>
    </row>
    <row r="191" customFormat="false" ht="41.75" hidden="false" customHeight="false" outlineLevel="0" collapsed="false">
      <c r="A191" s="41" t="s">
        <v>190</v>
      </c>
      <c r="B191" s="41" t="s">
        <v>745</v>
      </c>
      <c r="C191" s="42" t="s">
        <v>746</v>
      </c>
      <c r="D191" s="44" t="s">
        <v>748</v>
      </c>
      <c r="E191" s="42" t="s">
        <v>881</v>
      </c>
      <c r="F191" s="42" t="s">
        <v>3583</v>
      </c>
      <c r="G191" s="44" t="s">
        <v>3135</v>
      </c>
      <c r="H191" s="41" t="s">
        <v>3219</v>
      </c>
      <c r="I191" s="42" t="s">
        <v>3584</v>
      </c>
      <c r="J191" s="41"/>
    </row>
    <row r="192" customFormat="false" ht="28.35" hidden="false" customHeight="false" outlineLevel="0" collapsed="false">
      <c r="A192" s="41" t="s">
        <v>190</v>
      </c>
      <c r="B192" s="41" t="s">
        <v>745</v>
      </c>
      <c r="C192" s="42" t="s">
        <v>746</v>
      </c>
      <c r="D192" s="44" t="s">
        <v>748</v>
      </c>
      <c r="E192" s="42" t="s">
        <v>433</v>
      </c>
      <c r="F192" s="42" t="s">
        <v>3585</v>
      </c>
      <c r="G192" s="44" t="s">
        <v>3586</v>
      </c>
      <c r="H192" s="41" t="s">
        <v>3233</v>
      </c>
      <c r="I192" s="42" t="s">
        <v>3234</v>
      </c>
      <c r="J192" s="41"/>
    </row>
    <row r="193" customFormat="false" ht="41.75" hidden="false" customHeight="false" outlineLevel="0" collapsed="false">
      <c r="A193" s="41" t="s">
        <v>190</v>
      </c>
      <c r="B193" s="41" t="s">
        <v>745</v>
      </c>
      <c r="C193" s="42" t="s">
        <v>746</v>
      </c>
      <c r="D193" s="44" t="s">
        <v>748</v>
      </c>
      <c r="E193" s="42" t="s">
        <v>3587</v>
      </c>
      <c r="F193" s="42" t="s">
        <v>3583</v>
      </c>
      <c r="G193" s="44" t="s">
        <v>3135</v>
      </c>
      <c r="H193" s="41" t="s">
        <v>3219</v>
      </c>
      <c r="I193" s="42" t="s">
        <v>3588</v>
      </c>
      <c r="J193" s="41"/>
    </row>
    <row r="194" customFormat="false" ht="41.75" hidden="false" customHeight="false" outlineLevel="0" collapsed="false">
      <c r="A194" s="41" t="s">
        <v>190</v>
      </c>
      <c r="B194" s="41" t="s">
        <v>745</v>
      </c>
      <c r="C194" s="42" t="s">
        <v>746</v>
      </c>
      <c r="D194" s="44" t="s">
        <v>748</v>
      </c>
      <c r="E194" s="42" t="s">
        <v>583</v>
      </c>
      <c r="F194" s="42" t="s">
        <v>3589</v>
      </c>
      <c r="G194" s="44" t="s">
        <v>3590</v>
      </c>
      <c r="H194" s="41" t="s">
        <v>3252</v>
      </c>
      <c r="I194" s="42" t="s">
        <v>3253</v>
      </c>
      <c r="J194" s="41"/>
    </row>
    <row r="195" customFormat="false" ht="41.75" hidden="false" customHeight="false" outlineLevel="0" collapsed="false">
      <c r="A195" s="41" t="s">
        <v>190</v>
      </c>
      <c r="B195" s="41" t="s">
        <v>281</v>
      </c>
      <c r="C195" s="42" t="s">
        <v>282</v>
      </c>
      <c r="D195" s="44" t="s">
        <v>287</v>
      </c>
      <c r="E195" s="42" t="s">
        <v>753</v>
      </c>
      <c r="F195" s="42" t="s">
        <v>3591</v>
      </c>
      <c r="G195" s="44" t="s">
        <v>3135</v>
      </c>
      <c r="H195" s="41" t="s">
        <v>3219</v>
      </c>
      <c r="I195" s="42" t="s">
        <v>3592</v>
      </c>
      <c r="J195" s="41"/>
    </row>
    <row r="196" customFormat="false" ht="41.75" hidden="false" customHeight="false" outlineLevel="0" collapsed="false">
      <c r="A196" s="41" t="s">
        <v>190</v>
      </c>
      <c r="B196" s="41" t="s">
        <v>296</v>
      </c>
      <c r="C196" s="42" t="s">
        <v>297</v>
      </c>
      <c r="D196" s="44" t="s">
        <v>300</v>
      </c>
      <c r="E196" s="42" t="s">
        <v>3239</v>
      </c>
      <c r="F196" s="42" t="s">
        <v>3593</v>
      </c>
      <c r="G196" s="44" t="s">
        <v>3594</v>
      </c>
      <c r="H196" s="41" t="s">
        <v>3242</v>
      </c>
      <c r="I196" s="42" t="s">
        <v>3243</v>
      </c>
      <c r="J196" s="41"/>
    </row>
    <row r="197" customFormat="false" ht="41.75" hidden="false" customHeight="false" outlineLevel="0" collapsed="false">
      <c r="A197" s="41" t="s">
        <v>190</v>
      </c>
      <c r="B197" s="41" t="s">
        <v>296</v>
      </c>
      <c r="C197" s="42" t="s">
        <v>297</v>
      </c>
      <c r="D197" s="44" t="s">
        <v>300</v>
      </c>
      <c r="E197" s="42" t="s">
        <v>881</v>
      </c>
      <c r="F197" s="42" t="s">
        <v>3595</v>
      </c>
      <c r="G197" s="44" t="s">
        <v>3135</v>
      </c>
      <c r="H197" s="41" t="s">
        <v>3219</v>
      </c>
      <c r="I197" s="42" t="s">
        <v>3596</v>
      </c>
      <c r="J197" s="41"/>
    </row>
    <row r="198" customFormat="false" ht="68.65" hidden="false" customHeight="false" outlineLevel="0" collapsed="false">
      <c r="A198" s="41" t="s">
        <v>190</v>
      </c>
      <c r="B198" s="41" t="s">
        <v>296</v>
      </c>
      <c r="C198" s="42" t="s">
        <v>297</v>
      </c>
      <c r="D198" s="44" t="s">
        <v>300</v>
      </c>
      <c r="E198" s="42" t="s">
        <v>3597</v>
      </c>
      <c r="F198" s="42" t="s">
        <v>3595</v>
      </c>
      <c r="G198" s="44" t="s">
        <v>3598</v>
      </c>
      <c r="H198" s="41" t="s">
        <v>3248</v>
      </c>
      <c r="I198" s="42" t="s">
        <v>3599</v>
      </c>
      <c r="J198" s="44" t="s">
        <v>3135</v>
      </c>
    </row>
    <row r="199" customFormat="false" ht="41.75" hidden="false" customHeight="false" outlineLevel="0" collapsed="false">
      <c r="A199" s="41" t="s">
        <v>190</v>
      </c>
      <c r="B199" s="41" t="s">
        <v>305</v>
      </c>
      <c r="C199" s="42" t="s">
        <v>306</v>
      </c>
      <c r="D199" s="44" t="s">
        <v>308</v>
      </c>
      <c r="E199" s="42" t="s">
        <v>881</v>
      </c>
      <c r="F199" s="42" t="s">
        <v>3600</v>
      </c>
      <c r="G199" s="44" t="s">
        <v>3135</v>
      </c>
      <c r="H199" s="41" t="s">
        <v>3219</v>
      </c>
      <c r="I199" s="42" t="s">
        <v>3601</v>
      </c>
      <c r="J199" s="41"/>
    </row>
    <row r="200" customFormat="false" ht="28.35" hidden="false" customHeight="false" outlineLevel="0" collapsed="false">
      <c r="A200" s="41" t="s">
        <v>190</v>
      </c>
      <c r="B200" s="41" t="s">
        <v>305</v>
      </c>
      <c r="C200" s="42" t="s">
        <v>306</v>
      </c>
      <c r="D200" s="44" t="s">
        <v>308</v>
      </c>
      <c r="E200" s="42" t="s">
        <v>433</v>
      </c>
      <c r="F200" s="42" t="s">
        <v>3602</v>
      </c>
      <c r="G200" s="44" t="s">
        <v>3603</v>
      </c>
      <c r="H200" s="41" t="s">
        <v>3233</v>
      </c>
      <c r="I200" s="42" t="s">
        <v>3234</v>
      </c>
      <c r="J200" s="41"/>
    </row>
    <row r="201" customFormat="false" ht="55.2" hidden="false" customHeight="false" outlineLevel="0" collapsed="false">
      <c r="A201" s="41" t="s">
        <v>190</v>
      </c>
      <c r="B201" s="41" t="s">
        <v>305</v>
      </c>
      <c r="C201" s="42" t="s">
        <v>306</v>
      </c>
      <c r="D201" s="44" t="s">
        <v>308</v>
      </c>
      <c r="E201" s="42" t="s">
        <v>3604</v>
      </c>
      <c r="F201" s="42" t="s">
        <v>3600</v>
      </c>
      <c r="G201" s="44" t="s">
        <v>3605</v>
      </c>
      <c r="H201" s="41" t="s">
        <v>3248</v>
      </c>
      <c r="I201" s="42" t="s">
        <v>3606</v>
      </c>
      <c r="J201" s="44" t="s">
        <v>3135</v>
      </c>
    </row>
    <row r="202" customFormat="false" ht="28.35" hidden="false" customHeight="false" outlineLevel="0" collapsed="false">
      <c r="A202" s="41" t="s">
        <v>190</v>
      </c>
      <c r="B202" s="41" t="s">
        <v>760</v>
      </c>
      <c r="C202" s="42" t="s">
        <v>761</v>
      </c>
      <c r="D202" s="44" t="s">
        <v>762</v>
      </c>
      <c r="E202" s="42" t="s">
        <v>433</v>
      </c>
      <c r="F202" s="42" t="s">
        <v>3607</v>
      </c>
      <c r="G202" s="44" t="s">
        <v>3608</v>
      </c>
      <c r="H202" s="41" t="s">
        <v>3233</v>
      </c>
      <c r="I202" s="42" t="s">
        <v>3234</v>
      </c>
      <c r="J202" s="41"/>
    </row>
    <row r="203" customFormat="false" ht="28.35" hidden="false" customHeight="false" outlineLevel="0" collapsed="false">
      <c r="A203" s="41" t="s">
        <v>190</v>
      </c>
      <c r="B203" s="41" t="s">
        <v>348</v>
      </c>
      <c r="C203" s="42" t="s">
        <v>349</v>
      </c>
      <c r="D203" s="44" t="s">
        <v>350</v>
      </c>
      <c r="E203" s="42" t="s">
        <v>433</v>
      </c>
      <c r="F203" s="42" t="s">
        <v>3609</v>
      </c>
      <c r="G203" s="44" t="s">
        <v>3610</v>
      </c>
      <c r="H203" s="41" t="s">
        <v>3233</v>
      </c>
      <c r="I203" s="42" t="s">
        <v>3234</v>
      </c>
      <c r="J203" s="41"/>
    </row>
    <row r="204" customFormat="false" ht="41.75" hidden="false" customHeight="false" outlineLevel="0" collapsed="false">
      <c r="A204" s="41" t="s">
        <v>190</v>
      </c>
      <c r="B204" s="41" t="s">
        <v>356</v>
      </c>
      <c r="C204" s="42" t="s">
        <v>357</v>
      </c>
      <c r="D204" s="44" t="s">
        <v>358</v>
      </c>
      <c r="E204" s="42" t="s">
        <v>3239</v>
      </c>
      <c r="F204" s="42" t="s">
        <v>3611</v>
      </c>
      <c r="G204" s="44" t="s">
        <v>3612</v>
      </c>
      <c r="H204" s="41" t="s">
        <v>3242</v>
      </c>
      <c r="I204" s="42" t="s">
        <v>3243</v>
      </c>
      <c r="J204" s="41"/>
    </row>
    <row r="205" customFormat="false" ht="55.2" hidden="false" customHeight="false" outlineLevel="0" collapsed="false">
      <c r="A205" s="41" t="s">
        <v>190</v>
      </c>
      <c r="B205" s="41" t="s">
        <v>356</v>
      </c>
      <c r="C205" s="42" t="s">
        <v>357</v>
      </c>
      <c r="D205" s="44" t="s">
        <v>358</v>
      </c>
      <c r="E205" s="42" t="s">
        <v>3613</v>
      </c>
      <c r="F205" s="42" t="s">
        <v>3614</v>
      </c>
      <c r="G205" s="44" t="s">
        <v>3615</v>
      </c>
      <c r="H205" s="41" t="s">
        <v>3248</v>
      </c>
      <c r="I205" s="42" t="s">
        <v>3616</v>
      </c>
      <c r="J205" s="44" t="s">
        <v>3135</v>
      </c>
    </row>
    <row r="206" customFormat="false" ht="55.2" hidden="false" customHeight="false" outlineLevel="0" collapsed="false">
      <c r="A206" s="41" t="s">
        <v>190</v>
      </c>
      <c r="B206" s="41" t="s">
        <v>694</v>
      </c>
      <c r="C206" s="42" t="s">
        <v>695</v>
      </c>
      <c r="D206" s="44" t="s">
        <v>697</v>
      </c>
      <c r="E206" s="42" t="s">
        <v>772</v>
      </c>
      <c r="F206" s="42" t="s">
        <v>3617</v>
      </c>
      <c r="G206" s="44" t="s">
        <v>3618</v>
      </c>
      <c r="H206" s="41" t="s">
        <v>3248</v>
      </c>
      <c r="I206" s="42" t="s">
        <v>3619</v>
      </c>
      <c r="J206" s="44" t="s">
        <v>3135</v>
      </c>
    </row>
    <row r="207" customFormat="false" ht="41.75" hidden="false" customHeight="false" outlineLevel="0" collapsed="false">
      <c r="A207" s="41" t="s">
        <v>190</v>
      </c>
      <c r="B207" s="41" t="s">
        <v>774</v>
      </c>
      <c r="C207" s="42" t="s">
        <v>775</v>
      </c>
      <c r="D207" s="44" t="s">
        <v>777</v>
      </c>
      <c r="E207" s="42" t="s">
        <v>881</v>
      </c>
      <c r="F207" s="42" t="s">
        <v>3620</v>
      </c>
      <c r="G207" s="44" t="s">
        <v>3135</v>
      </c>
      <c r="H207" s="41" t="s">
        <v>3219</v>
      </c>
      <c r="I207" s="42" t="s">
        <v>3621</v>
      </c>
      <c r="J207" s="41"/>
    </row>
    <row r="208" customFormat="false" ht="55.2" hidden="false" customHeight="false" outlineLevel="0" collapsed="false">
      <c r="A208" s="41" t="s">
        <v>190</v>
      </c>
      <c r="B208" s="41" t="s">
        <v>774</v>
      </c>
      <c r="C208" s="42" t="s">
        <v>775</v>
      </c>
      <c r="D208" s="44" t="s">
        <v>777</v>
      </c>
      <c r="E208" s="42" t="s">
        <v>3622</v>
      </c>
      <c r="F208" s="42" t="s">
        <v>3620</v>
      </c>
      <c r="G208" s="44" t="s">
        <v>3623</v>
      </c>
      <c r="H208" s="41" t="s">
        <v>3248</v>
      </c>
      <c r="I208" s="42" t="s">
        <v>3624</v>
      </c>
      <c r="J208" s="44" t="s">
        <v>3135</v>
      </c>
    </row>
    <row r="209" customFormat="false" ht="28.35" hidden="false" customHeight="false" outlineLevel="0" collapsed="false">
      <c r="A209" s="41" t="s">
        <v>190</v>
      </c>
      <c r="B209" s="41" t="s">
        <v>606</v>
      </c>
      <c r="C209" s="42" t="s">
        <v>607</v>
      </c>
      <c r="D209" s="44" t="s">
        <v>608</v>
      </c>
      <c r="E209" s="42" t="s">
        <v>433</v>
      </c>
      <c r="F209" s="42" t="s">
        <v>3625</v>
      </c>
      <c r="G209" s="44" t="s">
        <v>3626</v>
      </c>
      <c r="H209" s="41" t="s">
        <v>3233</v>
      </c>
      <c r="I209" s="42" t="s">
        <v>3234</v>
      </c>
      <c r="J209" s="41"/>
    </row>
    <row r="210" customFormat="false" ht="55.2" hidden="false" customHeight="false" outlineLevel="0" collapsed="false">
      <c r="A210" s="41" t="s">
        <v>190</v>
      </c>
      <c r="B210" s="41" t="s">
        <v>606</v>
      </c>
      <c r="C210" s="42" t="s">
        <v>607</v>
      </c>
      <c r="D210" s="44" t="s">
        <v>608</v>
      </c>
      <c r="E210" s="42" t="s">
        <v>3627</v>
      </c>
      <c r="F210" s="42" t="s">
        <v>3628</v>
      </c>
      <c r="G210" s="44" t="s">
        <v>3629</v>
      </c>
      <c r="H210" s="41" t="s">
        <v>3248</v>
      </c>
      <c r="I210" s="42" t="s">
        <v>3630</v>
      </c>
      <c r="J210" s="44" t="s">
        <v>3135</v>
      </c>
    </row>
    <row r="211" customFormat="false" ht="41.75" hidden="false" customHeight="false" outlineLevel="0" collapsed="false">
      <c r="A211" s="41" t="s">
        <v>190</v>
      </c>
      <c r="B211" s="41" t="s">
        <v>444</v>
      </c>
      <c r="C211" s="42" t="s">
        <v>445</v>
      </c>
      <c r="D211" s="44" t="s">
        <v>447</v>
      </c>
      <c r="E211" s="42" t="s">
        <v>3239</v>
      </c>
      <c r="F211" s="42" t="s">
        <v>3631</v>
      </c>
      <c r="G211" s="44" t="s">
        <v>2933</v>
      </c>
      <c r="H211" s="41" t="s">
        <v>3242</v>
      </c>
      <c r="I211" s="42" t="s">
        <v>3243</v>
      </c>
      <c r="J211" s="41"/>
    </row>
    <row r="212" customFormat="false" ht="41.75" hidden="false" customHeight="false" outlineLevel="0" collapsed="false">
      <c r="A212" s="41" t="s">
        <v>190</v>
      </c>
      <c r="B212" s="41" t="s">
        <v>444</v>
      </c>
      <c r="C212" s="42" t="s">
        <v>445</v>
      </c>
      <c r="D212" s="44" t="s">
        <v>447</v>
      </c>
      <c r="E212" s="42" t="s">
        <v>881</v>
      </c>
      <c r="F212" s="42" t="s">
        <v>3632</v>
      </c>
      <c r="G212" s="44" t="s">
        <v>3135</v>
      </c>
      <c r="H212" s="41" t="s">
        <v>3219</v>
      </c>
      <c r="I212" s="42" t="s">
        <v>3633</v>
      </c>
      <c r="J212" s="41"/>
    </row>
    <row r="213" customFormat="false" ht="28.35" hidden="false" customHeight="false" outlineLevel="0" collapsed="false">
      <c r="A213" s="41" t="s">
        <v>190</v>
      </c>
      <c r="B213" s="41" t="s">
        <v>444</v>
      </c>
      <c r="C213" s="42" t="s">
        <v>445</v>
      </c>
      <c r="D213" s="44" t="s">
        <v>447</v>
      </c>
      <c r="E213" s="42" t="s">
        <v>433</v>
      </c>
      <c r="F213" s="42" t="s">
        <v>3634</v>
      </c>
      <c r="G213" s="44" t="s">
        <v>3635</v>
      </c>
      <c r="H213" s="41" t="s">
        <v>3233</v>
      </c>
      <c r="I213" s="42" t="s">
        <v>3234</v>
      </c>
      <c r="J213" s="41"/>
    </row>
    <row r="214" customFormat="false" ht="82.05" hidden="false" customHeight="false" outlineLevel="0" collapsed="false">
      <c r="A214" s="41" t="s">
        <v>190</v>
      </c>
      <c r="B214" s="41" t="s">
        <v>444</v>
      </c>
      <c r="C214" s="42" t="s">
        <v>445</v>
      </c>
      <c r="D214" s="44" t="s">
        <v>447</v>
      </c>
      <c r="E214" s="42" t="s">
        <v>3636</v>
      </c>
      <c r="F214" s="42" t="s">
        <v>3632</v>
      </c>
      <c r="G214" s="44" t="s">
        <v>3637</v>
      </c>
      <c r="H214" s="41" t="s">
        <v>3248</v>
      </c>
      <c r="I214" s="42" t="s">
        <v>3638</v>
      </c>
      <c r="J214" s="44" t="s">
        <v>3135</v>
      </c>
    </row>
    <row r="215" customFormat="false" ht="41.75" hidden="false" customHeight="false" outlineLevel="0" collapsed="false">
      <c r="A215" s="41" t="s">
        <v>190</v>
      </c>
      <c r="B215" s="41" t="s">
        <v>444</v>
      </c>
      <c r="C215" s="42" t="s">
        <v>445</v>
      </c>
      <c r="D215" s="44" t="s">
        <v>447</v>
      </c>
      <c r="E215" s="42" t="s">
        <v>583</v>
      </c>
      <c r="F215" s="42" t="s">
        <v>3639</v>
      </c>
      <c r="G215" s="44" t="s">
        <v>3640</v>
      </c>
      <c r="H215" s="41" t="s">
        <v>3252</v>
      </c>
      <c r="I215" s="42" t="s">
        <v>3253</v>
      </c>
      <c r="J215" s="41"/>
    </row>
    <row r="216" customFormat="false" ht="28.35" hidden="false" customHeight="false" outlineLevel="0" collapsed="false">
      <c r="A216" s="41" t="s">
        <v>190</v>
      </c>
      <c r="B216" s="41" t="s">
        <v>789</v>
      </c>
      <c r="C216" s="42" t="s">
        <v>790</v>
      </c>
      <c r="D216" s="44" t="s">
        <v>791</v>
      </c>
      <c r="E216" s="42" t="s">
        <v>3239</v>
      </c>
      <c r="F216" s="42" t="s">
        <v>3641</v>
      </c>
      <c r="G216" s="44" t="s">
        <v>1992</v>
      </c>
      <c r="H216" s="41" t="s">
        <v>3351</v>
      </c>
      <c r="I216" s="42" t="s">
        <v>3352</v>
      </c>
      <c r="J216" s="41"/>
    </row>
    <row r="217" customFormat="false" ht="41.75" hidden="false" customHeight="false" outlineLevel="0" collapsed="false">
      <c r="A217" s="41" t="s">
        <v>190</v>
      </c>
      <c r="B217" s="41" t="s">
        <v>789</v>
      </c>
      <c r="C217" s="42" t="s">
        <v>790</v>
      </c>
      <c r="D217" s="44" t="s">
        <v>791</v>
      </c>
      <c r="E217" s="42" t="s">
        <v>881</v>
      </c>
      <c r="F217" s="42" t="s">
        <v>3600</v>
      </c>
      <c r="G217" s="44" t="s">
        <v>3135</v>
      </c>
      <c r="H217" s="41" t="s">
        <v>3219</v>
      </c>
      <c r="I217" s="42" t="s">
        <v>3642</v>
      </c>
      <c r="J217" s="41"/>
    </row>
    <row r="218" customFormat="false" ht="55.2" hidden="false" customHeight="false" outlineLevel="0" collapsed="false">
      <c r="A218" s="41" t="s">
        <v>190</v>
      </c>
      <c r="B218" s="41" t="s">
        <v>789</v>
      </c>
      <c r="C218" s="42" t="s">
        <v>790</v>
      </c>
      <c r="D218" s="44" t="s">
        <v>791</v>
      </c>
      <c r="E218" s="42" t="s">
        <v>3643</v>
      </c>
      <c r="F218" s="42" t="s">
        <v>3600</v>
      </c>
      <c r="G218" s="44" t="s">
        <v>3644</v>
      </c>
      <c r="H218" s="41" t="s">
        <v>3248</v>
      </c>
      <c r="I218" s="42" t="s">
        <v>3645</v>
      </c>
      <c r="J218" s="44" t="s">
        <v>3135</v>
      </c>
    </row>
    <row r="219" customFormat="false" ht="41.75" hidden="false" customHeight="false" outlineLevel="0" collapsed="false">
      <c r="A219" s="41" t="s">
        <v>190</v>
      </c>
      <c r="B219" s="41" t="s">
        <v>714</v>
      </c>
      <c r="C219" s="42" t="s">
        <v>715</v>
      </c>
      <c r="D219" s="44" t="s">
        <v>716</v>
      </c>
      <c r="E219" s="42" t="s">
        <v>433</v>
      </c>
      <c r="F219" s="42" t="s">
        <v>3646</v>
      </c>
      <c r="G219" s="44" t="s">
        <v>3647</v>
      </c>
      <c r="H219" s="41" t="s">
        <v>3233</v>
      </c>
      <c r="I219" s="42" t="s">
        <v>3234</v>
      </c>
      <c r="J219" s="41"/>
    </row>
    <row r="220" customFormat="false" ht="41.75" hidden="false" customHeight="false" outlineLevel="0" collapsed="false">
      <c r="A220" s="41" t="s">
        <v>190</v>
      </c>
      <c r="B220" s="41" t="s">
        <v>487</v>
      </c>
      <c r="C220" s="42" t="s">
        <v>488</v>
      </c>
      <c r="D220" s="44" t="s">
        <v>490</v>
      </c>
      <c r="E220" s="42" t="s">
        <v>422</v>
      </c>
      <c r="F220" s="42" t="s">
        <v>3648</v>
      </c>
      <c r="G220" s="44" t="s">
        <v>3135</v>
      </c>
      <c r="H220" s="41" t="s">
        <v>3219</v>
      </c>
      <c r="I220" s="42" t="s">
        <v>3649</v>
      </c>
      <c r="J220" s="41"/>
    </row>
    <row r="221" customFormat="false" ht="41.75" hidden="false" customHeight="false" outlineLevel="0" collapsed="false">
      <c r="A221" s="41" t="s">
        <v>190</v>
      </c>
      <c r="B221" s="41" t="s">
        <v>503</v>
      </c>
      <c r="C221" s="42" t="s">
        <v>504</v>
      </c>
      <c r="D221" s="44" t="s">
        <v>506</v>
      </c>
      <c r="E221" s="42" t="s">
        <v>3239</v>
      </c>
      <c r="F221" s="42" t="s">
        <v>3650</v>
      </c>
      <c r="G221" s="44" t="s">
        <v>1666</v>
      </c>
      <c r="H221" s="41" t="s">
        <v>3351</v>
      </c>
      <c r="I221" s="42" t="s">
        <v>3352</v>
      </c>
      <c r="J221" s="41"/>
    </row>
    <row r="222" customFormat="false" ht="41.75" hidden="false" customHeight="false" outlineLevel="0" collapsed="false">
      <c r="A222" s="41" t="s">
        <v>190</v>
      </c>
      <c r="B222" s="41" t="s">
        <v>503</v>
      </c>
      <c r="C222" s="42" t="s">
        <v>504</v>
      </c>
      <c r="D222" s="44" t="s">
        <v>506</v>
      </c>
      <c r="E222" s="42" t="s">
        <v>881</v>
      </c>
      <c r="F222" s="42" t="s">
        <v>3595</v>
      </c>
      <c r="G222" s="44" t="s">
        <v>3135</v>
      </c>
      <c r="H222" s="41" t="s">
        <v>3219</v>
      </c>
      <c r="I222" s="42" t="s">
        <v>3651</v>
      </c>
      <c r="J222" s="41"/>
    </row>
    <row r="223" customFormat="false" ht="55.2" hidden="false" customHeight="false" outlineLevel="0" collapsed="false">
      <c r="A223" s="41" t="s">
        <v>190</v>
      </c>
      <c r="B223" s="41" t="s">
        <v>503</v>
      </c>
      <c r="C223" s="42" t="s">
        <v>504</v>
      </c>
      <c r="D223" s="44" t="s">
        <v>506</v>
      </c>
      <c r="E223" s="42" t="s">
        <v>3652</v>
      </c>
      <c r="F223" s="42" t="s">
        <v>3595</v>
      </c>
      <c r="G223" s="44" t="s">
        <v>3653</v>
      </c>
      <c r="H223" s="41" t="s">
        <v>3248</v>
      </c>
      <c r="I223" s="42" t="s">
        <v>3654</v>
      </c>
      <c r="J223" s="44" t="s">
        <v>3135</v>
      </c>
    </row>
    <row r="224" customFormat="false" ht="41.75" hidden="false" customHeight="false" outlineLevel="0" collapsed="false">
      <c r="A224" s="41" t="s">
        <v>190</v>
      </c>
      <c r="B224" s="41" t="s">
        <v>799</v>
      </c>
      <c r="C224" s="42" t="s">
        <v>800</v>
      </c>
      <c r="D224" s="44" t="s">
        <v>802</v>
      </c>
      <c r="E224" s="42" t="s">
        <v>3239</v>
      </c>
      <c r="F224" s="42" t="s">
        <v>3655</v>
      </c>
      <c r="G224" s="44" t="s">
        <v>1988</v>
      </c>
      <c r="H224" s="41" t="s">
        <v>3351</v>
      </c>
      <c r="I224" s="42" t="s">
        <v>3352</v>
      </c>
      <c r="J224" s="41"/>
    </row>
    <row r="225" customFormat="false" ht="41.75" hidden="false" customHeight="false" outlineLevel="0" collapsed="false">
      <c r="A225" s="41" t="s">
        <v>190</v>
      </c>
      <c r="B225" s="41" t="s">
        <v>799</v>
      </c>
      <c r="C225" s="42" t="s">
        <v>800</v>
      </c>
      <c r="D225" s="44" t="s">
        <v>802</v>
      </c>
      <c r="E225" s="42" t="s">
        <v>881</v>
      </c>
      <c r="F225" s="42" t="s">
        <v>3600</v>
      </c>
      <c r="G225" s="44" t="s">
        <v>3135</v>
      </c>
      <c r="H225" s="41" t="s">
        <v>3219</v>
      </c>
      <c r="I225" s="42" t="s">
        <v>3656</v>
      </c>
      <c r="J225" s="41"/>
    </row>
    <row r="226" customFormat="false" ht="28.35" hidden="false" customHeight="false" outlineLevel="0" collapsed="false">
      <c r="A226" s="41" t="s">
        <v>190</v>
      </c>
      <c r="B226" s="41" t="s">
        <v>799</v>
      </c>
      <c r="C226" s="42" t="s">
        <v>800</v>
      </c>
      <c r="D226" s="44" t="s">
        <v>802</v>
      </c>
      <c r="E226" s="42" t="s">
        <v>433</v>
      </c>
      <c r="F226" s="42" t="s">
        <v>3657</v>
      </c>
      <c r="G226" s="44" t="s">
        <v>3658</v>
      </c>
      <c r="H226" s="41" t="s">
        <v>3233</v>
      </c>
      <c r="I226" s="42" t="s">
        <v>3234</v>
      </c>
      <c r="J226" s="41"/>
    </row>
    <row r="227" customFormat="false" ht="55.2" hidden="false" customHeight="false" outlineLevel="0" collapsed="false">
      <c r="A227" s="41" t="s">
        <v>190</v>
      </c>
      <c r="B227" s="41" t="s">
        <v>799</v>
      </c>
      <c r="C227" s="42" t="s">
        <v>800</v>
      </c>
      <c r="D227" s="44" t="s">
        <v>802</v>
      </c>
      <c r="E227" s="42" t="s">
        <v>3659</v>
      </c>
      <c r="F227" s="42" t="s">
        <v>3600</v>
      </c>
      <c r="G227" s="44" t="s">
        <v>3660</v>
      </c>
      <c r="H227" s="41" t="s">
        <v>3248</v>
      </c>
      <c r="I227" s="42" t="s">
        <v>3661</v>
      </c>
      <c r="J227" s="44" t="s">
        <v>3135</v>
      </c>
    </row>
    <row r="228" customFormat="false" ht="41.75" hidden="false" customHeight="false" outlineLevel="0" collapsed="false">
      <c r="A228" s="41" t="s">
        <v>190</v>
      </c>
      <c r="B228" s="41" t="s">
        <v>799</v>
      </c>
      <c r="C228" s="42" t="s">
        <v>800</v>
      </c>
      <c r="D228" s="44" t="s">
        <v>802</v>
      </c>
      <c r="E228" s="42" t="s">
        <v>583</v>
      </c>
      <c r="F228" s="42" t="s">
        <v>3662</v>
      </c>
      <c r="G228" s="44" t="s">
        <v>3663</v>
      </c>
      <c r="H228" s="41" t="s">
        <v>3252</v>
      </c>
      <c r="I228" s="42" t="s">
        <v>3253</v>
      </c>
      <c r="J228" s="41"/>
    </row>
    <row r="229" customFormat="false" ht="28.35" hidden="false" customHeight="false" outlineLevel="0" collapsed="false">
      <c r="A229" s="41" t="s">
        <v>190</v>
      </c>
      <c r="B229" s="41" t="s">
        <v>510</v>
      </c>
      <c r="C229" s="42" t="s">
        <v>511</v>
      </c>
      <c r="D229" s="44" t="s">
        <v>513</v>
      </c>
      <c r="E229" s="42" t="s">
        <v>3239</v>
      </c>
      <c r="F229" s="42" t="s">
        <v>3664</v>
      </c>
      <c r="G229" s="44" t="s">
        <v>3665</v>
      </c>
      <c r="H229" s="41" t="s">
        <v>3242</v>
      </c>
      <c r="I229" s="42" t="s">
        <v>3243</v>
      </c>
      <c r="J229" s="41"/>
    </row>
    <row r="230" customFormat="false" ht="55.2" hidden="false" customHeight="false" outlineLevel="0" collapsed="false">
      <c r="A230" s="41" t="s">
        <v>190</v>
      </c>
      <c r="B230" s="41" t="s">
        <v>510</v>
      </c>
      <c r="C230" s="42" t="s">
        <v>511</v>
      </c>
      <c r="D230" s="44" t="s">
        <v>513</v>
      </c>
      <c r="E230" s="42" t="s">
        <v>3652</v>
      </c>
      <c r="F230" s="42" t="s">
        <v>3666</v>
      </c>
      <c r="G230" s="44" t="s">
        <v>3667</v>
      </c>
      <c r="H230" s="41" t="s">
        <v>3248</v>
      </c>
      <c r="I230" s="42" t="s">
        <v>3668</v>
      </c>
      <c r="J230" s="44" t="s">
        <v>3135</v>
      </c>
    </row>
    <row r="231" customFormat="false" ht="28.35" hidden="false" customHeight="false" outlineLevel="0" collapsed="false">
      <c r="A231" s="41" t="s">
        <v>190</v>
      </c>
      <c r="B231" s="41" t="s">
        <v>809</v>
      </c>
      <c r="C231" s="42" t="s">
        <v>810</v>
      </c>
      <c r="D231" s="44" t="s">
        <v>811</v>
      </c>
      <c r="E231" s="42" t="s">
        <v>433</v>
      </c>
      <c r="F231" s="42" t="s">
        <v>3669</v>
      </c>
      <c r="G231" s="44" t="s">
        <v>3670</v>
      </c>
      <c r="H231" s="41" t="s">
        <v>3233</v>
      </c>
      <c r="I231" s="42" t="s">
        <v>3234</v>
      </c>
      <c r="J231" s="41"/>
    </row>
    <row r="232" customFormat="false" ht="28.35" hidden="false" customHeight="false" outlineLevel="0" collapsed="false">
      <c r="A232" s="41" t="s">
        <v>190</v>
      </c>
      <c r="B232" s="41" t="s">
        <v>635</v>
      </c>
      <c r="C232" s="42" t="s">
        <v>636</v>
      </c>
      <c r="D232" s="44" t="s">
        <v>637</v>
      </c>
      <c r="E232" s="42" t="s">
        <v>3239</v>
      </c>
      <c r="F232" s="42" t="s">
        <v>3671</v>
      </c>
      <c r="G232" s="44" t="s">
        <v>1980</v>
      </c>
      <c r="H232" s="41" t="s">
        <v>3351</v>
      </c>
      <c r="I232" s="42" t="s">
        <v>3352</v>
      </c>
      <c r="J232" s="41"/>
    </row>
    <row r="233" customFormat="false" ht="41.75" hidden="false" customHeight="false" outlineLevel="0" collapsed="false">
      <c r="A233" s="41" t="s">
        <v>190</v>
      </c>
      <c r="B233" s="41" t="s">
        <v>635</v>
      </c>
      <c r="C233" s="42" t="s">
        <v>636</v>
      </c>
      <c r="D233" s="44" t="s">
        <v>637</v>
      </c>
      <c r="E233" s="42" t="s">
        <v>881</v>
      </c>
      <c r="F233" s="42" t="s">
        <v>3672</v>
      </c>
      <c r="G233" s="44" t="s">
        <v>3135</v>
      </c>
      <c r="H233" s="41" t="s">
        <v>3219</v>
      </c>
      <c r="I233" s="42" t="s">
        <v>3673</v>
      </c>
      <c r="J233" s="41"/>
    </row>
    <row r="234" customFormat="false" ht="41.75" hidden="false" customHeight="false" outlineLevel="0" collapsed="false">
      <c r="A234" s="41" t="s">
        <v>190</v>
      </c>
      <c r="B234" s="41" t="s">
        <v>635</v>
      </c>
      <c r="C234" s="42" t="s">
        <v>636</v>
      </c>
      <c r="D234" s="44" t="s">
        <v>637</v>
      </c>
      <c r="E234" s="42" t="s">
        <v>3674</v>
      </c>
      <c r="F234" s="42" t="s">
        <v>3672</v>
      </c>
      <c r="G234" s="44" t="s">
        <v>3135</v>
      </c>
      <c r="H234" s="41" t="s">
        <v>3219</v>
      </c>
      <c r="I234" s="42" t="s">
        <v>3675</v>
      </c>
      <c r="J234" s="41"/>
    </row>
    <row r="235" customFormat="false" ht="41.75" hidden="false" customHeight="false" outlineLevel="0" collapsed="false">
      <c r="A235" s="41" t="s">
        <v>191</v>
      </c>
      <c r="B235" s="41" t="s">
        <v>296</v>
      </c>
      <c r="C235" s="42" t="s">
        <v>297</v>
      </c>
      <c r="D235" s="44" t="s">
        <v>300</v>
      </c>
      <c r="E235" s="42" t="s">
        <v>818</v>
      </c>
      <c r="F235" s="42" t="s">
        <v>3676</v>
      </c>
      <c r="G235" s="44" t="s">
        <v>3135</v>
      </c>
      <c r="H235" s="41" t="s">
        <v>3219</v>
      </c>
      <c r="I235" s="42" t="s">
        <v>3677</v>
      </c>
      <c r="J235" s="41"/>
    </row>
    <row r="236" customFormat="false" ht="68.65" hidden="false" customHeight="false" outlineLevel="0" collapsed="false">
      <c r="A236" s="41" t="s">
        <v>191</v>
      </c>
      <c r="B236" s="41" t="s">
        <v>305</v>
      </c>
      <c r="C236" s="42" t="s">
        <v>306</v>
      </c>
      <c r="D236" s="44" t="s">
        <v>308</v>
      </c>
      <c r="E236" s="42" t="s">
        <v>3678</v>
      </c>
      <c r="F236" s="42" t="s">
        <v>3676</v>
      </c>
      <c r="G236" s="44" t="s">
        <v>3135</v>
      </c>
      <c r="H236" s="41" t="s">
        <v>3219</v>
      </c>
      <c r="I236" s="42" t="s">
        <v>3679</v>
      </c>
      <c r="J236" s="41"/>
    </row>
    <row r="237" customFormat="false" ht="41.75" hidden="false" customHeight="false" outlineLevel="0" collapsed="false">
      <c r="A237" s="41" t="s">
        <v>191</v>
      </c>
      <c r="B237" s="41" t="s">
        <v>305</v>
      </c>
      <c r="C237" s="42" t="s">
        <v>306</v>
      </c>
      <c r="D237" s="44" t="s">
        <v>308</v>
      </c>
      <c r="E237" s="42" t="s">
        <v>583</v>
      </c>
      <c r="F237" s="42" t="s">
        <v>3680</v>
      </c>
      <c r="G237" s="44" t="s">
        <v>3681</v>
      </c>
      <c r="H237" s="41" t="s">
        <v>3252</v>
      </c>
      <c r="I237" s="42" t="s">
        <v>3253</v>
      </c>
      <c r="J237" s="41"/>
    </row>
    <row r="238" customFormat="false" ht="28.35" hidden="false" customHeight="false" outlineLevel="0" collapsed="false">
      <c r="A238" s="41" t="s">
        <v>191</v>
      </c>
      <c r="B238" s="41" t="s">
        <v>694</v>
      </c>
      <c r="C238" s="42" t="s">
        <v>695</v>
      </c>
      <c r="D238" s="44" t="s">
        <v>697</v>
      </c>
      <c r="E238" s="42" t="s">
        <v>247</v>
      </c>
      <c r="F238" s="42" t="s">
        <v>3682</v>
      </c>
      <c r="G238" s="44" t="s">
        <v>3683</v>
      </c>
      <c r="H238" s="41" t="s">
        <v>3215</v>
      </c>
      <c r="I238" s="42" t="s">
        <v>3216</v>
      </c>
      <c r="J238" s="41"/>
    </row>
    <row r="239" customFormat="false" ht="28.35" hidden="false" customHeight="false" outlineLevel="0" collapsed="false">
      <c r="A239" s="41" t="s">
        <v>191</v>
      </c>
      <c r="B239" s="41" t="s">
        <v>694</v>
      </c>
      <c r="C239" s="42" t="s">
        <v>695</v>
      </c>
      <c r="D239" s="44" t="s">
        <v>697</v>
      </c>
      <c r="E239" s="42" t="s">
        <v>3239</v>
      </c>
      <c r="F239" s="42" t="s">
        <v>3684</v>
      </c>
      <c r="G239" s="44" t="s">
        <v>3685</v>
      </c>
      <c r="H239" s="41" t="s">
        <v>3242</v>
      </c>
      <c r="I239" s="42" t="s">
        <v>3243</v>
      </c>
      <c r="J239" s="41"/>
    </row>
    <row r="240" customFormat="false" ht="41.75" hidden="false" customHeight="false" outlineLevel="0" collapsed="false">
      <c r="A240" s="41" t="s">
        <v>191</v>
      </c>
      <c r="B240" s="41" t="s">
        <v>694</v>
      </c>
      <c r="C240" s="42" t="s">
        <v>695</v>
      </c>
      <c r="D240" s="44" t="s">
        <v>697</v>
      </c>
      <c r="E240" s="42" t="s">
        <v>881</v>
      </c>
      <c r="F240" s="42" t="s">
        <v>3686</v>
      </c>
      <c r="G240" s="44" t="s">
        <v>3135</v>
      </c>
      <c r="H240" s="41" t="s">
        <v>3219</v>
      </c>
      <c r="I240" s="42" t="s">
        <v>3687</v>
      </c>
      <c r="J240" s="41"/>
    </row>
    <row r="241" customFormat="false" ht="41.75" hidden="false" customHeight="false" outlineLevel="0" collapsed="false">
      <c r="A241" s="41" t="s">
        <v>191</v>
      </c>
      <c r="B241" s="41" t="s">
        <v>694</v>
      </c>
      <c r="C241" s="42" t="s">
        <v>695</v>
      </c>
      <c r="D241" s="44" t="s">
        <v>697</v>
      </c>
      <c r="E241" s="42" t="s">
        <v>3688</v>
      </c>
      <c r="F241" s="42" t="s">
        <v>3686</v>
      </c>
      <c r="G241" s="44" t="s">
        <v>3135</v>
      </c>
      <c r="H241" s="41" t="s">
        <v>3219</v>
      </c>
      <c r="I241" s="42" t="s">
        <v>3689</v>
      </c>
      <c r="J241" s="41"/>
    </row>
    <row r="242" customFormat="false" ht="28.35" hidden="false" customHeight="false" outlineLevel="0" collapsed="false">
      <c r="A242" s="41" t="s">
        <v>191</v>
      </c>
      <c r="B242" s="41" t="s">
        <v>262</v>
      </c>
      <c r="C242" s="42" t="s">
        <v>263</v>
      </c>
      <c r="D242" s="44" t="s">
        <v>264</v>
      </c>
      <c r="E242" s="42" t="s">
        <v>247</v>
      </c>
      <c r="F242" s="42" t="s">
        <v>3690</v>
      </c>
      <c r="G242" s="44" t="s">
        <v>3691</v>
      </c>
      <c r="H242" s="41" t="s">
        <v>3215</v>
      </c>
      <c r="I242" s="42" t="s">
        <v>3216</v>
      </c>
      <c r="J242" s="41"/>
    </row>
    <row r="243" customFormat="false" ht="41.75" hidden="false" customHeight="false" outlineLevel="0" collapsed="false">
      <c r="A243" s="41" t="s">
        <v>191</v>
      </c>
      <c r="B243" s="41" t="s">
        <v>262</v>
      </c>
      <c r="C243" s="42" t="s">
        <v>263</v>
      </c>
      <c r="D243" s="44" t="s">
        <v>264</v>
      </c>
      <c r="E243" s="42" t="s">
        <v>3239</v>
      </c>
      <c r="F243" s="42" t="s">
        <v>3692</v>
      </c>
      <c r="G243" s="44" t="s">
        <v>3693</v>
      </c>
      <c r="H243" s="41" t="s">
        <v>3242</v>
      </c>
      <c r="I243" s="42" t="s">
        <v>3243</v>
      </c>
      <c r="J243" s="41"/>
    </row>
    <row r="244" customFormat="false" ht="41.75" hidden="false" customHeight="false" outlineLevel="0" collapsed="false">
      <c r="A244" s="41" t="s">
        <v>191</v>
      </c>
      <c r="B244" s="41" t="s">
        <v>262</v>
      </c>
      <c r="C244" s="42" t="s">
        <v>263</v>
      </c>
      <c r="D244" s="44" t="s">
        <v>264</v>
      </c>
      <c r="E244" s="42" t="s">
        <v>881</v>
      </c>
      <c r="F244" s="42" t="s">
        <v>3694</v>
      </c>
      <c r="G244" s="44" t="s">
        <v>3135</v>
      </c>
      <c r="H244" s="41" t="s">
        <v>3219</v>
      </c>
      <c r="I244" s="42" t="s">
        <v>3695</v>
      </c>
      <c r="J244" s="41"/>
    </row>
    <row r="245" customFormat="false" ht="41.75" hidden="false" customHeight="false" outlineLevel="0" collapsed="false">
      <c r="A245" s="41" t="s">
        <v>191</v>
      </c>
      <c r="B245" s="41" t="s">
        <v>262</v>
      </c>
      <c r="C245" s="42" t="s">
        <v>263</v>
      </c>
      <c r="D245" s="44" t="s">
        <v>264</v>
      </c>
      <c r="E245" s="42" t="s">
        <v>3696</v>
      </c>
      <c r="F245" s="42" t="s">
        <v>3694</v>
      </c>
      <c r="G245" s="44" t="s">
        <v>3135</v>
      </c>
      <c r="H245" s="41" t="s">
        <v>3219</v>
      </c>
      <c r="I245" s="42" t="s">
        <v>3697</v>
      </c>
      <c r="J245" s="41"/>
    </row>
    <row r="246" customFormat="false" ht="41.75" hidden="false" customHeight="false" outlineLevel="0" collapsed="false">
      <c r="A246" s="41" t="s">
        <v>191</v>
      </c>
      <c r="B246" s="41" t="s">
        <v>510</v>
      </c>
      <c r="C246" s="42" t="s">
        <v>511</v>
      </c>
      <c r="D246" s="44" t="s">
        <v>513</v>
      </c>
      <c r="E246" s="42" t="s">
        <v>832</v>
      </c>
      <c r="F246" s="42" t="s">
        <v>3698</v>
      </c>
      <c r="G246" s="44" t="s">
        <v>3135</v>
      </c>
      <c r="H246" s="41" t="s">
        <v>3219</v>
      </c>
      <c r="I246" s="42" t="s">
        <v>3699</v>
      </c>
      <c r="J246" s="41"/>
    </row>
    <row r="247" customFormat="false" ht="41.75" hidden="false" customHeight="false" outlineLevel="0" collapsed="false">
      <c r="A247" s="41" t="s">
        <v>191</v>
      </c>
      <c r="B247" s="41" t="s">
        <v>635</v>
      </c>
      <c r="C247" s="42" t="s">
        <v>636</v>
      </c>
      <c r="D247" s="44" t="s">
        <v>637</v>
      </c>
      <c r="E247" s="42" t="s">
        <v>3239</v>
      </c>
      <c r="F247" s="42" t="s">
        <v>3700</v>
      </c>
      <c r="G247" s="44" t="s">
        <v>3701</v>
      </c>
      <c r="H247" s="41" t="s">
        <v>3242</v>
      </c>
      <c r="I247" s="42" t="s">
        <v>3243</v>
      </c>
      <c r="J247" s="41"/>
    </row>
    <row r="248" customFormat="false" ht="41.75" hidden="false" customHeight="false" outlineLevel="0" collapsed="false">
      <c r="A248" s="41" t="s">
        <v>191</v>
      </c>
      <c r="B248" s="41" t="s">
        <v>635</v>
      </c>
      <c r="C248" s="42" t="s">
        <v>636</v>
      </c>
      <c r="D248" s="44" t="s">
        <v>637</v>
      </c>
      <c r="E248" s="42" t="s">
        <v>881</v>
      </c>
      <c r="F248" s="42" t="s">
        <v>3694</v>
      </c>
      <c r="G248" s="44" t="s">
        <v>3135</v>
      </c>
      <c r="H248" s="41" t="s">
        <v>3219</v>
      </c>
      <c r="I248" s="42" t="s">
        <v>3702</v>
      </c>
      <c r="J248" s="41"/>
    </row>
    <row r="249" customFormat="false" ht="41.75" hidden="false" customHeight="false" outlineLevel="0" collapsed="false">
      <c r="A249" s="41" t="s">
        <v>191</v>
      </c>
      <c r="B249" s="41" t="s">
        <v>635</v>
      </c>
      <c r="C249" s="42" t="s">
        <v>636</v>
      </c>
      <c r="D249" s="44" t="s">
        <v>637</v>
      </c>
      <c r="E249" s="42" t="s">
        <v>3703</v>
      </c>
      <c r="F249" s="42" t="s">
        <v>3694</v>
      </c>
      <c r="G249" s="44" t="s">
        <v>3135</v>
      </c>
      <c r="H249" s="41" t="s">
        <v>3219</v>
      </c>
      <c r="I249" s="42" t="s">
        <v>3704</v>
      </c>
      <c r="J249" s="41"/>
    </row>
    <row r="250" customFormat="false" ht="28.35" hidden="false" customHeight="false" outlineLevel="0" collapsed="false">
      <c r="A250" s="41" t="s">
        <v>192</v>
      </c>
      <c r="B250" s="41" t="s">
        <v>296</v>
      </c>
      <c r="C250" s="42" t="s">
        <v>297</v>
      </c>
      <c r="D250" s="44" t="s">
        <v>300</v>
      </c>
      <c r="E250" s="42" t="s">
        <v>3239</v>
      </c>
      <c r="F250" s="42" t="s">
        <v>3705</v>
      </c>
      <c r="G250" s="44" t="s">
        <v>3706</v>
      </c>
      <c r="H250" s="41" t="s">
        <v>3242</v>
      </c>
      <c r="I250" s="42" t="s">
        <v>3243</v>
      </c>
      <c r="J250" s="41"/>
    </row>
    <row r="251" customFormat="false" ht="41.75" hidden="false" customHeight="false" outlineLevel="0" collapsed="false">
      <c r="A251" s="41" t="s">
        <v>192</v>
      </c>
      <c r="B251" s="41" t="s">
        <v>296</v>
      </c>
      <c r="C251" s="42" t="s">
        <v>297</v>
      </c>
      <c r="D251" s="44" t="s">
        <v>300</v>
      </c>
      <c r="E251" s="42" t="s">
        <v>881</v>
      </c>
      <c r="F251" s="42" t="s">
        <v>3707</v>
      </c>
      <c r="G251" s="44" t="s">
        <v>3135</v>
      </c>
      <c r="H251" s="41" t="s">
        <v>3219</v>
      </c>
      <c r="I251" s="42" t="s">
        <v>3708</v>
      </c>
      <c r="J251" s="41"/>
    </row>
    <row r="252" customFormat="false" ht="28.35" hidden="false" customHeight="false" outlineLevel="0" collapsed="false">
      <c r="A252" s="41" t="s">
        <v>192</v>
      </c>
      <c r="B252" s="41" t="s">
        <v>305</v>
      </c>
      <c r="C252" s="42" t="s">
        <v>306</v>
      </c>
      <c r="D252" s="44" t="s">
        <v>308</v>
      </c>
      <c r="E252" s="42" t="s">
        <v>247</v>
      </c>
      <c r="F252" s="42" t="s">
        <v>3709</v>
      </c>
      <c r="G252" s="44" t="s">
        <v>2758</v>
      </c>
      <c r="H252" s="41" t="s">
        <v>3215</v>
      </c>
      <c r="I252" s="42" t="s">
        <v>3216</v>
      </c>
      <c r="J252" s="41"/>
    </row>
    <row r="253" customFormat="false" ht="28.35" hidden="false" customHeight="false" outlineLevel="0" collapsed="false">
      <c r="A253" s="41" t="s">
        <v>192</v>
      </c>
      <c r="B253" s="41" t="s">
        <v>305</v>
      </c>
      <c r="C253" s="42" t="s">
        <v>306</v>
      </c>
      <c r="D253" s="44" t="s">
        <v>308</v>
      </c>
      <c r="E253" s="42" t="s">
        <v>3239</v>
      </c>
      <c r="F253" s="42" t="s">
        <v>3710</v>
      </c>
      <c r="G253" s="44" t="s">
        <v>3711</v>
      </c>
      <c r="H253" s="41" t="s">
        <v>3242</v>
      </c>
      <c r="I253" s="42" t="s">
        <v>3243</v>
      </c>
      <c r="J253" s="41"/>
    </row>
    <row r="254" customFormat="false" ht="41.75" hidden="false" customHeight="false" outlineLevel="0" collapsed="false">
      <c r="A254" s="41" t="s">
        <v>192</v>
      </c>
      <c r="B254" s="41" t="s">
        <v>305</v>
      </c>
      <c r="C254" s="42" t="s">
        <v>306</v>
      </c>
      <c r="D254" s="44" t="s">
        <v>308</v>
      </c>
      <c r="E254" s="42" t="s">
        <v>881</v>
      </c>
      <c r="F254" s="42" t="s">
        <v>3712</v>
      </c>
      <c r="G254" s="44" t="s">
        <v>3135</v>
      </c>
      <c r="H254" s="41" t="s">
        <v>3219</v>
      </c>
      <c r="I254" s="42" t="s">
        <v>3713</v>
      </c>
      <c r="J254" s="41"/>
    </row>
    <row r="255" customFormat="false" ht="41.75" hidden="false" customHeight="false" outlineLevel="0" collapsed="false">
      <c r="A255" s="41" t="s">
        <v>192</v>
      </c>
      <c r="B255" s="41" t="s">
        <v>305</v>
      </c>
      <c r="C255" s="42" t="s">
        <v>306</v>
      </c>
      <c r="D255" s="44" t="s">
        <v>308</v>
      </c>
      <c r="E255" s="42" t="s">
        <v>3714</v>
      </c>
      <c r="F255" s="42" t="s">
        <v>3712</v>
      </c>
      <c r="G255" s="44" t="s">
        <v>3135</v>
      </c>
      <c r="H255" s="41" t="s">
        <v>3219</v>
      </c>
      <c r="I255" s="42" t="s">
        <v>3715</v>
      </c>
      <c r="J255" s="41"/>
    </row>
    <row r="256" customFormat="false" ht="28.35" hidden="false" customHeight="false" outlineLevel="0" collapsed="false">
      <c r="A256" s="41" t="s">
        <v>192</v>
      </c>
      <c r="B256" s="41" t="s">
        <v>305</v>
      </c>
      <c r="C256" s="42" t="s">
        <v>306</v>
      </c>
      <c r="D256" s="44" t="s">
        <v>308</v>
      </c>
      <c r="E256" s="42" t="s">
        <v>583</v>
      </c>
      <c r="F256" s="42" t="s">
        <v>3716</v>
      </c>
      <c r="G256" s="44" t="s">
        <v>3717</v>
      </c>
      <c r="H256" s="41" t="s">
        <v>3252</v>
      </c>
      <c r="I256" s="42" t="s">
        <v>3253</v>
      </c>
      <c r="J256" s="41"/>
    </row>
    <row r="257" customFormat="false" ht="28.35" hidden="false" customHeight="false" outlineLevel="0" collapsed="false">
      <c r="A257" s="41" t="s">
        <v>192</v>
      </c>
      <c r="B257" s="41" t="s">
        <v>305</v>
      </c>
      <c r="C257" s="42" t="s">
        <v>306</v>
      </c>
      <c r="D257" s="44" t="s">
        <v>308</v>
      </c>
      <c r="E257" s="42" t="s">
        <v>328</v>
      </c>
      <c r="F257" s="42" t="s">
        <v>3718</v>
      </c>
      <c r="G257" s="44" t="s">
        <v>2121</v>
      </c>
      <c r="H257" s="41" t="s">
        <v>3418</v>
      </c>
      <c r="I257" s="42" t="s">
        <v>3419</v>
      </c>
      <c r="J257" s="41"/>
    </row>
    <row r="258" customFormat="false" ht="28.35" hidden="false" customHeight="false" outlineLevel="0" collapsed="false">
      <c r="A258" s="41" t="s">
        <v>192</v>
      </c>
      <c r="B258" s="41" t="s">
        <v>844</v>
      </c>
      <c r="C258" s="42" t="s">
        <v>845</v>
      </c>
      <c r="D258" s="44" t="s">
        <v>846</v>
      </c>
      <c r="E258" s="42" t="s">
        <v>3239</v>
      </c>
      <c r="F258" s="42" t="s">
        <v>3719</v>
      </c>
      <c r="G258" s="44" t="s">
        <v>2761</v>
      </c>
      <c r="H258" s="41" t="s">
        <v>3242</v>
      </c>
      <c r="I258" s="42" t="s">
        <v>3243</v>
      </c>
      <c r="J258" s="41"/>
    </row>
    <row r="259" customFormat="false" ht="41.75" hidden="false" customHeight="false" outlineLevel="0" collapsed="false">
      <c r="A259" s="41" t="s">
        <v>192</v>
      </c>
      <c r="B259" s="41" t="s">
        <v>844</v>
      </c>
      <c r="C259" s="42" t="s">
        <v>845</v>
      </c>
      <c r="D259" s="44" t="s">
        <v>846</v>
      </c>
      <c r="E259" s="42" t="s">
        <v>881</v>
      </c>
      <c r="F259" s="42" t="s">
        <v>3720</v>
      </c>
      <c r="G259" s="44" t="s">
        <v>3135</v>
      </c>
      <c r="H259" s="41" t="s">
        <v>3219</v>
      </c>
      <c r="I259" s="42" t="s">
        <v>3721</v>
      </c>
      <c r="J259" s="41"/>
    </row>
    <row r="260" customFormat="false" ht="41.75" hidden="false" customHeight="false" outlineLevel="0" collapsed="false">
      <c r="A260" s="41" t="s">
        <v>192</v>
      </c>
      <c r="B260" s="41" t="s">
        <v>844</v>
      </c>
      <c r="C260" s="42" t="s">
        <v>845</v>
      </c>
      <c r="D260" s="44" t="s">
        <v>846</v>
      </c>
      <c r="E260" s="42" t="s">
        <v>3722</v>
      </c>
      <c r="F260" s="42" t="s">
        <v>3720</v>
      </c>
      <c r="G260" s="44" t="s">
        <v>3135</v>
      </c>
      <c r="H260" s="41" t="s">
        <v>3219</v>
      </c>
      <c r="I260" s="42" t="s">
        <v>3723</v>
      </c>
      <c r="J260" s="41"/>
    </row>
    <row r="261" customFormat="false" ht="28.35" hidden="false" customHeight="false" outlineLevel="0" collapsed="false">
      <c r="A261" s="41" t="s">
        <v>192</v>
      </c>
      <c r="B261" s="41" t="s">
        <v>343</v>
      </c>
      <c r="C261" s="42" t="s">
        <v>344</v>
      </c>
      <c r="D261" s="44" t="s">
        <v>345</v>
      </c>
      <c r="E261" s="42" t="s">
        <v>247</v>
      </c>
      <c r="F261" s="42" t="s">
        <v>3724</v>
      </c>
      <c r="G261" s="44" t="s">
        <v>2783</v>
      </c>
      <c r="H261" s="41" t="s">
        <v>3215</v>
      </c>
      <c r="I261" s="42" t="s">
        <v>3216</v>
      </c>
      <c r="J261" s="41"/>
    </row>
    <row r="262" customFormat="false" ht="28.35" hidden="false" customHeight="false" outlineLevel="0" collapsed="false">
      <c r="A262" s="41" t="s">
        <v>192</v>
      </c>
      <c r="B262" s="41" t="s">
        <v>851</v>
      </c>
      <c r="C262" s="42" t="s">
        <v>852</v>
      </c>
      <c r="D262" s="44" t="s">
        <v>853</v>
      </c>
      <c r="E262" s="42" t="s">
        <v>247</v>
      </c>
      <c r="F262" s="42" t="s">
        <v>3725</v>
      </c>
      <c r="G262" s="44" t="s">
        <v>3726</v>
      </c>
      <c r="H262" s="41" t="s">
        <v>3256</v>
      </c>
      <c r="I262" s="42" t="s">
        <v>3257</v>
      </c>
      <c r="J262" s="41"/>
    </row>
    <row r="263" customFormat="false" ht="28.35" hidden="false" customHeight="false" outlineLevel="0" collapsed="false">
      <c r="A263" s="41" t="s">
        <v>192</v>
      </c>
      <c r="B263" s="41" t="s">
        <v>356</v>
      </c>
      <c r="C263" s="42" t="s">
        <v>357</v>
      </c>
      <c r="D263" s="44" t="s">
        <v>358</v>
      </c>
      <c r="E263" s="42" t="s">
        <v>3239</v>
      </c>
      <c r="F263" s="42" t="s">
        <v>3727</v>
      </c>
      <c r="G263" s="44" t="s">
        <v>3728</v>
      </c>
      <c r="H263" s="41" t="s">
        <v>3242</v>
      </c>
      <c r="I263" s="42" t="s">
        <v>3243</v>
      </c>
      <c r="J263" s="41"/>
    </row>
    <row r="264" customFormat="false" ht="41.75" hidden="false" customHeight="false" outlineLevel="0" collapsed="false">
      <c r="A264" s="41" t="s">
        <v>192</v>
      </c>
      <c r="B264" s="41" t="s">
        <v>356</v>
      </c>
      <c r="C264" s="42" t="s">
        <v>357</v>
      </c>
      <c r="D264" s="44" t="s">
        <v>358</v>
      </c>
      <c r="E264" s="42" t="s">
        <v>881</v>
      </c>
      <c r="F264" s="42" t="s">
        <v>3712</v>
      </c>
      <c r="G264" s="44" t="s">
        <v>3135</v>
      </c>
      <c r="H264" s="41" t="s">
        <v>3219</v>
      </c>
      <c r="I264" s="42" t="s">
        <v>3729</v>
      </c>
      <c r="J264" s="41"/>
    </row>
    <row r="265" customFormat="false" ht="41.75" hidden="false" customHeight="false" outlineLevel="0" collapsed="false">
      <c r="A265" s="41" t="s">
        <v>192</v>
      </c>
      <c r="B265" s="41" t="s">
        <v>356</v>
      </c>
      <c r="C265" s="42" t="s">
        <v>357</v>
      </c>
      <c r="D265" s="44" t="s">
        <v>358</v>
      </c>
      <c r="E265" s="42" t="s">
        <v>3714</v>
      </c>
      <c r="F265" s="42" t="s">
        <v>3712</v>
      </c>
      <c r="G265" s="44" t="s">
        <v>3135</v>
      </c>
      <c r="H265" s="41" t="s">
        <v>3219</v>
      </c>
      <c r="I265" s="42" t="s">
        <v>3730</v>
      </c>
      <c r="J265" s="41"/>
    </row>
    <row r="266" customFormat="false" ht="28.35" hidden="false" customHeight="false" outlineLevel="0" collapsed="false">
      <c r="A266" s="41" t="s">
        <v>192</v>
      </c>
      <c r="B266" s="41" t="s">
        <v>858</v>
      </c>
      <c r="C266" s="42" t="s">
        <v>859</v>
      </c>
      <c r="D266" s="44" t="s">
        <v>860</v>
      </c>
      <c r="E266" s="42" t="s">
        <v>328</v>
      </c>
      <c r="F266" s="42" t="s">
        <v>3731</v>
      </c>
      <c r="G266" s="44" t="s">
        <v>1784</v>
      </c>
      <c r="H266" s="41" t="s">
        <v>3732</v>
      </c>
      <c r="I266" s="42" t="s">
        <v>3733</v>
      </c>
      <c r="J266" s="41"/>
    </row>
    <row r="267" customFormat="false" ht="28.35" hidden="false" customHeight="false" outlineLevel="0" collapsed="false">
      <c r="A267" s="41" t="s">
        <v>192</v>
      </c>
      <c r="B267" s="41" t="s">
        <v>606</v>
      </c>
      <c r="C267" s="42" t="s">
        <v>607</v>
      </c>
      <c r="D267" s="44" t="s">
        <v>608</v>
      </c>
      <c r="E267" s="42" t="s">
        <v>247</v>
      </c>
      <c r="F267" s="42" t="s">
        <v>3734</v>
      </c>
      <c r="G267" s="44" t="s">
        <v>3735</v>
      </c>
      <c r="H267" s="41" t="s">
        <v>3256</v>
      </c>
      <c r="I267" s="42" t="s">
        <v>3257</v>
      </c>
      <c r="J267" s="41"/>
    </row>
    <row r="268" customFormat="false" ht="28.35" hidden="false" customHeight="false" outlineLevel="0" collapsed="false">
      <c r="A268" s="41" t="s">
        <v>192</v>
      </c>
      <c r="B268" s="41" t="s">
        <v>864</v>
      </c>
      <c r="C268" s="42" t="s">
        <v>865</v>
      </c>
      <c r="D268" s="44" t="s">
        <v>866</v>
      </c>
      <c r="E268" s="42" t="s">
        <v>247</v>
      </c>
      <c r="F268" s="42" t="s">
        <v>3736</v>
      </c>
      <c r="G268" s="44" t="s">
        <v>3737</v>
      </c>
      <c r="H268" s="41" t="s">
        <v>3215</v>
      </c>
      <c r="I268" s="42" t="s">
        <v>3216</v>
      </c>
      <c r="J268" s="41"/>
    </row>
    <row r="269" customFormat="false" ht="28.35" hidden="false" customHeight="false" outlineLevel="0" collapsed="false">
      <c r="A269" s="41" t="s">
        <v>192</v>
      </c>
      <c r="B269" s="41" t="s">
        <v>869</v>
      </c>
      <c r="C269" s="42" t="s">
        <v>870</v>
      </c>
      <c r="D269" s="44" t="s">
        <v>871</v>
      </c>
      <c r="E269" s="42" t="s">
        <v>247</v>
      </c>
      <c r="F269" s="42" t="s">
        <v>3738</v>
      </c>
      <c r="G269" s="44" t="s">
        <v>3739</v>
      </c>
      <c r="H269" s="41" t="s">
        <v>3215</v>
      </c>
      <c r="I269" s="42" t="s">
        <v>3216</v>
      </c>
      <c r="J269" s="41"/>
    </row>
    <row r="270" customFormat="false" ht="41.75" hidden="false" customHeight="false" outlineLevel="0" collapsed="false">
      <c r="A270" s="41" t="s">
        <v>192</v>
      </c>
      <c r="B270" s="41" t="s">
        <v>444</v>
      </c>
      <c r="C270" s="42" t="s">
        <v>445</v>
      </c>
      <c r="D270" s="44" t="s">
        <v>447</v>
      </c>
      <c r="E270" s="42" t="s">
        <v>3239</v>
      </c>
      <c r="F270" s="42" t="s">
        <v>3740</v>
      </c>
      <c r="G270" s="44" t="s">
        <v>3741</v>
      </c>
      <c r="H270" s="41" t="s">
        <v>3242</v>
      </c>
      <c r="I270" s="42" t="s">
        <v>3243</v>
      </c>
      <c r="J270" s="41"/>
    </row>
    <row r="271" customFormat="false" ht="41.75" hidden="false" customHeight="false" outlineLevel="0" collapsed="false">
      <c r="A271" s="41" t="s">
        <v>192</v>
      </c>
      <c r="B271" s="41" t="s">
        <v>444</v>
      </c>
      <c r="C271" s="42" t="s">
        <v>445</v>
      </c>
      <c r="D271" s="44" t="s">
        <v>447</v>
      </c>
      <c r="E271" s="42" t="s">
        <v>881</v>
      </c>
      <c r="F271" s="42" t="s">
        <v>3712</v>
      </c>
      <c r="G271" s="44" t="s">
        <v>3135</v>
      </c>
      <c r="H271" s="41" t="s">
        <v>3219</v>
      </c>
      <c r="I271" s="42" t="s">
        <v>3742</v>
      </c>
      <c r="J271" s="41"/>
    </row>
    <row r="272" customFormat="false" ht="41.75" hidden="false" customHeight="false" outlineLevel="0" collapsed="false">
      <c r="A272" s="41" t="s">
        <v>192</v>
      </c>
      <c r="B272" s="41" t="s">
        <v>444</v>
      </c>
      <c r="C272" s="42" t="s">
        <v>445</v>
      </c>
      <c r="D272" s="44" t="s">
        <v>447</v>
      </c>
      <c r="E272" s="42" t="s">
        <v>3714</v>
      </c>
      <c r="F272" s="42" t="s">
        <v>3712</v>
      </c>
      <c r="G272" s="44" t="s">
        <v>3135</v>
      </c>
      <c r="H272" s="41" t="s">
        <v>3219</v>
      </c>
      <c r="I272" s="42" t="s">
        <v>3743</v>
      </c>
      <c r="J272" s="41"/>
    </row>
    <row r="273" customFormat="false" ht="41.75" hidden="false" customHeight="false" outlineLevel="0" collapsed="false">
      <c r="A273" s="41" t="s">
        <v>192</v>
      </c>
      <c r="B273" s="41" t="s">
        <v>266</v>
      </c>
      <c r="C273" s="42" t="s">
        <v>267</v>
      </c>
      <c r="D273" s="44" t="s">
        <v>268</v>
      </c>
      <c r="E273" s="42" t="s">
        <v>247</v>
      </c>
      <c r="F273" s="42" t="s">
        <v>3744</v>
      </c>
      <c r="G273" s="44" t="s">
        <v>3745</v>
      </c>
      <c r="H273" s="41" t="s">
        <v>3256</v>
      </c>
      <c r="I273" s="42" t="s">
        <v>3257</v>
      </c>
      <c r="J273" s="41"/>
    </row>
    <row r="274" customFormat="false" ht="28.35" hidden="false" customHeight="false" outlineLevel="0" collapsed="false">
      <c r="A274" s="41" t="s">
        <v>192</v>
      </c>
      <c r="B274" s="41" t="s">
        <v>498</v>
      </c>
      <c r="C274" s="42" t="s">
        <v>499</v>
      </c>
      <c r="D274" s="44" t="s">
        <v>500</v>
      </c>
      <c r="E274" s="42" t="s">
        <v>328</v>
      </c>
      <c r="F274" s="42" t="s">
        <v>3746</v>
      </c>
      <c r="G274" s="44" t="s">
        <v>3747</v>
      </c>
      <c r="H274" s="41" t="s">
        <v>3418</v>
      </c>
      <c r="I274" s="42" t="s">
        <v>3419</v>
      </c>
      <c r="J274" s="41"/>
    </row>
    <row r="275" customFormat="false" ht="41.75" hidden="false" customHeight="false" outlineLevel="0" collapsed="false">
      <c r="A275" s="41" t="s">
        <v>192</v>
      </c>
      <c r="B275" s="41" t="s">
        <v>503</v>
      </c>
      <c r="C275" s="42" t="s">
        <v>504</v>
      </c>
      <c r="D275" s="44" t="s">
        <v>506</v>
      </c>
      <c r="E275" s="42" t="s">
        <v>3239</v>
      </c>
      <c r="F275" s="42" t="s">
        <v>3748</v>
      </c>
      <c r="G275" s="44" t="s">
        <v>1666</v>
      </c>
      <c r="H275" s="41" t="s">
        <v>3351</v>
      </c>
      <c r="I275" s="42" t="s">
        <v>3352</v>
      </c>
      <c r="J275" s="41"/>
    </row>
    <row r="276" customFormat="false" ht="41.75" hidden="false" customHeight="false" outlineLevel="0" collapsed="false">
      <c r="A276" s="41" t="s">
        <v>192</v>
      </c>
      <c r="B276" s="41" t="s">
        <v>503</v>
      </c>
      <c r="C276" s="42" t="s">
        <v>504</v>
      </c>
      <c r="D276" s="44" t="s">
        <v>506</v>
      </c>
      <c r="E276" s="42" t="s">
        <v>881</v>
      </c>
      <c r="F276" s="42" t="s">
        <v>3712</v>
      </c>
      <c r="G276" s="44" t="s">
        <v>3135</v>
      </c>
      <c r="H276" s="41" t="s">
        <v>3219</v>
      </c>
      <c r="I276" s="42" t="s">
        <v>3749</v>
      </c>
      <c r="J276" s="41"/>
    </row>
    <row r="277" customFormat="false" ht="41.75" hidden="false" customHeight="false" outlineLevel="0" collapsed="false">
      <c r="A277" s="41" t="s">
        <v>192</v>
      </c>
      <c r="B277" s="41" t="s">
        <v>503</v>
      </c>
      <c r="C277" s="42" t="s">
        <v>504</v>
      </c>
      <c r="D277" s="44" t="s">
        <v>506</v>
      </c>
      <c r="E277" s="42" t="s">
        <v>3714</v>
      </c>
      <c r="F277" s="42" t="s">
        <v>3712</v>
      </c>
      <c r="G277" s="44" t="s">
        <v>3135</v>
      </c>
      <c r="H277" s="41" t="s">
        <v>3219</v>
      </c>
      <c r="I277" s="42" t="s">
        <v>3750</v>
      </c>
      <c r="J277" s="41"/>
    </row>
    <row r="278" customFormat="false" ht="28.35" hidden="false" customHeight="false" outlineLevel="0" collapsed="false">
      <c r="A278" s="41" t="s">
        <v>192</v>
      </c>
      <c r="B278" s="41" t="s">
        <v>510</v>
      </c>
      <c r="C278" s="42" t="s">
        <v>511</v>
      </c>
      <c r="D278" s="44" t="s">
        <v>513</v>
      </c>
      <c r="E278" s="42" t="s">
        <v>247</v>
      </c>
      <c r="F278" s="42" t="s">
        <v>3751</v>
      </c>
      <c r="G278" s="44" t="s">
        <v>3011</v>
      </c>
      <c r="H278" s="41" t="s">
        <v>3215</v>
      </c>
      <c r="I278" s="42" t="s">
        <v>3216</v>
      </c>
      <c r="J278" s="41"/>
    </row>
    <row r="279" customFormat="false" ht="28.35" hidden="false" customHeight="false" outlineLevel="0" collapsed="false">
      <c r="A279" s="41" t="s">
        <v>192</v>
      </c>
      <c r="B279" s="41" t="s">
        <v>510</v>
      </c>
      <c r="C279" s="42" t="s">
        <v>511</v>
      </c>
      <c r="D279" s="44" t="s">
        <v>513</v>
      </c>
      <c r="E279" s="42" t="s">
        <v>3239</v>
      </c>
      <c r="F279" s="42" t="s">
        <v>3752</v>
      </c>
      <c r="G279" s="44" t="s">
        <v>3753</v>
      </c>
      <c r="H279" s="41" t="s">
        <v>3242</v>
      </c>
      <c r="I279" s="42" t="s">
        <v>3243</v>
      </c>
      <c r="J279" s="41"/>
    </row>
    <row r="280" customFormat="false" ht="41.75" hidden="false" customHeight="false" outlineLevel="0" collapsed="false">
      <c r="A280" s="41" t="s">
        <v>192</v>
      </c>
      <c r="B280" s="41" t="s">
        <v>510</v>
      </c>
      <c r="C280" s="42" t="s">
        <v>511</v>
      </c>
      <c r="D280" s="44" t="s">
        <v>513</v>
      </c>
      <c r="E280" s="42" t="s">
        <v>881</v>
      </c>
      <c r="F280" s="42" t="s">
        <v>3712</v>
      </c>
      <c r="G280" s="44" t="s">
        <v>3135</v>
      </c>
      <c r="H280" s="41" t="s">
        <v>3219</v>
      </c>
      <c r="I280" s="42" t="s">
        <v>3754</v>
      </c>
      <c r="J280" s="41"/>
    </row>
    <row r="281" customFormat="false" ht="41.75" hidden="false" customHeight="false" outlineLevel="0" collapsed="false">
      <c r="A281" s="41" t="s">
        <v>192</v>
      </c>
      <c r="B281" s="41" t="s">
        <v>510</v>
      </c>
      <c r="C281" s="42" t="s">
        <v>511</v>
      </c>
      <c r="D281" s="44" t="s">
        <v>513</v>
      </c>
      <c r="E281" s="42" t="s">
        <v>3714</v>
      </c>
      <c r="F281" s="42" t="s">
        <v>3712</v>
      </c>
      <c r="G281" s="44" t="s">
        <v>3135</v>
      </c>
      <c r="H281" s="41" t="s">
        <v>3219</v>
      </c>
      <c r="I281" s="42" t="s">
        <v>3755</v>
      </c>
      <c r="J281" s="41"/>
    </row>
    <row r="282" customFormat="false" ht="28.35" hidden="false" customHeight="false" outlineLevel="0" collapsed="false">
      <c r="A282" s="41" t="s">
        <v>192</v>
      </c>
      <c r="B282" s="41" t="s">
        <v>510</v>
      </c>
      <c r="C282" s="42" t="s">
        <v>511</v>
      </c>
      <c r="D282" s="44" t="s">
        <v>513</v>
      </c>
      <c r="E282" s="42" t="s">
        <v>328</v>
      </c>
      <c r="F282" s="42" t="s">
        <v>3756</v>
      </c>
      <c r="G282" s="44" t="s">
        <v>2132</v>
      </c>
      <c r="H282" s="41" t="s">
        <v>3418</v>
      </c>
      <c r="I282" s="42" t="s">
        <v>3419</v>
      </c>
      <c r="J282" s="41"/>
    </row>
    <row r="283" customFormat="false" ht="28.35" hidden="false" customHeight="false" outlineLevel="0" collapsed="false">
      <c r="A283" s="41" t="s">
        <v>192</v>
      </c>
      <c r="B283" s="41" t="s">
        <v>809</v>
      </c>
      <c r="C283" s="42" t="s">
        <v>810</v>
      </c>
      <c r="D283" s="44" t="s">
        <v>811</v>
      </c>
      <c r="E283" s="42" t="s">
        <v>247</v>
      </c>
      <c r="F283" s="42" t="s">
        <v>3757</v>
      </c>
      <c r="G283" s="44" t="s">
        <v>3758</v>
      </c>
      <c r="H283" s="41" t="s">
        <v>3256</v>
      </c>
      <c r="I283" s="42" t="s">
        <v>3257</v>
      </c>
      <c r="J283" s="41"/>
    </row>
    <row r="284" customFormat="false" ht="41.75" hidden="false" customHeight="false" outlineLevel="0" collapsed="false">
      <c r="A284" s="41" t="s">
        <v>192</v>
      </c>
      <c r="B284" s="41" t="s">
        <v>880</v>
      </c>
      <c r="C284" s="42" t="s">
        <v>564</v>
      </c>
      <c r="D284" s="44" t="s">
        <v>882</v>
      </c>
      <c r="E284" s="42" t="s">
        <v>881</v>
      </c>
      <c r="F284" s="42" t="s">
        <v>3707</v>
      </c>
      <c r="G284" s="44" t="s">
        <v>3135</v>
      </c>
      <c r="H284" s="41" t="s">
        <v>3219</v>
      </c>
      <c r="I284" s="42" t="s">
        <v>3759</v>
      </c>
      <c r="J284" s="41"/>
    </row>
    <row r="285" customFormat="false" ht="28.35" hidden="false" customHeight="false" outlineLevel="0" collapsed="false">
      <c r="A285" s="41" t="s">
        <v>192</v>
      </c>
      <c r="B285" s="41" t="s">
        <v>884</v>
      </c>
      <c r="C285" s="42" t="s">
        <v>885</v>
      </c>
      <c r="D285" s="44" t="s">
        <v>886</v>
      </c>
      <c r="E285" s="42" t="s">
        <v>247</v>
      </c>
      <c r="F285" s="42" t="s">
        <v>3760</v>
      </c>
      <c r="G285" s="44" t="s">
        <v>3761</v>
      </c>
      <c r="H285" s="41" t="s">
        <v>3256</v>
      </c>
      <c r="I285" s="42" t="s">
        <v>3257</v>
      </c>
      <c r="J285" s="41"/>
    </row>
    <row r="286" customFormat="false" ht="28.35" hidden="false" customHeight="false" outlineLevel="0" collapsed="false">
      <c r="A286" s="41" t="s">
        <v>192</v>
      </c>
      <c r="B286" s="41" t="s">
        <v>724</v>
      </c>
      <c r="C286" s="42" t="s">
        <v>725</v>
      </c>
      <c r="D286" s="44" t="s">
        <v>726</v>
      </c>
      <c r="E286" s="42" t="s">
        <v>247</v>
      </c>
      <c r="F286" s="42" t="s">
        <v>3762</v>
      </c>
      <c r="G286" s="44" t="s">
        <v>3763</v>
      </c>
      <c r="H286" s="41" t="s">
        <v>3215</v>
      </c>
      <c r="I286" s="42" t="s">
        <v>3216</v>
      </c>
      <c r="J286" s="41"/>
    </row>
    <row r="287" customFormat="false" ht="28.35" hidden="false" customHeight="false" outlineLevel="0" collapsed="false">
      <c r="A287" s="41" t="s">
        <v>192</v>
      </c>
      <c r="B287" s="41" t="s">
        <v>635</v>
      </c>
      <c r="C287" s="42" t="s">
        <v>636</v>
      </c>
      <c r="D287" s="44" t="s">
        <v>637</v>
      </c>
      <c r="E287" s="42" t="s">
        <v>247</v>
      </c>
      <c r="F287" s="42" t="s">
        <v>3764</v>
      </c>
      <c r="G287" s="44" t="s">
        <v>3765</v>
      </c>
      <c r="H287" s="41" t="s">
        <v>3215</v>
      </c>
      <c r="I287" s="42" t="s">
        <v>3216</v>
      </c>
      <c r="J287" s="41"/>
    </row>
    <row r="288" customFormat="false" ht="28.35" hidden="false" customHeight="false" outlineLevel="0" collapsed="false">
      <c r="A288" s="41" t="s">
        <v>192</v>
      </c>
      <c r="B288" s="41" t="s">
        <v>635</v>
      </c>
      <c r="C288" s="42" t="s">
        <v>636</v>
      </c>
      <c r="D288" s="44" t="s">
        <v>637</v>
      </c>
      <c r="E288" s="42" t="s">
        <v>3239</v>
      </c>
      <c r="F288" s="42" t="s">
        <v>3766</v>
      </c>
      <c r="G288" s="44" t="s">
        <v>2059</v>
      </c>
      <c r="H288" s="41" t="s">
        <v>3351</v>
      </c>
      <c r="I288" s="42" t="s">
        <v>3352</v>
      </c>
      <c r="J288" s="41"/>
    </row>
    <row r="289" customFormat="false" ht="41.75" hidden="false" customHeight="false" outlineLevel="0" collapsed="false">
      <c r="A289" s="41" t="s">
        <v>192</v>
      </c>
      <c r="B289" s="41" t="s">
        <v>635</v>
      </c>
      <c r="C289" s="42" t="s">
        <v>636</v>
      </c>
      <c r="D289" s="44" t="s">
        <v>637</v>
      </c>
      <c r="E289" s="42" t="s">
        <v>881</v>
      </c>
      <c r="F289" s="42" t="s">
        <v>3712</v>
      </c>
      <c r="G289" s="44" t="s">
        <v>3135</v>
      </c>
      <c r="H289" s="41" t="s">
        <v>3219</v>
      </c>
      <c r="I289" s="42" t="s">
        <v>3767</v>
      </c>
      <c r="J289" s="41"/>
    </row>
    <row r="290" customFormat="false" ht="41.75" hidden="false" customHeight="false" outlineLevel="0" collapsed="false">
      <c r="A290" s="41" t="s">
        <v>192</v>
      </c>
      <c r="B290" s="41" t="s">
        <v>635</v>
      </c>
      <c r="C290" s="42" t="s">
        <v>636</v>
      </c>
      <c r="D290" s="44" t="s">
        <v>637</v>
      </c>
      <c r="E290" s="42" t="s">
        <v>3714</v>
      </c>
      <c r="F290" s="42" t="s">
        <v>3712</v>
      </c>
      <c r="G290" s="44" t="s">
        <v>3135</v>
      </c>
      <c r="H290" s="41" t="s">
        <v>3219</v>
      </c>
      <c r="I290" s="42" t="s">
        <v>3768</v>
      </c>
      <c r="J290" s="41"/>
    </row>
    <row r="291" customFormat="false" ht="28.35" hidden="false" customHeight="false" outlineLevel="0" collapsed="false">
      <c r="A291" s="41" t="s">
        <v>192</v>
      </c>
      <c r="B291" s="41" t="s">
        <v>635</v>
      </c>
      <c r="C291" s="42" t="s">
        <v>636</v>
      </c>
      <c r="D291" s="44" t="s">
        <v>637</v>
      </c>
      <c r="E291" s="42" t="s">
        <v>328</v>
      </c>
      <c r="F291" s="42" t="s">
        <v>3769</v>
      </c>
      <c r="G291" s="44" t="s">
        <v>2129</v>
      </c>
      <c r="H291" s="41" t="s">
        <v>3418</v>
      </c>
      <c r="I291" s="42" t="s">
        <v>3419</v>
      </c>
      <c r="J291" s="41"/>
    </row>
    <row r="292" customFormat="false" ht="41.75" hidden="false" customHeight="false" outlineLevel="0" collapsed="false">
      <c r="A292" s="41" t="s">
        <v>192</v>
      </c>
      <c r="B292" s="41" t="s">
        <v>641</v>
      </c>
      <c r="C292" s="42" t="s">
        <v>642</v>
      </c>
      <c r="D292" s="44" t="s">
        <v>643</v>
      </c>
      <c r="E292" s="42" t="s">
        <v>3239</v>
      </c>
      <c r="F292" s="42" t="s">
        <v>3770</v>
      </c>
      <c r="G292" s="44" t="s">
        <v>3771</v>
      </c>
      <c r="H292" s="41" t="s">
        <v>3242</v>
      </c>
      <c r="I292" s="42" t="s">
        <v>3243</v>
      </c>
      <c r="J292" s="41"/>
    </row>
    <row r="293" customFormat="false" ht="41.75" hidden="false" customHeight="false" outlineLevel="0" collapsed="false">
      <c r="A293" s="41" t="s">
        <v>192</v>
      </c>
      <c r="B293" s="41" t="s">
        <v>641</v>
      </c>
      <c r="C293" s="42" t="s">
        <v>642</v>
      </c>
      <c r="D293" s="44" t="s">
        <v>643</v>
      </c>
      <c r="E293" s="42" t="s">
        <v>881</v>
      </c>
      <c r="F293" s="42" t="s">
        <v>3707</v>
      </c>
      <c r="G293" s="44" t="s">
        <v>3135</v>
      </c>
      <c r="H293" s="41" t="s">
        <v>3219</v>
      </c>
      <c r="I293" s="42" t="s">
        <v>3772</v>
      </c>
      <c r="J293" s="41"/>
    </row>
    <row r="294" customFormat="false" ht="28.35" hidden="false" customHeight="false" outlineLevel="0" collapsed="false">
      <c r="A294" s="41" t="s">
        <v>192</v>
      </c>
      <c r="B294" s="41" t="s">
        <v>568</v>
      </c>
      <c r="C294" s="42" t="s">
        <v>569</v>
      </c>
      <c r="D294" s="44" t="s">
        <v>570</v>
      </c>
      <c r="E294" s="42" t="s">
        <v>247</v>
      </c>
      <c r="F294" s="42" t="s">
        <v>3773</v>
      </c>
      <c r="G294" s="44" t="s">
        <v>3774</v>
      </c>
      <c r="H294" s="41" t="s">
        <v>3256</v>
      </c>
      <c r="I294" s="42" t="s">
        <v>3257</v>
      </c>
      <c r="J294" s="41"/>
    </row>
    <row r="295" customFormat="false" ht="41.75" hidden="false" customHeight="false" outlineLevel="0" collapsed="false">
      <c r="A295" s="41" t="s">
        <v>21</v>
      </c>
      <c r="B295" s="41" t="s">
        <v>892</v>
      </c>
      <c r="C295" s="42" t="s">
        <v>893</v>
      </c>
      <c r="D295" s="44" t="s">
        <v>895</v>
      </c>
      <c r="E295" s="42" t="s">
        <v>881</v>
      </c>
      <c r="F295" s="42" t="s">
        <v>3775</v>
      </c>
      <c r="G295" s="44" t="s">
        <v>3135</v>
      </c>
      <c r="H295" s="41" t="s">
        <v>3219</v>
      </c>
      <c r="I295" s="42" t="s">
        <v>3776</v>
      </c>
      <c r="J295" s="41"/>
    </row>
    <row r="296" customFormat="false" ht="28.35" hidden="false" customHeight="false" outlineLevel="0" collapsed="false">
      <c r="A296" s="41" t="s">
        <v>21</v>
      </c>
      <c r="B296" s="41" t="s">
        <v>892</v>
      </c>
      <c r="C296" s="42" t="s">
        <v>893</v>
      </c>
      <c r="D296" s="44" t="s">
        <v>895</v>
      </c>
      <c r="E296" s="42" t="s">
        <v>328</v>
      </c>
      <c r="F296" s="42" t="s">
        <v>3777</v>
      </c>
      <c r="G296" s="44" t="s">
        <v>3778</v>
      </c>
      <c r="H296" s="41" t="s">
        <v>3272</v>
      </c>
      <c r="I296" s="42" t="s">
        <v>3273</v>
      </c>
      <c r="J296" s="41"/>
    </row>
    <row r="297" customFormat="false" ht="41.75" hidden="false" customHeight="false" outlineLevel="0" collapsed="false">
      <c r="A297" s="41" t="s">
        <v>21</v>
      </c>
      <c r="B297" s="41" t="s">
        <v>899</v>
      </c>
      <c r="C297" s="42" t="s">
        <v>900</v>
      </c>
      <c r="D297" s="44" t="s">
        <v>901</v>
      </c>
      <c r="E297" s="42" t="s">
        <v>881</v>
      </c>
      <c r="F297" s="42" t="s">
        <v>3779</v>
      </c>
      <c r="G297" s="44" t="s">
        <v>3135</v>
      </c>
      <c r="H297" s="41" t="s">
        <v>3219</v>
      </c>
      <c r="I297" s="42" t="s">
        <v>3780</v>
      </c>
      <c r="J297" s="41"/>
    </row>
    <row r="298" customFormat="false" ht="41.75" hidden="false" customHeight="false" outlineLevel="0" collapsed="false">
      <c r="A298" s="41" t="s">
        <v>21</v>
      </c>
      <c r="B298" s="41" t="s">
        <v>899</v>
      </c>
      <c r="C298" s="42" t="s">
        <v>900</v>
      </c>
      <c r="D298" s="44" t="s">
        <v>901</v>
      </c>
      <c r="E298" s="42" t="s">
        <v>3781</v>
      </c>
      <c r="F298" s="42" t="s">
        <v>3779</v>
      </c>
      <c r="G298" s="44" t="s">
        <v>3135</v>
      </c>
      <c r="H298" s="41" t="s">
        <v>3219</v>
      </c>
      <c r="I298" s="42" t="s">
        <v>3782</v>
      </c>
      <c r="J298" s="41"/>
    </row>
    <row r="299" customFormat="false" ht="28.35" hidden="false" customHeight="false" outlineLevel="0" collapsed="false">
      <c r="A299" s="41" t="s">
        <v>21</v>
      </c>
      <c r="B299" s="41" t="s">
        <v>291</v>
      </c>
      <c r="C299" s="42" t="s">
        <v>292</v>
      </c>
      <c r="D299" s="44" t="s">
        <v>293</v>
      </c>
      <c r="E299" s="42" t="s">
        <v>247</v>
      </c>
      <c r="F299" s="42" t="s">
        <v>3783</v>
      </c>
      <c r="G299" s="44" t="s">
        <v>2737</v>
      </c>
      <c r="H299" s="41" t="s">
        <v>3215</v>
      </c>
      <c r="I299" s="42" t="s">
        <v>3216</v>
      </c>
      <c r="J299" s="41"/>
    </row>
    <row r="300" customFormat="false" ht="41.75" hidden="false" customHeight="false" outlineLevel="0" collapsed="false">
      <c r="A300" s="41" t="s">
        <v>21</v>
      </c>
      <c r="B300" s="41" t="s">
        <v>291</v>
      </c>
      <c r="C300" s="42" t="s">
        <v>292</v>
      </c>
      <c r="D300" s="44" t="s">
        <v>293</v>
      </c>
      <c r="E300" s="42" t="s">
        <v>881</v>
      </c>
      <c r="F300" s="42" t="s">
        <v>3784</v>
      </c>
      <c r="G300" s="44" t="s">
        <v>3135</v>
      </c>
      <c r="H300" s="41" t="s">
        <v>3219</v>
      </c>
      <c r="I300" s="42" t="s">
        <v>3785</v>
      </c>
      <c r="J300" s="41"/>
    </row>
    <row r="301" customFormat="false" ht="55.2" hidden="false" customHeight="false" outlineLevel="0" collapsed="false">
      <c r="A301" s="41" t="s">
        <v>21</v>
      </c>
      <c r="B301" s="41" t="s">
        <v>291</v>
      </c>
      <c r="C301" s="42" t="s">
        <v>292</v>
      </c>
      <c r="D301" s="44" t="s">
        <v>293</v>
      </c>
      <c r="E301" s="42" t="s">
        <v>3786</v>
      </c>
      <c r="F301" s="42" t="s">
        <v>3784</v>
      </c>
      <c r="G301" s="44" t="s">
        <v>3787</v>
      </c>
      <c r="H301" s="41" t="s">
        <v>3248</v>
      </c>
      <c r="I301" s="42" t="s">
        <v>3788</v>
      </c>
      <c r="J301" s="44" t="s">
        <v>3135</v>
      </c>
    </row>
    <row r="302" customFormat="false" ht="41.75" hidden="false" customHeight="false" outlineLevel="0" collapsed="false">
      <c r="A302" s="41" t="s">
        <v>21</v>
      </c>
      <c r="B302" s="41" t="s">
        <v>907</v>
      </c>
      <c r="C302" s="42" t="s">
        <v>564</v>
      </c>
      <c r="D302" s="44" t="s">
        <v>908</v>
      </c>
      <c r="E302" s="42" t="s">
        <v>881</v>
      </c>
      <c r="F302" s="42" t="s">
        <v>3789</v>
      </c>
      <c r="G302" s="44" t="s">
        <v>3135</v>
      </c>
      <c r="H302" s="41" t="s">
        <v>3219</v>
      </c>
      <c r="I302" s="42" t="s">
        <v>3790</v>
      </c>
      <c r="J302" s="41"/>
    </row>
    <row r="303" customFormat="false" ht="28.35" hidden="false" customHeight="false" outlineLevel="0" collapsed="false">
      <c r="A303" s="41" t="s">
        <v>21</v>
      </c>
      <c r="B303" s="41" t="s">
        <v>910</v>
      </c>
      <c r="C303" s="42" t="s">
        <v>911</v>
      </c>
      <c r="D303" s="44" t="s">
        <v>912</v>
      </c>
      <c r="E303" s="42" t="s">
        <v>247</v>
      </c>
      <c r="F303" s="42" t="s">
        <v>3791</v>
      </c>
      <c r="G303" s="44" t="s">
        <v>3792</v>
      </c>
      <c r="H303" s="41" t="s">
        <v>3215</v>
      </c>
      <c r="I303" s="42" t="s">
        <v>3216</v>
      </c>
      <c r="J303" s="41"/>
    </row>
    <row r="304" customFormat="false" ht="41.75" hidden="false" customHeight="false" outlineLevel="0" collapsed="false">
      <c r="A304" s="41" t="s">
        <v>21</v>
      </c>
      <c r="B304" s="41" t="s">
        <v>910</v>
      </c>
      <c r="C304" s="42" t="s">
        <v>911</v>
      </c>
      <c r="D304" s="44" t="s">
        <v>912</v>
      </c>
      <c r="E304" s="42" t="s">
        <v>3239</v>
      </c>
      <c r="F304" s="42" t="s">
        <v>3793</v>
      </c>
      <c r="G304" s="44" t="s">
        <v>3794</v>
      </c>
      <c r="H304" s="41" t="s">
        <v>3242</v>
      </c>
      <c r="I304" s="42" t="s">
        <v>3243</v>
      </c>
      <c r="J304" s="41"/>
    </row>
    <row r="305" customFormat="false" ht="41.75" hidden="false" customHeight="false" outlineLevel="0" collapsed="false">
      <c r="A305" s="41" t="s">
        <v>21</v>
      </c>
      <c r="B305" s="41" t="s">
        <v>910</v>
      </c>
      <c r="C305" s="42" t="s">
        <v>911</v>
      </c>
      <c r="D305" s="44" t="s">
        <v>912</v>
      </c>
      <c r="E305" s="42" t="s">
        <v>881</v>
      </c>
      <c r="F305" s="42" t="s">
        <v>3795</v>
      </c>
      <c r="G305" s="44" t="s">
        <v>3135</v>
      </c>
      <c r="H305" s="41" t="s">
        <v>3219</v>
      </c>
      <c r="I305" s="42" t="s">
        <v>3796</v>
      </c>
      <c r="J305" s="41"/>
    </row>
    <row r="306" customFormat="false" ht="82.05" hidden="false" customHeight="false" outlineLevel="0" collapsed="false">
      <c r="A306" s="41" t="s">
        <v>21</v>
      </c>
      <c r="B306" s="41" t="s">
        <v>910</v>
      </c>
      <c r="C306" s="42" t="s">
        <v>911</v>
      </c>
      <c r="D306" s="44" t="s">
        <v>912</v>
      </c>
      <c r="E306" s="42" t="s">
        <v>3797</v>
      </c>
      <c r="F306" s="42" t="s">
        <v>3795</v>
      </c>
      <c r="G306" s="44" t="s">
        <v>3798</v>
      </c>
      <c r="H306" s="41" t="s">
        <v>3248</v>
      </c>
      <c r="I306" s="42" t="s">
        <v>3799</v>
      </c>
      <c r="J306" s="44" t="s">
        <v>3135</v>
      </c>
    </row>
    <row r="307" customFormat="false" ht="41.75" hidden="false" customHeight="false" outlineLevel="0" collapsed="false">
      <c r="A307" s="41" t="s">
        <v>21</v>
      </c>
      <c r="B307" s="41" t="s">
        <v>296</v>
      </c>
      <c r="C307" s="42" t="s">
        <v>297</v>
      </c>
      <c r="D307" s="44" t="s">
        <v>300</v>
      </c>
      <c r="E307" s="42" t="s">
        <v>3239</v>
      </c>
      <c r="F307" s="42" t="s">
        <v>3800</v>
      </c>
      <c r="G307" s="44" t="s">
        <v>3801</v>
      </c>
      <c r="H307" s="41" t="s">
        <v>3242</v>
      </c>
      <c r="I307" s="42" t="s">
        <v>3243</v>
      </c>
      <c r="J307" s="41"/>
    </row>
    <row r="308" customFormat="false" ht="202.95" hidden="false" customHeight="false" outlineLevel="0" collapsed="false">
      <c r="A308" s="41" t="s">
        <v>21</v>
      </c>
      <c r="B308" s="41" t="s">
        <v>296</v>
      </c>
      <c r="C308" s="42" t="s">
        <v>297</v>
      </c>
      <c r="D308" s="44" t="s">
        <v>300</v>
      </c>
      <c r="E308" s="42" t="s">
        <v>994</v>
      </c>
      <c r="F308" s="42" t="s">
        <v>3802</v>
      </c>
      <c r="G308" s="44" t="s">
        <v>3803</v>
      </c>
      <c r="H308" s="41" t="s">
        <v>3472</v>
      </c>
      <c r="I308" s="42" t="s">
        <v>3804</v>
      </c>
      <c r="J308" s="44" t="s">
        <v>3135</v>
      </c>
    </row>
    <row r="309" customFormat="false" ht="28.35" hidden="false" customHeight="false" outlineLevel="0" collapsed="false">
      <c r="A309" s="41" t="s">
        <v>21</v>
      </c>
      <c r="B309" s="41" t="s">
        <v>296</v>
      </c>
      <c r="C309" s="42" t="s">
        <v>297</v>
      </c>
      <c r="D309" s="44" t="s">
        <v>300</v>
      </c>
      <c r="E309" s="42" t="s">
        <v>583</v>
      </c>
      <c r="F309" s="42" t="s">
        <v>3805</v>
      </c>
      <c r="G309" s="44" t="s">
        <v>3806</v>
      </c>
      <c r="H309" s="41" t="s">
        <v>3252</v>
      </c>
      <c r="I309" s="42" t="s">
        <v>3253</v>
      </c>
      <c r="J309" s="41"/>
    </row>
    <row r="310" customFormat="false" ht="28.35" hidden="false" customHeight="false" outlineLevel="0" collapsed="false">
      <c r="A310" s="41" t="s">
        <v>21</v>
      </c>
      <c r="B310" s="41" t="s">
        <v>669</v>
      </c>
      <c r="C310" s="42" t="s">
        <v>670</v>
      </c>
      <c r="D310" s="44" t="s">
        <v>671</v>
      </c>
      <c r="E310" s="42" t="s">
        <v>247</v>
      </c>
      <c r="F310" s="42" t="s">
        <v>3807</v>
      </c>
      <c r="G310" s="44" t="s">
        <v>2754</v>
      </c>
      <c r="H310" s="41" t="s">
        <v>3215</v>
      </c>
      <c r="I310" s="42" t="s">
        <v>3216</v>
      </c>
      <c r="J310" s="41"/>
    </row>
    <row r="311" customFormat="false" ht="41.75" hidden="false" customHeight="false" outlineLevel="0" collapsed="false">
      <c r="A311" s="41" t="s">
        <v>21</v>
      </c>
      <c r="B311" s="41" t="s">
        <v>669</v>
      </c>
      <c r="C311" s="42" t="s">
        <v>670</v>
      </c>
      <c r="D311" s="44" t="s">
        <v>671</v>
      </c>
      <c r="E311" s="42" t="s">
        <v>3239</v>
      </c>
      <c r="F311" s="42" t="s">
        <v>3808</v>
      </c>
      <c r="G311" s="44" t="s">
        <v>3809</v>
      </c>
      <c r="H311" s="41" t="s">
        <v>3242</v>
      </c>
      <c r="I311" s="42" t="s">
        <v>3243</v>
      </c>
      <c r="J311" s="41"/>
    </row>
    <row r="312" customFormat="false" ht="41.75" hidden="false" customHeight="false" outlineLevel="0" collapsed="false">
      <c r="A312" s="41" t="s">
        <v>21</v>
      </c>
      <c r="B312" s="41" t="s">
        <v>669</v>
      </c>
      <c r="C312" s="42" t="s">
        <v>670</v>
      </c>
      <c r="D312" s="44" t="s">
        <v>671</v>
      </c>
      <c r="E312" s="42" t="s">
        <v>881</v>
      </c>
      <c r="F312" s="42" t="s">
        <v>3810</v>
      </c>
      <c r="G312" s="44" t="s">
        <v>3135</v>
      </c>
      <c r="H312" s="41" t="s">
        <v>3219</v>
      </c>
      <c r="I312" s="42" t="s">
        <v>3811</v>
      </c>
      <c r="J312" s="41"/>
    </row>
    <row r="313" customFormat="false" ht="68.65" hidden="false" customHeight="false" outlineLevel="0" collapsed="false">
      <c r="A313" s="41" t="s">
        <v>21</v>
      </c>
      <c r="B313" s="41" t="s">
        <v>669</v>
      </c>
      <c r="C313" s="42" t="s">
        <v>670</v>
      </c>
      <c r="D313" s="44" t="s">
        <v>671</v>
      </c>
      <c r="E313" s="42" t="s">
        <v>3812</v>
      </c>
      <c r="F313" s="42" t="s">
        <v>3810</v>
      </c>
      <c r="G313" s="44" t="s">
        <v>3813</v>
      </c>
      <c r="H313" s="41" t="s">
        <v>3248</v>
      </c>
      <c r="I313" s="42" t="s">
        <v>3814</v>
      </c>
      <c r="J313" s="44" t="s">
        <v>3135</v>
      </c>
    </row>
    <row r="314" customFormat="false" ht="41.75" hidden="false" customHeight="false" outlineLevel="0" collapsed="false">
      <c r="A314" s="41" t="s">
        <v>21</v>
      </c>
      <c r="B314" s="41" t="s">
        <v>584</v>
      </c>
      <c r="C314" s="42" t="s">
        <v>585</v>
      </c>
      <c r="D314" s="44" t="s">
        <v>586</v>
      </c>
      <c r="E314" s="42" t="s">
        <v>3239</v>
      </c>
      <c r="F314" s="42" t="s">
        <v>3815</v>
      </c>
      <c r="G314" s="44" t="s">
        <v>2218</v>
      </c>
      <c r="H314" s="41" t="s">
        <v>3351</v>
      </c>
      <c r="I314" s="42" t="s">
        <v>3352</v>
      </c>
      <c r="J314" s="41"/>
    </row>
    <row r="315" customFormat="false" ht="41.75" hidden="false" customHeight="false" outlineLevel="0" collapsed="false">
      <c r="A315" s="41" t="s">
        <v>21</v>
      </c>
      <c r="B315" s="41" t="s">
        <v>584</v>
      </c>
      <c r="C315" s="42" t="s">
        <v>585</v>
      </c>
      <c r="D315" s="44" t="s">
        <v>586</v>
      </c>
      <c r="E315" s="42" t="s">
        <v>881</v>
      </c>
      <c r="F315" s="42" t="s">
        <v>3810</v>
      </c>
      <c r="G315" s="44" t="s">
        <v>3135</v>
      </c>
      <c r="H315" s="41" t="s">
        <v>3219</v>
      </c>
      <c r="I315" s="42" t="s">
        <v>3816</v>
      </c>
      <c r="J315" s="41"/>
    </row>
    <row r="316" customFormat="false" ht="95.5" hidden="false" customHeight="false" outlineLevel="0" collapsed="false">
      <c r="A316" s="41" t="s">
        <v>21</v>
      </c>
      <c r="B316" s="41" t="s">
        <v>584</v>
      </c>
      <c r="C316" s="42" t="s">
        <v>585</v>
      </c>
      <c r="D316" s="44" t="s">
        <v>586</v>
      </c>
      <c r="E316" s="42" t="s">
        <v>3817</v>
      </c>
      <c r="F316" s="42" t="s">
        <v>3810</v>
      </c>
      <c r="G316" s="44" t="s">
        <v>3818</v>
      </c>
      <c r="H316" s="41" t="s">
        <v>3248</v>
      </c>
      <c r="I316" s="42" t="s">
        <v>3819</v>
      </c>
      <c r="J316" s="44" t="s">
        <v>3135</v>
      </c>
    </row>
    <row r="317" customFormat="false" ht="41.75" hidden="false" customHeight="false" outlineLevel="0" collapsed="false">
      <c r="A317" s="41" t="s">
        <v>21</v>
      </c>
      <c r="B317" s="41" t="s">
        <v>584</v>
      </c>
      <c r="C317" s="42" t="s">
        <v>585</v>
      </c>
      <c r="D317" s="44" t="s">
        <v>586</v>
      </c>
      <c r="E317" s="42" t="s">
        <v>583</v>
      </c>
      <c r="F317" s="42" t="s">
        <v>3820</v>
      </c>
      <c r="G317" s="44" t="s">
        <v>3821</v>
      </c>
      <c r="H317" s="41" t="s">
        <v>3252</v>
      </c>
      <c r="I317" s="42" t="s">
        <v>3253</v>
      </c>
      <c r="J317" s="41"/>
    </row>
    <row r="318" customFormat="false" ht="41.75" hidden="false" customHeight="false" outlineLevel="0" collapsed="false">
      <c r="A318" s="41" t="s">
        <v>21</v>
      </c>
      <c r="B318" s="41" t="s">
        <v>305</v>
      </c>
      <c r="C318" s="42" t="s">
        <v>306</v>
      </c>
      <c r="D318" s="44" t="s">
        <v>308</v>
      </c>
      <c r="E318" s="42" t="s">
        <v>3239</v>
      </c>
      <c r="F318" s="42" t="s">
        <v>3822</v>
      </c>
      <c r="G318" s="44" t="s">
        <v>3823</v>
      </c>
      <c r="H318" s="41" t="s">
        <v>3242</v>
      </c>
      <c r="I318" s="42" t="s">
        <v>3243</v>
      </c>
      <c r="J318" s="41"/>
    </row>
    <row r="319" customFormat="false" ht="68.65" hidden="false" customHeight="false" outlineLevel="0" collapsed="false">
      <c r="A319" s="41" t="s">
        <v>21</v>
      </c>
      <c r="B319" s="41" t="s">
        <v>305</v>
      </c>
      <c r="C319" s="42" t="s">
        <v>306</v>
      </c>
      <c r="D319" s="44" t="s">
        <v>308</v>
      </c>
      <c r="E319" s="42" t="s">
        <v>881</v>
      </c>
      <c r="F319" s="42" t="s">
        <v>3779</v>
      </c>
      <c r="G319" s="44" t="s">
        <v>3824</v>
      </c>
      <c r="H319" s="41" t="s">
        <v>3472</v>
      </c>
      <c r="I319" s="42" t="s">
        <v>3825</v>
      </c>
      <c r="J319" s="44" t="s">
        <v>3135</v>
      </c>
    </row>
    <row r="320" customFormat="false" ht="202.95" hidden="false" customHeight="false" outlineLevel="0" collapsed="false">
      <c r="A320" s="41" t="s">
        <v>21</v>
      </c>
      <c r="B320" s="41" t="s">
        <v>305</v>
      </c>
      <c r="C320" s="42" t="s">
        <v>306</v>
      </c>
      <c r="D320" s="44" t="s">
        <v>308</v>
      </c>
      <c r="E320" s="42" t="s">
        <v>994</v>
      </c>
      <c r="F320" s="42" t="s">
        <v>3779</v>
      </c>
      <c r="G320" s="44" t="s">
        <v>3824</v>
      </c>
      <c r="H320" s="41" t="s">
        <v>3472</v>
      </c>
      <c r="I320" s="42" t="s">
        <v>3826</v>
      </c>
      <c r="J320" s="44" t="s">
        <v>3135</v>
      </c>
    </row>
    <row r="321" customFormat="false" ht="28.35" hidden="false" customHeight="false" outlineLevel="0" collapsed="false">
      <c r="A321" s="41" t="s">
        <v>21</v>
      </c>
      <c r="B321" s="41" t="s">
        <v>305</v>
      </c>
      <c r="C321" s="42" t="s">
        <v>306</v>
      </c>
      <c r="D321" s="44" t="s">
        <v>308</v>
      </c>
      <c r="E321" s="42" t="s">
        <v>583</v>
      </c>
      <c r="F321" s="42" t="s">
        <v>3827</v>
      </c>
      <c r="G321" s="44" t="s">
        <v>3828</v>
      </c>
      <c r="H321" s="41" t="s">
        <v>3252</v>
      </c>
      <c r="I321" s="42" t="s">
        <v>3253</v>
      </c>
      <c r="J321" s="41"/>
    </row>
    <row r="322" customFormat="false" ht="28.35" hidden="false" customHeight="false" outlineLevel="0" collapsed="false">
      <c r="A322" s="41" t="s">
        <v>21</v>
      </c>
      <c r="B322" s="41" t="s">
        <v>305</v>
      </c>
      <c r="C322" s="42" t="s">
        <v>306</v>
      </c>
      <c r="D322" s="44" t="s">
        <v>308</v>
      </c>
      <c r="E322" s="42" t="s">
        <v>328</v>
      </c>
      <c r="F322" s="42" t="s">
        <v>3829</v>
      </c>
      <c r="G322" s="44" t="s">
        <v>2389</v>
      </c>
      <c r="H322" s="41" t="s">
        <v>3418</v>
      </c>
      <c r="I322" s="42" t="s">
        <v>3419</v>
      </c>
      <c r="J322" s="41"/>
    </row>
    <row r="323" customFormat="false" ht="55.2" hidden="false" customHeight="false" outlineLevel="0" collapsed="false">
      <c r="A323" s="41" t="s">
        <v>21</v>
      </c>
      <c r="B323" s="41" t="s">
        <v>322</v>
      </c>
      <c r="C323" s="42" t="s">
        <v>323</v>
      </c>
      <c r="D323" s="44" t="s">
        <v>325</v>
      </c>
      <c r="E323" s="42" t="s">
        <v>934</v>
      </c>
      <c r="F323" s="42" t="s">
        <v>3830</v>
      </c>
      <c r="G323" s="44" t="s">
        <v>3831</v>
      </c>
      <c r="H323" s="41" t="s">
        <v>3248</v>
      </c>
      <c r="I323" s="42" t="s">
        <v>3832</v>
      </c>
      <c r="J323" s="44" t="s">
        <v>3135</v>
      </c>
    </row>
    <row r="324" customFormat="false" ht="41.75" hidden="false" customHeight="false" outlineLevel="0" collapsed="false">
      <c r="A324" s="41" t="s">
        <v>21</v>
      </c>
      <c r="B324" s="41" t="s">
        <v>336</v>
      </c>
      <c r="C324" s="42" t="s">
        <v>337</v>
      </c>
      <c r="D324" s="44" t="s">
        <v>340</v>
      </c>
      <c r="E324" s="42" t="s">
        <v>753</v>
      </c>
      <c r="F324" s="42" t="s">
        <v>3802</v>
      </c>
      <c r="G324" s="44" t="s">
        <v>3135</v>
      </c>
      <c r="H324" s="41" t="s">
        <v>3219</v>
      </c>
      <c r="I324" s="42" t="s">
        <v>3833</v>
      </c>
      <c r="J324" s="41"/>
    </row>
    <row r="325" customFormat="false" ht="41.75" hidden="false" customHeight="false" outlineLevel="0" collapsed="false">
      <c r="A325" s="41" t="s">
        <v>21</v>
      </c>
      <c r="B325" s="41" t="s">
        <v>937</v>
      </c>
      <c r="C325" s="42" t="s">
        <v>938</v>
      </c>
      <c r="D325" s="44" t="s">
        <v>940</v>
      </c>
      <c r="E325" s="42" t="s">
        <v>3239</v>
      </c>
      <c r="F325" s="42" t="s">
        <v>3834</v>
      </c>
      <c r="G325" s="44" t="s">
        <v>2215</v>
      </c>
      <c r="H325" s="41" t="s">
        <v>3351</v>
      </c>
      <c r="I325" s="42" t="s">
        <v>3352</v>
      </c>
      <c r="J325" s="41"/>
    </row>
    <row r="326" customFormat="false" ht="41.75" hidden="false" customHeight="false" outlineLevel="0" collapsed="false">
      <c r="A326" s="41" t="s">
        <v>21</v>
      </c>
      <c r="B326" s="41" t="s">
        <v>937</v>
      </c>
      <c r="C326" s="42" t="s">
        <v>938</v>
      </c>
      <c r="D326" s="44" t="s">
        <v>940</v>
      </c>
      <c r="E326" s="42" t="s">
        <v>881</v>
      </c>
      <c r="F326" s="42" t="s">
        <v>3810</v>
      </c>
      <c r="G326" s="44" t="s">
        <v>3135</v>
      </c>
      <c r="H326" s="41" t="s">
        <v>3219</v>
      </c>
      <c r="I326" s="42" t="s">
        <v>3835</v>
      </c>
      <c r="J326" s="41"/>
    </row>
    <row r="327" customFormat="false" ht="82.05" hidden="false" customHeight="false" outlineLevel="0" collapsed="false">
      <c r="A327" s="41" t="s">
        <v>21</v>
      </c>
      <c r="B327" s="41" t="s">
        <v>937</v>
      </c>
      <c r="C327" s="42" t="s">
        <v>938</v>
      </c>
      <c r="D327" s="44" t="s">
        <v>940</v>
      </c>
      <c r="E327" s="42" t="s">
        <v>3836</v>
      </c>
      <c r="F327" s="42" t="s">
        <v>3810</v>
      </c>
      <c r="G327" s="44" t="s">
        <v>3837</v>
      </c>
      <c r="H327" s="41" t="s">
        <v>3248</v>
      </c>
      <c r="I327" s="42" t="s">
        <v>3838</v>
      </c>
      <c r="J327" s="44" t="s">
        <v>3135</v>
      </c>
    </row>
    <row r="328" customFormat="false" ht="41.75" hidden="false" customHeight="false" outlineLevel="0" collapsed="false">
      <c r="A328" s="41" t="s">
        <v>21</v>
      </c>
      <c r="B328" s="41" t="s">
        <v>937</v>
      </c>
      <c r="C328" s="42" t="s">
        <v>938</v>
      </c>
      <c r="D328" s="44" t="s">
        <v>940</v>
      </c>
      <c r="E328" s="42" t="s">
        <v>583</v>
      </c>
      <c r="F328" s="42" t="s">
        <v>3839</v>
      </c>
      <c r="G328" s="44" t="s">
        <v>3840</v>
      </c>
      <c r="H328" s="41" t="s">
        <v>3411</v>
      </c>
      <c r="I328" s="42" t="s">
        <v>3412</v>
      </c>
      <c r="J328" s="41"/>
    </row>
    <row r="329" customFormat="false" ht="41.75" hidden="false" customHeight="false" outlineLevel="0" collapsed="false">
      <c r="A329" s="41" t="s">
        <v>21</v>
      </c>
      <c r="B329" s="41" t="s">
        <v>760</v>
      </c>
      <c r="C329" s="42" t="s">
        <v>761</v>
      </c>
      <c r="D329" s="44" t="s">
        <v>762</v>
      </c>
      <c r="E329" s="42" t="s">
        <v>3239</v>
      </c>
      <c r="F329" s="42" t="s">
        <v>3841</v>
      </c>
      <c r="G329" s="44" t="s">
        <v>3842</v>
      </c>
      <c r="H329" s="41" t="s">
        <v>3242</v>
      </c>
      <c r="I329" s="42" t="s">
        <v>3243</v>
      </c>
      <c r="J329" s="41"/>
    </row>
    <row r="330" customFormat="false" ht="55.2" hidden="false" customHeight="false" outlineLevel="0" collapsed="false">
      <c r="A330" s="41" t="s">
        <v>21</v>
      </c>
      <c r="B330" s="41" t="s">
        <v>760</v>
      </c>
      <c r="C330" s="42" t="s">
        <v>761</v>
      </c>
      <c r="D330" s="44" t="s">
        <v>762</v>
      </c>
      <c r="E330" s="42" t="s">
        <v>881</v>
      </c>
      <c r="F330" s="42" t="s">
        <v>3843</v>
      </c>
      <c r="G330" s="44" t="s">
        <v>3135</v>
      </c>
      <c r="H330" s="41" t="s">
        <v>3219</v>
      </c>
      <c r="I330" s="42" t="s">
        <v>3844</v>
      </c>
      <c r="J330" s="41"/>
    </row>
    <row r="331" customFormat="false" ht="122.35" hidden="false" customHeight="false" outlineLevel="0" collapsed="false">
      <c r="A331" s="41" t="s">
        <v>21</v>
      </c>
      <c r="B331" s="41" t="s">
        <v>760</v>
      </c>
      <c r="C331" s="42" t="s">
        <v>761</v>
      </c>
      <c r="D331" s="44" t="s">
        <v>762</v>
      </c>
      <c r="E331" s="42" t="s">
        <v>3845</v>
      </c>
      <c r="F331" s="42" t="s">
        <v>3843</v>
      </c>
      <c r="G331" s="44" t="s">
        <v>3846</v>
      </c>
      <c r="H331" s="41" t="s">
        <v>3248</v>
      </c>
      <c r="I331" s="42" t="s">
        <v>3847</v>
      </c>
      <c r="J331" s="44" t="s">
        <v>3135</v>
      </c>
    </row>
    <row r="332" customFormat="false" ht="41.75" hidden="false" customHeight="false" outlineLevel="0" collapsed="false">
      <c r="A332" s="41" t="s">
        <v>21</v>
      </c>
      <c r="B332" s="41" t="s">
        <v>348</v>
      </c>
      <c r="C332" s="42" t="s">
        <v>349</v>
      </c>
      <c r="D332" s="44" t="s">
        <v>350</v>
      </c>
      <c r="E332" s="42" t="s">
        <v>3239</v>
      </c>
      <c r="F332" s="42" t="s">
        <v>3848</v>
      </c>
      <c r="G332" s="44" t="s">
        <v>3849</v>
      </c>
      <c r="H332" s="41" t="s">
        <v>3242</v>
      </c>
      <c r="I332" s="42" t="s">
        <v>3243</v>
      </c>
      <c r="J332" s="41"/>
    </row>
    <row r="333" customFormat="false" ht="55.2" hidden="false" customHeight="false" outlineLevel="0" collapsed="false">
      <c r="A333" s="41" t="s">
        <v>21</v>
      </c>
      <c r="B333" s="41" t="s">
        <v>348</v>
      </c>
      <c r="C333" s="42" t="s">
        <v>349</v>
      </c>
      <c r="D333" s="44" t="s">
        <v>350</v>
      </c>
      <c r="E333" s="42" t="s">
        <v>881</v>
      </c>
      <c r="F333" s="42" t="s">
        <v>3850</v>
      </c>
      <c r="G333" s="44" t="s">
        <v>3135</v>
      </c>
      <c r="H333" s="41" t="s">
        <v>3219</v>
      </c>
      <c r="I333" s="42" t="s">
        <v>3851</v>
      </c>
      <c r="J333" s="41"/>
    </row>
    <row r="334" customFormat="false" ht="135.8" hidden="false" customHeight="false" outlineLevel="0" collapsed="false">
      <c r="A334" s="41" t="s">
        <v>21</v>
      </c>
      <c r="B334" s="41" t="s">
        <v>348</v>
      </c>
      <c r="C334" s="42" t="s">
        <v>349</v>
      </c>
      <c r="D334" s="44" t="s">
        <v>350</v>
      </c>
      <c r="E334" s="42" t="s">
        <v>3852</v>
      </c>
      <c r="F334" s="42" t="s">
        <v>3850</v>
      </c>
      <c r="G334" s="44" t="s">
        <v>3135</v>
      </c>
      <c r="H334" s="41" t="s">
        <v>3219</v>
      </c>
      <c r="I334" s="42" t="s">
        <v>3853</v>
      </c>
      <c r="J334" s="41"/>
    </row>
    <row r="335" customFormat="false" ht="41.75" hidden="false" customHeight="false" outlineLevel="0" collapsed="false">
      <c r="A335" s="41" t="s">
        <v>21</v>
      </c>
      <c r="B335" s="41" t="s">
        <v>348</v>
      </c>
      <c r="C335" s="42" t="s">
        <v>349</v>
      </c>
      <c r="D335" s="44" t="s">
        <v>350</v>
      </c>
      <c r="E335" s="42" t="s">
        <v>583</v>
      </c>
      <c r="F335" s="42" t="s">
        <v>3854</v>
      </c>
      <c r="G335" s="44" t="s">
        <v>3855</v>
      </c>
      <c r="H335" s="41" t="s">
        <v>3252</v>
      </c>
      <c r="I335" s="42" t="s">
        <v>3253</v>
      </c>
      <c r="J335" s="41"/>
    </row>
    <row r="336" customFormat="false" ht="41.75" hidden="false" customHeight="false" outlineLevel="0" collapsed="false">
      <c r="A336" s="41" t="s">
        <v>21</v>
      </c>
      <c r="B336" s="41" t="s">
        <v>954</v>
      </c>
      <c r="C336" s="42" t="s">
        <v>955</v>
      </c>
      <c r="D336" s="44" t="s">
        <v>956</v>
      </c>
      <c r="E336" s="42" t="s">
        <v>3239</v>
      </c>
      <c r="F336" s="42" t="s">
        <v>3856</v>
      </c>
      <c r="G336" s="44" t="s">
        <v>2206</v>
      </c>
      <c r="H336" s="41" t="s">
        <v>3351</v>
      </c>
      <c r="I336" s="42" t="s">
        <v>3352</v>
      </c>
      <c r="J336" s="41"/>
    </row>
    <row r="337" customFormat="false" ht="55.2" hidden="false" customHeight="false" outlineLevel="0" collapsed="false">
      <c r="A337" s="41" t="s">
        <v>21</v>
      </c>
      <c r="B337" s="41" t="s">
        <v>954</v>
      </c>
      <c r="C337" s="42" t="s">
        <v>955</v>
      </c>
      <c r="D337" s="44" t="s">
        <v>956</v>
      </c>
      <c r="E337" s="42" t="s">
        <v>881</v>
      </c>
      <c r="F337" s="42" t="s">
        <v>3857</v>
      </c>
      <c r="G337" s="44" t="s">
        <v>3135</v>
      </c>
      <c r="H337" s="41" t="s">
        <v>3219</v>
      </c>
      <c r="I337" s="42" t="s">
        <v>3858</v>
      </c>
      <c r="J337" s="41"/>
    </row>
    <row r="338" customFormat="false" ht="162.65" hidden="false" customHeight="false" outlineLevel="0" collapsed="false">
      <c r="A338" s="41" t="s">
        <v>21</v>
      </c>
      <c r="B338" s="41" t="s">
        <v>954</v>
      </c>
      <c r="C338" s="42" t="s">
        <v>955</v>
      </c>
      <c r="D338" s="44" t="s">
        <v>956</v>
      </c>
      <c r="E338" s="42" t="s">
        <v>3859</v>
      </c>
      <c r="F338" s="42" t="s">
        <v>3857</v>
      </c>
      <c r="G338" s="44" t="s">
        <v>3860</v>
      </c>
      <c r="H338" s="41" t="s">
        <v>3248</v>
      </c>
      <c r="I338" s="42" t="s">
        <v>3861</v>
      </c>
      <c r="J338" s="44" t="s">
        <v>3135</v>
      </c>
    </row>
    <row r="339" customFormat="false" ht="28.35" hidden="false" customHeight="false" outlineLevel="0" collapsed="false">
      <c r="A339" s="41" t="s">
        <v>21</v>
      </c>
      <c r="B339" s="41" t="s">
        <v>954</v>
      </c>
      <c r="C339" s="42" t="s">
        <v>955</v>
      </c>
      <c r="D339" s="44" t="s">
        <v>956</v>
      </c>
      <c r="E339" s="42" t="s">
        <v>583</v>
      </c>
      <c r="F339" s="42" t="s">
        <v>3862</v>
      </c>
      <c r="G339" s="44" t="s">
        <v>3863</v>
      </c>
      <c r="H339" s="41" t="s">
        <v>3252</v>
      </c>
      <c r="I339" s="42" t="s">
        <v>3253</v>
      </c>
      <c r="J339" s="41"/>
    </row>
    <row r="340" customFormat="false" ht="28.35" hidden="false" customHeight="false" outlineLevel="0" collapsed="false">
      <c r="A340" s="41" t="s">
        <v>21</v>
      </c>
      <c r="B340" s="41" t="s">
        <v>356</v>
      </c>
      <c r="C340" s="42" t="s">
        <v>357</v>
      </c>
      <c r="D340" s="44" t="s">
        <v>358</v>
      </c>
      <c r="E340" s="42" t="s">
        <v>3239</v>
      </c>
      <c r="F340" s="42" t="s">
        <v>3864</v>
      </c>
      <c r="G340" s="44" t="s">
        <v>3865</v>
      </c>
      <c r="H340" s="41" t="s">
        <v>3242</v>
      </c>
      <c r="I340" s="42" t="s">
        <v>3243</v>
      </c>
      <c r="J340" s="41"/>
    </row>
    <row r="341" customFormat="false" ht="55.2" hidden="false" customHeight="false" outlineLevel="0" collapsed="false">
      <c r="A341" s="41" t="s">
        <v>21</v>
      </c>
      <c r="B341" s="41" t="s">
        <v>356</v>
      </c>
      <c r="C341" s="42" t="s">
        <v>357</v>
      </c>
      <c r="D341" s="44" t="s">
        <v>358</v>
      </c>
      <c r="E341" s="42" t="s">
        <v>881</v>
      </c>
      <c r="F341" s="42" t="s">
        <v>3866</v>
      </c>
      <c r="G341" s="44" t="s">
        <v>3135</v>
      </c>
      <c r="H341" s="41" t="s">
        <v>3219</v>
      </c>
      <c r="I341" s="42" t="s">
        <v>3867</v>
      </c>
      <c r="J341" s="41"/>
    </row>
    <row r="342" customFormat="false" ht="108.95" hidden="false" customHeight="false" outlineLevel="0" collapsed="false">
      <c r="A342" s="41" t="s">
        <v>21</v>
      </c>
      <c r="B342" s="41" t="s">
        <v>356</v>
      </c>
      <c r="C342" s="42" t="s">
        <v>357</v>
      </c>
      <c r="D342" s="44" t="s">
        <v>358</v>
      </c>
      <c r="E342" s="42" t="s">
        <v>3868</v>
      </c>
      <c r="F342" s="42" t="s">
        <v>3866</v>
      </c>
      <c r="G342" s="44" t="s">
        <v>3869</v>
      </c>
      <c r="H342" s="41" t="s">
        <v>3248</v>
      </c>
      <c r="I342" s="42" t="s">
        <v>3870</v>
      </c>
      <c r="J342" s="44" t="s">
        <v>3135</v>
      </c>
    </row>
    <row r="343" customFormat="false" ht="28.35" hidden="false" customHeight="false" outlineLevel="0" collapsed="false">
      <c r="A343" s="41" t="s">
        <v>21</v>
      </c>
      <c r="B343" s="41" t="s">
        <v>356</v>
      </c>
      <c r="C343" s="42" t="s">
        <v>357</v>
      </c>
      <c r="D343" s="44" t="s">
        <v>358</v>
      </c>
      <c r="E343" s="42" t="s">
        <v>583</v>
      </c>
      <c r="F343" s="42" t="s">
        <v>3871</v>
      </c>
      <c r="G343" s="44" t="s">
        <v>3872</v>
      </c>
      <c r="H343" s="41" t="s">
        <v>3252</v>
      </c>
      <c r="I343" s="42" t="s">
        <v>3253</v>
      </c>
      <c r="J343" s="41"/>
    </row>
    <row r="344" customFormat="false" ht="28.35" hidden="false" customHeight="false" outlineLevel="0" collapsed="false">
      <c r="A344" s="41" t="s">
        <v>21</v>
      </c>
      <c r="B344" s="41" t="s">
        <v>356</v>
      </c>
      <c r="C344" s="42" t="s">
        <v>357</v>
      </c>
      <c r="D344" s="44" t="s">
        <v>358</v>
      </c>
      <c r="E344" s="42" t="s">
        <v>328</v>
      </c>
      <c r="F344" s="42" t="s">
        <v>3873</v>
      </c>
      <c r="G344" s="44" t="s">
        <v>3874</v>
      </c>
      <c r="H344" s="41" t="s">
        <v>3272</v>
      </c>
      <c r="I344" s="42" t="s">
        <v>3273</v>
      </c>
      <c r="J344" s="41"/>
    </row>
    <row r="345" customFormat="false" ht="41.75" hidden="false" customHeight="false" outlineLevel="0" collapsed="false">
      <c r="A345" s="41" t="s">
        <v>21</v>
      </c>
      <c r="B345" s="41" t="s">
        <v>965</v>
      </c>
      <c r="C345" s="42" t="s">
        <v>966</v>
      </c>
      <c r="D345" s="44" t="s">
        <v>967</v>
      </c>
      <c r="E345" s="42" t="s">
        <v>3239</v>
      </c>
      <c r="F345" s="42" t="s">
        <v>3875</v>
      </c>
      <c r="G345" s="44" t="s">
        <v>3876</v>
      </c>
      <c r="H345" s="41" t="s">
        <v>3242</v>
      </c>
      <c r="I345" s="42" t="s">
        <v>3243</v>
      </c>
      <c r="J345" s="41"/>
    </row>
    <row r="346" customFormat="false" ht="202.95" hidden="false" customHeight="false" outlineLevel="0" collapsed="false">
      <c r="A346" s="41" t="s">
        <v>21</v>
      </c>
      <c r="B346" s="41" t="s">
        <v>965</v>
      </c>
      <c r="C346" s="42" t="s">
        <v>966</v>
      </c>
      <c r="D346" s="44" t="s">
        <v>967</v>
      </c>
      <c r="E346" s="42" t="s">
        <v>994</v>
      </c>
      <c r="F346" s="42" t="s">
        <v>3802</v>
      </c>
      <c r="G346" s="44" t="s">
        <v>3877</v>
      </c>
      <c r="H346" s="41" t="s">
        <v>3472</v>
      </c>
      <c r="I346" s="42" t="s">
        <v>3878</v>
      </c>
      <c r="J346" s="44" t="s">
        <v>3135</v>
      </c>
    </row>
    <row r="347" customFormat="false" ht="28.35" hidden="false" customHeight="false" outlineLevel="0" collapsed="false">
      <c r="A347" s="41" t="s">
        <v>21</v>
      </c>
      <c r="B347" s="41" t="s">
        <v>972</v>
      </c>
      <c r="C347" s="42" t="s">
        <v>973</v>
      </c>
      <c r="D347" s="44" t="s">
        <v>974</v>
      </c>
      <c r="E347" s="42" t="s">
        <v>3239</v>
      </c>
      <c r="F347" s="42" t="s">
        <v>3879</v>
      </c>
      <c r="G347" s="44" t="s">
        <v>3880</v>
      </c>
      <c r="H347" s="41" t="s">
        <v>3351</v>
      </c>
      <c r="I347" s="42" t="s">
        <v>3352</v>
      </c>
      <c r="J347" s="41"/>
    </row>
    <row r="348" customFormat="false" ht="202.95" hidden="false" customHeight="false" outlineLevel="0" collapsed="false">
      <c r="A348" s="41" t="s">
        <v>21</v>
      </c>
      <c r="B348" s="41" t="s">
        <v>972</v>
      </c>
      <c r="C348" s="42" t="s">
        <v>973</v>
      </c>
      <c r="D348" s="44" t="s">
        <v>974</v>
      </c>
      <c r="E348" s="42" t="s">
        <v>994</v>
      </c>
      <c r="F348" s="42" t="s">
        <v>3802</v>
      </c>
      <c r="G348" s="44" t="s">
        <v>3881</v>
      </c>
      <c r="H348" s="41" t="s">
        <v>3472</v>
      </c>
      <c r="I348" s="42" t="s">
        <v>3882</v>
      </c>
      <c r="J348" s="44" t="s">
        <v>3135</v>
      </c>
    </row>
    <row r="349" customFormat="false" ht="28.35" hidden="false" customHeight="false" outlineLevel="0" collapsed="false">
      <c r="A349" s="41" t="s">
        <v>21</v>
      </c>
      <c r="B349" s="41" t="s">
        <v>972</v>
      </c>
      <c r="C349" s="42" t="s">
        <v>973</v>
      </c>
      <c r="D349" s="44" t="s">
        <v>974</v>
      </c>
      <c r="E349" s="42" t="s">
        <v>583</v>
      </c>
      <c r="F349" s="42" t="s">
        <v>3883</v>
      </c>
      <c r="G349" s="44" t="s">
        <v>3884</v>
      </c>
      <c r="H349" s="41" t="s">
        <v>3252</v>
      </c>
      <c r="I349" s="42" t="s">
        <v>3253</v>
      </c>
      <c r="J349" s="41"/>
    </row>
    <row r="350" customFormat="false" ht="68.65" hidden="false" customHeight="false" outlineLevel="0" collapsed="false">
      <c r="A350" s="41" t="s">
        <v>21</v>
      </c>
      <c r="B350" s="41" t="s">
        <v>362</v>
      </c>
      <c r="C350" s="42" t="s">
        <v>363</v>
      </c>
      <c r="D350" s="44" t="s">
        <v>365</v>
      </c>
      <c r="E350" s="42" t="s">
        <v>881</v>
      </c>
      <c r="F350" s="42" t="s">
        <v>3857</v>
      </c>
      <c r="G350" s="44" t="s">
        <v>3885</v>
      </c>
      <c r="H350" s="41" t="s">
        <v>3472</v>
      </c>
      <c r="I350" s="42" t="s">
        <v>3886</v>
      </c>
      <c r="J350" s="44" t="s">
        <v>3135</v>
      </c>
    </row>
    <row r="351" customFormat="false" ht="28.35" hidden="false" customHeight="false" outlineLevel="0" collapsed="false">
      <c r="A351" s="41" t="s">
        <v>21</v>
      </c>
      <c r="B351" s="41" t="s">
        <v>362</v>
      </c>
      <c r="C351" s="42" t="s">
        <v>363</v>
      </c>
      <c r="D351" s="44" t="s">
        <v>365</v>
      </c>
      <c r="E351" s="42" t="s">
        <v>433</v>
      </c>
      <c r="F351" s="42" t="s">
        <v>3887</v>
      </c>
      <c r="G351" s="44" t="s">
        <v>3888</v>
      </c>
      <c r="H351" s="41" t="s">
        <v>3233</v>
      </c>
      <c r="I351" s="42" t="s">
        <v>3234</v>
      </c>
      <c r="J351" s="41"/>
    </row>
    <row r="352" customFormat="false" ht="202.95" hidden="false" customHeight="false" outlineLevel="0" collapsed="false">
      <c r="A352" s="41" t="s">
        <v>21</v>
      </c>
      <c r="B352" s="41" t="s">
        <v>362</v>
      </c>
      <c r="C352" s="42" t="s">
        <v>363</v>
      </c>
      <c r="D352" s="44" t="s">
        <v>365</v>
      </c>
      <c r="E352" s="42" t="s">
        <v>994</v>
      </c>
      <c r="F352" s="42" t="s">
        <v>3857</v>
      </c>
      <c r="G352" s="44" t="s">
        <v>3885</v>
      </c>
      <c r="H352" s="41" t="s">
        <v>3472</v>
      </c>
      <c r="I352" s="42" t="s">
        <v>3889</v>
      </c>
      <c r="J352" s="44" t="s">
        <v>3135</v>
      </c>
    </row>
    <row r="353" customFormat="false" ht="41.75" hidden="false" customHeight="false" outlineLevel="0" collapsed="false">
      <c r="A353" s="41" t="s">
        <v>21</v>
      </c>
      <c r="B353" s="41" t="s">
        <v>362</v>
      </c>
      <c r="C353" s="42" t="s">
        <v>363</v>
      </c>
      <c r="D353" s="44" t="s">
        <v>365</v>
      </c>
      <c r="E353" s="42" t="s">
        <v>583</v>
      </c>
      <c r="F353" s="42" t="s">
        <v>3890</v>
      </c>
      <c r="G353" s="44" t="s">
        <v>3891</v>
      </c>
      <c r="H353" s="41" t="s">
        <v>3252</v>
      </c>
      <c r="I353" s="42" t="s">
        <v>3253</v>
      </c>
      <c r="J353" s="41"/>
    </row>
    <row r="354" customFormat="false" ht="28.35" hidden="false" customHeight="false" outlineLevel="0" collapsed="false">
      <c r="A354" s="41" t="s">
        <v>21</v>
      </c>
      <c r="B354" s="41" t="s">
        <v>362</v>
      </c>
      <c r="C354" s="42" t="s">
        <v>363</v>
      </c>
      <c r="D354" s="44" t="s">
        <v>365</v>
      </c>
      <c r="E354" s="42" t="s">
        <v>328</v>
      </c>
      <c r="F354" s="42" t="s">
        <v>3892</v>
      </c>
      <c r="G354" s="44" t="s">
        <v>3893</v>
      </c>
      <c r="H354" s="41" t="s">
        <v>3272</v>
      </c>
      <c r="I354" s="42" t="s">
        <v>3273</v>
      </c>
      <c r="J354" s="41"/>
    </row>
    <row r="355" customFormat="false" ht="55.2" hidden="false" customHeight="false" outlineLevel="0" collapsed="false">
      <c r="A355" s="41" t="s">
        <v>21</v>
      </c>
      <c r="B355" s="41" t="s">
        <v>982</v>
      </c>
      <c r="C355" s="42" t="s">
        <v>983</v>
      </c>
      <c r="D355" s="44" t="s">
        <v>984</v>
      </c>
      <c r="E355" s="42" t="s">
        <v>987</v>
      </c>
      <c r="F355" s="42" t="s">
        <v>3894</v>
      </c>
      <c r="G355" s="44" t="s">
        <v>3895</v>
      </c>
      <c r="H355" s="41" t="s">
        <v>3248</v>
      </c>
      <c r="I355" s="42" t="s">
        <v>3896</v>
      </c>
      <c r="J355" s="44" t="s">
        <v>3135</v>
      </c>
    </row>
    <row r="356" customFormat="false" ht="41.75" hidden="false" customHeight="false" outlineLevel="0" collapsed="false">
      <c r="A356" s="41" t="s">
        <v>21</v>
      </c>
      <c r="B356" s="41" t="s">
        <v>376</v>
      </c>
      <c r="C356" s="42" t="s">
        <v>377</v>
      </c>
      <c r="D356" s="44" t="s">
        <v>379</v>
      </c>
      <c r="E356" s="42" t="s">
        <v>3239</v>
      </c>
      <c r="F356" s="42" t="s">
        <v>3897</v>
      </c>
      <c r="G356" s="44" t="s">
        <v>2204</v>
      </c>
      <c r="H356" s="41" t="s">
        <v>3351</v>
      </c>
      <c r="I356" s="42" t="s">
        <v>3352</v>
      </c>
      <c r="J356" s="41"/>
    </row>
    <row r="357" customFormat="false" ht="55.2" hidden="false" customHeight="false" outlineLevel="0" collapsed="false">
      <c r="A357" s="41" t="s">
        <v>21</v>
      </c>
      <c r="B357" s="41" t="s">
        <v>376</v>
      </c>
      <c r="C357" s="42" t="s">
        <v>377</v>
      </c>
      <c r="D357" s="44" t="s">
        <v>379</v>
      </c>
      <c r="E357" s="42" t="s">
        <v>881</v>
      </c>
      <c r="F357" s="42" t="s">
        <v>3857</v>
      </c>
      <c r="G357" s="44" t="s">
        <v>3135</v>
      </c>
      <c r="H357" s="41" t="s">
        <v>3219</v>
      </c>
      <c r="I357" s="42" t="s">
        <v>3898</v>
      </c>
      <c r="J357" s="41"/>
    </row>
    <row r="358" customFormat="false" ht="135.8" hidden="false" customHeight="false" outlineLevel="0" collapsed="false">
      <c r="A358" s="41" t="s">
        <v>21</v>
      </c>
      <c r="B358" s="41" t="s">
        <v>376</v>
      </c>
      <c r="C358" s="42" t="s">
        <v>377</v>
      </c>
      <c r="D358" s="44" t="s">
        <v>379</v>
      </c>
      <c r="E358" s="42" t="s">
        <v>3899</v>
      </c>
      <c r="F358" s="42" t="s">
        <v>3857</v>
      </c>
      <c r="G358" s="44" t="s">
        <v>3900</v>
      </c>
      <c r="H358" s="41" t="s">
        <v>3248</v>
      </c>
      <c r="I358" s="42" t="s">
        <v>3901</v>
      </c>
      <c r="J358" s="44" t="s">
        <v>3135</v>
      </c>
    </row>
    <row r="359" customFormat="false" ht="41.75" hidden="false" customHeight="false" outlineLevel="0" collapsed="false">
      <c r="A359" s="41" t="s">
        <v>21</v>
      </c>
      <c r="B359" s="41" t="s">
        <v>376</v>
      </c>
      <c r="C359" s="42" t="s">
        <v>377</v>
      </c>
      <c r="D359" s="44" t="s">
        <v>379</v>
      </c>
      <c r="E359" s="42" t="s">
        <v>583</v>
      </c>
      <c r="F359" s="42" t="s">
        <v>3902</v>
      </c>
      <c r="G359" s="44" t="s">
        <v>3903</v>
      </c>
      <c r="H359" s="41" t="s">
        <v>3411</v>
      </c>
      <c r="I359" s="42" t="s">
        <v>3412</v>
      </c>
      <c r="J359" s="41"/>
    </row>
    <row r="360" customFormat="false" ht="28.35" hidden="false" customHeight="false" outlineLevel="0" collapsed="false">
      <c r="A360" s="41" t="s">
        <v>21</v>
      </c>
      <c r="B360" s="41" t="s">
        <v>376</v>
      </c>
      <c r="C360" s="42" t="s">
        <v>377</v>
      </c>
      <c r="D360" s="44" t="s">
        <v>379</v>
      </c>
      <c r="E360" s="42" t="s">
        <v>328</v>
      </c>
      <c r="F360" s="42" t="s">
        <v>3904</v>
      </c>
      <c r="G360" s="44" t="s">
        <v>3905</v>
      </c>
      <c r="H360" s="41" t="s">
        <v>3418</v>
      </c>
      <c r="I360" s="42" t="s">
        <v>3419</v>
      </c>
      <c r="J360" s="41"/>
    </row>
    <row r="361" customFormat="false" ht="202.95" hidden="false" customHeight="false" outlineLevel="0" collapsed="false">
      <c r="A361" s="41" t="s">
        <v>21</v>
      </c>
      <c r="B361" s="41" t="s">
        <v>383</v>
      </c>
      <c r="C361" s="42" t="s">
        <v>384</v>
      </c>
      <c r="D361" s="44" t="s">
        <v>385</v>
      </c>
      <c r="E361" s="42" t="s">
        <v>994</v>
      </c>
      <c r="F361" s="42" t="s">
        <v>3802</v>
      </c>
      <c r="G361" s="44" t="s">
        <v>3906</v>
      </c>
      <c r="H361" s="41" t="s">
        <v>3472</v>
      </c>
      <c r="I361" s="42" t="s">
        <v>3907</v>
      </c>
      <c r="J361" s="44" t="s">
        <v>3135</v>
      </c>
    </row>
    <row r="362" customFormat="false" ht="68.65" hidden="false" customHeight="false" outlineLevel="0" collapsed="false">
      <c r="A362" s="41" t="s">
        <v>21</v>
      </c>
      <c r="B362" s="41" t="s">
        <v>694</v>
      </c>
      <c r="C362" s="42" t="s">
        <v>695</v>
      </c>
      <c r="D362" s="44" t="s">
        <v>697</v>
      </c>
      <c r="E362" s="42" t="s">
        <v>998</v>
      </c>
      <c r="F362" s="42" t="s">
        <v>3908</v>
      </c>
      <c r="G362" s="44" t="s">
        <v>3135</v>
      </c>
      <c r="H362" s="41" t="s">
        <v>3219</v>
      </c>
      <c r="I362" s="42" t="s">
        <v>3909</v>
      </c>
      <c r="J362" s="41"/>
    </row>
    <row r="363" customFormat="false" ht="41.75" hidden="false" customHeight="false" outlineLevel="0" collapsed="false">
      <c r="A363" s="41" t="s">
        <v>21</v>
      </c>
      <c r="B363" s="41" t="s">
        <v>774</v>
      </c>
      <c r="C363" s="42" t="s">
        <v>775</v>
      </c>
      <c r="D363" s="44" t="s">
        <v>777</v>
      </c>
      <c r="E363" s="42" t="s">
        <v>3239</v>
      </c>
      <c r="F363" s="42" t="s">
        <v>3910</v>
      </c>
      <c r="G363" s="44" t="s">
        <v>2202</v>
      </c>
      <c r="H363" s="41" t="s">
        <v>3351</v>
      </c>
      <c r="I363" s="42" t="s">
        <v>3352</v>
      </c>
      <c r="J363" s="41"/>
    </row>
    <row r="364" customFormat="false" ht="41.75" hidden="false" customHeight="false" outlineLevel="0" collapsed="false">
      <c r="A364" s="41" t="s">
        <v>21</v>
      </c>
      <c r="B364" s="41" t="s">
        <v>774</v>
      </c>
      <c r="C364" s="42" t="s">
        <v>775</v>
      </c>
      <c r="D364" s="44" t="s">
        <v>777</v>
      </c>
      <c r="E364" s="42" t="s">
        <v>881</v>
      </c>
      <c r="F364" s="42" t="s">
        <v>3911</v>
      </c>
      <c r="G364" s="44" t="s">
        <v>3135</v>
      </c>
      <c r="H364" s="41" t="s">
        <v>3219</v>
      </c>
      <c r="I364" s="42" t="s">
        <v>3912</v>
      </c>
      <c r="J364" s="41"/>
    </row>
    <row r="365" customFormat="false" ht="41.75" hidden="false" customHeight="false" outlineLevel="0" collapsed="false">
      <c r="A365" s="41" t="s">
        <v>21</v>
      </c>
      <c r="B365" s="41" t="s">
        <v>774</v>
      </c>
      <c r="C365" s="42" t="s">
        <v>775</v>
      </c>
      <c r="D365" s="44" t="s">
        <v>777</v>
      </c>
      <c r="E365" s="42" t="s">
        <v>3913</v>
      </c>
      <c r="F365" s="42" t="s">
        <v>3911</v>
      </c>
      <c r="G365" s="44" t="s">
        <v>3135</v>
      </c>
      <c r="H365" s="41" t="s">
        <v>3219</v>
      </c>
      <c r="I365" s="42" t="s">
        <v>3914</v>
      </c>
      <c r="J365" s="41"/>
    </row>
    <row r="366" customFormat="false" ht="41.75" hidden="false" customHeight="false" outlineLevel="0" collapsed="false">
      <c r="A366" s="41" t="s">
        <v>21</v>
      </c>
      <c r="B366" s="41" t="s">
        <v>401</v>
      </c>
      <c r="C366" s="42" t="s">
        <v>402</v>
      </c>
      <c r="D366" s="44" t="s">
        <v>404</v>
      </c>
      <c r="E366" s="42" t="s">
        <v>881</v>
      </c>
      <c r="F366" s="42" t="s">
        <v>3789</v>
      </c>
      <c r="G366" s="44" t="s">
        <v>3135</v>
      </c>
      <c r="H366" s="41" t="s">
        <v>3219</v>
      </c>
      <c r="I366" s="42" t="s">
        <v>3915</v>
      </c>
      <c r="J366" s="41"/>
    </row>
    <row r="367" customFormat="false" ht="41.75" hidden="false" customHeight="false" outlineLevel="0" collapsed="false">
      <c r="A367" s="41" t="s">
        <v>21</v>
      </c>
      <c r="B367" s="41" t="s">
        <v>1004</v>
      </c>
      <c r="C367" s="42" t="s">
        <v>1005</v>
      </c>
      <c r="D367" s="44" t="s">
        <v>1006</v>
      </c>
      <c r="E367" s="42" t="s">
        <v>3239</v>
      </c>
      <c r="F367" s="42" t="s">
        <v>3916</v>
      </c>
      <c r="G367" s="44" t="s">
        <v>2201</v>
      </c>
      <c r="H367" s="41" t="s">
        <v>3351</v>
      </c>
      <c r="I367" s="42" t="s">
        <v>3352</v>
      </c>
      <c r="J367" s="41"/>
    </row>
    <row r="368" customFormat="false" ht="55.2" hidden="false" customHeight="false" outlineLevel="0" collapsed="false">
      <c r="A368" s="41" t="s">
        <v>21</v>
      </c>
      <c r="B368" s="41" t="s">
        <v>1004</v>
      </c>
      <c r="C368" s="42" t="s">
        <v>1005</v>
      </c>
      <c r="D368" s="44" t="s">
        <v>1006</v>
      </c>
      <c r="E368" s="42" t="s">
        <v>881</v>
      </c>
      <c r="F368" s="42" t="s">
        <v>3866</v>
      </c>
      <c r="G368" s="44" t="s">
        <v>3135</v>
      </c>
      <c r="H368" s="41" t="s">
        <v>3219</v>
      </c>
      <c r="I368" s="42" t="s">
        <v>3917</v>
      </c>
      <c r="J368" s="41"/>
    </row>
    <row r="369" customFormat="false" ht="135.8" hidden="false" customHeight="false" outlineLevel="0" collapsed="false">
      <c r="A369" s="41" t="s">
        <v>21</v>
      </c>
      <c r="B369" s="41" t="s">
        <v>1004</v>
      </c>
      <c r="C369" s="42" t="s">
        <v>1005</v>
      </c>
      <c r="D369" s="44" t="s">
        <v>1006</v>
      </c>
      <c r="E369" s="42" t="s">
        <v>3918</v>
      </c>
      <c r="F369" s="42" t="s">
        <v>3866</v>
      </c>
      <c r="G369" s="44" t="s">
        <v>3919</v>
      </c>
      <c r="H369" s="41" t="s">
        <v>3248</v>
      </c>
      <c r="I369" s="42" t="s">
        <v>3920</v>
      </c>
      <c r="J369" s="44" t="s">
        <v>3135</v>
      </c>
    </row>
    <row r="370" customFormat="false" ht="41.75" hidden="false" customHeight="false" outlineLevel="0" collapsed="false">
      <c r="A370" s="41" t="s">
        <v>21</v>
      </c>
      <c r="B370" s="41" t="s">
        <v>408</v>
      </c>
      <c r="C370" s="42" t="s">
        <v>409</v>
      </c>
      <c r="D370" s="44" t="s">
        <v>410</v>
      </c>
      <c r="E370" s="42" t="s">
        <v>3239</v>
      </c>
      <c r="F370" s="42" t="s">
        <v>3921</v>
      </c>
      <c r="G370" s="44" t="s">
        <v>2200</v>
      </c>
      <c r="H370" s="41" t="s">
        <v>3351</v>
      </c>
      <c r="I370" s="42" t="s">
        <v>3352</v>
      </c>
      <c r="J370" s="41"/>
    </row>
    <row r="371" customFormat="false" ht="55.2" hidden="false" customHeight="false" outlineLevel="0" collapsed="false">
      <c r="A371" s="41" t="s">
        <v>21</v>
      </c>
      <c r="B371" s="41" t="s">
        <v>408</v>
      </c>
      <c r="C371" s="42" t="s">
        <v>409</v>
      </c>
      <c r="D371" s="44" t="s">
        <v>410</v>
      </c>
      <c r="E371" s="42" t="s">
        <v>881</v>
      </c>
      <c r="F371" s="42" t="s">
        <v>3857</v>
      </c>
      <c r="G371" s="44" t="s">
        <v>3135</v>
      </c>
      <c r="H371" s="41" t="s">
        <v>3219</v>
      </c>
      <c r="I371" s="42" t="s">
        <v>3922</v>
      </c>
      <c r="J371" s="41"/>
    </row>
    <row r="372" customFormat="false" ht="28.35" hidden="false" customHeight="false" outlineLevel="0" collapsed="false">
      <c r="A372" s="41" t="s">
        <v>21</v>
      </c>
      <c r="B372" s="41" t="s">
        <v>408</v>
      </c>
      <c r="C372" s="42" t="s">
        <v>409</v>
      </c>
      <c r="D372" s="44" t="s">
        <v>410</v>
      </c>
      <c r="E372" s="42" t="s">
        <v>433</v>
      </c>
      <c r="F372" s="42" t="s">
        <v>3923</v>
      </c>
      <c r="G372" s="44" t="s">
        <v>3924</v>
      </c>
      <c r="H372" s="41" t="s">
        <v>3233</v>
      </c>
      <c r="I372" s="42" t="s">
        <v>3234</v>
      </c>
      <c r="J372" s="41"/>
    </row>
    <row r="373" customFormat="false" ht="176.1" hidden="false" customHeight="false" outlineLevel="0" collapsed="false">
      <c r="A373" s="41" t="s">
        <v>21</v>
      </c>
      <c r="B373" s="41" t="s">
        <v>408</v>
      </c>
      <c r="C373" s="42" t="s">
        <v>409</v>
      </c>
      <c r="D373" s="44" t="s">
        <v>410</v>
      </c>
      <c r="E373" s="42" t="s">
        <v>3925</v>
      </c>
      <c r="F373" s="42" t="s">
        <v>3857</v>
      </c>
      <c r="G373" s="44" t="s">
        <v>3926</v>
      </c>
      <c r="H373" s="41" t="s">
        <v>3248</v>
      </c>
      <c r="I373" s="42" t="s">
        <v>3927</v>
      </c>
      <c r="J373" s="44" t="s">
        <v>3135</v>
      </c>
    </row>
    <row r="374" customFormat="false" ht="28.35" hidden="false" customHeight="false" outlineLevel="0" collapsed="false">
      <c r="A374" s="41" t="s">
        <v>21</v>
      </c>
      <c r="B374" s="41" t="s">
        <v>262</v>
      </c>
      <c r="C374" s="42" t="s">
        <v>263</v>
      </c>
      <c r="D374" s="44" t="s">
        <v>264</v>
      </c>
      <c r="E374" s="42" t="s">
        <v>247</v>
      </c>
      <c r="F374" s="42" t="s">
        <v>3928</v>
      </c>
      <c r="G374" s="44" t="s">
        <v>2872</v>
      </c>
      <c r="H374" s="41" t="s">
        <v>3215</v>
      </c>
      <c r="I374" s="42" t="s">
        <v>3216</v>
      </c>
      <c r="J374" s="41"/>
    </row>
    <row r="375" customFormat="false" ht="41.75" hidden="false" customHeight="false" outlineLevel="0" collapsed="false">
      <c r="A375" s="41" t="s">
        <v>21</v>
      </c>
      <c r="B375" s="41" t="s">
        <v>262</v>
      </c>
      <c r="C375" s="42" t="s">
        <v>263</v>
      </c>
      <c r="D375" s="44" t="s">
        <v>264</v>
      </c>
      <c r="E375" s="42" t="s">
        <v>3239</v>
      </c>
      <c r="F375" s="42" t="s">
        <v>3929</v>
      </c>
      <c r="G375" s="44" t="s">
        <v>3930</v>
      </c>
      <c r="H375" s="41" t="s">
        <v>3242</v>
      </c>
      <c r="I375" s="42" t="s">
        <v>3243</v>
      </c>
      <c r="J375" s="41"/>
    </row>
    <row r="376" customFormat="false" ht="55.2" hidden="false" customHeight="false" outlineLevel="0" collapsed="false">
      <c r="A376" s="41" t="s">
        <v>21</v>
      </c>
      <c r="B376" s="41" t="s">
        <v>262</v>
      </c>
      <c r="C376" s="42" t="s">
        <v>263</v>
      </c>
      <c r="D376" s="44" t="s">
        <v>264</v>
      </c>
      <c r="E376" s="42" t="s">
        <v>881</v>
      </c>
      <c r="F376" s="42" t="s">
        <v>3857</v>
      </c>
      <c r="G376" s="44" t="s">
        <v>3135</v>
      </c>
      <c r="H376" s="41" t="s">
        <v>3219</v>
      </c>
      <c r="I376" s="42" t="s">
        <v>3931</v>
      </c>
      <c r="J376" s="41"/>
    </row>
    <row r="377" customFormat="false" ht="162.65" hidden="false" customHeight="false" outlineLevel="0" collapsed="false">
      <c r="A377" s="41" t="s">
        <v>21</v>
      </c>
      <c r="B377" s="41" t="s">
        <v>262</v>
      </c>
      <c r="C377" s="42" t="s">
        <v>263</v>
      </c>
      <c r="D377" s="44" t="s">
        <v>264</v>
      </c>
      <c r="E377" s="42" t="s">
        <v>3932</v>
      </c>
      <c r="F377" s="42" t="s">
        <v>3857</v>
      </c>
      <c r="G377" s="44" t="s">
        <v>3933</v>
      </c>
      <c r="H377" s="41" t="s">
        <v>3248</v>
      </c>
      <c r="I377" s="42" t="s">
        <v>3934</v>
      </c>
      <c r="J377" s="44" t="s">
        <v>3135</v>
      </c>
    </row>
    <row r="378" customFormat="false" ht="41.75" hidden="false" customHeight="false" outlineLevel="0" collapsed="false">
      <c r="A378" s="41" t="s">
        <v>21</v>
      </c>
      <c r="B378" s="41" t="s">
        <v>262</v>
      </c>
      <c r="C378" s="42" t="s">
        <v>263</v>
      </c>
      <c r="D378" s="44" t="s">
        <v>264</v>
      </c>
      <c r="E378" s="42" t="s">
        <v>583</v>
      </c>
      <c r="F378" s="42" t="s">
        <v>3935</v>
      </c>
      <c r="G378" s="44" t="s">
        <v>3936</v>
      </c>
      <c r="H378" s="41" t="s">
        <v>3252</v>
      </c>
      <c r="I378" s="42" t="s">
        <v>3253</v>
      </c>
      <c r="J378" s="41"/>
    </row>
    <row r="379" customFormat="false" ht="28.35" hidden="false" customHeight="false" outlineLevel="0" collapsed="false">
      <c r="A379" s="41" t="s">
        <v>21</v>
      </c>
      <c r="B379" s="41" t="s">
        <v>262</v>
      </c>
      <c r="C379" s="42" t="s">
        <v>263</v>
      </c>
      <c r="D379" s="44" t="s">
        <v>264</v>
      </c>
      <c r="E379" s="42" t="s">
        <v>328</v>
      </c>
      <c r="F379" s="42" t="s">
        <v>3937</v>
      </c>
      <c r="G379" s="44" t="s">
        <v>3938</v>
      </c>
      <c r="H379" s="41" t="s">
        <v>3418</v>
      </c>
      <c r="I379" s="42" t="s">
        <v>3419</v>
      </c>
      <c r="J379" s="41"/>
    </row>
    <row r="380" customFormat="false" ht="41.75" hidden="false" customHeight="false" outlineLevel="0" collapsed="false">
      <c r="A380" s="41" t="s">
        <v>21</v>
      </c>
      <c r="B380" s="41" t="s">
        <v>858</v>
      </c>
      <c r="C380" s="42" t="s">
        <v>859</v>
      </c>
      <c r="D380" s="44" t="s">
        <v>860</v>
      </c>
      <c r="E380" s="42" t="s">
        <v>881</v>
      </c>
      <c r="F380" s="42" t="s">
        <v>3939</v>
      </c>
      <c r="G380" s="44" t="s">
        <v>3135</v>
      </c>
      <c r="H380" s="41" t="s">
        <v>3219</v>
      </c>
      <c r="I380" s="42" t="s">
        <v>3940</v>
      </c>
      <c r="J380" s="41"/>
    </row>
    <row r="381" customFormat="false" ht="41.75" hidden="false" customHeight="false" outlineLevel="0" collapsed="false">
      <c r="A381" s="41" t="s">
        <v>21</v>
      </c>
      <c r="B381" s="41" t="s">
        <v>858</v>
      </c>
      <c r="C381" s="42" t="s">
        <v>859</v>
      </c>
      <c r="D381" s="44" t="s">
        <v>860</v>
      </c>
      <c r="E381" s="42" t="s">
        <v>3941</v>
      </c>
      <c r="F381" s="42" t="s">
        <v>3939</v>
      </c>
      <c r="G381" s="44" t="s">
        <v>3135</v>
      </c>
      <c r="H381" s="41" t="s">
        <v>3219</v>
      </c>
      <c r="I381" s="42" t="s">
        <v>3942</v>
      </c>
      <c r="J381" s="41"/>
    </row>
    <row r="382" customFormat="false" ht="41.75" hidden="false" customHeight="false" outlineLevel="0" collapsed="false">
      <c r="A382" s="41" t="s">
        <v>21</v>
      </c>
      <c r="B382" s="41" t="s">
        <v>858</v>
      </c>
      <c r="C382" s="42" t="s">
        <v>859</v>
      </c>
      <c r="D382" s="44" t="s">
        <v>860</v>
      </c>
      <c r="E382" s="42" t="s">
        <v>583</v>
      </c>
      <c r="F382" s="42" t="s">
        <v>3943</v>
      </c>
      <c r="G382" s="44" t="s">
        <v>3944</v>
      </c>
      <c r="H382" s="41" t="s">
        <v>3252</v>
      </c>
      <c r="I382" s="42" t="s">
        <v>3253</v>
      </c>
      <c r="J382" s="41"/>
    </row>
    <row r="383" customFormat="false" ht="41.75" hidden="false" customHeight="false" outlineLevel="0" collapsed="false">
      <c r="A383" s="41" t="s">
        <v>21</v>
      </c>
      <c r="B383" s="41" t="s">
        <v>1021</v>
      </c>
      <c r="C383" s="42" t="s">
        <v>1022</v>
      </c>
      <c r="D383" s="44" t="s">
        <v>1023</v>
      </c>
      <c r="E383" s="42" t="s">
        <v>881</v>
      </c>
      <c r="F383" s="42" t="s">
        <v>3789</v>
      </c>
      <c r="G383" s="44" t="s">
        <v>3135</v>
      </c>
      <c r="H383" s="41" t="s">
        <v>3219</v>
      </c>
      <c r="I383" s="42" t="s">
        <v>3945</v>
      </c>
      <c r="J383" s="41"/>
    </row>
    <row r="384" customFormat="false" ht="28.35" hidden="false" customHeight="false" outlineLevel="0" collapsed="false">
      <c r="A384" s="41" t="s">
        <v>21</v>
      </c>
      <c r="B384" s="41" t="s">
        <v>434</v>
      </c>
      <c r="C384" s="42" t="s">
        <v>435</v>
      </c>
      <c r="D384" s="44" t="s">
        <v>436</v>
      </c>
      <c r="E384" s="42" t="s">
        <v>247</v>
      </c>
      <c r="F384" s="42" t="s">
        <v>3946</v>
      </c>
      <c r="G384" s="44" t="s">
        <v>3947</v>
      </c>
      <c r="H384" s="41" t="s">
        <v>3215</v>
      </c>
      <c r="I384" s="42" t="s">
        <v>3216</v>
      </c>
      <c r="J384" s="41"/>
    </row>
    <row r="385" customFormat="false" ht="41.75" hidden="false" customHeight="false" outlineLevel="0" collapsed="false">
      <c r="A385" s="41" t="s">
        <v>21</v>
      </c>
      <c r="B385" s="41" t="s">
        <v>434</v>
      </c>
      <c r="C385" s="42" t="s">
        <v>435</v>
      </c>
      <c r="D385" s="44" t="s">
        <v>436</v>
      </c>
      <c r="E385" s="42" t="s">
        <v>3239</v>
      </c>
      <c r="F385" s="42" t="s">
        <v>3948</v>
      </c>
      <c r="G385" s="44" t="s">
        <v>3949</v>
      </c>
      <c r="H385" s="41" t="s">
        <v>3242</v>
      </c>
      <c r="I385" s="42" t="s">
        <v>3243</v>
      </c>
      <c r="J385" s="41"/>
    </row>
    <row r="386" customFormat="false" ht="202.95" hidden="false" customHeight="false" outlineLevel="0" collapsed="false">
      <c r="A386" s="41" t="s">
        <v>21</v>
      </c>
      <c r="B386" s="41" t="s">
        <v>434</v>
      </c>
      <c r="C386" s="42" t="s">
        <v>435</v>
      </c>
      <c r="D386" s="44" t="s">
        <v>436</v>
      </c>
      <c r="E386" s="42" t="s">
        <v>994</v>
      </c>
      <c r="F386" s="42" t="s">
        <v>3802</v>
      </c>
      <c r="G386" s="44" t="s">
        <v>3950</v>
      </c>
      <c r="H386" s="41" t="s">
        <v>3472</v>
      </c>
      <c r="I386" s="42" t="s">
        <v>3951</v>
      </c>
      <c r="J386" s="44" t="s">
        <v>3135</v>
      </c>
    </row>
    <row r="387" customFormat="false" ht="41.75" hidden="false" customHeight="false" outlineLevel="0" collapsed="false">
      <c r="A387" s="41" t="s">
        <v>21</v>
      </c>
      <c r="B387" s="41" t="s">
        <v>1029</v>
      </c>
      <c r="C387" s="42" t="s">
        <v>1030</v>
      </c>
      <c r="D387" s="44" t="s">
        <v>1032</v>
      </c>
      <c r="E387" s="42" t="s">
        <v>881</v>
      </c>
      <c r="F387" s="42" t="s">
        <v>3810</v>
      </c>
      <c r="G387" s="44" t="s">
        <v>3135</v>
      </c>
      <c r="H387" s="41" t="s">
        <v>3219</v>
      </c>
      <c r="I387" s="42" t="s">
        <v>3952</v>
      </c>
      <c r="J387" s="41"/>
    </row>
    <row r="388" customFormat="false" ht="55.2" hidden="false" customHeight="false" outlineLevel="0" collapsed="false">
      <c r="A388" s="41" t="s">
        <v>21</v>
      </c>
      <c r="B388" s="41" t="s">
        <v>1029</v>
      </c>
      <c r="C388" s="42" t="s">
        <v>1030</v>
      </c>
      <c r="D388" s="44" t="s">
        <v>1032</v>
      </c>
      <c r="E388" s="42" t="s">
        <v>3953</v>
      </c>
      <c r="F388" s="42" t="s">
        <v>3810</v>
      </c>
      <c r="G388" s="44" t="s">
        <v>3954</v>
      </c>
      <c r="H388" s="41" t="s">
        <v>3248</v>
      </c>
      <c r="I388" s="42" t="s">
        <v>3955</v>
      </c>
      <c r="J388" s="44" t="s">
        <v>3135</v>
      </c>
    </row>
    <row r="389" customFormat="false" ht="28.35" hidden="false" customHeight="false" outlineLevel="0" collapsed="false">
      <c r="A389" s="41" t="s">
        <v>21</v>
      </c>
      <c r="B389" s="41" t="s">
        <v>1035</v>
      </c>
      <c r="C389" s="42" t="s">
        <v>966</v>
      </c>
      <c r="D389" s="44" t="s">
        <v>1036</v>
      </c>
      <c r="E389" s="42" t="s">
        <v>3239</v>
      </c>
      <c r="F389" s="42" t="s">
        <v>3956</v>
      </c>
      <c r="G389" s="44" t="s">
        <v>3957</v>
      </c>
      <c r="H389" s="41" t="s">
        <v>3242</v>
      </c>
      <c r="I389" s="42" t="s">
        <v>3243</v>
      </c>
      <c r="J389" s="41"/>
    </row>
    <row r="390" customFormat="false" ht="202.95" hidden="false" customHeight="false" outlineLevel="0" collapsed="false">
      <c r="A390" s="41" t="s">
        <v>21</v>
      </c>
      <c r="B390" s="41" t="s">
        <v>1035</v>
      </c>
      <c r="C390" s="42" t="s">
        <v>966</v>
      </c>
      <c r="D390" s="44" t="s">
        <v>1036</v>
      </c>
      <c r="E390" s="42" t="s">
        <v>994</v>
      </c>
      <c r="F390" s="42" t="s">
        <v>3802</v>
      </c>
      <c r="G390" s="44" t="s">
        <v>3958</v>
      </c>
      <c r="H390" s="41" t="s">
        <v>3472</v>
      </c>
      <c r="I390" s="42" t="s">
        <v>3959</v>
      </c>
      <c r="J390" s="44" t="s">
        <v>3135</v>
      </c>
    </row>
    <row r="391" customFormat="false" ht="41.75" hidden="false" customHeight="false" outlineLevel="0" collapsed="false">
      <c r="A391" s="41" t="s">
        <v>21</v>
      </c>
      <c r="B391" s="41" t="s">
        <v>864</v>
      </c>
      <c r="C391" s="42" t="s">
        <v>865</v>
      </c>
      <c r="D391" s="44" t="s">
        <v>866</v>
      </c>
      <c r="E391" s="42" t="s">
        <v>881</v>
      </c>
      <c r="F391" s="42" t="s">
        <v>3939</v>
      </c>
      <c r="G391" s="44" t="s">
        <v>3135</v>
      </c>
      <c r="H391" s="41" t="s">
        <v>3219</v>
      </c>
      <c r="I391" s="42" t="s">
        <v>3960</v>
      </c>
      <c r="J391" s="41"/>
    </row>
    <row r="392" customFormat="false" ht="55.2" hidden="false" customHeight="false" outlineLevel="0" collapsed="false">
      <c r="A392" s="41" t="s">
        <v>21</v>
      </c>
      <c r="B392" s="41" t="s">
        <v>864</v>
      </c>
      <c r="C392" s="42" t="s">
        <v>865</v>
      </c>
      <c r="D392" s="44" t="s">
        <v>866</v>
      </c>
      <c r="E392" s="42" t="s">
        <v>3961</v>
      </c>
      <c r="F392" s="42" t="s">
        <v>3939</v>
      </c>
      <c r="G392" s="44" t="s">
        <v>3135</v>
      </c>
      <c r="H392" s="41" t="s">
        <v>3219</v>
      </c>
      <c r="I392" s="42" t="s">
        <v>3962</v>
      </c>
      <c r="J392" s="41"/>
    </row>
    <row r="393" customFormat="false" ht="41.75" hidden="false" customHeight="false" outlineLevel="0" collapsed="false">
      <c r="A393" s="41" t="s">
        <v>21</v>
      </c>
      <c r="B393" s="41" t="s">
        <v>864</v>
      </c>
      <c r="C393" s="42" t="s">
        <v>865</v>
      </c>
      <c r="D393" s="44" t="s">
        <v>866</v>
      </c>
      <c r="E393" s="42" t="s">
        <v>583</v>
      </c>
      <c r="F393" s="42" t="s">
        <v>3963</v>
      </c>
      <c r="G393" s="44" t="s">
        <v>3964</v>
      </c>
      <c r="H393" s="41" t="s">
        <v>3252</v>
      </c>
      <c r="I393" s="42" t="s">
        <v>3253</v>
      </c>
      <c r="J393" s="41"/>
    </row>
    <row r="394" customFormat="false" ht="41.75" hidden="false" customHeight="false" outlineLevel="0" collapsed="false">
      <c r="A394" s="41" t="s">
        <v>21</v>
      </c>
      <c r="B394" s="41" t="s">
        <v>444</v>
      </c>
      <c r="C394" s="42" t="s">
        <v>445</v>
      </c>
      <c r="D394" s="44" t="s">
        <v>447</v>
      </c>
      <c r="E394" s="42" t="s">
        <v>3239</v>
      </c>
      <c r="F394" s="42" t="s">
        <v>3965</v>
      </c>
      <c r="G394" s="44" t="s">
        <v>3966</v>
      </c>
      <c r="H394" s="41" t="s">
        <v>3242</v>
      </c>
      <c r="I394" s="42" t="s">
        <v>3243</v>
      </c>
      <c r="J394" s="41"/>
    </row>
    <row r="395" customFormat="false" ht="41.75" hidden="false" customHeight="false" outlineLevel="0" collapsed="false">
      <c r="A395" s="41" t="s">
        <v>21</v>
      </c>
      <c r="B395" s="41" t="s">
        <v>444</v>
      </c>
      <c r="C395" s="42" t="s">
        <v>445</v>
      </c>
      <c r="D395" s="44" t="s">
        <v>447</v>
      </c>
      <c r="E395" s="42" t="s">
        <v>881</v>
      </c>
      <c r="F395" s="42" t="s">
        <v>3775</v>
      </c>
      <c r="G395" s="44" t="s">
        <v>3135</v>
      </c>
      <c r="H395" s="41" t="s">
        <v>3219</v>
      </c>
      <c r="I395" s="42" t="s">
        <v>3967</v>
      </c>
      <c r="J395" s="41"/>
    </row>
    <row r="396" customFormat="false" ht="41.75" hidden="false" customHeight="false" outlineLevel="0" collapsed="false">
      <c r="A396" s="41" t="s">
        <v>21</v>
      </c>
      <c r="B396" s="41" t="s">
        <v>266</v>
      </c>
      <c r="C396" s="42" t="s">
        <v>267</v>
      </c>
      <c r="D396" s="44" t="s">
        <v>268</v>
      </c>
      <c r="E396" s="42" t="s">
        <v>3239</v>
      </c>
      <c r="F396" s="42" t="s">
        <v>3968</v>
      </c>
      <c r="G396" s="44" t="s">
        <v>2196</v>
      </c>
      <c r="H396" s="41" t="s">
        <v>3351</v>
      </c>
      <c r="I396" s="42" t="s">
        <v>3352</v>
      </c>
      <c r="J396" s="41"/>
    </row>
    <row r="397" customFormat="false" ht="55.2" hidden="false" customHeight="false" outlineLevel="0" collapsed="false">
      <c r="A397" s="41" t="s">
        <v>21</v>
      </c>
      <c r="B397" s="41" t="s">
        <v>266</v>
      </c>
      <c r="C397" s="42" t="s">
        <v>267</v>
      </c>
      <c r="D397" s="44" t="s">
        <v>268</v>
      </c>
      <c r="E397" s="42" t="s">
        <v>881</v>
      </c>
      <c r="F397" s="42" t="s">
        <v>3857</v>
      </c>
      <c r="G397" s="44" t="s">
        <v>3135</v>
      </c>
      <c r="H397" s="41" t="s">
        <v>3219</v>
      </c>
      <c r="I397" s="42" t="s">
        <v>3969</v>
      </c>
      <c r="J397" s="41"/>
    </row>
    <row r="398" customFormat="false" ht="41.75" hidden="false" customHeight="false" outlineLevel="0" collapsed="false">
      <c r="A398" s="41" t="s">
        <v>21</v>
      </c>
      <c r="B398" s="41" t="s">
        <v>266</v>
      </c>
      <c r="C398" s="42" t="s">
        <v>267</v>
      </c>
      <c r="D398" s="44" t="s">
        <v>268</v>
      </c>
      <c r="E398" s="42" t="s">
        <v>433</v>
      </c>
      <c r="F398" s="42" t="s">
        <v>3970</v>
      </c>
      <c r="G398" s="44" t="s">
        <v>3971</v>
      </c>
      <c r="H398" s="41" t="s">
        <v>3233</v>
      </c>
      <c r="I398" s="42" t="s">
        <v>3234</v>
      </c>
      <c r="J398" s="41"/>
    </row>
    <row r="399" customFormat="false" ht="162.65" hidden="false" customHeight="false" outlineLevel="0" collapsed="false">
      <c r="A399" s="41" t="s">
        <v>21</v>
      </c>
      <c r="B399" s="41" t="s">
        <v>266</v>
      </c>
      <c r="C399" s="42" t="s">
        <v>267</v>
      </c>
      <c r="D399" s="44" t="s">
        <v>268</v>
      </c>
      <c r="E399" s="42" t="s">
        <v>3972</v>
      </c>
      <c r="F399" s="42" t="s">
        <v>3857</v>
      </c>
      <c r="G399" s="44" t="s">
        <v>3973</v>
      </c>
      <c r="H399" s="41" t="s">
        <v>3248</v>
      </c>
      <c r="I399" s="42" t="s">
        <v>3974</v>
      </c>
      <c r="J399" s="44" t="s">
        <v>3135</v>
      </c>
    </row>
    <row r="400" customFormat="false" ht="41.75" hidden="false" customHeight="false" outlineLevel="0" collapsed="false">
      <c r="A400" s="41" t="s">
        <v>21</v>
      </c>
      <c r="B400" s="41" t="s">
        <v>266</v>
      </c>
      <c r="C400" s="42" t="s">
        <v>267</v>
      </c>
      <c r="D400" s="44" t="s">
        <v>268</v>
      </c>
      <c r="E400" s="42" t="s">
        <v>583</v>
      </c>
      <c r="F400" s="42" t="s">
        <v>3975</v>
      </c>
      <c r="G400" s="44" t="s">
        <v>3976</v>
      </c>
      <c r="H400" s="41" t="s">
        <v>3411</v>
      </c>
      <c r="I400" s="42" t="s">
        <v>3412</v>
      </c>
      <c r="J400" s="41"/>
    </row>
    <row r="401" customFormat="false" ht="55.2" hidden="false" customHeight="false" outlineLevel="0" collapsed="false">
      <c r="A401" s="41" t="s">
        <v>21</v>
      </c>
      <c r="B401" s="41" t="s">
        <v>1049</v>
      </c>
      <c r="C401" s="42" t="s">
        <v>1050</v>
      </c>
      <c r="D401" s="44" t="s">
        <v>1052</v>
      </c>
      <c r="E401" s="42" t="s">
        <v>881</v>
      </c>
      <c r="F401" s="42" t="s">
        <v>3866</v>
      </c>
      <c r="G401" s="44" t="s">
        <v>3135</v>
      </c>
      <c r="H401" s="41" t="s">
        <v>3219</v>
      </c>
      <c r="I401" s="42" t="s">
        <v>3977</v>
      </c>
      <c r="J401" s="41"/>
    </row>
    <row r="402" customFormat="false" ht="135.8" hidden="false" customHeight="false" outlineLevel="0" collapsed="false">
      <c r="A402" s="41" t="s">
        <v>21</v>
      </c>
      <c r="B402" s="41" t="s">
        <v>1049</v>
      </c>
      <c r="C402" s="42" t="s">
        <v>1050</v>
      </c>
      <c r="D402" s="44" t="s">
        <v>1052</v>
      </c>
      <c r="E402" s="42" t="s">
        <v>3978</v>
      </c>
      <c r="F402" s="42" t="s">
        <v>3866</v>
      </c>
      <c r="G402" s="44" t="s">
        <v>3979</v>
      </c>
      <c r="H402" s="41" t="s">
        <v>3248</v>
      </c>
      <c r="I402" s="42" t="s">
        <v>3980</v>
      </c>
      <c r="J402" s="44" t="s">
        <v>3135</v>
      </c>
    </row>
    <row r="403" customFormat="false" ht="41.75" hidden="false" customHeight="false" outlineLevel="0" collapsed="false">
      <c r="A403" s="41" t="s">
        <v>21</v>
      </c>
      <c r="B403" s="41" t="s">
        <v>1049</v>
      </c>
      <c r="C403" s="42" t="s">
        <v>1050</v>
      </c>
      <c r="D403" s="44" t="s">
        <v>1052</v>
      </c>
      <c r="E403" s="42" t="s">
        <v>583</v>
      </c>
      <c r="F403" s="42" t="s">
        <v>3981</v>
      </c>
      <c r="G403" s="44" t="s">
        <v>3982</v>
      </c>
      <c r="H403" s="41" t="s">
        <v>3252</v>
      </c>
      <c r="I403" s="42" t="s">
        <v>3253</v>
      </c>
      <c r="J403" s="41"/>
    </row>
    <row r="404" customFormat="false" ht="41.75" hidden="false" customHeight="false" outlineLevel="0" collapsed="false">
      <c r="A404" s="41" t="s">
        <v>21</v>
      </c>
      <c r="B404" s="41" t="s">
        <v>469</v>
      </c>
      <c r="C404" s="42" t="s">
        <v>470</v>
      </c>
      <c r="D404" s="44" t="s">
        <v>471</v>
      </c>
      <c r="E404" s="42" t="s">
        <v>3239</v>
      </c>
      <c r="F404" s="42" t="s">
        <v>3983</v>
      </c>
      <c r="G404" s="44" t="s">
        <v>2195</v>
      </c>
      <c r="H404" s="41" t="s">
        <v>3351</v>
      </c>
      <c r="I404" s="42" t="s">
        <v>3352</v>
      </c>
      <c r="J404" s="41"/>
    </row>
    <row r="405" customFormat="false" ht="41.75" hidden="false" customHeight="false" outlineLevel="0" collapsed="false">
      <c r="A405" s="41" t="s">
        <v>21</v>
      </c>
      <c r="B405" s="41" t="s">
        <v>469</v>
      </c>
      <c r="C405" s="42" t="s">
        <v>470</v>
      </c>
      <c r="D405" s="44" t="s">
        <v>471</v>
      </c>
      <c r="E405" s="42" t="s">
        <v>881</v>
      </c>
      <c r="F405" s="42" t="s">
        <v>3810</v>
      </c>
      <c r="G405" s="44" t="s">
        <v>3135</v>
      </c>
      <c r="H405" s="41" t="s">
        <v>3219</v>
      </c>
      <c r="I405" s="42" t="s">
        <v>3984</v>
      </c>
      <c r="J405" s="41"/>
    </row>
    <row r="406" customFormat="false" ht="28.35" hidden="false" customHeight="false" outlineLevel="0" collapsed="false">
      <c r="A406" s="41" t="s">
        <v>21</v>
      </c>
      <c r="B406" s="41" t="s">
        <v>469</v>
      </c>
      <c r="C406" s="42" t="s">
        <v>470</v>
      </c>
      <c r="D406" s="44" t="s">
        <v>471</v>
      </c>
      <c r="E406" s="42" t="s">
        <v>433</v>
      </c>
      <c r="F406" s="42" t="s">
        <v>3985</v>
      </c>
      <c r="G406" s="44" t="s">
        <v>3986</v>
      </c>
      <c r="H406" s="41" t="s">
        <v>3233</v>
      </c>
      <c r="I406" s="42" t="s">
        <v>3234</v>
      </c>
      <c r="J406" s="41"/>
    </row>
    <row r="407" customFormat="false" ht="108.95" hidden="false" customHeight="false" outlineLevel="0" collapsed="false">
      <c r="A407" s="41" t="s">
        <v>21</v>
      </c>
      <c r="B407" s="41" t="s">
        <v>469</v>
      </c>
      <c r="C407" s="42" t="s">
        <v>470</v>
      </c>
      <c r="D407" s="44" t="s">
        <v>471</v>
      </c>
      <c r="E407" s="42" t="s">
        <v>3987</v>
      </c>
      <c r="F407" s="42" t="s">
        <v>3810</v>
      </c>
      <c r="G407" s="44" t="s">
        <v>3988</v>
      </c>
      <c r="H407" s="41" t="s">
        <v>3248</v>
      </c>
      <c r="I407" s="42" t="s">
        <v>3989</v>
      </c>
      <c r="J407" s="44" t="s">
        <v>3135</v>
      </c>
    </row>
    <row r="408" customFormat="false" ht="41.75" hidden="false" customHeight="false" outlineLevel="0" collapsed="false">
      <c r="A408" s="41" t="s">
        <v>21</v>
      </c>
      <c r="B408" s="41" t="s">
        <v>1061</v>
      </c>
      <c r="C408" s="42" t="s">
        <v>1062</v>
      </c>
      <c r="D408" s="44" t="s">
        <v>1064</v>
      </c>
      <c r="E408" s="42" t="s">
        <v>881</v>
      </c>
      <c r="F408" s="42" t="s">
        <v>3990</v>
      </c>
      <c r="G408" s="44" t="s">
        <v>3135</v>
      </c>
      <c r="H408" s="41" t="s">
        <v>3219</v>
      </c>
      <c r="I408" s="42" t="s">
        <v>3991</v>
      </c>
      <c r="J408" s="41"/>
    </row>
    <row r="409" customFormat="false" ht="55.2" hidden="false" customHeight="false" outlineLevel="0" collapsed="false">
      <c r="A409" s="41" t="s">
        <v>21</v>
      </c>
      <c r="B409" s="41" t="s">
        <v>1061</v>
      </c>
      <c r="C409" s="42" t="s">
        <v>1062</v>
      </c>
      <c r="D409" s="44" t="s">
        <v>1064</v>
      </c>
      <c r="E409" s="42" t="s">
        <v>3992</v>
      </c>
      <c r="F409" s="42" t="s">
        <v>3990</v>
      </c>
      <c r="G409" s="44" t="s">
        <v>3993</v>
      </c>
      <c r="H409" s="41" t="s">
        <v>3248</v>
      </c>
      <c r="I409" s="42" t="s">
        <v>3994</v>
      </c>
      <c r="J409" s="44" t="s">
        <v>3135</v>
      </c>
    </row>
    <row r="410" customFormat="false" ht="28.35" hidden="false" customHeight="false" outlineLevel="0" collapsed="false">
      <c r="A410" s="41" t="s">
        <v>21</v>
      </c>
      <c r="B410" s="41" t="s">
        <v>480</v>
      </c>
      <c r="C410" s="42" t="s">
        <v>481</v>
      </c>
      <c r="D410" s="44" t="s">
        <v>483</v>
      </c>
      <c r="E410" s="42" t="s">
        <v>247</v>
      </c>
      <c r="F410" s="42" t="s">
        <v>3995</v>
      </c>
      <c r="G410" s="44" t="s">
        <v>3996</v>
      </c>
      <c r="H410" s="41" t="s">
        <v>3256</v>
      </c>
      <c r="I410" s="42" t="s">
        <v>3257</v>
      </c>
      <c r="J410" s="41"/>
    </row>
    <row r="411" customFormat="false" ht="41.75" hidden="false" customHeight="false" outlineLevel="0" collapsed="false">
      <c r="A411" s="41" t="s">
        <v>21</v>
      </c>
      <c r="B411" s="41" t="s">
        <v>480</v>
      </c>
      <c r="C411" s="42" t="s">
        <v>481</v>
      </c>
      <c r="D411" s="44" t="s">
        <v>483</v>
      </c>
      <c r="E411" s="42" t="s">
        <v>3239</v>
      </c>
      <c r="F411" s="42" t="s">
        <v>3997</v>
      </c>
      <c r="G411" s="44" t="s">
        <v>3998</v>
      </c>
      <c r="H411" s="41" t="s">
        <v>3242</v>
      </c>
      <c r="I411" s="42" t="s">
        <v>3243</v>
      </c>
      <c r="J411" s="41"/>
    </row>
    <row r="412" customFormat="false" ht="55.2" hidden="false" customHeight="false" outlineLevel="0" collapsed="false">
      <c r="A412" s="41" t="s">
        <v>21</v>
      </c>
      <c r="B412" s="41" t="s">
        <v>480</v>
      </c>
      <c r="C412" s="42" t="s">
        <v>481</v>
      </c>
      <c r="D412" s="44" t="s">
        <v>483</v>
      </c>
      <c r="E412" s="42" t="s">
        <v>881</v>
      </c>
      <c r="F412" s="42" t="s">
        <v>3843</v>
      </c>
      <c r="G412" s="44" t="s">
        <v>3135</v>
      </c>
      <c r="H412" s="41" t="s">
        <v>3219</v>
      </c>
      <c r="I412" s="42" t="s">
        <v>3999</v>
      </c>
      <c r="J412" s="41"/>
    </row>
    <row r="413" customFormat="false" ht="82.05" hidden="false" customHeight="false" outlineLevel="0" collapsed="false">
      <c r="A413" s="41" t="s">
        <v>21</v>
      </c>
      <c r="B413" s="41" t="s">
        <v>480</v>
      </c>
      <c r="C413" s="42" t="s">
        <v>481</v>
      </c>
      <c r="D413" s="44" t="s">
        <v>483</v>
      </c>
      <c r="E413" s="42" t="s">
        <v>4000</v>
      </c>
      <c r="F413" s="42" t="s">
        <v>3843</v>
      </c>
      <c r="G413" s="44" t="s">
        <v>3135</v>
      </c>
      <c r="H413" s="41" t="s">
        <v>3219</v>
      </c>
      <c r="I413" s="42" t="s">
        <v>4001</v>
      </c>
      <c r="J413" s="41"/>
    </row>
    <row r="414" customFormat="false" ht="28.35" hidden="false" customHeight="false" outlineLevel="0" collapsed="false">
      <c r="A414" s="41" t="s">
        <v>21</v>
      </c>
      <c r="B414" s="41" t="s">
        <v>487</v>
      </c>
      <c r="C414" s="42" t="s">
        <v>488</v>
      </c>
      <c r="D414" s="44" t="s">
        <v>490</v>
      </c>
      <c r="E414" s="42" t="s">
        <v>247</v>
      </c>
      <c r="F414" s="42" t="s">
        <v>4002</v>
      </c>
      <c r="G414" s="44" t="s">
        <v>4003</v>
      </c>
      <c r="H414" s="41" t="s">
        <v>3215</v>
      </c>
      <c r="I414" s="42" t="s">
        <v>3216</v>
      </c>
      <c r="J414" s="41"/>
    </row>
    <row r="415" customFormat="false" ht="41.75" hidden="false" customHeight="false" outlineLevel="0" collapsed="false">
      <c r="A415" s="41" t="s">
        <v>21</v>
      </c>
      <c r="B415" s="41" t="s">
        <v>487</v>
      </c>
      <c r="C415" s="42" t="s">
        <v>488</v>
      </c>
      <c r="D415" s="44" t="s">
        <v>490</v>
      </c>
      <c r="E415" s="42" t="s">
        <v>3239</v>
      </c>
      <c r="F415" s="42" t="s">
        <v>4004</v>
      </c>
      <c r="G415" s="44" t="s">
        <v>2191</v>
      </c>
      <c r="H415" s="41" t="s">
        <v>3351</v>
      </c>
      <c r="I415" s="42" t="s">
        <v>3352</v>
      </c>
      <c r="J415" s="41"/>
    </row>
    <row r="416" customFormat="false" ht="55.2" hidden="false" customHeight="false" outlineLevel="0" collapsed="false">
      <c r="A416" s="41" t="s">
        <v>21</v>
      </c>
      <c r="B416" s="41" t="s">
        <v>487</v>
      </c>
      <c r="C416" s="42" t="s">
        <v>488</v>
      </c>
      <c r="D416" s="44" t="s">
        <v>490</v>
      </c>
      <c r="E416" s="42" t="s">
        <v>881</v>
      </c>
      <c r="F416" s="42" t="s">
        <v>3866</v>
      </c>
      <c r="G416" s="44" t="s">
        <v>3135</v>
      </c>
      <c r="H416" s="41" t="s">
        <v>3219</v>
      </c>
      <c r="I416" s="42" t="s">
        <v>4005</v>
      </c>
      <c r="J416" s="41"/>
    </row>
    <row r="417" customFormat="false" ht="135.8" hidden="false" customHeight="false" outlineLevel="0" collapsed="false">
      <c r="A417" s="41" t="s">
        <v>21</v>
      </c>
      <c r="B417" s="41" t="s">
        <v>487</v>
      </c>
      <c r="C417" s="42" t="s">
        <v>488</v>
      </c>
      <c r="D417" s="44" t="s">
        <v>490</v>
      </c>
      <c r="E417" s="42" t="s">
        <v>4006</v>
      </c>
      <c r="F417" s="42" t="s">
        <v>3866</v>
      </c>
      <c r="G417" s="44" t="s">
        <v>4007</v>
      </c>
      <c r="H417" s="41" t="s">
        <v>3248</v>
      </c>
      <c r="I417" s="42" t="s">
        <v>4008</v>
      </c>
      <c r="J417" s="44" t="s">
        <v>3135</v>
      </c>
    </row>
    <row r="418" customFormat="false" ht="55.2" hidden="false" customHeight="false" outlineLevel="0" collapsed="false">
      <c r="A418" s="41" t="s">
        <v>21</v>
      </c>
      <c r="B418" s="41" t="s">
        <v>487</v>
      </c>
      <c r="C418" s="42" t="s">
        <v>488</v>
      </c>
      <c r="D418" s="44" t="s">
        <v>490</v>
      </c>
      <c r="E418" s="42" t="s">
        <v>583</v>
      </c>
      <c r="F418" s="42" t="s">
        <v>4009</v>
      </c>
      <c r="G418" s="44" t="s">
        <v>4010</v>
      </c>
      <c r="H418" s="41" t="s">
        <v>3252</v>
      </c>
      <c r="I418" s="42" t="s">
        <v>3253</v>
      </c>
      <c r="J418" s="41"/>
    </row>
    <row r="419" customFormat="false" ht="68.65" hidden="false" customHeight="false" outlineLevel="0" collapsed="false">
      <c r="A419" s="41" t="s">
        <v>21</v>
      </c>
      <c r="B419" s="41" t="s">
        <v>1076</v>
      </c>
      <c r="C419" s="42" t="s">
        <v>1077</v>
      </c>
      <c r="D419" s="44" t="s">
        <v>1078</v>
      </c>
      <c r="E419" s="42" t="s">
        <v>881</v>
      </c>
      <c r="F419" s="42" t="s">
        <v>3857</v>
      </c>
      <c r="G419" s="44" t="s">
        <v>4011</v>
      </c>
      <c r="H419" s="41" t="s">
        <v>3472</v>
      </c>
      <c r="I419" s="42" t="s">
        <v>4012</v>
      </c>
      <c r="J419" s="44" t="s">
        <v>3135</v>
      </c>
    </row>
    <row r="420" customFormat="false" ht="28.35" hidden="false" customHeight="false" outlineLevel="0" collapsed="false">
      <c r="A420" s="41" t="s">
        <v>21</v>
      </c>
      <c r="B420" s="41" t="s">
        <v>1076</v>
      </c>
      <c r="C420" s="42" t="s">
        <v>1077</v>
      </c>
      <c r="D420" s="44" t="s">
        <v>1078</v>
      </c>
      <c r="E420" s="42" t="s">
        <v>433</v>
      </c>
      <c r="F420" s="42" t="s">
        <v>4013</v>
      </c>
      <c r="G420" s="44" t="s">
        <v>4014</v>
      </c>
      <c r="H420" s="41" t="s">
        <v>3233</v>
      </c>
      <c r="I420" s="42" t="s">
        <v>3234</v>
      </c>
      <c r="J420" s="41"/>
    </row>
    <row r="421" customFormat="false" ht="202.95" hidden="false" customHeight="false" outlineLevel="0" collapsed="false">
      <c r="A421" s="41" t="s">
        <v>21</v>
      </c>
      <c r="B421" s="41" t="s">
        <v>1076</v>
      </c>
      <c r="C421" s="42" t="s">
        <v>1077</v>
      </c>
      <c r="D421" s="44" t="s">
        <v>1078</v>
      </c>
      <c r="E421" s="42" t="s">
        <v>994</v>
      </c>
      <c r="F421" s="42" t="s">
        <v>3857</v>
      </c>
      <c r="G421" s="44" t="s">
        <v>4011</v>
      </c>
      <c r="H421" s="41" t="s">
        <v>3472</v>
      </c>
      <c r="I421" s="42" t="s">
        <v>4015</v>
      </c>
      <c r="J421" s="44" t="s">
        <v>3135</v>
      </c>
    </row>
    <row r="422" customFormat="false" ht="41.75" hidden="false" customHeight="false" outlineLevel="0" collapsed="false">
      <c r="A422" s="41" t="s">
        <v>21</v>
      </c>
      <c r="B422" s="41" t="s">
        <v>498</v>
      </c>
      <c r="C422" s="42" t="s">
        <v>499</v>
      </c>
      <c r="D422" s="44" t="s">
        <v>500</v>
      </c>
      <c r="E422" s="42" t="s">
        <v>3239</v>
      </c>
      <c r="F422" s="42" t="s">
        <v>4016</v>
      </c>
      <c r="G422" s="44" t="s">
        <v>4017</v>
      </c>
      <c r="H422" s="41" t="s">
        <v>3242</v>
      </c>
      <c r="I422" s="42" t="s">
        <v>3243</v>
      </c>
      <c r="J422" s="41"/>
    </row>
    <row r="423" customFormat="false" ht="202.95" hidden="false" customHeight="false" outlineLevel="0" collapsed="false">
      <c r="A423" s="41" t="s">
        <v>21</v>
      </c>
      <c r="B423" s="41" t="s">
        <v>498</v>
      </c>
      <c r="C423" s="42" t="s">
        <v>499</v>
      </c>
      <c r="D423" s="44" t="s">
        <v>500</v>
      </c>
      <c r="E423" s="42" t="s">
        <v>994</v>
      </c>
      <c r="F423" s="42" t="s">
        <v>3802</v>
      </c>
      <c r="G423" s="44" t="s">
        <v>4018</v>
      </c>
      <c r="H423" s="41" t="s">
        <v>3472</v>
      </c>
      <c r="I423" s="42" t="s">
        <v>4019</v>
      </c>
      <c r="J423" s="44" t="s">
        <v>3135</v>
      </c>
    </row>
    <row r="424" customFormat="false" ht="28.35" hidden="false" customHeight="false" outlineLevel="0" collapsed="false">
      <c r="A424" s="41" t="s">
        <v>21</v>
      </c>
      <c r="B424" s="41" t="s">
        <v>498</v>
      </c>
      <c r="C424" s="42" t="s">
        <v>499</v>
      </c>
      <c r="D424" s="44" t="s">
        <v>500</v>
      </c>
      <c r="E424" s="42" t="s">
        <v>328</v>
      </c>
      <c r="F424" s="42" t="s">
        <v>4020</v>
      </c>
      <c r="G424" s="44" t="s">
        <v>4021</v>
      </c>
      <c r="H424" s="41" t="s">
        <v>3418</v>
      </c>
      <c r="I424" s="42" t="s">
        <v>3419</v>
      </c>
      <c r="J424" s="41"/>
    </row>
    <row r="425" customFormat="false" ht="41.75" hidden="false" customHeight="false" outlineLevel="0" collapsed="false">
      <c r="A425" s="41" t="s">
        <v>21</v>
      </c>
      <c r="B425" s="41" t="s">
        <v>503</v>
      </c>
      <c r="C425" s="42" t="s">
        <v>504</v>
      </c>
      <c r="D425" s="44" t="s">
        <v>506</v>
      </c>
      <c r="E425" s="42" t="s">
        <v>3239</v>
      </c>
      <c r="F425" s="42" t="s">
        <v>4022</v>
      </c>
      <c r="G425" s="44" t="s">
        <v>1666</v>
      </c>
      <c r="H425" s="41" t="s">
        <v>3351</v>
      </c>
      <c r="I425" s="42" t="s">
        <v>3352</v>
      </c>
      <c r="J425" s="41"/>
    </row>
    <row r="426" customFormat="false" ht="41.75" hidden="false" customHeight="false" outlineLevel="0" collapsed="false">
      <c r="A426" s="41" t="s">
        <v>21</v>
      </c>
      <c r="B426" s="41" t="s">
        <v>503</v>
      </c>
      <c r="C426" s="42" t="s">
        <v>504</v>
      </c>
      <c r="D426" s="44" t="s">
        <v>506</v>
      </c>
      <c r="E426" s="42" t="s">
        <v>881</v>
      </c>
      <c r="F426" s="42" t="s">
        <v>4023</v>
      </c>
      <c r="G426" s="44" t="s">
        <v>3135</v>
      </c>
      <c r="H426" s="41" t="s">
        <v>3219</v>
      </c>
      <c r="I426" s="42" t="s">
        <v>4024</v>
      </c>
      <c r="J426" s="41"/>
    </row>
    <row r="427" customFormat="false" ht="95.5" hidden="false" customHeight="false" outlineLevel="0" collapsed="false">
      <c r="A427" s="41" t="s">
        <v>21</v>
      </c>
      <c r="B427" s="41" t="s">
        <v>503</v>
      </c>
      <c r="C427" s="42" t="s">
        <v>504</v>
      </c>
      <c r="D427" s="44" t="s">
        <v>506</v>
      </c>
      <c r="E427" s="42" t="s">
        <v>4025</v>
      </c>
      <c r="F427" s="42" t="s">
        <v>4023</v>
      </c>
      <c r="G427" s="44" t="s">
        <v>3135</v>
      </c>
      <c r="H427" s="41" t="s">
        <v>3219</v>
      </c>
      <c r="I427" s="42" t="s">
        <v>4026</v>
      </c>
      <c r="J427" s="41"/>
    </row>
    <row r="428" customFormat="false" ht="28.35" hidden="false" customHeight="false" outlineLevel="0" collapsed="false">
      <c r="A428" s="41" t="s">
        <v>21</v>
      </c>
      <c r="B428" s="41" t="s">
        <v>1090</v>
      </c>
      <c r="C428" s="42" t="s">
        <v>1091</v>
      </c>
      <c r="D428" s="44" t="s">
        <v>1093</v>
      </c>
      <c r="E428" s="42" t="s">
        <v>247</v>
      </c>
      <c r="F428" s="42" t="s">
        <v>4027</v>
      </c>
      <c r="G428" s="44" t="s">
        <v>2992</v>
      </c>
      <c r="H428" s="41" t="s">
        <v>3215</v>
      </c>
      <c r="I428" s="42" t="s">
        <v>3216</v>
      </c>
      <c r="J428" s="41"/>
    </row>
    <row r="429" customFormat="false" ht="55.2" hidden="false" customHeight="false" outlineLevel="0" collapsed="false">
      <c r="A429" s="41" t="s">
        <v>21</v>
      </c>
      <c r="B429" s="41" t="s">
        <v>1090</v>
      </c>
      <c r="C429" s="42" t="s">
        <v>1091</v>
      </c>
      <c r="D429" s="44" t="s">
        <v>1093</v>
      </c>
      <c r="E429" s="42" t="s">
        <v>4028</v>
      </c>
      <c r="F429" s="42" t="s">
        <v>4029</v>
      </c>
      <c r="G429" s="44" t="s">
        <v>3135</v>
      </c>
      <c r="H429" s="41" t="s">
        <v>3219</v>
      </c>
      <c r="I429" s="42" t="s">
        <v>4030</v>
      </c>
      <c r="J429" s="41"/>
    </row>
    <row r="430" customFormat="false" ht="28.35" hidden="false" customHeight="false" outlineLevel="0" collapsed="false">
      <c r="A430" s="41" t="s">
        <v>21</v>
      </c>
      <c r="B430" s="41" t="s">
        <v>1096</v>
      </c>
      <c r="C430" s="42" t="s">
        <v>1097</v>
      </c>
      <c r="D430" s="44" t="s">
        <v>1098</v>
      </c>
      <c r="E430" s="42" t="s">
        <v>3239</v>
      </c>
      <c r="F430" s="42" t="s">
        <v>4031</v>
      </c>
      <c r="G430" s="44" t="s">
        <v>4032</v>
      </c>
      <c r="H430" s="41" t="s">
        <v>3242</v>
      </c>
      <c r="I430" s="42" t="s">
        <v>3243</v>
      </c>
      <c r="J430" s="41"/>
    </row>
    <row r="431" customFormat="false" ht="202.95" hidden="false" customHeight="false" outlineLevel="0" collapsed="false">
      <c r="A431" s="41" t="s">
        <v>21</v>
      </c>
      <c r="B431" s="41" t="s">
        <v>1096</v>
      </c>
      <c r="C431" s="42" t="s">
        <v>1097</v>
      </c>
      <c r="D431" s="44" t="s">
        <v>1098</v>
      </c>
      <c r="E431" s="42" t="s">
        <v>994</v>
      </c>
      <c r="F431" s="42" t="s">
        <v>3802</v>
      </c>
      <c r="G431" s="44" t="s">
        <v>4033</v>
      </c>
      <c r="H431" s="41" t="s">
        <v>3472</v>
      </c>
      <c r="I431" s="42" t="s">
        <v>4034</v>
      </c>
      <c r="J431" s="44" t="s">
        <v>3135</v>
      </c>
    </row>
    <row r="432" customFormat="false" ht="41.75" hidden="false" customHeight="false" outlineLevel="0" collapsed="false">
      <c r="A432" s="41" t="s">
        <v>21</v>
      </c>
      <c r="B432" s="41" t="s">
        <v>625</v>
      </c>
      <c r="C432" s="42" t="s">
        <v>626</v>
      </c>
      <c r="D432" s="44" t="s">
        <v>627</v>
      </c>
      <c r="E432" s="42" t="s">
        <v>583</v>
      </c>
      <c r="F432" s="42" t="s">
        <v>4035</v>
      </c>
      <c r="G432" s="44" t="s">
        <v>4036</v>
      </c>
      <c r="H432" s="41" t="s">
        <v>3252</v>
      </c>
      <c r="I432" s="42" t="s">
        <v>3253</v>
      </c>
      <c r="J432" s="41"/>
    </row>
    <row r="433" customFormat="false" ht="28.35" hidden="false" customHeight="false" outlineLevel="0" collapsed="false">
      <c r="A433" s="41" t="s">
        <v>21</v>
      </c>
      <c r="B433" s="41" t="s">
        <v>625</v>
      </c>
      <c r="C433" s="42" t="s">
        <v>626</v>
      </c>
      <c r="D433" s="44" t="s">
        <v>627</v>
      </c>
      <c r="E433" s="42" t="s">
        <v>328</v>
      </c>
      <c r="F433" s="42" t="s">
        <v>4037</v>
      </c>
      <c r="G433" s="44" t="s">
        <v>2379</v>
      </c>
      <c r="H433" s="41" t="s">
        <v>3418</v>
      </c>
      <c r="I433" s="42" t="s">
        <v>3419</v>
      </c>
      <c r="J433" s="41"/>
    </row>
    <row r="434" customFormat="false" ht="41.75" hidden="false" customHeight="false" outlineLevel="0" collapsed="false">
      <c r="A434" s="41" t="s">
        <v>21</v>
      </c>
      <c r="B434" s="41" t="s">
        <v>1103</v>
      </c>
      <c r="C434" s="42" t="s">
        <v>1104</v>
      </c>
      <c r="D434" s="44" t="s">
        <v>1105</v>
      </c>
      <c r="E434" s="42" t="s">
        <v>881</v>
      </c>
      <c r="F434" s="42" t="s">
        <v>3779</v>
      </c>
      <c r="G434" s="44" t="s">
        <v>3135</v>
      </c>
      <c r="H434" s="41" t="s">
        <v>3219</v>
      </c>
      <c r="I434" s="42" t="s">
        <v>4038</v>
      </c>
      <c r="J434" s="41"/>
    </row>
    <row r="435" customFormat="false" ht="41.75" hidden="false" customHeight="false" outlineLevel="0" collapsed="false">
      <c r="A435" s="41" t="s">
        <v>21</v>
      </c>
      <c r="B435" s="41" t="s">
        <v>1103</v>
      </c>
      <c r="C435" s="42" t="s">
        <v>1104</v>
      </c>
      <c r="D435" s="44" t="s">
        <v>1105</v>
      </c>
      <c r="E435" s="42" t="s">
        <v>3781</v>
      </c>
      <c r="F435" s="42" t="s">
        <v>3779</v>
      </c>
      <c r="G435" s="44" t="s">
        <v>3135</v>
      </c>
      <c r="H435" s="41" t="s">
        <v>3219</v>
      </c>
      <c r="I435" s="42" t="s">
        <v>4039</v>
      </c>
      <c r="J435" s="41"/>
    </row>
    <row r="436" customFormat="false" ht="28.35" hidden="false" customHeight="false" outlineLevel="0" collapsed="false">
      <c r="A436" s="41" t="s">
        <v>21</v>
      </c>
      <c r="B436" s="41" t="s">
        <v>510</v>
      </c>
      <c r="C436" s="42" t="s">
        <v>511</v>
      </c>
      <c r="D436" s="44" t="s">
        <v>513</v>
      </c>
      <c r="E436" s="42" t="s">
        <v>3239</v>
      </c>
      <c r="F436" s="42" t="s">
        <v>4040</v>
      </c>
      <c r="G436" s="44" t="s">
        <v>3665</v>
      </c>
      <c r="H436" s="41" t="s">
        <v>3242</v>
      </c>
      <c r="I436" s="42" t="s">
        <v>3243</v>
      </c>
      <c r="J436" s="41"/>
    </row>
    <row r="437" customFormat="false" ht="202.95" hidden="false" customHeight="false" outlineLevel="0" collapsed="false">
      <c r="A437" s="41" t="s">
        <v>21</v>
      </c>
      <c r="B437" s="41" t="s">
        <v>510</v>
      </c>
      <c r="C437" s="42" t="s">
        <v>511</v>
      </c>
      <c r="D437" s="44" t="s">
        <v>513</v>
      </c>
      <c r="E437" s="42" t="s">
        <v>994</v>
      </c>
      <c r="F437" s="42" t="s">
        <v>3802</v>
      </c>
      <c r="G437" s="44" t="s">
        <v>4041</v>
      </c>
      <c r="H437" s="41" t="s">
        <v>3472</v>
      </c>
      <c r="I437" s="42" t="s">
        <v>4042</v>
      </c>
      <c r="J437" s="44" t="s">
        <v>3135</v>
      </c>
    </row>
    <row r="438" customFormat="false" ht="28.35" hidden="false" customHeight="false" outlineLevel="0" collapsed="false">
      <c r="A438" s="41" t="s">
        <v>21</v>
      </c>
      <c r="B438" s="41" t="s">
        <v>510</v>
      </c>
      <c r="C438" s="42" t="s">
        <v>511</v>
      </c>
      <c r="D438" s="44" t="s">
        <v>513</v>
      </c>
      <c r="E438" s="42" t="s">
        <v>583</v>
      </c>
      <c r="F438" s="42" t="s">
        <v>4043</v>
      </c>
      <c r="G438" s="44" t="s">
        <v>4044</v>
      </c>
      <c r="H438" s="41" t="s">
        <v>3252</v>
      </c>
      <c r="I438" s="42" t="s">
        <v>3253</v>
      </c>
      <c r="J438" s="41"/>
    </row>
    <row r="439" customFormat="false" ht="28.35" hidden="false" customHeight="false" outlineLevel="0" collapsed="false">
      <c r="A439" s="41" t="s">
        <v>21</v>
      </c>
      <c r="B439" s="41" t="s">
        <v>517</v>
      </c>
      <c r="C439" s="42" t="s">
        <v>518</v>
      </c>
      <c r="D439" s="44" t="s">
        <v>519</v>
      </c>
      <c r="E439" s="42" t="s">
        <v>247</v>
      </c>
      <c r="F439" s="42" t="s">
        <v>4045</v>
      </c>
      <c r="G439" s="44" t="s">
        <v>4046</v>
      </c>
      <c r="H439" s="41" t="s">
        <v>3256</v>
      </c>
      <c r="I439" s="42" t="s">
        <v>3257</v>
      </c>
      <c r="J439" s="41"/>
    </row>
    <row r="440" customFormat="false" ht="41.75" hidden="false" customHeight="false" outlineLevel="0" collapsed="false">
      <c r="A440" s="41" t="s">
        <v>21</v>
      </c>
      <c r="B440" s="41" t="s">
        <v>1110</v>
      </c>
      <c r="C440" s="42" t="s">
        <v>1111</v>
      </c>
      <c r="D440" s="44" t="s">
        <v>1113</v>
      </c>
      <c r="E440" s="42" t="s">
        <v>3239</v>
      </c>
      <c r="F440" s="42" t="s">
        <v>4047</v>
      </c>
      <c r="G440" s="44" t="s">
        <v>4048</v>
      </c>
      <c r="H440" s="41" t="s">
        <v>3242</v>
      </c>
      <c r="I440" s="42" t="s">
        <v>3243</v>
      </c>
      <c r="J440" s="41"/>
    </row>
    <row r="441" customFormat="false" ht="15" hidden="false" customHeight="false" outlineLevel="0" collapsed="false">
      <c r="A441" s="41" t="s">
        <v>21</v>
      </c>
      <c r="B441" s="41" t="s">
        <v>521</v>
      </c>
      <c r="C441" s="42" t="s">
        <v>522</v>
      </c>
      <c r="D441" s="44" t="s">
        <v>523</v>
      </c>
      <c r="E441" s="42" t="s">
        <v>247</v>
      </c>
      <c r="F441" s="42" t="s">
        <v>4049</v>
      </c>
      <c r="G441" s="44" t="s">
        <v>3558</v>
      </c>
      <c r="H441" s="41" t="s">
        <v>3256</v>
      </c>
      <c r="I441" s="42" t="s">
        <v>3257</v>
      </c>
      <c r="J441" s="41"/>
    </row>
    <row r="442" customFormat="false" ht="41.75" hidden="false" customHeight="false" outlineLevel="0" collapsed="false">
      <c r="A442" s="41" t="s">
        <v>21</v>
      </c>
      <c r="B442" s="41" t="s">
        <v>880</v>
      </c>
      <c r="C442" s="42" t="s">
        <v>564</v>
      </c>
      <c r="D442" s="44" t="s">
        <v>882</v>
      </c>
      <c r="E442" s="42" t="s">
        <v>881</v>
      </c>
      <c r="F442" s="42" t="s">
        <v>4050</v>
      </c>
      <c r="G442" s="44" t="s">
        <v>3135</v>
      </c>
      <c r="H442" s="41" t="s">
        <v>3219</v>
      </c>
      <c r="I442" s="42" t="s">
        <v>4051</v>
      </c>
      <c r="J442" s="41"/>
    </row>
    <row r="443" customFormat="false" ht="82.05" hidden="false" customHeight="false" outlineLevel="0" collapsed="false">
      <c r="A443" s="41" t="s">
        <v>21</v>
      </c>
      <c r="B443" s="41" t="s">
        <v>880</v>
      </c>
      <c r="C443" s="42" t="s">
        <v>564</v>
      </c>
      <c r="D443" s="44" t="s">
        <v>882</v>
      </c>
      <c r="E443" s="42" t="s">
        <v>4052</v>
      </c>
      <c r="F443" s="42" t="s">
        <v>4050</v>
      </c>
      <c r="G443" s="44" t="s">
        <v>3135</v>
      </c>
      <c r="H443" s="41" t="s">
        <v>3219</v>
      </c>
      <c r="I443" s="42" t="s">
        <v>4053</v>
      </c>
      <c r="J443" s="41"/>
    </row>
    <row r="444" customFormat="false" ht="28.35" hidden="false" customHeight="false" outlineLevel="0" collapsed="false">
      <c r="A444" s="41" t="s">
        <v>21</v>
      </c>
      <c r="B444" s="41" t="s">
        <v>724</v>
      </c>
      <c r="C444" s="42" t="s">
        <v>725</v>
      </c>
      <c r="D444" s="44" t="s">
        <v>726</v>
      </c>
      <c r="E444" s="42" t="s">
        <v>583</v>
      </c>
      <c r="F444" s="42" t="s">
        <v>4054</v>
      </c>
      <c r="G444" s="44" t="s">
        <v>3147</v>
      </c>
      <c r="H444" s="41" t="s">
        <v>3451</v>
      </c>
      <c r="I444" s="42" t="s">
        <v>3452</v>
      </c>
      <c r="J444" s="41"/>
    </row>
    <row r="445" customFormat="false" ht="28.35" hidden="false" customHeight="false" outlineLevel="0" collapsed="false">
      <c r="A445" s="41" t="s">
        <v>21</v>
      </c>
      <c r="B445" s="41" t="s">
        <v>635</v>
      </c>
      <c r="C445" s="42" t="s">
        <v>636</v>
      </c>
      <c r="D445" s="44" t="s">
        <v>637</v>
      </c>
      <c r="E445" s="42" t="s">
        <v>3239</v>
      </c>
      <c r="F445" s="42" t="s">
        <v>4055</v>
      </c>
      <c r="G445" s="44" t="s">
        <v>4056</v>
      </c>
      <c r="H445" s="41" t="s">
        <v>3242</v>
      </c>
      <c r="I445" s="42" t="s">
        <v>3243</v>
      </c>
      <c r="J445" s="41"/>
    </row>
    <row r="446" customFormat="false" ht="55.2" hidden="false" customHeight="false" outlineLevel="0" collapsed="false">
      <c r="A446" s="41" t="s">
        <v>21</v>
      </c>
      <c r="B446" s="41" t="s">
        <v>635</v>
      </c>
      <c r="C446" s="42" t="s">
        <v>636</v>
      </c>
      <c r="D446" s="44" t="s">
        <v>637</v>
      </c>
      <c r="E446" s="42" t="s">
        <v>881</v>
      </c>
      <c r="F446" s="42" t="s">
        <v>3857</v>
      </c>
      <c r="G446" s="44" t="s">
        <v>3135</v>
      </c>
      <c r="H446" s="41" t="s">
        <v>3219</v>
      </c>
      <c r="I446" s="42" t="s">
        <v>4057</v>
      </c>
      <c r="J446" s="41"/>
    </row>
    <row r="447" customFormat="false" ht="122.35" hidden="false" customHeight="false" outlineLevel="0" collapsed="false">
      <c r="A447" s="41" t="s">
        <v>21</v>
      </c>
      <c r="B447" s="41" t="s">
        <v>635</v>
      </c>
      <c r="C447" s="42" t="s">
        <v>636</v>
      </c>
      <c r="D447" s="44" t="s">
        <v>637</v>
      </c>
      <c r="E447" s="42" t="s">
        <v>4058</v>
      </c>
      <c r="F447" s="42" t="s">
        <v>3857</v>
      </c>
      <c r="G447" s="44" t="s">
        <v>4059</v>
      </c>
      <c r="H447" s="41" t="s">
        <v>3248</v>
      </c>
      <c r="I447" s="42" t="s">
        <v>4060</v>
      </c>
      <c r="J447" s="44" t="s">
        <v>3135</v>
      </c>
    </row>
    <row r="448" customFormat="false" ht="41.75" hidden="false" customHeight="false" outlineLevel="0" collapsed="false">
      <c r="A448" s="41" t="s">
        <v>21</v>
      </c>
      <c r="B448" s="41" t="s">
        <v>635</v>
      </c>
      <c r="C448" s="42" t="s">
        <v>636</v>
      </c>
      <c r="D448" s="44" t="s">
        <v>637</v>
      </c>
      <c r="E448" s="42" t="s">
        <v>583</v>
      </c>
      <c r="F448" s="42" t="s">
        <v>4061</v>
      </c>
      <c r="G448" s="44" t="s">
        <v>4062</v>
      </c>
      <c r="H448" s="41" t="s">
        <v>3252</v>
      </c>
      <c r="I448" s="42" t="s">
        <v>3253</v>
      </c>
      <c r="J448" s="41"/>
    </row>
    <row r="449" customFormat="false" ht="41.75" hidden="false" customHeight="false" outlineLevel="0" collapsed="false">
      <c r="A449" s="41" t="s">
        <v>21</v>
      </c>
      <c r="B449" s="41" t="s">
        <v>641</v>
      </c>
      <c r="C449" s="42" t="s">
        <v>642</v>
      </c>
      <c r="D449" s="44" t="s">
        <v>643</v>
      </c>
      <c r="E449" s="42" t="s">
        <v>1128</v>
      </c>
      <c r="F449" s="42" t="s">
        <v>4063</v>
      </c>
      <c r="G449" s="44" t="s">
        <v>3135</v>
      </c>
      <c r="H449" s="41" t="s">
        <v>3219</v>
      </c>
      <c r="I449" s="42" t="s">
        <v>4064</v>
      </c>
      <c r="J449" s="41"/>
    </row>
    <row r="450" customFormat="false" ht="202.95" hidden="false" customHeight="false" outlineLevel="0" collapsed="false">
      <c r="A450" s="41" t="s">
        <v>21</v>
      </c>
      <c r="B450" s="41" t="s">
        <v>1129</v>
      </c>
      <c r="C450" s="42" t="s">
        <v>1130</v>
      </c>
      <c r="D450" s="44" t="s">
        <v>1131</v>
      </c>
      <c r="E450" s="42" t="s">
        <v>994</v>
      </c>
      <c r="F450" s="42" t="s">
        <v>3802</v>
      </c>
      <c r="G450" s="44" t="s">
        <v>4065</v>
      </c>
      <c r="H450" s="41" t="s">
        <v>3472</v>
      </c>
      <c r="I450" s="42" t="s">
        <v>4066</v>
      </c>
      <c r="J450" s="44" t="s">
        <v>3135</v>
      </c>
    </row>
    <row r="451" customFormat="false" ht="41.75" hidden="false" customHeight="false" outlineLevel="0" collapsed="false">
      <c r="A451" s="41" t="s">
        <v>21</v>
      </c>
      <c r="B451" s="41" t="s">
        <v>1129</v>
      </c>
      <c r="C451" s="42" t="s">
        <v>1130</v>
      </c>
      <c r="D451" s="44" t="s">
        <v>1131</v>
      </c>
      <c r="E451" s="42" t="s">
        <v>583</v>
      </c>
      <c r="F451" s="42" t="s">
        <v>4067</v>
      </c>
      <c r="G451" s="44" t="s">
        <v>4068</v>
      </c>
      <c r="H451" s="41" t="s">
        <v>3252</v>
      </c>
      <c r="I451" s="42" t="s">
        <v>3253</v>
      </c>
      <c r="J451" s="41"/>
    </row>
    <row r="452" customFormat="false" ht="28.35" hidden="false" customHeight="false" outlineLevel="0" collapsed="false">
      <c r="A452" s="41" t="s">
        <v>21</v>
      </c>
      <c r="B452" s="41" t="s">
        <v>1135</v>
      </c>
      <c r="C452" s="42" t="s">
        <v>1136</v>
      </c>
      <c r="D452" s="44" t="s">
        <v>1137</v>
      </c>
      <c r="E452" s="42" t="s">
        <v>3239</v>
      </c>
      <c r="F452" s="42" t="s">
        <v>4069</v>
      </c>
      <c r="G452" s="44" t="s">
        <v>4070</v>
      </c>
      <c r="H452" s="41" t="s">
        <v>3242</v>
      </c>
      <c r="I452" s="42" t="s">
        <v>3243</v>
      </c>
      <c r="J452" s="41"/>
    </row>
    <row r="453" customFormat="false" ht="68.65" hidden="false" customHeight="false" outlineLevel="0" collapsed="false">
      <c r="A453" s="41" t="s">
        <v>21</v>
      </c>
      <c r="B453" s="41" t="s">
        <v>1135</v>
      </c>
      <c r="C453" s="42" t="s">
        <v>1136</v>
      </c>
      <c r="D453" s="44" t="s">
        <v>1137</v>
      </c>
      <c r="E453" s="42" t="s">
        <v>881</v>
      </c>
      <c r="F453" s="42" t="s">
        <v>3779</v>
      </c>
      <c r="G453" s="44" t="s">
        <v>4071</v>
      </c>
      <c r="H453" s="41" t="s">
        <v>3472</v>
      </c>
      <c r="I453" s="42" t="s">
        <v>4072</v>
      </c>
      <c r="J453" s="44" t="s">
        <v>3135</v>
      </c>
    </row>
    <row r="454" customFormat="false" ht="202.95" hidden="false" customHeight="false" outlineLevel="0" collapsed="false">
      <c r="A454" s="41" t="s">
        <v>21</v>
      </c>
      <c r="B454" s="41" t="s">
        <v>1135</v>
      </c>
      <c r="C454" s="42" t="s">
        <v>1136</v>
      </c>
      <c r="D454" s="44" t="s">
        <v>1137</v>
      </c>
      <c r="E454" s="42" t="s">
        <v>994</v>
      </c>
      <c r="F454" s="42" t="s">
        <v>3779</v>
      </c>
      <c r="G454" s="44" t="s">
        <v>4071</v>
      </c>
      <c r="H454" s="41" t="s">
        <v>3472</v>
      </c>
      <c r="I454" s="42" t="s">
        <v>4073</v>
      </c>
      <c r="J454" s="44" t="s">
        <v>3135</v>
      </c>
    </row>
    <row r="455" customFormat="false" ht="41.75" hidden="false" customHeight="false" outlineLevel="0" collapsed="false">
      <c r="A455" s="41" t="s">
        <v>21</v>
      </c>
      <c r="B455" s="41" t="s">
        <v>1142</v>
      </c>
      <c r="C455" s="42" t="s">
        <v>1143</v>
      </c>
      <c r="D455" s="44" t="s">
        <v>1144</v>
      </c>
      <c r="E455" s="42" t="s">
        <v>328</v>
      </c>
      <c r="F455" s="42" t="s">
        <v>4074</v>
      </c>
      <c r="G455" s="44" t="s">
        <v>4075</v>
      </c>
      <c r="H455" s="41" t="s">
        <v>3272</v>
      </c>
      <c r="I455" s="42" t="s">
        <v>3273</v>
      </c>
      <c r="J455" s="41"/>
    </row>
    <row r="456" customFormat="false" ht="55.2" hidden="false" customHeight="false" outlineLevel="0" collapsed="false">
      <c r="A456" s="41" t="s">
        <v>21</v>
      </c>
      <c r="B456" s="41" t="s">
        <v>573</v>
      </c>
      <c r="C456" s="42" t="s">
        <v>574</v>
      </c>
      <c r="D456" s="44" t="s">
        <v>576</v>
      </c>
      <c r="E456" s="42" t="s">
        <v>881</v>
      </c>
      <c r="F456" s="42" t="s">
        <v>3850</v>
      </c>
      <c r="G456" s="44" t="s">
        <v>3135</v>
      </c>
      <c r="H456" s="41" t="s">
        <v>3219</v>
      </c>
      <c r="I456" s="42" t="s">
        <v>4076</v>
      </c>
      <c r="J456" s="41"/>
    </row>
    <row r="457" customFormat="false" ht="135.8" hidden="false" customHeight="false" outlineLevel="0" collapsed="false">
      <c r="A457" s="41" t="s">
        <v>21</v>
      </c>
      <c r="B457" s="41" t="s">
        <v>573</v>
      </c>
      <c r="C457" s="42" t="s">
        <v>574</v>
      </c>
      <c r="D457" s="44" t="s">
        <v>576</v>
      </c>
      <c r="E457" s="42" t="s">
        <v>4077</v>
      </c>
      <c r="F457" s="42" t="s">
        <v>3850</v>
      </c>
      <c r="G457" s="44" t="s">
        <v>4078</v>
      </c>
      <c r="H457" s="41" t="s">
        <v>3248</v>
      </c>
      <c r="I457" s="42" t="s">
        <v>4079</v>
      </c>
      <c r="J457" s="44" t="s">
        <v>3135</v>
      </c>
    </row>
    <row r="458" customFormat="false" ht="41.75" hidden="false" customHeight="false" outlineLevel="0" collapsed="false">
      <c r="A458" s="41" t="s">
        <v>193</v>
      </c>
      <c r="B458" s="41" t="s">
        <v>1150</v>
      </c>
      <c r="C458" s="42" t="s">
        <v>1151</v>
      </c>
      <c r="D458" s="44" t="s">
        <v>1152</v>
      </c>
      <c r="E458" s="42" t="s">
        <v>583</v>
      </c>
      <c r="F458" s="42" t="s">
        <v>4080</v>
      </c>
      <c r="G458" s="44" t="s">
        <v>4081</v>
      </c>
      <c r="H458" s="41" t="s">
        <v>3411</v>
      </c>
      <c r="I458" s="42" t="s">
        <v>3412</v>
      </c>
      <c r="J458" s="41"/>
    </row>
    <row r="459" customFormat="false" ht="41.75" hidden="false" customHeight="false" outlineLevel="0" collapsed="false">
      <c r="A459" s="41" t="s">
        <v>193</v>
      </c>
      <c r="B459" s="41" t="s">
        <v>1155</v>
      </c>
      <c r="C459" s="42" t="s">
        <v>1156</v>
      </c>
      <c r="D459" s="44" t="s">
        <v>1157</v>
      </c>
      <c r="E459" s="42" t="s">
        <v>583</v>
      </c>
      <c r="F459" s="42" t="s">
        <v>4082</v>
      </c>
      <c r="G459" s="44" t="s">
        <v>4083</v>
      </c>
      <c r="H459" s="41" t="s">
        <v>3252</v>
      </c>
      <c r="I459" s="42" t="s">
        <v>3253</v>
      </c>
      <c r="J459" s="41"/>
    </row>
    <row r="460" customFormat="false" ht="41.75" hidden="false" customHeight="false" outlineLevel="0" collapsed="false">
      <c r="A460" s="41" t="s">
        <v>193</v>
      </c>
      <c r="B460" s="41" t="s">
        <v>937</v>
      </c>
      <c r="C460" s="42" t="s">
        <v>938</v>
      </c>
      <c r="D460" s="44" t="s">
        <v>940</v>
      </c>
      <c r="E460" s="42" t="s">
        <v>583</v>
      </c>
      <c r="F460" s="42" t="s">
        <v>4084</v>
      </c>
      <c r="G460" s="44" t="s">
        <v>4085</v>
      </c>
      <c r="H460" s="41" t="s">
        <v>3411</v>
      </c>
      <c r="I460" s="42" t="s">
        <v>3412</v>
      </c>
      <c r="J460" s="41"/>
    </row>
    <row r="461" customFormat="false" ht="28.35" hidden="false" customHeight="false" outlineLevel="0" collapsed="false">
      <c r="A461" s="41" t="s">
        <v>193</v>
      </c>
      <c r="B461" s="41" t="s">
        <v>356</v>
      </c>
      <c r="C461" s="42" t="s">
        <v>357</v>
      </c>
      <c r="D461" s="44" t="s">
        <v>358</v>
      </c>
      <c r="E461" s="42" t="s">
        <v>583</v>
      </c>
      <c r="F461" s="42" t="s">
        <v>4086</v>
      </c>
      <c r="G461" s="44" t="s">
        <v>4087</v>
      </c>
      <c r="H461" s="41" t="s">
        <v>3252</v>
      </c>
      <c r="I461" s="42" t="s">
        <v>3253</v>
      </c>
      <c r="J461" s="41"/>
    </row>
    <row r="462" customFormat="false" ht="28.35" hidden="false" customHeight="false" outlineLevel="0" collapsed="false">
      <c r="A462" s="41" t="s">
        <v>193</v>
      </c>
      <c r="B462" s="41" t="s">
        <v>256</v>
      </c>
      <c r="C462" s="42" t="s">
        <v>257</v>
      </c>
      <c r="D462" s="44" t="s">
        <v>260</v>
      </c>
      <c r="E462" s="42" t="s">
        <v>247</v>
      </c>
      <c r="F462" s="42" t="s">
        <v>4088</v>
      </c>
      <c r="G462" s="44" t="s">
        <v>4089</v>
      </c>
      <c r="H462" s="41" t="s">
        <v>3256</v>
      </c>
      <c r="I462" s="42" t="s">
        <v>3257</v>
      </c>
      <c r="J462" s="41"/>
    </row>
    <row r="463" customFormat="false" ht="41.75" hidden="false" customHeight="false" outlineLevel="0" collapsed="false">
      <c r="A463" s="41" t="s">
        <v>193</v>
      </c>
      <c r="B463" s="41" t="s">
        <v>1164</v>
      </c>
      <c r="C463" s="42" t="s">
        <v>1165</v>
      </c>
      <c r="D463" s="44" t="s">
        <v>1166</v>
      </c>
      <c r="E463" s="42" t="s">
        <v>583</v>
      </c>
      <c r="F463" s="42" t="s">
        <v>4090</v>
      </c>
      <c r="G463" s="44" t="s">
        <v>4091</v>
      </c>
      <c r="H463" s="41" t="s">
        <v>3252</v>
      </c>
      <c r="I463" s="42" t="s">
        <v>3253</v>
      </c>
      <c r="J463" s="41"/>
    </row>
    <row r="464" customFormat="false" ht="28.35" hidden="false" customHeight="false" outlineLevel="0" collapsed="false">
      <c r="A464" s="41" t="s">
        <v>193</v>
      </c>
      <c r="B464" s="41" t="s">
        <v>1169</v>
      </c>
      <c r="C464" s="42" t="s">
        <v>1170</v>
      </c>
      <c r="D464" s="44" t="s">
        <v>1171</v>
      </c>
      <c r="E464" s="42" t="s">
        <v>328</v>
      </c>
      <c r="F464" s="42" t="s">
        <v>4092</v>
      </c>
      <c r="G464" s="44" t="s">
        <v>4093</v>
      </c>
      <c r="H464" s="41" t="s">
        <v>3418</v>
      </c>
      <c r="I464" s="42" t="s">
        <v>3419</v>
      </c>
      <c r="J464" s="41"/>
    </row>
    <row r="465" customFormat="false" ht="41.75" hidden="false" customHeight="false" outlineLevel="0" collapsed="false">
      <c r="A465" s="41" t="s">
        <v>193</v>
      </c>
      <c r="B465" s="41" t="s">
        <v>369</v>
      </c>
      <c r="C465" s="42" t="s">
        <v>370</v>
      </c>
      <c r="D465" s="44" t="s">
        <v>372</v>
      </c>
      <c r="E465" s="42" t="s">
        <v>583</v>
      </c>
      <c r="F465" s="42" t="s">
        <v>4094</v>
      </c>
      <c r="G465" s="44" t="s">
        <v>4095</v>
      </c>
      <c r="H465" s="41" t="s">
        <v>3252</v>
      </c>
      <c r="I465" s="42" t="s">
        <v>3253</v>
      </c>
      <c r="J465" s="41"/>
    </row>
    <row r="466" customFormat="false" ht="28.35" hidden="false" customHeight="false" outlineLevel="0" collapsed="false">
      <c r="A466" s="41" t="s">
        <v>193</v>
      </c>
      <c r="B466" s="41" t="s">
        <v>387</v>
      </c>
      <c r="C466" s="42" t="s">
        <v>388</v>
      </c>
      <c r="D466" s="44" t="s">
        <v>390</v>
      </c>
      <c r="E466" s="42" t="s">
        <v>328</v>
      </c>
      <c r="F466" s="42" t="s">
        <v>4096</v>
      </c>
      <c r="G466" s="44" t="s">
        <v>4097</v>
      </c>
      <c r="H466" s="41" t="s">
        <v>3418</v>
      </c>
      <c r="I466" s="42" t="s">
        <v>3419</v>
      </c>
      <c r="J466" s="41"/>
    </row>
    <row r="467" customFormat="false" ht="28.35" hidden="false" customHeight="false" outlineLevel="0" collapsed="false">
      <c r="A467" s="41" t="s">
        <v>193</v>
      </c>
      <c r="B467" s="41" t="s">
        <v>1178</v>
      </c>
      <c r="C467" s="42" t="s">
        <v>1179</v>
      </c>
      <c r="D467" s="44" t="s">
        <v>1180</v>
      </c>
      <c r="E467" s="42" t="s">
        <v>247</v>
      </c>
      <c r="F467" s="42" t="s">
        <v>4098</v>
      </c>
      <c r="G467" s="44" t="s">
        <v>4099</v>
      </c>
      <c r="H467" s="41" t="s">
        <v>3256</v>
      </c>
      <c r="I467" s="42" t="s">
        <v>3257</v>
      </c>
      <c r="J467" s="41"/>
    </row>
    <row r="468" customFormat="false" ht="28.35" hidden="false" customHeight="false" outlineLevel="0" collapsed="false">
      <c r="A468" s="41" t="s">
        <v>193</v>
      </c>
      <c r="B468" s="41" t="s">
        <v>1181</v>
      </c>
      <c r="C468" s="42" t="s">
        <v>1182</v>
      </c>
      <c r="D468" s="44" t="s">
        <v>1183</v>
      </c>
      <c r="E468" s="42" t="s">
        <v>583</v>
      </c>
      <c r="F468" s="42" t="s">
        <v>4100</v>
      </c>
      <c r="G468" s="44" t="s">
        <v>4101</v>
      </c>
      <c r="H468" s="41" t="s">
        <v>3411</v>
      </c>
      <c r="I468" s="42" t="s">
        <v>3412</v>
      </c>
      <c r="J468" s="41"/>
    </row>
    <row r="469" customFormat="false" ht="28.35" hidden="false" customHeight="false" outlineLevel="0" collapsed="false">
      <c r="A469" s="41" t="s">
        <v>193</v>
      </c>
      <c r="B469" s="41" t="s">
        <v>451</v>
      </c>
      <c r="C469" s="42" t="s">
        <v>452</v>
      </c>
      <c r="D469" s="44" t="s">
        <v>454</v>
      </c>
      <c r="E469" s="42" t="s">
        <v>583</v>
      </c>
      <c r="F469" s="42" t="s">
        <v>4102</v>
      </c>
      <c r="G469" s="44" t="s">
        <v>4103</v>
      </c>
      <c r="H469" s="41" t="s">
        <v>3411</v>
      </c>
      <c r="I469" s="42" t="s">
        <v>3412</v>
      </c>
      <c r="J469" s="41"/>
    </row>
    <row r="470" customFormat="false" ht="28.35" hidden="false" customHeight="false" outlineLevel="0" collapsed="false">
      <c r="A470" s="41" t="s">
        <v>193</v>
      </c>
      <c r="B470" s="41" t="s">
        <v>451</v>
      </c>
      <c r="C470" s="42" t="s">
        <v>452</v>
      </c>
      <c r="D470" s="44" t="s">
        <v>454</v>
      </c>
      <c r="E470" s="42" t="s">
        <v>328</v>
      </c>
      <c r="F470" s="42" t="s">
        <v>4104</v>
      </c>
      <c r="G470" s="44" t="s">
        <v>4105</v>
      </c>
      <c r="H470" s="41" t="s">
        <v>3272</v>
      </c>
      <c r="I470" s="42" t="s">
        <v>3273</v>
      </c>
      <c r="J470" s="41"/>
    </row>
    <row r="471" customFormat="false" ht="41.75" hidden="false" customHeight="false" outlineLevel="0" collapsed="false">
      <c r="A471" s="41" t="s">
        <v>193</v>
      </c>
      <c r="B471" s="41" t="s">
        <v>789</v>
      </c>
      <c r="C471" s="42" t="s">
        <v>790</v>
      </c>
      <c r="D471" s="44" t="s">
        <v>791</v>
      </c>
      <c r="E471" s="42" t="s">
        <v>583</v>
      </c>
      <c r="F471" s="42" t="s">
        <v>4106</v>
      </c>
      <c r="G471" s="44" t="s">
        <v>4107</v>
      </c>
      <c r="H471" s="41" t="s">
        <v>3411</v>
      </c>
      <c r="I471" s="42" t="s">
        <v>3412</v>
      </c>
      <c r="J471" s="41"/>
    </row>
    <row r="472" customFormat="false" ht="28.35" hidden="false" customHeight="false" outlineLevel="0" collapsed="false">
      <c r="A472" s="41" t="s">
        <v>193</v>
      </c>
      <c r="B472" s="41" t="s">
        <v>1190</v>
      </c>
      <c r="C472" s="42" t="s">
        <v>1191</v>
      </c>
      <c r="D472" s="44" t="s">
        <v>1192</v>
      </c>
      <c r="E472" s="42" t="s">
        <v>583</v>
      </c>
      <c r="F472" s="42" t="s">
        <v>4108</v>
      </c>
      <c r="G472" s="44" t="s">
        <v>4109</v>
      </c>
      <c r="H472" s="41" t="s">
        <v>3252</v>
      </c>
      <c r="I472" s="42" t="s">
        <v>3253</v>
      </c>
      <c r="J472" s="41"/>
    </row>
    <row r="473" customFormat="false" ht="28.35" hidden="false" customHeight="false" outlineLevel="0" collapsed="false">
      <c r="A473" s="41" t="s">
        <v>193</v>
      </c>
      <c r="B473" s="41" t="s">
        <v>1195</v>
      </c>
      <c r="C473" s="42" t="s">
        <v>1196</v>
      </c>
      <c r="D473" s="44" t="s">
        <v>1197</v>
      </c>
      <c r="E473" s="42" t="s">
        <v>583</v>
      </c>
      <c r="F473" s="42" t="s">
        <v>4110</v>
      </c>
      <c r="G473" s="44" t="s">
        <v>4111</v>
      </c>
      <c r="H473" s="41" t="s">
        <v>3411</v>
      </c>
      <c r="I473" s="42" t="s">
        <v>3412</v>
      </c>
      <c r="J473" s="41"/>
    </row>
    <row r="474" customFormat="false" ht="28.35" hidden="false" customHeight="false" outlineLevel="0" collapsed="false">
      <c r="A474" s="41" t="s">
        <v>193</v>
      </c>
      <c r="B474" s="41" t="s">
        <v>525</v>
      </c>
      <c r="C474" s="42" t="s">
        <v>526</v>
      </c>
      <c r="D474" s="44" t="s">
        <v>528</v>
      </c>
      <c r="E474" s="42" t="s">
        <v>328</v>
      </c>
      <c r="F474" s="42" t="s">
        <v>4112</v>
      </c>
      <c r="G474" s="44" t="s">
        <v>4113</v>
      </c>
      <c r="H474" s="41" t="s">
        <v>3272</v>
      </c>
      <c r="I474" s="42" t="s">
        <v>3273</v>
      </c>
      <c r="J474" s="41"/>
    </row>
    <row r="475" customFormat="false" ht="28.35" hidden="false" customHeight="false" outlineLevel="0" collapsed="false">
      <c r="A475" s="41" t="s">
        <v>193</v>
      </c>
      <c r="B475" s="41" t="s">
        <v>635</v>
      </c>
      <c r="C475" s="42" t="s">
        <v>636</v>
      </c>
      <c r="D475" s="44" t="s">
        <v>637</v>
      </c>
      <c r="E475" s="42" t="s">
        <v>247</v>
      </c>
      <c r="F475" s="42" t="s">
        <v>4114</v>
      </c>
      <c r="G475" s="44" t="s">
        <v>4115</v>
      </c>
      <c r="H475" s="41" t="s">
        <v>3215</v>
      </c>
      <c r="I475" s="42" t="s">
        <v>3216</v>
      </c>
      <c r="J475" s="41"/>
    </row>
    <row r="476" customFormat="false" ht="41.75" hidden="false" customHeight="false" outlineLevel="0" collapsed="false">
      <c r="A476" s="41" t="s">
        <v>193</v>
      </c>
      <c r="B476" s="41" t="s">
        <v>635</v>
      </c>
      <c r="C476" s="42" t="s">
        <v>636</v>
      </c>
      <c r="D476" s="44" t="s">
        <v>637</v>
      </c>
      <c r="E476" s="42" t="s">
        <v>583</v>
      </c>
      <c r="F476" s="42" t="s">
        <v>4116</v>
      </c>
      <c r="G476" s="44" t="s">
        <v>4117</v>
      </c>
      <c r="H476" s="41" t="s">
        <v>3252</v>
      </c>
      <c r="I476" s="42" t="s">
        <v>3253</v>
      </c>
      <c r="J476" s="41"/>
    </row>
    <row r="477" customFormat="false" ht="41.75" hidden="false" customHeight="false" outlineLevel="0" collapsed="false">
      <c r="A477" s="41" t="s">
        <v>193</v>
      </c>
      <c r="B477" s="41" t="s">
        <v>641</v>
      </c>
      <c r="C477" s="42" t="s">
        <v>642</v>
      </c>
      <c r="D477" s="44" t="s">
        <v>643</v>
      </c>
      <c r="E477" s="42" t="s">
        <v>583</v>
      </c>
      <c r="F477" s="42" t="s">
        <v>4118</v>
      </c>
      <c r="G477" s="44" t="s">
        <v>4119</v>
      </c>
      <c r="H477" s="41" t="s">
        <v>3252</v>
      </c>
      <c r="I477" s="42" t="s">
        <v>3253</v>
      </c>
      <c r="J477" s="41"/>
    </row>
    <row r="478" customFormat="false" ht="28.35" hidden="false" customHeight="false" outlineLevel="0" collapsed="false">
      <c r="A478" s="41" t="s">
        <v>193</v>
      </c>
      <c r="B478" s="41" t="s">
        <v>641</v>
      </c>
      <c r="C478" s="42" t="s">
        <v>642</v>
      </c>
      <c r="D478" s="44" t="s">
        <v>643</v>
      </c>
      <c r="E478" s="42" t="s">
        <v>328</v>
      </c>
      <c r="F478" s="42" t="s">
        <v>4120</v>
      </c>
      <c r="G478" s="44" t="s">
        <v>4121</v>
      </c>
      <c r="H478" s="41" t="s">
        <v>3418</v>
      </c>
      <c r="I478" s="42" t="s">
        <v>3419</v>
      </c>
      <c r="J478" s="41"/>
    </row>
    <row r="479" customFormat="false" ht="28.35" hidden="false" customHeight="false" outlineLevel="0" collapsed="false">
      <c r="A479" s="41" t="s">
        <v>193</v>
      </c>
      <c r="B479" s="41" t="s">
        <v>646</v>
      </c>
      <c r="C479" s="42" t="s">
        <v>647</v>
      </c>
      <c r="D479" s="44" t="s">
        <v>648</v>
      </c>
      <c r="E479" s="42" t="s">
        <v>328</v>
      </c>
      <c r="F479" s="42" t="s">
        <v>4122</v>
      </c>
      <c r="G479" s="44" t="s">
        <v>4123</v>
      </c>
      <c r="H479" s="41" t="s">
        <v>3418</v>
      </c>
      <c r="I479" s="42" t="s">
        <v>3419</v>
      </c>
      <c r="J479" s="41"/>
    </row>
    <row r="480" customFormat="false" ht="28.35" hidden="false" customHeight="false" outlineLevel="0" collapsed="false">
      <c r="A480" s="41" t="s">
        <v>194</v>
      </c>
      <c r="B480" s="41" t="s">
        <v>305</v>
      </c>
      <c r="C480" s="42" t="s">
        <v>306</v>
      </c>
      <c r="D480" s="44" t="s">
        <v>308</v>
      </c>
      <c r="E480" s="42" t="s">
        <v>247</v>
      </c>
      <c r="F480" s="42" t="s">
        <v>4124</v>
      </c>
      <c r="G480" s="44" t="s">
        <v>4125</v>
      </c>
      <c r="H480" s="41" t="s">
        <v>3215</v>
      </c>
      <c r="I480" s="42" t="s">
        <v>3216</v>
      </c>
      <c r="J480" s="41"/>
    </row>
    <row r="481" customFormat="false" ht="28.35" hidden="false" customHeight="false" outlineLevel="0" collapsed="false">
      <c r="A481" s="41" t="s">
        <v>194</v>
      </c>
      <c r="B481" s="41" t="s">
        <v>305</v>
      </c>
      <c r="C481" s="42" t="s">
        <v>306</v>
      </c>
      <c r="D481" s="44" t="s">
        <v>308</v>
      </c>
      <c r="E481" s="42" t="s">
        <v>3239</v>
      </c>
      <c r="F481" s="42" t="s">
        <v>4126</v>
      </c>
      <c r="G481" s="44" t="s">
        <v>4127</v>
      </c>
      <c r="H481" s="41" t="s">
        <v>3242</v>
      </c>
      <c r="I481" s="42" t="s">
        <v>3243</v>
      </c>
      <c r="J481" s="41"/>
    </row>
    <row r="482" customFormat="false" ht="41.75" hidden="false" customHeight="false" outlineLevel="0" collapsed="false">
      <c r="A482" s="41" t="s">
        <v>194</v>
      </c>
      <c r="B482" s="41" t="s">
        <v>305</v>
      </c>
      <c r="C482" s="42" t="s">
        <v>306</v>
      </c>
      <c r="D482" s="44" t="s">
        <v>308</v>
      </c>
      <c r="E482" s="42" t="s">
        <v>881</v>
      </c>
      <c r="F482" s="42" t="s">
        <v>4128</v>
      </c>
      <c r="G482" s="44" t="s">
        <v>3135</v>
      </c>
      <c r="H482" s="41" t="s">
        <v>3219</v>
      </c>
      <c r="I482" s="42" t="s">
        <v>4129</v>
      </c>
      <c r="J482" s="41"/>
    </row>
    <row r="483" customFormat="false" ht="41.75" hidden="false" customHeight="false" outlineLevel="0" collapsed="false">
      <c r="A483" s="41" t="s">
        <v>194</v>
      </c>
      <c r="B483" s="41" t="s">
        <v>305</v>
      </c>
      <c r="C483" s="42" t="s">
        <v>306</v>
      </c>
      <c r="D483" s="44" t="s">
        <v>308</v>
      </c>
      <c r="E483" s="42" t="s">
        <v>4130</v>
      </c>
      <c r="F483" s="42" t="s">
        <v>4128</v>
      </c>
      <c r="G483" s="44" t="s">
        <v>3135</v>
      </c>
      <c r="H483" s="41" t="s">
        <v>3219</v>
      </c>
      <c r="I483" s="42" t="s">
        <v>4131</v>
      </c>
      <c r="J483" s="41"/>
    </row>
    <row r="484" customFormat="false" ht="28.35" hidden="false" customHeight="false" outlineLevel="0" collapsed="false">
      <c r="A484" s="41" t="s">
        <v>194</v>
      </c>
      <c r="B484" s="41" t="s">
        <v>305</v>
      </c>
      <c r="C484" s="42" t="s">
        <v>306</v>
      </c>
      <c r="D484" s="44" t="s">
        <v>308</v>
      </c>
      <c r="E484" s="42" t="s">
        <v>583</v>
      </c>
      <c r="F484" s="42" t="s">
        <v>4132</v>
      </c>
      <c r="G484" s="44" t="s">
        <v>4133</v>
      </c>
      <c r="H484" s="41" t="s">
        <v>3252</v>
      </c>
      <c r="I484" s="42" t="s">
        <v>3253</v>
      </c>
      <c r="J484" s="41"/>
    </row>
    <row r="485" customFormat="false" ht="28.35" hidden="false" customHeight="false" outlineLevel="0" collapsed="false">
      <c r="A485" s="41" t="s">
        <v>194</v>
      </c>
      <c r="B485" s="41" t="s">
        <v>844</v>
      </c>
      <c r="C485" s="42" t="s">
        <v>845</v>
      </c>
      <c r="D485" s="44" t="s">
        <v>846</v>
      </c>
      <c r="E485" s="42" t="s">
        <v>247</v>
      </c>
      <c r="F485" s="42" t="s">
        <v>4134</v>
      </c>
      <c r="G485" s="44" t="s">
        <v>4135</v>
      </c>
      <c r="H485" s="41" t="s">
        <v>3215</v>
      </c>
      <c r="I485" s="42" t="s">
        <v>3216</v>
      </c>
      <c r="J485" s="41"/>
    </row>
    <row r="486" customFormat="false" ht="28.35" hidden="false" customHeight="false" outlineLevel="0" collapsed="false">
      <c r="A486" s="41" t="s">
        <v>194</v>
      </c>
      <c r="B486" s="41" t="s">
        <v>343</v>
      </c>
      <c r="C486" s="42" t="s">
        <v>344</v>
      </c>
      <c r="D486" s="44" t="s">
        <v>345</v>
      </c>
      <c r="E486" s="42" t="s">
        <v>247</v>
      </c>
      <c r="F486" s="42" t="s">
        <v>4136</v>
      </c>
      <c r="G486" s="44" t="s">
        <v>4137</v>
      </c>
      <c r="H486" s="41" t="s">
        <v>3215</v>
      </c>
      <c r="I486" s="42" t="s">
        <v>3216</v>
      </c>
      <c r="J486" s="41"/>
    </row>
    <row r="487" customFormat="false" ht="28.35" hidden="false" customHeight="false" outlineLevel="0" collapsed="false">
      <c r="A487" s="41" t="s">
        <v>194</v>
      </c>
      <c r="B487" s="41" t="s">
        <v>412</v>
      </c>
      <c r="C487" s="42" t="s">
        <v>413</v>
      </c>
      <c r="D487" s="44" t="s">
        <v>414</v>
      </c>
      <c r="E487" s="42" t="s">
        <v>247</v>
      </c>
      <c r="F487" s="42" t="s">
        <v>4138</v>
      </c>
      <c r="G487" s="44" t="s">
        <v>4139</v>
      </c>
      <c r="H487" s="41" t="s">
        <v>3256</v>
      </c>
      <c r="I487" s="42" t="s">
        <v>3257</v>
      </c>
      <c r="J487" s="41"/>
    </row>
    <row r="488" customFormat="false" ht="28.35" hidden="false" customHeight="false" outlineLevel="0" collapsed="false">
      <c r="A488" s="41" t="s">
        <v>194</v>
      </c>
      <c r="B488" s="41" t="s">
        <v>1209</v>
      </c>
      <c r="C488" s="42" t="s">
        <v>1210</v>
      </c>
      <c r="D488" s="44" t="s">
        <v>1211</v>
      </c>
      <c r="E488" s="42" t="s">
        <v>3239</v>
      </c>
      <c r="F488" s="42" t="s">
        <v>4140</v>
      </c>
      <c r="G488" s="44" t="s">
        <v>4141</v>
      </c>
      <c r="H488" s="41" t="s">
        <v>3242</v>
      </c>
      <c r="I488" s="42" t="s">
        <v>3243</v>
      </c>
      <c r="J488" s="41"/>
    </row>
    <row r="489" customFormat="false" ht="41.75" hidden="false" customHeight="false" outlineLevel="0" collapsed="false">
      <c r="A489" s="41" t="s">
        <v>194</v>
      </c>
      <c r="B489" s="41" t="s">
        <v>1209</v>
      </c>
      <c r="C489" s="42" t="s">
        <v>1210</v>
      </c>
      <c r="D489" s="44" t="s">
        <v>1211</v>
      </c>
      <c r="E489" s="42" t="s">
        <v>881</v>
      </c>
      <c r="F489" s="42" t="s">
        <v>4142</v>
      </c>
      <c r="G489" s="44" t="s">
        <v>3135</v>
      </c>
      <c r="H489" s="41" t="s">
        <v>3219</v>
      </c>
      <c r="I489" s="42" t="s">
        <v>4143</v>
      </c>
      <c r="J489" s="41"/>
    </row>
    <row r="490" customFormat="false" ht="28.35" hidden="false" customHeight="false" outlineLevel="0" collapsed="false">
      <c r="A490" s="41" t="s">
        <v>194</v>
      </c>
      <c r="B490" s="41" t="s">
        <v>510</v>
      </c>
      <c r="C490" s="42" t="s">
        <v>511</v>
      </c>
      <c r="D490" s="44" t="s">
        <v>513</v>
      </c>
      <c r="E490" s="42" t="s">
        <v>247</v>
      </c>
      <c r="F490" s="42" t="s">
        <v>4144</v>
      </c>
      <c r="G490" s="44" t="s">
        <v>3369</v>
      </c>
      <c r="H490" s="41" t="s">
        <v>3215</v>
      </c>
      <c r="I490" s="42" t="s">
        <v>3216</v>
      </c>
      <c r="J490" s="41"/>
    </row>
    <row r="491" customFormat="false" ht="55.2" hidden="false" customHeight="false" outlineLevel="0" collapsed="false">
      <c r="A491" s="41" t="s">
        <v>194</v>
      </c>
      <c r="B491" s="41" t="s">
        <v>510</v>
      </c>
      <c r="C491" s="42" t="s">
        <v>511</v>
      </c>
      <c r="D491" s="44" t="s">
        <v>513</v>
      </c>
      <c r="E491" s="42" t="s">
        <v>4145</v>
      </c>
      <c r="F491" s="42" t="s">
        <v>4146</v>
      </c>
      <c r="G491" s="44" t="s">
        <v>3135</v>
      </c>
      <c r="H491" s="41" t="s">
        <v>3219</v>
      </c>
      <c r="I491" s="42" t="s">
        <v>4147</v>
      </c>
      <c r="J491" s="41"/>
    </row>
    <row r="492" customFormat="false" ht="28.35" hidden="false" customHeight="false" outlineLevel="0" collapsed="false">
      <c r="A492" s="41" t="s">
        <v>194</v>
      </c>
      <c r="B492" s="41" t="s">
        <v>635</v>
      </c>
      <c r="C492" s="42" t="s">
        <v>636</v>
      </c>
      <c r="D492" s="44" t="s">
        <v>637</v>
      </c>
      <c r="E492" s="42" t="s">
        <v>247</v>
      </c>
      <c r="F492" s="42" t="s">
        <v>4148</v>
      </c>
      <c r="G492" s="44" t="s">
        <v>4149</v>
      </c>
      <c r="H492" s="41" t="s">
        <v>3215</v>
      </c>
      <c r="I492" s="42" t="s">
        <v>3216</v>
      </c>
      <c r="J492" s="41"/>
    </row>
    <row r="493" customFormat="false" ht="28.35" hidden="false" customHeight="false" outlineLevel="0" collapsed="false">
      <c r="A493" s="41" t="s">
        <v>194</v>
      </c>
      <c r="B493" s="41" t="s">
        <v>635</v>
      </c>
      <c r="C493" s="42" t="s">
        <v>636</v>
      </c>
      <c r="D493" s="44" t="s">
        <v>637</v>
      </c>
      <c r="E493" s="42" t="s">
        <v>3239</v>
      </c>
      <c r="F493" s="42" t="s">
        <v>4150</v>
      </c>
      <c r="G493" s="44" t="s">
        <v>4151</v>
      </c>
      <c r="H493" s="41" t="s">
        <v>3242</v>
      </c>
      <c r="I493" s="42" t="s">
        <v>3243</v>
      </c>
      <c r="J493" s="41"/>
    </row>
    <row r="494" customFormat="false" ht="55.2" hidden="false" customHeight="false" outlineLevel="0" collapsed="false">
      <c r="A494" s="41" t="s">
        <v>194</v>
      </c>
      <c r="B494" s="41" t="s">
        <v>635</v>
      </c>
      <c r="C494" s="42" t="s">
        <v>636</v>
      </c>
      <c r="D494" s="44" t="s">
        <v>637</v>
      </c>
      <c r="E494" s="42" t="s">
        <v>4152</v>
      </c>
      <c r="F494" s="42" t="s">
        <v>4146</v>
      </c>
      <c r="G494" s="44" t="s">
        <v>3135</v>
      </c>
      <c r="H494" s="41" t="s">
        <v>3219</v>
      </c>
      <c r="I494" s="42" t="s">
        <v>4153</v>
      </c>
      <c r="J494" s="41"/>
    </row>
    <row r="495" customFormat="false" ht="41.75" hidden="false" customHeight="false" outlineLevel="0" collapsed="false">
      <c r="A495" s="41" t="s">
        <v>194</v>
      </c>
      <c r="B495" s="41" t="s">
        <v>635</v>
      </c>
      <c r="C495" s="42" t="s">
        <v>636</v>
      </c>
      <c r="D495" s="44" t="s">
        <v>637</v>
      </c>
      <c r="E495" s="42" t="s">
        <v>583</v>
      </c>
      <c r="F495" s="42" t="s">
        <v>4154</v>
      </c>
      <c r="G495" s="44" t="s">
        <v>4155</v>
      </c>
      <c r="H495" s="41" t="s">
        <v>3252</v>
      </c>
      <c r="I495" s="42" t="s">
        <v>3253</v>
      </c>
      <c r="J495" s="41"/>
    </row>
    <row r="496" customFormat="false" ht="28.35" hidden="false" customHeight="false" outlineLevel="0" collapsed="false">
      <c r="A496" s="41" t="s">
        <v>195</v>
      </c>
      <c r="B496" s="41" t="s">
        <v>844</v>
      </c>
      <c r="C496" s="42" t="s">
        <v>845</v>
      </c>
      <c r="D496" s="44" t="s">
        <v>846</v>
      </c>
      <c r="E496" s="42" t="s">
        <v>247</v>
      </c>
      <c r="F496" s="42" t="s">
        <v>4156</v>
      </c>
      <c r="G496" s="44" t="s">
        <v>2760</v>
      </c>
      <c r="H496" s="41" t="s">
        <v>3215</v>
      </c>
      <c r="I496" s="42" t="s">
        <v>3216</v>
      </c>
      <c r="J496" s="41"/>
    </row>
    <row r="497" customFormat="false" ht="41.75" hidden="false" customHeight="false" outlineLevel="0" collapsed="false">
      <c r="A497" s="41" t="s">
        <v>195</v>
      </c>
      <c r="B497" s="41" t="s">
        <v>1220</v>
      </c>
      <c r="C497" s="42" t="s">
        <v>1221</v>
      </c>
      <c r="D497" s="44" t="s">
        <v>1222</v>
      </c>
      <c r="E497" s="42" t="s">
        <v>881</v>
      </c>
      <c r="F497" s="42" t="s">
        <v>4157</v>
      </c>
      <c r="G497" s="44" t="s">
        <v>3135</v>
      </c>
      <c r="H497" s="41" t="s">
        <v>3219</v>
      </c>
      <c r="I497" s="42" t="s">
        <v>4158</v>
      </c>
      <c r="J497" s="41"/>
    </row>
    <row r="498" customFormat="false" ht="28.35" hidden="false" customHeight="false" outlineLevel="0" collapsed="false">
      <c r="A498" s="41" t="s">
        <v>195</v>
      </c>
      <c r="B498" s="41" t="s">
        <v>245</v>
      </c>
      <c r="C498" s="42" t="s">
        <v>246</v>
      </c>
      <c r="D498" s="44" t="s">
        <v>252</v>
      </c>
      <c r="E498" s="42" t="s">
        <v>247</v>
      </c>
      <c r="F498" s="42" t="s">
        <v>4159</v>
      </c>
      <c r="G498" s="44" t="s">
        <v>3214</v>
      </c>
      <c r="H498" s="41" t="s">
        <v>3215</v>
      </c>
      <c r="I498" s="42" t="s">
        <v>3216</v>
      </c>
      <c r="J498" s="41"/>
    </row>
    <row r="499" customFormat="false" ht="41.75" hidden="false" customHeight="false" outlineLevel="0" collapsed="false">
      <c r="A499" s="41" t="s">
        <v>195</v>
      </c>
      <c r="B499" s="41" t="s">
        <v>1225</v>
      </c>
      <c r="C499" s="42" t="s">
        <v>1226</v>
      </c>
      <c r="D499" s="44" t="s">
        <v>1227</v>
      </c>
      <c r="E499" s="42" t="s">
        <v>881</v>
      </c>
      <c r="F499" s="42" t="s">
        <v>4157</v>
      </c>
      <c r="G499" s="44" t="s">
        <v>3135</v>
      </c>
      <c r="H499" s="41" t="s">
        <v>3219</v>
      </c>
      <c r="I499" s="42" t="s">
        <v>4160</v>
      </c>
      <c r="J499" s="41"/>
    </row>
    <row r="500" customFormat="false" ht="28.35" hidden="false" customHeight="false" outlineLevel="0" collapsed="false">
      <c r="A500" s="41" t="s">
        <v>195</v>
      </c>
      <c r="B500" s="41" t="s">
        <v>1225</v>
      </c>
      <c r="C500" s="42" t="s">
        <v>1226</v>
      </c>
      <c r="D500" s="44" t="s">
        <v>1227</v>
      </c>
      <c r="E500" s="42" t="s">
        <v>583</v>
      </c>
      <c r="F500" s="42" t="s">
        <v>4161</v>
      </c>
      <c r="G500" s="44" t="s">
        <v>4162</v>
      </c>
      <c r="H500" s="41" t="s">
        <v>3252</v>
      </c>
      <c r="I500" s="42" t="s">
        <v>3253</v>
      </c>
      <c r="J500" s="41"/>
    </row>
    <row r="501" customFormat="false" ht="28.35" hidden="false" customHeight="false" outlineLevel="0" collapsed="false">
      <c r="A501" s="41" t="s">
        <v>195</v>
      </c>
      <c r="B501" s="41" t="s">
        <v>1231</v>
      </c>
      <c r="C501" s="42" t="s">
        <v>1232</v>
      </c>
      <c r="D501" s="44" t="s">
        <v>1233</v>
      </c>
      <c r="E501" s="42" t="s">
        <v>247</v>
      </c>
      <c r="F501" s="42" t="s">
        <v>4163</v>
      </c>
      <c r="G501" s="44" t="s">
        <v>4164</v>
      </c>
      <c r="H501" s="41" t="s">
        <v>3215</v>
      </c>
      <c r="I501" s="42" t="s">
        <v>3216</v>
      </c>
      <c r="J501" s="41"/>
    </row>
    <row r="502" customFormat="false" ht="28.35" hidden="false" customHeight="false" outlineLevel="0" collapsed="false">
      <c r="A502" s="41" t="s">
        <v>195</v>
      </c>
      <c r="B502" s="41" t="s">
        <v>606</v>
      </c>
      <c r="C502" s="42" t="s">
        <v>607</v>
      </c>
      <c r="D502" s="44" t="s">
        <v>608</v>
      </c>
      <c r="E502" s="42" t="s">
        <v>247</v>
      </c>
      <c r="F502" s="42" t="s">
        <v>4165</v>
      </c>
      <c r="G502" s="44" t="s">
        <v>4166</v>
      </c>
      <c r="H502" s="41" t="s">
        <v>3215</v>
      </c>
      <c r="I502" s="42" t="s">
        <v>3216</v>
      </c>
      <c r="J502" s="41"/>
    </row>
    <row r="503" customFormat="false" ht="28.35" hidden="false" customHeight="false" outlineLevel="0" collapsed="false">
      <c r="A503" s="41" t="s">
        <v>195</v>
      </c>
      <c r="B503" s="41" t="s">
        <v>606</v>
      </c>
      <c r="C503" s="42" t="s">
        <v>607</v>
      </c>
      <c r="D503" s="44" t="s">
        <v>608</v>
      </c>
      <c r="E503" s="42" t="s">
        <v>583</v>
      </c>
      <c r="F503" s="42" t="s">
        <v>4167</v>
      </c>
      <c r="G503" s="44" t="s">
        <v>4168</v>
      </c>
      <c r="H503" s="41" t="s">
        <v>3252</v>
      </c>
      <c r="I503" s="42" t="s">
        <v>3253</v>
      </c>
      <c r="J503" s="41"/>
    </row>
    <row r="504" customFormat="false" ht="41.75" hidden="false" customHeight="false" outlineLevel="0" collapsed="false">
      <c r="A504" s="41" t="s">
        <v>195</v>
      </c>
      <c r="B504" s="41" t="s">
        <v>1236</v>
      </c>
      <c r="C504" s="42" t="s">
        <v>1237</v>
      </c>
      <c r="D504" s="44" t="s">
        <v>1238</v>
      </c>
      <c r="E504" s="42" t="s">
        <v>4169</v>
      </c>
      <c r="F504" s="42" t="s">
        <v>4170</v>
      </c>
      <c r="G504" s="44" t="s">
        <v>3135</v>
      </c>
      <c r="H504" s="41" t="s">
        <v>3219</v>
      </c>
      <c r="I504" s="42" t="s">
        <v>4171</v>
      </c>
      <c r="J504" s="41"/>
    </row>
    <row r="505" customFormat="false" ht="41.75" hidden="false" customHeight="false" outlineLevel="0" collapsed="false">
      <c r="A505" s="41" t="s">
        <v>195</v>
      </c>
      <c r="B505" s="41" t="s">
        <v>1236</v>
      </c>
      <c r="C505" s="42" t="s">
        <v>1237</v>
      </c>
      <c r="D505" s="44" t="s">
        <v>1238</v>
      </c>
      <c r="E505" s="42" t="s">
        <v>583</v>
      </c>
      <c r="F505" s="42" t="s">
        <v>4172</v>
      </c>
      <c r="G505" s="44" t="s">
        <v>4173</v>
      </c>
      <c r="H505" s="41" t="s">
        <v>3252</v>
      </c>
      <c r="I505" s="42" t="s">
        <v>3253</v>
      </c>
      <c r="J505" s="41"/>
    </row>
    <row r="506" customFormat="false" ht="28.35" hidden="false" customHeight="false" outlineLevel="0" collapsed="false">
      <c r="A506" s="41" t="s">
        <v>195</v>
      </c>
      <c r="B506" s="41" t="s">
        <v>1242</v>
      </c>
      <c r="C506" s="42" t="s">
        <v>1243</v>
      </c>
      <c r="D506" s="44" t="s">
        <v>1244</v>
      </c>
      <c r="E506" s="42" t="s">
        <v>247</v>
      </c>
      <c r="F506" s="42" t="s">
        <v>4174</v>
      </c>
      <c r="G506" s="44" t="s">
        <v>4175</v>
      </c>
      <c r="H506" s="41" t="s">
        <v>3215</v>
      </c>
      <c r="I506" s="42" t="s">
        <v>3216</v>
      </c>
      <c r="J506" s="41"/>
    </row>
    <row r="507" customFormat="false" ht="28.35" hidden="false" customHeight="false" outlineLevel="0" collapsed="false">
      <c r="A507" s="41" t="s">
        <v>195</v>
      </c>
      <c r="B507" s="41" t="s">
        <v>724</v>
      </c>
      <c r="C507" s="42" t="s">
        <v>725</v>
      </c>
      <c r="D507" s="44" t="s">
        <v>726</v>
      </c>
      <c r="E507" s="42" t="s">
        <v>247</v>
      </c>
      <c r="F507" s="42" t="s">
        <v>4176</v>
      </c>
      <c r="G507" s="44" t="s">
        <v>4177</v>
      </c>
      <c r="H507" s="41" t="s">
        <v>3215</v>
      </c>
      <c r="I507" s="42" t="s">
        <v>3216</v>
      </c>
      <c r="J507" s="41"/>
    </row>
    <row r="508" customFormat="false" ht="28.35" hidden="false" customHeight="false" outlineLevel="0" collapsed="false">
      <c r="A508" s="41" t="s">
        <v>195</v>
      </c>
      <c r="B508" s="41" t="s">
        <v>568</v>
      </c>
      <c r="C508" s="42" t="s">
        <v>569</v>
      </c>
      <c r="D508" s="44" t="s">
        <v>570</v>
      </c>
      <c r="E508" s="42" t="s">
        <v>247</v>
      </c>
      <c r="F508" s="42" t="s">
        <v>4178</v>
      </c>
      <c r="G508" s="44" t="s">
        <v>4179</v>
      </c>
      <c r="H508" s="41" t="s">
        <v>3215</v>
      </c>
      <c r="I508" s="42" t="s">
        <v>3216</v>
      </c>
      <c r="J508" s="41"/>
    </row>
    <row r="509" customFormat="false" ht="28.35" hidden="false" customHeight="false" outlineLevel="0" collapsed="false">
      <c r="A509" s="41" t="s">
        <v>196</v>
      </c>
      <c r="B509" s="41" t="s">
        <v>313</v>
      </c>
      <c r="C509" s="42" t="s">
        <v>314</v>
      </c>
      <c r="D509" s="44" t="s">
        <v>317</v>
      </c>
      <c r="E509" s="42" t="s">
        <v>247</v>
      </c>
      <c r="F509" s="42" t="s">
        <v>4180</v>
      </c>
      <c r="G509" s="44" t="s">
        <v>4181</v>
      </c>
      <c r="H509" s="41" t="s">
        <v>3215</v>
      </c>
      <c r="I509" s="42" t="s">
        <v>3216</v>
      </c>
      <c r="J509" s="41"/>
    </row>
    <row r="510" customFormat="false" ht="28.35" hidden="false" customHeight="false" outlineLevel="0" collapsed="false">
      <c r="A510" s="41" t="s">
        <v>196</v>
      </c>
      <c r="B510" s="41" t="s">
        <v>245</v>
      </c>
      <c r="C510" s="42" t="s">
        <v>246</v>
      </c>
      <c r="D510" s="44" t="s">
        <v>252</v>
      </c>
      <c r="E510" s="42" t="s">
        <v>247</v>
      </c>
      <c r="F510" s="42" t="s">
        <v>4182</v>
      </c>
      <c r="G510" s="44" t="s">
        <v>3214</v>
      </c>
      <c r="H510" s="41" t="s">
        <v>3215</v>
      </c>
      <c r="I510" s="42" t="s">
        <v>3216</v>
      </c>
      <c r="J510" s="41"/>
    </row>
    <row r="511" customFormat="false" ht="149.25" hidden="false" customHeight="false" outlineLevel="0" collapsed="false">
      <c r="A511" s="41" t="s">
        <v>196</v>
      </c>
      <c r="B511" s="41" t="s">
        <v>451</v>
      </c>
      <c r="C511" s="42" t="s">
        <v>452</v>
      </c>
      <c r="D511" s="44" t="s">
        <v>454</v>
      </c>
      <c r="E511" s="42" t="s">
        <v>1253</v>
      </c>
      <c r="F511" s="42" t="s">
        <v>4183</v>
      </c>
      <c r="G511" s="44" t="s">
        <v>4184</v>
      </c>
      <c r="H511" s="41" t="s">
        <v>3248</v>
      </c>
      <c r="I511" s="42" t="s">
        <v>4185</v>
      </c>
      <c r="J511" s="44" t="s">
        <v>3135</v>
      </c>
    </row>
    <row r="512" customFormat="false" ht="28.35" hidden="false" customHeight="false" outlineLevel="0" collapsed="false">
      <c r="A512" s="41" t="s">
        <v>196</v>
      </c>
      <c r="B512" s="41" t="s">
        <v>1255</v>
      </c>
      <c r="C512" s="42" t="s">
        <v>1256</v>
      </c>
      <c r="D512" s="44" t="s">
        <v>1257</v>
      </c>
      <c r="E512" s="42" t="s">
        <v>247</v>
      </c>
      <c r="F512" s="42" t="s">
        <v>4186</v>
      </c>
      <c r="G512" s="44" t="s">
        <v>4187</v>
      </c>
      <c r="H512" s="41" t="s">
        <v>3215</v>
      </c>
      <c r="I512" s="42" t="s">
        <v>3216</v>
      </c>
      <c r="J512" s="41"/>
    </row>
    <row r="513" customFormat="false" ht="28.35" hidden="false" customHeight="false" outlineLevel="0" collapsed="false">
      <c r="A513" s="41" t="s">
        <v>196</v>
      </c>
      <c r="B513" s="41" t="s">
        <v>475</v>
      </c>
      <c r="C513" s="42" t="s">
        <v>476</v>
      </c>
      <c r="D513" s="44" t="s">
        <v>477</v>
      </c>
      <c r="E513" s="42" t="s">
        <v>247</v>
      </c>
      <c r="F513" s="42" t="s">
        <v>4188</v>
      </c>
      <c r="G513" s="44" t="s">
        <v>4189</v>
      </c>
      <c r="H513" s="41" t="s">
        <v>3215</v>
      </c>
      <c r="I513" s="42" t="s">
        <v>3216</v>
      </c>
      <c r="J513" s="41"/>
    </row>
    <row r="514" customFormat="false" ht="28.35" hidden="false" customHeight="false" outlineLevel="0" collapsed="false">
      <c r="A514" s="41" t="s">
        <v>197</v>
      </c>
      <c r="B514" s="41" t="s">
        <v>1150</v>
      </c>
      <c r="C514" s="42" t="s">
        <v>1151</v>
      </c>
      <c r="D514" s="44" t="s">
        <v>1152</v>
      </c>
      <c r="E514" s="42" t="s">
        <v>3239</v>
      </c>
      <c r="F514" s="42" t="s">
        <v>4190</v>
      </c>
      <c r="G514" s="44" t="s">
        <v>4191</v>
      </c>
      <c r="H514" s="41" t="s">
        <v>3351</v>
      </c>
      <c r="I514" s="42" t="s">
        <v>3352</v>
      </c>
      <c r="J514" s="41"/>
    </row>
    <row r="515" customFormat="false" ht="41.75" hidden="false" customHeight="false" outlineLevel="0" collapsed="false">
      <c r="A515" s="41" t="s">
        <v>197</v>
      </c>
      <c r="B515" s="41" t="s">
        <v>1150</v>
      </c>
      <c r="C515" s="42" t="s">
        <v>1151</v>
      </c>
      <c r="D515" s="44" t="s">
        <v>1152</v>
      </c>
      <c r="E515" s="42" t="s">
        <v>881</v>
      </c>
      <c r="F515" s="42" t="s">
        <v>4192</v>
      </c>
      <c r="G515" s="44" t="s">
        <v>3135</v>
      </c>
      <c r="H515" s="41" t="s">
        <v>3219</v>
      </c>
      <c r="I515" s="42" t="s">
        <v>4193</v>
      </c>
      <c r="J515" s="41"/>
    </row>
    <row r="516" customFormat="false" ht="95.5" hidden="false" customHeight="false" outlineLevel="0" collapsed="false">
      <c r="A516" s="41" t="s">
        <v>197</v>
      </c>
      <c r="B516" s="41" t="s">
        <v>1150</v>
      </c>
      <c r="C516" s="42" t="s">
        <v>1151</v>
      </c>
      <c r="D516" s="44" t="s">
        <v>1152</v>
      </c>
      <c r="E516" s="42" t="s">
        <v>4194</v>
      </c>
      <c r="F516" s="42" t="s">
        <v>4192</v>
      </c>
      <c r="G516" s="44" t="s">
        <v>4195</v>
      </c>
      <c r="H516" s="41" t="s">
        <v>3248</v>
      </c>
      <c r="I516" s="42" t="s">
        <v>4196</v>
      </c>
      <c r="J516" s="44" t="s">
        <v>3135</v>
      </c>
    </row>
    <row r="517" customFormat="false" ht="28.35" hidden="false" customHeight="false" outlineLevel="0" collapsed="false">
      <c r="A517" s="41" t="s">
        <v>197</v>
      </c>
      <c r="B517" s="41" t="s">
        <v>1150</v>
      </c>
      <c r="C517" s="42" t="s">
        <v>1151</v>
      </c>
      <c r="D517" s="44" t="s">
        <v>1152</v>
      </c>
      <c r="E517" s="42" t="s">
        <v>583</v>
      </c>
      <c r="F517" s="42" t="s">
        <v>4197</v>
      </c>
      <c r="G517" s="44" t="s">
        <v>4198</v>
      </c>
      <c r="H517" s="41" t="s">
        <v>3411</v>
      </c>
      <c r="I517" s="42" t="s">
        <v>3412</v>
      </c>
      <c r="J517" s="41"/>
    </row>
    <row r="518" customFormat="false" ht="28.35" hidden="false" customHeight="false" outlineLevel="0" collapsed="false">
      <c r="A518" s="41" t="s">
        <v>197</v>
      </c>
      <c r="B518" s="41" t="s">
        <v>1150</v>
      </c>
      <c r="C518" s="42" t="s">
        <v>1151</v>
      </c>
      <c r="D518" s="44" t="s">
        <v>1152</v>
      </c>
      <c r="E518" s="42" t="s">
        <v>328</v>
      </c>
      <c r="F518" s="42" t="s">
        <v>4199</v>
      </c>
      <c r="G518" s="44" t="s">
        <v>4200</v>
      </c>
      <c r="H518" s="41" t="s">
        <v>3272</v>
      </c>
      <c r="I518" s="42" t="s">
        <v>3273</v>
      </c>
      <c r="J518" s="41"/>
    </row>
    <row r="519" customFormat="false" ht="28.35" hidden="false" customHeight="false" outlineLevel="0" collapsed="false">
      <c r="A519" s="41" t="s">
        <v>197</v>
      </c>
      <c r="B519" s="41" t="s">
        <v>1265</v>
      </c>
      <c r="C519" s="42" t="s">
        <v>1266</v>
      </c>
      <c r="D519" s="44" t="s">
        <v>1267</v>
      </c>
      <c r="E519" s="42" t="s">
        <v>247</v>
      </c>
      <c r="F519" s="42" t="s">
        <v>4201</v>
      </c>
      <c r="G519" s="44" t="s">
        <v>4202</v>
      </c>
      <c r="H519" s="41" t="s">
        <v>3215</v>
      </c>
      <c r="I519" s="42" t="s">
        <v>3216</v>
      </c>
      <c r="J519" s="41"/>
    </row>
    <row r="520" customFormat="false" ht="41.75" hidden="false" customHeight="false" outlineLevel="0" collapsed="false">
      <c r="A520" s="41" t="s">
        <v>197</v>
      </c>
      <c r="B520" s="41" t="s">
        <v>1265</v>
      </c>
      <c r="C520" s="42" t="s">
        <v>1266</v>
      </c>
      <c r="D520" s="44" t="s">
        <v>1267</v>
      </c>
      <c r="E520" s="42" t="s">
        <v>3239</v>
      </c>
      <c r="F520" s="42" t="s">
        <v>4203</v>
      </c>
      <c r="G520" s="44" t="s">
        <v>4204</v>
      </c>
      <c r="H520" s="41" t="s">
        <v>4205</v>
      </c>
      <c r="I520" s="42" t="s">
        <v>4206</v>
      </c>
      <c r="J520" s="41"/>
    </row>
    <row r="521" customFormat="false" ht="41.75" hidden="false" customHeight="false" outlineLevel="0" collapsed="false">
      <c r="A521" s="41" t="s">
        <v>197</v>
      </c>
      <c r="B521" s="41" t="s">
        <v>1265</v>
      </c>
      <c r="C521" s="42" t="s">
        <v>1266</v>
      </c>
      <c r="D521" s="44" t="s">
        <v>1267</v>
      </c>
      <c r="E521" s="42" t="s">
        <v>881</v>
      </c>
      <c r="F521" s="42" t="s">
        <v>4207</v>
      </c>
      <c r="G521" s="44" t="s">
        <v>3135</v>
      </c>
      <c r="H521" s="41" t="s">
        <v>3219</v>
      </c>
      <c r="I521" s="42" t="s">
        <v>4208</v>
      </c>
      <c r="J521" s="41"/>
    </row>
    <row r="522" customFormat="false" ht="55.2" hidden="false" customHeight="false" outlineLevel="0" collapsed="false">
      <c r="A522" s="41" t="s">
        <v>197</v>
      </c>
      <c r="B522" s="41" t="s">
        <v>1265</v>
      </c>
      <c r="C522" s="42" t="s">
        <v>1266</v>
      </c>
      <c r="D522" s="44" t="s">
        <v>1267</v>
      </c>
      <c r="E522" s="42" t="s">
        <v>4209</v>
      </c>
      <c r="F522" s="42" t="s">
        <v>4207</v>
      </c>
      <c r="G522" s="44" t="s">
        <v>4210</v>
      </c>
      <c r="H522" s="41" t="s">
        <v>3248</v>
      </c>
      <c r="I522" s="42" t="s">
        <v>4211</v>
      </c>
      <c r="J522" s="44" t="s">
        <v>3135</v>
      </c>
    </row>
    <row r="523" customFormat="false" ht="28.35" hidden="false" customHeight="false" outlineLevel="0" collapsed="false">
      <c r="A523" s="41" t="s">
        <v>197</v>
      </c>
      <c r="B523" s="41" t="s">
        <v>937</v>
      </c>
      <c r="C523" s="42" t="s">
        <v>938</v>
      </c>
      <c r="D523" s="44" t="s">
        <v>940</v>
      </c>
      <c r="E523" s="42" t="s">
        <v>247</v>
      </c>
      <c r="F523" s="42" t="s">
        <v>4212</v>
      </c>
      <c r="G523" s="44" t="s">
        <v>2785</v>
      </c>
      <c r="H523" s="41" t="s">
        <v>3215</v>
      </c>
      <c r="I523" s="42" t="s">
        <v>3216</v>
      </c>
      <c r="J523" s="41"/>
    </row>
    <row r="524" customFormat="false" ht="41.75" hidden="false" customHeight="false" outlineLevel="0" collapsed="false">
      <c r="A524" s="41" t="s">
        <v>197</v>
      </c>
      <c r="B524" s="41" t="s">
        <v>1273</v>
      </c>
      <c r="C524" s="42" t="s">
        <v>1274</v>
      </c>
      <c r="D524" s="44" t="s">
        <v>1275</v>
      </c>
      <c r="E524" s="42" t="s">
        <v>881</v>
      </c>
      <c r="F524" s="42" t="s">
        <v>4207</v>
      </c>
      <c r="G524" s="44" t="s">
        <v>3135</v>
      </c>
      <c r="H524" s="41" t="s">
        <v>3219</v>
      </c>
      <c r="I524" s="42" t="s">
        <v>4213</v>
      </c>
      <c r="J524" s="41"/>
    </row>
    <row r="525" customFormat="false" ht="82.05" hidden="false" customHeight="false" outlineLevel="0" collapsed="false">
      <c r="A525" s="41" t="s">
        <v>197</v>
      </c>
      <c r="B525" s="41" t="s">
        <v>1273</v>
      </c>
      <c r="C525" s="42" t="s">
        <v>1274</v>
      </c>
      <c r="D525" s="44" t="s">
        <v>1275</v>
      </c>
      <c r="E525" s="42" t="s">
        <v>4214</v>
      </c>
      <c r="F525" s="42" t="s">
        <v>4207</v>
      </c>
      <c r="G525" s="44" t="s">
        <v>4215</v>
      </c>
      <c r="H525" s="41" t="s">
        <v>3248</v>
      </c>
      <c r="I525" s="42" t="s">
        <v>4216</v>
      </c>
      <c r="J525" s="44" t="s">
        <v>3135</v>
      </c>
    </row>
    <row r="526" customFormat="false" ht="28.35" hidden="false" customHeight="false" outlineLevel="0" collapsed="false">
      <c r="A526" s="41" t="s">
        <v>197</v>
      </c>
      <c r="B526" s="41" t="s">
        <v>1273</v>
      </c>
      <c r="C526" s="42" t="s">
        <v>1274</v>
      </c>
      <c r="D526" s="44" t="s">
        <v>1275</v>
      </c>
      <c r="E526" s="42" t="s">
        <v>328</v>
      </c>
      <c r="F526" s="42" t="s">
        <v>4217</v>
      </c>
      <c r="G526" s="44" t="s">
        <v>4218</v>
      </c>
      <c r="H526" s="41" t="s">
        <v>3418</v>
      </c>
      <c r="I526" s="42" t="s">
        <v>3419</v>
      </c>
      <c r="J526" s="41"/>
    </row>
    <row r="527" customFormat="false" ht="41.75" hidden="false" customHeight="false" outlineLevel="0" collapsed="false">
      <c r="A527" s="41" t="s">
        <v>197</v>
      </c>
      <c r="B527" s="41" t="s">
        <v>1181</v>
      </c>
      <c r="C527" s="42" t="s">
        <v>1182</v>
      </c>
      <c r="D527" s="44" t="s">
        <v>1183</v>
      </c>
      <c r="E527" s="42" t="s">
        <v>881</v>
      </c>
      <c r="F527" s="42" t="s">
        <v>4192</v>
      </c>
      <c r="G527" s="44" t="s">
        <v>3135</v>
      </c>
      <c r="H527" s="41" t="s">
        <v>3219</v>
      </c>
      <c r="I527" s="42" t="s">
        <v>4219</v>
      </c>
      <c r="J527" s="41"/>
    </row>
    <row r="528" customFormat="false" ht="108.95" hidden="false" customHeight="false" outlineLevel="0" collapsed="false">
      <c r="A528" s="41" t="s">
        <v>197</v>
      </c>
      <c r="B528" s="41" t="s">
        <v>1181</v>
      </c>
      <c r="C528" s="42" t="s">
        <v>1182</v>
      </c>
      <c r="D528" s="44" t="s">
        <v>1183</v>
      </c>
      <c r="E528" s="42" t="s">
        <v>4220</v>
      </c>
      <c r="F528" s="42" t="s">
        <v>4192</v>
      </c>
      <c r="G528" s="44" t="s">
        <v>4221</v>
      </c>
      <c r="H528" s="41" t="s">
        <v>3248</v>
      </c>
      <c r="I528" s="42" t="s">
        <v>4222</v>
      </c>
      <c r="J528" s="44" t="s">
        <v>3135</v>
      </c>
    </row>
    <row r="529" customFormat="false" ht="28.35" hidden="false" customHeight="false" outlineLevel="0" collapsed="false">
      <c r="A529" s="41" t="s">
        <v>197</v>
      </c>
      <c r="B529" s="41" t="s">
        <v>1181</v>
      </c>
      <c r="C529" s="42" t="s">
        <v>1182</v>
      </c>
      <c r="D529" s="44" t="s">
        <v>1183</v>
      </c>
      <c r="E529" s="42" t="s">
        <v>328</v>
      </c>
      <c r="F529" s="42" t="s">
        <v>4199</v>
      </c>
      <c r="G529" s="44" t="s">
        <v>4200</v>
      </c>
      <c r="H529" s="41" t="s">
        <v>3272</v>
      </c>
      <c r="I529" s="42" t="s">
        <v>3273</v>
      </c>
      <c r="J529" s="41"/>
    </row>
    <row r="530" customFormat="false" ht="41.75" hidden="false" customHeight="false" outlineLevel="0" collapsed="false">
      <c r="A530" s="41" t="s">
        <v>197</v>
      </c>
      <c r="B530" s="41" t="s">
        <v>525</v>
      </c>
      <c r="C530" s="42" t="s">
        <v>526</v>
      </c>
      <c r="D530" s="44" t="s">
        <v>528</v>
      </c>
      <c r="E530" s="42" t="s">
        <v>335</v>
      </c>
      <c r="F530" s="42" t="s">
        <v>4223</v>
      </c>
      <c r="G530" s="44" t="s">
        <v>3135</v>
      </c>
      <c r="H530" s="41" t="s">
        <v>3219</v>
      </c>
      <c r="I530" s="42" t="s">
        <v>4224</v>
      </c>
      <c r="J530" s="41"/>
    </row>
    <row r="531" customFormat="false" ht="28.35" hidden="false" customHeight="false" outlineLevel="0" collapsed="false">
      <c r="A531" s="41" t="s">
        <v>197</v>
      </c>
      <c r="B531" s="41" t="s">
        <v>635</v>
      </c>
      <c r="C531" s="42" t="s">
        <v>636</v>
      </c>
      <c r="D531" s="44" t="s">
        <v>637</v>
      </c>
      <c r="E531" s="42" t="s">
        <v>3239</v>
      </c>
      <c r="F531" s="42" t="s">
        <v>4225</v>
      </c>
      <c r="G531" s="44" t="s">
        <v>4226</v>
      </c>
      <c r="H531" s="41" t="s">
        <v>3242</v>
      </c>
      <c r="I531" s="42" t="s">
        <v>3243</v>
      </c>
      <c r="J531" s="41"/>
    </row>
    <row r="532" customFormat="false" ht="68.65" hidden="false" customHeight="false" outlineLevel="0" collapsed="false">
      <c r="A532" s="41" t="s">
        <v>197</v>
      </c>
      <c r="B532" s="41" t="s">
        <v>635</v>
      </c>
      <c r="C532" s="42" t="s">
        <v>636</v>
      </c>
      <c r="D532" s="44" t="s">
        <v>637</v>
      </c>
      <c r="E532" s="42" t="s">
        <v>881</v>
      </c>
      <c r="F532" s="42" t="s">
        <v>4207</v>
      </c>
      <c r="G532" s="44" t="s">
        <v>4227</v>
      </c>
      <c r="H532" s="41" t="s">
        <v>3472</v>
      </c>
      <c r="I532" s="42" t="s">
        <v>4228</v>
      </c>
      <c r="J532" s="44" t="s">
        <v>3135</v>
      </c>
    </row>
    <row r="533" customFormat="false" ht="202.95" hidden="false" customHeight="false" outlineLevel="0" collapsed="false">
      <c r="A533" s="41" t="s">
        <v>197</v>
      </c>
      <c r="B533" s="41" t="s">
        <v>635</v>
      </c>
      <c r="C533" s="42" t="s">
        <v>636</v>
      </c>
      <c r="D533" s="44" t="s">
        <v>637</v>
      </c>
      <c r="E533" s="42" t="s">
        <v>994</v>
      </c>
      <c r="F533" s="42" t="s">
        <v>4207</v>
      </c>
      <c r="G533" s="44" t="s">
        <v>4227</v>
      </c>
      <c r="H533" s="41" t="s">
        <v>3472</v>
      </c>
      <c r="I533" s="42" t="s">
        <v>4229</v>
      </c>
      <c r="J533" s="44" t="s">
        <v>3135</v>
      </c>
    </row>
    <row r="534" customFormat="false" ht="41.75" hidden="false" customHeight="false" outlineLevel="0" collapsed="false">
      <c r="A534" s="41" t="s">
        <v>198</v>
      </c>
      <c r="B534" s="41" t="s">
        <v>322</v>
      </c>
      <c r="C534" s="42" t="s">
        <v>323</v>
      </c>
      <c r="D534" s="44" t="s">
        <v>325</v>
      </c>
      <c r="E534" s="42" t="s">
        <v>583</v>
      </c>
      <c r="F534" s="42" t="s">
        <v>4230</v>
      </c>
      <c r="G534" s="44" t="s">
        <v>4231</v>
      </c>
      <c r="H534" s="41" t="s">
        <v>3411</v>
      </c>
      <c r="I534" s="42" t="s">
        <v>3412</v>
      </c>
      <c r="J534" s="41"/>
    </row>
    <row r="535" customFormat="false" ht="28.35" hidden="false" customHeight="false" outlineLevel="0" collapsed="false">
      <c r="A535" s="41" t="s">
        <v>198</v>
      </c>
      <c r="B535" s="41" t="s">
        <v>329</v>
      </c>
      <c r="C535" s="42" t="s">
        <v>330</v>
      </c>
      <c r="D535" s="44" t="s">
        <v>332</v>
      </c>
      <c r="E535" s="42" t="s">
        <v>583</v>
      </c>
      <c r="F535" s="42" t="s">
        <v>4232</v>
      </c>
      <c r="G535" s="44" t="s">
        <v>4233</v>
      </c>
      <c r="H535" s="41" t="s">
        <v>3411</v>
      </c>
      <c r="I535" s="42" t="s">
        <v>3412</v>
      </c>
      <c r="J535" s="41"/>
    </row>
    <row r="536" customFormat="false" ht="28.35" hidden="false" customHeight="false" outlineLevel="0" collapsed="false">
      <c r="A536" s="41" t="s">
        <v>198</v>
      </c>
      <c r="B536" s="41" t="s">
        <v>601</v>
      </c>
      <c r="C536" s="42" t="s">
        <v>602</v>
      </c>
      <c r="D536" s="44" t="s">
        <v>603</v>
      </c>
      <c r="E536" s="42" t="s">
        <v>328</v>
      </c>
      <c r="F536" s="42" t="s">
        <v>4234</v>
      </c>
      <c r="G536" s="44" t="s">
        <v>2532</v>
      </c>
      <c r="H536" s="41" t="s">
        <v>3418</v>
      </c>
      <c r="I536" s="42" t="s">
        <v>3419</v>
      </c>
      <c r="J536" s="41"/>
    </row>
    <row r="537" customFormat="false" ht="41.75" hidden="false" customHeight="false" outlineLevel="0" collapsed="false">
      <c r="A537" s="41" t="s">
        <v>198</v>
      </c>
      <c r="B537" s="41" t="s">
        <v>451</v>
      </c>
      <c r="C537" s="42" t="s">
        <v>452</v>
      </c>
      <c r="D537" s="44" t="s">
        <v>454</v>
      </c>
      <c r="E537" s="42" t="s">
        <v>3239</v>
      </c>
      <c r="F537" s="42" t="s">
        <v>4235</v>
      </c>
      <c r="G537" s="44" t="s">
        <v>2515</v>
      </c>
      <c r="H537" s="41" t="s">
        <v>3351</v>
      </c>
      <c r="I537" s="42" t="s">
        <v>3352</v>
      </c>
      <c r="J537" s="41"/>
    </row>
    <row r="538" customFormat="false" ht="41.75" hidden="false" customHeight="false" outlineLevel="0" collapsed="false">
      <c r="A538" s="41" t="s">
        <v>198</v>
      </c>
      <c r="B538" s="41" t="s">
        <v>451</v>
      </c>
      <c r="C538" s="42" t="s">
        <v>452</v>
      </c>
      <c r="D538" s="44" t="s">
        <v>454</v>
      </c>
      <c r="E538" s="42" t="s">
        <v>881</v>
      </c>
      <c r="F538" s="42" t="s">
        <v>4236</v>
      </c>
      <c r="G538" s="44" t="s">
        <v>3135</v>
      </c>
      <c r="H538" s="41" t="s">
        <v>3219</v>
      </c>
      <c r="I538" s="42" t="s">
        <v>4237</v>
      </c>
      <c r="J538" s="41"/>
    </row>
    <row r="539" customFormat="false" ht="41.75" hidden="false" customHeight="false" outlineLevel="0" collapsed="false">
      <c r="A539" s="41" t="s">
        <v>198</v>
      </c>
      <c r="B539" s="41" t="s">
        <v>1293</v>
      </c>
      <c r="C539" s="42" t="s">
        <v>1294</v>
      </c>
      <c r="D539" s="44" t="s">
        <v>1295</v>
      </c>
      <c r="E539" s="42" t="s">
        <v>583</v>
      </c>
      <c r="F539" s="42" t="s">
        <v>4238</v>
      </c>
      <c r="G539" s="44" t="s">
        <v>4239</v>
      </c>
      <c r="H539" s="41" t="s">
        <v>3411</v>
      </c>
      <c r="I539" s="42" t="s">
        <v>3412</v>
      </c>
      <c r="J539" s="41"/>
    </row>
    <row r="540" customFormat="false" ht="41.75" hidden="false" customHeight="false" outlineLevel="0" collapsed="false">
      <c r="A540" s="41" t="s">
        <v>199</v>
      </c>
      <c r="B540" s="41" t="s">
        <v>1298</v>
      </c>
      <c r="C540" s="42" t="s">
        <v>1299</v>
      </c>
      <c r="D540" s="44" t="s">
        <v>1300</v>
      </c>
      <c r="E540" s="42" t="s">
        <v>3239</v>
      </c>
      <c r="F540" s="42" t="s">
        <v>4240</v>
      </c>
      <c r="G540" s="44" t="s">
        <v>4241</v>
      </c>
      <c r="H540" s="41" t="s">
        <v>3242</v>
      </c>
      <c r="I540" s="42" t="s">
        <v>3243</v>
      </c>
      <c r="J540" s="41"/>
    </row>
    <row r="541" customFormat="false" ht="41.75" hidden="false" customHeight="false" outlineLevel="0" collapsed="false">
      <c r="A541" s="41" t="s">
        <v>199</v>
      </c>
      <c r="B541" s="41" t="s">
        <v>1298</v>
      </c>
      <c r="C541" s="42" t="s">
        <v>1299</v>
      </c>
      <c r="D541" s="44" t="s">
        <v>1300</v>
      </c>
      <c r="E541" s="42" t="s">
        <v>583</v>
      </c>
      <c r="F541" s="42" t="s">
        <v>4242</v>
      </c>
      <c r="G541" s="44" t="s">
        <v>4243</v>
      </c>
      <c r="H541" s="41" t="s">
        <v>3252</v>
      </c>
      <c r="I541" s="42" t="s">
        <v>3253</v>
      </c>
      <c r="J541" s="41"/>
    </row>
    <row r="542" customFormat="false" ht="41.75" hidden="false" customHeight="false" outlineLevel="0" collapsed="false">
      <c r="A542" s="41" t="s">
        <v>199</v>
      </c>
      <c r="B542" s="41" t="s">
        <v>305</v>
      </c>
      <c r="C542" s="42" t="s">
        <v>306</v>
      </c>
      <c r="D542" s="44" t="s">
        <v>308</v>
      </c>
      <c r="E542" s="42" t="s">
        <v>3239</v>
      </c>
      <c r="F542" s="42" t="s">
        <v>4244</v>
      </c>
      <c r="G542" s="44" t="s">
        <v>4245</v>
      </c>
      <c r="H542" s="41" t="s">
        <v>3242</v>
      </c>
      <c r="I542" s="42" t="s">
        <v>3243</v>
      </c>
      <c r="J542" s="41"/>
    </row>
    <row r="543" customFormat="false" ht="68.65" hidden="false" customHeight="false" outlineLevel="0" collapsed="false">
      <c r="A543" s="41" t="s">
        <v>199</v>
      </c>
      <c r="B543" s="41" t="s">
        <v>305</v>
      </c>
      <c r="C543" s="42" t="s">
        <v>306</v>
      </c>
      <c r="D543" s="44" t="s">
        <v>308</v>
      </c>
      <c r="E543" s="42" t="s">
        <v>881</v>
      </c>
      <c r="F543" s="42" t="s">
        <v>4246</v>
      </c>
      <c r="G543" s="44" t="s">
        <v>4247</v>
      </c>
      <c r="H543" s="41" t="s">
        <v>3472</v>
      </c>
      <c r="I543" s="42" t="s">
        <v>4248</v>
      </c>
      <c r="J543" s="44" t="s">
        <v>3135</v>
      </c>
    </row>
    <row r="544" customFormat="false" ht="28.35" hidden="false" customHeight="false" outlineLevel="0" collapsed="false">
      <c r="A544" s="41" t="s">
        <v>199</v>
      </c>
      <c r="B544" s="41" t="s">
        <v>305</v>
      </c>
      <c r="C544" s="42" t="s">
        <v>306</v>
      </c>
      <c r="D544" s="44" t="s">
        <v>308</v>
      </c>
      <c r="E544" s="42" t="s">
        <v>433</v>
      </c>
      <c r="F544" s="42" t="s">
        <v>4249</v>
      </c>
      <c r="G544" s="44" t="s">
        <v>4250</v>
      </c>
      <c r="H544" s="41" t="s">
        <v>3563</v>
      </c>
      <c r="I544" s="42" t="s">
        <v>3564</v>
      </c>
      <c r="J544" s="41"/>
    </row>
    <row r="545" customFormat="false" ht="202.95" hidden="false" customHeight="false" outlineLevel="0" collapsed="false">
      <c r="A545" s="41" t="s">
        <v>199</v>
      </c>
      <c r="B545" s="41" t="s">
        <v>305</v>
      </c>
      <c r="C545" s="42" t="s">
        <v>306</v>
      </c>
      <c r="D545" s="44" t="s">
        <v>308</v>
      </c>
      <c r="E545" s="42" t="s">
        <v>994</v>
      </c>
      <c r="F545" s="42" t="s">
        <v>4246</v>
      </c>
      <c r="G545" s="44" t="s">
        <v>4247</v>
      </c>
      <c r="H545" s="41" t="s">
        <v>3472</v>
      </c>
      <c r="I545" s="42" t="s">
        <v>4251</v>
      </c>
      <c r="J545" s="44" t="s">
        <v>3135</v>
      </c>
    </row>
    <row r="546" customFormat="false" ht="28.35" hidden="false" customHeight="false" outlineLevel="0" collapsed="false">
      <c r="A546" s="41" t="s">
        <v>199</v>
      </c>
      <c r="B546" s="41" t="s">
        <v>305</v>
      </c>
      <c r="C546" s="42" t="s">
        <v>306</v>
      </c>
      <c r="D546" s="44" t="s">
        <v>308</v>
      </c>
      <c r="E546" s="42" t="s">
        <v>328</v>
      </c>
      <c r="F546" s="42" t="s">
        <v>4252</v>
      </c>
      <c r="G546" s="44" t="s">
        <v>4253</v>
      </c>
      <c r="H546" s="41" t="s">
        <v>3272</v>
      </c>
      <c r="I546" s="42" t="s">
        <v>3273</v>
      </c>
      <c r="J546" s="41"/>
    </row>
    <row r="547" customFormat="false" ht="28.35" hidden="false" customHeight="false" outlineLevel="0" collapsed="false">
      <c r="A547" s="41" t="s">
        <v>199</v>
      </c>
      <c r="B547" s="41" t="s">
        <v>1308</v>
      </c>
      <c r="C547" s="42" t="s">
        <v>1309</v>
      </c>
      <c r="D547" s="44" t="s">
        <v>1310</v>
      </c>
      <c r="E547" s="42" t="s">
        <v>247</v>
      </c>
      <c r="F547" s="42" t="s">
        <v>4254</v>
      </c>
      <c r="G547" s="44" t="s">
        <v>2780</v>
      </c>
      <c r="H547" s="41" t="s">
        <v>3215</v>
      </c>
      <c r="I547" s="42" t="s">
        <v>3216</v>
      </c>
      <c r="J547" s="41"/>
    </row>
    <row r="548" customFormat="false" ht="28.35" hidden="false" customHeight="false" outlineLevel="0" collapsed="false">
      <c r="A548" s="41" t="s">
        <v>199</v>
      </c>
      <c r="B548" s="41" t="s">
        <v>362</v>
      </c>
      <c r="C548" s="42" t="s">
        <v>363</v>
      </c>
      <c r="D548" s="44" t="s">
        <v>365</v>
      </c>
      <c r="E548" s="42" t="s">
        <v>247</v>
      </c>
      <c r="F548" s="42" t="s">
        <v>4255</v>
      </c>
      <c r="G548" s="44" t="s">
        <v>4256</v>
      </c>
      <c r="H548" s="41" t="s">
        <v>3215</v>
      </c>
      <c r="I548" s="42" t="s">
        <v>3216</v>
      </c>
      <c r="J548" s="41"/>
    </row>
    <row r="549" customFormat="false" ht="41.75" hidden="false" customHeight="false" outlineLevel="0" collapsed="false">
      <c r="A549" s="41" t="s">
        <v>199</v>
      </c>
      <c r="B549" s="41" t="s">
        <v>362</v>
      </c>
      <c r="C549" s="42" t="s">
        <v>363</v>
      </c>
      <c r="D549" s="44" t="s">
        <v>365</v>
      </c>
      <c r="E549" s="42" t="s">
        <v>881</v>
      </c>
      <c r="F549" s="42" t="s">
        <v>4246</v>
      </c>
      <c r="G549" s="44" t="s">
        <v>3135</v>
      </c>
      <c r="H549" s="41" t="s">
        <v>3219</v>
      </c>
      <c r="I549" s="42" t="s">
        <v>4257</v>
      </c>
      <c r="J549" s="41"/>
    </row>
    <row r="550" customFormat="false" ht="41.75" hidden="false" customHeight="false" outlineLevel="0" collapsed="false">
      <c r="A550" s="41" t="s">
        <v>199</v>
      </c>
      <c r="B550" s="41" t="s">
        <v>774</v>
      </c>
      <c r="C550" s="42" t="s">
        <v>775</v>
      </c>
      <c r="D550" s="44" t="s">
        <v>777</v>
      </c>
      <c r="E550" s="42" t="s">
        <v>881</v>
      </c>
      <c r="F550" s="42" t="s">
        <v>4258</v>
      </c>
      <c r="G550" s="44" t="s">
        <v>3135</v>
      </c>
      <c r="H550" s="41" t="s">
        <v>3219</v>
      </c>
      <c r="I550" s="42" t="s">
        <v>4259</v>
      </c>
      <c r="J550" s="41"/>
    </row>
    <row r="551" customFormat="false" ht="55.2" hidden="false" customHeight="false" outlineLevel="0" collapsed="false">
      <c r="A551" s="41" t="s">
        <v>199</v>
      </c>
      <c r="B551" s="41" t="s">
        <v>774</v>
      </c>
      <c r="C551" s="42" t="s">
        <v>775</v>
      </c>
      <c r="D551" s="44" t="s">
        <v>777</v>
      </c>
      <c r="E551" s="42" t="s">
        <v>4260</v>
      </c>
      <c r="F551" s="42" t="s">
        <v>4258</v>
      </c>
      <c r="G551" s="44" t="s">
        <v>4261</v>
      </c>
      <c r="H551" s="41" t="s">
        <v>3248</v>
      </c>
      <c r="I551" s="42" t="s">
        <v>4262</v>
      </c>
      <c r="J551" s="44" t="s">
        <v>3135</v>
      </c>
    </row>
    <row r="552" customFormat="false" ht="41.75" hidden="false" customHeight="false" outlineLevel="0" collapsed="false">
      <c r="A552" s="41" t="s">
        <v>199</v>
      </c>
      <c r="B552" s="41" t="s">
        <v>774</v>
      </c>
      <c r="C552" s="42" t="s">
        <v>775</v>
      </c>
      <c r="D552" s="44" t="s">
        <v>777</v>
      </c>
      <c r="E552" s="42" t="s">
        <v>583</v>
      </c>
      <c r="F552" s="42" t="s">
        <v>4263</v>
      </c>
      <c r="G552" s="44" t="s">
        <v>4264</v>
      </c>
      <c r="H552" s="41" t="s">
        <v>3411</v>
      </c>
      <c r="I552" s="42" t="s">
        <v>3412</v>
      </c>
      <c r="J552" s="41"/>
    </row>
    <row r="553" customFormat="false" ht="41.75" hidden="false" customHeight="false" outlineLevel="0" collapsed="false">
      <c r="A553" s="41" t="s">
        <v>199</v>
      </c>
      <c r="B553" s="41" t="s">
        <v>262</v>
      </c>
      <c r="C553" s="42" t="s">
        <v>263</v>
      </c>
      <c r="D553" s="44" t="s">
        <v>264</v>
      </c>
      <c r="E553" s="42" t="s">
        <v>3239</v>
      </c>
      <c r="F553" s="42" t="s">
        <v>4265</v>
      </c>
      <c r="G553" s="44" t="s">
        <v>4266</v>
      </c>
      <c r="H553" s="41" t="s">
        <v>3242</v>
      </c>
      <c r="I553" s="42" t="s">
        <v>3243</v>
      </c>
      <c r="J553" s="41"/>
    </row>
    <row r="554" customFormat="false" ht="41.75" hidden="false" customHeight="false" outlineLevel="0" collapsed="false">
      <c r="A554" s="41" t="s">
        <v>199</v>
      </c>
      <c r="B554" s="41" t="s">
        <v>262</v>
      </c>
      <c r="C554" s="42" t="s">
        <v>263</v>
      </c>
      <c r="D554" s="44" t="s">
        <v>264</v>
      </c>
      <c r="E554" s="42" t="s">
        <v>881</v>
      </c>
      <c r="F554" s="42" t="s">
        <v>4246</v>
      </c>
      <c r="G554" s="44" t="s">
        <v>3135</v>
      </c>
      <c r="H554" s="41" t="s">
        <v>3219</v>
      </c>
      <c r="I554" s="42" t="s">
        <v>4267</v>
      </c>
      <c r="J554" s="41"/>
    </row>
    <row r="555" customFormat="false" ht="41.75" hidden="false" customHeight="false" outlineLevel="0" collapsed="false">
      <c r="A555" s="41" t="s">
        <v>199</v>
      </c>
      <c r="B555" s="41" t="s">
        <v>262</v>
      </c>
      <c r="C555" s="42" t="s">
        <v>263</v>
      </c>
      <c r="D555" s="44" t="s">
        <v>264</v>
      </c>
      <c r="E555" s="42" t="s">
        <v>4268</v>
      </c>
      <c r="F555" s="42" t="s">
        <v>4246</v>
      </c>
      <c r="G555" s="44" t="s">
        <v>3135</v>
      </c>
      <c r="H555" s="41" t="s">
        <v>3219</v>
      </c>
      <c r="I555" s="42" t="s">
        <v>4269</v>
      </c>
      <c r="J555" s="41"/>
    </row>
    <row r="556" customFormat="false" ht="41.75" hidden="false" customHeight="false" outlineLevel="0" collapsed="false">
      <c r="A556" s="41" t="s">
        <v>199</v>
      </c>
      <c r="B556" s="41" t="s">
        <v>444</v>
      </c>
      <c r="C556" s="42" t="s">
        <v>445</v>
      </c>
      <c r="D556" s="44" t="s">
        <v>447</v>
      </c>
      <c r="E556" s="42" t="s">
        <v>881</v>
      </c>
      <c r="F556" s="42" t="s">
        <v>4246</v>
      </c>
      <c r="G556" s="44" t="s">
        <v>3135</v>
      </c>
      <c r="H556" s="41" t="s">
        <v>3219</v>
      </c>
      <c r="I556" s="42" t="s">
        <v>4270</v>
      </c>
      <c r="J556" s="41"/>
    </row>
    <row r="557" customFormat="false" ht="28.35" hidden="false" customHeight="false" outlineLevel="0" collapsed="false">
      <c r="A557" s="41" t="s">
        <v>199</v>
      </c>
      <c r="B557" s="41" t="s">
        <v>444</v>
      </c>
      <c r="C557" s="42" t="s">
        <v>445</v>
      </c>
      <c r="D557" s="44" t="s">
        <v>447</v>
      </c>
      <c r="E557" s="42" t="s">
        <v>433</v>
      </c>
      <c r="F557" s="42" t="s">
        <v>4271</v>
      </c>
      <c r="G557" s="44" t="s">
        <v>4272</v>
      </c>
      <c r="H557" s="41" t="s">
        <v>3233</v>
      </c>
      <c r="I557" s="42" t="s">
        <v>3234</v>
      </c>
      <c r="J557" s="41"/>
    </row>
    <row r="558" customFormat="false" ht="55.2" hidden="false" customHeight="false" outlineLevel="0" collapsed="false">
      <c r="A558" s="41" t="s">
        <v>199</v>
      </c>
      <c r="B558" s="41" t="s">
        <v>444</v>
      </c>
      <c r="C558" s="42" t="s">
        <v>445</v>
      </c>
      <c r="D558" s="44" t="s">
        <v>447</v>
      </c>
      <c r="E558" s="42" t="s">
        <v>4273</v>
      </c>
      <c r="F558" s="42" t="s">
        <v>4246</v>
      </c>
      <c r="G558" s="44" t="s">
        <v>4274</v>
      </c>
      <c r="H558" s="41" t="s">
        <v>3248</v>
      </c>
      <c r="I558" s="42" t="s">
        <v>4275</v>
      </c>
      <c r="J558" s="44" t="s">
        <v>3135</v>
      </c>
    </row>
    <row r="559" customFormat="false" ht="28.35" hidden="false" customHeight="false" outlineLevel="0" collapsed="false">
      <c r="A559" s="41" t="s">
        <v>199</v>
      </c>
      <c r="B559" s="41" t="s">
        <v>451</v>
      </c>
      <c r="C559" s="42" t="s">
        <v>452</v>
      </c>
      <c r="D559" s="44" t="s">
        <v>454</v>
      </c>
      <c r="E559" s="42" t="s">
        <v>3239</v>
      </c>
      <c r="F559" s="42" t="s">
        <v>4276</v>
      </c>
      <c r="G559" s="44" t="s">
        <v>2515</v>
      </c>
      <c r="H559" s="41" t="s">
        <v>3351</v>
      </c>
      <c r="I559" s="42" t="s">
        <v>3352</v>
      </c>
      <c r="J559" s="41"/>
    </row>
    <row r="560" customFormat="false" ht="55.2" hidden="false" customHeight="false" outlineLevel="0" collapsed="false">
      <c r="A560" s="41" t="s">
        <v>199</v>
      </c>
      <c r="B560" s="41" t="s">
        <v>451</v>
      </c>
      <c r="C560" s="42" t="s">
        <v>452</v>
      </c>
      <c r="D560" s="44" t="s">
        <v>454</v>
      </c>
      <c r="E560" s="42" t="s">
        <v>881</v>
      </c>
      <c r="F560" s="42" t="s">
        <v>4277</v>
      </c>
      <c r="G560" s="44" t="s">
        <v>3135</v>
      </c>
      <c r="H560" s="41" t="s">
        <v>3219</v>
      </c>
      <c r="I560" s="42" t="s">
        <v>4278</v>
      </c>
      <c r="J560" s="41"/>
    </row>
    <row r="561" customFormat="false" ht="28.35" hidden="false" customHeight="false" outlineLevel="0" collapsed="false">
      <c r="A561" s="41" t="s">
        <v>199</v>
      </c>
      <c r="B561" s="41" t="s">
        <v>451</v>
      </c>
      <c r="C561" s="42" t="s">
        <v>452</v>
      </c>
      <c r="D561" s="44" t="s">
        <v>454</v>
      </c>
      <c r="E561" s="42" t="s">
        <v>433</v>
      </c>
      <c r="F561" s="42" t="s">
        <v>4279</v>
      </c>
      <c r="G561" s="44" t="s">
        <v>4280</v>
      </c>
      <c r="H561" s="41" t="s">
        <v>3233</v>
      </c>
      <c r="I561" s="42" t="s">
        <v>3234</v>
      </c>
      <c r="J561" s="41"/>
    </row>
    <row r="562" customFormat="false" ht="82.05" hidden="false" customHeight="false" outlineLevel="0" collapsed="false">
      <c r="A562" s="41" t="s">
        <v>199</v>
      </c>
      <c r="B562" s="41" t="s">
        <v>451</v>
      </c>
      <c r="C562" s="42" t="s">
        <v>452</v>
      </c>
      <c r="D562" s="44" t="s">
        <v>454</v>
      </c>
      <c r="E562" s="42" t="s">
        <v>4281</v>
      </c>
      <c r="F562" s="42" t="s">
        <v>4277</v>
      </c>
      <c r="G562" s="44" t="s">
        <v>3135</v>
      </c>
      <c r="H562" s="41" t="s">
        <v>3219</v>
      </c>
      <c r="I562" s="42" t="s">
        <v>4282</v>
      </c>
      <c r="J562" s="41"/>
    </row>
    <row r="563" customFormat="false" ht="41.75" hidden="false" customHeight="false" outlineLevel="0" collapsed="false">
      <c r="A563" s="41" t="s">
        <v>199</v>
      </c>
      <c r="B563" s="41" t="s">
        <v>451</v>
      </c>
      <c r="C563" s="42" t="s">
        <v>452</v>
      </c>
      <c r="D563" s="44" t="s">
        <v>454</v>
      </c>
      <c r="E563" s="42" t="s">
        <v>583</v>
      </c>
      <c r="F563" s="42" t="s">
        <v>4283</v>
      </c>
      <c r="G563" s="44" t="s">
        <v>4284</v>
      </c>
      <c r="H563" s="41" t="s">
        <v>3252</v>
      </c>
      <c r="I563" s="42" t="s">
        <v>3253</v>
      </c>
      <c r="J563" s="41"/>
    </row>
    <row r="564" customFormat="false" ht="28.35" hidden="false" customHeight="false" outlineLevel="0" collapsed="false">
      <c r="A564" s="41" t="s">
        <v>199</v>
      </c>
      <c r="B564" s="41" t="s">
        <v>451</v>
      </c>
      <c r="C564" s="42" t="s">
        <v>452</v>
      </c>
      <c r="D564" s="44" t="s">
        <v>454</v>
      </c>
      <c r="E564" s="42" t="s">
        <v>328</v>
      </c>
      <c r="F564" s="42" t="s">
        <v>4285</v>
      </c>
      <c r="G564" s="44" t="s">
        <v>4286</v>
      </c>
      <c r="H564" s="41" t="s">
        <v>3272</v>
      </c>
      <c r="I564" s="42" t="s">
        <v>3273</v>
      </c>
      <c r="J564" s="41"/>
    </row>
    <row r="565" customFormat="false" ht="41.75" hidden="false" customHeight="false" outlineLevel="0" collapsed="false">
      <c r="A565" s="41" t="s">
        <v>199</v>
      </c>
      <c r="B565" s="41" t="s">
        <v>1329</v>
      </c>
      <c r="C565" s="42" t="s">
        <v>1330</v>
      </c>
      <c r="D565" s="44" t="s">
        <v>1331</v>
      </c>
      <c r="E565" s="42" t="s">
        <v>881</v>
      </c>
      <c r="F565" s="42" t="s">
        <v>4258</v>
      </c>
      <c r="G565" s="44" t="s">
        <v>3135</v>
      </c>
      <c r="H565" s="41" t="s">
        <v>3219</v>
      </c>
      <c r="I565" s="42" t="s">
        <v>4287</v>
      </c>
      <c r="J565" s="41"/>
    </row>
    <row r="566" customFormat="false" ht="41.75" hidden="false" customHeight="false" outlineLevel="0" collapsed="false">
      <c r="A566" s="41" t="s">
        <v>199</v>
      </c>
      <c r="B566" s="41" t="s">
        <v>1329</v>
      </c>
      <c r="C566" s="42" t="s">
        <v>1330</v>
      </c>
      <c r="D566" s="44" t="s">
        <v>1331</v>
      </c>
      <c r="E566" s="42" t="s">
        <v>4288</v>
      </c>
      <c r="F566" s="42" t="s">
        <v>4258</v>
      </c>
      <c r="G566" s="44" t="s">
        <v>3135</v>
      </c>
      <c r="H566" s="41" t="s">
        <v>3219</v>
      </c>
      <c r="I566" s="42" t="s">
        <v>4289</v>
      </c>
      <c r="J566" s="41"/>
    </row>
    <row r="567" customFormat="false" ht="41.75" hidden="false" customHeight="false" outlineLevel="0" collapsed="false">
      <c r="A567" s="41" t="s">
        <v>199</v>
      </c>
      <c r="B567" s="41" t="s">
        <v>1329</v>
      </c>
      <c r="C567" s="42" t="s">
        <v>1330</v>
      </c>
      <c r="D567" s="44" t="s">
        <v>1331</v>
      </c>
      <c r="E567" s="42" t="s">
        <v>583</v>
      </c>
      <c r="F567" s="42" t="s">
        <v>4290</v>
      </c>
      <c r="G567" s="44" t="s">
        <v>4291</v>
      </c>
      <c r="H567" s="41" t="s">
        <v>3252</v>
      </c>
      <c r="I567" s="42" t="s">
        <v>3253</v>
      </c>
      <c r="J567" s="41"/>
    </row>
    <row r="568" customFormat="false" ht="41.75" hidden="false" customHeight="false" outlineLevel="0" collapsed="false">
      <c r="A568" s="41" t="s">
        <v>199</v>
      </c>
      <c r="B568" s="41" t="s">
        <v>503</v>
      </c>
      <c r="C568" s="42" t="s">
        <v>504</v>
      </c>
      <c r="D568" s="44" t="s">
        <v>506</v>
      </c>
      <c r="E568" s="42" t="s">
        <v>3239</v>
      </c>
      <c r="F568" s="42" t="s">
        <v>4292</v>
      </c>
      <c r="G568" s="44" t="s">
        <v>2556</v>
      </c>
      <c r="H568" s="41" t="s">
        <v>3351</v>
      </c>
      <c r="I568" s="42" t="s">
        <v>3352</v>
      </c>
      <c r="J568" s="41"/>
    </row>
    <row r="569" customFormat="false" ht="41.75" hidden="false" customHeight="false" outlineLevel="0" collapsed="false">
      <c r="A569" s="41" t="s">
        <v>199</v>
      </c>
      <c r="B569" s="41" t="s">
        <v>503</v>
      </c>
      <c r="C569" s="42" t="s">
        <v>504</v>
      </c>
      <c r="D569" s="44" t="s">
        <v>506</v>
      </c>
      <c r="E569" s="42" t="s">
        <v>881</v>
      </c>
      <c r="F569" s="42" t="s">
        <v>4293</v>
      </c>
      <c r="G569" s="44" t="s">
        <v>3135</v>
      </c>
      <c r="H569" s="41" t="s">
        <v>3219</v>
      </c>
      <c r="I569" s="42" t="s">
        <v>4294</v>
      </c>
      <c r="J569" s="41"/>
    </row>
    <row r="570" customFormat="false" ht="82.05" hidden="false" customHeight="false" outlineLevel="0" collapsed="false">
      <c r="A570" s="41" t="s">
        <v>199</v>
      </c>
      <c r="B570" s="41" t="s">
        <v>503</v>
      </c>
      <c r="C570" s="42" t="s">
        <v>504</v>
      </c>
      <c r="D570" s="44" t="s">
        <v>506</v>
      </c>
      <c r="E570" s="42" t="s">
        <v>4295</v>
      </c>
      <c r="F570" s="42" t="s">
        <v>4293</v>
      </c>
      <c r="G570" s="44" t="s">
        <v>4296</v>
      </c>
      <c r="H570" s="41" t="s">
        <v>3248</v>
      </c>
      <c r="I570" s="42" t="s">
        <v>4297</v>
      </c>
      <c r="J570" s="44" t="s">
        <v>3135</v>
      </c>
    </row>
    <row r="571" customFormat="false" ht="41.75" hidden="false" customHeight="false" outlineLevel="0" collapsed="false">
      <c r="A571" s="41" t="s">
        <v>199</v>
      </c>
      <c r="B571" s="41" t="s">
        <v>1090</v>
      </c>
      <c r="C571" s="42" t="s">
        <v>1091</v>
      </c>
      <c r="D571" s="44" t="s">
        <v>1093</v>
      </c>
      <c r="E571" s="42" t="s">
        <v>1340</v>
      </c>
      <c r="F571" s="42" t="s">
        <v>4258</v>
      </c>
      <c r="G571" s="44" t="s">
        <v>3135</v>
      </c>
      <c r="H571" s="41" t="s">
        <v>3219</v>
      </c>
      <c r="I571" s="42" t="s">
        <v>4298</v>
      </c>
      <c r="J571" s="41"/>
    </row>
    <row r="572" customFormat="false" ht="28.35" hidden="false" customHeight="false" outlineLevel="0" collapsed="false">
      <c r="A572" s="41" t="s">
        <v>199</v>
      </c>
      <c r="B572" s="41" t="s">
        <v>635</v>
      </c>
      <c r="C572" s="42" t="s">
        <v>636</v>
      </c>
      <c r="D572" s="44" t="s">
        <v>637</v>
      </c>
      <c r="E572" s="42" t="s">
        <v>247</v>
      </c>
      <c r="F572" s="42" t="s">
        <v>4299</v>
      </c>
      <c r="G572" s="44" t="s">
        <v>4149</v>
      </c>
      <c r="H572" s="41" t="s">
        <v>3215</v>
      </c>
      <c r="I572" s="42" t="s">
        <v>3216</v>
      </c>
      <c r="J572" s="41"/>
    </row>
    <row r="573" customFormat="false" ht="28.35" hidden="false" customHeight="false" outlineLevel="0" collapsed="false">
      <c r="A573" s="41" t="s">
        <v>199</v>
      </c>
      <c r="B573" s="41" t="s">
        <v>635</v>
      </c>
      <c r="C573" s="42" t="s">
        <v>636</v>
      </c>
      <c r="D573" s="44" t="s">
        <v>637</v>
      </c>
      <c r="E573" s="42" t="s">
        <v>3239</v>
      </c>
      <c r="F573" s="42" t="s">
        <v>4300</v>
      </c>
      <c r="G573" s="44" t="s">
        <v>2539</v>
      </c>
      <c r="H573" s="41" t="s">
        <v>3351</v>
      </c>
      <c r="I573" s="42" t="s">
        <v>3352</v>
      </c>
      <c r="J573" s="41"/>
    </row>
    <row r="574" customFormat="false" ht="41.75" hidden="false" customHeight="false" outlineLevel="0" collapsed="false">
      <c r="A574" s="41" t="s">
        <v>199</v>
      </c>
      <c r="B574" s="41" t="s">
        <v>635</v>
      </c>
      <c r="C574" s="42" t="s">
        <v>636</v>
      </c>
      <c r="D574" s="44" t="s">
        <v>637</v>
      </c>
      <c r="E574" s="42" t="s">
        <v>881</v>
      </c>
      <c r="F574" s="42" t="s">
        <v>4301</v>
      </c>
      <c r="G574" s="44" t="s">
        <v>3135</v>
      </c>
      <c r="H574" s="41" t="s">
        <v>3219</v>
      </c>
      <c r="I574" s="42" t="s">
        <v>4302</v>
      </c>
      <c r="J574" s="41"/>
    </row>
    <row r="575" customFormat="false" ht="41.75" hidden="false" customHeight="false" outlineLevel="0" collapsed="false">
      <c r="A575" s="41" t="s">
        <v>199</v>
      </c>
      <c r="B575" s="41" t="s">
        <v>635</v>
      </c>
      <c r="C575" s="42" t="s">
        <v>636</v>
      </c>
      <c r="D575" s="44" t="s">
        <v>637</v>
      </c>
      <c r="E575" s="42" t="s">
        <v>4303</v>
      </c>
      <c r="F575" s="42" t="s">
        <v>4301</v>
      </c>
      <c r="G575" s="44" t="s">
        <v>3135</v>
      </c>
      <c r="H575" s="41" t="s">
        <v>3219</v>
      </c>
      <c r="I575" s="42" t="s">
        <v>4304</v>
      </c>
      <c r="J575" s="41"/>
    </row>
    <row r="576" customFormat="false" ht="28.35" hidden="false" customHeight="false" outlineLevel="0" collapsed="false">
      <c r="A576" s="41" t="s">
        <v>199</v>
      </c>
      <c r="B576" s="41" t="s">
        <v>635</v>
      </c>
      <c r="C576" s="42" t="s">
        <v>636</v>
      </c>
      <c r="D576" s="44" t="s">
        <v>637</v>
      </c>
      <c r="E576" s="42" t="s">
        <v>328</v>
      </c>
      <c r="F576" s="42" t="s">
        <v>4305</v>
      </c>
      <c r="G576" s="44" t="s">
        <v>4306</v>
      </c>
      <c r="H576" s="41" t="s">
        <v>3272</v>
      </c>
      <c r="I576" s="42" t="s">
        <v>3273</v>
      </c>
      <c r="J576" s="41"/>
    </row>
    <row r="577" customFormat="false" ht="41.75" hidden="false" customHeight="false" outlineLevel="0" collapsed="false">
      <c r="A577" s="41" t="s">
        <v>199</v>
      </c>
      <c r="B577" s="41" t="s">
        <v>641</v>
      </c>
      <c r="C577" s="42" t="s">
        <v>642</v>
      </c>
      <c r="D577" s="44" t="s">
        <v>643</v>
      </c>
      <c r="E577" s="42" t="s">
        <v>3239</v>
      </c>
      <c r="F577" s="42" t="s">
        <v>4307</v>
      </c>
      <c r="G577" s="44" t="s">
        <v>4308</v>
      </c>
      <c r="H577" s="41" t="s">
        <v>3242</v>
      </c>
      <c r="I577" s="42" t="s">
        <v>3243</v>
      </c>
      <c r="J577" s="41"/>
    </row>
    <row r="578" customFormat="false" ht="41.75" hidden="false" customHeight="false" outlineLevel="0" collapsed="false">
      <c r="A578" s="41" t="s">
        <v>199</v>
      </c>
      <c r="B578" s="41" t="s">
        <v>641</v>
      </c>
      <c r="C578" s="42" t="s">
        <v>642</v>
      </c>
      <c r="D578" s="44" t="s">
        <v>643</v>
      </c>
      <c r="E578" s="42" t="s">
        <v>881</v>
      </c>
      <c r="F578" s="42" t="s">
        <v>4309</v>
      </c>
      <c r="G578" s="44" t="s">
        <v>3135</v>
      </c>
      <c r="H578" s="41" t="s">
        <v>3219</v>
      </c>
      <c r="I578" s="42" t="s">
        <v>4310</v>
      </c>
      <c r="J578" s="41"/>
    </row>
    <row r="579" customFormat="false" ht="41.75" hidden="false" customHeight="false" outlineLevel="0" collapsed="false">
      <c r="A579" s="41" t="s">
        <v>199</v>
      </c>
      <c r="B579" s="41" t="s">
        <v>641</v>
      </c>
      <c r="C579" s="42" t="s">
        <v>642</v>
      </c>
      <c r="D579" s="44" t="s">
        <v>643</v>
      </c>
      <c r="E579" s="42" t="s">
        <v>4311</v>
      </c>
      <c r="F579" s="42" t="s">
        <v>4309</v>
      </c>
      <c r="G579" s="44" t="s">
        <v>3135</v>
      </c>
      <c r="H579" s="41" t="s">
        <v>3219</v>
      </c>
      <c r="I579" s="42" t="s">
        <v>4312</v>
      </c>
      <c r="J579" s="41"/>
    </row>
    <row r="580" customFormat="false" ht="41.75" hidden="false" customHeight="false" outlineLevel="0" collapsed="false">
      <c r="A580" s="41" t="s">
        <v>199</v>
      </c>
      <c r="B580" s="41" t="s">
        <v>1347</v>
      </c>
      <c r="C580" s="42" t="s">
        <v>1348</v>
      </c>
      <c r="D580" s="44" t="s">
        <v>1349</v>
      </c>
      <c r="E580" s="42" t="s">
        <v>3239</v>
      </c>
      <c r="F580" s="42" t="s">
        <v>4313</v>
      </c>
      <c r="G580" s="44" t="s">
        <v>3056</v>
      </c>
      <c r="H580" s="41" t="s">
        <v>3242</v>
      </c>
      <c r="I580" s="42" t="s">
        <v>3243</v>
      </c>
      <c r="J580" s="41"/>
    </row>
    <row r="581" customFormat="false" ht="41.75" hidden="false" customHeight="false" outlineLevel="0" collapsed="false">
      <c r="A581" s="41" t="s">
        <v>199</v>
      </c>
      <c r="B581" s="41" t="s">
        <v>1347</v>
      </c>
      <c r="C581" s="42" t="s">
        <v>1348</v>
      </c>
      <c r="D581" s="44" t="s">
        <v>1349</v>
      </c>
      <c r="E581" s="42" t="s">
        <v>881</v>
      </c>
      <c r="F581" s="42" t="s">
        <v>4258</v>
      </c>
      <c r="G581" s="44" t="s">
        <v>3135</v>
      </c>
      <c r="H581" s="41" t="s">
        <v>3219</v>
      </c>
      <c r="I581" s="42" t="s">
        <v>4314</v>
      </c>
      <c r="J581" s="41"/>
    </row>
    <row r="582" customFormat="false" ht="55.2" hidden="false" customHeight="false" outlineLevel="0" collapsed="false">
      <c r="A582" s="41" t="s">
        <v>199</v>
      </c>
      <c r="B582" s="41" t="s">
        <v>1347</v>
      </c>
      <c r="C582" s="42" t="s">
        <v>1348</v>
      </c>
      <c r="D582" s="44" t="s">
        <v>1349</v>
      </c>
      <c r="E582" s="42" t="s">
        <v>4315</v>
      </c>
      <c r="F582" s="42" t="s">
        <v>4258</v>
      </c>
      <c r="G582" s="44" t="s">
        <v>4316</v>
      </c>
      <c r="H582" s="41" t="s">
        <v>3248</v>
      </c>
      <c r="I582" s="42" t="s">
        <v>4317</v>
      </c>
      <c r="J582" s="44" t="s">
        <v>3135</v>
      </c>
    </row>
    <row r="583" customFormat="false" ht="28.35" hidden="false" customHeight="false" outlineLevel="0" collapsed="false">
      <c r="A583" s="41" t="s">
        <v>199</v>
      </c>
      <c r="B583" s="41" t="s">
        <v>542</v>
      </c>
      <c r="C583" s="42" t="s">
        <v>543</v>
      </c>
      <c r="D583" s="44" t="s">
        <v>544</v>
      </c>
      <c r="E583" s="42" t="s">
        <v>433</v>
      </c>
      <c r="F583" s="42" t="s">
        <v>4318</v>
      </c>
      <c r="G583" s="44" t="s">
        <v>4319</v>
      </c>
      <c r="H583" s="41" t="s">
        <v>3233</v>
      </c>
      <c r="I583" s="42" t="s">
        <v>3234</v>
      </c>
      <c r="J583" s="41"/>
    </row>
    <row r="584" customFormat="false" ht="28.35" hidden="false" customHeight="false" outlineLevel="0" collapsed="false">
      <c r="A584" s="41" t="s">
        <v>199</v>
      </c>
      <c r="B584" s="41" t="s">
        <v>646</v>
      </c>
      <c r="C584" s="42" t="s">
        <v>647</v>
      </c>
      <c r="D584" s="44" t="s">
        <v>648</v>
      </c>
      <c r="E584" s="42" t="s">
        <v>3239</v>
      </c>
      <c r="F584" s="42" t="s">
        <v>4320</v>
      </c>
      <c r="G584" s="44" t="s">
        <v>4321</v>
      </c>
      <c r="H584" s="41" t="s">
        <v>3242</v>
      </c>
      <c r="I584" s="42" t="s">
        <v>3243</v>
      </c>
      <c r="J584" s="41"/>
    </row>
    <row r="585" customFormat="false" ht="68.65" hidden="false" customHeight="false" outlineLevel="0" collapsed="false">
      <c r="A585" s="41" t="s">
        <v>199</v>
      </c>
      <c r="B585" s="41" t="s">
        <v>646</v>
      </c>
      <c r="C585" s="42" t="s">
        <v>647</v>
      </c>
      <c r="D585" s="44" t="s">
        <v>648</v>
      </c>
      <c r="E585" s="42" t="s">
        <v>4322</v>
      </c>
      <c r="F585" s="42" t="s">
        <v>4323</v>
      </c>
      <c r="G585" s="44" t="s">
        <v>4324</v>
      </c>
      <c r="H585" s="41" t="s">
        <v>3248</v>
      </c>
      <c r="I585" s="42" t="s">
        <v>4325</v>
      </c>
      <c r="J585" s="44" t="s">
        <v>3135</v>
      </c>
    </row>
    <row r="586" customFormat="false" ht="41.75" hidden="false" customHeight="false" outlineLevel="0" collapsed="false">
      <c r="A586" s="41" t="s">
        <v>199</v>
      </c>
      <c r="B586" s="41" t="s">
        <v>646</v>
      </c>
      <c r="C586" s="42" t="s">
        <v>647</v>
      </c>
      <c r="D586" s="44" t="s">
        <v>648</v>
      </c>
      <c r="E586" s="42" t="s">
        <v>583</v>
      </c>
      <c r="F586" s="42" t="s">
        <v>4326</v>
      </c>
      <c r="G586" s="44" t="s">
        <v>4327</v>
      </c>
      <c r="H586" s="41" t="s">
        <v>3252</v>
      </c>
      <c r="I586" s="42" t="s">
        <v>3253</v>
      </c>
      <c r="J586" s="41"/>
    </row>
    <row r="587" customFormat="false" ht="41.75" hidden="false" customHeight="false" outlineLevel="0" collapsed="false">
      <c r="A587" s="41" t="s">
        <v>199</v>
      </c>
      <c r="B587" s="41" t="s">
        <v>563</v>
      </c>
      <c r="C587" s="42" t="s">
        <v>564</v>
      </c>
      <c r="D587" s="44" t="s">
        <v>565</v>
      </c>
      <c r="E587" s="42" t="s">
        <v>3239</v>
      </c>
      <c r="F587" s="42" t="s">
        <v>4328</v>
      </c>
      <c r="G587" s="44" t="s">
        <v>4329</v>
      </c>
      <c r="H587" s="41" t="s">
        <v>3242</v>
      </c>
      <c r="I587" s="42" t="s">
        <v>3243</v>
      </c>
      <c r="J587" s="41"/>
    </row>
    <row r="588" customFormat="false" ht="41.75" hidden="false" customHeight="false" outlineLevel="0" collapsed="false">
      <c r="A588" s="41" t="s">
        <v>199</v>
      </c>
      <c r="B588" s="41" t="s">
        <v>563</v>
      </c>
      <c r="C588" s="42" t="s">
        <v>564</v>
      </c>
      <c r="D588" s="44" t="s">
        <v>565</v>
      </c>
      <c r="E588" s="42" t="s">
        <v>881</v>
      </c>
      <c r="F588" s="42" t="s">
        <v>4246</v>
      </c>
      <c r="G588" s="44" t="s">
        <v>3135</v>
      </c>
      <c r="H588" s="41" t="s">
        <v>3219</v>
      </c>
      <c r="I588" s="42" t="s">
        <v>4330</v>
      </c>
      <c r="J588" s="41"/>
    </row>
    <row r="589" customFormat="false" ht="41.75" hidden="false" customHeight="false" outlineLevel="0" collapsed="false">
      <c r="A589" s="41" t="s">
        <v>199</v>
      </c>
      <c r="B589" s="41" t="s">
        <v>563</v>
      </c>
      <c r="C589" s="42" t="s">
        <v>564</v>
      </c>
      <c r="D589" s="44" t="s">
        <v>565</v>
      </c>
      <c r="E589" s="42" t="s">
        <v>531</v>
      </c>
      <c r="F589" s="42" t="s">
        <v>4246</v>
      </c>
      <c r="G589" s="44" t="s">
        <v>3135</v>
      </c>
      <c r="H589" s="41" t="s">
        <v>3219</v>
      </c>
      <c r="I589" s="42" t="s">
        <v>4331</v>
      </c>
      <c r="J589" s="41"/>
    </row>
    <row r="590" customFormat="false" ht="41.75" hidden="false" customHeight="false" outlineLevel="0" collapsed="false">
      <c r="A590" s="41" t="s">
        <v>199</v>
      </c>
      <c r="B590" s="41" t="s">
        <v>563</v>
      </c>
      <c r="C590" s="42" t="s">
        <v>564</v>
      </c>
      <c r="D590" s="44" t="s">
        <v>565</v>
      </c>
      <c r="E590" s="42" t="s">
        <v>583</v>
      </c>
      <c r="F590" s="42" t="s">
        <v>4332</v>
      </c>
      <c r="G590" s="44" t="s">
        <v>4333</v>
      </c>
      <c r="H590" s="41" t="s">
        <v>3411</v>
      </c>
      <c r="I590" s="42" t="s">
        <v>3412</v>
      </c>
      <c r="J590" s="41"/>
    </row>
    <row r="591" customFormat="false" ht="28.35" hidden="false" customHeight="false" outlineLevel="0" collapsed="false">
      <c r="A591" s="41" t="s">
        <v>199</v>
      </c>
      <c r="B591" s="41" t="s">
        <v>563</v>
      </c>
      <c r="C591" s="42" t="s">
        <v>564</v>
      </c>
      <c r="D591" s="44" t="s">
        <v>565</v>
      </c>
      <c r="E591" s="42" t="s">
        <v>328</v>
      </c>
      <c r="F591" s="42" t="s">
        <v>4334</v>
      </c>
      <c r="G591" s="44" t="s">
        <v>4335</v>
      </c>
      <c r="H591" s="41" t="s">
        <v>3272</v>
      </c>
      <c r="I591" s="42" t="s">
        <v>3273</v>
      </c>
      <c r="J591" s="41"/>
    </row>
    <row r="592" customFormat="false" ht="41.75" hidden="false" customHeight="false" outlineLevel="0" collapsed="false">
      <c r="A592" s="41" t="s">
        <v>200</v>
      </c>
      <c r="B592" s="41" t="s">
        <v>262</v>
      </c>
      <c r="C592" s="42" t="s">
        <v>263</v>
      </c>
      <c r="D592" s="44" t="s">
        <v>264</v>
      </c>
      <c r="E592" s="42" t="s">
        <v>422</v>
      </c>
      <c r="F592" s="42" t="s">
        <v>4336</v>
      </c>
      <c r="G592" s="44" t="s">
        <v>3135</v>
      </c>
      <c r="H592" s="41" t="s">
        <v>3219</v>
      </c>
      <c r="I592" s="42" t="s">
        <v>4337</v>
      </c>
      <c r="J592" s="41"/>
    </row>
    <row r="593" customFormat="false" ht="41.75" hidden="false" customHeight="false" outlineLevel="0" collapsed="false">
      <c r="A593" s="41" t="s">
        <v>200</v>
      </c>
      <c r="B593" s="41" t="s">
        <v>1364</v>
      </c>
      <c r="C593" s="42" t="s">
        <v>488</v>
      </c>
      <c r="D593" s="44" t="s">
        <v>1365</v>
      </c>
      <c r="E593" s="42" t="s">
        <v>3239</v>
      </c>
      <c r="F593" s="42" t="s">
        <v>4338</v>
      </c>
      <c r="G593" s="44" t="s">
        <v>4339</v>
      </c>
      <c r="H593" s="41" t="s">
        <v>3242</v>
      </c>
      <c r="I593" s="42" t="s">
        <v>3243</v>
      </c>
      <c r="J593" s="41"/>
    </row>
    <row r="594" customFormat="false" ht="41.75" hidden="false" customHeight="false" outlineLevel="0" collapsed="false">
      <c r="A594" s="41" t="s">
        <v>200</v>
      </c>
      <c r="B594" s="41" t="s">
        <v>1364</v>
      </c>
      <c r="C594" s="42" t="s">
        <v>488</v>
      </c>
      <c r="D594" s="44" t="s">
        <v>1365</v>
      </c>
      <c r="E594" s="42" t="s">
        <v>881</v>
      </c>
      <c r="F594" s="42" t="s">
        <v>4340</v>
      </c>
      <c r="G594" s="44" t="s">
        <v>3135</v>
      </c>
      <c r="H594" s="41" t="s">
        <v>3219</v>
      </c>
      <c r="I594" s="42" t="s">
        <v>4341</v>
      </c>
      <c r="J594" s="41"/>
    </row>
    <row r="595" customFormat="false" ht="41.75" hidden="false" customHeight="false" outlineLevel="0" collapsed="false">
      <c r="A595" s="41" t="s">
        <v>200</v>
      </c>
      <c r="B595" s="41" t="s">
        <v>1236</v>
      </c>
      <c r="C595" s="42" t="s">
        <v>1237</v>
      </c>
      <c r="D595" s="44" t="s">
        <v>1238</v>
      </c>
      <c r="E595" s="42" t="s">
        <v>422</v>
      </c>
      <c r="F595" s="42" t="s">
        <v>4336</v>
      </c>
      <c r="G595" s="44" t="s">
        <v>3135</v>
      </c>
      <c r="H595" s="41" t="s">
        <v>3219</v>
      </c>
      <c r="I595" s="42" t="s">
        <v>4342</v>
      </c>
      <c r="J595" s="41"/>
    </row>
    <row r="596" customFormat="false" ht="41.75" hidden="false" customHeight="false" outlineLevel="0" collapsed="false">
      <c r="A596" s="41" t="s">
        <v>200</v>
      </c>
      <c r="B596" s="41" t="s">
        <v>451</v>
      </c>
      <c r="C596" s="42" t="s">
        <v>452</v>
      </c>
      <c r="D596" s="44" t="s">
        <v>454</v>
      </c>
      <c r="E596" s="42" t="s">
        <v>422</v>
      </c>
      <c r="F596" s="42" t="s">
        <v>4336</v>
      </c>
      <c r="G596" s="44" t="s">
        <v>3135</v>
      </c>
      <c r="H596" s="41" t="s">
        <v>3219</v>
      </c>
      <c r="I596" s="42" t="s">
        <v>4343</v>
      </c>
      <c r="J596" s="41"/>
    </row>
    <row r="597" customFormat="false" ht="41.75" hidden="false" customHeight="false" outlineLevel="0" collapsed="false">
      <c r="A597" s="41" t="s">
        <v>200</v>
      </c>
      <c r="B597" s="41" t="s">
        <v>1370</v>
      </c>
      <c r="C597" s="42" t="s">
        <v>1371</v>
      </c>
      <c r="D597" s="44" t="s">
        <v>1372</v>
      </c>
      <c r="E597" s="42" t="s">
        <v>1375</v>
      </c>
      <c r="F597" s="42" t="s">
        <v>4336</v>
      </c>
      <c r="G597" s="44" t="s">
        <v>3135</v>
      </c>
      <c r="H597" s="41" t="s">
        <v>3219</v>
      </c>
      <c r="I597" s="42" t="s">
        <v>4344</v>
      </c>
      <c r="J597" s="41"/>
    </row>
    <row r="598" customFormat="false" ht="28.35" hidden="false" customHeight="false" outlineLevel="0" collapsed="false">
      <c r="A598" s="41" t="s">
        <v>200</v>
      </c>
      <c r="B598" s="41" t="s">
        <v>880</v>
      </c>
      <c r="C598" s="42" t="s">
        <v>564</v>
      </c>
      <c r="D598" s="44" t="s">
        <v>882</v>
      </c>
      <c r="E598" s="42" t="s">
        <v>328</v>
      </c>
      <c r="F598" s="42" t="s">
        <v>4345</v>
      </c>
      <c r="G598" s="44" t="s">
        <v>4346</v>
      </c>
      <c r="H598" s="41" t="s">
        <v>3418</v>
      </c>
      <c r="I598" s="42" t="s">
        <v>3419</v>
      </c>
      <c r="J598" s="41"/>
    </row>
    <row r="599" customFormat="false" ht="41.75" hidden="false" customHeight="false" outlineLevel="0" collapsed="false">
      <c r="A599" s="41" t="s">
        <v>200</v>
      </c>
      <c r="B599" s="41" t="s">
        <v>1377</v>
      </c>
      <c r="C599" s="42" t="s">
        <v>1378</v>
      </c>
      <c r="D599" s="44" t="s">
        <v>1379</v>
      </c>
      <c r="E599" s="42" t="s">
        <v>422</v>
      </c>
      <c r="F599" s="42" t="s">
        <v>4336</v>
      </c>
      <c r="G599" s="44" t="s">
        <v>3135</v>
      </c>
      <c r="H599" s="41" t="s">
        <v>3219</v>
      </c>
      <c r="I599" s="42" t="s">
        <v>4347</v>
      </c>
      <c r="J599" s="41"/>
    </row>
    <row r="600" customFormat="false" ht="41.75" hidden="false" customHeight="false" outlineLevel="0" collapsed="false">
      <c r="A600" s="41" t="s">
        <v>201</v>
      </c>
      <c r="B600" s="41" t="s">
        <v>584</v>
      </c>
      <c r="C600" s="42" t="s">
        <v>585</v>
      </c>
      <c r="D600" s="44" t="s">
        <v>586</v>
      </c>
      <c r="E600" s="42" t="s">
        <v>3239</v>
      </c>
      <c r="F600" s="42" t="s">
        <v>4348</v>
      </c>
      <c r="G600" s="44" t="s">
        <v>4349</v>
      </c>
      <c r="H600" s="41" t="s">
        <v>3242</v>
      </c>
      <c r="I600" s="42" t="s">
        <v>3243</v>
      </c>
      <c r="J600" s="41"/>
    </row>
    <row r="601" customFormat="false" ht="41.75" hidden="false" customHeight="false" outlineLevel="0" collapsed="false">
      <c r="A601" s="41" t="s">
        <v>201</v>
      </c>
      <c r="B601" s="41" t="s">
        <v>329</v>
      </c>
      <c r="C601" s="42" t="s">
        <v>330</v>
      </c>
      <c r="D601" s="44" t="s">
        <v>332</v>
      </c>
      <c r="E601" s="42" t="s">
        <v>3239</v>
      </c>
      <c r="F601" s="42" t="s">
        <v>4350</v>
      </c>
      <c r="G601" s="44" t="s">
        <v>2623</v>
      </c>
      <c r="H601" s="41" t="s">
        <v>3351</v>
      </c>
      <c r="I601" s="42" t="s">
        <v>3352</v>
      </c>
      <c r="J601" s="41"/>
    </row>
    <row r="602" customFormat="false" ht="28.35" hidden="false" customHeight="false" outlineLevel="0" collapsed="false">
      <c r="A602" s="41" t="s">
        <v>201</v>
      </c>
      <c r="B602" s="41" t="s">
        <v>336</v>
      </c>
      <c r="C602" s="42" t="s">
        <v>337</v>
      </c>
      <c r="D602" s="44" t="s">
        <v>340</v>
      </c>
      <c r="E602" s="42" t="s">
        <v>3239</v>
      </c>
      <c r="F602" s="42" t="s">
        <v>4351</v>
      </c>
      <c r="G602" s="44" t="s">
        <v>4352</v>
      </c>
      <c r="H602" s="41" t="s">
        <v>3242</v>
      </c>
      <c r="I602" s="42" t="s">
        <v>3243</v>
      </c>
      <c r="J602" s="41"/>
    </row>
    <row r="603" customFormat="false" ht="41.75" hidden="false" customHeight="false" outlineLevel="0" collapsed="false">
      <c r="A603" s="41" t="s">
        <v>201</v>
      </c>
      <c r="B603" s="41" t="s">
        <v>451</v>
      </c>
      <c r="C603" s="42" t="s">
        <v>452</v>
      </c>
      <c r="D603" s="44" t="s">
        <v>454</v>
      </c>
      <c r="E603" s="42" t="s">
        <v>3239</v>
      </c>
      <c r="F603" s="42" t="s">
        <v>4353</v>
      </c>
      <c r="G603" s="44" t="s">
        <v>4354</v>
      </c>
      <c r="H603" s="41" t="s">
        <v>3242</v>
      </c>
      <c r="I603" s="42" t="s">
        <v>3243</v>
      </c>
      <c r="J603" s="41"/>
    </row>
    <row r="604" customFormat="false" ht="41.75" hidden="false" customHeight="false" outlineLevel="0" collapsed="false">
      <c r="A604" s="41" t="s">
        <v>201</v>
      </c>
      <c r="B604" s="41" t="s">
        <v>451</v>
      </c>
      <c r="C604" s="42" t="s">
        <v>452</v>
      </c>
      <c r="D604" s="44" t="s">
        <v>454</v>
      </c>
      <c r="E604" s="42" t="s">
        <v>881</v>
      </c>
      <c r="F604" s="42" t="s">
        <v>4355</v>
      </c>
      <c r="G604" s="44" t="s">
        <v>3135</v>
      </c>
      <c r="H604" s="41" t="s">
        <v>3219</v>
      </c>
      <c r="I604" s="42" t="s">
        <v>4356</v>
      </c>
      <c r="J604" s="41"/>
    </row>
    <row r="605" customFormat="false" ht="55.2" hidden="false" customHeight="false" outlineLevel="0" collapsed="false">
      <c r="A605" s="41" t="s">
        <v>201</v>
      </c>
      <c r="B605" s="41" t="s">
        <v>451</v>
      </c>
      <c r="C605" s="42" t="s">
        <v>452</v>
      </c>
      <c r="D605" s="44" t="s">
        <v>454</v>
      </c>
      <c r="E605" s="42" t="s">
        <v>4357</v>
      </c>
      <c r="F605" s="42" t="s">
        <v>4355</v>
      </c>
      <c r="G605" s="44" t="s">
        <v>4358</v>
      </c>
      <c r="H605" s="41" t="s">
        <v>3248</v>
      </c>
      <c r="I605" s="42" t="s">
        <v>4359</v>
      </c>
      <c r="J605" s="44" t="s">
        <v>3135</v>
      </c>
    </row>
    <row r="606" customFormat="false" ht="28.35" hidden="false" customHeight="false" outlineLevel="0" collapsed="false">
      <c r="A606" s="41" t="s">
        <v>202</v>
      </c>
      <c r="B606" s="41" t="s">
        <v>1388</v>
      </c>
      <c r="C606" s="42" t="s">
        <v>1389</v>
      </c>
      <c r="D606" s="44" t="s">
        <v>1390</v>
      </c>
      <c r="E606" s="42" t="s">
        <v>3239</v>
      </c>
      <c r="F606" s="42" t="s">
        <v>4360</v>
      </c>
      <c r="G606" s="44" t="s">
        <v>4361</v>
      </c>
      <c r="H606" s="41" t="s">
        <v>3242</v>
      </c>
      <c r="I606" s="42" t="s">
        <v>3243</v>
      </c>
      <c r="J606" s="41"/>
    </row>
    <row r="607" customFormat="false" ht="41.75" hidden="false" customHeight="false" outlineLevel="0" collapsed="false">
      <c r="A607" s="41" t="s">
        <v>202</v>
      </c>
      <c r="B607" s="41" t="s">
        <v>1388</v>
      </c>
      <c r="C607" s="42" t="s">
        <v>1389</v>
      </c>
      <c r="D607" s="44" t="s">
        <v>1390</v>
      </c>
      <c r="E607" s="42" t="s">
        <v>881</v>
      </c>
      <c r="F607" s="42" t="s">
        <v>4362</v>
      </c>
      <c r="G607" s="44" t="s">
        <v>3135</v>
      </c>
      <c r="H607" s="41" t="s">
        <v>3219</v>
      </c>
      <c r="I607" s="42" t="s">
        <v>4363</v>
      </c>
      <c r="J607" s="41"/>
    </row>
    <row r="608" customFormat="false" ht="41.75" hidden="false" customHeight="false" outlineLevel="0" collapsed="false">
      <c r="A608" s="41" t="s">
        <v>202</v>
      </c>
      <c r="B608" s="41" t="s">
        <v>745</v>
      </c>
      <c r="C608" s="42" t="s">
        <v>746</v>
      </c>
      <c r="D608" s="44" t="s">
        <v>748</v>
      </c>
      <c r="E608" s="42" t="s">
        <v>583</v>
      </c>
      <c r="F608" s="42" t="s">
        <v>4364</v>
      </c>
      <c r="G608" s="44" t="s">
        <v>4365</v>
      </c>
      <c r="H608" s="41" t="s">
        <v>3252</v>
      </c>
      <c r="I608" s="42" t="s">
        <v>3253</v>
      </c>
      <c r="J608" s="41"/>
    </row>
    <row r="609" customFormat="false" ht="28.35" hidden="false" customHeight="false" outlineLevel="0" collapsed="false">
      <c r="A609" s="41" t="s">
        <v>202</v>
      </c>
      <c r="B609" s="41" t="s">
        <v>1220</v>
      </c>
      <c r="C609" s="42" t="s">
        <v>1221</v>
      </c>
      <c r="D609" s="44" t="s">
        <v>1222</v>
      </c>
      <c r="E609" s="42" t="s">
        <v>3239</v>
      </c>
      <c r="F609" s="42" t="s">
        <v>4366</v>
      </c>
      <c r="G609" s="44" t="s">
        <v>4367</v>
      </c>
      <c r="H609" s="41" t="s">
        <v>3242</v>
      </c>
      <c r="I609" s="42" t="s">
        <v>3243</v>
      </c>
      <c r="J609" s="41"/>
    </row>
    <row r="610" customFormat="false" ht="41.75" hidden="false" customHeight="false" outlineLevel="0" collapsed="false">
      <c r="A610" s="41" t="s">
        <v>202</v>
      </c>
      <c r="B610" s="41" t="s">
        <v>1220</v>
      </c>
      <c r="C610" s="42" t="s">
        <v>1221</v>
      </c>
      <c r="D610" s="44" t="s">
        <v>1222</v>
      </c>
      <c r="E610" s="42" t="s">
        <v>881</v>
      </c>
      <c r="F610" s="42" t="s">
        <v>4362</v>
      </c>
      <c r="G610" s="44" t="s">
        <v>3135</v>
      </c>
      <c r="H610" s="41" t="s">
        <v>3219</v>
      </c>
      <c r="I610" s="42" t="s">
        <v>4368</v>
      </c>
      <c r="J610" s="41"/>
    </row>
    <row r="611" customFormat="false" ht="28.35" hidden="false" customHeight="false" outlineLevel="0" collapsed="false">
      <c r="A611" s="41" t="s">
        <v>202</v>
      </c>
      <c r="B611" s="41" t="s">
        <v>329</v>
      </c>
      <c r="C611" s="42" t="s">
        <v>330</v>
      </c>
      <c r="D611" s="44" t="s">
        <v>332</v>
      </c>
      <c r="E611" s="42" t="s">
        <v>3239</v>
      </c>
      <c r="F611" s="42" t="s">
        <v>4369</v>
      </c>
      <c r="G611" s="44" t="s">
        <v>2650</v>
      </c>
      <c r="H611" s="41" t="s">
        <v>3351</v>
      </c>
      <c r="I611" s="42" t="s">
        <v>3352</v>
      </c>
      <c r="J611" s="41"/>
    </row>
    <row r="612" customFormat="false" ht="41.75" hidden="false" customHeight="false" outlineLevel="0" collapsed="false">
      <c r="A612" s="41" t="s">
        <v>202</v>
      </c>
      <c r="B612" s="41" t="s">
        <v>329</v>
      </c>
      <c r="C612" s="42" t="s">
        <v>330</v>
      </c>
      <c r="D612" s="44" t="s">
        <v>332</v>
      </c>
      <c r="E612" s="42" t="s">
        <v>881</v>
      </c>
      <c r="F612" s="42" t="s">
        <v>4370</v>
      </c>
      <c r="G612" s="44" t="s">
        <v>3135</v>
      </c>
      <c r="H612" s="41" t="s">
        <v>3219</v>
      </c>
      <c r="I612" s="42" t="s">
        <v>4371</v>
      </c>
      <c r="J612" s="41"/>
    </row>
    <row r="613" customFormat="false" ht="41.75" hidden="false" customHeight="false" outlineLevel="0" collapsed="false">
      <c r="A613" s="41" t="s">
        <v>202</v>
      </c>
      <c r="B613" s="41" t="s">
        <v>329</v>
      </c>
      <c r="C613" s="42" t="s">
        <v>330</v>
      </c>
      <c r="D613" s="44" t="s">
        <v>332</v>
      </c>
      <c r="E613" s="42" t="s">
        <v>4372</v>
      </c>
      <c r="F613" s="42" t="s">
        <v>4370</v>
      </c>
      <c r="G613" s="44" t="s">
        <v>3135</v>
      </c>
      <c r="H613" s="41" t="s">
        <v>3219</v>
      </c>
      <c r="I613" s="42" t="s">
        <v>4373</v>
      </c>
      <c r="J613" s="41"/>
    </row>
    <row r="614" customFormat="false" ht="28.35" hidden="false" customHeight="false" outlineLevel="0" collapsed="false">
      <c r="A614" s="41" t="s">
        <v>202</v>
      </c>
      <c r="B614" s="41" t="s">
        <v>336</v>
      </c>
      <c r="C614" s="42" t="s">
        <v>337</v>
      </c>
      <c r="D614" s="44" t="s">
        <v>340</v>
      </c>
      <c r="E614" s="42" t="s">
        <v>247</v>
      </c>
      <c r="F614" s="42" t="s">
        <v>4374</v>
      </c>
      <c r="G614" s="44" t="s">
        <v>4375</v>
      </c>
      <c r="H614" s="41" t="s">
        <v>3215</v>
      </c>
      <c r="I614" s="42" t="s">
        <v>3216</v>
      </c>
      <c r="J614" s="41"/>
    </row>
    <row r="615" customFormat="false" ht="28.35" hidden="false" customHeight="false" outlineLevel="0" collapsed="false">
      <c r="A615" s="41" t="s">
        <v>202</v>
      </c>
      <c r="B615" s="41" t="s">
        <v>336</v>
      </c>
      <c r="C615" s="42" t="s">
        <v>337</v>
      </c>
      <c r="D615" s="44" t="s">
        <v>340</v>
      </c>
      <c r="E615" s="42" t="s">
        <v>3239</v>
      </c>
      <c r="F615" s="42" t="s">
        <v>4376</v>
      </c>
      <c r="G615" s="44" t="s">
        <v>2649</v>
      </c>
      <c r="H615" s="41" t="s">
        <v>3351</v>
      </c>
      <c r="I615" s="42" t="s">
        <v>3352</v>
      </c>
      <c r="J615" s="41"/>
    </row>
    <row r="616" customFormat="false" ht="41.75" hidden="false" customHeight="false" outlineLevel="0" collapsed="false">
      <c r="A616" s="41" t="s">
        <v>202</v>
      </c>
      <c r="B616" s="41" t="s">
        <v>336</v>
      </c>
      <c r="C616" s="42" t="s">
        <v>337</v>
      </c>
      <c r="D616" s="44" t="s">
        <v>340</v>
      </c>
      <c r="E616" s="42" t="s">
        <v>881</v>
      </c>
      <c r="F616" s="42" t="s">
        <v>4370</v>
      </c>
      <c r="G616" s="44" t="s">
        <v>3135</v>
      </c>
      <c r="H616" s="41" t="s">
        <v>3219</v>
      </c>
      <c r="I616" s="42" t="s">
        <v>4377</v>
      </c>
      <c r="J616" s="41"/>
    </row>
    <row r="617" customFormat="false" ht="41.75" hidden="false" customHeight="false" outlineLevel="0" collapsed="false">
      <c r="A617" s="41" t="s">
        <v>202</v>
      </c>
      <c r="B617" s="41" t="s">
        <v>336</v>
      </c>
      <c r="C617" s="42" t="s">
        <v>337</v>
      </c>
      <c r="D617" s="44" t="s">
        <v>340</v>
      </c>
      <c r="E617" s="42" t="s">
        <v>4372</v>
      </c>
      <c r="F617" s="42" t="s">
        <v>4370</v>
      </c>
      <c r="G617" s="44" t="s">
        <v>3135</v>
      </c>
      <c r="H617" s="41" t="s">
        <v>3219</v>
      </c>
      <c r="I617" s="42" t="s">
        <v>4378</v>
      </c>
      <c r="J617" s="41"/>
    </row>
    <row r="618" customFormat="false" ht="28.35" hidden="false" customHeight="false" outlineLevel="0" collapsed="false">
      <c r="A618" s="41" t="s">
        <v>202</v>
      </c>
      <c r="B618" s="41" t="s">
        <v>1399</v>
      </c>
      <c r="C618" s="42" t="s">
        <v>1400</v>
      </c>
      <c r="D618" s="44" t="s">
        <v>1401</v>
      </c>
      <c r="E618" s="42" t="s">
        <v>3239</v>
      </c>
      <c r="F618" s="42" t="s">
        <v>4379</v>
      </c>
      <c r="G618" s="44" t="s">
        <v>4380</v>
      </c>
      <c r="H618" s="41" t="s">
        <v>3242</v>
      </c>
      <c r="I618" s="42" t="s">
        <v>3243</v>
      </c>
      <c r="J618" s="41"/>
    </row>
    <row r="619" customFormat="false" ht="41.75" hidden="false" customHeight="false" outlineLevel="0" collapsed="false">
      <c r="A619" s="41" t="s">
        <v>202</v>
      </c>
      <c r="B619" s="41" t="s">
        <v>1399</v>
      </c>
      <c r="C619" s="42" t="s">
        <v>1400</v>
      </c>
      <c r="D619" s="44" t="s">
        <v>1401</v>
      </c>
      <c r="E619" s="42" t="s">
        <v>881</v>
      </c>
      <c r="F619" s="42" t="s">
        <v>4362</v>
      </c>
      <c r="G619" s="44" t="s">
        <v>3135</v>
      </c>
      <c r="H619" s="41" t="s">
        <v>3219</v>
      </c>
      <c r="I619" s="42" t="s">
        <v>4381</v>
      </c>
      <c r="J619" s="41"/>
    </row>
    <row r="620" customFormat="false" ht="28.35" hidden="false" customHeight="false" outlineLevel="0" collapsed="false">
      <c r="A620" s="41" t="s">
        <v>202</v>
      </c>
      <c r="B620" s="41" t="s">
        <v>356</v>
      </c>
      <c r="C620" s="42" t="s">
        <v>357</v>
      </c>
      <c r="D620" s="44" t="s">
        <v>358</v>
      </c>
      <c r="E620" s="42" t="s">
        <v>3239</v>
      </c>
      <c r="F620" s="42" t="s">
        <v>4382</v>
      </c>
      <c r="G620" s="44" t="s">
        <v>2633</v>
      </c>
      <c r="H620" s="41" t="s">
        <v>3351</v>
      </c>
      <c r="I620" s="42" t="s">
        <v>3352</v>
      </c>
      <c r="J620" s="41"/>
    </row>
    <row r="621" customFormat="false" ht="41.75" hidden="false" customHeight="false" outlineLevel="0" collapsed="false">
      <c r="A621" s="41" t="s">
        <v>202</v>
      </c>
      <c r="B621" s="41" t="s">
        <v>356</v>
      </c>
      <c r="C621" s="42" t="s">
        <v>357</v>
      </c>
      <c r="D621" s="44" t="s">
        <v>358</v>
      </c>
      <c r="E621" s="42" t="s">
        <v>881</v>
      </c>
      <c r="F621" s="42" t="s">
        <v>4362</v>
      </c>
      <c r="G621" s="44" t="s">
        <v>3135</v>
      </c>
      <c r="H621" s="41" t="s">
        <v>3219</v>
      </c>
      <c r="I621" s="42" t="s">
        <v>4383</v>
      </c>
      <c r="J621" s="41"/>
    </row>
    <row r="622" customFormat="false" ht="28.35" hidden="false" customHeight="false" outlineLevel="0" collapsed="false">
      <c r="A622" s="41" t="s">
        <v>202</v>
      </c>
      <c r="B622" s="41" t="s">
        <v>356</v>
      </c>
      <c r="C622" s="42" t="s">
        <v>357</v>
      </c>
      <c r="D622" s="44" t="s">
        <v>358</v>
      </c>
      <c r="E622" s="42" t="s">
        <v>583</v>
      </c>
      <c r="F622" s="42" t="s">
        <v>4384</v>
      </c>
      <c r="G622" s="44" t="s">
        <v>4385</v>
      </c>
      <c r="H622" s="41" t="s">
        <v>3252</v>
      </c>
      <c r="I622" s="42" t="s">
        <v>3253</v>
      </c>
      <c r="J622" s="41"/>
    </row>
    <row r="623" customFormat="false" ht="28.35" hidden="false" customHeight="false" outlineLevel="0" collapsed="false">
      <c r="A623" s="41" t="s">
        <v>202</v>
      </c>
      <c r="B623" s="41" t="s">
        <v>1405</v>
      </c>
      <c r="C623" s="42" t="s">
        <v>1406</v>
      </c>
      <c r="D623" s="44" t="s">
        <v>1407</v>
      </c>
      <c r="E623" s="42" t="s">
        <v>3239</v>
      </c>
      <c r="F623" s="42" t="s">
        <v>4386</v>
      </c>
      <c r="G623" s="44" t="s">
        <v>4387</v>
      </c>
      <c r="H623" s="41" t="s">
        <v>3242</v>
      </c>
      <c r="I623" s="42" t="s">
        <v>3243</v>
      </c>
      <c r="J623" s="41"/>
    </row>
    <row r="624" customFormat="false" ht="41.75" hidden="false" customHeight="false" outlineLevel="0" collapsed="false">
      <c r="A624" s="41" t="s">
        <v>202</v>
      </c>
      <c r="B624" s="41" t="s">
        <v>1405</v>
      </c>
      <c r="C624" s="42" t="s">
        <v>1406</v>
      </c>
      <c r="D624" s="44" t="s">
        <v>1407</v>
      </c>
      <c r="E624" s="42" t="s">
        <v>881</v>
      </c>
      <c r="F624" s="42" t="s">
        <v>4362</v>
      </c>
      <c r="G624" s="44" t="s">
        <v>3135</v>
      </c>
      <c r="H624" s="41" t="s">
        <v>3219</v>
      </c>
      <c r="I624" s="42" t="s">
        <v>4388</v>
      </c>
      <c r="J624" s="41"/>
    </row>
    <row r="625" customFormat="false" ht="41.75" hidden="false" customHeight="false" outlineLevel="0" collapsed="false">
      <c r="A625" s="41" t="s">
        <v>202</v>
      </c>
      <c r="B625" s="41" t="s">
        <v>1409</v>
      </c>
      <c r="C625" s="42" t="s">
        <v>1410</v>
      </c>
      <c r="D625" s="44" t="s">
        <v>1411</v>
      </c>
      <c r="E625" s="42" t="s">
        <v>881</v>
      </c>
      <c r="F625" s="42" t="s">
        <v>4370</v>
      </c>
      <c r="G625" s="44" t="s">
        <v>3135</v>
      </c>
      <c r="H625" s="41" t="s">
        <v>3219</v>
      </c>
      <c r="I625" s="42" t="s">
        <v>4389</v>
      </c>
      <c r="J625" s="41"/>
    </row>
    <row r="626" customFormat="false" ht="41.75" hidden="false" customHeight="false" outlineLevel="0" collapsed="false">
      <c r="A626" s="41" t="s">
        <v>202</v>
      </c>
      <c r="B626" s="41" t="s">
        <v>1409</v>
      </c>
      <c r="C626" s="42" t="s">
        <v>1410</v>
      </c>
      <c r="D626" s="44" t="s">
        <v>1411</v>
      </c>
      <c r="E626" s="42" t="s">
        <v>4372</v>
      </c>
      <c r="F626" s="42" t="s">
        <v>4370</v>
      </c>
      <c r="G626" s="44" t="s">
        <v>3135</v>
      </c>
      <c r="H626" s="41" t="s">
        <v>3219</v>
      </c>
      <c r="I626" s="42" t="s">
        <v>4390</v>
      </c>
      <c r="J626" s="41"/>
    </row>
    <row r="627" customFormat="false" ht="28.35" hidden="false" customHeight="false" outlineLevel="0" collapsed="false">
      <c r="A627" s="41" t="s">
        <v>202</v>
      </c>
      <c r="B627" s="41" t="s">
        <v>1415</v>
      </c>
      <c r="C627" s="42" t="s">
        <v>1416</v>
      </c>
      <c r="D627" s="44" t="s">
        <v>1417</v>
      </c>
      <c r="E627" s="42" t="s">
        <v>3239</v>
      </c>
      <c r="F627" s="42" t="s">
        <v>4391</v>
      </c>
      <c r="G627" s="44" t="s">
        <v>4392</v>
      </c>
      <c r="H627" s="41" t="s">
        <v>4205</v>
      </c>
      <c r="I627" s="42" t="s">
        <v>4206</v>
      </c>
      <c r="J627" s="41"/>
    </row>
    <row r="628" customFormat="false" ht="41.75" hidden="false" customHeight="false" outlineLevel="0" collapsed="false">
      <c r="A628" s="41" t="s">
        <v>202</v>
      </c>
      <c r="B628" s="41" t="s">
        <v>1415</v>
      </c>
      <c r="C628" s="42" t="s">
        <v>1416</v>
      </c>
      <c r="D628" s="44" t="s">
        <v>1417</v>
      </c>
      <c r="E628" s="42" t="s">
        <v>881</v>
      </c>
      <c r="F628" s="42" t="s">
        <v>4362</v>
      </c>
      <c r="G628" s="44" t="s">
        <v>3135</v>
      </c>
      <c r="H628" s="41" t="s">
        <v>3219</v>
      </c>
      <c r="I628" s="42" t="s">
        <v>4393</v>
      </c>
      <c r="J628" s="41"/>
    </row>
    <row r="629" customFormat="false" ht="41.75" hidden="false" customHeight="false" outlineLevel="0" collapsed="false">
      <c r="A629" s="41" t="s">
        <v>202</v>
      </c>
      <c r="B629" s="41" t="s">
        <v>1419</v>
      </c>
      <c r="C629" s="42" t="s">
        <v>626</v>
      </c>
      <c r="D629" s="44" t="s">
        <v>1420</v>
      </c>
      <c r="E629" s="42" t="s">
        <v>881</v>
      </c>
      <c r="F629" s="42" t="s">
        <v>4362</v>
      </c>
      <c r="G629" s="44" t="s">
        <v>3135</v>
      </c>
      <c r="H629" s="41" t="s">
        <v>3219</v>
      </c>
      <c r="I629" s="42" t="s">
        <v>4394</v>
      </c>
      <c r="J629" s="41"/>
    </row>
    <row r="630" customFormat="false" ht="41.75" hidden="false" customHeight="false" outlineLevel="0" collapsed="false">
      <c r="A630" s="41" t="s">
        <v>202</v>
      </c>
      <c r="B630" s="41" t="s">
        <v>1419</v>
      </c>
      <c r="C630" s="42" t="s">
        <v>626</v>
      </c>
      <c r="D630" s="44" t="s">
        <v>1420</v>
      </c>
      <c r="E630" s="42" t="s">
        <v>583</v>
      </c>
      <c r="F630" s="42" t="s">
        <v>4395</v>
      </c>
      <c r="G630" s="44" t="s">
        <v>4396</v>
      </c>
      <c r="H630" s="41" t="s">
        <v>3252</v>
      </c>
      <c r="I630" s="42" t="s">
        <v>3253</v>
      </c>
      <c r="J630" s="41"/>
    </row>
    <row r="631" customFormat="false" ht="28.35" hidden="false" customHeight="false" outlineLevel="0" collapsed="false">
      <c r="A631" s="41" t="s">
        <v>202</v>
      </c>
      <c r="B631" s="41" t="s">
        <v>789</v>
      </c>
      <c r="C631" s="42" t="s">
        <v>790</v>
      </c>
      <c r="D631" s="44" t="s">
        <v>791</v>
      </c>
      <c r="E631" s="42" t="s">
        <v>3239</v>
      </c>
      <c r="F631" s="42" t="s">
        <v>4397</v>
      </c>
      <c r="G631" s="44" t="s">
        <v>4398</v>
      </c>
      <c r="H631" s="41" t="s">
        <v>3242</v>
      </c>
      <c r="I631" s="42" t="s">
        <v>3243</v>
      </c>
      <c r="J631" s="41"/>
    </row>
    <row r="632" customFormat="false" ht="41.75" hidden="false" customHeight="false" outlineLevel="0" collapsed="false">
      <c r="A632" s="41" t="s">
        <v>202</v>
      </c>
      <c r="B632" s="41" t="s">
        <v>789</v>
      </c>
      <c r="C632" s="42" t="s">
        <v>790</v>
      </c>
      <c r="D632" s="44" t="s">
        <v>791</v>
      </c>
      <c r="E632" s="42" t="s">
        <v>881</v>
      </c>
      <c r="F632" s="42" t="s">
        <v>4370</v>
      </c>
      <c r="G632" s="44" t="s">
        <v>3135</v>
      </c>
      <c r="H632" s="41" t="s">
        <v>3219</v>
      </c>
      <c r="I632" s="42" t="s">
        <v>4399</v>
      </c>
      <c r="J632" s="41"/>
    </row>
    <row r="633" customFormat="false" ht="41.75" hidden="false" customHeight="false" outlineLevel="0" collapsed="false">
      <c r="A633" s="41" t="s">
        <v>202</v>
      </c>
      <c r="B633" s="41" t="s">
        <v>789</v>
      </c>
      <c r="C633" s="42" t="s">
        <v>790</v>
      </c>
      <c r="D633" s="44" t="s">
        <v>791</v>
      </c>
      <c r="E633" s="42" t="s">
        <v>4130</v>
      </c>
      <c r="F633" s="42" t="s">
        <v>4370</v>
      </c>
      <c r="G633" s="44" t="s">
        <v>3135</v>
      </c>
      <c r="H633" s="41" t="s">
        <v>3219</v>
      </c>
      <c r="I633" s="42" t="s">
        <v>4400</v>
      </c>
      <c r="J633" s="41"/>
    </row>
    <row r="634" customFormat="false" ht="28.35" hidden="false" customHeight="false" outlineLevel="0" collapsed="false">
      <c r="A634" s="41" t="s">
        <v>202</v>
      </c>
      <c r="B634" s="41" t="s">
        <v>1425</v>
      </c>
      <c r="C634" s="42" t="s">
        <v>1426</v>
      </c>
      <c r="D634" s="44" t="s">
        <v>1427</v>
      </c>
      <c r="E634" s="42" t="s">
        <v>3239</v>
      </c>
      <c r="F634" s="42" t="s">
        <v>4401</v>
      </c>
      <c r="G634" s="44" t="s">
        <v>4402</v>
      </c>
      <c r="H634" s="41" t="s">
        <v>4205</v>
      </c>
      <c r="I634" s="42" t="s">
        <v>4206</v>
      </c>
      <c r="J634" s="41"/>
    </row>
    <row r="635" customFormat="false" ht="41.75" hidden="false" customHeight="false" outlineLevel="0" collapsed="false">
      <c r="A635" s="41" t="s">
        <v>202</v>
      </c>
      <c r="B635" s="41" t="s">
        <v>1425</v>
      </c>
      <c r="C635" s="42" t="s">
        <v>1426</v>
      </c>
      <c r="D635" s="44" t="s">
        <v>1427</v>
      </c>
      <c r="E635" s="42" t="s">
        <v>881</v>
      </c>
      <c r="F635" s="42" t="s">
        <v>4362</v>
      </c>
      <c r="G635" s="44" t="s">
        <v>3135</v>
      </c>
      <c r="H635" s="41" t="s">
        <v>3219</v>
      </c>
      <c r="I635" s="42" t="s">
        <v>4403</v>
      </c>
      <c r="J635" s="41"/>
    </row>
    <row r="636" customFormat="false" ht="41.75" hidden="false" customHeight="false" outlineLevel="0" collapsed="false">
      <c r="A636" s="41" t="s">
        <v>202</v>
      </c>
      <c r="B636" s="41" t="s">
        <v>487</v>
      </c>
      <c r="C636" s="42" t="s">
        <v>488</v>
      </c>
      <c r="D636" s="44" t="s">
        <v>490</v>
      </c>
      <c r="E636" s="42" t="s">
        <v>881</v>
      </c>
      <c r="F636" s="42" t="s">
        <v>4362</v>
      </c>
      <c r="G636" s="44" t="s">
        <v>3135</v>
      </c>
      <c r="H636" s="41" t="s">
        <v>3219</v>
      </c>
      <c r="I636" s="42" t="s">
        <v>4404</v>
      </c>
      <c r="J636" s="41"/>
    </row>
    <row r="637" customFormat="false" ht="28.35" hidden="false" customHeight="false" outlineLevel="0" collapsed="false">
      <c r="A637" s="41" t="s">
        <v>202</v>
      </c>
      <c r="B637" s="41" t="s">
        <v>495</v>
      </c>
      <c r="C637" s="42" t="s">
        <v>476</v>
      </c>
      <c r="D637" s="44" t="s">
        <v>496</v>
      </c>
      <c r="E637" s="42" t="s">
        <v>247</v>
      </c>
      <c r="F637" s="42" t="s">
        <v>4405</v>
      </c>
      <c r="G637" s="44" t="s">
        <v>4406</v>
      </c>
      <c r="H637" s="41" t="s">
        <v>3215</v>
      </c>
      <c r="I637" s="42" t="s">
        <v>3216</v>
      </c>
      <c r="J637" s="41"/>
    </row>
    <row r="638" customFormat="false" ht="28.35" hidden="false" customHeight="false" outlineLevel="0" collapsed="false">
      <c r="A638" s="41" t="s">
        <v>202</v>
      </c>
      <c r="B638" s="41" t="s">
        <v>1431</v>
      </c>
      <c r="C638" s="42" t="s">
        <v>1432</v>
      </c>
      <c r="D638" s="44" t="s">
        <v>1433</v>
      </c>
      <c r="E638" s="42" t="s">
        <v>3239</v>
      </c>
      <c r="F638" s="42" t="s">
        <v>4407</v>
      </c>
      <c r="G638" s="44" t="s">
        <v>2641</v>
      </c>
      <c r="H638" s="41" t="s">
        <v>3351</v>
      </c>
      <c r="I638" s="42" t="s">
        <v>3352</v>
      </c>
      <c r="J638" s="41"/>
    </row>
    <row r="639" customFormat="false" ht="41.75" hidden="false" customHeight="false" outlineLevel="0" collapsed="false">
      <c r="A639" s="41" t="s">
        <v>202</v>
      </c>
      <c r="B639" s="41" t="s">
        <v>1431</v>
      </c>
      <c r="C639" s="42" t="s">
        <v>1432</v>
      </c>
      <c r="D639" s="44" t="s">
        <v>1433</v>
      </c>
      <c r="E639" s="42" t="s">
        <v>881</v>
      </c>
      <c r="F639" s="42" t="s">
        <v>4362</v>
      </c>
      <c r="G639" s="44" t="s">
        <v>3135</v>
      </c>
      <c r="H639" s="41" t="s">
        <v>3219</v>
      </c>
      <c r="I639" s="42" t="s">
        <v>4408</v>
      </c>
      <c r="J639" s="41"/>
    </row>
    <row r="640" customFormat="false" ht="41.75" hidden="false" customHeight="false" outlineLevel="0" collapsed="false">
      <c r="A640" s="41" t="s">
        <v>202</v>
      </c>
      <c r="B640" s="41" t="s">
        <v>525</v>
      </c>
      <c r="C640" s="42" t="s">
        <v>526</v>
      </c>
      <c r="D640" s="44" t="s">
        <v>528</v>
      </c>
      <c r="E640" s="42" t="s">
        <v>3239</v>
      </c>
      <c r="F640" s="42" t="s">
        <v>4409</v>
      </c>
      <c r="G640" s="44" t="s">
        <v>2639</v>
      </c>
      <c r="H640" s="41" t="s">
        <v>3351</v>
      </c>
      <c r="I640" s="42" t="s">
        <v>3352</v>
      </c>
      <c r="J640" s="41"/>
    </row>
    <row r="641" customFormat="false" ht="41.75" hidden="false" customHeight="false" outlineLevel="0" collapsed="false">
      <c r="A641" s="41" t="s">
        <v>202</v>
      </c>
      <c r="B641" s="41" t="s">
        <v>525</v>
      </c>
      <c r="C641" s="42" t="s">
        <v>526</v>
      </c>
      <c r="D641" s="44" t="s">
        <v>528</v>
      </c>
      <c r="E641" s="42" t="s">
        <v>881</v>
      </c>
      <c r="F641" s="42" t="s">
        <v>4362</v>
      </c>
      <c r="G641" s="44" t="s">
        <v>3135</v>
      </c>
      <c r="H641" s="41" t="s">
        <v>3219</v>
      </c>
      <c r="I641" s="42" t="s">
        <v>4410</v>
      </c>
      <c r="J641" s="41"/>
    </row>
    <row r="642" customFormat="false" ht="41.75" hidden="false" customHeight="false" outlineLevel="0" collapsed="false">
      <c r="A642" s="41" t="s">
        <v>202</v>
      </c>
      <c r="B642" s="41" t="s">
        <v>1437</v>
      </c>
      <c r="C642" s="42" t="s">
        <v>1237</v>
      </c>
      <c r="D642" s="44" t="s">
        <v>1438</v>
      </c>
      <c r="E642" s="42" t="s">
        <v>3239</v>
      </c>
      <c r="F642" s="42" t="s">
        <v>4411</v>
      </c>
      <c r="G642" s="44" t="s">
        <v>2636</v>
      </c>
      <c r="H642" s="41" t="s">
        <v>3351</v>
      </c>
      <c r="I642" s="42" t="s">
        <v>3352</v>
      </c>
      <c r="J642" s="41"/>
    </row>
    <row r="643" customFormat="false" ht="41.75" hidden="false" customHeight="false" outlineLevel="0" collapsed="false">
      <c r="A643" s="41" t="s">
        <v>202</v>
      </c>
      <c r="B643" s="41" t="s">
        <v>1437</v>
      </c>
      <c r="C643" s="42" t="s">
        <v>1237</v>
      </c>
      <c r="D643" s="44" t="s">
        <v>1438</v>
      </c>
      <c r="E643" s="42" t="s">
        <v>881</v>
      </c>
      <c r="F643" s="42" t="s">
        <v>4362</v>
      </c>
      <c r="G643" s="44" t="s">
        <v>3135</v>
      </c>
      <c r="H643" s="41" t="s">
        <v>3219</v>
      </c>
      <c r="I643" s="42" t="s">
        <v>4412</v>
      </c>
      <c r="J643" s="41"/>
    </row>
    <row r="644" customFormat="false" ht="41.75" hidden="false" customHeight="false" outlineLevel="0" collapsed="false">
      <c r="A644" s="41" t="s">
        <v>202</v>
      </c>
      <c r="B644" s="41" t="s">
        <v>1437</v>
      </c>
      <c r="C644" s="42" t="s">
        <v>1237</v>
      </c>
      <c r="D644" s="44" t="s">
        <v>1438</v>
      </c>
      <c r="E644" s="42" t="s">
        <v>583</v>
      </c>
      <c r="F644" s="42" t="s">
        <v>4413</v>
      </c>
      <c r="G644" s="44" t="s">
        <v>4414</v>
      </c>
      <c r="H644" s="41" t="s">
        <v>3252</v>
      </c>
      <c r="I644" s="42" t="s">
        <v>3253</v>
      </c>
      <c r="J644" s="41"/>
    </row>
    <row r="645" customFormat="false" ht="28.35" hidden="false" customHeight="false" outlineLevel="0" collapsed="false">
      <c r="A645" s="41" t="s">
        <v>202</v>
      </c>
      <c r="B645" s="41" t="s">
        <v>635</v>
      </c>
      <c r="C645" s="42" t="s">
        <v>636</v>
      </c>
      <c r="D645" s="44" t="s">
        <v>637</v>
      </c>
      <c r="E645" s="42" t="s">
        <v>3239</v>
      </c>
      <c r="F645" s="42" t="s">
        <v>4415</v>
      </c>
      <c r="G645" s="44" t="s">
        <v>2634</v>
      </c>
      <c r="H645" s="41" t="s">
        <v>3351</v>
      </c>
      <c r="I645" s="42" t="s">
        <v>3352</v>
      </c>
      <c r="J645" s="41"/>
    </row>
    <row r="646" customFormat="false" ht="41.75" hidden="false" customHeight="false" outlineLevel="0" collapsed="false">
      <c r="A646" s="41" t="s">
        <v>202</v>
      </c>
      <c r="B646" s="41" t="s">
        <v>635</v>
      </c>
      <c r="C646" s="42" t="s">
        <v>636</v>
      </c>
      <c r="D646" s="44" t="s">
        <v>637</v>
      </c>
      <c r="E646" s="42" t="s">
        <v>881</v>
      </c>
      <c r="F646" s="42" t="s">
        <v>4362</v>
      </c>
      <c r="G646" s="44" t="s">
        <v>3135</v>
      </c>
      <c r="H646" s="41" t="s">
        <v>3219</v>
      </c>
      <c r="I646" s="42" t="s">
        <v>4416</v>
      </c>
      <c r="J646" s="41"/>
    </row>
    <row r="647" customFormat="false" ht="41.75" hidden="false" customHeight="false" outlineLevel="0" collapsed="false">
      <c r="A647" s="41" t="s">
        <v>202</v>
      </c>
      <c r="B647" s="41" t="s">
        <v>1442</v>
      </c>
      <c r="C647" s="42" t="s">
        <v>642</v>
      </c>
      <c r="D647" s="44" t="s">
        <v>1443</v>
      </c>
      <c r="E647" s="42" t="s">
        <v>881</v>
      </c>
      <c r="F647" s="42" t="s">
        <v>4362</v>
      </c>
      <c r="G647" s="44" t="s">
        <v>3135</v>
      </c>
      <c r="H647" s="41" t="s">
        <v>3219</v>
      </c>
      <c r="I647" s="42" t="s">
        <v>4417</v>
      </c>
      <c r="J647" s="41"/>
    </row>
    <row r="648" customFormat="false" ht="28.35" hidden="false" customHeight="false" outlineLevel="0" collapsed="false">
      <c r="A648" s="41" t="s">
        <v>203</v>
      </c>
      <c r="B648" s="41" t="s">
        <v>738</v>
      </c>
      <c r="C648" s="42" t="s">
        <v>739</v>
      </c>
      <c r="D648" s="44" t="s">
        <v>742</v>
      </c>
      <c r="E648" s="42" t="s">
        <v>247</v>
      </c>
      <c r="F648" s="42" t="s">
        <v>4418</v>
      </c>
      <c r="G648" s="44" t="s">
        <v>4419</v>
      </c>
      <c r="H648" s="41" t="s">
        <v>3256</v>
      </c>
      <c r="I648" s="42" t="s">
        <v>3257</v>
      </c>
      <c r="J648" s="41"/>
    </row>
    <row r="649" customFormat="false" ht="28.35" hidden="false" customHeight="false" outlineLevel="0" collapsed="false">
      <c r="A649" s="41" t="s">
        <v>203</v>
      </c>
      <c r="B649" s="41" t="s">
        <v>305</v>
      </c>
      <c r="C649" s="42" t="s">
        <v>306</v>
      </c>
      <c r="D649" s="44" t="s">
        <v>308</v>
      </c>
      <c r="E649" s="42" t="s">
        <v>247</v>
      </c>
      <c r="F649" s="42" t="s">
        <v>4420</v>
      </c>
      <c r="G649" s="44" t="s">
        <v>4421</v>
      </c>
      <c r="H649" s="41" t="s">
        <v>3215</v>
      </c>
      <c r="I649" s="42" t="s">
        <v>3216</v>
      </c>
      <c r="J649" s="41"/>
    </row>
    <row r="650" customFormat="false" ht="28.35" hidden="false" customHeight="false" outlineLevel="0" collapsed="false">
      <c r="A650" s="41" t="s">
        <v>203</v>
      </c>
      <c r="B650" s="41" t="s">
        <v>305</v>
      </c>
      <c r="C650" s="42" t="s">
        <v>306</v>
      </c>
      <c r="D650" s="44" t="s">
        <v>308</v>
      </c>
      <c r="E650" s="42" t="s">
        <v>3239</v>
      </c>
      <c r="F650" s="42" t="s">
        <v>4422</v>
      </c>
      <c r="G650" s="44" t="s">
        <v>4423</v>
      </c>
      <c r="H650" s="41" t="s">
        <v>3242</v>
      </c>
      <c r="I650" s="42" t="s">
        <v>3243</v>
      </c>
      <c r="J650" s="41"/>
    </row>
    <row r="651" customFormat="false" ht="41.75" hidden="false" customHeight="false" outlineLevel="0" collapsed="false">
      <c r="A651" s="41" t="s">
        <v>203</v>
      </c>
      <c r="B651" s="41" t="s">
        <v>305</v>
      </c>
      <c r="C651" s="42" t="s">
        <v>306</v>
      </c>
      <c r="D651" s="44" t="s">
        <v>308</v>
      </c>
      <c r="E651" s="42" t="s">
        <v>881</v>
      </c>
      <c r="F651" s="42" t="s">
        <v>4424</v>
      </c>
      <c r="G651" s="44" t="s">
        <v>3135</v>
      </c>
      <c r="H651" s="41" t="s">
        <v>3219</v>
      </c>
      <c r="I651" s="42" t="s">
        <v>4425</v>
      </c>
      <c r="J651" s="41"/>
    </row>
    <row r="652" customFormat="false" ht="41.75" hidden="false" customHeight="false" outlineLevel="0" collapsed="false">
      <c r="A652" s="41" t="s">
        <v>203</v>
      </c>
      <c r="B652" s="41" t="s">
        <v>305</v>
      </c>
      <c r="C652" s="42" t="s">
        <v>306</v>
      </c>
      <c r="D652" s="44" t="s">
        <v>308</v>
      </c>
      <c r="E652" s="42" t="s">
        <v>4426</v>
      </c>
      <c r="F652" s="42" t="s">
        <v>4424</v>
      </c>
      <c r="G652" s="44" t="s">
        <v>3135</v>
      </c>
      <c r="H652" s="41" t="s">
        <v>3219</v>
      </c>
      <c r="I652" s="42" t="s">
        <v>4427</v>
      </c>
      <c r="J652" s="41"/>
    </row>
    <row r="653" customFormat="false" ht="28.35" hidden="false" customHeight="false" outlineLevel="0" collapsed="false">
      <c r="A653" s="41" t="s">
        <v>203</v>
      </c>
      <c r="B653" s="41" t="s">
        <v>305</v>
      </c>
      <c r="C653" s="42" t="s">
        <v>306</v>
      </c>
      <c r="D653" s="44" t="s">
        <v>308</v>
      </c>
      <c r="E653" s="42" t="s">
        <v>328</v>
      </c>
      <c r="F653" s="42" t="s">
        <v>4428</v>
      </c>
      <c r="G653" s="44" t="s">
        <v>4429</v>
      </c>
      <c r="H653" s="41" t="s">
        <v>3272</v>
      </c>
      <c r="I653" s="42" t="s">
        <v>3273</v>
      </c>
      <c r="J653" s="41"/>
    </row>
    <row r="654" customFormat="false" ht="55.2" hidden="false" customHeight="false" outlineLevel="0" collapsed="false">
      <c r="A654" s="41" t="s">
        <v>203</v>
      </c>
      <c r="B654" s="41" t="s">
        <v>336</v>
      </c>
      <c r="C654" s="42" t="s">
        <v>337</v>
      </c>
      <c r="D654" s="44" t="s">
        <v>340</v>
      </c>
      <c r="E654" s="42" t="s">
        <v>335</v>
      </c>
      <c r="F654" s="42" t="s">
        <v>4430</v>
      </c>
      <c r="G654" s="44" t="s">
        <v>4431</v>
      </c>
      <c r="H654" s="41" t="s">
        <v>3248</v>
      </c>
      <c r="I654" s="42" t="s">
        <v>4432</v>
      </c>
      <c r="J654" s="44" t="s">
        <v>3135</v>
      </c>
    </row>
    <row r="655" customFormat="false" ht="28.35" hidden="false" customHeight="false" outlineLevel="0" collapsed="false">
      <c r="A655" s="41" t="s">
        <v>203</v>
      </c>
      <c r="B655" s="41" t="s">
        <v>343</v>
      </c>
      <c r="C655" s="42" t="s">
        <v>344</v>
      </c>
      <c r="D655" s="44" t="s">
        <v>345</v>
      </c>
      <c r="E655" s="42" t="s">
        <v>247</v>
      </c>
      <c r="F655" s="42" t="s">
        <v>4433</v>
      </c>
      <c r="G655" s="44" t="s">
        <v>4434</v>
      </c>
      <c r="H655" s="41" t="s">
        <v>3215</v>
      </c>
      <c r="I655" s="42" t="s">
        <v>3216</v>
      </c>
      <c r="J655" s="41"/>
    </row>
    <row r="656" customFormat="false" ht="28.35" hidden="false" customHeight="false" outlineLevel="0" collapsed="false">
      <c r="A656" s="41" t="s">
        <v>203</v>
      </c>
      <c r="B656" s="41" t="s">
        <v>937</v>
      </c>
      <c r="C656" s="42" t="s">
        <v>938</v>
      </c>
      <c r="D656" s="44" t="s">
        <v>940</v>
      </c>
      <c r="E656" s="42" t="s">
        <v>247</v>
      </c>
      <c r="F656" s="42" t="s">
        <v>4435</v>
      </c>
      <c r="G656" s="44" t="s">
        <v>4436</v>
      </c>
      <c r="H656" s="41" t="s">
        <v>3215</v>
      </c>
      <c r="I656" s="42" t="s">
        <v>3216</v>
      </c>
      <c r="J656" s="41"/>
    </row>
    <row r="657" customFormat="false" ht="28.35" hidden="false" customHeight="false" outlineLevel="0" collapsed="false">
      <c r="A657" s="41" t="s">
        <v>203</v>
      </c>
      <c r="B657" s="41" t="s">
        <v>851</v>
      </c>
      <c r="C657" s="42" t="s">
        <v>852</v>
      </c>
      <c r="D657" s="44" t="s">
        <v>853</v>
      </c>
      <c r="E657" s="42" t="s">
        <v>247</v>
      </c>
      <c r="F657" s="42" t="s">
        <v>4437</v>
      </c>
      <c r="G657" s="44" t="s">
        <v>4438</v>
      </c>
      <c r="H657" s="41" t="s">
        <v>3215</v>
      </c>
      <c r="I657" s="42" t="s">
        <v>3216</v>
      </c>
      <c r="J657" s="41"/>
    </row>
    <row r="658" customFormat="false" ht="28.35" hidden="false" customHeight="false" outlineLevel="0" collapsed="false">
      <c r="A658" s="41" t="s">
        <v>203</v>
      </c>
      <c r="B658" s="41" t="s">
        <v>1452</v>
      </c>
      <c r="C658" s="42" t="s">
        <v>1453</v>
      </c>
      <c r="D658" s="44" t="s">
        <v>1454</v>
      </c>
      <c r="E658" s="42" t="s">
        <v>247</v>
      </c>
      <c r="F658" s="42" t="s">
        <v>4439</v>
      </c>
      <c r="G658" s="44" t="s">
        <v>4440</v>
      </c>
      <c r="H658" s="41" t="s">
        <v>3256</v>
      </c>
      <c r="I658" s="42" t="s">
        <v>3257</v>
      </c>
      <c r="J658" s="41"/>
    </row>
    <row r="659" customFormat="false" ht="28.35" hidden="false" customHeight="false" outlineLevel="0" collapsed="false">
      <c r="A659" s="41" t="s">
        <v>203</v>
      </c>
      <c r="B659" s="41" t="s">
        <v>1273</v>
      </c>
      <c r="C659" s="42" t="s">
        <v>1274</v>
      </c>
      <c r="D659" s="44" t="s">
        <v>1275</v>
      </c>
      <c r="E659" s="42" t="s">
        <v>247</v>
      </c>
      <c r="F659" s="42" t="s">
        <v>4441</v>
      </c>
      <c r="G659" s="44" t="s">
        <v>4442</v>
      </c>
      <c r="H659" s="41" t="s">
        <v>3256</v>
      </c>
      <c r="I659" s="42" t="s">
        <v>3257</v>
      </c>
      <c r="J659" s="41"/>
    </row>
    <row r="660" customFormat="false" ht="28.35" hidden="false" customHeight="false" outlineLevel="0" collapsed="false">
      <c r="A660" s="41" t="s">
        <v>203</v>
      </c>
      <c r="B660" s="41" t="s">
        <v>1457</v>
      </c>
      <c r="C660" s="42" t="s">
        <v>1458</v>
      </c>
      <c r="D660" s="44" t="s">
        <v>1459</v>
      </c>
      <c r="E660" s="42" t="s">
        <v>247</v>
      </c>
      <c r="F660" s="42" t="s">
        <v>4443</v>
      </c>
      <c r="G660" s="44" t="s">
        <v>4444</v>
      </c>
      <c r="H660" s="41" t="s">
        <v>3215</v>
      </c>
      <c r="I660" s="42" t="s">
        <v>3216</v>
      </c>
      <c r="J660" s="41"/>
    </row>
    <row r="661" customFormat="false" ht="28.35" hidden="false" customHeight="false" outlineLevel="0" collapsed="false">
      <c r="A661" s="41" t="s">
        <v>203</v>
      </c>
      <c r="B661" s="41" t="s">
        <v>262</v>
      </c>
      <c r="C661" s="42" t="s">
        <v>263</v>
      </c>
      <c r="D661" s="44" t="s">
        <v>264</v>
      </c>
      <c r="E661" s="42" t="s">
        <v>247</v>
      </c>
      <c r="F661" s="42" t="s">
        <v>4445</v>
      </c>
      <c r="G661" s="44" t="s">
        <v>4446</v>
      </c>
      <c r="H661" s="41" t="s">
        <v>3215</v>
      </c>
      <c r="I661" s="42" t="s">
        <v>3216</v>
      </c>
      <c r="J661" s="41"/>
    </row>
    <row r="662" customFormat="false" ht="28.35" hidden="false" customHeight="false" outlineLevel="0" collapsed="false">
      <c r="A662" s="41" t="s">
        <v>203</v>
      </c>
      <c r="B662" s="41" t="s">
        <v>1461</v>
      </c>
      <c r="C662" s="42" t="s">
        <v>413</v>
      </c>
      <c r="D662" s="44" t="s">
        <v>1462</v>
      </c>
      <c r="E662" s="42" t="s">
        <v>247</v>
      </c>
      <c r="F662" s="42" t="s">
        <v>4447</v>
      </c>
      <c r="G662" s="44" t="s">
        <v>4448</v>
      </c>
      <c r="H662" s="41" t="s">
        <v>3215</v>
      </c>
      <c r="I662" s="42" t="s">
        <v>3216</v>
      </c>
      <c r="J662" s="41"/>
    </row>
    <row r="663" customFormat="false" ht="28.35" hidden="false" customHeight="false" outlineLevel="0" collapsed="false">
      <c r="A663" s="41" t="s">
        <v>203</v>
      </c>
      <c r="B663" s="41" t="s">
        <v>601</v>
      </c>
      <c r="C663" s="42" t="s">
        <v>602</v>
      </c>
      <c r="D663" s="44" t="s">
        <v>603</v>
      </c>
      <c r="E663" s="42" t="s">
        <v>247</v>
      </c>
      <c r="F663" s="42" t="s">
        <v>4449</v>
      </c>
      <c r="G663" s="44" t="s">
        <v>4450</v>
      </c>
      <c r="H663" s="41" t="s">
        <v>3215</v>
      </c>
      <c r="I663" s="42" t="s">
        <v>3216</v>
      </c>
      <c r="J663" s="41"/>
    </row>
    <row r="664" customFormat="false" ht="41.75" hidden="false" customHeight="false" outlineLevel="0" collapsed="false">
      <c r="A664" s="41" t="s">
        <v>203</v>
      </c>
      <c r="B664" s="41" t="s">
        <v>1466</v>
      </c>
      <c r="C664" s="42" t="s">
        <v>1467</v>
      </c>
      <c r="D664" s="44" t="s">
        <v>1468</v>
      </c>
      <c r="E664" s="42" t="s">
        <v>247</v>
      </c>
      <c r="F664" s="42" t="s">
        <v>4451</v>
      </c>
      <c r="G664" s="44" t="s">
        <v>4452</v>
      </c>
      <c r="H664" s="41" t="s">
        <v>3256</v>
      </c>
      <c r="I664" s="42" t="s">
        <v>3257</v>
      </c>
      <c r="J664" s="41"/>
    </row>
    <row r="665" customFormat="false" ht="28.35" hidden="false" customHeight="false" outlineLevel="0" collapsed="false">
      <c r="A665" s="41" t="s">
        <v>203</v>
      </c>
      <c r="B665" s="41" t="s">
        <v>1470</v>
      </c>
      <c r="C665" s="42" t="s">
        <v>1471</v>
      </c>
      <c r="D665" s="44" t="s">
        <v>1171</v>
      </c>
      <c r="E665" s="42" t="s">
        <v>328</v>
      </c>
      <c r="F665" s="42" t="s">
        <v>4453</v>
      </c>
      <c r="G665" s="44" t="s">
        <v>4454</v>
      </c>
      <c r="H665" s="41" t="s">
        <v>3418</v>
      </c>
      <c r="I665" s="42" t="s">
        <v>3419</v>
      </c>
      <c r="J665" s="41"/>
    </row>
    <row r="666" customFormat="false" ht="28.35" hidden="false" customHeight="false" outlineLevel="0" collapsed="false">
      <c r="A666" s="41" t="s">
        <v>203</v>
      </c>
      <c r="B666" s="41" t="s">
        <v>487</v>
      </c>
      <c r="C666" s="42" t="s">
        <v>488</v>
      </c>
      <c r="D666" s="44" t="s">
        <v>490</v>
      </c>
      <c r="E666" s="42" t="s">
        <v>328</v>
      </c>
      <c r="F666" s="42" t="s">
        <v>4455</v>
      </c>
      <c r="G666" s="44" t="s">
        <v>4456</v>
      </c>
      <c r="H666" s="41" t="s">
        <v>3418</v>
      </c>
      <c r="I666" s="42" t="s">
        <v>3419</v>
      </c>
      <c r="J666" s="41"/>
    </row>
    <row r="667" customFormat="false" ht="28.35" hidden="false" customHeight="false" outlineLevel="0" collapsed="false">
      <c r="A667" s="41" t="s">
        <v>203</v>
      </c>
      <c r="B667" s="41" t="s">
        <v>724</v>
      </c>
      <c r="C667" s="42" t="s">
        <v>725</v>
      </c>
      <c r="D667" s="44" t="s">
        <v>726</v>
      </c>
      <c r="E667" s="42" t="s">
        <v>247</v>
      </c>
      <c r="F667" s="42" t="s">
        <v>4457</v>
      </c>
      <c r="G667" s="44" t="s">
        <v>4458</v>
      </c>
      <c r="H667" s="41" t="s">
        <v>3215</v>
      </c>
      <c r="I667" s="42" t="s">
        <v>3216</v>
      </c>
      <c r="J667" s="41"/>
    </row>
    <row r="668" customFormat="false" ht="28.35" hidden="false" customHeight="false" outlineLevel="0" collapsed="false">
      <c r="A668" s="41" t="s">
        <v>203</v>
      </c>
      <c r="B668" s="41" t="s">
        <v>635</v>
      </c>
      <c r="C668" s="42" t="s">
        <v>636</v>
      </c>
      <c r="D668" s="44" t="s">
        <v>637</v>
      </c>
      <c r="E668" s="42" t="s">
        <v>247</v>
      </c>
      <c r="F668" s="42" t="s">
        <v>4459</v>
      </c>
      <c r="G668" s="44" t="s">
        <v>4149</v>
      </c>
      <c r="H668" s="41" t="s">
        <v>3215</v>
      </c>
      <c r="I668" s="42" t="s">
        <v>3216</v>
      </c>
      <c r="J668" s="41"/>
    </row>
    <row r="669" customFormat="false" ht="28.35" hidden="false" customHeight="false" outlineLevel="0" collapsed="false">
      <c r="A669" s="41" t="s">
        <v>203</v>
      </c>
      <c r="B669" s="41" t="s">
        <v>568</v>
      </c>
      <c r="C669" s="42" t="s">
        <v>569</v>
      </c>
      <c r="D669" s="44" t="s">
        <v>570</v>
      </c>
      <c r="E669" s="42" t="s">
        <v>247</v>
      </c>
      <c r="F669" s="42" t="s">
        <v>4460</v>
      </c>
      <c r="G669" s="44" t="s">
        <v>4461</v>
      </c>
      <c r="H669" s="41" t="s">
        <v>3215</v>
      </c>
      <c r="I669" s="42" t="s">
        <v>3216</v>
      </c>
      <c r="J669" s="41"/>
    </row>
  </sheetData>
  <autoFilter ref="A4:J669"/>
  <hyperlinks>
    <hyperlink ref="D5" r:id="rId1" display="https://dailymed.nlm.nih.gov/dailymed/search.cfm?labeltype=all&amp;query=carboprost"/>
    <hyperlink ref="G5" r:id="rId2" display="https://dailymed.nlm.nih.gov/dailymed/lookup.cfm?setid=c1cde9c7-b005-484f-8497-343c5ecd4f0a"/>
    <hyperlink ref="D6" r:id="rId3" display="https://dailymed.nlm.nih.gov/dailymed/search.cfm?labeltype=all&amp;query=carboprost"/>
    <hyperlink ref="G6" r:id="rId4" display="https://www.ema.europa.eu/en/documents/other/article-57-product-data_en.xlsx"/>
    <hyperlink ref="D7" r:id="rId5" display="https://dailymed.nlm.nih.gov/dailymed/search.cfm?labeltype=all&amp;query=diazepam+injection"/>
    <hyperlink ref="G7" r:id="rId6" display="https://dailymed.nlm.nih.gov/dailymed/drugInfo.cfm?setid=7a912f1a-deee-46df-a8df-22a0afb06529"/>
    <hyperlink ref="D8" r:id="rId7" display="https://dailymed.nlm.nih.gov/dailymed/search.cfm?labeltype=all&amp;query=fulvestrant"/>
    <hyperlink ref="G8" r:id="rId8" display="https://dailymed.nlm.nih.gov/dailymed/drugInfo.cfm?setid=b02915fe-6c44-48c1-aaeb-997ddc59a595"/>
    <hyperlink ref="D9" r:id="rId9" display="https://dailymed.nlm.nih.gov/dailymed/search.cfm?labeltype=all&amp;query=methotrexate+injection"/>
    <hyperlink ref="G9" r:id="rId10" display="https://dailymed.nlm.nih.gov/dailymed/drugInfo.cfm?setid=a63364d5-4dfa-49d7-8a5e-c8959ae1d37a"/>
    <hyperlink ref="D10" r:id="rId11" display="https://dailymed.nlm.nih.gov/dailymed/search.cfm?labeltype=all&amp;query=phytonadione"/>
    <hyperlink ref="G10" r:id="rId12" display="https://dailymed.nlm.nih.gov/dailymed/search.cfm?searchdb=ndc&amp;query=62332-826-05"/>
    <hyperlink ref="D11" r:id="rId13" display="https://dailymed.nlm.nih.gov/dailymed/search.cfm?labeltype=all&amp;query=triamcinolone+acetonide+injectable+suspension"/>
    <hyperlink ref="G11" r:id="rId14" display="https://dailymed.nlm.nih.gov/dailymed/drugInfo.cfm?setid=1034d417-493a-443a-a62e-30786f673ee3"/>
    <hyperlink ref="D12" r:id="rId15" display="https://dailymed.nlm.nih.gov/dailymed/search.cfm?labeltype=all&amp;query=ampicillin"/>
    <hyperlink ref="G12" r:id="rId16" display="https://health-products.canada.ca/dpd-bdpp/info?code=95007&amp;lang=eng"/>
    <hyperlink ref="D13" r:id="rId17" display="https://dailymed.nlm.nih.gov/dailymed/search.cfm?labeltype=all&amp;query=ampicillin"/>
    <hyperlink ref="G13" r:id="rId18" display="https://www.ema.europa.eu/en/documents/other/article-57-product-data_en.xlsx"/>
    <hyperlink ref="D14" r:id="rId19" display="https://dailymed.nlm.nih.gov/dailymed/search.cfm?labeltype=all&amp;query=argatroban"/>
    <hyperlink ref="G14" r:id="rId20" display="https://dailymed.nlm.nih.gov/dailymed/drugInfo.cfm?setid=d9b975bd-e3f4-466e-96ca-7bef7899506d"/>
    <hyperlink ref="D15" r:id="rId21" display="https://dailymed.nlm.nih.gov/dailymed/search.cfm?labeltype=all&amp;query=azacitidine"/>
    <hyperlink ref="G15" r:id="rId22" display="https://mhraproducts4853.blob.core.windows.net/docs/2efde25ac4cbefa21bb4640027e6b7243ef5b3f8"/>
    <hyperlink ref="D16" r:id="rId23" display="https://dailymed.nlm.nih.gov/dailymed/search.cfm?labeltype=all&amp;query=azacitidine"/>
    <hyperlink ref="G16" r:id="rId24" display="https://www.ema.europa.eu/en/documents/other/article-57-product-data_en.xlsx"/>
    <hyperlink ref="D17" r:id="rId25" display="https://dailymed.nlm.nih.gov/dailymed/search.cfm?labeltype=all&amp;query=azacitidine"/>
    <hyperlink ref="G17" r:id="rId26" display="https://base-donnees-publique.medicaments.gouv.fr/index.php?page=1&amp;choixRecherche=medicament&amp;txtCaracteres=Azacitidine%20Arrow&amp;action=show"/>
    <hyperlink ref="J17" r:id="rId27" display="https://www.ema.europa.eu/en/documents/other/article-57-product-data_en.xlsx"/>
    <hyperlink ref="D18" r:id="rId28" display="https://dailymed.nlm.nih.gov/dailymed/search.cfm?labeltype=all&amp;query=azacitidine"/>
    <hyperlink ref="G18" r:id="rId29" display="https://www.ebs.tga.gov.au/ebs/picmi/picmirepository.nsf/pdf?OpenAgent&amp;id=CP-2024-PI-01359-1"/>
    <hyperlink ref="D19" r:id="rId30" display="https://dailymed.nlm.nih.gov/dailymed/search.cfm?labeltype=all&amp;query=bortezomib"/>
    <hyperlink ref="G19" r:id="rId31" display="https://dailymed.nlm.nih.gov/dailymed/search.cfm?labeltype=all&amp;query=Bortezomib"/>
    <hyperlink ref="D20" r:id="rId32" display="https://dailymed.nlm.nih.gov/dailymed/search.cfm?labeltype=all&amp;query=bortezomib"/>
    <hyperlink ref="G20" r:id="rId33" display="https://mhraproducts4853.blob.core.windows.net/docs/0c08f164559c903dce45f10a6de733bdd83f7e40"/>
    <hyperlink ref="D21" r:id="rId34" display="https://dailymed.nlm.nih.gov/dailymed/search.cfm?labeltype=all&amp;query=bortezomib"/>
    <hyperlink ref="G21" r:id="rId35" display="https://www.ema.europa.eu/en/documents/other/article-57-product-data_en.xlsx"/>
    <hyperlink ref="D22" r:id="rId36" display="https://dailymed.nlm.nih.gov/dailymed/search.cfm?labeltype=all&amp;query=bortezomib"/>
    <hyperlink ref="G22" r:id="rId37" display="https://base-donnees-publique.medicaments.gouv.fr/index.php?page=1&amp;choixRecherche=medicament&amp;txtCaracteres=Bortezomib%20Arrow&amp;action=show"/>
    <hyperlink ref="J22" r:id="rId38" display="https://www.ema.europa.eu/en/documents/other/article-57-product-data_en.xlsx"/>
    <hyperlink ref="D23" r:id="rId39" display="https://dailymed.nlm.nih.gov/dailymed/search.cfm?labeltype=all&amp;query=bortezomib"/>
    <hyperlink ref="G23" r:id="rId40" display="https://www.ebs.tga.gov.au/servlet/xmlmillr6?dbid=ebs/PublicHTML/pdfStore.nsf&amp;docid=401630&amp;agid=(PrintDetailsPublic)&amp;actionid=1"/>
    <hyperlink ref="D24" r:id="rId41" display="https://dailymed.nlm.nih.gov/dailymed/search.cfm?labeltype=all&amp;query=bupivacaine"/>
    <hyperlink ref="G24" r:id="rId42" display="https://www.ema.europa.eu/en/documents/other/article-57-product-data_en.xlsx"/>
    <hyperlink ref="D25" r:id="rId43" display="https://dailymed.nlm.nih.gov/dailymed/search.cfm?labeltype=all&amp;query=bupivacaine"/>
    <hyperlink ref="G25" r:id="rId44" display="https://www.ema.europa.eu/en/documents/other/article-57-product-data_en.xlsx"/>
    <hyperlink ref="D26" r:id="rId45" display="https://dailymed.nlm.nih.gov/dailymed/search.cfm?labeltype=all&amp;query=carboprost"/>
    <hyperlink ref="G26" r:id="rId46" display="https://dailymed.nlm.nih.gov/dailymed/lookup.cfm?setid=c1cde9c7-b005-484f-8497-343c5ecd4f0a"/>
    <hyperlink ref="D27" r:id="rId47" display="https://dailymed.nlm.nih.gov/dailymed/search.cfm?labeltype=all&amp;query=cefepime"/>
    <hyperlink ref="G27" r:id="rId48" display="https://pi-pil-repository.sahpra.org.za/wp-content/uploads/2022/08/1.3.1.1-Auro-Cefepime-Injection.pdf"/>
    <hyperlink ref="D28" r:id="rId49" display="https://dailymed.nlm.nih.gov/dailymed/search.cfm?labeltype=all&amp;query=ceftazidime"/>
    <hyperlink ref="G28" r:id="rId50" display="https://base-donnees-publique.medicaments.gouv.fr/index.php?page=1&amp;choixRecherche=medicament&amp;txtCaracteres=Ceftazidime%20Arrow&amp;action=show"/>
    <hyperlink ref="J28" r:id="rId51" display="https://www.ema.europa.eu/en/documents/other/article-57-product-data_en.xlsx"/>
    <hyperlink ref="D29" r:id="rId52" display="https://dailymed.nlm.nih.gov/dailymed/search.cfm?labeltype=all&amp;query=ceftriaxone"/>
    <hyperlink ref="G29" r:id="rId53" display="https://base-donnees-publique.medicaments.gouv.fr/index.php?page=1&amp;choixRecherche=medicament&amp;txtCaracteres=Ceftriaxone%20Almus&amp;action=show"/>
    <hyperlink ref="J29" r:id="rId54" display="https://www.ema.europa.eu/en/documents/other/article-57-product-data_en.xlsx"/>
    <hyperlink ref="D30" r:id="rId55" display="https://dailymed.nlm.nih.gov/dailymed/search.cfm?labeltype=all&amp;query=chlorpromazine"/>
    <hyperlink ref="G30" r:id="rId56" display="https://dailymed.nlm.nih.gov/dailymed/lookup.cfm?setid=07e6144a-b460-4887-b8e2-dd371c14a55c"/>
    <hyperlink ref="D31" r:id="rId57" display="https://dailymed.nlm.nih.gov/dailymed/search.cfm?labeltype=all&amp;query=cyclophosphamide"/>
    <hyperlink ref="G31" r:id="rId58" display="https://dailymed.nlm.nih.gov/dailymed/drugInfo.cfm?setid=3c1eb470-0bba-457d-94e3-b9508f0d398a"/>
    <hyperlink ref="D32" r:id="rId59" display="https://dailymed.nlm.nih.gov/dailymed/search.cfm?labeltype=all&amp;query=dactinomycin"/>
    <hyperlink ref="G32" r:id="rId60" display="https://dailymed.nlm.nih.gov/dailymed/drugInfo.cfm?setid=aa047ee8-f2e8-4720-84b1-d1c4532d6c63"/>
    <hyperlink ref="D33" r:id="rId61" display="https://dailymed.nlm.nih.gov/dailymed/search.cfm?labeltype=all&amp;query=daptomycin"/>
    <hyperlink ref="G33" r:id="rId62" display="https://www.ema.europa.eu/en/documents/other/article-57-product-data_en.xlsx"/>
    <hyperlink ref="D34" r:id="rId63" display="https://dailymed.nlm.nih.gov/dailymed/search.cfm?labeltype=all&amp;query=doxorubicin"/>
    <hyperlink ref="G34" r:id="rId64" display="https://base-donnees-publique.medicaments.gouv.fr/index.php?page=1&amp;choixRecherche=medicament&amp;txtCaracteres=Doxorubicine%20Arrow&amp;action=show"/>
    <hyperlink ref="J34" r:id="rId65" display="https://www.ema.europa.eu/en/documents/other/article-57-product-data_en.xlsx"/>
    <hyperlink ref="D35" r:id="rId66" display="https://dailymed.nlm.nih.gov/dailymed/search.cfm?labeltype=all&amp;query=ephedrine+sulfate+injection"/>
    <hyperlink ref="G35" r:id="rId67" display="https://dailymed.nlm.nih.gov/dailymed/drugInfo.cfm?setid=a5862de7-4118-4bda-8075-0b2524e04585"/>
    <hyperlink ref="D36" r:id="rId68" display="https://dailymed.nlm.nih.gov/dailymed/search.cfm?labeltype=all&amp;query=ephedrine+sulfate+injection"/>
    <hyperlink ref="G36" r:id="rId69" display="https://base-donnees-publique.medicaments.gouv.fr/index.php?page=1&amp;choixRecherche=medicament&amp;txtCaracteres=Ephedrine%20Arrow&amp;action=show"/>
    <hyperlink ref="J36" r:id="rId70" display="https://www.ema.europa.eu/en/documents/other/article-57-product-data_en.xlsx"/>
    <hyperlink ref="D37" r:id="rId71" display="https://dailymed.nlm.nih.gov/dailymed/search.cfm?labeltype=all&amp;query=epirubicin"/>
    <hyperlink ref="G37" r:id="rId72" display="https://www.ema.europa.eu/en/documents/other/article-57-product-data_en.xlsx"/>
    <hyperlink ref="D38" r:id="rId73" display="https://dailymed.nlm.nih.gov/dailymed/search.cfm?labeltype=all&amp;query=eptifibatide"/>
    <hyperlink ref="G38" r:id="rId74" display="https://dailymed.nlm.nih.gov/dailymed/drugInfo.cfm?setid=00ad7bbe-cadd-4647-b74b-adfc9f2b5e94"/>
    <hyperlink ref="D39" r:id="rId75" display="https://dailymed.nlm.nih.gov/dailymed/search.cfm?labeltype=all&amp;query=ertapenem"/>
    <hyperlink ref="G39" r:id="rId76" display="https://dailymed.nlm.nih.gov/dailymed/drugInfo.cfm?setid=f725a68c-31a2-482a-9744-19adc47506b5"/>
    <hyperlink ref="D40" r:id="rId77" display="https://dailymed.nlm.nih.gov/dailymed/search.cfm?labeltype=all&amp;query=ertapenem"/>
    <hyperlink ref="G40" r:id="rId78" display="https://www.ema.europa.eu/en/documents/other/article-57-product-data_en.xlsx"/>
    <hyperlink ref="D41" r:id="rId79" display="https://dailymed.nlm.nih.gov/dailymed/search.cfm?labeltype=all&amp;query=ertapenem"/>
    <hyperlink ref="G41" r:id="rId80" display="https://health-products.canada.ca/dpd-bdpp/info?code=98213&amp;lang=eng"/>
    <hyperlink ref="D42" r:id="rId81" display="https://dailymed.nlm.nih.gov/dailymed/search.cfm?labeltype=all&amp;query=ertapenem"/>
    <hyperlink ref="G42" r:id="rId82" display="https://base-donnees-publique.medicaments.gouv.fr/index.php?page=1&amp;choixRecherche=medicament&amp;txtCaracteres=Ertapenem%20Arrow&amp;action=show"/>
    <hyperlink ref="J42" r:id="rId83" display="https://www.ema.europa.eu/en/documents/other/article-57-product-data_en.xlsx"/>
    <hyperlink ref="D43" r:id="rId84" display="https://dailymed.nlm.nih.gov/dailymed/search.cfm?labeltype=all&amp;query=ertapenem"/>
    <hyperlink ref="G43" r:id="rId85" display="https://pi-pil-repository.sahpra.org.za/wp-content/uploads/2023/07/pil_ETAMEP.pdf"/>
    <hyperlink ref="D44" r:id="rId86" display="https://dailymed.nlm.nih.gov/dailymed/search.cfm?labeltype=all&amp;query=esmolol"/>
    <hyperlink ref="G44" r:id="rId87" display="https://dailymed.nlm.nih.gov/dailymed/drugInfo.cfm?setid=ac22475d-2d78-469f-9435-b403ac4ee380"/>
    <hyperlink ref="D45" r:id="rId88" display="https://dailymed.nlm.nih.gov/dailymed/search.cfm?labeltype=all&amp;query=esmolol"/>
    <hyperlink ref="G45" r:id="rId89" display="https://www.ema.europa.eu/en/documents/other/article-57-product-data_en.xlsx"/>
    <hyperlink ref="D46" r:id="rId90" display="https://mhraproducts4853.blob.core.windows.net/docs/b81aa75bd80aa32a460d7fedc1706f40ed574da1"/>
    <hyperlink ref="G46" r:id="rId91" display="https://www.ema.europa.eu/en/documents/other/article-57-product-data_en.xlsx"/>
    <hyperlink ref="D47" r:id="rId92" display="https://mhraproducts4853.blob.core.windows.net/docs/b81aa75bd80aa32a460d7fedc1706f40ed574da1"/>
    <hyperlink ref="G47" r:id="rId93" display="https://base-donnees-publique.medicaments.gouv.fr/index.php?page=1&amp;choixRecherche=medicament&amp;txtCaracteres=Flucloxacilline&amp;action=show"/>
    <hyperlink ref="J47" r:id="rId94" display="https://www.ema.europa.eu/en/documents/other/article-57-product-data_en.xlsx"/>
    <hyperlink ref="D48" r:id="rId95" display="https://mhraproducts4853.blob.core.windows.net/docs/b81aa75bd80aa32a460d7fedc1706f40ed574da1"/>
    <hyperlink ref="G48" r:id="rId96" display="https://www.ebs.tga.gov.au/ebs/picmi/picmirepository.nsf/pdf?OpenAgent&amp;id=CP-2024-PI-02513-1"/>
    <hyperlink ref="D49" r:id="rId97" display="https://dailymed.nlm.nih.gov/dailymed/search.cfm?labeltype=all&amp;query=fluorouracil+injection"/>
    <hyperlink ref="G49" r:id="rId98" display="https://dailymed.nlm.nih.gov/dailymed/drugInfo.cfm?setid=199ef964-8a9b-403e-a2ae-759280b3d1d1"/>
    <hyperlink ref="D50" r:id="rId99" display="https://dailymed.nlm.nih.gov/dailymed/search.cfm?labeltype=all&amp;query=fluphenazine+decanoate"/>
    <hyperlink ref="G50" r:id="rId100" display="https://dailymed.nlm.nih.gov/dailymed/drugInfo.cfm?setid=1f532edc-1a2c-4221-80dd-1ac158dd3a72"/>
    <hyperlink ref="D51" r:id="rId101" display="https://dailymed.nlm.nih.gov/dailymed/search.cfm?labeltype=all&amp;query=leucovorin+calcium+injection"/>
    <hyperlink ref="G51" r:id="rId102" display="https://www.ema.europa.eu/en/documents/other/article-57-product-data_en.xlsx"/>
    <hyperlink ref="D52" r:id="rId103" display="https://dailymed.nlm.nih.gov/dailymed/search.cfm?labeltype=all&amp;query=fulvestrant"/>
    <hyperlink ref="G52" r:id="rId104" display="https://mhraproducts4853.blob.core.windows.net/docs/662771b8a40d902278b3bdf8028b29838cd8e06c"/>
    <hyperlink ref="D53" r:id="rId105" display="https://dailymed.nlm.nih.gov/dailymed/search.cfm?labeltype=all&amp;query=fulvestrant"/>
    <hyperlink ref="G53" r:id="rId106" display="https://base-donnees-publique.medicaments.gouv.fr/index.php?page=1&amp;choixRecherche=medicament&amp;txtCaracteres=Fulvestrant%20Arrow&amp;action=show"/>
    <hyperlink ref="J53" r:id="rId107" display="https://www.ema.europa.eu/en/documents/other/article-57-product-data_en.xlsx"/>
    <hyperlink ref="D54" r:id="rId108" display="https://dailymed.nlm.nih.gov/dailymed/search.cfm?labeltype=all&amp;query=fulvestrant"/>
    <hyperlink ref="G54" r:id="rId109" display="https://www.tga.gov.au/resources/artg/408393"/>
    <hyperlink ref="D55" r:id="rId110" display="https://dailymed.nlm.nih.gov/dailymed/search.cfm?labeltype=all&amp;query=hydralazine+injection"/>
    <hyperlink ref="G55" r:id="rId111" display="https://health-products.canada.ca/dpd-bdpp/info?code=100550&amp;lang=eng"/>
    <hyperlink ref="D56" r:id="rId112" display="https://dailymed.nlm.nih.gov/dailymed/search.cfm?labeltype=all&amp;query=ibandronate+injection"/>
    <hyperlink ref="G56" r:id="rId113" display="https://dailymed.nlm.nih.gov/dailymed/lookup.cfm?setid=e81f2c5b-bead-48ac-be3e-016cf963d7ed"/>
    <hyperlink ref="D57" r:id="rId114" display="https://dailymed.nlm.nih.gov/dailymed/search.cfm?labeltype=all&amp;query=medroxyprogesterone+acetate+injectable"/>
    <hyperlink ref="G57" r:id="rId115" display="https://dailymed.nlm.nih.gov/dailymed/search.cfm?searchdb=ndc&amp;query=55150-329-25"/>
    <hyperlink ref="D58" r:id="rId116" display="https://dailymed.nlm.nih.gov/dailymed/search.cfm?labeltype=all&amp;query=melphalan+hydrochloride"/>
    <hyperlink ref="G58" r:id="rId117" display="https://www.ema.europa.eu/en/documents/other/article-57-product-data_en.xlsx"/>
    <hyperlink ref="D59" r:id="rId118" display="https://dailymed.nlm.nih.gov/dailymed/search.cfm?labeltype=all&amp;query=meropenem"/>
    <hyperlink ref="G59" r:id="rId119" display="https://www.ema.europa.eu/en/documents/other/article-57-product-data_en.xlsx"/>
    <hyperlink ref="D60" r:id="rId120" display="https://dailymed.nlm.nih.gov/dailymed/search.cfm?labeltype=all&amp;query=meropenem"/>
    <hyperlink ref="G60" r:id="rId121" display="https://health-products.canada.ca/dpd-bdpp/info?code=95075&amp;lang=eng"/>
    <hyperlink ref="D61" r:id="rId122" display="https://dailymed.nlm.nih.gov/dailymed/search.cfm?labeltype=all&amp;query=meropenem"/>
    <hyperlink ref="G61" r:id="rId123" display="https://base-donnees-publique.medicaments.gouv.fr/index.php?page=1&amp;choixRecherche=medicament&amp;txtCaracteres=Meropenem&amp;action=show"/>
    <hyperlink ref="J61" r:id="rId124" display="https://www.ema.europa.eu/en/documents/other/article-57-product-data_en.xlsx"/>
    <hyperlink ref="D62" r:id="rId125" display="https://dailymed.nlm.nih.gov/dailymed/search.cfm?labeltype=all&amp;query=mesna"/>
    <hyperlink ref="G62" r:id="rId126" display="https://dailymed.nlm.nih.gov/dailymed/drugInfo.cfm?setid=49e9c804-9e88-4774-8faf-35bd61b3a8e9"/>
    <hyperlink ref="D63" r:id="rId127" display="https://dailymed.nlm.nih.gov/dailymed/search.cfm?labeltype=all&amp;query=methotrexate+injection"/>
    <hyperlink ref="G63" r:id="rId128" display="https://dailymed.nlm.nih.gov/dailymed/search.cfm?searchdb=ndc&amp;query=55150-510"/>
    <hyperlink ref="D64" r:id="rId129" display="https://dailymed.nlm.nih.gov/dailymed/search.cfm?labeltype=all&amp;query=methylprednisolone+acetate"/>
    <hyperlink ref="G64" r:id="rId130" display="https://dailymed.nlm.nih.gov/dailymed/search.cfm?searchdb=ndc&amp;query=55150-262"/>
    <hyperlink ref="D65" r:id="rId131" display="https://dailymed.nlm.nih.gov/dailymed/search.cfm?labeltype=all&amp;query=mitomycin"/>
    <hyperlink ref="G65" r:id="rId132" display="https://www.ema.europa.eu/en/documents/other/article-57-product-data_en.xlsx"/>
    <hyperlink ref="D66" r:id="rId133" display="https://dailymed.nlm.nih.gov/dailymed/search.cfm?labeltype=all&amp;query=nafcillin"/>
    <hyperlink ref="G66" r:id="rId134" display="https://dailymed.nlm.nih.gov/dailymed/search.cfm?searchdb=ndc&amp;query=55150-122"/>
    <hyperlink ref="D67" r:id="rId135" display="https://dailymed.nlm.nih.gov/dailymed/search.cfm?labeltype=all&amp;query=naloxone+hydrochloride+injection"/>
    <hyperlink ref="G67" r:id="rId136" display="https://dailymed.nlm.nih.gov/dailymed/search.cfm?searchdb=ndc&amp;query=55150-345-01"/>
    <hyperlink ref="D68" r:id="rId137" display="https://dailymed.nlm.nih.gov/dailymed/search.cfm?labeltype=all&amp;query=naloxone+hydrochloride+injection"/>
    <hyperlink ref="G68" r:id="rId138" display="https://health-products.canada.ca/dpd-bdpp/info?code=102386&amp;lang=eng"/>
    <hyperlink ref="D69" r:id="rId139" display="https://dailymed.nlm.nih.gov/dailymed/search.cfm?labeltype=all&amp;query=ondansetron+injection"/>
    <hyperlink ref="G69" r:id="rId140" display="https://dmd-browser.nhsbsa.nhs.uk/ampp/view/47382"/>
    <hyperlink ref="D70" r:id="rId141" display="https://dailymed.nlm.nih.gov/dailymed/search.cfm?labeltype=all&amp;query=ondansetron+injection"/>
    <hyperlink ref="G70" r:id="rId142" display="https://www.ema.europa.eu/en/documents/other/article-57-product-data_en.xlsx"/>
    <hyperlink ref="D71" r:id="rId143" display="https://dailymed.nlm.nih.gov/dailymed/search.cfm?labeltype=all&amp;query=ondansetron+injection"/>
    <hyperlink ref="G71" r:id="rId144" display="https://health-products.canada.ca/dpd-bdpp/info?code=98138&amp;lang=eng"/>
    <hyperlink ref="D72" r:id="rId145" display="https://dailymed.nlm.nih.gov/dailymed/search.cfm?labeltype=all&amp;query=ondansetron+injection"/>
    <hyperlink ref="G72" r:id="rId146" display="https://www.ema.europa.eu/en/documents/other/article-57-product-data_en.xlsx"/>
    <hyperlink ref="D73" r:id="rId147" display="https://dailymed.nlm.nih.gov/dailymed/search.cfm?labeltype=all&amp;query=oxacillin"/>
    <hyperlink ref="G73" r:id="rId148" display="https://dailymed.nlm.nih.gov/dailymed/drugInfo.cfm?setid=81e90279-9889-47bd-974b-334c181f295c"/>
    <hyperlink ref="D74" r:id="rId149" display="https://dailymed.nlm.nih.gov/dailymed/search.cfm?labeltype=all&amp;query=palonosetron"/>
    <hyperlink ref="G74" r:id="rId150" display="https://dailymed.nlm.nih.gov/dailymed/drugInfo.cfm?setid=42e2d437-0712-4e9c-9c2a-00093c406d62"/>
    <hyperlink ref="D75" r:id="rId151" display="https://dailymed.nlm.nih.gov/dailymed/search.cfm?labeltype=all&amp;query=pantoprazole+sodium+for+injection"/>
    <hyperlink ref="G75" r:id="rId152" display="https://dmd-browser.nhsbsa.nhs.uk/ampp/view/194984"/>
    <hyperlink ref="D76" r:id="rId153" display="https://dailymed.nlm.nih.gov/dailymed/search.cfm?labeltype=all&amp;query=pantoprazole+sodium+for+injection"/>
    <hyperlink ref="G76" r:id="rId154" display="https://www.ema.europa.eu/en/documents/other/article-57-product-data_en.xlsx"/>
    <hyperlink ref="D77" r:id="rId155" display="https://dailymed.nlm.nih.gov/dailymed/search.cfm?labeltype=all&amp;query=pantoprazole+sodium+for+injection"/>
    <hyperlink ref="G77" r:id="rId156" display="https://health-products.canada.ca/dpd-bdpp/info?code=94611&amp;lang=eng"/>
    <hyperlink ref="D78" r:id="rId157" display="https://dailymed.nlm.nih.gov/dailymed/search.cfm?labeltype=all&amp;query=pantoprazole+sodium+for+injection"/>
    <hyperlink ref="G78" r:id="rId158" display="https://base-donnees-publique.medicaments.gouv.fr/index.php?page=1&amp;choixRecherche=medicament&amp;txtCaracteres=Pantoprazole%20Arrow&amp;action=show"/>
    <hyperlink ref="J78" r:id="rId159" display="https://www.ema.europa.eu/en/documents/other/article-57-product-data_en.xlsx"/>
    <hyperlink ref="D79" r:id="rId160" display="https://dailymed.nlm.nih.gov/dailymed/search.cfm?labeltype=all&amp;query=plerixafor"/>
    <hyperlink ref="G79" r:id="rId161" display="https://dailymed.nlm.nih.gov/dailymed/drugInfo.cfm?setid=58c9fa02-3701-d411-f946-790a62ddc064"/>
    <hyperlink ref="D80" r:id="rId162" display="https://dailymed.nlm.nih.gov/dailymed/search.cfm?labeltype=all&amp;query=plerixafor"/>
    <hyperlink ref="G80" r:id="rId163" display="https://mhraproducts4853.blob.core.windows.net/docs/bb7448515c77d7fb12fb87b29dc3839d02e684f3"/>
    <hyperlink ref="D81" r:id="rId164" display="https://dailymed.nlm.nih.gov/dailymed/search.cfm?labeltype=all&amp;query=plerixafor"/>
    <hyperlink ref="G81" r:id="rId165" display="https://www.ema.europa.eu/en/documents/other/article-57-product-data_en.xlsx"/>
    <hyperlink ref="D82" r:id="rId166" display="https://dailymed.nlm.nih.gov/dailymed/search.cfm?labeltype=all&amp;query=plerixafor"/>
    <hyperlink ref="G82" r:id="rId167" display="https://health-products.canada.ca/dpd-bdpp/info?code=102820&amp;lang=eng"/>
    <hyperlink ref="D83" r:id="rId168" display="https://dailymed.nlm.nih.gov/dailymed/search.cfm?labeltype=all&amp;query=plerixafor"/>
    <hyperlink ref="G83" r:id="rId169" display="https://base-donnees-publique.medicaments.gouv.fr/index.php?page=1&amp;choixRecherche=medicament&amp;txtCaracteres=Plerixafor%20Arrow&amp;action=show"/>
    <hyperlink ref="J83" r:id="rId170" display="https://www.ema.europa.eu/en/documents/other/article-57-product-data_en.xlsx"/>
    <hyperlink ref="D84" r:id="rId171" display="https://dailymed.nlm.nih.gov/dailymed/search.cfm?labeltype=all&amp;query=plerixafor"/>
    <hyperlink ref="G84" r:id="rId172" display="https://www.ebs.tga.gov.au/ebs/picmi/picmirepository.nsf/pdf?OpenAgent&amp;id=CP-2024-PI-01246-1"/>
    <hyperlink ref="D85" r:id="rId173" display="https://dailymed.nlm.nih.gov/dailymed/search.cfm?labeltype=all&amp;query=progesterone+injection"/>
    <hyperlink ref="G85" r:id="rId174" display="https://dailymed.nlm.nih.gov/dailymed/drugInfo.cfm?setid=7d19df3b-94ed-4681-beae-9caaf137d014"/>
    <hyperlink ref="D86" r:id="rId175" display="https://dailymed.nlm.nih.gov/dailymed/search.cfm?labeltype=all&amp;query=regadenoson"/>
    <hyperlink ref="G86" r:id="rId176" display="https://dailymed.nlm.nih.gov/dailymed/drugInfo.cfm?setid=b553eb2d-0c3f-444e-ad4c-282328683110"/>
    <hyperlink ref="D87" r:id="rId177" display="https://dailymed.nlm.nih.gov/dailymed/search.cfm?labeltype=all&amp;query=remifentanil"/>
    <hyperlink ref="G87" r:id="rId178" display="https://www.ema.europa.eu/en/documents/other/article-57-product-data_en.xlsx"/>
    <hyperlink ref="D88" r:id="rId179" display="https://dailymed.nlm.nih.gov/dailymed/search.cfm?labeltype=all&amp;query=ropivacaine"/>
    <hyperlink ref="G88" r:id="rId180" display="https://dailymed.nlm.nih.gov/dailymed/drugInfo.cfm?setid=3763b7b6-da49-4658-b93d-28f5da24d09e"/>
    <hyperlink ref="D89" r:id="rId181" display="https://dailymed.nlm.nih.gov/dailymed/search.cfm?labeltype=all&amp;query=sildenafil+injection"/>
    <hyperlink ref="G89" r:id="rId182" display="https://dailymed.nlm.nih.gov/dailymed/drugInfo.cfm?setid=bb92d686-a81e-4b91-8048-693af0534cb3"/>
    <hyperlink ref="D90" r:id="rId183" display="https://dailymed.nlm.nih.gov/dailymed/search.cfm?labeltype=all&amp;query=testosterone+cypionate"/>
    <hyperlink ref="G90" r:id="rId184" display="https://dailymed.nlm.nih.gov/dailymed/drugInfo.cfm?setid=f901e2b2-f143-4237-8e95-0d134585490b"/>
    <hyperlink ref="D91" r:id="rId185" display="https://dailymed.nlm.nih.gov/dailymed/search.cfm?labeltype=all&amp;query=testosterone+enanthate"/>
    <hyperlink ref="G91" r:id="rId186" display="https://dailymed.nlm.nih.gov/dailymed/drugInfo.cfm?setid=82a98132-9d5f-40a5-8c4f-f52f2a5de60e"/>
    <hyperlink ref="D92" r:id="rId187" display="https://dailymed.nlm.nih.gov/dailymed/search.cfm?labeltype=all&amp;query=tirofiban"/>
    <hyperlink ref="G92" r:id="rId188" display="https://dailymed.nlm.nih.gov/dailymed/drugInfo.cfm?setid=d554acff-22e9-4f28-b826-ee1b91daa2df"/>
    <hyperlink ref="D93" r:id="rId189" display="https://dailymed.nlm.nih.gov/dailymed/search.cfm?labeltype=all&amp;query=tirofiban"/>
    <hyperlink ref="G93" r:id="rId190" display="https://www.ema.europa.eu/en/documents/other/article-57-product-data_en.xlsx"/>
    <hyperlink ref="D94" r:id="rId191" display="https://dailymed.nlm.nih.gov/dailymed/search.cfm?labeltype=all&amp;query=tirofiban"/>
    <hyperlink ref="G94" r:id="rId192" display="https://www.ema.europa.eu/en/documents/other/article-57-product-data_en.xlsx"/>
    <hyperlink ref="D95" r:id="rId193" display="https://dailymed.nlm.nih.gov/dailymed/search.cfm?labeltype=all&amp;query=tranexamic+acid+injection"/>
    <hyperlink ref="G95" r:id="rId194" display="https://www.ema.europa.eu/en/documents/other/article-57-product-data_en.xlsx"/>
    <hyperlink ref="D96" r:id="rId195" display="https://dailymed.nlm.nih.gov/dailymed/search.cfm?labeltype=all&amp;query=tranexamic+acid+injection"/>
    <hyperlink ref="G96" r:id="rId196" display="https://health-products.canada.ca/dpd-bdpp/info?code=95428&amp;lang=eng"/>
    <hyperlink ref="D97" r:id="rId197" display="https://dailymed.nlm.nih.gov/dailymed/search.cfm?labeltype=all&amp;query=tranexamic+acid+injection"/>
    <hyperlink ref="G97" r:id="rId198" display="https://base-donnees-publique.medicaments.gouv.fr/index.php?page=1&amp;choixRecherche=medicament&amp;txtCaracteres=Acide%20Tranexamique&amp;action=show"/>
    <hyperlink ref="J97" r:id="rId199" display="https://www.ema.europa.eu/en/documents/other/article-57-product-data_en.xlsx"/>
    <hyperlink ref="D98" r:id="rId200" display="https://dailymed.nlm.nih.gov/dailymed/search.cfm?labeltype=all&amp;query=triamcinolone+acetonide+injectable+suspension"/>
    <hyperlink ref="G98" r:id="rId201" display="https://dailymed.nlm.nih.gov/dailymed/drugInfo.cfm?setid=1034d417-493a-443a-a62e-30786f673ee3"/>
    <hyperlink ref="D99" r:id="rId202" display="https://dailymed.nlm.nih.gov/dailymed/search.cfm?labeltype=all&amp;query=vecuronium"/>
    <hyperlink ref="G99" r:id="rId203" display="https://dailymed.nlm.nih.gov/dailymed/lookup.cfm?setid=86d81719-534c-4e50-ae39-d8b20e50dfad"/>
    <hyperlink ref="D100" r:id="rId204" display="https://dailymed.nlm.nih.gov/dailymed/search.cfm?labeltype=all&amp;query=verapamil+hydrochloride+injection"/>
    <hyperlink ref="G100" r:id="rId205" display="https://dailymed.nlm.nih.gov/dailymed/drugInfo.cfm?setid=def3b9ba-523d-4b83-a80d-fa6f362e111c"/>
    <hyperlink ref="D101" r:id="rId206" display="https://dailymed.nlm.nih.gov/dailymed/search.cfm?labeltype=all&amp;query=vinorelbine"/>
    <hyperlink ref="G101" r:id="rId207" display="https://base-donnees-publique.medicaments.gouv.fr/index.php?page=1&amp;choixRecherche=medicament&amp;txtCaracteres=Vinorelbine&amp;action=show"/>
    <hyperlink ref="J101" r:id="rId208" display="https://www.ema.europa.eu/en/documents/other/article-57-product-data_en.xlsx"/>
    <hyperlink ref="D102" r:id="rId209" display="https://dailymed.nlm.nih.gov/dailymed/search.cfm?labeltype=all&amp;query=azacitidine"/>
    <hyperlink ref="G102" r:id="rId210" display="https://www.ebs.tga.gov.au/servlet/xmlmillr6?dbid=ebs/PublicHTML/pdfStore.nsf&amp;docid=285655&amp;agid=(PrintDetailsPublic)&amp;actionid=1"/>
    <hyperlink ref="D103" r:id="rId211" display="https://dailymed.nlm.nih.gov/dailymed/search.cfm?labeltype=all&amp;query=bleomycin"/>
    <hyperlink ref="G103" r:id="rId212" display="https://www.healthdirect.gov.au/medicines/brand/amt%2C765691000168104/bleomycin-15k-cipla"/>
    <hyperlink ref="D104" r:id="rId213" display="https://dailymed.nlm.nih.gov/dailymed/search.cfm?labeltype=all&amp;query=bleomycin"/>
    <hyperlink ref="G104" r:id="rId214" display="https://medsinfoportal.sahpra.org.za/pil/da701bba09930b6759e3519933be7136.pdf"/>
    <hyperlink ref="D105" r:id="rId215" display="https://dailymed.nlm.nih.gov/dailymed/search.cfm?labeltype=all&amp;query=bortezomib"/>
    <hyperlink ref="G105" r:id="rId216" display="https://pi-pil-repository.sahpra.org.za/wp-content/uploads/2025/08/Final_PI-_ONBORT.pdf"/>
    <hyperlink ref="D106" r:id="rId217" display="https://dailymed.nlm.nih.gov/dailymed/search.cfm?labeltype=all&amp;query=cefepime"/>
    <hyperlink ref="G106" r:id="rId218" location="search:cefect" display="https://medicineprices.org.za/#search:cefect"/>
    <hyperlink ref="D107" r:id="rId219" display="https://dailymed.nlm.nih.gov/dailymed/search.cfm?labeltype=all&amp;query=daptomycin"/>
    <hyperlink ref="G107" r:id="rId220" display="https://mhraproducts4853.blob.core.windows.net/docs/a63e0068e2c1943c944704ec48517d5eb5a0e436"/>
    <hyperlink ref="D108" r:id="rId221" display="https://dailymed.nlm.nih.gov/dailymed/search.cfm?labeltype=all&amp;query=daptomycin"/>
    <hyperlink ref="G108" r:id="rId222" display="https://www.ema.europa.eu/en/documents/other/article-57-product-data_en.xlsx"/>
    <hyperlink ref="D109" r:id="rId223" display="https://dailymed.nlm.nih.gov/dailymed/search.cfm?labeltype=all&amp;query=daptomycin"/>
    <hyperlink ref="G109" r:id="rId224" display="https://www.ebs.tga.gov.au/ebs/picmi/picmirepository.nsf/pdf?OpenAgent&amp;id=CP-2023-PI-01892-1"/>
    <hyperlink ref="D110" r:id="rId225" display="https://dailymed.nlm.nih.gov/dailymed/search.cfm?labeltype=all&amp;query=doxorubicin"/>
    <hyperlink ref="G110" r:id="rId226" display="https://medsinfoportal.sahpra.org.za/pi/630dc9c6196521be5b9372d6e0896f56.pdf"/>
    <hyperlink ref="D111" r:id="rId227" display="https://dailymed.nlm.nih.gov/dailymed/search.cfm?labeltype=all&amp;query=fulvestrant"/>
    <hyperlink ref="G111" r:id="rId228" display="https://www.ema.europa.eu/en/documents/other/article-57-product-data_en.xlsx"/>
    <hyperlink ref="D112" r:id="rId229" display="https://dailymed.nlm.nih.gov/dailymed/search.cfm?labeltype=all&amp;query=hydrocortisone+sodium+succinate"/>
    <hyperlink ref="G112" r:id="rId230" display="https://dailymed.nlm.nih.gov/dailymed/search.cfm?searchdb=ndc&amp;query=69097-004"/>
    <hyperlink ref="D113" r:id="rId231" display="https://dailymed.nlm.nih.gov/dailymed/search.cfm?labeltype=all&amp;query=hydrocortisone+sodium+succinate"/>
    <hyperlink ref="G113" r:id="rId232" display="https://www.ebs.tga.gov.au/ebs/picmi/picmirepository.nsf/pdf?OpenAgent&amp;id=CP-2022-PI-01547-1"/>
    <hyperlink ref="D114" r:id="rId233" display="https://dailymed.nlm.nih.gov/dailymed/search.cfm?labeltype=all&amp;query=isoproterenol"/>
    <hyperlink ref="G114" r:id="rId234" display="https://www.ebs.tga.gov.au/ebs/picmi/picmirepository.nsf/pdf?OpenAgent&amp;id=CP-2022-PI-01316-1"/>
    <hyperlink ref="D115" r:id="rId235" display="https://dailymed.nlm.nih.gov/dailymed/search.cfm?labeltype=all&amp;query=lanreotide"/>
    <hyperlink ref="G115" r:id="rId236" display="https://dailymed.nlm.nih.gov/dailymed/drugInfo.cfm?setid=2892b4c3-0329-4d29-97ff-3b45283bbab1"/>
    <hyperlink ref="D116" r:id="rId237" display="https://www.who.int/news-room/fact-sheets/detail/measles"/>
    <hyperlink ref="G116" r:id="rId238" location="search:measles" display="https://medicineprices.org.za/#search:measles"/>
    <hyperlink ref="D117" r:id="rId239" display="https://dailymed.nlm.nih.gov/dailymed/search.cfm?labeltype=all&amp;query=medroxyprogesterone+acetate+injectable"/>
    <hyperlink ref="G117" r:id="rId240" display="https://www.tga.gov.au/resources/annual-charge-exemptions/cipla-medroxyprogesterone-medroxyprogesterone-acetate-150-mg1-ml-injection-suspension-vial-2024-25"/>
    <hyperlink ref="D118" r:id="rId241" display="https://dailymed.nlm.nih.gov/dailymed/search.cfm?labeltype=all&amp;query=palonosetron"/>
    <hyperlink ref="G118" r:id="rId242" display="https://www.ebs.tga.gov.au/servlet/xmlmillr6?dbid=ebs/PublicHTML/pdfStore.nsf&amp;docid=267130&amp;agid=(PrintDetailsPublic)&amp;actionid=1"/>
    <hyperlink ref="D119" r:id="rId243" display="https://dailymed.nlm.nih.gov/dailymed/search.cfm?labeltype=all&amp;query=phenylephrine+hydrochloride+injection"/>
    <hyperlink ref="G119" r:id="rId244" display="https://www.ebs.tga.gov.au/servlet/xmlmillr6?dbid=ebs/PublicHTML/pdfStore.nsf&amp;docid=304362&amp;agid=(PrintDetailsPublic)&amp;actionid=1"/>
    <hyperlink ref="D120" r:id="rId245" display="https://dailymed.nlm.nih.gov/dailymed/search.cfm?labeltype=all&amp;query=phytonadione"/>
    <hyperlink ref="G120" r:id="rId246" display="https://dailymed.nlm.nih.gov/dailymed/search.cfm?searchdb=ndc&amp;query=69097-003-96"/>
    <hyperlink ref="D121" r:id="rId247" display="https://list.essentialmeds.org/?query=streptokinase"/>
    <hyperlink ref="G121" r:id="rId248" location="search:streptase" display="https://medicineprices.org.za/#search:streptase"/>
    <hyperlink ref="D122" r:id="rId249" display="https://dailymed.nlm.nih.gov/dailymed/search.cfm?labeltype=all&amp;query=sugammadex"/>
    <hyperlink ref="G122" r:id="rId250" display="https://www.ema.europa.eu/en/documents/other/article-57-product-data_en.xlsx"/>
    <hyperlink ref="D123" r:id="rId251" display="https://dailymed.nlm.nih.gov/dailymed/search.cfm?labeltype=all&amp;query=sugammadex"/>
    <hyperlink ref="G123" r:id="rId252" display="https://www.tga.gov.au/resources/artg"/>
    <hyperlink ref="D124" r:id="rId253" display="https://dailymed.nlm.nih.gov/dailymed/search.cfm?labeltype=all&amp;query=sugammadex"/>
    <hyperlink ref="G124" r:id="rId254" display="https://pi-pil-repository.sahpra.org.za/wp-content/uploads/2023/04/Final_PI_SENUOM_Applicant.pdf"/>
    <hyperlink ref="D125" r:id="rId255" display="https://mhraproducts4853.blob.core.windows.net/docs/45a310f5c66d09f20d9d1eb3a5d48c17c486ac7b"/>
    <hyperlink ref="G125" r:id="rId256" display="https://medsinfoportal.sahpra.org.za/pil/4482c47ecb020931a053f527db2883e0.pdf"/>
    <hyperlink ref="D126" r:id="rId257" display="https://dailymed.nlm.nih.gov/dailymed/search.cfm?labeltype=all&amp;query=testosterone+cypionate"/>
    <hyperlink ref="G126" r:id="rId258" display="https://dailymed.nlm.nih.gov/dailymed/drugInfo.cfm?setid=78d55bad-4a5b-4e21-aeb8-a4c6346208be"/>
    <hyperlink ref="D127" r:id="rId259" display="https://dailymed.nlm.nih.gov/dailymed/search.cfm?labeltype=all&amp;query=testosterone+undecanoate"/>
    <hyperlink ref="G127" r:id="rId260" display="https://pi-pil-repository.sahpra.org.za/wp-content/uploads/2025/10/570491_Testosterone-cipla_PI_Applicant.pdf"/>
    <hyperlink ref="D128" r:id="rId261" display="https://dailymed.nlm.nih.gov/dailymed/search.cfm?labeltype=all&amp;query=trastuzumab"/>
    <hyperlink ref="G128" r:id="rId262" display="https://www.ebs.tga.gov.au/servlet/xmlmillr6?dbid=ebs/PublicHTML/pdfStore.nsf&amp;docid=368972&amp;agid=(PrintDetailsPublic)&amp;actionid=1"/>
    <hyperlink ref="D129" r:id="rId263" display="https://dailymed.nlm.nih.gov/dailymed/search.cfm?labeltype=all&amp;query=vinblastine"/>
    <hyperlink ref="G129" r:id="rId264" location="search:cytoblastin" display="https://medicineprices.org.za/#search:cytoblastin"/>
    <hyperlink ref="D130" r:id="rId265" display="https://dailymed.nlm.nih.gov/dailymed/search.cfm?labeltype=all&amp;query=vinorelbine"/>
    <hyperlink ref="G130" r:id="rId266" display="https://medsinfoportal.sahpra.org.za/pil/36f7abdc01fd9359da933b04b2161e20.pdf"/>
    <hyperlink ref="D131" r:id="rId267" display="https://dailymed.nlm.nih.gov/dailymed/search.cfm?labeltype=all&amp;query=azacitidine"/>
    <hyperlink ref="G131" r:id="rId268" display="https://mhraproducts4853.blob.core.windows.net/docs/11c1ec30fc299931e4de1e6eb1da508221e64e2f"/>
    <hyperlink ref="D132" r:id="rId269" display="https://dailymed.nlm.nih.gov/dailymed/search.cfm?labeltype=all&amp;query=azacitidine"/>
    <hyperlink ref="G132" r:id="rId270" display="https://health-products.canada.ca/dpd-bdpp/info?code=95068&amp;lang=eng"/>
    <hyperlink ref="D133" r:id="rId271" display="https://dailymed.nlm.nih.gov/dailymed/search.cfm?labeltype=all&amp;query=azacitidine"/>
    <hyperlink ref="G133" r:id="rId272" display="https://www.ema.europa.eu/en/medicines/human/EPAR/azacitidine-betapharm"/>
    <hyperlink ref="J133" r:id="rId273" display="https://www.ema.europa.eu/en/documents/other/article-57-product-data_en.xlsx"/>
    <hyperlink ref="D134" r:id="rId274" display="https://dailymed.nlm.nih.gov/dailymed/search.cfm?labeltype=all&amp;query=azacitidine"/>
    <hyperlink ref="G134" r:id="rId275" display="https://www.ebs.tga.gov.au/ebs/picmi/picmirepository.nsf/pdf?OpenAgent&amp;id=CP-2016-PI-01288-1"/>
    <hyperlink ref="D135" r:id="rId276" display="https://dailymed.nlm.nih.gov/dailymed/search.cfm?labeltype=all&amp;query=azacitidine"/>
    <hyperlink ref="G135" r:id="rId277" display="https://pi-pil-repository.sahpra.org.za/wp-content/uploads/2023/07/approved-pil.pdf"/>
    <hyperlink ref="D136" r:id="rId278" display="https://dailymed.nlm.nih.gov/dailymed/search.cfm?labeltype=all&amp;query=bivalirudin"/>
    <hyperlink ref="G136" r:id="rId279" display="https://dailymed.nlm.nih.gov/dailymed/search.cfm?labeltype=all&amp;query=Bivalirudin"/>
    <hyperlink ref="D137" r:id="rId280" display="https://dailymed.nlm.nih.gov/dailymed/search.cfm?labeltype=all&amp;query=bortezomib"/>
    <hyperlink ref="G137" r:id="rId281" display="https://dailymed.nlm.nih.gov/dailymed/search.cfm?labeltype=all&amp;query=Bortezomib"/>
    <hyperlink ref="D138" r:id="rId282" display="https://dailymed.nlm.nih.gov/dailymed/search.cfm?labeltype=all&amp;query=bortezomib"/>
    <hyperlink ref="G138" r:id="rId283" display="https://mhraproducts4853.blob.core.windows.net/docs/3f37ca6630cfcad926467080f4d6bb4a305ed4fa"/>
    <hyperlink ref="D139" r:id="rId284" display="https://dailymed.nlm.nih.gov/dailymed/search.cfm?labeltype=all&amp;query=bortezomib"/>
    <hyperlink ref="G139" r:id="rId285" display="https://www.ema.europa.eu/en/documents/other/article-57-product-data_en.xlsx"/>
    <hyperlink ref="D140" r:id="rId286" display="https://dailymed.nlm.nih.gov/dailymed/search.cfm?labeltype=all&amp;query=bortezomib"/>
    <hyperlink ref="G140" r:id="rId287" display="https://health-products.canada.ca/dpd-bdpp/info?code=93883&amp;lang=eng"/>
    <hyperlink ref="D141" r:id="rId288" display="https://dailymed.nlm.nih.gov/dailymed/search.cfm?labeltype=all&amp;query=bortezomib"/>
    <hyperlink ref="G141" r:id="rId289" display="https://base-donnees-publique.medicaments.gouv.fr/index.php?page=1&amp;choixRecherche=medicament&amp;txtCaracteres=Bortezomib&amp;action=show"/>
    <hyperlink ref="J141" r:id="rId290" display="https://www.ema.europa.eu/en/documents/other/article-57-product-data_en.xlsx"/>
    <hyperlink ref="D142" r:id="rId291" display="https://dailymed.nlm.nih.gov/dailymed/search.cfm?labeltype=all&amp;query=bortezomib"/>
    <hyperlink ref="G142" r:id="rId292" display="https://pi-pil-repository.sahpra.org.za/wp-content/uploads/2025/04/pil-approved-5.pdf"/>
    <hyperlink ref="D143" r:id="rId293" display="https://dailymed.nlm.nih.gov/dailymed/search.cfm?labeltype=all&amp;query=carboprost"/>
    <hyperlink ref="G143" r:id="rId294" display="https://dailymed.nlm.nih.gov/dailymed/lookup.cfm?setid=ce9f0ea6-69f9-6b68-2811-3b51e34acea6"/>
    <hyperlink ref="D144" r:id="rId295" display="https://dailymed.nlm.nih.gov/dailymed/search.cfm?labeltype=all&amp;query=carboprost"/>
    <hyperlink ref="G144" r:id="rId296" display="https://www.ebs.tga.gov.au/ebs/picmi/picmirepository.nsf/pdf?OpenAgent&amp;id=CP-2023-PI-01598-1"/>
    <hyperlink ref="D145" r:id="rId297" display="https://dailymed.nlm.nih.gov/dailymed/search.cfm?labeltype=all&amp;query=cyclophosphamide"/>
    <hyperlink ref="G145" r:id="rId298" display="https://dailymed.nlm.nih.gov/dailymed/drugInfo.cfm?setid=a5818647-d840-e9d7-c7b8-6541b485e44e"/>
    <hyperlink ref="D146" r:id="rId299" display="https://dailymed.nlm.nih.gov/dailymed/search.cfm?labeltype=all&amp;query=cyclophosphamide"/>
    <hyperlink ref="G146" r:id="rId300" display="https://base-donnees-publique.medicaments.gouv.fr/index.php?page=1&amp;choixRecherche=medicament&amp;txtCaracteres=Cyclophosphamide%20Reddy&amp;action=show"/>
    <hyperlink ref="J146" r:id="rId301" display="https://www.ema.europa.eu/en/documents/other/article-57-product-data_en.xlsx"/>
    <hyperlink ref="D147" r:id="rId302" display="https://dailymed.nlm.nih.gov/dailymed/search.cfm?labeltype=all&amp;query=daptomycin"/>
    <hyperlink ref="G147" r:id="rId303" display="https://mhraproducts4853.blob.core.windows.net/docs/60c8a02705c24afc73bb76255b45928c586ba95b"/>
    <hyperlink ref="D148" r:id="rId304" display="https://dailymed.nlm.nih.gov/dailymed/search.cfm?labeltype=all&amp;query=daptomycin"/>
    <hyperlink ref="G148" r:id="rId305" display="https://www.ema.europa.eu/en/documents/other/article-57-product-data_en.xlsx"/>
    <hyperlink ref="D149" r:id="rId306" display="https://dailymed.nlm.nih.gov/dailymed/search.cfm?labeltype=all&amp;query=daptomycin"/>
    <hyperlink ref="G149" r:id="rId307" display="https://health-products.canada.ca/dpd-bdpp/info?code=98052&amp;lang=eng"/>
    <hyperlink ref="D150" r:id="rId308" display="https://dailymed.nlm.nih.gov/dailymed/search.cfm?labeltype=all&amp;query=daptomycin"/>
    <hyperlink ref="G150" r:id="rId309" display="https://base-donnees-publique.medicaments.gouv.fr/index.php?page=1&amp;choixRecherche=medicament&amp;txtCaracteres=Daptomycine%20Reddy&amp;action=show"/>
    <hyperlink ref="J150" r:id="rId310" display="https://www.ema.europa.eu/en/documents/other/article-57-product-data_en.xlsx"/>
    <hyperlink ref="D151" r:id="rId311" display="https://dailymed.nlm.nih.gov/dailymed/search.cfm?labeltype=all&amp;query=daptomycin"/>
    <hyperlink ref="G151" r:id="rId312" display="https://www.ebs.tga.gov.au/ebs/picmi/picmirepository.nsf/pdf?OpenAgent&amp;id=CP-2021-PI-01507-1"/>
    <hyperlink ref="D152" r:id="rId313" display="https://dailymed.nlm.nih.gov/dailymed/search.cfm?labeltype=all&amp;query=desmopressin"/>
    <hyperlink ref="G152" r:id="rId314" display="https://dailymed.nlm.nih.gov/dailymed/drugInfo.cfm?setid=60dd8694-58d8-d88e-26f2-f28baa53787e"/>
    <hyperlink ref="D153" r:id="rId315" display="https://dailymed.nlm.nih.gov/dailymed/search.cfm?labeltype=all&amp;query=diazepam+injection"/>
    <hyperlink ref="G153" r:id="rId316" display="https://dailymed.nlm.nih.gov/dailymed/drugInfo.cfm?setid=7a912f1a-deee-46df-a8df-22a0afb06529"/>
    <hyperlink ref="D154" r:id="rId317" display="https://dailymed.nlm.nih.gov/dailymed/search.cfm?labeltype=all&amp;query=ephedrine+sulfate+injection"/>
    <hyperlink ref="G154" r:id="rId318" display="https://dailymed.nlm.nih.gov/dailymed/drugInfo.cfm?setid=1d1c41c1-8f5f-ee76-c890-4f1f2a3b2e96"/>
    <hyperlink ref="D155" r:id="rId319" display="https://dailymed.nlm.nih.gov/dailymed/search.cfm?labeltype=all&amp;query=eribulin"/>
    <hyperlink ref="G155" r:id="rId320" display="https://dailymed.nlm.nih.gov/dailymed/drugInfo.cfm?setid=1038e984-3bf7-5bbf-f1ec-ce15ae330efc"/>
    <hyperlink ref="D156" r:id="rId321" display="https://dailymed.nlm.nih.gov/dailymed/search.cfm?labeltype=all&amp;query=eribulin"/>
    <hyperlink ref="G156" r:id="rId322" display="https://dmd-browser.nhsbsa.nhs.uk/ampp/view/211180"/>
    <hyperlink ref="D157" r:id="rId323" display="https://dailymed.nlm.nih.gov/dailymed/search.cfm?labeltype=all&amp;query=eribulin"/>
    <hyperlink ref="G157" r:id="rId324" display="https://www.ema.europa.eu/en/documents/other/article-57-product-data_en.xlsx"/>
    <hyperlink ref="D158" r:id="rId325" display="https://dailymed.nlm.nih.gov/dailymed/search.cfm?labeltype=all&amp;query=eribulin"/>
    <hyperlink ref="G158" r:id="rId326" display="https://health-products.canada.ca/dpd-bdpp/info?code=103467&amp;lang=eng"/>
    <hyperlink ref="D159" r:id="rId327" display="https://dailymed.nlm.nih.gov/dailymed/search.cfm?labeltype=all&amp;query=eribulin"/>
    <hyperlink ref="G159" r:id="rId328" display="https://www.ema.europa.eu/en/documents/other/article-57-product-data_en.xlsx"/>
    <hyperlink ref="D160" r:id="rId329" display="https://dailymed.nlm.nih.gov/dailymed/search.cfm?labeltype=all&amp;query=eribulin"/>
    <hyperlink ref="G160" r:id="rId330" display="https://www.ebs.tga.gov.au/ebs/picmi/picmirepository.nsf/pdf?OpenAgent&amp;id=CP-2024-PI-02722-1"/>
    <hyperlink ref="D161" r:id="rId331" display="https://dailymed.nlm.nih.gov/dailymed/search.cfm?labeltype=all&amp;query=eribulin"/>
    <hyperlink ref="G161" r:id="rId332" location="search:eribulin" display="https://medicineprices.org.za/#search:eribulin"/>
    <hyperlink ref="D162" r:id="rId333" display="https://dailymed.nlm.nih.gov/dailymed/search.cfm?labeltype=all&amp;query=ertapenem"/>
    <hyperlink ref="G162" r:id="rId334" display="https://health-products.canada.ca/dpd-bdpp/info?code=100038&amp;lang=eng"/>
    <hyperlink ref="D163" r:id="rId335" display="https://dailymed.nlm.nih.gov/dailymed/search.cfm?labeltype=all&amp;query=ferric+carboxymaltose"/>
    <hyperlink ref="G163" r:id="rId336" display="https://www.tga.gov.au/resources/artg/431990"/>
    <hyperlink ref="D164" r:id="rId337" display="https://dailymed.nlm.nih.gov/dailymed/search.cfm?labeltype=all&amp;query=fulvestrant"/>
    <hyperlink ref="G164" r:id="rId338" display="https://dailymed.nlm.nih.gov/dailymed/drugInfo.cfm?setid=2fc17ba3-83c7-a2b4-8a75-6a0cb1e07682"/>
    <hyperlink ref="D165" r:id="rId339" display="https://dailymed.nlm.nih.gov/dailymed/search.cfm?labeltype=all&amp;query=fulvestrant"/>
    <hyperlink ref="G165" r:id="rId340" display="https://mhraproducts4853.blob.core.windows.net/docs/15cb9531a83993d5871cb4fbb39a9f60d681facb"/>
    <hyperlink ref="D166" r:id="rId341" display="https://dailymed.nlm.nih.gov/dailymed/search.cfm?labeltype=all&amp;query=fulvestrant"/>
    <hyperlink ref="G166" r:id="rId342" display="https://www.ema.europa.eu/en/documents/other/article-57-product-data_en.xlsx"/>
    <hyperlink ref="D167" r:id="rId343" display="https://dailymed.nlm.nih.gov/dailymed/search.cfm?labeltype=all&amp;query=fulvestrant"/>
    <hyperlink ref="G167" r:id="rId344" display="https://www.ema.europa.eu/en/documents/other/article-57-product-data_en.xlsx"/>
    <hyperlink ref="D168" r:id="rId345" display="https://dailymed.nlm.nih.gov/dailymed/search.cfm?labeltype=all&amp;query=fulvestrant"/>
    <hyperlink ref="G168" r:id="rId346" display="https://pi-pil-repository.sahpra.org.za/wp-content/uploads/2025/02/approved-pi.pdf"/>
    <hyperlink ref="D169" r:id="rId347" display="https://dailymed.nlm.nih.gov/dailymed/search.cfm?labeltype=all&amp;query=ibandronate+injection"/>
    <hyperlink ref="G169" r:id="rId348" display="https://www.ema.europa.eu/en/documents/other/article-57-product-data_en.xlsx"/>
    <hyperlink ref="D170" r:id="rId349" display="https://dailymed.nlm.nih.gov/dailymed/search.cfm?labeltype=all&amp;query=naloxone+hydrochloride+injection"/>
    <hyperlink ref="G170" r:id="rId350" display="https://dailymed.nlm.nih.gov/dailymed/search.cfm?searchdb=ndc&amp;query=43598-750-11"/>
    <hyperlink ref="D171" r:id="rId351" display="https://dailymed.nlm.nih.gov/dailymed/search.cfm?labeltype=all&amp;query=neostigmine"/>
    <hyperlink ref="G171" r:id="rId352" display="https://dailymed.nlm.nih.gov/dailymed/drugInfo.cfm?setid=12575d1a-a2c2-37b2-0dcf-31e58bbc2a10"/>
    <hyperlink ref="D172" r:id="rId353" display="https://dailymed.nlm.nih.gov/dailymed/search.cfm?labeltype=all&amp;query=palonosetron"/>
    <hyperlink ref="G172" r:id="rId354" display="https://dailymed.nlm.nih.gov/dailymed/lookup.cfm?setid=991b8452-852c-c55c-7b1b-e97c4964777a"/>
    <hyperlink ref="D173" r:id="rId355" display="https://dailymed.nlm.nih.gov/dailymed/search.cfm?labeltype=all&amp;query=palonosetron"/>
    <hyperlink ref="G173" r:id="rId356" display="https://www.ema.europa.eu/en/documents/other/article-57-product-data_en.xlsx"/>
    <hyperlink ref="D174" r:id="rId357" display="https://dailymed.nlm.nih.gov/dailymed/search.cfm?labeltype=all&amp;query=palonosetron"/>
    <hyperlink ref="G174" r:id="rId358" display="https://www.ebs.tga.gov.au/ebs/picmi/picmirepository.nsf/pdf?OpenAgent&amp;id=CP-2016-PI-02208-1"/>
    <hyperlink ref="D175" r:id="rId359" display="https://dailymed.nlm.nih.gov/dailymed/search.cfm?labeltype=all&amp;query=phytonadione"/>
    <hyperlink ref="G175" r:id="rId360" display="https://dailymed.nlm.nih.gov/dailymed/drugInfo.cfm?setid=02445c07-7b4b-cd70-54e8-ebefc814f547"/>
    <hyperlink ref="D176" r:id="rId361" display="https://dailymed.nlm.nih.gov/dailymed/search.cfm?labeltype=all&amp;query=plerixafor"/>
    <hyperlink ref="G176" r:id="rId362" display="https://dailymed.nlm.nih.gov/dailymed/drugInfo.cfm?setid=58c9fa02-3701-d411-f946-790a62ddc064"/>
    <hyperlink ref="D177" r:id="rId363" display="https://dailymed.nlm.nih.gov/dailymed/search.cfm?labeltype=all&amp;query=regadenoson"/>
    <hyperlink ref="G177" r:id="rId364" display="https://dailymed.nlm.nih.gov/dailymed/search.cfm?labeltype=all&amp;query=Regadenoson"/>
    <hyperlink ref="D178" r:id="rId365" display="https://dailymed.nlm.nih.gov/dailymed/search.cfm?labeltype=all&amp;query=succinylcholine"/>
    <hyperlink ref="G178" r:id="rId366" display="https://dailymed.nlm.nih.gov/dailymed/drugInfo.cfm?setid=6e6e0ce7-c73c-407f-9678-724425f24976"/>
    <hyperlink ref="D179" r:id="rId367" display="https://dailymed.nlm.nih.gov/dailymed/search.cfm?labeltype=all&amp;query=succinylcholine"/>
    <hyperlink ref="G179" r:id="rId368" display="https://pdf.hres.ca/dpd_pm/00069183.PDF"/>
    <hyperlink ref="D180" r:id="rId369" display="https://dailymed.nlm.nih.gov/dailymed/search.cfm?labeltype=all&amp;query=sugammadex"/>
    <hyperlink ref="G180" r:id="rId370" display="https://dailymed.nlm.nih.gov/dailymed/drugInfo.cfm?setid=4f90c37e-3505-0968-38fd-fc7e4dd66e82"/>
    <hyperlink ref="D181" r:id="rId371" display="https://dailymed.nlm.nih.gov/dailymed/search.cfm?labeltype=all&amp;query=sugammadex"/>
    <hyperlink ref="G181" r:id="rId372" display="https://dmd-browser.nhsbsa.nhs.uk/ampp/view/195075"/>
    <hyperlink ref="D182" r:id="rId373" display="https://dailymed.nlm.nih.gov/dailymed/search.cfm?labeltype=all&amp;query=sugammadex"/>
    <hyperlink ref="G182" r:id="rId374" display="https://www.ema.europa.eu/en/documents/other/article-57-product-data_en.xlsx"/>
    <hyperlink ref="D183" r:id="rId375" display="https://dailymed.nlm.nih.gov/dailymed/search.cfm?labeltype=all&amp;query=sugammadex"/>
    <hyperlink ref="G183" r:id="rId376" display="https://base-donnees-publique.medicaments.gouv.fr/index.php?page=1&amp;choixRecherche=medicament&amp;txtCaracteres=Sugammadex&amp;action=show"/>
    <hyperlink ref="J183" r:id="rId377" display="https://www.ema.europa.eu/en/documents/other/article-57-product-data_en.xlsx"/>
    <hyperlink ref="D184" r:id="rId378" display="https://dailymed.nlm.nih.gov/dailymed/search.cfm?labeltype=all&amp;query=sugammadex"/>
    <hyperlink ref="G184" r:id="rId379" display="https://www.ebs.tga.gov.au/ebs/picmi/picmirepository.nsf/pdf?OpenAgent&amp;id=CP-2021-PI-01471-1"/>
    <hyperlink ref="D185" r:id="rId380" display="https://dailymed.nlm.nih.gov/dailymed/search.cfm?labeltype=all&amp;query=sugammadex"/>
    <hyperlink ref="G185" r:id="rId381" display="https://pi-pil-repository.sahpra.org.za/wp-content/uploads/2023/11/Final_PI_Neuvysi_Applicant.pdf"/>
    <hyperlink ref="D186" r:id="rId382" display="https://dailymed.nlm.nih.gov/dailymed/search.cfm?labeltype=all&amp;query=thiotepa"/>
    <hyperlink ref="G186" r:id="rId383" display="https://dailymed.nlm.nih.gov/dailymed/drugInfo.cfm?setid=0def6a5e-4bf5-b1fd-47b7-0f17ecfd9bc2"/>
    <hyperlink ref="D187" r:id="rId384" display="https://dailymed.nlm.nih.gov/dailymed/search.cfm?labeltype=all&amp;query=triamcinolone+acetonide+injectable+suspension"/>
    <hyperlink ref="G187" r:id="rId385" display="https://dailymed.nlm.nih.gov/dailymed/drugInfo.cfm?setid=1034d417-493a-443a-a62e-30786f673ee3"/>
    <hyperlink ref="D188" r:id="rId386" display="https://dailymed.nlm.nih.gov/dailymed/search.cfm?labeltype=all&amp;query=acetazolamide"/>
    <hyperlink ref="G188" r:id="rId387" display="https://dmd-browser.nhsbsa.nhs.uk/ampp/view/210747"/>
    <hyperlink ref="D189" r:id="rId388" display="https://dailymed.nlm.nih.gov/dailymed/search.cfm?labeltype=all&amp;query=acetazolamide"/>
    <hyperlink ref="G189" r:id="rId389" display="https://www.ema.europa.eu/en/documents/other/article-57-product-data_en.xlsx"/>
    <hyperlink ref="D190" r:id="rId390" display="https://dailymed.nlm.nih.gov/dailymed/search.cfm?labeltype=all&amp;query=amikacin"/>
    <hyperlink ref="G190" r:id="rId391" display="https://dmd-browser.nhsbsa.nhs.uk/ampp/view/184215"/>
    <hyperlink ref="D191" r:id="rId392" display="https://dailymed.nlm.nih.gov/dailymed/search.cfm?labeltype=all&amp;query=amikacin"/>
    <hyperlink ref="G191" r:id="rId393" display="https://www.ema.europa.eu/en/documents/other/article-57-product-data_en.xlsx"/>
    <hyperlink ref="D192" r:id="rId394" display="https://dailymed.nlm.nih.gov/dailymed/search.cfm?labeltype=all&amp;query=amikacin"/>
    <hyperlink ref="G192" r:id="rId395" display="https://health-products.canada.ca/dpd-bdpp/info?code=97163&amp;lang=eng"/>
    <hyperlink ref="D193" r:id="rId396" display="https://dailymed.nlm.nih.gov/dailymed/search.cfm?labeltype=all&amp;query=amikacin"/>
    <hyperlink ref="G193" r:id="rId397" display="https://www.ema.europa.eu/en/documents/other/article-57-product-data_en.xlsx"/>
    <hyperlink ref="D194" r:id="rId398" display="https://dailymed.nlm.nih.gov/dailymed/search.cfm?labeltype=all&amp;query=amikacin"/>
    <hyperlink ref="G194" r:id="rId399" display="https://www.ebs.tga.gov.au/ebs/picmi/picmirepository.nsf/pdf?OpenAgent&amp;id=CP-2019-PI-02339-1"/>
    <hyperlink ref="D195" r:id="rId400" display="https://dailymed.nlm.nih.gov/dailymed/search.cfm?labeltype=all&amp;query=ampicillin"/>
    <hyperlink ref="G195" r:id="rId401" display="https://www.ema.europa.eu/en/documents/other/article-57-product-data_en.xlsx"/>
    <hyperlink ref="D196" r:id="rId402" display="https://dailymed.nlm.nih.gov/dailymed/search.cfm?labeltype=all&amp;query=azacitidine"/>
    <hyperlink ref="G196" r:id="rId403" display="https://mhraproducts4853.blob.core.windows.net/docs/e4d662e29a638c2305c604ee1f25827e963a09f4"/>
    <hyperlink ref="D197" r:id="rId404" display="https://dailymed.nlm.nih.gov/dailymed/search.cfm?labeltype=all&amp;query=azacitidine"/>
    <hyperlink ref="G197" r:id="rId405" display="https://www.ema.europa.eu/en/documents/other/article-57-product-data_en.xlsx"/>
    <hyperlink ref="D198" r:id="rId406" display="https://dailymed.nlm.nih.gov/dailymed/search.cfm?labeltype=all&amp;query=azacitidine"/>
    <hyperlink ref="G198" r:id="rId407" display="https://base-donnees-publique.medicaments.gouv.fr/index.php?page=1&amp;choixRecherche=medicament&amp;txtCaracteres=Azacitidine%20Tillomed&amp;action=show"/>
    <hyperlink ref="J198" r:id="rId408" display="https://www.ema.europa.eu/en/documents/other/article-57-product-data_en.xlsx"/>
    <hyperlink ref="D199" r:id="rId409" display="https://dailymed.nlm.nih.gov/dailymed/search.cfm?labeltype=all&amp;query=bortezomib"/>
    <hyperlink ref="G199" r:id="rId410" display="https://www.ema.europa.eu/en/documents/other/article-57-product-data_en.xlsx"/>
    <hyperlink ref="D200" r:id="rId411" display="https://dailymed.nlm.nih.gov/dailymed/search.cfm?labeltype=all&amp;query=bortezomib"/>
    <hyperlink ref="G200" r:id="rId412" display="https://health-products.canada.ca/dpd-bdpp/info?code=98328&amp;lang=eng"/>
    <hyperlink ref="D201" r:id="rId413" display="https://dailymed.nlm.nih.gov/dailymed/search.cfm?labeltype=all&amp;query=bortezomib"/>
    <hyperlink ref="G201" r:id="rId414" display="https://base-donnees-publique.medicaments.gouv.fr/index.php?page=1&amp;choixRecherche=medicament&amp;txtCaracteres=Bortezomib%20Tillomed&amp;action=show"/>
    <hyperlink ref="J201" r:id="rId415" display="https://www.ema.europa.eu/en/documents/other/article-57-product-data_en.xlsx"/>
    <hyperlink ref="D202" r:id="rId416" display="https://dailymed.nlm.nih.gov/dailymed/search.cfm?labeltype=all&amp;query=colistimethate"/>
    <hyperlink ref="G202" r:id="rId417" display="https://health-products.canada.ca/dpd-bdpp/info?code=103531&amp;lang=eng"/>
    <hyperlink ref="D203" r:id="rId418" display="https://dailymed.nlm.nih.gov/dailymed/search.cfm?labeltype=all&amp;query=cyclophosphamide"/>
    <hyperlink ref="G203" r:id="rId419" display="https://health-products.canada.ca/dpd-bdpp/info?code=106329&amp;lang=eng"/>
    <hyperlink ref="D204" r:id="rId420" display="https://dailymed.nlm.nih.gov/dailymed/search.cfm?labeltype=all&amp;query=daptomycin"/>
    <hyperlink ref="G204" r:id="rId421" display="https://mhraproducts4853.blob.core.windows.net/docs/9afd4b27b19aa5c9bee689358bc17d6502fcab14"/>
    <hyperlink ref="D205" r:id="rId422" display="https://dailymed.nlm.nih.gov/dailymed/search.cfm?labeltype=all&amp;query=daptomycin"/>
    <hyperlink ref="G205" r:id="rId423" display="https://base-donnees-publique.medicaments.gouv.fr/index.php?page=1&amp;choixRecherche=medicament&amp;txtCaracteres=Daptomycin%20Tillomed&amp;action=show"/>
    <hyperlink ref="J205" r:id="rId424" display="https://www.ema.europa.eu/en/documents/other/article-57-product-data_en.xlsx"/>
    <hyperlink ref="D206" r:id="rId425" display="https://dailymed.nlm.nih.gov/dailymed/search.cfm?labeltype=all&amp;query=eribulin"/>
    <hyperlink ref="G206" r:id="rId426" display="https://base-donnees-publique.medicaments.gouv.fr/index.php?page=1&amp;choixRecherche=medicament&amp;txtCaracteres=Eribuline%20Tillomed&amp;action=show"/>
    <hyperlink ref="J206" r:id="rId427" display="https://www.ema.europa.eu/en/documents/other/article-57-product-data_en.xlsx"/>
    <hyperlink ref="D207" r:id="rId428" display="https://dailymed.nlm.nih.gov/dailymed/search.cfm?labeltype=all&amp;query=esomeprazole+sodium"/>
    <hyperlink ref="G207" r:id="rId429" display="https://www.ema.europa.eu/en/documents/other/article-57-product-data_en.xlsx"/>
    <hyperlink ref="D208" r:id="rId430" display="https://dailymed.nlm.nih.gov/dailymed/search.cfm?labeltype=all&amp;query=esomeprazole+sodium"/>
    <hyperlink ref="G208" r:id="rId431" display="https://base-donnees-publique.medicaments.gouv.fr/index.php?page=1&amp;choixRecherche=medicament&amp;txtCaracteres=Esomeprazole%20Tillomed&amp;action=show"/>
    <hyperlink ref="J208" r:id="rId432" display="https://www.ema.europa.eu/en/documents/other/article-57-product-data_en.xlsx"/>
    <hyperlink ref="D209" r:id="rId433" display="https://dailymed.nlm.nih.gov/dailymed/search.cfm?labeltype=all&amp;query=isoproterenol"/>
    <hyperlink ref="G209" r:id="rId434" display="https://health-products.canada.ca/dpd-bdpp/info?code=99218&amp;lang=eng"/>
    <hyperlink ref="D210" r:id="rId435" display="https://dailymed.nlm.nih.gov/dailymed/search.cfm?labeltype=all&amp;query=isoproterenol"/>
    <hyperlink ref="G210" r:id="rId436" display="https://base-donnees-publique.medicaments.gouv.fr/index.php?page=1&amp;choixRecherche=medicament&amp;txtCaracteres=Isoprenaline%20Chlorhydrate&amp;action=show"/>
    <hyperlink ref="J210" r:id="rId437" display="https://www.ema.europa.eu/en/documents/other/article-57-product-data_en.xlsx"/>
    <hyperlink ref="D211" r:id="rId438" display="https://dailymed.nlm.nih.gov/dailymed/search.cfm?labeltype=all&amp;query=melphalan+hydrochloride"/>
    <hyperlink ref="G211" r:id="rId439" display="https://mhraproducts4853.blob.core.windows.net/docs/b72d32face7ce61d71696787ed3106ac25618280"/>
    <hyperlink ref="D212" r:id="rId440" display="https://dailymed.nlm.nih.gov/dailymed/search.cfm?labeltype=all&amp;query=melphalan+hydrochloride"/>
    <hyperlink ref="G212" r:id="rId441" display="https://www.ema.europa.eu/en/documents/other/article-57-product-data_en.xlsx"/>
    <hyperlink ref="D213" r:id="rId442" display="https://dailymed.nlm.nih.gov/dailymed/search.cfm?labeltype=all&amp;query=melphalan+hydrochloride"/>
    <hyperlink ref="G213" r:id="rId443" display="https://health-products.canada.ca/dpd-bdpp/info?code=96274&amp;lang=eng"/>
    <hyperlink ref="D214" r:id="rId444" display="https://dailymed.nlm.nih.gov/dailymed/search.cfm?labeltype=all&amp;query=melphalan+hydrochloride"/>
    <hyperlink ref="G214" r:id="rId445" display="https://base-donnees-publique.medicaments.gouv.fr/index.php?page=1&amp;choixRecherche=medicament&amp;txtCaracteres=Melphalan%20Tillomed&amp;action=show"/>
    <hyperlink ref="J214" r:id="rId446" display="https://www.ema.europa.eu/en/documents/other/article-57-product-data_en.xlsx"/>
    <hyperlink ref="D215" r:id="rId447" display="https://dailymed.nlm.nih.gov/dailymed/search.cfm?labeltype=all&amp;query=melphalan+hydrochloride"/>
    <hyperlink ref="G215" r:id="rId448" display="https://www.ebs.tga.gov.au/ebs/picmi/picmirepository.nsf/pdf?OpenAgent&amp;id=CP-2018-PI-01539-1"/>
    <hyperlink ref="D216" r:id="rId449" display="https://dailymed.nlm.nih.gov/dailymed/search.cfm?labeltype=all&amp;query=milrinone"/>
    <hyperlink ref="G216" r:id="rId450" display="https://dmd-browser.nhsbsa.nhs.uk/ampp/view/190885"/>
    <hyperlink ref="D217" r:id="rId451" display="https://dailymed.nlm.nih.gov/dailymed/search.cfm?labeltype=all&amp;query=milrinone"/>
    <hyperlink ref="G217" r:id="rId452" display="https://www.ema.europa.eu/en/documents/other/article-57-product-data_en.xlsx"/>
    <hyperlink ref="D218" r:id="rId453" display="https://dailymed.nlm.nih.gov/dailymed/search.cfm?labeltype=all&amp;query=milrinone"/>
    <hyperlink ref="G218" r:id="rId454" display="https://base-donnees-publique.medicaments.gouv.fr/index.php?page=1&amp;choixRecherche=medicament&amp;txtCaracteres=Milrinone%20Tillomed&amp;action=show"/>
    <hyperlink ref="J218" r:id="rId455" display="https://www.ema.europa.eu/en/documents/other/article-57-product-data_en.xlsx"/>
    <hyperlink ref="D219" r:id="rId456" display="https://dailymed.nlm.nih.gov/dailymed/search.cfm?labeltype=all&amp;query=neostigmine"/>
    <hyperlink ref="G219" r:id="rId457" display="https://health-products.canada.ca/dpd-bdpp/info?code=96586&amp;lang=eng"/>
    <hyperlink ref="D220" r:id="rId458" display="https://dailymed.nlm.nih.gov/dailymed/search.cfm?labeltype=all&amp;query=ondansetron+injection"/>
    <hyperlink ref="G220" r:id="rId459" display="https://www.ema.europa.eu/en/documents/other/article-57-product-data_en.xlsx"/>
    <hyperlink ref="D221" r:id="rId460" display="https://dailymed.nlm.nih.gov/dailymed/search.cfm?labeltype=all&amp;query=pantoprazole+sodium+for+injection"/>
    <hyperlink ref="G221" r:id="rId461" display="https://dmd-browser.nhsbsa.nhs.uk/ampp/view/194984"/>
    <hyperlink ref="D222" r:id="rId462" display="https://dailymed.nlm.nih.gov/dailymed/search.cfm?labeltype=all&amp;query=pantoprazole+sodium+for+injection"/>
    <hyperlink ref="G222" r:id="rId463" display="https://www.ema.europa.eu/en/documents/other/article-57-product-data_en.xlsx"/>
    <hyperlink ref="D223" r:id="rId464" display="https://dailymed.nlm.nih.gov/dailymed/search.cfm?labeltype=all&amp;query=pantoprazole+sodium+for+injection"/>
    <hyperlink ref="G223" r:id="rId465" display="https://base-donnees-publique.medicaments.gouv.fr/index.php?page=1&amp;choixRecherche=medicament&amp;txtCaracteres=Pantoprazole%20Tillomed&amp;action=show"/>
    <hyperlink ref="J223" r:id="rId466" display="https://www.ema.europa.eu/en/documents/other/article-57-product-data_en.xlsx"/>
    <hyperlink ref="D224" r:id="rId467" display="https://dailymed.nlm.nih.gov/dailymed/search.cfm?labeltype=all&amp;query=pentamidine"/>
    <hyperlink ref="G224" r:id="rId468" display="https://dmd-browser.nhsbsa.nhs.uk/ampp/view/197400"/>
    <hyperlink ref="D225" r:id="rId469" display="https://dailymed.nlm.nih.gov/dailymed/search.cfm?labeltype=all&amp;query=pentamidine"/>
    <hyperlink ref="G225" r:id="rId470" display="https://www.ema.europa.eu/en/documents/other/article-57-product-data_en.xlsx"/>
    <hyperlink ref="D226" r:id="rId471" display="https://dailymed.nlm.nih.gov/dailymed/search.cfm?labeltype=all&amp;query=pentamidine"/>
    <hyperlink ref="G226" r:id="rId472" display="https://health-products.canada.ca/dpd-bdpp/info?code=100704&amp;lang=eng"/>
    <hyperlink ref="D227" r:id="rId473" display="https://dailymed.nlm.nih.gov/dailymed/search.cfm?labeltype=all&amp;query=pentamidine"/>
    <hyperlink ref="G227" r:id="rId474" display="https://base-donnees-publique.medicaments.gouv.fr/index.php?page=1&amp;choixRecherche=medicament&amp;txtCaracteres=Pentamidine%20Tillomed&amp;action=show"/>
    <hyperlink ref="J227" r:id="rId475" display="https://www.ema.europa.eu/en/documents/other/article-57-product-data_en.xlsx"/>
    <hyperlink ref="D228" r:id="rId476" display="https://dailymed.nlm.nih.gov/dailymed/search.cfm?labeltype=all&amp;query=pentamidine"/>
    <hyperlink ref="G228" r:id="rId477" display="https://www.ebs.tga.gov.au/ebs/picmi/picmirepository.nsf/pdf?OpenAgent&amp;id=CP-2023-PI-02341-1"/>
    <hyperlink ref="D229" r:id="rId478" display="https://dailymed.nlm.nih.gov/dailymed/search.cfm?labeltype=all&amp;query=plerixafor"/>
    <hyperlink ref="G229" r:id="rId479" display="https://mhraproducts4853.blob.core.windows.net/docs/07357ed28124fa9adf67221cff8397b75709ff50"/>
    <hyperlink ref="D230" r:id="rId480" display="https://dailymed.nlm.nih.gov/dailymed/search.cfm?labeltype=all&amp;query=plerixafor"/>
    <hyperlink ref="G230" r:id="rId481" display="https://base-donnees-publique.medicaments.gouv.fr/index.php?page=1&amp;choixRecherche=medicament&amp;txtCaracteres=Plerixafor%20Tillomed&amp;action=show"/>
    <hyperlink ref="J230" r:id="rId482" display="https://www.ema.europa.eu/en/documents/other/article-57-product-data_en.xlsx"/>
    <hyperlink ref="D231" r:id="rId483" display="https://dailymed.nlm.nih.gov/dailymed/search.cfm?labeltype=all&amp;query=propofol"/>
    <hyperlink ref="G231" r:id="rId484" display="https://health-products.canada.ca/dpd-bdpp/info?code=101486&amp;lang=eng"/>
    <hyperlink ref="D232" r:id="rId485" display="https://dailymed.nlm.nih.gov/dailymed/search.cfm?labeltype=all&amp;query=sugammadex"/>
    <hyperlink ref="G232" r:id="rId486" display="https://dmd-browser.nhsbsa.nhs.uk/ampp/view/195295"/>
    <hyperlink ref="D233" r:id="rId487" display="https://dailymed.nlm.nih.gov/dailymed/search.cfm?labeltype=all&amp;query=sugammadex"/>
    <hyperlink ref="G233" r:id="rId488" display="https://www.ema.europa.eu/en/documents/other/article-57-product-data_en.xlsx"/>
    <hyperlink ref="D234" r:id="rId489" display="https://dailymed.nlm.nih.gov/dailymed/search.cfm?labeltype=all&amp;query=sugammadex"/>
    <hyperlink ref="G234" r:id="rId490" display="https://www.ema.europa.eu/en/documents/other/article-57-product-data_en.xlsx"/>
    <hyperlink ref="D235" r:id="rId491" display="https://dailymed.nlm.nih.gov/dailymed/search.cfm?labeltype=all&amp;query=azacitidine"/>
    <hyperlink ref="G235" r:id="rId492" display="https://www.ema.europa.eu/en/documents/other/article-57-product-data_en.xlsx"/>
    <hyperlink ref="D236" r:id="rId493" display="https://dailymed.nlm.nih.gov/dailymed/search.cfm?labeltype=all&amp;query=bortezomib"/>
    <hyperlink ref="G236" r:id="rId494" display="https://www.ema.europa.eu/en/documents/other/article-57-product-data_en.xlsx"/>
    <hyperlink ref="D237" r:id="rId495" display="https://dailymed.nlm.nih.gov/dailymed/search.cfm?labeltype=all&amp;query=bortezomib"/>
    <hyperlink ref="G237" r:id="rId496" display="https://www.tga.gov.au/resources/artg/444811"/>
    <hyperlink ref="D238" r:id="rId497" display="https://dailymed.nlm.nih.gov/dailymed/search.cfm?labeltype=all&amp;query=eribulin"/>
    <hyperlink ref="G238" r:id="rId498" display="https://dailymed.nlm.nih.gov/dailymed/drugInfo.cfm?setid=55f4017d-5ea8-4622-bf59-9b9c329097fd"/>
    <hyperlink ref="D239" r:id="rId499" display="https://dailymed.nlm.nih.gov/dailymed/search.cfm?labeltype=all&amp;query=eribulin"/>
    <hyperlink ref="G239" r:id="rId500" display="https://mhraproducts4853.blob.core.windows.net/docs/b0ceabb0dd6b7d5e0d5eaf6156cd2acdc6593ea6"/>
    <hyperlink ref="D240" r:id="rId501" display="https://dailymed.nlm.nih.gov/dailymed/search.cfm?labeltype=all&amp;query=eribulin"/>
    <hyperlink ref="G240" r:id="rId502" display="https://www.ema.europa.eu/en/documents/other/article-57-product-data_en.xlsx"/>
    <hyperlink ref="D241" r:id="rId503" display="https://dailymed.nlm.nih.gov/dailymed/search.cfm?labeltype=all&amp;query=eribulin"/>
    <hyperlink ref="G241" r:id="rId504" display="https://www.ema.europa.eu/en/documents/other/article-57-product-data_en.xlsx"/>
    <hyperlink ref="D242" r:id="rId505" display="https://dailymed.nlm.nih.gov/dailymed/search.cfm?labeltype=all&amp;query=fulvestrant"/>
    <hyperlink ref="G242" r:id="rId506" display="https://dailymed.nlm.nih.gov/dailymed/drugInfo.cfm?setid=99cf8b69-4c23-4886-80e9-b23e348b5bd7"/>
    <hyperlink ref="D243" r:id="rId507" display="https://dailymed.nlm.nih.gov/dailymed/search.cfm?labeltype=all&amp;query=fulvestrant"/>
    <hyperlink ref="G243" r:id="rId508" display="https://mhraproducts4853.blob.core.windows.net/docs/4e24a9a4b6a719b2aafafdba94273597a32d78e1"/>
    <hyperlink ref="D244" r:id="rId509" display="https://dailymed.nlm.nih.gov/dailymed/search.cfm?labeltype=all&amp;query=fulvestrant"/>
    <hyperlink ref="G244" r:id="rId510" display="https://www.ema.europa.eu/en/documents/other/article-57-product-data_en.xlsx"/>
    <hyperlink ref="D245" r:id="rId511" display="https://dailymed.nlm.nih.gov/dailymed/search.cfm?labeltype=all&amp;query=fulvestrant"/>
    <hyperlink ref="G245" r:id="rId512" display="https://www.ema.europa.eu/en/documents/other/article-57-product-data_en.xlsx"/>
    <hyperlink ref="D246" r:id="rId513" display="https://dailymed.nlm.nih.gov/dailymed/search.cfm?labeltype=all&amp;query=plerixafor"/>
    <hyperlink ref="G246" r:id="rId514" display="https://www.ema.europa.eu/en/documents/other/article-57-product-data_en.xlsx"/>
    <hyperlink ref="D247" r:id="rId515" display="https://dailymed.nlm.nih.gov/dailymed/search.cfm?labeltype=all&amp;query=sugammadex"/>
    <hyperlink ref="G247" r:id="rId516" display="https://mhraproducts4853.blob.core.windows.net/docs/e45682bfe340af873ea832a08fc0d30da2179c79"/>
    <hyperlink ref="D248" r:id="rId517" display="https://dailymed.nlm.nih.gov/dailymed/search.cfm?labeltype=all&amp;query=sugammadex"/>
    <hyperlink ref="G248" r:id="rId518" display="https://www.ema.europa.eu/en/documents/other/article-57-product-data_en.xlsx"/>
    <hyperlink ref="D249" r:id="rId519" display="https://dailymed.nlm.nih.gov/dailymed/search.cfm?labeltype=all&amp;query=sugammadex"/>
    <hyperlink ref="G249" r:id="rId520" display="https://www.ema.europa.eu/en/documents/other/article-57-product-data_en.xlsx"/>
    <hyperlink ref="D250" r:id="rId521" display="https://dailymed.nlm.nih.gov/dailymed/search.cfm?labeltype=all&amp;query=azacitidine"/>
    <hyperlink ref="G250" r:id="rId522" display="https://mhraproducts4853.blob.core.windows.net/docs/f9227b59e7a18d99e840d90e17567148b1e67b9a"/>
    <hyperlink ref="D251" r:id="rId523" display="https://dailymed.nlm.nih.gov/dailymed/search.cfm?labeltype=all&amp;query=azacitidine"/>
    <hyperlink ref="G251" r:id="rId524" display="https://www.ema.europa.eu/en/documents/other/article-57-product-data_en.xlsx"/>
    <hyperlink ref="D252" r:id="rId525" display="https://dailymed.nlm.nih.gov/dailymed/search.cfm?labeltype=all&amp;query=bortezomib"/>
    <hyperlink ref="G252" r:id="rId526" display="https://dailymed.nlm.nih.gov/dailymed/drugInfo.cfm?setid=04aafa6a-a50d-4a47-a831-be8e8bb992ac"/>
    <hyperlink ref="D253" r:id="rId527" display="https://dailymed.nlm.nih.gov/dailymed/search.cfm?labeltype=all&amp;query=bortezomib"/>
    <hyperlink ref="G253" r:id="rId528" display="https://mhraproducts4853.blob.core.windows.net/docs/7e2b44fca58941c5658f914dc653e9323cf4a2cd"/>
    <hyperlink ref="D254" r:id="rId529" display="https://dailymed.nlm.nih.gov/dailymed/search.cfm?labeltype=all&amp;query=bortezomib"/>
    <hyperlink ref="G254" r:id="rId530" display="https://www.ema.europa.eu/en/documents/other/article-57-product-data_en.xlsx"/>
    <hyperlink ref="D255" r:id="rId531" display="https://dailymed.nlm.nih.gov/dailymed/search.cfm?labeltype=all&amp;query=bortezomib"/>
    <hyperlink ref="G255" r:id="rId532" display="https://www.ema.europa.eu/en/documents/other/article-57-product-data_en.xlsx"/>
    <hyperlink ref="D256" r:id="rId533" display="https://dailymed.nlm.nih.gov/dailymed/search.cfm?labeltype=all&amp;query=bortezomib"/>
    <hyperlink ref="G256" r:id="rId534" display="https://www.ebs.tga.gov.au/servlet/xmlmillr6?dbid=ebs/PublicHTML/pdfStore.nsf&amp;docid=214243&amp;agid=(PrintDetailsPublic)&amp;actionid=1"/>
    <hyperlink ref="D257" r:id="rId535" display="https://dailymed.nlm.nih.gov/dailymed/search.cfm?labeltype=all&amp;query=bortezomib"/>
    <hyperlink ref="G257" r:id="rId536" location="search:bortiv" display="https://medicineprices.org.za/#search:bortiv"/>
    <hyperlink ref="D258" r:id="rId537" display="https://dailymed.nlm.nih.gov/dailymed/search.cfm?labeltype=all&amp;query=brivaracetam"/>
    <hyperlink ref="G258" r:id="rId538" display="https://mhraproducts4853.blob.core.windows.net/docs/da6e39cbeb26faea8c72a05b7312c32134b623cd"/>
    <hyperlink ref="D259" r:id="rId539" display="https://dailymed.nlm.nih.gov/dailymed/search.cfm?labeltype=all&amp;query=brivaracetam"/>
    <hyperlink ref="G259" r:id="rId540" display="https://www.ema.europa.eu/en/documents/other/article-57-product-data_en.xlsx"/>
    <hyperlink ref="D260" r:id="rId541" display="https://dailymed.nlm.nih.gov/dailymed/search.cfm?labeltype=all&amp;query=brivaracetam"/>
    <hyperlink ref="G260" r:id="rId542" display="https://www.ema.europa.eu/en/documents/other/article-57-product-data_en.xlsx"/>
    <hyperlink ref="D261" r:id="rId543" display="https://dailymed.nlm.nih.gov/dailymed/search.cfm?labeltype=all&amp;query=chlorpromazine"/>
    <hyperlink ref="G261" r:id="rId544" display="https://dailymed.nlm.nih.gov/dailymed/drugInfo.cfm?setid=6564346c-661c-41cf-9cef-db6aa15710cd"/>
    <hyperlink ref="D262" r:id="rId545" display="https://dailymed.nlm.nih.gov/dailymed/search.cfm?labeltype=all&amp;query=cyanocobalamin+injection"/>
    <hyperlink ref="G262" r:id="rId546" display="https://dailymed.nlm.nih.gov/dailymed/search.cfm?labeltype=all&amp;query=Cyanocobalamin"/>
    <hyperlink ref="D263" r:id="rId547" display="https://dailymed.nlm.nih.gov/dailymed/search.cfm?labeltype=all&amp;query=daptomycin"/>
    <hyperlink ref="G263" r:id="rId548" display="https://mhraproducts4853.blob.core.windows.net/docs/767f850723d94449fe9c9148dd21c9b7daf22e18"/>
    <hyperlink ref="D264" r:id="rId549" display="https://dailymed.nlm.nih.gov/dailymed/search.cfm?labeltype=all&amp;query=daptomycin"/>
    <hyperlink ref="G264" r:id="rId550" display="https://www.ema.europa.eu/en/documents/other/article-57-product-data_en.xlsx"/>
    <hyperlink ref="D265" r:id="rId551" display="https://dailymed.nlm.nih.gov/dailymed/search.cfm?labeltype=all&amp;query=daptomycin"/>
    <hyperlink ref="G265" r:id="rId552" display="https://www.ema.europa.eu/en/documents/other/article-57-product-data_en.xlsx"/>
    <hyperlink ref="D266" r:id="rId553" display="https://dailymed.nlm.nih.gov/dailymed/search.cfm?labeltype=all&amp;query=glycopyrrolate+injection"/>
    <hyperlink ref="G266" r:id="rId554" display="https://www.health.gov.za/nhi-pee/"/>
    <hyperlink ref="D267" r:id="rId555" display="https://dailymed.nlm.nih.gov/dailymed/search.cfm?labeltype=all&amp;query=isoproterenol"/>
    <hyperlink ref="G267" r:id="rId556" display="https://dailymed.nlm.nih.gov/dailymed/search.cfm?labeltype=all&amp;query=Isoproterenol+Hydrochloride"/>
    <hyperlink ref="D268" r:id="rId557" display="https://dailymed.nlm.nih.gov/dailymed/search.cfm?labeltype=all&amp;query=lidocaine+hydrochloride+injection"/>
    <hyperlink ref="G268" r:id="rId558" display="https://dailymed.nlm.nih.gov/dailymed/drugInfo.cfm?setid=cfbca641-aeee-4dc8-a340-30c53d3b023b"/>
    <hyperlink ref="D269" r:id="rId559" display="https://dailymed.nlm.nih.gov/dailymed/search.cfm?labeltype=all&amp;query=magnesium+sulfate+injection"/>
    <hyperlink ref="G269" r:id="rId560" display="https://dailymed.nlm.nih.gov/dailymed/drugInfo.cfm?setid=5a0f9db9-b8be-c923-e063-6394a90a7dd7"/>
    <hyperlink ref="D270" r:id="rId561" display="https://dailymed.nlm.nih.gov/dailymed/search.cfm?labeltype=all&amp;query=melphalan+hydrochloride"/>
    <hyperlink ref="G270" r:id="rId562" display="https://mhraproducts4853.blob.core.windows.net/docs/703e9b8af2577bc6d1c69e9d1f96615cbdcb7a07"/>
    <hyperlink ref="D271" r:id="rId563" display="https://dailymed.nlm.nih.gov/dailymed/search.cfm?labeltype=all&amp;query=melphalan+hydrochloride"/>
    <hyperlink ref="G271" r:id="rId564" display="https://www.ema.europa.eu/en/documents/other/article-57-product-data_en.xlsx"/>
    <hyperlink ref="D272" r:id="rId565" display="https://dailymed.nlm.nih.gov/dailymed/search.cfm?labeltype=all&amp;query=melphalan+hydrochloride"/>
    <hyperlink ref="G272" r:id="rId566" display="https://www.ema.europa.eu/en/documents/other/article-57-product-data_en.xlsx"/>
    <hyperlink ref="D273" r:id="rId567" display="https://dailymed.nlm.nih.gov/dailymed/search.cfm?labeltype=all&amp;query=methotrexate+injection"/>
    <hyperlink ref="G273" r:id="rId568" display="https://dailymed.nlm.nih.gov/dailymed/search.cfm?labeltype=all&amp;query=Methotrexate+Sodium"/>
    <hyperlink ref="D274" r:id="rId569" display="https://dailymed.nlm.nih.gov/dailymed/search.cfm?labeltype=all&amp;query=palonosetron"/>
    <hyperlink ref="G274" r:id="rId570" location="search:hetnoset" display="https://medicineprices.org.za/#search:hetnoset"/>
    <hyperlink ref="D275" r:id="rId571" display="https://dailymed.nlm.nih.gov/dailymed/search.cfm?labeltype=all&amp;query=pantoprazole+sodium+for+injection"/>
    <hyperlink ref="G275" r:id="rId572" display="https://dmd-browser.nhsbsa.nhs.uk/ampp/view/194984"/>
    <hyperlink ref="D276" r:id="rId573" display="https://dailymed.nlm.nih.gov/dailymed/search.cfm?labeltype=all&amp;query=pantoprazole+sodium+for+injection"/>
    <hyperlink ref="G276" r:id="rId574" display="https://www.ema.europa.eu/en/documents/other/article-57-product-data_en.xlsx"/>
    <hyperlink ref="D277" r:id="rId575" display="https://dailymed.nlm.nih.gov/dailymed/search.cfm?labeltype=all&amp;query=pantoprazole+sodium+for+injection"/>
    <hyperlink ref="G277" r:id="rId576" display="https://www.ema.europa.eu/en/documents/other/article-57-product-data_en.xlsx"/>
    <hyperlink ref="D278" r:id="rId577" display="https://dailymed.nlm.nih.gov/dailymed/search.cfm?labeltype=all&amp;query=plerixafor"/>
    <hyperlink ref="G278" r:id="rId578" display="https://dailymed.nlm.nih.gov/dailymed/drugInfo.cfm?setid=bb8e1167-8378-4e73-9bcb-d69093ec829b"/>
    <hyperlink ref="D279" r:id="rId579" display="https://dailymed.nlm.nih.gov/dailymed/search.cfm?labeltype=all&amp;query=plerixafor"/>
    <hyperlink ref="G279" r:id="rId580" display="https://mhraproducts4853.blob.core.windows.net/docs/04f9e2d2b4b82a0ffe5f86e1d5d606b552cb19c3"/>
    <hyperlink ref="D280" r:id="rId581" display="https://dailymed.nlm.nih.gov/dailymed/search.cfm?labeltype=all&amp;query=plerixafor"/>
    <hyperlink ref="G280" r:id="rId582" display="https://www.ema.europa.eu/en/documents/other/article-57-product-data_en.xlsx"/>
    <hyperlink ref="D281" r:id="rId583" display="https://dailymed.nlm.nih.gov/dailymed/search.cfm?labeltype=all&amp;query=plerixafor"/>
    <hyperlink ref="G281" r:id="rId584" display="https://www.ema.europa.eu/en/documents/other/article-57-product-data_en.xlsx"/>
    <hyperlink ref="D282" r:id="rId585" display="https://dailymed.nlm.nih.gov/dailymed/search.cfm?labeltype=all&amp;query=plerixafor"/>
    <hyperlink ref="G282" r:id="rId586" location="search:heterix" display="https://medicineprices.org.za/#search:heterix"/>
    <hyperlink ref="D283" r:id="rId587" display="https://dailymed.nlm.nih.gov/dailymed/search.cfm?labeltype=all&amp;query=propofol"/>
    <hyperlink ref="G283" r:id="rId588" display="https://dailymed.nlm.nih.gov/dailymed/search.cfm?labeltype=all&amp;query=Propofol"/>
    <hyperlink ref="D284" r:id="rId589" display="https://dailymed.nlm.nih.gov/dailymed/search.cfm?labeltype=all&amp;query=rocuronium"/>
    <hyperlink ref="G284" r:id="rId590" display="https://www.ema.europa.eu/en/documents/other/article-57-product-data_en.xlsx"/>
    <hyperlink ref="D285" r:id="rId591" display="https://dailymed.nlm.nih.gov/dailymed/search.cfm?labeltype=all&amp;query=sodium+bicarbonate+injection"/>
    <hyperlink ref="G285" r:id="rId592" display="https://dailymed.nlm.nih.gov/dailymed/search.cfm?labeltype=all&amp;query=Sodium+Bicarbonate"/>
    <hyperlink ref="D286" r:id="rId593" display="https://dailymed.nlm.nih.gov/dailymed/search.cfm?labeltype=all&amp;query=succinylcholine"/>
    <hyperlink ref="G286" r:id="rId594" display="https://dailymed.nlm.nih.gov/dailymed/drugInfo.cfm?setid=7d0f0431-e616-49c2-80d8-0752a45428db"/>
    <hyperlink ref="D287" r:id="rId595" display="https://dailymed.nlm.nih.gov/dailymed/search.cfm?labeltype=all&amp;query=sugammadex"/>
    <hyperlink ref="G287" r:id="rId596" display="https://dailymed.nlm.nih.gov/dailymed/drugInfo.cfm?setid=9adda802-fab2-40c1-9c2f-358debdfb249"/>
    <hyperlink ref="D288" r:id="rId597" display="https://dailymed.nlm.nih.gov/dailymed/search.cfm?labeltype=all&amp;query=sugammadex"/>
    <hyperlink ref="G288" r:id="rId598" display="https://dmd-browser.nhsbsa.nhs.uk/ampp/view/195045"/>
    <hyperlink ref="D289" r:id="rId599" display="https://dailymed.nlm.nih.gov/dailymed/search.cfm?labeltype=all&amp;query=sugammadex"/>
    <hyperlink ref="G289" r:id="rId600" display="https://www.ema.europa.eu/en/documents/other/article-57-product-data_en.xlsx"/>
    <hyperlink ref="D290" r:id="rId601" display="https://dailymed.nlm.nih.gov/dailymed/search.cfm?labeltype=all&amp;query=sugammadex"/>
    <hyperlink ref="G290" r:id="rId602" display="https://www.ema.europa.eu/en/documents/other/article-57-product-data_en.xlsx"/>
    <hyperlink ref="D291" r:id="rId603" display="https://dailymed.nlm.nih.gov/dailymed/search.cfm?labeltype=all&amp;query=sugammadex"/>
    <hyperlink ref="G291" r:id="rId604" location="search:sugmasol" display="https://medicineprices.org.za/#search:sugmasol"/>
    <hyperlink ref="D292" r:id="rId605" display="https://mhraproducts4853.blob.core.windows.net/docs/45a310f5c66d09f20d9d1eb3a5d48c17c486ac7b"/>
    <hyperlink ref="G292" r:id="rId606" display="https://mhraproducts4853.blob.core.windows.net/docs/cdd932519ea5620f679cbc05a39d576016396f04"/>
    <hyperlink ref="D293" r:id="rId607" display="https://mhraproducts4853.blob.core.windows.net/docs/45a310f5c66d09f20d9d1eb3a5d48c17c486ac7b"/>
    <hyperlink ref="G293" r:id="rId608" display="https://www.ema.europa.eu/en/documents/other/article-57-product-data_en.xlsx"/>
    <hyperlink ref="D294" r:id="rId609" display="https://dailymed.nlm.nih.gov/dailymed/search.cfm?labeltype=all&amp;query=verapamil+hydrochloride+injection"/>
    <hyperlink ref="G294" r:id="rId610" display="https://dailymed.nlm.nih.gov/dailymed/search.cfm?labeltype=all&amp;query=Verapamil+Hydrochloride"/>
    <hyperlink ref="D295" r:id="rId611" display="https://dailymed.nlm.nih.gov/dailymed/search.cfm?labeltype=all&amp;query=amiodarone"/>
    <hyperlink ref="G295" r:id="rId612" display="https://www.ema.europa.eu/en/documents/other/article-57-product-data_en.xlsx"/>
    <hyperlink ref="D296" r:id="rId613" display="https://dailymed.nlm.nih.gov/dailymed/search.cfm?labeltype=all&amp;query=amiodarone"/>
    <hyperlink ref="G296" r:id="rId614" display="https://pi-pil-repository.sahpra.org.za/wp-content/uploads/2023/08/Final_PI_Amiodarone_Applicant.pdf"/>
    <hyperlink ref="D297" r:id="rId615" display="https://mhraproducts4853.blob.core.windows.net/docs/dd5428de28a35789b58d7a7229157959b1e135fb"/>
    <hyperlink ref="G297" r:id="rId616" display="https://www.ema.europa.eu/en/documents/other/article-57-product-data_en.xlsx"/>
    <hyperlink ref="D298" r:id="rId617" display="https://mhraproducts4853.blob.core.windows.net/docs/dd5428de28a35789b58d7a7229157959b1e135fb"/>
    <hyperlink ref="G298" r:id="rId618" display="https://www.ema.europa.eu/en/documents/other/article-57-product-data_en.xlsx"/>
    <hyperlink ref="D299" r:id="rId619" display="https://dailymed.nlm.nih.gov/dailymed/search.cfm?labeltype=all&amp;query=argatroban"/>
    <hyperlink ref="G299" r:id="rId620" display="https://dailymed.nlm.nih.gov/dailymed/drugInfo.cfm?setid=46cdf9e6-839c-49c8-9ee1-c30cfdd9368d"/>
    <hyperlink ref="D300" r:id="rId621" display="https://dailymed.nlm.nih.gov/dailymed/search.cfm?labeltype=all&amp;query=argatroban"/>
    <hyperlink ref="G300" r:id="rId622" display="https://www.ema.europa.eu/en/documents/other/article-57-product-data_en.xlsx"/>
    <hyperlink ref="D301" r:id="rId623" display="https://dailymed.nlm.nih.gov/dailymed/search.cfm?labeltype=all&amp;query=argatroban"/>
    <hyperlink ref="G301" r:id="rId624" display="https://base-donnees-publique.medicaments.gouv.fr/index.php?page=1&amp;choixRecherche=medicament&amp;txtCaracteres=Argatroban%20Accord&amp;action=show"/>
    <hyperlink ref="J301" r:id="rId625" display="https://www.ema.europa.eu/en/documents/other/article-57-product-data_en.xlsx"/>
    <hyperlink ref="D302" r:id="rId626" display="https://mhraproducts4853.blob.core.windows.net/docs/924d70784a8c922753ed49a78a38c605f536521c"/>
    <hyperlink ref="G302" r:id="rId627" display="https://www.ema.europa.eu/en/documents/other/article-57-product-data_en.xlsx"/>
    <hyperlink ref="D303" r:id="rId628" display="https://dailymed.nlm.nih.gov/dailymed/search.cfm?labeltype=all&amp;query=atropine"/>
    <hyperlink ref="G303" r:id="rId629" display="https://dailymed.nlm.nih.gov/dailymed/drugInfo.cfm?setid=c82cb295-ffce-47d6-97ad-a8aa723f4e4f"/>
    <hyperlink ref="D304" r:id="rId630" display="https://dailymed.nlm.nih.gov/dailymed/search.cfm?labeltype=all&amp;query=atropine"/>
    <hyperlink ref="G304" r:id="rId631" display="https://mhraproducts4853.blob.core.windows.net/docs/83f16d64af85ebcff9e5a6717926b9a997285ef9"/>
    <hyperlink ref="D305" r:id="rId632" display="https://dailymed.nlm.nih.gov/dailymed/search.cfm?labeltype=all&amp;query=atropine"/>
    <hyperlink ref="G305" r:id="rId633" display="https://www.ema.europa.eu/en/documents/other/article-57-product-data_en.xlsx"/>
    <hyperlink ref="D306" r:id="rId634" display="https://dailymed.nlm.nih.gov/dailymed/search.cfm?labeltype=all&amp;query=atropine"/>
    <hyperlink ref="G306" r:id="rId635" display="https://base-donnees-publique.medicaments.gouv.fr/index.php?page=1&amp;choixRecherche=medicament&amp;txtCaracteres=Atropine%20Sulfate&amp;action=show"/>
    <hyperlink ref="J306" r:id="rId636" display="https://www.ema.europa.eu/en/documents/other/article-57-product-data_en.xlsx"/>
    <hyperlink ref="D307" r:id="rId637" display="https://dailymed.nlm.nih.gov/dailymed/search.cfm?labeltype=all&amp;query=azacitidine"/>
    <hyperlink ref="G307" r:id="rId638" display="https://mhraproducts4853.blob.core.windows.net/docs/a2a772c860b9386451c6a3574cfdaf10ef66ccc2"/>
    <hyperlink ref="D308" r:id="rId639" display="https://dailymed.nlm.nih.gov/dailymed/search.cfm?labeltype=all&amp;query=azacitidine"/>
    <hyperlink ref="G308" r:id="rId640" display="https://www.ema.europa.eu/en/medicines/human/EPAR/azacitidine-accord"/>
    <hyperlink ref="J308" r:id="rId641" display="https://www.ema.europa.eu/en/documents/other/article-57-product-data_en.xlsx"/>
    <hyperlink ref="D309" r:id="rId642" display="https://dailymed.nlm.nih.gov/dailymed/search.cfm?labeltype=all&amp;query=azacitidine"/>
    <hyperlink ref="G309" r:id="rId643" display="https://www.ebs.tga.gov.au/servlet/xmlmillr6?dbid=ebs/PublicHTML/pdfStore.nsf&amp;docid=265773&amp;agid=(PrintDetailsPublic)&amp;actionid=1"/>
    <hyperlink ref="D310" r:id="rId644" display="https://dailymed.nlm.nih.gov/dailymed/search.cfm?labeltype=all&amp;query=bivalirudin"/>
    <hyperlink ref="G310" r:id="rId645" display="https://dailymed.nlm.nih.gov/dailymed/drugInfo.cfm?setid=c20969cb-72d4-469b-9bd8-332250d896c3"/>
    <hyperlink ref="D311" r:id="rId646" display="https://dailymed.nlm.nih.gov/dailymed/search.cfm?labeltype=all&amp;query=bivalirudin"/>
    <hyperlink ref="G311" r:id="rId647" display="https://mhraproducts4853.blob.core.windows.net/docs/30f752c59283a6203a2ee801fcc269de3749bd69"/>
    <hyperlink ref="D312" r:id="rId648" display="https://dailymed.nlm.nih.gov/dailymed/search.cfm?labeltype=all&amp;query=bivalirudin"/>
    <hyperlink ref="G312" r:id="rId649" display="https://www.ema.europa.eu/en/documents/other/article-57-product-data_en.xlsx"/>
    <hyperlink ref="D313" r:id="rId650" display="https://dailymed.nlm.nih.gov/dailymed/search.cfm?labeltype=all&amp;query=bivalirudin"/>
    <hyperlink ref="G313" r:id="rId651" display="https://base-donnees-publique.medicaments.gouv.fr/index.php?page=1&amp;choixRecherche=medicament&amp;txtCaracteres=Bivalirudine%20Accord&amp;action=show"/>
    <hyperlink ref="J313" r:id="rId652" display="https://www.ema.europa.eu/en/documents/other/article-57-product-data_en.xlsx"/>
    <hyperlink ref="D314" r:id="rId653" display="https://dailymed.nlm.nih.gov/dailymed/search.cfm?labeltype=all&amp;query=bleomycin"/>
    <hyperlink ref="G314" r:id="rId654" display="https://dmd-browser.nhsbsa.nhs.uk/ampp/view/197277"/>
    <hyperlink ref="D315" r:id="rId655" display="https://dailymed.nlm.nih.gov/dailymed/search.cfm?labeltype=all&amp;query=bleomycin"/>
    <hyperlink ref="G315" r:id="rId656" display="https://www.ema.europa.eu/en/documents/other/article-57-product-data_en.xlsx"/>
    <hyperlink ref="D316" r:id="rId657" display="https://dailymed.nlm.nih.gov/dailymed/search.cfm?labeltype=all&amp;query=bleomycin"/>
    <hyperlink ref="G316" r:id="rId658" display="https://base-donnees-publique.medicaments.gouv.fr/index.php?page=1&amp;choixRecherche=medicament&amp;txtCaracteres=Bleomycine%20Accord&amp;action=show"/>
    <hyperlink ref="J316" r:id="rId659" display="https://www.ema.europa.eu/en/documents/other/article-57-product-data_en.xlsx"/>
    <hyperlink ref="D317" r:id="rId660" display="https://dailymed.nlm.nih.gov/dailymed/search.cfm?labeltype=all&amp;query=bleomycin"/>
    <hyperlink ref="G317" r:id="rId661" display="https://www.tga.gov.au/resources/artg/455447"/>
    <hyperlink ref="D318" r:id="rId662" display="https://dailymed.nlm.nih.gov/dailymed/search.cfm?labeltype=all&amp;query=bortezomib"/>
    <hyperlink ref="G318" r:id="rId663" display="https://mhraproducts4853.blob.core.windows.net/docs/12980f46e6a82ae30e1d8b52c7aa037faf108ac2"/>
    <hyperlink ref="D319" r:id="rId664" display="https://dailymed.nlm.nih.gov/dailymed/search.cfm?labeltype=all&amp;query=bortezomib"/>
    <hyperlink ref="G319" r:id="rId665" display="https://www.ema.europa.eu/en/medicines/human/EPAR/bortezomib-accord"/>
    <hyperlink ref="J319" r:id="rId666" display="https://www.ema.europa.eu/en/documents/other/article-57-product-data_en.xlsx"/>
    <hyperlink ref="D320" r:id="rId667" display="https://dailymed.nlm.nih.gov/dailymed/search.cfm?labeltype=all&amp;query=bortezomib"/>
    <hyperlink ref="G320" r:id="rId668" display="https://www.ema.europa.eu/en/medicines/human/EPAR/bortezomib-accord"/>
    <hyperlink ref="J320" r:id="rId669" display="https://www.ema.europa.eu/en/documents/other/article-57-product-data_en.xlsx"/>
    <hyperlink ref="D321" r:id="rId670" display="https://dailymed.nlm.nih.gov/dailymed/search.cfm?labeltype=all&amp;query=bortezomib"/>
    <hyperlink ref="G321" r:id="rId671" display="https://www.ebs.tga.gov.au/ebs/picmi/picmirepository.nsf/pdf?OpenAgent&amp;id=CP-2021-PI-01166-1"/>
    <hyperlink ref="D322" r:id="rId672" display="https://dailymed.nlm.nih.gov/dailymed/search.cfm?labeltype=all&amp;query=bortezomib"/>
    <hyperlink ref="G322" r:id="rId673" location="search:valtib" display="https://medicineprices.org.za/#search:valtib"/>
    <hyperlink ref="D323" r:id="rId674" display="https://dailymed.nlm.nih.gov/dailymed/search.cfm?labeltype=all&amp;query=cefepime"/>
    <hyperlink ref="G323" r:id="rId675" display="https://base-donnees-publique.medicaments.gouv.fr/index.php?page=1&amp;choixRecherche=medicament&amp;txtCaracteres=Cefepime%20Accord&amp;action=show"/>
    <hyperlink ref="J323" r:id="rId676" display="https://www.ema.europa.eu/en/documents/other/article-57-product-data_en.xlsx"/>
    <hyperlink ref="D324" r:id="rId677" display="https://dailymed.nlm.nih.gov/dailymed/search.cfm?labeltype=all&amp;query=ceftriaxone"/>
    <hyperlink ref="G324" r:id="rId678" display="https://www.ema.europa.eu/en/documents/other/article-57-product-data_en.xlsx"/>
    <hyperlink ref="D325" r:id="rId679" display="https://dailymed.nlm.nih.gov/dailymed/search.cfm?labeltype=all&amp;query=cisatracurium"/>
    <hyperlink ref="G325" r:id="rId680" display="https://dmd-browser.nhsbsa.nhs.uk/ampp/view/161747"/>
    <hyperlink ref="D326" r:id="rId681" display="https://dailymed.nlm.nih.gov/dailymed/search.cfm?labeltype=all&amp;query=cisatracurium"/>
    <hyperlink ref="G326" r:id="rId682" display="https://www.ema.europa.eu/en/documents/other/article-57-product-data_en.xlsx"/>
    <hyperlink ref="D327" r:id="rId683" display="https://dailymed.nlm.nih.gov/dailymed/search.cfm?labeltype=all&amp;query=cisatracurium"/>
    <hyperlink ref="G327" r:id="rId684" display="https://base-donnees-publique.medicaments.gouv.fr/index.php?page=1&amp;choixRecherche=medicament&amp;txtCaracteres=Cisatracurium%20Accord&amp;action=show"/>
    <hyperlink ref="J327" r:id="rId685" display="https://www.ema.europa.eu/en/documents/other/article-57-product-data_en.xlsx"/>
    <hyperlink ref="D328" r:id="rId686" display="https://dailymed.nlm.nih.gov/dailymed/search.cfm?labeltype=all&amp;query=cisatracurium"/>
    <hyperlink ref="G328" r:id="rId687" display="https://www.healthdirect.gov.au/medicines/brand/amt%2C747971000168108/cisatracurium-accord"/>
    <hyperlink ref="D329" r:id="rId688" display="https://dailymed.nlm.nih.gov/dailymed/search.cfm?labeltype=all&amp;query=colistimethate"/>
    <hyperlink ref="G329" r:id="rId689" display="https://mhraproducts4853.blob.core.windows.net/docs/8aa64ad76fd15cb2547c7efd93adab9ba205d731"/>
    <hyperlink ref="D330" r:id="rId690" display="https://dailymed.nlm.nih.gov/dailymed/search.cfm?labeltype=all&amp;query=colistimethate"/>
    <hyperlink ref="G330" r:id="rId691" display="https://www.ema.europa.eu/en/documents/other/article-57-product-data_en.xlsx"/>
    <hyperlink ref="D331" r:id="rId692" display="https://dailymed.nlm.nih.gov/dailymed/search.cfm?labeltype=all&amp;query=colistimethate"/>
    <hyperlink ref="G331" r:id="rId693" display="https://base-donnees-publique.medicaments.gouv.fr/index.php?page=1&amp;choixRecherche=medicament&amp;txtCaracteres=Colistimethate%20Sodique&amp;action=show"/>
    <hyperlink ref="J331" r:id="rId694" display="https://www.ema.europa.eu/en/documents/other/article-57-product-data_en.xlsx"/>
    <hyperlink ref="D332" r:id="rId695" display="https://dailymed.nlm.nih.gov/dailymed/search.cfm?labeltype=all&amp;query=cyclophosphamide"/>
    <hyperlink ref="G332" r:id="rId696" display="https://mhraproducts4853.blob.core.windows.net/docs/d3c74c787031827e9a6482db982411c9ea5b4974"/>
    <hyperlink ref="D333" r:id="rId697" display="https://dailymed.nlm.nih.gov/dailymed/search.cfm?labeltype=all&amp;query=cyclophosphamide"/>
    <hyperlink ref="G333" r:id="rId698" display="https://www.ema.europa.eu/en/documents/other/article-57-product-data_en.xlsx"/>
    <hyperlink ref="D334" r:id="rId699" display="https://dailymed.nlm.nih.gov/dailymed/search.cfm?labeltype=all&amp;query=cyclophosphamide"/>
    <hyperlink ref="G334" r:id="rId700" display="https://www.ema.europa.eu/en/documents/other/article-57-product-data_en.xlsx"/>
    <hyperlink ref="D335" r:id="rId701" display="https://dailymed.nlm.nih.gov/dailymed/search.cfm?labeltype=all&amp;query=cyclophosphamide"/>
    <hyperlink ref="G335" r:id="rId702" display="https://www.ebs.tga.gov.au/servlet/xmlmillr6?dbid=ebs/PublicHTML/pdfStore.nsf&amp;docid=361544&amp;agid=(PrintDetailsPublic)&amp;actionid=1"/>
    <hyperlink ref="D336" r:id="rId703" display="https://dailymed.nlm.nih.gov/dailymed/search.cfm?labeltype=all&amp;query=cytarabine"/>
    <hyperlink ref="G336" r:id="rId704" display="https://dmd-browser.nhsbsa.nhs.uk/ampp/view/183004\"/>
    <hyperlink ref="D337" r:id="rId705" display="https://dailymed.nlm.nih.gov/dailymed/search.cfm?labeltype=all&amp;query=cytarabine"/>
    <hyperlink ref="G337" r:id="rId706" display="https://www.ema.europa.eu/en/documents/other/article-57-product-data_en.xlsx"/>
    <hyperlink ref="D338" r:id="rId707" display="https://dailymed.nlm.nih.gov/dailymed/search.cfm?labeltype=all&amp;query=cytarabine"/>
    <hyperlink ref="G338" r:id="rId708" display="https://base-donnees-publique.medicaments.gouv.fr/index.php?page=1&amp;choixRecherche=medicament&amp;txtCaracteres=Cytarabine%20Accord&amp;action=show"/>
    <hyperlink ref="J338" r:id="rId709" display="https://www.ema.europa.eu/en/documents/other/article-57-product-data_en.xlsx"/>
    <hyperlink ref="D339" r:id="rId710" display="https://dailymed.nlm.nih.gov/dailymed/search.cfm?labeltype=all&amp;query=cytarabine"/>
    <hyperlink ref="G339" r:id="rId711" display="https://www.ebs.tga.gov.au/ebs/picmi/picmirepository.nsf/pdf?OpenAgent&amp;id=CP-2019-PI-01435-1"/>
    <hyperlink ref="D340" r:id="rId712" display="https://dailymed.nlm.nih.gov/dailymed/search.cfm?labeltype=all&amp;query=daptomycin"/>
    <hyperlink ref="G340" r:id="rId713" display="https://mhraproducts4853.blob.core.windows.net/docs/0183f536246db149ed7afbe39d17c1895384ae38"/>
    <hyperlink ref="D341" r:id="rId714" display="https://dailymed.nlm.nih.gov/dailymed/search.cfm?labeltype=all&amp;query=daptomycin"/>
    <hyperlink ref="G341" r:id="rId715" display="https://www.ema.europa.eu/en/documents/other/article-57-product-data_en.xlsx"/>
    <hyperlink ref="D342" r:id="rId716" display="https://dailymed.nlm.nih.gov/dailymed/search.cfm?labeltype=all&amp;query=daptomycin"/>
    <hyperlink ref="G342" r:id="rId717" display="https://base-donnees-publique.medicaments.gouv.fr/index.php?page=1&amp;choixRecherche=medicament&amp;txtCaracteres=Daptomycine&amp;action=show"/>
    <hyperlink ref="J342" r:id="rId718" display="https://www.ema.europa.eu/en/documents/other/article-57-product-data_en.xlsx"/>
    <hyperlink ref="D343" r:id="rId719" display="https://dailymed.nlm.nih.gov/dailymed/search.cfm?labeltype=all&amp;query=daptomycin"/>
    <hyperlink ref="G343" r:id="rId720" display="https://www.ebs.tga.gov.au/servlet/xmlmillr6?dbid=ebs/PublicHTML/pdfStore.nsf&amp;docid=315391&amp;agid=(PrintDetailsPublic)&amp;actionid=1"/>
    <hyperlink ref="D344" r:id="rId721" display="https://dailymed.nlm.nih.gov/dailymed/search.cfm?labeltype=all&amp;query=daptomycin"/>
    <hyperlink ref="G344" r:id="rId722" display="https://pi-pil-repository.sahpra.org.za/wp-content/uploads/2023/04/Final_PIL_Dabucor_Applicant.pdf"/>
    <hyperlink ref="D345" r:id="rId723" display="https://dailymed.nlm.nih.gov/dailymed/search.cfm?labeltype=all&amp;query=degarelix"/>
    <hyperlink ref="G345" r:id="rId724" display="https://mhraproducts4853.blob.core.windows.net/docs/7a814678d4b4e608757e54abcf1f8525475a6699"/>
    <hyperlink ref="D346" r:id="rId725" display="https://dailymed.nlm.nih.gov/dailymed/search.cfm?labeltype=all&amp;query=degarelix"/>
    <hyperlink ref="G346" r:id="rId726" display="https://www.ema.europa.eu/en/medicines/human/EPAR/degarelix-accord"/>
    <hyperlink ref="J346" r:id="rId727" display="https://www.ema.europa.eu/en/documents/other/article-57-product-data_en.xlsx"/>
    <hyperlink ref="D347" r:id="rId728" display="https://dailymed.nlm.nih.gov/dailymed/search.cfm?labeltype=all&amp;query=denosumab"/>
    <hyperlink ref="G347" r:id="rId729" display="https://dmd-browser.nhsbsa.nhs.uk/ampp/view/212227"/>
    <hyperlink ref="D348" r:id="rId730" display="https://dailymed.nlm.nih.gov/dailymed/search.cfm?labeltype=all&amp;query=denosumab"/>
    <hyperlink ref="G348" r:id="rId731" display="https://www.ema.europa.eu/en/medicines/human/EPAR/jubereq"/>
    <hyperlink ref="J348" r:id="rId732" display="https://www.ema.europa.eu/en/documents/other/article-57-product-data_en.xlsx"/>
    <hyperlink ref="D349" r:id="rId733" display="https://dailymed.nlm.nih.gov/dailymed/search.cfm?labeltype=all&amp;query=denosumab"/>
    <hyperlink ref="G349" r:id="rId734" display="https://www.tga.gov.au/resources/artg/450305"/>
    <hyperlink ref="D350" r:id="rId735" display="https://dailymed.nlm.nih.gov/dailymed/search.cfm?labeltype=all&amp;query=doxorubicin"/>
    <hyperlink ref="G350" r:id="rId736" display="https://www.ema.europa.eu/en/medicines/human/EPAR/zolsketil-pegylated-liposomal"/>
    <hyperlink ref="J350" r:id="rId737" display="https://www.ema.europa.eu/en/documents/other/article-57-product-data_en.xlsx"/>
    <hyperlink ref="D351" r:id="rId738" display="https://dailymed.nlm.nih.gov/dailymed/search.cfm?labeltype=all&amp;query=doxorubicin"/>
    <hyperlink ref="G351" r:id="rId739" display="https://health-products.canada.ca/dpd-bdpp/info?code=86785&amp;lang=eng"/>
    <hyperlink ref="D352" r:id="rId740" display="https://dailymed.nlm.nih.gov/dailymed/search.cfm?labeltype=all&amp;query=doxorubicin"/>
    <hyperlink ref="G352" r:id="rId741" display="https://www.ema.europa.eu/en/medicines/human/EPAR/zolsketil-pegylated-liposomal"/>
    <hyperlink ref="J352" r:id="rId742" display="https://www.ema.europa.eu/en/documents/other/article-57-product-data_en.xlsx"/>
    <hyperlink ref="D353" r:id="rId743" display="https://dailymed.nlm.nih.gov/dailymed/search.cfm?labeltype=all&amp;query=doxorubicin"/>
    <hyperlink ref="G353" r:id="rId744" display="https://www.tga.gov.au/resources/artg/174248"/>
    <hyperlink ref="D354" r:id="rId745" display="https://dailymed.nlm.nih.gov/dailymed/search.cfm?labeltype=all&amp;query=doxorubicin"/>
    <hyperlink ref="G354" r:id="rId746" display="https://www.sahpra.org.za/wp-content/uploads/2020/02/Rubexet_PI_Accord_MCC-format-02-October-2014.pdf"/>
    <hyperlink ref="D355" r:id="rId747" display="https://dailymed.nlm.nih.gov/dailymed/search.cfm?labeltype=all&amp;query=epinephrine+injection"/>
    <hyperlink ref="G355" r:id="rId748" display="https://base-donnees-publique.medicaments.gouv.fr/index.php?page=1&amp;choixRecherche=medicament&amp;txtCaracteres=Adrenaline%20Accord&amp;action=show"/>
    <hyperlink ref="J355" r:id="rId749" display="https://www.ema.europa.eu/en/documents/other/article-57-product-data_en.xlsx"/>
    <hyperlink ref="D356" r:id="rId750" display="https://dailymed.nlm.nih.gov/dailymed/search.cfm?labeltype=all&amp;query=epirubicin"/>
    <hyperlink ref="G356" r:id="rId751" display="https://dmd-browser.nhsbsa.nhs.uk/ampp/view/90547"/>
    <hyperlink ref="D357" r:id="rId752" display="https://dailymed.nlm.nih.gov/dailymed/search.cfm?labeltype=all&amp;query=epirubicin"/>
    <hyperlink ref="G357" r:id="rId753" display="https://www.ema.europa.eu/en/documents/other/article-57-product-data_en.xlsx"/>
    <hyperlink ref="D358" r:id="rId754" display="https://dailymed.nlm.nih.gov/dailymed/search.cfm?labeltype=all&amp;query=epirubicin"/>
    <hyperlink ref="G358" r:id="rId755" display="https://base-donnees-publique.medicaments.gouv.fr/index.php?page=1&amp;choixRecherche=medicament&amp;txtCaracteres=Epirubicine%20Accord&amp;action=show"/>
    <hyperlink ref="J358" r:id="rId756" display="https://www.ema.europa.eu/en/documents/other/article-57-product-data_en.xlsx"/>
    <hyperlink ref="D359" r:id="rId757" display="https://dailymed.nlm.nih.gov/dailymed/search.cfm?labeltype=all&amp;query=epirubicin"/>
    <hyperlink ref="G359" r:id="rId758" display="https://www.safetyandquality.gov.au/medicine-finder/epirubicin-accord-solution-for-injection"/>
    <hyperlink ref="D360" r:id="rId759" display="https://dailymed.nlm.nih.gov/dailymed/search.cfm?labeltype=all&amp;query=epirubicin"/>
    <hyperlink ref="G360" r:id="rId760" location="search:accord" display="https://medicineprices.org.za/#search:accord"/>
    <hyperlink ref="D361" r:id="rId761" display="https://dailymed.nlm.nih.gov/dailymed/search.cfm?labeltype=all&amp;query=eptifibatide"/>
    <hyperlink ref="G361" r:id="rId762" display="https://www.ema.europa.eu/en/medicines/human/EPAR/eptifibatide-accord"/>
    <hyperlink ref="J361" r:id="rId763" display="https://www.ema.europa.eu/en/documents/other/article-57-product-data_en.xlsx"/>
    <hyperlink ref="D362" r:id="rId764" display="https://dailymed.nlm.nih.gov/dailymed/search.cfm?labeltype=all&amp;query=eribulin"/>
    <hyperlink ref="G362" r:id="rId765" display="https://www.ema.europa.eu/en/documents/other/article-57-product-data_en.xlsx"/>
    <hyperlink ref="D363" r:id="rId766" display="https://dailymed.nlm.nih.gov/dailymed/search.cfm?labeltype=all&amp;query=esomeprazole+sodium"/>
    <hyperlink ref="G363" r:id="rId767" display="https://dmd-browser.nhsbsa.nhs.uk/ampp/view/189948"/>
    <hyperlink ref="D364" r:id="rId768" display="https://dailymed.nlm.nih.gov/dailymed/search.cfm?labeltype=all&amp;query=esomeprazole+sodium"/>
    <hyperlink ref="G364" r:id="rId769" display="https://www.ema.europa.eu/en/documents/other/article-57-product-data_en.xlsx"/>
    <hyperlink ref="D365" r:id="rId770" display="https://dailymed.nlm.nih.gov/dailymed/search.cfm?labeltype=all&amp;query=esomeprazole+sodium"/>
    <hyperlink ref="G365" r:id="rId771" display="https://www.ema.europa.eu/en/documents/other/article-57-product-data_en.xlsx"/>
    <hyperlink ref="D366" r:id="rId772" display="https://mhraproducts4853.blob.core.windows.net/docs/b81aa75bd80aa32a460d7fedc1706f40ed574da1"/>
    <hyperlink ref="G366" r:id="rId773" display="https://www.ema.europa.eu/en/documents/other/article-57-product-data_en.xlsx"/>
    <hyperlink ref="D367" r:id="rId774" display="https://dailymed.nlm.nih.gov/dailymed/search.cfm?labeltype=all&amp;query=fludarabine"/>
    <hyperlink ref="G367" r:id="rId775" display="https://dmd-browser.nhsbsa.nhs.uk/ampp/view/105990"/>
    <hyperlink ref="D368" r:id="rId776" display="https://dailymed.nlm.nih.gov/dailymed/search.cfm?labeltype=all&amp;query=fludarabine"/>
    <hyperlink ref="G368" r:id="rId777" display="https://www.ema.europa.eu/en/documents/other/article-57-product-data_en.xlsx"/>
    <hyperlink ref="D369" r:id="rId778" display="https://dailymed.nlm.nih.gov/dailymed/search.cfm?labeltype=all&amp;query=fludarabine"/>
    <hyperlink ref="G369" r:id="rId779" display="https://base-donnees-publique.medicaments.gouv.fr/index.php?page=1&amp;choixRecherche=medicament&amp;txtCaracteres=Fludarabine%20Accord&amp;action=show"/>
    <hyperlink ref="J369" r:id="rId780" display="https://www.ema.europa.eu/en/documents/other/article-57-product-data_en.xlsx"/>
    <hyperlink ref="D370" r:id="rId781" display="https://dailymed.nlm.nih.gov/dailymed/search.cfm?labeltype=all&amp;query=fluorouracil+injection"/>
    <hyperlink ref="G370" r:id="rId782" display="https://dmd-browser.nhsbsa.nhs.uk/ampp/view/90576"/>
    <hyperlink ref="D371" r:id="rId783" display="https://dailymed.nlm.nih.gov/dailymed/search.cfm?labeltype=all&amp;query=fluorouracil+injection"/>
    <hyperlink ref="G371" r:id="rId784" display="https://www.ema.europa.eu/en/documents/other/article-57-product-data_en.xlsx"/>
    <hyperlink ref="D372" r:id="rId785" display="https://dailymed.nlm.nih.gov/dailymed/search.cfm?labeltype=all&amp;query=fluorouracil+injection"/>
    <hyperlink ref="G372" r:id="rId786" display="https://health-products.canada.ca/dpd-bdpp/info?code=89810&amp;lang=eng"/>
    <hyperlink ref="D373" r:id="rId787" display="https://dailymed.nlm.nih.gov/dailymed/search.cfm?labeltype=all&amp;query=fluorouracil+injection"/>
    <hyperlink ref="G373" r:id="rId788" display="https://base-donnees-publique.medicaments.gouv.fr/index.php?page=1&amp;choixRecherche=medicament&amp;txtCaracteres=Fluorouracile%20Accord&amp;action=show"/>
    <hyperlink ref="J373" r:id="rId789" display="https://www.ema.europa.eu/en/documents/other/article-57-product-data_en.xlsx"/>
    <hyperlink ref="D374" r:id="rId790" display="https://dailymed.nlm.nih.gov/dailymed/search.cfm?labeltype=all&amp;query=fulvestrant"/>
    <hyperlink ref="G374" r:id="rId791" display="https://dailymed.nlm.nih.gov/dailymed/drugInfo.cfm?setid=b471eb51-488e-5312-e053-2a95a90a8116"/>
    <hyperlink ref="D375" r:id="rId792" display="https://dailymed.nlm.nih.gov/dailymed/search.cfm?labeltype=all&amp;query=fulvestrant"/>
    <hyperlink ref="G375" r:id="rId793" display="https://mhraproducts4853.blob.core.windows.net/docs/b46086f37376e5481490ddb82a9d2e3645873236"/>
    <hyperlink ref="D376" r:id="rId794" display="https://dailymed.nlm.nih.gov/dailymed/search.cfm?labeltype=all&amp;query=fulvestrant"/>
    <hyperlink ref="G376" r:id="rId795" display="https://www.ema.europa.eu/en/documents/other/article-57-product-data_en.xlsx"/>
    <hyperlink ref="D377" r:id="rId796" display="https://dailymed.nlm.nih.gov/dailymed/search.cfm?labeltype=all&amp;query=fulvestrant"/>
    <hyperlink ref="G377" r:id="rId797" display="https://base-donnees-publique.medicaments.gouv.fr/index.php?page=1&amp;choixRecherche=medicament&amp;txtCaracteres=Fulvestrant%20Accord&amp;action=show"/>
    <hyperlink ref="J377" r:id="rId798" display="https://www.ema.europa.eu/en/documents/other/article-57-product-data_en.xlsx"/>
    <hyperlink ref="D378" r:id="rId799" display="https://dailymed.nlm.nih.gov/dailymed/search.cfm?labeltype=all&amp;query=fulvestrant"/>
    <hyperlink ref="G378" r:id="rId800" display="https://www.ebs.tga.gov.au/ebs/picmi/picmirepository.nsf/pdf?OpenAgent&amp;id=CP-2021-PI-01020-1"/>
    <hyperlink ref="D379" r:id="rId801" display="https://dailymed.nlm.nih.gov/dailymed/search.cfm?labeltype=all&amp;query=fulvestrant"/>
    <hyperlink ref="G379" r:id="rId802" location="search:fuldexa" display="https://medicineprices.org.za/#search:fuldexa"/>
    <hyperlink ref="D380" r:id="rId803" display="https://dailymed.nlm.nih.gov/dailymed/search.cfm?labeltype=all&amp;query=glycopyrrolate+injection"/>
    <hyperlink ref="G380" r:id="rId804" display="https://www.ema.europa.eu/en/documents/other/article-57-product-data_en.xlsx"/>
    <hyperlink ref="D381" r:id="rId805" display="https://dailymed.nlm.nih.gov/dailymed/search.cfm?labeltype=all&amp;query=glycopyrrolate+injection"/>
    <hyperlink ref="G381" r:id="rId806" display="https://www.ema.europa.eu/en/documents/other/article-57-product-data_en.xlsx"/>
    <hyperlink ref="D382" r:id="rId807" display="https://dailymed.nlm.nih.gov/dailymed/search.cfm?labeltype=all&amp;query=glycopyrrolate+injection"/>
    <hyperlink ref="G382" r:id="rId808" display="https://www.ebs.tga.gov.au/ebs/picmi/picmirepository.nsf/pdf?OpenAgent&amp;id=CP-2016-PI-02612-1"/>
    <hyperlink ref="D383" r:id="rId809" display="https://mhraproducts4853.blob.core.windows.net/docs/263d32f81753d60c17b4d841aa3115ebcf5eabd7"/>
    <hyperlink ref="G383" r:id="rId810" display="https://www.ema.europa.eu/en/documents/other/article-57-product-data_en.xlsx"/>
    <hyperlink ref="D384" r:id="rId811" display="https://dailymed.nlm.nih.gov/dailymed/search.cfm?labeltype=all&amp;query=ibandronate+injection"/>
    <hyperlink ref="G384" r:id="rId812" display="https://dailymed.nlm.nih.gov/dailymed/fda/fdaDrugXsl.cfm?setid=2b84257d-d8b3-56fe-e054-00144ff88e88"/>
    <hyperlink ref="D385" r:id="rId813" display="https://dailymed.nlm.nih.gov/dailymed/search.cfm?labeltype=all&amp;query=ibandronate+injection"/>
    <hyperlink ref="G385" r:id="rId814" display="https://mhraproducts4853.blob.core.windows.net/docs/77d3cbbc5361b04cb13407c5649837410927261d"/>
    <hyperlink ref="D386" r:id="rId815" display="https://dailymed.nlm.nih.gov/dailymed/search.cfm?labeltype=all&amp;query=ibandronate+injection"/>
    <hyperlink ref="G386" r:id="rId816" display="https://www.ema.europa.eu/en/medicines/human/EPAR/ibandronic-acid-accord"/>
    <hyperlink ref="J386" r:id="rId817" display="https://www.ema.europa.eu/en/documents/other/article-57-product-data_en.xlsx"/>
    <hyperlink ref="D387" r:id="rId818" display="https://dailymed.nlm.nih.gov/dailymed/search.cfm?labeltype=all&amp;query=idarubicin"/>
    <hyperlink ref="G387" r:id="rId819" display="https://www.ema.europa.eu/en/documents/other/article-57-product-data_en.xlsx"/>
    <hyperlink ref="D388" r:id="rId820" display="https://dailymed.nlm.nih.gov/dailymed/search.cfm?labeltype=all&amp;query=idarubicin"/>
    <hyperlink ref="G388" r:id="rId821" display="https://base-donnees-publique.medicaments.gouv.fr/index.php?page=1&amp;choixRecherche=medicament&amp;txtCaracteres=Idarubicine%20Accord&amp;action=show"/>
    <hyperlink ref="J388" r:id="rId822" display="https://www.ema.europa.eu/en/documents/other/article-57-product-data_en.xlsx"/>
    <hyperlink ref="D389" r:id="rId823" display="https://dailymed.nlm.nih.gov/dailymed/search.cfm?labeltype=all&amp;query=leuprolide"/>
    <hyperlink ref="G389" r:id="rId824" display="https://mhraproducts4853.blob.core.windows.net/docs/9139290e853308d1ca62298463423a242ccfa099"/>
    <hyperlink ref="D390" r:id="rId825" display="https://dailymed.nlm.nih.gov/dailymed/search.cfm?labeltype=all&amp;query=leuprolide"/>
    <hyperlink ref="G390" r:id="rId826" display="https://www.ema.europa.eu/en/medicines/human/EPAR/camcevi"/>
    <hyperlink ref="J390" r:id="rId827" display="https://www.ema.europa.eu/en/documents/other/article-57-product-data_en.xlsx"/>
    <hyperlink ref="D391" r:id="rId828" display="https://dailymed.nlm.nih.gov/dailymed/search.cfm?labeltype=all&amp;query=lidocaine+hydrochloride+injection"/>
    <hyperlink ref="G391" r:id="rId829" display="https://www.ema.europa.eu/en/documents/other/article-57-product-data_en.xlsx"/>
    <hyperlink ref="D392" r:id="rId830" display="https://dailymed.nlm.nih.gov/dailymed/search.cfm?labeltype=all&amp;query=lidocaine+hydrochloride+injection"/>
    <hyperlink ref="G392" r:id="rId831" display="https://www.ema.europa.eu/en/documents/other/article-57-product-data_en.xlsx"/>
    <hyperlink ref="D393" r:id="rId832" display="https://dailymed.nlm.nih.gov/dailymed/search.cfm?labeltype=all&amp;query=lidocaine+hydrochloride+injection"/>
    <hyperlink ref="G393" r:id="rId833" display="https://www.ebs.tga.gov.au/ebs/picmi/picmirepository.nsf/pdf?OpenAgent&amp;id=CP-2019-PI-01963-1"/>
    <hyperlink ref="D394" r:id="rId834" display="https://dailymed.nlm.nih.gov/dailymed/search.cfm?labeltype=all&amp;query=melphalan+hydrochloride"/>
    <hyperlink ref="G394" r:id="rId835" display="https://mhraproducts4853.blob.core.windows.net/docs/1740a36db8ba332d071a925f2871b14576fa46c7"/>
    <hyperlink ref="D395" r:id="rId836" display="https://dailymed.nlm.nih.gov/dailymed/search.cfm?labeltype=all&amp;query=melphalan+hydrochloride"/>
    <hyperlink ref="G395" r:id="rId837" display="https://www.ema.europa.eu/en/documents/other/article-57-product-data_en.xlsx"/>
    <hyperlink ref="D396" r:id="rId838" display="https://dailymed.nlm.nih.gov/dailymed/search.cfm?labeltype=all&amp;query=methotrexate+injection"/>
    <hyperlink ref="G396" r:id="rId839" display="https://dmd-browser.nhsbsa.nhs.uk/ampp/view/133567"/>
    <hyperlink ref="D397" r:id="rId840" display="https://dailymed.nlm.nih.gov/dailymed/search.cfm?labeltype=all&amp;query=methotrexate+injection"/>
    <hyperlink ref="G397" r:id="rId841" display="https://www.ema.europa.eu/en/documents/other/article-57-product-data_en.xlsx"/>
    <hyperlink ref="D398" r:id="rId842" display="https://dailymed.nlm.nih.gov/dailymed/search.cfm?labeltype=all&amp;query=methotrexate+injection"/>
    <hyperlink ref="G398" r:id="rId843" display="https://produits-sante.canada.ca/dpd-bdpp/info?code=81253&amp;lang=eng"/>
    <hyperlink ref="D399" r:id="rId844" display="https://dailymed.nlm.nih.gov/dailymed/search.cfm?labeltype=all&amp;query=methotrexate+injection"/>
    <hyperlink ref="G399" r:id="rId845" display="https://base-donnees-publique.medicaments.gouv.fr/index.php?page=1&amp;choixRecherche=medicament&amp;txtCaracteres=Izixate&amp;action=show"/>
    <hyperlink ref="J399" r:id="rId846" display="https://www.ema.europa.eu/en/documents/other/article-57-product-data_en.xlsx"/>
    <hyperlink ref="D400" r:id="rId847" display="https://dailymed.nlm.nih.gov/dailymed/search.cfm?labeltype=all&amp;query=methotrexate+injection"/>
    <hyperlink ref="G400" r:id="rId848" display="https://www.healthdirect.gov.au/medicines/brand/amt%2C933505761000036101/methotrexate-intas"/>
    <hyperlink ref="D401" r:id="rId849" display="https://dailymed.nlm.nih.gov/dailymed/search.cfm?labeltype=all&amp;query=midazolam+injection"/>
    <hyperlink ref="G401" r:id="rId850" display="https://www.ema.europa.eu/en/documents/other/article-57-product-data_en.xlsx"/>
    <hyperlink ref="D402" r:id="rId851" display="https://dailymed.nlm.nih.gov/dailymed/search.cfm?labeltype=all&amp;query=midazolam+injection"/>
    <hyperlink ref="G402" r:id="rId852" display="https://base-donnees-publique.medicaments.gouv.fr/index.php?page=1&amp;choixRecherche=medicament&amp;txtCaracteres=Midazolam%20Accord&amp;action=show"/>
    <hyperlink ref="J402" r:id="rId853" display="https://www.ema.europa.eu/en/documents/other/article-57-product-data_en.xlsx"/>
    <hyperlink ref="D403" r:id="rId854" display="https://dailymed.nlm.nih.gov/dailymed/search.cfm?labeltype=all&amp;query=midazolam+injection"/>
    <hyperlink ref="G403" r:id="rId855" display="https://www.ebs.tga.gov.au/ebs/picmi/picmirepository.nsf/pdf?OpenAgent&amp;id=CP-2016-PI-02501-1"/>
    <hyperlink ref="D404" r:id="rId856" display="https://dailymed.nlm.nih.gov/dailymed/search.cfm?labeltype=all&amp;query=mitomycin"/>
    <hyperlink ref="G404" r:id="rId857" display="https://dmd-browser.nhsbsa.nhs.uk/ampp/view/180360"/>
    <hyperlink ref="D405" r:id="rId858" display="https://dailymed.nlm.nih.gov/dailymed/search.cfm?labeltype=all&amp;query=mitomycin"/>
    <hyperlink ref="G405" r:id="rId859" display="https://www.ema.europa.eu/en/documents/other/article-57-product-data_en.xlsx"/>
    <hyperlink ref="D406" r:id="rId860" display="https://dailymed.nlm.nih.gov/dailymed/search.cfm?labeltype=all&amp;query=mitomycin"/>
    <hyperlink ref="G406" r:id="rId861" display="https://health-products.canada.ca/dpd-bdpp/info?code=95282&amp;lang=eng"/>
    <hyperlink ref="D407" r:id="rId862" display="https://dailymed.nlm.nih.gov/dailymed/search.cfm?labeltype=all&amp;query=mitomycin"/>
    <hyperlink ref="G407" r:id="rId863" display="https://base-donnees-publique.medicaments.gouv.fr/index.php?page=1&amp;choixRecherche=medicament&amp;txtCaracteres=Mitomycine%20Accord&amp;action=show"/>
    <hyperlink ref="J407" r:id="rId864" display="https://www.ema.europa.eu/en/documents/other/article-57-product-data_en.xlsx"/>
    <hyperlink ref="D408" r:id="rId865" display="https://dailymed.nlm.nih.gov/dailymed/search.cfm?labeltype=all&amp;query=mitoxantrone"/>
    <hyperlink ref="G408" r:id="rId866" display="https://www.ema.europa.eu/en/documents/other/article-57-product-data_en.xlsx"/>
    <hyperlink ref="D409" r:id="rId867" display="https://dailymed.nlm.nih.gov/dailymed/search.cfm?labeltype=all&amp;query=mitoxantrone"/>
    <hyperlink ref="G409" r:id="rId868" display="https://base-donnees-publique.medicaments.gouv.fr/index.php?page=1&amp;choixRecherche=medicament&amp;txtCaracteres=Mitoxantrone%20Accord&amp;action=show"/>
    <hyperlink ref="J409" r:id="rId869" display="https://www.ema.europa.eu/en/documents/other/article-57-product-data_en.xlsx"/>
    <hyperlink ref="D410" r:id="rId870" display="https://dailymed.nlm.nih.gov/dailymed/search.cfm?labeltype=all&amp;query=naloxone+hydrochloride+injection"/>
    <hyperlink ref="G410" r:id="rId871" display="https://dailymed.nlm.nih.gov/dailymed/search.cfm?labeltype=all&amp;query=Naloxone+Hydrochloride"/>
    <hyperlink ref="D411" r:id="rId872" display="https://dailymed.nlm.nih.gov/dailymed/search.cfm?labeltype=all&amp;query=naloxone+hydrochloride+injection"/>
    <hyperlink ref="G411" r:id="rId873" display="https://mhraproducts4853.blob.core.windows.net/docs/1b85c921ff22e65de2c4cb817669b364513ade84"/>
    <hyperlink ref="D412" r:id="rId874" display="https://dailymed.nlm.nih.gov/dailymed/search.cfm?labeltype=all&amp;query=naloxone+hydrochloride+injection"/>
    <hyperlink ref="G412" r:id="rId875" display="https://www.ema.europa.eu/en/documents/other/article-57-product-data_en.xlsx"/>
    <hyperlink ref="D413" r:id="rId876" display="https://dailymed.nlm.nih.gov/dailymed/search.cfm?labeltype=all&amp;query=naloxone+hydrochloride+injection"/>
    <hyperlink ref="G413" r:id="rId877" display="https://www.ema.europa.eu/en/documents/other/article-57-product-data_en.xlsx"/>
    <hyperlink ref="D414" r:id="rId878" display="https://dailymed.nlm.nih.gov/dailymed/search.cfm?labeltype=all&amp;query=ondansetron+injection"/>
    <hyperlink ref="G414" r:id="rId879" display="https://dailymed.nlm.nih.gov/dailymed/search.cfm?searchdb=ndc&amp;query=16729-298"/>
    <hyperlink ref="D415" r:id="rId880" display="https://dailymed.nlm.nih.gov/dailymed/search.cfm?labeltype=all&amp;query=ondansetron+injection"/>
    <hyperlink ref="G415" r:id="rId881" display="https://dmd-browser.nhsbsa.nhs.uk/ampp/view/197033"/>
    <hyperlink ref="D416" r:id="rId882" display="https://dailymed.nlm.nih.gov/dailymed/search.cfm?labeltype=all&amp;query=ondansetron+injection"/>
    <hyperlink ref="G416" r:id="rId883" display="https://www.ema.europa.eu/en/documents/other/article-57-product-data_en.xlsx"/>
    <hyperlink ref="D417" r:id="rId884" display="https://dailymed.nlm.nih.gov/dailymed/search.cfm?labeltype=all&amp;query=ondansetron+injection"/>
    <hyperlink ref="G417" r:id="rId885" display="https://base-donnees-publique.medicaments.gouv.fr/index.php?page=1&amp;choixRecherche=medicament&amp;txtCaracteres=Ondansetron%20Accord&amp;action=show"/>
    <hyperlink ref="J417" r:id="rId886" display="https://www.ema.europa.eu/en/documents/other/article-57-product-data_en.xlsx"/>
    <hyperlink ref="D418" r:id="rId887" display="https://dailymed.nlm.nih.gov/dailymed/search.cfm?labeltype=all&amp;query=ondansetron+injection"/>
    <hyperlink ref="G418" r:id="rId888" display="https://www.ebs.tga.gov.au/ebs/picmi/picmirepository.nsf/pdf?OpenAgent&amp;id=CP-2016-PI-02393-1"/>
    <hyperlink ref="D419" r:id="rId889" display="https://dailymed.nlm.nih.gov/dailymed/search.cfm?labeltype=all&amp;query=paclitaxel"/>
    <hyperlink ref="G419" r:id="rId890" display="https://www.ema.europa.eu/en/medicines/human/EPAR/naveruclif"/>
    <hyperlink ref="J419" r:id="rId891" display="https://www.ema.europa.eu/en/documents/other/article-57-product-data_en.xlsx"/>
    <hyperlink ref="D420" r:id="rId892" display="https://dailymed.nlm.nih.gov/dailymed/search.cfm?labeltype=all&amp;query=paclitaxel"/>
    <hyperlink ref="G420" r:id="rId893" display="https://health-products.canada.ca/dpd-bdpp/info?code=87681&amp;lang=eng"/>
    <hyperlink ref="D421" r:id="rId894" display="https://dailymed.nlm.nih.gov/dailymed/search.cfm?labeltype=all&amp;query=paclitaxel"/>
    <hyperlink ref="G421" r:id="rId895" display="https://www.ema.europa.eu/en/medicines/human/EPAR/naveruclif"/>
    <hyperlink ref="J421" r:id="rId896" display="https://www.ema.europa.eu/en/documents/other/article-57-product-data_en.xlsx"/>
    <hyperlink ref="D422" r:id="rId897" display="https://dailymed.nlm.nih.gov/dailymed/search.cfm?labeltype=all&amp;query=palonosetron"/>
    <hyperlink ref="G422" r:id="rId898" display="https://mhraproducts4853.blob.core.windows.net/docs/f5e999c5eaed01985040c89afd30ed8456f534a6"/>
    <hyperlink ref="D423" r:id="rId899" display="https://dailymed.nlm.nih.gov/dailymed/search.cfm?labeltype=all&amp;query=palonosetron"/>
    <hyperlink ref="G423" r:id="rId900" display="https://www.ema.europa.eu/en/medicines/human/EPAR/palonosetron-accord"/>
    <hyperlink ref="J423" r:id="rId901" display="https://www.ema.europa.eu/en/documents/other/article-57-product-data_en.xlsx"/>
    <hyperlink ref="D424" r:id="rId902" display="https://dailymed.nlm.nih.gov/dailymed/search.cfm?labeltype=all&amp;query=palonosetron"/>
    <hyperlink ref="G424" r:id="rId903" location="search:palcita" display="https://medicineprices.org.za/#search:palcita"/>
    <hyperlink ref="D425" r:id="rId904" display="https://dailymed.nlm.nih.gov/dailymed/search.cfm?labeltype=all&amp;query=pantoprazole+sodium+for+injection"/>
    <hyperlink ref="G425" r:id="rId905" display="https://dmd-browser.nhsbsa.nhs.uk/ampp/view/194984"/>
    <hyperlink ref="D426" r:id="rId906" display="https://dailymed.nlm.nih.gov/dailymed/search.cfm?labeltype=all&amp;query=pantoprazole+sodium+for+injection"/>
    <hyperlink ref="G426" r:id="rId907" display="https://www.ema.europa.eu/en/documents/other/article-57-product-data_en.xlsx"/>
    <hyperlink ref="D427" r:id="rId908" display="https://dailymed.nlm.nih.gov/dailymed/search.cfm?labeltype=all&amp;query=pantoprazole+sodium+for+injection"/>
    <hyperlink ref="G427" r:id="rId909" display="https://www.ema.europa.eu/en/documents/other/article-57-product-data_en.xlsx"/>
    <hyperlink ref="D428" r:id="rId910" display="https://dailymed.nlm.nih.gov/dailymed/search.cfm?labeltype=all&amp;query=paricalcitol+injection"/>
    <hyperlink ref="G428" r:id="rId911" display="https://dailymed.nlm.nih.gov/dailymed/drugInfo.cfm?setid=2b7c7587-2042-0d9c-e054-00144ff88e88"/>
    <hyperlink ref="D429" r:id="rId912" display="https://dailymed.nlm.nih.gov/dailymed/search.cfm?labeltype=all&amp;query=paricalcitol+injection"/>
    <hyperlink ref="G429" r:id="rId913" display="https://www.ema.europa.eu/en/documents/other/article-57-product-data_en.xlsx"/>
    <hyperlink ref="D430" r:id="rId914" display="https://dailymed.nlm.nih.gov/dailymed/search.cfm?labeltype=all&amp;query=pegfilgrastim"/>
    <hyperlink ref="G430" r:id="rId915" display="https://mhraproducts4853.blob.core.windows.net/docs/558dcfb1d7c94ccfc6b14703ecd62a427ca2264d"/>
    <hyperlink ref="D431" r:id="rId916" display="https://dailymed.nlm.nih.gov/dailymed/search.cfm?labeltype=all&amp;query=pegfilgrastim"/>
    <hyperlink ref="G431" r:id="rId917" display="https://www.ema.europa.eu/en/medicines/human/EPAR/pelgraz"/>
    <hyperlink ref="J431" r:id="rId918" display="https://www.ema.europa.eu/en/documents/other/article-57-product-data_en.xlsx"/>
    <hyperlink ref="D432" r:id="rId919" display="https://dailymed.nlm.nih.gov/dailymed/search.cfm?labeltype=all&amp;query=phenylephrine+hydrochloride+injection"/>
    <hyperlink ref="G432" r:id="rId920" display="https://www.ebs.tga.gov.au/ebs/picmi/picmirepository.nsf/pdf?OpenAgent&amp;id=CP-2020-PI-02525-1"/>
    <hyperlink ref="D433" r:id="rId921" display="https://dailymed.nlm.nih.gov/dailymed/search.cfm?labeltype=all&amp;query=phenylephrine+hydrochloride+injection"/>
    <hyperlink ref="G433" r:id="rId922" location="search:phenylcord" display="https://medicineprices.org.za/#search:phenylcord"/>
    <hyperlink ref="D434" r:id="rId923" display="https://dailymed.nlm.nih.gov/dailymed/search.cfm?labeltype=all&amp;query=phenytoin+sodium+injection"/>
    <hyperlink ref="G434" r:id="rId924" display="https://www.ema.europa.eu/en/documents/other/article-57-product-data_en.xlsx"/>
    <hyperlink ref="D435" r:id="rId925" display="https://dailymed.nlm.nih.gov/dailymed/search.cfm?labeltype=all&amp;query=phenytoin+sodium+injection"/>
    <hyperlink ref="G435" r:id="rId926" display="https://www.ema.europa.eu/en/documents/other/article-57-product-data_en.xlsx"/>
    <hyperlink ref="D436" r:id="rId927" display="https://dailymed.nlm.nih.gov/dailymed/search.cfm?labeltype=all&amp;query=plerixafor"/>
    <hyperlink ref="G436" r:id="rId928" display="https://mhraproducts4853.blob.core.windows.net/docs/07357ed28124fa9adf67221cff8397b75709ff50"/>
    <hyperlink ref="D437" r:id="rId929" display="https://dailymed.nlm.nih.gov/dailymed/search.cfm?labeltype=all&amp;query=plerixafor"/>
    <hyperlink ref="G437" r:id="rId930" display="https://www.ema.europa.eu/en/medicines/human/EPAR/plerixafor-accord"/>
    <hyperlink ref="J437" r:id="rId931" display="https://www.ema.europa.eu/en/documents/other/article-57-product-data_en.xlsx"/>
    <hyperlink ref="D438" r:id="rId932" display="https://dailymed.nlm.nih.gov/dailymed/search.cfm?labeltype=all&amp;query=plerixafor"/>
    <hyperlink ref="G438" r:id="rId933" display="http://tga.gov.au/resources/artg/398073"/>
    <hyperlink ref="D439" r:id="rId934" display="https://dailymed.nlm.nih.gov/dailymed/search.cfm?labeltype=all&amp;query=progesterone+injection"/>
    <hyperlink ref="G439" r:id="rId935" display="https://dailymed.nlm.nih.gov/dailymed/search.cfm?labeltype=all&amp;query=Progesterone"/>
    <hyperlink ref="D440" r:id="rId936" display="https://dailymed.nlm.nih.gov/dailymed/search.cfm?labeltype=all&amp;query=ranibizumab"/>
    <hyperlink ref="G440" r:id="rId937" display="https://mhraproducts4853.blob.core.windows.net/docs/0cd995a5637a3bd404fb0dc96033abecfd8ffc95"/>
    <hyperlink ref="D441" r:id="rId938" display="https://dailymed.nlm.nih.gov/dailymed/search.cfm?labeltype=all&amp;query=regadenoson"/>
    <hyperlink ref="G441" r:id="rId939" display="https://dailymed.nlm.nih.gov/dailymed/search.cfm?labeltype=all&amp;query=Regadenoson"/>
    <hyperlink ref="D442" r:id="rId940" display="https://dailymed.nlm.nih.gov/dailymed/search.cfm?labeltype=all&amp;query=rocuronium"/>
    <hyperlink ref="G442" r:id="rId941" display="https://www.ema.europa.eu/en/documents/other/article-57-product-data_en.xlsx"/>
    <hyperlink ref="D443" r:id="rId942" display="https://dailymed.nlm.nih.gov/dailymed/search.cfm?labeltype=all&amp;query=rocuronium"/>
    <hyperlink ref="G443" r:id="rId943" display="https://www.ema.europa.eu/en/documents/other/article-57-product-data_en.xlsx"/>
    <hyperlink ref="D444" r:id="rId944" display="https://dailymed.nlm.nih.gov/dailymed/search.cfm?labeltype=all&amp;query=succinylcholine"/>
    <hyperlink ref="G444" r:id="rId945" display="https://www.tga.gov.au/resources/artg"/>
    <hyperlink ref="D445" r:id="rId946" display="https://dailymed.nlm.nih.gov/dailymed/search.cfm?labeltype=all&amp;query=sugammadex"/>
    <hyperlink ref="G445" r:id="rId947" display="https://mhraproducts4853.blob.core.windows.net/docs/44089c416fe7066a241a329bc84997950abfd99d"/>
    <hyperlink ref="D446" r:id="rId948" display="https://dailymed.nlm.nih.gov/dailymed/search.cfm?labeltype=all&amp;query=sugammadex"/>
    <hyperlink ref="G446" r:id="rId949" display="https://www.ema.europa.eu/en/documents/other/article-57-product-data_en.xlsx"/>
    <hyperlink ref="D447" r:id="rId950" display="https://dailymed.nlm.nih.gov/dailymed/search.cfm?labeltype=all&amp;query=sugammadex"/>
    <hyperlink ref="G447" r:id="rId951" display="https://base-donnees-publique.medicaments.gouv.fr/index.php?page=1&amp;choixRecherche=medicament&amp;txtCaracteres=Sugammadex%20Accord&amp;action=show"/>
    <hyperlink ref="J447" r:id="rId952" display="https://www.ema.europa.eu/en/documents/other/article-57-product-data_en.xlsx"/>
    <hyperlink ref="D448" r:id="rId953" display="https://dailymed.nlm.nih.gov/dailymed/search.cfm?labeltype=all&amp;query=sugammadex"/>
    <hyperlink ref="G448" r:id="rId954" display="https://www.ebs.tga.gov.au/servlet/xmlmillr6?dbid=ebs/PublicHTML/pdfStore.nsf&amp;docid=372777&amp;agid=(PrintDetailsPublic)&amp;actionid=1"/>
    <hyperlink ref="D449" r:id="rId955" display="https://mhraproducts4853.blob.core.windows.net/docs/45a310f5c66d09f20d9d1eb3a5d48c17c486ac7b"/>
    <hyperlink ref="G449" r:id="rId956" display="https://www.ema.europa.eu/en/documents/other/article-57-product-data_en.xlsx"/>
    <hyperlink ref="D450" r:id="rId957" display="https://dailymed.nlm.nih.gov/dailymed/search.cfm?labeltype=all&amp;query=tigecycline"/>
    <hyperlink ref="G450" r:id="rId958" display="https://www.ema.europa.eu/en/medicines/human/EPAR/tigecycline-accord"/>
    <hyperlink ref="J450" r:id="rId959" display="https://www.ema.europa.eu/en/documents/other/article-57-product-data_en.xlsx"/>
    <hyperlink ref="D451" r:id="rId960" display="https://dailymed.nlm.nih.gov/dailymed/search.cfm?labeltype=all&amp;query=tigecycline"/>
    <hyperlink ref="G451" r:id="rId961" display="https://www.ebs.tga.gov.au/servlet/xmlmillr6?dbid=ebs/PublicHTML/pdfStore.nsf&amp;docid=331680&amp;agid=(PrintDetailsPublic)&amp;actionid=1"/>
    <hyperlink ref="D452" r:id="rId962" display="https://dailymed.nlm.nih.gov/dailymed/search.cfm?labeltype=all&amp;query=ustekinumab"/>
    <hyperlink ref="G452" r:id="rId963" display="https://mhraproducts4853.blob.core.windows.net/docs/7f0af292cea25f881c619785dd36da19d641eb1a"/>
    <hyperlink ref="D453" r:id="rId964" display="https://dailymed.nlm.nih.gov/dailymed/search.cfm?labeltype=all&amp;query=ustekinumab"/>
    <hyperlink ref="G453" r:id="rId965" display="https://www.ema.europa.eu/en/medicines/human/EPAR/imuldosa"/>
    <hyperlink ref="J453" r:id="rId966" display="https://www.ema.europa.eu/en/documents/other/article-57-product-data_en.xlsx"/>
    <hyperlink ref="D454" r:id="rId967" display="https://dailymed.nlm.nih.gov/dailymed/search.cfm?labeltype=all&amp;query=ustekinumab"/>
    <hyperlink ref="G454" r:id="rId968" display="https://www.ema.europa.eu/en/medicines/human/EPAR/imuldosa"/>
    <hyperlink ref="J454" r:id="rId969" display="https://www.ema.europa.eu/en/documents/other/article-57-product-data_en.xlsx"/>
    <hyperlink ref="D455" r:id="rId970" display="https://dailymed.nlm.nih.gov/dailymed/search.cfm?labeltype=all&amp;query=vincristine"/>
    <hyperlink ref="G455" r:id="rId971" display="https://www.sahpra.org.za/document-category/product-recall/page/7/"/>
    <hyperlink ref="D456" r:id="rId972" display="https://dailymed.nlm.nih.gov/dailymed/search.cfm?labeltype=all&amp;query=vinorelbine"/>
    <hyperlink ref="G456" r:id="rId973" display="https://www.ema.europa.eu/en/documents/other/article-57-product-data_en.xlsx"/>
    <hyperlink ref="D457" r:id="rId974" display="https://dailymed.nlm.nih.gov/dailymed/search.cfm?labeltype=all&amp;query=vinorelbine"/>
    <hyperlink ref="G457" r:id="rId975" display="https://base-donnees-publique.medicaments.gouv.fr/index.php?page=1&amp;choixRecherche=medicament&amp;txtCaracteres=Vinorelbine%20Accord&amp;action=show"/>
    <hyperlink ref="J457" r:id="rId976" display="https://www.ema.europa.eu/en/documents/other/article-57-product-data_en.xlsx"/>
    <hyperlink ref="D458" r:id="rId977" display="https://dailymed.nlm.nih.gov/dailymed/search.cfm?labeltype=all&amp;query=alfentanil"/>
    <hyperlink ref="G458" r:id="rId978" display="https://www.nps.org.au/assets/medicines/8bd3b47f-93b8-42ea-9c27-a53300ffa94f.pdf"/>
    <hyperlink ref="D459" r:id="rId979" display="https://dailymed.nlm.nih.gov/dailymed/search.cfm?labeltype=all&amp;query=cefazolin"/>
    <hyperlink ref="G459" r:id="rId980" display="https://www.ebs.tga.gov.au/servlet/xmlmillr6?dbid=ebs/PublicHTML/pdfStore.nsf&amp;docid=322861&amp;agid=(PrintDetailsPublic)&amp;actionid=1"/>
    <hyperlink ref="D460" r:id="rId981" display="https://dailymed.nlm.nih.gov/dailymed/search.cfm?labeltype=all&amp;query=cisatracurium"/>
    <hyperlink ref="G460" r:id="rId982" display="https://www.healthdirect.gov.au/medicines/brand/amt%2C913251000168100/cisatracurium-ajs"/>
    <hyperlink ref="D461" r:id="rId983" display="https://dailymed.nlm.nih.gov/dailymed/search.cfm?labeltype=all&amp;query=daptomycin"/>
    <hyperlink ref="G461" r:id="rId984" display="https://www.ebs.tga.gov.au/ebs/picmi/picmirepository.nsf/pdf?OpenAgent&amp;id=CP-2023-PI-01405-1"/>
    <hyperlink ref="D462" r:id="rId985" display="https://dailymed.nlm.nih.gov/dailymed/search.cfm?labeltype=all&amp;query=diazepam+injection"/>
    <hyperlink ref="G462" r:id="rId986" display="https://dailymed.nlm.nih.gov/dailymed/search.cfm?labeltype=all&amp;query=Diazepam"/>
    <hyperlink ref="D463" r:id="rId987" display="https://dailymed.nlm.nih.gov/dailymed/search.cfm?labeltype=all&amp;query=droperidol"/>
    <hyperlink ref="G463" r:id="rId988" display="https://www.ebs.tga.gov.au/ebs/picmi/picmirepository.nsf/pdf?OpenAgent&amp;id=CP-2017-PI-01601-1"/>
    <hyperlink ref="D464" r:id="rId989" display="https://dailymed.nlm.nih.gov/dailymed/search.cfm?labeltype=all&amp;query=iron+sucrose"/>
    <hyperlink ref="G464" r:id="rId990" location="search:sucrofer" display="https://medicineprices.org.za/#search:sucrofer"/>
    <hyperlink ref="D465" r:id="rId991" display="https://dailymed.nlm.nih.gov/dailymed/search.cfm?labeltype=all&amp;query=ephedrine+sulfate+injection"/>
    <hyperlink ref="G465" r:id="rId992" display="https://www.ebs.tga.gov.au/servlet/xmlmillr6?dbid=ebs/PublicHTML/pdfStore.nsf&amp;docid=259539&amp;agid=(PrintDetailsPublic)&amp;actionid=1"/>
    <hyperlink ref="D466" r:id="rId993" display="https://dailymed.nlm.nih.gov/dailymed/search.cfm?labeltype=all&amp;query=ertapenem"/>
    <hyperlink ref="G466" r:id="rId994" location="search:invabex" display="https://medicineprices.org.za/#search:invabex"/>
    <hyperlink ref="D467" r:id="rId995" display="https://dailymed.nlm.nih.gov/dailymed/search.cfm?labeltype=all&amp;query=famotidine+injection"/>
    <hyperlink ref="G467" r:id="rId996" display="https://dailymed.nlm.nih.gov/dailymed/search.cfm?labeltype=all&amp;query=Famotidine"/>
    <hyperlink ref="D468" r:id="rId997" display="https://dailymed.nlm.nih.gov/dailymed/search.cfm?labeltype=all&amp;query=fentanyl+citrate+injection"/>
    <hyperlink ref="G468" r:id="rId998" display="https://www.safetyandquality.gov.au/medicine-finder/fentanyl-gh"/>
    <hyperlink ref="D469" r:id="rId999" display="https://dailymed.nlm.nih.gov/dailymed/search.cfm?labeltype=all&amp;query=meropenem"/>
    <hyperlink ref="G469" r:id="rId1000" display="https://www.healthdirect.gov.au/medicines/brand/amt%2C1310041000168105/meropenem-gh"/>
    <hyperlink ref="D470" r:id="rId1001" display="https://dailymed.nlm.nih.gov/dailymed/search.cfm?labeltype=all&amp;query=meropenem"/>
    <hyperlink ref="G470" r:id="rId1002" display="https://pi-pil-repository.sahpra.org.za/wp-content/uploads/2025/02/Approved-PIL-25-November-2024.pdf"/>
    <hyperlink ref="D471" r:id="rId1003" display="https://dailymed.nlm.nih.gov/dailymed/search.cfm?labeltype=all&amp;query=milrinone"/>
    <hyperlink ref="G471" r:id="rId1004" display="https://www.safetyandquality.gov.au/medicine-finder/milrinone-gh-concentrate-for-infusion"/>
    <hyperlink ref="D472" r:id="rId1005" display="https://dailymed.nlm.nih.gov/dailymed/search.cfm?labeltype=all&amp;query=olanzapine+for+injection"/>
    <hyperlink ref="G472" r:id="rId1006" display="https://www.tga.gov.au/resources/artg/484114"/>
    <hyperlink ref="D473" r:id="rId1007" display="https://dailymed.nlm.nih.gov/dailymed/search.cfm?labeltype=all&amp;query=oxytocin"/>
    <hyperlink ref="G473" r:id="rId1008" display="https://www.safetyandquality.gov.au/medicine-finder/oxytocin-gh"/>
    <hyperlink ref="D474" r:id="rId1009" display="https://dailymed.nlm.nih.gov/dailymed/search.cfm?labeltype=all&amp;query=remifentanil"/>
    <hyperlink ref="G474" r:id="rId1010" display="https://pi-pil-repository.sahpra.org.za/wp-content/uploads/2025/05/Approved-PI-12-May-2025.pdf"/>
    <hyperlink ref="D475" r:id="rId1011" display="https://dailymed.nlm.nih.gov/dailymed/search.cfm?labeltype=all&amp;query=sugammadex"/>
    <hyperlink ref="G475" r:id="rId1012" display="https://dailymed.nlm.nih.gov/dailymed/drugInfo.cfm?setid=9f2e66d7-a5d2-4593-bb30-6d4a418381aa"/>
    <hyperlink ref="D476" r:id="rId1013" display="https://dailymed.nlm.nih.gov/dailymed/search.cfm?labeltype=all&amp;query=sugammadex"/>
    <hyperlink ref="G476" r:id="rId1014" display="https://www.ebs.tga.gov.au/ebs/picmi/picmirepository.nsf/pdf?OpenAgent&amp;id=CP-2023-PI-02604-1&amp;d=20260925172310101"/>
    <hyperlink ref="D477" r:id="rId1015" display="https://mhraproducts4853.blob.core.windows.net/docs/45a310f5c66d09f20d9d1eb3a5d48c17c486ac7b"/>
    <hyperlink ref="G477" r:id="rId1016" display="https://www.ebs.tga.gov.au/servlet/xmlmillr6?dbid=ebs/PublicHTML/pdfStore.nsf&amp;docid=259192&amp;agid=(PrintDetailsPublic)&amp;actionid=1"/>
    <hyperlink ref="D478" r:id="rId1017" display="https://mhraproducts4853.blob.core.windows.net/docs/45a310f5c66d09f20d9d1eb3a5d48c17c486ac7b"/>
    <hyperlink ref="G478" r:id="rId1018" location="search:dyna" display="https://medicineprices.org.za/#search:dyna"/>
    <hyperlink ref="D479" r:id="rId1019" display="https://dailymed.nlm.nih.gov/dailymed/search.cfm?labeltype=all&amp;query=testosterone+undecanoate"/>
    <hyperlink ref="G479" r:id="rId1020" location="search:testosterone" display="https://medicineprices.org.za/#search:testosterone"/>
    <hyperlink ref="D480" r:id="rId1021" display="https://dailymed.nlm.nih.gov/dailymed/search.cfm?labeltype=all&amp;query=bortezomib"/>
    <hyperlink ref="G480" r:id="rId1022" display="https://dailymed.nlm.nih.gov/dailymed/drugInfo.cfm?setid=d41340c2-7fe8-42b2-aaa5-c9f9b0e9b50e"/>
    <hyperlink ref="D481" r:id="rId1023" display="https://dailymed.nlm.nih.gov/dailymed/search.cfm?labeltype=all&amp;query=bortezomib"/>
    <hyperlink ref="G481" r:id="rId1024" display="https://mhraproducts4853.blob.core.windows.net/docs/8703115c833741c52c0b5e3efbbb2258862cffa1"/>
    <hyperlink ref="D482" r:id="rId1025" display="https://dailymed.nlm.nih.gov/dailymed/search.cfm?labeltype=all&amp;query=bortezomib"/>
    <hyperlink ref="G482" r:id="rId1026" display="https://www.ema.europa.eu/en/documents/other/article-57-product-data_en.xlsx"/>
    <hyperlink ref="D483" r:id="rId1027" display="https://dailymed.nlm.nih.gov/dailymed/search.cfm?labeltype=all&amp;query=bortezomib"/>
    <hyperlink ref="G483" r:id="rId1028" display="https://www.ema.europa.eu/en/documents/other/article-57-product-data_en.xlsx"/>
    <hyperlink ref="D484" r:id="rId1029" display="https://dailymed.nlm.nih.gov/dailymed/search.cfm?labeltype=all&amp;query=bortezomib"/>
    <hyperlink ref="G484" r:id="rId1030" display="https://www.tga.gov.au/resources/artg/306550"/>
    <hyperlink ref="D485" r:id="rId1031" display="https://dailymed.nlm.nih.gov/dailymed/search.cfm?labeltype=all&amp;query=brivaracetam"/>
    <hyperlink ref="G485" r:id="rId1032" display="https://dailymed.nlm.nih.gov/dailymed/drugInfo.cfm?setid=2c6af271-3222-4602-98a6-14754f0a29ba"/>
    <hyperlink ref="D486" r:id="rId1033" display="https://dailymed.nlm.nih.gov/dailymed/search.cfm?labeltype=all&amp;query=chlorpromazine"/>
    <hyperlink ref="G486" r:id="rId1034" display="https://dailymed.nlm.nih.gov/dailymed/drugInfo.cfm?setid=867d5c7f-52d4-4794-b1d4-6747f3262fba"/>
    <hyperlink ref="D487" r:id="rId1035" display="https://dailymed.nlm.nih.gov/dailymed/search.cfm?labeltype=all&amp;query=fluphenazine+decanoate"/>
    <hyperlink ref="G487" r:id="rId1036" display="https://dailymed.nlm.nih.gov/dailymed/search.cfm?labeltype=all&amp;query=Fluphenazine+Decanoate"/>
    <hyperlink ref="D488" r:id="rId1037" display="https://dailymed.nlm.nih.gov/dailymed/search.cfm?labeltype=all&amp;query=gadobutrol"/>
    <hyperlink ref="G488" r:id="rId1038" display="https://mhraproducts4853.blob.core.windows.net/docs/a892ae362be90b720fee33b3e1c9cf5f06e6ed09"/>
    <hyperlink ref="D489" r:id="rId1039" display="https://dailymed.nlm.nih.gov/dailymed/search.cfm?labeltype=all&amp;query=gadobutrol"/>
    <hyperlink ref="G489" r:id="rId1040" display="https://www.ema.europa.eu/en/documents/other/article-57-product-data_en.xlsx"/>
    <hyperlink ref="D490" r:id="rId1041" display="https://dailymed.nlm.nih.gov/dailymed/search.cfm?labeltype=all&amp;query=plerixafor"/>
    <hyperlink ref="G490" r:id="rId1042" display="https://dailymed.nlm.nih.gov/dailymed/drugInfo.cfm?setid=58c9fa02-3701-d411-f946-790a62ddc064"/>
    <hyperlink ref="D491" r:id="rId1043" display="https://dailymed.nlm.nih.gov/dailymed/search.cfm?labeltype=all&amp;query=plerixafor"/>
    <hyperlink ref="G491" r:id="rId1044" display="https://www.ema.europa.eu/en/documents/other/article-57-product-data_en.xlsx"/>
    <hyperlink ref="D492" r:id="rId1045" display="https://dailymed.nlm.nih.gov/dailymed/search.cfm?labeltype=all&amp;query=sugammadex"/>
    <hyperlink ref="G492" r:id="rId1046" display="https://dailymed.nlm.nih.gov/dailymed/drugInfo.cfm?setid=ab41ea1c-266f-421c-8fc4-6e7ff518a75d"/>
    <hyperlink ref="D493" r:id="rId1047" display="https://dailymed.nlm.nih.gov/dailymed/search.cfm?labeltype=all&amp;query=sugammadex"/>
    <hyperlink ref="G493" r:id="rId1048" display="https://mhraproducts4853.blob.core.windows.net/docs/7aa20df6854ee9b7ef3bc783930d858a9979d943"/>
    <hyperlink ref="D494" r:id="rId1049" display="https://dailymed.nlm.nih.gov/dailymed/search.cfm?labeltype=all&amp;query=sugammadex"/>
    <hyperlink ref="G494" r:id="rId1050" display="https://www.ema.europa.eu/en/documents/other/article-57-product-data_en.xlsx"/>
    <hyperlink ref="D495" r:id="rId1051" display="https://dailymed.nlm.nih.gov/dailymed/search.cfm?labeltype=all&amp;query=sugammadex"/>
    <hyperlink ref="G495" r:id="rId1052" display="https://www.ebs.tga.gov.au/ebs/picmi/picmirepository.nsf/pdf?OpenAgent&amp;id=CP-2026-PI-01917-1"/>
    <hyperlink ref="D496" r:id="rId1053" display="https://dailymed.nlm.nih.gov/dailymed/search.cfm?labeltype=all&amp;query=brivaracetam"/>
    <hyperlink ref="G496" r:id="rId1054" display="https://dailymed.nlm.nih.gov/dailymed/drugInfo.cfm?setid=c054a1c9-2aa7-473b-a04b-622596f36c95"/>
    <hyperlink ref="D497" r:id="rId1055" display="https://dailymed.nlm.nih.gov/dailymed/search.cfm?labeltype=all&amp;query=caffeine+citrate"/>
    <hyperlink ref="G497" r:id="rId1056" display="https://www.ema.europa.eu/en/documents/other/article-57-product-data_en.xlsx"/>
    <hyperlink ref="D498" r:id="rId1057" display="https://dailymed.nlm.nih.gov/dailymed/search.cfm?labeltype=all&amp;query=carboprost"/>
    <hyperlink ref="G498" r:id="rId1058" display="https://dailymed.nlm.nih.gov/dailymed/lookup.cfm?setid=c1cde9c7-b005-484f-8497-343c5ecd4f0a"/>
    <hyperlink ref="D499" r:id="rId1059" display="https://mhraproducts4853.blob.core.windows.net/docs/925bc4c8a8d4a507b955b633951acf444692f0ea"/>
    <hyperlink ref="G499" r:id="rId1060" display="https://www.ema.europa.eu/en/documents/other/article-57-product-data_en.xlsx"/>
    <hyperlink ref="D500" r:id="rId1061" display="https://mhraproducts4853.blob.core.windows.net/docs/925bc4c8a8d4a507b955b633951acf444692f0ea"/>
    <hyperlink ref="G500" r:id="rId1062" display="https://www.ebs.tga.gov.au/servlet/xmlmillr6?dbid=ebs/PublicHTML/pdfStore.nsf&amp;docid=394390&amp;agid=(PrintDetailsPublic)&amp;actionid=1"/>
    <hyperlink ref="D501" r:id="rId1063" display="https://dailymed.nlm.nih.gov/dailymed/search.cfm?labeltype=all&amp;query=diphenhydramine+injection"/>
    <hyperlink ref="G501" r:id="rId1064" display="https://dailymed.nlm.nih.gov/dailymed/drugInfo.cfm?setid=c2981222-1671-4ecd-a5a2-286f0663f1ae"/>
    <hyperlink ref="D502" r:id="rId1065" display="https://dailymed.nlm.nih.gov/dailymed/search.cfm?labeltype=all&amp;query=isoproterenol"/>
    <hyperlink ref="G502" r:id="rId1066" display="https://dailymed.nlm.nih.gov/dailymed/drugInfo.cfm?setid=0f6a7651-e7b4-4ada-8ccd-2123d094a113"/>
    <hyperlink ref="D503" r:id="rId1067" display="https://dailymed.nlm.nih.gov/dailymed/search.cfm?labeltype=all&amp;query=isoproterenol"/>
    <hyperlink ref="G503" r:id="rId1068" display="https://www.ebs.tga.gov.au/servlet/xmlmillr6?dbid=ebs/PublicHTML/pdfStore.nsf&amp;docid=358311&amp;agid=(PrintDetailsPublic)&amp;actionid=1"/>
    <hyperlink ref="D504" r:id="rId1069" display="https://dailymed.nlm.nih.gov/dailymed/search.cfm?labeltype=all&amp;query=levetiracetam+injection"/>
    <hyperlink ref="G504" r:id="rId1070" display="https://www.ema.europa.eu/en/documents/other/article-57-product-data_en.xlsx"/>
    <hyperlink ref="D505" r:id="rId1071" display="https://dailymed.nlm.nih.gov/dailymed/search.cfm?labeltype=all&amp;query=levetiracetam+injection"/>
    <hyperlink ref="G505" r:id="rId1072" display="https://www.ebs.tga.gov.au/servlet/xmlmillr6?dbid=ebs/PublicHTML/pdfStore.nsf&amp;docid=397976&amp;agid=(PrintDetailsPublic)&amp;actionid=1"/>
    <hyperlink ref="D506" r:id="rId1073" display="https://dailymed.nlm.nih.gov/dailymed/search.cfm?labeltype=all&amp;query=lincomycin"/>
    <hyperlink ref="G506" r:id="rId1074" display="https://dailymed.nlm.nih.gov/dailymed/search.cfm?searchdb=ndc&amp;query=68083-478"/>
    <hyperlink ref="D507" r:id="rId1075" display="https://dailymed.nlm.nih.gov/dailymed/search.cfm?labeltype=all&amp;query=succinylcholine"/>
    <hyperlink ref="G507" r:id="rId1076" display="https://dailymed.nlm.nih.gov/dailymed/drugInfo.cfm?setid=204f1c24-4bf6-40d5-95f3-a732db28e033"/>
    <hyperlink ref="D508" r:id="rId1077" display="https://dailymed.nlm.nih.gov/dailymed/search.cfm?labeltype=all&amp;query=verapamil+hydrochloride+injection"/>
    <hyperlink ref="G508" r:id="rId1078" display="https://dailymed.nlm.nih.gov/dailymed/drugInfo.cfm?setid=9f19a5b4-286c-2c3f-e053-2a95a90a51df"/>
    <hyperlink ref="D509" r:id="rId1079" display="https://dailymed.nlm.nih.gov/dailymed/search.cfm?labeltype=all&amp;query=bupivacaine"/>
    <hyperlink ref="G509" r:id="rId1080" display="https://dailymed.nlm.nih.gov/dailymed/drugInfo.cfm?setid=f29c905e-9a55-446f-a89d-860ad9ade7ad"/>
    <hyperlink ref="D510" r:id="rId1081" display="https://dailymed.nlm.nih.gov/dailymed/search.cfm?labeltype=all&amp;query=carboprost"/>
    <hyperlink ref="G510" r:id="rId1082" display="https://dailymed.nlm.nih.gov/dailymed/lookup.cfm?setid=c1cde9c7-b005-484f-8497-343c5ecd4f0a"/>
    <hyperlink ref="D511" r:id="rId1083" display="https://dailymed.nlm.nih.gov/dailymed/search.cfm?labeltype=all&amp;query=meropenem"/>
    <hyperlink ref="G511" r:id="rId1084" display="https://base-donnees-publique.medicaments.gouv.fr/index.php?page=1&amp;choixRecherche=medicament&amp;txtCaracteres=Meropenem%20Steriscience&amp;action=show"/>
    <hyperlink ref="J511" r:id="rId1085" display="https://www.ema.europa.eu/en/documents/other/article-57-product-data_en.xlsx"/>
    <hyperlink ref="D512" r:id="rId1086" display="https://dailymed.nlm.nih.gov/dailymed/search.cfm?labeltype=all&amp;query=methohexital"/>
    <hyperlink ref="G512" r:id="rId1087" display="https://dailymed.nlm.nih.gov/dailymed/search.cfm?searchdb=ndc&amp;query=83270-003"/>
    <hyperlink ref="D513" r:id="rId1088" display="https://dailymed.nlm.nih.gov/dailymed/search.cfm?labeltype=all&amp;query=nafcillin"/>
    <hyperlink ref="G513" r:id="rId1089" display="https://dailymed.nlm.nih.gov/dailymed/search.cfm?searchdb=ndc&amp;query=83270-310"/>
    <hyperlink ref="D514" r:id="rId1090" display="https://dailymed.nlm.nih.gov/dailymed/search.cfm?labeltype=all&amp;query=alfentanil"/>
    <hyperlink ref="G514" r:id="rId1091" display="https://dmd-browser.nhsbsa.nhs.uk/ampp/view/20811"/>
    <hyperlink ref="D515" r:id="rId1092" display="https://dailymed.nlm.nih.gov/dailymed/search.cfm?labeltype=all&amp;query=alfentanil"/>
    <hyperlink ref="G515" r:id="rId1093" display="https://www.ema.europa.eu/en/documents/other/article-57-product-data_en.xlsx"/>
    <hyperlink ref="D516" r:id="rId1094" display="https://dailymed.nlm.nih.gov/dailymed/search.cfm?labeltype=all&amp;query=alfentanil"/>
    <hyperlink ref="G516" r:id="rId1095" display="https://base-donnees-publique.medicaments.gouv.fr/index.php?page=1&amp;choixRecherche=medicament&amp;txtCaracteres=Rapifen&amp;action=show"/>
    <hyperlink ref="J516" r:id="rId1096" display="https://www.ema.europa.eu/en/documents/other/article-57-product-data_en.xlsx"/>
    <hyperlink ref="D517" r:id="rId1097" display="https://dailymed.nlm.nih.gov/dailymed/search.cfm?labeltype=all&amp;query=alfentanil"/>
    <hyperlink ref="G517" r:id="rId1098" display="https://www.safetyandquality.gov.au/medicine-finder/rapifen"/>
    <hyperlink ref="D518" r:id="rId1099" display="https://dailymed.nlm.nih.gov/dailymed/search.cfm?labeltype=all&amp;query=alfentanil"/>
    <hyperlink ref="G518" r:id="rId1100" display="https://www.sahpra.org.za/wp-content/uploads/2020/02/Rapifen_PI_Piramal-Critical-Care_MCC-format-01-February-2010.pdf"/>
    <hyperlink ref="D519" r:id="rId1101" display="https://dailymed.nlm.nih.gov/dailymed/search.cfm?labeltype=all&amp;query=baclofen"/>
    <hyperlink ref="G519" r:id="rId1102" display="https://dailymed.nlm.nih.gov/dailymed/lookup.cfm?setid=00d3e846-dd92-448d-9ab8-6a07be823cc1"/>
    <hyperlink ref="D520" r:id="rId1103" display="https://dailymed.nlm.nih.gov/dailymed/search.cfm?labeltype=all&amp;query=baclofen"/>
    <hyperlink ref="G520" r:id="rId1104" display="https://products.mhra.gov.uk/search/?search=baclofen"/>
    <hyperlink ref="D521" r:id="rId1105" display="https://dailymed.nlm.nih.gov/dailymed/search.cfm?labeltype=all&amp;query=baclofen"/>
    <hyperlink ref="G521" r:id="rId1106" display="https://www.ema.europa.eu/en/documents/other/article-57-product-data_en.xlsx"/>
    <hyperlink ref="D522" r:id="rId1107" display="https://dailymed.nlm.nih.gov/dailymed/search.cfm?labeltype=all&amp;query=baclofen"/>
    <hyperlink ref="G522" r:id="rId1108" display="https://base-donnees-publique.medicaments.gouv.fr/index.php?page=1&amp;choixRecherche=medicament&amp;txtCaracteres=Spacyr&amp;action=show"/>
    <hyperlink ref="J522" r:id="rId1109" display="https://www.ema.europa.eu/en/documents/other/article-57-product-data_en.xlsx"/>
    <hyperlink ref="D523" r:id="rId1110" display="https://dailymed.nlm.nih.gov/dailymed/search.cfm?labeltype=all&amp;query=cisatracurium"/>
    <hyperlink ref="G523" r:id="rId1111" display="https://dailymed.nlm.nih.gov/dailymed/drugInfo.cfm?setid=d8b5eb77-b393-4cd7-86c5-d2a9d131f96d"/>
    <hyperlink ref="D524" r:id="rId1112" display="https://dailymed.nlm.nih.gov/dailymed/search.cfm?labeltype=all&amp;query=etomidate"/>
    <hyperlink ref="G524" r:id="rId1113" display="https://www.ema.europa.eu/en/documents/other/article-57-product-data_en.xlsx"/>
    <hyperlink ref="D525" r:id="rId1114" display="https://dailymed.nlm.nih.gov/dailymed/search.cfm?labeltype=all&amp;query=etomidate"/>
    <hyperlink ref="G525" r:id="rId1115" display="https://base-donnees-publique.medicaments.gouv.fr/index.php?page=1&amp;choixRecherche=medicament&amp;txtCaracteres=Hypnomidate&amp;action=show"/>
    <hyperlink ref="J525" r:id="rId1116" display="https://www.ema.europa.eu/en/documents/other/article-57-product-data_en.xlsx"/>
    <hyperlink ref="D526" r:id="rId1117" display="https://dailymed.nlm.nih.gov/dailymed/search.cfm?labeltype=all&amp;query=etomidate"/>
    <hyperlink ref="G526" r:id="rId1118" location="search:hypnomidate" display="https://medicineprices.org.za/#search:hypnomidate"/>
    <hyperlink ref="D527" r:id="rId1119" display="https://dailymed.nlm.nih.gov/dailymed/search.cfm?labeltype=all&amp;query=fentanyl+citrate+injection"/>
    <hyperlink ref="G527" r:id="rId1120" display="https://www.ema.europa.eu/en/documents/other/article-57-product-data_en.xlsx"/>
    <hyperlink ref="D528" r:id="rId1121" display="https://dailymed.nlm.nih.gov/dailymed/search.cfm?labeltype=all&amp;query=fentanyl+citrate+injection"/>
    <hyperlink ref="G528" r:id="rId1122" display="https://base-donnees-publique.medicaments.gouv.fr/index.php?page=1&amp;choixRecherche=medicament&amp;txtCaracteres=Fentanyl%20Piramal&amp;action=show"/>
    <hyperlink ref="J528" r:id="rId1123" display="https://www.ema.europa.eu/en/documents/other/article-57-product-data_en.xlsx"/>
    <hyperlink ref="D529" r:id="rId1124" display="https://dailymed.nlm.nih.gov/dailymed/search.cfm?labeltype=all&amp;query=fentanyl+citrate+injection"/>
    <hyperlink ref="G529" r:id="rId1125" display="https://www.sahpra.org.za/wp-content/uploads/2020/02/Rapifen_PI_Piramal-Critical-Care_MCC-format-01-February-2010.pdf"/>
    <hyperlink ref="D530" r:id="rId1126" display="https://dailymed.nlm.nih.gov/dailymed/search.cfm?labeltype=all&amp;query=remifentanil"/>
    <hyperlink ref="G530" r:id="rId1127" display="https://www.ema.europa.eu/en/documents/other/article-57-product-data_en.xlsx"/>
    <hyperlink ref="D531" r:id="rId1128" display="https://dailymed.nlm.nih.gov/dailymed/search.cfm?labeltype=all&amp;query=sugammadex"/>
    <hyperlink ref="G531" r:id="rId1129" display="https://mhraproducts4853.blob.core.windows.net/docs/65c89059d784c50dab28071e95ac40d97f54368d"/>
    <hyperlink ref="D532" r:id="rId1130" display="https://dailymed.nlm.nih.gov/dailymed/search.cfm?labeltype=all&amp;query=sugammadex"/>
    <hyperlink ref="G532" r:id="rId1131" display="https://www.ema.europa.eu/en/medicines/human/EPAR/sugammadex-piramal"/>
    <hyperlink ref="J532" r:id="rId1132" display="https://www.ema.europa.eu/en/documents/other/article-57-product-data_en.xlsx"/>
    <hyperlink ref="D533" r:id="rId1133" display="https://dailymed.nlm.nih.gov/dailymed/search.cfm?labeltype=all&amp;query=sugammadex"/>
    <hyperlink ref="G533" r:id="rId1134" display="https://www.ema.europa.eu/en/medicines/human/EPAR/sugammadex-piramal"/>
    <hyperlink ref="J533" r:id="rId1135" display="https://www.ema.europa.eu/en/documents/other/article-57-product-data_en.xlsx"/>
    <hyperlink ref="D534" r:id="rId1136" display="https://dailymed.nlm.nih.gov/dailymed/search.cfm?labeltype=all&amp;query=cefepime"/>
    <hyperlink ref="G534" r:id="rId1137" display="https://www.healthdirect.gov.au/medicines/brand/amt%2C888961000168107/bindozef"/>
    <hyperlink ref="D535" r:id="rId1138" display="https://dailymed.nlm.nih.gov/dailymed/search.cfm?labeltype=all&amp;query=ceftazidime"/>
    <hyperlink ref="G535" r:id="rId1139" display="https://www.healthdirect.gov.au/medicines/brand/amt%2C933507581000036107/zetaf"/>
    <hyperlink ref="D536" r:id="rId1140" display="https://dailymed.nlm.nih.gov/dailymed/search.cfm?labeltype=all&amp;query=hydrocortisone+sodium+succinate"/>
    <hyperlink ref="G536" r:id="rId1141" location="search:cortaject" display="https://medicineprices.org.za/#search:cortaject"/>
    <hyperlink ref="D537" r:id="rId1142" display="https://dailymed.nlm.nih.gov/dailymed/search.cfm?labeltype=all&amp;query=meropenem"/>
    <hyperlink ref="G537" r:id="rId1143" display="https://dmd-browser.nhsbsa.nhs.uk/ampp/view/175452"/>
    <hyperlink ref="D538" r:id="rId1144" display="https://dailymed.nlm.nih.gov/dailymed/search.cfm?labeltype=all&amp;query=meropenem"/>
    <hyperlink ref="G538" r:id="rId1145" display="https://www.ema.europa.eu/en/documents/other/article-57-product-data_en.xlsx"/>
    <hyperlink ref="D539" r:id="rId1146" display="https://dailymed.nlm.nih.gov/dailymed/search.cfm?labeltype=all&amp;query=piperacillin+and+tazobactam"/>
    <hyperlink ref="G539" r:id="rId1147" display="https://www.healthdirect.gov.au/medicines/brand/amt%2C933703631000036101/piptaz-2-g-0.25-g-auro"/>
    <hyperlink ref="D540" r:id="rId1148" display="https://dailymed.nlm.nih.gov/dailymed/search.cfm?labeltype=all&amp;query=aripiprazole"/>
    <hyperlink ref="G540" r:id="rId1149" display="https://mhraproducts4853.blob.core.windows.net/docs/3f1e00ed4b97700f12503d40822ed0706e54eaed"/>
    <hyperlink ref="D541" r:id="rId1150" display="https://dailymed.nlm.nih.gov/dailymed/search.cfm?labeltype=all&amp;query=aripiprazole"/>
    <hyperlink ref="G541" r:id="rId1151" display="https://www.ebs.tga.gov.au/ebs/picmi/picmirepository.nsf/pdf?OpenAgent&amp;id=CP-2025-PI-01168-1"/>
    <hyperlink ref="D542" r:id="rId1152" display="https://dailymed.nlm.nih.gov/dailymed/search.cfm?labeltype=all&amp;query=bortezomib"/>
    <hyperlink ref="G542" r:id="rId1153" display="https://mhraproducts4853.blob.core.windows.net/docs/300ac5b7309146ded231acf96131c8ba8ea5dc2e"/>
    <hyperlink ref="D543" r:id="rId1154" display="https://dailymed.nlm.nih.gov/dailymed/search.cfm?labeltype=all&amp;query=bortezomib"/>
    <hyperlink ref="G543" r:id="rId1155" display="https://www.ema.europa.eu/en/medicines/human/EPAR/bortezomib-sun"/>
    <hyperlink ref="J543" r:id="rId1156" display="https://www.ema.europa.eu/en/documents/other/article-57-product-data_en.xlsx"/>
    <hyperlink ref="D544" r:id="rId1157" display="https://dailymed.nlm.nih.gov/dailymed/search.cfm?labeltype=all&amp;query=bortezomib"/>
    <hyperlink ref="G544" r:id="rId1158" display="https://pdf.hres.ca/dpd_pm/00067579.PDF"/>
    <hyperlink ref="D545" r:id="rId1159" display="https://dailymed.nlm.nih.gov/dailymed/search.cfm?labeltype=all&amp;query=bortezomib"/>
    <hyperlink ref="G545" r:id="rId1160" display="https://www.ema.europa.eu/en/medicines/human/EPAR/bortezomib-sun"/>
    <hyperlink ref="J545" r:id="rId1161" display="https://www.ema.europa.eu/en/documents/other/article-57-product-data_en.xlsx"/>
    <hyperlink ref="D546" r:id="rId1162" display="https://dailymed.nlm.nih.gov/dailymed/search.cfm?labeltype=all&amp;query=bortezomib"/>
    <hyperlink ref="G546" r:id="rId1163" display="https://pi-pil-repository.sahpra.org.za/wp-content/uploads/2026/02/Botigen-pil.pdf"/>
    <hyperlink ref="D547" r:id="rId1164" display="https://dailymed.nlm.nih.gov/dailymed/search.cfm?labeltype=all&amp;query=chlorothiazide"/>
    <hyperlink ref="G547" r:id="rId1165" display="https://dailymed.nlm.nih.gov/dailymed/drugInfo.cfm?setid=bf921935-9740-458e-b786-69f76d8ad139"/>
    <hyperlink ref="D548" r:id="rId1166" display="https://dailymed.nlm.nih.gov/dailymed/search.cfm?labeltype=all&amp;query=doxorubicin"/>
    <hyperlink ref="G548" r:id="rId1167" display="https://dailymed.nlm.nih.gov/dailymed/drugInfo.cfm?setid=6bcde92b-e584-4919-866a-68847ea201ba"/>
    <hyperlink ref="D549" r:id="rId1168" display="https://dailymed.nlm.nih.gov/dailymed/search.cfm?labeltype=all&amp;query=doxorubicin"/>
    <hyperlink ref="G549" r:id="rId1169" display="https://www.ema.europa.eu/en/documents/other/article-57-product-data_en.xlsx"/>
    <hyperlink ref="D550" r:id="rId1170" display="https://dailymed.nlm.nih.gov/dailymed/search.cfm?labeltype=all&amp;query=esomeprazole+sodium"/>
    <hyperlink ref="G550" r:id="rId1171" display="https://www.ema.europa.eu/en/documents/other/article-57-product-data_en.xlsx"/>
    <hyperlink ref="D551" r:id="rId1172" display="https://dailymed.nlm.nih.gov/dailymed/search.cfm?labeltype=all&amp;query=esomeprazole+sodium"/>
    <hyperlink ref="G551" r:id="rId1173" display="https://base-donnees-publique.medicaments.gouv.fr/index.php?page=1&amp;choixRecherche=medicament&amp;txtCaracteres=Esomeprazole%20Sun&amp;action=show"/>
    <hyperlink ref="J551" r:id="rId1174" display="https://www.ema.europa.eu/en/documents/other/article-57-product-data_en.xlsx"/>
    <hyperlink ref="D552" r:id="rId1175" display="https://dailymed.nlm.nih.gov/dailymed/search.cfm?labeltype=all&amp;query=esomeprazole+sodium"/>
    <hyperlink ref="G552" r:id="rId1176" display="https://www.safetyandquality.gov.au/medicine-finder/esomeprazole-sun"/>
    <hyperlink ref="D553" r:id="rId1177" display="https://dailymed.nlm.nih.gov/dailymed/search.cfm?labeltype=all&amp;query=fulvestrant"/>
    <hyperlink ref="G553" r:id="rId1178" display="https://mhraproducts4853.blob.core.windows.net/docs/aecc2774280857fc21e451486124f7b54d8cd890"/>
    <hyperlink ref="D554" r:id="rId1179" display="https://dailymed.nlm.nih.gov/dailymed/search.cfm?labeltype=all&amp;query=fulvestrant"/>
    <hyperlink ref="G554" r:id="rId1180" display="https://www.ema.europa.eu/en/documents/other/article-57-product-data_en.xlsx"/>
    <hyperlink ref="D555" r:id="rId1181" display="https://dailymed.nlm.nih.gov/dailymed/search.cfm?labeltype=all&amp;query=fulvestrant"/>
    <hyperlink ref="G555" r:id="rId1182" display="https://www.ema.europa.eu/en/documents/other/article-57-product-data_en.xlsx"/>
    <hyperlink ref="D556" r:id="rId1183" display="https://dailymed.nlm.nih.gov/dailymed/search.cfm?labeltype=all&amp;query=melphalan+hydrochloride"/>
    <hyperlink ref="G556" r:id="rId1184" display="https://www.ema.europa.eu/en/documents/other/article-57-product-data_en.xlsx"/>
    <hyperlink ref="D557" r:id="rId1185" display="https://dailymed.nlm.nih.gov/dailymed/search.cfm?labeltype=all&amp;query=melphalan+hydrochloride"/>
    <hyperlink ref="G557" r:id="rId1186" display="https://health-products.canada.ca/dpd-bdpp/info?code=97057&amp;lang=eng"/>
    <hyperlink ref="D558" r:id="rId1187" display="https://dailymed.nlm.nih.gov/dailymed/search.cfm?labeltype=all&amp;query=melphalan+hydrochloride"/>
    <hyperlink ref="G558" r:id="rId1188" display="https://base-donnees-publique.medicaments.gouv.fr/index.php?page=1&amp;choixRecherche=medicament&amp;txtCaracteres=Melphalan%20Sun&amp;action=show"/>
    <hyperlink ref="J558" r:id="rId1189" display="https://www.ema.europa.eu/en/documents/other/article-57-product-data_en.xlsx"/>
    <hyperlink ref="D559" r:id="rId1190" display="https://dailymed.nlm.nih.gov/dailymed/search.cfm?labeltype=all&amp;query=meropenem"/>
    <hyperlink ref="G559" r:id="rId1191" display="https://dmd-browser.nhsbsa.nhs.uk/ampp/view/175452"/>
    <hyperlink ref="D560" r:id="rId1192" display="https://dailymed.nlm.nih.gov/dailymed/search.cfm?labeltype=all&amp;query=meropenem"/>
    <hyperlink ref="G560" r:id="rId1193" display="https://www.ema.europa.eu/en/documents/other/article-57-product-data_en.xlsx"/>
    <hyperlink ref="D561" r:id="rId1194" display="https://dailymed.nlm.nih.gov/dailymed/search.cfm?labeltype=all&amp;query=meropenem"/>
    <hyperlink ref="G561" r:id="rId1195" display="https://health-products.canada.ca/dpd-bdpp/info?code=90612&amp;lang=eng"/>
    <hyperlink ref="D562" r:id="rId1196" display="https://dailymed.nlm.nih.gov/dailymed/search.cfm?labeltype=all&amp;query=meropenem"/>
    <hyperlink ref="G562" r:id="rId1197" display="https://www.ema.europa.eu/en/documents/other/article-57-product-data_en.xlsx"/>
    <hyperlink ref="D563" r:id="rId1198" display="https://dailymed.nlm.nih.gov/dailymed/search.cfm?labeltype=all&amp;query=meropenem"/>
    <hyperlink ref="G563" r:id="rId1199" display="https://www.tga.gov.au/resources/artg/167024"/>
    <hyperlink ref="D564" r:id="rId1200" display="https://dailymed.nlm.nih.gov/dailymed/search.cfm?labeltype=all&amp;query=meropenem"/>
    <hyperlink ref="G564" r:id="rId1201" display="https://medsinfoportal.sahpra.org.za/pil/0d412c0ea487c6e954a1603a1de0815a.pdf"/>
    <hyperlink ref="D565" r:id="rId1202" display="https://dailymed.nlm.nih.gov/dailymed/search.cfm?labeltype=all&amp;query=octreotide"/>
    <hyperlink ref="G565" r:id="rId1203" display="https://www.ema.europa.eu/en/documents/other/article-57-product-data_en.xlsx"/>
    <hyperlink ref="D566" r:id="rId1204" display="https://dailymed.nlm.nih.gov/dailymed/search.cfm?labeltype=all&amp;query=octreotide"/>
    <hyperlink ref="G566" r:id="rId1205" display="https://www.ema.europa.eu/en/documents/other/article-57-product-data_en.xlsx"/>
    <hyperlink ref="D567" r:id="rId1206" display="https://dailymed.nlm.nih.gov/dailymed/search.cfm?labeltype=all&amp;query=octreotide"/>
    <hyperlink ref="G567" r:id="rId1207" display="https://www.ebs.tga.gov.au/servlet/xmlmillr6?dbid=ebs/PublicHTML/pdfStore.nsf&amp;docid=311224&amp;agid=(PrintDetailsPublic)&amp;actionid=1"/>
    <hyperlink ref="D568" r:id="rId1208" display="https://dailymed.nlm.nih.gov/dailymed/search.cfm?labeltype=all&amp;query=pantoprazole+sodium+for+injection"/>
    <hyperlink ref="G568" r:id="rId1209" display="https://dmd-browser.nhsbsa.nhs.uk/ampp/view/96481"/>
    <hyperlink ref="D569" r:id="rId1210" display="https://dailymed.nlm.nih.gov/dailymed/search.cfm?labeltype=all&amp;query=pantoprazole+sodium+for+injection"/>
    <hyperlink ref="G569" r:id="rId1211" display="https://www.ema.europa.eu/en/documents/other/article-57-product-data_en.xlsx"/>
    <hyperlink ref="D570" r:id="rId1212" display="https://dailymed.nlm.nih.gov/dailymed/search.cfm?labeltype=all&amp;query=pantoprazole+sodium+for+injection"/>
    <hyperlink ref="G570" r:id="rId1213" display="https://base-donnees-publique.medicaments.gouv.fr/index.php?page=1&amp;choixRecherche=medicament&amp;txtCaracteres=Pantoprazole%20Sun&amp;action=show"/>
    <hyperlink ref="J570" r:id="rId1214" display="https://www.ema.europa.eu/en/documents/other/article-57-product-data_en.xlsx"/>
    <hyperlink ref="D571" r:id="rId1215" display="https://dailymed.nlm.nih.gov/dailymed/search.cfm?labeltype=all&amp;query=paricalcitol+injection"/>
    <hyperlink ref="G571" r:id="rId1216" display="https://www.ema.europa.eu/en/documents/other/article-57-product-data_en.xlsx"/>
    <hyperlink ref="D572" r:id="rId1217" display="https://dailymed.nlm.nih.gov/dailymed/search.cfm?labeltype=all&amp;query=sugammadex"/>
    <hyperlink ref="G572" r:id="rId1218" display="https://dailymed.nlm.nih.gov/dailymed/drugInfo.cfm?setid=ab41ea1c-266f-421c-8fc4-6e7ff518a75d"/>
    <hyperlink ref="D573" r:id="rId1219" display="https://dailymed.nlm.nih.gov/dailymed/search.cfm?labeltype=all&amp;query=sugammadex"/>
    <hyperlink ref="G573" r:id="rId1220" display="https://dmd-browser.nhsbsa.nhs.uk/ampp/view/195579"/>
    <hyperlink ref="D574" r:id="rId1221" display="https://dailymed.nlm.nih.gov/dailymed/search.cfm?labeltype=all&amp;query=sugammadex"/>
    <hyperlink ref="G574" r:id="rId1222" display="https://www.ema.europa.eu/en/documents/other/article-57-product-data_en.xlsx"/>
    <hyperlink ref="D575" r:id="rId1223" display="https://dailymed.nlm.nih.gov/dailymed/search.cfm?labeltype=all&amp;query=sugammadex"/>
    <hyperlink ref="G575" r:id="rId1224" display="https://www.ema.europa.eu/en/documents/other/article-57-product-data_en.xlsx"/>
    <hyperlink ref="D576" r:id="rId1225" display="https://dailymed.nlm.nih.gov/dailymed/search.cfm?labeltype=all&amp;query=sugammadex"/>
    <hyperlink ref="G576" r:id="rId1226" display="https://pi-pil-repository.sahpra.org.za/wp-content/uploads/2022/08/Final_PIL_Sumabid_Applicant.pdf"/>
    <hyperlink ref="D577" r:id="rId1227" display="https://mhraproducts4853.blob.core.windows.net/docs/45a310f5c66d09f20d9d1eb3a5d48c17c486ac7b"/>
    <hyperlink ref="G577" r:id="rId1228" display="https://mhraproducts4853.blob.core.windows.net/docs/bb7e0f317f1d83fcc56a50c2ee7913094c687d19"/>
    <hyperlink ref="D578" r:id="rId1229" display="https://mhraproducts4853.blob.core.windows.net/docs/45a310f5c66d09f20d9d1eb3a5d48c17c486ac7b"/>
    <hyperlink ref="G578" r:id="rId1230" display="https://www.ema.europa.eu/en/documents/other/article-57-product-data_en.xlsx"/>
    <hyperlink ref="D579" r:id="rId1231" display="https://mhraproducts4853.blob.core.windows.net/docs/45a310f5c66d09f20d9d1eb3a5d48c17c486ac7b"/>
    <hyperlink ref="G579" r:id="rId1232" display="https://www.ema.europa.eu/en/documents/other/article-57-product-data_en.xlsx"/>
    <hyperlink ref="D580" r:id="rId1233" display="https://dailymed.nlm.nih.gov/dailymed/search.cfm?labeltype=all&amp;query=terlipressin"/>
    <hyperlink ref="G580" r:id="rId1234" display="https://mhraproducts4853.blob.core.windows.net/docs/87e83833753716c061280fd48b95d5801f88bfa9"/>
    <hyperlink ref="D581" r:id="rId1235" display="https://dailymed.nlm.nih.gov/dailymed/search.cfm?labeltype=all&amp;query=terlipressin"/>
    <hyperlink ref="G581" r:id="rId1236" display="https://www.ema.europa.eu/en/documents/other/article-57-product-data_en.xlsx"/>
    <hyperlink ref="D582" r:id="rId1237" display="https://dailymed.nlm.nih.gov/dailymed/search.cfm?labeltype=all&amp;query=terlipressin"/>
    <hyperlink ref="G582" r:id="rId1238" display="https://base-donnees-publique.medicaments.gouv.fr/index.php?page=1&amp;choixRecherche=medicament&amp;txtCaracteres=Terlipressine%20Sun&amp;action=show"/>
    <hyperlink ref="J582" r:id="rId1239" display="https://www.ema.europa.eu/en/documents/other/article-57-product-data_en.xlsx"/>
    <hyperlink ref="D583" r:id="rId1240" display="https://dailymed.nlm.nih.gov/dailymed/search.cfm?labeltype=all&amp;query=testosterone+cypionate"/>
    <hyperlink ref="G583" r:id="rId1241" display="https://health-products.canada.ca/dpd-bdpp/info?code=98589&amp;lang=eng"/>
    <hyperlink ref="D584" r:id="rId1242" display="https://dailymed.nlm.nih.gov/dailymed/search.cfm?labeltype=all&amp;query=testosterone+undecanoate"/>
    <hyperlink ref="G584" r:id="rId1243" display="https://mhraproducts4853.blob.core.windows.net/docs/f8741f99ca6de4849059aed1dc8b234fa8b588e0"/>
    <hyperlink ref="D585" r:id="rId1244" display="https://dailymed.nlm.nih.gov/dailymed/search.cfm?labeltype=all&amp;query=testosterone+undecanoate"/>
    <hyperlink ref="G585" r:id="rId1245" display="https://base-donnees-publique.medicaments.gouv.fr/index.php?page=1&amp;choixRecherche=medicament&amp;txtCaracteres=Undecanoate&amp;action=show"/>
    <hyperlink ref="J585" r:id="rId1246" display="https://www.ema.europa.eu/en/documents/other/article-57-product-data_en.xlsx"/>
    <hyperlink ref="D586" r:id="rId1247" display="https://dailymed.nlm.nih.gov/dailymed/search.cfm?labeltype=all&amp;query=testosterone+undecanoate"/>
    <hyperlink ref="G586" r:id="rId1248" display="https://www.tga.gov.au/resources/artg/414397"/>
    <hyperlink ref="D587" r:id="rId1249" display="https://dailymed.nlm.nih.gov/dailymed/search.cfm?labeltype=all&amp;query=vecuronium"/>
    <hyperlink ref="G587" r:id="rId1250" display="https://mhraproducts4853.blob.core.windows.net/docs/f13255972d04925e4d0ad2e36748738836fae19e"/>
    <hyperlink ref="D588" r:id="rId1251" display="https://dailymed.nlm.nih.gov/dailymed/search.cfm?labeltype=all&amp;query=vecuronium"/>
    <hyperlink ref="G588" r:id="rId1252" display="https://www.ema.europa.eu/en/documents/other/article-57-product-data_en.xlsx"/>
    <hyperlink ref="D589" r:id="rId1253" display="https://dailymed.nlm.nih.gov/dailymed/search.cfm?labeltype=all&amp;query=vecuronium"/>
    <hyperlink ref="G589" r:id="rId1254" display="https://www.ema.europa.eu/en/documents/other/article-57-product-data_en.xlsx"/>
    <hyperlink ref="D590" r:id="rId1255" display="https://dailymed.nlm.nih.gov/dailymed/search.cfm?labeltype=all&amp;query=vecuronium"/>
    <hyperlink ref="G590" r:id="rId1256" display="https://www.healthdirect.gov.au/medicines/brand/amt%2C1305051000168103/vecuronium-sun"/>
    <hyperlink ref="D591" r:id="rId1257" display="https://dailymed.nlm.nih.gov/dailymed/search.cfm?labeltype=all&amp;query=vecuronium"/>
    <hyperlink ref="G591" r:id="rId1258" display="https://pi-pil-repository.sahpra.org.za/wp-content/uploads/2024/01/2024-01-08-Muscuron-approved-pil.pdf"/>
    <hyperlink ref="D592" r:id="rId1259" display="https://dailymed.nlm.nih.gov/dailymed/search.cfm?labeltype=all&amp;query=fulvestrant"/>
    <hyperlink ref="G592" r:id="rId1260" display="https://www.ema.europa.eu/en/documents/other/article-57-product-data_en.xlsx"/>
    <hyperlink ref="D593" r:id="rId1261" display="https://dailymed.nlm.nih.gov/dailymed/search.cfm?labeltype=all&amp;query=granisetron"/>
    <hyperlink ref="G593" r:id="rId1262" display="https://mhraproducts4853.blob.core.windows.net/docs/e257ce9e9b4060c3c4a0c73cd7f61f9b6423679a"/>
    <hyperlink ref="D594" r:id="rId1263" display="https://dailymed.nlm.nih.gov/dailymed/search.cfm?labeltype=all&amp;query=granisetron"/>
    <hyperlink ref="G594" r:id="rId1264" display="https://www.ema.europa.eu/en/documents/other/article-57-product-data_en.xlsx"/>
    <hyperlink ref="D595" r:id="rId1265" display="https://dailymed.nlm.nih.gov/dailymed/search.cfm?labeltype=all&amp;query=levetiracetam+injection"/>
    <hyperlink ref="G595" r:id="rId1266" display="https://www.ema.europa.eu/en/documents/other/article-57-product-data_en.xlsx"/>
    <hyperlink ref="D596" r:id="rId1267" display="https://dailymed.nlm.nih.gov/dailymed/search.cfm?labeltype=all&amp;query=meropenem"/>
    <hyperlink ref="G596" r:id="rId1268" display="https://www.ema.europa.eu/en/documents/other/article-57-product-data_en.xlsx"/>
    <hyperlink ref="D597" r:id="rId1269" display="https://dailymed.nlm.nih.gov/dailymed/search.cfm?labeltype=all&amp;query=paliperidone+palmitate"/>
    <hyperlink ref="G597" r:id="rId1270" display="https://www.ema.europa.eu/en/documents/other/article-57-product-data_en.xlsx"/>
    <hyperlink ref="D598" r:id="rId1271" display="https://dailymed.nlm.nih.gov/dailymed/search.cfm?labeltype=all&amp;query=rocuronium"/>
    <hyperlink ref="G598" r:id="rId1272" location="search:rocuronium" display="https://medicineprices.org.za/#search:rocuronium"/>
    <hyperlink ref="D599" r:id="rId1273" display="https://dailymed.nlm.nih.gov/dailymed/search.cfm?labeltype=all&amp;query=voriconazole"/>
    <hyperlink ref="G599" r:id="rId1274" display="https://www.ema.europa.eu/en/documents/other/article-57-product-data_en.xlsx"/>
    <hyperlink ref="D600" r:id="rId1275" display="https://dailymed.nlm.nih.gov/dailymed/search.cfm?labeltype=all&amp;query=bleomycin"/>
    <hyperlink ref="G600" r:id="rId1276" display="https://mhraproducts4853.blob.core.windows.net/docs/bb8555ee31d8ac21ce7ea2481563ab908752699c"/>
    <hyperlink ref="D601" r:id="rId1277" display="https://dailymed.nlm.nih.gov/dailymed/search.cfm?labeltype=all&amp;query=ceftazidime"/>
    <hyperlink ref="G601" r:id="rId1278" display="https://dmd-browser.nhsbsa.nhs.uk/ampp/view/170191"/>
    <hyperlink ref="D602" r:id="rId1279" display="https://dailymed.nlm.nih.gov/dailymed/search.cfm?labeltype=all&amp;query=ceftriaxone"/>
    <hyperlink ref="G602" r:id="rId1280" display="https://mhraproducts4853.blob.core.windows.net/docs/620992012871d9e5a72bdb1e861678d5901cf630"/>
    <hyperlink ref="D603" r:id="rId1281" display="https://dailymed.nlm.nih.gov/dailymed/search.cfm?labeltype=all&amp;query=meropenem"/>
    <hyperlink ref="G603" r:id="rId1282" display="https://mhraproducts4853.blob.core.windows.net/docs/acbc6e7bb34bb7ce66320f7e651ff6f476c3ade3"/>
    <hyperlink ref="D604" r:id="rId1283" display="https://dailymed.nlm.nih.gov/dailymed/search.cfm?labeltype=all&amp;query=meropenem"/>
    <hyperlink ref="G604" r:id="rId1284" display="https://www.ema.europa.eu/en/documents/other/article-57-product-data_en.xlsx"/>
    <hyperlink ref="D605" r:id="rId1285" display="https://dailymed.nlm.nih.gov/dailymed/search.cfm?labeltype=all&amp;query=meropenem"/>
    <hyperlink ref="G605" r:id="rId1286" display="https://base-donnees-publique.medicaments.gouv.fr/index.php?page=1&amp;choixRecherche=medicament&amp;txtCaracteres=Meropenem%20Venus&amp;action=show"/>
    <hyperlink ref="J605" r:id="rId1287" display="https://www.ema.europa.eu/en/documents/other/article-57-product-data_en.xlsx"/>
    <hyperlink ref="D606" r:id="rId1288" display="https://dailymed.nlm.nih.gov/dailymed/search.cfm?labeltype=all&amp;query=adenosine"/>
    <hyperlink ref="G606" r:id="rId1289" display="https://mhraproducts4853.blob.core.windows.net/docs/ce49908fa961f98a13c36c78620a967d33be1b8b"/>
    <hyperlink ref="D607" r:id="rId1290" display="https://dailymed.nlm.nih.gov/dailymed/search.cfm?labeltype=all&amp;query=adenosine"/>
    <hyperlink ref="G607" r:id="rId1291" display="https://www.ema.europa.eu/en/documents/other/article-57-product-data_en.xlsx"/>
    <hyperlink ref="D608" r:id="rId1292" display="https://dailymed.nlm.nih.gov/dailymed/search.cfm?labeltype=all&amp;query=amikacin"/>
    <hyperlink ref="G608" r:id="rId1293" display="https://www.ebs.tga.gov.au/ebs/picmi/picmirepository.nsf/pdf?OpenAgent&amp;id=CP-2018-PI-01293-1"/>
    <hyperlink ref="D609" r:id="rId1294" display="https://dailymed.nlm.nih.gov/dailymed/search.cfm?labeltype=all&amp;query=caffeine+citrate"/>
    <hyperlink ref="G609" r:id="rId1295" display="https://mhraproducts4853.blob.core.windows.net/docs/eadef0847539ae80277f0273fc908c29f79089c5"/>
    <hyperlink ref="D610" r:id="rId1296" display="https://dailymed.nlm.nih.gov/dailymed/search.cfm?labeltype=all&amp;query=caffeine+citrate"/>
    <hyperlink ref="G610" r:id="rId1297" display="https://www.ema.europa.eu/en/documents/other/article-57-product-data_en.xlsx"/>
    <hyperlink ref="D611" r:id="rId1298" display="https://dailymed.nlm.nih.gov/dailymed/search.cfm?labeltype=all&amp;query=ceftazidime"/>
    <hyperlink ref="G611" r:id="rId1299" display="https://dmd-browser.nhsbsa.nhs.uk/ampp/view/110863"/>
    <hyperlink ref="D612" r:id="rId1300" display="https://dailymed.nlm.nih.gov/dailymed/search.cfm?labeltype=all&amp;query=ceftazidime"/>
    <hyperlink ref="G612" r:id="rId1301" display="https://www.ema.europa.eu/en/documents/other/article-57-product-data_en.xlsx"/>
    <hyperlink ref="D613" r:id="rId1302" display="https://dailymed.nlm.nih.gov/dailymed/search.cfm?labeltype=all&amp;query=ceftazidime"/>
    <hyperlink ref="G613" r:id="rId1303" display="https://www.ema.europa.eu/en/documents/other/article-57-product-data_en.xlsx"/>
    <hyperlink ref="D614" r:id="rId1304" display="https://dailymed.nlm.nih.gov/dailymed/search.cfm?labeltype=all&amp;query=ceftriaxone"/>
    <hyperlink ref="G614" r:id="rId1305" display="https://dailymed.nlm.nih.gov/dailymed/drugInfo.cfm?setid=3b36beb7-db94-4b07-8c81-bd2b601a6601"/>
    <hyperlink ref="D615" r:id="rId1306" display="https://dailymed.nlm.nih.gov/dailymed/search.cfm?labeltype=all&amp;query=ceftriaxone"/>
    <hyperlink ref="G615" r:id="rId1307" display="https://dmd-browser.nhsbsa.nhs.uk/ampp/view/110861"/>
    <hyperlink ref="D616" r:id="rId1308" display="https://dailymed.nlm.nih.gov/dailymed/search.cfm?labeltype=all&amp;query=ceftriaxone"/>
    <hyperlink ref="G616" r:id="rId1309" display="https://www.ema.europa.eu/en/documents/other/article-57-product-data_en.xlsx"/>
    <hyperlink ref="D617" r:id="rId1310" display="https://dailymed.nlm.nih.gov/dailymed/search.cfm?labeltype=all&amp;query=ceftriaxone"/>
    <hyperlink ref="G617" r:id="rId1311" display="https://www.ema.europa.eu/en/documents/other/article-57-product-data_en.xlsx"/>
    <hyperlink ref="D618" r:id="rId1312" display="https://mhraproducts4853.blob.core.windows.net/docs/468e5b0a68665f15d3d30982865bab14c0c28588"/>
    <hyperlink ref="G618" r:id="rId1313" display="https://mhraproducts4853.blob.core.windows.net/docs/f4594f4c3cc23114acb072e65ac513664e1ab8d4"/>
    <hyperlink ref="D619" r:id="rId1314" display="https://mhraproducts4853.blob.core.windows.net/docs/468e5b0a68665f15d3d30982865bab14c0c28588"/>
    <hyperlink ref="G619" r:id="rId1315" display="https://www.ema.europa.eu/en/documents/other/article-57-product-data_en.xlsx"/>
    <hyperlink ref="D620" r:id="rId1316" display="https://dailymed.nlm.nih.gov/dailymed/search.cfm?labeltype=all&amp;query=daptomycin"/>
    <hyperlink ref="G620" r:id="rId1317" display="https://dmd-browser.nhsbsa.nhs.uk/ampp/view/197707"/>
    <hyperlink ref="D621" r:id="rId1318" display="https://dailymed.nlm.nih.gov/dailymed/search.cfm?labeltype=all&amp;query=daptomycin"/>
    <hyperlink ref="G621" r:id="rId1319" display="https://www.ema.europa.eu/en/documents/other/article-57-product-data_en.xlsx"/>
    <hyperlink ref="D622" r:id="rId1320" display="https://dailymed.nlm.nih.gov/dailymed/search.cfm?labeltype=all&amp;query=daptomycin"/>
    <hyperlink ref="G622" r:id="rId1321" display="https://www.ebs.tga.gov.au/ebs/picmi/picmirepository.nsf/pdf?OpenAgent&amp;id=CP-2023-PI-01384-1"/>
    <hyperlink ref="D623" r:id="rId1322" display="https://dailymed.nlm.nih.gov/dailymed/search.cfm?labeltype=all&amp;query=haloperidol+lactate"/>
    <hyperlink ref="G623" r:id="rId1323" display="https://mhraproducts4853.blob.core.windows.net/docs/c39d08ff0acc6dc6d5b1523ab09699a21e4f0137"/>
    <hyperlink ref="D624" r:id="rId1324" display="https://dailymed.nlm.nih.gov/dailymed/search.cfm?labeltype=all&amp;query=haloperidol+lactate"/>
    <hyperlink ref="G624" r:id="rId1325" display="https://www.ema.europa.eu/en/documents/other/article-57-product-data_en.xlsx"/>
    <hyperlink ref="D625" r:id="rId1326" display="https://mhraproducts4853.blob.core.windows.net/docs/04229266643a571563250bd73f7732fba1560cbb"/>
    <hyperlink ref="G625" r:id="rId1327" display="https://www.ema.europa.eu/en/documents/other/article-57-product-data_en.xlsx"/>
    <hyperlink ref="D626" r:id="rId1328" display="https://mhraproducts4853.blob.core.windows.net/docs/04229266643a571563250bd73f7732fba1560cbb"/>
    <hyperlink ref="G626" r:id="rId1329" display="https://www.ema.europa.eu/en/documents/other/article-57-product-data_en.xlsx"/>
    <hyperlink ref="D627" r:id="rId1330" display="https://mhraproducts4853.blob.core.windows.net/docs/a59d41ba1edb90eeb695d447eeb35327147df3f6"/>
    <hyperlink ref="G627" r:id="rId1331" display="https://products.mhra.gov.uk/search/?search=hyoscine"/>
    <hyperlink ref="D628" r:id="rId1332" display="https://mhraproducts4853.blob.core.windows.net/docs/a59d41ba1edb90eeb695d447eeb35327147df3f6"/>
    <hyperlink ref="G628" r:id="rId1333" display="https://www.ema.europa.eu/en/documents/other/article-57-product-data_en.xlsx"/>
    <hyperlink ref="D629" r:id="rId1334" display="https://mhraproducts4853.blob.core.windows.net/docs/a53d61c3e391300f35f11ce363395170f019a5c5"/>
    <hyperlink ref="G629" r:id="rId1335" display="https://www.ema.europa.eu/en/documents/other/article-57-product-data_en.xlsx"/>
    <hyperlink ref="D630" r:id="rId1336" display="https://mhraproducts4853.blob.core.windows.net/docs/a53d61c3e391300f35f11ce363395170f019a5c5"/>
    <hyperlink ref="G630" r:id="rId1337" display="https://www.ebs.tga.gov.au/ebs/picmi/picmirepository.nsf/pdf?OpenAgent&amp;id=CP-2023-PI-01637-1"/>
    <hyperlink ref="D631" r:id="rId1338" display="https://dailymed.nlm.nih.gov/dailymed/search.cfm?labeltype=all&amp;query=milrinone"/>
    <hyperlink ref="G631" r:id="rId1339" display="https://mhraproducts4853.blob.core.windows.net/docs/8d4555c20d185d4c32c594d228e76e53b76b0650"/>
    <hyperlink ref="D632" r:id="rId1340" display="https://dailymed.nlm.nih.gov/dailymed/search.cfm?labeltype=all&amp;query=milrinone"/>
    <hyperlink ref="G632" r:id="rId1341" display="https://www.ema.europa.eu/en/documents/other/article-57-product-data_en.xlsx"/>
    <hyperlink ref="D633" r:id="rId1342" display="https://dailymed.nlm.nih.gov/dailymed/search.cfm?labeltype=all&amp;query=milrinone"/>
    <hyperlink ref="G633" r:id="rId1343" display="https://www.ema.europa.eu/en/documents/other/article-57-product-data_en.xlsx"/>
    <hyperlink ref="D634" r:id="rId1344" display="https://dailymed.nlm.nih.gov/dailymed/search.cfm?labeltype=all&amp;query=morphine+sulfate+injection"/>
    <hyperlink ref="G634" r:id="rId1345" display="https://products.mhra.gov.uk/search/?search=morphine"/>
    <hyperlink ref="D635" r:id="rId1346" display="https://dailymed.nlm.nih.gov/dailymed/search.cfm?labeltype=all&amp;query=morphine+sulfate+injection"/>
    <hyperlink ref="G635" r:id="rId1347" display="https://www.ema.europa.eu/en/documents/other/article-57-product-data_en.xlsx"/>
    <hyperlink ref="D636" r:id="rId1348" display="https://dailymed.nlm.nih.gov/dailymed/search.cfm?labeltype=all&amp;query=ondansetron+injection"/>
    <hyperlink ref="G636" r:id="rId1349" display="https://www.ema.europa.eu/en/documents/other/article-57-product-data_en.xlsx"/>
    <hyperlink ref="D637" r:id="rId1350" display="https://dailymed.nlm.nih.gov/dailymed/search.cfm?labeltype=all&amp;query=oxacillin"/>
    <hyperlink ref="G637" r:id="rId1351" display="https://dailymed.nlm.nih.gov/dailymed/search.cfm?searchdb=ndc&amp;query=64679-698"/>
    <hyperlink ref="D638" r:id="rId1352" display="https://dailymed.nlm.nih.gov/dailymed/search.cfm?labeltype=all&amp;query=protamine"/>
    <hyperlink ref="G638" r:id="rId1353" display="https://dmd-browser.nhsbsa.nhs.uk/ampp/view/64125"/>
    <hyperlink ref="D639" r:id="rId1354" display="https://dailymed.nlm.nih.gov/dailymed/search.cfm?labeltype=all&amp;query=protamine"/>
    <hyperlink ref="G639" r:id="rId1355" display="https://www.ema.europa.eu/en/documents/other/article-57-product-data_en.xlsx"/>
    <hyperlink ref="D640" r:id="rId1356" display="https://dailymed.nlm.nih.gov/dailymed/search.cfm?labeltype=all&amp;query=remifentanil"/>
    <hyperlink ref="G640" r:id="rId1357" display="https://dmd-browser.nhsbsa.nhs.uk/ampp/view/87654"/>
    <hyperlink ref="D641" r:id="rId1358" display="https://dailymed.nlm.nih.gov/dailymed/search.cfm?labeltype=all&amp;query=remifentanil"/>
    <hyperlink ref="G641" r:id="rId1359" display="https://www.ema.europa.eu/en/documents/other/article-57-product-data_en.xlsx"/>
    <hyperlink ref="D642" r:id="rId1360" display="https://dailymed.nlm.nih.gov/dailymed/search.cfm?labeltype=all&amp;query=valproate+sodium+injection"/>
    <hyperlink ref="G642" r:id="rId1361" display="https://dmd-browser.nhsbsa.nhs.uk/ampp/view/102025"/>
    <hyperlink ref="D643" r:id="rId1362" display="https://dailymed.nlm.nih.gov/dailymed/search.cfm?labeltype=all&amp;query=valproate+sodium+injection"/>
    <hyperlink ref="G643" r:id="rId1363" display="https://www.ema.europa.eu/en/documents/other/article-57-product-data_en.xlsx"/>
    <hyperlink ref="D644" r:id="rId1364" display="https://dailymed.nlm.nih.gov/dailymed/search.cfm?labeltype=all&amp;query=valproate+sodium+injection"/>
    <hyperlink ref="G644" r:id="rId1365" display="https://www.tga.gov.au/resources/artg/279248"/>
    <hyperlink ref="D645" r:id="rId1366" display="https://dailymed.nlm.nih.gov/dailymed/search.cfm?labeltype=all&amp;query=sugammadex"/>
    <hyperlink ref="G645" r:id="rId1367" display="https://dmd-browser.nhsbsa.nhs.uk/ampp/view/197725"/>
    <hyperlink ref="D646" r:id="rId1368" display="https://dailymed.nlm.nih.gov/dailymed/search.cfm?labeltype=all&amp;query=sugammadex"/>
    <hyperlink ref="G646" r:id="rId1369" display="https://www.ema.europa.eu/en/documents/other/article-57-product-data_en.xlsx"/>
    <hyperlink ref="D647" r:id="rId1370" display="https://dailymed.nlm.nih.gov/dailymed/search.cfm?labeltype=all&amp;query=vancomycin+injection"/>
    <hyperlink ref="G647" r:id="rId1371" display="https://www.ema.europa.eu/en/documents/other/article-57-product-data_en.xlsx"/>
    <hyperlink ref="D648" r:id="rId1372" display="https://dailymed.nlm.nih.gov/dailymed/search.cfm?labeltype=all&amp;query=acetazolamide"/>
    <hyperlink ref="G648" r:id="rId1373" display="https://dailymed.nlm.nih.gov/dailymed/search.cfm?labeltype=all&amp;query=Acetazolamide+Sodium"/>
    <hyperlink ref="D649" r:id="rId1374" display="https://dailymed.nlm.nih.gov/dailymed/search.cfm?labeltype=all&amp;query=bortezomib"/>
    <hyperlink ref="G649" r:id="rId1375" display="https://dailymed.nlm.nih.gov/dailymed/drugInfo.cfm?setid=0eb8daef-18da-43bb-b7c6-38c4c8b5dd80"/>
    <hyperlink ref="D650" r:id="rId1376" display="https://dailymed.nlm.nih.gov/dailymed/search.cfm?labeltype=all&amp;query=bortezomib"/>
    <hyperlink ref="G650" r:id="rId1377" display="https://mhraproducts4853.blob.core.windows.net/docs/fd1559e1fe8ad5d4484aa5c74fde8d60c48452b0"/>
    <hyperlink ref="D651" r:id="rId1378" display="https://dailymed.nlm.nih.gov/dailymed/search.cfm?labeltype=all&amp;query=bortezomib"/>
    <hyperlink ref="G651" r:id="rId1379" display="https://www.ema.europa.eu/en/documents/other/article-57-product-data_en.xlsx"/>
    <hyperlink ref="D652" r:id="rId1380" display="https://dailymed.nlm.nih.gov/dailymed/search.cfm?labeltype=all&amp;query=bortezomib"/>
    <hyperlink ref="G652" r:id="rId1381" display="https://www.ema.europa.eu/en/documents/other/article-57-product-data_en.xlsx"/>
    <hyperlink ref="D653" r:id="rId1382" display="https://dailymed.nlm.nih.gov/dailymed/search.cfm?labeltype=all&amp;query=bortezomib"/>
    <hyperlink ref="G653" r:id="rId1383" display="https://pi-pil-repository.sahpra.org.za/wp-content/uploads/2025/01/1.3.2-Bortezomib-Zydus-PIL-for-repository.pdf"/>
    <hyperlink ref="D654" r:id="rId1384" display="https://dailymed.nlm.nih.gov/dailymed/search.cfm?labeltype=all&amp;query=ceftriaxone"/>
    <hyperlink ref="G654" r:id="rId1385" display="https://base-donnees-publique.medicaments.gouv.fr/index.php?page=1&amp;choixRecherche=medicament&amp;txtCaracteres=Ceftriaxone%20Zydus&amp;action=show"/>
    <hyperlink ref="J654" r:id="rId1386" display="https://www.ema.europa.eu/en/documents/other/article-57-product-data_en.xlsx"/>
    <hyperlink ref="D655" r:id="rId1387" display="https://dailymed.nlm.nih.gov/dailymed/search.cfm?labeltype=all&amp;query=chlorpromazine"/>
    <hyperlink ref="G655" r:id="rId1388" display="https://dailymed.nlm.nih.gov/dailymed/lookup.cfm?setid=7cd6dc0d-e98d-40ae-80d4-c15f63056abf"/>
    <hyperlink ref="D656" r:id="rId1389" display="https://dailymed.nlm.nih.gov/dailymed/search.cfm?labeltype=all&amp;query=cisatracurium"/>
    <hyperlink ref="G656" r:id="rId1390" display="https://dailymed.nlm.nih.gov/dailymed/fda/fdaDrugXsl.cfm?setid=e145a40e-b046-4064-b35e-0da40ff3703e&amp;type=display"/>
    <hyperlink ref="D657" r:id="rId1391" display="https://dailymed.nlm.nih.gov/dailymed/search.cfm?labeltype=all&amp;query=cyanocobalamin+injection"/>
    <hyperlink ref="G657" r:id="rId1392" display="https://dailymed.nlm.nih.gov/dailymed/drugInfo.cfm?setid=e6712877-ace0-441c-99a9-adf567c0b9a2"/>
    <hyperlink ref="D658" r:id="rId1393" display="https://dailymed.nlm.nih.gov/dailymed/search.cfm?labeltype=all&amp;query=ethacrynate+sodium"/>
    <hyperlink ref="G658" r:id="rId1394" display="https://dailymed.nlm.nih.gov/dailymed/search.cfm?labeltype=all&amp;query=Ethacrynate+Sodium"/>
    <hyperlink ref="D659" r:id="rId1395" display="https://dailymed.nlm.nih.gov/dailymed/search.cfm?labeltype=all&amp;query=etomidate"/>
    <hyperlink ref="G659" r:id="rId1396" display="https://dailymed.nlm.nih.gov/dailymed/search.cfm?labeltype=all&amp;query=Etomidate"/>
    <hyperlink ref="D660" r:id="rId1397" display="https://dailymed.nlm.nih.gov/dailymed/search.cfm?labeltype=all&amp;query=fluorescein"/>
    <hyperlink ref="G660" r:id="rId1398" display="https://dailymed.nlm.nih.gov/dailymed/drugInfo.cfm?setid=19aea137-3f47-4b69-9884-3bff5f79b04a"/>
    <hyperlink ref="D661" r:id="rId1399" display="https://dailymed.nlm.nih.gov/dailymed/search.cfm?labeltype=all&amp;query=fulvestrant"/>
    <hyperlink ref="G661" r:id="rId1400" display="https://dailymed.nlm.nih.gov/dailymed/drugInfo.cfm?setid=994edf79-20a5-4e3a-bb35-c4fe3e65acba"/>
    <hyperlink ref="D662" r:id="rId1401" display="https://dailymed.nlm.nih.gov/dailymed/search.cfm?labeltype=all&amp;query=haloperidol+decanoate"/>
    <hyperlink ref="G662" r:id="rId1402" display="https://dailymed.nlm.nih.gov/dailymed/search.cfm?searchdb=ndc&amp;query=70710-1461"/>
    <hyperlink ref="D663" r:id="rId1403" display="https://dailymed.nlm.nih.gov/dailymed/search.cfm?labeltype=all&amp;query=hydrocortisone+sodium+succinate"/>
    <hyperlink ref="G663" r:id="rId1404" display="https://dailymed.nlm.nih.gov/dailymed/drugInfo.cfm?setid=37534164-9de5-4bb3-9f87-341dfcf90883"/>
    <hyperlink ref="D664" r:id="rId1405" display="https://dailymed.nlm.nih.gov/dailymed/search.cfm?labeltype=all&amp;query=indocyanine+green"/>
    <hyperlink ref="G664" r:id="rId1406" display="https://dailymed.nlm.nih.gov/dailymed/search.cfm?labeltype=all&amp;query=Indocyanine+Green"/>
    <hyperlink ref="D665" r:id="rId1407" display="https://dailymed.nlm.nih.gov/dailymed/search.cfm?labeltype=all&amp;query=iron+sucrose"/>
    <hyperlink ref="G665" r:id="rId1408" location="search:zypiron" display="https://medicineprices.org.za/#search:zypiron"/>
    <hyperlink ref="D666" r:id="rId1409" display="https://dailymed.nlm.nih.gov/dailymed/search.cfm?labeltype=all&amp;query=ondansetron+injection"/>
    <hyperlink ref="G666" r:id="rId1410" location="search:zydus-ondansetron" display="https://medicineprices.org.za/#search:zydus-ondansetron"/>
    <hyperlink ref="D667" r:id="rId1411" display="https://dailymed.nlm.nih.gov/dailymed/search.cfm?labeltype=all&amp;query=succinylcholine"/>
    <hyperlink ref="G667" r:id="rId1412" display="https://dailymed.nlm.nih.gov/dailymed/drugInfo.cfm?setid=017e5ad4-028e-4e34-ac09-d0c8d64c880a"/>
    <hyperlink ref="D668" r:id="rId1413" display="https://dailymed.nlm.nih.gov/dailymed/search.cfm?labeltype=all&amp;query=sugammadex"/>
    <hyperlink ref="G668" r:id="rId1414" display="https://dailymed.nlm.nih.gov/dailymed/drugInfo.cfm?setid=ab41ea1c-266f-421c-8fc4-6e7ff518a75d"/>
    <hyperlink ref="D669" r:id="rId1415" display="https://dailymed.nlm.nih.gov/dailymed/search.cfm?labeltype=all&amp;query=verapamil+hydrochloride+injection"/>
    <hyperlink ref="G669" r:id="rId1416" display="https://dailymed.nlm.nih.gov/dailymed/fda/fdaDrugXsl.cfm?setid=c87c7f7e-cdf5-42c7-a831-a7515d2d51d6&amp;type=display"/>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417"/>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2026-10-08T11:52:22Z</dcterms:created>
  <dc:creator>openpyxl</dc:creator>
  <dc:description/>
  <dc:language>en-US</dc:language>
  <cp:lastModifiedBy/>
  <dcterms:modified xsi:type="dcterms:W3CDTF">2026-10-08T11:52:32Z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